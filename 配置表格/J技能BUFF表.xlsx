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kill_config" sheetId="1" r:id="rId1"/>
    <sheet name="buff_config" sheetId="2" r:id="rId2"/>
    <sheet name="编号表" sheetId="3" r:id="rId3"/>
    <sheet name="名称表" sheetId="4" r:id="rId4"/>
    <sheet name="Sheet1" sheetId="5" r:id="rId9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<sst xmlns="http://schemas.openxmlformats.org/spreadsheetml/2006/main" count="13280" uniqueCount="873">
  <si>
    <t>##var</t>
  </si>
  <si>
    <t>id</t>
  </si>
  <si>
    <t>name</t>
  </si>
  <si>
    <t>internal_name</t>
  </si>
  <si>
    <t>skill_type</t>
  </si>
  <si>
    <t>skill_class</t>
  </si>
  <si>
    <t>is_passive_skill</t>
  </si>
  <si>
    <t>is_invoked</t>
  </si>
  <si>
    <t>skill_level</t>
  </si>
  <si>
    <t>identify_id</t>
  </si>
  <si>
    <t>color</t>
  </si>
  <si>
    <t>required_skill_id</t>
  </si>
  <si>
    <t>next_level_id</t>
  </si>
  <si>
    <t>description</t>
  </si>
  <si>
    <t>icon_id</t>
  </si>
  <si>
    <t>consumable_id</t>
  </si>
  <si>
    <t>lingli_cost</t>
  </si>
  <si>
    <t>required_level</t>
  </si>
  <si>
    <t>required_wupin</t>
  </si>
  <si>
    <t>exp_to_next</t>
  </si>
  <si>
    <t>exp_trigger</t>
  </si>
  <si>
    <t>cast_distance</t>
  </si>
  <si>
    <t>acquire_range</t>
  </si>
  <si>
    <t>aim_kind</t>
  </si>
  <si>
    <t>skill_selector</t>
  </si>
  <si>
    <t>sub_selector</t>
  </si>
  <si>
    <t>damage_type</t>
  </si>
  <si>
    <t>base_power</t>
  </si>
  <si>
    <t>skill_effects</t>
  </si>
  <si>
    <t>cast_time</t>
  </si>
  <si>
    <t>recovery_time</t>
  </si>
  <si>
    <t>cast_action</t>
  </si>
  <si>
    <t>cast_effect</t>
  </si>
  <si>
    <t>cast_point_effect</t>
  </si>
  <si>
    <t>hurt_effect</t>
  </si>
  <si>
    <t>stop_move</t>
  </si>
  <si>
    <t>cooldown</t>
  </si>
  <si>
    <t>cooldown_reduction_disabled</t>
  </si>
  <si>
    <t>max_charges</t>
  </si>
  <si>
    <t>charge_recover_time</t>
  </si>
  <si>
    <t>channel_time</t>
  </si>
  <si>
    <t>channel_interval</t>
  </si>
  <si>
    <t>channel_move_cancel</t>
  </si>
  <si>
    <t>hit_stun</t>
  </si>
  <si>
    <t>cast_sound_id</t>
  </si>
  <si>
    <t>hit_sound_id</t>
  </si>
  <si>
    <t>passive_trigger</t>
  </si>
  <si>
    <t>passive_skill_id</t>
  </si>
  <si>
    <t>passive_icd</t>
  </si>
  <si>
    <t>base_realm</t>
  </si>
  <si>
    <t>passive_hp_threshold</t>
  </si>
  <si>
    <t>is_basic_attack</t>
  </si>
  <si>
    <t>$type</t>
  </si>
  <si>
    <t>target_faction</t>
  </si>
  <si>
    <t>max_target_ally</t>
  </si>
  <si>
    <t>max_target_enemy</t>
  </si>
  <si>
    <t>include_caster</t>
  </si>
  <si>
    <t>priority</t>
  </si>
  <si>
    <t>circle_radius</t>
  </si>
  <si>
    <t>sector_radius</t>
  </si>
  <si>
    <t>angle</t>
  </si>
  <si>
    <t>length</t>
  </si>
  <si>
    <t>width</t>
  </si>
  <si>
    <t>inner_radius</t>
  </si>
  <si>
    <t>outer_radius</t>
  </si>
  <si>
    <t>rate</t>
  </si>
  <si>
    <t>delay</t>
  </si>
  <si>
    <t>effect_range</t>
  </si>
  <si>
    <t>require_target_hp_below</t>
  </si>
  <si>
    <t>dmg_type</t>
  </si>
  <si>
    <t>dmg_coefficient</t>
  </si>
  <si>
    <t>dmg_flat</t>
  </si>
  <si>
    <t>dmg_can_crit</t>
  </si>
  <si>
    <t>dmg_crit</t>
  </si>
  <si>
    <t>falloff_edge_ratio</t>
  </si>
  <si>
    <t>buff_id</t>
  </si>
  <si>
    <t>heal_type</t>
  </si>
  <si>
    <t>heal_coefficient</t>
  </si>
  <si>
    <t>heal_flat</t>
  </si>
  <si>
    <t>heal_can_crit</t>
  </si>
  <si>
    <t>heal_crit</t>
  </si>
  <si>
    <t>summon_id</t>
  </si>
  <si>
    <t>position</t>
  </si>
  <si>
    <t>duration</t>
  </si>
  <si>
    <t>summon_count</t>
  </si>
  <si>
    <t>max_count</t>
  </si>
  <si>
    <t>init_lv</t>
  </si>
  <si>
    <t>max_lv</t>
  </si>
  <si>
    <t>subject</t>
  </si>
  <si>
    <t>distance</t>
  </si>
  <si>
    <t>mode</t>
  </si>
  <si>
    <t>direction</t>
  </si>
  <si>
    <t>pass_through</t>
  </si>
  <si>
    <t>move_speed</t>
  </si>
  <si>
    <t>effect</t>
  </si>
  <si>
    <t>sound</t>
  </si>
  <si>
    <t>proj_speed</t>
  </si>
  <si>
    <t>height</t>
  </si>
  <si>
    <t>path</t>
  </si>
  <si>
    <t>proj_count</t>
  </si>
  <si>
    <t>interval</t>
  </si>
  <si>
    <t>portion</t>
  </si>
  <si>
    <t>range</t>
  </si>
  <si>
    <t>hit_radius</t>
  </si>
  <si>
    <t>spread_angle</t>
  </si>
  <si>
    <t>pierce</t>
  </si>
  <si>
    <t>proj_sub_skill_id</t>
  </si>
  <si>
    <t>call_skill_id</t>
  </si>
  <si>
    <t>##type</t>
  </si>
  <si>
    <t>int</t>
  </si>
  <si>
    <t>string</t>
  </si>
  <si>
    <t>SkillType</t>
  </si>
  <si>
    <t>ClassType</t>
  </si>
  <si>
    <t>bool</t>
  </si>
  <si>
    <t>ItemQuality</t>
  </si>
  <si>
    <t>(list#sep=|),ExpTriggerType</t>
  </si>
  <si>
    <t>AimKind</t>
  </si>
  <si>
    <t>SkillSelector?</t>
  </si>
  <si>
    <t>array,SkillEffect</t>
  </si>
  <si>
    <t>PassiveSkillTriggerType</t>
  </si>
  <si>
    <t>MajorRealm</t>
  </si>
  <si>
    <t>##group</t>
  </si>
  <si>
    <t>c</t>
  </si>
  <si>
    <t>c,s</t>
  </si>
  <si>
    <t>##</t>
  </si>
  <si>
    <t>技能ID</t>
  </si>
  <si>
    <t>技能显示名称</t>
  </si>
  <si>
    <t>内部名称</t>
  </si>
  <si>
    <t>技能分类</t>
  </si>
  <si>
    <t>技能系别</t>
  </si>
  <si>
    <t>是否被动类型技能</t>
  </si>
  <si>
    <t>是否为被调用技能</t>
  </si>
  <si>
    <t>技能等级</t>
  </si>
  <si>
    <t>技能识别ID</t>
  </si>
  <si>
    <t>颜色标签</t>
  </si>
  <si>
    <t>前置技能ID</t>
  </si>
  <si>
    <t>下一级技能ID</t>
  </si>
  <si>
    <t>技能描述文本</t>
  </si>
  <si>
    <t>技能图标ID</t>
  </si>
  <si>
    <t>施法消耗道具ID</t>
  </si>
  <si>
    <t>灵力消耗</t>
  </si>
  <si>
    <t>学习技能所需等级</t>
  </si>
  <si>
    <t>升级消耗道具</t>
  </si>
  <si>
    <t>熟练度上限</t>
  </si>
  <si>
    <t>熟练度触发行为</t>
  </si>
  <si>
    <t>施法距离</t>
  </si>
  <si>
    <t>智能施法查询半径</t>
  </si>
  <si>
    <t>施法瞄准类型</t>
  </si>
  <si>
    <t>形状：单体 / 圆形 / 扇形 / 线形 / 环形 选一个；单体没有专属列，其余只填该形状那一段列</t>
  </si>
  <si>
    <t>【公共】目标阵营</t>
  </si>
  <si>
    <t>【公共】友方最大目标数，0=不限</t>
  </si>
  <si>
    <t>【公共】敌对最大目标数，0=不限</t>
  </si>
  <si>
    <t>【公共】是否包含施法者自身</t>
  </si>
  <si>
    <t>【公共】目标选取优先级</t>
  </si>
  <si>
    <t>【圆形】半径</t>
  </si>
  <si>
    <t>【扇形】半径</t>
  </si>
  <si>
    <t>【扇形】角度（上限180）</t>
  </si>
  <si>
    <t>【线形】长度</t>
  </si>
  <si>
    <t>【线形】宽度</t>
  </si>
  <si>
    <t>【环形】内圈半径</t>
  </si>
  <si>
    <t>【环形】外圈半径</t>
  </si>
  <si>
    <t>伤害类型（仅用于展示，实际伤害类型由效果自身决定）</t>
  </si>
  <si>
    <t>技能威力基础值</t>
  </si>
  <si>
    <t>效果1·效果类型：选定后只填带同名前缀【…】的那一段列，其余留空</t>
  </si>
  <si>
    <t>效果1·【公共】应用目标阵营</t>
  </si>
  <si>
    <t>效果1·【公共】触发概率（万分比）</t>
  </si>
  <si>
    <t>效果1·【公共】延迟触发(毫秒)</t>
  </si>
  <si>
    <t>效果1·【公共】作用范围：全部候选 / 仅子范围内 / 子范围外，需配子选择器</t>
  </si>
  <si>
    <t>效果1·【公共】生效血量阈值（万分比）：目标生命低于此值才生效，0=无条件</t>
  </si>
  <si>
    <t>效果1·【伤害】伤害类型</t>
  </si>
  <si>
    <t>效果1·【伤害】万分比伤害系数</t>
  </si>
  <si>
    <t>效果1·【伤害】固定伤害数值</t>
  </si>
  <si>
    <t>效果1·【伤害】是否允许暴击</t>
  </si>
  <si>
    <t>效果1·【伤害】固定暴击万分比，0=取属性暴击率</t>
  </si>
  <si>
    <t>效果1·【伤害】边缘伤害系数（万分比）：10000=不衰减，5000=边缘半伤</t>
  </si>
  <si>
    <t>效果1·【调用状态】状态ID（buff_config.id）</t>
  </si>
  <si>
    <t>效果1·【治疗】治疗类型</t>
  </si>
  <si>
    <t>效果1·【治疗】治疗万分比系数</t>
  </si>
  <si>
    <t>效果1·【治疗】固定治疗值</t>
  </si>
  <si>
    <t>效果1·【治疗】是否允许暴击</t>
  </si>
  <si>
    <t>效果1·【治疗】固定暴击万分比，0=取属性暴击率</t>
  </si>
  <si>
    <t>效果1·【召唤】从属实体ID（owned_entity_config.config_id）</t>
  </si>
  <si>
    <t>效果1·【召唤】出生点</t>
  </si>
  <si>
    <t>效果1·【召唤】持续时间(毫秒)，0=不限</t>
  </si>
  <si>
    <t>效果1·【召唤】召唤数量</t>
  </si>
  <si>
    <t>效果1·【召唤】同类召唤物上限</t>
  </si>
  <si>
    <t>效果1·【召唤】初始等级</t>
  </si>
  <si>
    <t>效果1·【召唤】等级上限，0=不限</t>
  </si>
  <si>
    <t>效果1·【位移】位移目标单位</t>
  </si>
  <si>
    <t>效果1·【位移】位移距离</t>
  </si>
  <si>
    <t>效果1·【位移】位移模式</t>
  </si>
  <si>
    <t>效果1·【位移】位移方向</t>
  </si>
  <si>
    <t>效果1·【位移】能否穿越地形</t>
  </si>
  <si>
    <t>效果1·【位移】位移速度</t>
  </si>
  <si>
    <t>效果1·【弹道】投射物特效</t>
  </si>
  <si>
    <t>效果1·【弹道】投射物释放音效</t>
  </si>
  <si>
    <t>效果1·【弹道】投射物速度</t>
  </si>
  <si>
    <t>效果1·【弹道】投射物高度</t>
  </si>
  <si>
    <t>效果1·【弹道】运行轨迹</t>
  </si>
  <si>
    <t>效果1·【弹道】投射物总数量</t>
  </si>
  <si>
    <t>效果1·【弹道】发射波次间隔(毫秒)</t>
  </si>
  <si>
    <t>效果1·【弹道】每次发射数量</t>
  </si>
  <si>
    <t>效果1·【弹道】射程</t>
  </si>
  <si>
    <t>效果1·【弹道】命中半径</t>
  </si>
  <si>
    <t>效果1·【弹道】散布角</t>
  </si>
  <si>
    <t>效果1·【弹道】穿透目标数量</t>
  </si>
  <si>
    <t>效果1·【弹道】命中调用的子技能ID（弹道自身不带伤害）</t>
  </si>
  <si>
    <t>效果1·【调用技能】被调用神通等级行ID</t>
  </si>
  <si>
    <t>效果2·效果类型：选定后只填带同名前缀【…】的那一段列，其余留空</t>
  </si>
  <si>
    <t>效果2·【公共】应用目标阵营</t>
  </si>
  <si>
    <t>效果2·【公共】触发概率（万分比）</t>
  </si>
  <si>
    <t>效果2·【公共】延迟触发(毫秒)</t>
  </si>
  <si>
    <t>效果2·【公共】作用范围：全部候选 / 仅子范围内 / 子范围外，需配子选择器</t>
  </si>
  <si>
    <t>效果2·【公共】生效血量阈值（万分比）：目标生命低于此值才生效，0=无条件</t>
  </si>
  <si>
    <t>效果2·【伤害】伤害类型</t>
  </si>
  <si>
    <t>效果2·【伤害】万分比伤害系数</t>
  </si>
  <si>
    <t>效果2·【伤害】固定伤害数值</t>
  </si>
  <si>
    <t>效果2·【伤害】是否允许暴击</t>
  </si>
  <si>
    <t>效果2·【伤害】固定暴击万分比，0=取属性暴击率</t>
  </si>
  <si>
    <t>效果2·【伤害】边缘伤害系数（万分比）：10000=不衰减，5000=边缘半伤</t>
  </si>
  <si>
    <t>效果2·【调用状态】状态ID（buff_config.id）</t>
  </si>
  <si>
    <t>效果2·【治疗】治疗类型</t>
  </si>
  <si>
    <t>效果2·【治疗】治疗万分比系数</t>
  </si>
  <si>
    <t>效果2·【治疗】固定治疗值</t>
  </si>
  <si>
    <t>效果2·【治疗】是否允许暴击</t>
  </si>
  <si>
    <t>效果2·【治疗】固定暴击万分比，0=取属性暴击率</t>
  </si>
  <si>
    <t>效果2·【召唤】从属实体ID（owned_entity_config.config_id）</t>
  </si>
  <si>
    <t>效果2·【召唤】出生点</t>
  </si>
  <si>
    <t>效果2·【召唤】持续时间(毫秒)，0=不限</t>
  </si>
  <si>
    <t>效果2·【召唤】召唤数量</t>
  </si>
  <si>
    <t>效果2·【召唤】同类召唤物上限</t>
  </si>
  <si>
    <t>效果2·【召唤】初始等级</t>
  </si>
  <si>
    <t>效果2·【召唤】等级上限，0=不限</t>
  </si>
  <si>
    <t>效果2·【位移】位移目标单位</t>
  </si>
  <si>
    <t>效果2·【位移】位移距离</t>
  </si>
  <si>
    <t>效果2·【位移】位移模式</t>
  </si>
  <si>
    <t>效果2·【位移】位移方向</t>
  </si>
  <si>
    <t>效果2·【位移】能否穿越地形</t>
  </si>
  <si>
    <t>效果2·【位移】位移速度</t>
  </si>
  <si>
    <t>效果2·【弹道】投射物特效</t>
  </si>
  <si>
    <t>效果2·【弹道】投射物释放音效</t>
  </si>
  <si>
    <t>效果2·【弹道】投射物速度</t>
  </si>
  <si>
    <t>效果2·【弹道】投射物高度</t>
  </si>
  <si>
    <t>效果2·【弹道】运行轨迹</t>
  </si>
  <si>
    <t>效果2·【弹道】投射物总数量</t>
  </si>
  <si>
    <t>效果2·【弹道】发射波次间隔(毫秒)</t>
  </si>
  <si>
    <t>效果2·【弹道】每次发射数量</t>
  </si>
  <si>
    <t>效果2·【弹道】射程</t>
  </si>
  <si>
    <t>效果2·【弹道】命中半径</t>
  </si>
  <si>
    <t>效果2·【弹道】散布角</t>
  </si>
  <si>
    <t>效果2·【弹道】穿透目标数量</t>
  </si>
  <si>
    <t>效果2·【弹道】命中调用的子技能ID（弹道自身不带伤害）</t>
  </si>
  <si>
    <t>效果2·【调用技能】被调用神通等级行ID</t>
  </si>
  <si>
    <t>效果3·效果类型：选定后只填带同名前缀【…】的那一段列，其余留空</t>
  </si>
  <si>
    <t>效果3·【公共】应用目标阵营</t>
  </si>
  <si>
    <t>效果3·【公共】触发概率（万分比）</t>
  </si>
  <si>
    <t>效果3·【公共】延迟触发(毫秒)</t>
  </si>
  <si>
    <t>效果3·【公共】作用范围：全部候选 / 仅子范围内 / 子范围外，需配子选择器</t>
  </si>
  <si>
    <t>效果3·【公共】生效血量阈值（万分比）：目标生命低于此值才生效，0=无条件</t>
  </si>
  <si>
    <t>效果3·【伤害】伤害类型</t>
  </si>
  <si>
    <t>效果3·【伤害】万分比伤害系数</t>
  </si>
  <si>
    <t>效果3·【伤害】固定伤害数值</t>
  </si>
  <si>
    <t>效果3·【伤害】是否允许暴击</t>
  </si>
  <si>
    <t>效果3·【伤害】固定暴击万分比，0=取属性暴击率</t>
  </si>
  <si>
    <t>效果3·【伤害】边缘伤害系数（万分比）：10000=不衰减，5000=边缘半伤</t>
  </si>
  <si>
    <t>效果3·【调用状态】状态ID（buff_config.id）</t>
  </si>
  <si>
    <t>效果3·【治疗】治疗类型</t>
  </si>
  <si>
    <t>效果3·【治疗】治疗万分比系数</t>
  </si>
  <si>
    <t>效果3·【治疗】固定治疗值</t>
  </si>
  <si>
    <t>效果3·【治疗】是否允许暴击</t>
  </si>
  <si>
    <t>效果3·【治疗】固定暴击万分比，0=取属性暴击率</t>
  </si>
  <si>
    <t>效果3·【召唤】从属实体ID（owned_entity_config.config_id）</t>
  </si>
  <si>
    <t>效果3·【召唤】出生点</t>
  </si>
  <si>
    <t>效果3·【召唤】持续时间(毫秒)，0=不限</t>
  </si>
  <si>
    <t>效果3·【召唤】召唤数量</t>
  </si>
  <si>
    <t>效果3·【召唤】同类召唤物上限</t>
  </si>
  <si>
    <t>效果3·【召唤】初始等级</t>
  </si>
  <si>
    <t>效果3·【召唤】等级上限，0=不限</t>
  </si>
  <si>
    <t>效果3·【位移】位移目标单位</t>
  </si>
  <si>
    <t>效果3·【位移】位移距离</t>
  </si>
  <si>
    <t>效果3·【位移】位移模式</t>
  </si>
  <si>
    <t>效果3·【位移】位移方向</t>
  </si>
  <si>
    <t>效果3·【位移】能否穿越地形</t>
  </si>
  <si>
    <t>效果3·【位移】位移速度</t>
  </si>
  <si>
    <t>效果3·【弹道】投射物特效</t>
  </si>
  <si>
    <t>效果3·【弹道】投射物释放音效</t>
  </si>
  <si>
    <t>效果3·【弹道】投射物速度</t>
  </si>
  <si>
    <t>效果3·【弹道】投射物高度</t>
  </si>
  <si>
    <t>效果3·【弹道】运行轨迹</t>
  </si>
  <si>
    <t>效果3·【弹道】投射物总数量</t>
  </si>
  <si>
    <t>效果3·【弹道】发射波次间隔(毫秒)</t>
  </si>
  <si>
    <t>效果3·【弹道】每次发射数量</t>
  </si>
  <si>
    <t>效果3·【弹道】射程</t>
  </si>
  <si>
    <t>效果3·【弹道】命中半径</t>
  </si>
  <si>
    <t>效果3·【弹道】散布角</t>
  </si>
  <si>
    <t>效果3·【弹道】穿透目标数量</t>
  </si>
  <si>
    <t>效果3·【弹道】命中调用的子技能ID（弹道自身不带伤害）</t>
  </si>
  <si>
    <t>效果3·【调用技能】被调用神通等级行ID</t>
  </si>
  <si>
    <t>前摇时长(毫秒)</t>
  </si>
  <si>
    <t>后摇时长(毫秒)</t>
  </si>
  <si>
    <t>施法动作名称</t>
  </si>
  <si>
    <t>施法特效ID（effect_config.id，0=不播）</t>
  </si>
  <si>
    <t>施法点特效路径</t>
  </si>
  <si>
    <t>怪物受击特效路径</t>
  </si>
  <si>
    <t>是否停止移动</t>
  </si>
  <si>
    <t>冷却时间(毫秒)</t>
  </si>
  <si>
    <t>禁止冷却缩减</t>
  </si>
  <si>
    <t>最大充能层数</t>
  </si>
  <si>
    <t>单层充能恢复时间(毫秒)</t>
  </si>
  <si>
    <t>引导时长(毫秒)</t>
  </si>
  <si>
    <t>引导结算间隔(毫秒)</t>
  </si>
  <si>
    <t>引导时移动是否中断</t>
  </si>
  <si>
    <t>受击硬直时间(毫秒)</t>
  </si>
  <si>
    <t>施法音效ID（sound_config.id，0=不播）</t>
  </si>
  <si>
    <t>命中音效路径（命中帧在施法者身上播放）</t>
  </si>
  <si>
    <t>被动触发事件类型</t>
  </si>
  <si>
    <t>被动触发条件技能ID</t>
  </si>
  <si>
    <t>被动内置冷却(毫秒)</t>
  </si>
  <si>
    <t>基准境界</t>
  </si>
  <si>
    <t>被动血量阈值(万分比)</t>
  </si>
  <si>
    <t>是否普攻</t>
  </si>
  <si>
    <t>青萍剑诀</t>
  </si>
  <si>
    <t>人道</t>
  </si>
  <si>
    <t>剑道</t>
  </si>
  <si>
    <t>凡品</t>
  </si>
  <si>
    <t>剑出青萍，疾刺目标，造成物理伤害。剑道诸式皆由此起。</t>
  </si>
  <si>
    <t>单位</t>
  </si>
  <si>
    <t>单体</t>
  </si>
  <si>
    <t>敌对</t>
  </si>
  <si>
    <t>最近</t>
  </si>
  <si>
    <t>物理</t>
  </si>
  <si>
    <t>技能效果_伤害</t>
  </si>
  <si>
    <t>全部</t>
  </si>
  <si>
    <t>Attack One</t>
  </si>
  <si>
    <t>无</t>
  </si>
  <si>
    <t>玄门伏虎击</t>
  </si>
  <si>
    <t>炼体</t>
  </si>
  <si>
    <t>凝聚近身劲力向目标发动一击，造成物理伤害。</t>
  </si>
  <si>
    <t>施放本神通</t>
  </si>
  <si>
    <t>340</t>
  </si>
  <si>
    <t>太白藏锋斩</t>
  </si>
  <si>
    <t>藏锋蓄势，拔刃横扫前方扇形范围，对敌人造成物理伤害。</t>
  </si>
  <si>
    <t>目标方向</t>
  </si>
  <si>
    <t>扇形</t>
  </si>
  <si>
    <t>玄罡撼岳劲</t>
  </si>
  <si>
    <t>以玄罡重击目标，造成物理伤害并将其击退。</t>
  </si>
  <si>
    <t>技能效果_位移</t>
  </si>
  <si>
    <t>命中者</t>
  </si>
  <si>
    <t>直线</t>
  </si>
  <si>
    <t>远离施法者</t>
  </si>
  <si>
    <t>庚芒诀</t>
  </si>
  <si>
    <t>金行</t>
  </si>
  <si>
    <t>向前方贯出一线金芒，对路径上的敌人造成法术伤害。</t>
  </si>
  <si>
    <t>线形</t>
  </si>
  <si>
    <t>法术</t>
  </si>
  <si>
    <t>魔法</t>
  </si>
  <si>
    <t>Spell One</t>
  </si>
  <si>
    <t>青萝引</t>
  </si>
  <si>
    <t>木行</t>
  </si>
  <si>
    <t>引动藤刺穿击目标，造成法术伤害。</t>
  </si>
  <si>
    <t>听潮印</t>
  </si>
  <si>
    <t>水行</t>
  </si>
  <si>
    <t>在目标身侧合拢潮纹，造成法术伤害。</t>
  </si>
  <si>
    <t>离火星</t>
  </si>
  <si>
    <t>火行</t>
  </si>
  <si>
    <t>凝成火球飞向目标，命中后造成法术伤害。</t>
  </si>
  <si>
    <t>技能效果_弹道</t>
  </si>
  <si>
    <t>mdx\skMdx\ani_effect_jinengtexiao_04</t>
  </si>
  <si>
    <t>Sound\Zs_Gongji1</t>
  </si>
  <si>
    <t>凝岳印</t>
  </si>
  <si>
    <t>土行</t>
  </si>
  <si>
    <t>在目标上方凝成土印砸落，造成法术伤害。</t>
  </si>
  <si>
    <t>惊蛰落霆</t>
  </si>
  <si>
    <t>术法</t>
  </si>
  <si>
    <t>召下一道雷光轰击目标，造成法术伤害。</t>
  </si>
  <si>
    <t>赤霄焚野</t>
  </si>
  <si>
    <t>在目标区域铺开火纹，对范围内敌人造成法术伤害。</t>
  </si>
  <si>
    <t>目标点</t>
  </si>
  <si>
    <t>圆形</t>
  </si>
  <si>
    <t>御锋诀</t>
  </si>
  <si>
    <t>御使飞剑射向目标，命中后造成物理伤害。</t>
  </si>
  <si>
    <t>mdx\skMdx\ani_effect_jinengtexiao_94</t>
  </si>
  <si>
    <t>分光剑诀</t>
  </si>
  <si>
    <t>飞剑命中后分出剑影，短暂延迟后追加一次物理伤害。</t>
  </si>
  <si>
    <t>周天游刃</t>
  </si>
  <si>
    <t>同时御使十六柄飞剑集火目标并逐枚结算伤害。</t>
  </si>
  <si>
    <t>星罗分锋</t>
  </si>
  <si>
    <t>同时御使十六柄飞剑向前方散开，分别命中路径上的敌人。</t>
  </si>
  <si>
    <t>青息回元</t>
  </si>
  <si>
    <t>以青色灵息为自己或友方立即恢复生命。</t>
  </si>
  <si>
    <t>友方</t>
  </si>
  <si>
    <t>血量最低</t>
  </si>
  <si>
    <t>技能效果_治疗</t>
  </si>
  <si>
    <t>春脉绵生</t>
  </si>
  <si>
    <t>为自己或友方施加持续恢复生命的状态。</t>
  </si>
  <si>
    <t>技能效果_调用状态</t>
  </si>
  <si>
    <t>定魄符</t>
  </si>
  <si>
    <t>以定魄符封住目标行动，使其短时间眩晕。</t>
  </si>
  <si>
    <t>霜锁九脉</t>
  </si>
  <si>
    <t>以寒霜锁住目标，使其短时间冰冻。</t>
  </si>
  <si>
    <t>砺锋诀</t>
  </si>
  <si>
    <t>强化自身锋芒，暂时提升物理攻击上下限。</t>
  </si>
  <si>
    <t>自己</t>
  </si>
  <si>
    <t>玄炁贯灵</t>
  </si>
  <si>
    <t>引玄炁贯入经脉，暂时提升法术攻击上下限。</t>
  </si>
  <si>
    <t>破甲印</t>
  </si>
  <si>
    <t>使目标护身结构松动，暂时降低物理防御上下限。</t>
  </si>
  <si>
    <t>蚀法咒</t>
  </si>
  <si>
    <t>扰乱目标护法灵气，暂时降低法术防御上下限。</t>
  </si>
  <si>
    <t>余烬侵脉</t>
  </si>
  <si>
    <t>将余烬附着目标经脉，持续造成法术伤害。</t>
  </si>
  <si>
    <t>离焰周身</t>
  </si>
  <si>
    <t>在自身周围维持焰轮，周期性灼伤附近敌人。</t>
  </si>
  <si>
    <t>玄霜蚀法</t>
  </si>
  <si>
    <t>在自身周围维持霜环，周期性降低附近敌人的法术防御。</t>
  </si>
  <si>
    <t>坤岳辟界阵</t>
  </si>
  <si>
    <t>在自身周围维持坤岳阵纹，周期性将附近敌人向外推开。</t>
  </si>
  <si>
    <t>游身九转</t>
  </si>
  <si>
    <t>沿瞄准方向快速掠出一段距离。</t>
  </si>
  <si>
    <t>施法者</t>
  </si>
  <si>
    <t>技能瞄准处</t>
  </si>
  <si>
    <t>灵植术</t>
  </si>
  <si>
    <t>灵植</t>
  </si>
  <si>
    <t>地道</t>
  </si>
  <si>
    <t>提高对灵植灵性、药性与杂质的辨析和处理能力，并提高相关炼制的成功率。|n|cff00FF00“草木之用，不独在其形色；识其灵序、留其真性，方能去芜存精。”——《草木蕴生功》|r</t>
  </si>
  <si>
    <t>191</t>
  </si>
  <si>
    <t>灵材术</t>
  </si>
  <si>
    <t>灵材</t>
  </si>
  <si>
    <t>提高对灵材结构、材性与杂质的辨析和处理能力，并提高相关炼制的成功率。|n|cff00FF00“石有纹，金有性；灵材虽默，其内秩序自有迹可循。”——《万材辨性篇》|r</t>
  </si>
  <si>
    <t>炼丹术</t>
  </si>
  <si>
    <t>炼丹</t>
  </si>
  <si>
    <t>高炼丹时调和药性、掌控火候和去除药滓的能力，增加炼丹成功率。|n|cff00FF00“丹成非独赖火，须使四性五味各安其位，清浊自分。”——《九转合丹经》|r</t>
  </si>
  <si>
    <t>炼器术</t>
  </si>
  <si>
    <t>炼器</t>
  </si>
  <si>
    <t>提高炼器时调和材性、贯通灵路和去除杂质的能力，增加炼器成功率。|n|cff00FF00“器成于材，灵生于序；材性不合，百炼亦为空。”——《天工铸灵经》|r</t>
  </si>
  <si>
    <t>符箓术</t>
  </si>
  <si>
    <t>符箓</t>
  </si>
  <si>
    <t>提高制符时控制灵力、绘制符纹和维持符中结构的能力，增加制符成功率。|n|cff00FF00“符者，以灵力为墨、符材为载，外写一段可自行运转之序。”——《云篆通玄诀》|r</t>
  </si>
  <si>
    <t>阵法术</t>
  </si>
  <si>
    <t>阵法</t>
  </si>
  <si>
    <t>提高布阵时推演阵眼、连接灵路和维持阵势的能力，增加布阵成功率。|n|cff00FF00“阵不在纹多，而在诸点相引、诸路成环，能借天地之势而自持。”——《河洛演阵篇》|r</t>
  </si>
  <si>
    <t>御兽术</t>
  </si>
  <si>
    <t>御兽</t>
  </si>
  <si>
    <t>提高感知灵兽状态、传递意念和建立稳定联系的能力，增加驯服与御使成功率。|n|cff00FF00“御兽先通其心，后御其力；强压只得一时，感应方能同行长久。”——《万灵御心诀》|r</t>
  </si>
  <si>
    <t>天序化元经</t>
  </si>
  <si>
    <t>天道</t>
  </si>
  <si>
    <t>修炼</t>
  </si>
  <si>
    <t>提高每点灵气转化出的修为。|n|cff00FF00“灵气先成其序，而后方可炼化；序愈分明，所化愈厚。”——《上古灵序经》|r</t>
  </si>
  <si>
    <t>周天转灵功</t>
  </si>
  <si>
    <t>加快修炼速度，提高单位时间获得的修为。|n|cff00FF00“气行一周，则浊减一分；周天不息，则真修自长。”——《周天行气录》|r</t>
  </si>
  <si>
    <t>九息纳灵功</t>
  </si>
  <si>
    <t>提高每时辰吸收的灵气数量。|n|cff00FF00“一息引气，九息成环；环成之时，四方灵气自来。”——《九息纳真章》|r</t>
  </si>
  <si>
    <t>归元锁基篇</t>
  </si>
  <si>
    <t>回收炼化时散逸的灵气，额外获得修为。|n|cff00FF00“余气不可轻弃，涓流亦当归基；积微累久，自可成道。”——《道基归元论》|r</t>
  </si>
  <si>
    <t>太虚演化篇</t>
  </si>
  <si>
    <t>按比例提高最终获得的修为。|n|cff00FF00“丹田非器，虚则能容；所容愈广，演化愈深。”——《太虚内景说》|r</t>
  </si>
  <si>
    <t>抱一守真经</t>
  </si>
  <si>
    <t>灵气不足时，仍能稳定获得少量基础修为。|n|cff00FF00“外气有穷，自真不绝；三元抱一，虽寂亦修。”——《守真抱一录》|r</t>
  </si>
  <si>
    <t>日月顺时篇</t>
  </si>
  <si>
    <t>白昼提高灵气吸收，夜间提高灵气转化。|n|cff00FF00“日气升而宜引，月气沉而宜藏；顺时而修，事半功倍。”——《日月灵气考》|r</t>
  </si>
  <si>
    <t>一气朝元诀</t>
  </si>
  <si>
    <t>清晨修炼时，同时提高灵气吸收与修为转化。|n|cff00FF00“朝阳未盛，夜阴将退，一气最清，万流朝元。”——《朝元清气篇》|r</t>
  </si>
  <si>
    <t>元海藏真篇</t>
  </si>
  <si>
    <t>提高灵气储存上限，减少未炼化灵气的流失。|n|cff00FF00“海纳百川，丹田藏气；未化之灵，亦不可归散。”——《元海藏灵录》|r</t>
  </si>
  <si>
    <t>开玄破障诀</t>
  </si>
  <si>
    <t>破境</t>
  </si>
  <si>
    <t>提高突破成功率，并减轻突破失败的反噬。|n|cff00FF00“关隘非墙，乃旧序之极；稳其根本，方可开玄。”——《破境玄关论》|r</t>
  </si>
  <si>
    <t>破妄观微篇</t>
  </si>
  <si>
    <t>神识</t>
  </si>
  <si>
    <t>提高神识探查能力，并增加神通命中要害的概率。|n|cff00FF00“神识至微，可见气隙；既见其隙，则虚妄自破。”——《观微破妄录》|r</t>
  </si>
  <si>
    <t>百战砺真功</t>
  </si>
  <si>
    <t>提高所有主动神通的最终威力。|n|cff00FF00“法无常强，战可砺真；每正一误，神通便进一分。”——《百战灵机考》|r</t>
  </si>
  <si>
    <t>万象本命诀</t>
  </si>
  <si>
    <t>指定一门本命神通，大幅提高其威力；同时只能指定一门。|n|cff00FF00“万法皆可习，本命只存一；神意相合，则法如己身。”——《本命神通录》|r</t>
  </si>
  <si>
    <t>观剑养锋篇</t>
  </si>
  <si>
    <t>提高所有剑道系神通的伤害与破防效果。|n|cff00FF00“剑锋养于未出之时，剑意成于久观之中。”——《剑堂养锋札》|r</t>
  </si>
  <si>
    <t>万法归流经</t>
  </si>
  <si>
    <t>提高所有术法系神通的效果。|n|cff00FF00“术有万象，气归一流；灵流无滞，则诸法尽显。”——《万法运灵总纲》|r</t>
  </si>
  <si>
    <t>百炼淬元功</t>
  </si>
  <si>
    <t>提高所有炼体系神通的近身伤害与护体效果。|n|cff00FF00“以身为炉，以气为火；百炼之后，血肉亦可承道。”——《古修身炉经》|r</t>
  </si>
  <si>
    <t>太白庚金经</t>
  </si>
  <si>
    <t>提高所有金行神通的伤害、破甲与穿透效果。|n|cff00FF00“庚金贵收不贵散，聚锋于一点，自可断万护。”——《庚金断法录》|r</t>
  </si>
  <si>
    <t>青木荣枯经</t>
  </si>
  <si>
    <t>提高所有木行神通的伤害、治疗与持续恢复效果。|n|cff00FF00“木之一道，生中有谢，枯中藏荣，轮转而不绝。”——《青木荣枯志》|r</t>
  </si>
  <si>
    <t>沧溟叠浪篇</t>
  </si>
  <si>
    <t>提高所有水行神通的效果，连续命中时威力逐渐增加。|n|cff00FF00“水势不争一击，前潮尚未尽，后浪已经生。”——《沧溟潮生篇》|r</t>
  </si>
  <si>
    <t>离火升频诀</t>
  </si>
  <si>
    <t>提高所有火行神通的伤害、爆发与灼烧效果。|n|cff00FF00“火主动，动则升频；频至其极，一念便可燎原。”——《离火动法论》|r</t>
  </si>
  <si>
    <t>玄岳镇元功</t>
  </si>
  <si>
    <t>提高所有土行神通以及护盾、减伤和镇压效果。|n|cff00FF00“土承万物而不移，气沉如岳，则攻守皆稳。”——《玄土承载经》|r</t>
  </si>
  <si>
    <t>五行生克经</t>
  </si>
  <si>
    <t>五行</t>
  </si>
  <si>
    <t>提高所有五行神通的效果，对受克制目标效果更强。|n|cff00FF00“生者开其路，克者裁其形；五行得位，万法乃成。”——《五行生克论》|r</t>
  </si>
  <si>
    <t>草木蕴生功</t>
  </si>
  <si>
    <t>提高所有灵植类技能的效果。|n|cff00FF00“草木各有其序，顺序而养，则生机自盛。”——《草木灵序考》|r</t>
  </si>
  <si>
    <t>万材辨性篇</t>
  </si>
  <si>
    <t>提高所有灵材类技能的效果。|n|cff00FF00“万材形异而理可察，辨其灵序，方能尽其本性。”——《万材性理谱》|r</t>
  </si>
  <si>
    <t>九转合丹经</t>
  </si>
  <si>
    <t>提高所有炼丹类技能的效果。|n|cff00FF00“火不可一味求烈，九转徐急，四性五味方可归和。”——《丹火九转论》|r</t>
  </si>
  <si>
    <t>天工铸灵经</t>
  </si>
  <si>
    <t>提高所有炼器类技能的效果。|n|cff00FF00“器之贵不独在形，材性相合、灵路成环，方可长久。”——《天工器理录》|r</t>
  </si>
  <si>
    <t>云篆通玄诀</t>
  </si>
  <si>
    <t>提高所有符箓类技能的效果。|n|cff00FF00“符者，以有限之笔，外写完整之序。”——《云篆外写法》|r</t>
  </si>
  <si>
    <t>河洛演阵篇</t>
  </si>
  <si>
    <t>提高所有阵法类技能的效果。|n|cff00FF00“阵非纹多而强，贵在诸点相引、诸路成环。”——《河洛阵枢考》|r</t>
  </si>
  <si>
    <t>万灵御心诀</t>
  </si>
  <si>
    <t>提高所有御兽类技能的效果。|n|cff00FF00“御兽先通其心，后御其力；强压得用一时，感应方可同行久远。”——《万灵感应录》|r</t>
  </si>
  <si>
    <t>普攻</t>
  </si>
  <si>
    <t>普通攻击。</t>
  </si>
  <si>
    <t>离火星·命中</t>
  </si>
  <si>
    <t>被调用结算技能，不进入技能面板。</t>
  </si>
  <si>
    <t>御锋诀·命中</t>
  </si>
  <si>
    <t>分光剑诀·命中</t>
  </si>
  <si>
    <t>周天游刃·命中</t>
  </si>
  <si>
    <t>星罗分锋·命中</t>
  </si>
  <si>
    <t>离焰周身·光环结算</t>
  </si>
  <si>
    <t>玄霜蚀法·光环结算</t>
  </si>
  <si>
    <t>坤岳辟界阵·光环结算</t>
  </si>
  <si>
    <t>icon_name</t>
  </si>
  <si>
    <t>target_type</t>
  </si>
  <si>
    <t>level</t>
  </si>
  <si>
    <t>show_time</t>
  </si>
  <si>
    <t>time_override</t>
  </si>
  <si>
    <t>pile_type</t>
  </si>
  <si>
    <t>pile_max</t>
  </si>
  <si>
    <t>display_position</t>
  </si>
  <si>
    <t>effect_path</t>
  </si>
  <si>
    <t>binding_position</t>
  </si>
  <si>
    <t>category</t>
  </si>
  <si>
    <t>dispel_level</t>
  </si>
  <si>
    <t>effects</t>
  </si>
  <si>
    <t>tag</t>
  </si>
  <si>
    <t>dot_coefficient</t>
  </si>
  <si>
    <t>dot_flat</t>
  </si>
  <si>
    <t>dot_can_crit</t>
  </si>
  <si>
    <t>dot_crit</t>
  </si>
  <si>
    <t>hot_coefficient</t>
  </si>
  <si>
    <t>hot_flat</t>
  </si>
  <si>
    <t>hot_can_crit</t>
  </si>
  <si>
    <t>hot_crit</t>
  </si>
  <si>
    <t>attr_key</t>
  </si>
  <si>
    <t>attr_value</t>
  </si>
  <si>
    <t>sub_skill_id</t>
  </si>
  <si>
    <t>BuffTarget</t>
  </si>
  <si>
    <t>BuffTimeOverrideType</t>
  </si>
  <si>
    <t>BuffOverrideType</t>
  </si>
  <si>
    <t>BuffBindPosition</t>
  </si>
  <si>
    <t>BuffCategory</t>
  </si>
  <si>
    <t>array,BuffEffect</t>
  </si>
  <si>
    <t>状态ID</t>
  </si>
  <si>
    <t>状态图标资源名称</t>
  </si>
  <si>
    <t>状态显示名称</t>
  </si>
  <si>
    <t>状态适用目标类型</t>
  </si>
  <si>
    <t>状态等级</t>
  </si>
  <si>
    <t>状态描述文本</t>
  </si>
  <si>
    <t>识别ID</t>
  </si>
  <si>
    <t>显示剩余时间</t>
  </si>
  <si>
    <t>时间覆盖类型</t>
  </si>
  <si>
    <t>层数叠加类型</t>
  </si>
  <si>
    <t>最大叠加层数</t>
  </si>
  <si>
    <t>持续时间(毫秒)</t>
  </si>
  <si>
    <t>作用间隔(毫秒)</t>
  </si>
  <si>
    <t>图标显示位置</t>
  </si>
  <si>
    <t>状态图标ID</t>
  </si>
  <si>
    <t>状态特效路径</t>
  </si>
  <si>
    <t>特效绑定位置</t>
  </si>
  <si>
    <t>Buff分类</t>
  </si>
  <si>
    <t>驱散级别</t>
  </si>
  <si>
    <t>效果1·【控制】控制类型</t>
  </si>
  <si>
    <t>效果1·【持续伤害】伤害类型</t>
  </si>
  <si>
    <t>效果1·【持续伤害】万分比伤害系数</t>
  </si>
  <si>
    <t>效果1·【持续伤害】固定伤害数值</t>
  </si>
  <si>
    <t>效果1·【持续伤害】是否允许暴击</t>
  </si>
  <si>
    <t>效果1·【持续伤害】固定暴击万分比，0=取属性暴击率</t>
  </si>
  <si>
    <t>效果1·【持续治疗】治疗类型</t>
  </si>
  <si>
    <t>效果1·【持续治疗】治疗万分比系数</t>
  </si>
  <si>
    <t>效果1·【持续治疗】固定治疗值</t>
  </si>
  <si>
    <t>效果1·【持续治疗】是否允许暴击</t>
  </si>
  <si>
    <t>效果1·【持续治疗】固定暴击万分比，0=取属性暴击率</t>
  </si>
  <si>
    <t>效果1·【属性修正】修正属性类型</t>
  </si>
  <si>
    <t>效果1·【属性修正】修正属性值</t>
  </si>
  <si>
    <t>效果1·【光环】光环释放的技能ID（按状态作用间隔释放）</t>
  </si>
  <si>
    <t>效果2·【控制】控制类型</t>
  </si>
  <si>
    <t>效果2·【持续伤害】伤害类型</t>
  </si>
  <si>
    <t>效果2·【持续伤害】万分比伤害系数</t>
  </si>
  <si>
    <t>效果2·【持续伤害】固定伤害数值</t>
  </si>
  <si>
    <t>效果2·【持续伤害】是否允许暴击</t>
  </si>
  <si>
    <t>效果2·【持续伤害】固定暴击万分比，0=取属性暴击率</t>
  </si>
  <si>
    <t>效果2·【持续治疗】治疗类型</t>
  </si>
  <si>
    <t>效果2·【持续治疗】治疗万分比系数</t>
  </si>
  <si>
    <t>效果2·【持续治疗】固定治疗值</t>
  </si>
  <si>
    <t>效果2·【持续治疗】是否允许暴击</t>
  </si>
  <si>
    <t>效果2·【持续治疗】固定暴击万分比，0=取属性暴击率</t>
  </si>
  <si>
    <t>效果2·【属性修正】修正属性类型</t>
  </si>
  <si>
    <t>效果2·【属性修正】修正属性值</t>
  </si>
  <si>
    <t>效果2·【光环】光环释放的技能ID（按状态作用间隔释放）</t>
  </si>
  <si>
    <t>效果3·【控制】控制类型</t>
  </si>
  <si>
    <t>效果3·【持续伤害】伤害类型</t>
  </si>
  <si>
    <t>效果3·【持续伤害】万分比伤害系数</t>
  </si>
  <si>
    <t>效果3·【持续伤害】固定伤害数值</t>
  </si>
  <si>
    <t>效果3·【持续伤害】是否允许暴击</t>
  </si>
  <si>
    <t>效果3·【持续伤害】固定暴击万分比，0=取属性暴击率</t>
  </si>
  <si>
    <t>效果3·【持续治疗】治疗类型</t>
  </si>
  <si>
    <t>效果3·【持续治疗】治疗万分比系数</t>
  </si>
  <si>
    <t>效果3·【持续治疗】固定治疗值</t>
  </si>
  <si>
    <t>效果3·【持续治疗】是否允许暴击</t>
  </si>
  <si>
    <t>效果3·【持续治疗】固定暴击万分比，0=取属性暴击率</t>
  </si>
  <si>
    <t>效果3·【属性修正】修正属性类型</t>
  </si>
  <si>
    <t>效果3·【属性修正】修正属性值</t>
  </si>
  <si>
    <t>效果3·【光环】光环释放的技能ID（按状态作用间隔释放）</t>
  </si>
  <si>
    <t>眩晕</t>
  </si>
  <si>
    <t>角色状态</t>
  </si>
  <si>
    <t>眩晕(无法行动)2秒</t>
  </si>
  <si>
    <t>210003</t>
  </si>
  <si>
    <t>覆盖</t>
  </si>
  <si>
    <t>减益</t>
  </si>
  <si>
    <t>状态效果_控制</t>
  </si>
  <si>
    <t>石化</t>
  </si>
  <si>
    <t>石化(无法行动)2秒</t>
  </si>
  <si>
    <t>210004</t>
  </si>
  <si>
    <t>冰冻</t>
  </si>
  <si>
    <t>目标被冰冻定身</t>
  </si>
  <si>
    <t>210006</t>
  </si>
  <si>
    <t>虚弱</t>
  </si>
  <si>
    <t>敌方伤害减免减20%，持续10秒</t>
  </si>
  <si>
    <t>210010</t>
  </si>
  <si>
    <t>状态效果_属性修正</t>
  </si>
  <si>
    <t>伤害减免增幅</t>
  </si>
  <si>
    <t>中毒</t>
  </si>
  <si>
    <t>中毒状态，持续减少血量</t>
  </si>
  <si>
    <t>210002</t>
  </si>
  <si>
    <t>ain_effect_jinengtexiao_22</t>
  </si>
  <si>
    <t>原点</t>
  </si>
  <si>
    <t>状态效果_持续伤害</t>
  </si>
  <si>
    <t>周期性恢复生命。</t>
  </si>
  <si>
    <t>210011</t>
  </si>
  <si>
    <t>增益</t>
  </si>
  <si>
    <t>状态效果_持续治疗</t>
  </si>
  <si>
    <t>受到定魄符约束，暂时无法行动。</t>
  </si>
  <si>
    <t>210012</t>
  </si>
  <si>
    <t>经脉被寒霜封锁，暂时陷入冰冻。</t>
  </si>
  <si>
    <t>210013</t>
  </si>
  <si>
    <t>物理攻击上下限提高。</t>
  </si>
  <si>
    <t>210014</t>
  </si>
  <si>
    <t>攻击下限增幅</t>
  </si>
  <si>
    <t>攻击上限增幅</t>
  </si>
  <si>
    <t>法术攻击上下限提高。</t>
  </si>
  <si>
    <t>210015</t>
  </si>
  <si>
    <t>法力下限增幅</t>
  </si>
  <si>
    <t>法力上限增幅</t>
  </si>
  <si>
    <t>物理防御上下限降低。</t>
  </si>
  <si>
    <t>210016</t>
  </si>
  <si>
    <t>物防下限增幅</t>
  </si>
  <si>
    <t>物防上限增幅</t>
  </si>
  <si>
    <t>法术防御上下限降低。</t>
  </si>
  <si>
    <t>210017</t>
  </si>
  <si>
    <t>法防下限增幅</t>
  </si>
  <si>
    <t>法防上限增幅</t>
  </si>
  <si>
    <t>余烬侵入经脉，周期性受到法术伤害。</t>
  </si>
  <si>
    <t>210018</t>
  </si>
  <si>
    <t>维持离焰光环，周期性灼伤附近敌人。</t>
  </si>
  <si>
    <t>210019</t>
  </si>
  <si>
    <t>状态效果_光环</t>
  </si>
  <si>
    <t>玄霜蚀法·光环</t>
  </si>
  <si>
    <t>维持玄霜光环，周期性向附近敌人施加法防减益。</t>
  </si>
  <si>
    <t>210020</t>
  </si>
  <si>
    <t>玄霜蚀法·法防减益</t>
  </si>
  <si>
    <t>210021</t>
  </si>
  <si>
    <t>维持坤岳辟界阵纹，周期性推开附近敌人。</t>
  </si>
  <si>
    <t>210022</t>
  </si>
  <si>
    <t>技能内部名</t>
  </si>
  <si>
    <t>内部名编号</t>
  </si>
  <si>
    <t>状态内部名</t>
  </si>
  <si>
    <t>编号</t>
  </si>
  <si>
    <t>施法目标</t>
  </si>
  <si>
    <t>范围类型</t>
  </si>
  <si>
    <t>效果目标</t>
  </si>
  <si>
    <t>技能效果</t>
  </si>
  <si>
    <t>数据类型</t>
  </si>
  <si>
    <t>介绍</t>
  </si>
  <si>
    <t>状态效果</t>
  </si>
  <si>
    <t>施法目标_自身</t>
  </si>
  <si>
    <t>范围类型_所选目标</t>
  </si>
  <si>
    <t>效果目标_所选</t>
  </si>
  <si>
    <t>筛选的所有目标</t>
  </si>
  <si>
    <t>BindingPosition</t>
  </si>
  <si>
    <t>技能效果_技能增伤</t>
  </si>
  <si>
    <t>状态效果_眩晕</t>
  </si>
  <si>
    <t>不配数据</t>
  </si>
  <si>
    <t>引擎内置（BuffModuleswitch-case，War3未使用（持续时间走配置）</t>
  </si>
  <si>
    <t>施法目标_敌对</t>
  </si>
  <si>
    <t>范围类型_目标圆形范围</t>
  </si>
  <si>
    <t>圆形范围</t>
  </si>
  <si>
    <t>效果目标_自身</t>
  </si>
  <si>
    <t>无视筛选，对自身施放</t>
  </si>
  <si>
    <t>脚底</t>
  </si>
  <si>
    <t>origin</t>
  </si>
  <si>
    <t>技能效果_忽视防御</t>
  </si>
  <si>
    <t>万分比</t>
  </si>
  <si>
    <t>状态效果_石化</t>
  </si>
  <si>
    <t>引擎内置（同上）未使用</t>
  </si>
  <si>
    <t>施法目标_友方</t>
  </si>
  <si>
    <t>范围类型_目标矩形范围</t>
  </si>
  <si>
    <t>效果目标_范围内的敌对</t>
  </si>
  <si>
    <t>筛选的所有敌方目标</t>
  </si>
  <si>
    <t>胸部</t>
  </si>
  <si>
    <t>chest</t>
  </si>
  <si>
    <t>技能效果_调用技能</t>
  </si>
  <si>
    <t>状态效果_封印</t>
  </si>
  <si>
    <t>施法目标_目标点</t>
  </si>
  <si>
    <t>范围类型_目标扇形范围</t>
  </si>
  <si>
    <t>效果目标_范围内的友方</t>
  </si>
  <si>
    <t>筛选的所有友方目标</t>
  </si>
  <si>
    <t>背部</t>
  </si>
  <si>
    <t>rear</t>
  </si>
  <si>
    <t>状态效果_中毒</t>
  </si>
  <si>
    <t>game层PoisonHandler每DOT</t>
  </si>
  <si>
    <t>施法目标_主人</t>
  </si>
  <si>
    <t>范围类型_自身为中心矩形</t>
  </si>
  <si>
    <t>效果目标_目标点</t>
  </si>
  <si>
    <t>头顶上方</t>
  </si>
  <si>
    <t>overhead</t>
  </si>
  <si>
    <t>技能效果_召唤单位</t>
  </si>
  <si>
    <t>状态效果_火墙</t>
  </si>
  <si>
    <t>game层PoisonHandler同上</t>
  </si>
  <si>
    <t>范围类型_自身为圆心</t>
  </si>
  <si>
    <t>效果目标_主人</t>
  </si>
  <si>
    <t>头部</t>
  </si>
  <si>
    <t>head</t>
  </si>
  <si>
    <t>状态效果_火墙整数</t>
  </si>
  <si>
    <t>效果目标_范围内的全部</t>
  </si>
  <si>
    <t>手</t>
  </si>
  <si>
    <t>hand</t>
  </si>
  <si>
    <t>技能效果_冲撞位移</t>
  </si>
  <si>
    <t>状态效果_虚弱</t>
  </si>
  <si>
    <t>game层AttrModHandler伤害减少的万分比</t>
  </si>
  <si>
    <t>效果目标_范围内的队友</t>
  </si>
  <si>
    <t>左手</t>
  </si>
  <si>
    <t>hand left</t>
  </si>
  <si>
    <t>技能效果_火环位移</t>
  </si>
  <si>
    <t>状态效果_易伤</t>
  </si>
  <si>
    <t>game层AttrModHandler受伤增幅值</t>
  </si>
  <si>
    <t>效果目标_范围内的中立</t>
  </si>
  <si>
    <t>右手</t>
  </si>
  <si>
    <t>hand right</t>
  </si>
  <si>
    <t>技能效果_隔位刺杀</t>
  </si>
  <si>
    <t>状态效果_物防上限整数增加</t>
  </si>
  <si>
    <t>整数</t>
  </si>
  <si>
    <t>game层AttrModHandler平坦物防变化量（乘层数）</t>
  </si>
  <si>
    <t>效果目标_范围内的敌对怪</t>
  </si>
  <si>
    <t>脚</t>
  </si>
  <si>
    <t>foot</t>
  </si>
  <si>
    <t>技能效果_被触发</t>
  </si>
  <si>
    <t>状态效果_魔防上限整数增加</t>
  </si>
  <si>
    <t>game层AttrModHandler平坦魔防变化量（乘层数）</t>
  </si>
  <si>
    <t>效果目标_友方生命值最低</t>
  </si>
  <si>
    <t>左脚</t>
  </si>
  <si>
    <t>foot left</t>
  </si>
  <si>
    <t>技能效果_被动增加准确</t>
  </si>
  <si>
    <t>未实现</t>
  </si>
  <si>
    <t>状态效果_物防上限万分比增加</t>
  </si>
  <si>
    <t>game层AttrModHandler基于施法者法术强度的万分比</t>
  </si>
  <si>
    <t>右脚</t>
  </si>
  <si>
    <t>foot right</t>
  </si>
  <si>
    <t>技能效果_无</t>
  </si>
  <si>
    <t>枚举占位，无逻辑—</t>
  </si>
  <si>
    <t>状态效果_魔防上限万分比增加</t>
  </si>
  <si>
    <t>game层AttrModHandler同上</t>
  </si>
  <si>
    <t>施法逻辑</t>
  </si>
  <si>
    <t>武器</t>
  </si>
  <si>
    <t>weapon</t>
  </si>
  <si>
    <t>技能效果_刺杀近身</t>
  </si>
  <si>
    <t>状态效果_回血</t>
  </si>
  <si>
    <t>game层HealHandler（瞬时）回复HP量（整数）</t>
  </si>
  <si>
    <t>1、通过【施法目标】确定施法目标点(单位)</t>
  </si>
  <si>
    <t>精灵绑定点</t>
  </si>
  <si>
    <t>sprite</t>
  </si>
  <si>
    <t>技能效果_刺杀隔位</t>
  </si>
  <si>
    <t>状态效果_回蓝</t>
  </si>
  <si>
    <t>game层HealHandler（瞬时）回复MP量（整数）</t>
  </si>
  <si>
    <t>2、在目标点以【范围类型】再次进行筛选</t>
  </si>
  <si>
    <t>模型中部</t>
  </si>
  <si>
    <t>medium</t>
  </si>
  <si>
    <t>技能效果_传送</t>
  </si>
  <si>
    <t>1，2，3分别是回城，随机，指定传送</t>
  </si>
  <si>
    <t>状态效果_治愈术</t>
  </si>
  <si>
    <t>game层HealHandler（DOT）施法者法术强度的万分比（每跳）</t>
  </si>
  <si>
    <t>3、筛选的所有目标里，对符合【效果目标】的单位确定具体对谁施加（包括数量）</t>
  </si>
  <si>
    <t>坐骑</t>
  </si>
  <si>
    <t>mount</t>
  </si>
  <si>
    <t>状态效果_治愈术整数</t>
  </si>
  <si>
    <t>game层HealHandler（DOT）每跳回血量（整数，乘层数）</t>
  </si>
  <si>
    <t>3、对符合【效果目标】的单位施加技能效果</t>
  </si>
  <si>
    <t>只配置中文部分，英文是引擎使用，我们只要上面5个挂点，下面黄底色先不管，需要动作全部做一下挂点，这一点上我们具体跟动作同学聊。</t>
  </si>
  <si>
    <t>状态效果_魔法盾系数</t>
  </si>
  <si>
    <t>game层MagicShieldHandler盾值系数（万分比，基于法力值）</t>
  </si>
  <si>
    <t>4、如果【技能效果】是【调用技能B】，则技能B以【每个效果目标】作为【施法目标】(多个效果目标时，技能B会执行多次)</t>
  </si>
  <si>
    <t>状态效果_魔法盾吸收伤害</t>
  </si>
  <si>
    <t>game层MagicShieldHandler伤害吸收百分比（万分比）</t>
  </si>
  <si>
    <t>5、技能B【跳过逻辑1】【执行逻辑2】</t>
  </si>
  <si>
    <t>状态效果_隐身</t>
  </si>
  <si>
    <t>game层InvisibleHandler未使用</t>
  </si>
  <si>
    <t>6.效果目标选择 效果目标_自身 时，无视前面说的，只对自己施放</t>
  </si>
  <si>
    <t>状态效果_隐身术</t>
  </si>
  <si>
    <t>game层InvisibleHandler（别名）未使用</t>
  </si>
  <si>
    <t>7.被调用的技能一般不需要配置施法目标。</t>
  </si>
  <si>
    <t>状态效果_盾破CD</t>
  </si>
  <si>
    <t>game层ShieldBreakCDHandler未使用（持续时间走配置）</t>
  </si>
  <si>
    <t>状态效果_缓慢回血</t>
  </si>
  <si>
    <t>game层HealHandler（BUFF按配置缓慢回）回复HP量（整数）</t>
  </si>
  <si>
    <t>状态效果_缓慢回蓝</t>
  </si>
  <si>
    <t>game层HealHandler（BUFF按配置缓慢回）回复MP量（整数）</t>
  </si>
  <si>
    <t>计算自己道术属性，效果值相当于取值以后X万分比，是一个系数。算出来是整数DOT掉血（上面已有）</t>
  </si>
  <si>
    <t>状态效果_战士DOT</t>
  </si>
  <si>
    <t>计算自己攻击属性，效果值相当于取值以后X万分比，是一个系数。算出来是整数DOT掉血</t>
  </si>
  <si>
    <t>状态效果_法师DOT</t>
  </si>
  <si>
    <t>计算自己魔法属性，效果值相当于取值以后X万分比，是一个系数。算出来是整数DOT掉血（相当于火墙技能）</t>
  </si>
  <si>
    <t>状态效果_攻击万分比</t>
  </si>
  <si>
    <t>状态效果_魔法万分比</t>
  </si>
  <si>
    <t>状态效果_道术万分比</t>
  </si>
  <si>
    <t>状态效果_攻击速度</t>
  </si>
  <si>
    <t>？？</t>
  </si>
  <si>
    <t>状态效果_施法速度</t>
  </si>
  <si>
    <t>状态效果_物防上限整数降低</t>
  </si>
  <si>
    <t>状态效果_魔防上限整数降低</t>
  </si>
  <si>
    <t>状态效果_物防上限万分比降低</t>
  </si>
  <si>
    <t>状态效果_魔防上限万分比降低</t>
  </si>
  <si>
    <t>状态效果_暴击增加</t>
  </si>
  <si>
    <t>状态效果_流血战</t>
  </si>
  <si>
    <t>每秒损失攻击力*X%的生命，每秒这个事情通过间隔配置，伤害计算上和前面不一样，攻击力单独算一次，考虑幸运值的情况，从上下限取值</t>
  </si>
  <si>
    <t>状态效果_流血法</t>
  </si>
  <si>
    <t>每秒损失魔法*X%的生命，每秒这个事情通过间隔配置，伤害计算上和前面不一样，攻击力单独算一次，考虑幸运值的情况，从上下限取值</t>
  </si>
  <si>
    <t>状态效果_流血道</t>
  </si>
  <si>
    <t>每秒损失道术*X%的生命，每秒这个事情通过间隔配置，伤害计算上和前面不一样，攻击力单独算一次，考虑幸运值的情况，从上下限取值</t>
  </si>
  <si>
    <t>状态效果_加攻击下限整数</t>
  </si>
  <si>
    <t>增加攻击下限X值</t>
  </si>
  <si>
    <t>状态效果_加攻击上限整数</t>
  </si>
  <si>
    <t>增加攻击上限X值</t>
  </si>
  <si>
    <t>状态效果_加攻击下限万分比</t>
  </si>
  <si>
    <t>增加攻击下限万分比</t>
  </si>
  <si>
    <t>状态效果_加攻击上限万分比</t>
  </si>
  <si>
    <t>增加攻击上限万分比</t>
  </si>
  <si>
    <t>状态效果_加魔法下限整数</t>
  </si>
  <si>
    <t>增加魔法下限X值</t>
  </si>
  <si>
    <t>状态效果_加魔法上限整数</t>
  </si>
  <si>
    <t>增加魔法上限X值</t>
  </si>
  <si>
    <t>状态效果_加魔法下限万分比</t>
  </si>
  <si>
    <t>增加魔法下限万分比</t>
  </si>
  <si>
    <t>状态效果_加魔法上限万分比</t>
  </si>
  <si>
    <t>增加魔法上限万分比</t>
  </si>
  <si>
    <t>状态效果_加道术下限整数</t>
  </si>
  <si>
    <t>增加道术下限X值</t>
  </si>
  <si>
    <t>状态效果_加道术上限整数</t>
  </si>
  <si>
    <t>增加道术上限X值</t>
  </si>
  <si>
    <t>状态效果_加道术下限万分比</t>
  </si>
  <si>
    <t>增加道术下限万分比</t>
  </si>
  <si>
    <t>状态效果_加道术上限万分比</t>
  </si>
  <si>
    <t>增加道术上限万分比</t>
  </si>
  <si>
    <t>状态效果_流血</t>
  </si>
  <si>
    <t>状态效果_物攻百分比增加</t>
  </si>
  <si>
    <t>状态效果_移动百分比增加</t>
  </si>
  <si>
    <t>状态效果_攻速百分比增加</t>
  </si>
  <si>
    <t>状态效果_双防百分比增加</t>
  </si>
  <si>
    <t>状态效果_目标双防百分比减少</t>
  </si>
  <si>
    <t>状态效果_暴击百分比增加</t>
  </si>
  <si>
    <t>状态效果_召唤大技能</t>
  </si>
  <si>
    <t>状态效果_目标按攻击百分比扣血</t>
  </si>
  <si>
    <t>状态效果_施法速度百分比增加</t>
  </si>
  <si>
    <t>状态效果_物攻麻痹定身</t>
  </si>
  <si>
    <t>状态效果_道术百分比增加</t>
  </si>
  <si>
    <t>计算自己道术属性，算出来是整数DOT掉血</t>
  </si>
  <si>
    <t>计算自己攻击属性，算出来是整数DOT掉血</t>
  </si>
  <si>
    <t>计算自己魔法属性，算出来是整数DOT掉血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</si>
</sst>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</font>
    <font>
      <sz val="9"/>
      <color indexed="8"/>
      <name val="微软雅黑"/>
      <charset val="134"/>
    </font>
    <font>
      <sz val="11"/>
      <color indexed="8"/>
      <name val="宋体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2"/>
      <color rgb="FF000000"/>
      <name val="微软雅黑"/>
      <charset val="134"/>
    </font>
    <font>
      <sz val="9"/>
      <color indexed="8"/>
      <name val="宋体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top"/>
    </xf>
    <xf numFmtId="0" fontId="4" fillId="0" borderId="0" xfId="0" applyFont="1"/>
    <xf numFmtId="0" fontId="4" fillId="3" borderId="0" xfId="0" applyFont="1" applyFill="1"/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NumberFormat="1" applyFont="1" applyFill="1" applyBorder="1"/>
    <xf numFmtId="0" fontId="7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3" xfId="0" applyFont="1" applyFill="1" applyBorder="1"/>
    <xf numFmtId="0" fontId="4" fillId="2" borderId="0" xfId="0" applyFont="1" applyFill="1" applyBorder="1"/>
    <xf numFmtId="0" fontId="4" fillId="2" borderId="1" xfId="0" applyFont="1" applyFill="1" applyBorder="1" applyAlignment="1">
      <alignment horizontal="left"/>
    </xf>
    <xf numFmtId="0" fontId="8" fillId="0" borderId="0" xfId="0" applyNumberFormat="1" applyFont="1" applyFill="1" applyBorder="1"/>
    <xf numFmtId="0" fontId="9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30" fillId="0" borderId="0" xfId="0" applyFont="1" applyAlignment="1">
      <alignment vertical="center"/>
    </xf>
    <xf numFmtId="0" fontId="3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HN713"/>
  <sheetViews>
    <sheetView tabSelected="1" workbookViewId="0">
      <pane xSplit="6" ySplit="6" topLeftCell="Q272" activePane="bottomRight" state="frozen"/>
      <selection/>
      <selection pane="topRight"/>
      <selection pane="bottomLeft"/>
      <selection pane="bottomRight" activeCell="U286" sqref="U286"/>
    </sheetView>
  </sheetViews>
  <sheetFormatPr defaultColWidth="9" defaultRowHeight="17.25"/>
  <cols>
    <col min="1" max="1" width="9" style="29" customWidth="1"/>
    <col min="2" max="2" width="10.3333333333333" style="29" customWidth="1"/>
    <col min="3" max="3" width="22.125" style="29" customWidth="1"/>
    <col min="4" max="4" width="15.9166666666667" style="29" customWidth="1"/>
    <col min="5" max="5" width="10.6666666666667" style="29" customWidth="1"/>
    <col min="6" max="6" width="10.8333333333333" style="29" customWidth="1"/>
    <col min="7" max="8" width="18.4166666666667" style="29" customWidth="1"/>
    <col min="9" max="9" width="9" style="29" customWidth="1"/>
    <col min="10" max="10" width="11.8333333333333" style="29" customWidth="1"/>
    <col min="11" max="11" width="12.8333333333333" style="29" customWidth="1"/>
    <col min="12" max="12" width="10.3333333333333" style="29" customWidth="1"/>
    <col min="13" max="13" width="12.5833333333333" style="29" customWidth="1"/>
    <col min="14" max="14" width="48.3333333333333" style="29" customWidth="1"/>
    <col min="15" max="15" width="11.8333333333333" style="29" customWidth="1"/>
    <col min="16" max="17" width="9" style="29" customWidth="1"/>
    <col min="18" max="18" width="16.8333333333333" style="29" customWidth="1"/>
    <col min="19" max="19" width="15.75" style="29" customWidth="1"/>
    <col min="20" max="20" width="11.6666666666667" style="29" customWidth="1"/>
    <col min="21" max="21" width="24" style="29" customWidth="1"/>
    <col min="22" max="22" width="9" style="29" customWidth="1"/>
    <col min="23" max="23" width="18.4166666666667" style="29" customWidth="1"/>
    <col min="24" max="24" width="17.5833333333333" style="29" customWidth="1"/>
    <col min="25" max="25" width="11.4166666666667" style="29" customWidth="1"/>
    <col min="26" max="26" width="9.83333333333333" style="29" customWidth="1"/>
    <col min="27" max="28" width="15.5" style="29" customWidth="1"/>
    <col min="29" max="29" width="13.5833333333333" style="29" customWidth="1"/>
    <col min="30" max="30" width="25.0833333333333" style="29" customWidth="1"/>
    <col min="31" max="31" width="8.33333333333333" style="29" customWidth="1"/>
    <col min="32" max="37" width="8.25" style="29" customWidth="1"/>
    <col min="38" max="38" width="9" style="29" customWidth="1"/>
    <col min="39" max="39" width="19.4166666666667" style="29" customWidth="1"/>
    <col min="40" max="41" width="35.8333333333333" style="29" customWidth="1"/>
    <col min="42" max="42" width="30.5" style="29" customWidth="1"/>
    <col min="43" max="43" width="9.25" style="29" customWidth="1"/>
    <col min="44" max="52" width="16.0833333333333" style="29" customWidth="1"/>
    <col min="53" max="53" width="19.6666666666667" style="29" customWidth="1"/>
    <col min="54" max="54" width="24.1666666666667" style="29" customWidth="1"/>
    <col min="55" max="56" width="19.6666666666667" style="29" customWidth="1"/>
    <col min="57" max="95" width="16.0833333333333" style="29" customWidth="1"/>
    <col min="96" max="101" width="9" style="29" customWidth="1"/>
    <col min="102" max="102" width="12.75" style="29" customWidth="1"/>
    <col min="103" max="103" width="16.25" style="29" customWidth="1"/>
    <col min="104" max="104" width="18.1666666666667" style="29" customWidth="1"/>
    <col min="105" max="105" width="18.4166666666667" style="29" customWidth="1"/>
    <col min="106" max="201" width="9" style="29" customWidth="1"/>
    <col min="202" max="202" width="13.9166666666667" style="29" customWidth="1"/>
    <col min="203" max="203" width="14.0833333333333" style="29" customWidth="1"/>
    <col min="204" max="204" width="18.1666666666667" style="29" customWidth="1"/>
    <col min="205" max="205" width="18.4166666666667" style="29" customWidth="1"/>
    <col min="206" max="206" width="13.9166666666667" style="29" customWidth="1"/>
    <col min="207" max="211" width="9" style="29" customWidth="1"/>
    <col min="212" max="212" width="19.9166666666667" style="29" customWidth="1"/>
    <col min="213" max="213" width="23.3333333333333" style="29" customWidth="1"/>
    <col min="214" max="214" width="9" style="29" customWidth="1"/>
    <col min="215" max="216" width="16.1666666666667" style="29" customWidth="1"/>
    <col min="217" max="217" width="14.25" style="29" customWidth="1"/>
    <col min="218" max="218" width="21.0833333333333" style="29" customWidth="1"/>
    <col min="219" max="219" width="9" style="29" customWidth="1"/>
    <col min="220" max="16384" width="9" style="29"/>
  </cols>
  <sheetData>
    <row r="1" spans="1:22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1" t="s">
        <v>24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25</v>
      </c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 t="s">
        <v>26</v>
      </c>
      <c r="AZ1" s="30" t="s">
        <v>27</v>
      </c>
      <c r="BA1" s="32" t="s">
        <v>28</v>
      </c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0" t="s">
        <v>29</v>
      </c>
      <c r="GS1" s="30" t="s">
        <v>30</v>
      </c>
      <c r="GT1" s="30" t="s">
        <v>31</v>
      </c>
      <c r="GU1" s="30" t="s">
        <v>32</v>
      </c>
      <c r="GV1" s="30" t="s">
        <v>33</v>
      </c>
      <c r="GW1" s="30" t="s">
        <v>34</v>
      </c>
      <c r="GX1" s="30" t="s">
        <v>35</v>
      </c>
      <c r="GY1" s="30" t="s">
        <v>36</v>
      </c>
      <c r="GZ1" s="30" t="s">
        <v>37</v>
      </c>
      <c r="HA1" s="30" t="s">
        <v>38</v>
      </c>
      <c r="HB1" s="30" t="s">
        <v>39</v>
      </c>
      <c r="HC1" s="30" t="s">
        <v>40</v>
      </c>
      <c r="HD1" s="30" t="s">
        <v>41</v>
      </c>
      <c r="HE1" s="30" t="s">
        <v>42</v>
      </c>
      <c r="HF1" s="30" t="s">
        <v>43</v>
      </c>
      <c r="HG1" s="30" t="s">
        <v>44</v>
      </c>
      <c r="HH1" s="30" t="s">
        <v>45</v>
      </c>
      <c r="HI1" s="30" t="s">
        <v>46</v>
      </c>
      <c r="HJ1" s="30" t="s">
        <v>47</v>
      </c>
      <c r="HK1" s="30" t="s">
        <v>48</v>
      </c>
      <c r="HL1" s="30" t="s">
        <v>49</v>
      </c>
      <c r="HM1" s="30" t="s">
        <v>50</v>
      </c>
      <c r="HN1" s="30" t="s">
        <v>51</v>
      </c>
    </row>
    <row r="2" spans="1:222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2">
        <v>0</v>
      </c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0">
        <v>1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>
        <v>2</v>
      </c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</row>
    <row r="3" spans="1:222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1" t="s">
        <v>52</v>
      </c>
      <c r="Z3" s="30" t="s">
        <v>53</v>
      </c>
      <c r="AA3" s="30" t="s">
        <v>54</v>
      </c>
      <c r="AB3" s="30" t="s">
        <v>55</v>
      </c>
      <c r="AC3" s="30" t="s">
        <v>56</v>
      </c>
      <c r="AD3" s="30" t="s">
        <v>57</v>
      </c>
      <c r="AE3" s="30" t="s">
        <v>58</v>
      </c>
      <c r="AF3" s="30" t="s">
        <v>59</v>
      </c>
      <c r="AG3" s="30" t="s">
        <v>60</v>
      </c>
      <c r="AH3" s="30" t="s">
        <v>61</v>
      </c>
      <c r="AI3" s="30" t="s">
        <v>62</v>
      </c>
      <c r="AJ3" s="30" t="s">
        <v>63</v>
      </c>
      <c r="AK3" s="30" t="s">
        <v>64</v>
      </c>
      <c r="AL3" s="30" t="s">
        <v>52</v>
      </c>
      <c r="AM3" s="30" t="s">
        <v>53</v>
      </c>
      <c r="AN3" s="30" t="s">
        <v>54</v>
      </c>
      <c r="AO3" s="30" t="s">
        <v>55</v>
      </c>
      <c r="AP3" s="30" t="s">
        <v>56</v>
      </c>
      <c r="AQ3" s="30" t="s">
        <v>57</v>
      </c>
      <c r="AR3" s="30" t="s">
        <v>58</v>
      </c>
      <c r="AS3" s="30" t="s">
        <v>59</v>
      </c>
      <c r="AT3" s="30" t="s">
        <v>60</v>
      </c>
      <c r="AU3" s="30" t="s">
        <v>61</v>
      </c>
      <c r="AV3" s="30" t="s">
        <v>62</v>
      </c>
      <c r="AW3" s="30" t="s">
        <v>63</v>
      </c>
      <c r="AX3" s="30" t="s">
        <v>64</v>
      </c>
      <c r="AY3" s="30"/>
      <c r="AZ3" s="30"/>
      <c r="BA3" s="32" t="s">
        <v>52</v>
      </c>
      <c r="BB3" s="30" t="s">
        <v>53</v>
      </c>
      <c r="BC3" s="30" t="s">
        <v>65</v>
      </c>
      <c r="BD3" s="30" t="s">
        <v>66</v>
      </c>
      <c r="BE3" s="30" t="s">
        <v>67</v>
      </c>
      <c r="BF3" s="30" t="s">
        <v>68</v>
      </c>
      <c r="BG3" s="30" t="s">
        <v>69</v>
      </c>
      <c r="BH3" s="30" t="s">
        <v>70</v>
      </c>
      <c r="BI3" s="30" t="s">
        <v>71</v>
      </c>
      <c r="BJ3" s="30" t="s">
        <v>72</v>
      </c>
      <c r="BK3" s="30" t="s">
        <v>73</v>
      </c>
      <c r="BL3" s="30" t="s">
        <v>74</v>
      </c>
      <c r="BM3" s="30" t="s">
        <v>75</v>
      </c>
      <c r="BN3" s="30" t="s">
        <v>76</v>
      </c>
      <c r="BO3" s="30" t="s">
        <v>77</v>
      </c>
      <c r="BP3" s="30" t="s">
        <v>78</v>
      </c>
      <c r="BQ3" s="30" t="s">
        <v>79</v>
      </c>
      <c r="BR3" s="30" t="s">
        <v>80</v>
      </c>
      <c r="BS3" s="30" t="s">
        <v>81</v>
      </c>
      <c r="BT3" s="30" t="s">
        <v>82</v>
      </c>
      <c r="BU3" s="30" t="s">
        <v>83</v>
      </c>
      <c r="BV3" s="30" t="s">
        <v>84</v>
      </c>
      <c r="BW3" s="30" t="s">
        <v>85</v>
      </c>
      <c r="BX3" s="30" t="s">
        <v>86</v>
      </c>
      <c r="BY3" s="30" t="s">
        <v>87</v>
      </c>
      <c r="BZ3" s="30" t="s">
        <v>88</v>
      </c>
      <c r="CA3" s="30" t="s">
        <v>89</v>
      </c>
      <c r="CB3" s="30" t="s">
        <v>90</v>
      </c>
      <c r="CC3" s="30" t="s">
        <v>91</v>
      </c>
      <c r="CD3" s="30" t="s">
        <v>92</v>
      </c>
      <c r="CE3" s="30" t="s">
        <v>93</v>
      </c>
      <c r="CF3" s="30" t="s">
        <v>94</v>
      </c>
      <c r="CG3" s="30" t="s">
        <v>95</v>
      </c>
      <c r="CH3" s="30" t="s">
        <v>96</v>
      </c>
      <c r="CI3" s="30" t="s">
        <v>97</v>
      </c>
      <c r="CJ3" s="30" t="s">
        <v>98</v>
      </c>
      <c r="CK3" s="30" t="s">
        <v>99</v>
      </c>
      <c r="CL3" s="30" t="s">
        <v>100</v>
      </c>
      <c r="CM3" s="30" t="s">
        <v>101</v>
      </c>
      <c r="CN3" s="30" t="s">
        <v>102</v>
      </c>
      <c r="CO3" s="30" t="s">
        <v>103</v>
      </c>
      <c r="CP3" s="30" t="s">
        <v>104</v>
      </c>
      <c r="CQ3" s="30" t="s">
        <v>105</v>
      </c>
      <c r="CR3" s="30" t="s">
        <v>106</v>
      </c>
      <c r="CS3" s="30" t="inlineStr">
        <is>
          <t xml:space="preserve">seek_distance</t>
        </is>
      </c>
      <c r="CT3" s="30" t="inlineStr">
        <is>
          <t xml:space="preserve">seek_radius</t>
        </is>
      </c>
      <c r="CU3" s="30" t="inlineStr">
        <is>
          <t xml:space="preserve">turn_rate</t>
        </is>
      </c>
      <c r="CV3" s="30" t="inlineStr">
        <is>
          <t xml:space="preserve">seek_mode</t>
        </is>
      </c>
      <c r="CW3" s="30" t="s">
        <v>107</v>
      </c>
      <c r="CX3" s="30" t="s">
        <v>52</v>
      </c>
      <c r="CY3" s="30" t="s">
        <v>53</v>
      </c>
      <c r="CZ3" s="30" t="s">
        <v>65</v>
      </c>
      <c r="DA3" s="30" t="s">
        <v>66</v>
      </c>
      <c r="DB3" s="30" t="s">
        <v>67</v>
      </c>
      <c r="DC3" s="30" t="s">
        <v>68</v>
      </c>
      <c r="DD3" s="30" t="s">
        <v>69</v>
      </c>
      <c r="DE3" s="30" t="s">
        <v>70</v>
      </c>
      <c r="DF3" s="30" t="s">
        <v>71</v>
      </c>
      <c r="DG3" s="30" t="s">
        <v>72</v>
      </c>
      <c r="DH3" s="30" t="s">
        <v>73</v>
      </c>
      <c r="DI3" s="30" t="s">
        <v>74</v>
      </c>
      <c r="DJ3" s="30" t="s">
        <v>75</v>
      </c>
      <c r="DK3" s="30" t="s">
        <v>76</v>
      </c>
      <c r="DL3" s="30" t="s">
        <v>77</v>
      </c>
      <c r="DM3" s="30" t="s">
        <v>78</v>
      </c>
      <c r="DN3" s="30" t="s">
        <v>79</v>
      </c>
      <c r="DO3" s="30" t="s">
        <v>80</v>
      </c>
      <c r="DP3" s="30" t="s">
        <v>81</v>
      </c>
      <c r="DQ3" s="30" t="s">
        <v>82</v>
      </c>
      <c r="DR3" s="30" t="s">
        <v>83</v>
      </c>
      <c r="DS3" s="30" t="s">
        <v>84</v>
      </c>
      <c r="DT3" s="30" t="s">
        <v>85</v>
      </c>
      <c r="DU3" s="30" t="s">
        <v>86</v>
      </c>
      <c r="DV3" s="30" t="s">
        <v>87</v>
      </c>
      <c r="DW3" s="30" t="s">
        <v>88</v>
      </c>
      <c r="DX3" s="30" t="s">
        <v>89</v>
      </c>
      <c r="DY3" s="30" t="s">
        <v>90</v>
      </c>
      <c r="DZ3" s="30" t="s">
        <v>91</v>
      </c>
      <c r="EA3" s="30" t="s">
        <v>92</v>
      </c>
      <c r="EB3" s="30" t="s">
        <v>93</v>
      </c>
      <c r="EC3" s="30" t="s">
        <v>94</v>
      </c>
      <c r="ED3" s="30" t="s">
        <v>95</v>
      </c>
      <c r="EE3" s="30" t="s">
        <v>96</v>
      </c>
      <c r="EF3" s="30" t="s">
        <v>97</v>
      </c>
      <c r="EG3" s="30" t="s">
        <v>98</v>
      </c>
      <c r="EH3" s="30" t="s">
        <v>99</v>
      </c>
      <c r="EI3" s="30" t="s">
        <v>100</v>
      </c>
      <c r="EJ3" s="30" t="s">
        <v>101</v>
      </c>
      <c r="EK3" s="30" t="s">
        <v>102</v>
      </c>
      <c r="EL3" s="30" t="s">
        <v>103</v>
      </c>
      <c r="EM3" s="30" t="s">
        <v>104</v>
      </c>
      <c r="EN3" s="30" t="s">
        <v>105</v>
      </c>
      <c r="EO3" s="30" t="s">
        <v>106</v>
      </c>
      <c r="EP3" s="30" t="inlineStr">
        <is>
          <t xml:space="preserve">seek_distance</t>
        </is>
      </c>
      <c r="EQ3" s="30" t="inlineStr">
        <is>
          <t xml:space="preserve">seek_radius</t>
        </is>
      </c>
      <c r="ER3" s="30" t="inlineStr">
        <is>
          <t xml:space="preserve">turn_rate</t>
        </is>
      </c>
      <c r="ES3" s="30" t="inlineStr">
        <is>
          <t xml:space="preserve">seek_mode</t>
        </is>
      </c>
      <c r="ET3" s="30" t="s">
        <v>107</v>
      </c>
      <c r="EU3" s="30" t="s">
        <v>52</v>
      </c>
      <c r="EV3" s="30" t="s">
        <v>53</v>
      </c>
      <c r="EW3" s="30" t="s">
        <v>65</v>
      </c>
      <c r="EX3" s="30" t="s">
        <v>66</v>
      </c>
      <c r="EY3" s="30" t="s">
        <v>67</v>
      </c>
      <c r="EZ3" s="30" t="s">
        <v>68</v>
      </c>
      <c r="FA3" s="30" t="s">
        <v>69</v>
      </c>
      <c r="FB3" s="30" t="s">
        <v>70</v>
      </c>
      <c r="FC3" s="30" t="s">
        <v>71</v>
      </c>
      <c r="FD3" s="30" t="s">
        <v>72</v>
      </c>
      <c r="FE3" s="30" t="s">
        <v>73</v>
      </c>
      <c r="FF3" s="30" t="s">
        <v>74</v>
      </c>
      <c r="FG3" s="30" t="s">
        <v>75</v>
      </c>
      <c r="FH3" s="30" t="s">
        <v>76</v>
      </c>
      <c r="FI3" s="30" t="s">
        <v>77</v>
      </c>
      <c r="FJ3" s="30" t="s">
        <v>78</v>
      </c>
      <c r="FK3" s="30" t="s">
        <v>79</v>
      </c>
      <c r="FL3" s="30" t="s">
        <v>80</v>
      </c>
      <c r="FM3" s="30" t="s">
        <v>81</v>
      </c>
      <c r="FN3" s="30" t="s">
        <v>82</v>
      </c>
      <c r="FO3" s="30" t="s">
        <v>83</v>
      </c>
      <c r="FP3" s="30" t="s">
        <v>84</v>
      </c>
      <c r="FQ3" s="30" t="s">
        <v>85</v>
      </c>
      <c r="FR3" s="30" t="s">
        <v>86</v>
      </c>
      <c r="FS3" s="30" t="s">
        <v>87</v>
      </c>
      <c r="FT3" s="30" t="s">
        <v>88</v>
      </c>
      <c r="FU3" s="30" t="s">
        <v>89</v>
      </c>
      <c r="FV3" s="30" t="s">
        <v>90</v>
      </c>
      <c r="FW3" s="30" t="s">
        <v>91</v>
      </c>
      <c r="FX3" s="30" t="s">
        <v>92</v>
      </c>
      <c r="FY3" s="30" t="s">
        <v>93</v>
      </c>
      <c r="FZ3" s="30" t="s">
        <v>94</v>
      </c>
      <c r="GA3" s="30" t="s">
        <v>95</v>
      </c>
      <c r="GB3" s="30" t="s">
        <v>96</v>
      </c>
      <c r="GC3" s="30" t="s">
        <v>97</v>
      </c>
      <c r="GD3" s="30" t="s">
        <v>98</v>
      </c>
      <c r="GE3" s="30" t="s">
        <v>99</v>
      </c>
      <c r="GF3" s="30" t="s">
        <v>100</v>
      </c>
      <c r="GG3" s="30" t="s">
        <v>101</v>
      </c>
      <c r="GH3" s="30" t="s">
        <v>102</v>
      </c>
      <c r="GI3" s="30" t="s">
        <v>103</v>
      </c>
      <c r="GJ3" s="30" t="s">
        <v>104</v>
      </c>
      <c r="GK3" s="30" t="s">
        <v>105</v>
      </c>
      <c r="GL3" s="30" t="s">
        <v>106</v>
      </c>
      <c r="GM3" s="30" t="inlineStr">
        <is>
          <t xml:space="preserve">seek_distance</t>
        </is>
      </c>
      <c r="GN3" s="30" t="inlineStr">
        <is>
          <t xml:space="preserve">seek_radius</t>
        </is>
      </c>
      <c r="GO3" s="30" t="inlineStr">
        <is>
          <t xml:space="preserve">turn_rate</t>
        </is>
      </c>
      <c r="GP3" s="30" t="inlineStr">
        <is>
          <t xml:space="preserve">seek_mode</t>
        </is>
      </c>
      <c r="GQ3" s="30" t="s">
        <v>107</v>
      </c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</row>
    <row r="4" spans="1:222">
      <c r="A4" s="30" t="s">
        <v>108</v>
      </c>
      <c r="B4" s="30" t="s">
        <v>109</v>
      </c>
      <c r="C4" s="30" t="s">
        <v>110</v>
      </c>
      <c r="D4" s="30" t="s">
        <v>110</v>
      </c>
      <c r="E4" s="30" t="s">
        <v>111</v>
      </c>
      <c r="F4" s="30" t="s">
        <v>112</v>
      </c>
      <c r="G4" s="30" t="s">
        <v>113</v>
      </c>
      <c r="H4" s="30" t="s">
        <v>113</v>
      </c>
      <c r="I4" s="30" t="s">
        <v>109</v>
      </c>
      <c r="J4" s="30" t="s">
        <v>109</v>
      </c>
      <c r="K4" s="30" t="s">
        <v>114</v>
      </c>
      <c r="L4" s="30" t="s">
        <v>109</v>
      </c>
      <c r="M4" s="30" t="s">
        <v>109</v>
      </c>
      <c r="N4" s="30" t="s">
        <v>110</v>
      </c>
      <c r="O4" s="30" t="s">
        <v>109</v>
      </c>
      <c r="P4" s="30" t="s">
        <v>109</v>
      </c>
      <c r="Q4" s="30" t="s">
        <v>109</v>
      </c>
      <c r="R4" s="30" t="s">
        <v>109</v>
      </c>
      <c r="S4" s="30" t="s">
        <v>109</v>
      </c>
      <c r="T4" s="30" t="s">
        <v>109</v>
      </c>
      <c r="U4" s="30" t="s">
        <v>115</v>
      </c>
      <c r="V4" s="30" t="s">
        <v>109</v>
      </c>
      <c r="W4" s="30" t="s">
        <v>109</v>
      </c>
      <c r="X4" s="30" t="s">
        <v>116</v>
      </c>
      <c r="Y4" s="31" t="s">
        <v>117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0" t="s">
        <v>117</v>
      </c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 t="s">
        <v>110</v>
      </c>
      <c r="AZ4" s="30" t="s">
        <v>109</v>
      </c>
      <c r="BA4" s="32" t="s">
        <v>118</v>
      </c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0" t="s">
        <v>109</v>
      </c>
      <c r="GS4" s="30" t="s">
        <v>109</v>
      </c>
      <c r="GT4" s="30" t="s">
        <v>110</v>
      </c>
      <c r="GU4" s="30" t="s">
        <v>109</v>
      </c>
      <c r="GV4" s="30" t="s">
        <v>110</v>
      </c>
      <c r="GW4" s="30" t="s">
        <v>110</v>
      </c>
      <c r="GX4" s="30" t="s">
        <v>113</v>
      </c>
      <c r="GY4" s="30" t="s">
        <v>109</v>
      </c>
      <c r="GZ4" s="30" t="s">
        <v>113</v>
      </c>
      <c r="HA4" s="30" t="s">
        <v>109</v>
      </c>
      <c r="HB4" s="30" t="s">
        <v>109</v>
      </c>
      <c r="HC4" s="30" t="s">
        <v>109</v>
      </c>
      <c r="HD4" s="30" t="s">
        <v>109</v>
      </c>
      <c r="HE4" s="30" t="s">
        <v>113</v>
      </c>
      <c r="HF4" s="30" t="s">
        <v>109</v>
      </c>
      <c r="HG4" s="30" t="s">
        <v>109</v>
      </c>
      <c r="HH4" s="30" t="s">
        <v>110</v>
      </c>
      <c r="HI4" s="30" t="s">
        <v>119</v>
      </c>
      <c r="HJ4" s="30" t="s">
        <v>109</v>
      </c>
      <c r="HK4" s="30" t="s">
        <v>109</v>
      </c>
      <c r="HL4" s="30" t="s">
        <v>120</v>
      </c>
      <c r="HM4" s="30" t="s">
        <v>109</v>
      </c>
      <c r="HN4" s="30" t="s">
        <v>113</v>
      </c>
    </row>
    <row r="5" spans="1:222">
      <c r="A5" s="30" t="s">
        <v>121</v>
      </c>
      <c r="B5" s="30"/>
      <c r="C5" s="30" t="s">
        <v>122</v>
      </c>
      <c r="D5" s="30" t="s">
        <v>122</v>
      </c>
      <c r="E5" s="30"/>
      <c r="F5" s="30"/>
      <c r="G5" s="30" t="s">
        <v>123</v>
      </c>
      <c r="H5" s="30" t="s">
        <v>123</v>
      </c>
      <c r="I5" s="30"/>
      <c r="J5" s="30"/>
      <c r="K5" s="30"/>
      <c r="L5" s="30"/>
      <c r="M5" s="30"/>
      <c r="N5" s="30" t="s">
        <v>122</v>
      </c>
      <c r="O5" s="30" t="s">
        <v>122</v>
      </c>
      <c r="P5" s="30"/>
      <c r="Q5" s="30" t="s">
        <v>122</v>
      </c>
      <c r="R5" s="30"/>
      <c r="S5" s="30"/>
      <c r="T5" s="30"/>
      <c r="U5" s="30" t="s">
        <v>123</v>
      </c>
      <c r="V5" s="30" t="s">
        <v>122</v>
      </c>
      <c r="W5" s="30" t="s">
        <v>122</v>
      </c>
      <c r="X5" s="30" t="s">
        <v>122</v>
      </c>
      <c r="Y5" s="31" t="s">
        <v>122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0" t="s">
        <v>122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 t="s">
        <v>122</v>
      </c>
      <c r="AZ5" s="30" t="s">
        <v>122</v>
      </c>
      <c r="BA5" s="32" t="s">
        <v>123</v>
      </c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0" t="s">
        <v>122</v>
      </c>
      <c r="GS5" s="30" t="s">
        <v>122</v>
      </c>
      <c r="GT5" s="30" t="s">
        <v>122</v>
      </c>
      <c r="GU5" s="30" t="s">
        <v>122</v>
      </c>
      <c r="GV5" s="30" t="s">
        <v>122</v>
      </c>
      <c r="GW5" s="30" t="s">
        <v>122</v>
      </c>
      <c r="GX5" s="30" t="s">
        <v>122</v>
      </c>
      <c r="GY5" s="30" t="s">
        <v>122</v>
      </c>
      <c r="GZ5" s="30" t="s">
        <v>122</v>
      </c>
      <c r="HA5" s="30" t="s">
        <v>122</v>
      </c>
      <c r="HB5" s="30" t="s">
        <v>122</v>
      </c>
      <c r="HC5" s="30" t="s">
        <v>122</v>
      </c>
      <c r="HD5" s="30" t="s">
        <v>122</v>
      </c>
      <c r="HE5" s="30" t="s">
        <v>122</v>
      </c>
      <c r="HF5" s="30" t="s">
        <v>122</v>
      </c>
      <c r="HG5" s="30" t="s">
        <v>122</v>
      </c>
      <c r="HH5" s="30" t="s">
        <v>122</v>
      </c>
      <c r="HI5" s="30" t="s">
        <v>123</v>
      </c>
      <c r="HJ5" s="30" t="s">
        <v>122</v>
      </c>
      <c r="HK5" s="30" t="s">
        <v>122</v>
      </c>
      <c r="HL5" s="30"/>
      <c r="HM5" s="30" t="s">
        <v>122</v>
      </c>
      <c r="HN5" s="30" t="s">
        <v>123</v>
      </c>
    </row>
    <row r="6" spans="1:222">
      <c r="A6" s="30" t="s">
        <v>124</v>
      </c>
      <c r="B6" s="30" t="s">
        <v>125</v>
      </c>
      <c r="C6" s="30" t="s">
        <v>126</v>
      </c>
      <c r="D6" s="30" t="s">
        <v>127</v>
      </c>
      <c r="E6" s="30" t="s">
        <v>128</v>
      </c>
      <c r="F6" s="30" t="s">
        <v>129</v>
      </c>
      <c r="G6" s="30" t="s">
        <v>130</v>
      </c>
      <c r="H6" s="30" t="s">
        <v>131</v>
      </c>
      <c r="I6" s="30" t="s">
        <v>132</v>
      </c>
      <c r="J6" s="30" t="s">
        <v>133</v>
      </c>
      <c r="K6" s="30" t="s">
        <v>134</v>
      </c>
      <c r="L6" s="30" t="s">
        <v>135</v>
      </c>
      <c r="M6" s="30" t="s">
        <v>136</v>
      </c>
      <c r="N6" s="30" t="s">
        <v>137</v>
      </c>
      <c r="O6" s="30" t="s">
        <v>138</v>
      </c>
      <c r="P6" s="30" t="s">
        <v>139</v>
      </c>
      <c r="Q6" s="30" t="s">
        <v>140</v>
      </c>
      <c r="R6" s="30" t="s">
        <v>141</v>
      </c>
      <c r="S6" s="30" t="s">
        <v>142</v>
      </c>
      <c r="T6" s="30" t="s">
        <v>143</v>
      </c>
      <c r="U6" s="30" t="s">
        <v>144</v>
      </c>
      <c r="V6" s="30" t="s">
        <v>145</v>
      </c>
      <c r="W6" s="30" t="s">
        <v>146</v>
      </c>
      <c r="X6" s="30" t="s">
        <v>147</v>
      </c>
      <c r="Y6" s="30" t="s">
        <v>148</v>
      </c>
      <c r="Z6" s="30" t="s">
        <v>149</v>
      </c>
      <c r="AA6" s="30" t="s">
        <v>150</v>
      </c>
      <c r="AB6" s="30" t="s">
        <v>151</v>
      </c>
      <c r="AC6" s="30" t="s">
        <v>152</v>
      </c>
      <c r="AD6" s="30" t="s">
        <v>153</v>
      </c>
      <c r="AE6" s="30" t="s">
        <v>154</v>
      </c>
      <c r="AF6" s="30" t="s">
        <v>155</v>
      </c>
      <c r="AG6" s="30" t="s">
        <v>156</v>
      </c>
      <c r="AH6" s="30" t="s">
        <v>157</v>
      </c>
      <c r="AI6" s="30" t="s">
        <v>158</v>
      </c>
      <c r="AJ6" s="30" t="s">
        <v>159</v>
      </c>
      <c r="AK6" s="30" t="s">
        <v>160</v>
      </c>
      <c r="AL6" s="30" t="s">
        <v>148</v>
      </c>
      <c r="AM6" s="30" t="s">
        <v>149</v>
      </c>
      <c r="AN6" s="30" t="s">
        <v>150</v>
      </c>
      <c r="AO6" s="30" t="s">
        <v>151</v>
      </c>
      <c r="AP6" s="30" t="s">
        <v>152</v>
      </c>
      <c r="AQ6" s="30" t="s">
        <v>153</v>
      </c>
      <c r="AR6" s="30" t="s">
        <v>154</v>
      </c>
      <c r="AS6" s="30" t="s">
        <v>155</v>
      </c>
      <c r="AT6" s="30" t="s">
        <v>156</v>
      </c>
      <c r="AU6" s="30" t="s">
        <v>157</v>
      </c>
      <c r="AV6" s="30" t="s">
        <v>158</v>
      </c>
      <c r="AW6" s="30" t="s">
        <v>159</v>
      </c>
      <c r="AX6" s="30" t="s">
        <v>160</v>
      </c>
      <c r="AY6" s="30" t="s">
        <v>161</v>
      </c>
      <c r="AZ6" s="30" t="s">
        <v>162</v>
      </c>
      <c r="BA6" s="30" t="s">
        <v>163</v>
      </c>
      <c r="BB6" s="30" t="s">
        <v>164</v>
      </c>
      <c r="BC6" s="30" t="s">
        <v>165</v>
      </c>
      <c r="BD6" s="30" t="s">
        <v>166</v>
      </c>
      <c r="BE6" s="30" t="s">
        <v>167</v>
      </c>
      <c r="BF6" s="30" t="s">
        <v>168</v>
      </c>
      <c r="BG6" s="30" t="s">
        <v>169</v>
      </c>
      <c r="BH6" s="30" t="s">
        <v>170</v>
      </c>
      <c r="BI6" s="30" t="s">
        <v>171</v>
      </c>
      <c r="BJ6" s="30" t="inlineStr">
        <is>
          <t>效果1·【伤害】是否允许暴击：FALSE=按普通伤害结算，不判暴击</t>
        </is>
      </c>
      <c r="BK6" s="30" t="inlineStr">
        <is>
          <t>效果1·【伤害】暴击率加成（万分比）：最终暴击率=施法者暴击率+本值−目标免暴击率，限 0～100%；0=不加成</t>
        </is>
      </c>
      <c r="BL6" s="30" t="s">
        <v>174</v>
      </c>
      <c r="BM6" s="30" t="s">
        <v>175</v>
      </c>
      <c r="BN6" s="30" t="s">
        <v>176</v>
      </c>
      <c r="BO6" s="30" t="s">
        <v>177</v>
      </c>
      <c r="BP6" s="30" t="s">
        <v>178</v>
      </c>
      <c r="BQ6" s="30" t="inlineStr">
        <is>
          <t>效果1·【治疗】是否允许暴击：治疗不暴击，填 FALSE</t>
        </is>
      </c>
      <c r="BR6" s="30" t="inlineStr">
        <is>
          <t>效果1·【治疗】暴击参数：填 0</t>
        </is>
      </c>
      <c r="BS6" s="30" t="s">
        <v>181</v>
      </c>
      <c r="BT6" s="30" t="s">
        <v>182</v>
      </c>
      <c r="BU6" s="30" t="s">
        <v>183</v>
      </c>
      <c r="BV6" s="30" t="s">
        <v>184</v>
      </c>
      <c r="BW6" s="30" t="s">
        <v>185</v>
      </c>
      <c r="BX6" s="30" t="s">
        <v>186</v>
      </c>
      <c r="BY6" s="30" t="s">
        <v>187</v>
      </c>
      <c r="BZ6" s="30" t="s">
        <v>188</v>
      </c>
      <c r="CA6" s="30" t="s">
        <v>189</v>
      </c>
      <c r="CB6" s="30" t="s">
        <v>190</v>
      </c>
      <c r="CC6" s="30" t="s">
        <v>191</v>
      </c>
      <c r="CD6" s="30" t="s">
        <v>192</v>
      </c>
      <c r="CE6" s="30" t="s">
        <v>193</v>
      </c>
      <c r="CF6" s="30" t="s">
        <v>194</v>
      </c>
      <c r="CG6" s="30" t="s">
        <v>195</v>
      </c>
      <c r="CH6" s="30" t="s">
        <v>196</v>
      </c>
      <c r="CI6" s="30" t="s">
        <v>197</v>
      </c>
      <c r="CJ6" s="30" t="s">
        <v>198</v>
      </c>
      <c r="CK6" s="30" t="s">
        <v>199</v>
      </c>
      <c r="CL6" s="30" t="s">
        <v>200</v>
      </c>
      <c r="CM6" s="30" t="s">
        <v>201</v>
      </c>
      <c r="CN6" s="30" t="s">
        <v>202</v>
      </c>
      <c r="CO6" s="30" t="s">
        <v>203</v>
      </c>
      <c r="CP6" s="30" t="s">
        <v>204</v>
      </c>
      <c r="CQ6" s="30" t="s">
        <v>205</v>
      </c>
      <c r="CR6" s="30" t="s">
        <v>206</v>
      </c>
      <c r="CS6" s="30" t="inlineStr">
        <is>
          <t xml:space="preserve">效果1·【弹道】追踪·外飞距离（码）：先直飞多远才开始索敌，0=出膛即索敌</t>
        </is>
      </c>
      <c r="CT6" s="30" t="inlineStr">
        <is>
          <t xml:space="preserve">效果1·【弹道】追踪·索敌半径（码）：追踪轨迹必须 &gt;0</t>
        </is>
      </c>
      <c r="CU6" s="30" t="inlineStr">
        <is>
          <t xml:space="preserve">效果1·【弹道】追踪·最大转向速度（度/秒）：0=不限</t>
        </is>
      </c>
      <c r="CV6" s="30" t="inlineStr">
        <is>
          <t xml:space="preserve">效果1·【弹道】追踪·目标分配：最近 / 分散 / 集火，留空=最近</t>
        </is>
      </c>
      <c r="CW6" s="30" t="s">
        <v>207</v>
      </c>
      <c r="CX6" s="30" t="s">
        <v>208</v>
      </c>
      <c r="CY6" s="30" t="s">
        <v>209</v>
      </c>
      <c r="CZ6" s="30" t="s">
        <v>210</v>
      </c>
      <c r="DA6" s="30" t="s">
        <v>211</v>
      </c>
      <c r="DB6" s="30" t="s">
        <v>212</v>
      </c>
      <c r="DC6" s="30" t="s">
        <v>213</v>
      </c>
      <c r="DD6" s="30" t="s">
        <v>214</v>
      </c>
      <c r="DE6" s="30" t="s">
        <v>215</v>
      </c>
      <c r="DF6" s="30" t="s">
        <v>216</v>
      </c>
      <c r="DG6" s="30" t="inlineStr">
        <is>
          <t>效果2·【伤害】是否允许暴击：FALSE=按普通伤害结算，不判暴击</t>
        </is>
      </c>
      <c r="DH6" s="30" t="inlineStr">
        <is>
          <t>效果2·【伤害】暴击率加成（万分比）：最终暴击率=施法者暴击率+本值−目标免暴击率，限 0～100%；0=不加成</t>
        </is>
      </c>
      <c r="DI6" s="30" t="s">
        <v>219</v>
      </c>
      <c r="DJ6" s="30" t="s">
        <v>220</v>
      </c>
      <c r="DK6" s="30" t="s">
        <v>221</v>
      </c>
      <c r="DL6" s="30" t="s">
        <v>222</v>
      </c>
      <c r="DM6" s="30" t="s">
        <v>223</v>
      </c>
      <c r="DN6" s="30" t="inlineStr">
        <is>
          <t>效果2·【治疗】是否允许暴击：治疗不暴击，填 FALSE</t>
        </is>
      </c>
      <c r="DO6" s="30" t="inlineStr">
        <is>
          <t>效果2·【治疗】暴击参数：填 0</t>
        </is>
      </c>
      <c r="DP6" s="30" t="s">
        <v>226</v>
      </c>
      <c r="DQ6" s="30" t="s">
        <v>227</v>
      </c>
      <c r="DR6" s="30" t="s">
        <v>228</v>
      </c>
      <c r="DS6" s="30" t="s">
        <v>229</v>
      </c>
      <c r="DT6" s="30" t="s">
        <v>230</v>
      </c>
      <c r="DU6" s="30" t="s">
        <v>231</v>
      </c>
      <c r="DV6" s="30" t="s">
        <v>232</v>
      </c>
      <c r="DW6" s="30" t="s">
        <v>233</v>
      </c>
      <c r="DX6" s="30" t="s">
        <v>234</v>
      </c>
      <c r="DY6" s="30" t="s">
        <v>235</v>
      </c>
      <c r="DZ6" s="30" t="s">
        <v>236</v>
      </c>
      <c r="EA6" s="30" t="s">
        <v>237</v>
      </c>
      <c r="EB6" s="30" t="s">
        <v>238</v>
      </c>
      <c r="EC6" s="30" t="s">
        <v>239</v>
      </c>
      <c r="ED6" s="30" t="s">
        <v>240</v>
      </c>
      <c r="EE6" s="30" t="s">
        <v>241</v>
      </c>
      <c r="EF6" s="30" t="s">
        <v>242</v>
      </c>
      <c r="EG6" s="30" t="s">
        <v>243</v>
      </c>
      <c r="EH6" s="30" t="s">
        <v>244</v>
      </c>
      <c r="EI6" s="30" t="s">
        <v>245</v>
      </c>
      <c r="EJ6" s="30" t="s">
        <v>246</v>
      </c>
      <c r="EK6" s="30" t="s">
        <v>247</v>
      </c>
      <c r="EL6" s="30" t="s">
        <v>248</v>
      </c>
      <c r="EM6" s="30" t="s">
        <v>249</v>
      </c>
      <c r="EN6" s="30" t="s">
        <v>250</v>
      </c>
      <c r="EO6" s="30" t="s">
        <v>251</v>
      </c>
      <c r="EP6" s="30" t="inlineStr">
        <is>
          <t xml:space="preserve">效果2·【弹道】追踪·外飞距离（码）：先直飞多远才开始索敌，0=出膛即索敌</t>
        </is>
      </c>
      <c r="EQ6" s="30" t="inlineStr">
        <is>
          <t xml:space="preserve">效果2·【弹道】追踪·索敌半径（码）：追踪轨迹必须 &gt;0</t>
        </is>
      </c>
      <c r="ER6" s="30" t="inlineStr">
        <is>
          <t xml:space="preserve">效果2·【弹道】追踪·最大转向速度（度/秒）：0=不限</t>
        </is>
      </c>
      <c r="ES6" s="30" t="inlineStr">
        <is>
          <t xml:space="preserve">效果2·【弹道】追踪·目标分配：最近 / 分散 / 集火，留空=最近</t>
        </is>
      </c>
      <c r="ET6" s="30" t="s">
        <v>252</v>
      </c>
      <c r="EU6" s="30" t="s">
        <v>253</v>
      </c>
      <c r="EV6" s="30" t="s">
        <v>254</v>
      </c>
      <c r="EW6" s="30" t="s">
        <v>255</v>
      </c>
      <c r="EX6" s="30" t="s">
        <v>256</v>
      </c>
      <c r="EY6" s="30" t="s">
        <v>257</v>
      </c>
      <c r="EZ6" s="30" t="s">
        <v>258</v>
      </c>
      <c r="FA6" s="30" t="s">
        <v>259</v>
      </c>
      <c r="FB6" s="30" t="s">
        <v>260</v>
      </c>
      <c r="FC6" s="30" t="s">
        <v>261</v>
      </c>
      <c r="FD6" s="30" t="inlineStr">
        <is>
          <t>效果3·【伤害】是否允许暴击：FALSE=按普通伤害结算，不判暴击</t>
        </is>
      </c>
      <c r="FE6" s="30" t="inlineStr">
        <is>
          <t>效果3·【伤害】暴击率加成（万分比）：最终暴击率=施法者暴击率+本值−目标免暴击率，限 0～100%；0=不加成</t>
        </is>
      </c>
      <c r="FF6" s="30" t="s">
        <v>264</v>
      </c>
      <c r="FG6" s="30" t="s">
        <v>265</v>
      </c>
      <c r="FH6" s="30" t="s">
        <v>266</v>
      </c>
      <c r="FI6" s="30" t="s">
        <v>267</v>
      </c>
      <c r="FJ6" s="30" t="s">
        <v>268</v>
      </c>
      <c r="FK6" s="30" t="inlineStr">
        <is>
          <t>效果3·【治疗】是否允许暴击：治疗不暴击，填 FALSE</t>
        </is>
      </c>
      <c r="FL6" s="30" t="inlineStr">
        <is>
          <t>效果3·【治疗】暴击参数：填 0</t>
        </is>
      </c>
      <c r="FM6" s="30" t="s">
        <v>271</v>
      </c>
      <c r="FN6" s="30" t="s">
        <v>272</v>
      </c>
      <c r="FO6" s="30" t="s">
        <v>273</v>
      </c>
      <c r="FP6" s="30" t="s">
        <v>274</v>
      </c>
      <c r="FQ6" s="30" t="s">
        <v>275</v>
      </c>
      <c r="FR6" s="30" t="s">
        <v>276</v>
      </c>
      <c r="FS6" s="30" t="s">
        <v>277</v>
      </c>
      <c r="FT6" s="30" t="s">
        <v>278</v>
      </c>
      <c r="FU6" s="30" t="s">
        <v>279</v>
      </c>
      <c r="FV6" s="30" t="s">
        <v>280</v>
      </c>
      <c r="FW6" s="30" t="s">
        <v>281</v>
      </c>
      <c r="FX6" s="30" t="s">
        <v>282</v>
      </c>
      <c r="FY6" s="30" t="s">
        <v>283</v>
      </c>
      <c r="FZ6" s="30" t="s">
        <v>284</v>
      </c>
      <c r="GA6" s="30" t="s">
        <v>285</v>
      </c>
      <c r="GB6" s="30" t="s">
        <v>286</v>
      </c>
      <c r="GC6" s="30" t="s">
        <v>287</v>
      </c>
      <c r="GD6" s="30" t="s">
        <v>288</v>
      </c>
      <c r="GE6" s="30" t="s">
        <v>289</v>
      </c>
      <c r="GF6" s="30" t="s">
        <v>290</v>
      </c>
      <c r="GG6" s="30" t="s">
        <v>291</v>
      </c>
      <c r="GH6" s="30" t="s">
        <v>292</v>
      </c>
      <c r="GI6" s="30" t="s">
        <v>293</v>
      </c>
      <c r="GJ6" s="30" t="s">
        <v>294</v>
      </c>
      <c r="GK6" s="30" t="s">
        <v>295</v>
      </c>
      <c r="GL6" s="30" t="s">
        <v>296</v>
      </c>
      <c r="GM6" s="30" t="inlineStr">
        <is>
          <t xml:space="preserve">效果3·【弹道】追踪·外飞距离（码）：先直飞多远才开始索敌，0=出膛即索敌</t>
        </is>
      </c>
      <c r="GN6" s="30" t="inlineStr">
        <is>
          <t xml:space="preserve">效果3·【弹道】追踪·索敌半径（码）：追踪轨迹必须 &gt;0</t>
        </is>
      </c>
      <c r="GO6" s="30" t="inlineStr">
        <is>
          <t xml:space="preserve">效果3·【弹道】追踪·最大转向速度（度/秒）：0=不限</t>
        </is>
      </c>
      <c r="GP6" s="30" t="inlineStr">
        <is>
          <t xml:space="preserve">效果3·【弹道】追踪·目标分配：最近 / 分散 / 集火，留空=最近</t>
        </is>
      </c>
      <c r="GQ6" s="30" t="s">
        <v>297</v>
      </c>
      <c r="GR6" s="30" t="s">
        <v>298</v>
      </c>
      <c r="GS6" s="30" t="s">
        <v>299</v>
      </c>
      <c r="GT6" s="30" t="s">
        <v>300</v>
      </c>
      <c r="GU6" s="30" t="s">
        <v>301</v>
      </c>
      <c r="GV6" s="30" t="s">
        <v>302</v>
      </c>
      <c r="GW6" s="30" t="s">
        <v>303</v>
      </c>
      <c r="GX6" s="30" t="s">
        <v>304</v>
      </c>
      <c r="GY6" s="30" t="s">
        <v>305</v>
      </c>
      <c r="GZ6" s="30" t="s">
        <v>306</v>
      </c>
      <c r="HA6" s="30" t="s">
        <v>307</v>
      </c>
      <c r="HB6" s="30" t="s">
        <v>308</v>
      </c>
      <c r="HC6" s="30" t="s">
        <v>309</v>
      </c>
      <c r="HD6" s="30" t="s">
        <v>310</v>
      </c>
      <c r="HE6" s="30" t="s">
        <v>311</v>
      </c>
      <c r="HF6" s="30" t="s">
        <v>312</v>
      </c>
      <c r="HG6" s="30" t="s">
        <v>313</v>
      </c>
      <c r="HH6" s="30" t="s">
        <v>314</v>
      </c>
      <c r="HI6" s="30" t="s">
        <v>315</v>
      </c>
      <c r="HJ6" s="30" t="s">
        <v>316</v>
      </c>
      <c r="HK6" s="30" t="s">
        <v>317</v>
      </c>
      <c r="HL6" s="30" t="s">
        <v>318</v>
      </c>
      <c r="HM6" s="30" t="s">
        <v>319</v>
      </c>
      <c r="HN6" s="30" t="s">
        <v>320</v>
      </c>
    </row>
    <row r="7" spans="1:222">
      <c r="B7" s="29" cm="1">
        <f t="array" ref="B7">10000000+INDEX(编号表!$B$1:$B$112,MATCH(D7,编号表!$A$1:$A$112,0))*10000+I7</f>
        <v>10010001</v>
      </c>
      <c r="C7" s="29" t="s">
        <v>321</v>
      </c>
      <c r="D7" s="29" t="s">
        <v>321</v>
      </c>
      <c r="E7" s="29" t="s">
        <v>322</v>
      </c>
      <c r="F7" s="29" t="s">
        <v>323</v>
      </c>
      <c r="G7" s="29" t="b">
        <v>0</v>
      </c>
      <c r="H7" s="29" t="b">
        <v>0</v>
      </c>
      <c r="I7" s="29">
        <v>1</v>
      </c>
      <c r="J7" s="29" t="str">
        <f>LEFT(B7,6)</f>
        <v>100100</v>
      </c>
      <c r="K7" s="29" t="s">
        <v>324</v>
      </c>
      <c r="M7" s="29">
        <f>B8</f>
        <v>10010002</v>
      </c>
      <c r="N7" s="29" t="s">
        <v>325</v>
      </c>
      <c r="O7" s="29">
        <v>10202000</v>
      </c>
      <c r="P7" s="29">
        <v>0</v>
      </c>
      <c r="Q7" s="29">
        <v>0</v>
      </c>
      <c r="R7" s="29">
        <v>1</v>
      </c>
      <c r="T7" s="29">
        <v>100</v>
      </c>
      <c r="V7" s="29">
        <v>500</v>
      </c>
      <c r="W7" s="29">
        <v>500</v>
      </c>
      <c r="X7" s="29" t="s">
        <v>326</v>
      </c>
      <c r="Y7" s="29" t="s">
        <v>327</v>
      </c>
      <c r="Z7" s="29" t="s">
        <v>328</v>
      </c>
      <c r="AA7" s="29">
        <v>0</v>
      </c>
      <c r="AB7" s="29">
        <v>1</v>
      </c>
      <c r="AC7" s="29">
        <v>0</v>
      </c>
      <c r="AD7" s="29" t="s">
        <v>329</v>
      </c>
      <c r="AY7" s="29" t="s">
        <v>330</v>
      </c>
      <c r="AZ7" s="29">
        <v>10000</v>
      </c>
      <c r="BA7" s="29" t="s">
        <v>331</v>
      </c>
      <c r="BB7" s="29" t="s">
        <v>328</v>
      </c>
      <c r="BC7" s="29">
        <v>10000</v>
      </c>
      <c r="BD7" s="29">
        <v>0</v>
      </c>
      <c r="BE7" s="29" t="s">
        <v>332</v>
      </c>
      <c r="BF7" s="29">
        <v>0</v>
      </c>
      <c r="BG7" s="29">
        <v>0</v>
      </c>
      <c r="BH7" s="29">
        <v>10000</v>
      </c>
      <c r="BI7" s="29">
        <v>3</v>
      </c>
      <c r="BJ7" s="29" t="b">
        <v>1</v>
      </c>
      <c r="BK7" s="29">
        <v>0</v>
      </c>
      <c r="BL7" s="29">
        <v>10000</v>
      </c>
      <c r="GR7" s="29">
        <v>200</v>
      </c>
      <c r="GS7" s="29">
        <v>400</v>
      </c>
      <c r="GT7" s="29" t="s">
        <v>333</v>
      </c>
      <c r="GU7" s="29">
        <v>30046</v>
      </c>
      <c r="GX7" s="29">
        <v>1</v>
      </c>
      <c r="GZ7" s="29">
        <v>0</v>
      </c>
      <c r="HA7" s="29">
        <v>0</v>
      </c>
      <c r="HB7" s="29">
        <v>0</v>
      </c>
      <c r="HC7" s="29">
        <v>0</v>
      </c>
      <c r="HD7" s="29">
        <v>0</v>
      </c>
      <c r="HE7" s="29" t="b">
        <v>0</v>
      </c>
      <c r="HG7" s="29">
        <v>10001</v>
      </c>
      <c r="HI7" s="29" t="s">
        <v>334</v>
      </c>
      <c r="HJ7" s="29">
        <v>0</v>
      </c>
      <c r="HK7" s="29">
        <v>0</v>
      </c>
      <c r="HL7" s="29">
        <v>0</v>
      </c>
    </row>
    <row r="8" spans="1:222">
      <c r="B8" s="29" cm="1">
        <f t="array" ref="B8">10000000+INDEX(编号表!$B$1:$B$112,MATCH(D8,编号表!$A$1:$A$112,0))*10000+I8</f>
        <v>10010002</v>
      </c>
      <c r="C8" s="29" t="s">
        <v>321</v>
      </c>
      <c r="D8" s="29" t="s">
        <v>321</v>
      </c>
      <c r="E8" s="29" t="s">
        <v>322</v>
      </c>
      <c r="F8" s="29" t="s">
        <v>323</v>
      </c>
      <c r="G8" s="29" t="b">
        <v>0</v>
      </c>
      <c r="H8" s="29" t="b">
        <v>0</v>
      </c>
      <c r="I8" s="29">
        <v>2</v>
      </c>
      <c r="J8" s="29" t="str">
        <f>LEFT(B8,6)</f>
        <v>100100</v>
      </c>
      <c r="K8" s="29" t="s">
        <v>324</v>
      </c>
      <c r="L8" s="29">
        <f>B7</f>
        <v>10010001</v>
      </c>
      <c r="M8" s="29">
        <f t="shared" ref="M8:M15" si="0">B9</f>
        <v>10010003</v>
      </c>
      <c r="N8" s="29" t="s">
        <v>325</v>
      </c>
      <c r="O8" s="29">
        <v>10202000</v>
      </c>
      <c r="P8" s="29">
        <v>0</v>
      </c>
      <c r="Q8" s="29">
        <v>1</v>
      </c>
      <c r="R8" s="29">
        <v>7</v>
      </c>
      <c r="T8" s="29">
        <v>100</v>
      </c>
      <c r="V8" s="29">
        <v>500</v>
      </c>
      <c r="W8" s="29">
        <v>500</v>
      </c>
      <c r="X8" s="29" t="s">
        <v>326</v>
      </c>
      <c r="Y8" s="29" t="s">
        <v>327</v>
      </c>
      <c r="Z8" s="29" t="s">
        <v>328</v>
      </c>
      <c r="AA8" s="29">
        <v>0</v>
      </c>
      <c r="AB8" s="29">
        <v>1</v>
      </c>
      <c r="AC8" s="29">
        <v>0</v>
      </c>
      <c r="AD8" s="29" t="s">
        <v>329</v>
      </c>
      <c r="AY8" s="29" t="s">
        <v>330</v>
      </c>
      <c r="AZ8" s="29">
        <v>10400</v>
      </c>
      <c r="BA8" s="29" t="s">
        <v>331</v>
      </c>
      <c r="BB8" s="29" t="s">
        <v>328</v>
      </c>
      <c r="BC8" s="29">
        <v>10000</v>
      </c>
      <c r="BD8" s="29">
        <v>0</v>
      </c>
      <c r="BE8" s="29" t="s">
        <v>332</v>
      </c>
      <c r="BF8" s="29">
        <v>0</v>
      </c>
      <c r="BG8" s="29">
        <v>0</v>
      </c>
      <c r="BH8" s="29">
        <v>10000</v>
      </c>
      <c r="BI8" s="29">
        <v>4</v>
      </c>
      <c r="BJ8" s="29" t="b">
        <v>1</v>
      </c>
      <c r="BK8" s="29">
        <v>0</v>
      </c>
      <c r="BL8" s="29">
        <v>10000</v>
      </c>
      <c r="GR8" s="29">
        <v>200</v>
      </c>
      <c r="GS8" s="29">
        <v>400</v>
      </c>
      <c r="GT8" s="29" t="s">
        <v>333</v>
      </c>
      <c r="GU8" s="29">
        <v>30046</v>
      </c>
      <c r="GX8" s="29">
        <v>1</v>
      </c>
      <c r="GZ8" s="29">
        <v>0</v>
      </c>
      <c r="HA8" s="29">
        <v>0</v>
      </c>
      <c r="HB8" s="29">
        <v>0</v>
      </c>
      <c r="HC8" s="29">
        <v>0</v>
      </c>
      <c r="HD8" s="29">
        <v>0</v>
      </c>
      <c r="HE8" s="29" t="b">
        <v>0</v>
      </c>
      <c r="HG8" s="29">
        <v>10001</v>
      </c>
      <c r="HI8" s="29" t="s">
        <v>334</v>
      </c>
      <c r="HJ8" s="29">
        <v>0</v>
      </c>
      <c r="HK8" s="29">
        <v>0</v>
      </c>
      <c r="HL8" s="29">
        <v>0</v>
      </c>
    </row>
    <row r="9" spans="1:222">
      <c r="B9" s="29" cm="1">
        <f t="array" ref="B9">10000000+INDEX(编号表!$B$1:$B$112,MATCH(D9,编号表!$A$1:$A$112,0))*10000+I9</f>
        <v>10010003</v>
      </c>
      <c r="C9" s="29" t="s">
        <v>321</v>
      </c>
      <c r="D9" s="29" t="s">
        <v>321</v>
      </c>
      <c r="E9" s="29" t="s">
        <v>322</v>
      </c>
      <c r="F9" s="29" t="s">
        <v>323</v>
      </c>
      <c r="G9" s="29" t="b">
        <v>0</v>
      </c>
      <c r="H9" s="29" t="b">
        <v>0</v>
      </c>
      <c r="I9" s="29">
        <v>3</v>
      </c>
      <c r="J9" s="29" t="str">
        <f>LEFT(B9,6)</f>
        <v>100100</v>
      </c>
      <c r="K9" s="29" t="s">
        <v>324</v>
      </c>
      <c r="L9" s="29">
        <f t="shared" ref="L9:L16" si="1">B8</f>
        <v>10010002</v>
      </c>
      <c r="M9" s="29">
        <f t="shared" si="0"/>
        <v>10010004</v>
      </c>
      <c r="N9" s="29" t="s">
        <v>325</v>
      </c>
      <c r="O9" s="29">
        <v>10202000</v>
      </c>
      <c r="P9" s="29">
        <v>0</v>
      </c>
      <c r="Q9" s="29">
        <v>2</v>
      </c>
      <c r="R9" s="29">
        <v>11</v>
      </c>
      <c r="T9" s="29">
        <v>100</v>
      </c>
      <c r="V9" s="29">
        <v>500</v>
      </c>
      <c r="W9" s="29">
        <v>500</v>
      </c>
      <c r="X9" s="29" t="s">
        <v>326</v>
      </c>
      <c r="Y9" s="29" t="s">
        <v>327</v>
      </c>
      <c r="Z9" s="29" t="s">
        <v>328</v>
      </c>
      <c r="AA9" s="29">
        <v>0</v>
      </c>
      <c r="AB9" s="29">
        <v>1</v>
      </c>
      <c r="AC9" s="29">
        <v>0</v>
      </c>
      <c r="AD9" s="29" t="s">
        <v>329</v>
      </c>
      <c r="AY9" s="29" t="s">
        <v>330</v>
      </c>
      <c r="AZ9" s="29">
        <v>10800</v>
      </c>
      <c r="BA9" s="29" t="s">
        <v>331</v>
      </c>
      <c r="BB9" s="29" t="s">
        <v>328</v>
      </c>
      <c r="BC9" s="29">
        <v>10000</v>
      </c>
      <c r="BD9" s="29">
        <v>0</v>
      </c>
      <c r="BE9" s="29" t="s">
        <v>332</v>
      </c>
      <c r="BF9" s="29">
        <v>0</v>
      </c>
      <c r="BG9" s="29">
        <v>0</v>
      </c>
      <c r="BH9" s="29">
        <v>10000</v>
      </c>
      <c r="BI9" s="29">
        <v>5</v>
      </c>
      <c r="BJ9" s="29" t="b">
        <v>1</v>
      </c>
      <c r="BK9" s="29">
        <v>0</v>
      </c>
      <c r="BL9" s="29">
        <v>10000</v>
      </c>
      <c r="GR9" s="29">
        <v>200</v>
      </c>
      <c r="GS9" s="29">
        <v>400</v>
      </c>
      <c r="GT9" s="29" t="s">
        <v>333</v>
      </c>
      <c r="GU9" s="29">
        <v>30046</v>
      </c>
      <c r="GX9" s="29">
        <v>1</v>
      </c>
      <c r="GZ9" s="29">
        <v>0</v>
      </c>
      <c r="HA9" s="29">
        <v>0</v>
      </c>
      <c r="HB9" s="29">
        <v>0</v>
      </c>
      <c r="HC9" s="29">
        <v>0</v>
      </c>
      <c r="HD9" s="29">
        <v>0</v>
      </c>
      <c r="HE9" s="29" t="b">
        <v>0</v>
      </c>
      <c r="HG9" s="29">
        <v>10001</v>
      </c>
      <c r="HI9" s="29" t="s">
        <v>334</v>
      </c>
      <c r="HJ9" s="29">
        <v>0</v>
      </c>
      <c r="HK9" s="29">
        <v>0</v>
      </c>
      <c r="HL9" s="29">
        <v>0</v>
      </c>
    </row>
    <row r="10" spans="1:222">
      <c r="B10" s="29" cm="1">
        <f t="array" ref="B10">10000000+INDEX(编号表!$B$1:$B$112,MATCH(D10,编号表!$A$1:$A$112,0))*10000+I10</f>
        <v>10010004</v>
      </c>
      <c r="C10" s="29" t="s">
        <v>321</v>
      </c>
      <c r="D10" s="29" t="s">
        <v>321</v>
      </c>
      <c r="E10" s="29" t="s">
        <v>322</v>
      </c>
      <c r="F10" s="29" t="s">
        <v>323</v>
      </c>
      <c r="G10" s="29" t="b">
        <v>0</v>
      </c>
      <c r="H10" s="29" t="b">
        <v>0</v>
      </c>
      <c r="I10" s="29">
        <v>4</v>
      </c>
      <c r="J10" s="29" t="str">
        <f>LEFT(B10,6)</f>
        <v>100100</v>
      </c>
      <c r="K10" s="29" t="s">
        <v>324</v>
      </c>
      <c r="L10" s="29">
        <f t="shared" si="1"/>
        <v>10010003</v>
      </c>
      <c r="M10" s="29">
        <f t="shared" si="0"/>
        <v>10010005</v>
      </c>
      <c r="N10" s="29" t="s">
        <v>325</v>
      </c>
      <c r="O10" s="29">
        <v>10202000</v>
      </c>
      <c r="P10" s="29">
        <v>0</v>
      </c>
      <c r="Q10" s="29">
        <v>3</v>
      </c>
      <c r="R10" s="29">
        <v>16</v>
      </c>
      <c r="T10" s="29">
        <v>100</v>
      </c>
      <c r="V10" s="29">
        <v>500</v>
      </c>
      <c r="W10" s="29">
        <v>500</v>
      </c>
      <c r="X10" s="29" t="s">
        <v>326</v>
      </c>
      <c r="Y10" s="29" t="s">
        <v>327</v>
      </c>
      <c r="Z10" s="29" t="s">
        <v>328</v>
      </c>
      <c r="AA10" s="29">
        <v>0</v>
      </c>
      <c r="AB10" s="29">
        <v>1</v>
      </c>
      <c r="AC10" s="29">
        <v>0</v>
      </c>
      <c r="AD10" s="29" t="s">
        <v>329</v>
      </c>
      <c r="AY10" s="29" t="s">
        <v>330</v>
      </c>
      <c r="AZ10" s="29">
        <v>11200</v>
      </c>
      <c r="BA10" s="29" t="s">
        <v>331</v>
      </c>
      <c r="BB10" s="29" t="s">
        <v>328</v>
      </c>
      <c r="BC10" s="29">
        <v>10000</v>
      </c>
      <c r="BD10" s="29">
        <v>0</v>
      </c>
      <c r="BE10" s="29" t="s">
        <v>332</v>
      </c>
      <c r="BF10" s="29">
        <v>0</v>
      </c>
      <c r="BG10" s="29">
        <v>0</v>
      </c>
      <c r="BH10" s="29">
        <v>10000</v>
      </c>
      <c r="BI10" s="29">
        <v>6</v>
      </c>
      <c r="BJ10" s="29" t="b">
        <v>1</v>
      </c>
      <c r="BK10" s="29">
        <v>0</v>
      </c>
      <c r="BL10" s="29">
        <v>10000</v>
      </c>
      <c r="GR10" s="29">
        <v>200</v>
      </c>
      <c r="GS10" s="29">
        <v>400</v>
      </c>
      <c r="GT10" s="29" t="s">
        <v>333</v>
      </c>
      <c r="GU10" s="29">
        <v>30046</v>
      </c>
      <c r="GX10" s="29">
        <v>1</v>
      </c>
      <c r="GZ10" s="29">
        <v>0</v>
      </c>
      <c r="HA10" s="29">
        <v>0</v>
      </c>
      <c r="HB10" s="29">
        <v>0</v>
      </c>
      <c r="HC10" s="29">
        <v>0</v>
      </c>
      <c r="HD10" s="29">
        <v>0</v>
      </c>
      <c r="HE10" s="29" t="b">
        <v>0</v>
      </c>
      <c r="HG10" s="29">
        <v>10001</v>
      </c>
      <c r="HI10" s="29" t="s">
        <v>334</v>
      </c>
      <c r="HJ10" s="29">
        <v>0</v>
      </c>
      <c r="HK10" s="29">
        <v>0</v>
      </c>
      <c r="HL10" s="29">
        <v>0</v>
      </c>
    </row>
    <row r="11" spans="1:222">
      <c r="B11" s="29" cm="1">
        <f t="array" ref="B11">10000000+INDEX(编号表!$B$1:$B$112,MATCH(D11,编号表!$A$1:$A$112,0))*10000+I11</f>
        <v>10010005</v>
      </c>
      <c r="C11" s="29" t="s">
        <v>321</v>
      </c>
      <c r="D11" s="29" t="s">
        <v>321</v>
      </c>
      <c r="E11" s="29" t="s">
        <v>322</v>
      </c>
      <c r="F11" s="29" t="s">
        <v>323</v>
      </c>
      <c r="G11" s="29" t="b">
        <v>0</v>
      </c>
      <c r="H11" s="29" t="b">
        <v>0</v>
      </c>
      <c r="I11" s="29">
        <v>5</v>
      </c>
      <c r="J11" s="29" t="str">
        <f t="shared" ref="J11:J36" si="2">LEFT(B11,6)</f>
        <v>100100</v>
      </c>
      <c r="K11" s="29" t="s">
        <v>324</v>
      </c>
      <c r="L11" s="29">
        <f t="shared" si="1"/>
        <v>10010004</v>
      </c>
      <c r="M11" s="29">
        <f t="shared" si="0"/>
        <v>10010006</v>
      </c>
      <c r="N11" s="29" t="s">
        <v>325</v>
      </c>
      <c r="O11" s="29">
        <v>10202000</v>
      </c>
      <c r="P11" s="29">
        <v>0</v>
      </c>
      <c r="Q11" s="29">
        <v>3</v>
      </c>
      <c r="R11" s="29">
        <v>25</v>
      </c>
      <c r="T11" s="29">
        <v>100</v>
      </c>
      <c r="V11" s="29">
        <v>500</v>
      </c>
      <c r="W11" s="29">
        <v>500</v>
      </c>
      <c r="X11" s="29" t="s">
        <v>326</v>
      </c>
      <c r="Y11" s="29" t="s">
        <v>327</v>
      </c>
      <c r="Z11" s="29" t="s">
        <v>328</v>
      </c>
      <c r="AA11" s="29">
        <v>0</v>
      </c>
      <c r="AB11" s="29">
        <v>1</v>
      </c>
      <c r="AC11" s="29">
        <v>0</v>
      </c>
      <c r="AD11" s="29" t="s">
        <v>329</v>
      </c>
      <c r="AY11" s="29" t="s">
        <v>330</v>
      </c>
      <c r="AZ11" s="29">
        <v>11300</v>
      </c>
      <c r="BA11" s="29" t="s">
        <v>331</v>
      </c>
      <c r="BB11" s="29" t="s">
        <v>328</v>
      </c>
      <c r="BC11" s="29">
        <v>10000</v>
      </c>
      <c r="BD11" s="29">
        <v>0</v>
      </c>
      <c r="BE11" s="29" t="s">
        <v>332</v>
      </c>
      <c r="BF11" s="29">
        <v>0</v>
      </c>
      <c r="BG11" s="29">
        <v>0</v>
      </c>
      <c r="BH11" s="29">
        <v>10000</v>
      </c>
      <c r="BI11" s="29">
        <v>6</v>
      </c>
      <c r="BJ11" s="29" t="b">
        <v>1</v>
      </c>
      <c r="BK11" s="29">
        <v>0</v>
      </c>
      <c r="BL11" s="29">
        <v>10000</v>
      </c>
      <c r="GR11" s="29">
        <v>200</v>
      </c>
      <c r="GS11" s="29">
        <v>400</v>
      </c>
      <c r="GT11" s="29" t="s">
        <v>333</v>
      </c>
      <c r="GU11" s="29">
        <v>30046</v>
      </c>
      <c r="GX11" s="29">
        <v>1</v>
      </c>
      <c r="GZ11" s="29">
        <v>0</v>
      </c>
      <c r="HA11" s="29">
        <v>0</v>
      </c>
      <c r="HB11" s="29">
        <v>0</v>
      </c>
      <c r="HC11" s="29">
        <v>0</v>
      </c>
      <c r="HD11" s="29">
        <v>0</v>
      </c>
      <c r="HE11" s="29" t="b">
        <v>0</v>
      </c>
      <c r="HG11" s="29">
        <v>10001</v>
      </c>
      <c r="HI11" s="29" t="s">
        <v>334</v>
      </c>
      <c r="HJ11" s="29">
        <v>0</v>
      </c>
      <c r="HK11" s="29">
        <v>0</v>
      </c>
      <c r="HL11" s="29">
        <v>0</v>
      </c>
    </row>
    <row r="12" spans="1:222">
      <c r="B12" s="29" cm="1">
        <f t="array" ref="B12">10000000+INDEX(编号表!$B$1:$B$112,MATCH(D12,编号表!$A$1:$A$112,0))*10000+I12</f>
        <v>10010006</v>
      </c>
      <c r="C12" s="29" t="s">
        <v>321</v>
      </c>
      <c r="D12" s="29" t="s">
        <v>321</v>
      </c>
      <c r="E12" s="29" t="s">
        <v>322</v>
      </c>
      <c r="F12" s="29" t="s">
        <v>323</v>
      </c>
      <c r="G12" s="29" t="b">
        <v>0</v>
      </c>
      <c r="H12" s="29" t="b">
        <v>0</v>
      </c>
      <c r="I12" s="29">
        <v>6</v>
      </c>
      <c r="J12" s="29" t="str">
        <f t="shared" si="2"/>
        <v>100100</v>
      </c>
      <c r="K12" s="29" t="s">
        <v>324</v>
      </c>
      <c r="L12" s="29">
        <f t="shared" si="1"/>
        <v>10010005</v>
      </c>
      <c r="M12" s="29">
        <f t="shared" si="0"/>
        <v>10010007</v>
      </c>
      <c r="N12" s="29" t="s">
        <v>325</v>
      </c>
      <c r="O12" s="29">
        <v>10202000</v>
      </c>
      <c r="P12" s="29">
        <v>0</v>
      </c>
      <c r="Q12" s="29">
        <v>3</v>
      </c>
      <c r="R12" s="29">
        <v>30</v>
      </c>
      <c r="T12" s="29">
        <v>100</v>
      </c>
      <c r="V12" s="29">
        <v>500</v>
      </c>
      <c r="W12" s="29">
        <v>500</v>
      </c>
      <c r="X12" s="29" t="s">
        <v>326</v>
      </c>
      <c r="Y12" s="29" t="s">
        <v>327</v>
      </c>
      <c r="Z12" s="29" t="s">
        <v>328</v>
      </c>
      <c r="AA12" s="29">
        <v>0</v>
      </c>
      <c r="AB12" s="29">
        <v>1</v>
      </c>
      <c r="AC12" s="29">
        <v>0</v>
      </c>
      <c r="AD12" s="29" t="s">
        <v>329</v>
      </c>
      <c r="AY12" s="29" t="s">
        <v>330</v>
      </c>
      <c r="AZ12" s="29">
        <v>11600</v>
      </c>
      <c r="BA12" s="29" t="s">
        <v>331</v>
      </c>
      <c r="BB12" s="29" t="s">
        <v>328</v>
      </c>
      <c r="BC12" s="29">
        <v>10000</v>
      </c>
      <c r="BD12" s="29">
        <v>0</v>
      </c>
      <c r="BE12" s="29" t="s">
        <v>332</v>
      </c>
      <c r="BF12" s="29">
        <v>0</v>
      </c>
      <c r="BG12" s="29">
        <v>0</v>
      </c>
      <c r="BH12" s="29">
        <v>10000</v>
      </c>
      <c r="BI12" s="29">
        <v>7</v>
      </c>
      <c r="BJ12" s="29" t="b">
        <v>1</v>
      </c>
      <c r="BK12" s="29">
        <v>0</v>
      </c>
      <c r="BL12" s="29">
        <v>10000</v>
      </c>
      <c r="GR12" s="29">
        <v>200</v>
      </c>
      <c r="GS12" s="29">
        <v>400</v>
      </c>
      <c r="GT12" s="29" t="s">
        <v>333</v>
      </c>
      <c r="GU12" s="29">
        <v>30046</v>
      </c>
      <c r="GX12" s="29">
        <v>1</v>
      </c>
      <c r="GZ12" s="29">
        <v>0</v>
      </c>
      <c r="HA12" s="29">
        <v>0</v>
      </c>
      <c r="HB12" s="29">
        <v>0</v>
      </c>
      <c r="HC12" s="29">
        <v>0</v>
      </c>
      <c r="HD12" s="29">
        <v>0</v>
      </c>
      <c r="HE12" s="29" t="b">
        <v>0</v>
      </c>
      <c r="HG12" s="29">
        <v>10001</v>
      </c>
      <c r="HI12" s="29" t="s">
        <v>334</v>
      </c>
      <c r="HJ12" s="29">
        <v>0</v>
      </c>
      <c r="HK12" s="29">
        <v>0</v>
      </c>
      <c r="HL12" s="29">
        <v>0</v>
      </c>
    </row>
    <row r="13" spans="1:222">
      <c r="B13" s="29" cm="1">
        <f t="array" ref="B13">10000000+INDEX(编号表!$B$1:$B$112,MATCH(D13,编号表!$A$1:$A$112,0))*10000+I13</f>
        <v>10010007</v>
      </c>
      <c r="C13" s="29" t="s">
        <v>321</v>
      </c>
      <c r="D13" s="29" t="s">
        <v>321</v>
      </c>
      <c r="E13" s="29" t="s">
        <v>322</v>
      </c>
      <c r="F13" s="29" t="s">
        <v>323</v>
      </c>
      <c r="G13" s="29" t="b">
        <v>0</v>
      </c>
      <c r="H13" s="29" t="b">
        <v>0</v>
      </c>
      <c r="I13" s="29">
        <v>7</v>
      </c>
      <c r="J13" s="29" t="str">
        <f t="shared" si="2"/>
        <v>100100</v>
      </c>
      <c r="K13" s="29" t="s">
        <v>324</v>
      </c>
      <c r="L13" s="29">
        <f t="shared" si="1"/>
        <v>10010006</v>
      </c>
      <c r="M13" s="29">
        <f t="shared" si="0"/>
        <v>10010008</v>
      </c>
      <c r="N13" s="29" t="s">
        <v>325</v>
      </c>
      <c r="O13" s="29">
        <v>10202000</v>
      </c>
      <c r="P13" s="29">
        <v>0</v>
      </c>
      <c r="Q13" s="29">
        <v>3</v>
      </c>
      <c r="R13" s="29">
        <v>35</v>
      </c>
      <c r="T13" s="29">
        <v>100</v>
      </c>
      <c r="V13" s="29">
        <v>500</v>
      </c>
      <c r="W13" s="29">
        <v>500</v>
      </c>
      <c r="X13" s="29" t="s">
        <v>326</v>
      </c>
      <c r="Y13" s="29" t="s">
        <v>327</v>
      </c>
      <c r="Z13" s="29" t="s">
        <v>328</v>
      </c>
      <c r="AA13" s="29">
        <v>0</v>
      </c>
      <c r="AB13" s="29">
        <v>1</v>
      </c>
      <c r="AC13" s="29">
        <v>0</v>
      </c>
      <c r="AD13" s="29" t="s">
        <v>329</v>
      </c>
      <c r="AY13" s="29" t="s">
        <v>330</v>
      </c>
      <c r="AZ13" s="29">
        <v>11700</v>
      </c>
      <c r="BA13" s="29" t="s">
        <v>331</v>
      </c>
      <c r="BB13" s="29" t="s">
        <v>328</v>
      </c>
      <c r="BC13" s="29">
        <v>10000</v>
      </c>
      <c r="BD13" s="29">
        <v>0</v>
      </c>
      <c r="BE13" s="29" t="s">
        <v>332</v>
      </c>
      <c r="BF13" s="29">
        <v>0</v>
      </c>
      <c r="BG13" s="29">
        <v>0</v>
      </c>
      <c r="BH13" s="29">
        <v>10000</v>
      </c>
      <c r="BI13" s="29">
        <v>9</v>
      </c>
      <c r="BJ13" s="29" t="b">
        <v>1</v>
      </c>
      <c r="BK13" s="29">
        <v>0</v>
      </c>
      <c r="BL13" s="29">
        <v>10000</v>
      </c>
      <c r="GR13" s="29">
        <v>200</v>
      </c>
      <c r="GS13" s="29">
        <v>400</v>
      </c>
      <c r="GT13" s="29" t="s">
        <v>333</v>
      </c>
      <c r="GU13" s="29">
        <v>30046</v>
      </c>
      <c r="GX13" s="29">
        <v>1</v>
      </c>
      <c r="GZ13" s="29">
        <v>0</v>
      </c>
      <c r="HA13" s="29">
        <v>0</v>
      </c>
      <c r="HB13" s="29">
        <v>0</v>
      </c>
      <c r="HC13" s="29">
        <v>0</v>
      </c>
      <c r="HD13" s="29">
        <v>0</v>
      </c>
      <c r="HE13" s="29" t="b">
        <v>0</v>
      </c>
      <c r="HG13" s="29">
        <v>10001</v>
      </c>
      <c r="HI13" s="29" t="s">
        <v>334</v>
      </c>
      <c r="HJ13" s="29">
        <v>0</v>
      </c>
      <c r="HK13" s="29">
        <v>0</v>
      </c>
      <c r="HL13" s="29">
        <v>0</v>
      </c>
    </row>
    <row r="14" spans="1:222">
      <c r="B14" s="29" cm="1">
        <f t="array" ref="B14">10000000+INDEX(编号表!$B$1:$B$112,MATCH(D14,编号表!$A$1:$A$112,0))*10000+I14</f>
        <v>10010008</v>
      </c>
      <c r="C14" s="29" t="s">
        <v>321</v>
      </c>
      <c r="D14" s="29" t="s">
        <v>321</v>
      </c>
      <c r="E14" s="29" t="s">
        <v>322</v>
      </c>
      <c r="F14" s="29" t="s">
        <v>323</v>
      </c>
      <c r="G14" s="29" t="b">
        <v>0</v>
      </c>
      <c r="H14" s="29" t="b">
        <v>0</v>
      </c>
      <c r="I14" s="29">
        <v>8</v>
      </c>
      <c r="J14" s="29" t="str">
        <f t="shared" si="2"/>
        <v>100100</v>
      </c>
      <c r="K14" s="29" t="s">
        <v>324</v>
      </c>
      <c r="L14" s="29">
        <f t="shared" si="1"/>
        <v>10010007</v>
      </c>
      <c r="M14" s="29">
        <f t="shared" si="0"/>
        <v>10010009</v>
      </c>
      <c r="N14" s="29" t="s">
        <v>325</v>
      </c>
      <c r="O14" s="29">
        <v>10202000</v>
      </c>
      <c r="P14" s="29">
        <v>0</v>
      </c>
      <c r="Q14" s="29">
        <v>3</v>
      </c>
      <c r="R14" s="29">
        <v>35</v>
      </c>
      <c r="T14" s="29">
        <v>100</v>
      </c>
      <c r="V14" s="29">
        <v>500</v>
      </c>
      <c r="W14" s="29">
        <v>500</v>
      </c>
      <c r="X14" s="29" t="s">
        <v>326</v>
      </c>
      <c r="Y14" s="29" t="s">
        <v>327</v>
      </c>
      <c r="Z14" s="29" t="s">
        <v>328</v>
      </c>
      <c r="AA14" s="29">
        <v>0</v>
      </c>
      <c r="AB14" s="29">
        <v>1</v>
      </c>
      <c r="AC14" s="29">
        <v>0</v>
      </c>
      <c r="AD14" s="29" t="s">
        <v>329</v>
      </c>
      <c r="AY14" s="29" t="s">
        <v>330</v>
      </c>
      <c r="AZ14" s="29">
        <v>11800</v>
      </c>
      <c r="BA14" s="29" t="s">
        <v>331</v>
      </c>
      <c r="BB14" s="29" t="s">
        <v>328</v>
      </c>
      <c r="BC14" s="29">
        <v>10000</v>
      </c>
      <c r="BD14" s="29">
        <v>0</v>
      </c>
      <c r="BE14" s="29" t="s">
        <v>332</v>
      </c>
      <c r="BF14" s="29">
        <v>0</v>
      </c>
      <c r="BG14" s="29">
        <v>0</v>
      </c>
      <c r="BH14" s="29">
        <v>10000</v>
      </c>
      <c r="BI14" s="29">
        <v>10</v>
      </c>
      <c r="BJ14" s="29" t="b">
        <v>1</v>
      </c>
      <c r="BK14" s="29">
        <v>0</v>
      </c>
      <c r="BL14" s="29">
        <v>10000</v>
      </c>
      <c r="GR14" s="29">
        <v>200</v>
      </c>
      <c r="GS14" s="29">
        <v>400</v>
      </c>
      <c r="GT14" s="29" t="s">
        <v>333</v>
      </c>
      <c r="GU14" s="29">
        <v>30046</v>
      </c>
      <c r="GX14" s="29">
        <v>1</v>
      </c>
      <c r="GZ14" s="29">
        <v>0</v>
      </c>
      <c r="HA14" s="29">
        <v>0</v>
      </c>
      <c r="HB14" s="29">
        <v>0</v>
      </c>
      <c r="HC14" s="29">
        <v>0</v>
      </c>
      <c r="HD14" s="29">
        <v>0</v>
      </c>
      <c r="HE14" s="29" t="b">
        <v>0</v>
      </c>
      <c r="HG14" s="29">
        <v>10001</v>
      </c>
      <c r="HI14" s="29" t="s">
        <v>334</v>
      </c>
      <c r="HJ14" s="29">
        <v>0</v>
      </c>
      <c r="HK14" s="29">
        <v>0</v>
      </c>
      <c r="HL14" s="29">
        <v>0</v>
      </c>
    </row>
    <row r="15" spans="1:222">
      <c r="B15" s="29" cm="1">
        <f t="array" ref="B15">10000000+INDEX(编号表!$B$1:$B$112,MATCH(D15,编号表!$A$1:$A$112,0))*10000+I15</f>
        <v>10010009</v>
      </c>
      <c r="C15" s="29" t="s">
        <v>321</v>
      </c>
      <c r="D15" s="29" t="s">
        <v>321</v>
      </c>
      <c r="E15" s="29" t="s">
        <v>322</v>
      </c>
      <c r="F15" s="29" t="s">
        <v>323</v>
      </c>
      <c r="G15" s="29" t="b">
        <v>0</v>
      </c>
      <c r="H15" s="29" t="b">
        <v>0</v>
      </c>
      <c r="I15" s="29">
        <v>9</v>
      </c>
      <c r="J15" s="29" t="str">
        <f t="shared" si="2"/>
        <v>100100</v>
      </c>
      <c r="K15" s="29" t="s">
        <v>324</v>
      </c>
      <c r="L15" s="29">
        <f t="shared" si="1"/>
        <v>10010008</v>
      </c>
      <c r="M15" s="29">
        <f t="shared" si="0"/>
        <v>10010010</v>
      </c>
      <c r="N15" s="29" t="s">
        <v>325</v>
      </c>
      <c r="O15" s="29">
        <v>10202000</v>
      </c>
      <c r="P15" s="29">
        <v>0</v>
      </c>
      <c r="Q15" s="29">
        <v>3</v>
      </c>
      <c r="R15" s="29">
        <v>40</v>
      </c>
      <c r="T15" s="29">
        <v>100</v>
      </c>
      <c r="V15" s="29">
        <v>500</v>
      </c>
      <c r="W15" s="29">
        <v>500</v>
      </c>
      <c r="X15" s="29" t="s">
        <v>326</v>
      </c>
      <c r="Y15" s="29" t="s">
        <v>327</v>
      </c>
      <c r="Z15" s="29" t="s">
        <v>328</v>
      </c>
      <c r="AA15" s="29">
        <v>0</v>
      </c>
      <c r="AB15" s="29">
        <v>1</v>
      </c>
      <c r="AC15" s="29">
        <v>0</v>
      </c>
      <c r="AD15" s="29" t="s">
        <v>329</v>
      </c>
      <c r="AY15" s="29" t="s">
        <v>330</v>
      </c>
      <c r="AZ15" s="29">
        <v>11900</v>
      </c>
      <c r="BA15" s="29" t="s">
        <v>331</v>
      </c>
      <c r="BB15" s="29" t="s">
        <v>328</v>
      </c>
      <c r="BC15" s="29">
        <v>10000</v>
      </c>
      <c r="BD15" s="29">
        <v>0</v>
      </c>
      <c r="BE15" s="29" t="s">
        <v>332</v>
      </c>
      <c r="BF15" s="29">
        <v>0</v>
      </c>
      <c r="BG15" s="29">
        <v>0</v>
      </c>
      <c r="BH15" s="29">
        <v>10000</v>
      </c>
      <c r="BI15" s="29">
        <v>12</v>
      </c>
      <c r="BJ15" s="29" t="b">
        <v>1</v>
      </c>
      <c r="BK15" s="29">
        <v>0</v>
      </c>
      <c r="BL15" s="29">
        <v>10000</v>
      </c>
      <c r="GR15" s="29">
        <v>200</v>
      </c>
      <c r="GS15" s="29">
        <v>400</v>
      </c>
      <c r="GT15" s="29" t="s">
        <v>333</v>
      </c>
      <c r="GU15" s="29">
        <v>30046</v>
      </c>
      <c r="GX15" s="29">
        <v>1</v>
      </c>
      <c r="GZ15" s="29">
        <v>0</v>
      </c>
      <c r="HA15" s="29">
        <v>0</v>
      </c>
      <c r="HB15" s="29">
        <v>0</v>
      </c>
      <c r="HC15" s="29">
        <v>0</v>
      </c>
      <c r="HD15" s="29">
        <v>0</v>
      </c>
      <c r="HE15" s="29" t="b">
        <v>0</v>
      </c>
      <c r="HG15" s="29">
        <v>10001</v>
      </c>
      <c r="HI15" s="29" t="s">
        <v>334</v>
      </c>
      <c r="HJ15" s="29">
        <v>0</v>
      </c>
      <c r="HK15" s="29">
        <v>0</v>
      </c>
      <c r="HL15" s="29">
        <v>0</v>
      </c>
    </row>
    <row r="16" spans="1:222">
      <c r="B16" s="29" cm="1">
        <f t="array" ref="B16">10000000+INDEX(编号表!$B$1:$B$112,MATCH(D16,编号表!$A$1:$A$112,0))*10000+I16</f>
        <v>10010010</v>
      </c>
      <c r="C16" s="29" t="s">
        <v>321</v>
      </c>
      <c r="D16" s="29" t="s">
        <v>321</v>
      </c>
      <c r="E16" s="29" t="s">
        <v>322</v>
      </c>
      <c r="F16" s="29" t="s">
        <v>323</v>
      </c>
      <c r="G16" s="29" t="b">
        <v>0</v>
      </c>
      <c r="H16" s="29" t="b">
        <v>0</v>
      </c>
      <c r="I16" s="29">
        <v>10</v>
      </c>
      <c r="J16" s="29" t="str">
        <f t="shared" si="2"/>
        <v>100100</v>
      </c>
      <c r="K16" s="29" t="s">
        <v>324</v>
      </c>
      <c r="L16" s="29">
        <f t="shared" si="1"/>
        <v>10010009</v>
      </c>
      <c r="N16" s="29" t="s">
        <v>325</v>
      </c>
      <c r="O16" s="29">
        <v>10202000</v>
      </c>
      <c r="P16" s="29">
        <v>0</v>
      </c>
      <c r="Q16" s="29">
        <v>3</v>
      </c>
      <c r="R16" s="29">
        <v>40</v>
      </c>
      <c r="T16" s="29">
        <v>100</v>
      </c>
      <c r="V16" s="29">
        <v>500</v>
      </c>
      <c r="W16" s="29">
        <v>500</v>
      </c>
      <c r="X16" s="29" t="s">
        <v>326</v>
      </c>
      <c r="Y16" s="29" t="s">
        <v>327</v>
      </c>
      <c r="Z16" s="29" t="s">
        <v>328</v>
      </c>
      <c r="AA16" s="29">
        <v>0</v>
      </c>
      <c r="AB16" s="29">
        <v>1</v>
      </c>
      <c r="AC16" s="29">
        <v>0</v>
      </c>
      <c r="AD16" s="29" t="s">
        <v>329</v>
      </c>
      <c r="AY16" s="29" t="s">
        <v>330</v>
      </c>
      <c r="AZ16" s="29">
        <v>12000</v>
      </c>
      <c r="BA16" s="29" t="s">
        <v>331</v>
      </c>
      <c r="BB16" s="29" t="s">
        <v>328</v>
      </c>
      <c r="BC16" s="29">
        <v>10000</v>
      </c>
      <c r="BD16" s="29">
        <v>0</v>
      </c>
      <c r="BE16" s="29" t="s">
        <v>332</v>
      </c>
      <c r="BF16" s="29">
        <v>0</v>
      </c>
      <c r="BG16" s="29">
        <v>0</v>
      </c>
      <c r="BH16" s="29">
        <v>10000</v>
      </c>
      <c r="BI16" s="29">
        <v>15</v>
      </c>
      <c r="BJ16" s="29" t="b">
        <v>1</v>
      </c>
      <c r="BK16" s="29">
        <v>0</v>
      </c>
      <c r="BL16" s="29">
        <v>10000</v>
      </c>
      <c r="GR16" s="29">
        <v>200</v>
      </c>
      <c r="GS16" s="29">
        <v>400</v>
      </c>
      <c r="GT16" s="29" t="s">
        <v>333</v>
      </c>
      <c r="GU16" s="29">
        <v>30046</v>
      </c>
      <c r="GX16" s="29">
        <v>1</v>
      </c>
      <c r="GZ16" s="29">
        <v>0</v>
      </c>
      <c r="HA16" s="29">
        <v>0</v>
      </c>
      <c r="HB16" s="29">
        <v>0</v>
      </c>
      <c r="HC16" s="29">
        <v>0</v>
      </c>
      <c r="HD16" s="29">
        <v>0</v>
      </c>
      <c r="HE16" s="29" t="b">
        <v>0</v>
      </c>
      <c r="HG16" s="29">
        <v>10001</v>
      </c>
      <c r="HI16" s="29" t="s">
        <v>334</v>
      </c>
      <c r="HJ16" s="29">
        <v>0</v>
      </c>
      <c r="HK16" s="29">
        <v>0</v>
      </c>
      <c r="HL16" s="29">
        <v>0</v>
      </c>
    </row>
    <row r="17" spans="1:222">
      <c r="A17"/>
      <c r="B17" s="29" cm="1">
        <f t="array" ref="B17">10000000+INDEX(编号表!$B$1:$B$112,MATCH(D17,编号表!$A$1:$A$112,0))*10000+I17</f>
        <v>10020001</v>
      </c>
      <c r="C17" s="29" t="s">
        <v>335</v>
      </c>
      <c r="D17" s="29" t="s">
        <v>335</v>
      </c>
      <c r="E17" s="29" t="s">
        <v>322</v>
      </c>
      <c r="F17" s="29" t="s">
        <v>336</v>
      </c>
      <c r="G17" s="29" t="b">
        <v>0</v>
      </c>
      <c r="H17" s="29" t="b">
        <v>0</v>
      </c>
      <c r="I17" s="29">
        <v>1</v>
      </c>
      <c r="J17" s="29" t="str">
        <f t="shared" si="2"/>
        <v>100200</v>
      </c>
      <c r="K17" s="29" t="s">
        <v>324</v>
      </c>
      <c r="L17">
        <v>0</v>
      </c>
      <c r="M17" s="29">
        <v>10020002</v>
      </c>
      <c r="N17" s="29" t="s">
        <v>337</v>
      </c>
      <c r="O17" s="29">
        <v>10202001</v>
      </c>
      <c r="P17" s="29">
        <v>0</v>
      </c>
      <c r="Q17" s="29">
        <v>0</v>
      </c>
      <c r="R17" s="29">
        <v>1</v>
      </c>
      <c r="S17">
        <v>0</v>
      </c>
      <c r="T17" s="29">
        <v>100</v>
      </c>
      <c r="U17" t="s">
        <v>338</v>
      </c>
      <c r="V17" s="29">
        <v>200</v>
      </c>
      <c r="W17" s="29">
        <v>500</v>
      </c>
      <c r="X17" s="29" t="s">
        <v>326</v>
      </c>
      <c r="Y17" s="29" t="s">
        <v>327</v>
      </c>
      <c r="Z17" s="29" t="s">
        <v>328</v>
      </c>
      <c r="AA17" s="29">
        <v>0</v>
      </c>
      <c r="AB17" s="29">
        <v>1</v>
      </c>
      <c r="AC17" s="29" t="b">
        <v>0</v>
      </c>
      <c r="AD17" s="29" t="s">
        <v>329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s="29" t="s">
        <v>330</v>
      </c>
      <c r="AZ17" s="29">
        <v>10000</v>
      </c>
      <c r="BA17" s="29" t="s">
        <v>331</v>
      </c>
      <c r="BB17" s="29" t="s">
        <v>328</v>
      </c>
      <c r="BC17" s="29">
        <v>10000</v>
      </c>
      <c r="BD17" s="29">
        <v>0</v>
      </c>
      <c r="BE17" s="29" t="s">
        <v>332</v>
      </c>
      <c r="BF17" s="29">
        <v>0</v>
      </c>
      <c r="BG17" s="29" t="s">
        <v>330</v>
      </c>
      <c r="BH17" s="29">
        <v>10000</v>
      </c>
      <c r="BI17" s="29">
        <v>3</v>
      </c>
      <c r="BJ17" s="29" t="b">
        <v>1</v>
      </c>
      <c r="BK17" s="29">
        <v>0</v>
      </c>
      <c r="BL17" s="29">
        <v>10000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 s="29">
        <v>200</v>
      </c>
      <c r="GS17" s="29">
        <v>400</v>
      </c>
      <c r="GT17" s="29" t="s">
        <v>333</v>
      </c>
      <c r="GU17" s="29">
        <v>30043</v>
      </c>
      <c r="GV17" t="s">
        <v>339</v>
      </c>
      <c r="GW17" t="s">
        <v>339</v>
      </c>
      <c r="GX17" s="29" t="b">
        <v>1</v>
      </c>
      <c r="GY17">
        <v>1200</v>
      </c>
      <c r="GZ17" s="29" t="b">
        <v>0</v>
      </c>
      <c r="HA17" s="29">
        <v>0</v>
      </c>
      <c r="HB17" s="29">
        <v>0</v>
      </c>
      <c r="HC17" s="29">
        <v>0</v>
      </c>
      <c r="HD17" s="29">
        <v>0</v>
      </c>
      <c r="HE17" s="29" t="b">
        <v>0</v>
      </c>
      <c r="HF17">
        <v>0</v>
      </c>
      <c r="HG17" s="29">
        <v>10001</v>
      </c>
      <c r="HH17" t="s">
        <v>339</v>
      </c>
      <c r="HI17" s="29" t="s">
        <v>334</v>
      </c>
      <c r="HJ17" s="29">
        <v>0</v>
      </c>
      <c r="HK17" s="29">
        <v>0</v>
      </c>
      <c r="HL17" s="29">
        <v>0</v>
      </c>
      <c r="HM17">
        <v>0</v>
      </c>
      <c r="HN17" t="b">
        <v>0</v>
      </c>
    </row>
    <row r="18" spans="1:222">
      <c r="A18"/>
      <c r="B18" s="29" cm="1">
        <f t="array" ref="B18">10000000+INDEX(编号表!$B$1:$B$112,MATCH(D18,编号表!$A$1:$A$112,0))*10000+I18</f>
        <v>10020002</v>
      </c>
      <c r="C18" s="29" t="s">
        <v>335</v>
      </c>
      <c r="D18" s="29" t="s">
        <v>335</v>
      </c>
      <c r="E18" s="29" t="s">
        <v>322</v>
      </c>
      <c r="F18" s="29" t="s">
        <v>336</v>
      </c>
      <c r="G18" s="29" t="b">
        <v>0</v>
      </c>
      <c r="H18" s="29" t="b">
        <v>0</v>
      </c>
      <c r="I18" s="29">
        <v>2</v>
      </c>
      <c r="J18" s="29" t="str">
        <f t="shared" si="2"/>
        <v>100200</v>
      </c>
      <c r="K18" s="29" t="s">
        <v>324</v>
      </c>
      <c r="L18" s="29">
        <f t="shared" ref="L18:L26" si="3">B17</f>
        <v>10020001</v>
      </c>
      <c r="M18" s="29">
        <f t="shared" ref="M18:M25" si="4">B19</f>
        <v>10020003</v>
      </c>
      <c r="N18" s="29" t="s">
        <v>337</v>
      </c>
      <c r="O18" s="29">
        <v>10202001</v>
      </c>
      <c r="P18" s="29">
        <v>0</v>
      </c>
      <c r="Q18" s="29">
        <v>1</v>
      </c>
      <c r="R18" s="29">
        <v>7</v>
      </c>
      <c r="S18">
        <v>0</v>
      </c>
      <c r="T18" s="29">
        <v>100</v>
      </c>
      <c r="U18" t="s">
        <v>338</v>
      </c>
      <c r="V18" s="29">
        <v>200</v>
      </c>
      <c r="W18" s="29">
        <v>500</v>
      </c>
      <c r="X18" s="29" t="s">
        <v>326</v>
      </c>
      <c r="Y18" s="29" t="s">
        <v>327</v>
      </c>
      <c r="Z18" s="29" t="s">
        <v>328</v>
      </c>
      <c r="AA18" s="29">
        <v>0</v>
      </c>
      <c r="AB18" s="29">
        <v>1</v>
      </c>
      <c r="AC18" s="29" t="b">
        <v>0</v>
      </c>
      <c r="AD18" s="29" t="s">
        <v>329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s="29" t="s">
        <v>330</v>
      </c>
      <c r="AZ18" s="29">
        <v>10400</v>
      </c>
      <c r="BA18" s="29" t="s">
        <v>331</v>
      </c>
      <c r="BB18" s="29" t="s">
        <v>328</v>
      </c>
      <c r="BC18" s="29">
        <v>10000</v>
      </c>
      <c r="BD18" s="29">
        <v>0</v>
      </c>
      <c r="BE18" s="29" t="s">
        <v>332</v>
      </c>
      <c r="BF18" s="29">
        <v>0</v>
      </c>
      <c r="BG18" s="29" t="s">
        <v>330</v>
      </c>
      <c r="BH18" s="29">
        <v>10000</v>
      </c>
      <c r="BI18" s="29">
        <v>4</v>
      </c>
      <c r="BJ18" s="29" t="b">
        <v>1</v>
      </c>
      <c r="BK18" s="29">
        <v>0</v>
      </c>
      <c r="BL18" s="29">
        <v>10000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 s="29">
        <v>200</v>
      </c>
      <c r="GS18" s="29">
        <v>400</v>
      </c>
      <c r="GT18" s="29" t="s">
        <v>333</v>
      </c>
      <c r="GU18" s="29">
        <v>30043</v>
      </c>
      <c r="GV18" t="s">
        <v>339</v>
      </c>
      <c r="GW18" t="s">
        <v>339</v>
      </c>
      <c r="GX18" s="29" t="b">
        <v>1</v>
      </c>
      <c r="GY18">
        <v>1200</v>
      </c>
      <c r="GZ18" s="29" t="b">
        <v>0</v>
      </c>
      <c r="HA18" s="29">
        <v>0</v>
      </c>
      <c r="HB18" s="29">
        <v>0</v>
      </c>
      <c r="HC18" s="29">
        <v>0</v>
      </c>
      <c r="HD18" s="29">
        <v>0</v>
      </c>
      <c r="HE18" s="29" t="b">
        <v>0</v>
      </c>
      <c r="HF18">
        <v>0</v>
      </c>
      <c r="HG18" s="29">
        <v>10001</v>
      </c>
      <c r="HH18" t="s">
        <v>339</v>
      </c>
      <c r="HI18" s="29" t="s">
        <v>334</v>
      </c>
      <c r="HJ18" s="29">
        <v>0</v>
      </c>
      <c r="HK18" s="29">
        <v>0</v>
      </c>
      <c r="HL18" s="29">
        <v>0</v>
      </c>
      <c r="HM18">
        <v>0</v>
      </c>
      <c r="HN18" t="b">
        <v>0</v>
      </c>
    </row>
    <row r="19" spans="1:222">
      <c r="A19"/>
      <c r="B19" s="29" cm="1">
        <f t="array" ref="B19">10000000+INDEX(编号表!$B$1:$B$112,MATCH(D19,编号表!$A$1:$A$112,0))*10000+I19</f>
        <v>10020003</v>
      </c>
      <c r="C19" s="29" t="s">
        <v>335</v>
      </c>
      <c r="D19" s="29" t="s">
        <v>335</v>
      </c>
      <c r="E19" s="29" t="s">
        <v>322</v>
      </c>
      <c r="F19" s="29" t="s">
        <v>336</v>
      </c>
      <c r="G19" s="29" t="b">
        <v>0</v>
      </c>
      <c r="H19" s="29" t="b">
        <v>0</v>
      </c>
      <c r="I19" s="29">
        <v>3</v>
      </c>
      <c r="J19" s="29" t="str">
        <f t="shared" si="2"/>
        <v>100200</v>
      </c>
      <c r="K19" s="29" t="s">
        <v>324</v>
      </c>
      <c r="L19" s="29">
        <f t="shared" si="3"/>
        <v>10020002</v>
      </c>
      <c r="M19" s="29">
        <f t="shared" si="4"/>
        <v>10020004</v>
      </c>
      <c r="N19" s="29" t="s">
        <v>337</v>
      </c>
      <c r="O19" s="29">
        <v>10202001</v>
      </c>
      <c r="P19" s="29">
        <v>0</v>
      </c>
      <c r="Q19" s="29">
        <v>2</v>
      </c>
      <c r="R19" s="29">
        <v>11</v>
      </c>
      <c r="S19">
        <v>0</v>
      </c>
      <c r="T19" s="29">
        <v>100</v>
      </c>
      <c r="U19" t="s">
        <v>338</v>
      </c>
      <c r="V19" s="29">
        <v>200</v>
      </c>
      <c r="W19" s="29">
        <v>500</v>
      </c>
      <c r="X19" s="29" t="s">
        <v>326</v>
      </c>
      <c r="Y19" s="29" t="s">
        <v>327</v>
      </c>
      <c r="Z19" s="29" t="s">
        <v>328</v>
      </c>
      <c r="AA19" s="29">
        <v>0</v>
      </c>
      <c r="AB19" s="29">
        <v>1</v>
      </c>
      <c r="AC19" s="29" t="b">
        <v>0</v>
      </c>
      <c r="AD19" s="29" t="s">
        <v>329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s="29" t="s">
        <v>330</v>
      </c>
      <c r="AZ19" s="29">
        <v>10800</v>
      </c>
      <c r="BA19" s="29" t="s">
        <v>331</v>
      </c>
      <c r="BB19" s="29" t="s">
        <v>328</v>
      </c>
      <c r="BC19" s="29">
        <v>10000</v>
      </c>
      <c r="BD19" s="29">
        <v>0</v>
      </c>
      <c r="BE19" s="29" t="s">
        <v>332</v>
      </c>
      <c r="BF19" s="29">
        <v>0</v>
      </c>
      <c r="BG19" s="29" t="s">
        <v>330</v>
      </c>
      <c r="BH19" s="29">
        <v>10000</v>
      </c>
      <c r="BI19" s="29">
        <v>5</v>
      </c>
      <c r="BJ19" s="29" t="b">
        <v>1</v>
      </c>
      <c r="BK19" s="29">
        <v>0</v>
      </c>
      <c r="BL19" s="29">
        <v>10000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 s="29">
        <v>200</v>
      </c>
      <c r="GS19" s="29">
        <v>400</v>
      </c>
      <c r="GT19" s="29" t="s">
        <v>333</v>
      </c>
      <c r="GU19" s="29">
        <v>30043</v>
      </c>
      <c r="GV19" t="s">
        <v>339</v>
      </c>
      <c r="GW19" t="s">
        <v>339</v>
      </c>
      <c r="GX19" s="29" t="b">
        <v>1</v>
      </c>
      <c r="GY19">
        <v>1200</v>
      </c>
      <c r="GZ19" s="29" t="b">
        <v>0</v>
      </c>
      <c r="HA19" s="29">
        <v>0</v>
      </c>
      <c r="HB19" s="29">
        <v>0</v>
      </c>
      <c r="HC19" s="29">
        <v>0</v>
      </c>
      <c r="HD19" s="29">
        <v>0</v>
      </c>
      <c r="HE19" s="29" t="b">
        <v>0</v>
      </c>
      <c r="HF19">
        <v>0</v>
      </c>
      <c r="HG19" s="29">
        <v>10001</v>
      </c>
      <c r="HH19" t="s">
        <v>339</v>
      </c>
      <c r="HI19" s="29" t="s">
        <v>334</v>
      </c>
      <c r="HJ19" s="29">
        <v>0</v>
      </c>
      <c r="HK19" s="29">
        <v>0</v>
      </c>
      <c r="HL19" s="29">
        <v>0</v>
      </c>
      <c r="HM19">
        <v>0</v>
      </c>
      <c r="HN19" t="b">
        <v>0</v>
      </c>
    </row>
    <row r="20" spans="1:222">
      <c r="A20"/>
      <c r="B20" s="29" cm="1">
        <f t="array" ref="B20">10000000+INDEX(编号表!$B$1:$B$112,MATCH(D20,编号表!$A$1:$A$112,0))*10000+I20</f>
        <v>10020004</v>
      </c>
      <c r="C20" s="29" t="s">
        <v>335</v>
      </c>
      <c r="D20" s="29" t="s">
        <v>335</v>
      </c>
      <c r="E20" s="29" t="s">
        <v>322</v>
      </c>
      <c r="F20" s="29" t="s">
        <v>336</v>
      </c>
      <c r="G20" s="29" t="b">
        <v>0</v>
      </c>
      <c r="H20" s="29" t="b">
        <v>0</v>
      </c>
      <c r="I20" s="29">
        <v>4</v>
      </c>
      <c r="J20" s="29" t="str">
        <f t="shared" si="2"/>
        <v>100200</v>
      </c>
      <c r="K20" s="29" t="s">
        <v>324</v>
      </c>
      <c r="L20" s="29">
        <f t="shared" si="3"/>
        <v>10020003</v>
      </c>
      <c r="M20" s="29">
        <f t="shared" si="4"/>
        <v>10020005</v>
      </c>
      <c r="N20" s="29" t="s">
        <v>337</v>
      </c>
      <c r="O20" s="29">
        <v>10202001</v>
      </c>
      <c r="P20" s="29">
        <v>0</v>
      </c>
      <c r="Q20" s="29">
        <v>3</v>
      </c>
      <c r="R20" s="29">
        <v>16</v>
      </c>
      <c r="S20">
        <v>0</v>
      </c>
      <c r="T20" s="29">
        <v>100</v>
      </c>
      <c r="U20" t="s">
        <v>338</v>
      </c>
      <c r="V20" s="29">
        <v>200</v>
      </c>
      <c r="W20" s="29">
        <v>500</v>
      </c>
      <c r="X20" s="29" t="s">
        <v>326</v>
      </c>
      <c r="Y20" s="29" t="s">
        <v>327</v>
      </c>
      <c r="Z20" s="29" t="s">
        <v>328</v>
      </c>
      <c r="AA20" s="29">
        <v>0</v>
      </c>
      <c r="AB20" s="29">
        <v>1</v>
      </c>
      <c r="AC20" s="29" t="b">
        <v>0</v>
      </c>
      <c r="AD20" s="29" t="s">
        <v>329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s="29" t="s">
        <v>330</v>
      </c>
      <c r="AZ20" s="29">
        <v>11200</v>
      </c>
      <c r="BA20" s="29" t="s">
        <v>331</v>
      </c>
      <c r="BB20" s="29" t="s">
        <v>328</v>
      </c>
      <c r="BC20" s="29">
        <v>10000</v>
      </c>
      <c r="BD20" s="29">
        <v>0</v>
      </c>
      <c r="BE20" s="29" t="s">
        <v>332</v>
      </c>
      <c r="BF20" s="29">
        <v>0</v>
      </c>
      <c r="BG20" s="29" t="s">
        <v>330</v>
      </c>
      <c r="BH20" s="29">
        <v>10000</v>
      </c>
      <c r="BI20" s="29">
        <v>6</v>
      </c>
      <c r="BJ20" s="29" t="b">
        <v>1</v>
      </c>
      <c r="BK20" s="29">
        <v>0</v>
      </c>
      <c r="BL20" s="29">
        <v>10000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 s="29">
        <v>200</v>
      </c>
      <c r="GS20" s="29">
        <v>400</v>
      </c>
      <c r="GT20" s="29" t="s">
        <v>333</v>
      </c>
      <c r="GU20" s="29">
        <v>30043</v>
      </c>
      <c r="GV20" t="s">
        <v>339</v>
      </c>
      <c r="GW20" t="s">
        <v>339</v>
      </c>
      <c r="GX20" s="29" t="b">
        <v>1</v>
      </c>
      <c r="GY20">
        <v>1200</v>
      </c>
      <c r="GZ20" s="29" t="b">
        <v>0</v>
      </c>
      <c r="HA20" s="29">
        <v>0</v>
      </c>
      <c r="HB20" s="29">
        <v>0</v>
      </c>
      <c r="HC20" s="29">
        <v>0</v>
      </c>
      <c r="HD20" s="29">
        <v>0</v>
      </c>
      <c r="HE20" s="29" t="b">
        <v>0</v>
      </c>
      <c r="HF20">
        <v>0</v>
      </c>
      <c r="HG20" s="29">
        <v>10001</v>
      </c>
      <c r="HH20" t="s">
        <v>339</v>
      </c>
      <c r="HI20" s="29" t="s">
        <v>334</v>
      </c>
      <c r="HJ20" s="29">
        <v>0</v>
      </c>
      <c r="HK20" s="29">
        <v>0</v>
      </c>
      <c r="HL20" s="29">
        <v>0</v>
      </c>
      <c r="HM20">
        <v>0</v>
      </c>
      <c r="HN20" t="b">
        <v>0</v>
      </c>
    </row>
    <row r="21" spans="1:222">
      <c r="A21"/>
      <c r="B21" s="29" cm="1">
        <f t="array" ref="B21">10000000+INDEX(编号表!$B$1:$B$112,MATCH(D21,编号表!$A$1:$A$112,0))*10000+I21</f>
        <v>10020005</v>
      </c>
      <c r="C21" s="29" t="s">
        <v>335</v>
      </c>
      <c r="D21" s="29" t="s">
        <v>335</v>
      </c>
      <c r="E21" s="29" t="s">
        <v>322</v>
      </c>
      <c r="F21" s="29" t="s">
        <v>336</v>
      </c>
      <c r="G21" s="29" t="b">
        <v>0</v>
      </c>
      <c r="H21" s="29" t="b">
        <v>0</v>
      </c>
      <c r="I21" s="29">
        <v>5</v>
      </c>
      <c r="J21" s="29" t="str">
        <f t="shared" si="2"/>
        <v>100200</v>
      </c>
      <c r="K21" s="29" t="s">
        <v>324</v>
      </c>
      <c r="L21" s="29">
        <f t="shared" si="3"/>
        <v>10020004</v>
      </c>
      <c r="M21" s="29">
        <f t="shared" si="4"/>
        <v>10020006</v>
      </c>
      <c r="N21" s="29" t="s">
        <v>337</v>
      </c>
      <c r="O21" s="29">
        <v>10202001</v>
      </c>
      <c r="P21" s="29">
        <v>0</v>
      </c>
      <c r="Q21" s="29">
        <v>3</v>
      </c>
      <c r="R21" s="29">
        <v>25</v>
      </c>
      <c r="S21">
        <v>0</v>
      </c>
      <c r="T21" s="29">
        <v>100</v>
      </c>
      <c r="U21" t="s">
        <v>338</v>
      </c>
      <c r="V21" s="29">
        <v>200</v>
      </c>
      <c r="W21" s="29">
        <v>500</v>
      </c>
      <c r="X21" s="29" t="s">
        <v>326</v>
      </c>
      <c r="Y21" s="29" t="s">
        <v>327</v>
      </c>
      <c r="Z21" s="29" t="s">
        <v>328</v>
      </c>
      <c r="AA21" s="29">
        <v>0</v>
      </c>
      <c r="AB21" s="29">
        <v>1</v>
      </c>
      <c r="AC21" s="29" t="b">
        <v>0</v>
      </c>
      <c r="AD21" s="29" t="s">
        <v>329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s="29" t="s">
        <v>330</v>
      </c>
      <c r="AZ21" s="29">
        <v>11300</v>
      </c>
      <c r="BA21" s="29" t="s">
        <v>331</v>
      </c>
      <c r="BB21" s="29" t="s">
        <v>328</v>
      </c>
      <c r="BC21" s="29">
        <v>10000</v>
      </c>
      <c r="BD21" s="29">
        <v>0</v>
      </c>
      <c r="BE21" s="29" t="s">
        <v>332</v>
      </c>
      <c r="BF21" s="29">
        <v>0</v>
      </c>
      <c r="BG21" s="29" t="s">
        <v>330</v>
      </c>
      <c r="BH21" s="29">
        <v>10000</v>
      </c>
      <c r="BI21" s="29">
        <v>6</v>
      </c>
      <c r="BJ21" s="29" t="b">
        <v>1</v>
      </c>
      <c r="BK21" s="29">
        <v>0</v>
      </c>
      <c r="BL21" s="29">
        <v>10000</v>
      </c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 s="29">
        <v>200</v>
      </c>
      <c r="GS21" s="29">
        <v>400</v>
      </c>
      <c r="GT21" s="29" t="s">
        <v>333</v>
      </c>
      <c r="GU21" s="29">
        <v>30043</v>
      </c>
      <c r="GV21" t="s">
        <v>339</v>
      </c>
      <c r="GW21" t="s">
        <v>339</v>
      </c>
      <c r="GX21" s="29" t="b">
        <v>1</v>
      </c>
      <c r="GY21">
        <v>1200</v>
      </c>
      <c r="GZ21" s="29" t="b">
        <v>0</v>
      </c>
      <c r="HA21" s="29">
        <v>0</v>
      </c>
      <c r="HB21" s="29">
        <v>0</v>
      </c>
      <c r="HC21" s="29">
        <v>0</v>
      </c>
      <c r="HD21" s="29">
        <v>0</v>
      </c>
      <c r="HE21" s="29" t="b">
        <v>0</v>
      </c>
      <c r="HF21">
        <v>0</v>
      </c>
      <c r="HG21" s="29">
        <v>10001</v>
      </c>
      <c r="HH21" t="s">
        <v>339</v>
      </c>
      <c r="HI21" s="29" t="s">
        <v>334</v>
      </c>
      <c r="HJ21" s="29">
        <v>0</v>
      </c>
      <c r="HK21" s="29">
        <v>0</v>
      </c>
      <c r="HL21" s="29">
        <v>0</v>
      </c>
      <c r="HM21">
        <v>0</v>
      </c>
      <c r="HN21" t="b">
        <v>0</v>
      </c>
    </row>
    <row r="22" spans="1:222">
      <c r="A22"/>
      <c r="B22" s="29" cm="1">
        <f t="array" ref="B22">10000000+INDEX(编号表!$B$1:$B$112,MATCH(D22,编号表!$A$1:$A$112,0))*10000+I22</f>
        <v>10020006</v>
      </c>
      <c r="C22" s="29" t="s">
        <v>335</v>
      </c>
      <c r="D22" s="29" t="s">
        <v>335</v>
      </c>
      <c r="E22" s="29" t="s">
        <v>322</v>
      </c>
      <c r="F22" s="29" t="s">
        <v>336</v>
      </c>
      <c r="G22" s="29" t="b">
        <v>0</v>
      </c>
      <c r="H22" s="29" t="b">
        <v>0</v>
      </c>
      <c r="I22" s="29">
        <v>6</v>
      </c>
      <c r="J22" s="29" t="str">
        <f t="shared" si="2"/>
        <v>100200</v>
      </c>
      <c r="K22" s="29" t="s">
        <v>324</v>
      </c>
      <c r="L22" s="29">
        <f t="shared" si="3"/>
        <v>10020005</v>
      </c>
      <c r="M22" s="29">
        <f t="shared" si="4"/>
        <v>10020007</v>
      </c>
      <c r="N22" s="29" t="s">
        <v>337</v>
      </c>
      <c r="O22" s="29">
        <v>10202001</v>
      </c>
      <c r="P22" s="29">
        <v>0</v>
      </c>
      <c r="Q22" s="29">
        <v>3</v>
      </c>
      <c r="R22" s="29">
        <v>30</v>
      </c>
      <c r="S22">
        <v>0</v>
      </c>
      <c r="T22" s="29">
        <v>100</v>
      </c>
      <c r="U22" t="s">
        <v>338</v>
      </c>
      <c r="V22" s="29">
        <v>200</v>
      </c>
      <c r="W22" s="29">
        <v>500</v>
      </c>
      <c r="X22" s="29" t="s">
        <v>326</v>
      </c>
      <c r="Y22" s="29" t="s">
        <v>327</v>
      </c>
      <c r="Z22" s="29" t="s">
        <v>328</v>
      </c>
      <c r="AA22" s="29">
        <v>0</v>
      </c>
      <c r="AB22" s="29">
        <v>1</v>
      </c>
      <c r="AC22" s="29" t="b">
        <v>0</v>
      </c>
      <c r="AD22" s="29" t="s">
        <v>329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s="29" t="s">
        <v>330</v>
      </c>
      <c r="AZ22" s="29">
        <v>11600</v>
      </c>
      <c r="BA22" s="29" t="s">
        <v>331</v>
      </c>
      <c r="BB22" s="29" t="s">
        <v>328</v>
      </c>
      <c r="BC22" s="29">
        <v>10000</v>
      </c>
      <c r="BD22" s="29">
        <v>0</v>
      </c>
      <c r="BE22" s="29" t="s">
        <v>332</v>
      </c>
      <c r="BF22" s="29">
        <v>0</v>
      </c>
      <c r="BG22" s="29" t="s">
        <v>330</v>
      </c>
      <c r="BH22" s="29">
        <v>10000</v>
      </c>
      <c r="BI22" s="29">
        <v>7</v>
      </c>
      <c r="BJ22" s="29" t="b">
        <v>1</v>
      </c>
      <c r="BK22" s="29">
        <v>0</v>
      </c>
      <c r="BL22" s="29">
        <v>10000</v>
      </c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 s="29">
        <v>200</v>
      </c>
      <c r="GS22" s="29">
        <v>400</v>
      </c>
      <c r="GT22" s="29" t="s">
        <v>333</v>
      </c>
      <c r="GU22" s="29">
        <v>30043</v>
      </c>
      <c r="GV22" t="s">
        <v>339</v>
      </c>
      <c r="GW22" t="s">
        <v>339</v>
      </c>
      <c r="GX22" s="29" t="b">
        <v>1</v>
      </c>
      <c r="GY22">
        <v>1200</v>
      </c>
      <c r="GZ22" s="29" t="b">
        <v>0</v>
      </c>
      <c r="HA22" s="29">
        <v>0</v>
      </c>
      <c r="HB22" s="29">
        <v>0</v>
      </c>
      <c r="HC22" s="29">
        <v>0</v>
      </c>
      <c r="HD22" s="29">
        <v>0</v>
      </c>
      <c r="HE22" s="29" t="b">
        <v>0</v>
      </c>
      <c r="HF22">
        <v>0</v>
      </c>
      <c r="HG22" s="29">
        <v>10001</v>
      </c>
      <c r="HH22" t="s">
        <v>339</v>
      </c>
      <c r="HI22" s="29" t="s">
        <v>334</v>
      </c>
      <c r="HJ22" s="29">
        <v>0</v>
      </c>
      <c r="HK22" s="29">
        <v>0</v>
      </c>
      <c r="HL22" s="29">
        <v>0</v>
      </c>
      <c r="HM22">
        <v>0</v>
      </c>
      <c r="HN22" t="b">
        <v>0</v>
      </c>
    </row>
    <row r="23" spans="1:222">
      <c r="A23"/>
      <c r="B23" s="29" cm="1">
        <f t="array" ref="B23">10000000+INDEX(编号表!$B$1:$B$112,MATCH(D23,编号表!$A$1:$A$112,0))*10000+I23</f>
        <v>10020007</v>
      </c>
      <c r="C23" s="29" t="s">
        <v>335</v>
      </c>
      <c r="D23" s="29" t="s">
        <v>335</v>
      </c>
      <c r="E23" s="29" t="s">
        <v>322</v>
      </c>
      <c r="F23" s="29" t="s">
        <v>336</v>
      </c>
      <c r="G23" s="29" t="b">
        <v>0</v>
      </c>
      <c r="H23" s="29" t="b">
        <v>0</v>
      </c>
      <c r="I23" s="29">
        <v>7</v>
      </c>
      <c r="J23" s="29" t="str">
        <f t="shared" si="2"/>
        <v>100200</v>
      </c>
      <c r="K23" s="29" t="s">
        <v>324</v>
      </c>
      <c r="L23" s="29">
        <f t="shared" si="3"/>
        <v>10020006</v>
      </c>
      <c r="M23" s="29">
        <f t="shared" si="4"/>
        <v>10020008</v>
      </c>
      <c r="N23" s="29" t="s">
        <v>337</v>
      </c>
      <c r="O23" s="29">
        <v>10202001</v>
      </c>
      <c r="P23" s="29">
        <v>0</v>
      </c>
      <c r="Q23" s="29">
        <v>3</v>
      </c>
      <c r="R23" s="29">
        <v>35</v>
      </c>
      <c r="S23">
        <v>0</v>
      </c>
      <c r="T23" s="29">
        <v>100</v>
      </c>
      <c r="U23" t="s">
        <v>338</v>
      </c>
      <c r="V23" s="29">
        <v>200</v>
      </c>
      <c r="W23" s="29">
        <v>500</v>
      </c>
      <c r="X23" s="29" t="s">
        <v>326</v>
      </c>
      <c r="Y23" s="29" t="s">
        <v>327</v>
      </c>
      <c r="Z23" s="29" t="s">
        <v>328</v>
      </c>
      <c r="AA23" s="29">
        <v>0</v>
      </c>
      <c r="AB23" s="29">
        <v>1</v>
      </c>
      <c r="AC23" s="29" t="b">
        <v>0</v>
      </c>
      <c r="AD23" s="29" t="s">
        <v>329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s="29" t="s">
        <v>330</v>
      </c>
      <c r="AZ23" s="29">
        <v>11700</v>
      </c>
      <c r="BA23" s="29" t="s">
        <v>331</v>
      </c>
      <c r="BB23" s="29" t="s">
        <v>328</v>
      </c>
      <c r="BC23" s="29">
        <v>10000</v>
      </c>
      <c r="BD23" s="29">
        <v>0</v>
      </c>
      <c r="BE23" s="29" t="s">
        <v>332</v>
      </c>
      <c r="BF23" s="29">
        <v>0</v>
      </c>
      <c r="BG23" s="29" t="s">
        <v>330</v>
      </c>
      <c r="BH23" s="29">
        <v>10000</v>
      </c>
      <c r="BI23" s="29">
        <v>9</v>
      </c>
      <c r="BJ23" s="29" t="b">
        <v>1</v>
      </c>
      <c r="BK23" s="29">
        <v>0</v>
      </c>
      <c r="BL23" s="29">
        <v>10000</v>
      </c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 s="29">
        <v>200</v>
      </c>
      <c r="GS23" s="29">
        <v>400</v>
      </c>
      <c r="GT23" s="29" t="s">
        <v>333</v>
      </c>
      <c r="GU23" s="29">
        <v>30043</v>
      </c>
      <c r="GV23" t="s">
        <v>339</v>
      </c>
      <c r="GW23" t="s">
        <v>339</v>
      </c>
      <c r="GX23" s="29" t="b">
        <v>1</v>
      </c>
      <c r="GY23">
        <v>1200</v>
      </c>
      <c r="GZ23" s="29" t="b">
        <v>0</v>
      </c>
      <c r="HA23" s="29">
        <v>0</v>
      </c>
      <c r="HB23" s="29">
        <v>0</v>
      </c>
      <c r="HC23" s="29">
        <v>0</v>
      </c>
      <c r="HD23" s="29">
        <v>0</v>
      </c>
      <c r="HE23" s="29" t="b">
        <v>0</v>
      </c>
      <c r="HF23">
        <v>0</v>
      </c>
      <c r="HG23" s="29">
        <v>10001</v>
      </c>
      <c r="HH23" t="s">
        <v>339</v>
      </c>
      <c r="HI23" s="29" t="s">
        <v>334</v>
      </c>
      <c r="HJ23" s="29">
        <v>0</v>
      </c>
      <c r="HK23" s="29">
        <v>0</v>
      </c>
      <c r="HL23" s="29">
        <v>0</v>
      </c>
      <c r="HM23">
        <v>0</v>
      </c>
      <c r="HN23" t="b">
        <v>0</v>
      </c>
    </row>
    <row r="24" spans="1:222">
      <c r="A24"/>
      <c r="B24" s="29" cm="1">
        <f t="array" ref="B24">10000000+INDEX(编号表!$B$1:$B$112,MATCH(D24,编号表!$A$1:$A$112,0))*10000+I24</f>
        <v>10020008</v>
      </c>
      <c r="C24" s="29" t="s">
        <v>335</v>
      </c>
      <c r="D24" s="29" t="s">
        <v>335</v>
      </c>
      <c r="E24" s="29" t="s">
        <v>322</v>
      </c>
      <c r="F24" s="29" t="s">
        <v>336</v>
      </c>
      <c r="G24" s="29" t="b">
        <v>0</v>
      </c>
      <c r="H24" s="29" t="b">
        <v>0</v>
      </c>
      <c r="I24" s="29">
        <v>8</v>
      </c>
      <c r="J24" s="29" t="str">
        <f t="shared" si="2"/>
        <v>100200</v>
      </c>
      <c r="K24" s="29" t="s">
        <v>324</v>
      </c>
      <c r="L24" s="29">
        <f t="shared" si="3"/>
        <v>10020007</v>
      </c>
      <c r="M24" s="29">
        <f t="shared" si="4"/>
        <v>10020009</v>
      </c>
      <c r="N24" s="29" t="s">
        <v>337</v>
      </c>
      <c r="O24" s="29">
        <v>10202001</v>
      </c>
      <c r="P24" s="29">
        <v>0</v>
      </c>
      <c r="Q24" s="29">
        <v>3</v>
      </c>
      <c r="R24" s="29">
        <v>35</v>
      </c>
      <c r="S24">
        <v>0</v>
      </c>
      <c r="T24" s="29">
        <v>100</v>
      </c>
      <c r="U24" t="s">
        <v>338</v>
      </c>
      <c r="V24" s="29">
        <v>200</v>
      </c>
      <c r="W24" s="29">
        <v>500</v>
      </c>
      <c r="X24" s="29" t="s">
        <v>326</v>
      </c>
      <c r="Y24" s="29" t="s">
        <v>327</v>
      </c>
      <c r="Z24" s="29" t="s">
        <v>328</v>
      </c>
      <c r="AA24" s="29">
        <v>0</v>
      </c>
      <c r="AB24" s="29">
        <v>1</v>
      </c>
      <c r="AC24" s="29" t="b">
        <v>0</v>
      </c>
      <c r="AD24" s="29" t="s">
        <v>329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s="29" t="s">
        <v>330</v>
      </c>
      <c r="AZ24" s="29">
        <v>11800</v>
      </c>
      <c r="BA24" s="29" t="s">
        <v>331</v>
      </c>
      <c r="BB24" s="29" t="s">
        <v>328</v>
      </c>
      <c r="BC24" s="29">
        <v>10000</v>
      </c>
      <c r="BD24" s="29">
        <v>0</v>
      </c>
      <c r="BE24" s="29" t="s">
        <v>332</v>
      </c>
      <c r="BF24" s="29">
        <v>0</v>
      </c>
      <c r="BG24" s="29" t="s">
        <v>330</v>
      </c>
      <c r="BH24" s="29">
        <v>10000</v>
      </c>
      <c r="BI24" s="29">
        <v>10</v>
      </c>
      <c r="BJ24" s="29" t="b">
        <v>1</v>
      </c>
      <c r="BK24" s="29">
        <v>0</v>
      </c>
      <c r="BL24" s="29">
        <v>10000</v>
      </c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 s="29">
        <v>200</v>
      </c>
      <c r="GS24" s="29">
        <v>400</v>
      </c>
      <c r="GT24" s="29" t="s">
        <v>333</v>
      </c>
      <c r="GU24" s="29">
        <v>30043</v>
      </c>
      <c r="GV24" t="s">
        <v>339</v>
      </c>
      <c r="GW24" t="s">
        <v>339</v>
      </c>
      <c r="GX24" s="29" t="b">
        <v>1</v>
      </c>
      <c r="GY24">
        <v>1200</v>
      </c>
      <c r="GZ24" s="29" t="b">
        <v>0</v>
      </c>
      <c r="HA24" s="29">
        <v>0</v>
      </c>
      <c r="HB24" s="29">
        <v>0</v>
      </c>
      <c r="HC24" s="29">
        <v>0</v>
      </c>
      <c r="HD24" s="29">
        <v>0</v>
      </c>
      <c r="HE24" s="29" t="b">
        <v>0</v>
      </c>
      <c r="HF24">
        <v>0</v>
      </c>
      <c r="HG24" s="29">
        <v>10001</v>
      </c>
      <c r="HH24" t="s">
        <v>339</v>
      </c>
      <c r="HI24" s="29" t="s">
        <v>334</v>
      </c>
      <c r="HJ24" s="29">
        <v>0</v>
      </c>
      <c r="HK24" s="29">
        <v>0</v>
      </c>
      <c r="HL24" s="29">
        <v>0</v>
      </c>
      <c r="HM24">
        <v>0</v>
      </c>
      <c r="HN24" t="b">
        <v>0</v>
      </c>
    </row>
    <row r="25" spans="1:222">
      <c r="A25"/>
      <c r="B25" s="29" cm="1">
        <f t="array" ref="B25">10000000+INDEX(编号表!$B$1:$B$112,MATCH(D25,编号表!$A$1:$A$112,0))*10000+I25</f>
        <v>10020009</v>
      </c>
      <c r="C25" s="29" t="s">
        <v>335</v>
      </c>
      <c r="D25" s="29" t="s">
        <v>335</v>
      </c>
      <c r="E25" s="29" t="s">
        <v>322</v>
      </c>
      <c r="F25" s="29" t="s">
        <v>336</v>
      </c>
      <c r="G25" s="29" t="b">
        <v>0</v>
      </c>
      <c r="H25" s="29" t="b">
        <v>0</v>
      </c>
      <c r="I25" s="29">
        <v>9</v>
      </c>
      <c r="J25" s="29" t="str">
        <f t="shared" si="2"/>
        <v>100200</v>
      </c>
      <c r="K25" s="29" t="s">
        <v>324</v>
      </c>
      <c r="L25" s="29">
        <f t="shared" si="3"/>
        <v>10020008</v>
      </c>
      <c r="M25" s="29">
        <f t="shared" si="4"/>
        <v>10020010</v>
      </c>
      <c r="N25" s="29" t="s">
        <v>337</v>
      </c>
      <c r="O25" s="29">
        <v>10202001</v>
      </c>
      <c r="P25" s="29">
        <v>0</v>
      </c>
      <c r="Q25" s="29">
        <v>3</v>
      </c>
      <c r="R25" s="29">
        <v>40</v>
      </c>
      <c r="S25">
        <v>0</v>
      </c>
      <c r="T25" s="29">
        <v>100</v>
      </c>
      <c r="U25" t="s">
        <v>338</v>
      </c>
      <c r="V25" s="29">
        <v>200</v>
      </c>
      <c r="W25" s="29">
        <v>500</v>
      </c>
      <c r="X25" s="29" t="s">
        <v>326</v>
      </c>
      <c r="Y25" s="29" t="s">
        <v>327</v>
      </c>
      <c r="Z25" s="29" t="s">
        <v>328</v>
      </c>
      <c r="AA25" s="29">
        <v>0</v>
      </c>
      <c r="AB25" s="29">
        <v>1</v>
      </c>
      <c r="AC25" s="29" t="b">
        <v>0</v>
      </c>
      <c r="AD25" s="29" t="s">
        <v>329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 s="29" t="s">
        <v>330</v>
      </c>
      <c r="AZ25" s="29">
        <v>11900</v>
      </c>
      <c r="BA25" s="29" t="s">
        <v>331</v>
      </c>
      <c r="BB25" s="29" t="s">
        <v>328</v>
      </c>
      <c r="BC25" s="29">
        <v>10000</v>
      </c>
      <c r="BD25" s="29">
        <v>0</v>
      </c>
      <c r="BE25" s="29" t="s">
        <v>332</v>
      </c>
      <c r="BF25" s="29">
        <v>0</v>
      </c>
      <c r="BG25" s="29" t="s">
        <v>330</v>
      </c>
      <c r="BH25" s="29">
        <v>10000</v>
      </c>
      <c r="BI25" s="29">
        <v>12</v>
      </c>
      <c r="BJ25" s="29" t="b">
        <v>1</v>
      </c>
      <c r="BK25" s="29">
        <v>0</v>
      </c>
      <c r="BL25" s="29">
        <v>10000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 s="29">
        <v>200</v>
      </c>
      <c r="GS25" s="29">
        <v>400</v>
      </c>
      <c r="GT25" s="29" t="s">
        <v>333</v>
      </c>
      <c r="GU25" s="29">
        <v>30043</v>
      </c>
      <c r="GV25" t="s">
        <v>339</v>
      </c>
      <c r="GW25" t="s">
        <v>339</v>
      </c>
      <c r="GX25" s="29" t="b">
        <v>1</v>
      </c>
      <c r="GY25">
        <v>1200</v>
      </c>
      <c r="GZ25" s="29" t="b">
        <v>0</v>
      </c>
      <c r="HA25" s="29">
        <v>0</v>
      </c>
      <c r="HB25" s="29">
        <v>0</v>
      </c>
      <c r="HC25" s="29">
        <v>0</v>
      </c>
      <c r="HD25" s="29">
        <v>0</v>
      </c>
      <c r="HE25" s="29" t="b">
        <v>0</v>
      </c>
      <c r="HF25">
        <v>0</v>
      </c>
      <c r="HG25" s="29">
        <v>10001</v>
      </c>
      <c r="HH25" t="s">
        <v>339</v>
      </c>
      <c r="HI25" s="29" t="s">
        <v>334</v>
      </c>
      <c r="HJ25" s="29">
        <v>0</v>
      </c>
      <c r="HK25" s="29">
        <v>0</v>
      </c>
      <c r="HL25" s="29">
        <v>0</v>
      </c>
      <c r="HM25">
        <v>0</v>
      </c>
      <c r="HN25" t="b">
        <v>0</v>
      </c>
    </row>
    <row r="26" spans="1:222">
      <c r="A26"/>
      <c r="B26" s="29" cm="1">
        <f t="array" ref="B26">10000000+INDEX(编号表!$B$1:$B$112,MATCH(D26,编号表!$A$1:$A$112,0))*10000+I26</f>
        <v>10020010</v>
      </c>
      <c r="C26" s="29" t="s">
        <v>335</v>
      </c>
      <c r="D26" s="29" t="s">
        <v>335</v>
      </c>
      <c r="E26" s="29" t="s">
        <v>322</v>
      </c>
      <c r="F26" s="29" t="s">
        <v>336</v>
      </c>
      <c r="G26" s="29" t="b">
        <v>0</v>
      </c>
      <c r="H26" s="29" t="b">
        <v>0</v>
      </c>
      <c r="I26" s="29">
        <v>10</v>
      </c>
      <c r="J26" s="29" t="str">
        <f t="shared" si="2"/>
        <v>100200</v>
      </c>
      <c r="K26" s="29" t="s">
        <v>324</v>
      </c>
      <c r="L26" s="29">
        <f t="shared" si="3"/>
        <v>10020009</v>
      </c>
      <c r="M26">
        <v>0</v>
      </c>
      <c r="N26" s="29" t="s">
        <v>337</v>
      </c>
      <c r="O26" s="29">
        <v>10202001</v>
      </c>
      <c r="P26" s="29">
        <v>0</v>
      </c>
      <c r="Q26" s="29">
        <v>3</v>
      </c>
      <c r="R26" s="29">
        <v>40</v>
      </c>
      <c r="S26">
        <v>0</v>
      </c>
      <c r="T26" s="29">
        <v>0</v>
      </c>
      <c r="U26" t="s">
        <v>338</v>
      </c>
      <c r="V26" s="29">
        <v>200</v>
      </c>
      <c r="W26" s="29">
        <v>500</v>
      </c>
      <c r="X26" s="29" t="s">
        <v>326</v>
      </c>
      <c r="Y26" s="29" t="s">
        <v>327</v>
      </c>
      <c r="Z26" s="29" t="s">
        <v>328</v>
      </c>
      <c r="AA26" s="29">
        <v>0</v>
      </c>
      <c r="AB26" s="29">
        <v>1</v>
      </c>
      <c r="AC26" s="29" t="b">
        <v>0</v>
      </c>
      <c r="AD26" s="29" t="s">
        <v>329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 s="29" t="s">
        <v>330</v>
      </c>
      <c r="AZ26" s="29">
        <v>12000</v>
      </c>
      <c r="BA26" s="29" t="s">
        <v>331</v>
      </c>
      <c r="BB26" s="29" t="s">
        <v>328</v>
      </c>
      <c r="BC26" s="29">
        <v>10000</v>
      </c>
      <c r="BD26" s="29">
        <v>0</v>
      </c>
      <c r="BE26" s="29" t="s">
        <v>332</v>
      </c>
      <c r="BF26" s="29">
        <v>0</v>
      </c>
      <c r="BG26" s="29" t="s">
        <v>330</v>
      </c>
      <c r="BH26" s="29">
        <v>10000</v>
      </c>
      <c r="BI26" s="29">
        <v>15</v>
      </c>
      <c r="BJ26" s="29" t="b">
        <v>1</v>
      </c>
      <c r="BK26" s="29">
        <v>0</v>
      </c>
      <c r="BL26" s="29">
        <v>10000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 s="29">
        <v>200</v>
      </c>
      <c r="GS26" s="29">
        <v>400</v>
      </c>
      <c r="GT26" s="29" t="s">
        <v>333</v>
      </c>
      <c r="GU26" s="29">
        <v>30043</v>
      </c>
      <c r="GV26" t="s">
        <v>339</v>
      </c>
      <c r="GW26" t="s">
        <v>339</v>
      </c>
      <c r="GX26" s="29" t="b">
        <v>1</v>
      </c>
      <c r="GY26">
        <v>1200</v>
      </c>
      <c r="GZ26" s="29" t="b">
        <v>0</v>
      </c>
      <c r="HA26" s="29">
        <v>0</v>
      </c>
      <c r="HB26" s="29">
        <v>0</v>
      </c>
      <c r="HC26" s="29">
        <v>0</v>
      </c>
      <c r="HD26" s="29">
        <v>0</v>
      </c>
      <c r="HE26" s="29" t="b">
        <v>0</v>
      </c>
      <c r="HF26">
        <v>0</v>
      </c>
      <c r="HG26" s="29">
        <v>10001</v>
      </c>
      <c r="HH26" t="s">
        <v>339</v>
      </c>
      <c r="HI26" s="29" t="s">
        <v>334</v>
      </c>
      <c r="HJ26" s="29">
        <v>0</v>
      </c>
      <c r="HK26" s="29">
        <v>0</v>
      </c>
      <c r="HL26" s="29">
        <v>0</v>
      </c>
      <c r="HM26">
        <v>0</v>
      </c>
      <c r="HN26" t="b">
        <v>0</v>
      </c>
    </row>
    <row r="27" spans="1:222">
      <c r="A27"/>
      <c r="B27" s="29" cm="1">
        <f t="array" ref="B27">10000000+INDEX(编号表!$B$1:$B$112,MATCH(D27,编号表!$A$1:$A$112,0))*10000+I27</f>
        <v>10030001</v>
      </c>
      <c r="C27" s="29" t="s">
        <v>340</v>
      </c>
      <c r="D27" s="29" t="s">
        <v>340</v>
      </c>
      <c r="E27" s="29" t="s">
        <v>322</v>
      </c>
      <c r="F27" s="29" t="s">
        <v>336</v>
      </c>
      <c r="G27" s="29" t="b">
        <v>0</v>
      </c>
      <c r="H27" s="29" t="b">
        <v>0</v>
      </c>
      <c r="I27" s="29">
        <v>1</v>
      </c>
      <c r="J27" s="29" t="str">
        <f t="shared" si="2"/>
        <v>100300</v>
      </c>
      <c r="K27" s="29" t="s">
        <v>324</v>
      </c>
      <c r="L27">
        <v>0</v>
      </c>
      <c r="M27" s="29">
        <f t="shared" ref="M27:M35" si="5">B28</f>
        <v>10030002</v>
      </c>
      <c r="N27" s="29" t="s">
        <v>341</v>
      </c>
      <c r="O27" s="29">
        <v>10202002</v>
      </c>
      <c r="P27" s="29">
        <v>0</v>
      </c>
      <c r="Q27" s="29">
        <v>0</v>
      </c>
      <c r="R27" s="29">
        <v>1</v>
      </c>
      <c r="S27">
        <v>0</v>
      </c>
      <c r="T27" s="29">
        <v>100</v>
      </c>
      <c r="U27" t="s">
        <v>338</v>
      </c>
      <c r="V27" s="29">
        <v>0</v>
      </c>
      <c r="W27" s="29">
        <v>0</v>
      </c>
      <c r="X27" s="29" t="s">
        <v>342</v>
      </c>
      <c r="Y27" s="29" t="s">
        <v>343</v>
      </c>
      <c r="Z27" s="29" t="s">
        <v>328</v>
      </c>
      <c r="AA27" s="29">
        <v>0</v>
      </c>
      <c r="AB27" s="29">
        <v>8</v>
      </c>
      <c r="AC27" s="29" t="b">
        <v>0</v>
      </c>
      <c r="AD27" s="29" t="s">
        <v>329</v>
      </c>
      <c r="AE27"/>
      <c r="AF27">
        <v>320</v>
      </c>
      <c r="AG27">
        <v>80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 s="29" t="s">
        <v>330</v>
      </c>
      <c r="AZ27" s="29">
        <v>10000</v>
      </c>
      <c r="BA27" s="29" t="s">
        <v>331</v>
      </c>
      <c r="BB27" s="29" t="s">
        <v>328</v>
      </c>
      <c r="BC27" s="29">
        <v>10000</v>
      </c>
      <c r="BD27" s="29">
        <v>0</v>
      </c>
      <c r="BE27" s="29" t="s">
        <v>332</v>
      </c>
      <c r="BF27" s="29">
        <v>0</v>
      </c>
      <c r="BG27" s="29" t="s">
        <v>330</v>
      </c>
      <c r="BH27" s="29">
        <v>9000</v>
      </c>
      <c r="BI27" s="29">
        <v>3</v>
      </c>
      <c r="BJ27" s="29" t="b">
        <v>1</v>
      </c>
      <c r="BK27" s="29">
        <v>0</v>
      </c>
      <c r="BL27" s="29">
        <v>8000</v>
      </c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 s="29">
        <v>200</v>
      </c>
      <c r="GS27" s="29">
        <v>400</v>
      </c>
      <c r="GT27" s="29" t="s">
        <v>333</v>
      </c>
      <c r="GU27" s="29">
        <v>30057</v>
      </c>
      <c r="GV27" t="s">
        <v>339</v>
      </c>
      <c r="GW27" t="s">
        <v>339</v>
      </c>
      <c r="GX27" s="29" t="b">
        <v>1</v>
      </c>
      <c r="GY27">
        <v>2500</v>
      </c>
      <c r="GZ27" s="29" t="b">
        <v>0</v>
      </c>
      <c r="HA27" s="29">
        <v>0</v>
      </c>
      <c r="HB27" s="29">
        <v>0</v>
      </c>
      <c r="HC27" s="29">
        <v>0</v>
      </c>
      <c r="HD27" s="29">
        <v>0</v>
      </c>
      <c r="HE27" s="29" t="b">
        <v>0</v>
      </c>
      <c r="HF27">
        <v>0</v>
      </c>
      <c r="HG27" s="29">
        <v>10001</v>
      </c>
      <c r="HH27" t="s">
        <v>339</v>
      </c>
      <c r="HI27" s="29" t="s">
        <v>334</v>
      </c>
      <c r="HJ27" s="29">
        <v>0</v>
      </c>
      <c r="HK27" s="29">
        <v>0</v>
      </c>
      <c r="HL27" s="29">
        <v>0</v>
      </c>
      <c r="HM27">
        <v>0</v>
      </c>
      <c r="HN27" t="b">
        <v>0</v>
      </c>
    </row>
    <row r="28" spans="1:222">
      <c r="A28"/>
      <c r="B28" s="29" cm="1">
        <f t="array" ref="B28">10000000+INDEX(编号表!$B$1:$B$112,MATCH(D28,编号表!$A$1:$A$112,0))*10000+I28</f>
        <v>10030002</v>
      </c>
      <c r="C28" s="29" t="s">
        <v>340</v>
      </c>
      <c r="D28" s="29" t="s">
        <v>340</v>
      </c>
      <c r="E28" s="29" t="s">
        <v>322</v>
      </c>
      <c r="F28" s="29" t="s">
        <v>336</v>
      </c>
      <c r="G28" s="29" t="b">
        <v>0</v>
      </c>
      <c r="H28" s="29" t="b">
        <v>0</v>
      </c>
      <c r="I28" s="29">
        <v>2</v>
      </c>
      <c r="J28" s="29" t="str">
        <f t="shared" si="2"/>
        <v>100300</v>
      </c>
      <c r="K28" s="29" t="s">
        <v>324</v>
      </c>
      <c r="L28" s="29">
        <f t="shared" ref="L28:L36" si="6">B27</f>
        <v>10030001</v>
      </c>
      <c r="M28" s="29">
        <f t="shared" si="5"/>
        <v>10030003</v>
      </c>
      <c r="N28" s="29" t="s">
        <v>341</v>
      </c>
      <c r="O28" s="29">
        <v>10202002</v>
      </c>
      <c r="P28" s="29">
        <v>0</v>
      </c>
      <c r="Q28" s="29">
        <v>1</v>
      </c>
      <c r="R28" s="29">
        <v>7</v>
      </c>
      <c r="S28">
        <v>0</v>
      </c>
      <c r="T28" s="29">
        <v>100</v>
      </c>
      <c r="U28" t="s">
        <v>338</v>
      </c>
      <c r="V28" s="29">
        <v>0</v>
      </c>
      <c r="W28" s="29">
        <v>0</v>
      </c>
      <c r="X28" s="29" t="s">
        <v>342</v>
      </c>
      <c r="Y28" s="29" t="s">
        <v>343</v>
      </c>
      <c r="Z28" s="29" t="s">
        <v>328</v>
      </c>
      <c r="AA28" s="29">
        <v>0</v>
      </c>
      <c r="AB28" s="29">
        <v>8</v>
      </c>
      <c r="AC28" s="29" t="b">
        <v>0</v>
      </c>
      <c r="AD28" s="29" t="s">
        <v>329</v>
      </c>
      <c r="AE28"/>
      <c r="AF28">
        <v>320</v>
      </c>
      <c r="AG28">
        <v>80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 s="29" t="s">
        <v>330</v>
      </c>
      <c r="AZ28" s="29">
        <v>10400</v>
      </c>
      <c r="BA28" s="29" t="s">
        <v>331</v>
      </c>
      <c r="BB28" s="29" t="s">
        <v>328</v>
      </c>
      <c r="BC28" s="29">
        <v>10000</v>
      </c>
      <c r="BD28" s="29">
        <v>0</v>
      </c>
      <c r="BE28" s="29" t="s">
        <v>332</v>
      </c>
      <c r="BF28" s="29">
        <v>0</v>
      </c>
      <c r="BG28" s="29" t="s">
        <v>330</v>
      </c>
      <c r="BH28" s="29">
        <v>9000</v>
      </c>
      <c r="BI28" s="29">
        <v>4</v>
      </c>
      <c r="BJ28" s="29" t="b">
        <v>1</v>
      </c>
      <c r="BK28" s="29">
        <v>0</v>
      </c>
      <c r="BL28" s="29">
        <v>8000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 s="29">
        <v>200</v>
      </c>
      <c r="GS28" s="29">
        <v>400</v>
      </c>
      <c r="GT28" s="29" t="s">
        <v>333</v>
      </c>
      <c r="GU28" s="29">
        <v>30057</v>
      </c>
      <c r="GV28" t="s">
        <v>339</v>
      </c>
      <c r="GW28" t="s">
        <v>339</v>
      </c>
      <c r="GX28" s="29" t="b">
        <v>1</v>
      </c>
      <c r="GY28">
        <v>2500</v>
      </c>
      <c r="GZ28" s="29" t="b">
        <v>0</v>
      </c>
      <c r="HA28" s="29">
        <v>0</v>
      </c>
      <c r="HB28" s="29">
        <v>0</v>
      </c>
      <c r="HC28" s="29">
        <v>0</v>
      </c>
      <c r="HD28" s="29">
        <v>0</v>
      </c>
      <c r="HE28" s="29" t="b">
        <v>0</v>
      </c>
      <c r="HF28">
        <v>0</v>
      </c>
      <c r="HG28" s="29">
        <v>10001</v>
      </c>
      <c r="HH28" t="s">
        <v>339</v>
      </c>
      <c r="HI28" s="29" t="s">
        <v>334</v>
      </c>
      <c r="HJ28" s="29">
        <v>0</v>
      </c>
      <c r="HK28" s="29">
        <v>0</v>
      </c>
      <c r="HL28" s="29">
        <v>0</v>
      </c>
      <c r="HM28">
        <v>0</v>
      </c>
      <c r="HN28" t="b">
        <v>0</v>
      </c>
    </row>
    <row r="29" spans="1:222">
      <c r="A29"/>
      <c r="B29" s="29" cm="1">
        <f t="array" ref="B29">10000000+INDEX(编号表!$B$1:$B$112,MATCH(D29,编号表!$A$1:$A$112,0))*10000+I29</f>
        <v>10030003</v>
      </c>
      <c r="C29" s="29" t="s">
        <v>340</v>
      </c>
      <c r="D29" s="29" t="s">
        <v>340</v>
      </c>
      <c r="E29" s="29" t="s">
        <v>322</v>
      </c>
      <c r="F29" s="29" t="s">
        <v>336</v>
      </c>
      <c r="G29" s="29" t="b">
        <v>0</v>
      </c>
      <c r="H29" s="29" t="b">
        <v>0</v>
      </c>
      <c r="I29" s="29">
        <v>3</v>
      </c>
      <c r="J29" s="29" t="str">
        <f t="shared" si="2"/>
        <v>100300</v>
      </c>
      <c r="K29" s="29" t="s">
        <v>324</v>
      </c>
      <c r="L29" s="29">
        <f t="shared" si="6"/>
        <v>10030002</v>
      </c>
      <c r="M29" s="29">
        <f t="shared" si="5"/>
        <v>10030004</v>
      </c>
      <c r="N29" s="29" t="s">
        <v>341</v>
      </c>
      <c r="O29" s="29">
        <v>10202002</v>
      </c>
      <c r="P29" s="29">
        <v>0</v>
      </c>
      <c r="Q29" s="29">
        <v>2</v>
      </c>
      <c r="R29" s="29">
        <v>11</v>
      </c>
      <c r="S29">
        <v>0</v>
      </c>
      <c r="T29" s="29">
        <v>100</v>
      </c>
      <c r="U29" t="s">
        <v>338</v>
      </c>
      <c r="V29" s="29">
        <v>0</v>
      </c>
      <c r="W29" s="29">
        <v>0</v>
      </c>
      <c r="X29" s="29" t="s">
        <v>342</v>
      </c>
      <c r="Y29" s="29" t="s">
        <v>343</v>
      </c>
      <c r="Z29" s="29" t="s">
        <v>328</v>
      </c>
      <c r="AA29" s="29">
        <v>0</v>
      </c>
      <c r="AB29" s="29">
        <v>8</v>
      </c>
      <c r="AC29" s="29" t="b">
        <v>0</v>
      </c>
      <c r="AD29" s="29" t="s">
        <v>329</v>
      </c>
      <c r="AE29"/>
      <c r="AF29">
        <v>320</v>
      </c>
      <c r="AG29">
        <v>80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 s="29" t="s">
        <v>330</v>
      </c>
      <c r="AZ29" s="29">
        <v>10800</v>
      </c>
      <c r="BA29" s="29" t="s">
        <v>331</v>
      </c>
      <c r="BB29" s="29" t="s">
        <v>328</v>
      </c>
      <c r="BC29" s="29">
        <v>10000</v>
      </c>
      <c r="BD29" s="29">
        <v>0</v>
      </c>
      <c r="BE29" s="29" t="s">
        <v>332</v>
      </c>
      <c r="BF29" s="29">
        <v>0</v>
      </c>
      <c r="BG29" s="29" t="s">
        <v>330</v>
      </c>
      <c r="BH29" s="29">
        <v>9000</v>
      </c>
      <c r="BI29" s="29">
        <v>5</v>
      </c>
      <c r="BJ29" s="29" t="b">
        <v>1</v>
      </c>
      <c r="BK29" s="29">
        <v>0</v>
      </c>
      <c r="BL29" s="29">
        <v>8000</v>
      </c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 s="29">
        <v>200</v>
      </c>
      <c r="GS29" s="29">
        <v>400</v>
      </c>
      <c r="GT29" s="29" t="s">
        <v>333</v>
      </c>
      <c r="GU29" s="29">
        <v>30057</v>
      </c>
      <c r="GV29" t="s">
        <v>339</v>
      </c>
      <c r="GW29" t="s">
        <v>339</v>
      </c>
      <c r="GX29" s="29" t="b">
        <v>1</v>
      </c>
      <c r="GY29">
        <v>2500</v>
      </c>
      <c r="GZ29" s="29" t="b">
        <v>0</v>
      </c>
      <c r="HA29" s="29">
        <v>0</v>
      </c>
      <c r="HB29" s="29">
        <v>0</v>
      </c>
      <c r="HC29" s="29">
        <v>0</v>
      </c>
      <c r="HD29" s="29">
        <v>0</v>
      </c>
      <c r="HE29" s="29" t="b">
        <v>0</v>
      </c>
      <c r="HF29">
        <v>0</v>
      </c>
      <c r="HG29" s="29">
        <v>10001</v>
      </c>
      <c r="HH29" t="s">
        <v>339</v>
      </c>
      <c r="HI29" s="29" t="s">
        <v>334</v>
      </c>
      <c r="HJ29" s="29">
        <v>0</v>
      </c>
      <c r="HK29" s="29">
        <v>0</v>
      </c>
      <c r="HL29" s="29">
        <v>0</v>
      </c>
      <c r="HM29">
        <v>0</v>
      </c>
      <c r="HN29" t="b">
        <v>0</v>
      </c>
    </row>
    <row r="30" spans="1:222">
      <c r="A30"/>
      <c r="B30" s="29" cm="1">
        <f t="array" ref="B30">10000000+INDEX(编号表!$B$1:$B$112,MATCH(D30,编号表!$A$1:$A$112,0))*10000+I30</f>
        <v>10030004</v>
      </c>
      <c r="C30" s="29" t="s">
        <v>340</v>
      </c>
      <c r="D30" s="29" t="s">
        <v>340</v>
      </c>
      <c r="E30" s="29" t="s">
        <v>322</v>
      </c>
      <c r="F30" s="29" t="s">
        <v>336</v>
      </c>
      <c r="G30" s="29" t="b">
        <v>0</v>
      </c>
      <c r="H30" s="29" t="b">
        <v>0</v>
      </c>
      <c r="I30" s="29">
        <v>4</v>
      </c>
      <c r="J30" s="29" t="str">
        <f t="shared" si="2"/>
        <v>100300</v>
      </c>
      <c r="K30" s="29" t="s">
        <v>324</v>
      </c>
      <c r="L30" s="29">
        <f t="shared" si="6"/>
        <v>10030003</v>
      </c>
      <c r="M30" s="29">
        <f t="shared" si="5"/>
        <v>10030005</v>
      </c>
      <c r="N30" s="29" t="s">
        <v>341</v>
      </c>
      <c r="O30" s="29">
        <v>10202002</v>
      </c>
      <c r="P30" s="29">
        <v>0</v>
      </c>
      <c r="Q30" s="29">
        <v>3</v>
      </c>
      <c r="R30" s="29">
        <v>16</v>
      </c>
      <c r="S30">
        <v>0</v>
      </c>
      <c r="T30" s="29">
        <v>100</v>
      </c>
      <c r="U30" t="s">
        <v>338</v>
      </c>
      <c r="V30" s="29">
        <v>0</v>
      </c>
      <c r="W30" s="29">
        <v>0</v>
      </c>
      <c r="X30" s="29" t="s">
        <v>342</v>
      </c>
      <c r="Y30" s="29" t="s">
        <v>343</v>
      </c>
      <c r="Z30" s="29" t="s">
        <v>328</v>
      </c>
      <c r="AA30" s="29">
        <v>0</v>
      </c>
      <c r="AB30" s="29">
        <v>8</v>
      </c>
      <c r="AC30" s="29" t="b">
        <v>0</v>
      </c>
      <c r="AD30" s="29" t="s">
        <v>329</v>
      </c>
      <c r="AE30"/>
      <c r="AF30">
        <v>320</v>
      </c>
      <c r="AG30">
        <v>80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 s="29" t="s">
        <v>330</v>
      </c>
      <c r="AZ30" s="29">
        <v>11200</v>
      </c>
      <c r="BA30" s="29" t="s">
        <v>331</v>
      </c>
      <c r="BB30" s="29" t="s">
        <v>328</v>
      </c>
      <c r="BC30" s="29">
        <v>10000</v>
      </c>
      <c r="BD30" s="29">
        <v>0</v>
      </c>
      <c r="BE30" s="29" t="s">
        <v>332</v>
      </c>
      <c r="BF30" s="29">
        <v>0</v>
      </c>
      <c r="BG30" s="29" t="s">
        <v>330</v>
      </c>
      <c r="BH30" s="29">
        <v>9000</v>
      </c>
      <c r="BI30" s="29">
        <v>6</v>
      </c>
      <c r="BJ30" s="29" t="b">
        <v>1</v>
      </c>
      <c r="BK30" s="29">
        <v>0</v>
      </c>
      <c r="BL30" s="29">
        <v>8000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 s="29">
        <v>200</v>
      </c>
      <c r="GS30" s="29">
        <v>400</v>
      </c>
      <c r="GT30" s="29" t="s">
        <v>333</v>
      </c>
      <c r="GU30" s="29">
        <v>30057</v>
      </c>
      <c r="GV30" t="s">
        <v>339</v>
      </c>
      <c r="GW30" t="s">
        <v>339</v>
      </c>
      <c r="GX30" s="29" t="b">
        <v>1</v>
      </c>
      <c r="GY30">
        <v>2500</v>
      </c>
      <c r="GZ30" s="29" t="b">
        <v>0</v>
      </c>
      <c r="HA30" s="29">
        <v>0</v>
      </c>
      <c r="HB30" s="29">
        <v>0</v>
      </c>
      <c r="HC30" s="29">
        <v>0</v>
      </c>
      <c r="HD30" s="29">
        <v>0</v>
      </c>
      <c r="HE30" s="29" t="b">
        <v>0</v>
      </c>
      <c r="HF30">
        <v>0</v>
      </c>
      <c r="HG30" s="29">
        <v>10001</v>
      </c>
      <c r="HH30" t="s">
        <v>339</v>
      </c>
      <c r="HI30" s="29" t="s">
        <v>334</v>
      </c>
      <c r="HJ30" s="29">
        <v>0</v>
      </c>
      <c r="HK30" s="29">
        <v>0</v>
      </c>
      <c r="HL30" s="29">
        <v>0</v>
      </c>
      <c r="HM30">
        <v>0</v>
      </c>
      <c r="HN30" t="b">
        <v>0</v>
      </c>
    </row>
    <row r="31" spans="1:222">
      <c r="A31"/>
      <c r="B31" s="29" cm="1">
        <f t="array" ref="B31">10000000+INDEX(编号表!$B$1:$B$112,MATCH(D31,编号表!$A$1:$A$112,0))*10000+I31</f>
        <v>10030005</v>
      </c>
      <c r="C31" s="29" t="s">
        <v>340</v>
      </c>
      <c r="D31" s="29" t="s">
        <v>340</v>
      </c>
      <c r="E31" s="29" t="s">
        <v>322</v>
      </c>
      <c r="F31" s="29" t="s">
        <v>336</v>
      </c>
      <c r="G31" s="29" t="b">
        <v>0</v>
      </c>
      <c r="H31" s="29" t="b">
        <v>0</v>
      </c>
      <c r="I31" s="29">
        <v>5</v>
      </c>
      <c r="J31" s="29" t="str">
        <f t="shared" si="2"/>
        <v>100300</v>
      </c>
      <c r="K31" s="29" t="s">
        <v>324</v>
      </c>
      <c r="L31" s="29">
        <f t="shared" si="6"/>
        <v>10030004</v>
      </c>
      <c r="M31" s="29">
        <f t="shared" si="5"/>
        <v>10030006</v>
      </c>
      <c r="N31" s="29" t="s">
        <v>341</v>
      </c>
      <c r="O31" s="29">
        <v>10202002</v>
      </c>
      <c r="P31" s="29">
        <v>0</v>
      </c>
      <c r="Q31" s="29">
        <v>3</v>
      </c>
      <c r="R31" s="29">
        <v>25</v>
      </c>
      <c r="S31">
        <v>0</v>
      </c>
      <c r="T31" s="29">
        <v>100</v>
      </c>
      <c r="U31" t="s">
        <v>338</v>
      </c>
      <c r="V31" s="29">
        <v>0</v>
      </c>
      <c r="W31" s="29">
        <v>0</v>
      </c>
      <c r="X31" s="29" t="s">
        <v>342</v>
      </c>
      <c r="Y31" s="29" t="s">
        <v>343</v>
      </c>
      <c r="Z31" s="29" t="s">
        <v>328</v>
      </c>
      <c r="AA31" s="29">
        <v>0</v>
      </c>
      <c r="AB31" s="29">
        <v>8</v>
      </c>
      <c r="AC31" s="29" t="b">
        <v>0</v>
      </c>
      <c r="AD31" s="29" t="s">
        <v>329</v>
      </c>
      <c r="AE31"/>
      <c r="AF31">
        <v>320</v>
      </c>
      <c r="AG31">
        <v>80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 s="29" t="s">
        <v>330</v>
      </c>
      <c r="AZ31" s="29">
        <v>11300</v>
      </c>
      <c r="BA31" s="29" t="s">
        <v>331</v>
      </c>
      <c r="BB31" s="29" t="s">
        <v>328</v>
      </c>
      <c r="BC31" s="29">
        <v>10000</v>
      </c>
      <c r="BD31" s="29">
        <v>0</v>
      </c>
      <c r="BE31" s="29" t="s">
        <v>332</v>
      </c>
      <c r="BF31" s="29">
        <v>0</v>
      </c>
      <c r="BG31" s="29" t="s">
        <v>330</v>
      </c>
      <c r="BH31" s="29">
        <v>9000</v>
      </c>
      <c r="BI31" s="29">
        <v>6</v>
      </c>
      <c r="BJ31" s="29" t="b">
        <v>1</v>
      </c>
      <c r="BK31" s="29">
        <v>0</v>
      </c>
      <c r="BL31" s="29">
        <v>8000</v>
      </c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 s="29">
        <v>200</v>
      </c>
      <c r="GS31" s="29">
        <v>400</v>
      </c>
      <c r="GT31" s="29" t="s">
        <v>333</v>
      </c>
      <c r="GU31" s="29">
        <v>30057</v>
      </c>
      <c r="GV31" t="s">
        <v>339</v>
      </c>
      <c r="GW31" t="s">
        <v>339</v>
      </c>
      <c r="GX31" s="29" t="b">
        <v>1</v>
      </c>
      <c r="GY31">
        <v>2500</v>
      </c>
      <c r="GZ31" s="29" t="b">
        <v>0</v>
      </c>
      <c r="HA31" s="29">
        <v>0</v>
      </c>
      <c r="HB31" s="29">
        <v>0</v>
      </c>
      <c r="HC31" s="29">
        <v>0</v>
      </c>
      <c r="HD31" s="29">
        <v>0</v>
      </c>
      <c r="HE31" s="29" t="b">
        <v>0</v>
      </c>
      <c r="HF31">
        <v>0</v>
      </c>
      <c r="HG31" s="29">
        <v>10001</v>
      </c>
      <c r="HH31" t="s">
        <v>339</v>
      </c>
      <c r="HI31" s="29" t="s">
        <v>334</v>
      </c>
      <c r="HJ31" s="29">
        <v>0</v>
      </c>
      <c r="HK31" s="29">
        <v>0</v>
      </c>
      <c r="HL31" s="29">
        <v>0</v>
      </c>
      <c r="HM31">
        <v>0</v>
      </c>
      <c r="HN31" t="b">
        <v>0</v>
      </c>
    </row>
    <row r="32" spans="1:222">
      <c r="A32"/>
      <c r="B32" s="29" cm="1">
        <f t="array" ref="B32">10000000+INDEX(编号表!$B$1:$B$112,MATCH(D32,编号表!$A$1:$A$112,0))*10000+I32</f>
        <v>10030006</v>
      </c>
      <c r="C32" s="29" t="s">
        <v>340</v>
      </c>
      <c r="D32" s="29" t="s">
        <v>340</v>
      </c>
      <c r="E32" s="29" t="s">
        <v>322</v>
      </c>
      <c r="F32" s="29" t="s">
        <v>336</v>
      </c>
      <c r="G32" s="29" t="b">
        <v>0</v>
      </c>
      <c r="H32" s="29" t="b">
        <v>0</v>
      </c>
      <c r="I32" s="29">
        <v>6</v>
      </c>
      <c r="J32" s="29" t="str">
        <f t="shared" si="2"/>
        <v>100300</v>
      </c>
      <c r="K32" s="29" t="s">
        <v>324</v>
      </c>
      <c r="L32" s="29">
        <f t="shared" si="6"/>
        <v>10030005</v>
      </c>
      <c r="M32" s="29">
        <f t="shared" si="5"/>
        <v>10030007</v>
      </c>
      <c r="N32" s="29" t="s">
        <v>341</v>
      </c>
      <c r="O32" s="29">
        <v>10202002</v>
      </c>
      <c r="P32" s="29">
        <v>0</v>
      </c>
      <c r="Q32" s="29">
        <v>3</v>
      </c>
      <c r="R32" s="29">
        <v>30</v>
      </c>
      <c r="S32">
        <v>0</v>
      </c>
      <c r="T32" s="29">
        <v>100</v>
      </c>
      <c r="U32" t="s">
        <v>338</v>
      </c>
      <c r="V32" s="29">
        <v>0</v>
      </c>
      <c r="W32" s="29">
        <v>0</v>
      </c>
      <c r="X32" s="29" t="s">
        <v>342</v>
      </c>
      <c r="Y32" s="29" t="s">
        <v>343</v>
      </c>
      <c r="Z32" s="29" t="s">
        <v>328</v>
      </c>
      <c r="AA32" s="29">
        <v>0</v>
      </c>
      <c r="AB32" s="29">
        <v>8</v>
      </c>
      <c r="AC32" s="29" t="b">
        <v>0</v>
      </c>
      <c r="AD32" s="29" t="s">
        <v>329</v>
      </c>
      <c r="AE32"/>
      <c r="AF32">
        <v>320</v>
      </c>
      <c r="AG32">
        <v>80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 s="29" t="s">
        <v>330</v>
      </c>
      <c r="AZ32" s="29">
        <v>11600</v>
      </c>
      <c r="BA32" s="29" t="s">
        <v>331</v>
      </c>
      <c r="BB32" s="29" t="s">
        <v>328</v>
      </c>
      <c r="BC32" s="29">
        <v>10000</v>
      </c>
      <c r="BD32" s="29">
        <v>0</v>
      </c>
      <c r="BE32" s="29" t="s">
        <v>332</v>
      </c>
      <c r="BF32" s="29">
        <v>0</v>
      </c>
      <c r="BG32" s="29" t="s">
        <v>330</v>
      </c>
      <c r="BH32" s="29">
        <v>9000</v>
      </c>
      <c r="BI32" s="29">
        <v>7</v>
      </c>
      <c r="BJ32" s="29" t="b">
        <v>1</v>
      </c>
      <c r="BK32" s="29">
        <v>0</v>
      </c>
      <c r="BL32" s="29">
        <v>8000</v>
      </c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 s="29">
        <v>200</v>
      </c>
      <c r="GS32" s="29">
        <v>400</v>
      </c>
      <c r="GT32" s="29" t="s">
        <v>333</v>
      </c>
      <c r="GU32" s="29">
        <v>30057</v>
      </c>
      <c r="GV32" t="s">
        <v>339</v>
      </c>
      <c r="GW32" t="s">
        <v>339</v>
      </c>
      <c r="GX32" s="29" t="b">
        <v>1</v>
      </c>
      <c r="GY32">
        <v>2500</v>
      </c>
      <c r="GZ32" s="29" t="b">
        <v>0</v>
      </c>
      <c r="HA32" s="29">
        <v>0</v>
      </c>
      <c r="HB32" s="29">
        <v>0</v>
      </c>
      <c r="HC32" s="29">
        <v>0</v>
      </c>
      <c r="HD32" s="29">
        <v>0</v>
      </c>
      <c r="HE32" s="29" t="b">
        <v>0</v>
      </c>
      <c r="HF32">
        <v>0</v>
      </c>
      <c r="HG32" s="29">
        <v>10001</v>
      </c>
      <c r="HH32" t="s">
        <v>339</v>
      </c>
      <c r="HI32" s="29" t="s">
        <v>334</v>
      </c>
      <c r="HJ32" s="29">
        <v>0</v>
      </c>
      <c r="HK32" s="29">
        <v>0</v>
      </c>
      <c r="HL32" s="29">
        <v>0</v>
      </c>
      <c r="HM32">
        <v>0</v>
      </c>
      <c r="HN32" t="b">
        <v>0</v>
      </c>
    </row>
    <row r="33" spans="1:222">
      <c r="A33"/>
      <c r="B33" s="29" cm="1">
        <f t="array" ref="B33">10000000+INDEX(编号表!$B$1:$B$112,MATCH(D33,编号表!$A$1:$A$112,0))*10000+I33</f>
        <v>10030007</v>
      </c>
      <c r="C33" s="29" t="s">
        <v>340</v>
      </c>
      <c r="D33" s="29" t="s">
        <v>340</v>
      </c>
      <c r="E33" s="29" t="s">
        <v>322</v>
      </c>
      <c r="F33" s="29" t="s">
        <v>336</v>
      </c>
      <c r="G33" s="29" t="b">
        <v>0</v>
      </c>
      <c r="H33" s="29" t="b">
        <v>0</v>
      </c>
      <c r="I33" s="29">
        <v>7</v>
      </c>
      <c r="J33" s="29" t="str">
        <f t="shared" si="2"/>
        <v>100300</v>
      </c>
      <c r="K33" s="29" t="s">
        <v>324</v>
      </c>
      <c r="L33" s="29">
        <f t="shared" si="6"/>
        <v>10030006</v>
      </c>
      <c r="M33" s="29">
        <f t="shared" si="5"/>
        <v>10030008</v>
      </c>
      <c r="N33" s="29" t="s">
        <v>341</v>
      </c>
      <c r="O33" s="29">
        <v>10202002</v>
      </c>
      <c r="P33" s="29">
        <v>0</v>
      </c>
      <c r="Q33" s="29">
        <v>3</v>
      </c>
      <c r="R33" s="29">
        <v>35</v>
      </c>
      <c r="S33">
        <v>0</v>
      </c>
      <c r="T33" s="29">
        <v>100</v>
      </c>
      <c r="U33" t="s">
        <v>338</v>
      </c>
      <c r="V33" s="29">
        <v>0</v>
      </c>
      <c r="W33" s="29">
        <v>0</v>
      </c>
      <c r="X33" s="29" t="s">
        <v>342</v>
      </c>
      <c r="Y33" s="29" t="s">
        <v>343</v>
      </c>
      <c r="Z33" s="29" t="s">
        <v>328</v>
      </c>
      <c r="AA33" s="29">
        <v>0</v>
      </c>
      <c r="AB33" s="29">
        <v>8</v>
      </c>
      <c r="AC33" s="29" t="b">
        <v>0</v>
      </c>
      <c r="AD33" s="29" t="s">
        <v>329</v>
      </c>
      <c r="AE33"/>
      <c r="AF33">
        <v>320</v>
      </c>
      <c r="AG33">
        <v>80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 s="29" t="s">
        <v>330</v>
      </c>
      <c r="AZ33" s="29">
        <v>11700</v>
      </c>
      <c r="BA33" s="29" t="s">
        <v>331</v>
      </c>
      <c r="BB33" s="29" t="s">
        <v>328</v>
      </c>
      <c r="BC33" s="29">
        <v>10000</v>
      </c>
      <c r="BD33" s="29">
        <v>0</v>
      </c>
      <c r="BE33" s="29" t="s">
        <v>332</v>
      </c>
      <c r="BF33" s="29">
        <v>0</v>
      </c>
      <c r="BG33" s="29" t="s">
        <v>330</v>
      </c>
      <c r="BH33" s="29">
        <v>9000</v>
      </c>
      <c r="BI33" s="29">
        <v>9</v>
      </c>
      <c r="BJ33" s="29" t="b">
        <v>1</v>
      </c>
      <c r="BK33" s="29">
        <v>0</v>
      </c>
      <c r="BL33" s="29">
        <v>8000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 s="29">
        <v>200</v>
      </c>
      <c r="GS33" s="29">
        <v>400</v>
      </c>
      <c r="GT33" s="29" t="s">
        <v>333</v>
      </c>
      <c r="GU33" s="29">
        <v>30057</v>
      </c>
      <c r="GV33" t="s">
        <v>339</v>
      </c>
      <c r="GW33" t="s">
        <v>339</v>
      </c>
      <c r="GX33" s="29" t="b">
        <v>1</v>
      </c>
      <c r="GY33">
        <v>2500</v>
      </c>
      <c r="GZ33" s="29" t="b">
        <v>0</v>
      </c>
      <c r="HA33" s="29">
        <v>0</v>
      </c>
      <c r="HB33" s="29">
        <v>0</v>
      </c>
      <c r="HC33" s="29">
        <v>0</v>
      </c>
      <c r="HD33" s="29">
        <v>0</v>
      </c>
      <c r="HE33" s="29" t="b">
        <v>0</v>
      </c>
      <c r="HF33">
        <v>0</v>
      </c>
      <c r="HG33" s="29">
        <v>10001</v>
      </c>
      <c r="HH33" t="s">
        <v>339</v>
      </c>
      <c r="HI33" s="29" t="s">
        <v>334</v>
      </c>
      <c r="HJ33" s="29">
        <v>0</v>
      </c>
      <c r="HK33" s="29">
        <v>0</v>
      </c>
      <c r="HL33" s="29">
        <v>0</v>
      </c>
      <c r="HM33">
        <v>0</v>
      </c>
      <c r="HN33" t="b">
        <v>0</v>
      </c>
    </row>
    <row r="34" spans="1:222">
      <c r="A34"/>
      <c r="B34" s="29" cm="1">
        <f t="array" ref="B34">10000000+INDEX(编号表!$B$1:$B$112,MATCH(D34,编号表!$A$1:$A$112,0))*10000+I34</f>
        <v>10030008</v>
      </c>
      <c r="C34" s="29" t="s">
        <v>340</v>
      </c>
      <c r="D34" s="29" t="s">
        <v>340</v>
      </c>
      <c r="E34" s="29" t="s">
        <v>322</v>
      </c>
      <c r="F34" s="29" t="s">
        <v>336</v>
      </c>
      <c r="G34" s="29" t="b">
        <v>0</v>
      </c>
      <c r="H34" s="29" t="b">
        <v>0</v>
      </c>
      <c r="I34" s="29">
        <v>8</v>
      </c>
      <c r="J34" s="29" t="str">
        <f t="shared" si="2"/>
        <v>100300</v>
      </c>
      <c r="K34" s="29" t="s">
        <v>324</v>
      </c>
      <c r="L34" s="29">
        <f t="shared" si="6"/>
        <v>10030007</v>
      </c>
      <c r="M34" s="29">
        <f t="shared" si="5"/>
        <v>10030009</v>
      </c>
      <c r="N34" s="29" t="s">
        <v>341</v>
      </c>
      <c r="O34" s="29">
        <v>10202002</v>
      </c>
      <c r="P34" s="29">
        <v>0</v>
      </c>
      <c r="Q34" s="29">
        <v>3</v>
      </c>
      <c r="R34" s="29">
        <v>35</v>
      </c>
      <c r="S34">
        <v>0</v>
      </c>
      <c r="T34" s="29">
        <v>100</v>
      </c>
      <c r="U34" t="s">
        <v>338</v>
      </c>
      <c r="V34" s="29">
        <v>0</v>
      </c>
      <c r="W34" s="29">
        <v>0</v>
      </c>
      <c r="X34" s="29" t="s">
        <v>342</v>
      </c>
      <c r="Y34" s="29" t="s">
        <v>343</v>
      </c>
      <c r="Z34" s="29" t="s">
        <v>328</v>
      </c>
      <c r="AA34" s="29">
        <v>0</v>
      </c>
      <c r="AB34" s="29">
        <v>8</v>
      </c>
      <c r="AC34" s="29" t="b">
        <v>0</v>
      </c>
      <c r="AD34" s="29" t="s">
        <v>329</v>
      </c>
      <c r="AE34"/>
      <c r="AF34">
        <v>320</v>
      </c>
      <c r="AG34">
        <v>80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 s="29" t="s">
        <v>330</v>
      </c>
      <c r="AZ34" s="29">
        <v>11800</v>
      </c>
      <c r="BA34" s="29" t="s">
        <v>331</v>
      </c>
      <c r="BB34" s="29" t="s">
        <v>328</v>
      </c>
      <c r="BC34" s="29">
        <v>10000</v>
      </c>
      <c r="BD34" s="29">
        <v>0</v>
      </c>
      <c r="BE34" s="29" t="s">
        <v>332</v>
      </c>
      <c r="BF34" s="29">
        <v>0</v>
      </c>
      <c r="BG34" s="29" t="s">
        <v>330</v>
      </c>
      <c r="BH34" s="29">
        <v>9000</v>
      </c>
      <c r="BI34" s="29">
        <v>10</v>
      </c>
      <c r="BJ34" s="29" t="b">
        <v>1</v>
      </c>
      <c r="BK34" s="29">
        <v>0</v>
      </c>
      <c r="BL34" s="29">
        <v>8000</v>
      </c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 s="29">
        <v>200</v>
      </c>
      <c r="GS34" s="29">
        <v>400</v>
      </c>
      <c r="GT34" s="29" t="s">
        <v>333</v>
      </c>
      <c r="GU34" s="29">
        <v>30057</v>
      </c>
      <c r="GV34" t="s">
        <v>339</v>
      </c>
      <c r="GW34" t="s">
        <v>339</v>
      </c>
      <c r="GX34" s="29" t="b">
        <v>1</v>
      </c>
      <c r="GY34">
        <v>2500</v>
      </c>
      <c r="GZ34" s="29" t="b">
        <v>0</v>
      </c>
      <c r="HA34" s="29">
        <v>0</v>
      </c>
      <c r="HB34" s="29">
        <v>0</v>
      </c>
      <c r="HC34" s="29">
        <v>0</v>
      </c>
      <c r="HD34" s="29">
        <v>0</v>
      </c>
      <c r="HE34" s="29" t="b">
        <v>0</v>
      </c>
      <c r="HF34">
        <v>0</v>
      </c>
      <c r="HG34" s="29">
        <v>10001</v>
      </c>
      <c r="HH34" t="s">
        <v>339</v>
      </c>
      <c r="HI34" s="29" t="s">
        <v>334</v>
      </c>
      <c r="HJ34" s="29">
        <v>0</v>
      </c>
      <c r="HK34" s="29">
        <v>0</v>
      </c>
      <c r="HL34" s="29">
        <v>0</v>
      </c>
      <c r="HM34">
        <v>0</v>
      </c>
      <c r="HN34" t="b">
        <v>0</v>
      </c>
    </row>
    <row r="35" spans="1:222">
      <c r="A35"/>
      <c r="B35" s="29" cm="1">
        <f t="array" ref="B35">10000000+INDEX(编号表!$B$1:$B$112,MATCH(D35,编号表!$A$1:$A$112,0))*10000+I35</f>
        <v>10030009</v>
      </c>
      <c r="C35" s="29" t="s">
        <v>340</v>
      </c>
      <c r="D35" s="29" t="s">
        <v>340</v>
      </c>
      <c r="E35" s="29" t="s">
        <v>322</v>
      </c>
      <c r="F35" s="29" t="s">
        <v>336</v>
      </c>
      <c r="G35" s="29" t="b">
        <v>0</v>
      </c>
      <c r="H35" s="29" t="b">
        <v>0</v>
      </c>
      <c r="I35" s="29">
        <v>9</v>
      </c>
      <c r="J35" s="29" t="str">
        <f t="shared" si="2"/>
        <v>100300</v>
      </c>
      <c r="K35" s="29" t="s">
        <v>324</v>
      </c>
      <c r="L35" s="29">
        <f t="shared" si="6"/>
        <v>10030008</v>
      </c>
      <c r="M35" s="29">
        <f t="shared" si="5"/>
        <v>10030010</v>
      </c>
      <c r="N35" s="29" t="s">
        <v>341</v>
      </c>
      <c r="O35" s="29">
        <v>10202002</v>
      </c>
      <c r="P35" s="29">
        <v>0</v>
      </c>
      <c r="Q35" s="29">
        <v>3</v>
      </c>
      <c r="R35" s="29">
        <v>40</v>
      </c>
      <c r="S35">
        <v>0</v>
      </c>
      <c r="T35" s="29">
        <v>100</v>
      </c>
      <c r="U35" t="s">
        <v>338</v>
      </c>
      <c r="V35" s="29">
        <v>0</v>
      </c>
      <c r="W35" s="29">
        <v>0</v>
      </c>
      <c r="X35" s="29" t="s">
        <v>342</v>
      </c>
      <c r="Y35" s="29" t="s">
        <v>343</v>
      </c>
      <c r="Z35" s="29" t="s">
        <v>328</v>
      </c>
      <c r="AA35" s="29">
        <v>0</v>
      </c>
      <c r="AB35" s="29">
        <v>8</v>
      </c>
      <c r="AC35" s="29" t="b">
        <v>0</v>
      </c>
      <c r="AD35" s="29" t="s">
        <v>329</v>
      </c>
      <c r="AE35"/>
      <c r="AF35">
        <v>320</v>
      </c>
      <c r="AG35">
        <v>80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 s="29" t="s">
        <v>330</v>
      </c>
      <c r="AZ35" s="29">
        <v>11900</v>
      </c>
      <c r="BA35" s="29" t="s">
        <v>331</v>
      </c>
      <c r="BB35" s="29" t="s">
        <v>328</v>
      </c>
      <c r="BC35" s="29">
        <v>10000</v>
      </c>
      <c r="BD35" s="29">
        <v>0</v>
      </c>
      <c r="BE35" s="29" t="s">
        <v>332</v>
      </c>
      <c r="BF35" s="29">
        <v>0</v>
      </c>
      <c r="BG35" s="29" t="s">
        <v>330</v>
      </c>
      <c r="BH35" s="29">
        <v>9000</v>
      </c>
      <c r="BI35" s="29">
        <v>12</v>
      </c>
      <c r="BJ35" s="29" t="b">
        <v>1</v>
      </c>
      <c r="BK35" s="29">
        <v>0</v>
      </c>
      <c r="BL35" s="29">
        <v>8000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 s="29">
        <v>200</v>
      </c>
      <c r="GS35" s="29">
        <v>400</v>
      </c>
      <c r="GT35" s="29" t="s">
        <v>333</v>
      </c>
      <c r="GU35" s="29">
        <v>30057</v>
      </c>
      <c r="GV35" t="s">
        <v>339</v>
      </c>
      <c r="GW35" t="s">
        <v>339</v>
      </c>
      <c r="GX35" s="29" t="b">
        <v>1</v>
      </c>
      <c r="GY35">
        <v>2500</v>
      </c>
      <c r="GZ35" s="29" t="b">
        <v>0</v>
      </c>
      <c r="HA35" s="29">
        <v>0</v>
      </c>
      <c r="HB35" s="29">
        <v>0</v>
      </c>
      <c r="HC35" s="29">
        <v>0</v>
      </c>
      <c r="HD35" s="29">
        <v>0</v>
      </c>
      <c r="HE35" s="29" t="b">
        <v>0</v>
      </c>
      <c r="HF35">
        <v>0</v>
      </c>
      <c r="HG35" s="29">
        <v>10001</v>
      </c>
      <c r="HH35" t="s">
        <v>339</v>
      </c>
      <c r="HI35" s="29" t="s">
        <v>334</v>
      </c>
      <c r="HJ35" s="29">
        <v>0</v>
      </c>
      <c r="HK35" s="29">
        <v>0</v>
      </c>
      <c r="HL35" s="29">
        <v>0</v>
      </c>
      <c r="HM35">
        <v>0</v>
      </c>
      <c r="HN35" t="b">
        <v>0</v>
      </c>
    </row>
    <row r="36" spans="1:222">
      <c r="A36"/>
      <c r="B36" s="29" cm="1">
        <f t="array" ref="B36">10000000+INDEX(编号表!$B$1:$B$112,MATCH(D36,编号表!$A$1:$A$112,0))*10000+I36</f>
        <v>10030010</v>
      </c>
      <c r="C36" s="29" t="s">
        <v>340</v>
      </c>
      <c r="D36" s="29" t="s">
        <v>340</v>
      </c>
      <c r="E36" s="29" t="s">
        <v>322</v>
      </c>
      <c r="F36" s="29" t="s">
        <v>336</v>
      </c>
      <c r="G36" s="29" t="b">
        <v>0</v>
      </c>
      <c r="H36" s="29" t="b">
        <v>0</v>
      </c>
      <c r="I36" s="29">
        <v>10</v>
      </c>
      <c r="J36" s="29" t="str">
        <f t="shared" si="2"/>
        <v>100300</v>
      </c>
      <c r="K36" s="29" t="s">
        <v>324</v>
      </c>
      <c r="L36" s="29">
        <f t="shared" si="6"/>
        <v>10030009</v>
      </c>
      <c r="M36">
        <v>0</v>
      </c>
      <c r="N36" s="29" t="s">
        <v>341</v>
      </c>
      <c r="O36" s="29">
        <v>10202002</v>
      </c>
      <c r="P36" s="29">
        <v>0</v>
      </c>
      <c r="Q36" s="29">
        <v>3</v>
      </c>
      <c r="R36" s="29">
        <v>40</v>
      </c>
      <c r="S36">
        <v>0</v>
      </c>
      <c r="T36" s="29">
        <v>0</v>
      </c>
      <c r="U36" t="s">
        <v>338</v>
      </c>
      <c r="V36" s="29">
        <v>0</v>
      </c>
      <c r="W36" s="29">
        <v>0</v>
      </c>
      <c r="X36" s="29" t="s">
        <v>342</v>
      </c>
      <c r="Y36" s="29" t="s">
        <v>343</v>
      </c>
      <c r="Z36" s="29" t="s">
        <v>328</v>
      </c>
      <c r="AA36" s="29">
        <v>0</v>
      </c>
      <c r="AB36" s="29">
        <v>8</v>
      </c>
      <c r="AC36" s="29" t="b">
        <v>0</v>
      </c>
      <c r="AD36" s="29" t="s">
        <v>329</v>
      </c>
      <c r="AE36"/>
      <c r="AF36">
        <v>320</v>
      </c>
      <c r="AG36">
        <v>80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 s="29" t="s">
        <v>330</v>
      </c>
      <c r="AZ36" s="29">
        <v>12000</v>
      </c>
      <c r="BA36" s="29" t="s">
        <v>331</v>
      </c>
      <c r="BB36" s="29" t="s">
        <v>328</v>
      </c>
      <c r="BC36" s="29">
        <v>10000</v>
      </c>
      <c r="BD36" s="29">
        <v>0</v>
      </c>
      <c r="BE36" s="29" t="s">
        <v>332</v>
      </c>
      <c r="BF36" s="29">
        <v>0</v>
      </c>
      <c r="BG36" s="29" t="s">
        <v>330</v>
      </c>
      <c r="BH36" s="29">
        <v>9000</v>
      </c>
      <c r="BI36" s="29">
        <v>15</v>
      </c>
      <c r="BJ36" s="29" t="b">
        <v>1</v>
      </c>
      <c r="BK36" s="29">
        <v>0</v>
      </c>
      <c r="BL36" s="29">
        <v>8000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 s="29">
        <v>200</v>
      </c>
      <c r="GS36" s="29">
        <v>400</v>
      </c>
      <c r="GT36" s="29" t="s">
        <v>333</v>
      </c>
      <c r="GU36" s="29">
        <v>30057</v>
      </c>
      <c r="GV36" t="s">
        <v>339</v>
      </c>
      <c r="GW36" t="s">
        <v>339</v>
      </c>
      <c r="GX36" s="29" t="b">
        <v>1</v>
      </c>
      <c r="GY36">
        <v>2500</v>
      </c>
      <c r="GZ36" s="29" t="b">
        <v>0</v>
      </c>
      <c r="HA36" s="29">
        <v>0</v>
      </c>
      <c r="HB36" s="29">
        <v>0</v>
      </c>
      <c r="HC36" s="29">
        <v>0</v>
      </c>
      <c r="HD36" s="29">
        <v>0</v>
      </c>
      <c r="HE36" s="29" t="b">
        <v>0</v>
      </c>
      <c r="HF36">
        <v>0</v>
      </c>
      <c r="HG36" s="29">
        <v>10001</v>
      </c>
      <c r="HH36" t="s">
        <v>339</v>
      </c>
      <c r="HI36" s="29" t="s">
        <v>334</v>
      </c>
      <c r="HJ36" s="29">
        <v>0</v>
      </c>
      <c r="HK36" s="29">
        <v>0</v>
      </c>
      <c r="HL36" s="29">
        <v>0</v>
      </c>
      <c r="HM36">
        <v>0</v>
      </c>
      <c r="HN36" t="b">
        <v>0</v>
      </c>
    </row>
    <row r="37" spans="1:222">
      <c r="A37"/>
      <c r="B37" s="29" cm="1">
        <f t="array" ref="B37">10000000+INDEX(编号表!$B$1:$B$112,MATCH(D37,编号表!$A$1:$A$112,0))*10000+I37</f>
        <v>10040001</v>
      </c>
      <c r="C37" s="18" t="s">
        <v>344</v>
      </c>
      <c r="D37" s="18" t="s">
        <v>344</v>
      </c>
      <c r="E37" s="18" t="s">
        <v>322</v>
      </c>
      <c r="F37" s="18" t="s">
        <v>336</v>
      </c>
      <c r="G37" s="18" t="b">
        <v>0</v>
      </c>
      <c r="H37" s="18" t="b">
        <v>0</v>
      </c>
      <c r="I37" s="18">
        <v>1</v>
      </c>
      <c r="J37" s="18">
        <v>100400</v>
      </c>
      <c r="K37" s="18" t="s">
        <v>324</v>
      </c>
      <c r="L37" s="18">
        <v>0</v>
      </c>
      <c r="M37" s="18">
        <v>10040002</v>
      </c>
      <c r="N37" s="18" t="s">
        <v>345</v>
      </c>
      <c r="O37" s="18">
        <v>10202003</v>
      </c>
      <c r="P37" s="18">
        <v>0</v>
      </c>
      <c r="Q37" s="18">
        <v>0</v>
      </c>
      <c r="R37" s="18">
        <v>1</v>
      </c>
      <c r="S37" s="18">
        <v>0</v>
      </c>
      <c r="T37" s="18">
        <v>100</v>
      </c>
      <c r="U37" s="18" t="s">
        <v>338</v>
      </c>
      <c r="V37" s="18">
        <v>220</v>
      </c>
      <c r="W37" s="18">
        <v>500</v>
      </c>
      <c r="X37" s="18" t="s">
        <v>326</v>
      </c>
      <c r="Y37" s="18" t="s">
        <v>327</v>
      </c>
      <c r="Z37" s="18" t="s">
        <v>328</v>
      </c>
      <c r="AA37" s="18">
        <v>0</v>
      </c>
      <c r="AB37" s="18">
        <v>1</v>
      </c>
      <c r="AC37" s="18" t="b">
        <v>0</v>
      </c>
      <c r="AD37" s="18" t="s">
        <v>329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 t="s">
        <v>330</v>
      </c>
      <c r="AZ37" s="18">
        <v>10000</v>
      </c>
      <c r="BA37" s="18" t="s">
        <v>331</v>
      </c>
      <c r="BB37" s="18" t="s">
        <v>328</v>
      </c>
      <c r="BC37" s="18">
        <v>10000</v>
      </c>
      <c r="BD37" s="18">
        <v>0</v>
      </c>
      <c r="BE37" s="18" t="s">
        <v>332</v>
      </c>
      <c r="BF37" s="18">
        <v>0</v>
      </c>
      <c r="BG37" s="18" t="s">
        <v>330</v>
      </c>
      <c r="BH37" s="18">
        <v>10500</v>
      </c>
      <c r="BI37" s="18">
        <v>3</v>
      </c>
      <c r="BJ37" s="18" t="b">
        <v>1</v>
      </c>
      <c r="BK37" s="18">
        <v>0</v>
      </c>
      <c r="BL37" s="18">
        <v>10000</v>
      </c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 t="s">
        <v>346</v>
      </c>
      <c r="CY37" s="18" t="s">
        <v>328</v>
      </c>
      <c r="CZ37" s="18">
        <v>10000</v>
      </c>
      <c r="DA37" s="18">
        <v>0</v>
      </c>
      <c r="DB37" s="18" t="s">
        <v>332</v>
      </c>
      <c r="DC37" s="18">
        <v>0</v>
      </c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 t="s">
        <v>347</v>
      </c>
      <c r="DX37" s="18">
        <v>160</v>
      </c>
      <c r="DY37" s="18" t="s">
        <v>348</v>
      </c>
      <c r="DZ37" s="18" t="s">
        <v>349</v>
      </c>
      <c r="EA37" s="18" t="b">
        <v>0</v>
      </c>
      <c r="EB37" s="18">
        <v>900</v>
      </c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>
        <v>200</v>
      </c>
      <c r="GS37" s="18">
        <v>400</v>
      </c>
      <c r="GT37" s="18" t="s">
        <v>333</v>
      </c>
      <c r="GU37" s="18">
        <v>30047</v>
      </c>
      <c r="GV37" s="18" t="s">
        <v>339</v>
      </c>
      <c r="GW37" s="18" t="s">
        <v>339</v>
      </c>
      <c r="GX37" s="18" t="b">
        <v>1</v>
      </c>
      <c r="GY37" s="18">
        <v>3500</v>
      </c>
      <c r="GZ37" s="18" t="b">
        <v>0</v>
      </c>
      <c r="HA37" s="18">
        <v>0</v>
      </c>
      <c r="HB37" s="18">
        <v>0</v>
      </c>
      <c r="HC37" s="18">
        <v>0</v>
      </c>
      <c r="HD37" s="18">
        <v>0</v>
      </c>
      <c r="HE37" s="18" t="b">
        <v>0</v>
      </c>
      <c r="HF37" s="18">
        <v>0</v>
      </c>
      <c r="HG37" s="18">
        <v>10001</v>
      </c>
      <c r="HH37" s="18" t="s">
        <v>339</v>
      </c>
      <c r="HI37" s="18" t="s">
        <v>334</v>
      </c>
      <c r="HJ37" s="18">
        <v>0</v>
      </c>
      <c r="HK37" s="18">
        <v>0</v>
      </c>
      <c r="HL37" s="18">
        <v>0</v>
      </c>
      <c r="HM37" s="18">
        <v>0</v>
      </c>
      <c r="HN37" s="18" t="b">
        <v>0</v>
      </c>
    </row>
    <row r="38" spans="1:222">
      <c r="A38"/>
      <c r="B38" s="29" cm="1">
        <f t="array" ref="B38">10000000+INDEX(编号表!$B$1:$B$112,MATCH(D38,编号表!$A$1:$A$112,0))*10000+I38</f>
        <v>10040002</v>
      </c>
      <c r="C38" s="18" t="s">
        <v>344</v>
      </c>
      <c r="D38" s="18" t="s">
        <v>344</v>
      </c>
      <c r="E38" s="18" t="s">
        <v>322</v>
      </c>
      <c r="F38" s="18" t="s">
        <v>336</v>
      </c>
      <c r="G38" s="18" t="b">
        <v>0</v>
      </c>
      <c r="H38" s="18" t="b">
        <v>0</v>
      </c>
      <c r="I38" s="18">
        <v>2</v>
      </c>
      <c r="J38" s="18">
        <v>100400</v>
      </c>
      <c r="K38" s="18" t="s">
        <v>324</v>
      </c>
      <c r="L38" s="18">
        <v>10040001</v>
      </c>
      <c r="M38" s="18">
        <v>10040003</v>
      </c>
      <c r="N38" s="18" t="s">
        <v>345</v>
      </c>
      <c r="O38" s="18">
        <v>10202003</v>
      </c>
      <c r="P38" s="18">
        <v>0</v>
      </c>
      <c r="Q38" s="18">
        <v>1</v>
      </c>
      <c r="R38" s="18">
        <v>7</v>
      </c>
      <c r="S38" s="18">
        <v>0</v>
      </c>
      <c r="T38" s="18">
        <v>100</v>
      </c>
      <c r="U38" s="18" t="s">
        <v>338</v>
      </c>
      <c r="V38" s="18">
        <v>220</v>
      </c>
      <c r="W38" s="18">
        <v>500</v>
      </c>
      <c r="X38" s="18" t="s">
        <v>326</v>
      </c>
      <c r="Y38" s="18" t="s">
        <v>327</v>
      </c>
      <c r="Z38" s="18" t="s">
        <v>328</v>
      </c>
      <c r="AA38" s="18">
        <v>0</v>
      </c>
      <c r="AB38" s="18">
        <v>1</v>
      </c>
      <c r="AC38" s="18" t="b">
        <v>0</v>
      </c>
      <c r="AD38" s="18" t="s">
        <v>329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 t="s">
        <v>330</v>
      </c>
      <c r="AZ38" s="18">
        <v>10400</v>
      </c>
      <c r="BA38" s="18" t="s">
        <v>331</v>
      </c>
      <c r="BB38" s="18" t="s">
        <v>328</v>
      </c>
      <c r="BC38" s="18">
        <v>10000</v>
      </c>
      <c r="BD38" s="18">
        <v>0</v>
      </c>
      <c r="BE38" s="18" t="s">
        <v>332</v>
      </c>
      <c r="BF38" s="18">
        <v>0</v>
      </c>
      <c r="BG38" s="18" t="s">
        <v>330</v>
      </c>
      <c r="BH38" s="18">
        <v>10500</v>
      </c>
      <c r="BI38" s="18">
        <v>4</v>
      </c>
      <c r="BJ38" s="18" t="b">
        <v>1</v>
      </c>
      <c r="BK38" s="18">
        <v>0</v>
      </c>
      <c r="BL38" s="18">
        <v>10000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 t="s">
        <v>346</v>
      </c>
      <c r="CY38" s="18" t="s">
        <v>328</v>
      </c>
      <c r="CZ38" s="18">
        <v>10000</v>
      </c>
      <c r="DA38" s="18">
        <v>0</v>
      </c>
      <c r="DB38" s="18" t="s">
        <v>332</v>
      </c>
      <c r="DC38" s="18">
        <v>0</v>
      </c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 t="s">
        <v>347</v>
      </c>
      <c r="DX38" s="18">
        <v>160</v>
      </c>
      <c r="DY38" s="18" t="s">
        <v>348</v>
      </c>
      <c r="DZ38" s="18" t="s">
        <v>349</v>
      </c>
      <c r="EA38" s="18" t="b">
        <v>0</v>
      </c>
      <c r="EB38" s="18">
        <v>900</v>
      </c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>
        <v>200</v>
      </c>
      <c r="GS38" s="18">
        <v>400</v>
      </c>
      <c r="GT38" s="18" t="s">
        <v>333</v>
      </c>
      <c r="GU38" s="18">
        <v>30047</v>
      </c>
      <c r="GV38" s="18" t="s">
        <v>339</v>
      </c>
      <c r="GW38" s="18" t="s">
        <v>339</v>
      </c>
      <c r="GX38" s="18" t="b">
        <v>1</v>
      </c>
      <c r="GY38" s="18">
        <v>3500</v>
      </c>
      <c r="GZ38" s="18" t="b">
        <v>0</v>
      </c>
      <c r="HA38" s="18">
        <v>0</v>
      </c>
      <c r="HB38" s="18">
        <v>0</v>
      </c>
      <c r="HC38" s="18">
        <v>0</v>
      </c>
      <c r="HD38" s="18">
        <v>0</v>
      </c>
      <c r="HE38" s="18" t="b">
        <v>0</v>
      </c>
      <c r="HF38" s="18">
        <v>0</v>
      </c>
      <c r="HG38" s="18">
        <v>10001</v>
      </c>
      <c r="HH38" s="18" t="s">
        <v>339</v>
      </c>
      <c r="HI38" s="18" t="s">
        <v>334</v>
      </c>
      <c r="HJ38" s="18">
        <v>0</v>
      </c>
      <c r="HK38" s="18">
        <v>0</v>
      </c>
      <c r="HL38" s="18">
        <v>0</v>
      </c>
      <c r="HM38" s="18">
        <v>0</v>
      </c>
      <c r="HN38" s="18" t="b">
        <v>0</v>
      </c>
    </row>
    <row r="39" spans="1:222">
      <c r="A39"/>
      <c r="B39" s="29" cm="1">
        <f t="array" ref="B39">10000000+INDEX(编号表!$B$1:$B$112,MATCH(D39,编号表!$A$1:$A$112,0))*10000+I39</f>
        <v>10040003</v>
      </c>
      <c r="C39" s="18" t="s">
        <v>344</v>
      </c>
      <c r="D39" s="18" t="s">
        <v>344</v>
      </c>
      <c r="E39" s="18" t="s">
        <v>322</v>
      </c>
      <c r="F39" s="18" t="s">
        <v>336</v>
      </c>
      <c r="G39" s="18" t="b">
        <v>0</v>
      </c>
      <c r="H39" s="18" t="b">
        <v>0</v>
      </c>
      <c r="I39" s="18">
        <v>3</v>
      </c>
      <c r="J39" s="18">
        <v>100400</v>
      </c>
      <c r="K39" s="18" t="s">
        <v>324</v>
      </c>
      <c r="L39" s="18">
        <v>10040002</v>
      </c>
      <c r="M39" s="18">
        <v>10040004</v>
      </c>
      <c r="N39" s="18" t="s">
        <v>345</v>
      </c>
      <c r="O39" s="18">
        <v>10202003</v>
      </c>
      <c r="P39" s="18">
        <v>0</v>
      </c>
      <c r="Q39" s="18">
        <v>2</v>
      </c>
      <c r="R39" s="18">
        <v>11</v>
      </c>
      <c r="S39" s="18">
        <v>0</v>
      </c>
      <c r="T39" s="18">
        <v>100</v>
      </c>
      <c r="U39" s="18" t="s">
        <v>338</v>
      </c>
      <c r="V39" s="18">
        <v>220</v>
      </c>
      <c r="W39" s="18">
        <v>500</v>
      </c>
      <c r="X39" s="18" t="s">
        <v>326</v>
      </c>
      <c r="Y39" s="18" t="s">
        <v>327</v>
      </c>
      <c r="Z39" s="18" t="s">
        <v>328</v>
      </c>
      <c r="AA39" s="18">
        <v>0</v>
      </c>
      <c r="AB39" s="18">
        <v>1</v>
      </c>
      <c r="AC39" s="18" t="b">
        <v>0</v>
      </c>
      <c r="AD39" s="18" t="s">
        <v>329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 t="s">
        <v>330</v>
      </c>
      <c r="AZ39" s="18">
        <v>10800</v>
      </c>
      <c r="BA39" s="18" t="s">
        <v>331</v>
      </c>
      <c r="BB39" s="18" t="s">
        <v>328</v>
      </c>
      <c r="BC39" s="18">
        <v>10000</v>
      </c>
      <c r="BD39" s="18">
        <v>0</v>
      </c>
      <c r="BE39" s="18" t="s">
        <v>332</v>
      </c>
      <c r="BF39" s="18">
        <v>0</v>
      </c>
      <c r="BG39" s="18" t="s">
        <v>330</v>
      </c>
      <c r="BH39" s="18">
        <v>10500</v>
      </c>
      <c r="BI39" s="18">
        <v>5</v>
      </c>
      <c r="BJ39" s="18" t="b">
        <v>1</v>
      </c>
      <c r="BK39" s="18">
        <v>0</v>
      </c>
      <c r="BL39" s="18">
        <v>10000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 t="s">
        <v>346</v>
      </c>
      <c r="CY39" s="18" t="s">
        <v>328</v>
      </c>
      <c r="CZ39" s="18">
        <v>10000</v>
      </c>
      <c r="DA39" s="18">
        <v>0</v>
      </c>
      <c r="DB39" s="18" t="s">
        <v>332</v>
      </c>
      <c r="DC39" s="18">
        <v>0</v>
      </c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 t="s">
        <v>347</v>
      </c>
      <c r="DX39" s="18">
        <v>160</v>
      </c>
      <c r="DY39" s="18" t="s">
        <v>348</v>
      </c>
      <c r="DZ39" s="18" t="s">
        <v>349</v>
      </c>
      <c r="EA39" s="18" t="b">
        <v>0</v>
      </c>
      <c r="EB39" s="18">
        <v>900</v>
      </c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>
        <v>200</v>
      </c>
      <c r="GS39" s="18">
        <v>400</v>
      </c>
      <c r="GT39" s="18" t="s">
        <v>333</v>
      </c>
      <c r="GU39" s="18">
        <v>30047</v>
      </c>
      <c r="GV39" s="18" t="s">
        <v>339</v>
      </c>
      <c r="GW39" s="18" t="s">
        <v>339</v>
      </c>
      <c r="GX39" s="18" t="b">
        <v>1</v>
      </c>
      <c r="GY39" s="18">
        <v>3500</v>
      </c>
      <c r="GZ39" s="18" t="b">
        <v>0</v>
      </c>
      <c r="HA39" s="18">
        <v>0</v>
      </c>
      <c r="HB39" s="18">
        <v>0</v>
      </c>
      <c r="HC39" s="18">
        <v>0</v>
      </c>
      <c r="HD39" s="18">
        <v>0</v>
      </c>
      <c r="HE39" s="18" t="b">
        <v>0</v>
      </c>
      <c r="HF39" s="18">
        <v>0</v>
      </c>
      <c r="HG39" s="18">
        <v>10001</v>
      </c>
      <c r="HH39" s="18" t="s">
        <v>339</v>
      </c>
      <c r="HI39" s="18" t="s">
        <v>334</v>
      </c>
      <c r="HJ39" s="18">
        <v>0</v>
      </c>
      <c r="HK39" s="18">
        <v>0</v>
      </c>
      <c r="HL39" s="18">
        <v>0</v>
      </c>
      <c r="HM39" s="18">
        <v>0</v>
      </c>
      <c r="HN39" s="18" t="b">
        <v>0</v>
      </c>
    </row>
    <row r="40" spans="1:222">
      <c r="A40"/>
      <c r="B40" s="29" cm="1">
        <f t="array" ref="B40">10000000+INDEX(编号表!$B$1:$B$112,MATCH(D40,编号表!$A$1:$A$112,0))*10000+I40</f>
        <v>10040004</v>
      </c>
      <c r="C40" s="18" t="s">
        <v>344</v>
      </c>
      <c r="D40" s="18" t="s">
        <v>344</v>
      </c>
      <c r="E40" s="18" t="s">
        <v>322</v>
      </c>
      <c r="F40" s="18" t="s">
        <v>336</v>
      </c>
      <c r="G40" s="18" t="b">
        <v>0</v>
      </c>
      <c r="H40" s="18" t="b">
        <v>0</v>
      </c>
      <c r="I40" s="18">
        <v>4</v>
      </c>
      <c r="J40" s="18">
        <v>100400</v>
      </c>
      <c r="K40" s="18" t="s">
        <v>324</v>
      </c>
      <c r="L40" s="18">
        <v>10040003</v>
      </c>
      <c r="M40" s="18">
        <v>10040005</v>
      </c>
      <c r="N40" s="18" t="s">
        <v>345</v>
      </c>
      <c r="O40" s="18">
        <v>10202003</v>
      </c>
      <c r="P40" s="18">
        <v>0</v>
      </c>
      <c r="Q40" s="18">
        <v>3</v>
      </c>
      <c r="R40" s="18">
        <v>16</v>
      </c>
      <c r="S40" s="18">
        <v>0</v>
      </c>
      <c r="T40" s="18">
        <v>100</v>
      </c>
      <c r="U40" s="18" t="s">
        <v>338</v>
      </c>
      <c r="V40" s="18">
        <v>220</v>
      </c>
      <c r="W40" s="18">
        <v>500</v>
      </c>
      <c r="X40" s="18" t="s">
        <v>326</v>
      </c>
      <c r="Y40" s="18" t="s">
        <v>327</v>
      </c>
      <c r="Z40" s="18" t="s">
        <v>328</v>
      </c>
      <c r="AA40" s="18">
        <v>0</v>
      </c>
      <c r="AB40" s="18">
        <v>1</v>
      </c>
      <c r="AC40" s="18" t="b">
        <v>0</v>
      </c>
      <c r="AD40" s="18" t="s">
        <v>329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 t="s">
        <v>330</v>
      </c>
      <c r="AZ40" s="18">
        <v>11200</v>
      </c>
      <c r="BA40" s="18" t="s">
        <v>331</v>
      </c>
      <c r="BB40" s="18" t="s">
        <v>328</v>
      </c>
      <c r="BC40" s="18">
        <v>10000</v>
      </c>
      <c r="BD40" s="18">
        <v>0</v>
      </c>
      <c r="BE40" s="18" t="s">
        <v>332</v>
      </c>
      <c r="BF40" s="18">
        <v>0</v>
      </c>
      <c r="BG40" s="18" t="s">
        <v>330</v>
      </c>
      <c r="BH40" s="18">
        <v>10500</v>
      </c>
      <c r="BI40" s="18">
        <v>6</v>
      </c>
      <c r="BJ40" s="18" t="b">
        <v>1</v>
      </c>
      <c r="BK40" s="18">
        <v>0</v>
      </c>
      <c r="BL40" s="18">
        <v>10000</v>
      </c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 t="s">
        <v>346</v>
      </c>
      <c r="CY40" s="18" t="s">
        <v>328</v>
      </c>
      <c r="CZ40" s="18">
        <v>10000</v>
      </c>
      <c r="DA40" s="18">
        <v>0</v>
      </c>
      <c r="DB40" s="18" t="s">
        <v>332</v>
      </c>
      <c r="DC40" s="18">
        <v>0</v>
      </c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 t="s">
        <v>347</v>
      </c>
      <c r="DX40" s="18">
        <v>160</v>
      </c>
      <c r="DY40" s="18" t="s">
        <v>348</v>
      </c>
      <c r="DZ40" s="18" t="s">
        <v>349</v>
      </c>
      <c r="EA40" s="18" t="b">
        <v>0</v>
      </c>
      <c r="EB40" s="18">
        <v>900</v>
      </c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>
        <v>200</v>
      </c>
      <c r="GS40" s="18">
        <v>400</v>
      </c>
      <c r="GT40" s="18" t="s">
        <v>333</v>
      </c>
      <c r="GU40" s="18">
        <v>30047</v>
      </c>
      <c r="GV40" s="18" t="s">
        <v>339</v>
      </c>
      <c r="GW40" s="18" t="s">
        <v>339</v>
      </c>
      <c r="GX40" s="18" t="b">
        <v>1</v>
      </c>
      <c r="GY40" s="18">
        <v>3500</v>
      </c>
      <c r="GZ40" s="18" t="b">
        <v>0</v>
      </c>
      <c r="HA40" s="18">
        <v>0</v>
      </c>
      <c r="HB40" s="18">
        <v>0</v>
      </c>
      <c r="HC40" s="18">
        <v>0</v>
      </c>
      <c r="HD40" s="18">
        <v>0</v>
      </c>
      <c r="HE40" s="18" t="b">
        <v>0</v>
      </c>
      <c r="HF40" s="18">
        <v>0</v>
      </c>
      <c r="HG40" s="18">
        <v>10001</v>
      </c>
      <c r="HH40" s="18" t="s">
        <v>339</v>
      </c>
      <c r="HI40" s="18" t="s">
        <v>334</v>
      </c>
      <c r="HJ40" s="18">
        <v>0</v>
      </c>
      <c r="HK40" s="18">
        <v>0</v>
      </c>
      <c r="HL40" s="18">
        <v>0</v>
      </c>
      <c r="HM40" s="18">
        <v>0</v>
      </c>
      <c r="HN40" s="18" t="b">
        <v>0</v>
      </c>
    </row>
    <row r="41" spans="1:222">
      <c r="A41"/>
      <c r="B41" s="29" cm="1">
        <f t="array" ref="B41">10000000+INDEX(编号表!$B$1:$B$112,MATCH(D41,编号表!$A$1:$A$112,0))*10000+I41</f>
        <v>10040005</v>
      </c>
      <c r="C41" s="18" t="s">
        <v>344</v>
      </c>
      <c r="D41" s="18" t="s">
        <v>344</v>
      </c>
      <c r="E41" s="18" t="s">
        <v>322</v>
      </c>
      <c r="F41" s="18" t="s">
        <v>336</v>
      </c>
      <c r="G41" s="18" t="b">
        <v>0</v>
      </c>
      <c r="H41" s="18" t="b">
        <v>0</v>
      </c>
      <c r="I41" s="18">
        <v>5</v>
      </c>
      <c r="J41" s="18">
        <v>100400</v>
      </c>
      <c r="K41" s="18" t="s">
        <v>324</v>
      </c>
      <c r="L41" s="18">
        <v>10040004</v>
      </c>
      <c r="M41" s="18">
        <v>10040006</v>
      </c>
      <c r="N41" s="18" t="s">
        <v>345</v>
      </c>
      <c r="O41" s="18">
        <v>10202003</v>
      </c>
      <c r="P41" s="18">
        <v>0</v>
      </c>
      <c r="Q41" s="18">
        <v>3</v>
      </c>
      <c r="R41" s="18">
        <v>25</v>
      </c>
      <c r="S41" s="18">
        <v>0</v>
      </c>
      <c r="T41" s="18">
        <v>100</v>
      </c>
      <c r="U41" s="18" t="s">
        <v>338</v>
      </c>
      <c r="V41" s="18">
        <v>220</v>
      </c>
      <c r="W41" s="18">
        <v>500</v>
      </c>
      <c r="X41" s="18" t="s">
        <v>326</v>
      </c>
      <c r="Y41" s="18" t="s">
        <v>327</v>
      </c>
      <c r="Z41" s="18" t="s">
        <v>328</v>
      </c>
      <c r="AA41" s="18">
        <v>0</v>
      </c>
      <c r="AB41" s="18">
        <v>1</v>
      </c>
      <c r="AC41" s="18" t="b">
        <v>0</v>
      </c>
      <c r="AD41" s="18" t="s">
        <v>329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 t="s">
        <v>330</v>
      </c>
      <c r="AZ41" s="18">
        <v>11300</v>
      </c>
      <c r="BA41" s="18" t="s">
        <v>331</v>
      </c>
      <c r="BB41" s="18" t="s">
        <v>328</v>
      </c>
      <c r="BC41" s="18">
        <v>10000</v>
      </c>
      <c r="BD41" s="18">
        <v>0</v>
      </c>
      <c r="BE41" s="18" t="s">
        <v>332</v>
      </c>
      <c r="BF41" s="18">
        <v>0</v>
      </c>
      <c r="BG41" s="18" t="s">
        <v>330</v>
      </c>
      <c r="BH41" s="18">
        <v>10500</v>
      </c>
      <c r="BI41" s="18">
        <v>6</v>
      </c>
      <c r="BJ41" s="18" t="b">
        <v>1</v>
      </c>
      <c r="BK41" s="18">
        <v>0</v>
      </c>
      <c r="BL41" s="18">
        <v>10000</v>
      </c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 t="s">
        <v>346</v>
      </c>
      <c r="CY41" s="18" t="s">
        <v>328</v>
      </c>
      <c r="CZ41" s="18">
        <v>10000</v>
      </c>
      <c r="DA41" s="18">
        <v>0</v>
      </c>
      <c r="DB41" s="18" t="s">
        <v>332</v>
      </c>
      <c r="DC41" s="18">
        <v>0</v>
      </c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 t="s">
        <v>347</v>
      </c>
      <c r="DX41" s="18">
        <v>160</v>
      </c>
      <c r="DY41" s="18" t="s">
        <v>348</v>
      </c>
      <c r="DZ41" s="18" t="s">
        <v>349</v>
      </c>
      <c r="EA41" s="18" t="b">
        <v>0</v>
      </c>
      <c r="EB41" s="18">
        <v>900</v>
      </c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>
        <v>200</v>
      </c>
      <c r="GS41" s="18">
        <v>400</v>
      </c>
      <c r="GT41" s="18" t="s">
        <v>333</v>
      </c>
      <c r="GU41" s="18">
        <v>30047</v>
      </c>
      <c r="GV41" s="18" t="s">
        <v>339</v>
      </c>
      <c r="GW41" s="18" t="s">
        <v>339</v>
      </c>
      <c r="GX41" s="18" t="b">
        <v>1</v>
      </c>
      <c r="GY41" s="18">
        <v>3500</v>
      </c>
      <c r="GZ41" s="18" t="b">
        <v>0</v>
      </c>
      <c r="HA41" s="18">
        <v>0</v>
      </c>
      <c r="HB41" s="18">
        <v>0</v>
      </c>
      <c r="HC41" s="18">
        <v>0</v>
      </c>
      <c r="HD41" s="18">
        <v>0</v>
      </c>
      <c r="HE41" s="18" t="b">
        <v>0</v>
      </c>
      <c r="HF41" s="18">
        <v>0</v>
      </c>
      <c r="HG41" s="18">
        <v>10001</v>
      </c>
      <c r="HH41" s="18" t="s">
        <v>339</v>
      </c>
      <c r="HI41" s="18" t="s">
        <v>334</v>
      </c>
      <c r="HJ41" s="18">
        <v>0</v>
      </c>
      <c r="HK41" s="18">
        <v>0</v>
      </c>
      <c r="HL41" s="18">
        <v>0</v>
      </c>
      <c r="HM41" s="18">
        <v>0</v>
      </c>
      <c r="HN41" s="18" t="b">
        <v>0</v>
      </c>
    </row>
    <row r="42" spans="1:222">
      <c r="A42"/>
      <c r="B42" s="29" cm="1">
        <f t="array" ref="B42">10000000+INDEX(编号表!$B$1:$B$112,MATCH(D42,编号表!$A$1:$A$112,0))*10000+I42</f>
        <v>10040006</v>
      </c>
      <c r="C42" s="18" t="s">
        <v>344</v>
      </c>
      <c r="D42" s="18" t="s">
        <v>344</v>
      </c>
      <c r="E42" s="18" t="s">
        <v>322</v>
      </c>
      <c r="F42" s="18" t="s">
        <v>336</v>
      </c>
      <c r="G42" s="18" t="b">
        <v>0</v>
      </c>
      <c r="H42" s="18" t="b">
        <v>0</v>
      </c>
      <c r="I42" s="18">
        <v>6</v>
      </c>
      <c r="J42" s="18">
        <v>100400</v>
      </c>
      <c r="K42" s="18" t="s">
        <v>324</v>
      </c>
      <c r="L42" s="18">
        <v>10040005</v>
      </c>
      <c r="M42" s="18">
        <v>10040007</v>
      </c>
      <c r="N42" s="18" t="s">
        <v>345</v>
      </c>
      <c r="O42" s="18">
        <v>10202003</v>
      </c>
      <c r="P42" s="18">
        <v>0</v>
      </c>
      <c r="Q42" s="18">
        <v>3</v>
      </c>
      <c r="R42" s="18">
        <v>30</v>
      </c>
      <c r="S42" s="18">
        <v>0</v>
      </c>
      <c r="T42" s="18">
        <v>100</v>
      </c>
      <c r="U42" s="18" t="s">
        <v>338</v>
      </c>
      <c r="V42" s="18">
        <v>220</v>
      </c>
      <c r="W42" s="18">
        <v>500</v>
      </c>
      <c r="X42" s="18" t="s">
        <v>326</v>
      </c>
      <c r="Y42" s="18" t="s">
        <v>327</v>
      </c>
      <c r="Z42" s="18" t="s">
        <v>328</v>
      </c>
      <c r="AA42" s="18">
        <v>0</v>
      </c>
      <c r="AB42" s="18">
        <v>1</v>
      </c>
      <c r="AC42" s="18" t="b">
        <v>0</v>
      </c>
      <c r="AD42" s="18" t="s">
        <v>329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 t="s">
        <v>330</v>
      </c>
      <c r="AZ42" s="18">
        <v>11600</v>
      </c>
      <c r="BA42" s="18" t="s">
        <v>331</v>
      </c>
      <c r="BB42" s="18" t="s">
        <v>328</v>
      </c>
      <c r="BC42" s="18">
        <v>10000</v>
      </c>
      <c r="BD42" s="18">
        <v>0</v>
      </c>
      <c r="BE42" s="18" t="s">
        <v>332</v>
      </c>
      <c r="BF42" s="18">
        <v>0</v>
      </c>
      <c r="BG42" s="18" t="s">
        <v>330</v>
      </c>
      <c r="BH42" s="18">
        <v>10500</v>
      </c>
      <c r="BI42" s="18">
        <v>7</v>
      </c>
      <c r="BJ42" s="18" t="b">
        <v>1</v>
      </c>
      <c r="BK42" s="18">
        <v>0</v>
      </c>
      <c r="BL42" s="18">
        <v>10000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 t="s">
        <v>346</v>
      </c>
      <c r="CY42" s="18" t="s">
        <v>328</v>
      </c>
      <c r="CZ42" s="18">
        <v>10000</v>
      </c>
      <c r="DA42" s="18">
        <v>0</v>
      </c>
      <c r="DB42" s="18" t="s">
        <v>332</v>
      </c>
      <c r="DC42" s="18">
        <v>0</v>
      </c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 t="s">
        <v>347</v>
      </c>
      <c r="DX42" s="18">
        <v>160</v>
      </c>
      <c r="DY42" s="18" t="s">
        <v>348</v>
      </c>
      <c r="DZ42" s="18" t="s">
        <v>349</v>
      </c>
      <c r="EA42" s="18" t="b">
        <v>0</v>
      </c>
      <c r="EB42" s="18">
        <v>900</v>
      </c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>
        <v>200</v>
      </c>
      <c r="GS42" s="18">
        <v>400</v>
      </c>
      <c r="GT42" s="18" t="s">
        <v>333</v>
      </c>
      <c r="GU42" s="18">
        <v>30047</v>
      </c>
      <c r="GV42" s="18" t="s">
        <v>339</v>
      </c>
      <c r="GW42" s="18" t="s">
        <v>339</v>
      </c>
      <c r="GX42" s="18" t="b">
        <v>1</v>
      </c>
      <c r="GY42" s="18">
        <v>3500</v>
      </c>
      <c r="GZ42" s="18" t="b">
        <v>0</v>
      </c>
      <c r="HA42" s="18">
        <v>0</v>
      </c>
      <c r="HB42" s="18">
        <v>0</v>
      </c>
      <c r="HC42" s="18">
        <v>0</v>
      </c>
      <c r="HD42" s="18">
        <v>0</v>
      </c>
      <c r="HE42" s="18" t="b">
        <v>0</v>
      </c>
      <c r="HF42" s="18">
        <v>0</v>
      </c>
      <c r="HG42" s="18">
        <v>10001</v>
      </c>
      <c r="HH42" s="18" t="s">
        <v>339</v>
      </c>
      <c r="HI42" s="18" t="s">
        <v>334</v>
      </c>
      <c r="HJ42" s="18">
        <v>0</v>
      </c>
      <c r="HK42" s="18">
        <v>0</v>
      </c>
      <c r="HL42" s="18">
        <v>0</v>
      </c>
      <c r="HM42" s="18">
        <v>0</v>
      </c>
      <c r="HN42" s="18" t="b">
        <v>0</v>
      </c>
    </row>
    <row r="43" spans="1:222">
      <c r="A43"/>
      <c r="B43" s="29" cm="1">
        <f t="array" ref="B43">10000000+INDEX(编号表!$B$1:$B$112,MATCH(D43,编号表!$A$1:$A$112,0))*10000+I43</f>
        <v>10040007</v>
      </c>
      <c r="C43" s="18" t="s">
        <v>344</v>
      </c>
      <c r="D43" s="18" t="s">
        <v>344</v>
      </c>
      <c r="E43" s="18" t="s">
        <v>322</v>
      </c>
      <c r="F43" s="18" t="s">
        <v>336</v>
      </c>
      <c r="G43" s="18" t="b">
        <v>0</v>
      </c>
      <c r="H43" s="18" t="b">
        <v>0</v>
      </c>
      <c r="I43" s="18">
        <v>7</v>
      </c>
      <c r="J43" s="18">
        <v>100400</v>
      </c>
      <c r="K43" s="18" t="s">
        <v>324</v>
      </c>
      <c r="L43" s="18">
        <v>10040006</v>
      </c>
      <c r="M43" s="18">
        <v>10040008</v>
      </c>
      <c r="N43" s="18" t="s">
        <v>345</v>
      </c>
      <c r="O43" s="18">
        <v>10202003</v>
      </c>
      <c r="P43" s="18">
        <v>0</v>
      </c>
      <c r="Q43" s="18">
        <v>3</v>
      </c>
      <c r="R43" s="18">
        <v>35</v>
      </c>
      <c r="S43" s="18">
        <v>0</v>
      </c>
      <c r="T43" s="18">
        <v>100</v>
      </c>
      <c r="U43" s="18" t="s">
        <v>338</v>
      </c>
      <c r="V43" s="18">
        <v>220</v>
      </c>
      <c r="W43" s="18">
        <v>500</v>
      </c>
      <c r="X43" s="18" t="s">
        <v>326</v>
      </c>
      <c r="Y43" s="18" t="s">
        <v>327</v>
      </c>
      <c r="Z43" s="18" t="s">
        <v>328</v>
      </c>
      <c r="AA43" s="18">
        <v>0</v>
      </c>
      <c r="AB43" s="18">
        <v>1</v>
      </c>
      <c r="AC43" s="18" t="b">
        <v>0</v>
      </c>
      <c r="AD43" s="18" t="s">
        <v>329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 t="s">
        <v>330</v>
      </c>
      <c r="AZ43" s="18">
        <v>11700</v>
      </c>
      <c r="BA43" s="18" t="s">
        <v>331</v>
      </c>
      <c r="BB43" s="18" t="s">
        <v>328</v>
      </c>
      <c r="BC43" s="18">
        <v>10000</v>
      </c>
      <c r="BD43" s="18">
        <v>0</v>
      </c>
      <c r="BE43" s="18" t="s">
        <v>332</v>
      </c>
      <c r="BF43" s="18">
        <v>0</v>
      </c>
      <c r="BG43" s="18" t="s">
        <v>330</v>
      </c>
      <c r="BH43" s="18">
        <v>10500</v>
      </c>
      <c r="BI43" s="18">
        <v>9</v>
      </c>
      <c r="BJ43" s="18" t="b">
        <v>1</v>
      </c>
      <c r="BK43" s="18">
        <v>0</v>
      </c>
      <c r="BL43" s="18">
        <v>10000</v>
      </c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 t="s">
        <v>346</v>
      </c>
      <c r="CY43" s="18" t="s">
        <v>328</v>
      </c>
      <c r="CZ43" s="18">
        <v>10000</v>
      </c>
      <c r="DA43" s="18">
        <v>0</v>
      </c>
      <c r="DB43" s="18" t="s">
        <v>332</v>
      </c>
      <c r="DC43" s="18">
        <v>0</v>
      </c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 t="s">
        <v>347</v>
      </c>
      <c r="DX43" s="18">
        <v>160</v>
      </c>
      <c r="DY43" s="18" t="s">
        <v>348</v>
      </c>
      <c r="DZ43" s="18" t="s">
        <v>349</v>
      </c>
      <c r="EA43" s="18" t="b">
        <v>0</v>
      </c>
      <c r="EB43" s="18">
        <v>900</v>
      </c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>
        <v>200</v>
      </c>
      <c r="GS43" s="18">
        <v>400</v>
      </c>
      <c r="GT43" s="18" t="s">
        <v>333</v>
      </c>
      <c r="GU43" s="18">
        <v>30047</v>
      </c>
      <c r="GV43" s="18" t="s">
        <v>339</v>
      </c>
      <c r="GW43" s="18" t="s">
        <v>339</v>
      </c>
      <c r="GX43" s="18" t="b">
        <v>1</v>
      </c>
      <c r="GY43" s="18">
        <v>3500</v>
      </c>
      <c r="GZ43" s="18" t="b">
        <v>0</v>
      </c>
      <c r="HA43" s="18">
        <v>0</v>
      </c>
      <c r="HB43" s="18">
        <v>0</v>
      </c>
      <c r="HC43" s="18">
        <v>0</v>
      </c>
      <c r="HD43" s="18">
        <v>0</v>
      </c>
      <c r="HE43" s="18" t="b">
        <v>0</v>
      </c>
      <c r="HF43" s="18">
        <v>0</v>
      </c>
      <c r="HG43" s="18">
        <v>10001</v>
      </c>
      <c r="HH43" s="18" t="s">
        <v>339</v>
      </c>
      <c r="HI43" s="18" t="s">
        <v>334</v>
      </c>
      <c r="HJ43" s="18">
        <v>0</v>
      </c>
      <c r="HK43" s="18">
        <v>0</v>
      </c>
      <c r="HL43" s="18">
        <v>0</v>
      </c>
      <c r="HM43" s="18">
        <v>0</v>
      </c>
      <c r="HN43" s="18" t="b">
        <v>0</v>
      </c>
    </row>
    <row r="44" spans="1:222">
      <c r="A44"/>
      <c r="B44" s="29" cm="1">
        <f t="array" ref="B44">10000000+INDEX(编号表!$B$1:$B$112,MATCH(D44,编号表!$A$1:$A$112,0))*10000+I44</f>
        <v>10040008</v>
      </c>
      <c r="C44" s="18" t="s">
        <v>344</v>
      </c>
      <c r="D44" s="18" t="s">
        <v>344</v>
      </c>
      <c r="E44" s="18" t="s">
        <v>322</v>
      </c>
      <c r="F44" s="18" t="s">
        <v>336</v>
      </c>
      <c r="G44" s="18" t="b">
        <v>0</v>
      </c>
      <c r="H44" s="18" t="b">
        <v>0</v>
      </c>
      <c r="I44" s="18">
        <v>8</v>
      </c>
      <c r="J44" s="18">
        <v>100400</v>
      </c>
      <c r="K44" s="18" t="s">
        <v>324</v>
      </c>
      <c r="L44" s="18">
        <v>10040007</v>
      </c>
      <c r="M44" s="18">
        <v>10040009</v>
      </c>
      <c r="N44" s="18" t="s">
        <v>345</v>
      </c>
      <c r="O44" s="18">
        <v>10202003</v>
      </c>
      <c r="P44" s="18">
        <v>0</v>
      </c>
      <c r="Q44" s="18">
        <v>3</v>
      </c>
      <c r="R44" s="18">
        <v>35</v>
      </c>
      <c r="S44" s="18">
        <v>0</v>
      </c>
      <c r="T44" s="18">
        <v>100</v>
      </c>
      <c r="U44" s="18" t="s">
        <v>338</v>
      </c>
      <c r="V44" s="18">
        <v>220</v>
      </c>
      <c r="W44" s="18">
        <v>500</v>
      </c>
      <c r="X44" s="18" t="s">
        <v>326</v>
      </c>
      <c r="Y44" s="18" t="s">
        <v>327</v>
      </c>
      <c r="Z44" s="18" t="s">
        <v>328</v>
      </c>
      <c r="AA44" s="18">
        <v>0</v>
      </c>
      <c r="AB44" s="18">
        <v>1</v>
      </c>
      <c r="AC44" s="18" t="b">
        <v>0</v>
      </c>
      <c r="AD44" s="18" t="s">
        <v>329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 t="s">
        <v>330</v>
      </c>
      <c r="AZ44" s="18">
        <v>11800</v>
      </c>
      <c r="BA44" s="18" t="s">
        <v>331</v>
      </c>
      <c r="BB44" s="18" t="s">
        <v>328</v>
      </c>
      <c r="BC44" s="18">
        <v>10000</v>
      </c>
      <c r="BD44" s="18">
        <v>0</v>
      </c>
      <c r="BE44" s="18" t="s">
        <v>332</v>
      </c>
      <c r="BF44" s="18">
        <v>0</v>
      </c>
      <c r="BG44" s="18" t="s">
        <v>330</v>
      </c>
      <c r="BH44" s="18">
        <v>10500</v>
      </c>
      <c r="BI44" s="18">
        <v>10</v>
      </c>
      <c r="BJ44" s="18" t="b">
        <v>1</v>
      </c>
      <c r="BK44" s="18">
        <v>0</v>
      </c>
      <c r="BL44" s="18">
        <v>10000</v>
      </c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 t="s">
        <v>346</v>
      </c>
      <c r="CY44" s="18" t="s">
        <v>328</v>
      </c>
      <c r="CZ44" s="18">
        <v>10000</v>
      </c>
      <c r="DA44" s="18">
        <v>0</v>
      </c>
      <c r="DB44" s="18" t="s">
        <v>332</v>
      </c>
      <c r="DC44" s="18">
        <v>0</v>
      </c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 t="s">
        <v>347</v>
      </c>
      <c r="DX44" s="18">
        <v>160</v>
      </c>
      <c r="DY44" s="18" t="s">
        <v>348</v>
      </c>
      <c r="DZ44" s="18" t="s">
        <v>349</v>
      </c>
      <c r="EA44" s="18" t="b">
        <v>0</v>
      </c>
      <c r="EB44" s="18">
        <v>900</v>
      </c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>
        <v>200</v>
      </c>
      <c r="GS44" s="18">
        <v>400</v>
      </c>
      <c r="GT44" s="18" t="s">
        <v>333</v>
      </c>
      <c r="GU44" s="18">
        <v>30047</v>
      </c>
      <c r="GV44" s="18" t="s">
        <v>339</v>
      </c>
      <c r="GW44" s="18" t="s">
        <v>339</v>
      </c>
      <c r="GX44" s="18" t="b">
        <v>1</v>
      </c>
      <c r="GY44" s="18">
        <v>3500</v>
      </c>
      <c r="GZ44" s="18" t="b">
        <v>0</v>
      </c>
      <c r="HA44" s="18">
        <v>0</v>
      </c>
      <c r="HB44" s="18">
        <v>0</v>
      </c>
      <c r="HC44" s="18">
        <v>0</v>
      </c>
      <c r="HD44" s="18">
        <v>0</v>
      </c>
      <c r="HE44" s="18" t="b">
        <v>0</v>
      </c>
      <c r="HF44" s="18">
        <v>0</v>
      </c>
      <c r="HG44" s="18">
        <v>10001</v>
      </c>
      <c r="HH44" s="18" t="s">
        <v>339</v>
      </c>
      <c r="HI44" s="18" t="s">
        <v>334</v>
      </c>
      <c r="HJ44" s="18">
        <v>0</v>
      </c>
      <c r="HK44" s="18">
        <v>0</v>
      </c>
      <c r="HL44" s="18">
        <v>0</v>
      </c>
      <c r="HM44" s="18">
        <v>0</v>
      </c>
      <c r="HN44" s="18" t="b">
        <v>0</v>
      </c>
    </row>
    <row r="45" spans="1:222">
      <c r="A45"/>
      <c r="B45" s="29" cm="1">
        <f t="array" ref="B45">10000000+INDEX(编号表!$B$1:$B$112,MATCH(D45,编号表!$A$1:$A$112,0))*10000+I45</f>
        <v>10040009</v>
      </c>
      <c r="C45" s="18" t="s">
        <v>344</v>
      </c>
      <c r="D45" s="18" t="s">
        <v>344</v>
      </c>
      <c r="E45" s="18" t="s">
        <v>322</v>
      </c>
      <c r="F45" s="18" t="s">
        <v>336</v>
      </c>
      <c r="G45" s="18" t="b">
        <v>0</v>
      </c>
      <c r="H45" s="18" t="b">
        <v>0</v>
      </c>
      <c r="I45" s="18">
        <v>9</v>
      </c>
      <c r="J45" s="18">
        <v>100400</v>
      </c>
      <c r="K45" s="18" t="s">
        <v>324</v>
      </c>
      <c r="L45" s="18">
        <v>10040008</v>
      </c>
      <c r="M45" s="18">
        <v>10040010</v>
      </c>
      <c r="N45" s="18" t="s">
        <v>345</v>
      </c>
      <c r="O45" s="18">
        <v>10202003</v>
      </c>
      <c r="P45" s="18">
        <v>0</v>
      </c>
      <c r="Q45" s="18">
        <v>3</v>
      </c>
      <c r="R45" s="18">
        <v>40</v>
      </c>
      <c r="S45" s="18">
        <v>0</v>
      </c>
      <c r="T45" s="18">
        <v>100</v>
      </c>
      <c r="U45" s="18" t="s">
        <v>338</v>
      </c>
      <c r="V45" s="18">
        <v>220</v>
      </c>
      <c r="W45" s="18">
        <v>500</v>
      </c>
      <c r="X45" s="18" t="s">
        <v>326</v>
      </c>
      <c r="Y45" s="18" t="s">
        <v>327</v>
      </c>
      <c r="Z45" s="18" t="s">
        <v>328</v>
      </c>
      <c r="AA45" s="18">
        <v>0</v>
      </c>
      <c r="AB45" s="18">
        <v>1</v>
      </c>
      <c r="AC45" s="18" t="b">
        <v>0</v>
      </c>
      <c r="AD45" s="18" t="s">
        <v>329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 t="s">
        <v>330</v>
      </c>
      <c r="AZ45" s="18">
        <v>11900</v>
      </c>
      <c r="BA45" s="18" t="s">
        <v>331</v>
      </c>
      <c r="BB45" s="18" t="s">
        <v>328</v>
      </c>
      <c r="BC45" s="18">
        <v>10000</v>
      </c>
      <c r="BD45" s="18">
        <v>0</v>
      </c>
      <c r="BE45" s="18" t="s">
        <v>332</v>
      </c>
      <c r="BF45" s="18">
        <v>0</v>
      </c>
      <c r="BG45" s="18" t="s">
        <v>330</v>
      </c>
      <c r="BH45" s="18">
        <v>10500</v>
      </c>
      <c r="BI45" s="18">
        <v>12</v>
      </c>
      <c r="BJ45" s="18" t="b">
        <v>1</v>
      </c>
      <c r="BK45" s="18">
        <v>0</v>
      </c>
      <c r="BL45" s="18">
        <v>10000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 t="s">
        <v>346</v>
      </c>
      <c r="CY45" s="18" t="s">
        <v>328</v>
      </c>
      <c r="CZ45" s="18">
        <v>10000</v>
      </c>
      <c r="DA45" s="18">
        <v>0</v>
      </c>
      <c r="DB45" s="18" t="s">
        <v>332</v>
      </c>
      <c r="DC45" s="18">
        <v>0</v>
      </c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 t="s">
        <v>347</v>
      </c>
      <c r="DX45" s="18">
        <v>160</v>
      </c>
      <c r="DY45" s="18" t="s">
        <v>348</v>
      </c>
      <c r="DZ45" s="18" t="s">
        <v>349</v>
      </c>
      <c r="EA45" s="18" t="b">
        <v>0</v>
      </c>
      <c r="EB45" s="18">
        <v>900</v>
      </c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>
        <v>200</v>
      </c>
      <c r="GS45" s="18">
        <v>400</v>
      </c>
      <c r="GT45" s="18" t="s">
        <v>333</v>
      </c>
      <c r="GU45" s="18">
        <v>30047</v>
      </c>
      <c r="GV45" s="18" t="s">
        <v>339</v>
      </c>
      <c r="GW45" s="18" t="s">
        <v>339</v>
      </c>
      <c r="GX45" s="18" t="b">
        <v>1</v>
      </c>
      <c r="GY45" s="18">
        <v>3500</v>
      </c>
      <c r="GZ45" s="18" t="b">
        <v>0</v>
      </c>
      <c r="HA45" s="18">
        <v>0</v>
      </c>
      <c r="HB45" s="18">
        <v>0</v>
      </c>
      <c r="HC45" s="18">
        <v>0</v>
      </c>
      <c r="HD45" s="18">
        <v>0</v>
      </c>
      <c r="HE45" s="18" t="b">
        <v>0</v>
      </c>
      <c r="HF45" s="18">
        <v>0</v>
      </c>
      <c r="HG45" s="18">
        <v>10001</v>
      </c>
      <c r="HH45" s="18" t="s">
        <v>339</v>
      </c>
      <c r="HI45" s="18" t="s">
        <v>334</v>
      </c>
      <c r="HJ45" s="18">
        <v>0</v>
      </c>
      <c r="HK45" s="18">
        <v>0</v>
      </c>
      <c r="HL45" s="18">
        <v>0</v>
      </c>
      <c r="HM45" s="18">
        <v>0</v>
      </c>
      <c r="HN45" s="18" t="b">
        <v>0</v>
      </c>
    </row>
    <row r="46" spans="1:222">
      <c r="A46"/>
      <c r="B46" s="29" cm="1">
        <f t="array" ref="B46">10000000+INDEX(编号表!$B$1:$B$112,MATCH(D46,编号表!$A$1:$A$112,0))*10000+I46</f>
        <v>10040010</v>
      </c>
      <c r="C46" s="18" t="s">
        <v>344</v>
      </c>
      <c r="D46" s="18" t="s">
        <v>344</v>
      </c>
      <c r="E46" s="18" t="s">
        <v>322</v>
      </c>
      <c r="F46" s="18" t="s">
        <v>336</v>
      </c>
      <c r="G46" s="18" t="b">
        <v>0</v>
      </c>
      <c r="H46" s="18" t="b">
        <v>0</v>
      </c>
      <c r="I46" s="18">
        <v>10</v>
      </c>
      <c r="J46" s="18">
        <v>100400</v>
      </c>
      <c r="K46" s="18" t="s">
        <v>324</v>
      </c>
      <c r="L46" s="18">
        <v>10040009</v>
      </c>
      <c r="M46" s="18">
        <v>0</v>
      </c>
      <c r="N46" s="18" t="s">
        <v>345</v>
      </c>
      <c r="O46" s="18">
        <v>10202003</v>
      </c>
      <c r="P46" s="18">
        <v>0</v>
      </c>
      <c r="Q46" s="18">
        <v>3</v>
      </c>
      <c r="R46" s="18">
        <v>40</v>
      </c>
      <c r="S46" s="18">
        <v>0</v>
      </c>
      <c r="T46" s="18">
        <v>0</v>
      </c>
      <c r="U46" s="18" t="s">
        <v>338</v>
      </c>
      <c r="V46" s="18">
        <v>220</v>
      </c>
      <c r="W46" s="18">
        <v>500</v>
      </c>
      <c r="X46" s="18" t="s">
        <v>326</v>
      </c>
      <c r="Y46" s="18" t="s">
        <v>327</v>
      </c>
      <c r="Z46" s="18" t="s">
        <v>328</v>
      </c>
      <c r="AA46" s="18">
        <v>0</v>
      </c>
      <c r="AB46" s="18">
        <v>1</v>
      </c>
      <c r="AC46" s="18" t="b">
        <v>0</v>
      </c>
      <c r="AD46" s="18" t="s">
        <v>329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 t="s">
        <v>330</v>
      </c>
      <c r="AZ46" s="18">
        <v>12000</v>
      </c>
      <c r="BA46" s="18" t="s">
        <v>331</v>
      </c>
      <c r="BB46" s="18" t="s">
        <v>328</v>
      </c>
      <c r="BC46" s="18">
        <v>10000</v>
      </c>
      <c r="BD46" s="18">
        <v>0</v>
      </c>
      <c r="BE46" s="18" t="s">
        <v>332</v>
      </c>
      <c r="BF46" s="18">
        <v>0</v>
      </c>
      <c r="BG46" s="18" t="s">
        <v>330</v>
      </c>
      <c r="BH46" s="18">
        <v>10500</v>
      </c>
      <c r="BI46" s="18">
        <v>15</v>
      </c>
      <c r="BJ46" s="18" t="b">
        <v>1</v>
      </c>
      <c r="BK46" s="18">
        <v>0</v>
      </c>
      <c r="BL46" s="18">
        <v>10000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 t="s">
        <v>346</v>
      </c>
      <c r="CY46" s="18" t="s">
        <v>328</v>
      </c>
      <c r="CZ46" s="18">
        <v>10000</v>
      </c>
      <c r="DA46" s="18">
        <v>0</v>
      </c>
      <c r="DB46" s="18" t="s">
        <v>332</v>
      </c>
      <c r="DC46" s="18">
        <v>0</v>
      </c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 t="s">
        <v>347</v>
      </c>
      <c r="DX46" s="18">
        <v>160</v>
      </c>
      <c r="DY46" s="18" t="s">
        <v>348</v>
      </c>
      <c r="DZ46" s="18" t="s">
        <v>349</v>
      </c>
      <c r="EA46" s="18" t="b">
        <v>0</v>
      </c>
      <c r="EB46" s="18">
        <v>900</v>
      </c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>
        <v>200</v>
      </c>
      <c r="GS46" s="18">
        <v>400</v>
      </c>
      <c r="GT46" s="18" t="s">
        <v>333</v>
      </c>
      <c r="GU46" s="18">
        <v>30047</v>
      </c>
      <c r="GV46" s="18" t="s">
        <v>339</v>
      </c>
      <c r="GW46" s="18" t="s">
        <v>339</v>
      </c>
      <c r="GX46" s="18" t="b">
        <v>1</v>
      </c>
      <c r="GY46" s="18">
        <v>3500</v>
      </c>
      <c r="GZ46" s="18" t="b">
        <v>0</v>
      </c>
      <c r="HA46" s="18">
        <v>0</v>
      </c>
      <c r="HB46" s="18">
        <v>0</v>
      </c>
      <c r="HC46" s="18">
        <v>0</v>
      </c>
      <c r="HD46" s="18">
        <v>0</v>
      </c>
      <c r="HE46" s="18" t="b">
        <v>0</v>
      </c>
      <c r="HF46" s="18">
        <v>0</v>
      </c>
      <c r="HG46" s="18">
        <v>10001</v>
      </c>
      <c r="HH46" s="18" t="s">
        <v>339</v>
      </c>
      <c r="HI46" s="18" t="s">
        <v>334</v>
      </c>
      <c r="HJ46" s="18">
        <v>0</v>
      </c>
      <c r="HK46" s="18">
        <v>0</v>
      </c>
      <c r="HL46" s="18">
        <v>0</v>
      </c>
      <c r="HM46" s="18">
        <v>0</v>
      </c>
      <c r="HN46" s="18" t="b">
        <v>0</v>
      </c>
    </row>
    <row r="47" spans="1:222">
      <c r="A47"/>
      <c r="B47" s="29" cm="1">
        <f t="array" ref="B47">10000000+INDEX(编号表!$B$1:$B$112,MATCH(D47,编号表!$A$1:$A$112,0))*10000+I47</f>
        <v>10050001</v>
      </c>
      <c r="C47" s="18" t="s">
        <v>350</v>
      </c>
      <c r="D47" s="18" t="s">
        <v>350</v>
      </c>
      <c r="E47" s="18" t="s">
        <v>322</v>
      </c>
      <c r="F47" s="18" t="s">
        <v>351</v>
      </c>
      <c r="G47" s="18" t="b">
        <v>0</v>
      </c>
      <c r="H47" s="18" t="b">
        <v>0</v>
      </c>
      <c r="I47" s="18">
        <v>1</v>
      </c>
      <c r="J47" s="18">
        <v>100500</v>
      </c>
      <c r="K47" s="18" t="s">
        <v>324</v>
      </c>
      <c r="L47" s="18">
        <v>0</v>
      </c>
      <c r="M47" s="18">
        <v>10050002</v>
      </c>
      <c r="N47" s="18" t="s">
        <v>352</v>
      </c>
      <c r="O47" s="18">
        <v>10202004</v>
      </c>
      <c r="P47" s="18">
        <v>0</v>
      </c>
      <c r="Q47" s="18">
        <v>0</v>
      </c>
      <c r="R47" s="18">
        <v>1</v>
      </c>
      <c r="S47" s="18">
        <v>0</v>
      </c>
      <c r="T47" s="18">
        <v>100</v>
      </c>
      <c r="U47" s="18" t="s">
        <v>338</v>
      </c>
      <c r="V47" s="18">
        <v>0</v>
      </c>
      <c r="W47" s="18">
        <v>0</v>
      </c>
      <c r="X47" s="18" t="s">
        <v>342</v>
      </c>
      <c r="Y47" s="18" t="s">
        <v>353</v>
      </c>
      <c r="Z47" s="18" t="s">
        <v>328</v>
      </c>
      <c r="AA47" s="18">
        <v>0</v>
      </c>
      <c r="AB47" s="18">
        <v>8</v>
      </c>
      <c r="AC47" s="18" t="b">
        <v>0</v>
      </c>
      <c r="AD47" s="18" t="s">
        <v>329</v>
      </c>
      <c r="AE47" s="18"/>
      <c r="AF47" s="18"/>
      <c r="AG47" s="18"/>
      <c r="AH47" s="18">
        <v>700</v>
      </c>
      <c r="AI47" s="18">
        <v>90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 t="s">
        <v>354</v>
      </c>
      <c r="AZ47" s="18">
        <v>10000</v>
      </c>
      <c r="BA47" s="18" t="s">
        <v>331</v>
      </c>
      <c r="BB47" s="18" t="s">
        <v>328</v>
      </c>
      <c r="BC47" s="18">
        <v>10000</v>
      </c>
      <c r="BD47" s="18">
        <v>0</v>
      </c>
      <c r="BE47" s="18" t="s">
        <v>332</v>
      </c>
      <c r="BF47" s="18">
        <v>0</v>
      </c>
      <c r="BG47" s="18" t="s">
        <v>355</v>
      </c>
      <c r="BH47" s="18">
        <v>9500</v>
      </c>
      <c r="BI47" s="18">
        <v>3</v>
      </c>
      <c r="BJ47" s="18" t="b">
        <v>1</v>
      </c>
      <c r="BK47" s="18">
        <v>0</v>
      </c>
      <c r="BL47" s="18">
        <v>9000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>
        <v>200</v>
      </c>
      <c r="GS47" s="18">
        <v>400</v>
      </c>
      <c r="GT47" s="18" t="s">
        <v>356</v>
      </c>
      <c r="GU47" s="18">
        <v>30051</v>
      </c>
      <c r="GV47" s="18" t="s">
        <v>339</v>
      </c>
      <c r="GW47" s="18" t="s">
        <v>339</v>
      </c>
      <c r="GX47" s="18" t="b">
        <v>1</v>
      </c>
      <c r="GY47" s="18">
        <v>2200</v>
      </c>
      <c r="GZ47" s="18" t="b">
        <v>0</v>
      </c>
      <c r="HA47" s="18">
        <v>0</v>
      </c>
      <c r="HB47" s="18">
        <v>0</v>
      </c>
      <c r="HC47" s="18">
        <v>0</v>
      </c>
      <c r="HD47" s="18">
        <v>0</v>
      </c>
      <c r="HE47" s="18" t="b">
        <v>0</v>
      </c>
      <c r="HF47" s="18">
        <v>0</v>
      </c>
      <c r="HG47" s="18">
        <v>10001</v>
      </c>
      <c r="HH47" s="18" t="s">
        <v>339</v>
      </c>
      <c r="HI47" s="18" t="s">
        <v>334</v>
      </c>
      <c r="HJ47" s="18">
        <v>0</v>
      </c>
      <c r="HK47" s="18">
        <v>0</v>
      </c>
      <c r="HL47" s="18">
        <v>0</v>
      </c>
      <c r="HM47" s="18">
        <v>0</v>
      </c>
      <c r="HN47" s="18" t="b">
        <v>0</v>
      </c>
    </row>
    <row r="48" spans="1:222">
      <c r="A48"/>
      <c r="B48" s="29" cm="1">
        <f t="array" ref="B48">10000000+INDEX(编号表!$B$1:$B$112,MATCH(D48,编号表!$A$1:$A$112,0))*10000+I48</f>
        <v>10050002</v>
      </c>
      <c r="C48" s="18" t="s">
        <v>350</v>
      </c>
      <c r="D48" s="18" t="s">
        <v>350</v>
      </c>
      <c r="E48" s="18" t="s">
        <v>322</v>
      </c>
      <c r="F48" s="18" t="s">
        <v>351</v>
      </c>
      <c r="G48" s="18" t="b">
        <v>0</v>
      </c>
      <c r="H48" s="18" t="b">
        <v>0</v>
      </c>
      <c r="I48" s="18">
        <v>2</v>
      </c>
      <c r="J48" s="18">
        <v>100500</v>
      </c>
      <c r="K48" s="18" t="s">
        <v>324</v>
      </c>
      <c r="L48" s="18">
        <v>10050001</v>
      </c>
      <c r="M48" s="18">
        <v>10050003</v>
      </c>
      <c r="N48" s="18" t="s">
        <v>352</v>
      </c>
      <c r="O48" s="18">
        <v>10202004</v>
      </c>
      <c r="P48" s="18">
        <v>0</v>
      </c>
      <c r="Q48" s="18">
        <v>1</v>
      </c>
      <c r="R48" s="18">
        <v>7</v>
      </c>
      <c r="S48" s="18">
        <v>0</v>
      </c>
      <c r="T48" s="18">
        <v>100</v>
      </c>
      <c r="U48" s="18" t="s">
        <v>338</v>
      </c>
      <c r="V48" s="18">
        <v>0</v>
      </c>
      <c r="W48" s="18">
        <v>0</v>
      </c>
      <c r="X48" s="18" t="s">
        <v>342</v>
      </c>
      <c r="Y48" s="18" t="s">
        <v>353</v>
      </c>
      <c r="Z48" s="18" t="s">
        <v>328</v>
      </c>
      <c r="AA48" s="18">
        <v>0</v>
      </c>
      <c r="AB48" s="18">
        <v>8</v>
      </c>
      <c r="AC48" s="18" t="b">
        <v>0</v>
      </c>
      <c r="AD48" s="18" t="s">
        <v>329</v>
      </c>
      <c r="AE48" s="18"/>
      <c r="AF48" s="18"/>
      <c r="AG48" s="18"/>
      <c r="AH48" s="18">
        <v>700</v>
      </c>
      <c r="AI48" s="18">
        <v>90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 t="s">
        <v>354</v>
      </c>
      <c r="AZ48" s="18">
        <v>10400</v>
      </c>
      <c r="BA48" s="18" t="s">
        <v>331</v>
      </c>
      <c r="BB48" s="18" t="s">
        <v>328</v>
      </c>
      <c r="BC48" s="18">
        <v>10000</v>
      </c>
      <c r="BD48" s="18">
        <v>0</v>
      </c>
      <c r="BE48" s="18" t="s">
        <v>332</v>
      </c>
      <c r="BF48" s="18">
        <v>0</v>
      </c>
      <c r="BG48" s="18" t="s">
        <v>355</v>
      </c>
      <c r="BH48" s="18">
        <v>9500</v>
      </c>
      <c r="BI48" s="18">
        <v>4</v>
      </c>
      <c r="BJ48" s="18" t="b">
        <v>1</v>
      </c>
      <c r="BK48" s="18">
        <v>0</v>
      </c>
      <c r="BL48" s="18">
        <v>9000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>
        <v>200</v>
      </c>
      <c r="GS48" s="18">
        <v>400</v>
      </c>
      <c r="GT48" s="18" t="s">
        <v>356</v>
      </c>
      <c r="GU48" s="18">
        <v>30051</v>
      </c>
      <c r="GV48" s="18" t="s">
        <v>339</v>
      </c>
      <c r="GW48" s="18" t="s">
        <v>339</v>
      </c>
      <c r="GX48" s="18" t="b">
        <v>1</v>
      </c>
      <c r="GY48" s="18">
        <v>2200</v>
      </c>
      <c r="GZ48" s="18" t="b">
        <v>0</v>
      </c>
      <c r="HA48" s="18">
        <v>0</v>
      </c>
      <c r="HB48" s="18">
        <v>0</v>
      </c>
      <c r="HC48" s="18">
        <v>0</v>
      </c>
      <c r="HD48" s="18">
        <v>0</v>
      </c>
      <c r="HE48" s="18" t="b">
        <v>0</v>
      </c>
      <c r="HF48" s="18">
        <v>0</v>
      </c>
      <c r="HG48" s="18">
        <v>10001</v>
      </c>
      <c r="HH48" s="18" t="s">
        <v>339</v>
      </c>
      <c r="HI48" s="18" t="s">
        <v>334</v>
      </c>
      <c r="HJ48" s="18">
        <v>0</v>
      </c>
      <c r="HK48" s="18">
        <v>0</v>
      </c>
      <c r="HL48" s="18">
        <v>0</v>
      </c>
      <c r="HM48" s="18">
        <v>0</v>
      </c>
      <c r="HN48" s="18" t="b">
        <v>0</v>
      </c>
    </row>
    <row r="49" spans="1:222">
      <c r="A49"/>
      <c r="B49" s="29" cm="1">
        <f t="array" ref="B49">10000000+INDEX(编号表!$B$1:$B$112,MATCH(D49,编号表!$A$1:$A$112,0))*10000+I49</f>
        <v>10050003</v>
      </c>
      <c r="C49" s="18" t="s">
        <v>350</v>
      </c>
      <c r="D49" s="18" t="s">
        <v>350</v>
      </c>
      <c r="E49" s="18" t="s">
        <v>322</v>
      </c>
      <c r="F49" s="18" t="s">
        <v>351</v>
      </c>
      <c r="G49" s="18" t="b">
        <v>0</v>
      </c>
      <c r="H49" s="18" t="b">
        <v>0</v>
      </c>
      <c r="I49" s="18">
        <v>3</v>
      </c>
      <c r="J49" s="18">
        <v>100500</v>
      </c>
      <c r="K49" s="18" t="s">
        <v>324</v>
      </c>
      <c r="L49" s="18">
        <v>10050002</v>
      </c>
      <c r="M49" s="18">
        <v>10050004</v>
      </c>
      <c r="N49" s="18" t="s">
        <v>352</v>
      </c>
      <c r="O49" s="18">
        <v>10202004</v>
      </c>
      <c r="P49" s="18">
        <v>0</v>
      </c>
      <c r="Q49" s="18">
        <v>2</v>
      </c>
      <c r="R49" s="18">
        <v>11</v>
      </c>
      <c r="S49" s="18">
        <v>0</v>
      </c>
      <c r="T49" s="18">
        <v>100</v>
      </c>
      <c r="U49" s="18" t="s">
        <v>338</v>
      </c>
      <c r="V49" s="18">
        <v>0</v>
      </c>
      <c r="W49" s="18">
        <v>0</v>
      </c>
      <c r="X49" s="18" t="s">
        <v>342</v>
      </c>
      <c r="Y49" s="18" t="s">
        <v>353</v>
      </c>
      <c r="Z49" s="18" t="s">
        <v>328</v>
      </c>
      <c r="AA49" s="18">
        <v>0</v>
      </c>
      <c r="AB49" s="18">
        <v>8</v>
      </c>
      <c r="AC49" s="18" t="b">
        <v>0</v>
      </c>
      <c r="AD49" s="18" t="s">
        <v>329</v>
      </c>
      <c r="AE49" s="18"/>
      <c r="AF49" s="18"/>
      <c r="AG49" s="18"/>
      <c r="AH49" s="18">
        <v>700</v>
      </c>
      <c r="AI49" s="18">
        <v>90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 t="s">
        <v>354</v>
      </c>
      <c r="AZ49" s="18">
        <v>10800</v>
      </c>
      <c r="BA49" s="18" t="s">
        <v>331</v>
      </c>
      <c r="BB49" s="18" t="s">
        <v>328</v>
      </c>
      <c r="BC49" s="18">
        <v>10000</v>
      </c>
      <c r="BD49" s="18">
        <v>0</v>
      </c>
      <c r="BE49" s="18" t="s">
        <v>332</v>
      </c>
      <c r="BF49" s="18">
        <v>0</v>
      </c>
      <c r="BG49" s="18" t="s">
        <v>355</v>
      </c>
      <c r="BH49" s="18">
        <v>9500</v>
      </c>
      <c r="BI49" s="18">
        <v>5</v>
      </c>
      <c r="BJ49" s="18" t="b">
        <v>1</v>
      </c>
      <c r="BK49" s="18">
        <v>0</v>
      </c>
      <c r="BL49" s="18">
        <v>9000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>
        <v>200</v>
      </c>
      <c r="GS49" s="18">
        <v>400</v>
      </c>
      <c r="GT49" s="18" t="s">
        <v>356</v>
      </c>
      <c r="GU49" s="18">
        <v>30051</v>
      </c>
      <c r="GV49" s="18" t="s">
        <v>339</v>
      </c>
      <c r="GW49" s="18" t="s">
        <v>339</v>
      </c>
      <c r="GX49" s="18" t="b">
        <v>1</v>
      </c>
      <c r="GY49" s="18">
        <v>2200</v>
      </c>
      <c r="GZ49" s="18" t="b">
        <v>0</v>
      </c>
      <c r="HA49" s="18">
        <v>0</v>
      </c>
      <c r="HB49" s="18">
        <v>0</v>
      </c>
      <c r="HC49" s="18">
        <v>0</v>
      </c>
      <c r="HD49" s="18">
        <v>0</v>
      </c>
      <c r="HE49" s="18" t="b">
        <v>0</v>
      </c>
      <c r="HF49" s="18">
        <v>0</v>
      </c>
      <c r="HG49" s="18">
        <v>10001</v>
      </c>
      <c r="HH49" s="18" t="s">
        <v>339</v>
      </c>
      <c r="HI49" s="18" t="s">
        <v>334</v>
      </c>
      <c r="HJ49" s="18">
        <v>0</v>
      </c>
      <c r="HK49" s="18">
        <v>0</v>
      </c>
      <c r="HL49" s="18">
        <v>0</v>
      </c>
      <c r="HM49" s="18">
        <v>0</v>
      </c>
      <c r="HN49" s="18" t="b">
        <v>0</v>
      </c>
    </row>
    <row r="50" spans="1:222">
      <c r="A50"/>
      <c r="B50" s="29" cm="1">
        <f t="array" ref="B50">10000000+INDEX(编号表!$B$1:$B$112,MATCH(D50,编号表!$A$1:$A$112,0))*10000+I50</f>
        <v>10050004</v>
      </c>
      <c r="C50" s="18" t="s">
        <v>350</v>
      </c>
      <c r="D50" s="18" t="s">
        <v>350</v>
      </c>
      <c r="E50" s="18" t="s">
        <v>322</v>
      </c>
      <c r="F50" s="18" t="s">
        <v>351</v>
      </c>
      <c r="G50" s="18" t="b">
        <v>0</v>
      </c>
      <c r="H50" s="18" t="b">
        <v>0</v>
      </c>
      <c r="I50" s="18">
        <v>4</v>
      </c>
      <c r="J50" s="18">
        <v>100500</v>
      </c>
      <c r="K50" s="18" t="s">
        <v>324</v>
      </c>
      <c r="L50" s="18">
        <v>10050003</v>
      </c>
      <c r="M50" s="18">
        <v>10050005</v>
      </c>
      <c r="N50" s="18" t="s">
        <v>352</v>
      </c>
      <c r="O50" s="18">
        <v>10202004</v>
      </c>
      <c r="P50" s="18">
        <v>0</v>
      </c>
      <c r="Q50" s="18">
        <v>3</v>
      </c>
      <c r="R50" s="18">
        <v>16</v>
      </c>
      <c r="S50" s="18">
        <v>0</v>
      </c>
      <c r="T50" s="18">
        <v>100</v>
      </c>
      <c r="U50" s="18" t="s">
        <v>338</v>
      </c>
      <c r="V50" s="18">
        <v>0</v>
      </c>
      <c r="W50" s="18">
        <v>0</v>
      </c>
      <c r="X50" s="18" t="s">
        <v>342</v>
      </c>
      <c r="Y50" s="18" t="s">
        <v>353</v>
      </c>
      <c r="Z50" s="18" t="s">
        <v>328</v>
      </c>
      <c r="AA50" s="18">
        <v>0</v>
      </c>
      <c r="AB50" s="18">
        <v>8</v>
      </c>
      <c r="AC50" s="18" t="b">
        <v>0</v>
      </c>
      <c r="AD50" s="18" t="s">
        <v>329</v>
      </c>
      <c r="AE50" s="18"/>
      <c r="AF50" s="18"/>
      <c r="AG50" s="18"/>
      <c r="AH50" s="18">
        <v>700</v>
      </c>
      <c r="AI50" s="18">
        <v>90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 t="s">
        <v>354</v>
      </c>
      <c r="AZ50" s="18">
        <v>11200</v>
      </c>
      <c r="BA50" s="18" t="s">
        <v>331</v>
      </c>
      <c r="BB50" s="18" t="s">
        <v>328</v>
      </c>
      <c r="BC50" s="18">
        <v>10000</v>
      </c>
      <c r="BD50" s="18">
        <v>0</v>
      </c>
      <c r="BE50" s="18" t="s">
        <v>332</v>
      </c>
      <c r="BF50" s="18">
        <v>0</v>
      </c>
      <c r="BG50" s="18" t="s">
        <v>355</v>
      </c>
      <c r="BH50" s="18">
        <v>9500</v>
      </c>
      <c r="BI50" s="18">
        <v>6</v>
      </c>
      <c r="BJ50" s="18" t="b">
        <v>1</v>
      </c>
      <c r="BK50" s="18">
        <v>0</v>
      </c>
      <c r="BL50" s="18">
        <v>9000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>
        <v>200</v>
      </c>
      <c r="GS50" s="18">
        <v>400</v>
      </c>
      <c r="GT50" s="18" t="s">
        <v>356</v>
      </c>
      <c r="GU50" s="18">
        <v>30051</v>
      </c>
      <c r="GV50" s="18" t="s">
        <v>339</v>
      </c>
      <c r="GW50" s="18" t="s">
        <v>339</v>
      </c>
      <c r="GX50" s="18" t="b">
        <v>1</v>
      </c>
      <c r="GY50" s="18">
        <v>2200</v>
      </c>
      <c r="GZ50" s="18" t="b">
        <v>0</v>
      </c>
      <c r="HA50" s="18">
        <v>0</v>
      </c>
      <c r="HB50" s="18">
        <v>0</v>
      </c>
      <c r="HC50" s="18">
        <v>0</v>
      </c>
      <c r="HD50" s="18">
        <v>0</v>
      </c>
      <c r="HE50" s="18" t="b">
        <v>0</v>
      </c>
      <c r="HF50" s="18">
        <v>0</v>
      </c>
      <c r="HG50" s="18">
        <v>10001</v>
      </c>
      <c r="HH50" s="18" t="s">
        <v>339</v>
      </c>
      <c r="HI50" s="18" t="s">
        <v>334</v>
      </c>
      <c r="HJ50" s="18">
        <v>0</v>
      </c>
      <c r="HK50" s="18">
        <v>0</v>
      </c>
      <c r="HL50" s="18">
        <v>0</v>
      </c>
      <c r="HM50" s="18">
        <v>0</v>
      </c>
      <c r="HN50" s="18" t="b">
        <v>0</v>
      </c>
    </row>
    <row r="51" spans="1:222">
      <c r="A51"/>
      <c r="B51" s="29" cm="1">
        <f t="array" ref="B51">10000000+INDEX(编号表!$B$1:$B$112,MATCH(D51,编号表!$A$1:$A$112,0))*10000+I51</f>
        <v>10050005</v>
      </c>
      <c r="C51" s="18" t="s">
        <v>350</v>
      </c>
      <c r="D51" s="18" t="s">
        <v>350</v>
      </c>
      <c r="E51" s="18" t="s">
        <v>322</v>
      </c>
      <c r="F51" s="18" t="s">
        <v>351</v>
      </c>
      <c r="G51" s="18" t="b">
        <v>0</v>
      </c>
      <c r="H51" s="18" t="b">
        <v>0</v>
      </c>
      <c r="I51" s="18">
        <v>5</v>
      </c>
      <c r="J51" s="18">
        <v>100500</v>
      </c>
      <c r="K51" s="18" t="s">
        <v>324</v>
      </c>
      <c r="L51" s="18">
        <v>10050004</v>
      </c>
      <c r="M51" s="18">
        <v>10050006</v>
      </c>
      <c r="N51" s="18" t="s">
        <v>352</v>
      </c>
      <c r="O51" s="18">
        <v>10202004</v>
      </c>
      <c r="P51" s="18">
        <v>0</v>
      </c>
      <c r="Q51" s="18">
        <v>3</v>
      </c>
      <c r="R51" s="18">
        <v>25</v>
      </c>
      <c r="S51" s="18">
        <v>0</v>
      </c>
      <c r="T51" s="18">
        <v>100</v>
      </c>
      <c r="U51" s="18" t="s">
        <v>338</v>
      </c>
      <c r="V51" s="18">
        <v>0</v>
      </c>
      <c r="W51" s="18">
        <v>0</v>
      </c>
      <c r="X51" s="18" t="s">
        <v>342</v>
      </c>
      <c r="Y51" s="18" t="s">
        <v>353</v>
      </c>
      <c r="Z51" s="18" t="s">
        <v>328</v>
      </c>
      <c r="AA51" s="18">
        <v>0</v>
      </c>
      <c r="AB51" s="18">
        <v>8</v>
      </c>
      <c r="AC51" s="18" t="b">
        <v>0</v>
      </c>
      <c r="AD51" s="18" t="s">
        <v>329</v>
      </c>
      <c r="AE51" s="18"/>
      <c r="AF51" s="18"/>
      <c r="AG51" s="18"/>
      <c r="AH51" s="18">
        <v>700</v>
      </c>
      <c r="AI51" s="18">
        <v>90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 t="s">
        <v>354</v>
      </c>
      <c r="AZ51" s="18">
        <v>11300</v>
      </c>
      <c r="BA51" s="18" t="s">
        <v>331</v>
      </c>
      <c r="BB51" s="18" t="s">
        <v>328</v>
      </c>
      <c r="BC51" s="18">
        <v>10000</v>
      </c>
      <c r="BD51" s="18">
        <v>0</v>
      </c>
      <c r="BE51" s="18" t="s">
        <v>332</v>
      </c>
      <c r="BF51" s="18">
        <v>0</v>
      </c>
      <c r="BG51" s="18" t="s">
        <v>355</v>
      </c>
      <c r="BH51" s="18">
        <v>9500</v>
      </c>
      <c r="BI51" s="18">
        <v>6</v>
      </c>
      <c r="BJ51" s="18" t="b">
        <v>1</v>
      </c>
      <c r="BK51" s="18">
        <v>0</v>
      </c>
      <c r="BL51" s="18">
        <v>9000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>
        <v>200</v>
      </c>
      <c r="GS51" s="18">
        <v>400</v>
      </c>
      <c r="GT51" s="18" t="s">
        <v>356</v>
      </c>
      <c r="GU51" s="18">
        <v>30051</v>
      </c>
      <c r="GV51" s="18" t="s">
        <v>339</v>
      </c>
      <c r="GW51" s="18" t="s">
        <v>339</v>
      </c>
      <c r="GX51" s="18" t="b">
        <v>1</v>
      </c>
      <c r="GY51" s="18">
        <v>2200</v>
      </c>
      <c r="GZ51" s="18" t="b">
        <v>0</v>
      </c>
      <c r="HA51" s="18">
        <v>0</v>
      </c>
      <c r="HB51" s="18">
        <v>0</v>
      </c>
      <c r="HC51" s="18">
        <v>0</v>
      </c>
      <c r="HD51" s="18">
        <v>0</v>
      </c>
      <c r="HE51" s="18" t="b">
        <v>0</v>
      </c>
      <c r="HF51" s="18">
        <v>0</v>
      </c>
      <c r="HG51" s="18">
        <v>10001</v>
      </c>
      <c r="HH51" s="18" t="s">
        <v>339</v>
      </c>
      <c r="HI51" s="18" t="s">
        <v>334</v>
      </c>
      <c r="HJ51" s="18">
        <v>0</v>
      </c>
      <c r="HK51" s="18">
        <v>0</v>
      </c>
      <c r="HL51" s="18">
        <v>0</v>
      </c>
      <c r="HM51" s="18">
        <v>0</v>
      </c>
      <c r="HN51" s="18" t="b">
        <v>0</v>
      </c>
    </row>
    <row r="52" spans="1:222">
      <c r="A52"/>
      <c r="B52" s="29" cm="1">
        <f t="array" ref="B52">10000000+INDEX(编号表!$B$1:$B$112,MATCH(D52,编号表!$A$1:$A$112,0))*10000+I52</f>
        <v>10050006</v>
      </c>
      <c r="C52" s="18" t="s">
        <v>350</v>
      </c>
      <c r="D52" s="18" t="s">
        <v>350</v>
      </c>
      <c r="E52" s="18" t="s">
        <v>322</v>
      </c>
      <c r="F52" s="18" t="s">
        <v>351</v>
      </c>
      <c r="G52" s="18" t="b">
        <v>0</v>
      </c>
      <c r="H52" s="18" t="b">
        <v>0</v>
      </c>
      <c r="I52" s="18">
        <v>6</v>
      </c>
      <c r="J52" s="18">
        <v>100500</v>
      </c>
      <c r="K52" s="18" t="s">
        <v>324</v>
      </c>
      <c r="L52" s="18">
        <v>10050005</v>
      </c>
      <c r="M52" s="18">
        <v>10050007</v>
      </c>
      <c r="N52" s="18" t="s">
        <v>352</v>
      </c>
      <c r="O52" s="18">
        <v>10202004</v>
      </c>
      <c r="P52" s="18">
        <v>0</v>
      </c>
      <c r="Q52" s="18">
        <v>3</v>
      </c>
      <c r="R52" s="18">
        <v>30</v>
      </c>
      <c r="S52" s="18">
        <v>0</v>
      </c>
      <c r="T52" s="18">
        <v>100</v>
      </c>
      <c r="U52" s="18" t="s">
        <v>338</v>
      </c>
      <c r="V52" s="18">
        <v>0</v>
      </c>
      <c r="W52" s="18">
        <v>0</v>
      </c>
      <c r="X52" s="18" t="s">
        <v>342</v>
      </c>
      <c r="Y52" s="18" t="s">
        <v>353</v>
      </c>
      <c r="Z52" s="18" t="s">
        <v>328</v>
      </c>
      <c r="AA52" s="18">
        <v>0</v>
      </c>
      <c r="AB52" s="18">
        <v>8</v>
      </c>
      <c r="AC52" s="18" t="b">
        <v>0</v>
      </c>
      <c r="AD52" s="18" t="s">
        <v>329</v>
      </c>
      <c r="AE52" s="18"/>
      <c r="AF52" s="18"/>
      <c r="AG52" s="18"/>
      <c r="AH52" s="18">
        <v>700</v>
      </c>
      <c r="AI52" s="18">
        <v>90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 t="s">
        <v>354</v>
      </c>
      <c r="AZ52" s="18">
        <v>11600</v>
      </c>
      <c r="BA52" s="18" t="s">
        <v>331</v>
      </c>
      <c r="BB52" s="18" t="s">
        <v>328</v>
      </c>
      <c r="BC52" s="18">
        <v>10000</v>
      </c>
      <c r="BD52" s="18">
        <v>0</v>
      </c>
      <c r="BE52" s="18" t="s">
        <v>332</v>
      </c>
      <c r="BF52" s="18">
        <v>0</v>
      </c>
      <c r="BG52" s="18" t="s">
        <v>355</v>
      </c>
      <c r="BH52" s="18">
        <v>9500</v>
      </c>
      <c r="BI52" s="18">
        <v>7</v>
      </c>
      <c r="BJ52" s="18" t="b">
        <v>1</v>
      </c>
      <c r="BK52" s="18">
        <v>0</v>
      </c>
      <c r="BL52" s="18">
        <v>9000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>
        <v>200</v>
      </c>
      <c r="GS52" s="18">
        <v>400</v>
      </c>
      <c r="GT52" s="18" t="s">
        <v>356</v>
      </c>
      <c r="GU52" s="18">
        <v>30051</v>
      </c>
      <c r="GV52" s="18" t="s">
        <v>339</v>
      </c>
      <c r="GW52" s="18" t="s">
        <v>339</v>
      </c>
      <c r="GX52" s="18" t="b">
        <v>1</v>
      </c>
      <c r="GY52" s="18">
        <v>2200</v>
      </c>
      <c r="GZ52" s="18" t="b">
        <v>0</v>
      </c>
      <c r="HA52" s="18">
        <v>0</v>
      </c>
      <c r="HB52" s="18">
        <v>0</v>
      </c>
      <c r="HC52" s="18">
        <v>0</v>
      </c>
      <c r="HD52" s="18">
        <v>0</v>
      </c>
      <c r="HE52" s="18" t="b">
        <v>0</v>
      </c>
      <c r="HF52" s="18">
        <v>0</v>
      </c>
      <c r="HG52" s="18">
        <v>10001</v>
      </c>
      <c r="HH52" s="18" t="s">
        <v>339</v>
      </c>
      <c r="HI52" s="18" t="s">
        <v>334</v>
      </c>
      <c r="HJ52" s="18">
        <v>0</v>
      </c>
      <c r="HK52" s="18">
        <v>0</v>
      </c>
      <c r="HL52" s="18">
        <v>0</v>
      </c>
      <c r="HM52" s="18">
        <v>0</v>
      </c>
      <c r="HN52" s="18" t="b">
        <v>0</v>
      </c>
    </row>
    <row r="53" spans="1:222">
      <c r="A53"/>
      <c r="B53" s="29" cm="1">
        <f t="array" ref="B53">10000000+INDEX(编号表!$B$1:$B$112,MATCH(D53,编号表!$A$1:$A$112,0))*10000+I53</f>
        <v>10050007</v>
      </c>
      <c r="C53" s="18" t="s">
        <v>350</v>
      </c>
      <c r="D53" s="18" t="s">
        <v>350</v>
      </c>
      <c r="E53" s="18" t="s">
        <v>322</v>
      </c>
      <c r="F53" s="18" t="s">
        <v>351</v>
      </c>
      <c r="G53" s="18" t="b">
        <v>0</v>
      </c>
      <c r="H53" s="18" t="b">
        <v>0</v>
      </c>
      <c r="I53" s="18">
        <v>7</v>
      </c>
      <c r="J53" s="18">
        <v>100500</v>
      </c>
      <c r="K53" s="18" t="s">
        <v>324</v>
      </c>
      <c r="L53" s="18">
        <v>10050006</v>
      </c>
      <c r="M53" s="18">
        <v>10050008</v>
      </c>
      <c r="N53" s="18" t="s">
        <v>352</v>
      </c>
      <c r="O53" s="18">
        <v>10202004</v>
      </c>
      <c r="P53" s="18">
        <v>0</v>
      </c>
      <c r="Q53" s="18">
        <v>3</v>
      </c>
      <c r="R53" s="18">
        <v>35</v>
      </c>
      <c r="S53" s="18">
        <v>0</v>
      </c>
      <c r="T53" s="18">
        <v>100</v>
      </c>
      <c r="U53" s="18" t="s">
        <v>338</v>
      </c>
      <c r="V53" s="18">
        <v>0</v>
      </c>
      <c r="W53" s="18">
        <v>0</v>
      </c>
      <c r="X53" s="18" t="s">
        <v>342</v>
      </c>
      <c r="Y53" s="18" t="s">
        <v>353</v>
      </c>
      <c r="Z53" s="18" t="s">
        <v>328</v>
      </c>
      <c r="AA53" s="18">
        <v>0</v>
      </c>
      <c r="AB53" s="18">
        <v>8</v>
      </c>
      <c r="AC53" s="18" t="b">
        <v>0</v>
      </c>
      <c r="AD53" s="18" t="s">
        <v>329</v>
      </c>
      <c r="AE53" s="18"/>
      <c r="AF53" s="18"/>
      <c r="AG53" s="18"/>
      <c r="AH53" s="18">
        <v>700</v>
      </c>
      <c r="AI53" s="18">
        <v>90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 t="s">
        <v>354</v>
      </c>
      <c r="AZ53" s="18">
        <v>11700</v>
      </c>
      <c r="BA53" s="18" t="s">
        <v>331</v>
      </c>
      <c r="BB53" s="18" t="s">
        <v>328</v>
      </c>
      <c r="BC53" s="18">
        <v>10000</v>
      </c>
      <c r="BD53" s="18">
        <v>0</v>
      </c>
      <c r="BE53" s="18" t="s">
        <v>332</v>
      </c>
      <c r="BF53" s="18">
        <v>0</v>
      </c>
      <c r="BG53" s="18" t="s">
        <v>355</v>
      </c>
      <c r="BH53" s="18">
        <v>9500</v>
      </c>
      <c r="BI53" s="18">
        <v>9</v>
      </c>
      <c r="BJ53" s="18" t="b">
        <v>1</v>
      </c>
      <c r="BK53" s="18">
        <v>0</v>
      </c>
      <c r="BL53" s="18">
        <v>9000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>
        <v>200</v>
      </c>
      <c r="GS53" s="18">
        <v>400</v>
      </c>
      <c r="GT53" s="18" t="s">
        <v>356</v>
      </c>
      <c r="GU53" s="18">
        <v>30051</v>
      </c>
      <c r="GV53" s="18" t="s">
        <v>339</v>
      </c>
      <c r="GW53" s="18" t="s">
        <v>339</v>
      </c>
      <c r="GX53" s="18" t="b">
        <v>1</v>
      </c>
      <c r="GY53" s="18">
        <v>2200</v>
      </c>
      <c r="GZ53" s="18" t="b">
        <v>0</v>
      </c>
      <c r="HA53" s="18">
        <v>0</v>
      </c>
      <c r="HB53" s="18">
        <v>0</v>
      </c>
      <c r="HC53" s="18">
        <v>0</v>
      </c>
      <c r="HD53" s="18">
        <v>0</v>
      </c>
      <c r="HE53" s="18" t="b">
        <v>0</v>
      </c>
      <c r="HF53" s="18">
        <v>0</v>
      </c>
      <c r="HG53" s="18">
        <v>10001</v>
      </c>
      <c r="HH53" s="18" t="s">
        <v>339</v>
      </c>
      <c r="HI53" s="18" t="s">
        <v>334</v>
      </c>
      <c r="HJ53" s="18">
        <v>0</v>
      </c>
      <c r="HK53" s="18">
        <v>0</v>
      </c>
      <c r="HL53" s="18">
        <v>0</v>
      </c>
      <c r="HM53" s="18">
        <v>0</v>
      </c>
      <c r="HN53" s="18" t="b">
        <v>0</v>
      </c>
    </row>
    <row r="54" spans="1:222">
      <c r="A54"/>
      <c r="B54" s="29" cm="1">
        <f t="array" ref="B54">10000000+INDEX(编号表!$B$1:$B$112,MATCH(D54,编号表!$A$1:$A$112,0))*10000+I54</f>
        <v>10050008</v>
      </c>
      <c r="C54" s="18" t="s">
        <v>350</v>
      </c>
      <c r="D54" s="18" t="s">
        <v>350</v>
      </c>
      <c r="E54" s="18" t="s">
        <v>322</v>
      </c>
      <c r="F54" s="18" t="s">
        <v>351</v>
      </c>
      <c r="G54" s="18" t="b">
        <v>0</v>
      </c>
      <c r="H54" s="18" t="b">
        <v>0</v>
      </c>
      <c r="I54" s="18">
        <v>8</v>
      </c>
      <c r="J54" s="18">
        <v>100500</v>
      </c>
      <c r="K54" s="18" t="s">
        <v>324</v>
      </c>
      <c r="L54" s="18">
        <v>10050007</v>
      </c>
      <c r="M54" s="18">
        <v>10050009</v>
      </c>
      <c r="N54" s="18" t="s">
        <v>352</v>
      </c>
      <c r="O54" s="18">
        <v>10202004</v>
      </c>
      <c r="P54" s="18">
        <v>0</v>
      </c>
      <c r="Q54" s="18">
        <v>3</v>
      </c>
      <c r="R54" s="18">
        <v>35</v>
      </c>
      <c r="S54" s="18">
        <v>0</v>
      </c>
      <c r="T54" s="18">
        <v>100</v>
      </c>
      <c r="U54" s="18" t="s">
        <v>338</v>
      </c>
      <c r="V54" s="18">
        <v>0</v>
      </c>
      <c r="W54" s="18">
        <v>0</v>
      </c>
      <c r="X54" s="18" t="s">
        <v>342</v>
      </c>
      <c r="Y54" s="18" t="s">
        <v>353</v>
      </c>
      <c r="Z54" s="18" t="s">
        <v>328</v>
      </c>
      <c r="AA54" s="18">
        <v>0</v>
      </c>
      <c r="AB54" s="18">
        <v>8</v>
      </c>
      <c r="AC54" s="18" t="b">
        <v>0</v>
      </c>
      <c r="AD54" s="18" t="s">
        <v>329</v>
      </c>
      <c r="AE54" s="18"/>
      <c r="AF54" s="18"/>
      <c r="AG54" s="18"/>
      <c r="AH54" s="18">
        <v>700</v>
      </c>
      <c r="AI54" s="18">
        <v>90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 t="s">
        <v>354</v>
      </c>
      <c r="AZ54" s="18">
        <v>11800</v>
      </c>
      <c r="BA54" s="18" t="s">
        <v>331</v>
      </c>
      <c r="BB54" s="18" t="s">
        <v>328</v>
      </c>
      <c r="BC54" s="18">
        <v>10000</v>
      </c>
      <c r="BD54" s="18">
        <v>0</v>
      </c>
      <c r="BE54" s="18" t="s">
        <v>332</v>
      </c>
      <c r="BF54" s="18">
        <v>0</v>
      </c>
      <c r="BG54" s="18" t="s">
        <v>355</v>
      </c>
      <c r="BH54" s="18">
        <v>9500</v>
      </c>
      <c r="BI54" s="18">
        <v>10</v>
      </c>
      <c r="BJ54" s="18" t="b">
        <v>1</v>
      </c>
      <c r="BK54" s="18">
        <v>0</v>
      </c>
      <c r="BL54" s="18">
        <v>9000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>
        <v>200</v>
      </c>
      <c r="GS54" s="18">
        <v>400</v>
      </c>
      <c r="GT54" s="18" t="s">
        <v>356</v>
      </c>
      <c r="GU54" s="18">
        <v>30051</v>
      </c>
      <c r="GV54" s="18" t="s">
        <v>339</v>
      </c>
      <c r="GW54" s="18" t="s">
        <v>339</v>
      </c>
      <c r="GX54" s="18" t="b">
        <v>1</v>
      </c>
      <c r="GY54" s="18">
        <v>2200</v>
      </c>
      <c r="GZ54" s="18" t="b">
        <v>0</v>
      </c>
      <c r="HA54" s="18">
        <v>0</v>
      </c>
      <c r="HB54" s="18">
        <v>0</v>
      </c>
      <c r="HC54" s="18">
        <v>0</v>
      </c>
      <c r="HD54" s="18">
        <v>0</v>
      </c>
      <c r="HE54" s="18" t="b">
        <v>0</v>
      </c>
      <c r="HF54" s="18">
        <v>0</v>
      </c>
      <c r="HG54" s="18">
        <v>10001</v>
      </c>
      <c r="HH54" s="18" t="s">
        <v>339</v>
      </c>
      <c r="HI54" s="18" t="s">
        <v>334</v>
      </c>
      <c r="HJ54" s="18">
        <v>0</v>
      </c>
      <c r="HK54" s="18">
        <v>0</v>
      </c>
      <c r="HL54" s="18">
        <v>0</v>
      </c>
      <c r="HM54" s="18">
        <v>0</v>
      </c>
      <c r="HN54" s="18" t="b">
        <v>0</v>
      </c>
    </row>
    <row r="55" spans="1:222">
      <c r="A55"/>
      <c r="B55" s="29" cm="1">
        <f t="array" ref="B55">10000000+INDEX(编号表!$B$1:$B$112,MATCH(D55,编号表!$A$1:$A$112,0))*10000+I55</f>
        <v>10050009</v>
      </c>
      <c r="C55" s="18" t="s">
        <v>350</v>
      </c>
      <c r="D55" s="18" t="s">
        <v>350</v>
      </c>
      <c r="E55" s="18" t="s">
        <v>322</v>
      </c>
      <c r="F55" s="18" t="s">
        <v>351</v>
      </c>
      <c r="G55" s="18" t="b">
        <v>0</v>
      </c>
      <c r="H55" s="18" t="b">
        <v>0</v>
      </c>
      <c r="I55" s="18">
        <v>9</v>
      </c>
      <c r="J55" s="18">
        <v>100500</v>
      </c>
      <c r="K55" s="18" t="s">
        <v>324</v>
      </c>
      <c r="L55" s="18">
        <v>10050008</v>
      </c>
      <c r="M55" s="18">
        <v>10050010</v>
      </c>
      <c r="N55" s="18" t="s">
        <v>352</v>
      </c>
      <c r="O55" s="18">
        <v>10202004</v>
      </c>
      <c r="P55" s="18">
        <v>0</v>
      </c>
      <c r="Q55" s="18">
        <v>3</v>
      </c>
      <c r="R55" s="18">
        <v>40</v>
      </c>
      <c r="S55" s="18">
        <v>0</v>
      </c>
      <c r="T55" s="18">
        <v>100</v>
      </c>
      <c r="U55" s="18" t="s">
        <v>338</v>
      </c>
      <c r="V55" s="18">
        <v>0</v>
      </c>
      <c r="W55" s="18">
        <v>0</v>
      </c>
      <c r="X55" s="18" t="s">
        <v>342</v>
      </c>
      <c r="Y55" s="18" t="s">
        <v>353</v>
      </c>
      <c r="Z55" s="18" t="s">
        <v>328</v>
      </c>
      <c r="AA55" s="18">
        <v>0</v>
      </c>
      <c r="AB55" s="18">
        <v>8</v>
      </c>
      <c r="AC55" s="18" t="b">
        <v>0</v>
      </c>
      <c r="AD55" s="18" t="s">
        <v>329</v>
      </c>
      <c r="AE55" s="18"/>
      <c r="AF55" s="18"/>
      <c r="AG55" s="18"/>
      <c r="AH55" s="18">
        <v>700</v>
      </c>
      <c r="AI55" s="18">
        <v>90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 t="s">
        <v>354</v>
      </c>
      <c r="AZ55" s="18">
        <v>11900</v>
      </c>
      <c r="BA55" s="18" t="s">
        <v>331</v>
      </c>
      <c r="BB55" s="18" t="s">
        <v>328</v>
      </c>
      <c r="BC55" s="18">
        <v>10000</v>
      </c>
      <c r="BD55" s="18">
        <v>0</v>
      </c>
      <c r="BE55" s="18" t="s">
        <v>332</v>
      </c>
      <c r="BF55" s="18">
        <v>0</v>
      </c>
      <c r="BG55" s="18" t="s">
        <v>355</v>
      </c>
      <c r="BH55" s="18">
        <v>9500</v>
      </c>
      <c r="BI55" s="18">
        <v>12</v>
      </c>
      <c r="BJ55" s="18" t="b">
        <v>1</v>
      </c>
      <c r="BK55" s="18">
        <v>0</v>
      </c>
      <c r="BL55" s="18">
        <v>9000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>
        <v>200</v>
      </c>
      <c r="GS55" s="18">
        <v>400</v>
      </c>
      <c r="GT55" s="18" t="s">
        <v>356</v>
      </c>
      <c r="GU55" s="18">
        <v>30051</v>
      </c>
      <c r="GV55" s="18" t="s">
        <v>339</v>
      </c>
      <c r="GW55" s="18" t="s">
        <v>339</v>
      </c>
      <c r="GX55" s="18" t="b">
        <v>1</v>
      </c>
      <c r="GY55" s="18">
        <v>2200</v>
      </c>
      <c r="GZ55" s="18" t="b">
        <v>0</v>
      </c>
      <c r="HA55" s="18">
        <v>0</v>
      </c>
      <c r="HB55" s="18">
        <v>0</v>
      </c>
      <c r="HC55" s="18">
        <v>0</v>
      </c>
      <c r="HD55" s="18">
        <v>0</v>
      </c>
      <c r="HE55" s="18" t="b">
        <v>0</v>
      </c>
      <c r="HF55" s="18">
        <v>0</v>
      </c>
      <c r="HG55" s="18">
        <v>10001</v>
      </c>
      <c r="HH55" s="18" t="s">
        <v>339</v>
      </c>
      <c r="HI55" s="18" t="s">
        <v>334</v>
      </c>
      <c r="HJ55" s="18">
        <v>0</v>
      </c>
      <c r="HK55" s="18">
        <v>0</v>
      </c>
      <c r="HL55" s="18">
        <v>0</v>
      </c>
      <c r="HM55" s="18">
        <v>0</v>
      </c>
      <c r="HN55" s="18" t="b">
        <v>0</v>
      </c>
    </row>
    <row r="56" spans="1:222">
      <c r="A56"/>
      <c r="B56" s="29" cm="1">
        <f t="array" ref="B56">10000000+INDEX(编号表!$B$1:$B$112,MATCH(D56,编号表!$A$1:$A$112,0))*10000+I56</f>
        <v>10050010</v>
      </c>
      <c r="C56" s="18" t="s">
        <v>350</v>
      </c>
      <c r="D56" s="18" t="s">
        <v>350</v>
      </c>
      <c r="E56" s="18" t="s">
        <v>322</v>
      </c>
      <c r="F56" s="18" t="s">
        <v>351</v>
      </c>
      <c r="G56" s="18" t="b">
        <v>0</v>
      </c>
      <c r="H56" s="18" t="b">
        <v>0</v>
      </c>
      <c r="I56" s="18">
        <v>10</v>
      </c>
      <c r="J56" s="18">
        <v>100500</v>
      </c>
      <c r="K56" s="18" t="s">
        <v>324</v>
      </c>
      <c r="L56" s="18">
        <v>10050009</v>
      </c>
      <c r="M56" s="18">
        <v>0</v>
      </c>
      <c r="N56" s="18" t="s">
        <v>352</v>
      </c>
      <c r="O56" s="18">
        <v>10202004</v>
      </c>
      <c r="P56" s="18">
        <v>0</v>
      </c>
      <c r="Q56" s="18">
        <v>3</v>
      </c>
      <c r="R56" s="18">
        <v>40</v>
      </c>
      <c r="S56" s="18">
        <v>0</v>
      </c>
      <c r="T56" s="18">
        <v>0</v>
      </c>
      <c r="U56" s="18" t="s">
        <v>338</v>
      </c>
      <c r="V56" s="18">
        <v>0</v>
      </c>
      <c r="W56" s="18">
        <v>0</v>
      </c>
      <c r="X56" s="18" t="s">
        <v>342</v>
      </c>
      <c r="Y56" s="18" t="s">
        <v>353</v>
      </c>
      <c r="Z56" s="18" t="s">
        <v>328</v>
      </c>
      <c r="AA56" s="18">
        <v>0</v>
      </c>
      <c r="AB56" s="18">
        <v>8</v>
      </c>
      <c r="AC56" s="18" t="b">
        <v>0</v>
      </c>
      <c r="AD56" s="18" t="s">
        <v>329</v>
      </c>
      <c r="AE56" s="18"/>
      <c r="AF56" s="18"/>
      <c r="AG56" s="18"/>
      <c r="AH56" s="18">
        <v>700</v>
      </c>
      <c r="AI56" s="18">
        <v>90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 t="s">
        <v>354</v>
      </c>
      <c r="AZ56" s="18">
        <v>12000</v>
      </c>
      <c r="BA56" s="18" t="s">
        <v>331</v>
      </c>
      <c r="BB56" s="18" t="s">
        <v>328</v>
      </c>
      <c r="BC56" s="18">
        <v>10000</v>
      </c>
      <c r="BD56" s="18">
        <v>0</v>
      </c>
      <c r="BE56" s="18" t="s">
        <v>332</v>
      </c>
      <c r="BF56" s="18">
        <v>0</v>
      </c>
      <c r="BG56" s="18" t="s">
        <v>355</v>
      </c>
      <c r="BH56" s="18">
        <v>9500</v>
      </c>
      <c r="BI56" s="18">
        <v>15</v>
      </c>
      <c r="BJ56" s="18" t="b">
        <v>1</v>
      </c>
      <c r="BK56" s="18">
        <v>0</v>
      </c>
      <c r="BL56" s="18">
        <v>9000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>
        <v>200</v>
      </c>
      <c r="GS56" s="18">
        <v>400</v>
      </c>
      <c r="GT56" s="18" t="s">
        <v>356</v>
      </c>
      <c r="GU56" s="18">
        <v>30051</v>
      </c>
      <c r="GV56" s="18" t="s">
        <v>339</v>
      </c>
      <c r="GW56" s="18" t="s">
        <v>339</v>
      </c>
      <c r="GX56" s="18" t="b">
        <v>1</v>
      </c>
      <c r="GY56" s="18">
        <v>2200</v>
      </c>
      <c r="GZ56" s="18" t="b">
        <v>0</v>
      </c>
      <c r="HA56" s="18">
        <v>0</v>
      </c>
      <c r="HB56" s="18">
        <v>0</v>
      </c>
      <c r="HC56" s="18">
        <v>0</v>
      </c>
      <c r="HD56" s="18">
        <v>0</v>
      </c>
      <c r="HE56" s="18" t="b">
        <v>0</v>
      </c>
      <c r="HF56" s="18">
        <v>0</v>
      </c>
      <c r="HG56" s="18">
        <v>10001</v>
      </c>
      <c r="HH56" s="18" t="s">
        <v>339</v>
      </c>
      <c r="HI56" s="18" t="s">
        <v>334</v>
      </c>
      <c r="HJ56" s="18">
        <v>0</v>
      </c>
      <c r="HK56" s="18">
        <v>0</v>
      </c>
      <c r="HL56" s="18">
        <v>0</v>
      </c>
      <c r="HM56" s="18">
        <v>0</v>
      </c>
      <c r="HN56" s="18" t="b">
        <v>0</v>
      </c>
    </row>
    <row r="57" spans="1:222">
      <c r="A57"/>
      <c r="B57" s="29" cm="1">
        <f t="array" ref="B57">10000000+INDEX(编号表!$B$1:$B$112,MATCH(D57,编号表!$A$1:$A$112,0))*10000+I57</f>
        <v>10060001</v>
      </c>
      <c r="C57" s="18" t="s">
        <v>357</v>
      </c>
      <c r="D57" s="18" t="s">
        <v>357</v>
      </c>
      <c r="E57" s="18" t="s">
        <v>322</v>
      </c>
      <c r="F57" s="18" t="s">
        <v>358</v>
      </c>
      <c r="G57" s="18" t="b">
        <v>0</v>
      </c>
      <c r="H57" s="18" t="b">
        <v>0</v>
      </c>
      <c r="I57" s="18">
        <v>1</v>
      </c>
      <c r="J57" s="18">
        <v>100600</v>
      </c>
      <c r="K57" s="18" t="s">
        <v>324</v>
      </c>
      <c r="L57" s="18">
        <v>0</v>
      </c>
      <c r="M57" s="18">
        <v>10060002</v>
      </c>
      <c r="N57" s="18" t="s">
        <v>359</v>
      </c>
      <c r="O57" s="18">
        <v>10202005</v>
      </c>
      <c r="P57" s="18">
        <v>0</v>
      </c>
      <c r="Q57" s="18">
        <v>0</v>
      </c>
      <c r="R57" s="18">
        <v>1</v>
      </c>
      <c r="S57" s="18">
        <v>0</v>
      </c>
      <c r="T57" s="18">
        <v>100</v>
      </c>
      <c r="U57" s="18" t="s">
        <v>338</v>
      </c>
      <c r="V57" s="18">
        <v>700</v>
      </c>
      <c r="W57" s="18">
        <v>700</v>
      </c>
      <c r="X57" s="18" t="s">
        <v>326</v>
      </c>
      <c r="Y57" s="18" t="s">
        <v>327</v>
      </c>
      <c r="Z57" s="18" t="s">
        <v>328</v>
      </c>
      <c r="AA57" s="18">
        <v>0</v>
      </c>
      <c r="AB57" s="18">
        <v>1</v>
      </c>
      <c r="AC57" s="18" t="b">
        <v>0</v>
      </c>
      <c r="AD57" s="18" t="s">
        <v>329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 t="s">
        <v>354</v>
      </c>
      <c r="AZ57" s="18">
        <v>10000</v>
      </c>
      <c r="BA57" s="18" t="s">
        <v>331</v>
      </c>
      <c r="BB57" s="18" t="s">
        <v>328</v>
      </c>
      <c r="BC57" s="18">
        <v>10000</v>
      </c>
      <c r="BD57" s="18">
        <v>0</v>
      </c>
      <c r="BE57" s="18" t="s">
        <v>332</v>
      </c>
      <c r="BF57" s="18">
        <v>0</v>
      </c>
      <c r="BG57" s="18" t="s">
        <v>355</v>
      </c>
      <c r="BH57" s="18">
        <v>10000</v>
      </c>
      <c r="BI57" s="18">
        <v>3</v>
      </c>
      <c r="BJ57" s="18" t="b">
        <v>1</v>
      </c>
      <c r="BK57" s="18">
        <v>0</v>
      </c>
      <c r="BL57" s="18">
        <v>10000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>
        <v>200</v>
      </c>
      <c r="GS57" s="18">
        <v>400</v>
      </c>
      <c r="GT57" s="18" t="s">
        <v>356</v>
      </c>
      <c r="GU57" s="18">
        <v>30050</v>
      </c>
      <c r="GV57" s="18" t="s">
        <v>339</v>
      </c>
      <c r="GW57" s="18" t="s">
        <v>339</v>
      </c>
      <c r="GX57" s="18" t="b">
        <v>1</v>
      </c>
      <c r="GY57" s="18">
        <v>2200</v>
      </c>
      <c r="GZ57" s="18" t="b">
        <v>0</v>
      </c>
      <c r="HA57" s="18">
        <v>0</v>
      </c>
      <c r="HB57" s="18">
        <v>0</v>
      </c>
      <c r="HC57" s="18">
        <v>0</v>
      </c>
      <c r="HD57" s="18">
        <v>0</v>
      </c>
      <c r="HE57" s="18" t="b">
        <v>0</v>
      </c>
      <c r="HF57" s="18">
        <v>0</v>
      </c>
      <c r="HG57" s="18">
        <v>10001</v>
      </c>
      <c r="HH57" s="18" t="s">
        <v>339</v>
      </c>
      <c r="HI57" s="18" t="s">
        <v>334</v>
      </c>
      <c r="HJ57" s="18">
        <v>0</v>
      </c>
      <c r="HK57" s="18">
        <v>0</v>
      </c>
      <c r="HL57" s="18">
        <v>0</v>
      </c>
      <c r="HM57" s="18">
        <v>0</v>
      </c>
      <c r="HN57" s="18" t="b">
        <v>0</v>
      </c>
    </row>
    <row r="58" spans="1:222">
      <c r="A58"/>
      <c r="B58" s="29" cm="1">
        <f t="array" ref="B58">10000000+INDEX(编号表!$B$1:$B$112,MATCH(D58,编号表!$A$1:$A$112,0))*10000+I58</f>
        <v>10060002</v>
      </c>
      <c r="C58" s="18" t="s">
        <v>357</v>
      </c>
      <c r="D58" s="18" t="s">
        <v>357</v>
      </c>
      <c r="E58" s="18" t="s">
        <v>322</v>
      </c>
      <c r="F58" s="18" t="s">
        <v>358</v>
      </c>
      <c r="G58" s="18" t="b">
        <v>0</v>
      </c>
      <c r="H58" s="18" t="b">
        <v>0</v>
      </c>
      <c r="I58" s="18">
        <v>2</v>
      </c>
      <c r="J58" s="18">
        <v>100600</v>
      </c>
      <c r="K58" s="18" t="s">
        <v>324</v>
      </c>
      <c r="L58" s="18">
        <v>10060001</v>
      </c>
      <c r="M58" s="18">
        <v>10060003</v>
      </c>
      <c r="N58" s="18" t="s">
        <v>359</v>
      </c>
      <c r="O58" s="18">
        <v>10202005</v>
      </c>
      <c r="P58" s="18">
        <v>0</v>
      </c>
      <c r="Q58" s="18">
        <v>1</v>
      </c>
      <c r="R58" s="18">
        <v>7</v>
      </c>
      <c r="S58" s="18">
        <v>0</v>
      </c>
      <c r="T58" s="18">
        <v>100</v>
      </c>
      <c r="U58" s="18" t="s">
        <v>338</v>
      </c>
      <c r="V58" s="18">
        <v>700</v>
      </c>
      <c r="W58" s="18">
        <v>700</v>
      </c>
      <c r="X58" s="18" t="s">
        <v>326</v>
      </c>
      <c r="Y58" s="18" t="s">
        <v>327</v>
      </c>
      <c r="Z58" s="18" t="s">
        <v>328</v>
      </c>
      <c r="AA58" s="18">
        <v>0</v>
      </c>
      <c r="AB58" s="18">
        <v>1</v>
      </c>
      <c r="AC58" s="18" t="b">
        <v>0</v>
      </c>
      <c r="AD58" s="18" t="s">
        <v>329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 t="s">
        <v>354</v>
      </c>
      <c r="AZ58" s="18">
        <v>10400</v>
      </c>
      <c r="BA58" s="18" t="s">
        <v>331</v>
      </c>
      <c r="BB58" s="18" t="s">
        <v>328</v>
      </c>
      <c r="BC58" s="18">
        <v>10000</v>
      </c>
      <c r="BD58" s="18">
        <v>0</v>
      </c>
      <c r="BE58" s="18" t="s">
        <v>332</v>
      </c>
      <c r="BF58" s="18">
        <v>0</v>
      </c>
      <c r="BG58" s="18" t="s">
        <v>355</v>
      </c>
      <c r="BH58" s="18">
        <v>10000</v>
      </c>
      <c r="BI58" s="18">
        <v>4</v>
      </c>
      <c r="BJ58" s="18" t="b">
        <v>1</v>
      </c>
      <c r="BK58" s="18">
        <v>0</v>
      </c>
      <c r="BL58" s="18">
        <v>10000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>
        <v>200</v>
      </c>
      <c r="GS58" s="18">
        <v>400</v>
      </c>
      <c r="GT58" s="18" t="s">
        <v>356</v>
      </c>
      <c r="GU58" s="18">
        <v>30050</v>
      </c>
      <c r="GV58" s="18" t="s">
        <v>339</v>
      </c>
      <c r="GW58" s="18" t="s">
        <v>339</v>
      </c>
      <c r="GX58" s="18" t="b">
        <v>1</v>
      </c>
      <c r="GY58" s="18">
        <v>2200</v>
      </c>
      <c r="GZ58" s="18" t="b">
        <v>0</v>
      </c>
      <c r="HA58" s="18">
        <v>0</v>
      </c>
      <c r="HB58" s="18">
        <v>0</v>
      </c>
      <c r="HC58" s="18">
        <v>0</v>
      </c>
      <c r="HD58" s="18">
        <v>0</v>
      </c>
      <c r="HE58" s="18" t="b">
        <v>0</v>
      </c>
      <c r="HF58" s="18">
        <v>0</v>
      </c>
      <c r="HG58" s="18">
        <v>10001</v>
      </c>
      <c r="HH58" s="18" t="s">
        <v>339</v>
      </c>
      <c r="HI58" s="18" t="s">
        <v>334</v>
      </c>
      <c r="HJ58" s="18">
        <v>0</v>
      </c>
      <c r="HK58" s="18">
        <v>0</v>
      </c>
      <c r="HL58" s="18">
        <v>0</v>
      </c>
      <c r="HM58" s="18">
        <v>0</v>
      </c>
      <c r="HN58" s="18" t="b">
        <v>0</v>
      </c>
    </row>
    <row r="59" spans="1:222">
      <c r="A59"/>
      <c r="B59" s="29" cm="1">
        <f t="array" ref="B59">10000000+INDEX(编号表!$B$1:$B$112,MATCH(D59,编号表!$A$1:$A$112,0))*10000+I59</f>
        <v>10060003</v>
      </c>
      <c r="C59" s="18" t="s">
        <v>357</v>
      </c>
      <c r="D59" s="18" t="s">
        <v>357</v>
      </c>
      <c r="E59" s="18" t="s">
        <v>322</v>
      </c>
      <c r="F59" s="18" t="s">
        <v>358</v>
      </c>
      <c r="G59" s="18" t="b">
        <v>0</v>
      </c>
      <c r="H59" s="18" t="b">
        <v>0</v>
      </c>
      <c r="I59" s="18">
        <v>3</v>
      </c>
      <c r="J59" s="18">
        <v>100600</v>
      </c>
      <c r="K59" s="18" t="s">
        <v>324</v>
      </c>
      <c r="L59" s="18">
        <v>10060002</v>
      </c>
      <c r="M59" s="18">
        <v>10060004</v>
      </c>
      <c r="N59" s="18" t="s">
        <v>359</v>
      </c>
      <c r="O59" s="18">
        <v>10202005</v>
      </c>
      <c r="P59" s="18">
        <v>0</v>
      </c>
      <c r="Q59" s="18">
        <v>2</v>
      </c>
      <c r="R59" s="18">
        <v>11</v>
      </c>
      <c r="S59" s="18">
        <v>0</v>
      </c>
      <c r="T59" s="18">
        <v>100</v>
      </c>
      <c r="U59" s="18" t="s">
        <v>338</v>
      </c>
      <c r="V59" s="18">
        <v>700</v>
      </c>
      <c r="W59" s="18">
        <v>700</v>
      </c>
      <c r="X59" s="18" t="s">
        <v>326</v>
      </c>
      <c r="Y59" s="18" t="s">
        <v>327</v>
      </c>
      <c r="Z59" s="18" t="s">
        <v>328</v>
      </c>
      <c r="AA59" s="18">
        <v>0</v>
      </c>
      <c r="AB59" s="18">
        <v>1</v>
      </c>
      <c r="AC59" s="18" t="b">
        <v>0</v>
      </c>
      <c r="AD59" s="18" t="s">
        <v>329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 t="s">
        <v>354</v>
      </c>
      <c r="AZ59" s="18">
        <v>10800</v>
      </c>
      <c r="BA59" s="18" t="s">
        <v>331</v>
      </c>
      <c r="BB59" s="18" t="s">
        <v>328</v>
      </c>
      <c r="BC59" s="18">
        <v>10000</v>
      </c>
      <c r="BD59" s="18">
        <v>0</v>
      </c>
      <c r="BE59" s="18" t="s">
        <v>332</v>
      </c>
      <c r="BF59" s="18">
        <v>0</v>
      </c>
      <c r="BG59" s="18" t="s">
        <v>355</v>
      </c>
      <c r="BH59" s="18">
        <v>10000</v>
      </c>
      <c r="BI59" s="18">
        <v>5</v>
      </c>
      <c r="BJ59" s="18" t="b">
        <v>1</v>
      </c>
      <c r="BK59" s="18">
        <v>0</v>
      </c>
      <c r="BL59" s="18">
        <v>10000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>
        <v>200</v>
      </c>
      <c r="GS59" s="18">
        <v>400</v>
      </c>
      <c r="GT59" s="18" t="s">
        <v>356</v>
      </c>
      <c r="GU59" s="18">
        <v>30050</v>
      </c>
      <c r="GV59" s="18" t="s">
        <v>339</v>
      </c>
      <c r="GW59" s="18" t="s">
        <v>339</v>
      </c>
      <c r="GX59" s="18" t="b">
        <v>1</v>
      </c>
      <c r="GY59" s="18">
        <v>2200</v>
      </c>
      <c r="GZ59" s="18" t="b">
        <v>0</v>
      </c>
      <c r="HA59" s="18">
        <v>0</v>
      </c>
      <c r="HB59" s="18">
        <v>0</v>
      </c>
      <c r="HC59" s="18">
        <v>0</v>
      </c>
      <c r="HD59" s="18">
        <v>0</v>
      </c>
      <c r="HE59" s="18" t="b">
        <v>0</v>
      </c>
      <c r="HF59" s="18">
        <v>0</v>
      </c>
      <c r="HG59" s="18">
        <v>10001</v>
      </c>
      <c r="HH59" s="18" t="s">
        <v>339</v>
      </c>
      <c r="HI59" s="18" t="s">
        <v>334</v>
      </c>
      <c r="HJ59" s="18">
        <v>0</v>
      </c>
      <c r="HK59" s="18">
        <v>0</v>
      </c>
      <c r="HL59" s="18">
        <v>0</v>
      </c>
      <c r="HM59" s="18">
        <v>0</v>
      </c>
      <c r="HN59" s="18" t="b">
        <v>0</v>
      </c>
    </row>
    <row r="60" spans="1:222">
      <c r="A60"/>
      <c r="B60" s="29" cm="1">
        <f t="array" ref="B60">10000000+INDEX(编号表!$B$1:$B$112,MATCH(D60,编号表!$A$1:$A$112,0))*10000+I60</f>
        <v>10060004</v>
      </c>
      <c r="C60" s="18" t="s">
        <v>357</v>
      </c>
      <c r="D60" s="18" t="s">
        <v>357</v>
      </c>
      <c r="E60" s="18" t="s">
        <v>322</v>
      </c>
      <c r="F60" s="18" t="s">
        <v>358</v>
      </c>
      <c r="G60" s="18" t="b">
        <v>0</v>
      </c>
      <c r="H60" s="18" t="b">
        <v>0</v>
      </c>
      <c r="I60" s="18">
        <v>4</v>
      </c>
      <c r="J60" s="18">
        <v>100600</v>
      </c>
      <c r="K60" s="18" t="s">
        <v>324</v>
      </c>
      <c r="L60" s="18">
        <v>10060003</v>
      </c>
      <c r="M60" s="18">
        <v>10060005</v>
      </c>
      <c r="N60" s="18" t="s">
        <v>359</v>
      </c>
      <c r="O60" s="18">
        <v>10202005</v>
      </c>
      <c r="P60" s="18">
        <v>0</v>
      </c>
      <c r="Q60" s="18">
        <v>3</v>
      </c>
      <c r="R60" s="18">
        <v>16</v>
      </c>
      <c r="S60" s="18">
        <v>0</v>
      </c>
      <c r="T60" s="18">
        <v>100</v>
      </c>
      <c r="U60" s="18" t="s">
        <v>338</v>
      </c>
      <c r="V60" s="18">
        <v>700</v>
      </c>
      <c r="W60" s="18">
        <v>700</v>
      </c>
      <c r="X60" s="18" t="s">
        <v>326</v>
      </c>
      <c r="Y60" s="18" t="s">
        <v>327</v>
      </c>
      <c r="Z60" s="18" t="s">
        <v>328</v>
      </c>
      <c r="AA60" s="18">
        <v>0</v>
      </c>
      <c r="AB60" s="18">
        <v>1</v>
      </c>
      <c r="AC60" s="18" t="b">
        <v>0</v>
      </c>
      <c r="AD60" s="18" t="s">
        <v>329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 t="s">
        <v>354</v>
      </c>
      <c r="AZ60" s="18">
        <v>11200</v>
      </c>
      <c r="BA60" s="18" t="s">
        <v>331</v>
      </c>
      <c r="BB60" s="18" t="s">
        <v>328</v>
      </c>
      <c r="BC60" s="18">
        <v>10000</v>
      </c>
      <c r="BD60" s="18">
        <v>0</v>
      </c>
      <c r="BE60" s="18" t="s">
        <v>332</v>
      </c>
      <c r="BF60" s="18">
        <v>0</v>
      </c>
      <c r="BG60" s="18" t="s">
        <v>355</v>
      </c>
      <c r="BH60" s="18">
        <v>10000</v>
      </c>
      <c r="BI60" s="18">
        <v>6</v>
      </c>
      <c r="BJ60" s="18" t="b">
        <v>1</v>
      </c>
      <c r="BK60" s="18">
        <v>0</v>
      </c>
      <c r="BL60" s="18">
        <v>10000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>
        <v>200</v>
      </c>
      <c r="GS60" s="18">
        <v>400</v>
      </c>
      <c r="GT60" s="18" t="s">
        <v>356</v>
      </c>
      <c r="GU60" s="18">
        <v>30050</v>
      </c>
      <c r="GV60" s="18" t="s">
        <v>339</v>
      </c>
      <c r="GW60" s="18" t="s">
        <v>339</v>
      </c>
      <c r="GX60" s="18" t="b">
        <v>1</v>
      </c>
      <c r="GY60" s="18">
        <v>2200</v>
      </c>
      <c r="GZ60" s="18" t="b">
        <v>0</v>
      </c>
      <c r="HA60" s="18">
        <v>0</v>
      </c>
      <c r="HB60" s="18">
        <v>0</v>
      </c>
      <c r="HC60" s="18">
        <v>0</v>
      </c>
      <c r="HD60" s="18">
        <v>0</v>
      </c>
      <c r="HE60" s="18" t="b">
        <v>0</v>
      </c>
      <c r="HF60" s="18">
        <v>0</v>
      </c>
      <c r="HG60" s="18">
        <v>10001</v>
      </c>
      <c r="HH60" s="18" t="s">
        <v>339</v>
      </c>
      <c r="HI60" s="18" t="s">
        <v>334</v>
      </c>
      <c r="HJ60" s="18">
        <v>0</v>
      </c>
      <c r="HK60" s="18">
        <v>0</v>
      </c>
      <c r="HL60" s="18">
        <v>0</v>
      </c>
      <c r="HM60" s="18">
        <v>0</v>
      </c>
      <c r="HN60" s="18" t="b">
        <v>0</v>
      </c>
    </row>
    <row r="61" spans="1:222">
      <c r="A61"/>
      <c r="B61" s="29" cm="1">
        <f t="array" ref="B61">10000000+INDEX(编号表!$B$1:$B$112,MATCH(D61,编号表!$A$1:$A$112,0))*10000+I61</f>
        <v>10060005</v>
      </c>
      <c r="C61" s="18" t="s">
        <v>357</v>
      </c>
      <c r="D61" s="18" t="s">
        <v>357</v>
      </c>
      <c r="E61" s="18" t="s">
        <v>322</v>
      </c>
      <c r="F61" s="18" t="s">
        <v>358</v>
      </c>
      <c r="G61" s="18" t="b">
        <v>0</v>
      </c>
      <c r="H61" s="18" t="b">
        <v>0</v>
      </c>
      <c r="I61" s="18">
        <v>5</v>
      </c>
      <c r="J61" s="18">
        <v>100600</v>
      </c>
      <c r="K61" s="18" t="s">
        <v>324</v>
      </c>
      <c r="L61" s="18">
        <v>10060004</v>
      </c>
      <c r="M61" s="18">
        <v>10060006</v>
      </c>
      <c r="N61" s="18" t="s">
        <v>359</v>
      </c>
      <c r="O61" s="18">
        <v>10202005</v>
      </c>
      <c r="P61" s="18">
        <v>0</v>
      </c>
      <c r="Q61" s="18">
        <v>3</v>
      </c>
      <c r="R61" s="18">
        <v>25</v>
      </c>
      <c r="S61" s="18">
        <v>0</v>
      </c>
      <c r="T61" s="18">
        <v>100</v>
      </c>
      <c r="U61" s="18" t="s">
        <v>338</v>
      </c>
      <c r="V61" s="18">
        <v>700</v>
      </c>
      <c r="W61" s="18">
        <v>700</v>
      </c>
      <c r="X61" s="18" t="s">
        <v>326</v>
      </c>
      <c r="Y61" s="18" t="s">
        <v>327</v>
      </c>
      <c r="Z61" s="18" t="s">
        <v>328</v>
      </c>
      <c r="AA61" s="18">
        <v>0</v>
      </c>
      <c r="AB61" s="18">
        <v>1</v>
      </c>
      <c r="AC61" s="18" t="b">
        <v>0</v>
      </c>
      <c r="AD61" s="18" t="s">
        <v>329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 t="s">
        <v>354</v>
      </c>
      <c r="AZ61" s="18">
        <v>11300</v>
      </c>
      <c r="BA61" s="18" t="s">
        <v>331</v>
      </c>
      <c r="BB61" s="18" t="s">
        <v>328</v>
      </c>
      <c r="BC61" s="18">
        <v>10000</v>
      </c>
      <c r="BD61" s="18">
        <v>0</v>
      </c>
      <c r="BE61" s="18" t="s">
        <v>332</v>
      </c>
      <c r="BF61" s="18">
        <v>0</v>
      </c>
      <c r="BG61" s="18" t="s">
        <v>355</v>
      </c>
      <c r="BH61" s="18">
        <v>10000</v>
      </c>
      <c r="BI61" s="18">
        <v>6</v>
      </c>
      <c r="BJ61" s="18" t="b">
        <v>1</v>
      </c>
      <c r="BK61" s="18">
        <v>0</v>
      </c>
      <c r="BL61" s="18">
        <v>10000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>
        <v>200</v>
      </c>
      <c r="GS61" s="18">
        <v>400</v>
      </c>
      <c r="GT61" s="18" t="s">
        <v>356</v>
      </c>
      <c r="GU61" s="18">
        <v>30050</v>
      </c>
      <c r="GV61" s="18" t="s">
        <v>339</v>
      </c>
      <c r="GW61" s="18" t="s">
        <v>339</v>
      </c>
      <c r="GX61" s="18" t="b">
        <v>1</v>
      </c>
      <c r="GY61" s="18">
        <v>2200</v>
      </c>
      <c r="GZ61" s="18" t="b">
        <v>0</v>
      </c>
      <c r="HA61" s="18">
        <v>0</v>
      </c>
      <c r="HB61" s="18">
        <v>0</v>
      </c>
      <c r="HC61" s="18">
        <v>0</v>
      </c>
      <c r="HD61" s="18">
        <v>0</v>
      </c>
      <c r="HE61" s="18" t="b">
        <v>0</v>
      </c>
      <c r="HF61" s="18">
        <v>0</v>
      </c>
      <c r="HG61" s="18">
        <v>10001</v>
      </c>
      <c r="HH61" s="18" t="s">
        <v>339</v>
      </c>
      <c r="HI61" s="18" t="s">
        <v>334</v>
      </c>
      <c r="HJ61" s="18">
        <v>0</v>
      </c>
      <c r="HK61" s="18">
        <v>0</v>
      </c>
      <c r="HL61" s="18">
        <v>0</v>
      </c>
      <c r="HM61" s="18">
        <v>0</v>
      </c>
      <c r="HN61" s="18" t="b">
        <v>0</v>
      </c>
    </row>
    <row r="62" spans="1:222">
      <c r="A62"/>
      <c r="B62" s="29" cm="1">
        <f t="array" ref="B62">10000000+INDEX(编号表!$B$1:$B$112,MATCH(D62,编号表!$A$1:$A$112,0))*10000+I62</f>
        <v>10060006</v>
      </c>
      <c r="C62" s="18" t="s">
        <v>357</v>
      </c>
      <c r="D62" s="18" t="s">
        <v>357</v>
      </c>
      <c r="E62" s="18" t="s">
        <v>322</v>
      </c>
      <c r="F62" s="18" t="s">
        <v>358</v>
      </c>
      <c r="G62" s="18" t="b">
        <v>0</v>
      </c>
      <c r="H62" s="18" t="b">
        <v>0</v>
      </c>
      <c r="I62" s="18">
        <v>6</v>
      </c>
      <c r="J62" s="18">
        <v>100600</v>
      </c>
      <c r="K62" s="18" t="s">
        <v>324</v>
      </c>
      <c r="L62" s="18">
        <v>10060005</v>
      </c>
      <c r="M62" s="18">
        <v>10060007</v>
      </c>
      <c r="N62" s="18" t="s">
        <v>359</v>
      </c>
      <c r="O62" s="18">
        <v>10202005</v>
      </c>
      <c r="P62" s="18">
        <v>0</v>
      </c>
      <c r="Q62" s="18">
        <v>3</v>
      </c>
      <c r="R62" s="18">
        <v>30</v>
      </c>
      <c r="S62" s="18">
        <v>0</v>
      </c>
      <c r="T62" s="18">
        <v>100</v>
      </c>
      <c r="U62" s="18" t="s">
        <v>338</v>
      </c>
      <c r="V62" s="18">
        <v>700</v>
      </c>
      <c r="W62" s="18">
        <v>700</v>
      </c>
      <c r="X62" s="18" t="s">
        <v>326</v>
      </c>
      <c r="Y62" s="18" t="s">
        <v>327</v>
      </c>
      <c r="Z62" s="18" t="s">
        <v>328</v>
      </c>
      <c r="AA62" s="18">
        <v>0</v>
      </c>
      <c r="AB62" s="18">
        <v>1</v>
      </c>
      <c r="AC62" s="18" t="b">
        <v>0</v>
      </c>
      <c r="AD62" s="18" t="s">
        <v>329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 t="s">
        <v>354</v>
      </c>
      <c r="AZ62" s="18">
        <v>11600</v>
      </c>
      <c r="BA62" s="18" t="s">
        <v>331</v>
      </c>
      <c r="BB62" s="18" t="s">
        <v>328</v>
      </c>
      <c r="BC62" s="18">
        <v>10000</v>
      </c>
      <c r="BD62" s="18">
        <v>0</v>
      </c>
      <c r="BE62" s="18" t="s">
        <v>332</v>
      </c>
      <c r="BF62" s="18">
        <v>0</v>
      </c>
      <c r="BG62" s="18" t="s">
        <v>355</v>
      </c>
      <c r="BH62" s="18">
        <v>10000</v>
      </c>
      <c r="BI62" s="18">
        <v>7</v>
      </c>
      <c r="BJ62" s="18" t="b">
        <v>1</v>
      </c>
      <c r="BK62" s="18">
        <v>0</v>
      </c>
      <c r="BL62" s="18">
        <v>10000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>
        <v>200</v>
      </c>
      <c r="GS62" s="18">
        <v>400</v>
      </c>
      <c r="GT62" s="18" t="s">
        <v>356</v>
      </c>
      <c r="GU62" s="18">
        <v>30050</v>
      </c>
      <c r="GV62" s="18" t="s">
        <v>339</v>
      </c>
      <c r="GW62" s="18" t="s">
        <v>339</v>
      </c>
      <c r="GX62" s="18" t="b">
        <v>1</v>
      </c>
      <c r="GY62" s="18">
        <v>2200</v>
      </c>
      <c r="GZ62" s="18" t="b">
        <v>0</v>
      </c>
      <c r="HA62" s="18">
        <v>0</v>
      </c>
      <c r="HB62" s="18">
        <v>0</v>
      </c>
      <c r="HC62" s="18">
        <v>0</v>
      </c>
      <c r="HD62" s="18">
        <v>0</v>
      </c>
      <c r="HE62" s="18" t="b">
        <v>0</v>
      </c>
      <c r="HF62" s="18">
        <v>0</v>
      </c>
      <c r="HG62" s="18">
        <v>10001</v>
      </c>
      <c r="HH62" s="18" t="s">
        <v>339</v>
      </c>
      <c r="HI62" s="18" t="s">
        <v>334</v>
      </c>
      <c r="HJ62" s="18">
        <v>0</v>
      </c>
      <c r="HK62" s="18">
        <v>0</v>
      </c>
      <c r="HL62" s="18">
        <v>0</v>
      </c>
      <c r="HM62" s="18">
        <v>0</v>
      </c>
      <c r="HN62" s="18" t="b">
        <v>0</v>
      </c>
    </row>
    <row r="63" spans="1:222">
      <c r="A63"/>
      <c r="B63" s="29" cm="1">
        <f t="array" ref="B63">10000000+INDEX(编号表!$B$1:$B$112,MATCH(D63,编号表!$A$1:$A$112,0))*10000+I63</f>
        <v>10060007</v>
      </c>
      <c r="C63" s="18" t="s">
        <v>357</v>
      </c>
      <c r="D63" s="18" t="s">
        <v>357</v>
      </c>
      <c r="E63" s="18" t="s">
        <v>322</v>
      </c>
      <c r="F63" s="18" t="s">
        <v>358</v>
      </c>
      <c r="G63" s="18" t="b">
        <v>0</v>
      </c>
      <c r="H63" s="18" t="b">
        <v>0</v>
      </c>
      <c r="I63" s="18">
        <v>7</v>
      </c>
      <c r="J63" s="18">
        <v>100600</v>
      </c>
      <c r="K63" s="18" t="s">
        <v>324</v>
      </c>
      <c r="L63" s="18">
        <v>10060006</v>
      </c>
      <c r="M63" s="18">
        <v>10060008</v>
      </c>
      <c r="N63" s="18" t="s">
        <v>359</v>
      </c>
      <c r="O63" s="18">
        <v>10202005</v>
      </c>
      <c r="P63" s="18">
        <v>0</v>
      </c>
      <c r="Q63" s="18">
        <v>3</v>
      </c>
      <c r="R63" s="18">
        <v>35</v>
      </c>
      <c r="S63" s="18">
        <v>0</v>
      </c>
      <c r="T63" s="18">
        <v>100</v>
      </c>
      <c r="U63" s="18" t="s">
        <v>338</v>
      </c>
      <c r="V63" s="18">
        <v>700</v>
      </c>
      <c r="W63" s="18">
        <v>700</v>
      </c>
      <c r="X63" s="18" t="s">
        <v>326</v>
      </c>
      <c r="Y63" s="18" t="s">
        <v>327</v>
      </c>
      <c r="Z63" s="18" t="s">
        <v>328</v>
      </c>
      <c r="AA63" s="18">
        <v>0</v>
      </c>
      <c r="AB63" s="18">
        <v>1</v>
      </c>
      <c r="AC63" s="18" t="b">
        <v>0</v>
      </c>
      <c r="AD63" s="18" t="s">
        <v>329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 t="s">
        <v>354</v>
      </c>
      <c r="AZ63" s="18">
        <v>11700</v>
      </c>
      <c r="BA63" s="18" t="s">
        <v>331</v>
      </c>
      <c r="BB63" s="18" t="s">
        <v>328</v>
      </c>
      <c r="BC63" s="18">
        <v>10000</v>
      </c>
      <c r="BD63" s="18">
        <v>0</v>
      </c>
      <c r="BE63" s="18" t="s">
        <v>332</v>
      </c>
      <c r="BF63" s="18">
        <v>0</v>
      </c>
      <c r="BG63" s="18" t="s">
        <v>355</v>
      </c>
      <c r="BH63" s="18">
        <v>10000</v>
      </c>
      <c r="BI63" s="18">
        <v>9</v>
      </c>
      <c r="BJ63" s="18" t="b">
        <v>1</v>
      </c>
      <c r="BK63" s="18">
        <v>0</v>
      </c>
      <c r="BL63" s="18">
        <v>10000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>
        <v>200</v>
      </c>
      <c r="GS63" s="18">
        <v>400</v>
      </c>
      <c r="GT63" s="18" t="s">
        <v>356</v>
      </c>
      <c r="GU63" s="18">
        <v>30050</v>
      </c>
      <c r="GV63" s="18" t="s">
        <v>339</v>
      </c>
      <c r="GW63" s="18" t="s">
        <v>339</v>
      </c>
      <c r="GX63" s="18" t="b">
        <v>1</v>
      </c>
      <c r="GY63" s="18">
        <v>2200</v>
      </c>
      <c r="GZ63" s="18" t="b">
        <v>0</v>
      </c>
      <c r="HA63" s="18">
        <v>0</v>
      </c>
      <c r="HB63" s="18">
        <v>0</v>
      </c>
      <c r="HC63" s="18">
        <v>0</v>
      </c>
      <c r="HD63" s="18">
        <v>0</v>
      </c>
      <c r="HE63" s="18" t="b">
        <v>0</v>
      </c>
      <c r="HF63" s="18">
        <v>0</v>
      </c>
      <c r="HG63" s="18">
        <v>10001</v>
      </c>
      <c r="HH63" s="18" t="s">
        <v>339</v>
      </c>
      <c r="HI63" s="18" t="s">
        <v>334</v>
      </c>
      <c r="HJ63" s="18">
        <v>0</v>
      </c>
      <c r="HK63" s="18">
        <v>0</v>
      </c>
      <c r="HL63" s="18">
        <v>0</v>
      </c>
      <c r="HM63" s="18">
        <v>0</v>
      </c>
      <c r="HN63" s="18" t="b">
        <v>0</v>
      </c>
    </row>
    <row r="64" spans="1:222">
      <c r="A64"/>
      <c r="B64" s="29" cm="1">
        <f t="array" ref="B64">10000000+INDEX(编号表!$B$1:$B$112,MATCH(D64,编号表!$A$1:$A$112,0))*10000+I64</f>
        <v>10060008</v>
      </c>
      <c r="C64" s="18" t="s">
        <v>357</v>
      </c>
      <c r="D64" s="18" t="s">
        <v>357</v>
      </c>
      <c r="E64" s="18" t="s">
        <v>322</v>
      </c>
      <c r="F64" s="18" t="s">
        <v>358</v>
      </c>
      <c r="G64" s="18" t="b">
        <v>0</v>
      </c>
      <c r="H64" s="18" t="b">
        <v>0</v>
      </c>
      <c r="I64" s="18">
        <v>8</v>
      </c>
      <c r="J64" s="18">
        <v>100600</v>
      </c>
      <c r="K64" s="18" t="s">
        <v>324</v>
      </c>
      <c r="L64" s="18">
        <v>10060007</v>
      </c>
      <c r="M64" s="18">
        <v>10060009</v>
      </c>
      <c r="N64" s="18" t="s">
        <v>359</v>
      </c>
      <c r="O64" s="18">
        <v>10202005</v>
      </c>
      <c r="P64" s="18">
        <v>0</v>
      </c>
      <c r="Q64" s="18">
        <v>3</v>
      </c>
      <c r="R64" s="18">
        <v>35</v>
      </c>
      <c r="S64" s="18">
        <v>0</v>
      </c>
      <c r="T64" s="18">
        <v>100</v>
      </c>
      <c r="U64" s="18" t="s">
        <v>338</v>
      </c>
      <c r="V64" s="18">
        <v>700</v>
      </c>
      <c r="W64" s="18">
        <v>700</v>
      </c>
      <c r="X64" s="18" t="s">
        <v>326</v>
      </c>
      <c r="Y64" s="18" t="s">
        <v>327</v>
      </c>
      <c r="Z64" s="18" t="s">
        <v>328</v>
      </c>
      <c r="AA64" s="18">
        <v>0</v>
      </c>
      <c r="AB64" s="18">
        <v>1</v>
      </c>
      <c r="AC64" s="18" t="b">
        <v>0</v>
      </c>
      <c r="AD64" s="18" t="s">
        <v>329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 t="s">
        <v>354</v>
      </c>
      <c r="AZ64" s="18">
        <v>11800</v>
      </c>
      <c r="BA64" s="18" t="s">
        <v>331</v>
      </c>
      <c r="BB64" s="18" t="s">
        <v>328</v>
      </c>
      <c r="BC64" s="18">
        <v>10000</v>
      </c>
      <c r="BD64" s="18">
        <v>0</v>
      </c>
      <c r="BE64" s="18" t="s">
        <v>332</v>
      </c>
      <c r="BF64" s="18">
        <v>0</v>
      </c>
      <c r="BG64" s="18" t="s">
        <v>355</v>
      </c>
      <c r="BH64" s="18">
        <v>10000</v>
      </c>
      <c r="BI64" s="18">
        <v>10</v>
      </c>
      <c r="BJ64" s="18" t="b">
        <v>1</v>
      </c>
      <c r="BK64" s="18">
        <v>0</v>
      </c>
      <c r="BL64" s="18">
        <v>10000</v>
      </c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>
        <v>200</v>
      </c>
      <c r="GS64" s="18">
        <v>400</v>
      </c>
      <c r="GT64" s="18" t="s">
        <v>356</v>
      </c>
      <c r="GU64" s="18">
        <v>30050</v>
      </c>
      <c r="GV64" s="18" t="s">
        <v>339</v>
      </c>
      <c r="GW64" s="18" t="s">
        <v>339</v>
      </c>
      <c r="GX64" s="18" t="b">
        <v>1</v>
      </c>
      <c r="GY64" s="18">
        <v>2200</v>
      </c>
      <c r="GZ64" s="18" t="b">
        <v>0</v>
      </c>
      <c r="HA64" s="18">
        <v>0</v>
      </c>
      <c r="HB64" s="18">
        <v>0</v>
      </c>
      <c r="HC64" s="18">
        <v>0</v>
      </c>
      <c r="HD64" s="18">
        <v>0</v>
      </c>
      <c r="HE64" s="18" t="b">
        <v>0</v>
      </c>
      <c r="HF64" s="18">
        <v>0</v>
      </c>
      <c r="HG64" s="18">
        <v>10001</v>
      </c>
      <c r="HH64" s="18" t="s">
        <v>339</v>
      </c>
      <c r="HI64" s="18" t="s">
        <v>334</v>
      </c>
      <c r="HJ64" s="18">
        <v>0</v>
      </c>
      <c r="HK64" s="18">
        <v>0</v>
      </c>
      <c r="HL64" s="18">
        <v>0</v>
      </c>
      <c r="HM64" s="18">
        <v>0</v>
      </c>
      <c r="HN64" s="18" t="b">
        <v>0</v>
      </c>
    </row>
    <row r="65" spans="1:222">
      <c r="A65"/>
      <c r="B65" s="29" cm="1">
        <f t="array" ref="B65">10000000+INDEX(编号表!$B$1:$B$112,MATCH(D65,编号表!$A$1:$A$112,0))*10000+I65</f>
        <v>10060009</v>
      </c>
      <c r="C65" s="18" t="s">
        <v>357</v>
      </c>
      <c r="D65" s="18" t="s">
        <v>357</v>
      </c>
      <c r="E65" s="18" t="s">
        <v>322</v>
      </c>
      <c r="F65" s="18" t="s">
        <v>358</v>
      </c>
      <c r="G65" s="18" t="b">
        <v>0</v>
      </c>
      <c r="H65" s="18" t="b">
        <v>0</v>
      </c>
      <c r="I65" s="18">
        <v>9</v>
      </c>
      <c r="J65" s="18">
        <v>100600</v>
      </c>
      <c r="K65" s="18" t="s">
        <v>324</v>
      </c>
      <c r="L65" s="18">
        <v>10060008</v>
      </c>
      <c r="M65" s="18">
        <v>10060010</v>
      </c>
      <c r="N65" s="18" t="s">
        <v>359</v>
      </c>
      <c r="O65" s="18">
        <v>10202005</v>
      </c>
      <c r="P65" s="18">
        <v>0</v>
      </c>
      <c r="Q65" s="18">
        <v>3</v>
      </c>
      <c r="R65" s="18">
        <v>40</v>
      </c>
      <c r="S65" s="18">
        <v>0</v>
      </c>
      <c r="T65" s="18">
        <v>100</v>
      </c>
      <c r="U65" s="18" t="s">
        <v>338</v>
      </c>
      <c r="V65" s="18">
        <v>700</v>
      </c>
      <c r="W65" s="18">
        <v>700</v>
      </c>
      <c r="X65" s="18" t="s">
        <v>326</v>
      </c>
      <c r="Y65" s="18" t="s">
        <v>327</v>
      </c>
      <c r="Z65" s="18" t="s">
        <v>328</v>
      </c>
      <c r="AA65" s="18">
        <v>0</v>
      </c>
      <c r="AB65" s="18">
        <v>1</v>
      </c>
      <c r="AC65" s="18" t="b">
        <v>0</v>
      </c>
      <c r="AD65" s="18" t="s">
        <v>329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 t="s">
        <v>354</v>
      </c>
      <c r="AZ65" s="18">
        <v>11900</v>
      </c>
      <c r="BA65" s="18" t="s">
        <v>331</v>
      </c>
      <c r="BB65" s="18" t="s">
        <v>328</v>
      </c>
      <c r="BC65" s="18">
        <v>10000</v>
      </c>
      <c r="BD65" s="18">
        <v>0</v>
      </c>
      <c r="BE65" s="18" t="s">
        <v>332</v>
      </c>
      <c r="BF65" s="18">
        <v>0</v>
      </c>
      <c r="BG65" s="18" t="s">
        <v>355</v>
      </c>
      <c r="BH65" s="18">
        <v>10000</v>
      </c>
      <c r="BI65" s="18">
        <v>12</v>
      </c>
      <c r="BJ65" s="18" t="b">
        <v>1</v>
      </c>
      <c r="BK65" s="18">
        <v>0</v>
      </c>
      <c r="BL65" s="18">
        <v>10000</v>
      </c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>
        <v>200</v>
      </c>
      <c r="GS65" s="18">
        <v>400</v>
      </c>
      <c r="GT65" s="18" t="s">
        <v>356</v>
      </c>
      <c r="GU65" s="18">
        <v>30050</v>
      </c>
      <c r="GV65" s="18" t="s">
        <v>339</v>
      </c>
      <c r="GW65" s="18" t="s">
        <v>339</v>
      </c>
      <c r="GX65" s="18" t="b">
        <v>1</v>
      </c>
      <c r="GY65" s="18">
        <v>2200</v>
      </c>
      <c r="GZ65" s="18" t="b">
        <v>0</v>
      </c>
      <c r="HA65" s="18">
        <v>0</v>
      </c>
      <c r="HB65" s="18">
        <v>0</v>
      </c>
      <c r="HC65" s="18">
        <v>0</v>
      </c>
      <c r="HD65" s="18">
        <v>0</v>
      </c>
      <c r="HE65" s="18" t="b">
        <v>0</v>
      </c>
      <c r="HF65" s="18">
        <v>0</v>
      </c>
      <c r="HG65" s="18">
        <v>10001</v>
      </c>
      <c r="HH65" s="18" t="s">
        <v>339</v>
      </c>
      <c r="HI65" s="18" t="s">
        <v>334</v>
      </c>
      <c r="HJ65" s="18">
        <v>0</v>
      </c>
      <c r="HK65" s="18">
        <v>0</v>
      </c>
      <c r="HL65" s="18">
        <v>0</v>
      </c>
      <c r="HM65" s="18">
        <v>0</v>
      </c>
      <c r="HN65" s="18" t="b">
        <v>0</v>
      </c>
    </row>
    <row r="66" spans="1:222">
      <c r="A66"/>
      <c r="B66" s="29" cm="1">
        <f t="array" ref="B66">10000000+INDEX(编号表!$B$1:$B$112,MATCH(D66,编号表!$A$1:$A$112,0))*10000+I66</f>
        <v>10060010</v>
      </c>
      <c r="C66" s="18" t="s">
        <v>357</v>
      </c>
      <c r="D66" s="18" t="s">
        <v>357</v>
      </c>
      <c r="E66" s="18" t="s">
        <v>322</v>
      </c>
      <c r="F66" s="18" t="s">
        <v>358</v>
      </c>
      <c r="G66" s="18" t="b">
        <v>0</v>
      </c>
      <c r="H66" s="18" t="b">
        <v>0</v>
      </c>
      <c r="I66" s="18">
        <v>10</v>
      </c>
      <c r="J66" s="18">
        <v>100600</v>
      </c>
      <c r="K66" s="18" t="s">
        <v>324</v>
      </c>
      <c r="L66" s="18">
        <v>10060009</v>
      </c>
      <c r="M66" s="18">
        <v>0</v>
      </c>
      <c r="N66" s="18" t="s">
        <v>359</v>
      </c>
      <c r="O66" s="18">
        <v>10202005</v>
      </c>
      <c r="P66" s="18">
        <v>0</v>
      </c>
      <c r="Q66" s="18">
        <v>3</v>
      </c>
      <c r="R66" s="18">
        <v>40</v>
      </c>
      <c r="S66" s="18">
        <v>0</v>
      </c>
      <c r="T66" s="18">
        <v>0</v>
      </c>
      <c r="U66" s="18" t="s">
        <v>338</v>
      </c>
      <c r="V66" s="18">
        <v>700</v>
      </c>
      <c r="W66" s="18">
        <v>700</v>
      </c>
      <c r="X66" s="18" t="s">
        <v>326</v>
      </c>
      <c r="Y66" s="18" t="s">
        <v>327</v>
      </c>
      <c r="Z66" s="18" t="s">
        <v>328</v>
      </c>
      <c r="AA66" s="18">
        <v>0</v>
      </c>
      <c r="AB66" s="18">
        <v>1</v>
      </c>
      <c r="AC66" s="18" t="b">
        <v>0</v>
      </c>
      <c r="AD66" s="18" t="s">
        <v>329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 t="s">
        <v>354</v>
      </c>
      <c r="AZ66" s="18">
        <v>12000</v>
      </c>
      <c r="BA66" s="18" t="s">
        <v>331</v>
      </c>
      <c r="BB66" s="18" t="s">
        <v>328</v>
      </c>
      <c r="BC66" s="18">
        <v>10000</v>
      </c>
      <c r="BD66" s="18">
        <v>0</v>
      </c>
      <c r="BE66" s="18" t="s">
        <v>332</v>
      </c>
      <c r="BF66" s="18">
        <v>0</v>
      </c>
      <c r="BG66" s="18" t="s">
        <v>355</v>
      </c>
      <c r="BH66" s="18">
        <v>10000</v>
      </c>
      <c r="BI66" s="18">
        <v>15</v>
      </c>
      <c r="BJ66" s="18" t="b">
        <v>1</v>
      </c>
      <c r="BK66" s="18">
        <v>0</v>
      </c>
      <c r="BL66" s="18">
        <v>10000</v>
      </c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>
        <v>200</v>
      </c>
      <c r="GS66" s="18">
        <v>400</v>
      </c>
      <c r="GT66" s="18" t="s">
        <v>356</v>
      </c>
      <c r="GU66" s="18">
        <v>30050</v>
      </c>
      <c r="GV66" s="18" t="s">
        <v>339</v>
      </c>
      <c r="GW66" s="18" t="s">
        <v>339</v>
      </c>
      <c r="GX66" s="18" t="b">
        <v>1</v>
      </c>
      <c r="GY66" s="18">
        <v>2200</v>
      </c>
      <c r="GZ66" s="18" t="b">
        <v>0</v>
      </c>
      <c r="HA66" s="18">
        <v>0</v>
      </c>
      <c r="HB66" s="18">
        <v>0</v>
      </c>
      <c r="HC66" s="18">
        <v>0</v>
      </c>
      <c r="HD66" s="18">
        <v>0</v>
      </c>
      <c r="HE66" s="18" t="b">
        <v>0</v>
      </c>
      <c r="HF66" s="18">
        <v>0</v>
      </c>
      <c r="HG66" s="18">
        <v>10001</v>
      </c>
      <c r="HH66" s="18" t="s">
        <v>339</v>
      </c>
      <c r="HI66" s="18" t="s">
        <v>334</v>
      </c>
      <c r="HJ66" s="18">
        <v>0</v>
      </c>
      <c r="HK66" s="18">
        <v>0</v>
      </c>
      <c r="HL66" s="18">
        <v>0</v>
      </c>
      <c r="HM66" s="18">
        <v>0</v>
      </c>
      <c r="HN66" s="18" t="b">
        <v>0</v>
      </c>
    </row>
    <row r="67" spans="1:222">
      <c r="A67"/>
      <c r="B67" s="29" cm="1">
        <f t="array" ref="B67">10000000+INDEX(编号表!$B$1:$B$112,MATCH(D67,编号表!$A$1:$A$112,0))*10000+I67</f>
        <v>10070001</v>
      </c>
      <c r="C67" s="18" t="s">
        <v>360</v>
      </c>
      <c r="D67" s="18" t="s">
        <v>360</v>
      </c>
      <c r="E67" s="18" t="s">
        <v>322</v>
      </c>
      <c r="F67" s="18" t="s">
        <v>361</v>
      </c>
      <c r="G67" s="18" t="b">
        <v>0</v>
      </c>
      <c r="H67" s="18" t="b">
        <v>0</v>
      </c>
      <c r="I67" s="18">
        <v>1</v>
      </c>
      <c r="J67" s="18">
        <v>100700</v>
      </c>
      <c r="K67" s="18" t="s">
        <v>324</v>
      </c>
      <c r="L67" s="18">
        <v>0</v>
      </c>
      <c r="M67" s="18">
        <v>10070002</v>
      </c>
      <c r="N67" s="18" t="s">
        <v>362</v>
      </c>
      <c r="O67" s="18">
        <v>10202006</v>
      </c>
      <c r="P67" s="18">
        <v>0</v>
      </c>
      <c r="Q67" s="18">
        <v>0</v>
      </c>
      <c r="R67" s="18">
        <v>1</v>
      </c>
      <c r="S67" s="18">
        <v>0</v>
      </c>
      <c r="T67" s="18">
        <v>100</v>
      </c>
      <c r="U67" s="18" t="s">
        <v>338</v>
      </c>
      <c r="V67" s="18">
        <v>700</v>
      </c>
      <c r="W67" s="18">
        <v>700</v>
      </c>
      <c r="X67" s="18" t="s">
        <v>326</v>
      </c>
      <c r="Y67" s="18" t="s">
        <v>327</v>
      </c>
      <c r="Z67" s="18" t="s">
        <v>328</v>
      </c>
      <c r="AA67" s="18">
        <v>0</v>
      </c>
      <c r="AB67" s="18">
        <v>1</v>
      </c>
      <c r="AC67" s="18" t="b">
        <v>0</v>
      </c>
      <c r="AD67" s="18" t="s">
        <v>329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 t="s">
        <v>354</v>
      </c>
      <c r="AZ67" s="18">
        <v>10000</v>
      </c>
      <c r="BA67" s="18" t="s">
        <v>331</v>
      </c>
      <c r="BB67" s="18" t="s">
        <v>328</v>
      </c>
      <c r="BC67" s="18">
        <v>10000</v>
      </c>
      <c r="BD67" s="18">
        <v>0</v>
      </c>
      <c r="BE67" s="18" t="s">
        <v>332</v>
      </c>
      <c r="BF67" s="18">
        <v>0</v>
      </c>
      <c r="BG67" s="18" t="s">
        <v>355</v>
      </c>
      <c r="BH67" s="18">
        <v>10000</v>
      </c>
      <c r="BI67" s="18">
        <v>3</v>
      </c>
      <c r="BJ67" s="18" t="b">
        <v>1</v>
      </c>
      <c r="BK67" s="18">
        <v>0</v>
      </c>
      <c r="BL67" s="18">
        <v>10000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>
        <v>200</v>
      </c>
      <c r="GS67" s="18">
        <v>400</v>
      </c>
      <c r="GT67" s="18" t="s">
        <v>356</v>
      </c>
      <c r="GU67" s="18">
        <v>30048</v>
      </c>
      <c r="GV67" s="18" t="s">
        <v>339</v>
      </c>
      <c r="GW67" s="18" t="s">
        <v>339</v>
      </c>
      <c r="GX67" s="18" t="b">
        <v>1</v>
      </c>
      <c r="GY67" s="18">
        <v>2200</v>
      </c>
      <c r="GZ67" s="18" t="b">
        <v>0</v>
      </c>
      <c r="HA67" s="18">
        <v>0</v>
      </c>
      <c r="HB67" s="18">
        <v>0</v>
      </c>
      <c r="HC67" s="18">
        <v>0</v>
      </c>
      <c r="HD67" s="18">
        <v>0</v>
      </c>
      <c r="HE67" s="18" t="b">
        <v>0</v>
      </c>
      <c r="HF67" s="18">
        <v>0</v>
      </c>
      <c r="HG67" s="18">
        <v>10001</v>
      </c>
      <c r="HH67" s="18" t="s">
        <v>339</v>
      </c>
      <c r="HI67" s="18" t="s">
        <v>334</v>
      </c>
      <c r="HJ67" s="18">
        <v>0</v>
      </c>
      <c r="HK67" s="18">
        <v>0</v>
      </c>
      <c r="HL67" s="18">
        <v>0</v>
      </c>
      <c r="HM67" s="18">
        <v>0</v>
      </c>
      <c r="HN67" s="18" t="b">
        <v>0</v>
      </c>
    </row>
    <row r="68" spans="1:222">
      <c r="A68"/>
      <c r="B68" s="29" cm="1">
        <f t="array" ref="B68">10000000+INDEX(编号表!$B$1:$B$112,MATCH(D68,编号表!$A$1:$A$112,0))*10000+I68</f>
        <v>10070002</v>
      </c>
      <c r="C68" s="18" t="s">
        <v>360</v>
      </c>
      <c r="D68" s="18" t="s">
        <v>360</v>
      </c>
      <c r="E68" s="18" t="s">
        <v>322</v>
      </c>
      <c r="F68" s="18" t="s">
        <v>361</v>
      </c>
      <c r="G68" s="18" t="b">
        <v>0</v>
      </c>
      <c r="H68" s="18" t="b">
        <v>0</v>
      </c>
      <c r="I68" s="18">
        <v>2</v>
      </c>
      <c r="J68" s="18">
        <v>100700</v>
      </c>
      <c r="K68" s="18" t="s">
        <v>324</v>
      </c>
      <c r="L68" s="18">
        <v>10070001</v>
      </c>
      <c r="M68" s="18">
        <v>10070003</v>
      </c>
      <c r="N68" s="18" t="s">
        <v>362</v>
      </c>
      <c r="O68" s="18">
        <v>10202006</v>
      </c>
      <c r="P68" s="18">
        <v>0</v>
      </c>
      <c r="Q68" s="18">
        <v>1</v>
      </c>
      <c r="R68" s="18">
        <v>7</v>
      </c>
      <c r="S68" s="18">
        <v>0</v>
      </c>
      <c r="T68" s="18">
        <v>100</v>
      </c>
      <c r="U68" s="18" t="s">
        <v>338</v>
      </c>
      <c r="V68" s="18">
        <v>700</v>
      </c>
      <c r="W68" s="18">
        <v>700</v>
      </c>
      <c r="X68" s="18" t="s">
        <v>326</v>
      </c>
      <c r="Y68" s="18" t="s">
        <v>327</v>
      </c>
      <c r="Z68" s="18" t="s">
        <v>328</v>
      </c>
      <c r="AA68" s="18">
        <v>0</v>
      </c>
      <c r="AB68" s="18">
        <v>1</v>
      </c>
      <c r="AC68" s="18" t="b">
        <v>0</v>
      </c>
      <c r="AD68" s="18" t="s">
        <v>329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 t="s">
        <v>354</v>
      </c>
      <c r="AZ68" s="18">
        <v>10400</v>
      </c>
      <c r="BA68" s="18" t="s">
        <v>331</v>
      </c>
      <c r="BB68" s="18" t="s">
        <v>328</v>
      </c>
      <c r="BC68" s="18">
        <v>10000</v>
      </c>
      <c r="BD68" s="18">
        <v>0</v>
      </c>
      <c r="BE68" s="18" t="s">
        <v>332</v>
      </c>
      <c r="BF68" s="18">
        <v>0</v>
      </c>
      <c r="BG68" s="18" t="s">
        <v>355</v>
      </c>
      <c r="BH68" s="18">
        <v>10000</v>
      </c>
      <c r="BI68" s="18">
        <v>4</v>
      </c>
      <c r="BJ68" s="18" t="b">
        <v>1</v>
      </c>
      <c r="BK68" s="18">
        <v>0</v>
      </c>
      <c r="BL68" s="18">
        <v>10000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>
        <v>200</v>
      </c>
      <c r="GS68" s="18">
        <v>400</v>
      </c>
      <c r="GT68" s="18" t="s">
        <v>356</v>
      </c>
      <c r="GU68" s="18">
        <v>30048</v>
      </c>
      <c r="GV68" s="18" t="s">
        <v>339</v>
      </c>
      <c r="GW68" s="18" t="s">
        <v>339</v>
      </c>
      <c r="GX68" s="18" t="b">
        <v>1</v>
      </c>
      <c r="GY68" s="18">
        <v>2200</v>
      </c>
      <c r="GZ68" s="18" t="b">
        <v>0</v>
      </c>
      <c r="HA68" s="18">
        <v>0</v>
      </c>
      <c r="HB68" s="18">
        <v>0</v>
      </c>
      <c r="HC68" s="18">
        <v>0</v>
      </c>
      <c r="HD68" s="18">
        <v>0</v>
      </c>
      <c r="HE68" s="18" t="b">
        <v>0</v>
      </c>
      <c r="HF68" s="18">
        <v>0</v>
      </c>
      <c r="HG68" s="18">
        <v>10001</v>
      </c>
      <c r="HH68" s="18" t="s">
        <v>339</v>
      </c>
      <c r="HI68" s="18" t="s">
        <v>334</v>
      </c>
      <c r="HJ68" s="18">
        <v>0</v>
      </c>
      <c r="HK68" s="18">
        <v>0</v>
      </c>
      <c r="HL68" s="18">
        <v>0</v>
      </c>
      <c r="HM68" s="18">
        <v>0</v>
      </c>
      <c r="HN68" s="18" t="b">
        <v>0</v>
      </c>
    </row>
    <row r="69" spans="1:222">
      <c r="A69"/>
      <c r="B69" s="29" cm="1">
        <f t="array" ref="B69">10000000+INDEX(编号表!$B$1:$B$112,MATCH(D69,编号表!$A$1:$A$112,0))*10000+I69</f>
        <v>10070003</v>
      </c>
      <c r="C69" s="18" t="s">
        <v>360</v>
      </c>
      <c r="D69" s="18" t="s">
        <v>360</v>
      </c>
      <c r="E69" s="18" t="s">
        <v>322</v>
      </c>
      <c r="F69" s="18" t="s">
        <v>361</v>
      </c>
      <c r="G69" s="18" t="b">
        <v>0</v>
      </c>
      <c r="H69" s="18" t="b">
        <v>0</v>
      </c>
      <c r="I69" s="18">
        <v>3</v>
      </c>
      <c r="J69" s="18">
        <v>100700</v>
      </c>
      <c r="K69" s="18" t="s">
        <v>324</v>
      </c>
      <c r="L69" s="18">
        <v>10070002</v>
      </c>
      <c r="M69" s="18">
        <v>10070004</v>
      </c>
      <c r="N69" s="18" t="s">
        <v>362</v>
      </c>
      <c r="O69" s="18">
        <v>10202006</v>
      </c>
      <c r="P69" s="18">
        <v>0</v>
      </c>
      <c r="Q69" s="18">
        <v>2</v>
      </c>
      <c r="R69" s="18">
        <v>11</v>
      </c>
      <c r="S69" s="18">
        <v>0</v>
      </c>
      <c r="T69" s="18">
        <v>100</v>
      </c>
      <c r="U69" s="18" t="s">
        <v>338</v>
      </c>
      <c r="V69" s="18">
        <v>700</v>
      </c>
      <c r="W69" s="18">
        <v>700</v>
      </c>
      <c r="X69" s="18" t="s">
        <v>326</v>
      </c>
      <c r="Y69" s="18" t="s">
        <v>327</v>
      </c>
      <c r="Z69" s="18" t="s">
        <v>328</v>
      </c>
      <c r="AA69" s="18">
        <v>0</v>
      </c>
      <c r="AB69" s="18">
        <v>1</v>
      </c>
      <c r="AC69" s="18" t="b">
        <v>0</v>
      </c>
      <c r="AD69" s="18" t="s">
        <v>329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 t="s">
        <v>354</v>
      </c>
      <c r="AZ69" s="18">
        <v>10800</v>
      </c>
      <c r="BA69" s="18" t="s">
        <v>331</v>
      </c>
      <c r="BB69" s="18" t="s">
        <v>328</v>
      </c>
      <c r="BC69" s="18">
        <v>10000</v>
      </c>
      <c r="BD69" s="18">
        <v>0</v>
      </c>
      <c r="BE69" s="18" t="s">
        <v>332</v>
      </c>
      <c r="BF69" s="18">
        <v>0</v>
      </c>
      <c r="BG69" s="18" t="s">
        <v>355</v>
      </c>
      <c r="BH69" s="18">
        <v>10000</v>
      </c>
      <c r="BI69" s="18">
        <v>5</v>
      </c>
      <c r="BJ69" s="18" t="b">
        <v>1</v>
      </c>
      <c r="BK69" s="18">
        <v>0</v>
      </c>
      <c r="BL69" s="18">
        <v>10000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>
        <v>200</v>
      </c>
      <c r="GS69" s="18">
        <v>400</v>
      </c>
      <c r="GT69" s="18" t="s">
        <v>356</v>
      </c>
      <c r="GU69" s="18">
        <v>30048</v>
      </c>
      <c r="GV69" s="18" t="s">
        <v>339</v>
      </c>
      <c r="GW69" s="18" t="s">
        <v>339</v>
      </c>
      <c r="GX69" s="18" t="b">
        <v>1</v>
      </c>
      <c r="GY69" s="18">
        <v>2200</v>
      </c>
      <c r="GZ69" s="18" t="b">
        <v>0</v>
      </c>
      <c r="HA69" s="18">
        <v>0</v>
      </c>
      <c r="HB69" s="18">
        <v>0</v>
      </c>
      <c r="HC69" s="18">
        <v>0</v>
      </c>
      <c r="HD69" s="18">
        <v>0</v>
      </c>
      <c r="HE69" s="18" t="b">
        <v>0</v>
      </c>
      <c r="HF69" s="18">
        <v>0</v>
      </c>
      <c r="HG69" s="18">
        <v>10001</v>
      </c>
      <c r="HH69" s="18" t="s">
        <v>339</v>
      </c>
      <c r="HI69" s="18" t="s">
        <v>334</v>
      </c>
      <c r="HJ69" s="18">
        <v>0</v>
      </c>
      <c r="HK69" s="18">
        <v>0</v>
      </c>
      <c r="HL69" s="18">
        <v>0</v>
      </c>
      <c r="HM69" s="18">
        <v>0</v>
      </c>
      <c r="HN69" s="18" t="b">
        <v>0</v>
      </c>
    </row>
    <row r="70" spans="1:222">
      <c r="A70"/>
      <c r="B70" s="29" cm="1">
        <f t="array" ref="B70">10000000+INDEX(编号表!$B$1:$B$112,MATCH(D70,编号表!$A$1:$A$112,0))*10000+I70</f>
        <v>10070004</v>
      </c>
      <c r="C70" s="18" t="s">
        <v>360</v>
      </c>
      <c r="D70" s="18" t="s">
        <v>360</v>
      </c>
      <c r="E70" s="18" t="s">
        <v>322</v>
      </c>
      <c r="F70" s="18" t="s">
        <v>361</v>
      </c>
      <c r="G70" s="18" t="b">
        <v>0</v>
      </c>
      <c r="H70" s="18" t="b">
        <v>0</v>
      </c>
      <c r="I70" s="18">
        <v>4</v>
      </c>
      <c r="J70" s="18">
        <v>100700</v>
      </c>
      <c r="K70" s="18" t="s">
        <v>324</v>
      </c>
      <c r="L70" s="18">
        <v>10070003</v>
      </c>
      <c r="M70" s="18">
        <v>10070005</v>
      </c>
      <c r="N70" s="18" t="s">
        <v>362</v>
      </c>
      <c r="O70" s="18">
        <v>10202006</v>
      </c>
      <c r="P70" s="18">
        <v>0</v>
      </c>
      <c r="Q70" s="18">
        <v>3</v>
      </c>
      <c r="R70" s="18">
        <v>16</v>
      </c>
      <c r="S70" s="18">
        <v>0</v>
      </c>
      <c r="T70" s="18">
        <v>100</v>
      </c>
      <c r="U70" s="18" t="s">
        <v>338</v>
      </c>
      <c r="V70" s="18">
        <v>700</v>
      </c>
      <c r="W70" s="18">
        <v>700</v>
      </c>
      <c r="X70" s="18" t="s">
        <v>326</v>
      </c>
      <c r="Y70" s="18" t="s">
        <v>327</v>
      </c>
      <c r="Z70" s="18" t="s">
        <v>328</v>
      </c>
      <c r="AA70" s="18">
        <v>0</v>
      </c>
      <c r="AB70" s="18">
        <v>1</v>
      </c>
      <c r="AC70" s="18" t="b">
        <v>0</v>
      </c>
      <c r="AD70" s="18" t="s">
        <v>329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 t="s">
        <v>354</v>
      </c>
      <c r="AZ70" s="18">
        <v>11200</v>
      </c>
      <c r="BA70" s="18" t="s">
        <v>331</v>
      </c>
      <c r="BB70" s="18" t="s">
        <v>328</v>
      </c>
      <c r="BC70" s="18">
        <v>10000</v>
      </c>
      <c r="BD70" s="18">
        <v>0</v>
      </c>
      <c r="BE70" s="18" t="s">
        <v>332</v>
      </c>
      <c r="BF70" s="18">
        <v>0</v>
      </c>
      <c r="BG70" s="18" t="s">
        <v>355</v>
      </c>
      <c r="BH70" s="18">
        <v>10000</v>
      </c>
      <c r="BI70" s="18">
        <v>6</v>
      </c>
      <c r="BJ70" s="18" t="b">
        <v>1</v>
      </c>
      <c r="BK70" s="18">
        <v>0</v>
      </c>
      <c r="BL70" s="18">
        <v>10000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>
        <v>200</v>
      </c>
      <c r="GS70" s="18">
        <v>400</v>
      </c>
      <c r="GT70" s="18" t="s">
        <v>356</v>
      </c>
      <c r="GU70" s="18">
        <v>30048</v>
      </c>
      <c r="GV70" s="18" t="s">
        <v>339</v>
      </c>
      <c r="GW70" s="18" t="s">
        <v>339</v>
      </c>
      <c r="GX70" s="18" t="b">
        <v>1</v>
      </c>
      <c r="GY70" s="18">
        <v>2200</v>
      </c>
      <c r="GZ70" s="18" t="b">
        <v>0</v>
      </c>
      <c r="HA70" s="18">
        <v>0</v>
      </c>
      <c r="HB70" s="18">
        <v>0</v>
      </c>
      <c r="HC70" s="18">
        <v>0</v>
      </c>
      <c r="HD70" s="18">
        <v>0</v>
      </c>
      <c r="HE70" s="18" t="b">
        <v>0</v>
      </c>
      <c r="HF70" s="18">
        <v>0</v>
      </c>
      <c r="HG70" s="18">
        <v>10001</v>
      </c>
      <c r="HH70" s="18" t="s">
        <v>339</v>
      </c>
      <c r="HI70" s="18" t="s">
        <v>334</v>
      </c>
      <c r="HJ70" s="18">
        <v>0</v>
      </c>
      <c r="HK70" s="18">
        <v>0</v>
      </c>
      <c r="HL70" s="18">
        <v>0</v>
      </c>
      <c r="HM70" s="18">
        <v>0</v>
      </c>
      <c r="HN70" s="18" t="b">
        <v>0</v>
      </c>
    </row>
    <row r="71" spans="1:222">
      <c r="A71"/>
      <c r="B71" s="29" cm="1">
        <f t="array" ref="B71">10000000+INDEX(编号表!$B$1:$B$112,MATCH(D71,编号表!$A$1:$A$112,0))*10000+I71</f>
        <v>10070005</v>
      </c>
      <c r="C71" s="18" t="s">
        <v>360</v>
      </c>
      <c r="D71" s="18" t="s">
        <v>360</v>
      </c>
      <c r="E71" s="18" t="s">
        <v>322</v>
      </c>
      <c r="F71" s="18" t="s">
        <v>361</v>
      </c>
      <c r="G71" s="18" t="b">
        <v>0</v>
      </c>
      <c r="H71" s="18" t="b">
        <v>0</v>
      </c>
      <c r="I71" s="18">
        <v>5</v>
      </c>
      <c r="J71" s="18">
        <v>100700</v>
      </c>
      <c r="K71" s="18" t="s">
        <v>324</v>
      </c>
      <c r="L71" s="18">
        <v>10070004</v>
      </c>
      <c r="M71" s="18">
        <v>10070006</v>
      </c>
      <c r="N71" s="18" t="s">
        <v>362</v>
      </c>
      <c r="O71" s="18">
        <v>10202006</v>
      </c>
      <c r="P71" s="18">
        <v>0</v>
      </c>
      <c r="Q71" s="18">
        <v>3</v>
      </c>
      <c r="R71" s="18">
        <v>25</v>
      </c>
      <c r="S71" s="18">
        <v>0</v>
      </c>
      <c r="T71" s="18">
        <v>100</v>
      </c>
      <c r="U71" s="18" t="s">
        <v>338</v>
      </c>
      <c r="V71" s="18">
        <v>700</v>
      </c>
      <c r="W71" s="18">
        <v>700</v>
      </c>
      <c r="X71" s="18" t="s">
        <v>326</v>
      </c>
      <c r="Y71" s="18" t="s">
        <v>327</v>
      </c>
      <c r="Z71" s="18" t="s">
        <v>328</v>
      </c>
      <c r="AA71" s="18">
        <v>0</v>
      </c>
      <c r="AB71" s="18">
        <v>1</v>
      </c>
      <c r="AC71" s="18" t="b">
        <v>0</v>
      </c>
      <c r="AD71" s="18" t="s">
        <v>329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 t="s">
        <v>354</v>
      </c>
      <c r="AZ71" s="18">
        <v>11300</v>
      </c>
      <c r="BA71" s="18" t="s">
        <v>331</v>
      </c>
      <c r="BB71" s="18" t="s">
        <v>328</v>
      </c>
      <c r="BC71" s="18">
        <v>10000</v>
      </c>
      <c r="BD71" s="18">
        <v>0</v>
      </c>
      <c r="BE71" s="18" t="s">
        <v>332</v>
      </c>
      <c r="BF71" s="18">
        <v>0</v>
      </c>
      <c r="BG71" s="18" t="s">
        <v>355</v>
      </c>
      <c r="BH71" s="18">
        <v>10000</v>
      </c>
      <c r="BI71" s="18">
        <v>6</v>
      </c>
      <c r="BJ71" s="18" t="b">
        <v>1</v>
      </c>
      <c r="BK71" s="18">
        <v>0</v>
      </c>
      <c r="BL71" s="18">
        <v>10000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>
        <v>200</v>
      </c>
      <c r="GS71" s="18">
        <v>400</v>
      </c>
      <c r="GT71" s="18" t="s">
        <v>356</v>
      </c>
      <c r="GU71" s="18">
        <v>30048</v>
      </c>
      <c r="GV71" s="18" t="s">
        <v>339</v>
      </c>
      <c r="GW71" s="18" t="s">
        <v>339</v>
      </c>
      <c r="GX71" s="18" t="b">
        <v>1</v>
      </c>
      <c r="GY71" s="18">
        <v>2200</v>
      </c>
      <c r="GZ71" s="18" t="b">
        <v>0</v>
      </c>
      <c r="HA71" s="18">
        <v>0</v>
      </c>
      <c r="HB71" s="18">
        <v>0</v>
      </c>
      <c r="HC71" s="18">
        <v>0</v>
      </c>
      <c r="HD71" s="18">
        <v>0</v>
      </c>
      <c r="HE71" s="18" t="b">
        <v>0</v>
      </c>
      <c r="HF71" s="18">
        <v>0</v>
      </c>
      <c r="HG71" s="18">
        <v>10001</v>
      </c>
      <c r="HH71" s="18" t="s">
        <v>339</v>
      </c>
      <c r="HI71" s="18" t="s">
        <v>334</v>
      </c>
      <c r="HJ71" s="18">
        <v>0</v>
      </c>
      <c r="HK71" s="18">
        <v>0</v>
      </c>
      <c r="HL71" s="18">
        <v>0</v>
      </c>
      <c r="HM71" s="18">
        <v>0</v>
      </c>
      <c r="HN71" s="18" t="b">
        <v>0</v>
      </c>
    </row>
    <row r="72" spans="1:222">
      <c r="A72"/>
      <c r="B72" s="29" cm="1">
        <f t="array" ref="B72">10000000+INDEX(编号表!$B$1:$B$112,MATCH(D72,编号表!$A$1:$A$112,0))*10000+I72</f>
        <v>10070006</v>
      </c>
      <c r="C72" s="18" t="s">
        <v>360</v>
      </c>
      <c r="D72" s="18" t="s">
        <v>360</v>
      </c>
      <c r="E72" s="18" t="s">
        <v>322</v>
      </c>
      <c r="F72" s="18" t="s">
        <v>361</v>
      </c>
      <c r="G72" s="18" t="b">
        <v>0</v>
      </c>
      <c r="H72" s="18" t="b">
        <v>0</v>
      </c>
      <c r="I72" s="18">
        <v>6</v>
      </c>
      <c r="J72" s="18">
        <v>100700</v>
      </c>
      <c r="K72" s="18" t="s">
        <v>324</v>
      </c>
      <c r="L72" s="18">
        <v>10070005</v>
      </c>
      <c r="M72" s="18">
        <v>10070007</v>
      </c>
      <c r="N72" s="18" t="s">
        <v>362</v>
      </c>
      <c r="O72" s="18">
        <v>10202006</v>
      </c>
      <c r="P72" s="18">
        <v>0</v>
      </c>
      <c r="Q72" s="18">
        <v>3</v>
      </c>
      <c r="R72" s="18">
        <v>30</v>
      </c>
      <c r="S72" s="18">
        <v>0</v>
      </c>
      <c r="T72" s="18">
        <v>100</v>
      </c>
      <c r="U72" s="18" t="s">
        <v>338</v>
      </c>
      <c r="V72" s="18">
        <v>700</v>
      </c>
      <c r="W72" s="18">
        <v>700</v>
      </c>
      <c r="X72" s="18" t="s">
        <v>326</v>
      </c>
      <c r="Y72" s="18" t="s">
        <v>327</v>
      </c>
      <c r="Z72" s="18" t="s">
        <v>328</v>
      </c>
      <c r="AA72" s="18">
        <v>0</v>
      </c>
      <c r="AB72" s="18">
        <v>1</v>
      </c>
      <c r="AC72" s="18" t="b">
        <v>0</v>
      </c>
      <c r="AD72" s="18" t="s">
        <v>329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 t="s">
        <v>354</v>
      </c>
      <c r="AZ72" s="18">
        <v>11600</v>
      </c>
      <c r="BA72" s="18" t="s">
        <v>331</v>
      </c>
      <c r="BB72" s="18" t="s">
        <v>328</v>
      </c>
      <c r="BC72" s="18">
        <v>10000</v>
      </c>
      <c r="BD72" s="18">
        <v>0</v>
      </c>
      <c r="BE72" s="18" t="s">
        <v>332</v>
      </c>
      <c r="BF72" s="18">
        <v>0</v>
      </c>
      <c r="BG72" s="18" t="s">
        <v>355</v>
      </c>
      <c r="BH72" s="18">
        <v>10000</v>
      </c>
      <c r="BI72" s="18">
        <v>7</v>
      </c>
      <c r="BJ72" s="18" t="b">
        <v>1</v>
      </c>
      <c r="BK72" s="18">
        <v>0</v>
      </c>
      <c r="BL72" s="18">
        <v>10000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>
        <v>200</v>
      </c>
      <c r="GS72" s="18">
        <v>400</v>
      </c>
      <c r="GT72" s="18" t="s">
        <v>356</v>
      </c>
      <c r="GU72" s="18">
        <v>30048</v>
      </c>
      <c r="GV72" s="18" t="s">
        <v>339</v>
      </c>
      <c r="GW72" s="18" t="s">
        <v>339</v>
      </c>
      <c r="GX72" s="18" t="b">
        <v>1</v>
      </c>
      <c r="GY72" s="18">
        <v>2200</v>
      </c>
      <c r="GZ72" s="18" t="b">
        <v>0</v>
      </c>
      <c r="HA72" s="18">
        <v>0</v>
      </c>
      <c r="HB72" s="18">
        <v>0</v>
      </c>
      <c r="HC72" s="18">
        <v>0</v>
      </c>
      <c r="HD72" s="18">
        <v>0</v>
      </c>
      <c r="HE72" s="18" t="b">
        <v>0</v>
      </c>
      <c r="HF72" s="18">
        <v>0</v>
      </c>
      <c r="HG72" s="18">
        <v>10001</v>
      </c>
      <c r="HH72" s="18" t="s">
        <v>339</v>
      </c>
      <c r="HI72" s="18" t="s">
        <v>334</v>
      </c>
      <c r="HJ72" s="18">
        <v>0</v>
      </c>
      <c r="HK72" s="18">
        <v>0</v>
      </c>
      <c r="HL72" s="18">
        <v>0</v>
      </c>
      <c r="HM72" s="18">
        <v>0</v>
      </c>
      <c r="HN72" s="18" t="b">
        <v>0</v>
      </c>
    </row>
    <row r="73" spans="1:222">
      <c r="A73"/>
      <c r="B73" s="29" cm="1">
        <f t="array" ref="B73">10000000+INDEX(编号表!$B$1:$B$112,MATCH(D73,编号表!$A$1:$A$112,0))*10000+I73</f>
        <v>10070007</v>
      </c>
      <c r="C73" s="18" t="s">
        <v>360</v>
      </c>
      <c r="D73" s="18" t="s">
        <v>360</v>
      </c>
      <c r="E73" s="18" t="s">
        <v>322</v>
      </c>
      <c r="F73" s="18" t="s">
        <v>361</v>
      </c>
      <c r="G73" s="18" t="b">
        <v>0</v>
      </c>
      <c r="H73" s="18" t="b">
        <v>0</v>
      </c>
      <c r="I73" s="18">
        <v>7</v>
      </c>
      <c r="J73" s="18">
        <v>100700</v>
      </c>
      <c r="K73" s="18" t="s">
        <v>324</v>
      </c>
      <c r="L73" s="18">
        <v>10070006</v>
      </c>
      <c r="M73" s="18">
        <v>10070008</v>
      </c>
      <c r="N73" s="18" t="s">
        <v>362</v>
      </c>
      <c r="O73" s="18">
        <v>10202006</v>
      </c>
      <c r="P73" s="18">
        <v>0</v>
      </c>
      <c r="Q73" s="18">
        <v>3</v>
      </c>
      <c r="R73" s="18">
        <v>35</v>
      </c>
      <c r="S73" s="18">
        <v>0</v>
      </c>
      <c r="T73" s="18">
        <v>100</v>
      </c>
      <c r="U73" s="18" t="s">
        <v>338</v>
      </c>
      <c r="V73" s="18">
        <v>700</v>
      </c>
      <c r="W73" s="18">
        <v>700</v>
      </c>
      <c r="X73" s="18" t="s">
        <v>326</v>
      </c>
      <c r="Y73" s="18" t="s">
        <v>327</v>
      </c>
      <c r="Z73" s="18" t="s">
        <v>328</v>
      </c>
      <c r="AA73" s="18">
        <v>0</v>
      </c>
      <c r="AB73" s="18">
        <v>1</v>
      </c>
      <c r="AC73" s="18" t="b">
        <v>0</v>
      </c>
      <c r="AD73" s="18" t="s">
        <v>329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 t="s">
        <v>354</v>
      </c>
      <c r="AZ73" s="18">
        <v>11700</v>
      </c>
      <c r="BA73" s="18" t="s">
        <v>331</v>
      </c>
      <c r="BB73" s="18" t="s">
        <v>328</v>
      </c>
      <c r="BC73" s="18">
        <v>10000</v>
      </c>
      <c r="BD73" s="18">
        <v>0</v>
      </c>
      <c r="BE73" s="18" t="s">
        <v>332</v>
      </c>
      <c r="BF73" s="18">
        <v>0</v>
      </c>
      <c r="BG73" s="18" t="s">
        <v>355</v>
      </c>
      <c r="BH73" s="18">
        <v>10000</v>
      </c>
      <c r="BI73" s="18">
        <v>9</v>
      </c>
      <c r="BJ73" s="18" t="b">
        <v>1</v>
      </c>
      <c r="BK73" s="18">
        <v>0</v>
      </c>
      <c r="BL73" s="18">
        <v>10000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>
        <v>200</v>
      </c>
      <c r="GS73" s="18">
        <v>400</v>
      </c>
      <c r="GT73" s="18" t="s">
        <v>356</v>
      </c>
      <c r="GU73" s="18">
        <v>30048</v>
      </c>
      <c r="GV73" s="18" t="s">
        <v>339</v>
      </c>
      <c r="GW73" s="18" t="s">
        <v>339</v>
      </c>
      <c r="GX73" s="18" t="b">
        <v>1</v>
      </c>
      <c r="GY73" s="18">
        <v>2200</v>
      </c>
      <c r="GZ73" s="18" t="b">
        <v>0</v>
      </c>
      <c r="HA73" s="18">
        <v>0</v>
      </c>
      <c r="HB73" s="18">
        <v>0</v>
      </c>
      <c r="HC73" s="18">
        <v>0</v>
      </c>
      <c r="HD73" s="18">
        <v>0</v>
      </c>
      <c r="HE73" s="18" t="b">
        <v>0</v>
      </c>
      <c r="HF73" s="18">
        <v>0</v>
      </c>
      <c r="HG73" s="18">
        <v>10001</v>
      </c>
      <c r="HH73" s="18" t="s">
        <v>339</v>
      </c>
      <c r="HI73" s="18" t="s">
        <v>334</v>
      </c>
      <c r="HJ73" s="18">
        <v>0</v>
      </c>
      <c r="HK73" s="18">
        <v>0</v>
      </c>
      <c r="HL73" s="18">
        <v>0</v>
      </c>
      <c r="HM73" s="18">
        <v>0</v>
      </c>
      <c r="HN73" s="18" t="b">
        <v>0</v>
      </c>
    </row>
    <row r="74" spans="1:222">
      <c r="A74"/>
      <c r="B74" s="29" cm="1">
        <f t="array" ref="B74">10000000+INDEX(编号表!$B$1:$B$112,MATCH(D74,编号表!$A$1:$A$112,0))*10000+I74</f>
        <v>10070008</v>
      </c>
      <c r="C74" s="18" t="s">
        <v>360</v>
      </c>
      <c r="D74" s="18" t="s">
        <v>360</v>
      </c>
      <c r="E74" s="18" t="s">
        <v>322</v>
      </c>
      <c r="F74" s="18" t="s">
        <v>361</v>
      </c>
      <c r="G74" s="18" t="b">
        <v>0</v>
      </c>
      <c r="H74" s="18" t="b">
        <v>0</v>
      </c>
      <c r="I74" s="18">
        <v>8</v>
      </c>
      <c r="J74" s="18">
        <v>100700</v>
      </c>
      <c r="K74" s="18" t="s">
        <v>324</v>
      </c>
      <c r="L74" s="18">
        <v>10070007</v>
      </c>
      <c r="M74" s="18">
        <v>10070009</v>
      </c>
      <c r="N74" s="18" t="s">
        <v>362</v>
      </c>
      <c r="O74" s="18">
        <v>10202006</v>
      </c>
      <c r="P74" s="18">
        <v>0</v>
      </c>
      <c r="Q74" s="18">
        <v>3</v>
      </c>
      <c r="R74" s="18">
        <v>35</v>
      </c>
      <c r="S74" s="18">
        <v>0</v>
      </c>
      <c r="T74" s="18">
        <v>100</v>
      </c>
      <c r="U74" s="18" t="s">
        <v>338</v>
      </c>
      <c r="V74" s="18">
        <v>700</v>
      </c>
      <c r="W74" s="18">
        <v>700</v>
      </c>
      <c r="X74" s="18" t="s">
        <v>326</v>
      </c>
      <c r="Y74" s="18" t="s">
        <v>327</v>
      </c>
      <c r="Z74" s="18" t="s">
        <v>328</v>
      </c>
      <c r="AA74" s="18">
        <v>0</v>
      </c>
      <c r="AB74" s="18">
        <v>1</v>
      </c>
      <c r="AC74" s="18" t="b">
        <v>0</v>
      </c>
      <c r="AD74" s="18" t="s">
        <v>329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 t="s">
        <v>354</v>
      </c>
      <c r="AZ74" s="18">
        <v>11800</v>
      </c>
      <c r="BA74" s="18" t="s">
        <v>331</v>
      </c>
      <c r="BB74" s="18" t="s">
        <v>328</v>
      </c>
      <c r="BC74" s="18">
        <v>10000</v>
      </c>
      <c r="BD74" s="18">
        <v>0</v>
      </c>
      <c r="BE74" s="18" t="s">
        <v>332</v>
      </c>
      <c r="BF74" s="18">
        <v>0</v>
      </c>
      <c r="BG74" s="18" t="s">
        <v>355</v>
      </c>
      <c r="BH74" s="18">
        <v>10000</v>
      </c>
      <c r="BI74" s="18">
        <v>10</v>
      </c>
      <c r="BJ74" s="18" t="b">
        <v>1</v>
      </c>
      <c r="BK74" s="18">
        <v>0</v>
      </c>
      <c r="BL74" s="18">
        <v>10000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>
        <v>200</v>
      </c>
      <c r="GS74" s="18">
        <v>400</v>
      </c>
      <c r="GT74" s="18" t="s">
        <v>356</v>
      </c>
      <c r="GU74" s="18">
        <v>30048</v>
      </c>
      <c r="GV74" s="18" t="s">
        <v>339</v>
      </c>
      <c r="GW74" s="18" t="s">
        <v>339</v>
      </c>
      <c r="GX74" s="18" t="b">
        <v>1</v>
      </c>
      <c r="GY74" s="18">
        <v>2200</v>
      </c>
      <c r="GZ74" s="18" t="b">
        <v>0</v>
      </c>
      <c r="HA74" s="18">
        <v>0</v>
      </c>
      <c r="HB74" s="18">
        <v>0</v>
      </c>
      <c r="HC74" s="18">
        <v>0</v>
      </c>
      <c r="HD74" s="18">
        <v>0</v>
      </c>
      <c r="HE74" s="18" t="b">
        <v>0</v>
      </c>
      <c r="HF74" s="18">
        <v>0</v>
      </c>
      <c r="HG74" s="18">
        <v>10001</v>
      </c>
      <c r="HH74" s="18" t="s">
        <v>339</v>
      </c>
      <c r="HI74" s="18" t="s">
        <v>334</v>
      </c>
      <c r="HJ74" s="18">
        <v>0</v>
      </c>
      <c r="HK74" s="18">
        <v>0</v>
      </c>
      <c r="HL74" s="18">
        <v>0</v>
      </c>
      <c r="HM74" s="18">
        <v>0</v>
      </c>
      <c r="HN74" s="18" t="b">
        <v>0</v>
      </c>
    </row>
    <row r="75" spans="1:222">
      <c r="A75"/>
      <c r="B75" s="29" cm="1">
        <f t="array" ref="B75">10000000+INDEX(编号表!$B$1:$B$112,MATCH(D75,编号表!$A$1:$A$112,0))*10000+I75</f>
        <v>10070009</v>
      </c>
      <c r="C75" s="18" t="s">
        <v>360</v>
      </c>
      <c r="D75" s="18" t="s">
        <v>360</v>
      </c>
      <c r="E75" s="18" t="s">
        <v>322</v>
      </c>
      <c r="F75" s="18" t="s">
        <v>361</v>
      </c>
      <c r="G75" s="18" t="b">
        <v>0</v>
      </c>
      <c r="H75" s="18" t="b">
        <v>0</v>
      </c>
      <c r="I75" s="18">
        <v>9</v>
      </c>
      <c r="J75" s="18">
        <v>100700</v>
      </c>
      <c r="K75" s="18" t="s">
        <v>324</v>
      </c>
      <c r="L75" s="18">
        <v>10070008</v>
      </c>
      <c r="M75" s="18">
        <v>10070010</v>
      </c>
      <c r="N75" s="18" t="s">
        <v>362</v>
      </c>
      <c r="O75" s="18">
        <v>10202006</v>
      </c>
      <c r="P75" s="18">
        <v>0</v>
      </c>
      <c r="Q75" s="18">
        <v>3</v>
      </c>
      <c r="R75" s="18">
        <v>40</v>
      </c>
      <c r="S75" s="18">
        <v>0</v>
      </c>
      <c r="T75" s="18">
        <v>100</v>
      </c>
      <c r="U75" s="18" t="s">
        <v>338</v>
      </c>
      <c r="V75" s="18">
        <v>700</v>
      </c>
      <c r="W75" s="18">
        <v>700</v>
      </c>
      <c r="X75" s="18" t="s">
        <v>326</v>
      </c>
      <c r="Y75" s="18" t="s">
        <v>327</v>
      </c>
      <c r="Z75" s="18" t="s">
        <v>328</v>
      </c>
      <c r="AA75" s="18">
        <v>0</v>
      </c>
      <c r="AB75" s="18">
        <v>1</v>
      </c>
      <c r="AC75" s="18" t="b">
        <v>0</v>
      </c>
      <c r="AD75" s="18" t="s">
        <v>329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 t="s">
        <v>354</v>
      </c>
      <c r="AZ75" s="18">
        <v>11900</v>
      </c>
      <c r="BA75" s="18" t="s">
        <v>331</v>
      </c>
      <c r="BB75" s="18" t="s">
        <v>328</v>
      </c>
      <c r="BC75" s="18">
        <v>10000</v>
      </c>
      <c r="BD75" s="18">
        <v>0</v>
      </c>
      <c r="BE75" s="18" t="s">
        <v>332</v>
      </c>
      <c r="BF75" s="18">
        <v>0</v>
      </c>
      <c r="BG75" s="18" t="s">
        <v>355</v>
      </c>
      <c r="BH75" s="18">
        <v>10000</v>
      </c>
      <c r="BI75" s="18">
        <v>12</v>
      </c>
      <c r="BJ75" s="18" t="b">
        <v>1</v>
      </c>
      <c r="BK75" s="18">
        <v>0</v>
      </c>
      <c r="BL75" s="18">
        <v>10000</v>
      </c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>
        <v>200</v>
      </c>
      <c r="GS75" s="18">
        <v>400</v>
      </c>
      <c r="GT75" s="18" t="s">
        <v>356</v>
      </c>
      <c r="GU75" s="18">
        <v>30048</v>
      </c>
      <c r="GV75" s="18" t="s">
        <v>339</v>
      </c>
      <c r="GW75" s="18" t="s">
        <v>339</v>
      </c>
      <c r="GX75" s="18" t="b">
        <v>1</v>
      </c>
      <c r="GY75" s="18">
        <v>2200</v>
      </c>
      <c r="GZ75" s="18" t="b">
        <v>0</v>
      </c>
      <c r="HA75" s="18">
        <v>0</v>
      </c>
      <c r="HB75" s="18">
        <v>0</v>
      </c>
      <c r="HC75" s="18">
        <v>0</v>
      </c>
      <c r="HD75" s="18">
        <v>0</v>
      </c>
      <c r="HE75" s="18" t="b">
        <v>0</v>
      </c>
      <c r="HF75" s="18">
        <v>0</v>
      </c>
      <c r="HG75" s="18">
        <v>10001</v>
      </c>
      <c r="HH75" s="18" t="s">
        <v>339</v>
      </c>
      <c r="HI75" s="18" t="s">
        <v>334</v>
      </c>
      <c r="HJ75" s="18">
        <v>0</v>
      </c>
      <c r="HK75" s="18">
        <v>0</v>
      </c>
      <c r="HL75" s="18">
        <v>0</v>
      </c>
      <c r="HM75" s="18">
        <v>0</v>
      </c>
      <c r="HN75" s="18" t="b">
        <v>0</v>
      </c>
    </row>
    <row r="76" spans="1:222">
      <c r="A76"/>
      <c r="B76" s="29" cm="1">
        <f t="array" ref="B76">10000000+INDEX(编号表!$B$1:$B$112,MATCH(D76,编号表!$A$1:$A$112,0))*10000+I76</f>
        <v>10070010</v>
      </c>
      <c r="C76" s="18" t="s">
        <v>360</v>
      </c>
      <c r="D76" s="18" t="s">
        <v>360</v>
      </c>
      <c r="E76" s="18" t="s">
        <v>322</v>
      </c>
      <c r="F76" s="18" t="s">
        <v>361</v>
      </c>
      <c r="G76" s="18" t="b">
        <v>0</v>
      </c>
      <c r="H76" s="18" t="b">
        <v>0</v>
      </c>
      <c r="I76" s="18">
        <v>10</v>
      </c>
      <c r="J76" s="18">
        <v>100700</v>
      </c>
      <c r="K76" s="18" t="s">
        <v>324</v>
      </c>
      <c r="L76" s="18">
        <v>10070009</v>
      </c>
      <c r="M76" s="18">
        <v>0</v>
      </c>
      <c r="N76" s="18" t="s">
        <v>362</v>
      </c>
      <c r="O76" s="18">
        <v>10202006</v>
      </c>
      <c r="P76" s="18">
        <v>0</v>
      </c>
      <c r="Q76" s="18">
        <v>3</v>
      </c>
      <c r="R76" s="18">
        <v>40</v>
      </c>
      <c r="S76" s="18">
        <v>0</v>
      </c>
      <c r="T76" s="18">
        <v>0</v>
      </c>
      <c r="U76" s="18" t="s">
        <v>338</v>
      </c>
      <c r="V76" s="18">
        <v>700</v>
      </c>
      <c r="W76" s="18">
        <v>700</v>
      </c>
      <c r="X76" s="18" t="s">
        <v>326</v>
      </c>
      <c r="Y76" s="18" t="s">
        <v>327</v>
      </c>
      <c r="Z76" s="18" t="s">
        <v>328</v>
      </c>
      <c r="AA76" s="18">
        <v>0</v>
      </c>
      <c r="AB76" s="18">
        <v>1</v>
      </c>
      <c r="AC76" s="18" t="b">
        <v>0</v>
      </c>
      <c r="AD76" s="18" t="s">
        <v>329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 t="s">
        <v>354</v>
      </c>
      <c r="AZ76" s="18">
        <v>12000</v>
      </c>
      <c r="BA76" s="18" t="s">
        <v>331</v>
      </c>
      <c r="BB76" s="18" t="s">
        <v>328</v>
      </c>
      <c r="BC76" s="18">
        <v>10000</v>
      </c>
      <c r="BD76" s="18">
        <v>0</v>
      </c>
      <c r="BE76" s="18" t="s">
        <v>332</v>
      </c>
      <c r="BF76" s="18">
        <v>0</v>
      </c>
      <c r="BG76" s="18" t="s">
        <v>355</v>
      </c>
      <c r="BH76" s="18">
        <v>10000</v>
      </c>
      <c r="BI76" s="18">
        <v>15</v>
      </c>
      <c r="BJ76" s="18" t="b">
        <v>1</v>
      </c>
      <c r="BK76" s="18">
        <v>0</v>
      </c>
      <c r="BL76" s="18">
        <v>10000</v>
      </c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>
        <v>200</v>
      </c>
      <c r="GS76" s="18">
        <v>400</v>
      </c>
      <c r="GT76" s="18" t="s">
        <v>356</v>
      </c>
      <c r="GU76" s="18">
        <v>30048</v>
      </c>
      <c r="GV76" s="18" t="s">
        <v>339</v>
      </c>
      <c r="GW76" s="18" t="s">
        <v>339</v>
      </c>
      <c r="GX76" s="18" t="b">
        <v>1</v>
      </c>
      <c r="GY76" s="18">
        <v>2200</v>
      </c>
      <c r="GZ76" s="18" t="b">
        <v>0</v>
      </c>
      <c r="HA76" s="18">
        <v>0</v>
      </c>
      <c r="HB76" s="18">
        <v>0</v>
      </c>
      <c r="HC76" s="18">
        <v>0</v>
      </c>
      <c r="HD76" s="18">
        <v>0</v>
      </c>
      <c r="HE76" s="18" t="b">
        <v>0</v>
      </c>
      <c r="HF76" s="18">
        <v>0</v>
      </c>
      <c r="HG76" s="18">
        <v>10001</v>
      </c>
      <c r="HH76" s="18" t="s">
        <v>339</v>
      </c>
      <c r="HI76" s="18" t="s">
        <v>334</v>
      </c>
      <c r="HJ76" s="18">
        <v>0</v>
      </c>
      <c r="HK76" s="18">
        <v>0</v>
      </c>
      <c r="HL76" s="18">
        <v>0</v>
      </c>
      <c r="HM76" s="18">
        <v>0</v>
      </c>
      <c r="HN76" s="18" t="b">
        <v>0</v>
      </c>
    </row>
    <row r="77" spans="1:222">
      <c r="A77"/>
      <c r="B77" s="29" cm="1">
        <f t="array" ref="B77">10000000+INDEX(编号表!$B$1:$B$112,MATCH(D77,编号表!$A$1:$A$112,0))*10000+I77</f>
        <v>10080001</v>
      </c>
      <c r="C77" s="18" t="s">
        <v>363</v>
      </c>
      <c r="D77" s="18" t="s">
        <v>363</v>
      </c>
      <c r="E77" s="18" t="s">
        <v>322</v>
      </c>
      <c r="F77" s="18" t="s">
        <v>364</v>
      </c>
      <c r="G77" s="18" t="b">
        <v>0</v>
      </c>
      <c r="H77" s="18" t="b">
        <v>0</v>
      </c>
      <c r="I77" s="18">
        <v>1</v>
      </c>
      <c r="J77" s="18">
        <v>100800</v>
      </c>
      <c r="K77" s="18" t="s">
        <v>324</v>
      </c>
      <c r="L77" s="18">
        <v>0</v>
      </c>
      <c r="M77" s="18">
        <v>10080002</v>
      </c>
      <c r="N77" s="18" t="s">
        <v>365</v>
      </c>
      <c r="O77" s="18">
        <v>10202007</v>
      </c>
      <c r="P77" s="18">
        <v>0</v>
      </c>
      <c r="Q77" s="18">
        <v>0</v>
      </c>
      <c r="R77" s="18">
        <v>1</v>
      </c>
      <c r="S77" s="18">
        <v>0</v>
      </c>
      <c r="T77" s="18">
        <v>100</v>
      </c>
      <c r="U77" s="18" t="s">
        <v>338</v>
      </c>
      <c r="V77" s="18">
        <v>800</v>
      </c>
      <c r="W77" s="18">
        <v>800</v>
      </c>
      <c r="X77" s="18" t="s">
        <v>326</v>
      </c>
      <c r="Y77" s="18" t="s">
        <v>327</v>
      </c>
      <c r="Z77" s="18" t="s">
        <v>328</v>
      </c>
      <c r="AA77" s="18">
        <v>0</v>
      </c>
      <c r="AB77" s="18">
        <v>1</v>
      </c>
      <c r="AC77" s="18" t="b">
        <v>0</v>
      </c>
      <c r="AD77" s="18" t="s">
        <v>329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 t="s">
        <v>354</v>
      </c>
      <c r="AZ77" s="18">
        <v>10000</v>
      </c>
      <c r="BA77" s="18" t="s">
        <v>366</v>
      </c>
      <c r="BB77" s="18" t="s">
        <v>328</v>
      </c>
      <c r="BC77" s="18">
        <v>10000</v>
      </c>
      <c r="BD77" s="18">
        <v>0</v>
      </c>
      <c r="BE77" s="18" t="s">
        <v>332</v>
      </c>
      <c r="BF77" s="18">
        <v>0</v>
      </c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 t="s">
        <v>367</v>
      </c>
      <c r="CG77" s="18" t="s">
        <v>368</v>
      </c>
      <c r="CH77" s="18">
        <v>900</v>
      </c>
      <c r="CI77" s="18">
        <v>80</v>
      </c>
      <c r="CJ77" s="18" t="s">
        <v>348</v>
      </c>
      <c r="CK77" s="18">
        <v>1</v>
      </c>
      <c r="CL77" s="18">
        <v>0</v>
      </c>
      <c r="CM77" s="18">
        <v>1</v>
      </c>
      <c r="CN77" s="18">
        <v>850</v>
      </c>
      <c r="CO77" s="18">
        <v>80</v>
      </c>
      <c r="CP77" s="18">
        <v>0</v>
      </c>
      <c r="CQ77" s="18">
        <v>1</v>
      </c>
      <c r="CR77" s="18">
        <v>10290001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>
        <v>200</v>
      </c>
      <c r="GS77" s="18">
        <v>400</v>
      </c>
      <c r="GT77" s="18" t="s">
        <v>356</v>
      </c>
      <c r="GU77" s="18">
        <v>30002</v>
      </c>
      <c r="GV77" s="18" t="s">
        <v>339</v>
      </c>
      <c r="GW77" s="18" t="s">
        <v>339</v>
      </c>
      <c r="GX77" s="18" t="b">
        <v>1</v>
      </c>
      <c r="GY77" s="18">
        <v>3000</v>
      </c>
      <c r="GZ77" s="18" t="b">
        <v>0</v>
      </c>
      <c r="HA77" s="18">
        <v>0</v>
      </c>
      <c r="HB77" s="18">
        <v>0</v>
      </c>
      <c r="HC77" s="18">
        <v>0</v>
      </c>
      <c r="HD77" s="18">
        <v>0</v>
      </c>
      <c r="HE77" s="18" t="b">
        <v>0</v>
      </c>
      <c r="HF77" s="18">
        <v>0</v>
      </c>
      <c r="HG77" s="18">
        <v>10001</v>
      </c>
      <c r="HH77" s="18" t="s">
        <v>339</v>
      </c>
      <c r="HI77" s="18" t="s">
        <v>334</v>
      </c>
      <c r="HJ77" s="18">
        <v>0</v>
      </c>
      <c r="HK77" s="18">
        <v>0</v>
      </c>
      <c r="HL77" s="18">
        <v>0</v>
      </c>
      <c r="HM77" s="18">
        <v>0</v>
      </c>
      <c r="HN77" s="18" t="b">
        <v>0</v>
      </c>
    </row>
    <row r="78" spans="1:222">
      <c r="A78"/>
      <c r="B78" s="29" cm="1">
        <f t="array" ref="B78">10000000+INDEX(编号表!$B$1:$B$112,MATCH(D78,编号表!$A$1:$A$112,0))*10000+I78</f>
        <v>10080002</v>
      </c>
      <c r="C78" s="18" t="s">
        <v>363</v>
      </c>
      <c r="D78" s="18" t="s">
        <v>363</v>
      </c>
      <c r="E78" s="18" t="s">
        <v>322</v>
      </c>
      <c r="F78" s="18" t="s">
        <v>364</v>
      </c>
      <c r="G78" s="18" t="b">
        <v>0</v>
      </c>
      <c r="H78" s="18" t="b">
        <v>0</v>
      </c>
      <c r="I78" s="18">
        <v>2</v>
      </c>
      <c r="J78" s="18">
        <v>100800</v>
      </c>
      <c r="K78" s="18" t="s">
        <v>324</v>
      </c>
      <c r="L78" s="18">
        <v>10080001</v>
      </c>
      <c r="M78" s="18">
        <v>10080003</v>
      </c>
      <c r="N78" s="18" t="s">
        <v>365</v>
      </c>
      <c r="O78" s="18">
        <v>10202007</v>
      </c>
      <c r="P78" s="18">
        <v>0</v>
      </c>
      <c r="Q78" s="18">
        <v>1</v>
      </c>
      <c r="R78" s="18">
        <v>7</v>
      </c>
      <c r="S78" s="18">
        <v>0</v>
      </c>
      <c r="T78" s="18">
        <v>100</v>
      </c>
      <c r="U78" s="18" t="s">
        <v>338</v>
      </c>
      <c r="V78" s="18">
        <v>800</v>
      </c>
      <c r="W78" s="18">
        <v>800</v>
      </c>
      <c r="X78" s="18" t="s">
        <v>326</v>
      </c>
      <c r="Y78" s="18" t="s">
        <v>327</v>
      </c>
      <c r="Z78" s="18" t="s">
        <v>328</v>
      </c>
      <c r="AA78" s="18">
        <v>0</v>
      </c>
      <c r="AB78" s="18">
        <v>1</v>
      </c>
      <c r="AC78" s="18" t="b">
        <v>0</v>
      </c>
      <c r="AD78" s="18" t="s">
        <v>329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 t="s">
        <v>354</v>
      </c>
      <c r="AZ78" s="18">
        <v>10400</v>
      </c>
      <c r="BA78" s="18" t="s">
        <v>366</v>
      </c>
      <c r="BB78" s="18" t="s">
        <v>328</v>
      </c>
      <c r="BC78" s="18">
        <v>10000</v>
      </c>
      <c r="BD78" s="18">
        <v>0</v>
      </c>
      <c r="BE78" s="18" t="s">
        <v>332</v>
      </c>
      <c r="BF78" s="18">
        <v>0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 t="s">
        <v>367</v>
      </c>
      <c r="CG78" s="18" t="s">
        <v>368</v>
      </c>
      <c r="CH78" s="18">
        <v>900</v>
      </c>
      <c r="CI78" s="18">
        <v>80</v>
      </c>
      <c r="CJ78" s="18" t="s">
        <v>348</v>
      </c>
      <c r="CK78" s="18">
        <v>1</v>
      </c>
      <c r="CL78" s="18">
        <v>0</v>
      </c>
      <c r="CM78" s="18">
        <v>1</v>
      </c>
      <c r="CN78" s="18">
        <v>850</v>
      </c>
      <c r="CO78" s="18">
        <v>80</v>
      </c>
      <c r="CP78" s="18">
        <v>0</v>
      </c>
      <c r="CQ78" s="18">
        <v>1</v>
      </c>
      <c r="CR78" s="18">
        <v>10290002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>
        <v>200</v>
      </c>
      <c r="GS78" s="18">
        <v>400</v>
      </c>
      <c r="GT78" s="18" t="s">
        <v>356</v>
      </c>
      <c r="GU78" s="18">
        <v>30002</v>
      </c>
      <c r="GV78" s="18" t="s">
        <v>339</v>
      </c>
      <c r="GW78" s="18" t="s">
        <v>339</v>
      </c>
      <c r="GX78" s="18" t="b">
        <v>1</v>
      </c>
      <c r="GY78" s="18">
        <v>3000</v>
      </c>
      <c r="GZ78" s="18" t="b">
        <v>0</v>
      </c>
      <c r="HA78" s="18">
        <v>0</v>
      </c>
      <c r="HB78" s="18">
        <v>0</v>
      </c>
      <c r="HC78" s="18">
        <v>0</v>
      </c>
      <c r="HD78" s="18">
        <v>0</v>
      </c>
      <c r="HE78" s="18" t="b">
        <v>0</v>
      </c>
      <c r="HF78" s="18">
        <v>0</v>
      </c>
      <c r="HG78" s="18">
        <v>10001</v>
      </c>
      <c r="HH78" s="18" t="s">
        <v>339</v>
      </c>
      <c r="HI78" s="18" t="s">
        <v>334</v>
      </c>
      <c r="HJ78" s="18">
        <v>0</v>
      </c>
      <c r="HK78" s="18">
        <v>0</v>
      </c>
      <c r="HL78" s="18">
        <v>0</v>
      </c>
      <c r="HM78" s="18">
        <v>0</v>
      </c>
      <c r="HN78" s="18" t="b">
        <v>0</v>
      </c>
    </row>
    <row r="79" spans="1:222">
      <c r="A79"/>
      <c r="B79" s="29" cm="1">
        <f t="array" ref="B79">10000000+INDEX(编号表!$B$1:$B$112,MATCH(D79,编号表!$A$1:$A$112,0))*10000+I79</f>
        <v>10080003</v>
      </c>
      <c r="C79" s="18" t="s">
        <v>363</v>
      </c>
      <c r="D79" s="18" t="s">
        <v>363</v>
      </c>
      <c r="E79" s="18" t="s">
        <v>322</v>
      </c>
      <c r="F79" s="18" t="s">
        <v>364</v>
      </c>
      <c r="G79" s="18" t="b">
        <v>0</v>
      </c>
      <c r="H79" s="18" t="b">
        <v>0</v>
      </c>
      <c r="I79" s="18">
        <v>3</v>
      </c>
      <c r="J79" s="18">
        <v>100800</v>
      </c>
      <c r="K79" s="18" t="s">
        <v>324</v>
      </c>
      <c r="L79" s="18">
        <v>10080002</v>
      </c>
      <c r="M79" s="18">
        <v>10080004</v>
      </c>
      <c r="N79" s="18" t="s">
        <v>365</v>
      </c>
      <c r="O79" s="18">
        <v>10202007</v>
      </c>
      <c r="P79" s="18">
        <v>0</v>
      </c>
      <c r="Q79" s="18">
        <v>2</v>
      </c>
      <c r="R79" s="18">
        <v>11</v>
      </c>
      <c r="S79" s="18">
        <v>0</v>
      </c>
      <c r="T79" s="18">
        <v>100</v>
      </c>
      <c r="U79" s="18" t="s">
        <v>338</v>
      </c>
      <c r="V79" s="18">
        <v>800</v>
      </c>
      <c r="W79" s="18">
        <v>800</v>
      </c>
      <c r="X79" s="18" t="s">
        <v>326</v>
      </c>
      <c r="Y79" s="18" t="s">
        <v>327</v>
      </c>
      <c r="Z79" s="18" t="s">
        <v>328</v>
      </c>
      <c r="AA79" s="18">
        <v>0</v>
      </c>
      <c r="AB79" s="18">
        <v>1</v>
      </c>
      <c r="AC79" s="18" t="b">
        <v>0</v>
      </c>
      <c r="AD79" s="18" t="s">
        <v>329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 t="s">
        <v>354</v>
      </c>
      <c r="AZ79" s="18">
        <v>10800</v>
      </c>
      <c r="BA79" s="18" t="s">
        <v>366</v>
      </c>
      <c r="BB79" s="18" t="s">
        <v>328</v>
      </c>
      <c r="BC79" s="18">
        <v>10000</v>
      </c>
      <c r="BD79" s="18">
        <v>0</v>
      </c>
      <c r="BE79" s="18" t="s">
        <v>332</v>
      </c>
      <c r="BF79" s="18">
        <v>0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 t="s">
        <v>367</v>
      </c>
      <c r="CG79" s="18" t="s">
        <v>368</v>
      </c>
      <c r="CH79" s="18">
        <v>900</v>
      </c>
      <c r="CI79" s="18">
        <v>80</v>
      </c>
      <c r="CJ79" s="18" t="s">
        <v>348</v>
      </c>
      <c r="CK79" s="18">
        <v>1</v>
      </c>
      <c r="CL79" s="18">
        <v>0</v>
      </c>
      <c r="CM79" s="18">
        <v>1</v>
      </c>
      <c r="CN79" s="18">
        <v>850</v>
      </c>
      <c r="CO79" s="18">
        <v>80</v>
      </c>
      <c r="CP79" s="18">
        <v>0</v>
      </c>
      <c r="CQ79" s="18">
        <v>1</v>
      </c>
      <c r="CR79" s="18">
        <v>10290003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>
        <v>200</v>
      </c>
      <c r="GS79" s="18">
        <v>400</v>
      </c>
      <c r="GT79" s="18" t="s">
        <v>356</v>
      </c>
      <c r="GU79" s="18">
        <v>30002</v>
      </c>
      <c r="GV79" s="18" t="s">
        <v>339</v>
      </c>
      <c r="GW79" s="18" t="s">
        <v>339</v>
      </c>
      <c r="GX79" s="18" t="b">
        <v>1</v>
      </c>
      <c r="GY79" s="18">
        <v>3000</v>
      </c>
      <c r="GZ79" s="18" t="b">
        <v>0</v>
      </c>
      <c r="HA79" s="18">
        <v>0</v>
      </c>
      <c r="HB79" s="18">
        <v>0</v>
      </c>
      <c r="HC79" s="18">
        <v>0</v>
      </c>
      <c r="HD79" s="18">
        <v>0</v>
      </c>
      <c r="HE79" s="18" t="b">
        <v>0</v>
      </c>
      <c r="HF79" s="18">
        <v>0</v>
      </c>
      <c r="HG79" s="18">
        <v>10001</v>
      </c>
      <c r="HH79" s="18" t="s">
        <v>339</v>
      </c>
      <c r="HI79" s="18" t="s">
        <v>334</v>
      </c>
      <c r="HJ79" s="18">
        <v>0</v>
      </c>
      <c r="HK79" s="18">
        <v>0</v>
      </c>
      <c r="HL79" s="18">
        <v>0</v>
      </c>
      <c r="HM79" s="18">
        <v>0</v>
      </c>
      <c r="HN79" s="18" t="b">
        <v>0</v>
      </c>
    </row>
    <row r="80" spans="1:222">
      <c r="A80"/>
      <c r="B80" s="29" cm="1">
        <f t="array" ref="B80">10000000+INDEX(编号表!$B$1:$B$112,MATCH(D80,编号表!$A$1:$A$112,0))*10000+I80</f>
        <v>10080004</v>
      </c>
      <c r="C80" s="18" t="s">
        <v>363</v>
      </c>
      <c r="D80" s="18" t="s">
        <v>363</v>
      </c>
      <c r="E80" s="18" t="s">
        <v>322</v>
      </c>
      <c r="F80" s="18" t="s">
        <v>364</v>
      </c>
      <c r="G80" s="18" t="b">
        <v>0</v>
      </c>
      <c r="H80" s="18" t="b">
        <v>0</v>
      </c>
      <c r="I80" s="18">
        <v>4</v>
      </c>
      <c r="J80" s="18">
        <v>100800</v>
      </c>
      <c r="K80" s="18" t="s">
        <v>324</v>
      </c>
      <c r="L80" s="18">
        <v>10080003</v>
      </c>
      <c r="M80" s="18">
        <v>10080005</v>
      </c>
      <c r="N80" s="18" t="s">
        <v>365</v>
      </c>
      <c r="O80" s="18">
        <v>10202007</v>
      </c>
      <c r="P80" s="18">
        <v>0</v>
      </c>
      <c r="Q80" s="18">
        <v>3</v>
      </c>
      <c r="R80" s="18">
        <v>16</v>
      </c>
      <c r="S80" s="18">
        <v>0</v>
      </c>
      <c r="T80" s="18">
        <v>100</v>
      </c>
      <c r="U80" s="18" t="s">
        <v>338</v>
      </c>
      <c r="V80" s="18">
        <v>800</v>
      </c>
      <c r="W80" s="18">
        <v>800</v>
      </c>
      <c r="X80" s="18" t="s">
        <v>326</v>
      </c>
      <c r="Y80" s="18" t="s">
        <v>327</v>
      </c>
      <c r="Z80" s="18" t="s">
        <v>328</v>
      </c>
      <c r="AA80" s="18">
        <v>0</v>
      </c>
      <c r="AB80" s="18">
        <v>1</v>
      </c>
      <c r="AC80" s="18" t="b">
        <v>0</v>
      </c>
      <c r="AD80" s="18" t="s">
        <v>329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 t="s">
        <v>354</v>
      </c>
      <c r="AZ80" s="18">
        <v>11200</v>
      </c>
      <c r="BA80" s="18" t="s">
        <v>366</v>
      </c>
      <c r="BB80" s="18" t="s">
        <v>328</v>
      </c>
      <c r="BC80" s="18">
        <v>10000</v>
      </c>
      <c r="BD80" s="18">
        <v>0</v>
      </c>
      <c r="BE80" s="18" t="s">
        <v>332</v>
      </c>
      <c r="BF80" s="18">
        <v>0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 t="s">
        <v>367</v>
      </c>
      <c r="CG80" s="18" t="s">
        <v>368</v>
      </c>
      <c r="CH80" s="18">
        <v>900</v>
      </c>
      <c r="CI80" s="18">
        <v>80</v>
      </c>
      <c r="CJ80" s="18" t="s">
        <v>348</v>
      </c>
      <c r="CK80" s="18">
        <v>1</v>
      </c>
      <c r="CL80" s="18">
        <v>0</v>
      </c>
      <c r="CM80" s="18">
        <v>1</v>
      </c>
      <c r="CN80" s="18">
        <v>850</v>
      </c>
      <c r="CO80" s="18">
        <v>80</v>
      </c>
      <c r="CP80" s="18">
        <v>0</v>
      </c>
      <c r="CQ80" s="18">
        <v>1</v>
      </c>
      <c r="CR80" s="18">
        <v>10290004</v>
      </c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>
        <v>200</v>
      </c>
      <c r="GS80" s="18">
        <v>400</v>
      </c>
      <c r="GT80" s="18" t="s">
        <v>356</v>
      </c>
      <c r="GU80" s="18">
        <v>30002</v>
      </c>
      <c r="GV80" s="18" t="s">
        <v>339</v>
      </c>
      <c r="GW80" s="18" t="s">
        <v>339</v>
      </c>
      <c r="GX80" s="18" t="b">
        <v>1</v>
      </c>
      <c r="GY80" s="18">
        <v>3000</v>
      </c>
      <c r="GZ80" s="18" t="b">
        <v>0</v>
      </c>
      <c r="HA80" s="18">
        <v>0</v>
      </c>
      <c r="HB80" s="18">
        <v>0</v>
      </c>
      <c r="HC80" s="18">
        <v>0</v>
      </c>
      <c r="HD80" s="18">
        <v>0</v>
      </c>
      <c r="HE80" s="18" t="b">
        <v>0</v>
      </c>
      <c r="HF80" s="18">
        <v>0</v>
      </c>
      <c r="HG80" s="18">
        <v>10001</v>
      </c>
      <c r="HH80" s="18" t="s">
        <v>339</v>
      </c>
      <c r="HI80" s="18" t="s">
        <v>334</v>
      </c>
      <c r="HJ80" s="18">
        <v>0</v>
      </c>
      <c r="HK80" s="18">
        <v>0</v>
      </c>
      <c r="HL80" s="18">
        <v>0</v>
      </c>
      <c r="HM80" s="18">
        <v>0</v>
      </c>
      <c r="HN80" s="18" t="b">
        <v>0</v>
      </c>
    </row>
    <row r="81" spans="1:222">
      <c r="A81"/>
      <c r="B81" s="29" cm="1">
        <f t="array" ref="B81">10000000+INDEX(编号表!$B$1:$B$112,MATCH(D81,编号表!$A$1:$A$112,0))*10000+I81</f>
        <v>10080005</v>
      </c>
      <c r="C81" s="18" t="s">
        <v>363</v>
      </c>
      <c r="D81" s="18" t="s">
        <v>363</v>
      </c>
      <c r="E81" s="18" t="s">
        <v>322</v>
      </c>
      <c r="F81" s="18" t="s">
        <v>364</v>
      </c>
      <c r="G81" s="18" t="b">
        <v>0</v>
      </c>
      <c r="H81" s="18" t="b">
        <v>0</v>
      </c>
      <c r="I81" s="18">
        <v>5</v>
      </c>
      <c r="J81" s="18">
        <v>100800</v>
      </c>
      <c r="K81" s="18" t="s">
        <v>324</v>
      </c>
      <c r="L81" s="18">
        <v>10080004</v>
      </c>
      <c r="M81" s="18">
        <v>10080006</v>
      </c>
      <c r="N81" s="18" t="s">
        <v>365</v>
      </c>
      <c r="O81" s="18">
        <v>10202007</v>
      </c>
      <c r="P81" s="18">
        <v>0</v>
      </c>
      <c r="Q81" s="18">
        <v>3</v>
      </c>
      <c r="R81" s="18">
        <v>25</v>
      </c>
      <c r="S81" s="18">
        <v>0</v>
      </c>
      <c r="T81" s="18">
        <v>100</v>
      </c>
      <c r="U81" s="18" t="s">
        <v>338</v>
      </c>
      <c r="V81" s="18">
        <v>800</v>
      </c>
      <c r="W81" s="18">
        <v>800</v>
      </c>
      <c r="X81" s="18" t="s">
        <v>326</v>
      </c>
      <c r="Y81" s="18" t="s">
        <v>327</v>
      </c>
      <c r="Z81" s="18" t="s">
        <v>328</v>
      </c>
      <c r="AA81" s="18">
        <v>0</v>
      </c>
      <c r="AB81" s="18">
        <v>1</v>
      </c>
      <c r="AC81" s="18" t="b">
        <v>0</v>
      </c>
      <c r="AD81" s="18" t="s">
        <v>329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 t="s">
        <v>354</v>
      </c>
      <c r="AZ81" s="18">
        <v>11300</v>
      </c>
      <c r="BA81" s="18" t="s">
        <v>366</v>
      </c>
      <c r="BB81" s="18" t="s">
        <v>328</v>
      </c>
      <c r="BC81" s="18">
        <v>10000</v>
      </c>
      <c r="BD81" s="18">
        <v>0</v>
      </c>
      <c r="BE81" s="18" t="s">
        <v>332</v>
      </c>
      <c r="BF81" s="18">
        <v>0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 t="s">
        <v>367</v>
      </c>
      <c r="CG81" s="18" t="s">
        <v>368</v>
      </c>
      <c r="CH81" s="18">
        <v>900</v>
      </c>
      <c r="CI81" s="18">
        <v>80</v>
      </c>
      <c r="CJ81" s="18" t="s">
        <v>348</v>
      </c>
      <c r="CK81" s="18">
        <v>1</v>
      </c>
      <c r="CL81" s="18">
        <v>0</v>
      </c>
      <c r="CM81" s="18">
        <v>1</v>
      </c>
      <c r="CN81" s="18">
        <v>850</v>
      </c>
      <c r="CO81" s="18">
        <v>80</v>
      </c>
      <c r="CP81" s="18">
        <v>0</v>
      </c>
      <c r="CQ81" s="18">
        <v>1</v>
      </c>
      <c r="CR81" s="18">
        <v>10290005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>
        <v>200</v>
      </c>
      <c r="GS81" s="18">
        <v>400</v>
      </c>
      <c r="GT81" s="18" t="s">
        <v>356</v>
      </c>
      <c r="GU81" s="18">
        <v>30002</v>
      </c>
      <c r="GV81" s="18" t="s">
        <v>339</v>
      </c>
      <c r="GW81" s="18" t="s">
        <v>339</v>
      </c>
      <c r="GX81" s="18" t="b">
        <v>1</v>
      </c>
      <c r="GY81" s="18">
        <v>3000</v>
      </c>
      <c r="GZ81" s="18" t="b">
        <v>0</v>
      </c>
      <c r="HA81" s="18">
        <v>0</v>
      </c>
      <c r="HB81" s="18">
        <v>0</v>
      </c>
      <c r="HC81" s="18">
        <v>0</v>
      </c>
      <c r="HD81" s="18">
        <v>0</v>
      </c>
      <c r="HE81" s="18" t="b">
        <v>0</v>
      </c>
      <c r="HF81" s="18">
        <v>0</v>
      </c>
      <c r="HG81" s="18">
        <v>10001</v>
      </c>
      <c r="HH81" s="18" t="s">
        <v>339</v>
      </c>
      <c r="HI81" s="18" t="s">
        <v>334</v>
      </c>
      <c r="HJ81" s="18">
        <v>0</v>
      </c>
      <c r="HK81" s="18">
        <v>0</v>
      </c>
      <c r="HL81" s="18">
        <v>0</v>
      </c>
      <c r="HM81" s="18">
        <v>0</v>
      </c>
      <c r="HN81" s="18" t="b">
        <v>0</v>
      </c>
    </row>
    <row r="82" spans="1:222">
      <c r="A82"/>
      <c r="B82" s="29" cm="1">
        <f t="array" ref="B82">10000000+INDEX(编号表!$B$1:$B$112,MATCH(D82,编号表!$A$1:$A$112,0))*10000+I82</f>
        <v>10080006</v>
      </c>
      <c r="C82" s="18" t="s">
        <v>363</v>
      </c>
      <c r="D82" s="18" t="s">
        <v>363</v>
      </c>
      <c r="E82" s="18" t="s">
        <v>322</v>
      </c>
      <c r="F82" s="18" t="s">
        <v>364</v>
      </c>
      <c r="G82" s="18" t="b">
        <v>0</v>
      </c>
      <c r="H82" s="18" t="b">
        <v>0</v>
      </c>
      <c r="I82" s="18">
        <v>6</v>
      </c>
      <c r="J82" s="18">
        <v>100800</v>
      </c>
      <c r="K82" s="18" t="s">
        <v>324</v>
      </c>
      <c r="L82" s="18">
        <v>10080005</v>
      </c>
      <c r="M82" s="18">
        <v>10080007</v>
      </c>
      <c r="N82" s="18" t="s">
        <v>365</v>
      </c>
      <c r="O82" s="18">
        <v>10202007</v>
      </c>
      <c r="P82" s="18">
        <v>0</v>
      </c>
      <c r="Q82" s="18">
        <v>3</v>
      </c>
      <c r="R82" s="18">
        <v>30</v>
      </c>
      <c r="S82" s="18">
        <v>0</v>
      </c>
      <c r="T82" s="18">
        <v>100</v>
      </c>
      <c r="U82" s="18" t="s">
        <v>338</v>
      </c>
      <c r="V82" s="18">
        <v>800</v>
      </c>
      <c r="W82" s="18">
        <v>800</v>
      </c>
      <c r="X82" s="18" t="s">
        <v>326</v>
      </c>
      <c r="Y82" s="18" t="s">
        <v>327</v>
      </c>
      <c r="Z82" s="18" t="s">
        <v>328</v>
      </c>
      <c r="AA82" s="18">
        <v>0</v>
      </c>
      <c r="AB82" s="18">
        <v>1</v>
      </c>
      <c r="AC82" s="18" t="b">
        <v>0</v>
      </c>
      <c r="AD82" s="18" t="s">
        <v>329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 t="s">
        <v>354</v>
      </c>
      <c r="AZ82" s="18">
        <v>11600</v>
      </c>
      <c r="BA82" s="18" t="s">
        <v>366</v>
      </c>
      <c r="BB82" s="18" t="s">
        <v>328</v>
      </c>
      <c r="BC82" s="18">
        <v>10000</v>
      </c>
      <c r="BD82" s="18">
        <v>0</v>
      </c>
      <c r="BE82" s="18" t="s">
        <v>332</v>
      </c>
      <c r="BF82" s="18">
        <v>0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 t="s">
        <v>367</v>
      </c>
      <c r="CG82" s="18" t="s">
        <v>368</v>
      </c>
      <c r="CH82" s="18">
        <v>900</v>
      </c>
      <c r="CI82" s="18">
        <v>80</v>
      </c>
      <c r="CJ82" s="18" t="s">
        <v>348</v>
      </c>
      <c r="CK82" s="18">
        <v>1</v>
      </c>
      <c r="CL82" s="18">
        <v>0</v>
      </c>
      <c r="CM82" s="18">
        <v>1</v>
      </c>
      <c r="CN82" s="18">
        <v>850</v>
      </c>
      <c r="CO82" s="18">
        <v>80</v>
      </c>
      <c r="CP82" s="18">
        <v>0</v>
      </c>
      <c r="CQ82" s="18">
        <v>1</v>
      </c>
      <c r="CR82" s="18">
        <v>10290006</v>
      </c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>
        <v>200</v>
      </c>
      <c r="GS82" s="18">
        <v>400</v>
      </c>
      <c r="GT82" s="18" t="s">
        <v>356</v>
      </c>
      <c r="GU82" s="18">
        <v>30002</v>
      </c>
      <c r="GV82" s="18" t="s">
        <v>339</v>
      </c>
      <c r="GW82" s="18" t="s">
        <v>339</v>
      </c>
      <c r="GX82" s="18" t="b">
        <v>1</v>
      </c>
      <c r="GY82" s="18">
        <v>3000</v>
      </c>
      <c r="GZ82" s="18" t="b">
        <v>0</v>
      </c>
      <c r="HA82" s="18">
        <v>0</v>
      </c>
      <c r="HB82" s="18">
        <v>0</v>
      </c>
      <c r="HC82" s="18">
        <v>0</v>
      </c>
      <c r="HD82" s="18">
        <v>0</v>
      </c>
      <c r="HE82" s="18" t="b">
        <v>0</v>
      </c>
      <c r="HF82" s="18">
        <v>0</v>
      </c>
      <c r="HG82" s="18">
        <v>10001</v>
      </c>
      <c r="HH82" s="18" t="s">
        <v>339</v>
      </c>
      <c r="HI82" s="18" t="s">
        <v>334</v>
      </c>
      <c r="HJ82" s="18">
        <v>0</v>
      </c>
      <c r="HK82" s="18">
        <v>0</v>
      </c>
      <c r="HL82" s="18">
        <v>0</v>
      </c>
      <c r="HM82" s="18">
        <v>0</v>
      </c>
      <c r="HN82" s="18" t="b">
        <v>0</v>
      </c>
    </row>
    <row r="83" spans="1:222">
      <c r="A83"/>
      <c r="B83" s="29" cm="1">
        <f t="array" ref="B83">10000000+INDEX(编号表!$B$1:$B$112,MATCH(D83,编号表!$A$1:$A$112,0))*10000+I83</f>
        <v>10080007</v>
      </c>
      <c r="C83" s="18" t="s">
        <v>363</v>
      </c>
      <c r="D83" s="18" t="s">
        <v>363</v>
      </c>
      <c r="E83" s="18" t="s">
        <v>322</v>
      </c>
      <c r="F83" s="18" t="s">
        <v>364</v>
      </c>
      <c r="G83" s="18" t="b">
        <v>0</v>
      </c>
      <c r="H83" s="18" t="b">
        <v>0</v>
      </c>
      <c r="I83" s="18">
        <v>7</v>
      </c>
      <c r="J83" s="18">
        <v>100800</v>
      </c>
      <c r="K83" s="18" t="s">
        <v>324</v>
      </c>
      <c r="L83" s="18">
        <v>10080006</v>
      </c>
      <c r="M83" s="18">
        <v>10080008</v>
      </c>
      <c r="N83" s="18" t="s">
        <v>365</v>
      </c>
      <c r="O83" s="18">
        <v>10202007</v>
      </c>
      <c r="P83" s="18">
        <v>0</v>
      </c>
      <c r="Q83" s="18">
        <v>3</v>
      </c>
      <c r="R83" s="18">
        <v>35</v>
      </c>
      <c r="S83" s="18">
        <v>0</v>
      </c>
      <c r="T83" s="18">
        <v>100</v>
      </c>
      <c r="U83" s="18" t="s">
        <v>338</v>
      </c>
      <c r="V83" s="18">
        <v>800</v>
      </c>
      <c r="W83" s="18">
        <v>800</v>
      </c>
      <c r="X83" s="18" t="s">
        <v>326</v>
      </c>
      <c r="Y83" s="18" t="s">
        <v>327</v>
      </c>
      <c r="Z83" s="18" t="s">
        <v>328</v>
      </c>
      <c r="AA83" s="18">
        <v>0</v>
      </c>
      <c r="AB83" s="18">
        <v>1</v>
      </c>
      <c r="AC83" s="18" t="b">
        <v>0</v>
      </c>
      <c r="AD83" s="18" t="s">
        <v>329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 t="s">
        <v>354</v>
      </c>
      <c r="AZ83" s="18">
        <v>11700</v>
      </c>
      <c r="BA83" s="18" t="s">
        <v>366</v>
      </c>
      <c r="BB83" s="18" t="s">
        <v>328</v>
      </c>
      <c r="BC83" s="18">
        <v>10000</v>
      </c>
      <c r="BD83" s="18">
        <v>0</v>
      </c>
      <c r="BE83" s="18" t="s">
        <v>332</v>
      </c>
      <c r="BF83" s="18">
        <v>0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 t="s">
        <v>367</v>
      </c>
      <c r="CG83" s="18" t="s">
        <v>368</v>
      </c>
      <c r="CH83" s="18">
        <v>900</v>
      </c>
      <c r="CI83" s="18">
        <v>80</v>
      </c>
      <c r="CJ83" s="18" t="s">
        <v>348</v>
      </c>
      <c r="CK83" s="18">
        <v>1</v>
      </c>
      <c r="CL83" s="18">
        <v>0</v>
      </c>
      <c r="CM83" s="18">
        <v>1</v>
      </c>
      <c r="CN83" s="18">
        <v>850</v>
      </c>
      <c r="CO83" s="18">
        <v>80</v>
      </c>
      <c r="CP83" s="18">
        <v>0</v>
      </c>
      <c r="CQ83" s="18">
        <v>1</v>
      </c>
      <c r="CR83" s="18">
        <v>10290007</v>
      </c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>
        <v>200</v>
      </c>
      <c r="GS83" s="18">
        <v>400</v>
      </c>
      <c r="GT83" s="18" t="s">
        <v>356</v>
      </c>
      <c r="GU83" s="18">
        <v>30002</v>
      </c>
      <c r="GV83" s="18" t="s">
        <v>339</v>
      </c>
      <c r="GW83" s="18" t="s">
        <v>339</v>
      </c>
      <c r="GX83" s="18" t="b">
        <v>1</v>
      </c>
      <c r="GY83" s="18">
        <v>3000</v>
      </c>
      <c r="GZ83" s="18" t="b">
        <v>0</v>
      </c>
      <c r="HA83" s="18">
        <v>0</v>
      </c>
      <c r="HB83" s="18">
        <v>0</v>
      </c>
      <c r="HC83" s="18">
        <v>0</v>
      </c>
      <c r="HD83" s="18">
        <v>0</v>
      </c>
      <c r="HE83" s="18" t="b">
        <v>0</v>
      </c>
      <c r="HF83" s="18">
        <v>0</v>
      </c>
      <c r="HG83" s="18">
        <v>10001</v>
      </c>
      <c r="HH83" s="18" t="s">
        <v>339</v>
      </c>
      <c r="HI83" s="18" t="s">
        <v>334</v>
      </c>
      <c r="HJ83" s="18">
        <v>0</v>
      </c>
      <c r="HK83" s="18">
        <v>0</v>
      </c>
      <c r="HL83" s="18">
        <v>0</v>
      </c>
      <c r="HM83" s="18">
        <v>0</v>
      </c>
      <c r="HN83" s="18" t="b">
        <v>0</v>
      </c>
    </row>
    <row r="84" spans="1:222">
      <c r="A84"/>
      <c r="B84" s="29" cm="1">
        <f t="array" ref="B84">10000000+INDEX(编号表!$B$1:$B$112,MATCH(D84,编号表!$A$1:$A$112,0))*10000+I84</f>
        <v>10080008</v>
      </c>
      <c r="C84" s="18" t="s">
        <v>363</v>
      </c>
      <c r="D84" s="18" t="s">
        <v>363</v>
      </c>
      <c r="E84" s="18" t="s">
        <v>322</v>
      </c>
      <c r="F84" s="18" t="s">
        <v>364</v>
      </c>
      <c r="G84" s="18" t="b">
        <v>0</v>
      </c>
      <c r="H84" s="18" t="b">
        <v>0</v>
      </c>
      <c r="I84" s="18">
        <v>8</v>
      </c>
      <c r="J84" s="18">
        <v>100800</v>
      </c>
      <c r="K84" s="18" t="s">
        <v>324</v>
      </c>
      <c r="L84" s="18">
        <v>10080007</v>
      </c>
      <c r="M84" s="18">
        <v>10080009</v>
      </c>
      <c r="N84" s="18" t="s">
        <v>365</v>
      </c>
      <c r="O84" s="18">
        <v>10202007</v>
      </c>
      <c r="P84" s="18">
        <v>0</v>
      </c>
      <c r="Q84" s="18">
        <v>3</v>
      </c>
      <c r="R84" s="18">
        <v>35</v>
      </c>
      <c r="S84" s="18">
        <v>0</v>
      </c>
      <c r="T84" s="18">
        <v>100</v>
      </c>
      <c r="U84" s="18" t="s">
        <v>338</v>
      </c>
      <c r="V84" s="18">
        <v>800</v>
      </c>
      <c r="W84" s="18">
        <v>800</v>
      </c>
      <c r="X84" s="18" t="s">
        <v>326</v>
      </c>
      <c r="Y84" s="18" t="s">
        <v>327</v>
      </c>
      <c r="Z84" s="18" t="s">
        <v>328</v>
      </c>
      <c r="AA84" s="18">
        <v>0</v>
      </c>
      <c r="AB84" s="18">
        <v>1</v>
      </c>
      <c r="AC84" s="18" t="b">
        <v>0</v>
      </c>
      <c r="AD84" s="18" t="s">
        <v>329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 t="s">
        <v>354</v>
      </c>
      <c r="AZ84" s="18">
        <v>11800</v>
      </c>
      <c r="BA84" s="18" t="s">
        <v>366</v>
      </c>
      <c r="BB84" s="18" t="s">
        <v>328</v>
      </c>
      <c r="BC84" s="18">
        <v>10000</v>
      </c>
      <c r="BD84" s="18">
        <v>0</v>
      </c>
      <c r="BE84" s="18" t="s">
        <v>332</v>
      </c>
      <c r="BF84" s="18">
        <v>0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 t="s">
        <v>367</v>
      </c>
      <c r="CG84" s="18" t="s">
        <v>368</v>
      </c>
      <c r="CH84" s="18">
        <v>900</v>
      </c>
      <c r="CI84" s="18">
        <v>80</v>
      </c>
      <c r="CJ84" s="18" t="s">
        <v>348</v>
      </c>
      <c r="CK84" s="18">
        <v>1</v>
      </c>
      <c r="CL84" s="18">
        <v>0</v>
      </c>
      <c r="CM84" s="18">
        <v>1</v>
      </c>
      <c r="CN84" s="18">
        <v>850</v>
      </c>
      <c r="CO84" s="18">
        <v>80</v>
      </c>
      <c r="CP84" s="18">
        <v>0</v>
      </c>
      <c r="CQ84" s="18">
        <v>1</v>
      </c>
      <c r="CR84" s="18">
        <v>10290008</v>
      </c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>
        <v>200</v>
      </c>
      <c r="GS84" s="18">
        <v>400</v>
      </c>
      <c r="GT84" s="18" t="s">
        <v>356</v>
      </c>
      <c r="GU84" s="18">
        <v>30002</v>
      </c>
      <c r="GV84" s="18" t="s">
        <v>339</v>
      </c>
      <c r="GW84" s="18" t="s">
        <v>339</v>
      </c>
      <c r="GX84" s="18" t="b">
        <v>1</v>
      </c>
      <c r="GY84" s="18">
        <v>3000</v>
      </c>
      <c r="GZ84" s="18" t="b">
        <v>0</v>
      </c>
      <c r="HA84" s="18">
        <v>0</v>
      </c>
      <c r="HB84" s="18">
        <v>0</v>
      </c>
      <c r="HC84" s="18">
        <v>0</v>
      </c>
      <c r="HD84" s="18">
        <v>0</v>
      </c>
      <c r="HE84" s="18" t="b">
        <v>0</v>
      </c>
      <c r="HF84" s="18">
        <v>0</v>
      </c>
      <c r="HG84" s="18">
        <v>10001</v>
      </c>
      <c r="HH84" s="18" t="s">
        <v>339</v>
      </c>
      <c r="HI84" s="18" t="s">
        <v>334</v>
      </c>
      <c r="HJ84" s="18">
        <v>0</v>
      </c>
      <c r="HK84" s="18">
        <v>0</v>
      </c>
      <c r="HL84" s="18">
        <v>0</v>
      </c>
      <c r="HM84" s="18">
        <v>0</v>
      </c>
      <c r="HN84" s="18" t="b">
        <v>0</v>
      </c>
    </row>
    <row r="85" spans="1:222">
      <c r="A85"/>
      <c r="B85" s="29" cm="1">
        <f t="array" ref="B85">10000000+INDEX(编号表!$B$1:$B$112,MATCH(D85,编号表!$A$1:$A$112,0))*10000+I85</f>
        <v>10080009</v>
      </c>
      <c r="C85" s="18" t="s">
        <v>363</v>
      </c>
      <c r="D85" s="18" t="s">
        <v>363</v>
      </c>
      <c r="E85" s="18" t="s">
        <v>322</v>
      </c>
      <c r="F85" s="18" t="s">
        <v>364</v>
      </c>
      <c r="G85" s="18" t="b">
        <v>0</v>
      </c>
      <c r="H85" s="18" t="b">
        <v>0</v>
      </c>
      <c r="I85" s="18">
        <v>9</v>
      </c>
      <c r="J85" s="18">
        <v>100800</v>
      </c>
      <c r="K85" s="18" t="s">
        <v>324</v>
      </c>
      <c r="L85" s="18">
        <v>10080008</v>
      </c>
      <c r="M85" s="18">
        <v>10080010</v>
      </c>
      <c r="N85" s="18" t="s">
        <v>365</v>
      </c>
      <c r="O85" s="18">
        <v>10202007</v>
      </c>
      <c r="P85" s="18">
        <v>0</v>
      </c>
      <c r="Q85" s="18">
        <v>3</v>
      </c>
      <c r="R85" s="18">
        <v>40</v>
      </c>
      <c r="S85" s="18">
        <v>0</v>
      </c>
      <c r="T85" s="18">
        <v>100</v>
      </c>
      <c r="U85" s="18" t="s">
        <v>338</v>
      </c>
      <c r="V85" s="18">
        <v>800</v>
      </c>
      <c r="W85" s="18">
        <v>800</v>
      </c>
      <c r="X85" s="18" t="s">
        <v>326</v>
      </c>
      <c r="Y85" s="18" t="s">
        <v>327</v>
      </c>
      <c r="Z85" s="18" t="s">
        <v>328</v>
      </c>
      <c r="AA85" s="18">
        <v>0</v>
      </c>
      <c r="AB85" s="18">
        <v>1</v>
      </c>
      <c r="AC85" s="18" t="b">
        <v>0</v>
      </c>
      <c r="AD85" s="18" t="s">
        <v>329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 t="s">
        <v>354</v>
      </c>
      <c r="AZ85" s="18">
        <v>11900</v>
      </c>
      <c r="BA85" s="18" t="s">
        <v>366</v>
      </c>
      <c r="BB85" s="18" t="s">
        <v>328</v>
      </c>
      <c r="BC85" s="18">
        <v>10000</v>
      </c>
      <c r="BD85" s="18">
        <v>0</v>
      </c>
      <c r="BE85" s="18" t="s">
        <v>332</v>
      </c>
      <c r="BF85" s="18">
        <v>0</v>
      </c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 t="s">
        <v>367</v>
      </c>
      <c r="CG85" s="18" t="s">
        <v>368</v>
      </c>
      <c r="CH85" s="18">
        <v>900</v>
      </c>
      <c r="CI85" s="18">
        <v>80</v>
      </c>
      <c r="CJ85" s="18" t="s">
        <v>348</v>
      </c>
      <c r="CK85" s="18">
        <v>1</v>
      </c>
      <c r="CL85" s="18">
        <v>0</v>
      </c>
      <c r="CM85" s="18">
        <v>1</v>
      </c>
      <c r="CN85" s="18">
        <v>850</v>
      </c>
      <c r="CO85" s="18">
        <v>80</v>
      </c>
      <c r="CP85" s="18">
        <v>0</v>
      </c>
      <c r="CQ85" s="18">
        <v>1</v>
      </c>
      <c r="CR85" s="18">
        <v>10290009</v>
      </c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>
        <v>200</v>
      </c>
      <c r="GS85" s="18">
        <v>400</v>
      </c>
      <c r="GT85" s="18" t="s">
        <v>356</v>
      </c>
      <c r="GU85" s="18">
        <v>30002</v>
      </c>
      <c r="GV85" s="18" t="s">
        <v>339</v>
      </c>
      <c r="GW85" s="18" t="s">
        <v>339</v>
      </c>
      <c r="GX85" s="18" t="b">
        <v>1</v>
      </c>
      <c r="GY85" s="18">
        <v>3000</v>
      </c>
      <c r="GZ85" s="18" t="b">
        <v>0</v>
      </c>
      <c r="HA85" s="18">
        <v>0</v>
      </c>
      <c r="HB85" s="18">
        <v>0</v>
      </c>
      <c r="HC85" s="18">
        <v>0</v>
      </c>
      <c r="HD85" s="18">
        <v>0</v>
      </c>
      <c r="HE85" s="18" t="b">
        <v>0</v>
      </c>
      <c r="HF85" s="18">
        <v>0</v>
      </c>
      <c r="HG85" s="18">
        <v>10001</v>
      </c>
      <c r="HH85" s="18" t="s">
        <v>339</v>
      </c>
      <c r="HI85" s="18" t="s">
        <v>334</v>
      </c>
      <c r="HJ85" s="18">
        <v>0</v>
      </c>
      <c r="HK85" s="18">
        <v>0</v>
      </c>
      <c r="HL85" s="18">
        <v>0</v>
      </c>
      <c r="HM85" s="18">
        <v>0</v>
      </c>
      <c r="HN85" s="18" t="b">
        <v>0</v>
      </c>
    </row>
    <row r="86" spans="1:222">
      <c r="A86"/>
      <c r="B86" s="29" cm="1">
        <f t="array" ref="B86">10000000+INDEX(编号表!$B$1:$B$112,MATCH(D86,编号表!$A$1:$A$112,0))*10000+I86</f>
        <v>10080010</v>
      </c>
      <c r="C86" s="18" t="s">
        <v>363</v>
      </c>
      <c r="D86" s="18" t="s">
        <v>363</v>
      </c>
      <c r="E86" s="18" t="s">
        <v>322</v>
      </c>
      <c r="F86" s="18" t="s">
        <v>364</v>
      </c>
      <c r="G86" s="18" t="b">
        <v>0</v>
      </c>
      <c r="H86" s="18" t="b">
        <v>0</v>
      </c>
      <c r="I86" s="18">
        <v>10</v>
      </c>
      <c r="J86" s="18">
        <v>100800</v>
      </c>
      <c r="K86" s="18" t="s">
        <v>324</v>
      </c>
      <c r="L86" s="18">
        <v>10080009</v>
      </c>
      <c r="M86" s="18">
        <v>0</v>
      </c>
      <c r="N86" s="18" t="s">
        <v>365</v>
      </c>
      <c r="O86" s="18">
        <v>10202007</v>
      </c>
      <c r="P86" s="18">
        <v>0</v>
      </c>
      <c r="Q86" s="18">
        <v>3</v>
      </c>
      <c r="R86" s="18">
        <v>40</v>
      </c>
      <c r="S86" s="18">
        <v>0</v>
      </c>
      <c r="T86" s="18">
        <v>0</v>
      </c>
      <c r="U86" s="18" t="s">
        <v>338</v>
      </c>
      <c r="V86" s="18">
        <v>800</v>
      </c>
      <c r="W86" s="18">
        <v>800</v>
      </c>
      <c r="X86" s="18" t="s">
        <v>326</v>
      </c>
      <c r="Y86" s="18" t="s">
        <v>327</v>
      </c>
      <c r="Z86" s="18" t="s">
        <v>328</v>
      </c>
      <c r="AA86" s="18">
        <v>0</v>
      </c>
      <c r="AB86" s="18">
        <v>1</v>
      </c>
      <c r="AC86" s="18" t="b">
        <v>0</v>
      </c>
      <c r="AD86" s="18" t="s">
        <v>329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 t="s">
        <v>354</v>
      </c>
      <c r="AZ86" s="18">
        <v>12000</v>
      </c>
      <c r="BA86" s="18" t="s">
        <v>366</v>
      </c>
      <c r="BB86" s="18" t="s">
        <v>328</v>
      </c>
      <c r="BC86" s="18">
        <v>10000</v>
      </c>
      <c r="BD86" s="18">
        <v>0</v>
      </c>
      <c r="BE86" s="18" t="s">
        <v>332</v>
      </c>
      <c r="BF86" s="18">
        <v>0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 t="s">
        <v>367</v>
      </c>
      <c r="CG86" s="18" t="s">
        <v>368</v>
      </c>
      <c r="CH86" s="18">
        <v>900</v>
      </c>
      <c r="CI86" s="18">
        <v>80</v>
      </c>
      <c r="CJ86" s="18" t="s">
        <v>348</v>
      </c>
      <c r="CK86" s="18">
        <v>1</v>
      </c>
      <c r="CL86" s="18">
        <v>0</v>
      </c>
      <c r="CM86" s="18">
        <v>1</v>
      </c>
      <c r="CN86" s="18">
        <v>850</v>
      </c>
      <c r="CO86" s="18">
        <v>80</v>
      </c>
      <c r="CP86" s="18">
        <v>0</v>
      </c>
      <c r="CQ86" s="18">
        <v>1</v>
      </c>
      <c r="CR86" s="18">
        <v>10290010</v>
      </c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>
        <v>200</v>
      </c>
      <c r="GS86" s="18">
        <v>400</v>
      </c>
      <c r="GT86" s="18" t="s">
        <v>356</v>
      </c>
      <c r="GU86" s="18">
        <v>30002</v>
      </c>
      <c r="GV86" s="18" t="s">
        <v>339</v>
      </c>
      <c r="GW86" s="18" t="s">
        <v>339</v>
      </c>
      <c r="GX86" s="18" t="b">
        <v>1</v>
      </c>
      <c r="GY86" s="18">
        <v>3000</v>
      </c>
      <c r="GZ86" s="18" t="b">
        <v>0</v>
      </c>
      <c r="HA86" s="18">
        <v>0</v>
      </c>
      <c r="HB86" s="18">
        <v>0</v>
      </c>
      <c r="HC86" s="18">
        <v>0</v>
      </c>
      <c r="HD86" s="18">
        <v>0</v>
      </c>
      <c r="HE86" s="18" t="b">
        <v>0</v>
      </c>
      <c r="HF86" s="18">
        <v>0</v>
      </c>
      <c r="HG86" s="18">
        <v>10001</v>
      </c>
      <c r="HH86" s="18" t="s">
        <v>339</v>
      </c>
      <c r="HI86" s="18" t="s">
        <v>334</v>
      </c>
      <c r="HJ86" s="18">
        <v>0</v>
      </c>
      <c r="HK86" s="18">
        <v>0</v>
      </c>
      <c r="HL86" s="18">
        <v>0</v>
      </c>
      <c r="HM86" s="18">
        <v>0</v>
      </c>
      <c r="HN86" s="18" t="b">
        <v>0</v>
      </c>
    </row>
    <row r="87" spans="1:222">
      <c r="A87"/>
      <c r="B87" s="29" cm="1">
        <f t="array" ref="B87">10000000+INDEX(编号表!$B$1:$B$112,MATCH(D87,编号表!$A$1:$A$112,0))*10000+I87</f>
        <v>10090001</v>
      </c>
      <c r="C87" s="18" t="s">
        <v>369</v>
      </c>
      <c r="D87" s="18" t="s">
        <v>369</v>
      </c>
      <c r="E87" s="18" t="s">
        <v>322</v>
      </c>
      <c r="F87" s="18" t="s">
        <v>370</v>
      </c>
      <c r="G87" s="18" t="b">
        <v>0</v>
      </c>
      <c r="H87" s="18" t="b">
        <v>0</v>
      </c>
      <c r="I87" s="18">
        <v>1</v>
      </c>
      <c r="J87" s="18">
        <v>100900</v>
      </c>
      <c r="K87" s="18" t="s">
        <v>324</v>
      </c>
      <c r="L87" s="18">
        <v>0</v>
      </c>
      <c r="M87" s="18">
        <v>10090002</v>
      </c>
      <c r="N87" s="18" t="s">
        <v>371</v>
      </c>
      <c r="O87" s="18">
        <v>10202008</v>
      </c>
      <c r="P87" s="18">
        <v>0</v>
      </c>
      <c r="Q87" s="18">
        <v>0</v>
      </c>
      <c r="R87" s="18">
        <v>1</v>
      </c>
      <c r="S87" s="18">
        <v>0</v>
      </c>
      <c r="T87" s="18">
        <v>100</v>
      </c>
      <c r="U87" s="18" t="s">
        <v>338</v>
      </c>
      <c r="V87" s="18">
        <v>700</v>
      </c>
      <c r="W87" s="18">
        <v>700</v>
      </c>
      <c r="X87" s="18" t="s">
        <v>326</v>
      </c>
      <c r="Y87" s="18" t="s">
        <v>327</v>
      </c>
      <c r="Z87" s="18" t="s">
        <v>328</v>
      </c>
      <c r="AA87" s="18">
        <v>0</v>
      </c>
      <c r="AB87" s="18">
        <v>1</v>
      </c>
      <c r="AC87" s="18" t="b">
        <v>0</v>
      </c>
      <c r="AD87" s="18" t="s">
        <v>329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 t="s">
        <v>354</v>
      </c>
      <c r="AZ87" s="18">
        <v>10000</v>
      </c>
      <c r="BA87" s="18" t="s">
        <v>331</v>
      </c>
      <c r="BB87" s="18" t="s">
        <v>328</v>
      </c>
      <c r="BC87" s="18">
        <v>10000</v>
      </c>
      <c r="BD87" s="18">
        <v>0</v>
      </c>
      <c r="BE87" s="18" t="s">
        <v>332</v>
      </c>
      <c r="BF87" s="18">
        <v>0</v>
      </c>
      <c r="BG87" s="18" t="s">
        <v>355</v>
      </c>
      <c r="BH87" s="18">
        <v>11000</v>
      </c>
      <c r="BI87" s="18">
        <v>3</v>
      </c>
      <c r="BJ87" s="18" t="b">
        <v>1</v>
      </c>
      <c r="BK87" s="18">
        <v>0</v>
      </c>
      <c r="BL87" s="18">
        <v>10000</v>
      </c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>
        <v>200</v>
      </c>
      <c r="GS87" s="18">
        <v>400</v>
      </c>
      <c r="GT87" s="18" t="s">
        <v>356</v>
      </c>
      <c r="GU87" s="18">
        <v>30035</v>
      </c>
      <c r="GV87" s="18" t="s">
        <v>339</v>
      </c>
      <c r="GW87" s="18" t="s">
        <v>339</v>
      </c>
      <c r="GX87" s="18" t="b">
        <v>1</v>
      </c>
      <c r="GY87" s="18">
        <v>2800</v>
      </c>
      <c r="GZ87" s="18" t="b">
        <v>0</v>
      </c>
      <c r="HA87" s="18">
        <v>0</v>
      </c>
      <c r="HB87" s="18">
        <v>0</v>
      </c>
      <c r="HC87" s="18">
        <v>0</v>
      </c>
      <c r="HD87" s="18">
        <v>0</v>
      </c>
      <c r="HE87" s="18" t="b">
        <v>0</v>
      </c>
      <c r="HF87" s="18">
        <v>0</v>
      </c>
      <c r="HG87" s="18">
        <v>10001</v>
      </c>
      <c r="HH87" s="18" t="s">
        <v>339</v>
      </c>
      <c r="HI87" s="18" t="s">
        <v>334</v>
      </c>
      <c r="HJ87" s="18">
        <v>0</v>
      </c>
      <c r="HK87" s="18">
        <v>0</v>
      </c>
      <c r="HL87" s="18">
        <v>0</v>
      </c>
      <c r="HM87" s="18">
        <v>0</v>
      </c>
      <c r="HN87" s="18" t="b">
        <v>0</v>
      </c>
    </row>
    <row r="88" spans="1:222">
      <c r="A88"/>
      <c r="B88" s="29" cm="1">
        <f t="array" ref="B88">10000000+INDEX(编号表!$B$1:$B$112,MATCH(D88,编号表!$A$1:$A$112,0))*10000+I88</f>
        <v>10090002</v>
      </c>
      <c r="C88" s="18" t="s">
        <v>369</v>
      </c>
      <c r="D88" s="18" t="s">
        <v>369</v>
      </c>
      <c r="E88" s="18" t="s">
        <v>322</v>
      </c>
      <c r="F88" s="18" t="s">
        <v>370</v>
      </c>
      <c r="G88" s="18" t="b">
        <v>0</v>
      </c>
      <c r="H88" s="18" t="b">
        <v>0</v>
      </c>
      <c r="I88" s="18">
        <v>2</v>
      </c>
      <c r="J88" s="18">
        <v>100900</v>
      </c>
      <c r="K88" s="18" t="s">
        <v>324</v>
      </c>
      <c r="L88" s="18">
        <v>10090001</v>
      </c>
      <c r="M88" s="18">
        <v>10090003</v>
      </c>
      <c r="N88" s="18" t="s">
        <v>371</v>
      </c>
      <c r="O88" s="18">
        <v>10202008</v>
      </c>
      <c r="P88" s="18">
        <v>0</v>
      </c>
      <c r="Q88" s="18">
        <v>1</v>
      </c>
      <c r="R88" s="18">
        <v>7</v>
      </c>
      <c r="S88" s="18">
        <v>0</v>
      </c>
      <c r="T88" s="18">
        <v>100</v>
      </c>
      <c r="U88" s="18" t="s">
        <v>338</v>
      </c>
      <c r="V88" s="18">
        <v>700</v>
      </c>
      <c r="W88" s="18">
        <v>700</v>
      </c>
      <c r="X88" s="18" t="s">
        <v>326</v>
      </c>
      <c r="Y88" s="18" t="s">
        <v>327</v>
      </c>
      <c r="Z88" s="18" t="s">
        <v>328</v>
      </c>
      <c r="AA88" s="18">
        <v>0</v>
      </c>
      <c r="AB88" s="18">
        <v>1</v>
      </c>
      <c r="AC88" s="18" t="b">
        <v>0</v>
      </c>
      <c r="AD88" s="18" t="s">
        <v>329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 t="s">
        <v>354</v>
      </c>
      <c r="AZ88" s="18">
        <v>10400</v>
      </c>
      <c r="BA88" s="18" t="s">
        <v>331</v>
      </c>
      <c r="BB88" s="18" t="s">
        <v>328</v>
      </c>
      <c r="BC88" s="18">
        <v>10000</v>
      </c>
      <c r="BD88" s="18">
        <v>0</v>
      </c>
      <c r="BE88" s="18" t="s">
        <v>332</v>
      </c>
      <c r="BF88" s="18">
        <v>0</v>
      </c>
      <c r="BG88" s="18" t="s">
        <v>355</v>
      </c>
      <c r="BH88" s="18">
        <v>11000</v>
      </c>
      <c r="BI88" s="18">
        <v>4</v>
      </c>
      <c r="BJ88" s="18" t="b">
        <v>1</v>
      </c>
      <c r="BK88" s="18">
        <v>0</v>
      </c>
      <c r="BL88" s="18">
        <v>10000</v>
      </c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>
        <v>200</v>
      </c>
      <c r="GS88" s="18">
        <v>400</v>
      </c>
      <c r="GT88" s="18" t="s">
        <v>356</v>
      </c>
      <c r="GU88" s="18">
        <v>30035</v>
      </c>
      <c r="GV88" s="18" t="s">
        <v>339</v>
      </c>
      <c r="GW88" s="18" t="s">
        <v>339</v>
      </c>
      <c r="GX88" s="18" t="b">
        <v>1</v>
      </c>
      <c r="GY88" s="18">
        <v>2800</v>
      </c>
      <c r="GZ88" s="18" t="b">
        <v>0</v>
      </c>
      <c r="HA88" s="18">
        <v>0</v>
      </c>
      <c r="HB88" s="18">
        <v>0</v>
      </c>
      <c r="HC88" s="18">
        <v>0</v>
      </c>
      <c r="HD88" s="18">
        <v>0</v>
      </c>
      <c r="HE88" s="18" t="b">
        <v>0</v>
      </c>
      <c r="HF88" s="18">
        <v>0</v>
      </c>
      <c r="HG88" s="18">
        <v>10001</v>
      </c>
      <c r="HH88" s="18" t="s">
        <v>339</v>
      </c>
      <c r="HI88" s="18" t="s">
        <v>334</v>
      </c>
      <c r="HJ88" s="18">
        <v>0</v>
      </c>
      <c r="HK88" s="18">
        <v>0</v>
      </c>
      <c r="HL88" s="18">
        <v>0</v>
      </c>
      <c r="HM88" s="18">
        <v>0</v>
      </c>
      <c r="HN88" s="18" t="b">
        <v>0</v>
      </c>
    </row>
    <row r="89" spans="1:222">
      <c r="A89"/>
      <c r="B89" s="29" cm="1">
        <f t="array" ref="B89">10000000+INDEX(编号表!$B$1:$B$112,MATCH(D89,编号表!$A$1:$A$112,0))*10000+I89</f>
        <v>10090003</v>
      </c>
      <c r="C89" s="18" t="s">
        <v>369</v>
      </c>
      <c r="D89" s="18" t="s">
        <v>369</v>
      </c>
      <c r="E89" s="18" t="s">
        <v>322</v>
      </c>
      <c r="F89" s="18" t="s">
        <v>370</v>
      </c>
      <c r="G89" s="18" t="b">
        <v>0</v>
      </c>
      <c r="H89" s="18" t="b">
        <v>0</v>
      </c>
      <c r="I89" s="18">
        <v>3</v>
      </c>
      <c r="J89" s="18">
        <v>100900</v>
      </c>
      <c r="K89" s="18" t="s">
        <v>324</v>
      </c>
      <c r="L89" s="18">
        <v>10090002</v>
      </c>
      <c r="M89" s="18">
        <v>10090004</v>
      </c>
      <c r="N89" s="18" t="s">
        <v>371</v>
      </c>
      <c r="O89" s="18">
        <v>10202008</v>
      </c>
      <c r="P89" s="18">
        <v>0</v>
      </c>
      <c r="Q89" s="18">
        <v>2</v>
      </c>
      <c r="R89" s="18">
        <v>11</v>
      </c>
      <c r="S89" s="18">
        <v>0</v>
      </c>
      <c r="T89" s="18">
        <v>100</v>
      </c>
      <c r="U89" s="18" t="s">
        <v>338</v>
      </c>
      <c r="V89" s="18">
        <v>700</v>
      </c>
      <c r="W89" s="18">
        <v>700</v>
      </c>
      <c r="X89" s="18" t="s">
        <v>326</v>
      </c>
      <c r="Y89" s="18" t="s">
        <v>327</v>
      </c>
      <c r="Z89" s="18" t="s">
        <v>328</v>
      </c>
      <c r="AA89" s="18">
        <v>0</v>
      </c>
      <c r="AB89" s="18">
        <v>1</v>
      </c>
      <c r="AC89" s="18" t="b">
        <v>0</v>
      </c>
      <c r="AD89" s="18" t="s">
        <v>329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 t="s">
        <v>354</v>
      </c>
      <c r="AZ89" s="18">
        <v>10800</v>
      </c>
      <c r="BA89" s="18" t="s">
        <v>331</v>
      </c>
      <c r="BB89" s="18" t="s">
        <v>328</v>
      </c>
      <c r="BC89" s="18">
        <v>10000</v>
      </c>
      <c r="BD89" s="18">
        <v>0</v>
      </c>
      <c r="BE89" s="18" t="s">
        <v>332</v>
      </c>
      <c r="BF89" s="18">
        <v>0</v>
      </c>
      <c r="BG89" s="18" t="s">
        <v>355</v>
      </c>
      <c r="BH89" s="18">
        <v>11000</v>
      </c>
      <c r="BI89" s="18">
        <v>5</v>
      </c>
      <c r="BJ89" s="18" t="b">
        <v>1</v>
      </c>
      <c r="BK89" s="18">
        <v>0</v>
      </c>
      <c r="BL89" s="18">
        <v>10000</v>
      </c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>
        <v>200</v>
      </c>
      <c r="GS89" s="18">
        <v>400</v>
      </c>
      <c r="GT89" s="18" t="s">
        <v>356</v>
      </c>
      <c r="GU89" s="18">
        <v>30035</v>
      </c>
      <c r="GV89" s="18" t="s">
        <v>339</v>
      </c>
      <c r="GW89" s="18" t="s">
        <v>339</v>
      </c>
      <c r="GX89" s="18" t="b">
        <v>1</v>
      </c>
      <c r="GY89" s="18">
        <v>2800</v>
      </c>
      <c r="GZ89" s="18" t="b">
        <v>0</v>
      </c>
      <c r="HA89" s="18">
        <v>0</v>
      </c>
      <c r="HB89" s="18">
        <v>0</v>
      </c>
      <c r="HC89" s="18">
        <v>0</v>
      </c>
      <c r="HD89" s="18">
        <v>0</v>
      </c>
      <c r="HE89" s="18" t="b">
        <v>0</v>
      </c>
      <c r="HF89" s="18">
        <v>0</v>
      </c>
      <c r="HG89" s="18">
        <v>10001</v>
      </c>
      <c r="HH89" s="18" t="s">
        <v>339</v>
      </c>
      <c r="HI89" s="18" t="s">
        <v>334</v>
      </c>
      <c r="HJ89" s="18">
        <v>0</v>
      </c>
      <c r="HK89" s="18">
        <v>0</v>
      </c>
      <c r="HL89" s="18">
        <v>0</v>
      </c>
      <c r="HM89" s="18">
        <v>0</v>
      </c>
      <c r="HN89" s="18" t="b">
        <v>0</v>
      </c>
    </row>
    <row r="90" spans="1:222">
      <c r="A90"/>
      <c r="B90" s="29" cm="1">
        <f t="array" ref="B90">10000000+INDEX(编号表!$B$1:$B$112,MATCH(D90,编号表!$A$1:$A$112,0))*10000+I90</f>
        <v>10090004</v>
      </c>
      <c r="C90" s="18" t="s">
        <v>369</v>
      </c>
      <c r="D90" s="18" t="s">
        <v>369</v>
      </c>
      <c r="E90" s="18" t="s">
        <v>322</v>
      </c>
      <c r="F90" s="18" t="s">
        <v>370</v>
      </c>
      <c r="G90" s="18" t="b">
        <v>0</v>
      </c>
      <c r="H90" s="18" t="b">
        <v>0</v>
      </c>
      <c r="I90" s="18">
        <v>4</v>
      </c>
      <c r="J90" s="18">
        <v>100900</v>
      </c>
      <c r="K90" s="18" t="s">
        <v>324</v>
      </c>
      <c r="L90" s="18">
        <v>10090003</v>
      </c>
      <c r="M90" s="18">
        <v>10090005</v>
      </c>
      <c r="N90" s="18" t="s">
        <v>371</v>
      </c>
      <c r="O90" s="18">
        <v>10202008</v>
      </c>
      <c r="P90" s="18">
        <v>0</v>
      </c>
      <c r="Q90" s="18">
        <v>3</v>
      </c>
      <c r="R90" s="18">
        <v>16</v>
      </c>
      <c r="S90" s="18">
        <v>0</v>
      </c>
      <c r="T90" s="18">
        <v>100</v>
      </c>
      <c r="U90" s="18" t="s">
        <v>338</v>
      </c>
      <c r="V90" s="18">
        <v>700</v>
      </c>
      <c r="W90" s="18">
        <v>700</v>
      </c>
      <c r="X90" s="18" t="s">
        <v>326</v>
      </c>
      <c r="Y90" s="18" t="s">
        <v>327</v>
      </c>
      <c r="Z90" s="18" t="s">
        <v>328</v>
      </c>
      <c r="AA90" s="18">
        <v>0</v>
      </c>
      <c r="AB90" s="18">
        <v>1</v>
      </c>
      <c r="AC90" s="18" t="b">
        <v>0</v>
      </c>
      <c r="AD90" s="18" t="s">
        <v>329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 t="s">
        <v>354</v>
      </c>
      <c r="AZ90" s="18">
        <v>11200</v>
      </c>
      <c r="BA90" s="18" t="s">
        <v>331</v>
      </c>
      <c r="BB90" s="18" t="s">
        <v>328</v>
      </c>
      <c r="BC90" s="18">
        <v>10000</v>
      </c>
      <c r="BD90" s="18">
        <v>0</v>
      </c>
      <c r="BE90" s="18" t="s">
        <v>332</v>
      </c>
      <c r="BF90" s="18">
        <v>0</v>
      </c>
      <c r="BG90" s="18" t="s">
        <v>355</v>
      </c>
      <c r="BH90" s="18">
        <v>11000</v>
      </c>
      <c r="BI90" s="18">
        <v>6</v>
      </c>
      <c r="BJ90" s="18" t="b">
        <v>1</v>
      </c>
      <c r="BK90" s="18">
        <v>0</v>
      </c>
      <c r="BL90" s="18">
        <v>10000</v>
      </c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>
        <v>200</v>
      </c>
      <c r="GS90" s="18">
        <v>400</v>
      </c>
      <c r="GT90" s="18" t="s">
        <v>356</v>
      </c>
      <c r="GU90" s="18">
        <v>30035</v>
      </c>
      <c r="GV90" s="18" t="s">
        <v>339</v>
      </c>
      <c r="GW90" s="18" t="s">
        <v>339</v>
      </c>
      <c r="GX90" s="18" t="b">
        <v>1</v>
      </c>
      <c r="GY90" s="18">
        <v>2800</v>
      </c>
      <c r="GZ90" s="18" t="b">
        <v>0</v>
      </c>
      <c r="HA90" s="18">
        <v>0</v>
      </c>
      <c r="HB90" s="18">
        <v>0</v>
      </c>
      <c r="HC90" s="18">
        <v>0</v>
      </c>
      <c r="HD90" s="18">
        <v>0</v>
      </c>
      <c r="HE90" s="18" t="b">
        <v>0</v>
      </c>
      <c r="HF90" s="18">
        <v>0</v>
      </c>
      <c r="HG90" s="18">
        <v>10001</v>
      </c>
      <c r="HH90" s="18" t="s">
        <v>339</v>
      </c>
      <c r="HI90" s="18" t="s">
        <v>334</v>
      </c>
      <c r="HJ90" s="18">
        <v>0</v>
      </c>
      <c r="HK90" s="18">
        <v>0</v>
      </c>
      <c r="HL90" s="18">
        <v>0</v>
      </c>
      <c r="HM90" s="18">
        <v>0</v>
      </c>
      <c r="HN90" s="18" t="b">
        <v>0</v>
      </c>
    </row>
    <row r="91" spans="1:222">
      <c r="A91"/>
      <c r="B91" s="29" cm="1">
        <f t="array" ref="B91">10000000+INDEX(编号表!$B$1:$B$112,MATCH(D91,编号表!$A$1:$A$112,0))*10000+I91</f>
        <v>10090005</v>
      </c>
      <c r="C91" s="18" t="s">
        <v>369</v>
      </c>
      <c r="D91" s="18" t="s">
        <v>369</v>
      </c>
      <c r="E91" s="18" t="s">
        <v>322</v>
      </c>
      <c r="F91" s="18" t="s">
        <v>370</v>
      </c>
      <c r="G91" s="18" t="b">
        <v>0</v>
      </c>
      <c r="H91" s="18" t="b">
        <v>0</v>
      </c>
      <c r="I91" s="18">
        <v>5</v>
      </c>
      <c r="J91" s="18">
        <v>100900</v>
      </c>
      <c r="K91" s="18" t="s">
        <v>324</v>
      </c>
      <c r="L91" s="18">
        <v>10090004</v>
      </c>
      <c r="M91" s="18">
        <v>10090006</v>
      </c>
      <c r="N91" s="18" t="s">
        <v>371</v>
      </c>
      <c r="O91" s="18">
        <v>10202008</v>
      </c>
      <c r="P91" s="18">
        <v>0</v>
      </c>
      <c r="Q91" s="18">
        <v>3</v>
      </c>
      <c r="R91" s="18">
        <v>25</v>
      </c>
      <c r="S91" s="18">
        <v>0</v>
      </c>
      <c r="T91" s="18">
        <v>100</v>
      </c>
      <c r="U91" s="18" t="s">
        <v>338</v>
      </c>
      <c r="V91" s="18">
        <v>700</v>
      </c>
      <c r="W91" s="18">
        <v>700</v>
      </c>
      <c r="X91" s="18" t="s">
        <v>326</v>
      </c>
      <c r="Y91" s="18" t="s">
        <v>327</v>
      </c>
      <c r="Z91" s="18" t="s">
        <v>328</v>
      </c>
      <c r="AA91" s="18">
        <v>0</v>
      </c>
      <c r="AB91" s="18">
        <v>1</v>
      </c>
      <c r="AC91" s="18" t="b">
        <v>0</v>
      </c>
      <c r="AD91" s="18" t="s">
        <v>329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 t="s">
        <v>354</v>
      </c>
      <c r="AZ91" s="18">
        <v>11300</v>
      </c>
      <c r="BA91" s="18" t="s">
        <v>331</v>
      </c>
      <c r="BB91" s="18" t="s">
        <v>328</v>
      </c>
      <c r="BC91" s="18">
        <v>10000</v>
      </c>
      <c r="BD91" s="18">
        <v>0</v>
      </c>
      <c r="BE91" s="18" t="s">
        <v>332</v>
      </c>
      <c r="BF91" s="18">
        <v>0</v>
      </c>
      <c r="BG91" s="18" t="s">
        <v>355</v>
      </c>
      <c r="BH91" s="18">
        <v>11000</v>
      </c>
      <c r="BI91" s="18">
        <v>6</v>
      </c>
      <c r="BJ91" s="18" t="b">
        <v>1</v>
      </c>
      <c r="BK91" s="18">
        <v>0</v>
      </c>
      <c r="BL91" s="18">
        <v>10000</v>
      </c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>
        <v>200</v>
      </c>
      <c r="GS91" s="18">
        <v>400</v>
      </c>
      <c r="GT91" s="18" t="s">
        <v>356</v>
      </c>
      <c r="GU91" s="18">
        <v>30035</v>
      </c>
      <c r="GV91" s="18" t="s">
        <v>339</v>
      </c>
      <c r="GW91" s="18" t="s">
        <v>339</v>
      </c>
      <c r="GX91" s="18" t="b">
        <v>1</v>
      </c>
      <c r="GY91" s="18">
        <v>2800</v>
      </c>
      <c r="GZ91" s="18" t="b">
        <v>0</v>
      </c>
      <c r="HA91" s="18">
        <v>0</v>
      </c>
      <c r="HB91" s="18">
        <v>0</v>
      </c>
      <c r="HC91" s="18">
        <v>0</v>
      </c>
      <c r="HD91" s="18">
        <v>0</v>
      </c>
      <c r="HE91" s="18" t="b">
        <v>0</v>
      </c>
      <c r="HF91" s="18">
        <v>0</v>
      </c>
      <c r="HG91" s="18">
        <v>10001</v>
      </c>
      <c r="HH91" s="18" t="s">
        <v>339</v>
      </c>
      <c r="HI91" s="18" t="s">
        <v>334</v>
      </c>
      <c r="HJ91" s="18">
        <v>0</v>
      </c>
      <c r="HK91" s="18">
        <v>0</v>
      </c>
      <c r="HL91" s="18">
        <v>0</v>
      </c>
      <c r="HM91" s="18">
        <v>0</v>
      </c>
      <c r="HN91" s="18" t="b">
        <v>0</v>
      </c>
    </row>
    <row r="92" spans="1:222">
      <c r="A92"/>
      <c r="B92" s="29" cm="1">
        <f t="array" ref="B92">10000000+INDEX(编号表!$B$1:$B$112,MATCH(D92,编号表!$A$1:$A$112,0))*10000+I92</f>
        <v>10090006</v>
      </c>
      <c r="C92" s="18" t="s">
        <v>369</v>
      </c>
      <c r="D92" s="18" t="s">
        <v>369</v>
      </c>
      <c r="E92" s="18" t="s">
        <v>322</v>
      </c>
      <c r="F92" s="18" t="s">
        <v>370</v>
      </c>
      <c r="G92" s="18" t="b">
        <v>0</v>
      </c>
      <c r="H92" s="18" t="b">
        <v>0</v>
      </c>
      <c r="I92" s="18">
        <v>6</v>
      </c>
      <c r="J92" s="18">
        <v>100900</v>
      </c>
      <c r="K92" s="18" t="s">
        <v>324</v>
      </c>
      <c r="L92" s="18">
        <v>10090005</v>
      </c>
      <c r="M92" s="18">
        <v>10090007</v>
      </c>
      <c r="N92" s="18" t="s">
        <v>371</v>
      </c>
      <c r="O92" s="18">
        <v>10202008</v>
      </c>
      <c r="P92" s="18">
        <v>0</v>
      </c>
      <c r="Q92" s="18">
        <v>3</v>
      </c>
      <c r="R92" s="18">
        <v>30</v>
      </c>
      <c r="S92" s="18">
        <v>0</v>
      </c>
      <c r="T92" s="18">
        <v>100</v>
      </c>
      <c r="U92" s="18" t="s">
        <v>338</v>
      </c>
      <c r="V92" s="18">
        <v>700</v>
      </c>
      <c r="W92" s="18">
        <v>700</v>
      </c>
      <c r="X92" s="18" t="s">
        <v>326</v>
      </c>
      <c r="Y92" s="18" t="s">
        <v>327</v>
      </c>
      <c r="Z92" s="18" t="s">
        <v>328</v>
      </c>
      <c r="AA92" s="18">
        <v>0</v>
      </c>
      <c r="AB92" s="18">
        <v>1</v>
      </c>
      <c r="AC92" s="18" t="b">
        <v>0</v>
      </c>
      <c r="AD92" s="18" t="s">
        <v>329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 t="s">
        <v>354</v>
      </c>
      <c r="AZ92" s="18">
        <v>11600</v>
      </c>
      <c r="BA92" s="18" t="s">
        <v>331</v>
      </c>
      <c r="BB92" s="18" t="s">
        <v>328</v>
      </c>
      <c r="BC92" s="18">
        <v>10000</v>
      </c>
      <c r="BD92" s="18">
        <v>0</v>
      </c>
      <c r="BE92" s="18" t="s">
        <v>332</v>
      </c>
      <c r="BF92" s="18">
        <v>0</v>
      </c>
      <c r="BG92" s="18" t="s">
        <v>355</v>
      </c>
      <c r="BH92" s="18">
        <v>11000</v>
      </c>
      <c r="BI92" s="18">
        <v>7</v>
      </c>
      <c r="BJ92" s="18" t="b">
        <v>1</v>
      </c>
      <c r="BK92" s="18">
        <v>0</v>
      </c>
      <c r="BL92" s="18">
        <v>10000</v>
      </c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>
        <v>200</v>
      </c>
      <c r="GS92" s="18">
        <v>400</v>
      </c>
      <c r="GT92" s="18" t="s">
        <v>356</v>
      </c>
      <c r="GU92" s="18">
        <v>30035</v>
      </c>
      <c r="GV92" s="18" t="s">
        <v>339</v>
      </c>
      <c r="GW92" s="18" t="s">
        <v>339</v>
      </c>
      <c r="GX92" s="18" t="b">
        <v>1</v>
      </c>
      <c r="GY92" s="18">
        <v>2800</v>
      </c>
      <c r="GZ92" s="18" t="b">
        <v>0</v>
      </c>
      <c r="HA92" s="18">
        <v>0</v>
      </c>
      <c r="HB92" s="18">
        <v>0</v>
      </c>
      <c r="HC92" s="18">
        <v>0</v>
      </c>
      <c r="HD92" s="18">
        <v>0</v>
      </c>
      <c r="HE92" s="18" t="b">
        <v>0</v>
      </c>
      <c r="HF92" s="18">
        <v>0</v>
      </c>
      <c r="HG92" s="18">
        <v>10001</v>
      </c>
      <c r="HH92" s="18" t="s">
        <v>339</v>
      </c>
      <c r="HI92" s="18" t="s">
        <v>334</v>
      </c>
      <c r="HJ92" s="18">
        <v>0</v>
      </c>
      <c r="HK92" s="18">
        <v>0</v>
      </c>
      <c r="HL92" s="18">
        <v>0</v>
      </c>
      <c r="HM92" s="18">
        <v>0</v>
      </c>
      <c r="HN92" s="18" t="b">
        <v>0</v>
      </c>
    </row>
    <row r="93" spans="1:222">
      <c r="A93"/>
      <c r="B93" s="29" cm="1">
        <f t="array" ref="B93">10000000+INDEX(编号表!$B$1:$B$112,MATCH(D93,编号表!$A$1:$A$112,0))*10000+I93</f>
        <v>10090007</v>
      </c>
      <c r="C93" s="18" t="s">
        <v>369</v>
      </c>
      <c r="D93" s="18" t="s">
        <v>369</v>
      </c>
      <c r="E93" s="18" t="s">
        <v>322</v>
      </c>
      <c r="F93" s="18" t="s">
        <v>370</v>
      </c>
      <c r="G93" s="18" t="b">
        <v>0</v>
      </c>
      <c r="H93" s="18" t="b">
        <v>0</v>
      </c>
      <c r="I93" s="18">
        <v>7</v>
      </c>
      <c r="J93" s="18">
        <v>100900</v>
      </c>
      <c r="K93" s="18" t="s">
        <v>324</v>
      </c>
      <c r="L93" s="18">
        <v>10090006</v>
      </c>
      <c r="M93" s="18">
        <v>10090008</v>
      </c>
      <c r="N93" s="18" t="s">
        <v>371</v>
      </c>
      <c r="O93" s="18">
        <v>10202008</v>
      </c>
      <c r="P93" s="18">
        <v>0</v>
      </c>
      <c r="Q93" s="18">
        <v>3</v>
      </c>
      <c r="R93" s="18">
        <v>35</v>
      </c>
      <c r="S93" s="18">
        <v>0</v>
      </c>
      <c r="T93" s="18">
        <v>100</v>
      </c>
      <c r="U93" s="18" t="s">
        <v>338</v>
      </c>
      <c r="V93" s="18">
        <v>700</v>
      </c>
      <c r="W93" s="18">
        <v>700</v>
      </c>
      <c r="X93" s="18" t="s">
        <v>326</v>
      </c>
      <c r="Y93" s="18" t="s">
        <v>327</v>
      </c>
      <c r="Z93" s="18" t="s">
        <v>328</v>
      </c>
      <c r="AA93" s="18">
        <v>0</v>
      </c>
      <c r="AB93" s="18">
        <v>1</v>
      </c>
      <c r="AC93" s="18" t="b">
        <v>0</v>
      </c>
      <c r="AD93" s="18" t="s">
        <v>329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 t="s">
        <v>354</v>
      </c>
      <c r="AZ93" s="18">
        <v>11700</v>
      </c>
      <c r="BA93" s="18" t="s">
        <v>331</v>
      </c>
      <c r="BB93" s="18" t="s">
        <v>328</v>
      </c>
      <c r="BC93" s="18">
        <v>10000</v>
      </c>
      <c r="BD93" s="18">
        <v>0</v>
      </c>
      <c r="BE93" s="18" t="s">
        <v>332</v>
      </c>
      <c r="BF93" s="18">
        <v>0</v>
      </c>
      <c r="BG93" s="18" t="s">
        <v>355</v>
      </c>
      <c r="BH93" s="18">
        <v>11000</v>
      </c>
      <c r="BI93" s="18">
        <v>9</v>
      </c>
      <c r="BJ93" s="18" t="b">
        <v>1</v>
      </c>
      <c r="BK93" s="18">
        <v>0</v>
      </c>
      <c r="BL93" s="18">
        <v>10000</v>
      </c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>
        <v>200</v>
      </c>
      <c r="GS93" s="18">
        <v>400</v>
      </c>
      <c r="GT93" s="18" t="s">
        <v>356</v>
      </c>
      <c r="GU93" s="18">
        <v>30035</v>
      </c>
      <c r="GV93" s="18" t="s">
        <v>339</v>
      </c>
      <c r="GW93" s="18" t="s">
        <v>339</v>
      </c>
      <c r="GX93" s="18" t="b">
        <v>1</v>
      </c>
      <c r="GY93" s="18">
        <v>2800</v>
      </c>
      <c r="GZ93" s="18" t="b">
        <v>0</v>
      </c>
      <c r="HA93" s="18">
        <v>0</v>
      </c>
      <c r="HB93" s="18">
        <v>0</v>
      </c>
      <c r="HC93" s="18">
        <v>0</v>
      </c>
      <c r="HD93" s="18">
        <v>0</v>
      </c>
      <c r="HE93" s="18" t="b">
        <v>0</v>
      </c>
      <c r="HF93" s="18">
        <v>0</v>
      </c>
      <c r="HG93" s="18">
        <v>10001</v>
      </c>
      <c r="HH93" s="18" t="s">
        <v>339</v>
      </c>
      <c r="HI93" s="18" t="s">
        <v>334</v>
      </c>
      <c r="HJ93" s="18">
        <v>0</v>
      </c>
      <c r="HK93" s="18">
        <v>0</v>
      </c>
      <c r="HL93" s="18">
        <v>0</v>
      </c>
      <c r="HM93" s="18">
        <v>0</v>
      </c>
      <c r="HN93" s="18" t="b">
        <v>0</v>
      </c>
    </row>
    <row r="94" spans="1:222">
      <c r="A94"/>
      <c r="B94" s="29" cm="1">
        <f t="array" ref="B94">10000000+INDEX(编号表!$B$1:$B$112,MATCH(D94,编号表!$A$1:$A$112,0))*10000+I94</f>
        <v>10090008</v>
      </c>
      <c r="C94" s="18" t="s">
        <v>369</v>
      </c>
      <c r="D94" s="18" t="s">
        <v>369</v>
      </c>
      <c r="E94" s="18" t="s">
        <v>322</v>
      </c>
      <c r="F94" s="18" t="s">
        <v>370</v>
      </c>
      <c r="G94" s="18" t="b">
        <v>0</v>
      </c>
      <c r="H94" s="18" t="b">
        <v>0</v>
      </c>
      <c r="I94" s="18">
        <v>8</v>
      </c>
      <c r="J94" s="18">
        <v>100900</v>
      </c>
      <c r="K94" s="18" t="s">
        <v>324</v>
      </c>
      <c r="L94" s="18">
        <v>10090007</v>
      </c>
      <c r="M94" s="18">
        <v>10090009</v>
      </c>
      <c r="N94" s="18" t="s">
        <v>371</v>
      </c>
      <c r="O94" s="18">
        <v>10202008</v>
      </c>
      <c r="P94" s="18">
        <v>0</v>
      </c>
      <c r="Q94" s="18">
        <v>3</v>
      </c>
      <c r="R94" s="18">
        <v>35</v>
      </c>
      <c r="S94" s="18">
        <v>0</v>
      </c>
      <c r="T94" s="18">
        <v>100</v>
      </c>
      <c r="U94" s="18" t="s">
        <v>338</v>
      </c>
      <c r="V94" s="18">
        <v>700</v>
      </c>
      <c r="W94" s="18">
        <v>700</v>
      </c>
      <c r="X94" s="18" t="s">
        <v>326</v>
      </c>
      <c r="Y94" s="18" t="s">
        <v>327</v>
      </c>
      <c r="Z94" s="18" t="s">
        <v>328</v>
      </c>
      <c r="AA94" s="18">
        <v>0</v>
      </c>
      <c r="AB94" s="18">
        <v>1</v>
      </c>
      <c r="AC94" s="18" t="b">
        <v>0</v>
      </c>
      <c r="AD94" s="18" t="s">
        <v>329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 t="s">
        <v>354</v>
      </c>
      <c r="AZ94" s="18">
        <v>11800</v>
      </c>
      <c r="BA94" s="18" t="s">
        <v>331</v>
      </c>
      <c r="BB94" s="18" t="s">
        <v>328</v>
      </c>
      <c r="BC94" s="18">
        <v>10000</v>
      </c>
      <c r="BD94" s="18">
        <v>0</v>
      </c>
      <c r="BE94" s="18" t="s">
        <v>332</v>
      </c>
      <c r="BF94" s="18">
        <v>0</v>
      </c>
      <c r="BG94" s="18" t="s">
        <v>355</v>
      </c>
      <c r="BH94" s="18">
        <v>11000</v>
      </c>
      <c r="BI94" s="18">
        <v>10</v>
      </c>
      <c r="BJ94" s="18" t="b">
        <v>1</v>
      </c>
      <c r="BK94" s="18">
        <v>0</v>
      </c>
      <c r="BL94" s="18">
        <v>10000</v>
      </c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>
        <v>200</v>
      </c>
      <c r="GS94" s="18">
        <v>400</v>
      </c>
      <c r="GT94" s="18" t="s">
        <v>356</v>
      </c>
      <c r="GU94" s="18">
        <v>30035</v>
      </c>
      <c r="GV94" s="18" t="s">
        <v>339</v>
      </c>
      <c r="GW94" s="18" t="s">
        <v>339</v>
      </c>
      <c r="GX94" s="18" t="b">
        <v>1</v>
      </c>
      <c r="GY94" s="18">
        <v>2800</v>
      </c>
      <c r="GZ94" s="18" t="b">
        <v>0</v>
      </c>
      <c r="HA94" s="18">
        <v>0</v>
      </c>
      <c r="HB94" s="18">
        <v>0</v>
      </c>
      <c r="HC94" s="18">
        <v>0</v>
      </c>
      <c r="HD94" s="18">
        <v>0</v>
      </c>
      <c r="HE94" s="18" t="b">
        <v>0</v>
      </c>
      <c r="HF94" s="18">
        <v>0</v>
      </c>
      <c r="HG94" s="18">
        <v>10001</v>
      </c>
      <c r="HH94" s="18" t="s">
        <v>339</v>
      </c>
      <c r="HI94" s="18" t="s">
        <v>334</v>
      </c>
      <c r="HJ94" s="18">
        <v>0</v>
      </c>
      <c r="HK94" s="18">
        <v>0</v>
      </c>
      <c r="HL94" s="18">
        <v>0</v>
      </c>
      <c r="HM94" s="18">
        <v>0</v>
      </c>
      <c r="HN94" s="18" t="b">
        <v>0</v>
      </c>
    </row>
    <row r="95" spans="1:222">
      <c r="A95"/>
      <c r="B95" s="29" cm="1">
        <f t="array" ref="B95">10000000+INDEX(编号表!$B$1:$B$112,MATCH(D95,编号表!$A$1:$A$112,0))*10000+I95</f>
        <v>10090009</v>
      </c>
      <c r="C95" s="18" t="s">
        <v>369</v>
      </c>
      <c r="D95" s="18" t="s">
        <v>369</v>
      </c>
      <c r="E95" s="18" t="s">
        <v>322</v>
      </c>
      <c r="F95" s="18" t="s">
        <v>370</v>
      </c>
      <c r="G95" s="18" t="b">
        <v>0</v>
      </c>
      <c r="H95" s="18" t="b">
        <v>0</v>
      </c>
      <c r="I95" s="18">
        <v>9</v>
      </c>
      <c r="J95" s="18">
        <v>100900</v>
      </c>
      <c r="K95" s="18" t="s">
        <v>324</v>
      </c>
      <c r="L95" s="18">
        <v>10090008</v>
      </c>
      <c r="M95" s="18">
        <v>10090010</v>
      </c>
      <c r="N95" s="18" t="s">
        <v>371</v>
      </c>
      <c r="O95" s="18">
        <v>10202008</v>
      </c>
      <c r="P95" s="18">
        <v>0</v>
      </c>
      <c r="Q95" s="18">
        <v>3</v>
      </c>
      <c r="R95" s="18">
        <v>40</v>
      </c>
      <c r="S95" s="18">
        <v>0</v>
      </c>
      <c r="T95" s="18">
        <v>100</v>
      </c>
      <c r="U95" s="18" t="s">
        <v>338</v>
      </c>
      <c r="V95" s="18">
        <v>700</v>
      </c>
      <c r="W95" s="18">
        <v>700</v>
      </c>
      <c r="X95" s="18" t="s">
        <v>326</v>
      </c>
      <c r="Y95" s="18" t="s">
        <v>327</v>
      </c>
      <c r="Z95" s="18" t="s">
        <v>328</v>
      </c>
      <c r="AA95" s="18">
        <v>0</v>
      </c>
      <c r="AB95" s="18">
        <v>1</v>
      </c>
      <c r="AC95" s="18" t="b">
        <v>0</v>
      </c>
      <c r="AD95" s="18" t="s">
        <v>329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 t="s">
        <v>354</v>
      </c>
      <c r="AZ95" s="18">
        <v>11900</v>
      </c>
      <c r="BA95" s="18" t="s">
        <v>331</v>
      </c>
      <c r="BB95" s="18" t="s">
        <v>328</v>
      </c>
      <c r="BC95" s="18">
        <v>10000</v>
      </c>
      <c r="BD95" s="18">
        <v>0</v>
      </c>
      <c r="BE95" s="18" t="s">
        <v>332</v>
      </c>
      <c r="BF95" s="18">
        <v>0</v>
      </c>
      <c r="BG95" s="18" t="s">
        <v>355</v>
      </c>
      <c r="BH95" s="18">
        <v>11000</v>
      </c>
      <c r="BI95" s="18">
        <v>12</v>
      </c>
      <c r="BJ95" s="18" t="b">
        <v>1</v>
      </c>
      <c r="BK95" s="18">
        <v>0</v>
      </c>
      <c r="BL95" s="18">
        <v>10000</v>
      </c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>
        <v>200</v>
      </c>
      <c r="GS95" s="18">
        <v>400</v>
      </c>
      <c r="GT95" s="18" t="s">
        <v>356</v>
      </c>
      <c r="GU95" s="18">
        <v>30035</v>
      </c>
      <c r="GV95" s="18" t="s">
        <v>339</v>
      </c>
      <c r="GW95" s="18" t="s">
        <v>339</v>
      </c>
      <c r="GX95" s="18" t="b">
        <v>1</v>
      </c>
      <c r="GY95" s="18">
        <v>2800</v>
      </c>
      <c r="GZ95" s="18" t="b">
        <v>0</v>
      </c>
      <c r="HA95" s="18">
        <v>0</v>
      </c>
      <c r="HB95" s="18">
        <v>0</v>
      </c>
      <c r="HC95" s="18">
        <v>0</v>
      </c>
      <c r="HD95" s="18">
        <v>0</v>
      </c>
      <c r="HE95" s="18" t="b">
        <v>0</v>
      </c>
      <c r="HF95" s="18">
        <v>0</v>
      </c>
      <c r="HG95" s="18">
        <v>10001</v>
      </c>
      <c r="HH95" s="18" t="s">
        <v>339</v>
      </c>
      <c r="HI95" s="18" t="s">
        <v>334</v>
      </c>
      <c r="HJ95" s="18">
        <v>0</v>
      </c>
      <c r="HK95" s="18">
        <v>0</v>
      </c>
      <c r="HL95" s="18">
        <v>0</v>
      </c>
      <c r="HM95" s="18">
        <v>0</v>
      </c>
      <c r="HN95" s="18" t="b">
        <v>0</v>
      </c>
    </row>
    <row r="96" spans="1:222">
      <c r="A96"/>
      <c r="B96" s="29" cm="1">
        <f t="array" ref="B96">10000000+INDEX(编号表!$B$1:$B$112,MATCH(D96,编号表!$A$1:$A$112,0))*10000+I96</f>
        <v>10090010</v>
      </c>
      <c r="C96" s="18" t="s">
        <v>369</v>
      </c>
      <c r="D96" s="18" t="s">
        <v>369</v>
      </c>
      <c r="E96" s="18" t="s">
        <v>322</v>
      </c>
      <c r="F96" s="18" t="s">
        <v>370</v>
      </c>
      <c r="G96" s="18" t="b">
        <v>0</v>
      </c>
      <c r="H96" s="18" t="b">
        <v>0</v>
      </c>
      <c r="I96" s="18">
        <v>10</v>
      </c>
      <c r="J96" s="18">
        <v>100900</v>
      </c>
      <c r="K96" s="18" t="s">
        <v>324</v>
      </c>
      <c r="L96" s="18">
        <v>10090009</v>
      </c>
      <c r="M96" s="18">
        <v>0</v>
      </c>
      <c r="N96" s="18" t="s">
        <v>371</v>
      </c>
      <c r="O96" s="18">
        <v>10202008</v>
      </c>
      <c r="P96" s="18">
        <v>0</v>
      </c>
      <c r="Q96" s="18">
        <v>3</v>
      </c>
      <c r="R96" s="18">
        <v>40</v>
      </c>
      <c r="S96" s="18">
        <v>0</v>
      </c>
      <c r="T96" s="18">
        <v>0</v>
      </c>
      <c r="U96" s="18" t="s">
        <v>338</v>
      </c>
      <c r="V96" s="18">
        <v>700</v>
      </c>
      <c r="W96" s="18">
        <v>700</v>
      </c>
      <c r="X96" s="18" t="s">
        <v>326</v>
      </c>
      <c r="Y96" s="18" t="s">
        <v>327</v>
      </c>
      <c r="Z96" s="18" t="s">
        <v>328</v>
      </c>
      <c r="AA96" s="18">
        <v>0</v>
      </c>
      <c r="AB96" s="18">
        <v>1</v>
      </c>
      <c r="AC96" s="18" t="b">
        <v>0</v>
      </c>
      <c r="AD96" s="18" t="s">
        <v>329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 t="s">
        <v>354</v>
      </c>
      <c r="AZ96" s="18">
        <v>12000</v>
      </c>
      <c r="BA96" s="18" t="s">
        <v>331</v>
      </c>
      <c r="BB96" s="18" t="s">
        <v>328</v>
      </c>
      <c r="BC96" s="18">
        <v>10000</v>
      </c>
      <c r="BD96" s="18">
        <v>0</v>
      </c>
      <c r="BE96" s="18" t="s">
        <v>332</v>
      </c>
      <c r="BF96" s="18">
        <v>0</v>
      </c>
      <c r="BG96" s="18" t="s">
        <v>355</v>
      </c>
      <c r="BH96" s="18">
        <v>11000</v>
      </c>
      <c r="BI96" s="18">
        <v>15</v>
      </c>
      <c r="BJ96" s="18" t="b">
        <v>1</v>
      </c>
      <c r="BK96" s="18">
        <v>0</v>
      </c>
      <c r="BL96" s="18">
        <v>10000</v>
      </c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>
        <v>200</v>
      </c>
      <c r="GS96" s="18">
        <v>400</v>
      </c>
      <c r="GT96" s="18" t="s">
        <v>356</v>
      </c>
      <c r="GU96" s="18">
        <v>30035</v>
      </c>
      <c r="GV96" s="18" t="s">
        <v>339</v>
      </c>
      <c r="GW96" s="18" t="s">
        <v>339</v>
      </c>
      <c r="GX96" s="18" t="b">
        <v>1</v>
      </c>
      <c r="GY96" s="18">
        <v>2800</v>
      </c>
      <c r="GZ96" s="18" t="b">
        <v>0</v>
      </c>
      <c r="HA96" s="18">
        <v>0</v>
      </c>
      <c r="HB96" s="18">
        <v>0</v>
      </c>
      <c r="HC96" s="18">
        <v>0</v>
      </c>
      <c r="HD96" s="18">
        <v>0</v>
      </c>
      <c r="HE96" s="18" t="b">
        <v>0</v>
      </c>
      <c r="HF96" s="18">
        <v>0</v>
      </c>
      <c r="HG96" s="18">
        <v>10001</v>
      </c>
      <c r="HH96" s="18" t="s">
        <v>339</v>
      </c>
      <c r="HI96" s="18" t="s">
        <v>334</v>
      </c>
      <c r="HJ96" s="18">
        <v>0</v>
      </c>
      <c r="HK96" s="18">
        <v>0</v>
      </c>
      <c r="HL96" s="18">
        <v>0</v>
      </c>
      <c r="HM96" s="18">
        <v>0</v>
      </c>
      <c r="HN96" s="18" t="b">
        <v>0</v>
      </c>
    </row>
    <row r="97" spans="1:222">
      <c r="A97"/>
      <c r="B97" s="29" cm="1">
        <f t="array" ref="B97">10000000+INDEX(编号表!$B$1:$B$112,MATCH(D97,编号表!$A$1:$A$112,0))*10000+I97</f>
        <v>10100001</v>
      </c>
      <c r="C97" s="18" t="s">
        <v>372</v>
      </c>
      <c r="D97" s="18" t="s">
        <v>372</v>
      </c>
      <c r="E97" s="18" t="s">
        <v>322</v>
      </c>
      <c r="F97" s="18" t="s">
        <v>373</v>
      </c>
      <c r="G97" s="18" t="b">
        <v>0</v>
      </c>
      <c r="H97" s="18" t="b">
        <v>0</v>
      </c>
      <c r="I97" s="18">
        <v>1</v>
      </c>
      <c r="J97" s="18">
        <v>101000</v>
      </c>
      <c r="K97" s="18" t="s">
        <v>324</v>
      </c>
      <c r="L97" s="18">
        <v>0</v>
      </c>
      <c r="M97" s="18">
        <v>10100002</v>
      </c>
      <c r="N97" s="18" t="s">
        <v>374</v>
      </c>
      <c r="O97" s="18">
        <v>10202009</v>
      </c>
      <c r="P97" s="18">
        <v>0</v>
      </c>
      <c r="Q97" s="18">
        <v>0</v>
      </c>
      <c r="R97" s="18">
        <v>1</v>
      </c>
      <c r="S97" s="18">
        <v>0</v>
      </c>
      <c r="T97" s="18">
        <v>100</v>
      </c>
      <c r="U97" s="18" t="s">
        <v>338</v>
      </c>
      <c r="V97" s="18">
        <v>750</v>
      </c>
      <c r="W97" s="18">
        <v>750</v>
      </c>
      <c r="X97" s="18" t="s">
        <v>326</v>
      </c>
      <c r="Y97" s="18" t="s">
        <v>327</v>
      </c>
      <c r="Z97" s="18" t="s">
        <v>328</v>
      </c>
      <c r="AA97" s="18">
        <v>0</v>
      </c>
      <c r="AB97" s="18">
        <v>1</v>
      </c>
      <c r="AC97" s="18" t="b">
        <v>0</v>
      </c>
      <c r="AD97" s="18" t="s">
        <v>329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 t="s">
        <v>354</v>
      </c>
      <c r="AZ97" s="18">
        <v>10000</v>
      </c>
      <c r="BA97" s="18" t="s">
        <v>331</v>
      </c>
      <c r="BB97" s="18" t="s">
        <v>328</v>
      </c>
      <c r="BC97" s="18">
        <v>10000</v>
      </c>
      <c r="BD97" s="18">
        <v>0</v>
      </c>
      <c r="BE97" s="18" t="s">
        <v>332</v>
      </c>
      <c r="BF97" s="18">
        <v>0</v>
      </c>
      <c r="BG97" s="18" t="s">
        <v>355</v>
      </c>
      <c r="BH97" s="18">
        <v>12000</v>
      </c>
      <c r="BI97" s="18">
        <v>3</v>
      </c>
      <c r="BJ97" s="18" t="b">
        <v>1</v>
      </c>
      <c r="BK97" s="18">
        <v>0</v>
      </c>
      <c r="BL97" s="18">
        <v>10000</v>
      </c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>
        <v>200</v>
      </c>
      <c r="GS97" s="18">
        <v>400</v>
      </c>
      <c r="GT97" s="18" t="s">
        <v>356</v>
      </c>
      <c r="GU97" s="18">
        <v>30014</v>
      </c>
      <c r="GV97" s="18" t="s">
        <v>339</v>
      </c>
      <c r="GW97" s="18" t="s">
        <v>339</v>
      </c>
      <c r="GX97" s="18" t="b">
        <v>1</v>
      </c>
      <c r="GY97" s="18">
        <v>3200</v>
      </c>
      <c r="GZ97" s="18" t="b">
        <v>0</v>
      </c>
      <c r="HA97" s="18">
        <v>0</v>
      </c>
      <c r="HB97" s="18">
        <v>0</v>
      </c>
      <c r="HC97" s="18">
        <v>0</v>
      </c>
      <c r="HD97" s="18">
        <v>0</v>
      </c>
      <c r="HE97" s="18" t="b">
        <v>0</v>
      </c>
      <c r="HF97" s="18">
        <v>0</v>
      </c>
      <c r="HG97" s="18">
        <v>10001</v>
      </c>
      <c r="HH97" s="18" t="s">
        <v>339</v>
      </c>
      <c r="HI97" s="18" t="s">
        <v>334</v>
      </c>
      <c r="HJ97" s="18">
        <v>0</v>
      </c>
      <c r="HK97" s="18">
        <v>0</v>
      </c>
      <c r="HL97" s="18">
        <v>0</v>
      </c>
      <c r="HM97" s="18">
        <v>0</v>
      </c>
      <c r="HN97" s="18" t="b">
        <v>0</v>
      </c>
    </row>
    <row r="98" spans="1:222">
      <c r="A98"/>
      <c r="B98" s="29" cm="1">
        <f t="array" ref="B98">10000000+INDEX(编号表!$B$1:$B$112,MATCH(D98,编号表!$A$1:$A$112,0))*10000+I98</f>
        <v>10100002</v>
      </c>
      <c r="C98" s="18" t="s">
        <v>372</v>
      </c>
      <c r="D98" s="18" t="s">
        <v>372</v>
      </c>
      <c r="E98" s="18" t="s">
        <v>322</v>
      </c>
      <c r="F98" s="18" t="s">
        <v>373</v>
      </c>
      <c r="G98" s="18" t="b">
        <v>0</v>
      </c>
      <c r="H98" s="18" t="b">
        <v>0</v>
      </c>
      <c r="I98" s="18">
        <v>2</v>
      </c>
      <c r="J98" s="18">
        <v>101000</v>
      </c>
      <c r="K98" s="18" t="s">
        <v>324</v>
      </c>
      <c r="L98" s="18">
        <v>10100001</v>
      </c>
      <c r="M98" s="18">
        <v>10100003</v>
      </c>
      <c r="N98" s="18" t="s">
        <v>374</v>
      </c>
      <c r="O98" s="18">
        <v>10202009</v>
      </c>
      <c r="P98" s="18">
        <v>0</v>
      </c>
      <c r="Q98" s="18">
        <v>1</v>
      </c>
      <c r="R98" s="18">
        <v>7</v>
      </c>
      <c r="S98" s="18">
        <v>0</v>
      </c>
      <c r="T98" s="18">
        <v>100</v>
      </c>
      <c r="U98" s="18" t="s">
        <v>338</v>
      </c>
      <c r="V98" s="18">
        <v>750</v>
      </c>
      <c r="W98" s="18">
        <v>750</v>
      </c>
      <c r="X98" s="18" t="s">
        <v>326</v>
      </c>
      <c r="Y98" s="18" t="s">
        <v>327</v>
      </c>
      <c r="Z98" s="18" t="s">
        <v>328</v>
      </c>
      <c r="AA98" s="18">
        <v>0</v>
      </c>
      <c r="AB98" s="18">
        <v>1</v>
      </c>
      <c r="AC98" s="18" t="b">
        <v>0</v>
      </c>
      <c r="AD98" s="18" t="s">
        <v>329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 t="s">
        <v>354</v>
      </c>
      <c r="AZ98" s="18">
        <v>10400</v>
      </c>
      <c r="BA98" s="18" t="s">
        <v>331</v>
      </c>
      <c r="BB98" s="18" t="s">
        <v>328</v>
      </c>
      <c r="BC98" s="18">
        <v>10000</v>
      </c>
      <c r="BD98" s="18">
        <v>0</v>
      </c>
      <c r="BE98" s="18" t="s">
        <v>332</v>
      </c>
      <c r="BF98" s="18">
        <v>0</v>
      </c>
      <c r="BG98" s="18" t="s">
        <v>355</v>
      </c>
      <c r="BH98" s="18">
        <v>12000</v>
      </c>
      <c r="BI98" s="18">
        <v>4</v>
      </c>
      <c r="BJ98" s="18" t="b">
        <v>1</v>
      </c>
      <c r="BK98" s="18">
        <v>0</v>
      </c>
      <c r="BL98" s="18">
        <v>10000</v>
      </c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>
        <v>200</v>
      </c>
      <c r="GS98" s="18">
        <v>400</v>
      </c>
      <c r="GT98" s="18" t="s">
        <v>356</v>
      </c>
      <c r="GU98" s="18">
        <v>30014</v>
      </c>
      <c r="GV98" s="18" t="s">
        <v>339</v>
      </c>
      <c r="GW98" s="18" t="s">
        <v>339</v>
      </c>
      <c r="GX98" s="18" t="b">
        <v>1</v>
      </c>
      <c r="GY98" s="18">
        <v>3200</v>
      </c>
      <c r="GZ98" s="18" t="b">
        <v>0</v>
      </c>
      <c r="HA98" s="18">
        <v>0</v>
      </c>
      <c r="HB98" s="18">
        <v>0</v>
      </c>
      <c r="HC98" s="18">
        <v>0</v>
      </c>
      <c r="HD98" s="18">
        <v>0</v>
      </c>
      <c r="HE98" s="18" t="b">
        <v>0</v>
      </c>
      <c r="HF98" s="18">
        <v>0</v>
      </c>
      <c r="HG98" s="18">
        <v>10001</v>
      </c>
      <c r="HH98" s="18" t="s">
        <v>339</v>
      </c>
      <c r="HI98" s="18" t="s">
        <v>334</v>
      </c>
      <c r="HJ98" s="18">
        <v>0</v>
      </c>
      <c r="HK98" s="18">
        <v>0</v>
      </c>
      <c r="HL98" s="18">
        <v>0</v>
      </c>
      <c r="HM98" s="18">
        <v>0</v>
      </c>
      <c r="HN98" s="18" t="b">
        <v>0</v>
      </c>
    </row>
    <row r="99" spans="1:222">
      <c r="A99"/>
      <c r="B99" s="29" cm="1">
        <f t="array" ref="B99">10000000+INDEX(编号表!$B$1:$B$112,MATCH(D99,编号表!$A$1:$A$112,0))*10000+I99</f>
        <v>10100003</v>
      </c>
      <c r="C99" s="18" t="s">
        <v>372</v>
      </c>
      <c r="D99" s="18" t="s">
        <v>372</v>
      </c>
      <c r="E99" s="18" t="s">
        <v>322</v>
      </c>
      <c r="F99" s="18" t="s">
        <v>373</v>
      </c>
      <c r="G99" s="18" t="b">
        <v>0</v>
      </c>
      <c r="H99" s="18" t="b">
        <v>0</v>
      </c>
      <c r="I99" s="18">
        <v>3</v>
      </c>
      <c r="J99" s="18">
        <v>101000</v>
      </c>
      <c r="K99" s="18" t="s">
        <v>324</v>
      </c>
      <c r="L99" s="18">
        <v>10100002</v>
      </c>
      <c r="M99" s="18">
        <v>10100004</v>
      </c>
      <c r="N99" s="18" t="s">
        <v>374</v>
      </c>
      <c r="O99" s="18">
        <v>10202009</v>
      </c>
      <c r="P99" s="18">
        <v>0</v>
      </c>
      <c r="Q99" s="18">
        <v>2</v>
      </c>
      <c r="R99" s="18">
        <v>11</v>
      </c>
      <c r="S99" s="18">
        <v>0</v>
      </c>
      <c r="T99" s="18">
        <v>100</v>
      </c>
      <c r="U99" s="18" t="s">
        <v>338</v>
      </c>
      <c r="V99" s="18">
        <v>750</v>
      </c>
      <c r="W99" s="18">
        <v>750</v>
      </c>
      <c r="X99" s="18" t="s">
        <v>326</v>
      </c>
      <c r="Y99" s="18" t="s">
        <v>327</v>
      </c>
      <c r="Z99" s="18" t="s">
        <v>328</v>
      </c>
      <c r="AA99" s="18">
        <v>0</v>
      </c>
      <c r="AB99" s="18">
        <v>1</v>
      </c>
      <c r="AC99" s="18" t="b">
        <v>0</v>
      </c>
      <c r="AD99" s="18" t="s">
        <v>329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 t="s">
        <v>354</v>
      </c>
      <c r="AZ99" s="18">
        <v>10800</v>
      </c>
      <c r="BA99" s="18" t="s">
        <v>331</v>
      </c>
      <c r="BB99" s="18" t="s">
        <v>328</v>
      </c>
      <c r="BC99" s="18">
        <v>10000</v>
      </c>
      <c r="BD99" s="18">
        <v>0</v>
      </c>
      <c r="BE99" s="18" t="s">
        <v>332</v>
      </c>
      <c r="BF99" s="18">
        <v>0</v>
      </c>
      <c r="BG99" s="18" t="s">
        <v>355</v>
      </c>
      <c r="BH99" s="18">
        <v>12000</v>
      </c>
      <c r="BI99" s="18">
        <v>5</v>
      </c>
      <c r="BJ99" s="18" t="b">
        <v>1</v>
      </c>
      <c r="BK99" s="18">
        <v>0</v>
      </c>
      <c r="BL99" s="18">
        <v>10000</v>
      </c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>
        <v>200</v>
      </c>
      <c r="GS99" s="18">
        <v>400</v>
      </c>
      <c r="GT99" s="18" t="s">
        <v>356</v>
      </c>
      <c r="GU99" s="18">
        <v>30014</v>
      </c>
      <c r="GV99" s="18" t="s">
        <v>339</v>
      </c>
      <c r="GW99" s="18" t="s">
        <v>339</v>
      </c>
      <c r="GX99" s="18" t="b">
        <v>1</v>
      </c>
      <c r="GY99" s="18">
        <v>3200</v>
      </c>
      <c r="GZ99" s="18" t="b">
        <v>0</v>
      </c>
      <c r="HA99" s="18">
        <v>0</v>
      </c>
      <c r="HB99" s="18">
        <v>0</v>
      </c>
      <c r="HC99" s="18">
        <v>0</v>
      </c>
      <c r="HD99" s="18">
        <v>0</v>
      </c>
      <c r="HE99" s="18" t="b">
        <v>0</v>
      </c>
      <c r="HF99" s="18">
        <v>0</v>
      </c>
      <c r="HG99" s="18">
        <v>10001</v>
      </c>
      <c r="HH99" s="18" t="s">
        <v>339</v>
      </c>
      <c r="HI99" s="18" t="s">
        <v>334</v>
      </c>
      <c r="HJ99" s="18">
        <v>0</v>
      </c>
      <c r="HK99" s="18">
        <v>0</v>
      </c>
      <c r="HL99" s="18">
        <v>0</v>
      </c>
      <c r="HM99" s="18">
        <v>0</v>
      </c>
      <c r="HN99" s="18" t="b">
        <v>0</v>
      </c>
    </row>
    <row r="100" spans="1:222">
      <c r="A100"/>
      <c r="B100" s="29" cm="1">
        <f t="array" ref="B100">10000000+INDEX(编号表!$B$1:$B$112,MATCH(D100,编号表!$A$1:$A$112,0))*10000+I100</f>
        <v>10100004</v>
      </c>
      <c r="C100" s="18" t="s">
        <v>372</v>
      </c>
      <c r="D100" s="18" t="s">
        <v>372</v>
      </c>
      <c r="E100" s="18" t="s">
        <v>322</v>
      </c>
      <c r="F100" s="18" t="s">
        <v>373</v>
      </c>
      <c r="G100" s="18" t="b">
        <v>0</v>
      </c>
      <c r="H100" s="18" t="b">
        <v>0</v>
      </c>
      <c r="I100" s="18">
        <v>4</v>
      </c>
      <c r="J100" s="18">
        <v>101000</v>
      </c>
      <c r="K100" s="18" t="s">
        <v>324</v>
      </c>
      <c r="L100" s="18">
        <v>10100003</v>
      </c>
      <c r="M100" s="18">
        <v>10100005</v>
      </c>
      <c r="N100" s="18" t="s">
        <v>374</v>
      </c>
      <c r="O100" s="18">
        <v>10202009</v>
      </c>
      <c r="P100" s="18">
        <v>0</v>
      </c>
      <c r="Q100" s="18">
        <v>3</v>
      </c>
      <c r="R100" s="18">
        <v>16</v>
      </c>
      <c r="S100" s="18">
        <v>0</v>
      </c>
      <c r="T100" s="18">
        <v>100</v>
      </c>
      <c r="U100" s="18" t="s">
        <v>338</v>
      </c>
      <c r="V100" s="18">
        <v>750</v>
      </c>
      <c r="W100" s="18">
        <v>750</v>
      </c>
      <c r="X100" s="18" t="s">
        <v>326</v>
      </c>
      <c r="Y100" s="18" t="s">
        <v>327</v>
      </c>
      <c r="Z100" s="18" t="s">
        <v>328</v>
      </c>
      <c r="AA100" s="18">
        <v>0</v>
      </c>
      <c r="AB100" s="18">
        <v>1</v>
      </c>
      <c r="AC100" s="18" t="b">
        <v>0</v>
      </c>
      <c r="AD100" s="18" t="s">
        <v>329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 t="s">
        <v>354</v>
      </c>
      <c r="AZ100" s="18">
        <v>11200</v>
      </c>
      <c r="BA100" s="18" t="s">
        <v>331</v>
      </c>
      <c r="BB100" s="18" t="s">
        <v>328</v>
      </c>
      <c r="BC100" s="18">
        <v>10000</v>
      </c>
      <c r="BD100" s="18">
        <v>0</v>
      </c>
      <c r="BE100" s="18" t="s">
        <v>332</v>
      </c>
      <c r="BF100" s="18">
        <v>0</v>
      </c>
      <c r="BG100" s="18" t="s">
        <v>355</v>
      </c>
      <c r="BH100" s="18">
        <v>12000</v>
      </c>
      <c r="BI100" s="18">
        <v>6</v>
      </c>
      <c r="BJ100" s="18" t="b">
        <v>1</v>
      </c>
      <c r="BK100" s="18">
        <v>0</v>
      </c>
      <c r="BL100" s="18">
        <v>10000</v>
      </c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>
        <v>200</v>
      </c>
      <c r="GS100" s="18">
        <v>400</v>
      </c>
      <c r="GT100" s="18" t="s">
        <v>356</v>
      </c>
      <c r="GU100" s="18">
        <v>30014</v>
      </c>
      <c r="GV100" s="18" t="s">
        <v>339</v>
      </c>
      <c r="GW100" s="18" t="s">
        <v>339</v>
      </c>
      <c r="GX100" s="18" t="b">
        <v>1</v>
      </c>
      <c r="GY100" s="18">
        <v>3200</v>
      </c>
      <c r="GZ100" s="18" t="b">
        <v>0</v>
      </c>
      <c r="HA100" s="18">
        <v>0</v>
      </c>
      <c r="HB100" s="18">
        <v>0</v>
      </c>
      <c r="HC100" s="18">
        <v>0</v>
      </c>
      <c r="HD100" s="18">
        <v>0</v>
      </c>
      <c r="HE100" s="18" t="b">
        <v>0</v>
      </c>
      <c r="HF100" s="18">
        <v>0</v>
      </c>
      <c r="HG100" s="18">
        <v>10001</v>
      </c>
      <c r="HH100" s="18" t="s">
        <v>339</v>
      </c>
      <c r="HI100" s="18" t="s">
        <v>334</v>
      </c>
      <c r="HJ100" s="18">
        <v>0</v>
      </c>
      <c r="HK100" s="18">
        <v>0</v>
      </c>
      <c r="HL100" s="18">
        <v>0</v>
      </c>
      <c r="HM100" s="18">
        <v>0</v>
      </c>
      <c r="HN100" s="18" t="b">
        <v>0</v>
      </c>
    </row>
    <row r="101" spans="1:222">
      <c r="A101"/>
      <c r="B101" s="29" cm="1">
        <f t="array" ref="B101">10000000+INDEX(编号表!$B$1:$B$112,MATCH(D101,编号表!$A$1:$A$112,0))*10000+I101</f>
        <v>10100005</v>
      </c>
      <c r="C101" s="18" t="s">
        <v>372</v>
      </c>
      <c r="D101" s="18" t="s">
        <v>372</v>
      </c>
      <c r="E101" s="18" t="s">
        <v>322</v>
      </c>
      <c r="F101" s="18" t="s">
        <v>373</v>
      </c>
      <c r="G101" s="18" t="b">
        <v>0</v>
      </c>
      <c r="H101" s="18" t="b">
        <v>0</v>
      </c>
      <c r="I101" s="18">
        <v>5</v>
      </c>
      <c r="J101" s="18">
        <v>101000</v>
      </c>
      <c r="K101" s="18" t="s">
        <v>324</v>
      </c>
      <c r="L101" s="18">
        <v>10100004</v>
      </c>
      <c r="M101" s="18">
        <v>10100006</v>
      </c>
      <c r="N101" s="18" t="s">
        <v>374</v>
      </c>
      <c r="O101" s="18">
        <v>10202009</v>
      </c>
      <c r="P101" s="18">
        <v>0</v>
      </c>
      <c r="Q101" s="18">
        <v>3</v>
      </c>
      <c r="R101" s="18">
        <v>25</v>
      </c>
      <c r="S101" s="18">
        <v>0</v>
      </c>
      <c r="T101" s="18">
        <v>100</v>
      </c>
      <c r="U101" s="18" t="s">
        <v>338</v>
      </c>
      <c r="V101" s="18">
        <v>750</v>
      </c>
      <c r="W101" s="18">
        <v>750</v>
      </c>
      <c r="X101" s="18" t="s">
        <v>326</v>
      </c>
      <c r="Y101" s="18" t="s">
        <v>327</v>
      </c>
      <c r="Z101" s="18" t="s">
        <v>328</v>
      </c>
      <c r="AA101" s="18">
        <v>0</v>
      </c>
      <c r="AB101" s="18">
        <v>1</v>
      </c>
      <c r="AC101" s="18" t="b">
        <v>0</v>
      </c>
      <c r="AD101" s="18" t="s">
        <v>329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 t="s">
        <v>354</v>
      </c>
      <c r="AZ101" s="18">
        <v>11300</v>
      </c>
      <c r="BA101" s="18" t="s">
        <v>331</v>
      </c>
      <c r="BB101" s="18" t="s">
        <v>328</v>
      </c>
      <c r="BC101" s="18">
        <v>10000</v>
      </c>
      <c r="BD101" s="18">
        <v>0</v>
      </c>
      <c r="BE101" s="18" t="s">
        <v>332</v>
      </c>
      <c r="BF101" s="18">
        <v>0</v>
      </c>
      <c r="BG101" s="18" t="s">
        <v>355</v>
      </c>
      <c r="BH101" s="18">
        <v>12000</v>
      </c>
      <c r="BI101" s="18">
        <v>6</v>
      </c>
      <c r="BJ101" s="18" t="b">
        <v>1</v>
      </c>
      <c r="BK101" s="18">
        <v>0</v>
      </c>
      <c r="BL101" s="18">
        <v>10000</v>
      </c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>
        <v>200</v>
      </c>
      <c r="GS101" s="18">
        <v>400</v>
      </c>
      <c r="GT101" s="18" t="s">
        <v>356</v>
      </c>
      <c r="GU101" s="18">
        <v>30014</v>
      </c>
      <c r="GV101" s="18" t="s">
        <v>339</v>
      </c>
      <c r="GW101" s="18" t="s">
        <v>339</v>
      </c>
      <c r="GX101" s="18" t="b">
        <v>1</v>
      </c>
      <c r="GY101" s="18">
        <v>3200</v>
      </c>
      <c r="GZ101" s="18" t="b">
        <v>0</v>
      </c>
      <c r="HA101" s="18">
        <v>0</v>
      </c>
      <c r="HB101" s="18">
        <v>0</v>
      </c>
      <c r="HC101" s="18">
        <v>0</v>
      </c>
      <c r="HD101" s="18">
        <v>0</v>
      </c>
      <c r="HE101" s="18" t="b">
        <v>0</v>
      </c>
      <c r="HF101" s="18">
        <v>0</v>
      </c>
      <c r="HG101" s="18">
        <v>10001</v>
      </c>
      <c r="HH101" s="18" t="s">
        <v>339</v>
      </c>
      <c r="HI101" s="18" t="s">
        <v>334</v>
      </c>
      <c r="HJ101" s="18">
        <v>0</v>
      </c>
      <c r="HK101" s="18">
        <v>0</v>
      </c>
      <c r="HL101" s="18">
        <v>0</v>
      </c>
      <c r="HM101" s="18">
        <v>0</v>
      </c>
      <c r="HN101" s="18" t="b">
        <v>0</v>
      </c>
    </row>
    <row r="102" spans="1:222">
      <c r="A102"/>
      <c r="B102" s="29" cm="1">
        <f t="array" ref="B102">10000000+INDEX(编号表!$B$1:$B$112,MATCH(D102,编号表!$A$1:$A$112,0))*10000+I102</f>
        <v>10100006</v>
      </c>
      <c r="C102" s="18" t="s">
        <v>372</v>
      </c>
      <c r="D102" s="18" t="s">
        <v>372</v>
      </c>
      <c r="E102" s="18" t="s">
        <v>322</v>
      </c>
      <c r="F102" s="18" t="s">
        <v>373</v>
      </c>
      <c r="G102" s="18" t="b">
        <v>0</v>
      </c>
      <c r="H102" s="18" t="b">
        <v>0</v>
      </c>
      <c r="I102" s="18">
        <v>6</v>
      </c>
      <c r="J102" s="18">
        <v>101000</v>
      </c>
      <c r="K102" s="18" t="s">
        <v>324</v>
      </c>
      <c r="L102" s="18">
        <v>10100005</v>
      </c>
      <c r="M102" s="18">
        <v>10100007</v>
      </c>
      <c r="N102" s="18" t="s">
        <v>374</v>
      </c>
      <c r="O102" s="18">
        <v>10202009</v>
      </c>
      <c r="P102" s="18">
        <v>0</v>
      </c>
      <c r="Q102" s="18">
        <v>3</v>
      </c>
      <c r="R102" s="18">
        <v>30</v>
      </c>
      <c r="S102" s="18">
        <v>0</v>
      </c>
      <c r="T102" s="18">
        <v>100</v>
      </c>
      <c r="U102" s="18" t="s">
        <v>338</v>
      </c>
      <c r="V102" s="18">
        <v>750</v>
      </c>
      <c r="W102" s="18">
        <v>750</v>
      </c>
      <c r="X102" s="18" t="s">
        <v>326</v>
      </c>
      <c r="Y102" s="18" t="s">
        <v>327</v>
      </c>
      <c r="Z102" s="18" t="s">
        <v>328</v>
      </c>
      <c r="AA102" s="18">
        <v>0</v>
      </c>
      <c r="AB102" s="18">
        <v>1</v>
      </c>
      <c r="AC102" s="18" t="b">
        <v>0</v>
      </c>
      <c r="AD102" s="18" t="s">
        <v>329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 t="s">
        <v>354</v>
      </c>
      <c r="AZ102" s="18">
        <v>11600</v>
      </c>
      <c r="BA102" s="18" t="s">
        <v>331</v>
      </c>
      <c r="BB102" s="18" t="s">
        <v>328</v>
      </c>
      <c r="BC102" s="18">
        <v>10000</v>
      </c>
      <c r="BD102" s="18">
        <v>0</v>
      </c>
      <c r="BE102" s="18" t="s">
        <v>332</v>
      </c>
      <c r="BF102" s="18">
        <v>0</v>
      </c>
      <c r="BG102" s="18" t="s">
        <v>355</v>
      </c>
      <c r="BH102" s="18">
        <v>12000</v>
      </c>
      <c r="BI102" s="18">
        <v>7</v>
      </c>
      <c r="BJ102" s="18" t="b">
        <v>1</v>
      </c>
      <c r="BK102" s="18">
        <v>0</v>
      </c>
      <c r="BL102" s="18">
        <v>10000</v>
      </c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>
        <v>200</v>
      </c>
      <c r="GS102" s="18">
        <v>400</v>
      </c>
      <c r="GT102" s="18" t="s">
        <v>356</v>
      </c>
      <c r="GU102" s="18">
        <v>30014</v>
      </c>
      <c r="GV102" s="18" t="s">
        <v>339</v>
      </c>
      <c r="GW102" s="18" t="s">
        <v>339</v>
      </c>
      <c r="GX102" s="18" t="b">
        <v>1</v>
      </c>
      <c r="GY102" s="18">
        <v>3200</v>
      </c>
      <c r="GZ102" s="18" t="b">
        <v>0</v>
      </c>
      <c r="HA102" s="18">
        <v>0</v>
      </c>
      <c r="HB102" s="18">
        <v>0</v>
      </c>
      <c r="HC102" s="18">
        <v>0</v>
      </c>
      <c r="HD102" s="18">
        <v>0</v>
      </c>
      <c r="HE102" s="18" t="b">
        <v>0</v>
      </c>
      <c r="HF102" s="18">
        <v>0</v>
      </c>
      <c r="HG102" s="18">
        <v>10001</v>
      </c>
      <c r="HH102" s="18" t="s">
        <v>339</v>
      </c>
      <c r="HI102" s="18" t="s">
        <v>334</v>
      </c>
      <c r="HJ102" s="18">
        <v>0</v>
      </c>
      <c r="HK102" s="18">
        <v>0</v>
      </c>
      <c r="HL102" s="18">
        <v>0</v>
      </c>
      <c r="HM102" s="18">
        <v>0</v>
      </c>
      <c r="HN102" s="18" t="b">
        <v>0</v>
      </c>
    </row>
    <row r="103" spans="1:222">
      <c r="A103"/>
      <c r="B103" s="29" cm="1">
        <f t="array" ref="B103">10000000+INDEX(编号表!$B$1:$B$112,MATCH(D103,编号表!$A$1:$A$112,0))*10000+I103</f>
        <v>10100007</v>
      </c>
      <c r="C103" s="18" t="s">
        <v>372</v>
      </c>
      <c r="D103" s="18" t="s">
        <v>372</v>
      </c>
      <c r="E103" s="18" t="s">
        <v>322</v>
      </c>
      <c r="F103" s="18" t="s">
        <v>373</v>
      </c>
      <c r="G103" s="18" t="b">
        <v>0</v>
      </c>
      <c r="H103" s="18" t="b">
        <v>0</v>
      </c>
      <c r="I103" s="18">
        <v>7</v>
      </c>
      <c r="J103" s="18">
        <v>101000</v>
      </c>
      <c r="K103" s="18" t="s">
        <v>324</v>
      </c>
      <c r="L103" s="18">
        <v>10100006</v>
      </c>
      <c r="M103" s="18">
        <v>10100008</v>
      </c>
      <c r="N103" s="18" t="s">
        <v>374</v>
      </c>
      <c r="O103" s="18">
        <v>10202009</v>
      </c>
      <c r="P103" s="18">
        <v>0</v>
      </c>
      <c r="Q103" s="18">
        <v>3</v>
      </c>
      <c r="R103" s="18">
        <v>35</v>
      </c>
      <c r="S103" s="18">
        <v>0</v>
      </c>
      <c r="T103" s="18">
        <v>100</v>
      </c>
      <c r="U103" s="18" t="s">
        <v>338</v>
      </c>
      <c r="V103" s="18">
        <v>750</v>
      </c>
      <c r="W103" s="18">
        <v>750</v>
      </c>
      <c r="X103" s="18" t="s">
        <v>326</v>
      </c>
      <c r="Y103" s="18" t="s">
        <v>327</v>
      </c>
      <c r="Z103" s="18" t="s">
        <v>328</v>
      </c>
      <c r="AA103" s="18">
        <v>0</v>
      </c>
      <c r="AB103" s="18">
        <v>1</v>
      </c>
      <c r="AC103" s="18" t="b">
        <v>0</v>
      </c>
      <c r="AD103" s="18" t="s">
        <v>329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 t="s">
        <v>354</v>
      </c>
      <c r="AZ103" s="18">
        <v>11700</v>
      </c>
      <c r="BA103" s="18" t="s">
        <v>331</v>
      </c>
      <c r="BB103" s="18" t="s">
        <v>328</v>
      </c>
      <c r="BC103" s="18">
        <v>10000</v>
      </c>
      <c r="BD103" s="18">
        <v>0</v>
      </c>
      <c r="BE103" s="18" t="s">
        <v>332</v>
      </c>
      <c r="BF103" s="18">
        <v>0</v>
      </c>
      <c r="BG103" s="18" t="s">
        <v>355</v>
      </c>
      <c r="BH103" s="18">
        <v>12000</v>
      </c>
      <c r="BI103" s="18">
        <v>9</v>
      </c>
      <c r="BJ103" s="18" t="b">
        <v>1</v>
      </c>
      <c r="BK103" s="18">
        <v>0</v>
      </c>
      <c r="BL103" s="18">
        <v>10000</v>
      </c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>
        <v>200</v>
      </c>
      <c r="GS103" s="18">
        <v>400</v>
      </c>
      <c r="GT103" s="18" t="s">
        <v>356</v>
      </c>
      <c r="GU103" s="18">
        <v>30014</v>
      </c>
      <c r="GV103" s="18" t="s">
        <v>339</v>
      </c>
      <c r="GW103" s="18" t="s">
        <v>339</v>
      </c>
      <c r="GX103" s="18" t="b">
        <v>1</v>
      </c>
      <c r="GY103" s="18">
        <v>3200</v>
      </c>
      <c r="GZ103" s="18" t="b">
        <v>0</v>
      </c>
      <c r="HA103" s="18">
        <v>0</v>
      </c>
      <c r="HB103" s="18">
        <v>0</v>
      </c>
      <c r="HC103" s="18">
        <v>0</v>
      </c>
      <c r="HD103" s="18">
        <v>0</v>
      </c>
      <c r="HE103" s="18" t="b">
        <v>0</v>
      </c>
      <c r="HF103" s="18">
        <v>0</v>
      </c>
      <c r="HG103" s="18">
        <v>10001</v>
      </c>
      <c r="HH103" s="18" t="s">
        <v>339</v>
      </c>
      <c r="HI103" s="18" t="s">
        <v>334</v>
      </c>
      <c r="HJ103" s="18">
        <v>0</v>
      </c>
      <c r="HK103" s="18">
        <v>0</v>
      </c>
      <c r="HL103" s="18">
        <v>0</v>
      </c>
      <c r="HM103" s="18">
        <v>0</v>
      </c>
      <c r="HN103" s="18" t="b">
        <v>0</v>
      </c>
    </row>
    <row r="104" spans="1:222">
      <c r="A104"/>
      <c r="B104" s="29" cm="1">
        <f t="array" ref="B104">10000000+INDEX(编号表!$B$1:$B$112,MATCH(D104,编号表!$A$1:$A$112,0))*10000+I104</f>
        <v>10100008</v>
      </c>
      <c r="C104" s="18" t="s">
        <v>372</v>
      </c>
      <c r="D104" s="18" t="s">
        <v>372</v>
      </c>
      <c r="E104" s="18" t="s">
        <v>322</v>
      </c>
      <c r="F104" s="18" t="s">
        <v>373</v>
      </c>
      <c r="G104" s="18" t="b">
        <v>0</v>
      </c>
      <c r="H104" s="18" t="b">
        <v>0</v>
      </c>
      <c r="I104" s="18">
        <v>8</v>
      </c>
      <c r="J104" s="18">
        <v>101000</v>
      </c>
      <c r="K104" s="18" t="s">
        <v>324</v>
      </c>
      <c r="L104" s="18">
        <v>10100007</v>
      </c>
      <c r="M104" s="18">
        <v>10100009</v>
      </c>
      <c r="N104" s="18" t="s">
        <v>374</v>
      </c>
      <c r="O104" s="18">
        <v>10202009</v>
      </c>
      <c r="P104" s="18">
        <v>0</v>
      </c>
      <c r="Q104" s="18">
        <v>3</v>
      </c>
      <c r="R104" s="18">
        <v>35</v>
      </c>
      <c r="S104" s="18">
        <v>0</v>
      </c>
      <c r="T104" s="18">
        <v>100</v>
      </c>
      <c r="U104" s="18" t="s">
        <v>338</v>
      </c>
      <c r="V104" s="18">
        <v>750</v>
      </c>
      <c r="W104" s="18">
        <v>750</v>
      </c>
      <c r="X104" s="18" t="s">
        <v>326</v>
      </c>
      <c r="Y104" s="18" t="s">
        <v>327</v>
      </c>
      <c r="Z104" s="18" t="s">
        <v>328</v>
      </c>
      <c r="AA104" s="18">
        <v>0</v>
      </c>
      <c r="AB104" s="18">
        <v>1</v>
      </c>
      <c r="AC104" s="18" t="b">
        <v>0</v>
      </c>
      <c r="AD104" s="18" t="s">
        <v>329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 t="s">
        <v>354</v>
      </c>
      <c r="AZ104" s="18">
        <v>11800</v>
      </c>
      <c r="BA104" s="18" t="s">
        <v>331</v>
      </c>
      <c r="BB104" s="18" t="s">
        <v>328</v>
      </c>
      <c r="BC104" s="18">
        <v>10000</v>
      </c>
      <c r="BD104" s="18">
        <v>0</v>
      </c>
      <c r="BE104" s="18" t="s">
        <v>332</v>
      </c>
      <c r="BF104" s="18">
        <v>0</v>
      </c>
      <c r="BG104" s="18" t="s">
        <v>355</v>
      </c>
      <c r="BH104" s="18">
        <v>12000</v>
      </c>
      <c r="BI104" s="18">
        <v>10</v>
      </c>
      <c r="BJ104" s="18" t="b">
        <v>1</v>
      </c>
      <c r="BK104" s="18">
        <v>0</v>
      </c>
      <c r="BL104" s="18">
        <v>10000</v>
      </c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>
        <v>200</v>
      </c>
      <c r="GS104" s="18">
        <v>400</v>
      </c>
      <c r="GT104" s="18" t="s">
        <v>356</v>
      </c>
      <c r="GU104" s="18">
        <v>30014</v>
      </c>
      <c r="GV104" s="18" t="s">
        <v>339</v>
      </c>
      <c r="GW104" s="18" t="s">
        <v>339</v>
      </c>
      <c r="GX104" s="18" t="b">
        <v>1</v>
      </c>
      <c r="GY104" s="18">
        <v>3200</v>
      </c>
      <c r="GZ104" s="18" t="b">
        <v>0</v>
      </c>
      <c r="HA104" s="18">
        <v>0</v>
      </c>
      <c r="HB104" s="18">
        <v>0</v>
      </c>
      <c r="HC104" s="18">
        <v>0</v>
      </c>
      <c r="HD104" s="18">
        <v>0</v>
      </c>
      <c r="HE104" s="18" t="b">
        <v>0</v>
      </c>
      <c r="HF104" s="18">
        <v>0</v>
      </c>
      <c r="HG104" s="18">
        <v>10001</v>
      </c>
      <c r="HH104" s="18" t="s">
        <v>339</v>
      </c>
      <c r="HI104" s="18" t="s">
        <v>334</v>
      </c>
      <c r="HJ104" s="18">
        <v>0</v>
      </c>
      <c r="HK104" s="18">
        <v>0</v>
      </c>
      <c r="HL104" s="18">
        <v>0</v>
      </c>
      <c r="HM104" s="18">
        <v>0</v>
      </c>
      <c r="HN104" s="18" t="b">
        <v>0</v>
      </c>
    </row>
    <row r="105" spans="1:222">
      <c r="A105"/>
      <c r="B105" s="29" cm="1">
        <f t="array" ref="B105">10000000+INDEX(编号表!$B$1:$B$112,MATCH(D105,编号表!$A$1:$A$112,0))*10000+I105</f>
        <v>10100009</v>
      </c>
      <c r="C105" s="18" t="s">
        <v>372</v>
      </c>
      <c r="D105" s="18" t="s">
        <v>372</v>
      </c>
      <c r="E105" s="18" t="s">
        <v>322</v>
      </c>
      <c r="F105" s="18" t="s">
        <v>373</v>
      </c>
      <c r="G105" s="18" t="b">
        <v>0</v>
      </c>
      <c r="H105" s="18" t="b">
        <v>0</v>
      </c>
      <c r="I105" s="18">
        <v>9</v>
      </c>
      <c r="J105" s="18">
        <v>101000</v>
      </c>
      <c r="K105" s="18" t="s">
        <v>324</v>
      </c>
      <c r="L105" s="18">
        <v>10100008</v>
      </c>
      <c r="M105" s="18">
        <v>10100010</v>
      </c>
      <c r="N105" s="18" t="s">
        <v>374</v>
      </c>
      <c r="O105" s="18">
        <v>10202009</v>
      </c>
      <c r="P105" s="18">
        <v>0</v>
      </c>
      <c r="Q105" s="18">
        <v>3</v>
      </c>
      <c r="R105" s="18">
        <v>40</v>
      </c>
      <c r="S105" s="18">
        <v>0</v>
      </c>
      <c r="T105" s="18">
        <v>100</v>
      </c>
      <c r="U105" s="18" t="s">
        <v>338</v>
      </c>
      <c r="V105" s="18">
        <v>750</v>
      </c>
      <c r="W105" s="18">
        <v>750</v>
      </c>
      <c r="X105" s="18" t="s">
        <v>326</v>
      </c>
      <c r="Y105" s="18" t="s">
        <v>327</v>
      </c>
      <c r="Z105" s="18" t="s">
        <v>328</v>
      </c>
      <c r="AA105" s="18">
        <v>0</v>
      </c>
      <c r="AB105" s="18">
        <v>1</v>
      </c>
      <c r="AC105" s="18" t="b">
        <v>0</v>
      </c>
      <c r="AD105" s="18" t="s">
        <v>329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 t="s">
        <v>354</v>
      </c>
      <c r="AZ105" s="18">
        <v>11900</v>
      </c>
      <c r="BA105" s="18" t="s">
        <v>331</v>
      </c>
      <c r="BB105" s="18" t="s">
        <v>328</v>
      </c>
      <c r="BC105" s="18">
        <v>10000</v>
      </c>
      <c r="BD105" s="18">
        <v>0</v>
      </c>
      <c r="BE105" s="18" t="s">
        <v>332</v>
      </c>
      <c r="BF105" s="18">
        <v>0</v>
      </c>
      <c r="BG105" s="18" t="s">
        <v>355</v>
      </c>
      <c r="BH105" s="18">
        <v>12000</v>
      </c>
      <c r="BI105" s="18">
        <v>12</v>
      </c>
      <c r="BJ105" s="18" t="b">
        <v>1</v>
      </c>
      <c r="BK105" s="18">
        <v>0</v>
      </c>
      <c r="BL105" s="18">
        <v>10000</v>
      </c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>
        <v>200</v>
      </c>
      <c r="GS105" s="18">
        <v>400</v>
      </c>
      <c r="GT105" s="18" t="s">
        <v>356</v>
      </c>
      <c r="GU105" s="18">
        <v>30014</v>
      </c>
      <c r="GV105" s="18" t="s">
        <v>339</v>
      </c>
      <c r="GW105" s="18" t="s">
        <v>339</v>
      </c>
      <c r="GX105" s="18" t="b">
        <v>1</v>
      </c>
      <c r="GY105" s="18">
        <v>3200</v>
      </c>
      <c r="GZ105" s="18" t="b">
        <v>0</v>
      </c>
      <c r="HA105" s="18">
        <v>0</v>
      </c>
      <c r="HB105" s="18">
        <v>0</v>
      </c>
      <c r="HC105" s="18">
        <v>0</v>
      </c>
      <c r="HD105" s="18">
        <v>0</v>
      </c>
      <c r="HE105" s="18" t="b">
        <v>0</v>
      </c>
      <c r="HF105" s="18">
        <v>0</v>
      </c>
      <c r="HG105" s="18">
        <v>10001</v>
      </c>
      <c r="HH105" s="18" t="s">
        <v>339</v>
      </c>
      <c r="HI105" s="18" t="s">
        <v>334</v>
      </c>
      <c r="HJ105" s="18">
        <v>0</v>
      </c>
      <c r="HK105" s="18">
        <v>0</v>
      </c>
      <c r="HL105" s="18">
        <v>0</v>
      </c>
      <c r="HM105" s="18">
        <v>0</v>
      </c>
      <c r="HN105" s="18" t="b">
        <v>0</v>
      </c>
    </row>
    <row r="106" spans="1:222">
      <c r="A106"/>
      <c r="B106" s="29" cm="1">
        <f t="array" ref="B106">10000000+INDEX(编号表!$B$1:$B$112,MATCH(D106,编号表!$A$1:$A$112,0))*10000+I106</f>
        <v>10100010</v>
      </c>
      <c r="C106" s="18" t="s">
        <v>372</v>
      </c>
      <c r="D106" s="18" t="s">
        <v>372</v>
      </c>
      <c r="E106" s="18" t="s">
        <v>322</v>
      </c>
      <c r="F106" s="18" t="s">
        <v>373</v>
      </c>
      <c r="G106" s="18" t="b">
        <v>0</v>
      </c>
      <c r="H106" s="18" t="b">
        <v>0</v>
      </c>
      <c r="I106" s="18">
        <v>10</v>
      </c>
      <c r="J106" s="18">
        <v>101000</v>
      </c>
      <c r="K106" s="18" t="s">
        <v>324</v>
      </c>
      <c r="L106" s="18">
        <v>10100009</v>
      </c>
      <c r="M106" s="18">
        <v>0</v>
      </c>
      <c r="N106" s="18" t="s">
        <v>374</v>
      </c>
      <c r="O106" s="18">
        <v>10202009</v>
      </c>
      <c r="P106" s="18">
        <v>0</v>
      </c>
      <c r="Q106" s="18">
        <v>3</v>
      </c>
      <c r="R106" s="18">
        <v>40</v>
      </c>
      <c r="S106" s="18">
        <v>0</v>
      </c>
      <c r="T106" s="18">
        <v>0</v>
      </c>
      <c r="U106" s="18" t="s">
        <v>338</v>
      </c>
      <c r="V106" s="18">
        <v>750</v>
      </c>
      <c r="W106" s="18">
        <v>750</v>
      </c>
      <c r="X106" s="18" t="s">
        <v>326</v>
      </c>
      <c r="Y106" s="18" t="s">
        <v>327</v>
      </c>
      <c r="Z106" s="18" t="s">
        <v>328</v>
      </c>
      <c r="AA106" s="18">
        <v>0</v>
      </c>
      <c r="AB106" s="18">
        <v>1</v>
      </c>
      <c r="AC106" s="18" t="b">
        <v>0</v>
      </c>
      <c r="AD106" s="18" t="s">
        <v>329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 t="s">
        <v>354</v>
      </c>
      <c r="AZ106" s="18">
        <v>12000</v>
      </c>
      <c r="BA106" s="18" t="s">
        <v>331</v>
      </c>
      <c r="BB106" s="18" t="s">
        <v>328</v>
      </c>
      <c r="BC106" s="18">
        <v>10000</v>
      </c>
      <c r="BD106" s="18">
        <v>0</v>
      </c>
      <c r="BE106" s="18" t="s">
        <v>332</v>
      </c>
      <c r="BF106" s="18">
        <v>0</v>
      </c>
      <c r="BG106" s="18" t="s">
        <v>355</v>
      </c>
      <c r="BH106" s="18">
        <v>12000</v>
      </c>
      <c r="BI106" s="18">
        <v>15</v>
      </c>
      <c r="BJ106" s="18" t="b">
        <v>1</v>
      </c>
      <c r="BK106" s="18">
        <v>0</v>
      </c>
      <c r="BL106" s="18">
        <v>10000</v>
      </c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>
        <v>200</v>
      </c>
      <c r="GS106" s="18">
        <v>400</v>
      </c>
      <c r="GT106" s="18" t="s">
        <v>356</v>
      </c>
      <c r="GU106" s="18">
        <v>30014</v>
      </c>
      <c r="GV106" s="18" t="s">
        <v>339</v>
      </c>
      <c r="GW106" s="18" t="s">
        <v>339</v>
      </c>
      <c r="GX106" s="18" t="b">
        <v>1</v>
      </c>
      <c r="GY106" s="18">
        <v>3200</v>
      </c>
      <c r="GZ106" s="18" t="b">
        <v>0</v>
      </c>
      <c r="HA106" s="18">
        <v>0</v>
      </c>
      <c r="HB106" s="18">
        <v>0</v>
      </c>
      <c r="HC106" s="18">
        <v>0</v>
      </c>
      <c r="HD106" s="18">
        <v>0</v>
      </c>
      <c r="HE106" s="18" t="b">
        <v>0</v>
      </c>
      <c r="HF106" s="18">
        <v>0</v>
      </c>
      <c r="HG106" s="18">
        <v>10001</v>
      </c>
      <c r="HH106" s="18" t="s">
        <v>339</v>
      </c>
      <c r="HI106" s="18" t="s">
        <v>334</v>
      </c>
      <c r="HJ106" s="18">
        <v>0</v>
      </c>
      <c r="HK106" s="18">
        <v>0</v>
      </c>
      <c r="HL106" s="18">
        <v>0</v>
      </c>
      <c r="HM106" s="18">
        <v>0</v>
      </c>
      <c r="HN106" s="18" t="b">
        <v>0</v>
      </c>
    </row>
    <row r="107" spans="1:222">
      <c r="A107"/>
      <c r="B107" s="29" cm="1">
        <f t="array" ref="B107">10000000+INDEX(编号表!$B$1:$B$112,MATCH(D107,编号表!$A$1:$A$112,0))*10000+I107</f>
        <v>10110001</v>
      </c>
      <c r="C107" s="18" t="s">
        <v>375</v>
      </c>
      <c r="D107" s="18" t="s">
        <v>375</v>
      </c>
      <c r="E107" s="18" t="s">
        <v>322</v>
      </c>
      <c r="F107" s="18" t="s">
        <v>364</v>
      </c>
      <c r="G107" s="18" t="b">
        <v>0</v>
      </c>
      <c r="H107" s="18" t="b">
        <v>0</v>
      </c>
      <c r="I107" s="18">
        <v>1</v>
      </c>
      <c r="J107" s="18">
        <v>101100</v>
      </c>
      <c r="K107" s="18" t="s">
        <v>324</v>
      </c>
      <c r="L107" s="18">
        <v>0</v>
      </c>
      <c r="M107" s="18">
        <v>10110002</v>
      </c>
      <c r="N107" s="18" t="s">
        <v>376</v>
      </c>
      <c r="O107" s="18">
        <v>10202010</v>
      </c>
      <c r="P107" s="18">
        <v>0</v>
      </c>
      <c r="Q107" s="18">
        <v>0</v>
      </c>
      <c r="R107" s="18">
        <v>1</v>
      </c>
      <c r="S107" s="18">
        <v>0</v>
      </c>
      <c r="T107" s="18">
        <v>100</v>
      </c>
      <c r="U107" s="18" t="s">
        <v>338</v>
      </c>
      <c r="V107" s="18">
        <v>650</v>
      </c>
      <c r="W107" s="18">
        <v>0</v>
      </c>
      <c r="X107" s="18" t="s">
        <v>377</v>
      </c>
      <c r="Y107" s="18" t="s">
        <v>378</v>
      </c>
      <c r="Z107" s="18" t="s">
        <v>328</v>
      </c>
      <c r="AA107" s="18">
        <v>0</v>
      </c>
      <c r="AB107" s="18">
        <v>12</v>
      </c>
      <c r="AC107" s="18" t="b">
        <v>0</v>
      </c>
      <c r="AD107" s="18" t="s">
        <v>329</v>
      </c>
      <c r="AE107" s="18">
        <v>320</v>
      </c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 t="s">
        <v>354</v>
      </c>
      <c r="AZ107" s="18">
        <v>10000</v>
      </c>
      <c r="BA107" s="18" t="s">
        <v>331</v>
      </c>
      <c r="BB107" s="18" t="s">
        <v>328</v>
      </c>
      <c r="BC107" s="18">
        <v>10000</v>
      </c>
      <c r="BD107" s="18">
        <v>0</v>
      </c>
      <c r="BE107" s="18" t="s">
        <v>332</v>
      </c>
      <c r="BF107" s="18">
        <v>0</v>
      </c>
      <c r="BG107" s="18" t="s">
        <v>355</v>
      </c>
      <c r="BH107" s="18">
        <v>8500</v>
      </c>
      <c r="BI107" s="18">
        <v>3</v>
      </c>
      <c r="BJ107" s="18" t="b">
        <v>1</v>
      </c>
      <c r="BK107" s="18">
        <v>0</v>
      </c>
      <c r="BL107" s="18">
        <v>6000</v>
      </c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>
        <v>200</v>
      </c>
      <c r="GS107" s="18">
        <v>400</v>
      </c>
      <c r="GT107" s="18" t="s">
        <v>356</v>
      </c>
      <c r="GU107" s="18">
        <v>30015</v>
      </c>
      <c r="GV107" s="18" t="s">
        <v>339</v>
      </c>
      <c r="GW107" s="18" t="s">
        <v>339</v>
      </c>
      <c r="GX107" s="18" t="b">
        <v>1</v>
      </c>
      <c r="GY107" s="18">
        <v>5000</v>
      </c>
      <c r="GZ107" s="18" t="b">
        <v>0</v>
      </c>
      <c r="HA107" s="18">
        <v>0</v>
      </c>
      <c r="HB107" s="18">
        <v>0</v>
      </c>
      <c r="HC107" s="18">
        <v>0</v>
      </c>
      <c r="HD107" s="18">
        <v>0</v>
      </c>
      <c r="HE107" s="18" t="b">
        <v>0</v>
      </c>
      <c r="HF107" s="18">
        <v>0</v>
      </c>
      <c r="HG107" s="18">
        <v>10001</v>
      </c>
      <c r="HH107" s="18" t="s">
        <v>339</v>
      </c>
      <c r="HI107" s="18" t="s">
        <v>334</v>
      </c>
      <c r="HJ107" s="18">
        <v>0</v>
      </c>
      <c r="HK107" s="18">
        <v>0</v>
      </c>
      <c r="HL107" s="18">
        <v>0</v>
      </c>
      <c r="HM107" s="18">
        <v>0</v>
      </c>
      <c r="HN107" s="18" t="b">
        <v>0</v>
      </c>
    </row>
    <row r="108" spans="1:222">
      <c r="A108"/>
      <c r="B108" s="29" cm="1">
        <f t="array" ref="B108">10000000+INDEX(编号表!$B$1:$B$112,MATCH(D108,编号表!$A$1:$A$112,0))*10000+I108</f>
        <v>10110002</v>
      </c>
      <c r="C108" s="18" t="s">
        <v>375</v>
      </c>
      <c r="D108" s="18" t="s">
        <v>375</v>
      </c>
      <c r="E108" s="18" t="s">
        <v>322</v>
      </c>
      <c r="F108" s="18" t="s">
        <v>364</v>
      </c>
      <c r="G108" s="18" t="b">
        <v>0</v>
      </c>
      <c r="H108" s="18" t="b">
        <v>0</v>
      </c>
      <c r="I108" s="18">
        <v>2</v>
      </c>
      <c r="J108" s="18">
        <v>101100</v>
      </c>
      <c r="K108" s="18" t="s">
        <v>324</v>
      </c>
      <c r="L108" s="18">
        <v>10110001</v>
      </c>
      <c r="M108" s="18">
        <v>10110003</v>
      </c>
      <c r="N108" s="18" t="s">
        <v>376</v>
      </c>
      <c r="O108" s="18">
        <v>10202010</v>
      </c>
      <c r="P108" s="18">
        <v>0</v>
      </c>
      <c r="Q108" s="18">
        <v>1</v>
      </c>
      <c r="R108" s="18">
        <v>7</v>
      </c>
      <c r="S108" s="18">
        <v>0</v>
      </c>
      <c r="T108" s="18">
        <v>100</v>
      </c>
      <c r="U108" s="18" t="s">
        <v>338</v>
      </c>
      <c r="V108" s="18">
        <v>650</v>
      </c>
      <c r="W108" s="18">
        <v>0</v>
      </c>
      <c r="X108" s="18" t="s">
        <v>377</v>
      </c>
      <c r="Y108" s="18" t="s">
        <v>378</v>
      </c>
      <c r="Z108" s="18" t="s">
        <v>328</v>
      </c>
      <c r="AA108" s="18">
        <v>0</v>
      </c>
      <c r="AB108" s="18">
        <v>12</v>
      </c>
      <c r="AC108" s="18" t="b">
        <v>0</v>
      </c>
      <c r="AD108" s="18" t="s">
        <v>329</v>
      </c>
      <c r="AE108" s="18">
        <v>320</v>
      </c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 t="s">
        <v>354</v>
      </c>
      <c r="AZ108" s="18">
        <v>10400</v>
      </c>
      <c r="BA108" s="18" t="s">
        <v>331</v>
      </c>
      <c r="BB108" s="18" t="s">
        <v>328</v>
      </c>
      <c r="BC108" s="18">
        <v>10000</v>
      </c>
      <c r="BD108" s="18">
        <v>0</v>
      </c>
      <c r="BE108" s="18" t="s">
        <v>332</v>
      </c>
      <c r="BF108" s="18">
        <v>0</v>
      </c>
      <c r="BG108" s="18" t="s">
        <v>355</v>
      </c>
      <c r="BH108" s="18">
        <v>8500</v>
      </c>
      <c r="BI108" s="18">
        <v>4</v>
      </c>
      <c r="BJ108" s="18" t="b">
        <v>1</v>
      </c>
      <c r="BK108" s="18">
        <v>0</v>
      </c>
      <c r="BL108" s="18">
        <v>6000</v>
      </c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>
        <v>200</v>
      </c>
      <c r="GS108" s="18">
        <v>400</v>
      </c>
      <c r="GT108" s="18" t="s">
        <v>356</v>
      </c>
      <c r="GU108" s="18">
        <v>30015</v>
      </c>
      <c r="GV108" s="18" t="s">
        <v>339</v>
      </c>
      <c r="GW108" s="18" t="s">
        <v>339</v>
      </c>
      <c r="GX108" s="18" t="b">
        <v>1</v>
      </c>
      <c r="GY108" s="18">
        <v>5000</v>
      </c>
      <c r="GZ108" s="18" t="b">
        <v>0</v>
      </c>
      <c r="HA108" s="18">
        <v>0</v>
      </c>
      <c r="HB108" s="18">
        <v>0</v>
      </c>
      <c r="HC108" s="18">
        <v>0</v>
      </c>
      <c r="HD108" s="18">
        <v>0</v>
      </c>
      <c r="HE108" s="18" t="b">
        <v>0</v>
      </c>
      <c r="HF108" s="18">
        <v>0</v>
      </c>
      <c r="HG108" s="18">
        <v>10001</v>
      </c>
      <c r="HH108" s="18" t="s">
        <v>339</v>
      </c>
      <c r="HI108" s="18" t="s">
        <v>334</v>
      </c>
      <c r="HJ108" s="18">
        <v>0</v>
      </c>
      <c r="HK108" s="18">
        <v>0</v>
      </c>
      <c r="HL108" s="18">
        <v>0</v>
      </c>
      <c r="HM108" s="18">
        <v>0</v>
      </c>
      <c r="HN108" s="18" t="b">
        <v>0</v>
      </c>
    </row>
    <row r="109" spans="1:222">
      <c r="A109"/>
      <c r="B109" s="29" cm="1">
        <f t="array" ref="B109">10000000+INDEX(编号表!$B$1:$B$112,MATCH(D109,编号表!$A$1:$A$112,0))*10000+I109</f>
        <v>10110003</v>
      </c>
      <c r="C109" s="18" t="s">
        <v>375</v>
      </c>
      <c r="D109" s="18" t="s">
        <v>375</v>
      </c>
      <c r="E109" s="18" t="s">
        <v>322</v>
      </c>
      <c r="F109" s="18" t="s">
        <v>364</v>
      </c>
      <c r="G109" s="18" t="b">
        <v>0</v>
      </c>
      <c r="H109" s="18" t="b">
        <v>0</v>
      </c>
      <c r="I109" s="18">
        <v>3</v>
      </c>
      <c r="J109" s="18">
        <v>101100</v>
      </c>
      <c r="K109" s="18" t="s">
        <v>324</v>
      </c>
      <c r="L109" s="18">
        <v>10110002</v>
      </c>
      <c r="M109" s="18">
        <v>10110004</v>
      </c>
      <c r="N109" s="18" t="s">
        <v>376</v>
      </c>
      <c r="O109" s="18">
        <v>10202010</v>
      </c>
      <c r="P109" s="18">
        <v>0</v>
      </c>
      <c r="Q109" s="18">
        <v>2</v>
      </c>
      <c r="R109" s="18">
        <v>11</v>
      </c>
      <c r="S109" s="18">
        <v>0</v>
      </c>
      <c r="T109" s="18">
        <v>100</v>
      </c>
      <c r="U109" s="18" t="s">
        <v>338</v>
      </c>
      <c r="V109" s="18">
        <v>650</v>
      </c>
      <c r="W109" s="18">
        <v>0</v>
      </c>
      <c r="X109" s="18" t="s">
        <v>377</v>
      </c>
      <c r="Y109" s="18" t="s">
        <v>378</v>
      </c>
      <c r="Z109" s="18" t="s">
        <v>328</v>
      </c>
      <c r="AA109" s="18">
        <v>0</v>
      </c>
      <c r="AB109" s="18">
        <v>12</v>
      </c>
      <c r="AC109" s="18" t="b">
        <v>0</v>
      </c>
      <c r="AD109" s="18" t="s">
        <v>329</v>
      </c>
      <c r="AE109" s="18">
        <v>320</v>
      </c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 t="s">
        <v>354</v>
      </c>
      <c r="AZ109" s="18">
        <v>10800</v>
      </c>
      <c r="BA109" s="18" t="s">
        <v>331</v>
      </c>
      <c r="BB109" s="18" t="s">
        <v>328</v>
      </c>
      <c r="BC109" s="18">
        <v>10000</v>
      </c>
      <c r="BD109" s="18">
        <v>0</v>
      </c>
      <c r="BE109" s="18" t="s">
        <v>332</v>
      </c>
      <c r="BF109" s="18">
        <v>0</v>
      </c>
      <c r="BG109" s="18" t="s">
        <v>355</v>
      </c>
      <c r="BH109" s="18">
        <v>8500</v>
      </c>
      <c r="BI109" s="18">
        <v>5</v>
      </c>
      <c r="BJ109" s="18" t="b">
        <v>1</v>
      </c>
      <c r="BK109" s="18">
        <v>0</v>
      </c>
      <c r="BL109" s="18">
        <v>6000</v>
      </c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>
        <v>200</v>
      </c>
      <c r="GS109" s="18">
        <v>400</v>
      </c>
      <c r="GT109" s="18" t="s">
        <v>356</v>
      </c>
      <c r="GU109" s="18">
        <v>30015</v>
      </c>
      <c r="GV109" s="18" t="s">
        <v>339</v>
      </c>
      <c r="GW109" s="18" t="s">
        <v>339</v>
      </c>
      <c r="GX109" s="18" t="b">
        <v>1</v>
      </c>
      <c r="GY109" s="18">
        <v>5000</v>
      </c>
      <c r="GZ109" s="18" t="b">
        <v>0</v>
      </c>
      <c r="HA109" s="18">
        <v>0</v>
      </c>
      <c r="HB109" s="18">
        <v>0</v>
      </c>
      <c r="HC109" s="18">
        <v>0</v>
      </c>
      <c r="HD109" s="18">
        <v>0</v>
      </c>
      <c r="HE109" s="18" t="b">
        <v>0</v>
      </c>
      <c r="HF109" s="18">
        <v>0</v>
      </c>
      <c r="HG109" s="18">
        <v>10001</v>
      </c>
      <c r="HH109" s="18" t="s">
        <v>339</v>
      </c>
      <c r="HI109" s="18" t="s">
        <v>334</v>
      </c>
      <c r="HJ109" s="18">
        <v>0</v>
      </c>
      <c r="HK109" s="18">
        <v>0</v>
      </c>
      <c r="HL109" s="18">
        <v>0</v>
      </c>
      <c r="HM109" s="18">
        <v>0</v>
      </c>
      <c r="HN109" s="18" t="b">
        <v>0</v>
      </c>
    </row>
    <row r="110" spans="1:222">
      <c r="A110"/>
      <c r="B110" s="29" cm="1">
        <f t="array" ref="B110">10000000+INDEX(编号表!$B$1:$B$112,MATCH(D110,编号表!$A$1:$A$112,0))*10000+I110</f>
        <v>10110004</v>
      </c>
      <c r="C110" s="18" t="s">
        <v>375</v>
      </c>
      <c r="D110" s="18" t="s">
        <v>375</v>
      </c>
      <c r="E110" s="18" t="s">
        <v>322</v>
      </c>
      <c r="F110" s="18" t="s">
        <v>364</v>
      </c>
      <c r="G110" s="18" t="b">
        <v>0</v>
      </c>
      <c r="H110" s="18" t="b">
        <v>0</v>
      </c>
      <c r="I110" s="18">
        <v>4</v>
      </c>
      <c r="J110" s="18">
        <v>101100</v>
      </c>
      <c r="K110" s="18" t="s">
        <v>324</v>
      </c>
      <c r="L110" s="18">
        <v>10110003</v>
      </c>
      <c r="M110" s="18">
        <v>10110005</v>
      </c>
      <c r="N110" s="18" t="s">
        <v>376</v>
      </c>
      <c r="O110" s="18">
        <v>10202010</v>
      </c>
      <c r="P110" s="18">
        <v>0</v>
      </c>
      <c r="Q110" s="18">
        <v>3</v>
      </c>
      <c r="R110" s="18">
        <v>16</v>
      </c>
      <c r="S110" s="18">
        <v>0</v>
      </c>
      <c r="T110" s="18">
        <v>100</v>
      </c>
      <c r="U110" s="18" t="s">
        <v>338</v>
      </c>
      <c r="V110" s="18">
        <v>650</v>
      </c>
      <c r="W110" s="18">
        <v>0</v>
      </c>
      <c r="X110" s="18" t="s">
        <v>377</v>
      </c>
      <c r="Y110" s="18" t="s">
        <v>378</v>
      </c>
      <c r="Z110" s="18" t="s">
        <v>328</v>
      </c>
      <c r="AA110" s="18">
        <v>0</v>
      </c>
      <c r="AB110" s="18">
        <v>12</v>
      </c>
      <c r="AC110" s="18" t="b">
        <v>0</v>
      </c>
      <c r="AD110" s="18" t="s">
        <v>329</v>
      </c>
      <c r="AE110" s="18">
        <v>320</v>
      </c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 t="s">
        <v>354</v>
      </c>
      <c r="AZ110" s="18">
        <v>11200</v>
      </c>
      <c r="BA110" s="18" t="s">
        <v>331</v>
      </c>
      <c r="BB110" s="18" t="s">
        <v>328</v>
      </c>
      <c r="BC110" s="18">
        <v>10000</v>
      </c>
      <c r="BD110" s="18">
        <v>0</v>
      </c>
      <c r="BE110" s="18" t="s">
        <v>332</v>
      </c>
      <c r="BF110" s="18">
        <v>0</v>
      </c>
      <c r="BG110" s="18" t="s">
        <v>355</v>
      </c>
      <c r="BH110" s="18">
        <v>8500</v>
      </c>
      <c r="BI110" s="18">
        <v>6</v>
      </c>
      <c r="BJ110" s="18" t="b">
        <v>1</v>
      </c>
      <c r="BK110" s="18">
        <v>0</v>
      </c>
      <c r="BL110" s="18">
        <v>6000</v>
      </c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>
        <v>200</v>
      </c>
      <c r="GS110" s="18">
        <v>400</v>
      </c>
      <c r="GT110" s="18" t="s">
        <v>356</v>
      </c>
      <c r="GU110" s="18">
        <v>30015</v>
      </c>
      <c r="GV110" s="18" t="s">
        <v>339</v>
      </c>
      <c r="GW110" s="18" t="s">
        <v>339</v>
      </c>
      <c r="GX110" s="18" t="b">
        <v>1</v>
      </c>
      <c r="GY110" s="18">
        <v>5000</v>
      </c>
      <c r="GZ110" s="18" t="b">
        <v>0</v>
      </c>
      <c r="HA110" s="18">
        <v>0</v>
      </c>
      <c r="HB110" s="18">
        <v>0</v>
      </c>
      <c r="HC110" s="18">
        <v>0</v>
      </c>
      <c r="HD110" s="18">
        <v>0</v>
      </c>
      <c r="HE110" s="18" t="b">
        <v>0</v>
      </c>
      <c r="HF110" s="18">
        <v>0</v>
      </c>
      <c r="HG110" s="18">
        <v>10001</v>
      </c>
      <c r="HH110" s="18" t="s">
        <v>339</v>
      </c>
      <c r="HI110" s="18" t="s">
        <v>334</v>
      </c>
      <c r="HJ110" s="18">
        <v>0</v>
      </c>
      <c r="HK110" s="18">
        <v>0</v>
      </c>
      <c r="HL110" s="18">
        <v>0</v>
      </c>
      <c r="HM110" s="18">
        <v>0</v>
      </c>
      <c r="HN110" s="18" t="b">
        <v>0</v>
      </c>
    </row>
    <row r="111" spans="1:222">
      <c r="A111"/>
      <c r="B111" s="29" cm="1">
        <f t="array" ref="B111">10000000+INDEX(编号表!$B$1:$B$112,MATCH(D111,编号表!$A$1:$A$112,0))*10000+I111</f>
        <v>10110005</v>
      </c>
      <c r="C111" s="18" t="s">
        <v>375</v>
      </c>
      <c r="D111" s="18" t="s">
        <v>375</v>
      </c>
      <c r="E111" s="18" t="s">
        <v>322</v>
      </c>
      <c r="F111" s="18" t="s">
        <v>364</v>
      </c>
      <c r="G111" s="18" t="b">
        <v>0</v>
      </c>
      <c r="H111" s="18" t="b">
        <v>0</v>
      </c>
      <c r="I111" s="18">
        <v>5</v>
      </c>
      <c r="J111" s="18">
        <v>101100</v>
      </c>
      <c r="K111" s="18" t="s">
        <v>324</v>
      </c>
      <c r="L111" s="18">
        <v>10110004</v>
      </c>
      <c r="M111" s="18">
        <v>10110006</v>
      </c>
      <c r="N111" s="18" t="s">
        <v>376</v>
      </c>
      <c r="O111" s="18">
        <v>10202010</v>
      </c>
      <c r="P111" s="18">
        <v>0</v>
      </c>
      <c r="Q111" s="18">
        <v>3</v>
      </c>
      <c r="R111" s="18">
        <v>25</v>
      </c>
      <c r="S111" s="18">
        <v>0</v>
      </c>
      <c r="T111" s="18">
        <v>100</v>
      </c>
      <c r="U111" s="18" t="s">
        <v>338</v>
      </c>
      <c r="V111" s="18">
        <v>650</v>
      </c>
      <c r="W111" s="18">
        <v>0</v>
      </c>
      <c r="X111" s="18" t="s">
        <v>377</v>
      </c>
      <c r="Y111" s="18" t="s">
        <v>378</v>
      </c>
      <c r="Z111" s="18" t="s">
        <v>328</v>
      </c>
      <c r="AA111" s="18">
        <v>0</v>
      </c>
      <c r="AB111" s="18">
        <v>12</v>
      </c>
      <c r="AC111" s="18" t="b">
        <v>0</v>
      </c>
      <c r="AD111" s="18" t="s">
        <v>329</v>
      </c>
      <c r="AE111" s="18">
        <v>320</v>
      </c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 t="s">
        <v>354</v>
      </c>
      <c r="AZ111" s="18">
        <v>11300</v>
      </c>
      <c r="BA111" s="18" t="s">
        <v>331</v>
      </c>
      <c r="BB111" s="18" t="s">
        <v>328</v>
      </c>
      <c r="BC111" s="18">
        <v>10000</v>
      </c>
      <c r="BD111" s="18">
        <v>0</v>
      </c>
      <c r="BE111" s="18" t="s">
        <v>332</v>
      </c>
      <c r="BF111" s="18">
        <v>0</v>
      </c>
      <c r="BG111" s="18" t="s">
        <v>355</v>
      </c>
      <c r="BH111" s="18">
        <v>8500</v>
      </c>
      <c r="BI111" s="18">
        <v>6</v>
      </c>
      <c r="BJ111" s="18" t="b">
        <v>1</v>
      </c>
      <c r="BK111" s="18">
        <v>0</v>
      </c>
      <c r="BL111" s="18">
        <v>6000</v>
      </c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>
        <v>200</v>
      </c>
      <c r="GS111" s="18">
        <v>400</v>
      </c>
      <c r="GT111" s="18" t="s">
        <v>356</v>
      </c>
      <c r="GU111" s="18">
        <v>30015</v>
      </c>
      <c r="GV111" s="18" t="s">
        <v>339</v>
      </c>
      <c r="GW111" s="18" t="s">
        <v>339</v>
      </c>
      <c r="GX111" s="18" t="b">
        <v>1</v>
      </c>
      <c r="GY111" s="18">
        <v>5000</v>
      </c>
      <c r="GZ111" s="18" t="b">
        <v>0</v>
      </c>
      <c r="HA111" s="18">
        <v>0</v>
      </c>
      <c r="HB111" s="18">
        <v>0</v>
      </c>
      <c r="HC111" s="18">
        <v>0</v>
      </c>
      <c r="HD111" s="18">
        <v>0</v>
      </c>
      <c r="HE111" s="18" t="b">
        <v>0</v>
      </c>
      <c r="HF111" s="18">
        <v>0</v>
      </c>
      <c r="HG111" s="18">
        <v>10001</v>
      </c>
      <c r="HH111" s="18" t="s">
        <v>339</v>
      </c>
      <c r="HI111" s="18" t="s">
        <v>334</v>
      </c>
      <c r="HJ111" s="18">
        <v>0</v>
      </c>
      <c r="HK111" s="18">
        <v>0</v>
      </c>
      <c r="HL111" s="18">
        <v>0</v>
      </c>
      <c r="HM111" s="18">
        <v>0</v>
      </c>
      <c r="HN111" s="18" t="b">
        <v>0</v>
      </c>
    </row>
    <row r="112" spans="1:222">
      <c r="A112"/>
      <c r="B112" s="29" cm="1">
        <f t="array" ref="B112">10000000+INDEX(编号表!$B$1:$B$112,MATCH(D112,编号表!$A$1:$A$112,0))*10000+I112</f>
        <v>10110006</v>
      </c>
      <c r="C112" s="18" t="s">
        <v>375</v>
      </c>
      <c r="D112" s="18" t="s">
        <v>375</v>
      </c>
      <c r="E112" s="18" t="s">
        <v>322</v>
      </c>
      <c r="F112" s="18" t="s">
        <v>364</v>
      </c>
      <c r="G112" s="18" t="b">
        <v>0</v>
      </c>
      <c r="H112" s="18" t="b">
        <v>0</v>
      </c>
      <c r="I112" s="18">
        <v>6</v>
      </c>
      <c r="J112" s="18">
        <v>101100</v>
      </c>
      <c r="K112" s="18" t="s">
        <v>324</v>
      </c>
      <c r="L112" s="18">
        <v>10110005</v>
      </c>
      <c r="M112" s="18">
        <v>10110007</v>
      </c>
      <c r="N112" s="18" t="s">
        <v>376</v>
      </c>
      <c r="O112" s="18">
        <v>10202010</v>
      </c>
      <c r="P112" s="18">
        <v>0</v>
      </c>
      <c r="Q112" s="18">
        <v>3</v>
      </c>
      <c r="R112" s="18">
        <v>30</v>
      </c>
      <c r="S112" s="18">
        <v>0</v>
      </c>
      <c r="T112" s="18">
        <v>100</v>
      </c>
      <c r="U112" s="18" t="s">
        <v>338</v>
      </c>
      <c r="V112" s="18">
        <v>650</v>
      </c>
      <c r="W112" s="18">
        <v>0</v>
      </c>
      <c r="X112" s="18" t="s">
        <v>377</v>
      </c>
      <c r="Y112" s="18" t="s">
        <v>378</v>
      </c>
      <c r="Z112" s="18" t="s">
        <v>328</v>
      </c>
      <c r="AA112" s="18">
        <v>0</v>
      </c>
      <c r="AB112" s="18">
        <v>12</v>
      </c>
      <c r="AC112" s="18" t="b">
        <v>0</v>
      </c>
      <c r="AD112" s="18" t="s">
        <v>329</v>
      </c>
      <c r="AE112" s="18">
        <v>320</v>
      </c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 t="s">
        <v>354</v>
      </c>
      <c r="AZ112" s="18">
        <v>11600</v>
      </c>
      <c r="BA112" s="18" t="s">
        <v>331</v>
      </c>
      <c r="BB112" s="18" t="s">
        <v>328</v>
      </c>
      <c r="BC112" s="18">
        <v>10000</v>
      </c>
      <c r="BD112" s="18">
        <v>0</v>
      </c>
      <c r="BE112" s="18" t="s">
        <v>332</v>
      </c>
      <c r="BF112" s="18">
        <v>0</v>
      </c>
      <c r="BG112" s="18" t="s">
        <v>355</v>
      </c>
      <c r="BH112" s="18">
        <v>8500</v>
      </c>
      <c r="BI112" s="18">
        <v>7</v>
      </c>
      <c r="BJ112" s="18" t="b">
        <v>1</v>
      </c>
      <c r="BK112" s="18">
        <v>0</v>
      </c>
      <c r="BL112" s="18">
        <v>6000</v>
      </c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>
        <v>200</v>
      </c>
      <c r="GS112" s="18">
        <v>400</v>
      </c>
      <c r="GT112" s="18" t="s">
        <v>356</v>
      </c>
      <c r="GU112" s="18">
        <v>30015</v>
      </c>
      <c r="GV112" s="18" t="s">
        <v>339</v>
      </c>
      <c r="GW112" s="18" t="s">
        <v>339</v>
      </c>
      <c r="GX112" s="18" t="b">
        <v>1</v>
      </c>
      <c r="GY112" s="18">
        <v>5000</v>
      </c>
      <c r="GZ112" s="18" t="b">
        <v>0</v>
      </c>
      <c r="HA112" s="18">
        <v>0</v>
      </c>
      <c r="HB112" s="18">
        <v>0</v>
      </c>
      <c r="HC112" s="18">
        <v>0</v>
      </c>
      <c r="HD112" s="18">
        <v>0</v>
      </c>
      <c r="HE112" s="18" t="b">
        <v>0</v>
      </c>
      <c r="HF112" s="18">
        <v>0</v>
      </c>
      <c r="HG112" s="18">
        <v>10001</v>
      </c>
      <c r="HH112" s="18" t="s">
        <v>339</v>
      </c>
      <c r="HI112" s="18" t="s">
        <v>334</v>
      </c>
      <c r="HJ112" s="18">
        <v>0</v>
      </c>
      <c r="HK112" s="18">
        <v>0</v>
      </c>
      <c r="HL112" s="18">
        <v>0</v>
      </c>
      <c r="HM112" s="18">
        <v>0</v>
      </c>
      <c r="HN112" s="18" t="b">
        <v>0</v>
      </c>
    </row>
    <row r="113" spans="1:222">
      <c r="A113"/>
      <c r="B113" s="29" cm="1">
        <f t="array" ref="B113">10000000+INDEX(编号表!$B$1:$B$112,MATCH(D113,编号表!$A$1:$A$112,0))*10000+I113</f>
        <v>10110007</v>
      </c>
      <c r="C113" s="18" t="s">
        <v>375</v>
      </c>
      <c r="D113" s="18" t="s">
        <v>375</v>
      </c>
      <c r="E113" s="18" t="s">
        <v>322</v>
      </c>
      <c r="F113" s="18" t="s">
        <v>364</v>
      </c>
      <c r="G113" s="18" t="b">
        <v>0</v>
      </c>
      <c r="H113" s="18" t="b">
        <v>0</v>
      </c>
      <c r="I113" s="18">
        <v>7</v>
      </c>
      <c r="J113" s="18">
        <v>101100</v>
      </c>
      <c r="K113" s="18" t="s">
        <v>324</v>
      </c>
      <c r="L113" s="18">
        <v>10110006</v>
      </c>
      <c r="M113" s="18">
        <v>10110008</v>
      </c>
      <c r="N113" s="18" t="s">
        <v>376</v>
      </c>
      <c r="O113" s="18">
        <v>10202010</v>
      </c>
      <c r="P113" s="18">
        <v>0</v>
      </c>
      <c r="Q113" s="18">
        <v>3</v>
      </c>
      <c r="R113" s="18">
        <v>35</v>
      </c>
      <c r="S113" s="18">
        <v>0</v>
      </c>
      <c r="T113" s="18">
        <v>100</v>
      </c>
      <c r="U113" s="18" t="s">
        <v>338</v>
      </c>
      <c r="V113" s="18">
        <v>650</v>
      </c>
      <c r="W113" s="18">
        <v>0</v>
      </c>
      <c r="X113" s="18" t="s">
        <v>377</v>
      </c>
      <c r="Y113" s="18" t="s">
        <v>378</v>
      </c>
      <c r="Z113" s="18" t="s">
        <v>328</v>
      </c>
      <c r="AA113" s="18">
        <v>0</v>
      </c>
      <c r="AB113" s="18">
        <v>12</v>
      </c>
      <c r="AC113" s="18" t="b">
        <v>0</v>
      </c>
      <c r="AD113" s="18" t="s">
        <v>329</v>
      </c>
      <c r="AE113" s="18">
        <v>320</v>
      </c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 t="s">
        <v>354</v>
      </c>
      <c r="AZ113" s="18">
        <v>11700</v>
      </c>
      <c r="BA113" s="18" t="s">
        <v>331</v>
      </c>
      <c r="BB113" s="18" t="s">
        <v>328</v>
      </c>
      <c r="BC113" s="18">
        <v>10000</v>
      </c>
      <c r="BD113" s="18">
        <v>0</v>
      </c>
      <c r="BE113" s="18" t="s">
        <v>332</v>
      </c>
      <c r="BF113" s="18">
        <v>0</v>
      </c>
      <c r="BG113" s="18" t="s">
        <v>355</v>
      </c>
      <c r="BH113" s="18">
        <v>8500</v>
      </c>
      <c r="BI113" s="18">
        <v>9</v>
      </c>
      <c r="BJ113" s="18" t="b">
        <v>1</v>
      </c>
      <c r="BK113" s="18">
        <v>0</v>
      </c>
      <c r="BL113" s="18">
        <v>6000</v>
      </c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>
        <v>200</v>
      </c>
      <c r="GS113" s="18">
        <v>400</v>
      </c>
      <c r="GT113" s="18" t="s">
        <v>356</v>
      </c>
      <c r="GU113" s="18">
        <v>30015</v>
      </c>
      <c r="GV113" s="18" t="s">
        <v>339</v>
      </c>
      <c r="GW113" s="18" t="s">
        <v>339</v>
      </c>
      <c r="GX113" s="18" t="b">
        <v>1</v>
      </c>
      <c r="GY113" s="18">
        <v>5000</v>
      </c>
      <c r="GZ113" s="18" t="b">
        <v>0</v>
      </c>
      <c r="HA113" s="18">
        <v>0</v>
      </c>
      <c r="HB113" s="18">
        <v>0</v>
      </c>
      <c r="HC113" s="18">
        <v>0</v>
      </c>
      <c r="HD113" s="18">
        <v>0</v>
      </c>
      <c r="HE113" s="18" t="b">
        <v>0</v>
      </c>
      <c r="HF113" s="18">
        <v>0</v>
      </c>
      <c r="HG113" s="18">
        <v>10001</v>
      </c>
      <c r="HH113" s="18" t="s">
        <v>339</v>
      </c>
      <c r="HI113" s="18" t="s">
        <v>334</v>
      </c>
      <c r="HJ113" s="18">
        <v>0</v>
      </c>
      <c r="HK113" s="18">
        <v>0</v>
      </c>
      <c r="HL113" s="18">
        <v>0</v>
      </c>
      <c r="HM113" s="18">
        <v>0</v>
      </c>
      <c r="HN113" s="18" t="b">
        <v>0</v>
      </c>
    </row>
    <row r="114" spans="1:222">
      <c r="A114"/>
      <c r="B114" s="29" cm="1">
        <f t="array" ref="B114">10000000+INDEX(编号表!$B$1:$B$112,MATCH(D114,编号表!$A$1:$A$112,0))*10000+I114</f>
        <v>10110008</v>
      </c>
      <c r="C114" s="18" t="s">
        <v>375</v>
      </c>
      <c r="D114" s="18" t="s">
        <v>375</v>
      </c>
      <c r="E114" s="18" t="s">
        <v>322</v>
      </c>
      <c r="F114" s="18" t="s">
        <v>364</v>
      </c>
      <c r="G114" s="18" t="b">
        <v>0</v>
      </c>
      <c r="H114" s="18" t="b">
        <v>0</v>
      </c>
      <c r="I114" s="18">
        <v>8</v>
      </c>
      <c r="J114" s="18">
        <v>101100</v>
      </c>
      <c r="K114" s="18" t="s">
        <v>324</v>
      </c>
      <c r="L114" s="18">
        <v>10110007</v>
      </c>
      <c r="M114" s="18">
        <v>10110009</v>
      </c>
      <c r="N114" s="18" t="s">
        <v>376</v>
      </c>
      <c r="O114" s="18">
        <v>10202010</v>
      </c>
      <c r="P114" s="18">
        <v>0</v>
      </c>
      <c r="Q114" s="18">
        <v>3</v>
      </c>
      <c r="R114" s="18">
        <v>35</v>
      </c>
      <c r="S114" s="18">
        <v>0</v>
      </c>
      <c r="T114" s="18">
        <v>100</v>
      </c>
      <c r="U114" s="18" t="s">
        <v>338</v>
      </c>
      <c r="V114" s="18">
        <v>650</v>
      </c>
      <c r="W114" s="18">
        <v>0</v>
      </c>
      <c r="X114" s="18" t="s">
        <v>377</v>
      </c>
      <c r="Y114" s="18" t="s">
        <v>378</v>
      </c>
      <c r="Z114" s="18" t="s">
        <v>328</v>
      </c>
      <c r="AA114" s="18">
        <v>0</v>
      </c>
      <c r="AB114" s="18">
        <v>12</v>
      </c>
      <c r="AC114" s="18" t="b">
        <v>0</v>
      </c>
      <c r="AD114" s="18" t="s">
        <v>329</v>
      </c>
      <c r="AE114" s="18">
        <v>320</v>
      </c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 t="s">
        <v>354</v>
      </c>
      <c r="AZ114" s="18">
        <v>11800</v>
      </c>
      <c r="BA114" s="18" t="s">
        <v>331</v>
      </c>
      <c r="BB114" s="18" t="s">
        <v>328</v>
      </c>
      <c r="BC114" s="18">
        <v>10000</v>
      </c>
      <c r="BD114" s="18">
        <v>0</v>
      </c>
      <c r="BE114" s="18" t="s">
        <v>332</v>
      </c>
      <c r="BF114" s="18">
        <v>0</v>
      </c>
      <c r="BG114" s="18" t="s">
        <v>355</v>
      </c>
      <c r="BH114" s="18">
        <v>8500</v>
      </c>
      <c r="BI114" s="18">
        <v>10</v>
      </c>
      <c r="BJ114" s="18" t="b">
        <v>1</v>
      </c>
      <c r="BK114" s="18">
        <v>0</v>
      </c>
      <c r="BL114" s="18">
        <v>6000</v>
      </c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>
        <v>200</v>
      </c>
      <c r="GS114" s="18">
        <v>400</v>
      </c>
      <c r="GT114" s="18" t="s">
        <v>356</v>
      </c>
      <c r="GU114" s="18">
        <v>30015</v>
      </c>
      <c r="GV114" s="18" t="s">
        <v>339</v>
      </c>
      <c r="GW114" s="18" t="s">
        <v>339</v>
      </c>
      <c r="GX114" s="18" t="b">
        <v>1</v>
      </c>
      <c r="GY114" s="18">
        <v>5000</v>
      </c>
      <c r="GZ114" s="18" t="b">
        <v>0</v>
      </c>
      <c r="HA114" s="18">
        <v>0</v>
      </c>
      <c r="HB114" s="18">
        <v>0</v>
      </c>
      <c r="HC114" s="18">
        <v>0</v>
      </c>
      <c r="HD114" s="18">
        <v>0</v>
      </c>
      <c r="HE114" s="18" t="b">
        <v>0</v>
      </c>
      <c r="HF114" s="18">
        <v>0</v>
      </c>
      <c r="HG114" s="18">
        <v>10001</v>
      </c>
      <c r="HH114" s="18" t="s">
        <v>339</v>
      </c>
      <c r="HI114" s="18" t="s">
        <v>334</v>
      </c>
      <c r="HJ114" s="18">
        <v>0</v>
      </c>
      <c r="HK114" s="18">
        <v>0</v>
      </c>
      <c r="HL114" s="18">
        <v>0</v>
      </c>
      <c r="HM114" s="18">
        <v>0</v>
      </c>
      <c r="HN114" s="18" t="b">
        <v>0</v>
      </c>
    </row>
    <row r="115" spans="1:222">
      <c r="A115"/>
      <c r="B115" s="29" cm="1">
        <f t="array" ref="B115">10000000+INDEX(编号表!$B$1:$B$112,MATCH(D115,编号表!$A$1:$A$112,0))*10000+I115</f>
        <v>10110009</v>
      </c>
      <c r="C115" s="18" t="s">
        <v>375</v>
      </c>
      <c r="D115" s="18" t="s">
        <v>375</v>
      </c>
      <c r="E115" s="18" t="s">
        <v>322</v>
      </c>
      <c r="F115" s="18" t="s">
        <v>364</v>
      </c>
      <c r="G115" s="18" t="b">
        <v>0</v>
      </c>
      <c r="H115" s="18" t="b">
        <v>0</v>
      </c>
      <c r="I115" s="18">
        <v>9</v>
      </c>
      <c r="J115" s="18">
        <v>101100</v>
      </c>
      <c r="K115" s="18" t="s">
        <v>324</v>
      </c>
      <c r="L115" s="18">
        <v>10110008</v>
      </c>
      <c r="M115" s="18">
        <v>10110010</v>
      </c>
      <c r="N115" s="18" t="s">
        <v>376</v>
      </c>
      <c r="O115" s="18">
        <v>10202010</v>
      </c>
      <c r="P115" s="18">
        <v>0</v>
      </c>
      <c r="Q115" s="18">
        <v>3</v>
      </c>
      <c r="R115" s="18">
        <v>40</v>
      </c>
      <c r="S115" s="18">
        <v>0</v>
      </c>
      <c r="T115" s="18">
        <v>100</v>
      </c>
      <c r="U115" s="18" t="s">
        <v>338</v>
      </c>
      <c r="V115" s="18">
        <v>650</v>
      </c>
      <c r="W115" s="18">
        <v>0</v>
      </c>
      <c r="X115" s="18" t="s">
        <v>377</v>
      </c>
      <c r="Y115" s="18" t="s">
        <v>378</v>
      </c>
      <c r="Z115" s="18" t="s">
        <v>328</v>
      </c>
      <c r="AA115" s="18">
        <v>0</v>
      </c>
      <c r="AB115" s="18">
        <v>12</v>
      </c>
      <c r="AC115" s="18" t="b">
        <v>0</v>
      </c>
      <c r="AD115" s="18" t="s">
        <v>329</v>
      </c>
      <c r="AE115" s="18">
        <v>320</v>
      </c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 t="s">
        <v>354</v>
      </c>
      <c r="AZ115" s="18">
        <v>11900</v>
      </c>
      <c r="BA115" s="18" t="s">
        <v>331</v>
      </c>
      <c r="BB115" s="18" t="s">
        <v>328</v>
      </c>
      <c r="BC115" s="18">
        <v>10000</v>
      </c>
      <c r="BD115" s="18">
        <v>0</v>
      </c>
      <c r="BE115" s="18" t="s">
        <v>332</v>
      </c>
      <c r="BF115" s="18">
        <v>0</v>
      </c>
      <c r="BG115" s="18" t="s">
        <v>355</v>
      </c>
      <c r="BH115" s="18">
        <v>8500</v>
      </c>
      <c r="BI115" s="18">
        <v>12</v>
      </c>
      <c r="BJ115" s="18" t="b">
        <v>1</v>
      </c>
      <c r="BK115" s="18">
        <v>0</v>
      </c>
      <c r="BL115" s="18">
        <v>6000</v>
      </c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>
        <v>200</v>
      </c>
      <c r="GS115" s="18">
        <v>400</v>
      </c>
      <c r="GT115" s="18" t="s">
        <v>356</v>
      </c>
      <c r="GU115" s="18">
        <v>30015</v>
      </c>
      <c r="GV115" s="18" t="s">
        <v>339</v>
      </c>
      <c r="GW115" s="18" t="s">
        <v>339</v>
      </c>
      <c r="GX115" s="18" t="b">
        <v>1</v>
      </c>
      <c r="GY115" s="18">
        <v>5000</v>
      </c>
      <c r="GZ115" s="18" t="b">
        <v>0</v>
      </c>
      <c r="HA115" s="18">
        <v>0</v>
      </c>
      <c r="HB115" s="18">
        <v>0</v>
      </c>
      <c r="HC115" s="18">
        <v>0</v>
      </c>
      <c r="HD115" s="18">
        <v>0</v>
      </c>
      <c r="HE115" s="18" t="b">
        <v>0</v>
      </c>
      <c r="HF115" s="18">
        <v>0</v>
      </c>
      <c r="HG115" s="18">
        <v>10001</v>
      </c>
      <c r="HH115" s="18" t="s">
        <v>339</v>
      </c>
      <c r="HI115" s="18" t="s">
        <v>334</v>
      </c>
      <c r="HJ115" s="18">
        <v>0</v>
      </c>
      <c r="HK115" s="18">
        <v>0</v>
      </c>
      <c r="HL115" s="18">
        <v>0</v>
      </c>
      <c r="HM115" s="18">
        <v>0</v>
      </c>
      <c r="HN115" s="18" t="b">
        <v>0</v>
      </c>
    </row>
    <row r="116" spans="1:222">
      <c r="A116"/>
      <c r="B116" s="29" cm="1">
        <f t="array" ref="B116">10000000+INDEX(编号表!$B$1:$B$112,MATCH(D116,编号表!$A$1:$A$112,0))*10000+I116</f>
        <v>10110010</v>
      </c>
      <c r="C116" s="18" t="s">
        <v>375</v>
      </c>
      <c r="D116" s="18" t="s">
        <v>375</v>
      </c>
      <c r="E116" s="18" t="s">
        <v>322</v>
      </c>
      <c r="F116" s="18" t="s">
        <v>364</v>
      </c>
      <c r="G116" s="18" t="b">
        <v>0</v>
      </c>
      <c r="H116" s="18" t="b">
        <v>0</v>
      </c>
      <c r="I116" s="18">
        <v>10</v>
      </c>
      <c r="J116" s="18">
        <v>101100</v>
      </c>
      <c r="K116" s="18" t="s">
        <v>324</v>
      </c>
      <c r="L116" s="18">
        <v>10110009</v>
      </c>
      <c r="M116" s="18">
        <v>0</v>
      </c>
      <c r="N116" s="18" t="s">
        <v>376</v>
      </c>
      <c r="O116" s="18">
        <v>10202010</v>
      </c>
      <c r="P116" s="18">
        <v>0</v>
      </c>
      <c r="Q116" s="18">
        <v>3</v>
      </c>
      <c r="R116" s="18">
        <v>40</v>
      </c>
      <c r="S116" s="18">
        <v>0</v>
      </c>
      <c r="T116" s="18">
        <v>0</v>
      </c>
      <c r="U116" s="18" t="s">
        <v>338</v>
      </c>
      <c r="V116" s="18">
        <v>650</v>
      </c>
      <c r="W116" s="18">
        <v>0</v>
      </c>
      <c r="X116" s="18" t="s">
        <v>377</v>
      </c>
      <c r="Y116" s="18" t="s">
        <v>378</v>
      </c>
      <c r="Z116" s="18" t="s">
        <v>328</v>
      </c>
      <c r="AA116" s="18">
        <v>0</v>
      </c>
      <c r="AB116" s="18">
        <v>12</v>
      </c>
      <c r="AC116" s="18" t="b">
        <v>0</v>
      </c>
      <c r="AD116" s="18" t="s">
        <v>329</v>
      </c>
      <c r="AE116" s="18">
        <v>320</v>
      </c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 t="s">
        <v>354</v>
      </c>
      <c r="AZ116" s="18">
        <v>12000</v>
      </c>
      <c r="BA116" s="18" t="s">
        <v>331</v>
      </c>
      <c r="BB116" s="18" t="s">
        <v>328</v>
      </c>
      <c r="BC116" s="18">
        <v>10000</v>
      </c>
      <c r="BD116" s="18">
        <v>0</v>
      </c>
      <c r="BE116" s="18" t="s">
        <v>332</v>
      </c>
      <c r="BF116" s="18">
        <v>0</v>
      </c>
      <c r="BG116" s="18" t="s">
        <v>355</v>
      </c>
      <c r="BH116" s="18">
        <v>8500</v>
      </c>
      <c r="BI116" s="18">
        <v>15</v>
      </c>
      <c r="BJ116" s="18" t="b">
        <v>1</v>
      </c>
      <c r="BK116" s="18">
        <v>0</v>
      </c>
      <c r="BL116" s="18">
        <v>6000</v>
      </c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>
        <v>200</v>
      </c>
      <c r="GS116" s="18">
        <v>400</v>
      </c>
      <c r="GT116" s="18" t="s">
        <v>356</v>
      </c>
      <c r="GU116" s="18">
        <v>30015</v>
      </c>
      <c r="GV116" s="18" t="s">
        <v>339</v>
      </c>
      <c r="GW116" s="18" t="s">
        <v>339</v>
      </c>
      <c r="GX116" s="18" t="b">
        <v>1</v>
      </c>
      <c r="GY116" s="18">
        <v>5000</v>
      </c>
      <c r="GZ116" s="18" t="b">
        <v>0</v>
      </c>
      <c r="HA116" s="18">
        <v>0</v>
      </c>
      <c r="HB116" s="18">
        <v>0</v>
      </c>
      <c r="HC116" s="18">
        <v>0</v>
      </c>
      <c r="HD116" s="18">
        <v>0</v>
      </c>
      <c r="HE116" s="18" t="b">
        <v>0</v>
      </c>
      <c r="HF116" s="18">
        <v>0</v>
      </c>
      <c r="HG116" s="18">
        <v>10001</v>
      </c>
      <c r="HH116" s="18" t="s">
        <v>339</v>
      </c>
      <c r="HI116" s="18" t="s">
        <v>334</v>
      </c>
      <c r="HJ116" s="18">
        <v>0</v>
      </c>
      <c r="HK116" s="18">
        <v>0</v>
      </c>
      <c r="HL116" s="18">
        <v>0</v>
      </c>
      <c r="HM116" s="18">
        <v>0</v>
      </c>
      <c r="HN116" s="18" t="b">
        <v>0</v>
      </c>
    </row>
    <row r="117" spans="1:222">
      <c r="A117"/>
      <c r="B117" s="29" cm="1">
        <f t="array" ref="B117">10000000+INDEX(编号表!$B$1:$B$112,MATCH(D117,编号表!$A$1:$A$112,0))*10000+I117</f>
        <v>10120001</v>
      </c>
      <c r="C117" s="18" t="s">
        <v>379</v>
      </c>
      <c r="D117" s="18" t="s">
        <v>379</v>
      </c>
      <c r="E117" s="18" t="s">
        <v>322</v>
      </c>
      <c r="F117" s="18" t="s">
        <v>323</v>
      </c>
      <c r="G117" s="18" t="b">
        <v>0</v>
      </c>
      <c r="H117" s="18" t="b">
        <v>0</v>
      </c>
      <c r="I117" s="18">
        <v>1</v>
      </c>
      <c r="J117" s="18">
        <v>101200</v>
      </c>
      <c r="K117" s="18" t="s">
        <v>324</v>
      </c>
      <c r="L117" s="18">
        <v>0</v>
      </c>
      <c r="M117" s="18">
        <v>10120002</v>
      </c>
      <c r="N117" s="18" t="s">
        <v>380</v>
      </c>
      <c r="O117" s="18">
        <v>10202011</v>
      </c>
      <c r="P117" s="18">
        <v>0</v>
      </c>
      <c r="Q117" s="18">
        <v>0</v>
      </c>
      <c r="R117" s="18">
        <v>1</v>
      </c>
      <c r="S117" s="18">
        <v>0</v>
      </c>
      <c r="T117" s="18">
        <v>100</v>
      </c>
      <c r="U117" s="18" t="s">
        <v>338</v>
      </c>
      <c r="V117" s="18">
        <v>850</v>
      </c>
      <c r="W117" s="18">
        <v>850</v>
      </c>
      <c r="X117" s="18" t="s">
        <v>326</v>
      </c>
      <c r="Y117" s="18" t="s">
        <v>327</v>
      </c>
      <c r="Z117" s="18" t="s">
        <v>328</v>
      </c>
      <c r="AA117" s="18">
        <v>0</v>
      </c>
      <c r="AB117" s="18">
        <v>1</v>
      </c>
      <c r="AC117" s="18" t="b">
        <v>0</v>
      </c>
      <c r="AD117" s="18" t="s">
        <v>329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 t="s">
        <v>330</v>
      </c>
      <c r="AZ117" s="18">
        <v>10000</v>
      </c>
      <c r="BA117" s="18" t="s">
        <v>366</v>
      </c>
      <c r="BB117" s="18" t="s">
        <v>328</v>
      </c>
      <c r="BC117" s="18">
        <v>10000</v>
      </c>
      <c r="BD117" s="18">
        <v>0</v>
      </c>
      <c r="BE117" s="18" t="s">
        <v>332</v>
      </c>
      <c r="BF117" s="18">
        <v>0</v>
      </c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 t="s">
        <v>381</v>
      </c>
      <c r="CG117" s="18" t="s">
        <v>368</v>
      </c>
      <c r="CH117" s="18">
        <v>1100</v>
      </c>
      <c r="CI117" s="18">
        <v>80</v>
      </c>
      <c r="CJ117" s="18" t="s">
        <v>348</v>
      </c>
      <c r="CK117" s="18">
        <v>1</v>
      </c>
      <c r="CL117" s="18">
        <v>0</v>
      </c>
      <c r="CM117" s="18">
        <v>1</v>
      </c>
      <c r="CN117" s="18">
        <v>900</v>
      </c>
      <c r="CO117" s="18">
        <v>70</v>
      </c>
      <c r="CP117" s="18">
        <v>0</v>
      </c>
      <c r="CQ117" s="18">
        <v>1</v>
      </c>
      <c r="CR117" s="18">
        <v>10300001</v>
      </c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>
        <v>200</v>
      </c>
      <c r="GS117" s="18">
        <v>400</v>
      </c>
      <c r="GT117" s="18" t="s">
        <v>356</v>
      </c>
      <c r="GU117" s="18">
        <v>30032</v>
      </c>
      <c r="GV117" s="18" t="s">
        <v>339</v>
      </c>
      <c r="GW117" s="18" t="s">
        <v>339</v>
      </c>
      <c r="GX117" s="18" t="b">
        <v>1</v>
      </c>
      <c r="GY117" s="18">
        <v>2800</v>
      </c>
      <c r="GZ117" s="18" t="b">
        <v>0</v>
      </c>
      <c r="HA117" s="18">
        <v>0</v>
      </c>
      <c r="HB117" s="18">
        <v>0</v>
      </c>
      <c r="HC117" s="18">
        <v>0</v>
      </c>
      <c r="HD117" s="18">
        <v>0</v>
      </c>
      <c r="HE117" s="18" t="b">
        <v>0</v>
      </c>
      <c r="HF117" s="18">
        <v>0</v>
      </c>
      <c r="HG117" s="18">
        <v>10001</v>
      </c>
      <c r="HH117" s="18" t="s">
        <v>339</v>
      </c>
      <c r="HI117" s="18" t="s">
        <v>334</v>
      </c>
      <c r="HJ117" s="18">
        <v>0</v>
      </c>
      <c r="HK117" s="18">
        <v>0</v>
      </c>
      <c r="HL117" s="18">
        <v>0</v>
      </c>
      <c r="HM117" s="18">
        <v>0</v>
      </c>
      <c r="HN117" s="18" t="b">
        <v>0</v>
      </c>
    </row>
    <row r="118" spans="1:222">
      <c r="A118"/>
      <c r="B118" s="29" cm="1">
        <f t="array" ref="B118">10000000+INDEX(编号表!$B$1:$B$112,MATCH(D118,编号表!$A$1:$A$112,0))*10000+I118</f>
        <v>10120002</v>
      </c>
      <c r="C118" s="18" t="s">
        <v>379</v>
      </c>
      <c r="D118" s="18" t="s">
        <v>379</v>
      </c>
      <c r="E118" s="18" t="s">
        <v>322</v>
      </c>
      <c r="F118" s="18" t="s">
        <v>323</v>
      </c>
      <c r="G118" s="18" t="b">
        <v>0</v>
      </c>
      <c r="H118" s="18" t="b">
        <v>0</v>
      </c>
      <c r="I118" s="18">
        <v>2</v>
      </c>
      <c r="J118" s="18">
        <v>101200</v>
      </c>
      <c r="K118" s="18" t="s">
        <v>324</v>
      </c>
      <c r="L118" s="18">
        <v>10120001</v>
      </c>
      <c r="M118" s="18">
        <v>10120003</v>
      </c>
      <c r="N118" s="18" t="s">
        <v>380</v>
      </c>
      <c r="O118" s="18">
        <v>10202011</v>
      </c>
      <c r="P118" s="18">
        <v>0</v>
      </c>
      <c r="Q118" s="18">
        <v>1</v>
      </c>
      <c r="R118" s="18">
        <v>7</v>
      </c>
      <c r="S118" s="18">
        <v>0</v>
      </c>
      <c r="T118" s="18">
        <v>100</v>
      </c>
      <c r="U118" s="18" t="s">
        <v>338</v>
      </c>
      <c r="V118" s="18">
        <v>850</v>
      </c>
      <c r="W118" s="18">
        <v>850</v>
      </c>
      <c r="X118" s="18" t="s">
        <v>326</v>
      </c>
      <c r="Y118" s="18" t="s">
        <v>327</v>
      </c>
      <c r="Z118" s="18" t="s">
        <v>328</v>
      </c>
      <c r="AA118" s="18">
        <v>0</v>
      </c>
      <c r="AB118" s="18">
        <v>1</v>
      </c>
      <c r="AC118" s="18" t="b">
        <v>0</v>
      </c>
      <c r="AD118" s="18" t="s">
        <v>329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 t="s">
        <v>330</v>
      </c>
      <c r="AZ118" s="18">
        <v>10400</v>
      </c>
      <c r="BA118" s="18" t="s">
        <v>366</v>
      </c>
      <c r="BB118" s="18" t="s">
        <v>328</v>
      </c>
      <c r="BC118" s="18">
        <v>10000</v>
      </c>
      <c r="BD118" s="18">
        <v>0</v>
      </c>
      <c r="BE118" s="18" t="s">
        <v>332</v>
      </c>
      <c r="BF118" s="18">
        <v>0</v>
      </c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 t="s">
        <v>381</v>
      </c>
      <c r="CG118" s="18" t="s">
        <v>368</v>
      </c>
      <c r="CH118" s="18">
        <v>1100</v>
      </c>
      <c r="CI118" s="18">
        <v>80</v>
      </c>
      <c r="CJ118" s="18" t="s">
        <v>348</v>
      </c>
      <c r="CK118" s="18">
        <v>1</v>
      </c>
      <c r="CL118" s="18">
        <v>0</v>
      </c>
      <c r="CM118" s="18">
        <v>1</v>
      </c>
      <c r="CN118" s="18">
        <v>900</v>
      </c>
      <c r="CO118" s="18">
        <v>70</v>
      </c>
      <c r="CP118" s="18">
        <v>0</v>
      </c>
      <c r="CQ118" s="18">
        <v>1</v>
      </c>
      <c r="CR118" s="18">
        <v>10300002</v>
      </c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>
        <v>200</v>
      </c>
      <c r="GS118" s="18">
        <v>400</v>
      </c>
      <c r="GT118" s="18" t="s">
        <v>356</v>
      </c>
      <c r="GU118" s="18">
        <v>30032</v>
      </c>
      <c r="GV118" s="18" t="s">
        <v>339</v>
      </c>
      <c r="GW118" s="18" t="s">
        <v>339</v>
      </c>
      <c r="GX118" s="18" t="b">
        <v>1</v>
      </c>
      <c r="GY118" s="18">
        <v>2800</v>
      </c>
      <c r="GZ118" s="18" t="b">
        <v>0</v>
      </c>
      <c r="HA118" s="18">
        <v>0</v>
      </c>
      <c r="HB118" s="18">
        <v>0</v>
      </c>
      <c r="HC118" s="18">
        <v>0</v>
      </c>
      <c r="HD118" s="18">
        <v>0</v>
      </c>
      <c r="HE118" s="18" t="b">
        <v>0</v>
      </c>
      <c r="HF118" s="18">
        <v>0</v>
      </c>
      <c r="HG118" s="18">
        <v>10001</v>
      </c>
      <c r="HH118" s="18" t="s">
        <v>339</v>
      </c>
      <c r="HI118" s="18" t="s">
        <v>334</v>
      </c>
      <c r="HJ118" s="18">
        <v>0</v>
      </c>
      <c r="HK118" s="18">
        <v>0</v>
      </c>
      <c r="HL118" s="18">
        <v>0</v>
      </c>
      <c r="HM118" s="18">
        <v>0</v>
      </c>
      <c r="HN118" s="18" t="b">
        <v>0</v>
      </c>
    </row>
    <row r="119" spans="1:222">
      <c r="A119"/>
      <c r="B119" s="29" cm="1">
        <f t="array" ref="B119">10000000+INDEX(编号表!$B$1:$B$112,MATCH(D119,编号表!$A$1:$A$112,0))*10000+I119</f>
        <v>10120003</v>
      </c>
      <c r="C119" s="18" t="s">
        <v>379</v>
      </c>
      <c r="D119" s="18" t="s">
        <v>379</v>
      </c>
      <c r="E119" s="18" t="s">
        <v>322</v>
      </c>
      <c r="F119" s="18" t="s">
        <v>323</v>
      </c>
      <c r="G119" s="18" t="b">
        <v>0</v>
      </c>
      <c r="H119" s="18" t="b">
        <v>0</v>
      </c>
      <c r="I119" s="18">
        <v>3</v>
      </c>
      <c r="J119" s="18">
        <v>101200</v>
      </c>
      <c r="K119" s="18" t="s">
        <v>324</v>
      </c>
      <c r="L119" s="18">
        <v>10120002</v>
      </c>
      <c r="M119" s="18">
        <v>10120004</v>
      </c>
      <c r="N119" s="18" t="s">
        <v>380</v>
      </c>
      <c r="O119" s="18">
        <v>10202011</v>
      </c>
      <c r="P119" s="18">
        <v>0</v>
      </c>
      <c r="Q119" s="18">
        <v>2</v>
      </c>
      <c r="R119" s="18">
        <v>11</v>
      </c>
      <c r="S119" s="18">
        <v>0</v>
      </c>
      <c r="T119" s="18">
        <v>100</v>
      </c>
      <c r="U119" s="18" t="s">
        <v>338</v>
      </c>
      <c r="V119" s="18">
        <v>850</v>
      </c>
      <c r="W119" s="18">
        <v>850</v>
      </c>
      <c r="X119" s="18" t="s">
        <v>326</v>
      </c>
      <c r="Y119" s="18" t="s">
        <v>327</v>
      </c>
      <c r="Z119" s="18" t="s">
        <v>328</v>
      </c>
      <c r="AA119" s="18">
        <v>0</v>
      </c>
      <c r="AB119" s="18">
        <v>1</v>
      </c>
      <c r="AC119" s="18" t="b">
        <v>0</v>
      </c>
      <c r="AD119" s="18" t="s">
        <v>329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 t="s">
        <v>330</v>
      </c>
      <c r="AZ119" s="18">
        <v>10800</v>
      </c>
      <c r="BA119" s="18" t="s">
        <v>366</v>
      </c>
      <c r="BB119" s="18" t="s">
        <v>328</v>
      </c>
      <c r="BC119" s="18">
        <v>10000</v>
      </c>
      <c r="BD119" s="18">
        <v>0</v>
      </c>
      <c r="BE119" s="18" t="s">
        <v>332</v>
      </c>
      <c r="BF119" s="18">
        <v>0</v>
      </c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 t="s">
        <v>381</v>
      </c>
      <c r="CG119" s="18" t="s">
        <v>368</v>
      </c>
      <c r="CH119" s="18">
        <v>1100</v>
      </c>
      <c r="CI119" s="18">
        <v>80</v>
      </c>
      <c r="CJ119" s="18" t="s">
        <v>348</v>
      </c>
      <c r="CK119" s="18">
        <v>1</v>
      </c>
      <c r="CL119" s="18">
        <v>0</v>
      </c>
      <c r="CM119" s="18">
        <v>1</v>
      </c>
      <c r="CN119" s="18">
        <v>900</v>
      </c>
      <c r="CO119" s="18">
        <v>70</v>
      </c>
      <c r="CP119" s="18">
        <v>0</v>
      </c>
      <c r="CQ119" s="18">
        <v>1</v>
      </c>
      <c r="CR119" s="18">
        <v>10300003</v>
      </c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>
        <v>200</v>
      </c>
      <c r="GS119" s="18">
        <v>400</v>
      </c>
      <c r="GT119" s="18" t="s">
        <v>356</v>
      </c>
      <c r="GU119" s="18">
        <v>30032</v>
      </c>
      <c r="GV119" s="18" t="s">
        <v>339</v>
      </c>
      <c r="GW119" s="18" t="s">
        <v>339</v>
      </c>
      <c r="GX119" s="18" t="b">
        <v>1</v>
      </c>
      <c r="GY119" s="18">
        <v>2800</v>
      </c>
      <c r="GZ119" s="18" t="b">
        <v>0</v>
      </c>
      <c r="HA119" s="18">
        <v>0</v>
      </c>
      <c r="HB119" s="18">
        <v>0</v>
      </c>
      <c r="HC119" s="18">
        <v>0</v>
      </c>
      <c r="HD119" s="18">
        <v>0</v>
      </c>
      <c r="HE119" s="18" t="b">
        <v>0</v>
      </c>
      <c r="HF119" s="18">
        <v>0</v>
      </c>
      <c r="HG119" s="18">
        <v>10001</v>
      </c>
      <c r="HH119" s="18" t="s">
        <v>339</v>
      </c>
      <c r="HI119" s="18" t="s">
        <v>334</v>
      </c>
      <c r="HJ119" s="18">
        <v>0</v>
      </c>
      <c r="HK119" s="18">
        <v>0</v>
      </c>
      <c r="HL119" s="18">
        <v>0</v>
      </c>
      <c r="HM119" s="18">
        <v>0</v>
      </c>
      <c r="HN119" s="18" t="b">
        <v>0</v>
      </c>
    </row>
    <row r="120" spans="1:222">
      <c r="A120"/>
      <c r="B120" s="29" cm="1">
        <f t="array" ref="B120">10000000+INDEX(编号表!$B$1:$B$112,MATCH(D120,编号表!$A$1:$A$112,0))*10000+I120</f>
        <v>10120004</v>
      </c>
      <c r="C120" s="18" t="s">
        <v>379</v>
      </c>
      <c r="D120" s="18" t="s">
        <v>379</v>
      </c>
      <c r="E120" s="18" t="s">
        <v>322</v>
      </c>
      <c r="F120" s="18" t="s">
        <v>323</v>
      </c>
      <c r="G120" s="18" t="b">
        <v>0</v>
      </c>
      <c r="H120" s="18" t="b">
        <v>0</v>
      </c>
      <c r="I120" s="18">
        <v>4</v>
      </c>
      <c r="J120" s="18">
        <v>101200</v>
      </c>
      <c r="K120" s="18" t="s">
        <v>324</v>
      </c>
      <c r="L120" s="18">
        <v>10120003</v>
      </c>
      <c r="M120" s="18">
        <v>10120005</v>
      </c>
      <c r="N120" s="18" t="s">
        <v>380</v>
      </c>
      <c r="O120" s="18">
        <v>10202011</v>
      </c>
      <c r="P120" s="18">
        <v>0</v>
      </c>
      <c r="Q120" s="18">
        <v>3</v>
      </c>
      <c r="R120" s="18">
        <v>16</v>
      </c>
      <c r="S120" s="18">
        <v>0</v>
      </c>
      <c r="T120" s="18">
        <v>100</v>
      </c>
      <c r="U120" s="18" t="s">
        <v>338</v>
      </c>
      <c r="V120" s="18">
        <v>850</v>
      </c>
      <c r="W120" s="18">
        <v>850</v>
      </c>
      <c r="X120" s="18" t="s">
        <v>326</v>
      </c>
      <c r="Y120" s="18" t="s">
        <v>327</v>
      </c>
      <c r="Z120" s="18" t="s">
        <v>328</v>
      </c>
      <c r="AA120" s="18">
        <v>0</v>
      </c>
      <c r="AB120" s="18">
        <v>1</v>
      </c>
      <c r="AC120" s="18" t="b">
        <v>0</v>
      </c>
      <c r="AD120" s="18" t="s">
        <v>329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 t="s">
        <v>330</v>
      </c>
      <c r="AZ120" s="18">
        <v>11200</v>
      </c>
      <c r="BA120" s="18" t="s">
        <v>366</v>
      </c>
      <c r="BB120" s="18" t="s">
        <v>328</v>
      </c>
      <c r="BC120" s="18">
        <v>10000</v>
      </c>
      <c r="BD120" s="18">
        <v>0</v>
      </c>
      <c r="BE120" s="18" t="s">
        <v>332</v>
      </c>
      <c r="BF120" s="18">
        <v>0</v>
      </c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 t="s">
        <v>381</v>
      </c>
      <c r="CG120" s="18" t="s">
        <v>368</v>
      </c>
      <c r="CH120" s="18">
        <v>1100</v>
      </c>
      <c r="CI120" s="18">
        <v>80</v>
      </c>
      <c r="CJ120" s="18" t="s">
        <v>348</v>
      </c>
      <c r="CK120" s="18">
        <v>1</v>
      </c>
      <c r="CL120" s="18">
        <v>0</v>
      </c>
      <c r="CM120" s="18">
        <v>1</v>
      </c>
      <c r="CN120" s="18">
        <v>900</v>
      </c>
      <c r="CO120" s="18">
        <v>70</v>
      </c>
      <c r="CP120" s="18">
        <v>0</v>
      </c>
      <c r="CQ120" s="18">
        <v>1</v>
      </c>
      <c r="CR120" s="18">
        <v>10300004</v>
      </c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>
        <v>200</v>
      </c>
      <c r="GS120" s="18">
        <v>400</v>
      </c>
      <c r="GT120" s="18" t="s">
        <v>356</v>
      </c>
      <c r="GU120" s="18">
        <v>30032</v>
      </c>
      <c r="GV120" s="18" t="s">
        <v>339</v>
      </c>
      <c r="GW120" s="18" t="s">
        <v>339</v>
      </c>
      <c r="GX120" s="18" t="b">
        <v>1</v>
      </c>
      <c r="GY120" s="18">
        <v>2800</v>
      </c>
      <c r="GZ120" s="18" t="b">
        <v>0</v>
      </c>
      <c r="HA120" s="18">
        <v>0</v>
      </c>
      <c r="HB120" s="18">
        <v>0</v>
      </c>
      <c r="HC120" s="18">
        <v>0</v>
      </c>
      <c r="HD120" s="18">
        <v>0</v>
      </c>
      <c r="HE120" s="18" t="b">
        <v>0</v>
      </c>
      <c r="HF120" s="18">
        <v>0</v>
      </c>
      <c r="HG120" s="18">
        <v>10001</v>
      </c>
      <c r="HH120" s="18" t="s">
        <v>339</v>
      </c>
      <c r="HI120" s="18" t="s">
        <v>334</v>
      </c>
      <c r="HJ120" s="18">
        <v>0</v>
      </c>
      <c r="HK120" s="18">
        <v>0</v>
      </c>
      <c r="HL120" s="18">
        <v>0</v>
      </c>
      <c r="HM120" s="18">
        <v>0</v>
      </c>
      <c r="HN120" s="18" t="b">
        <v>0</v>
      </c>
    </row>
    <row r="121" spans="1:222">
      <c r="A121"/>
      <c r="B121" s="29" cm="1">
        <f t="array" ref="B121">10000000+INDEX(编号表!$B$1:$B$112,MATCH(D121,编号表!$A$1:$A$112,0))*10000+I121</f>
        <v>10120005</v>
      </c>
      <c r="C121" s="18" t="s">
        <v>379</v>
      </c>
      <c r="D121" s="18" t="s">
        <v>379</v>
      </c>
      <c r="E121" s="18" t="s">
        <v>322</v>
      </c>
      <c r="F121" s="18" t="s">
        <v>323</v>
      </c>
      <c r="G121" s="18" t="b">
        <v>0</v>
      </c>
      <c r="H121" s="18" t="b">
        <v>0</v>
      </c>
      <c r="I121" s="18">
        <v>5</v>
      </c>
      <c r="J121" s="18">
        <v>101200</v>
      </c>
      <c r="K121" s="18" t="s">
        <v>324</v>
      </c>
      <c r="L121" s="18">
        <v>10120004</v>
      </c>
      <c r="M121" s="18">
        <v>10120006</v>
      </c>
      <c r="N121" s="18" t="s">
        <v>380</v>
      </c>
      <c r="O121" s="18">
        <v>10202011</v>
      </c>
      <c r="P121" s="18">
        <v>0</v>
      </c>
      <c r="Q121" s="18">
        <v>3</v>
      </c>
      <c r="R121" s="18">
        <v>25</v>
      </c>
      <c r="S121" s="18">
        <v>0</v>
      </c>
      <c r="T121" s="18">
        <v>100</v>
      </c>
      <c r="U121" s="18" t="s">
        <v>338</v>
      </c>
      <c r="V121" s="18">
        <v>850</v>
      </c>
      <c r="W121" s="18">
        <v>850</v>
      </c>
      <c r="X121" s="18" t="s">
        <v>326</v>
      </c>
      <c r="Y121" s="18" t="s">
        <v>327</v>
      </c>
      <c r="Z121" s="18" t="s">
        <v>328</v>
      </c>
      <c r="AA121" s="18">
        <v>0</v>
      </c>
      <c r="AB121" s="18">
        <v>1</v>
      </c>
      <c r="AC121" s="18" t="b">
        <v>0</v>
      </c>
      <c r="AD121" s="18" t="s">
        <v>329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 t="s">
        <v>330</v>
      </c>
      <c r="AZ121" s="18">
        <v>11300</v>
      </c>
      <c r="BA121" s="18" t="s">
        <v>366</v>
      </c>
      <c r="BB121" s="18" t="s">
        <v>328</v>
      </c>
      <c r="BC121" s="18">
        <v>10000</v>
      </c>
      <c r="BD121" s="18">
        <v>0</v>
      </c>
      <c r="BE121" s="18" t="s">
        <v>332</v>
      </c>
      <c r="BF121" s="18">
        <v>0</v>
      </c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 t="s">
        <v>381</v>
      </c>
      <c r="CG121" s="18" t="s">
        <v>368</v>
      </c>
      <c r="CH121" s="18">
        <v>1100</v>
      </c>
      <c r="CI121" s="18">
        <v>80</v>
      </c>
      <c r="CJ121" s="18" t="s">
        <v>348</v>
      </c>
      <c r="CK121" s="18">
        <v>1</v>
      </c>
      <c r="CL121" s="18">
        <v>0</v>
      </c>
      <c r="CM121" s="18">
        <v>1</v>
      </c>
      <c r="CN121" s="18">
        <v>900</v>
      </c>
      <c r="CO121" s="18">
        <v>70</v>
      </c>
      <c r="CP121" s="18">
        <v>0</v>
      </c>
      <c r="CQ121" s="18">
        <v>1</v>
      </c>
      <c r="CR121" s="18">
        <v>10300005</v>
      </c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>
        <v>200</v>
      </c>
      <c r="GS121" s="18">
        <v>400</v>
      </c>
      <c r="GT121" s="18" t="s">
        <v>356</v>
      </c>
      <c r="GU121" s="18">
        <v>30032</v>
      </c>
      <c r="GV121" s="18" t="s">
        <v>339</v>
      </c>
      <c r="GW121" s="18" t="s">
        <v>339</v>
      </c>
      <c r="GX121" s="18" t="b">
        <v>1</v>
      </c>
      <c r="GY121" s="18">
        <v>2800</v>
      </c>
      <c r="GZ121" s="18" t="b">
        <v>0</v>
      </c>
      <c r="HA121" s="18">
        <v>0</v>
      </c>
      <c r="HB121" s="18">
        <v>0</v>
      </c>
      <c r="HC121" s="18">
        <v>0</v>
      </c>
      <c r="HD121" s="18">
        <v>0</v>
      </c>
      <c r="HE121" s="18" t="b">
        <v>0</v>
      </c>
      <c r="HF121" s="18">
        <v>0</v>
      </c>
      <c r="HG121" s="18">
        <v>10001</v>
      </c>
      <c r="HH121" s="18" t="s">
        <v>339</v>
      </c>
      <c r="HI121" s="18" t="s">
        <v>334</v>
      </c>
      <c r="HJ121" s="18">
        <v>0</v>
      </c>
      <c r="HK121" s="18">
        <v>0</v>
      </c>
      <c r="HL121" s="18">
        <v>0</v>
      </c>
      <c r="HM121" s="18">
        <v>0</v>
      </c>
      <c r="HN121" s="18" t="b">
        <v>0</v>
      </c>
    </row>
    <row r="122" spans="1:222">
      <c r="A122"/>
      <c r="B122" s="29" cm="1">
        <f t="array" ref="B122">10000000+INDEX(编号表!$B$1:$B$112,MATCH(D122,编号表!$A$1:$A$112,0))*10000+I122</f>
        <v>10120006</v>
      </c>
      <c r="C122" s="18" t="s">
        <v>379</v>
      </c>
      <c r="D122" s="18" t="s">
        <v>379</v>
      </c>
      <c r="E122" s="18" t="s">
        <v>322</v>
      </c>
      <c r="F122" s="18" t="s">
        <v>323</v>
      </c>
      <c r="G122" s="18" t="b">
        <v>0</v>
      </c>
      <c r="H122" s="18" t="b">
        <v>0</v>
      </c>
      <c r="I122" s="18">
        <v>6</v>
      </c>
      <c r="J122" s="18">
        <v>101200</v>
      </c>
      <c r="K122" s="18" t="s">
        <v>324</v>
      </c>
      <c r="L122" s="18">
        <v>10120005</v>
      </c>
      <c r="M122" s="18">
        <v>10120007</v>
      </c>
      <c r="N122" s="18" t="s">
        <v>380</v>
      </c>
      <c r="O122" s="18">
        <v>10202011</v>
      </c>
      <c r="P122" s="18">
        <v>0</v>
      </c>
      <c r="Q122" s="18">
        <v>3</v>
      </c>
      <c r="R122" s="18">
        <v>30</v>
      </c>
      <c r="S122" s="18">
        <v>0</v>
      </c>
      <c r="T122" s="18">
        <v>100</v>
      </c>
      <c r="U122" s="18" t="s">
        <v>338</v>
      </c>
      <c r="V122" s="18">
        <v>850</v>
      </c>
      <c r="W122" s="18">
        <v>850</v>
      </c>
      <c r="X122" s="18" t="s">
        <v>326</v>
      </c>
      <c r="Y122" s="18" t="s">
        <v>327</v>
      </c>
      <c r="Z122" s="18" t="s">
        <v>328</v>
      </c>
      <c r="AA122" s="18">
        <v>0</v>
      </c>
      <c r="AB122" s="18">
        <v>1</v>
      </c>
      <c r="AC122" s="18" t="b">
        <v>0</v>
      </c>
      <c r="AD122" s="18" t="s">
        <v>329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 t="s">
        <v>330</v>
      </c>
      <c r="AZ122" s="18">
        <v>11600</v>
      </c>
      <c r="BA122" s="18" t="s">
        <v>366</v>
      </c>
      <c r="BB122" s="18" t="s">
        <v>328</v>
      </c>
      <c r="BC122" s="18">
        <v>10000</v>
      </c>
      <c r="BD122" s="18">
        <v>0</v>
      </c>
      <c r="BE122" s="18" t="s">
        <v>332</v>
      </c>
      <c r="BF122" s="18">
        <v>0</v>
      </c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 t="s">
        <v>381</v>
      </c>
      <c r="CG122" s="18" t="s">
        <v>368</v>
      </c>
      <c r="CH122" s="18">
        <v>1100</v>
      </c>
      <c r="CI122" s="18">
        <v>80</v>
      </c>
      <c r="CJ122" s="18" t="s">
        <v>348</v>
      </c>
      <c r="CK122" s="18">
        <v>1</v>
      </c>
      <c r="CL122" s="18">
        <v>0</v>
      </c>
      <c r="CM122" s="18">
        <v>1</v>
      </c>
      <c r="CN122" s="18">
        <v>900</v>
      </c>
      <c r="CO122" s="18">
        <v>70</v>
      </c>
      <c r="CP122" s="18">
        <v>0</v>
      </c>
      <c r="CQ122" s="18">
        <v>1</v>
      </c>
      <c r="CR122" s="18">
        <v>10300006</v>
      </c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>
        <v>200</v>
      </c>
      <c r="GS122" s="18">
        <v>400</v>
      </c>
      <c r="GT122" s="18" t="s">
        <v>356</v>
      </c>
      <c r="GU122" s="18">
        <v>30032</v>
      </c>
      <c r="GV122" s="18" t="s">
        <v>339</v>
      </c>
      <c r="GW122" s="18" t="s">
        <v>339</v>
      </c>
      <c r="GX122" s="18" t="b">
        <v>1</v>
      </c>
      <c r="GY122" s="18">
        <v>2800</v>
      </c>
      <c r="GZ122" s="18" t="b">
        <v>0</v>
      </c>
      <c r="HA122" s="18">
        <v>0</v>
      </c>
      <c r="HB122" s="18">
        <v>0</v>
      </c>
      <c r="HC122" s="18">
        <v>0</v>
      </c>
      <c r="HD122" s="18">
        <v>0</v>
      </c>
      <c r="HE122" s="18" t="b">
        <v>0</v>
      </c>
      <c r="HF122" s="18">
        <v>0</v>
      </c>
      <c r="HG122" s="18">
        <v>10001</v>
      </c>
      <c r="HH122" s="18" t="s">
        <v>339</v>
      </c>
      <c r="HI122" s="18" t="s">
        <v>334</v>
      </c>
      <c r="HJ122" s="18">
        <v>0</v>
      </c>
      <c r="HK122" s="18">
        <v>0</v>
      </c>
      <c r="HL122" s="18">
        <v>0</v>
      </c>
      <c r="HM122" s="18">
        <v>0</v>
      </c>
      <c r="HN122" s="18" t="b">
        <v>0</v>
      </c>
    </row>
    <row r="123" spans="1:222">
      <c r="A123"/>
      <c r="B123" s="29" cm="1">
        <f t="array" ref="B123">10000000+INDEX(编号表!$B$1:$B$112,MATCH(D123,编号表!$A$1:$A$112,0))*10000+I123</f>
        <v>10120007</v>
      </c>
      <c r="C123" s="18" t="s">
        <v>379</v>
      </c>
      <c r="D123" s="18" t="s">
        <v>379</v>
      </c>
      <c r="E123" s="18" t="s">
        <v>322</v>
      </c>
      <c r="F123" s="18" t="s">
        <v>323</v>
      </c>
      <c r="G123" s="18" t="b">
        <v>0</v>
      </c>
      <c r="H123" s="18" t="b">
        <v>0</v>
      </c>
      <c r="I123" s="18">
        <v>7</v>
      </c>
      <c r="J123" s="18">
        <v>101200</v>
      </c>
      <c r="K123" s="18" t="s">
        <v>324</v>
      </c>
      <c r="L123" s="18">
        <v>10120006</v>
      </c>
      <c r="M123" s="18">
        <v>10120008</v>
      </c>
      <c r="N123" s="18" t="s">
        <v>380</v>
      </c>
      <c r="O123" s="18">
        <v>10202011</v>
      </c>
      <c r="P123" s="18">
        <v>0</v>
      </c>
      <c r="Q123" s="18">
        <v>3</v>
      </c>
      <c r="R123" s="18">
        <v>35</v>
      </c>
      <c r="S123" s="18">
        <v>0</v>
      </c>
      <c r="T123" s="18">
        <v>100</v>
      </c>
      <c r="U123" s="18" t="s">
        <v>338</v>
      </c>
      <c r="V123" s="18">
        <v>850</v>
      </c>
      <c r="W123" s="18">
        <v>850</v>
      </c>
      <c r="X123" s="18" t="s">
        <v>326</v>
      </c>
      <c r="Y123" s="18" t="s">
        <v>327</v>
      </c>
      <c r="Z123" s="18" t="s">
        <v>328</v>
      </c>
      <c r="AA123" s="18">
        <v>0</v>
      </c>
      <c r="AB123" s="18">
        <v>1</v>
      </c>
      <c r="AC123" s="18" t="b">
        <v>0</v>
      </c>
      <c r="AD123" s="18" t="s">
        <v>329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 t="s">
        <v>330</v>
      </c>
      <c r="AZ123" s="18">
        <v>11700</v>
      </c>
      <c r="BA123" s="18" t="s">
        <v>366</v>
      </c>
      <c r="BB123" s="18" t="s">
        <v>328</v>
      </c>
      <c r="BC123" s="18">
        <v>10000</v>
      </c>
      <c r="BD123" s="18">
        <v>0</v>
      </c>
      <c r="BE123" s="18" t="s">
        <v>332</v>
      </c>
      <c r="BF123" s="18">
        <v>0</v>
      </c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 t="s">
        <v>381</v>
      </c>
      <c r="CG123" s="18" t="s">
        <v>368</v>
      </c>
      <c r="CH123" s="18">
        <v>1100</v>
      </c>
      <c r="CI123" s="18">
        <v>80</v>
      </c>
      <c r="CJ123" s="18" t="s">
        <v>348</v>
      </c>
      <c r="CK123" s="18">
        <v>1</v>
      </c>
      <c r="CL123" s="18">
        <v>0</v>
      </c>
      <c r="CM123" s="18">
        <v>1</v>
      </c>
      <c r="CN123" s="18">
        <v>900</v>
      </c>
      <c r="CO123" s="18">
        <v>70</v>
      </c>
      <c r="CP123" s="18">
        <v>0</v>
      </c>
      <c r="CQ123" s="18">
        <v>1</v>
      </c>
      <c r="CR123" s="18">
        <v>10300007</v>
      </c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>
        <v>200</v>
      </c>
      <c r="GS123" s="18">
        <v>400</v>
      </c>
      <c r="GT123" s="18" t="s">
        <v>356</v>
      </c>
      <c r="GU123" s="18">
        <v>30032</v>
      </c>
      <c r="GV123" s="18" t="s">
        <v>339</v>
      </c>
      <c r="GW123" s="18" t="s">
        <v>339</v>
      </c>
      <c r="GX123" s="18" t="b">
        <v>1</v>
      </c>
      <c r="GY123" s="18">
        <v>2800</v>
      </c>
      <c r="GZ123" s="18" t="b">
        <v>0</v>
      </c>
      <c r="HA123" s="18">
        <v>0</v>
      </c>
      <c r="HB123" s="18">
        <v>0</v>
      </c>
      <c r="HC123" s="18">
        <v>0</v>
      </c>
      <c r="HD123" s="18">
        <v>0</v>
      </c>
      <c r="HE123" s="18" t="b">
        <v>0</v>
      </c>
      <c r="HF123" s="18">
        <v>0</v>
      </c>
      <c r="HG123" s="18">
        <v>10001</v>
      </c>
      <c r="HH123" s="18" t="s">
        <v>339</v>
      </c>
      <c r="HI123" s="18" t="s">
        <v>334</v>
      </c>
      <c r="HJ123" s="18">
        <v>0</v>
      </c>
      <c r="HK123" s="18">
        <v>0</v>
      </c>
      <c r="HL123" s="18">
        <v>0</v>
      </c>
      <c r="HM123" s="18">
        <v>0</v>
      </c>
      <c r="HN123" s="18" t="b">
        <v>0</v>
      </c>
    </row>
    <row r="124" spans="1:222">
      <c r="A124"/>
      <c r="B124" s="29" cm="1">
        <f t="array" ref="B124">10000000+INDEX(编号表!$B$1:$B$112,MATCH(D124,编号表!$A$1:$A$112,0))*10000+I124</f>
        <v>10120008</v>
      </c>
      <c r="C124" s="18" t="s">
        <v>379</v>
      </c>
      <c r="D124" s="18" t="s">
        <v>379</v>
      </c>
      <c r="E124" s="18" t="s">
        <v>322</v>
      </c>
      <c r="F124" s="18" t="s">
        <v>323</v>
      </c>
      <c r="G124" s="18" t="b">
        <v>0</v>
      </c>
      <c r="H124" s="18" t="b">
        <v>0</v>
      </c>
      <c r="I124" s="18">
        <v>8</v>
      </c>
      <c r="J124" s="18">
        <v>101200</v>
      </c>
      <c r="K124" s="18" t="s">
        <v>324</v>
      </c>
      <c r="L124" s="18">
        <v>10120007</v>
      </c>
      <c r="M124" s="18">
        <v>10120009</v>
      </c>
      <c r="N124" s="18" t="s">
        <v>380</v>
      </c>
      <c r="O124" s="18">
        <v>10202011</v>
      </c>
      <c r="P124" s="18">
        <v>0</v>
      </c>
      <c r="Q124" s="18">
        <v>3</v>
      </c>
      <c r="R124" s="18">
        <v>35</v>
      </c>
      <c r="S124" s="18">
        <v>0</v>
      </c>
      <c r="T124" s="18">
        <v>100</v>
      </c>
      <c r="U124" s="18" t="s">
        <v>338</v>
      </c>
      <c r="V124" s="18">
        <v>850</v>
      </c>
      <c r="W124" s="18">
        <v>850</v>
      </c>
      <c r="X124" s="18" t="s">
        <v>326</v>
      </c>
      <c r="Y124" s="18" t="s">
        <v>327</v>
      </c>
      <c r="Z124" s="18" t="s">
        <v>328</v>
      </c>
      <c r="AA124" s="18">
        <v>0</v>
      </c>
      <c r="AB124" s="18">
        <v>1</v>
      </c>
      <c r="AC124" s="18" t="b">
        <v>0</v>
      </c>
      <c r="AD124" s="18" t="s">
        <v>329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 t="s">
        <v>330</v>
      </c>
      <c r="AZ124" s="18">
        <v>11800</v>
      </c>
      <c r="BA124" s="18" t="s">
        <v>366</v>
      </c>
      <c r="BB124" s="18" t="s">
        <v>328</v>
      </c>
      <c r="BC124" s="18">
        <v>10000</v>
      </c>
      <c r="BD124" s="18">
        <v>0</v>
      </c>
      <c r="BE124" s="18" t="s">
        <v>332</v>
      </c>
      <c r="BF124" s="18">
        <v>0</v>
      </c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 t="s">
        <v>381</v>
      </c>
      <c r="CG124" s="18" t="s">
        <v>368</v>
      </c>
      <c r="CH124" s="18">
        <v>1100</v>
      </c>
      <c r="CI124" s="18">
        <v>80</v>
      </c>
      <c r="CJ124" s="18" t="s">
        <v>348</v>
      </c>
      <c r="CK124" s="18">
        <v>1</v>
      </c>
      <c r="CL124" s="18">
        <v>0</v>
      </c>
      <c r="CM124" s="18">
        <v>1</v>
      </c>
      <c r="CN124" s="18">
        <v>900</v>
      </c>
      <c r="CO124" s="18">
        <v>70</v>
      </c>
      <c r="CP124" s="18">
        <v>0</v>
      </c>
      <c r="CQ124" s="18">
        <v>1</v>
      </c>
      <c r="CR124" s="18">
        <v>10300008</v>
      </c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>
        <v>200</v>
      </c>
      <c r="GS124" s="18">
        <v>400</v>
      </c>
      <c r="GT124" s="18" t="s">
        <v>356</v>
      </c>
      <c r="GU124" s="18">
        <v>30032</v>
      </c>
      <c r="GV124" s="18" t="s">
        <v>339</v>
      </c>
      <c r="GW124" s="18" t="s">
        <v>339</v>
      </c>
      <c r="GX124" s="18" t="b">
        <v>1</v>
      </c>
      <c r="GY124" s="18">
        <v>2800</v>
      </c>
      <c r="GZ124" s="18" t="b">
        <v>0</v>
      </c>
      <c r="HA124" s="18">
        <v>0</v>
      </c>
      <c r="HB124" s="18">
        <v>0</v>
      </c>
      <c r="HC124" s="18">
        <v>0</v>
      </c>
      <c r="HD124" s="18">
        <v>0</v>
      </c>
      <c r="HE124" s="18" t="b">
        <v>0</v>
      </c>
      <c r="HF124" s="18">
        <v>0</v>
      </c>
      <c r="HG124" s="18">
        <v>10001</v>
      </c>
      <c r="HH124" s="18" t="s">
        <v>339</v>
      </c>
      <c r="HI124" s="18" t="s">
        <v>334</v>
      </c>
      <c r="HJ124" s="18">
        <v>0</v>
      </c>
      <c r="HK124" s="18">
        <v>0</v>
      </c>
      <c r="HL124" s="18">
        <v>0</v>
      </c>
      <c r="HM124" s="18">
        <v>0</v>
      </c>
      <c r="HN124" s="18" t="b">
        <v>0</v>
      </c>
    </row>
    <row r="125" spans="1:222">
      <c r="A125"/>
      <c r="B125" s="29" cm="1">
        <f t="array" ref="B125">10000000+INDEX(编号表!$B$1:$B$112,MATCH(D125,编号表!$A$1:$A$112,0))*10000+I125</f>
        <v>10120009</v>
      </c>
      <c r="C125" s="18" t="s">
        <v>379</v>
      </c>
      <c r="D125" s="18" t="s">
        <v>379</v>
      </c>
      <c r="E125" s="18" t="s">
        <v>322</v>
      </c>
      <c r="F125" s="18" t="s">
        <v>323</v>
      </c>
      <c r="G125" s="18" t="b">
        <v>0</v>
      </c>
      <c r="H125" s="18" t="b">
        <v>0</v>
      </c>
      <c r="I125" s="18">
        <v>9</v>
      </c>
      <c r="J125" s="18">
        <v>101200</v>
      </c>
      <c r="K125" s="18" t="s">
        <v>324</v>
      </c>
      <c r="L125" s="18">
        <v>10120008</v>
      </c>
      <c r="M125" s="18">
        <v>10120010</v>
      </c>
      <c r="N125" s="18" t="s">
        <v>380</v>
      </c>
      <c r="O125" s="18">
        <v>10202011</v>
      </c>
      <c r="P125" s="18">
        <v>0</v>
      </c>
      <c r="Q125" s="18">
        <v>3</v>
      </c>
      <c r="R125" s="18">
        <v>40</v>
      </c>
      <c r="S125" s="18">
        <v>0</v>
      </c>
      <c r="T125" s="18">
        <v>100</v>
      </c>
      <c r="U125" s="18" t="s">
        <v>338</v>
      </c>
      <c r="V125" s="18">
        <v>850</v>
      </c>
      <c r="W125" s="18">
        <v>850</v>
      </c>
      <c r="X125" s="18" t="s">
        <v>326</v>
      </c>
      <c r="Y125" s="18" t="s">
        <v>327</v>
      </c>
      <c r="Z125" s="18" t="s">
        <v>328</v>
      </c>
      <c r="AA125" s="18">
        <v>0</v>
      </c>
      <c r="AB125" s="18">
        <v>1</v>
      </c>
      <c r="AC125" s="18" t="b">
        <v>0</v>
      </c>
      <c r="AD125" s="18" t="s">
        <v>329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 t="s">
        <v>330</v>
      </c>
      <c r="AZ125" s="18">
        <v>11900</v>
      </c>
      <c r="BA125" s="18" t="s">
        <v>366</v>
      </c>
      <c r="BB125" s="18" t="s">
        <v>328</v>
      </c>
      <c r="BC125" s="18">
        <v>10000</v>
      </c>
      <c r="BD125" s="18">
        <v>0</v>
      </c>
      <c r="BE125" s="18" t="s">
        <v>332</v>
      </c>
      <c r="BF125" s="18">
        <v>0</v>
      </c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 t="s">
        <v>381</v>
      </c>
      <c r="CG125" s="18" t="s">
        <v>368</v>
      </c>
      <c r="CH125" s="18">
        <v>1100</v>
      </c>
      <c r="CI125" s="18">
        <v>80</v>
      </c>
      <c r="CJ125" s="18" t="s">
        <v>348</v>
      </c>
      <c r="CK125" s="18">
        <v>1</v>
      </c>
      <c r="CL125" s="18">
        <v>0</v>
      </c>
      <c r="CM125" s="18">
        <v>1</v>
      </c>
      <c r="CN125" s="18">
        <v>900</v>
      </c>
      <c r="CO125" s="18">
        <v>70</v>
      </c>
      <c r="CP125" s="18">
        <v>0</v>
      </c>
      <c r="CQ125" s="18">
        <v>1</v>
      </c>
      <c r="CR125" s="18">
        <v>10300009</v>
      </c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>
        <v>200</v>
      </c>
      <c r="GS125" s="18">
        <v>400</v>
      </c>
      <c r="GT125" s="18" t="s">
        <v>356</v>
      </c>
      <c r="GU125" s="18">
        <v>30032</v>
      </c>
      <c r="GV125" s="18" t="s">
        <v>339</v>
      </c>
      <c r="GW125" s="18" t="s">
        <v>339</v>
      </c>
      <c r="GX125" s="18" t="b">
        <v>1</v>
      </c>
      <c r="GY125" s="18">
        <v>2800</v>
      </c>
      <c r="GZ125" s="18" t="b">
        <v>0</v>
      </c>
      <c r="HA125" s="18">
        <v>0</v>
      </c>
      <c r="HB125" s="18">
        <v>0</v>
      </c>
      <c r="HC125" s="18">
        <v>0</v>
      </c>
      <c r="HD125" s="18">
        <v>0</v>
      </c>
      <c r="HE125" s="18" t="b">
        <v>0</v>
      </c>
      <c r="HF125" s="18">
        <v>0</v>
      </c>
      <c r="HG125" s="18">
        <v>10001</v>
      </c>
      <c r="HH125" s="18" t="s">
        <v>339</v>
      </c>
      <c r="HI125" s="18" t="s">
        <v>334</v>
      </c>
      <c r="HJ125" s="18">
        <v>0</v>
      </c>
      <c r="HK125" s="18">
        <v>0</v>
      </c>
      <c r="HL125" s="18">
        <v>0</v>
      </c>
      <c r="HM125" s="18">
        <v>0</v>
      </c>
      <c r="HN125" s="18" t="b">
        <v>0</v>
      </c>
    </row>
    <row r="126" spans="1:222">
      <c r="A126"/>
      <c r="B126" s="29" cm="1">
        <f t="array" ref="B126">10000000+INDEX(编号表!$B$1:$B$112,MATCH(D126,编号表!$A$1:$A$112,0))*10000+I126</f>
        <v>10120010</v>
      </c>
      <c r="C126" s="18" t="s">
        <v>379</v>
      </c>
      <c r="D126" s="18" t="s">
        <v>379</v>
      </c>
      <c r="E126" s="18" t="s">
        <v>322</v>
      </c>
      <c r="F126" s="18" t="s">
        <v>323</v>
      </c>
      <c r="G126" s="18" t="b">
        <v>0</v>
      </c>
      <c r="H126" s="18" t="b">
        <v>0</v>
      </c>
      <c r="I126" s="18">
        <v>10</v>
      </c>
      <c r="J126" s="18">
        <v>101200</v>
      </c>
      <c r="K126" s="18" t="s">
        <v>324</v>
      </c>
      <c r="L126" s="18">
        <v>10120009</v>
      </c>
      <c r="M126" s="18">
        <v>0</v>
      </c>
      <c r="N126" s="18" t="s">
        <v>380</v>
      </c>
      <c r="O126" s="18">
        <v>10202011</v>
      </c>
      <c r="P126" s="18">
        <v>0</v>
      </c>
      <c r="Q126" s="18">
        <v>3</v>
      </c>
      <c r="R126" s="18">
        <v>40</v>
      </c>
      <c r="S126" s="18">
        <v>0</v>
      </c>
      <c r="T126" s="18">
        <v>0</v>
      </c>
      <c r="U126" s="18" t="s">
        <v>338</v>
      </c>
      <c r="V126" s="18">
        <v>850</v>
      </c>
      <c r="W126" s="18">
        <v>850</v>
      </c>
      <c r="X126" s="18" t="s">
        <v>326</v>
      </c>
      <c r="Y126" s="18" t="s">
        <v>327</v>
      </c>
      <c r="Z126" s="18" t="s">
        <v>328</v>
      </c>
      <c r="AA126" s="18">
        <v>0</v>
      </c>
      <c r="AB126" s="18">
        <v>1</v>
      </c>
      <c r="AC126" s="18" t="b">
        <v>0</v>
      </c>
      <c r="AD126" s="18" t="s">
        <v>329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 t="s">
        <v>330</v>
      </c>
      <c r="AZ126" s="18">
        <v>12000</v>
      </c>
      <c r="BA126" s="18" t="s">
        <v>366</v>
      </c>
      <c r="BB126" s="18" t="s">
        <v>328</v>
      </c>
      <c r="BC126" s="18">
        <v>10000</v>
      </c>
      <c r="BD126" s="18">
        <v>0</v>
      </c>
      <c r="BE126" s="18" t="s">
        <v>332</v>
      </c>
      <c r="BF126" s="18">
        <v>0</v>
      </c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 t="s">
        <v>381</v>
      </c>
      <c r="CG126" s="18" t="s">
        <v>368</v>
      </c>
      <c r="CH126" s="18">
        <v>1100</v>
      </c>
      <c r="CI126" s="18">
        <v>80</v>
      </c>
      <c r="CJ126" s="18" t="s">
        <v>348</v>
      </c>
      <c r="CK126" s="18">
        <v>1</v>
      </c>
      <c r="CL126" s="18">
        <v>0</v>
      </c>
      <c r="CM126" s="18">
        <v>1</v>
      </c>
      <c r="CN126" s="18">
        <v>900</v>
      </c>
      <c r="CO126" s="18">
        <v>70</v>
      </c>
      <c r="CP126" s="18">
        <v>0</v>
      </c>
      <c r="CQ126" s="18">
        <v>1</v>
      </c>
      <c r="CR126" s="18">
        <v>10300010</v>
      </c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>
        <v>200</v>
      </c>
      <c r="GS126" s="18">
        <v>400</v>
      </c>
      <c r="GT126" s="18" t="s">
        <v>356</v>
      </c>
      <c r="GU126" s="18">
        <v>30032</v>
      </c>
      <c r="GV126" s="18" t="s">
        <v>339</v>
      </c>
      <c r="GW126" s="18" t="s">
        <v>339</v>
      </c>
      <c r="GX126" s="18" t="b">
        <v>1</v>
      </c>
      <c r="GY126" s="18">
        <v>2800</v>
      </c>
      <c r="GZ126" s="18" t="b">
        <v>0</v>
      </c>
      <c r="HA126" s="18">
        <v>0</v>
      </c>
      <c r="HB126" s="18">
        <v>0</v>
      </c>
      <c r="HC126" s="18">
        <v>0</v>
      </c>
      <c r="HD126" s="18">
        <v>0</v>
      </c>
      <c r="HE126" s="18" t="b">
        <v>0</v>
      </c>
      <c r="HF126" s="18">
        <v>0</v>
      </c>
      <c r="HG126" s="18">
        <v>10001</v>
      </c>
      <c r="HH126" s="18" t="s">
        <v>339</v>
      </c>
      <c r="HI126" s="18" t="s">
        <v>334</v>
      </c>
      <c r="HJ126" s="18">
        <v>0</v>
      </c>
      <c r="HK126" s="18">
        <v>0</v>
      </c>
      <c r="HL126" s="18">
        <v>0</v>
      </c>
      <c r="HM126" s="18">
        <v>0</v>
      </c>
      <c r="HN126" s="18" t="b">
        <v>0</v>
      </c>
    </row>
    <row r="127" spans="1:222">
      <c r="A127"/>
      <c r="B127" s="29" cm="1">
        <f t="array" ref="B127">10000000+INDEX(编号表!$B$1:$B$112,MATCH(D127,编号表!$A$1:$A$112,0))*10000+I127</f>
        <v>10130001</v>
      </c>
      <c r="C127" s="18" t="s">
        <v>382</v>
      </c>
      <c r="D127" s="18" t="s">
        <v>382</v>
      </c>
      <c r="E127" s="18" t="s">
        <v>322</v>
      </c>
      <c r="F127" s="18" t="s">
        <v>323</v>
      </c>
      <c r="G127" s="18" t="b">
        <v>0</v>
      </c>
      <c r="H127" s="18" t="b">
        <v>0</v>
      </c>
      <c r="I127" s="18">
        <v>1</v>
      </c>
      <c r="J127" s="18">
        <v>101300</v>
      </c>
      <c r="K127" s="18" t="s">
        <v>324</v>
      </c>
      <c r="L127" s="18">
        <v>0</v>
      </c>
      <c r="M127" s="18">
        <v>10130002</v>
      </c>
      <c r="N127" s="18" t="s">
        <v>383</v>
      </c>
      <c r="O127" s="18">
        <v>10202012</v>
      </c>
      <c r="P127" s="18">
        <v>0</v>
      </c>
      <c r="Q127" s="18">
        <v>0</v>
      </c>
      <c r="R127" s="18">
        <v>1</v>
      </c>
      <c r="S127" s="18">
        <v>0</v>
      </c>
      <c r="T127" s="18">
        <v>100</v>
      </c>
      <c r="U127" s="18" t="s">
        <v>338</v>
      </c>
      <c r="V127" s="18">
        <v>850</v>
      </c>
      <c r="W127" s="18">
        <v>850</v>
      </c>
      <c r="X127" s="18" t="s">
        <v>326</v>
      </c>
      <c r="Y127" s="18" t="s">
        <v>327</v>
      </c>
      <c r="Z127" s="18" t="s">
        <v>328</v>
      </c>
      <c r="AA127" s="18">
        <v>0</v>
      </c>
      <c r="AB127" s="18">
        <v>1</v>
      </c>
      <c r="AC127" s="18" t="b">
        <v>0</v>
      </c>
      <c r="AD127" s="18" t="s">
        <v>329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 t="s">
        <v>330</v>
      </c>
      <c r="AZ127" s="18">
        <v>10000</v>
      </c>
      <c r="BA127" s="18" t="s">
        <v>366</v>
      </c>
      <c r="BB127" s="18" t="s">
        <v>328</v>
      </c>
      <c r="BC127" s="18">
        <v>10000</v>
      </c>
      <c r="BD127" s="18">
        <v>0</v>
      </c>
      <c r="BE127" s="18" t="s">
        <v>332</v>
      </c>
      <c r="BF127" s="18">
        <v>0</v>
      </c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 t="s">
        <v>381</v>
      </c>
      <c r="CG127" s="18" t="s">
        <v>368</v>
      </c>
      <c r="CH127" s="18">
        <v>1100</v>
      </c>
      <c r="CI127" s="18">
        <v>80</v>
      </c>
      <c r="CJ127" s="18" t="s">
        <v>348</v>
      </c>
      <c r="CK127" s="18">
        <v>1</v>
      </c>
      <c r="CL127" s="18">
        <v>0</v>
      </c>
      <c r="CM127" s="18">
        <v>1</v>
      </c>
      <c r="CN127" s="18">
        <v>900</v>
      </c>
      <c r="CO127" s="18">
        <v>70</v>
      </c>
      <c r="CP127" s="18">
        <v>0</v>
      </c>
      <c r="CQ127" s="18">
        <v>1</v>
      </c>
      <c r="CR127" s="18">
        <v>10310001</v>
      </c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>
        <v>200</v>
      </c>
      <c r="GS127" s="18">
        <v>400</v>
      </c>
      <c r="GT127" s="18" t="s">
        <v>356</v>
      </c>
      <c r="GU127" s="18">
        <v>30033</v>
      </c>
      <c r="GV127" s="18" t="s">
        <v>339</v>
      </c>
      <c r="GW127" s="18" t="s">
        <v>339</v>
      </c>
      <c r="GX127" s="18" t="b">
        <v>1</v>
      </c>
      <c r="GY127" s="18">
        <v>4000</v>
      </c>
      <c r="GZ127" s="18" t="b">
        <v>0</v>
      </c>
      <c r="HA127" s="18">
        <v>0</v>
      </c>
      <c r="HB127" s="18">
        <v>0</v>
      </c>
      <c r="HC127" s="18">
        <v>0</v>
      </c>
      <c r="HD127" s="18">
        <v>0</v>
      </c>
      <c r="HE127" s="18" t="b">
        <v>0</v>
      </c>
      <c r="HF127" s="18">
        <v>0</v>
      </c>
      <c r="HG127" s="18">
        <v>10001</v>
      </c>
      <c r="HH127" s="18" t="s">
        <v>339</v>
      </c>
      <c r="HI127" s="18" t="s">
        <v>334</v>
      </c>
      <c r="HJ127" s="18">
        <v>0</v>
      </c>
      <c r="HK127" s="18">
        <v>0</v>
      </c>
      <c r="HL127" s="18">
        <v>0</v>
      </c>
      <c r="HM127" s="18">
        <v>0</v>
      </c>
      <c r="HN127" s="18" t="b">
        <v>0</v>
      </c>
    </row>
    <row r="128" spans="1:222">
      <c r="A128"/>
      <c r="B128" s="29" cm="1">
        <f t="array" ref="B128">10000000+INDEX(编号表!$B$1:$B$112,MATCH(D128,编号表!$A$1:$A$112,0))*10000+I128</f>
        <v>10130002</v>
      </c>
      <c r="C128" s="18" t="s">
        <v>382</v>
      </c>
      <c r="D128" s="18" t="s">
        <v>382</v>
      </c>
      <c r="E128" s="18" t="s">
        <v>322</v>
      </c>
      <c r="F128" s="18" t="s">
        <v>323</v>
      </c>
      <c r="G128" s="18" t="b">
        <v>0</v>
      </c>
      <c r="H128" s="18" t="b">
        <v>0</v>
      </c>
      <c r="I128" s="18">
        <v>2</v>
      </c>
      <c r="J128" s="18">
        <v>101300</v>
      </c>
      <c r="K128" s="18" t="s">
        <v>324</v>
      </c>
      <c r="L128" s="18">
        <v>10130001</v>
      </c>
      <c r="M128" s="18">
        <v>10130003</v>
      </c>
      <c r="N128" s="18" t="s">
        <v>383</v>
      </c>
      <c r="O128" s="18">
        <v>10202012</v>
      </c>
      <c r="P128" s="18">
        <v>0</v>
      </c>
      <c r="Q128" s="18">
        <v>1</v>
      </c>
      <c r="R128" s="18">
        <v>7</v>
      </c>
      <c r="S128" s="18">
        <v>0</v>
      </c>
      <c r="T128" s="18">
        <v>100</v>
      </c>
      <c r="U128" s="18" t="s">
        <v>338</v>
      </c>
      <c r="V128" s="18">
        <v>850</v>
      </c>
      <c r="W128" s="18">
        <v>850</v>
      </c>
      <c r="X128" s="18" t="s">
        <v>326</v>
      </c>
      <c r="Y128" s="18" t="s">
        <v>327</v>
      </c>
      <c r="Z128" s="18" t="s">
        <v>328</v>
      </c>
      <c r="AA128" s="18">
        <v>0</v>
      </c>
      <c r="AB128" s="18">
        <v>1</v>
      </c>
      <c r="AC128" s="18" t="b">
        <v>0</v>
      </c>
      <c r="AD128" s="18" t="s">
        <v>329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 t="s">
        <v>330</v>
      </c>
      <c r="AZ128" s="18">
        <v>10400</v>
      </c>
      <c r="BA128" s="18" t="s">
        <v>366</v>
      </c>
      <c r="BB128" s="18" t="s">
        <v>328</v>
      </c>
      <c r="BC128" s="18">
        <v>10000</v>
      </c>
      <c r="BD128" s="18">
        <v>0</v>
      </c>
      <c r="BE128" s="18" t="s">
        <v>332</v>
      </c>
      <c r="BF128" s="18">
        <v>0</v>
      </c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 t="s">
        <v>381</v>
      </c>
      <c r="CG128" s="18" t="s">
        <v>368</v>
      </c>
      <c r="CH128" s="18">
        <v>1100</v>
      </c>
      <c r="CI128" s="18">
        <v>80</v>
      </c>
      <c r="CJ128" s="18" t="s">
        <v>348</v>
      </c>
      <c r="CK128" s="18">
        <v>1</v>
      </c>
      <c r="CL128" s="18">
        <v>0</v>
      </c>
      <c r="CM128" s="18">
        <v>1</v>
      </c>
      <c r="CN128" s="18">
        <v>900</v>
      </c>
      <c r="CO128" s="18">
        <v>70</v>
      </c>
      <c r="CP128" s="18">
        <v>0</v>
      </c>
      <c r="CQ128" s="18">
        <v>1</v>
      </c>
      <c r="CR128" s="18">
        <v>10310002</v>
      </c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>
        <v>200</v>
      </c>
      <c r="GS128" s="18">
        <v>400</v>
      </c>
      <c r="GT128" s="18" t="s">
        <v>356</v>
      </c>
      <c r="GU128" s="18">
        <v>30033</v>
      </c>
      <c r="GV128" s="18" t="s">
        <v>339</v>
      </c>
      <c r="GW128" s="18" t="s">
        <v>339</v>
      </c>
      <c r="GX128" s="18" t="b">
        <v>1</v>
      </c>
      <c r="GY128" s="18">
        <v>4000</v>
      </c>
      <c r="GZ128" s="18" t="b">
        <v>0</v>
      </c>
      <c r="HA128" s="18">
        <v>0</v>
      </c>
      <c r="HB128" s="18">
        <v>0</v>
      </c>
      <c r="HC128" s="18">
        <v>0</v>
      </c>
      <c r="HD128" s="18">
        <v>0</v>
      </c>
      <c r="HE128" s="18" t="b">
        <v>0</v>
      </c>
      <c r="HF128" s="18">
        <v>0</v>
      </c>
      <c r="HG128" s="18">
        <v>10001</v>
      </c>
      <c r="HH128" s="18" t="s">
        <v>339</v>
      </c>
      <c r="HI128" s="18" t="s">
        <v>334</v>
      </c>
      <c r="HJ128" s="18">
        <v>0</v>
      </c>
      <c r="HK128" s="18">
        <v>0</v>
      </c>
      <c r="HL128" s="18">
        <v>0</v>
      </c>
      <c r="HM128" s="18">
        <v>0</v>
      </c>
      <c r="HN128" s="18" t="b">
        <v>0</v>
      </c>
    </row>
    <row r="129" spans="1:222">
      <c r="A129"/>
      <c r="B129" s="29" cm="1">
        <f t="array" ref="B129">10000000+INDEX(编号表!$B$1:$B$112,MATCH(D129,编号表!$A$1:$A$112,0))*10000+I129</f>
        <v>10130003</v>
      </c>
      <c r="C129" s="18" t="s">
        <v>382</v>
      </c>
      <c r="D129" s="18" t="s">
        <v>382</v>
      </c>
      <c r="E129" s="18" t="s">
        <v>322</v>
      </c>
      <c r="F129" s="18" t="s">
        <v>323</v>
      </c>
      <c r="G129" s="18" t="b">
        <v>0</v>
      </c>
      <c r="H129" s="18" t="b">
        <v>0</v>
      </c>
      <c r="I129" s="18">
        <v>3</v>
      </c>
      <c r="J129" s="18">
        <v>101300</v>
      </c>
      <c r="K129" s="18" t="s">
        <v>324</v>
      </c>
      <c r="L129" s="18">
        <v>10130002</v>
      </c>
      <c r="M129" s="18">
        <v>10130004</v>
      </c>
      <c r="N129" s="18" t="s">
        <v>383</v>
      </c>
      <c r="O129" s="18">
        <v>10202012</v>
      </c>
      <c r="P129" s="18">
        <v>0</v>
      </c>
      <c r="Q129" s="18">
        <v>2</v>
      </c>
      <c r="R129" s="18">
        <v>11</v>
      </c>
      <c r="S129" s="18">
        <v>0</v>
      </c>
      <c r="T129" s="18">
        <v>100</v>
      </c>
      <c r="U129" s="18" t="s">
        <v>338</v>
      </c>
      <c r="V129" s="18">
        <v>850</v>
      </c>
      <c r="W129" s="18">
        <v>850</v>
      </c>
      <c r="X129" s="18" t="s">
        <v>326</v>
      </c>
      <c r="Y129" s="18" t="s">
        <v>327</v>
      </c>
      <c r="Z129" s="18" t="s">
        <v>328</v>
      </c>
      <c r="AA129" s="18">
        <v>0</v>
      </c>
      <c r="AB129" s="18">
        <v>1</v>
      </c>
      <c r="AC129" s="18" t="b">
        <v>0</v>
      </c>
      <c r="AD129" s="18" t="s">
        <v>329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 t="s">
        <v>330</v>
      </c>
      <c r="AZ129" s="18">
        <v>10800</v>
      </c>
      <c r="BA129" s="18" t="s">
        <v>366</v>
      </c>
      <c r="BB129" s="18" t="s">
        <v>328</v>
      </c>
      <c r="BC129" s="18">
        <v>10000</v>
      </c>
      <c r="BD129" s="18">
        <v>0</v>
      </c>
      <c r="BE129" s="18" t="s">
        <v>332</v>
      </c>
      <c r="BF129" s="18">
        <v>0</v>
      </c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 t="s">
        <v>381</v>
      </c>
      <c r="CG129" s="18" t="s">
        <v>368</v>
      </c>
      <c r="CH129" s="18">
        <v>1100</v>
      </c>
      <c r="CI129" s="18">
        <v>80</v>
      </c>
      <c r="CJ129" s="18" t="s">
        <v>348</v>
      </c>
      <c r="CK129" s="18">
        <v>1</v>
      </c>
      <c r="CL129" s="18">
        <v>0</v>
      </c>
      <c r="CM129" s="18">
        <v>1</v>
      </c>
      <c r="CN129" s="18">
        <v>900</v>
      </c>
      <c r="CO129" s="18">
        <v>70</v>
      </c>
      <c r="CP129" s="18">
        <v>0</v>
      </c>
      <c r="CQ129" s="18">
        <v>1</v>
      </c>
      <c r="CR129" s="18">
        <v>10310003</v>
      </c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>
        <v>200</v>
      </c>
      <c r="GS129" s="18">
        <v>400</v>
      </c>
      <c r="GT129" s="18" t="s">
        <v>356</v>
      </c>
      <c r="GU129" s="18">
        <v>30033</v>
      </c>
      <c r="GV129" s="18" t="s">
        <v>339</v>
      </c>
      <c r="GW129" s="18" t="s">
        <v>339</v>
      </c>
      <c r="GX129" s="18" t="b">
        <v>1</v>
      </c>
      <c r="GY129" s="18">
        <v>4000</v>
      </c>
      <c r="GZ129" s="18" t="b">
        <v>0</v>
      </c>
      <c r="HA129" s="18">
        <v>0</v>
      </c>
      <c r="HB129" s="18">
        <v>0</v>
      </c>
      <c r="HC129" s="18">
        <v>0</v>
      </c>
      <c r="HD129" s="18">
        <v>0</v>
      </c>
      <c r="HE129" s="18" t="b">
        <v>0</v>
      </c>
      <c r="HF129" s="18">
        <v>0</v>
      </c>
      <c r="HG129" s="18">
        <v>10001</v>
      </c>
      <c r="HH129" s="18" t="s">
        <v>339</v>
      </c>
      <c r="HI129" s="18" t="s">
        <v>334</v>
      </c>
      <c r="HJ129" s="18">
        <v>0</v>
      </c>
      <c r="HK129" s="18">
        <v>0</v>
      </c>
      <c r="HL129" s="18">
        <v>0</v>
      </c>
      <c r="HM129" s="18">
        <v>0</v>
      </c>
      <c r="HN129" s="18" t="b">
        <v>0</v>
      </c>
    </row>
    <row r="130" spans="1:222">
      <c r="A130"/>
      <c r="B130" s="29" cm="1">
        <f t="array" ref="B130">10000000+INDEX(编号表!$B$1:$B$112,MATCH(D130,编号表!$A$1:$A$112,0))*10000+I130</f>
        <v>10130004</v>
      </c>
      <c r="C130" s="18" t="s">
        <v>382</v>
      </c>
      <c r="D130" s="18" t="s">
        <v>382</v>
      </c>
      <c r="E130" s="18" t="s">
        <v>322</v>
      </c>
      <c r="F130" s="18" t="s">
        <v>323</v>
      </c>
      <c r="G130" s="18" t="b">
        <v>0</v>
      </c>
      <c r="H130" s="18" t="b">
        <v>0</v>
      </c>
      <c r="I130" s="18">
        <v>4</v>
      </c>
      <c r="J130" s="18">
        <v>101300</v>
      </c>
      <c r="K130" s="18" t="s">
        <v>324</v>
      </c>
      <c r="L130" s="18">
        <v>10130003</v>
      </c>
      <c r="M130" s="18">
        <v>10130005</v>
      </c>
      <c r="N130" s="18" t="s">
        <v>383</v>
      </c>
      <c r="O130" s="18">
        <v>10202012</v>
      </c>
      <c r="P130" s="18">
        <v>0</v>
      </c>
      <c r="Q130" s="18">
        <v>3</v>
      </c>
      <c r="R130" s="18">
        <v>16</v>
      </c>
      <c r="S130" s="18">
        <v>0</v>
      </c>
      <c r="T130" s="18">
        <v>100</v>
      </c>
      <c r="U130" s="18" t="s">
        <v>338</v>
      </c>
      <c r="V130" s="18">
        <v>850</v>
      </c>
      <c r="W130" s="18">
        <v>850</v>
      </c>
      <c r="X130" s="18" t="s">
        <v>326</v>
      </c>
      <c r="Y130" s="18" t="s">
        <v>327</v>
      </c>
      <c r="Z130" s="18" t="s">
        <v>328</v>
      </c>
      <c r="AA130" s="18">
        <v>0</v>
      </c>
      <c r="AB130" s="18">
        <v>1</v>
      </c>
      <c r="AC130" s="18" t="b">
        <v>0</v>
      </c>
      <c r="AD130" s="18" t="s">
        <v>329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 t="s">
        <v>330</v>
      </c>
      <c r="AZ130" s="18">
        <v>11200</v>
      </c>
      <c r="BA130" s="18" t="s">
        <v>366</v>
      </c>
      <c r="BB130" s="18" t="s">
        <v>328</v>
      </c>
      <c r="BC130" s="18">
        <v>10000</v>
      </c>
      <c r="BD130" s="18">
        <v>0</v>
      </c>
      <c r="BE130" s="18" t="s">
        <v>332</v>
      </c>
      <c r="BF130" s="18">
        <v>0</v>
      </c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 t="s">
        <v>381</v>
      </c>
      <c r="CG130" s="18" t="s">
        <v>368</v>
      </c>
      <c r="CH130" s="18">
        <v>1100</v>
      </c>
      <c r="CI130" s="18">
        <v>80</v>
      </c>
      <c r="CJ130" s="18" t="s">
        <v>348</v>
      </c>
      <c r="CK130" s="18">
        <v>1</v>
      </c>
      <c r="CL130" s="18">
        <v>0</v>
      </c>
      <c r="CM130" s="18">
        <v>1</v>
      </c>
      <c r="CN130" s="18">
        <v>900</v>
      </c>
      <c r="CO130" s="18">
        <v>70</v>
      </c>
      <c r="CP130" s="18">
        <v>0</v>
      </c>
      <c r="CQ130" s="18">
        <v>1</v>
      </c>
      <c r="CR130" s="18">
        <v>10310004</v>
      </c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>
        <v>200</v>
      </c>
      <c r="GS130" s="18">
        <v>400</v>
      </c>
      <c r="GT130" s="18" t="s">
        <v>356</v>
      </c>
      <c r="GU130" s="18">
        <v>30033</v>
      </c>
      <c r="GV130" s="18" t="s">
        <v>339</v>
      </c>
      <c r="GW130" s="18" t="s">
        <v>339</v>
      </c>
      <c r="GX130" s="18" t="b">
        <v>1</v>
      </c>
      <c r="GY130" s="18">
        <v>4000</v>
      </c>
      <c r="GZ130" s="18" t="b">
        <v>0</v>
      </c>
      <c r="HA130" s="18">
        <v>0</v>
      </c>
      <c r="HB130" s="18">
        <v>0</v>
      </c>
      <c r="HC130" s="18">
        <v>0</v>
      </c>
      <c r="HD130" s="18">
        <v>0</v>
      </c>
      <c r="HE130" s="18" t="b">
        <v>0</v>
      </c>
      <c r="HF130" s="18">
        <v>0</v>
      </c>
      <c r="HG130" s="18">
        <v>10001</v>
      </c>
      <c r="HH130" s="18" t="s">
        <v>339</v>
      </c>
      <c r="HI130" s="18" t="s">
        <v>334</v>
      </c>
      <c r="HJ130" s="18">
        <v>0</v>
      </c>
      <c r="HK130" s="18">
        <v>0</v>
      </c>
      <c r="HL130" s="18">
        <v>0</v>
      </c>
      <c r="HM130" s="18">
        <v>0</v>
      </c>
      <c r="HN130" s="18" t="b">
        <v>0</v>
      </c>
    </row>
    <row r="131" spans="1:222">
      <c r="A131"/>
      <c r="B131" s="29" cm="1">
        <f t="array" ref="B131">10000000+INDEX(编号表!$B$1:$B$112,MATCH(D131,编号表!$A$1:$A$112,0))*10000+I131</f>
        <v>10130005</v>
      </c>
      <c r="C131" s="18" t="s">
        <v>382</v>
      </c>
      <c r="D131" s="18" t="s">
        <v>382</v>
      </c>
      <c r="E131" s="18" t="s">
        <v>322</v>
      </c>
      <c r="F131" s="18" t="s">
        <v>323</v>
      </c>
      <c r="G131" s="18" t="b">
        <v>0</v>
      </c>
      <c r="H131" s="18" t="b">
        <v>0</v>
      </c>
      <c r="I131" s="18">
        <v>5</v>
      </c>
      <c r="J131" s="18">
        <v>101300</v>
      </c>
      <c r="K131" s="18" t="s">
        <v>324</v>
      </c>
      <c r="L131" s="18">
        <v>10130004</v>
      </c>
      <c r="M131" s="18">
        <v>10130006</v>
      </c>
      <c r="N131" s="18" t="s">
        <v>383</v>
      </c>
      <c r="O131" s="18">
        <v>10202012</v>
      </c>
      <c r="P131" s="18">
        <v>0</v>
      </c>
      <c r="Q131" s="18">
        <v>3</v>
      </c>
      <c r="R131" s="18">
        <v>25</v>
      </c>
      <c r="S131" s="18">
        <v>0</v>
      </c>
      <c r="T131" s="18">
        <v>100</v>
      </c>
      <c r="U131" s="18" t="s">
        <v>338</v>
      </c>
      <c r="V131" s="18">
        <v>850</v>
      </c>
      <c r="W131" s="18">
        <v>850</v>
      </c>
      <c r="X131" s="18" t="s">
        <v>326</v>
      </c>
      <c r="Y131" s="18" t="s">
        <v>327</v>
      </c>
      <c r="Z131" s="18" t="s">
        <v>328</v>
      </c>
      <c r="AA131" s="18">
        <v>0</v>
      </c>
      <c r="AB131" s="18">
        <v>1</v>
      </c>
      <c r="AC131" s="18" t="b">
        <v>0</v>
      </c>
      <c r="AD131" s="18" t="s">
        <v>329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 t="s">
        <v>330</v>
      </c>
      <c r="AZ131" s="18">
        <v>11300</v>
      </c>
      <c r="BA131" s="18" t="s">
        <v>366</v>
      </c>
      <c r="BB131" s="18" t="s">
        <v>328</v>
      </c>
      <c r="BC131" s="18">
        <v>10000</v>
      </c>
      <c r="BD131" s="18">
        <v>0</v>
      </c>
      <c r="BE131" s="18" t="s">
        <v>332</v>
      </c>
      <c r="BF131" s="18">
        <v>0</v>
      </c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 t="s">
        <v>381</v>
      </c>
      <c r="CG131" s="18" t="s">
        <v>368</v>
      </c>
      <c r="CH131" s="18">
        <v>1100</v>
      </c>
      <c r="CI131" s="18">
        <v>80</v>
      </c>
      <c r="CJ131" s="18" t="s">
        <v>348</v>
      </c>
      <c r="CK131" s="18">
        <v>1</v>
      </c>
      <c r="CL131" s="18">
        <v>0</v>
      </c>
      <c r="CM131" s="18">
        <v>1</v>
      </c>
      <c r="CN131" s="18">
        <v>900</v>
      </c>
      <c r="CO131" s="18">
        <v>70</v>
      </c>
      <c r="CP131" s="18">
        <v>0</v>
      </c>
      <c r="CQ131" s="18">
        <v>1</v>
      </c>
      <c r="CR131" s="18">
        <v>10310005</v>
      </c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>
        <v>200</v>
      </c>
      <c r="GS131" s="18">
        <v>400</v>
      </c>
      <c r="GT131" s="18" t="s">
        <v>356</v>
      </c>
      <c r="GU131" s="18">
        <v>30033</v>
      </c>
      <c r="GV131" s="18" t="s">
        <v>339</v>
      </c>
      <c r="GW131" s="18" t="s">
        <v>339</v>
      </c>
      <c r="GX131" s="18" t="b">
        <v>1</v>
      </c>
      <c r="GY131" s="18">
        <v>4000</v>
      </c>
      <c r="GZ131" s="18" t="b">
        <v>0</v>
      </c>
      <c r="HA131" s="18">
        <v>0</v>
      </c>
      <c r="HB131" s="18">
        <v>0</v>
      </c>
      <c r="HC131" s="18">
        <v>0</v>
      </c>
      <c r="HD131" s="18">
        <v>0</v>
      </c>
      <c r="HE131" s="18" t="b">
        <v>0</v>
      </c>
      <c r="HF131" s="18">
        <v>0</v>
      </c>
      <c r="HG131" s="18">
        <v>10001</v>
      </c>
      <c r="HH131" s="18" t="s">
        <v>339</v>
      </c>
      <c r="HI131" s="18" t="s">
        <v>334</v>
      </c>
      <c r="HJ131" s="18">
        <v>0</v>
      </c>
      <c r="HK131" s="18">
        <v>0</v>
      </c>
      <c r="HL131" s="18">
        <v>0</v>
      </c>
      <c r="HM131" s="18">
        <v>0</v>
      </c>
      <c r="HN131" s="18" t="b">
        <v>0</v>
      </c>
    </row>
    <row r="132" spans="1:222">
      <c r="A132"/>
      <c r="B132" s="29" cm="1">
        <f t="array" ref="B132">10000000+INDEX(编号表!$B$1:$B$112,MATCH(D132,编号表!$A$1:$A$112,0))*10000+I132</f>
        <v>10130006</v>
      </c>
      <c r="C132" s="18" t="s">
        <v>382</v>
      </c>
      <c r="D132" s="18" t="s">
        <v>382</v>
      </c>
      <c r="E132" s="18" t="s">
        <v>322</v>
      </c>
      <c r="F132" s="18" t="s">
        <v>323</v>
      </c>
      <c r="G132" s="18" t="b">
        <v>0</v>
      </c>
      <c r="H132" s="18" t="b">
        <v>0</v>
      </c>
      <c r="I132" s="18">
        <v>6</v>
      </c>
      <c r="J132" s="18">
        <v>101300</v>
      </c>
      <c r="K132" s="18" t="s">
        <v>324</v>
      </c>
      <c r="L132" s="18">
        <v>10130005</v>
      </c>
      <c r="M132" s="18">
        <v>10130007</v>
      </c>
      <c r="N132" s="18" t="s">
        <v>383</v>
      </c>
      <c r="O132" s="18">
        <v>10202012</v>
      </c>
      <c r="P132" s="18">
        <v>0</v>
      </c>
      <c r="Q132" s="18">
        <v>3</v>
      </c>
      <c r="R132" s="18">
        <v>30</v>
      </c>
      <c r="S132" s="18">
        <v>0</v>
      </c>
      <c r="T132" s="18">
        <v>100</v>
      </c>
      <c r="U132" s="18" t="s">
        <v>338</v>
      </c>
      <c r="V132" s="18">
        <v>850</v>
      </c>
      <c r="W132" s="18">
        <v>850</v>
      </c>
      <c r="X132" s="18" t="s">
        <v>326</v>
      </c>
      <c r="Y132" s="18" t="s">
        <v>327</v>
      </c>
      <c r="Z132" s="18" t="s">
        <v>328</v>
      </c>
      <c r="AA132" s="18">
        <v>0</v>
      </c>
      <c r="AB132" s="18">
        <v>1</v>
      </c>
      <c r="AC132" s="18" t="b">
        <v>0</v>
      </c>
      <c r="AD132" s="18" t="s">
        <v>329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 t="s">
        <v>330</v>
      </c>
      <c r="AZ132" s="18">
        <v>11600</v>
      </c>
      <c r="BA132" s="18" t="s">
        <v>366</v>
      </c>
      <c r="BB132" s="18" t="s">
        <v>328</v>
      </c>
      <c r="BC132" s="18">
        <v>10000</v>
      </c>
      <c r="BD132" s="18">
        <v>0</v>
      </c>
      <c r="BE132" s="18" t="s">
        <v>332</v>
      </c>
      <c r="BF132" s="18">
        <v>0</v>
      </c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 t="s">
        <v>381</v>
      </c>
      <c r="CG132" s="18" t="s">
        <v>368</v>
      </c>
      <c r="CH132" s="18">
        <v>1100</v>
      </c>
      <c r="CI132" s="18">
        <v>80</v>
      </c>
      <c r="CJ132" s="18" t="s">
        <v>348</v>
      </c>
      <c r="CK132" s="18">
        <v>1</v>
      </c>
      <c r="CL132" s="18">
        <v>0</v>
      </c>
      <c r="CM132" s="18">
        <v>1</v>
      </c>
      <c r="CN132" s="18">
        <v>900</v>
      </c>
      <c r="CO132" s="18">
        <v>70</v>
      </c>
      <c r="CP132" s="18">
        <v>0</v>
      </c>
      <c r="CQ132" s="18">
        <v>1</v>
      </c>
      <c r="CR132" s="18">
        <v>10310006</v>
      </c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>
        <v>200</v>
      </c>
      <c r="GS132" s="18">
        <v>400</v>
      </c>
      <c r="GT132" s="18" t="s">
        <v>356</v>
      </c>
      <c r="GU132" s="18">
        <v>30033</v>
      </c>
      <c r="GV132" s="18" t="s">
        <v>339</v>
      </c>
      <c r="GW132" s="18" t="s">
        <v>339</v>
      </c>
      <c r="GX132" s="18" t="b">
        <v>1</v>
      </c>
      <c r="GY132" s="18">
        <v>4000</v>
      </c>
      <c r="GZ132" s="18" t="b">
        <v>0</v>
      </c>
      <c r="HA132" s="18">
        <v>0</v>
      </c>
      <c r="HB132" s="18">
        <v>0</v>
      </c>
      <c r="HC132" s="18">
        <v>0</v>
      </c>
      <c r="HD132" s="18">
        <v>0</v>
      </c>
      <c r="HE132" s="18" t="b">
        <v>0</v>
      </c>
      <c r="HF132" s="18">
        <v>0</v>
      </c>
      <c r="HG132" s="18">
        <v>10001</v>
      </c>
      <c r="HH132" s="18" t="s">
        <v>339</v>
      </c>
      <c r="HI132" s="18" t="s">
        <v>334</v>
      </c>
      <c r="HJ132" s="18">
        <v>0</v>
      </c>
      <c r="HK132" s="18">
        <v>0</v>
      </c>
      <c r="HL132" s="18">
        <v>0</v>
      </c>
      <c r="HM132" s="18">
        <v>0</v>
      </c>
      <c r="HN132" s="18" t="b">
        <v>0</v>
      </c>
    </row>
    <row r="133" spans="1:222">
      <c r="A133"/>
      <c r="B133" s="29" cm="1">
        <f t="array" ref="B133">10000000+INDEX(编号表!$B$1:$B$112,MATCH(D133,编号表!$A$1:$A$112,0))*10000+I133</f>
        <v>10130007</v>
      </c>
      <c r="C133" s="18" t="s">
        <v>382</v>
      </c>
      <c r="D133" s="18" t="s">
        <v>382</v>
      </c>
      <c r="E133" s="18" t="s">
        <v>322</v>
      </c>
      <c r="F133" s="18" t="s">
        <v>323</v>
      </c>
      <c r="G133" s="18" t="b">
        <v>0</v>
      </c>
      <c r="H133" s="18" t="b">
        <v>0</v>
      </c>
      <c r="I133" s="18">
        <v>7</v>
      </c>
      <c r="J133" s="18">
        <v>101300</v>
      </c>
      <c r="K133" s="18" t="s">
        <v>324</v>
      </c>
      <c r="L133" s="18">
        <v>10130006</v>
      </c>
      <c r="M133" s="18">
        <v>10130008</v>
      </c>
      <c r="N133" s="18" t="s">
        <v>383</v>
      </c>
      <c r="O133" s="18">
        <v>10202012</v>
      </c>
      <c r="P133" s="18">
        <v>0</v>
      </c>
      <c r="Q133" s="18">
        <v>3</v>
      </c>
      <c r="R133" s="18">
        <v>35</v>
      </c>
      <c r="S133" s="18">
        <v>0</v>
      </c>
      <c r="T133" s="18">
        <v>100</v>
      </c>
      <c r="U133" s="18" t="s">
        <v>338</v>
      </c>
      <c r="V133" s="18">
        <v>850</v>
      </c>
      <c r="W133" s="18">
        <v>850</v>
      </c>
      <c r="X133" s="18" t="s">
        <v>326</v>
      </c>
      <c r="Y133" s="18" t="s">
        <v>327</v>
      </c>
      <c r="Z133" s="18" t="s">
        <v>328</v>
      </c>
      <c r="AA133" s="18">
        <v>0</v>
      </c>
      <c r="AB133" s="18">
        <v>1</v>
      </c>
      <c r="AC133" s="18" t="b">
        <v>0</v>
      </c>
      <c r="AD133" s="18" t="s">
        <v>329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 t="s">
        <v>330</v>
      </c>
      <c r="AZ133" s="18">
        <v>11700</v>
      </c>
      <c r="BA133" s="18" t="s">
        <v>366</v>
      </c>
      <c r="BB133" s="18" t="s">
        <v>328</v>
      </c>
      <c r="BC133" s="18">
        <v>10000</v>
      </c>
      <c r="BD133" s="18">
        <v>0</v>
      </c>
      <c r="BE133" s="18" t="s">
        <v>332</v>
      </c>
      <c r="BF133" s="18">
        <v>0</v>
      </c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 t="s">
        <v>381</v>
      </c>
      <c r="CG133" s="18" t="s">
        <v>368</v>
      </c>
      <c r="CH133" s="18">
        <v>1100</v>
      </c>
      <c r="CI133" s="18">
        <v>80</v>
      </c>
      <c r="CJ133" s="18" t="s">
        <v>348</v>
      </c>
      <c r="CK133" s="18">
        <v>1</v>
      </c>
      <c r="CL133" s="18">
        <v>0</v>
      </c>
      <c r="CM133" s="18">
        <v>1</v>
      </c>
      <c r="CN133" s="18">
        <v>900</v>
      </c>
      <c r="CO133" s="18">
        <v>70</v>
      </c>
      <c r="CP133" s="18">
        <v>0</v>
      </c>
      <c r="CQ133" s="18">
        <v>1</v>
      </c>
      <c r="CR133" s="18">
        <v>10310007</v>
      </c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>
        <v>200</v>
      </c>
      <c r="GS133" s="18">
        <v>400</v>
      </c>
      <c r="GT133" s="18" t="s">
        <v>356</v>
      </c>
      <c r="GU133" s="18">
        <v>30033</v>
      </c>
      <c r="GV133" s="18" t="s">
        <v>339</v>
      </c>
      <c r="GW133" s="18" t="s">
        <v>339</v>
      </c>
      <c r="GX133" s="18" t="b">
        <v>1</v>
      </c>
      <c r="GY133" s="18">
        <v>4000</v>
      </c>
      <c r="GZ133" s="18" t="b">
        <v>0</v>
      </c>
      <c r="HA133" s="18">
        <v>0</v>
      </c>
      <c r="HB133" s="18">
        <v>0</v>
      </c>
      <c r="HC133" s="18">
        <v>0</v>
      </c>
      <c r="HD133" s="18">
        <v>0</v>
      </c>
      <c r="HE133" s="18" t="b">
        <v>0</v>
      </c>
      <c r="HF133" s="18">
        <v>0</v>
      </c>
      <c r="HG133" s="18">
        <v>10001</v>
      </c>
      <c r="HH133" s="18" t="s">
        <v>339</v>
      </c>
      <c r="HI133" s="18" t="s">
        <v>334</v>
      </c>
      <c r="HJ133" s="18">
        <v>0</v>
      </c>
      <c r="HK133" s="18">
        <v>0</v>
      </c>
      <c r="HL133" s="18">
        <v>0</v>
      </c>
      <c r="HM133" s="18">
        <v>0</v>
      </c>
      <c r="HN133" s="18" t="b">
        <v>0</v>
      </c>
    </row>
    <row r="134" spans="1:222">
      <c r="A134"/>
      <c r="B134" s="29" cm="1">
        <f t="array" ref="B134">10000000+INDEX(编号表!$B$1:$B$112,MATCH(D134,编号表!$A$1:$A$112,0))*10000+I134</f>
        <v>10130008</v>
      </c>
      <c r="C134" s="18" t="s">
        <v>382</v>
      </c>
      <c r="D134" s="18" t="s">
        <v>382</v>
      </c>
      <c r="E134" s="18" t="s">
        <v>322</v>
      </c>
      <c r="F134" s="18" t="s">
        <v>323</v>
      </c>
      <c r="G134" s="18" t="b">
        <v>0</v>
      </c>
      <c r="H134" s="18" t="b">
        <v>0</v>
      </c>
      <c r="I134" s="18">
        <v>8</v>
      </c>
      <c r="J134" s="18">
        <v>101300</v>
      </c>
      <c r="K134" s="18" t="s">
        <v>324</v>
      </c>
      <c r="L134" s="18">
        <v>10130007</v>
      </c>
      <c r="M134" s="18">
        <v>10130009</v>
      </c>
      <c r="N134" s="18" t="s">
        <v>383</v>
      </c>
      <c r="O134" s="18">
        <v>10202012</v>
      </c>
      <c r="P134" s="18">
        <v>0</v>
      </c>
      <c r="Q134" s="18">
        <v>3</v>
      </c>
      <c r="R134" s="18">
        <v>35</v>
      </c>
      <c r="S134" s="18">
        <v>0</v>
      </c>
      <c r="T134" s="18">
        <v>100</v>
      </c>
      <c r="U134" s="18" t="s">
        <v>338</v>
      </c>
      <c r="V134" s="18">
        <v>850</v>
      </c>
      <c r="W134" s="18">
        <v>850</v>
      </c>
      <c r="X134" s="18" t="s">
        <v>326</v>
      </c>
      <c r="Y134" s="18" t="s">
        <v>327</v>
      </c>
      <c r="Z134" s="18" t="s">
        <v>328</v>
      </c>
      <c r="AA134" s="18">
        <v>0</v>
      </c>
      <c r="AB134" s="18">
        <v>1</v>
      </c>
      <c r="AC134" s="18" t="b">
        <v>0</v>
      </c>
      <c r="AD134" s="18" t="s">
        <v>329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 t="s">
        <v>330</v>
      </c>
      <c r="AZ134" s="18">
        <v>11800</v>
      </c>
      <c r="BA134" s="18" t="s">
        <v>366</v>
      </c>
      <c r="BB134" s="18" t="s">
        <v>328</v>
      </c>
      <c r="BC134" s="18">
        <v>10000</v>
      </c>
      <c r="BD134" s="18">
        <v>0</v>
      </c>
      <c r="BE134" s="18" t="s">
        <v>332</v>
      </c>
      <c r="BF134" s="18">
        <v>0</v>
      </c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 t="s">
        <v>381</v>
      </c>
      <c r="CG134" s="18" t="s">
        <v>368</v>
      </c>
      <c r="CH134" s="18">
        <v>1100</v>
      </c>
      <c r="CI134" s="18">
        <v>80</v>
      </c>
      <c r="CJ134" s="18" t="s">
        <v>348</v>
      </c>
      <c r="CK134" s="18">
        <v>1</v>
      </c>
      <c r="CL134" s="18">
        <v>0</v>
      </c>
      <c r="CM134" s="18">
        <v>1</v>
      </c>
      <c r="CN134" s="18">
        <v>900</v>
      </c>
      <c r="CO134" s="18">
        <v>70</v>
      </c>
      <c r="CP134" s="18">
        <v>0</v>
      </c>
      <c r="CQ134" s="18">
        <v>1</v>
      </c>
      <c r="CR134" s="18">
        <v>10310008</v>
      </c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>
        <v>200</v>
      </c>
      <c r="GS134" s="18">
        <v>400</v>
      </c>
      <c r="GT134" s="18" t="s">
        <v>356</v>
      </c>
      <c r="GU134" s="18">
        <v>30033</v>
      </c>
      <c r="GV134" s="18" t="s">
        <v>339</v>
      </c>
      <c r="GW134" s="18" t="s">
        <v>339</v>
      </c>
      <c r="GX134" s="18" t="b">
        <v>1</v>
      </c>
      <c r="GY134" s="18">
        <v>4000</v>
      </c>
      <c r="GZ134" s="18" t="b">
        <v>0</v>
      </c>
      <c r="HA134" s="18">
        <v>0</v>
      </c>
      <c r="HB134" s="18">
        <v>0</v>
      </c>
      <c r="HC134" s="18">
        <v>0</v>
      </c>
      <c r="HD134" s="18">
        <v>0</v>
      </c>
      <c r="HE134" s="18" t="b">
        <v>0</v>
      </c>
      <c r="HF134" s="18">
        <v>0</v>
      </c>
      <c r="HG134" s="18">
        <v>10001</v>
      </c>
      <c r="HH134" s="18" t="s">
        <v>339</v>
      </c>
      <c r="HI134" s="18" t="s">
        <v>334</v>
      </c>
      <c r="HJ134" s="18">
        <v>0</v>
      </c>
      <c r="HK134" s="18">
        <v>0</v>
      </c>
      <c r="HL134" s="18">
        <v>0</v>
      </c>
      <c r="HM134" s="18">
        <v>0</v>
      </c>
      <c r="HN134" s="18" t="b">
        <v>0</v>
      </c>
    </row>
    <row r="135" spans="1:222">
      <c r="A135"/>
      <c r="B135" s="29" cm="1">
        <f t="array" ref="B135">10000000+INDEX(编号表!$B$1:$B$112,MATCH(D135,编号表!$A$1:$A$112,0))*10000+I135</f>
        <v>10130009</v>
      </c>
      <c r="C135" s="18" t="s">
        <v>382</v>
      </c>
      <c r="D135" s="18" t="s">
        <v>382</v>
      </c>
      <c r="E135" s="18" t="s">
        <v>322</v>
      </c>
      <c r="F135" s="18" t="s">
        <v>323</v>
      </c>
      <c r="G135" s="18" t="b">
        <v>0</v>
      </c>
      <c r="H135" s="18" t="b">
        <v>0</v>
      </c>
      <c r="I135" s="18">
        <v>9</v>
      </c>
      <c r="J135" s="18">
        <v>101300</v>
      </c>
      <c r="K135" s="18" t="s">
        <v>324</v>
      </c>
      <c r="L135" s="18">
        <v>10130008</v>
      </c>
      <c r="M135" s="18">
        <v>10130010</v>
      </c>
      <c r="N135" s="18" t="s">
        <v>383</v>
      </c>
      <c r="O135" s="18">
        <v>10202012</v>
      </c>
      <c r="P135" s="18">
        <v>0</v>
      </c>
      <c r="Q135" s="18">
        <v>3</v>
      </c>
      <c r="R135" s="18">
        <v>40</v>
      </c>
      <c r="S135" s="18">
        <v>0</v>
      </c>
      <c r="T135" s="18">
        <v>100</v>
      </c>
      <c r="U135" s="18" t="s">
        <v>338</v>
      </c>
      <c r="V135" s="18">
        <v>850</v>
      </c>
      <c r="W135" s="18">
        <v>850</v>
      </c>
      <c r="X135" s="18" t="s">
        <v>326</v>
      </c>
      <c r="Y135" s="18" t="s">
        <v>327</v>
      </c>
      <c r="Z135" s="18" t="s">
        <v>328</v>
      </c>
      <c r="AA135" s="18">
        <v>0</v>
      </c>
      <c r="AB135" s="18">
        <v>1</v>
      </c>
      <c r="AC135" s="18" t="b">
        <v>0</v>
      </c>
      <c r="AD135" s="18" t="s">
        <v>329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 t="s">
        <v>330</v>
      </c>
      <c r="AZ135" s="18">
        <v>11900</v>
      </c>
      <c r="BA135" s="18" t="s">
        <v>366</v>
      </c>
      <c r="BB135" s="18" t="s">
        <v>328</v>
      </c>
      <c r="BC135" s="18">
        <v>10000</v>
      </c>
      <c r="BD135" s="18">
        <v>0</v>
      </c>
      <c r="BE135" s="18" t="s">
        <v>332</v>
      </c>
      <c r="BF135" s="18">
        <v>0</v>
      </c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 t="s">
        <v>381</v>
      </c>
      <c r="CG135" s="18" t="s">
        <v>368</v>
      </c>
      <c r="CH135" s="18">
        <v>1100</v>
      </c>
      <c r="CI135" s="18">
        <v>80</v>
      </c>
      <c r="CJ135" s="18" t="s">
        <v>348</v>
      </c>
      <c r="CK135" s="18">
        <v>1</v>
      </c>
      <c r="CL135" s="18">
        <v>0</v>
      </c>
      <c r="CM135" s="18">
        <v>1</v>
      </c>
      <c r="CN135" s="18">
        <v>900</v>
      </c>
      <c r="CO135" s="18">
        <v>70</v>
      </c>
      <c r="CP135" s="18">
        <v>0</v>
      </c>
      <c r="CQ135" s="18">
        <v>1</v>
      </c>
      <c r="CR135" s="18">
        <v>10310009</v>
      </c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>
        <v>200</v>
      </c>
      <c r="GS135" s="18">
        <v>400</v>
      </c>
      <c r="GT135" s="18" t="s">
        <v>356</v>
      </c>
      <c r="GU135" s="18">
        <v>30033</v>
      </c>
      <c r="GV135" s="18" t="s">
        <v>339</v>
      </c>
      <c r="GW135" s="18" t="s">
        <v>339</v>
      </c>
      <c r="GX135" s="18" t="b">
        <v>1</v>
      </c>
      <c r="GY135" s="18">
        <v>4000</v>
      </c>
      <c r="GZ135" s="18" t="b">
        <v>0</v>
      </c>
      <c r="HA135" s="18">
        <v>0</v>
      </c>
      <c r="HB135" s="18">
        <v>0</v>
      </c>
      <c r="HC135" s="18">
        <v>0</v>
      </c>
      <c r="HD135" s="18">
        <v>0</v>
      </c>
      <c r="HE135" s="18" t="b">
        <v>0</v>
      </c>
      <c r="HF135" s="18">
        <v>0</v>
      </c>
      <c r="HG135" s="18">
        <v>10001</v>
      </c>
      <c r="HH135" s="18" t="s">
        <v>339</v>
      </c>
      <c r="HI135" s="18" t="s">
        <v>334</v>
      </c>
      <c r="HJ135" s="18">
        <v>0</v>
      </c>
      <c r="HK135" s="18">
        <v>0</v>
      </c>
      <c r="HL135" s="18">
        <v>0</v>
      </c>
      <c r="HM135" s="18">
        <v>0</v>
      </c>
      <c r="HN135" s="18" t="b">
        <v>0</v>
      </c>
    </row>
    <row r="136" spans="1:222">
      <c r="A136"/>
      <c r="B136" s="29" cm="1">
        <f t="array" ref="B136">10000000+INDEX(编号表!$B$1:$B$112,MATCH(D136,编号表!$A$1:$A$112,0))*10000+I136</f>
        <v>10130010</v>
      </c>
      <c r="C136" s="18" t="s">
        <v>382</v>
      </c>
      <c r="D136" s="18" t="s">
        <v>382</v>
      </c>
      <c r="E136" s="18" t="s">
        <v>322</v>
      </c>
      <c r="F136" s="18" t="s">
        <v>323</v>
      </c>
      <c r="G136" s="18" t="b">
        <v>0</v>
      </c>
      <c r="H136" s="18" t="b">
        <v>0</v>
      </c>
      <c r="I136" s="18">
        <v>10</v>
      </c>
      <c r="J136" s="18">
        <v>101300</v>
      </c>
      <c r="K136" s="18" t="s">
        <v>324</v>
      </c>
      <c r="L136" s="18">
        <v>10130009</v>
      </c>
      <c r="M136" s="18">
        <v>0</v>
      </c>
      <c r="N136" s="18" t="s">
        <v>383</v>
      </c>
      <c r="O136" s="18">
        <v>10202012</v>
      </c>
      <c r="P136" s="18">
        <v>0</v>
      </c>
      <c r="Q136" s="18">
        <v>3</v>
      </c>
      <c r="R136" s="18">
        <v>40</v>
      </c>
      <c r="S136" s="18">
        <v>0</v>
      </c>
      <c r="T136" s="18">
        <v>0</v>
      </c>
      <c r="U136" s="18" t="s">
        <v>338</v>
      </c>
      <c r="V136" s="18">
        <v>850</v>
      </c>
      <c r="W136" s="18">
        <v>850</v>
      </c>
      <c r="X136" s="18" t="s">
        <v>326</v>
      </c>
      <c r="Y136" s="18" t="s">
        <v>327</v>
      </c>
      <c r="Z136" s="18" t="s">
        <v>328</v>
      </c>
      <c r="AA136" s="18">
        <v>0</v>
      </c>
      <c r="AB136" s="18">
        <v>1</v>
      </c>
      <c r="AC136" s="18" t="b">
        <v>0</v>
      </c>
      <c r="AD136" s="18" t="s">
        <v>329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 t="s">
        <v>330</v>
      </c>
      <c r="AZ136" s="18">
        <v>12000</v>
      </c>
      <c r="BA136" s="18" t="s">
        <v>366</v>
      </c>
      <c r="BB136" s="18" t="s">
        <v>328</v>
      </c>
      <c r="BC136" s="18">
        <v>10000</v>
      </c>
      <c r="BD136" s="18">
        <v>0</v>
      </c>
      <c r="BE136" s="18" t="s">
        <v>332</v>
      </c>
      <c r="BF136" s="18">
        <v>0</v>
      </c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 t="s">
        <v>381</v>
      </c>
      <c r="CG136" s="18" t="s">
        <v>368</v>
      </c>
      <c r="CH136" s="18">
        <v>1100</v>
      </c>
      <c r="CI136" s="18">
        <v>80</v>
      </c>
      <c r="CJ136" s="18" t="s">
        <v>348</v>
      </c>
      <c r="CK136" s="18">
        <v>1</v>
      </c>
      <c r="CL136" s="18">
        <v>0</v>
      </c>
      <c r="CM136" s="18">
        <v>1</v>
      </c>
      <c r="CN136" s="18">
        <v>900</v>
      </c>
      <c r="CO136" s="18">
        <v>70</v>
      </c>
      <c r="CP136" s="18">
        <v>0</v>
      </c>
      <c r="CQ136" s="18">
        <v>1</v>
      </c>
      <c r="CR136" s="18">
        <v>10310010</v>
      </c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>
        <v>200</v>
      </c>
      <c r="GS136" s="18">
        <v>400</v>
      </c>
      <c r="GT136" s="18" t="s">
        <v>356</v>
      </c>
      <c r="GU136" s="18">
        <v>30033</v>
      </c>
      <c r="GV136" s="18" t="s">
        <v>339</v>
      </c>
      <c r="GW136" s="18" t="s">
        <v>339</v>
      </c>
      <c r="GX136" s="18" t="b">
        <v>1</v>
      </c>
      <c r="GY136" s="18">
        <v>4000</v>
      </c>
      <c r="GZ136" s="18" t="b">
        <v>0</v>
      </c>
      <c r="HA136" s="18">
        <v>0</v>
      </c>
      <c r="HB136" s="18">
        <v>0</v>
      </c>
      <c r="HC136" s="18">
        <v>0</v>
      </c>
      <c r="HD136" s="18">
        <v>0</v>
      </c>
      <c r="HE136" s="18" t="b">
        <v>0</v>
      </c>
      <c r="HF136" s="18">
        <v>0</v>
      </c>
      <c r="HG136" s="18">
        <v>10001</v>
      </c>
      <c r="HH136" s="18" t="s">
        <v>339</v>
      </c>
      <c r="HI136" s="18" t="s">
        <v>334</v>
      </c>
      <c r="HJ136" s="18">
        <v>0</v>
      </c>
      <c r="HK136" s="18">
        <v>0</v>
      </c>
      <c r="HL136" s="18">
        <v>0</v>
      </c>
      <c r="HM136" s="18">
        <v>0</v>
      </c>
      <c r="HN136" s="18" t="b">
        <v>0</v>
      </c>
    </row>
    <row r="137" spans="1:222">
      <c r="A137"/>
      <c r="B137" s="29" cm="1">
        <f t="array" ref="B137">10000000+INDEX(编号表!$B$1:$B$112,MATCH(D137,编号表!$A$1:$A$112,0))*10000+I137</f>
        <v>10140001</v>
      </c>
      <c r="C137" s="18" t="s">
        <v>384</v>
      </c>
      <c r="D137" s="18" t="s">
        <v>384</v>
      </c>
      <c r="E137" s="18" t="s">
        <v>322</v>
      </c>
      <c r="F137" s="18" t="s">
        <v>323</v>
      </c>
      <c r="G137" s="18" t="b">
        <v>0</v>
      </c>
      <c r="H137" s="18" t="b">
        <v>0</v>
      </c>
      <c r="I137" s="18">
        <v>1</v>
      </c>
      <c r="J137" s="18">
        <v>101400</v>
      </c>
      <c r="K137" s="18" t="s">
        <v>324</v>
      </c>
      <c r="L137" s="18">
        <v>0</v>
      </c>
      <c r="M137" s="18">
        <v>10140002</v>
      </c>
      <c r="N137" s="18" t="s">
        <v>385</v>
      </c>
      <c r="O137" s="18">
        <v>10202013</v>
      </c>
      <c r="P137" s="18">
        <v>0</v>
      </c>
      <c r="Q137" s="18">
        <v>0</v>
      </c>
      <c r="R137" s="18">
        <v>1</v>
      </c>
      <c r="S137" s="18">
        <v>0</v>
      </c>
      <c r="T137" s="18">
        <v>100</v>
      </c>
      <c r="U137" s="18" t="s">
        <v>338</v>
      </c>
      <c r="V137" s="18">
        <v>900</v>
      </c>
      <c r="W137" s="18">
        <v>900</v>
      </c>
      <c r="X137" s="18" t="s">
        <v>326</v>
      </c>
      <c r="Y137" s="18" t="s">
        <v>327</v>
      </c>
      <c r="Z137" s="18" t="s">
        <v>328</v>
      </c>
      <c r="AA137" s="18">
        <v>0</v>
      </c>
      <c r="AB137" s="18">
        <v>1</v>
      </c>
      <c r="AC137" s="18" t="b">
        <v>0</v>
      </c>
      <c r="AD137" s="18" t="s">
        <v>329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 t="s">
        <v>330</v>
      </c>
      <c r="AZ137" s="18">
        <v>10000</v>
      </c>
      <c r="BA137" s="18" t="s">
        <v>366</v>
      </c>
      <c r="BB137" s="18" t="s">
        <v>328</v>
      </c>
      <c r="BC137" s="18">
        <v>10000</v>
      </c>
      <c r="BD137" s="18">
        <v>0</v>
      </c>
      <c r="BE137" s="18" t="s">
        <v>332</v>
      </c>
      <c r="BF137" s="18">
        <v>0</v>
      </c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 t="s">
        <v>381</v>
      </c>
      <c r="CG137" s="18" t="s">
        <v>368</v>
      </c>
      <c r="CH137" s="18">
        <v>950</v>
      </c>
      <c r="CI137" s="18">
        <v>80</v>
      </c>
      <c r="CJ137" s="18" t="s">
        <v>348</v>
      </c>
      <c r="CK137" s="18">
        <v>16</v>
      </c>
      <c r="CL137" s="18">
        <v>0</v>
      </c>
      <c r="CM137" s="18">
        <v>16</v>
      </c>
      <c r="CN137" s="18">
        <v>950</v>
      </c>
      <c r="CO137" s="18">
        <v>65</v>
      </c>
      <c r="CP137" s="18">
        <v>0</v>
      </c>
      <c r="CQ137" s="18">
        <v>1</v>
      </c>
      <c r="CR137" s="18">
        <v>10320001</v>
      </c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>
        <v>200</v>
      </c>
      <c r="GS137" s="18">
        <v>400</v>
      </c>
      <c r="GT137" s="18" t="s">
        <v>356</v>
      </c>
      <c r="GU137" s="18">
        <v>30032</v>
      </c>
      <c r="GV137" s="18" t="s">
        <v>339</v>
      </c>
      <c r="GW137" s="18" t="s">
        <v>339</v>
      </c>
      <c r="GX137" s="18" t="b">
        <v>1</v>
      </c>
      <c r="GY137" s="18">
        <v>8000</v>
      </c>
      <c r="GZ137" s="18" t="b">
        <v>0</v>
      </c>
      <c r="HA137" s="18">
        <v>0</v>
      </c>
      <c r="HB137" s="18">
        <v>0</v>
      </c>
      <c r="HC137" s="18">
        <v>0</v>
      </c>
      <c r="HD137" s="18">
        <v>0</v>
      </c>
      <c r="HE137" s="18" t="b">
        <v>0</v>
      </c>
      <c r="HF137" s="18">
        <v>0</v>
      </c>
      <c r="HG137" s="18">
        <v>10001</v>
      </c>
      <c r="HH137" s="18" t="s">
        <v>339</v>
      </c>
      <c r="HI137" s="18" t="s">
        <v>334</v>
      </c>
      <c r="HJ137" s="18">
        <v>0</v>
      </c>
      <c r="HK137" s="18">
        <v>0</v>
      </c>
      <c r="HL137" s="18">
        <v>0</v>
      </c>
      <c r="HM137" s="18">
        <v>0</v>
      </c>
      <c r="HN137" s="18" t="b">
        <v>0</v>
      </c>
    </row>
    <row r="138" spans="1:222">
      <c r="A138"/>
      <c r="B138" s="29" cm="1">
        <f t="array" ref="B138">10000000+INDEX(编号表!$B$1:$B$112,MATCH(D138,编号表!$A$1:$A$112,0))*10000+I138</f>
        <v>10140002</v>
      </c>
      <c r="C138" s="18" t="s">
        <v>384</v>
      </c>
      <c r="D138" s="18" t="s">
        <v>384</v>
      </c>
      <c r="E138" s="18" t="s">
        <v>322</v>
      </c>
      <c r="F138" s="18" t="s">
        <v>323</v>
      </c>
      <c r="G138" s="18" t="b">
        <v>0</v>
      </c>
      <c r="H138" s="18" t="b">
        <v>0</v>
      </c>
      <c r="I138" s="18">
        <v>2</v>
      </c>
      <c r="J138" s="18">
        <v>101400</v>
      </c>
      <c r="K138" s="18" t="s">
        <v>324</v>
      </c>
      <c r="L138" s="18">
        <v>10140001</v>
      </c>
      <c r="M138" s="18">
        <v>10140003</v>
      </c>
      <c r="N138" s="18" t="s">
        <v>385</v>
      </c>
      <c r="O138" s="18">
        <v>10202013</v>
      </c>
      <c r="P138" s="18">
        <v>0</v>
      </c>
      <c r="Q138" s="18">
        <v>1</v>
      </c>
      <c r="R138" s="18">
        <v>7</v>
      </c>
      <c r="S138" s="18">
        <v>0</v>
      </c>
      <c r="T138" s="18">
        <v>100</v>
      </c>
      <c r="U138" s="18" t="s">
        <v>338</v>
      </c>
      <c r="V138" s="18">
        <v>900</v>
      </c>
      <c r="W138" s="18">
        <v>900</v>
      </c>
      <c r="X138" s="18" t="s">
        <v>326</v>
      </c>
      <c r="Y138" s="18" t="s">
        <v>327</v>
      </c>
      <c r="Z138" s="18" t="s">
        <v>328</v>
      </c>
      <c r="AA138" s="18">
        <v>0</v>
      </c>
      <c r="AB138" s="18">
        <v>1</v>
      </c>
      <c r="AC138" s="18" t="b">
        <v>0</v>
      </c>
      <c r="AD138" s="18" t="s">
        <v>329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 t="s">
        <v>330</v>
      </c>
      <c r="AZ138" s="18">
        <v>10400</v>
      </c>
      <c r="BA138" s="18" t="s">
        <v>366</v>
      </c>
      <c r="BB138" s="18" t="s">
        <v>328</v>
      </c>
      <c r="BC138" s="18">
        <v>10000</v>
      </c>
      <c r="BD138" s="18">
        <v>0</v>
      </c>
      <c r="BE138" s="18" t="s">
        <v>332</v>
      </c>
      <c r="BF138" s="18">
        <v>0</v>
      </c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 t="s">
        <v>381</v>
      </c>
      <c r="CG138" s="18" t="s">
        <v>368</v>
      </c>
      <c r="CH138" s="18">
        <v>950</v>
      </c>
      <c r="CI138" s="18">
        <v>80</v>
      </c>
      <c r="CJ138" s="18" t="s">
        <v>348</v>
      </c>
      <c r="CK138" s="18">
        <v>16</v>
      </c>
      <c r="CL138" s="18">
        <v>0</v>
      </c>
      <c r="CM138" s="18">
        <v>16</v>
      </c>
      <c r="CN138" s="18">
        <v>950</v>
      </c>
      <c r="CO138" s="18">
        <v>65</v>
      </c>
      <c r="CP138" s="18">
        <v>0</v>
      </c>
      <c r="CQ138" s="18">
        <v>1</v>
      </c>
      <c r="CR138" s="18">
        <v>10320002</v>
      </c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>
        <v>200</v>
      </c>
      <c r="GS138" s="18">
        <v>400</v>
      </c>
      <c r="GT138" s="18" t="s">
        <v>356</v>
      </c>
      <c r="GU138" s="18">
        <v>30032</v>
      </c>
      <c r="GV138" s="18" t="s">
        <v>339</v>
      </c>
      <c r="GW138" s="18" t="s">
        <v>339</v>
      </c>
      <c r="GX138" s="18" t="b">
        <v>1</v>
      </c>
      <c r="GY138" s="18">
        <v>8000</v>
      </c>
      <c r="GZ138" s="18" t="b">
        <v>0</v>
      </c>
      <c r="HA138" s="18">
        <v>0</v>
      </c>
      <c r="HB138" s="18">
        <v>0</v>
      </c>
      <c r="HC138" s="18">
        <v>0</v>
      </c>
      <c r="HD138" s="18">
        <v>0</v>
      </c>
      <c r="HE138" s="18" t="b">
        <v>0</v>
      </c>
      <c r="HF138" s="18">
        <v>0</v>
      </c>
      <c r="HG138" s="18">
        <v>10001</v>
      </c>
      <c r="HH138" s="18" t="s">
        <v>339</v>
      </c>
      <c r="HI138" s="18" t="s">
        <v>334</v>
      </c>
      <c r="HJ138" s="18">
        <v>0</v>
      </c>
      <c r="HK138" s="18">
        <v>0</v>
      </c>
      <c r="HL138" s="18">
        <v>0</v>
      </c>
      <c r="HM138" s="18">
        <v>0</v>
      </c>
      <c r="HN138" s="18" t="b">
        <v>0</v>
      </c>
    </row>
    <row r="139" spans="1:222">
      <c r="A139"/>
      <c r="B139" s="29" cm="1">
        <f t="array" ref="B139">10000000+INDEX(编号表!$B$1:$B$112,MATCH(D139,编号表!$A$1:$A$112,0))*10000+I139</f>
        <v>10140003</v>
      </c>
      <c r="C139" s="18" t="s">
        <v>384</v>
      </c>
      <c r="D139" s="18" t="s">
        <v>384</v>
      </c>
      <c r="E139" s="18" t="s">
        <v>322</v>
      </c>
      <c r="F139" s="18" t="s">
        <v>323</v>
      </c>
      <c r="G139" s="18" t="b">
        <v>0</v>
      </c>
      <c r="H139" s="18" t="b">
        <v>0</v>
      </c>
      <c r="I139" s="18">
        <v>3</v>
      </c>
      <c r="J139" s="18">
        <v>101400</v>
      </c>
      <c r="K139" s="18" t="s">
        <v>324</v>
      </c>
      <c r="L139" s="18">
        <v>10140002</v>
      </c>
      <c r="M139" s="18">
        <v>10140004</v>
      </c>
      <c r="N139" s="18" t="s">
        <v>385</v>
      </c>
      <c r="O139" s="18">
        <v>10202013</v>
      </c>
      <c r="P139" s="18">
        <v>0</v>
      </c>
      <c r="Q139" s="18">
        <v>2</v>
      </c>
      <c r="R139" s="18">
        <v>11</v>
      </c>
      <c r="S139" s="18">
        <v>0</v>
      </c>
      <c r="T139" s="18">
        <v>100</v>
      </c>
      <c r="U139" s="18" t="s">
        <v>338</v>
      </c>
      <c r="V139" s="18">
        <v>900</v>
      </c>
      <c r="W139" s="18">
        <v>900</v>
      </c>
      <c r="X139" s="18" t="s">
        <v>326</v>
      </c>
      <c r="Y139" s="18" t="s">
        <v>327</v>
      </c>
      <c r="Z139" s="18" t="s">
        <v>328</v>
      </c>
      <c r="AA139" s="18">
        <v>0</v>
      </c>
      <c r="AB139" s="18">
        <v>1</v>
      </c>
      <c r="AC139" s="18" t="b">
        <v>0</v>
      </c>
      <c r="AD139" s="18" t="s">
        <v>329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 t="s">
        <v>330</v>
      </c>
      <c r="AZ139" s="18">
        <v>10800</v>
      </c>
      <c r="BA139" s="18" t="s">
        <v>366</v>
      </c>
      <c r="BB139" s="18" t="s">
        <v>328</v>
      </c>
      <c r="BC139" s="18">
        <v>10000</v>
      </c>
      <c r="BD139" s="18">
        <v>0</v>
      </c>
      <c r="BE139" s="18" t="s">
        <v>332</v>
      </c>
      <c r="BF139" s="18">
        <v>0</v>
      </c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 t="s">
        <v>381</v>
      </c>
      <c r="CG139" s="18" t="s">
        <v>368</v>
      </c>
      <c r="CH139" s="18">
        <v>950</v>
      </c>
      <c r="CI139" s="18">
        <v>80</v>
      </c>
      <c r="CJ139" s="18" t="s">
        <v>348</v>
      </c>
      <c r="CK139" s="18">
        <v>16</v>
      </c>
      <c r="CL139" s="18">
        <v>0</v>
      </c>
      <c r="CM139" s="18">
        <v>16</v>
      </c>
      <c r="CN139" s="18">
        <v>950</v>
      </c>
      <c r="CO139" s="18">
        <v>65</v>
      </c>
      <c r="CP139" s="18">
        <v>0</v>
      </c>
      <c r="CQ139" s="18">
        <v>1</v>
      </c>
      <c r="CR139" s="18">
        <v>10320003</v>
      </c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>
        <v>200</v>
      </c>
      <c r="GS139" s="18">
        <v>400</v>
      </c>
      <c r="GT139" s="18" t="s">
        <v>356</v>
      </c>
      <c r="GU139" s="18">
        <v>30032</v>
      </c>
      <c r="GV139" s="18" t="s">
        <v>339</v>
      </c>
      <c r="GW139" s="18" t="s">
        <v>339</v>
      </c>
      <c r="GX139" s="18" t="b">
        <v>1</v>
      </c>
      <c r="GY139" s="18">
        <v>8000</v>
      </c>
      <c r="GZ139" s="18" t="b">
        <v>0</v>
      </c>
      <c r="HA139" s="18">
        <v>0</v>
      </c>
      <c r="HB139" s="18">
        <v>0</v>
      </c>
      <c r="HC139" s="18">
        <v>0</v>
      </c>
      <c r="HD139" s="18">
        <v>0</v>
      </c>
      <c r="HE139" s="18" t="b">
        <v>0</v>
      </c>
      <c r="HF139" s="18">
        <v>0</v>
      </c>
      <c r="HG139" s="18">
        <v>10001</v>
      </c>
      <c r="HH139" s="18" t="s">
        <v>339</v>
      </c>
      <c r="HI139" s="18" t="s">
        <v>334</v>
      </c>
      <c r="HJ139" s="18">
        <v>0</v>
      </c>
      <c r="HK139" s="18">
        <v>0</v>
      </c>
      <c r="HL139" s="18">
        <v>0</v>
      </c>
      <c r="HM139" s="18">
        <v>0</v>
      </c>
      <c r="HN139" s="18" t="b">
        <v>0</v>
      </c>
    </row>
    <row r="140" spans="1:222">
      <c r="A140"/>
      <c r="B140" s="29" cm="1">
        <f t="array" ref="B140">10000000+INDEX(编号表!$B$1:$B$112,MATCH(D140,编号表!$A$1:$A$112,0))*10000+I140</f>
        <v>10140004</v>
      </c>
      <c r="C140" s="18" t="s">
        <v>384</v>
      </c>
      <c r="D140" s="18" t="s">
        <v>384</v>
      </c>
      <c r="E140" s="18" t="s">
        <v>322</v>
      </c>
      <c r="F140" s="18" t="s">
        <v>323</v>
      </c>
      <c r="G140" s="18" t="b">
        <v>0</v>
      </c>
      <c r="H140" s="18" t="b">
        <v>0</v>
      </c>
      <c r="I140" s="18">
        <v>4</v>
      </c>
      <c r="J140" s="18">
        <v>101400</v>
      </c>
      <c r="K140" s="18" t="s">
        <v>324</v>
      </c>
      <c r="L140" s="18">
        <v>10140003</v>
      </c>
      <c r="M140" s="18">
        <v>10140005</v>
      </c>
      <c r="N140" s="18" t="s">
        <v>385</v>
      </c>
      <c r="O140" s="18">
        <v>10202013</v>
      </c>
      <c r="P140" s="18">
        <v>0</v>
      </c>
      <c r="Q140" s="18">
        <v>3</v>
      </c>
      <c r="R140" s="18">
        <v>16</v>
      </c>
      <c r="S140" s="18">
        <v>0</v>
      </c>
      <c r="T140" s="18">
        <v>100</v>
      </c>
      <c r="U140" s="18" t="s">
        <v>338</v>
      </c>
      <c r="V140" s="18">
        <v>900</v>
      </c>
      <c r="W140" s="18">
        <v>900</v>
      </c>
      <c r="X140" s="18" t="s">
        <v>326</v>
      </c>
      <c r="Y140" s="18" t="s">
        <v>327</v>
      </c>
      <c r="Z140" s="18" t="s">
        <v>328</v>
      </c>
      <c r="AA140" s="18">
        <v>0</v>
      </c>
      <c r="AB140" s="18">
        <v>1</v>
      </c>
      <c r="AC140" s="18" t="b">
        <v>0</v>
      </c>
      <c r="AD140" s="18" t="s">
        <v>329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 t="s">
        <v>330</v>
      </c>
      <c r="AZ140" s="18">
        <v>11200</v>
      </c>
      <c r="BA140" s="18" t="s">
        <v>366</v>
      </c>
      <c r="BB140" s="18" t="s">
        <v>328</v>
      </c>
      <c r="BC140" s="18">
        <v>10000</v>
      </c>
      <c r="BD140" s="18">
        <v>0</v>
      </c>
      <c r="BE140" s="18" t="s">
        <v>332</v>
      </c>
      <c r="BF140" s="18">
        <v>0</v>
      </c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 t="s">
        <v>381</v>
      </c>
      <c r="CG140" s="18" t="s">
        <v>368</v>
      </c>
      <c r="CH140" s="18">
        <v>950</v>
      </c>
      <c r="CI140" s="18">
        <v>80</v>
      </c>
      <c r="CJ140" s="18" t="s">
        <v>348</v>
      </c>
      <c r="CK140" s="18">
        <v>16</v>
      </c>
      <c r="CL140" s="18">
        <v>0</v>
      </c>
      <c r="CM140" s="18">
        <v>16</v>
      </c>
      <c r="CN140" s="18">
        <v>950</v>
      </c>
      <c r="CO140" s="18">
        <v>65</v>
      </c>
      <c r="CP140" s="18">
        <v>0</v>
      </c>
      <c r="CQ140" s="18">
        <v>1</v>
      </c>
      <c r="CR140" s="18">
        <v>10320004</v>
      </c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>
        <v>200</v>
      </c>
      <c r="GS140" s="18">
        <v>400</v>
      </c>
      <c r="GT140" s="18" t="s">
        <v>356</v>
      </c>
      <c r="GU140" s="18">
        <v>30032</v>
      </c>
      <c r="GV140" s="18" t="s">
        <v>339</v>
      </c>
      <c r="GW140" s="18" t="s">
        <v>339</v>
      </c>
      <c r="GX140" s="18" t="b">
        <v>1</v>
      </c>
      <c r="GY140" s="18">
        <v>8000</v>
      </c>
      <c r="GZ140" s="18" t="b">
        <v>0</v>
      </c>
      <c r="HA140" s="18">
        <v>0</v>
      </c>
      <c r="HB140" s="18">
        <v>0</v>
      </c>
      <c r="HC140" s="18">
        <v>0</v>
      </c>
      <c r="HD140" s="18">
        <v>0</v>
      </c>
      <c r="HE140" s="18" t="b">
        <v>0</v>
      </c>
      <c r="HF140" s="18">
        <v>0</v>
      </c>
      <c r="HG140" s="18">
        <v>10001</v>
      </c>
      <c r="HH140" s="18" t="s">
        <v>339</v>
      </c>
      <c r="HI140" s="18" t="s">
        <v>334</v>
      </c>
      <c r="HJ140" s="18">
        <v>0</v>
      </c>
      <c r="HK140" s="18">
        <v>0</v>
      </c>
      <c r="HL140" s="18">
        <v>0</v>
      </c>
      <c r="HM140" s="18">
        <v>0</v>
      </c>
      <c r="HN140" s="18" t="b">
        <v>0</v>
      </c>
    </row>
    <row r="141" spans="1:222">
      <c r="A141"/>
      <c r="B141" s="29" cm="1">
        <f t="array" ref="B141">10000000+INDEX(编号表!$B$1:$B$112,MATCH(D141,编号表!$A$1:$A$112,0))*10000+I141</f>
        <v>10140005</v>
      </c>
      <c r="C141" s="18" t="s">
        <v>384</v>
      </c>
      <c r="D141" s="18" t="s">
        <v>384</v>
      </c>
      <c r="E141" s="18" t="s">
        <v>322</v>
      </c>
      <c r="F141" s="18" t="s">
        <v>323</v>
      </c>
      <c r="G141" s="18" t="b">
        <v>0</v>
      </c>
      <c r="H141" s="18" t="b">
        <v>0</v>
      </c>
      <c r="I141" s="18">
        <v>5</v>
      </c>
      <c r="J141" s="18">
        <v>101400</v>
      </c>
      <c r="K141" s="18" t="s">
        <v>324</v>
      </c>
      <c r="L141" s="18">
        <v>10140004</v>
      </c>
      <c r="M141" s="18">
        <v>10140006</v>
      </c>
      <c r="N141" s="18" t="s">
        <v>385</v>
      </c>
      <c r="O141" s="18">
        <v>10202013</v>
      </c>
      <c r="P141" s="18">
        <v>0</v>
      </c>
      <c r="Q141" s="18">
        <v>3</v>
      </c>
      <c r="R141" s="18">
        <v>25</v>
      </c>
      <c r="S141" s="18">
        <v>0</v>
      </c>
      <c r="T141" s="18">
        <v>100</v>
      </c>
      <c r="U141" s="18" t="s">
        <v>338</v>
      </c>
      <c r="V141" s="18">
        <v>900</v>
      </c>
      <c r="W141" s="18">
        <v>900</v>
      </c>
      <c r="X141" s="18" t="s">
        <v>326</v>
      </c>
      <c r="Y141" s="18" t="s">
        <v>327</v>
      </c>
      <c r="Z141" s="18" t="s">
        <v>328</v>
      </c>
      <c r="AA141" s="18">
        <v>0</v>
      </c>
      <c r="AB141" s="18">
        <v>1</v>
      </c>
      <c r="AC141" s="18" t="b">
        <v>0</v>
      </c>
      <c r="AD141" s="18" t="s">
        <v>329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 t="s">
        <v>330</v>
      </c>
      <c r="AZ141" s="18">
        <v>11300</v>
      </c>
      <c r="BA141" s="18" t="s">
        <v>366</v>
      </c>
      <c r="BB141" s="18" t="s">
        <v>328</v>
      </c>
      <c r="BC141" s="18">
        <v>10000</v>
      </c>
      <c r="BD141" s="18">
        <v>0</v>
      </c>
      <c r="BE141" s="18" t="s">
        <v>332</v>
      </c>
      <c r="BF141" s="18">
        <v>0</v>
      </c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 t="s">
        <v>381</v>
      </c>
      <c r="CG141" s="18" t="s">
        <v>368</v>
      </c>
      <c r="CH141" s="18">
        <v>950</v>
      </c>
      <c r="CI141" s="18">
        <v>80</v>
      </c>
      <c r="CJ141" s="18" t="s">
        <v>348</v>
      </c>
      <c r="CK141" s="18">
        <v>16</v>
      </c>
      <c r="CL141" s="18">
        <v>0</v>
      </c>
      <c r="CM141" s="18">
        <v>16</v>
      </c>
      <c r="CN141" s="18">
        <v>950</v>
      </c>
      <c r="CO141" s="18">
        <v>65</v>
      </c>
      <c r="CP141" s="18">
        <v>0</v>
      </c>
      <c r="CQ141" s="18">
        <v>1</v>
      </c>
      <c r="CR141" s="18">
        <v>10320005</v>
      </c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>
        <v>200</v>
      </c>
      <c r="GS141" s="18">
        <v>400</v>
      </c>
      <c r="GT141" s="18" t="s">
        <v>356</v>
      </c>
      <c r="GU141" s="18">
        <v>30032</v>
      </c>
      <c r="GV141" s="18" t="s">
        <v>339</v>
      </c>
      <c r="GW141" s="18" t="s">
        <v>339</v>
      </c>
      <c r="GX141" s="18" t="b">
        <v>1</v>
      </c>
      <c r="GY141" s="18">
        <v>8000</v>
      </c>
      <c r="GZ141" s="18" t="b">
        <v>0</v>
      </c>
      <c r="HA141" s="18">
        <v>0</v>
      </c>
      <c r="HB141" s="18">
        <v>0</v>
      </c>
      <c r="HC141" s="18">
        <v>0</v>
      </c>
      <c r="HD141" s="18">
        <v>0</v>
      </c>
      <c r="HE141" s="18" t="b">
        <v>0</v>
      </c>
      <c r="HF141" s="18">
        <v>0</v>
      </c>
      <c r="HG141" s="18">
        <v>10001</v>
      </c>
      <c r="HH141" s="18" t="s">
        <v>339</v>
      </c>
      <c r="HI141" s="18" t="s">
        <v>334</v>
      </c>
      <c r="HJ141" s="18">
        <v>0</v>
      </c>
      <c r="HK141" s="18">
        <v>0</v>
      </c>
      <c r="HL141" s="18">
        <v>0</v>
      </c>
      <c r="HM141" s="18">
        <v>0</v>
      </c>
      <c r="HN141" s="18" t="b">
        <v>0</v>
      </c>
    </row>
    <row r="142" spans="1:222">
      <c r="A142"/>
      <c r="B142" s="29" cm="1">
        <f t="array" ref="B142">10000000+INDEX(编号表!$B$1:$B$112,MATCH(D142,编号表!$A$1:$A$112,0))*10000+I142</f>
        <v>10140006</v>
      </c>
      <c r="C142" s="18" t="s">
        <v>384</v>
      </c>
      <c r="D142" s="18" t="s">
        <v>384</v>
      </c>
      <c r="E142" s="18" t="s">
        <v>322</v>
      </c>
      <c r="F142" s="18" t="s">
        <v>323</v>
      </c>
      <c r="G142" s="18" t="b">
        <v>0</v>
      </c>
      <c r="H142" s="18" t="b">
        <v>0</v>
      </c>
      <c r="I142" s="18">
        <v>6</v>
      </c>
      <c r="J142" s="18">
        <v>101400</v>
      </c>
      <c r="K142" s="18" t="s">
        <v>324</v>
      </c>
      <c r="L142" s="18">
        <v>10140005</v>
      </c>
      <c r="M142" s="18">
        <v>10140007</v>
      </c>
      <c r="N142" s="18" t="s">
        <v>385</v>
      </c>
      <c r="O142" s="18">
        <v>10202013</v>
      </c>
      <c r="P142" s="18">
        <v>0</v>
      </c>
      <c r="Q142" s="18">
        <v>3</v>
      </c>
      <c r="R142" s="18">
        <v>30</v>
      </c>
      <c r="S142" s="18">
        <v>0</v>
      </c>
      <c r="T142" s="18">
        <v>100</v>
      </c>
      <c r="U142" s="18" t="s">
        <v>338</v>
      </c>
      <c r="V142" s="18">
        <v>900</v>
      </c>
      <c r="W142" s="18">
        <v>900</v>
      </c>
      <c r="X142" s="18" t="s">
        <v>326</v>
      </c>
      <c r="Y142" s="18" t="s">
        <v>327</v>
      </c>
      <c r="Z142" s="18" t="s">
        <v>328</v>
      </c>
      <c r="AA142" s="18">
        <v>0</v>
      </c>
      <c r="AB142" s="18">
        <v>1</v>
      </c>
      <c r="AC142" s="18" t="b">
        <v>0</v>
      </c>
      <c r="AD142" s="18" t="s">
        <v>329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 t="s">
        <v>330</v>
      </c>
      <c r="AZ142" s="18">
        <v>11600</v>
      </c>
      <c r="BA142" s="18" t="s">
        <v>366</v>
      </c>
      <c r="BB142" s="18" t="s">
        <v>328</v>
      </c>
      <c r="BC142" s="18">
        <v>10000</v>
      </c>
      <c r="BD142" s="18">
        <v>0</v>
      </c>
      <c r="BE142" s="18" t="s">
        <v>332</v>
      </c>
      <c r="BF142" s="18">
        <v>0</v>
      </c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 t="s">
        <v>381</v>
      </c>
      <c r="CG142" s="18" t="s">
        <v>368</v>
      </c>
      <c r="CH142" s="18">
        <v>950</v>
      </c>
      <c r="CI142" s="18">
        <v>80</v>
      </c>
      <c r="CJ142" s="18" t="s">
        <v>348</v>
      </c>
      <c r="CK142" s="18">
        <v>16</v>
      </c>
      <c r="CL142" s="18">
        <v>0</v>
      </c>
      <c r="CM142" s="18">
        <v>16</v>
      </c>
      <c r="CN142" s="18">
        <v>950</v>
      </c>
      <c r="CO142" s="18">
        <v>65</v>
      </c>
      <c r="CP142" s="18">
        <v>0</v>
      </c>
      <c r="CQ142" s="18">
        <v>1</v>
      </c>
      <c r="CR142" s="18">
        <v>10320006</v>
      </c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>
        <v>200</v>
      </c>
      <c r="GS142" s="18">
        <v>400</v>
      </c>
      <c r="GT142" s="18" t="s">
        <v>356</v>
      </c>
      <c r="GU142" s="18">
        <v>30032</v>
      </c>
      <c r="GV142" s="18" t="s">
        <v>339</v>
      </c>
      <c r="GW142" s="18" t="s">
        <v>339</v>
      </c>
      <c r="GX142" s="18" t="b">
        <v>1</v>
      </c>
      <c r="GY142" s="18">
        <v>8000</v>
      </c>
      <c r="GZ142" s="18" t="b">
        <v>0</v>
      </c>
      <c r="HA142" s="18">
        <v>0</v>
      </c>
      <c r="HB142" s="18">
        <v>0</v>
      </c>
      <c r="HC142" s="18">
        <v>0</v>
      </c>
      <c r="HD142" s="18">
        <v>0</v>
      </c>
      <c r="HE142" s="18" t="b">
        <v>0</v>
      </c>
      <c r="HF142" s="18">
        <v>0</v>
      </c>
      <c r="HG142" s="18">
        <v>10001</v>
      </c>
      <c r="HH142" s="18" t="s">
        <v>339</v>
      </c>
      <c r="HI142" s="18" t="s">
        <v>334</v>
      </c>
      <c r="HJ142" s="18">
        <v>0</v>
      </c>
      <c r="HK142" s="18">
        <v>0</v>
      </c>
      <c r="HL142" s="18">
        <v>0</v>
      </c>
      <c r="HM142" s="18">
        <v>0</v>
      </c>
      <c r="HN142" s="18" t="b">
        <v>0</v>
      </c>
    </row>
    <row r="143" spans="1:222">
      <c r="A143"/>
      <c r="B143" s="29" cm="1">
        <f t="array" ref="B143">10000000+INDEX(编号表!$B$1:$B$112,MATCH(D143,编号表!$A$1:$A$112,0))*10000+I143</f>
        <v>10140007</v>
      </c>
      <c r="C143" s="18" t="s">
        <v>384</v>
      </c>
      <c r="D143" s="18" t="s">
        <v>384</v>
      </c>
      <c r="E143" s="18" t="s">
        <v>322</v>
      </c>
      <c r="F143" s="18" t="s">
        <v>323</v>
      </c>
      <c r="G143" s="18" t="b">
        <v>0</v>
      </c>
      <c r="H143" s="18" t="b">
        <v>0</v>
      </c>
      <c r="I143" s="18">
        <v>7</v>
      </c>
      <c r="J143" s="18">
        <v>101400</v>
      </c>
      <c r="K143" s="18" t="s">
        <v>324</v>
      </c>
      <c r="L143" s="18">
        <v>10140006</v>
      </c>
      <c r="M143" s="18">
        <v>10140008</v>
      </c>
      <c r="N143" s="18" t="s">
        <v>385</v>
      </c>
      <c r="O143" s="18">
        <v>10202013</v>
      </c>
      <c r="P143" s="18">
        <v>0</v>
      </c>
      <c r="Q143" s="18">
        <v>3</v>
      </c>
      <c r="R143" s="18">
        <v>35</v>
      </c>
      <c r="S143" s="18">
        <v>0</v>
      </c>
      <c r="T143" s="18">
        <v>100</v>
      </c>
      <c r="U143" s="18" t="s">
        <v>338</v>
      </c>
      <c r="V143" s="18">
        <v>900</v>
      </c>
      <c r="W143" s="18">
        <v>900</v>
      </c>
      <c r="X143" s="18" t="s">
        <v>326</v>
      </c>
      <c r="Y143" s="18" t="s">
        <v>327</v>
      </c>
      <c r="Z143" s="18" t="s">
        <v>328</v>
      </c>
      <c r="AA143" s="18">
        <v>0</v>
      </c>
      <c r="AB143" s="18">
        <v>1</v>
      </c>
      <c r="AC143" s="18" t="b">
        <v>0</v>
      </c>
      <c r="AD143" s="18" t="s">
        <v>329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 t="s">
        <v>330</v>
      </c>
      <c r="AZ143" s="18">
        <v>11700</v>
      </c>
      <c r="BA143" s="18" t="s">
        <v>366</v>
      </c>
      <c r="BB143" s="18" t="s">
        <v>328</v>
      </c>
      <c r="BC143" s="18">
        <v>10000</v>
      </c>
      <c r="BD143" s="18">
        <v>0</v>
      </c>
      <c r="BE143" s="18" t="s">
        <v>332</v>
      </c>
      <c r="BF143" s="18">
        <v>0</v>
      </c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 t="s">
        <v>381</v>
      </c>
      <c r="CG143" s="18" t="s">
        <v>368</v>
      </c>
      <c r="CH143" s="18">
        <v>950</v>
      </c>
      <c r="CI143" s="18">
        <v>80</v>
      </c>
      <c r="CJ143" s="18" t="s">
        <v>348</v>
      </c>
      <c r="CK143" s="18">
        <v>16</v>
      </c>
      <c r="CL143" s="18">
        <v>0</v>
      </c>
      <c r="CM143" s="18">
        <v>16</v>
      </c>
      <c r="CN143" s="18">
        <v>950</v>
      </c>
      <c r="CO143" s="18">
        <v>65</v>
      </c>
      <c r="CP143" s="18">
        <v>0</v>
      </c>
      <c r="CQ143" s="18">
        <v>1</v>
      </c>
      <c r="CR143" s="18">
        <v>10320007</v>
      </c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>
        <v>200</v>
      </c>
      <c r="GS143" s="18">
        <v>400</v>
      </c>
      <c r="GT143" s="18" t="s">
        <v>356</v>
      </c>
      <c r="GU143" s="18">
        <v>30032</v>
      </c>
      <c r="GV143" s="18" t="s">
        <v>339</v>
      </c>
      <c r="GW143" s="18" t="s">
        <v>339</v>
      </c>
      <c r="GX143" s="18" t="b">
        <v>1</v>
      </c>
      <c r="GY143" s="18">
        <v>8000</v>
      </c>
      <c r="GZ143" s="18" t="b">
        <v>0</v>
      </c>
      <c r="HA143" s="18">
        <v>0</v>
      </c>
      <c r="HB143" s="18">
        <v>0</v>
      </c>
      <c r="HC143" s="18">
        <v>0</v>
      </c>
      <c r="HD143" s="18">
        <v>0</v>
      </c>
      <c r="HE143" s="18" t="b">
        <v>0</v>
      </c>
      <c r="HF143" s="18">
        <v>0</v>
      </c>
      <c r="HG143" s="18">
        <v>10001</v>
      </c>
      <c r="HH143" s="18" t="s">
        <v>339</v>
      </c>
      <c r="HI143" s="18" t="s">
        <v>334</v>
      </c>
      <c r="HJ143" s="18">
        <v>0</v>
      </c>
      <c r="HK143" s="18">
        <v>0</v>
      </c>
      <c r="HL143" s="18">
        <v>0</v>
      </c>
      <c r="HM143" s="18">
        <v>0</v>
      </c>
      <c r="HN143" s="18" t="b">
        <v>0</v>
      </c>
    </row>
    <row r="144" spans="1:222">
      <c r="A144"/>
      <c r="B144" s="29" cm="1">
        <f t="array" ref="B144">10000000+INDEX(编号表!$B$1:$B$112,MATCH(D144,编号表!$A$1:$A$112,0))*10000+I144</f>
        <v>10140008</v>
      </c>
      <c r="C144" s="18" t="s">
        <v>384</v>
      </c>
      <c r="D144" s="18" t="s">
        <v>384</v>
      </c>
      <c r="E144" s="18" t="s">
        <v>322</v>
      </c>
      <c r="F144" s="18" t="s">
        <v>323</v>
      </c>
      <c r="G144" s="18" t="b">
        <v>0</v>
      </c>
      <c r="H144" s="18" t="b">
        <v>0</v>
      </c>
      <c r="I144" s="18">
        <v>8</v>
      </c>
      <c r="J144" s="18">
        <v>101400</v>
      </c>
      <c r="K144" s="18" t="s">
        <v>324</v>
      </c>
      <c r="L144" s="18">
        <v>10140007</v>
      </c>
      <c r="M144" s="18">
        <v>10140009</v>
      </c>
      <c r="N144" s="18" t="s">
        <v>385</v>
      </c>
      <c r="O144" s="18">
        <v>10202013</v>
      </c>
      <c r="P144" s="18">
        <v>0</v>
      </c>
      <c r="Q144" s="18">
        <v>3</v>
      </c>
      <c r="R144" s="18">
        <v>35</v>
      </c>
      <c r="S144" s="18">
        <v>0</v>
      </c>
      <c r="T144" s="18">
        <v>100</v>
      </c>
      <c r="U144" s="18" t="s">
        <v>338</v>
      </c>
      <c r="V144" s="18">
        <v>900</v>
      </c>
      <c r="W144" s="18">
        <v>900</v>
      </c>
      <c r="X144" s="18" t="s">
        <v>326</v>
      </c>
      <c r="Y144" s="18" t="s">
        <v>327</v>
      </c>
      <c r="Z144" s="18" t="s">
        <v>328</v>
      </c>
      <c r="AA144" s="18">
        <v>0</v>
      </c>
      <c r="AB144" s="18">
        <v>1</v>
      </c>
      <c r="AC144" s="18" t="b">
        <v>0</v>
      </c>
      <c r="AD144" s="18" t="s">
        <v>329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 t="s">
        <v>330</v>
      </c>
      <c r="AZ144" s="18">
        <v>11800</v>
      </c>
      <c r="BA144" s="18" t="s">
        <v>366</v>
      </c>
      <c r="BB144" s="18" t="s">
        <v>328</v>
      </c>
      <c r="BC144" s="18">
        <v>10000</v>
      </c>
      <c r="BD144" s="18">
        <v>0</v>
      </c>
      <c r="BE144" s="18" t="s">
        <v>332</v>
      </c>
      <c r="BF144" s="18">
        <v>0</v>
      </c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 t="s">
        <v>381</v>
      </c>
      <c r="CG144" s="18" t="s">
        <v>368</v>
      </c>
      <c r="CH144" s="18">
        <v>950</v>
      </c>
      <c r="CI144" s="18">
        <v>80</v>
      </c>
      <c r="CJ144" s="18" t="s">
        <v>348</v>
      </c>
      <c r="CK144" s="18">
        <v>16</v>
      </c>
      <c r="CL144" s="18">
        <v>0</v>
      </c>
      <c r="CM144" s="18">
        <v>16</v>
      </c>
      <c r="CN144" s="18">
        <v>950</v>
      </c>
      <c r="CO144" s="18">
        <v>65</v>
      </c>
      <c r="CP144" s="18">
        <v>0</v>
      </c>
      <c r="CQ144" s="18">
        <v>1</v>
      </c>
      <c r="CR144" s="18">
        <v>10320008</v>
      </c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>
        <v>200</v>
      </c>
      <c r="GS144" s="18">
        <v>400</v>
      </c>
      <c r="GT144" s="18" t="s">
        <v>356</v>
      </c>
      <c r="GU144" s="18">
        <v>30032</v>
      </c>
      <c r="GV144" s="18" t="s">
        <v>339</v>
      </c>
      <c r="GW144" s="18" t="s">
        <v>339</v>
      </c>
      <c r="GX144" s="18" t="b">
        <v>1</v>
      </c>
      <c r="GY144" s="18">
        <v>8000</v>
      </c>
      <c r="GZ144" s="18" t="b">
        <v>0</v>
      </c>
      <c r="HA144" s="18">
        <v>0</v>
      </c>
      <c r="HB144" s="18">
        <v>0</v>
      </c>
      <c r="HC144" s="18">
        <v>0</v>
      </c>
      <c r="HD144" s="18">
        <v>0</v>
      </c>
      <c r="HE144" s="18" t="b">
        <v>0</v>
      </c>
      <c r="HF144" s="18">
        <v>0</v>
      </c>
      <c r="HG144" s="18">
        <v>10001</v>
      </c>
      <c r="HH144" s="18" t="s">
        <v>339</v>
      </c>
      <c r="HI144" s="18" t="s">
        <v>334</v>
      </c>
      <c r="HJ144" s="18">
        <v>0</v>
      </c>
      <c r="HK144" s="18">
        <v>0</v>
      </c>
      <c r="HL144" s="18">
        <v>0</v>
      </c>
      <c r="HM144" s="18">
        <v>0</v>
      </c>
      <c r="HN144" s="18" t="b">
        <v>0</v>
      </c>
    </row>
    <row r="145" spans="1:222">
      <c r="A145"/>
      <c r="B145" s="29" cm="1">
        <f t="array" ref="B145">10000000+INDEX(编号表!$B$1:$B$112,MATCH(D145,编号表!$A$1:$A$112,0))*10000+I145</f>
        <v>10140009</v>
      </c>
      <c r="C145" s="18" t="s">
        <v>384</v>
      </c>
      <c r="D145" s="18" t="s">
        <v>384</v>
      </c>
      <c r="E145" s="18" t="s">
        <v>322</v>
      </c>
      <c r="F145" s="18" t="s">
        <v>323</v>
      </c>
      <c r="G145" s="18" t="b">
        <v>0</v>
      </c>
      <c r="H145" s="18" t="b">
        <v>0</v>
      </c>
      <c r="I145" s="18">
        <v>9</v>
      </c>
      <c r="J145" s="18">
        <v>101400</v>
      </c>
      <c r="K145" s="18" t="s">
        <v>324</v>
      </c>
      <c r="L145" s="18">
        <v>10140008</v>
      </c>
      <c r="M145" s="18">
        <v>10140010</v>
      </c>
      <c r="N145" s="18" t="s">
        <v>385</v>
      </c>
      <c r="O145" s="18">
        <v>10202013</v>
      </c>
      <c r="P145" s="18">
        <v>0</v>
      </c>
      <c r="Q145" s="18">
        <v>3</v>
      </c>
      <c r="R145" s="18">
        <v>40</v>
      </c>
      <c r="S145" s="18">
        <v>0</v>
      </c>
      <c r="T145" s="18">
        <v>100</v>
      </c>
      <c r="U145" s="18" t="s">
        <v>338</v>
      </c>
      <c r="V145" s="18">
        <v>900</v>
      </c>
      <c r="W145" s="18">
        <v>900</v>
      </c>
      <c r="X145" s="18" t="s">
        <v>326</v>
      </c>
      <c r="Y145" s="18" t="s">
        <v>327</v>
      </c>
      <c r="Z145" s="18" t="s">
        <v>328</v>
      </c>
      <c r="AA145" s="18">
        <v>0</v>
      </c>
      <c r="AB145" s="18">
        <v>1</v>
      </c>
      <c r="AC145" s="18" t="b">
        <v>0</v>
      </c>
      <c r="AD145" s="18" t="s">
        <v>329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 t="s">
        <v>330</v>
      </c>
      <c r="AZ145" s="18">
        <v>11900</v>
      </c>
      <c r="BA145" s="18" t="s">
        <v>366</v>
      </c>
      <c r="BB145" s="18" t="s">
        <v>328</v>
      </c>
      <c r="BC145" s="18">
        <v>10000</v>
      </c>
      <c r="BD145" s="18">
        <v>0</v>
      </c>
      <c r="BE145" s="18" t="s">
        <v>332</v>
      </c>
      <c r="BF145" s="18">
        <v>0</v>
      </c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 t="s">
        <v>381</v>
      </c>
      <c r="CG145" s="18" t="s">
        <v>368</v>
      </c>
      <c r="CH145" s="18">
        <v>950</v>
      </c>
      <c r="CI145" s="18">
        <v>80</v>
      </c>
      <c r="CJ145" s="18" t="s">
        <v>348</v>
      </c>
      <c r="CK145" s="18">
        <v>16</v>
      </c>
      <c r="CL145" s="18">
        <v>0</v>
      </c>
      <c r="CM145" s="18">
        <v>16</v>
      </c>
      <c r="CN145" s="18">
        <v>950</v>
      </c>
      <c r="CO145" s="18">
        <v>65</v>
      </c>
      <c r="CP145" s="18">
        <v>0</v>
      </c>
      <c r="CQ145" s="18">
        <v>1</v>
      </c>
      <c r="CR145" s="18">
        <v>10320009</v>
      </c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>
        <v>200</v>
      </c>
      <c r="GS145" s="18">
        <v>400</v>
      </c>
      <c r="GT145" s="18" t="s">
        <v>356</v>
      </c>
      <c r="GU145" s="18">
        <v>30032</v>
      </c>
      <c r="GV145" s="18" t="s">
        <v>339</v>
      </c>
      <c r="GW145" s="18" t="s">
        <v>339</v>
      </c>
      <c r="GX145" s="18" t="b">
        <v>1</v>
      </c>
      <c r="GY145" s="18">
        <v>8000</v>
      </c>
      <c r="GZ145" s="18" t="b">
        <v>0</v>
      </c>
      <c r="HA145" s="18">
        <v>0</v>
      </c>
      <c r="HB145" s="18">
        <v>0</v>
      </c>
      <c r="HC145" s="18">
        <v>0</v>
      </c>
      <c r="HD145" s="18">
        <v>0</v>
      </c>
      <c r="HE145" s="18" t="b">
        <v>0</v>
      </c>
      <c r="HF145" s="18">
        <v>0</v>
      </c>
      <c r="HG145" s="18">
        <v>10001</v>
      </c>
      <c r="HH145" s="18" t="s">
        <v>339</v>
      </c>
      <c r="HI145" s="18" t="s">
        <v>334</v>
      </c>
      <c r="HJ145" s="18">
        <v>0</v>
      </c>
      <c r="HK145" s="18">
        <v>0</v>
      </c>
      <c r="HL145" s="18">
        <v>0</v>
      </c>
      <c r="HM145" s="18">
        <v>0</v>
      </c>
      <c r="HN145" s="18" t="b">
        <v>0</v>
      </c>
    </row>
    <row r="146" spans="1:222">
      <c r="A146"/>
      <c r="B146" s="29" cm="1">
        <f t="array" ref="B146">10000000+INDEX(编号表!$B$1:$B$112,MATCH(D146,编号表!$A$1:$A$112,0))*10000+I146</f>
        <v>10140010</v>
      </c>
      <c r="C146" s="18" t="s">
        <v>384</v>
      </c>
      <c r="D146" s="18" t="s">
        <v>384</v>
      </c>
      <c r="E146" s="18" t="s">
        <v>322</v>
      </c>
      <c r="F146" s="18" t="s">
        <v>323</v>
      </c>
      <c r="G146" s="18" t="b">
        <v>0</v>
      </c>
      <c r="H146" s="18" t="b">
        <v>0</v>
      </c>
      <c r="I146" s="18">
        <v>10</v>
      </c>
      <c r="J146" s="18">
        <v>101400</v>
      </c>
      <c r="K146" s="18" t="s">
        <v>324</v>
      </c>
      <c r="L146" s="18">
        <v>10140009</v>
      </c>
      <c r="M146" s="18">
        <v>0</v>
      </c>
      <c r="N146" s="18" t="s">
        <v>385</v>
      </c>
      <c r="O146" s="18">
        <v>10202013</v>
      </c>
      <c r="P146" s="18">
        <v>0</v>
      </c>
      <c r="Q146" s="18">
        <v>3</v>
      </c>
      <c r="R146" s="18">
        <v>40</v>
      </c>
      <c r="S146" s="18">
        <v>0</v>
      </c>
      <c r="T146" s="18">
        <v>0</v>
      </c>
      <c r="U146" s="18" t="s">
        <v>338</v>
      </c>
      <c r="V146" s="18">
        <v>900</v>
      </c>
      <c r="W146" s="18">
        <v>900</v>
      </c>
      <c r="X146" s="18" t="s">
        <v>326</v>
      </c>
      <c r="Y146" s="18" t="s">
        <v>327</v>
      </c>
      <c r="Z146" s="18" t="s">
        <v>328</v>
      </c>
      <c r="AA146" s="18">
        <v>0</v>
      </c>
      <c r="AB146" s="18">
        <v>1</v>
      </c>
      <c r="AC146" s="18" t="b">
        <v>0</v>
      </c>
      <c r="AD146" s="18" t="s">
        <v>329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 t="s">
        <v>330</v>
      </c>
      <c r="AZ146" s="18">
        <v>12000</v>
      </c>
      <c r="BA146" s="18" t="s">
        <v>366</v>
      </c>
      <c r="BB146" s="18" t="s">
        <v>328</v>
      </c>
      <c r="BC146" s="18">
        <v>10000</v>
      </c>
      <c r="BD146" s="18">
        <v>0</v>
      </c>
      <c r="BE146" s="18" t="s">
        <v>332</v>
      </c>
      <c r="BF146" s="18">
        <v>0</v>
      </c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 t="s">
        <v>381</v>
      </c>
      <c r="CG146" s="18" t="s">
        <v>368</v>
      </c>
      <c r="CH146" s="18">
        <v>950</v>
      </c>
      <c r="CI146" s="18">
        <v>80</v>
      </c>
      <c r="CJ146" s="18" t="s">
        <v>348</v>
      </c>
      <c r="CK146" s="18">
        <v>16</v>
      </c>
      <c r="CL146" s="18">
        <v>0</v>
      </c>
      <c r="CM146" s="18">
        <v>16</v>
      </c>
      <c r="CN146" s="18">
        <v>950</v>
      </c>
      <c r="CO146" s="18">
        <v>65</v>
      </c>
      <c r="CP146" s="18">
        <v>0</v>
      </c>
      <c r="CQ146" s="18">
        <v>1</v>
      </c>
      <c r="CR146" s="18">
        <v>10320010</v>
      </c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>
        <v>200</v>
      </c>
      <c r="GS146" s="18">
        <v>400</v>
      </c>
      <c r="GT146" s="18" t="s">
        <v>356</v>
      </c>
      <c r="GU146" s="18">
        <v>30032</v>
      </c>
      <c r="GV146" s="18" t="s">
        <v>339</v>
      </c>
      <c r="GW146" s="18" t="s">
        <v>339</v>
      </c>
      <c r="GX146" s="18" t="b">
        <v>1</v>
      </c>
      <c r="GY146" s="18">
        <v>8000</v>
      </c>
      <c r="GZ146" s="18" t="b">
        <v>0</v>
      </c>
      <c r="HA146" s="18">
        <v>0</v>
      </c>
      <c r="HB146" s="18">
        <v>0</v>
      </c>
      <c r="HC146" s="18">
        <v>0</v>
      </c>
      <c r="HD146" s="18">
        <v>0</v>
      </c>
      <c r="HE146" s="18" t="b">
        <v>0</v>
      </c>
      <c r="HF146" s="18">
        <v>0</v>
      </c>
      <c r="HG146" s="18">
        <v>10001</v>
      </c>
      <c r="HH146" s="18" t="s">
        <v>339</v>
      </c>
      <c r="HI146" s="18" t="s">
        <v>334</v>
      </c>
      <c r="HJ146" s="18">
        <v>0</v>
      </c>
      <c r="HK146" s="18">
        <v>0</v>
      </c>
      <c r="HL146" s="18">
        <v>0</v>
      </c>
      <c r="HM146" s="18">
        <v>0</v>
      </c>
      <c r="HN146" s="18" t="b">
        <v>0</v>
      </c>
    </row>
    <row r="147" spans="1:222">
      <c r="A147"/>
      <c r="B147" s="29" cm="1">
        <f t="array" ref="B147">10000000+INDEX(编号表!$B$1:$B$112,MATCH(D147,编号表!$A$1:$A$112,0))*10000+I147</f>
        <v>10150001</v>
      </c>
      <c r="C147" s="18" t="s">
        <v>386</v>
      </c>
      <c r="D147" s="18" t="s">
        <v>386</v>
      </c>
      <c r="E147" s="18" t="s">
        <v>322</v>
      </c>
      <c r="F147" s="18" t="s">
        <v>323</v>
      </c>
      <c r="G147" s="18" t="b">
        <v>0</v>
      </c>
      <c r="H147" s="18" t="b">
        <v>0</v>
      </c>
      <c r="I147" s="18">
        <v>1</v>
      </c>
      <c r="J147" s="18">
        <v>101500</v>
      </c>
      <c r="K147" s="18" t="s">
        <v>324</v>
      </c>
      <c r="L147" s="18">
        <v>0</v>
      </c>
      <c r="M147" s="18">
        <v>10150002</v>
      </c>
      <c r="N147" s="18" t="s">
        <v>387</v>
      </c>
      <c r="O147" s="18">
        <v>10202014</v>
      </c>
      <c r="P147" s="18">
        <v>0</v>
      </c>
      <c r="Q147" s="18">
        <v>0</v>
      </c>
      <c r="R147" s="18">
        <v>1</v>
      </c>
      <c r="S147" s="18">
        <v>0</v>
      </c>
      <c r="T147" s="18">
        <v>100</v>
      </c>
      <c r="U147" s="18" t="s">
        <v>338</v>
      </c>
      <c r="V147" s="18">
        <v>0</v>
      </c>
      <c r="W147" s="18">
        <v>0</v>
      </c>
      <c r="X147" s="18" t="s">
        <v>342</v>
      </c>
      <c r="Y147" s="18" t="s">
        <v>343</v>
      </c>
      <c r="Z147" s="18" t="s">
        <v>328</v>
      </c>
      <c r="AA147" s="18">
        <v>0</v>
      </c>
      <c r="AB147" s="18">
        <v>16</v>
      </c>
      <c r="AC147" s="18" t="b">
        <v>0</v>
      </c>
      <c r="AD147" s="18" t="s">
        <v>329</v>
      </c>
      <c r="AE147" s="18"/>
      <c r="AF147" s="18">
        <v>900</v>
      </c>
      <c r="AG147" s="18">
        <v>120</v>
      </c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 t="s">
        <v>330</v>
      </c>
      <c r="AZ147" s="18">
        <v>10000</v>
      </c>
      <c r="BA147" s="18" t="s">
        <v>366</v>
      </c>
      <c r="BB147" s="18" t="s">
        <v>328</v>
      </c>
      <c r="BC147" s="18">
        <v>10000</v>
      </c>
      <c r="BD147" s="18">
        <v>0</v>
      </c>
      <c r="BE147" s="18" t="s">
        <v>332</v>
      </c>
      <c r="BF147" s="18">
        <v>0</v>
      </c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 t="s">
        <v>381</v>
      </c>
      <c r="CG147" s="18" t="s">
        <v>368</v>
      </c>
      <c r="CH147" s="18">
        <v>950</v>
      </c>
      <c r="CI147" s="18">
        <v>80</v>
      </c>
      <c r="CJ147" s="18" t="s">
        <v>348</v>
      </c>
      <c r="CK147" s="18">
        <v>16</v>
      </c>
      <c r="CL147" s="18">
        <v>0</v>
      </c>
      <c r="CM147" s="18">
        <v>16</v>
      </c>
      <c r="CN147" s="18">
        <v>950</v>
      </c>
      <c r="CO147" s="18">
        <v>65</v>
      </c>
      <c r="CP147" s="18">
        <v>120</v>
      </c>
      <c r="CQ147" s="18">
        <v>1</v>
      </c>
      <c r="CR147" s="18">
        <v>10330001</v>
      </c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>
        <v>200</v>
      </c>
      <c r="GS147" s="18">
        <v>400</v>
      </c>
      <c r="GT147" s="18" t="s">
        <v>356</v>
      </c>
      <c r="GU147" s="18">
        <v>30007</v>
      </c>
      <c r="GV147" s="18" t="s">
        <v>339</v>
      </c>
      <c r="GW147" s="18" t="s">
        <v>339</v>
      </c>
      <c r="GX147" s="18" t="b">
        <v>1</v>
      </c>
      <c r="GY147" s="18">
        <v>8000</v>
      </c>
      <c r="GZ147" s="18" t="b">
        <v>0</v>
      </c>
      <c r="HA147" s="18">
        <v>0</v>
      </c>
      <c r="HB147" s="18">
        <v>0</v>
      </c>
      <c r="HC147" s="18">
        <v>0</v>
      </c>
      <c r="HD147" s="18">
        <v>0</v>
      </c>
      <c r="HE147" s="18" t="b">
        <v>0</v>
      </c>
      <c r="HF147" s="18">
        <v>0</v>
      </c>
      <c r="HG147" s="18">
        <v>10001</v>
      </c>
      <c r="HH147" s="18" t="s">
        <v>339</v>
      </c>
      <c r="HI147" s="18" t="s">
        <v>334</v>
      </c>
      <c r="HJ147" s="18">
        <v>0</v>
      </c>
      <c r="HK147" s="18">
        <v>0</v>
      </c>
      <c r="HL147" s="18">
        <v>0</v>
      </c>
      <c r="HM147" s="18">
        <v>0</v>
      </c>
      <c r="HN147" s="18" t="b">
        <v>0</v>
      </c>
    </row>
    <row r="148" spans="1:222">
      <c r="A148"/>
      <c r="B148" s="29" cm="1">
        <f t="array" ref="B148">10000000+INDEX(编号表!$B$1:$B$112,MATCH(D148,编号表!$A$1:$A$112,0))*10000+I148</f>
        <v>10150002</v>
      </c>
      <c r="C148" s="18" t="s">
        <v>386</v>
      </c>
      <c r="D148" s="18" t="s">
        <v>386</v>
      </c>
      <c r="E148" s="18" t="s">
        <v>322</v>
      </c>
      <c r="F148" s="18" t="s">
        <v>323</v>
      </c>
      <c r="G148" s="18" t="b">
        <v>0</v>
      </c>
      <c r="H148" s="18" t="b">
        <v>0</v>
      </c>
      <c r="I148" s="18">
        <v>2</v>
      </c>
      <c r="J148" s="18">
        <v>101500</v>
      </c>
      <c r="K148" s="18" t="s">
        <v>324</v>
      </c>
      <c r="L148" s="18">
        <v>10150001</v>
      </c>
      <c r="M148" s="18">
        <v>10150003</v>
      </c>
      <c r="N148" s="18" t="s">
        <v>387</v>
      </c>
      <c r="O148" s="18">
        <v>10202014</v>
      </c>
      <c r="P148" s="18">
        <v>0</v>
      </c>
      <c r="Q148" s="18">
        <v>1</v>
      </c>
      <c r="R148" s="18">
        <v>7</v>
      </c>
      <c r="S148" s="18">
        <v>0</v>
      </c>
      <c r="T148" s="18">
        <v>100</v>
      </c>
      <c r="U148" s="18" t="s">
        <v>338</v>
      </c>
      <c r="V148" s="18">
        <v>0</v>
      </c>
      <c r="W148" s="18">
        <v>0</v>
      </c>
      <c r="X148" s="18" t="s">
        <v>342</v>
      </c>
      <c r="Y148" s="18" t="s">
        <v>343</v>
      </c>
      <c r="Z148" s="18" t="s">
        <v>328</v>
      </c>
      <c r="AA148" s="18">
        <v>0</v>
      </c>
      <c r="AB148" s="18">
        <v>16</v>
      </c>
      <c r="AC148" s="18" t="b">
        <v>0</v>
      </c>
      <c r="AD148" s="18" t="s">
        <v>329</v>
      </c>
      <c r="AE148" s="18"/>
      <c r="AF148" s="18">
        <v>900</v>
      </c>
      <c r="AG148" s="18">
        <v>120</v>
      </c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 t="s">
        <v>330</v>
      </c>
      <c r="AZ148" s="18">
        <v>10400</v>
      </c>
      <c r="BA148" s="18" t="s">
        <v>366</v>
      </c>
      <c r="BB148" s="18" t="s">
        <v>328</v>
      </c>
      <c r="BC148" s="18">
        <v>10000</v>
      </c>
      <c r="BD148" s="18">
        <v>0</v>
      </c>
      <c r="BE148" s="18" t="s">
        <v>332</v>
      </c>
      <c r="BF148" s="18">
        <v>0</v>
      </c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 t="s">
        <v>381</v>
      </c>
      <c r="CG148" s="18" t="s">
        <v>368</v>
      </c>
      <c r="CH148" s="18">
        <v>950</v>
      </c>
      <c r="CI148" s="18">
        <v>80</v>
      </c>
      <c r="CJ148" s="18" t="s">
        <v>348</v>
      </c>
      <c r="CK148" s="18">
        <v>16</v>
      </c>
      <c r="CL148" s="18">
        <v>0</v>
      </c>
      <c r="CM148" s="18">
        <v>16</v>
      </c>
      <c r="CN148" s="18">
        <v>950</v>
      </c>
      <c r="CO148" s="18">
        <v>65</v>
      </c>
      <c r="CP148" s="18">
        <v>120</v>
      </c>
      <c r="CQ148" s="18">
        <v>1</v>
      </c>
      <c r="CR148" s="18">
        <v>10330002</v>
      </c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>
        <v>200</v>
      </c>
      <c r="GS148" s="18">
        <v>400</v>
      </c>
      <c r="GT148" s="18" t="s">
        <v>356</v>
      </c>
      <c r="GU148" s="18">
        <v>30007</v>
      </c>
      <c r="GV148" s="18" t="s">
        <v>339</v>
      </c>
      <c r="GW148" s="18" t="s">
        <v>339</v>
      </c>
      <c r="GX148" s="18" t="b">
        <v>1</v>
      </c>
      <c r="GY148" s="18">
        <v>8000</v>
      </c>
      <c r="GZ148" s="18" t="b">
        <v>0</v>
      </c>
      <c r="HA148" s="18">
        <v>0</v>
      </c>
      <c r="HB148" s="18">
        <v>0</v>
      </c>
      <c r="HC148" s="18">
        <v>0</v>
      </c>
      <c r="HD148" s="18">
        <v>0</v>
      </c>
      <c r="HE148" s="18" t="b">
        <v>0</v>
      </c>
      <c r="HF148" s="18">
        <v>0</v>
      </c>
      <c r="HG148" s="18">
        <v>10001</v>
      </c>
      <c r="HH148" s="18" t="s">
        <v>339</v>
      </c>
      <c r="HI148" s="18" t="s">
        <v>334</v>
      </c>
      <c r="HJ148" s="18">
        <v>0</v>
      </c>
      <c r="HK148" s="18">
        <v>0</v>
      </c>
      <c r="HL148" s="18">
        <v>0</v>
      </c>
      <c r="HM148" s="18">
        <v>0</v>
      </c>
      <c r="HN148" s="18" t="b">
        <v>0</v>
      </c>
    </row>
    <row r="149" spans="1:222">
      <c r="A149"/>
      <c r="B149" s="29" cm="1">
        <f t="array" ref="B149">10000000+INDEX(编号表!$B$1:$B$112,MATCH(D149,编号表!$A$1:$A$112,0))*10000+I149</f>
        <v>10150003</v>
      </c>
      <c r="C149" s="18" t="s">
        <v>386</v>
      </c>
      <c r="D149" s="18" t="s">
        <v>386</v>
      </c>
      <c r="E149" s="18" t="s">
        <v>322</v>
      </c>
      <c r="F149" s="18" t="s">
        <v>323</v>
      </c>
      <c r="G149" s="18" t="b">
        <v>0</v>
      </c>
      <c r="H149" s="18" t="b">
        <v>0</v>
      </c>
      <c r="I149" s="18">
        <v>3</v>
      </c>
      <c r="J149" s="18">
        <v>101500</v>
      </c>
      <c r="K149" s="18" t="s">
        <v>324</v>
      </c>
      <c r="L149" s="18">
        <v>10150002</v>
      </c>
      <c r="M149" s="18">
        <v>10150004</v>
      </c>
      <c r="N149" s="18" t="s">
        <v>387</v>
      </c>
      <c r="O149" s="18">
        <v>10202014</v>
      </c>
      <c r="P149" s="18">
        <v>0</v>
      </c>
      <c r="Q149" s="18">
        <v>2</v>
      </c>
      <c r="R149" s="18">
        <v>11</v>
      </c>
      <c r="S149" s="18">
        <v>0</v>
      </c>
      <c r="T149" s="18">
        <v>100</v>
      </c>
      <c r="U149" s="18" t="s">
        <v>338</v>
      </c>
      <c r="V149" s="18">
        <v>0</v>
      </c>
      <c r="W149" s="18">
        <v>0</v>
      </c>
      <c r="X149" s="18" t="s">
        <v>342</v>
      </c>
      <c r="Y149" s="18" t="s">
        <v>343</v>
      </c>
      <c r="Z149" s="18" t="s">
        <v>328</v>
      </c>
      <c r="AA149" s="18">
        <v>0</v>
      </c>
      <c r="AB149" s="18">
        <v>16</v>
      </c>
      <c r="AC149" s="18" t="b">
        <v>0</v>
      </c>
      <c r="AD149" s="18" t="s">
        <v>329</v>
      </c>
      <c r="AE149" s="18"/>
      <c r="AF149" s="18">
        <v>900</v>
      </c>
      <c r="AG149" s="18">
        <v>120</v>
      </c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 t="s">
        <v>330</v>
      </c>
      <c r="AZ149" s="18">
        <v>10800</v>
      </c>
      <c r="BA149" s="18" t="s">
        <v>366</v>
      </c>
      <c r="BB149" s="18" t="s">
        <v>328</v>
      </c>
      <c r="BC149" s="18">
        <v>10000</v>
      </c>
      <c r="BD149" s="18">
        <v>0</v>
      </c>
      <c r="BE149" s="18" t="s">
        <v>332</v>
      </c>
      <c r="BF149" s="18">
        <v>0</v>
      </c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 t="s">
        <v>381</v>
      </c>
      <c r="CG149" s="18" t="s">
        <v>368</v>
      </c>
      <c r="CH149" s="18">
        <v>950</v>
      </c>
      <c r="CI149" s="18">
        <v>80</v>
      </c>
      <c r="CJ149" s="18" t="s">
        <v>348</v>
      </c>
      <c r="CK149" s="18">
        <v>16</v>
      </c>
      <c r="CL149" s="18">
        <v>0</v>
      </c>
      <c r="CM149" s="18">
        <v>16</v>
      </c>
      <c r="CN149" s="18">
        <v>950</v>
      </c>
      <c r="CO149" s="18">
        <v>65</v>
      </c>
      <c r="CP149" s="18">
        <v>120</v>
      </c>
      <c r="CQ149" s="18">
        <v>1</v>
      </c>
      <c r="CR149" s="18">
        <v>10330003</v>
      </c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>
        <v>200</v>
      </c>
      <c r="GS149" s="18">
        <v>400</v>
      </c>
      <c r="GT149" s="18" t="s">
        <v>356</v>
      </c>
      <c r="GU149" s="18">
        <v>30007</v>
      </c>
      <c r="GV149" s="18" t="s">
        <v>339</v>
      </c>
      <c r="GW149" s="18" t="s">
        <v>339</v>
      </c>
      <c r="GX149" s="18" t="b">
        <v>1</v>
      </c>
      <c r="GY149" s="18">
        <v>8000</v>
      </c>
      <c r="GZ149" s="18" t="b">
        <v>0</v>
      </c>
      <c r="HA149" s="18">
        <v>0</v>
      </c>
      <c r="HB149" s="18">
        <v>0</v>
      </c>
      <c r="HC149" s="18">
        <v>0</v>
      </c>
      <c r="HD149" s="18">
        <v>0</v>
      </c>
      <c r="HE149" s="18" t="b">
        <v>0</v>
      </c>
      <c r="HF149" s="18">
        <v>0</v>
      </c>
      <c r="HG149" s="18">
        <v>10001</v>
      </c>
      <c r="HH149" s="18" t="s">
        <v>339</v>
      </c>
      <c r="HI149" s="18" t="s">
        <v>334</v>
      </c>
      <c r="HJ149" s="18">
        <v>0</v>
      </c>
      <c r="HK149" s="18">
        <v>0</v>
      </c>
      <c r="HL149" s="18">
        <v>0</v>
      </c>
      <c r="HM149" s="18">
        <v>0</v>
      </c>
      <c r="HN149" s="18" t="b">
        <v>0</v>
      </c>
    </row>
    <row r="150" spans="1:222">
      <c r="A150"/>
      <c r="B150" s="29" cm="1">
        <f t="array" ref="B150">10000000+INDEX(编号表!$B$1:$B$112,MATCH(D150,编号表!$A$1:$A$112,0))*10000+I150</f>
        <v>10150004</v>
      </c>
      <c r="C150" s="18" t="s">
        <v>386</v>
      </c>
      <c r="D150" s="18" t="s">
        <v>386</v>
      </c>
      <c r="E150" s="18" t="s">
        <v>322</v>
      </c>
      <c r="F150" s="18" t="s">
        <v>323</v>
      </c>
      <c r="G150" s="18" t="b">
        <v>0</v>
      </c>
      <c r="H150" s="18" t="b">
        <v>0</v>
      </c>
      <c r="I150" s="18">
        <v>4</v>
      </c>
      <c r="J150" s="18">
        <v>101500</v>
      </c>
      <c r="K150" s="18" t="s">
        <v>324</v>
      </c>
      <c r="L150" s="18">
        <v>10150003</v>
      </c>
      <c r="M150" s="18">
        <v>10150005</v>
      </c>
      <c r="N150" s="18" t="s">
        <v>387</v>
      </c>
      <c r="O150" s="18">
        <v>10202014</v>
      </c>
      <c r="P150" s="18">
        <v>0</v>
      </c>
      <c r="Q150" s="18">
        <v>3</v>
      </c>
      <c r="R150" s="18">
        <v>16</v>
      </c>
      <c r="S150" s="18">
        <v>0</v>
      </c>
      <c r="T150" s="18">
        <v>100</v>
      </c>
      <c r="U150" s="18" t="s">
        <v>338</v>
      </c>
      <c r="V150" s="18">
        <v>0</v>
      </c>
      <c r="W150" s="18">
        <v>0</v>
      </c>
      <c r="X150" s="18" t="s">
        <v>342</v>
      </c>
      <c r="Y150" s="18" t="s">
        <v>343</v>
      </c>
      <c r="Z150" s="18" t="s">
        <v>328</v>
      </c>
      <c r="AA150" s="18">
        <v>0</v>
      </c>
      <c r="AB150" s="18">
        <v>16</v>
      </c>
      <c r="AC150" s="18" t="b">
        <v>0</v>
      </c>
      <c r="AD150" s="18" t="s">
        <v>329</v>
      </c>
      <c r="AE150" s="18"/>
      <c r="AF150" s="18">
        <v>900</v>
      </c>
      <c r="AG150" s="18">
        <v>120</v>
      </c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 t="s">
        <v>330</v>
      </c>
      <c r="AZ150" s="18">
        <v>11200</v>
      </c>
      <c r="BA150" s="18" t="s">
        <v>366</v>
      </c>
      <c r="BB150" s="18" t="s">
        <v>328</v>
      </c>
      <c r="BC150" s="18">
        <v>10000</v>
      </c>
      <c r="BD150" s="18">
        <v>0</v>
      </c>
      <c r="BE150" s="18" t="s">
        <v>332</v>
      </c>
      <c r="BF150" s="18">
        <v>0</v>
      </c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 t="s">
        <v>381</v>
      </c>
      <c r="CG150" s="18" t="s">
        <v>368</v>
      </c>
      <c r="CH150" s="18">
        <v>950</v>
      </c>
      <c r="CI150" s="18">
        <v>80</v>
      </c>
      <c r="CJ150" s="18" t="s">
        <v>348</v>
      </c>
      <c r="CK150" s="18">
        <v>16</v>
      </c>
      <c r="CL150" s="18">
        <v>0</v>
      </c>
      <c r="CM150" s="18">
        <v>16</v>
      </c>
      <c r="CN150" s="18">
        <v>950</v>
      </c>
      <c r="CO150" s="18">
        <v>65</v>
      </c>
      <c r="CP150" s="18">
        <v>120</v>
      </c>
      <c r="CQ150" s="18">
        <v>1</v>
      </c>
      <c r="CR150" s="18">
        <v>10330004</v>
      </c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>
        <v>200</v>
      </c>
      <c r="GS150" s="18">
        <v>400</v>
      </c>
      <c r="GT150" s="18" t="s">
        <v>356</v>
      </c>
      <c r="GU150" s="18">
        <v>30007</v>
      </c>
      <c r="GV150" s="18" t="s">
        <v>339</v>
      </c>
      <c r="GW150" s="18" t="s">
        <v>339</v>
      </c>
      <c r="GX150" s="18" t="b">
        <v>1</v>
      </c>
      <c r="GY150" s="18">
        <v>8000</v>
      </c>
      <c r="GZ150" s="18" t="b">
        <v>0</v>
      </c>
      <c r="HA150" s="18">
        <v>0</v>
      </c>
      <c r="HB150" s="18">
        <v>0</v>
      </c>
      <c r="HC150" s="18">
        <v>0</v>
      </c>
      <c r="HD150" s="18">
        <v>0</v>
      </c>
      <c r="HE150" s="18" t="b">
        <v>0</v>
      </c>
      <c r="HF150" s="18">
        <v>0</v>
      </c>
      <c r="HG150" s="18">
        <v>10001</v>
      </c>
      <c r="HH150" s="18" t="s">
        <v>339</v>
      </c>
      <c r="HI150" s="18" t="s">
        <v>334</v>
      </c>
      <c r="HJ150" s="18">
        <v>0</v>
      </c>
      <c r="HK150" s="18">
        <v>0</v>
      </c>
      <c r="HL150" s="18">
        <v>0</v>
      </c>
      <c r="HM150" s="18">
        <v>0</v>
      </c>
      <c r="HN150" s="18" t="b">
        <v>0</v>
      </c>
    </row>
    <row r="151" spans="1:222">
      <c r="A151"/>
      <c r="B151" s="29" cm="1">
        <f t="array" ref="B151">10000000+INDEX(编号表!$B$1:$B$112,MATCH(D151,编号表!$A$1:$A$112,0))*10000+I151</f>
        <v>10150005</v>
      </c>
      <c r="C151" s="18" t="s">
        <v>386</v>
      </c>
      <c r="D151" s="18" t="s">
        <v>386</v>
      </c>
      <c r="E151" s="18" t="s">
        <v>322</v>
      </c>
      <c r="F151" s="18" t="s">
        <v>323</v>
      </c>
      <c r="G151" s="18" t="b">
        <v>0</v>
      </c>
      <c r="H151" s="18" t="b">
        <v>0</v>
      </c>
      <c r="I151" s="18">
        <v>5</v>
      </c>
      <c r="J151" s="18">
        <v>101500</v>
      </c>
      <c r="K151" s="18" t="s">
        <v>324</v>
      </c>
      <c r="L151" s="18">
        <v>10150004</v>
      </c>
      <c r="M151" s="18">
        <v>10150006</v>
      </c>
      <c r="N151" s="18" t="s">
        <v>387</v>
      </c>
      <c r="O151" s="18">
        <v>10202014</v>
      </c>
      <c r="P151" s="18">
        <v>0</v>
      </c>
      <c r="Q151" s="18">
        <v>3</v>
      </c>
      <c r="R151" s="18">
        <v>25</v>
      </c>
      <c r="S151" s="18">
        <v>0</v>
      </c>
      <c r="T151" s="18">
        <v>100</v>
      </c>
      <c r="U151" s="18" t="s">
        <v>338</v>
      </c>
      <c r="V151" s="18">
        <v>0</v>
      </c>
      <c r="W151" s="18">
        <v>0</v>
      </c>
      <c r="X151" s="18" t="s">
        <v>342</v>
      </c>
      <c r="Y151" s="18" t="s">
        <v>343</v>
      </c>
      <c r="Z151" s="18" t="s">
        <v>328</v>
      </c>
      <c r="AA151" s="18">
        <v>0</v>
      </c>
      <c r="AB151" s="18">
        <v>16</v>
      </c>
      <c r="AC151" s="18" t="b">
        <v>0</v>
      </c>
      <c r="AD151" s="18" t="s">
        <v>329</v>
      </c>
      <c r="AE151" s="18"/>
      <c r="AF151" s="18">
        <v>900</v>
      </c>
      <c r="AG151" s="18">
        <v>120</v>
      </c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 t="s">
        <v>330</v>
      </c>
      <c r="AZ151" s="18">
        <v>11300</v>
      </c>
      <c r="BA151" s="18" t="s">
        <v>366</v>
      </c>
      <c r="BB151" s="18" t="s">
        <v>328</v>
      </c>
      <c r="BC151" s="18">
        <v>10000</v>
      </c>
      <c r="BD151" s="18">
        <v>0</v>
      </c>
      <c r="BE151" s="18" t="s">
        <v>332</v>
      </c>
      <c r="BF151" s="18">
        <v>0</v>
      </c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 t="s">
        <v>381</v>
      </c>
      <c r="CG151" s="18" t="s">
        <v>368</v>
      </c>
      <c r="CH151" s="18">
        <v>950</v>
      </c>
      <c r="CI151" s="18">
        <v>80</v>
      </c>
      <c r="CJ151" s="18" t="s">
        <v>348</v>
      </c>
      <c r="CK151" s="18">
        <v>16</v>
      </c>
      <c r="CL151" s="18">
        <v>0</v>
      </c>
      <c r="CM151" s="18">
        <v>16</v>
      </c>
      <c r="CN151" s="18">
        <v>950</v>
      </c>
      <c r="CO151" s="18">
        <v>65</v>
      </c>
      <c r="CP151" s="18">
        <v>120</v>
      </c>
      <c r="CQ151" s="18">
        <v>1</v>
      </c>
      <c r="CR151" s="18">
        <v>10330005</v>
      </c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>
        <v>200</v>
      </c>
      <c r="GS151" s="18">
        <v>400</v>
      </c>
      <c r="GT151" s="18" t="s">
        <v>356</v>
      </c>
      <c r="GU151" s="18">
        <v>30007</v>
      </c>
      <c r="GV151" s="18" t="s">
        <v>339</v>
      </c>
      <c r="GW151" s="18" t="s">
        <v>339</v>
      </c>
      <c r="GX151" s="18" t="b">
        <v>1</v>
      </c>
      <c r="GY151" s="18">
        <v>8000</v>
      </c>
      <c r="GZ151" s="18" t="b">
        <v>0</v>
      </c>
      <c r="HA151" s="18">
        <v>0</v>
      </c>
      <c r="HB151" s="18">
        <v>0</v>
      </c>
      <c r="HC151" s="18">
        <v>0</v>
      </c>
      <c r="HD151" s="18">
        <v>0</v>
      </c>
      <c r="HE151" s="18" t="b">
        <v>0</v>
      </c>
      <c r="HF151" s="18">
        <v>0</v>
      </c>
      <c r="HG151" s="18">
        <v>10001</v>
      </c>
      <c r="HH151" s="18" t="s">
        <v>339</v>
      </c>
      <c r="HI151" s="18" t="s">
        <v>334</v>
      </c>
      <c r="HJ151" s="18">
        <v>0</v>
      </c>
      <c r="HK151" s="18">
        <v>0</v>
      </c>
      <c r="HL151" s="18">
        <v>0</v>
      </c>
      <c r="HM151" s="18">
        <v>0</v>
      </c>
      <c r="HN151" s="18" t="b">
        <v>0</v>
      </c>
    </row>
    <row r="152" spans="1:222">
      <c r="A152"/>
      <c r="B152" s="29" cm="1">
        <f t="array" ref="B152">10000000+INDEX(编号表!$B$1:$B$112,MATCH(D152,编号表!$A$1:$A$112,0))*10000+I152</f>
        <v>10150006</v>
      </c>
      <c r="C152" s="18" t="s">
        <v>386</v>
      </c>
      <c r="D152" s="18" t="s">
        <v>386</v>
      </c>
      <c r="E152" s="18" t="s">
        <v>322</v>
      </c>
      <c r="F152" s="18" t="s">
        <v>323</v>
      </c>
      <c r="G152" s="18" t="b">
        <v>0</v>
      </c>
      <c r="H152" s="18" t="b">
        <v>0</v>
      </c>
      <c r="I152" s="18">
        <v>6</v>
      </c>
      <c r="J152" s="18">
        <v>101500</v>
      </c>
      <c r="K152" s="18" t="s">
        <v>324</v>
      </c>
      <c r="L152" s="18">
        <v>10150005</v>
      </c>
      <c r="M152" s="18">
        <v>10150007</v>
      </c>
      <c r="N152" s="18" t="s">
        <v>387</v>
      </c>
      <c r="O152" s="18">
        <v>10202014</v>
      </c>
      <c r="P152" s="18">
        <v>0</v>
      </c>
      <c r="Q152" s="18">
        <v>3</v>
      </c>
      <c r="R152" s="18">
        <v>30</v>
      </c>
      <c r="S152" s="18">
        <v>0</v>
      </c>
      <c r="T152" s="18">
        <v>100</v>
      </c>
      <c r="U152" s="18" t="s">
        <v>338</v>
      </c>
      <c r="V152" s="18">
        <v>0</v>
      </c>
      <c r="W152" s="18">
        <v>0</v>
      </c>
      <c r="X152" s="18" t="s">
        <v>342</v>
      </c>
      <c r="Y152" s="18" t="s">
        <v>343</v>
      </c>
      <c r="Z152" s="18" t="s">
        <v>328</v>
      </c>
      <c r="AA152" s="18">
        <v>0</v>
      </c>
      <c r="AB152" s="18">
        <v>16</v>
      </c>
      <c r="AC152" s="18" t="b">
        <v>0</v>
      </c>
      <c r="AD152" s="18" t="s">
        <v>329</v>
      </c>
      <c r="AE152" s="18"/>
      <c r="AF152" s="18">
        <v>900</v>
      </c>
      <c r="AG152" s="18">
        <v>120</v>
      </c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 t="s">
        <v>330</v>
      </c>
      <c r="AZ152" s="18">
        <v>11600</v>
      </c>
      <c r="BA152" s="18" t="s">
        <v>366</v>
      </c>
      <c r="BB152" s="18" t="s">
        <v>328</v>
      </c>
      <c r="BC152" s="18">
        <v>10000</v>
      </c>
      <c r="BD152" s="18">
        <v>0</v>
      </c>
      <c r="BE152" s="18" t="s">
        <v>332</v>
      </c>
      <c r="BF152" s="18">
        <v>0</v>
      </c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 t="s">
        <v>381</v>
      </c>
      <c r="CG152" s="18" t="s">
        <v>368</v>
      </c>
      <c r="CH152" s="18">
        <v>950</v>
      </c>
      <c r="CI152" s="18">
        <v>80</v>
      </c>
      <c r="CJ152" s="18" t="s">
        <v>348</v>
      </c>
      <c r="CK152" s="18">
        <v>16</v>
      </c>
      <c r="CL152" s="18">
        <v>0</v>
      </c>
      <c r="CM152" s="18">
        <v>16</v>
      </c>
      <c r="CN152" s="18">
        <v>950</v>
      </c>
      <c r="CO152" s="18">
        <v>65</v>
      </c>
      <c r="CP152" s="18">
        <v>120</v>
      </c>
      <c r="CQ152" s="18">
        <v>1</v>
      </c>
      <c r="CR152" s="18">
        <v>10330006</v>
      </c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>
        <v>200</v>
      </c>
      <c r="GS152" s="18">
        <v>400</v>
      </c>
      <c r="GT152" s="18" t="s">
        <v>356</v>
      </c>
      <c r="GU152" s="18">
        <v>30007</v>
      </c>
      <c r="GV152" s="18" t="s">
        <v>339</v>
      </c>
      <c r="GW152" s="18" t="s">
        <v>339</v>
      </c>
      <c r="GX152" s="18" t="b">
        <v>1</v>
      </c>
      <c r="GY152" s="18">
        <v>8000</v>
      </c>
      <c r="GZ152" s="18" t="b">
        <v>0</v>
      </c>
      <c r="HA152" s="18">
        <v>0</v>
      </c>
      <c r="HB152" s="18">
        <v>0</v>
      </c>
      <c r="HC152" s="18">
        <v>0</v>
      </c>
      <c r="HD152" s="18">
        <v>0</v>
      </c>
      <c r="HE152" s="18" t="b">
        <v>0</v>
      </c>
      <c r="HF152" s="18">
        <v>0</v>
      </c>
      <c r="HG152" s="18">
        <v>10001</v>
      </c>
      <c r="HH152" s="18" t="s">
        <v>339</v>
      </c>
      <c r="HI152" s="18" t="s">
        <v>334</v>
      </c>
      <c r="HJ152" s="18">
        <v>0</v>
      </c>
      <c r="HK152" s="18">
        <v>0</v>
      </c>
      <c r="HL152" s="18">
        <v>0</v>
      </c>
      <c r="HM152" s="18">
        <v>0</v>
      </c>
      <c r="HN152" s="18" t="b">
        <v>0</v>
      </c>
    </row>
    <row r="153" spans="1:222">
      <c r="A153"/>
      <c r="B153" s="29" cm="1">
        <f t="array" ref="B153">10000000+INDEX(编号表!$B$1:$B$112,MATCH(D153,编号表!$A$1:$A$112,0))*10000+I153</f>
        <v>10150007</v>
      </c>
      <c r="C153" s="18" t="s">
        <v>386</v>
      </c>
      <c r="D153" s="18" t="s">
        <v>386</v>
      </c>
      <c r="E153" s="18" t="s">
        <v>322</v>
      </c>
      <c r="F153" s="18" t="s">
        <v>323</v>
      </c>
      <c r="G153" s="18" t="b">
        <v>0</v>
      </c>
      <c r="H153" s="18" t="b">
        <v>0</v>
      </c>
      <c r="I153" s="18">
        <v>7</v>
      </c>
      <c r="J153" s="18">
        <v>101500</v>
      </c>
      <c r="K153" s="18" t="s">
        <v>324</v>
      </c>
      <c r="L153" s="18">
        <v>10150006</v>
      </c>
      <c r="M153" s="18">
        <v>10150008</v>
      </c>
      <c r="N153" s="18" t="s">
        <v>387</v>
      </c>
      <c r="O153" s="18">
        <v>10202014</v>
      </c>
      <c r="P153" s="18">
        <v>0</v>
      </c>
      <c r="Q153" s="18">
        <v>3</v>
      </c>
      <c r="R153" s="18">
        <v>35</v>
      </c>
      <c r="S153" s="18">
        <v>0</v>
      </c>
      <c r="T153" s="18">
        <v>100</v>
      </c>
      <c r="U153" s="18" t="s">
        <v>338</v>
      </c>
      <c r="V153" s="18">
        <v>0</v>
      </c>
      <c r="W153" s="18">
        <v>0</v>
      </c>
      <c r="X153" s="18" t="s">
        <v>342</v>
      </c>
      <c r="Y153" s="18" t="s">
        <v>343</v>
      </c>
      <c r="Z153" s="18" t="s">
        <v>328</v>
      </c>
      <c r="AA153" s="18">
        <v>0</v>
      </c>
      <c r="AB153" s="18">
        <v>16</v>
      </c>
      <c r="AC153" s="18" t="b">
        <v>0</v>
      </c>
      <c r="AD153" s="18" t="s">
        <v>329</v>
      </c>
      <c r="AE153" s="18"/>
      <c r="AF153" s="18">
        <v>900</v>
      </c>
      <c r="AG153" s="18">
        <v>120</v>
      </c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 t="s">
        <v>330</v>
      </c>
      <c r="AZ153" s="18">
        <v>11700</v>
      </c>
      <c r="BA153" s="18" t="s">
        <v>366</v>
      </c>
      <c r="BB153" s="18" t="s">
        <v>328</v>
      </c>
      <c r="BC153" s="18">
        <v>10000</v>
      </c>
      <c r="BD153" s="18">
        <v>0</v>
      </c>
      <c r="BE153" s="18" t="s">
        <v>332</v>
      </c>
      <c r="BF153" s="18">
        <v>0</v>
      </c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 t="s">
        <v>381</v>
      </c>
      <c r="CG153" s="18" t="s">
        <v>368</v>
      </c>
      <c r="CH153" s="18">
        <v>950</v>
      </c>
      <c r="CI153" s="18">
        <v>80</v>
      </c>
      <c r="CJ153" s="18" t="s">
        <v>348</v>
      </c>
      <c r="CK153" s="18">
        <v>16</v>
      </c>
      <c r="CL153" s="18">
        <v>0</v>
      </c>
      <c r="CM153" s="18">
        <v>16</v>
      </c>
      <c r="CN153" s="18">
        <v>950</v>
      </c>
      <c r="CO153" s="18">
        <v>65</v>
      </c>
      <c r="CP153" s="18">
        <v>120</v>
      </c>
      <c r="CQ153" s="18">
        <v>1</v>
      </c>
      <c r="CR153" s="18">
        <v>10330007</v>
      </c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>
        <v>200</v>
      </c>
      <c r="GS153" s="18">
        <v>400</v>
      </c>
      <c r="GT153" s="18" t="s">
        <v>356</v>
      </c>
      <c r="GU153" s="18">
        <v>30007</v>
      </c>
      <c r="GV153" s="18" t="s">
        <v>339</v>
      </c>
      <c r="GW153" s="18" t="s">
        <v>339</v>
      </c>
      <c r="GX153" s="18" t="b">
        <v>1</v>
      </c>
      <c r="GY153" s="18">
        <v>8000</v>
      </c>
      <c r="GZ153" s="18" t="b">
        <v>0</v>
      </c>
      <c r="HA153" s="18">
        <v>0</v>
      </c>
      <c r="HB153" s="18">
        <v>0</v>
      </c>
      <c r="HC153" s="18">
        <v>0</v>
      </c>
      <c r="HD153" s="18">
        <v>0</v>
      </c>
      <c r="HE153" s="18" t="b">
        <v>0</v>
      </c>
      <c r="HF153" s="18">
        <v>0</v>
      </c>
      <c r="HG153" s="18">
        <v>10001</v>
      </c>
      <c r="HH153" s="18" t="s">
        <v>339</v>
      </c>
      <c r="HI153" s="18" t="s">
        <v>334</v>
      </c>
      <c r="HJ153" s="18">
        <v>0</v>
      </c>
      <c r="HK153" s="18">
        <v>0</v>
      </c>
      <c r="HL153" s="18">
        <v>0</v>
      </c>
      <c r="HM153" s="18">
        <v>0</v>
      </c>
      <c r="HN153" s="18" t="b">
        <v>0</v>
      </c>
    </row>
    <row r="154" spans="1:222">
      <c r="A154"/>
      <c r="B154" s="29" cm="1">
        <f t="array" ref="B154">10000000+INDEX(编号表!$B$1:$B$112,MATCH(D154,编号表!$A$1:$A$112,0))*10000+I154</f>
        <v>10150008</v>
      </c>
      <c r="C154" s="18" t="s">
        <v>386</v>
      </c>
      <c r="D154" s="18" t="s">
        <v>386</v>
      </c>
      <c r="E154" s="18" t="s">
        <v>322</v>
      </c>
      <c r="F154" s="18" t="s">
        <v>323</v>
      </c>
      <c r="G154" s="18" t="b">
        <v>0</v>
      </c>
      <c r="H154" s="18" t="b">
        <v>0</v>
      </c>
      <c r="I154" s="18">
        <v>8</v>
      </c>
      <c r="J154" s="18">
        <v>101500</v>
      </c>
      <c r="K154" s="18" t="s">
        <v>324</v>
      </c>
      <c r="L154" s="18">
        <v>10150007</v>
      </c>
      <c r="M154" s="18">
        <v>10150009</v>
      </c>
      <c r="N154" s="18" t="s">
        <v>387</v>
      </c>
      <c r="O154" s="18">
        <v>10202014</v>
      </c>
      <c r="P154" s="18">
        <v>0</v>
      </c>
      <c r="Q154" s="18">
        <v>3</v>
      </c>
      <c r="R154" s="18">
        <v>35</v>
      </c>
      <c r="S154" s="18">
        <v>0</v>
      </c>
      <c r="T154" s="18">
        <v>100</v>
      </c>
      <c r="U154" s="18" t="s">
        <v>338</v>
      </c>
      <c r="V154" s="18">
        <v>0</v>
      </c>
      <c r="W154" s="18">
        <v>0</v>
      </c>
      <c r="X154" s="18" t="s">
        <v>342</v>
      </c>
      <c r="Y154" s="18" t="s">
        <v>343</v>
      </c>
      <c r="Z154" s="18" t="s">
        <v>328</v>
      </c>
      <c r="AA154" s="18">
        <v>0</v>
      </c>
      <c r="AB154" s="18">
        <v>16</v>
      </c>
      <c r="AC154" s="18" t="b">
        <v>0</v>
      </c>
      <c r="AD154" s="18" t="s">
        <v>329</v>
      </c>
      <c r="AE154" s="18"/>
      <c r="AF154" s="18">
        <v>900</v>
      </c>
      <c r="AG154" s="18">
        <v>120</v>
      </c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 t="s">
        <v>330</v>
      </c>
      <c r="AZ154" s="18">
        <v>11800</v>
      </c>
      <c r="BA154" s="18" t="s">
        <v>366</v>
      </c>
      <c r="BB154" s="18" t="s">
        <v>328</v>
      </c>
      <c r="BC154" s="18">
        <v>10000</v>
      </c>
      <c r="BD154" s="18">
        <v>0</v>
      </c>
      <c r="BE154" s="18" t="s">
        <v>332</v>
      </c>
      <c r="BF154" s="18">
        <v>0</v>
      </c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 t="s">
        <v>381</v>
      </c>
      <c r="CG154" s="18" t="s">
        <v>368</v>
      </c>
      <c r="CH154" s="18">
        <v>950</v>
      </c>
      <c r="CI154" s="18">
        <v>80</v>
      </c>
      <c r="CJ154" s="18" t="s">
        <v>348</v>
      </c>
      <c r="CK154" s="18">
        <v>16</v>
      </c>
      <c r="CL154" s="18">
        <v>0</v>
      </c>
      <c r="CM154" s="18">
        <v>16</v>
      </c>
      <c r="CN154" s="18">
        <v>950</v>
      </c>
      <c r="CO154" s="18">
        <v>65</v>
      </c>
      <c r="CP154" s="18">
        <v>120</v>
      </c>
      <c r="CQ154" s="18">
        <v>1</v>
      </c>
      <c r="CR154" s="18">
        <v>10330008</v>
      </c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>
        <v>200</v>
      </c>
      <c r="GS154" s="18">
        <v>400</v>
      </c>
      <c r="GT154" s="18" t="s">
        <v>356</v>
      </c>
      <c r="GU154" s="18">
        <v>30007</v>
      </c>
      <c r="GV154" s="18" t="s">
        <v>339</v>
      </c>
      <c r="GW154" s="18" t="s">
        <v>339</v>
      </c>
      <c r="GX154" s="18" t="b">
        <v>1</v>
      </c>
      <c r="GY154" s="18">
        <v>8000</v>
      </c>
      <c r="GZ154" s="18" t="b">
        <v>0</v>
      </c>
      <c r="HA154" s="18">
        <v>0</v>
      </c>
      <c r="HB154" s="18">
        <v>0</v>
      </c>
      <c r="HC154" s="18">
        <v>0</v>
      </c>
      <c r="HD154" s="18">
        <v>0</v>
      </c>
      <c r="HE154" s="18" t="b">
        <v>0</v>
      </c>
      <c r="HF154" s="18">
        <v>0</v>
      </c>
      <c r="HG154" s="18">
        <v>10001</v>
      </c>
      <c r="HH154" s="18" t="s">
        <v>339</v>
      </c>
      <c r="HI154" s="18" t="s">
        <v>334</v>
      </c>
      <c r="HJ154" s="18">
        <v>0</v>
      </c>
      <c r="HK154" s="18">
        <v>0</v>
      </c>
      <c r="HL154" s="18">
        <v>0</v>
      </c>
      <c r="HM154" s="18">
        <v>0</v>
      </c>
      <c r="HN154" s="18" t="b">
        <v>0</v>
      </c>
    </row>
    <row r="155" spans="1:222">
      <c r="A155"/>
      <c r="B155" s="29" cm="1">
        <f t="array" ref="B155">10000000+INDEX(编号表!$B$1:$B$112,MATCH(D155,编号表!$A$1:$A$112,0))*10000+I155</f>
        <v>10150009</v>
      </c>
      <c r="C155" s="18" t="s">
        <v>386</v>
      </c>
      <c r="D155" s="18" t="s">
        <v>386</v>
      </c>
      <c r="E155" s="18" t="s">
        <v>322</v>
      </c>
      <c r="F155" s="18" t="s">
        <v>323</v>
      </c>
      <c r="G155" s="18" t="b">
        <v>0</v>
      </c>
      <c r="H155" s="18" t="b">
        <v>0</v>
      </c>
      <c r="I155" s="18">
        <v>9</v>
      </c>
      <c r="J155" s="18">
        <v>101500</v>
      </c>
      <c r="K155" s="18" t="s">
        <v>324</v>
      </c>
      <c r="L155" s="18">
        <v>10150008</v>
      </c>
      <c r="M155" s="18">
        <v>10150010</v>
      </c>
      <c r="N155" s="18" t="s">
        <v>387</v>
      </c>
      <c r="O155" s="18">
        <v>10202014</v>
      </c>
      <c r="P155" s="18">
        <v>0</v>
      </c>
      <c r="Q155" s="18">
        <v>3</v>
      </c>
      <c r="R155" s="18">
        <v>40</v>
      </c>
      <c r="S155" s="18">
        <v>0</v>
      </c>
      <c r="T155" s="18">
        <v>100</v>
      </c>
      <c r="U155" s="18" t="s">
        <v>338</v>
      </c>
      <c r="V155" s="18">
        <v>0</v>
      </c>
      <c r="W155" s="18">
        <v>0</v>
      </c>
      <c r="X155" s="18" t="s">
        <v>342</v>
      </c>
      <c r="Y155" s="18" t="s">
        <v>343</v>
      </c>
      <c r="Z155" s="18" t="s">
        <v>328</v>
      </c>
      <c r="AA155" s="18">
        <v>0</v>
      </c>
      <c r="AB155" s="18">
        <v>16</v>
      </c>
      <c r="AC155" s="18" t="b">
        <v>0</v>
      </c>
      <c r="AD155" s="18" t="s">
        <v>329</v>
      </c>
      <c r="AE155" s="18"/>
      <c r="AF155" s="18">
        <v>900</v>
      </c>
      <c r="AG155" s="18">
        <v>120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 t="s">
        <v>330</v>
      </c>
      <c r="AZ155" s="18">
        <v>11900</v>
      </c>
      <c r="BA155" s="18" t="s">
        <v>366</v>
      </c>
      <c r="BB155" s="18" t="s">
        <v>328</v>
      </c>
      <c r="BC155" s="18">
        <v>10000</v>
      </c>
      <c r="BD155" s="18">
        <v>0</v>
      </c>
      <c r="BE155" s="18" t="s">
        <v>332</v>
      </c>
      <c r="BF155" s="18">
        <v>0</v>
      </c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 t="s">
        <v>381</v>
      </c>
      <c r="CG155" s="18" t="s">
        <v>368</v>
      </c>
      <c r="CH155" s="18">
        <v>950</v>
      </c>
      <c r="CI155" s="18">
        <v>80</v>
      </c>
      <c r="CJ155" s="18" t="s">
        <v>348</v>
      </c>
      <c r="CK155" s="18">
        <v>16</v>
      </c>
      <c r="CL155" s="18">
        <v>0</v>
      </c>
      <c r="CM155" s="18">
        <v>16</v>
      </c>
      <c r="CN155" s="18">
        <v>950</v>
      </c>
      <c r="CO155" s="18">
        <v>65</v>
      </c>
      <c r="CP155" s="18">
        <v>120</v>
      </c>
      <c r="CQ155" s="18">
        <v>1</v>
      </c>
      <c r="CR155" s="18">
        <v>10330009</v>
      </c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>
        <v>200</v>
      </c>
      <c r="GS155" s="18">
        <v>400</v>
      </c>
      <c r="GT155" s="18" t="s">
        <v>356</v>
      </c>
      <c r="GU155" s="18">
        <v>30007</v>
      </c>
      <c r="GV155" s="18" t="s">
        <v>339</v>
      </c>
      <c r="GW155" s="18" t="s">
        <v>339</v>
      </c>
      <c r="GX155" s="18" t="b">
        <v>1</v>
      </c>
      <c r="GY155" s="18">
        <v>8000</v>
      </c>
      <c r="GZ155" s="18" t="b">
        <v>0</v>
      </c>
      <c r="HA155" s="18">
        <v>0</v>
      </c>
      <c r="HB155" s="18">
        <v>0</v>
      </c>
      <c r="HC155" s="18">
        <v>0</v>
      </c>
      <c r="HD155" s="18">
        <v>0</v>
      </c>
      <c r="HE155" s="18" t="b">
        <v>0</v>
      </c>
      <c r="HF155" s="18">
        <v>0</v>
      </c>
      <c r="HG155" s="18">
        <v>10001</v>
      </c>
      <c r="HH155" s="18" t="s">
        <v>339</v>
      </c>
      <c r="HI155" s="18" t="s">
        <v>334</v>
      </c>
      <c r="HJ155" s="18">
        <v>0</v>
      </c>
      <c r="HK155" s="18">
        <v>0</v>
      </c>
      <c r="HL155" s="18">
        <v>0</v>
      </c>
      <c r="HM155" s="18">
        <v>0</v>
      </c>
      <c r="HN155" s="18" t="b">
        <v>0</v>
      </c>
    </row>
    <row r="156" spans="1:222">
      <c r="A156"/>
      <c r="B156" s="29" cm="1">
        <f t="array" ref="B156">10000000+INDEX(编号表!$B$1:$B$112,MATCH(D156,编号表!$A$1:$A$112,0))*10000+I156</f>
        <v>10150010</v>
      </c>
      <c r="C156" s="18" t="s">
        <v>386</v>
      </c>
      <c r="D156" s="18" t="s">
        <v>386</v>
      </c>
      <c r="E156" s="18" t="s">
        <v>322</v>
      </c>
      <c r="F156" s="18" t="s">
        <v>323</v>
      </c>
      <c r="G156" s="18" t="b">
        <v>0</v>
      </c>
      <c r="H156" s="18" t="b">
        <v>0</v>
      </c>
      <c r="I156" s="18">
        <v>10</v>
      </c>
      <c r="J156" s="18">
        <v>101500</v>
      </c>
      <c r="K156" s="18" t="s">
        <v>324</v>
      </c>
      <c r="L156" s="18">
        <v>10150009</v>
      </c>
      <c r="M156" s="18">
        <v>0</v>
      </c>
      <c r="N156" s="18" t="s">
        <v>387</v>
      </c>
      <c r="O156" s="18">
        <v>10202014</v>
      </c>
      <c r="P156" s="18">
        <v>0</v>
      </c>
      <c r="Q156" s="18">
        <v>3</v>
      </c>
      <c r="R156" s="18">
        <v>40</v>
      </c>
      <c r="S156" s="18">
        <v>0</v>
      </c>
      <c r="T156" s="18">
        <v>0</v>
      </c>
      <c r="U156" s="18" t="s">
        <v>338</v>
      </c>
      <c r="V156" s="18">
        <v>0</v>
      </c>
      <c r="W156" s="18">
        <v>0</v>
      </c>
      <c r="X156" s="18" t="s">
        <v>342</v>
      </c>
      <c r="Y156" s="18" t="s">
        <v>343</v>
      </c>
      <c r="Z156" s="18" t="s">
        <v>328</v>
      </c>
      <c r="AA156" s="18">
        <v>0</v>
      </c>
      <c r="AB156" s="18">
        <v>16</v>
      </c>
      <c r="AC156" s="18" t="b">
        <v>0</v>
      </c>
      <c r="AD156" s="18" t="s">
        <v>329</v>
      </c>
      <c r="AE156" s="18"/>
      <c r="AF156" s="18">
        <v>900</v>
      </c>
      <c r="AG156" s="18">
        <v>120</v>
      </c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 t="s">
        <v>330</v>
      </c>
      <c r="AZ156" s="18">
        <v>12000</v>
      </c>
      <c r="BA156" s="18" t="s">
        <v>366</v>
      </c>
      <c r="BB156" s="18" t="s">
        <v>328</v>
      </c>
      <c r="BC156" s="18">
        <v>10000</v>
      </c>
      <c r="BD156" s="18">
        <v>0</v>
      </c>
      <c r="BE156" s="18" t="s">
        <v>332</v>
      </c>
      <c r="BF156" s="18">
        <v>0</v>
      </c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 t="s">
        <v>381</v>
      </c>
      <c r="CG156" s="18" t="s">
        <v>368</v>
      </c>
      <c r="CH156" s="18">
        <v>950</v>
      </c>
      <c r="CI156" s="18">
        <v>80</v>
      </c>
      <c r="CJ156" s="18" t="s">
        <v>348</v>
      </c>
      <c r="CK156" s="18">
        <v>16</v>
      </c>
      <c r="CL156" s="18">
        <v>0</v>
      </c>
      <c r="CM156" s="18">
        <v>16</v>
      </c>
      <c r="CN156" s="18">
        <v>950</v>
      </c>
      <c r="CO156" s="18">
        <v>65</v>
      </c>
      <c r="CP156" s="18">
        <v>120</v>
      </c>
      <c r="CQ156" s="18">
        <v>1</v>
      </c>
      <c r="CR156" s="18">
        <v>10330010</v>
      </c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>
        <v>200</v>
      </c>
      <c r="GS156" s="18">
        <v>400</v>
      </c>
      <c r="GT156" s="18" t="s">
        <v>356</v>
      </c>
      <c r="GU156" s="18">
        <v>30007</v>
      </c>
      <c r="GV156" s="18" t="s">
        <v>339</v>
      </c>
      <c r="GW156" s="18" t="s">
        <v>339</v>
      </c>
      <c r="GX156" s="18" t="b">
        <v>1</v>
      </c>
      <c r="GY156" s="18">
        <v>8000</v>
      </c>
      <c r="GZ156" s="18" t="b">
        <v>0</v>
      </c>
      <c r="HA156" s="18">
        <v>0</v>
      </c>
      <c r="HB156" s="18">
        <v>0</v>
      </c>
      <c r="HC156" s="18">
        <v>0</v>
      </c>
      <c r="HD156" s="18">
        <v>0</v>
      </c>
      <c r="HE156" s="18" t="b">
        <v>0</v>
      </c>
      <c r="HF156" s="18">
        <v>0</v>
      </c>
      <c r="HG156" s="18">
        <v>10001</v>
      </c>
      <c r="HH156" s="18" t="s">
        <v>339</v>
      </c>
      <c r="HI156" s="18" t="s">
        <v>334</v>
      </c>
      <c r="HJ156" s="18">
        <v>0</v>
      </c>
      <c r="HK156" s="18">
        <v>0</v>
      </c>
      <c r="HL156" s="18">
        <v>0</v>
      </c>
      <c r="HM156" s="18">
        <v>0</v>
      </c>
      <c r="HN156" s="18" t="b">
        <v>0</v>
      </c>
    </row>
    <row r="157" spans="1:222">
      <c r="A157"/>
      <c r="B157" s="29" cm="1">
        <f t="array" ref="B157">10000000+INDEX(编号表!$B$1:$B$112,MATCH(D157,编号表!$A$1:$A$112,0))*10000+I157</f>
        <v>10160001</v>
      </c>
      <c r="C157" s="18" t="s">
        <v>388</v>
      </c>
      <c r="D157" s="18" t="s">
        <v>388</v>
      </c>
      <c r="E157" s="18" t="s">
        <v>322</v>
      </c>
      <c r="F157" s="18" t="s">
        <v>358</v>
      </c>
      <c r="G157" s="18" t="b">
        <v>0</v>
      </c>
      <c r="H157" s="18" t="b">
        <v>0</v>
      </c>
      <c r="I157" s="18">
        <v>1</v>
      </c>
      <c r="J157" s="18">
        <v>101600</v>
      </c>
      <c r="K157" s="18" t="s">
        <v>324</v>
      </c>
      <c r="L157" s="18">
        <v>0</v>
      </c>
      <c r="M157" s="18">
        <v>10160002</v>
      </c>
      <c r="N157" s="18" t="s">
        <v>389</v>
      </c>
      <c r="O157" s="18">
        <v>10202015</v>
      </c>
      <c r="P157" s="18">
        <v>0</v>
      </c>
      <c r="Q157" s="18">
        <v>0</v>
      </c>
      <c r="R157" s="18">
        <v>1</v>
      </c>
      <c r="S157" s="18">
        <v>0</v>
      </c>
      <c r="T157" s="18">
        <v>100</v>
      </c>
      <c r="U157" s="18" t="s">
        <v>338</v>
      </c>
      <c r="V157" s="18">
        <v>650</v>
      </c>
      <c r="W157" s="18">
        <v>650</v>
      </c>
      <c r="X157" s="18" t="s">
        <v>326</v>
      </c>
      <c r="Y157" s="18" t="s">
        <v>327</v>
      </c>
      <c r="Z157" s="18" t="s">
        <v>390</v>
      </c>
      <c r="AA157" s="18">
        <v>1</v>
      </c>
      <c r="AB157" s="18">
        <v>0</v>
      </c>
      <c r="AC157" s="18" t="b">
        <v>1</v>
      </c>
      <c r="AD157" s="18" t="s">
        <v>391</v>
      </c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 t="s">
        <v>339</v>
      </c>
      <c r="AZ157" s="18">
        <v>10000</v>
      </c>
      <c r="BA157" s="18" t="s">
        <v>392</v>
      </c>
      <c r="BB157" s="18" t="s">
        <v>390</v>
      </c>
      <c r="BC157" s="18">
        <v>10000</v>
      </c>
      <c r="BD157" s="18">
        <v>0</v>
      </c>
      <c r="BE157" s="18" t="s">
        <v>332</v>
      </c>
      <c r="BF157" s="18">
        <v>0</v>
      </c>
      <c r="BG157" s="18"/>
      <c r="BH157" s="18"/>
      <c r="BI157" s="18"/>
      <c r="BJ157" s="18"/>
      <c r="BK157" s="18"/>
      <c r="BL157" s="18"/>
      <c r="BM157" s="18"/>
      <c r="BN157" s="18" t="s">
        <v>355</v>
      </c>
      <c r="BO157" s="18">
        <v>6000</v>
      </c>
      <c r="BP157" s="18">
        <v>3</v>
      </c>
      <c r="BQ157" s="18" t="b">
        <v>0</v>
      </c>
      <c r="BR157" s="18">
        <v>0</v>
      </c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>
        <v>200</v>
      </c>
      <c r="GS157" s="18">
        <v>400</v>
      </c>
      <c r="GT157" s="18" t="s">
        <v>356</v>
      </c>
      <c r="GU157" s="18">
        <v>30044</v>
      </c>
      <c r="GV157" s="18" t="s">
        <v>339</v>
      </c>
      <c r="GW157" s="18" t="s">
        <v>339</v>
      </c>
      <c r="GX157" s="18" t="b">
        <v>1</v>
      </c>
      <c r="GY157" s="18">
        <v>4000</v>
      </c>
      <c r="GZ157" s="18" t="b">
        <v>0</v>
      </c>
      <c r="HA157" s="18">
        <v>0</v>
      </c>
      <c r="HB157" s="18">
        <v>0</v>
      </c>
      <c r="HC157" s="18">
        <v>0</v>
      </c>
      <c r="HD157" s="18">
        <v>0</v>
      </c>
      <c r="HE157" s="18" t="b">
        <v>0</v>
      </c>
      <c r="HF157" s="18">
        <v>0</v>
      </c>
      <c r="HG157" s="18">
        <v>10001</v>
      </c>
      <c r="HH157" s="18" t="s">
        <v>339</v>
      </c>
      <c r="HI157" s="18" t="s">
        <v>334</v>
      </c>
      <c r="HJ157" s="18">
        <v>0</v>
      </c>
      <c r="HK157" s="18">
        <v>0</v>
      </c>
      <c r="HL157" s="18">
        <v>0</v>
      </c>
      <c r="HM157" s="18">
        <v>0</v>
      </c>
      <c r="HN157" s="18" t="b">
        <v>0</v>
      </c>
    </row>
    <row r="158" spans="1:222">
      <c r="A158"/>
      <c r="B158" s="29" cm="1">
        <f t="array" ref="B158">10000000+INDEX(编号表!$B$1:$B$112,MATCH(D158,编号表!$A$1:$A$112,0))*10000+I158</f>
        <v>10160002</v>
      </c>
      <c r="C158" s="18" t="s">
        <v>388</v>
      </c>
      <c r="D158" s="18" t="s">
        <v>388</v>
      </c>
      <c r="E158" s="18" t="s">
        <v>322</v>
      </c>
      <c r="F158" s="18" t="s">
        <v>358</v>
      </c>
      <c r="G158" s="18" t="b">
        <v>0</v>
      </c>
      <c r="H158" s="18" t="b">
        <v>0</v>
      </c>
      <c r="I158" s="18">
        <v>2</v>
      </c>
      <c r="J158" s="18">
        <v>101600</v>
      </c>
      <c r="K158" s="18" t="s">
        <v>324</v>
      </c>
      <c r="L158" s="18">
        <v>10160001</v>
      </c>
      <c r="M158" s="18">
        <v>10160003</v>
      </c>
      <c r="N158" s="18" t="s">
        <v>389</v>
      </c>
      <c r="O158" s="18">
        <v>10202015</v>
      </c>
      <c r="P158" s="18">
        <v>0</v>
      </c>
      <c r="Q158" s="18">
        <v>1</v>
      </c>
      <c r="R158" s="18">
        <v>7</v>
      </c>
      <c r="S158" s="18">
        <v>0</v>
      </c>
      <c r="T158" s="18">
        <v>100</v>
      </c>
      <c r="U158" s="18" t="s">
        <v>338</v>
      </c>
      <c r="V158" s="18">
        <v>650</v>
      </c>
      <c r="W158" s="18">
        <v>650</v>
      </c>
      <c r="X158" s="18" t="s">
        <v>326</v>
      </c>
      <c r="Y158" s="18" t="s">
        <v>327</v>
      </c>
      <c r="Z158" s="18" t="s">
        <v>390</v>
      </c>
      <c r="AA158" s="18">
        <v>1</v>
      </c>
      <c r="AB158" s="18">
        <v>0</v>
      </c>
      <c r="AC158" s="18" t="b">
        <v>1</v>
      </c>
      <c r="AD158" s="18" t="s">
        <v>391</v>
      </c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 t="s">
        <v>339</v>
      </c>
      <c r="AZ158" s="18">
        <v>10400</v>
      </c>
      <c r="BA158" s="18" t="s">
        <v>392</v>
      </c>
      <c r="BB158" s="18" t="s">
        <v>390</v>
      </c>
      <c r="BC158" s="18">
        <v>10000</v>
      </c>
      <c r="BD158" s="18">
        <v>0</v>
      </c>
      <c r="BE158" s="18" t="s">
        <v>332</v>
      </c>
      <c r="BF158" s="18">
        <v>0</v>
      </c>
      <c r="BG158" s="18"/>
      <c r="BH158" s="18"/>
      <c r="BI158" s="18"/>
      <c r="BJ158" s="18"/>
      <c r="BK158" s="18"/>
      <c r="BL158" s="18"/>
      <c r="BM158" s="18"/>
      <c r="BN158" s="18" t="s">
        <v>355</v>
      </c>
      <c r="BO158" s="18">
        <v>6000</v>
      </c>
      <c r="BP158" s="18">
        <v>4</v>
      </c>
      <c r="BQ158" s="18" t="b">
        <v>0</v>
      </c>
      <c r="BR158" s="18">
        <v>0</v>
      </c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>
        <v>200</v>
      </c>
      <c r="GS158" s="18">
        <v>400</v>
      </c>
      <c r="GT158" s="18" t="s">
        <v>356</v>
      </c>
      <c r="GU158" s="18">
        <v>30044</v>
      </c>
      <c r="GV158" s="18" t="s">
        <v>339</v>
      </c>
      <c r="GW158" s="18" t="s">
        <v>339</v>
      </c>
      <c r="GX158" s="18" t="b">
        <v>1</v>
      </c>
      <c r="GY158" s="18">
        <v>4000</v>
      </c>
      <c r="GZ158" s="18" t="b">
        <v>0</v>
      </c>
      <c r="HA158" s="18">
        <v>0</v>
      </c>
      <c r="HB158" s="18">
        <v>0</v>
      </c>
      <c r="HC158" s="18">
        <v>0</v>
      </c>
      <c r="HD158" s="18">
        <v>0</v>
      </c>
      <c r="HE158" s="18" t="b">
        <v>0</v>
      </c>
      <c r="HF158" s="18">
        <v>0</v>
      </c>
      <c r="HG158" s="18">
        <v>10001</v>
      </c>
      <c r="HH158" s="18" t="s">
        <v>339</v>
      </c>
      <c r="HI158" s="18" t="s">
        <v>334</v>
      </c>
      <c r="HJ158" s="18">
        <v>0</v>
      </c>
      <c r="HK158" s="18">
        <v>0</v>
      </c>
      <c r="HL158" s="18">
        <v>0</v>
      </c>
      <c r="HM158" s="18">
        <v>0</v>
      </c>
      <c r="HN158" s="18" t="b">
        <v>0</v>
      </c>
    </row>
    <row r="159" spans="1:222">
      <c r="A159"/>
      <c r="B159" s="29" cm="1">
        <f t="array" ref="B159">10000000+INDEX(编号表!$B$1:$B$112,MATCH(D159,编号表!$A$1:$A$112,0))*10000+I159</f>
        <v>10160003</v>
      </c>
      <c r="C159" s="18" t="s">
        <v>388</v>
      </c>
      <c r="D159" s="18" t="s">
        <v>388</v>
      </c>
      <c r="E159" s="18" t="s">
        <v>322</v>
      </c>
      <c r="F159" s="18" t="s">
        <v>358</v>
      </c>
      <c r="G159" s="18" t="b">
        <v>0</v>
      </c>
      <c r="H159" s="18" t="b">
        <v>0</v>
      </c>
      <c r="I159" s="18">
        <v>3</v>
      </c>
      <c r="J159" s="18">
        <v>101600</v>
      </c>
      <c r="K159" s="18" t="s">
        <v>324</v>
      </c>
      <c r="L159" s="18">
        <v>10160002</v>
      </c>
      <c r="M159" s="18">
        <v>10160004</v>
      </c>
      <c r="N159" s="18" t="s">
        <v>389</v>
      </c>
      <c r="O159" s="18">
        <v>10202015</v>
      </c>
      <c r="P159" s="18">
        <v>0</v>
      </c>
      <c r="Q159" s="18">
        <v>2</v>
      </c>
      <c r="R159" s="18">
        <v>11</v>
      </c>
      <c r="S159" s="18">
        <v>0</v>
      </c>
      <c r="T159" s="18">
        <v>100</v>
      </c>
      <c r="U159" s="18" t="s">
        <v>338</v>
      </c>
      <c r="V159" s="18">
        <v>650</v>
      </c>
      <c r="W159" s="18">
        <v>650</v>
      </c>
      <c r="X159" s="18" t="s">
        <v>326</v>
      </c>
      <c r="Y159" s="18" t="s">
        <v>327</v>
      </c>
      <c r="Z159" s="18" t="s">
        <v>390</v>
      </c>
      <c r="AA159" s="18">
        <v>1</v>
      </c>
      <c r="AB159" s="18">
        <v>0</v>
      </c>
      <c r="AC159" s="18" t="b">
        <v>1</v>
      </c>
      <c r="AD159" s="18" t="s">
        <v>391</v>
      </c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 t="s">
        <v>339</v>
      </c>
      <c r="AZ159" s="18">
        <v>10800</v>
      </c>
      <c r="BA159" s="18" t="s">
        <v>392</v>
      </c>
      <c r="BB159" s="18" t="s">
        <v>390</v>
      </c>
      <c r="BC159" s="18">
        <v>10000</v>
      </c>
      <c r="BD159" s="18">
        <v>0</v>
      </c>
      <c r="BE159" s="18" t="s">
        <v>332</v>
      </c>
      <c r="BF159" s="18">
        <v>0</v>
      </c>
      <c r="BG159" s="18"/>
      <c r="BH159" s="18"/>
      <c r="BI159" s="18"/>
      <c r="BJ159" s="18"/>
      <c r="BK159" s="18"/>
      <c r="BL159" s="18"/>
      <c r="BM159" s="18"/>
      <c r="BN159" s="18" t="s">
        <v>355</v>
      </c>
      <c r="BO159" s="18">
        <v>6000</v>
      </c>
      <c r="BP159" s="18">
        <v>5</v>
      </c>
      <c r="BQ159" s="18" t="b">
        <v>0</v>
      </c>
      <c r="BR159" s="18">
        <v>0</v>
      </c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>
        <v>200</v>
      </c>
      <c r="GS159" s="18">
        <v>400</v>
      </c>
      <c r="GT159" s="18" t="s">
        <v>356</v>
      </c>
      <c r="GU159" s="18">
        <v>30044</v>
      </c>
      <c r="GV159" s="18" t="s">
        <v>339</v>
      </c>
      <c r="GW159" s="18" t="s">
        <v>339</v>
      </c>
      <c r="GX159" s="18" t="b">
        <v>1</v>
      </c>
      <c r="GY159" s="18">
        <v>4000</v>
      </c>
      <c r="GZ159" s="18" t="b">
        <v>0</v>
      </c>
      <c r="HA159" s="18">
        <v>0</v>
      </c>
      <c r="HB159" s="18">
        <v>0</v>
      </c>
      <c r="HC159" s="18">
        <v>0</v>
      </c>
      <c r="HD159" s="18">
        <v>0</v>
      </c>
      <c r="HE159" s="18" t="b">
        <v>0</v>
      </c>
      <c r="HF159" s="18">
        <v>0</v>
      </c>
      <c r="HG159" s="18">
        <v>10001</v>
      </c>
      <c r="HH159" s="18" t="s">
        <v>339</v>
      </c>
      <c r="HI159" s="18" t="s">
        <v>334</v>
      </c>
      <c r="HJ159" s="18">
        <v>0</v>
      </c>
      <c r="HK159" s="18">
        <v>0</v>
      </c>
      <c r="HL159" s="18">
        <v>0</v>
      </c>
      <c r="HM159" s="18">
        <v>0</v>
      </c>
      <c r="HN159" s="18" t="b">
        <v>0</v>
      </c>
    </row>
    <row r="160" spans="1:222">
      <c r="A160"/>
      <c r="B160" s="29" cm="1">
        <f t="array" ref="B160">10000000+INDEX(编号表!$B$1:$B$112,MATCH(D160,编号表!$A$1:$A$112,0))*10000+I160</f>
        <v>10160004</v>
      </c>
      <c r="C160" s="18" t="s">
        <v>388</v>
      </c>
      <c r="D160" s="18" t="s">
        <v>388</v>
      </c>
      <c r="E160" s="18" t="s">
        <v>322</v>
      </c>
      <c r="F160" s="18" t="s">
        <v>358</v>
      </c>
      <c r="G160" s="18" t="b">
        <v>0</v>
      </c>
      <c r="H160" s="18" t="b">
        <v>0</v>
      </c>
      <c r="I160" s="18">
        <v>4</v>
      </c>
      <c r="J160" s="18">
        <v>101600</v>
      </c>
      <c r="K160" s="18" t="s">
        <v>324</v>
      </c>
      <c r="L160" s="18">
        <v>10160003</v>
      </c>
      <c r="M160" s="18">
        <v>10160005</v>
      </c>
      <c r="N160" s="18" t="s">
        <v>389</v>
      </c>
      <c r="O160" s="18">
        <v>10202015</v>
      </c>
      <c r="P160" s="18">
        <v>0</v>
      </c>
      <c r="Q160" s="18">
        <v>3</v>
      </c>
      <c r="R160" s="18">
        <v>16</v>
      </c>
      <c r="S160" s="18">
        <v>0</v>
      </c>
      <c r="T160" s="18">
        <v>100</v>
      </c>
      <c r="U160" s="18" t="s">
        <v>338</v>
      </c>
      <c r="V160" s="18">
        <v>650</v>
      </c>
      <c r="W160" s="18">
        <v>650</v>
      </c>
      <c r="X160" s="18" t="s">
        <v>326</v>
      </c>
      <c r="Y160" s="18" t="s">
        <v>327</v>
      </c>
      <c r="Z160" s="18" t="s">
        <v>390</v>
      </c>
      <c r="AA160" s="18">
        <v>1</v>
      </c>
      <c r="AB160" s="18">
        <v>0</v>
      </c>
      <c r="AC160" s="18" t="b">
        <v>1</v>
      </c>
      <c r="AD160" s="18" t="s">
        <v>391</v>
      </c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 t="s">
        <v>339</v>
      </c>
      <c r="AZ160" s="18">
        <v>11200</v>
      </c>
      <c r="BA160" s="18" t="s">
        <v>392</v>
      </c>
      <c r="BB160" s="18" t="s">
        <v>390</v>
      </c>
      <c r="BC160" s="18">
        <v>10000</v>
      </c>
      <c r="BD160" s="18">
        <v>0</v>
      </c>
      <c r="BE160" s="18" t="s">
        <v>332</v>
      </c>
      <c r="BF160" s="18">
        <v>0</v>
      </c>
      <c r="BG160" s="18"/>
      <c r="BH160" s="18"/>
      <c r="BI160" s="18"/>
      <c r="BJ160" s="18"/>
      <c r="BK160" s="18"/>
      <c r="BL160" s="18"/>
      <c r="BM160" s="18"/>
      <c r="BN160" s="18" t="s">
        <v>355</v>
      </c>
      <c r="BO160" s="18">
        <v>6000</v>
      </c>
      <c r="BP160" s="18">
        <v>6</v>
      </c>
      <c r="BQ160" s="18" t="b">
        <v>0</v>
      </c>
      <c r="BR160" s="18">
        <v>0</v>
      </c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>
        <v>200</v>
      </c>
      <c r="GS160" s="18">
        <v>400</v>
      </c>
      <c r="GT160" s="18" t="s">
        <v>356</v>
      </c>
      <c r="GU160" s="18">
        <v>30044</v>
      </c>
      <c r="GV160" s="18" t="s">
        <v>339</v>
      </c>
      <c r="GW160" s="18" t="s">
        <v>339</v>
      </c>
      <c r="GX160" s="18" t="b">
        <v>1</v>
      </c>
      <c r="GY160" s="18">
        <v>4000</v>
      </c>
      <c r="GZ160" s="18" t="b">
        <v>0</v>
      </c>
      <c r="HA160" s="18">
        <v>0</v>
      </c>
      <c r="HB160" s="18">
        <v>0</v>
      </c>
      <c r="HC160" s="18">
        <v>0</v>
      </c>
      <c r="HD160" s="18">
        <v>0</v>
      </c>
      <c r="HE160" s="18" t="b">
        <v>0</v>
      </c>
      <c r="HF160" s="18">
        <v>0</v>
      </c>
      <c r="HG160" s="18">
        <v>10001</v>
      </c>
      <c r="HH160" s="18" t="s">
        <v>339</v>
      </c>
      <c r="HI160" s="18" t="s">
        <v>334</v>
      </c>
      <c r="HJ160" s="18">
        <v>0</v>
      </c>
      <c r="HK160" s="18">
        <v>0</v>
      </c>
      <c r="HL160" s="18">
        <v>0</v>
      </c>
      <c r="HM160" s="18">
        <v>0</v>
      </c>
      <c r="HN160" s="18" t="b">
        <v>0</v>
      </c>
    </row>
    <row r="161" spans="1:222">
      <c r="A161"/>
      <c r="B161" s="29" cm="1">
        <f t="array" ref="B161">10000000+INDEX(编号表!$B$1:$B$112,MATCH(D161,编号表!$A$1:$A$112,0))*10000+I161</f>
        <v>10160005</v>
      </c>
      <c r="C161" s="18" t="s">
        <v>388</v>
      </c>
      <c r="D161" s="18" t="s">
        <v>388</v>
      </c>
      <c r="E161" s="18" t="s">
        <v>322</v>
      </c>
      <c r="F161" s="18" t="s">
        <v>358</v>
      </c>
      <c r="G161" s="18" t="b">
        <v>0</v>
      </c>
      <c r="H161" s="18" t="b">
        <v>0</v>
      </c>
      <c r="I161" s="18">
        <v>5</v>
      </c>
      <c r="J161" s="18">
        <v>101600</v>
      </c>
      <c r="K161" s="18" t="s">
        <v>324</v>
      </c>
      <c r="L161" s="18">
        <v>10160004</v>
      </c>
      <c r="M161" s="18">
        <v>10160006</v>
      </c>
      <c r="N161" s="18" t="s">
        <v>389</v>
      </c>
      <c r="O161" s="18">
        <v>10202015</v>
      </c>
      <c r="P161" s="18">
        <v>0</v>
      </c>
      <c r="Q161" s="18">
        <v>3</v>
      </c>
      <c r="R161" s="18">
        <v>25</v>
      </c>
      <c r="S161" s="18">
        <v>0</v>
      </c>
      <c r="T161" s="18">
        <v>100</v>
      </c>
      <c r="U161" s="18" t="s">
        <v>338</v>
      </c>
      <c r="V161" s="18">
        <v>650</v>
      </c>
      <c r="W161" s="18">
        <v>650</v>
      </c>
      <c r="X161" s="18" t="s">
        <v>326</v>
      </c>
      <c r="Y161" s="18" t="s">
        <v>327</v>
      </c>
      <c r="Z161" s="18" t="s">
        <v>390</v>
      </c>
      <c r="AA161" s="18">
        <v>1</v>
      </c>
      <c r="AB161" s="18">
        <v>0</v>
      </c>
      <c r="AC161" s="18" t="b">
        <v>1</v>
      </c>
      <c r="AD161" s="18" t="s">
        <v>391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 t="s">
        <v>339</v>
      </c>
      <c r="AZ161" s="18">
        <v>11300</v>
      </c>
      <c r="BA161" s="18" t="s">
        <v>392</v>
      </c>
      <c r="BB161" s="18" t="s">
        <v>390</v>
      </c>
      <c r="BC161" s="18">
        <v>10000</v>
      </c>
      <c r="BD161" s="18">
        <v>0</v>
      </c>
      <c r="BE161" s="18" t="s">
        <v>332</v>
      </c>
      <c r="BF161" s="18">
        <v>0</v>
      </c>
      <c r="BG161" s="18"/>
      <c r="BH161" s="18"/>
      <c r="BI161" s="18"/>
      <c r="BJ161" s="18"/>
      <c r="BK161" s="18"/>
      <c r="BL161" s="18"/>
      <c r="BM161" s="18"/>
      <c r="BN161" s="18" t="s">
        <v>355</v>
      </c>
      <c r="BO161" s="18">
        <v>6000</v>
      </c>
      <c r="BP161" s="18">
        <v>6</v>
      </c>
      <c r="BQ161" s="18" t="b">
        <v>0</v>
      </c>
      <c r="BR161" s="18">
        <v>0</v>
      </c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>
        <v>200</v>
      </c>
      <c r="GS161" s="18">
        <v>400</v>
      </c>
      <c r="GT161" s="18" t="s">
        <v>356</v>
      </c>
      <c r="GU161" s="18">
        <v>30044</v>
      </c>
      <c r="GV161" s="18" t="s">
        <v>339</v>
      </c>
      <c r="GW161" s="18" t="s">
        <v>339</v>
      </c>
      <c r="GX161" s="18" t="b">
        <v>1</v>
      </c>
      <c r="GY161" s="18">
        <v>4000</v>
      </c>
      <c r="GZ161" s="18" t="b">
        <v>0</v>
      </c>
      <c r="HA161" s="18">
        <v>0</v>
      </c>
      <c r="HB161" s="18">
        <v>0</v>
      </c>
      <c r="HC161" s="18">
        <v>0</v>
      </c>
      <c r="HD161" s="18">
        <v>0</v>
      </c>
      <c r="HE161" s="18" t="b">
        <v>0</v>
      </c>
      <c r="HF161" s="18">
        <v>0</v>
      </c>
      <c r="HG161" s="18">
        <v>10001</v>
      </c>
      <c r="HH161" s="18" t="s">
        <v>339</v>
      </c>
      <c r="HI161" s="18" t="s">
        <v>334</v>
      </c>
      <c r="HJ161" s="18">
        <v>0</v>
      </c>
      <c r="HK161" s="18">
        <v>0</v>
      </c>
      <c r="HL161" s="18">
        <v>0</v>
      </c>
      <c r="HM161" s="18">
        <v>0</v>
      </c>
      <c r="HN161" s="18" t="b">
        <v>0</v>
      </c>
    </row>
    <row r="162" spans="1:222">
      <c r="A162"/>
      <c r="B162" s="29" cm="1">
        <f t="array" ref="B162">10000000+INDEX(编号表!$B$1:$B$112,MATCH(D162,编号表!$A$1:$A$112,0))*10000+I162</f>
        <v>10160006</v>
      </c>
      <c r="C162" s="18" t="s">
        <v>388</v>
      </c>
      <c r="D162" s="18" t="s">
        <v>388</v>
      </c>
      <c r="E162" s="18" t="s">
        <v>322</v>
      </c>
      <c r="F162" s="18" t="s">
        <v>358</v>
      </c>
      <c r="G162" s="18" t="b">
        <v>0</v>
      </c>
      <c r="H162" s="18" t="b">
        <v>0</v>
      </c>
      <c r="I162" s="18">
        <v>6</v>
      </c>
      <c r="J162" s="18">
        <v>101600</v>
      </c>
      <c r="K162" s="18" t="s">
        <v>324</v>
      </c>
      <c r="L162" s="18">
        <v>10160005</v>
      </c>
      <c r="M162" s="18">
        <v>10160007</v>
      </c>
      <c r="N162" s="18" t="s">
        <v>389</v>
      </c>
      <c r="O162" s="18">
        <v>10202015</v>
      </c>
      <c r="P162" s="18">
        <v>0</v>
      </c>
      <c r="Q162" s="18">
        <v>3</v>
      </c>
      <c r="R162" s="18">
        <v>30</v>
      </c>
      <c r="S162" s="18">
        <v>0</v>
      </c>
      <c r="T162" s="18">
        <v>100</v>
      </c>
      <c r="U162" s="18" t="s">
        <v>338</v>
      </c>
      <c r="V162" s="18">
        <v>650</v>
      </c>
      <c r="W162" s="18">
        <v>650</v>
      </c>
      <c r="X162" s="18" t="s">
        <v>326</v>
      </c>
      <c r="Y162" s="18" t="s">
        <v>327</v>
      </c>
      <c r="Z162" s="18" t="s">
        <v>390</v>
      </c>
      <c r="AA162" s="18">
        <v>1</v>
      </c>
      <c r="AB162" s="18">
        <v>0</v>
      </c>
      <c r="AC162" s="18" t="b">
        <v>1</v>
      </c>
      <c r="AD162" s="18" t="s">
        <v>391</v>
      </c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 t="s">
        <v>339</v>
      </c>
      <c r="AZ162" s="18">
        <v>11600</v>
      </c>
      <c r="BA162" s="18" t="s">
        <v>392</v>
      </c>
      <c r="BB162" s="18" t="s">
        <v>390</v>
      </c>
      <c r="BC162" s="18">
        <v>10000</v>
      </c>
      <c r="BD162" s="18">
        <v>0</v>
      </c>
      <c r="BE162" s="18" t="s">
        <v>332</v>
      </c>
      <c r="BF162" s="18">
        <v>0</v>
      </c>
      <c r="BG162" s="18"/>
      <c r="BH162" s="18"/>
      <c r="BI162" s="18"/>
      <c r="BJ162" s="18"/>
      <c r="BK162" s="18"/>
      <c r="BL162" s="18"/>
      <c r="BM162" s="18"/>
      <c r="BN162" s="18" t="s">
        <v>355</v>
      </c>
      <c r="BO162" s="18">
        <v>6000</v>
      </c>
      <c r="BP162" s="18">
        <v>7</v>
      </c>
      <c r="BQ162" s="18" t="b">
        <v>0</v>
      </c>
      <c r="BR162" s="18">
        <v>0</v>
      </c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>
        <v>200</v>
      </c>
      <c r="GS162" s="18">
        <v>400</v>
      </c>
      <c r="GT162" s="18" t="s">
        <v>356</v>
      </c>
      <c r="GU162" s="18">
        <v>30044</v>
      </c>
      <c r="GV162" s="18" t="s">
        <v>339</v>
      </c>
      <c r="GW162" s="18" t="s">
        <v>339</v>
      </c>
      <c r="GX162" s="18" t="b">
        <v>1</v>
      </c>
      <c r="GY162" s="18">
        <v>4000</v>
      </c>
      <c r="GZ162" s="18" t="b">
        <v>0</v>
      </c>
      <c r="HA162" s="18">
        <v>0</v>
      </c>
      <c r="HB162" s="18">
        <v>0</v>
      </c>
      <c r="HC162" s="18">
        <v>0</v>
      </c>
      <c r="HD162" s="18">
        <v>0</v>
      </c>
      <c r="HE162" s="18" t="b">
        <v>0</v>
      </c>
      <c r="HF162" s="18">
        <v>0</v>
      </c>
      <c r="HG162" s="18">
        <v>10001</v>
      </c>
      <c r="HH162" s="18" t="s">
        <v>339</v>
      </c>
      <c r="HI162" s="18" t="s">
        <v>334</v>
      </c>
      <c r="HJ162" s="18">
        <v>0</v>
      </c>
      <c r="HK162" s="18">
        <v>0</v>
      </c>
      <c r="HL162" s="18">
        <v>0</v>
      </c>
      <c r="HM162" s="18">
        <v>0</v>
      </c>
      <c r="HN162" s="18" t="b">
        <v>0</v>
      </c>
    </row>
    <row r="163" spans="1:222">
      <c r="A163"/>
      <c r="B163" s="29" cm="1">
        <f t="array" ref="B163">10000000+INDEX(编号表!$B$1:$B$112,MATCH(D163,编号表!$A$1:$A$112,0))*10000+I163</f>
        <v>10160007</v>
      </c>
      <c r="C163" s="18" t="s">
        <v>388</v>
      </c>
      <c r="D163" s="18" t="s">
        <v>388</v>
      </c>
      <c r="E163" s="18" t="s">
        <v>322</v>
      </c>
      <c r="F163" s="18" t="s">
        <v>358</v>
      </c>
      <c r="G163" s="18" t="b">
        <v>0</v>
      </c>
      <c r="H163" s="18" t="b">
        <v>0</v>
      </c>
      <c r="I163" s="18">
        <v>7</v>
      </c>
      <c r="J163" s="18">
        <v>101600</v>
      </c>
      <c r="K163" s="18" t="s">
        <v>324</v>
      </c>
      <c r="L163" s="18">
        <v>10160006</v>
      </c>
      <c r="M163" s="18">
        <v>10160008</v>
      </c>
      <c r="N163" s="18" t="s">
        <v>389</v>
      </c>
      <c r="O163" s="18">
        <v>10202015</v>
      </c>
      <c r="P163" s="18">
        <v>0</v>
      </c>
      <c r="Q163" s="18">
        <v>3</v>
      </c>
      <c r="R163" s="18">
        <v>35</v>
      </c>
      <c r="S163" s="18">
        <v>0</v>
      </c>
      <c r="T163" s="18">
        <v>100</v>
      </c>
      <c r="U163" s="18" t="s">
        <v>338</v>
      </c>
      <c r="V163" s="18">
        <v>650</v>
      </c>
      <c r="W163" s="18">
        <v>650</v>
      </c>
      <c r="X163" s="18" t="s">
        <v>326</v>
      </c>
      <c r="Y163" s="18" t="s">
        <v>327</v>
      </c>
      <c r="Z163" s="18" t="s">
        <v>390</v>
      </c>
      <c r="AA163" s="18">
        <v>1</v>
      </c>
      <c r="AB163" s="18">
        <v>0</v>
      </c>
      <c r="AC163" s="18" t="b">
        <v>1</v>
      </c>
      <c r="AD163" s="18" t="s">
        <v>391</v>
      </c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 t="s">
        <v>339</v>
      </c>
      <c r="AZ163" s="18">
        <v>11700</v>
      </c>
      <c r="BA163" s="18" t="s">
        <v>392</v>
      </c>
      <c r="BB163" s="18" t="s">
        <v>390</v>
      </c>
      <c r="BC163" s="18">
        <v>10000</v>
      </c>
      <c r="BD163" s="18">
        <v>0</v>
      </c>
      <c r="BE163" s="18" t="s">
        <v>332</v>
      </c>
      <c r="BF163" s="18">
        <v>0</v>
      </c>
      <c r="BG163" s="18"/>
      <c r="BH163" s="18"/>
      <c r="BI163" s="18"/>
      <c r="BJ163" s="18"/>
      <c r="BK163" s="18"/>
      <c r="BL163" s="18"/>
      <c r="BM163" s="18"/>
      <c r="BN163" s="18" t="s">
        <v>355</v>
      </c>
      <c r="BO163" s="18">
        <v>6000</v>
      </c>
      <c r="BP163" s="18">
        <v>9</v>
      </c>
      <c r="BQ163" s="18" t="b">
        <v>0</v>
      </c>
      <c r="BR163" s="18">
        <v>0</v>
      </c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>
        <v>200</v>
      </c>
      <c r="GS163" s="18">
        <v>400</v>
      </c>
      <c r="GT163" s="18" t="s">
        <v>356</v>
      </c>
      <c r="GU163" s="18">
        <v>30044</v>
      </c>
      <c r="GV163" s="18" t="s">
        <v>339</v>
      </c>
      <c r="GW163" s="18" t="s">
        <v>339</v>
      </c>
      <c r="GX163" s="18" t="b">
        <v>1</v>
      </c>
      <c r="GY163" s="18">
        <v>4000</v>
      </c>
      <c r="GZ163" s="18" t="b">
        <v>0</v>
      </c>
      <c r="HA163" s="18">
        <v>0</v>
      </c>
      <c r="HB163" s="18">
        <v>0</v>
      </c>
      <c r="HC163" s="18">
        <v>0</v>
      </c>
      <c r="HD163" s="18">
        <v>0</v>
      </c>
      <c r="HE163" s="18" t="b">
        <v>0</v>
      </c>
      <c r="HF163" s="18">
        <v>0</v>
      </c>
      <c r="HG163" s="18">
        <v>10001</v>
      </c>
      <c r="HH163" s="18" t="s">
        <v>339</v>
      </c>
      <c r="HI163" s="18" t="s">
        <v>334</v>
      </c>
      <c r="HJ163" s="18">
        <v>0</v>
      </c>
      <c r="HK163" s="18">
        <v>0</v>
      </c>
      <c r="HL163" s="18">
        <v>0</v>
      </c>
      <c r="HM163" s="18">
        <v>0</v>
      </c>
      <c r="HN163" s="18" t="b">
        <v>0</v>
      </c>
    </row>
    <row r="164" spans="1:222">
      <c r="A164"/>
      <c r="B164" s="29" cm="1">
        <f t="array" ref="B164">10000000+INDEX(编号表!$B$1:$B$112,MATCH(D164,编号表!$A$1:$A$112,0))*10000+I164</f>
        <v>10160008</v>
      </c>
      <c r="C164" s="18" t="s">
        <v>388</v>
      </c>
      <c r="D164" s="18" t="s">
        <v>388</v>
      </c>
      <c r="E164" s="18" t="s">
        <v>322</v>
      </c>
      <c r="F164" s="18" t="s">
        <v>358</v>
      </c>
      <c r="G164" s="18" t="b">
        <v>0</v>
      </c>
      <c r="H164" s="18" t="b">
        <v>0</v>
      </c>
      <c r="I164" s="18">
        <v>8</v>
      </c>
      <c r="J164" s="18">
        <v>101600</v>
      </c>
      <c r="K164" s="18" t="s">
        <v>324</v>
      </c>
      <c r="L164" s="18">
        <v>10160007</v>
      </c>
      <c r="M164" s="18">
        <v>10160009</v>
      </c>
      <c r="N164" s="18" t="s">
        <v>389</v>
      </c>
      <c r="O164" s="18">
        <v>10202015</v>
      </c>
      <c r="P164" s="18">
        <v>0</v>
      </c>
      <c r="Q164" s="18">
        <v>3</v>
      </c>
      <c r="R164" s="18">
        <v>35</v>
      </c>
      <c r="S164" s="18">
        <v>0</v>
      </c>
      <c r="T164" s="18">
        <v>100</v>
      </c>
      <c r="U164" s="18" t="s">
        <v>338</v>
      </c>
      <c r="V164" s="18">
        <v>650</v>
      </c>
      <c r="W164" s="18">
        <v>650</v>
      </c>
      <c r="X164" s="18" t="s">
        <v>326</v>
      </c>
      <c r="Y164" s="18" t="s">
        <v>327</v>
      </c>
      <c r="Z164" s="18" t="s">
        <v>390</v>
      </c>
      <c r="AA164" s="18">
        <v>1</v>
      </c>
      <c r="AB164" s="18">
        <v>0</v>
      </c>
      <c r="AC164" s="18" t="b">
        <v>1</v>
      </c>
      <c r="AD164" s="18" t="s">
        <v>391</v>
      </c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 t="s">
        <v>339</v>
      </c>
      <c r="AZ164" s="18">
        <v>11800</v>
      </c>
      <c r="BA164" s="18" t="s">
        <v>392</v>
      </c>
      <c r="BB164" s="18" t="s">
        <v>390</v>
      </c>
      <c r="BC164" s="18">
        <v>10000</v>
      </c>
      <c r="BD164" s="18">
        <v>0</v>
      </c>
      <c r="BE164" s="18" t="s">
        <v>332</v>
      </c>
      <c r="BF164" s="18">
        <v>0</v>
      </c>
      <c r="BG164" s="18"/>
      <c r="BH164" s="18"/>
      <c r="BI164" s="18"/>
      <c r="BJ164" s="18"/>
      <c r="BK164" s="18"/>
      <c r="BL164" s="18"/>
      <c r="BM164" s="18"/>
      <c r="BN164" s="18" t="s">
        <v>355</v>
      </c>
      <c r="BO164" s="18">
        <v>6000</v>
      </c>
      <c r="BP164" s="18">
        <v>10</v>
      </c>
      <c r="BQ164" s="18" t="b">
        <v>0</v>
      </c>
      <c r="BR164" s="18">
        <v>0</v>
      </c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>
        <v>200</v>
      </c>
      <c r="GS164" s="18">
        <v>400</v>
      </c>
      <c r="GT164" s="18" t="s">
        <v>356</v>
      </c>
      <c r="GU164" s="18">
        <v>30044</v>
      </c>
      <c r="GV164" s="18" t="s">
        <v>339</v>
      </c>
      <c r="GW164" s="18" t="s">
        <v>339</v>
      </c>
      <c r="GX164" s="18" t="b">
        <v>1</v>
      </c>
      <c r="GY164" s="18">
        <v>4000</v>
      </c>
      <c r="GZ164" s="18" t="b">
        <v>0</v>
      </c>
      <c r="HA164" s="18">
        <v>0</v>
      </c>
      <c r="HB164" s="18">
        <v>0</v>
      </c>
      <c r="HC164" s="18">
        <v>0</v>
      </c>
      <c r="HD164" s="18">
        <v>0</v>
      </c>
      <c r="HE164" s="18" t="b">
        <v>0</v>
      </c>
      <c r="HF164" s="18">
        <v>0</v>
      </c>
      <c r="HG164" s="18">
        <v>10001</v>
      </c>
      <c r="HH164" s="18" t="s">
        <v>339</v>
      </c>
      <c r="HI164" s="18" t="s">
        <v>334</v>
      </c>
      <c r="HJ164" s="18">
        <v>0</v>
      </c>
      <c r="HK164" s="18">
        <v>0</v>
      </c>
      <c r="HL164" s="18">
        <v>0</v>
      </c>
      <c r="HM164" s="18">
        <v>0</v>
      </c>
      <c r="HN164" s="18" t="b">
        <v>0</v>
      </c>
    </row>
    <row r="165" spans="1:222">
      <c r="A165"/>
      <c r="B165" s="29" cm="1">
        <f t="array" ref="B165">10000000+INDEX(编号表!$B$1:$B$112,MATCH(D165,编号表!$A$1:$A$112,0))*10000+I165</f>
        <v>10160009</v>
      </c>
      <c r="C165" s="18" t="s">
        <v>388</v>
      </c>
      <c r="D165" s="18" t="s">
        <v>388</v>
      </c>
      <c r="E165" s="18" t="s">
        <v>322</v>
      </c>
      <c r="F165" s="18" t="s">
        <v>358</v>
      </c>
      <c r="G165" s="18" t="b">
        <v>0</v>
      </c>
      <c r="H165" s="18" t="b">
        <v>0</v>
      </c>
      <c r="I165" s="18">
        <v>9</v>
      </c>
      <c r="J165" s="18">
        <v>101600</v>
      </c>
      <c r="K165" s="18" t="s">
        <v>324</v>
      </c>
      <c r="L165" s="18">
        <v>10160008</v>
      </c>
      <c r="M165" s="18">
        <v>10160010</v>
      </c>
      <c r="N165" s="18" t="s">
        <v>389</v>
      </c>
      <c r="O165" s="18">
        <v>10202015</v>
      </c>
      <c r="P165" s="18">
        <v>0</v>
      </c>
      <c r="Q165" s="18">
        <v>3</v>
      </c>
      <c r="R165" s="18">
        <v>40</v>
      </c>
      <c r="S165" s="18">
        <v>0</v>
      </c>
      <c r="T165" s="18">
        <v>100</v>
      </c>
      <c r="U165" s="18" t="s">
        <v>338</v>
      </c>
      <c r="V165" s="18">
        <v>650</v>
      </c>
      <c r="W165" s="18">
        <v>650</v>
      </c>
      <c r="X165" s="18" t="s">
        <v>326</v>
      </c>
      <c r="Y165" s="18" t="s">
        <v>327</v>
      </c>
      <c r="Z165" s="18" t="s">
        <v>390</v>
      </c>
      <c r="AA165" s="18">
        <v>1</v>
      </c>
      <c r="AB165" s="18">
        <v>0</v>
      </c>
      <c r="AC165" s="18" t="b">
        <v>1</v>
      </c>
      <c r="AD165" s="18" t="s">
        <v>391</v>
      </c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 t="s">
        <v>339</v>
      </c>
      <c r="AZ165" s="18">
        <v>11900</v>
      </c>
      <c r="BA165" s="18" t="s">
        <v>392</v>
      </c>
      <c r="BB165" s="18" t="s">
        <v>390</v>
      </c>
      <c r="BC165" s="18">
        <v>10000</v>
      </c>
      <c r="BD165" s="18">
        <v>0</v>
      </c>
      <c r="BE165" s="18" t="s">
        <v>332</v>
      </c>
      <c r="BF165" s="18">
        <v>0</v>
      </c>
      <c r="BG165" s="18"/>
      <c r="BH165" s="18"/>
      <c r="BI165" s="18"/>
      <c r="BJ165" s="18"/>
      <c r="BK165" s="18"/>
      <c r="BL165" s="18"/>
      <c r="BM165" s="18"/>
      <c r="BN165" s="18" t="s">
        <v>355</v>
      </c>
      <c r="BO165" s="18">
        <v>6000</v>
      </c>
      <c r="BP165" s="18">
        <v>12</v>
      </c>
      <c r="BQ165" s="18" t="b">
        <v>0</v>
      </c>
      <c r="BR165" s="18">
        <v>0</v>
      </c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>
        <v>200</v>
      </c>
      <c r="GS165" s="18">
        <v>400</v>
      </c>
      <c r="GT165" s="18" t="s">
        <v>356</v>
      </c>
      <c r="GU165" s="18">
        <v>30044</v>
      </c>
      <c r="GV165" s="18" t="s">
        <v>339</v>
      </c>
      <c r="GW165" s="18" t="s">
        <v>339</v>
      </c>
      <c r="GX165" s="18" t="b">
        <v>1</v>
      </c>
      <c r="GY165" s="18">
        <v>4000</v>
      </c>
      <c r="GZ165" s="18" t="b">
        <v>0</v>
      </c>
      <c r="HA165" s="18">
        <v>0</v>
      </c>
      <c r="HB165" s="18">
        <v>0</v>
      </c>
      <c r="HC165" s="18">
        <v>0</v>
      </c>
      <c r="HD165" s="18">
        <v>0</v>
      </c>
      <c r="HE165" s="18" t="b">
        <v>0</v>
      </c>
      <c r="HF165" s="18">
        <v>0</v>
      </c>
      <c r="HG165" s="18">
        <v>10001</v>
      </c>
      <c r="HH165" s="18" t="s">
        <v>339</v>
      </c>
      <c r="HI165" s="18" t="s">
        <v>334</v>
      </c>
      <c r="HJ165" s="18">
        <v>0</v>
      </c>
      <c r="HK165" s="18">
        <v>0</v>
      </c>
      <c r="HL165" s="18">
        <v>0</v>
      </c>
      <c r="HM165" s="18">
        <v>0</v>
      </c>
      <c r="HN165" s="18" t="b">
        <v>0</v>
      </c>
    </row>
    <row r="166" spans="1:222">
      <c r="A166"/>
      <c r="B166" s="29" cm="1">
        <f t="array" ref="B166">10000000+INDEX(编号表!$B$1:$B$112,MATCH(D166,编号表!$A$1:$A$112,0))*10000+I166</f>
        <v>10160010</v>
      </c>
      <c r="C166" s="18" t="s">
        <v>388</v>
      </c>
      <c r="D166" s="18" t="s">
        <v>388</v>
      </c>
      <c r="E166" s="18" t="s">
        <v>322</v>
      </c>
      <c r="F166" s="18" t="s">
        <v>358</v>
      </c>
      <c r="G166" s="18" t="b">
        <v>0</v>
      </c>
      <c r="H166" s="18" t="b">
        <v>0</v>
      </c>
      <c r="I166" s="18">
        <v>10</v>
      </c>
      <c r="J166" s="18">
        <v>101600</v>
      </c>
      <c r="K166" s="18" t="s">
        <v>324</v>
      </c>
      <c r="L166" s="18">
        <v>10160009</v>
      </c>
      <c r="M166" s="18">
        <v>0</v>
      </c>
      <c r="N166" s="18" t="s">
        <v>389</v>
      </c>
      <c r="O166" s="18">
        <v>10202015</v>
      </c>
      <c r="P166" s="18">
        <v>0</v>
      </c>
      <c r="Q166" s="18">
        <v>3</v>
      </c>
      <c r="R166" s="18">
        <v>40</v>
      </c>
      <c r="S166" s="18">
        <v>0</v>
      </c>
      <c r="T166" s="18">
        <v>0</v>
      </c>
      <c r="U166" s="18" t="s">
        <v>338</v>
      </c>
      <c r="V166" s="18">
        <v>650</v>
      </c>
      <c r="W166" s="18">
        <v>650</v>
      </c>
      <c r="X166" s="18" t="s">
        <v>326</v>
      </c>
      <c r="Y166" s="18" t="s">
        <v>327</v>
      </c>
      <c r="Z166" s="18" t="s">
        <v>390</v>
      </c>
      <c r="AA166" s="18">
        <v>1</v>
      </c>
      <c r="AB166" s="18">
        <v>0</v>
      </c>
      <c r="AC166" s="18" t="b">
        <v>1</v>
      </c>
      <c r="AD166" s="18" t="s">
        <v>391</v>
      </c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 t="s">
        <v>339</v>
      </c>
      <c r="AZ166" s="18">
        <v>12000</v>
      </c>
      <c r="BA166" s="18" t="s">
        <v>392</v>
      </c>
      <c r="BB166" s="18" t="s">
        <v>390</v>
      </c>
      <c r="BC166" s="18">
        <v>10000</v>
      </c>
      <c r="BD166" s="18">
        <v>0</v>
      </c>
      <c r="BE166" s="18" t="s">
        <v>332</v>
      </c>
      <c r="BF166" s="18">
        <v>0</v>
      </c>
      <c r="BG166" s="18"/>
      <c r="BH166" s="18"/>
      <c r="BI166" s="18"/>
      <c r="BJ166" s="18"/>
      <c r="BK166" s="18"/>
      <c r="BL166" s="18"/>
      <c r="BM166" s="18"/>
      <c r="BN166" s="18" t="s">
        <v>355</v>
      </c>
      <c r="BO166" s="18">
        <v>6000</v>
      </c>
      <c r="BP166" s="18">
        <v>15</v>
      </c>
      <c r="BQ166" s="18" t="b">
        <v>0</v>
      </c>
      <c r="BR166" s="18">
        <v>0</v>
      </c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>
        <v>200</v>
      </c>
      <c r="GS166" s="18">
        <v>400</v>
      </c>
      <c r="GT166" s="18" t="s">
        <v>356</v>
      </c>
      <c r="GU166" s="18">
        <v>30044</v>
      </c>
      <c r="GV166" s="18" t="s">
        <v>339</v>
      </c>
      <c r="GW166" s="18" t="s">
        <v>339</v>
      </c>
      <c r="GX166" s="18" t="b">
        <v>1</v>
      </c>
      <c r="GY166" s="18">
        <v>4000</v>
      </c>
      <c r="GZ166" s="18" t="b">
        <v>0</v>
      </c>
      <c r="HA166" s="18">
        <v>0</v>
      </c>
      <c r="HB166" s="18">
        <v>0</v>
      </c>
      <c r="HC166" s="18">
        <v>0</v>
      </c>
      <c r="HD166" s="18">
        <v>0</v>
      </c>
      <c r="HE166" s="18" t="b">
        <v>0</v>
      </c>
      <c r="HF166" s="18">
        <v>0</v>
      </c>
      <c r="HG166" s="18">
        <v>10001</v>
      </c>
      <c r="HH166" s="18" t="s">
        <v>339</v>
      </c>
      <c r="HI166" s="18" t="s">
        <v>334</v>
      </c>
      <c r="HJ166" s="18">
        <v>0</v>
      </c>
      <c r="HK166" s="18">
        <v>0</v>
      </c>
      <c r="HL166" s="18">
        <v>0</v>
      </c>
      <c r="HM166" s="18">
        <v>0</v>
      </c>
      <c r="HN166" s="18" t="b">
        <v>0</v>
      </c>
    </row>
    <row r="167" spans="1:222">
      <c r="A167"/>
      <c r="B167" s="29" cm="1">
        <f t="array" ref="B167">10000000+INDEX(编号表!$B$1:$B$112,MATCH(D167,编号表!$A$1:$A$112,0))*10000+I167</f>
        <v>10170001</v>
      </c>
      <c r="C167" s="18" t="s">
        <v>393</v>
      </c>
      <c r="D167" s="18" t="s">
        <v>393</v>
      </c>
      <c r="E167" s="18" t="s">
        <v>322</v>
      </c>
      <c r="F167" s="18" t="s">
        <v>358</v>
      </c>
      <c r="G167" s="18" t="b">
        <v>0</v>
      </c>
      <c r="H167" s="18" t="b">
        <v>0</v>
      </c>
      <c r="I167" s="18">
        <v>1</v>
      </c>
      <c r="J167" s="18">
        <v>101700</v>
      </c>
      <c r="K167" s="18" t="s">
        <v>324</v>
      </c>
      <c r="L167" s="18">
        <v>0</v>
      </c>
      <c r="M167" s="18">
        <v>10170002</v>
      </c>
      <c r="N167" s="18" t="s">
        <v>394</v>
      </c>
      <c r="O167" s="18">
        <v>10202016</v>
      </c>
      <c r="P167" s="18">
        <v>0</v>
      </c>
      <c r="Q167" s="18">
        <v>0</v>
      </c>
      <c r="R167" s="18">
        <v>1</v>
      </c>
      <c r="S167" s="18">
        <v>0</v>
      </c>
      <c r="T167" s="18">
        <v>100</v>
      </c>
      <c r="U167" s="18" t="s">
        <v>338</v>
      </c>
      <c r="V167" s="18">
        <v>650</v>
      </c>
      <c r="W167" s="18">
        <v>650</v>
      </c>
      <c r="X167" s="18" t="s">
        <v>326</v>
      </c>
      <c r="Y167" s="18" t="s">
        <v>327</v>
      </c>
      <c r="Z167" s="18" t="s">
        <v>390</v>
      </c>
      <c r="AA167" s="18">
        <v>1</v>
      </c>
      <c r="AB167" s="18">
        <v>0</v>
      </c>
      <c r="AC167" s="18" t="b">
        <v>1</v>
      </c>
      <c r="AD167" s="18" t="s">
        <v>391</v>
      </c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 t="s">
        <v>339</v>
      </c>
      <c r="AZ167" s="18">
        <v>10000</v>
      </c>
      <c r="BA167" s="18" t="s">
        <v>395</v>
      </c>
      <c r="BB167" s="18" t="s">
        <v>390</v>
      </c>
      <c r="BC167" s="18">
        <v>10000</v>
      </c>
      <c r="BD167" s="18">
        <v>0</v>
      </c>
      <c r="BE167" s="18" t="s">
        <v>332</v>
      </c>
      <c r="BF167" s="18">
        <v>0</v>
      </c>
      <c r="BG167" s="18"/>
      <c r="BH167" s="18"/>
      <c r="BI167" s="18"/>
      <c r="BJ167" s="18"/>
      <c r="BK167" s="18"/>
      <c r="BL167" s="18"/>
      <c r="BM167" s="18">
        <v>21001101</v>
      </c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>
        <v>200</v>
      </c>
      <c r="GS167" s="18">
        <v>400</v>
      </c>
      <c r="GT167" s="18" t="s">
        <v>356</v>
      </c>
      <c r="GU167" s="18">
        <v>30044</v>
      </c>
      <c r="GV167" s="18" t="s">
        <v>339</v>
      </c>
      <c r="GW167" s="18" t="s">
        <v>339</v>
      </c>
      <c r="GX167" s="18" t="b">
        <v>1</v>
      </c>
      <c r="GY167" s="18">
        <v>6000</v>
      </c>
      <c r="GZ167" s="18" t="b">
        <v>0</v>
      </c>
      <c r="HA167" s="18">
        <v>0</v>
      </c>
      <c r="HB167" s="18">
        <v>0</v>
      </c>
      <c r="HC167" s="18">
        <v>0</v>
      </c>
      <c r="HD167" s="18">
        <v>0</v>
      </c>
      <c r="HE167" s="18" t="b">
        <v>0</v>
      </c>
      <c r="HF167" s="18">
        <v>0</v>
      </c>
      <c r="HG167" s="18">
        <v>10001</v>
      </c>
      <c r="HH167" s="18" t="s">
        <v>339</v>
      </c>
      <c r="HI167" s="18" t="s">
        <v>334</v>
      </c>
      <c r="HJ167" s="18">
        <v>0</v>
      </c>
      <c r="HK167" s="18">
        <v>0</v>
      </c>
      <c r="HL167" s="18">
        <v>0</v>
      </c>
      <c r="HM167" s="18">
        <v>0</v>
      </c>
      <c r="HN167" s="18" t="b">
        <v>0</v>
      </c>
    </row>
    <row r="168" spans="1:222">
      <c r="A168"/>
      <c r="B168" s="29" cm="1">
        <f t="array" ref="B168">10000000+INDEX(编号表!$B$1:$B$112,MATCH(D168,编号表!$A$1:$A$112,0))*10000+I168</f>
        <v>10170002</v>
      </c>
      <c r="C168" s="18" t="s">
        <v>393</v>
      </c>
      <c r="D168" s="18" t="s">
        <v>393</v>
      </c>
      <c r="E168" s="18" t="s">
        <v>322</v>
      </c>
      <c r="F168" s="18" t="s">
        <v>358</v>
      </c>
      <c r="G168" s="18" t="b">
        <v>0</v>
      </c>
      <c r="H168" s="18" t="b">
        <v>0</v>
      </c>
      <c r="I168" s="18">
        <v>2</v>
      </c>
      <c r="J168" s="18">
        <v>101700</v>
      </c>
      <c r="K168" s="18" t="s">
        <v>324</v>
      </c>
      <c r="L168" s="18">
        <v>10170001</v>
      </c>
      <c r="M168" s="18">
        <v>10170003</v>
      </c>
      <c r="N168" s="18" t="s">
        <v>394</v>
      </c>
      <c r="O168" s="18">
        <v>10202016</v>
      </c>
      <c r="P168" s="18">
        <v>0</v>
      </c>
      <c r="Q168" s="18">
        <v>1</v>
      </c>
      <c r="R168" s="18">
        <v>7</v>
      </c>
      <c r="S168" s="18">
        <v>0</v>
      </c>
      <c r="T168" s="18">
        <v>100</v>
      </c>
      <c r="U168" s="18" t="s">
        <v>338</v>
      </c>
      <c r="V168" s="18">
        <v>650</v>
      </c>
      <c r="W168" s="18">
        <v>650</v>
      </c>
      <c r="X168" s="18" t="s">
        <v>326</v>
      </c>
      <c r="Y168" s="18" t="s">
        <v>327</v>
      </c>
      <c r="Z168" s="18" t="s">
        <v>390</v>
      </c>
      <c r="AA168" s="18">
        <v>1</v>
      </c>
      <c r="AB168" s="18">
        <v>0</v>
      </c>
      <c r="AC168" s="18" t="b">
        <v>1</v>
      </c>
      <c r="AD168" s="18" t="s">
        <v>391</v>
      </c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 t="s">
        <v>339</v>
      </c>
      <c r="AZ168" s="18">
        <v>10400</v>
      </c>
      <c r="BA168" s="18" t="s">
        <v>395</v>
      </c>
      <c r="BB168" s="18" t="s">
        <v>390</v>
      </c>
      <c r="BC168" s="18">
        <v>10000</v>
      </c>
      <c r="BD168" s="18">
        <v>0</v>
      </c>
      <c r="BE168" s="18" t="s">
        <v>332</v>
      </c>
      <c r="BF168" s="18">
        <v>0</v>
      </c>
      <c r="BG168" s="18"/>
      <c r="BH168" s="18"/>
      <c r="BI168" s="18"/>
      <c r="BJ168" s="18"/>
      <c r="BK168" s="18"/>
      <c r="BL168" s="18"/>
      <c r="BM168" s="18">
        <v>21001102</v>
      </c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>
        <v>200</v>
      </c>
      <c r="GS168" s="18">
        <v>400</v>
      </c>
      <c r="GT168" s="18" t="s">
        <v>356</v>
      </c>
      <c r="GU168" s="18">
        <v>30044</v>
      </c>
      <c r="GV168" s="18" t="s">
        <v>339</v>
      </c>
      <c r="GW168" s="18" t="s">
        <v>339</v>
      </c>
      <c r="GX168" s="18" t="b">
        <v>1</v>
      </c>
      <c r="GY168" s="18">
        <v>6000</v>
      </c>
      <c r="GZ168" s="18" t="b">
        <v>0</v>
      </c>
      <c r="HA168" s="18">
        <v>0</v>
      </c>
      <c r="HB168" s="18">
        <v>0</v>
      </c>
      <c r="HC168" s="18">
        <v>0</v>
      </c>
      <c r="HD168" s="18">
        <v>0</v>
      </c>
      <c r="HE168" s="18" t="b">
        <v>0</v>
      </c>
      <c r="HF168" s="18">
        <v>0</v>
      </c>
      <c r="HG168" s="18">
        <v>10001</v>
      </c>
      <c r="HH168" s="18" t="s">
        <v>339</v>
      </c>
      <c r="HI168" s="18" t="s">
        <v>334</v>
      </c>
      <c r="HJ168" s="18">
        <v>0</v>
      </c>
      <c r="HK168" s="18">
        <v>0</v>
      </c>
      <c r="HL168" s="18">
        <v>0</v>
      </c>
      <c r="HM168" s="18">
        <v>0</v>
      </c>
      <c r="HN168" s="18" t="b">
        <v>0</v>
      </c>
    </row>
    <row r="169" spans="1:222">
      <c r="A169"/>
      <c r="B169" s="29" cm="1">
        <f t="array" ref="B169">10000000+INDEX(编号表!$B$1:$B$112,MATCH(D169,编号表!$A$1:$A$112,0))*10000+I169</f>
        <v>10170003</v>
      </c>
      <c r="C169" s="18" t="s">
        <v>393</v>
      </c>
      <c r="D169" s="18" t="s">
        <v>393</v>
      </c>
      <c r="E169" s="18" t="s">
        <v>322</v>
      </c>
      <c r="F169" s="18" t="s">
        <v>358</v>
      </c>
      <c r="G169" s="18" t="b">
        <v>0</v>
      </c>
      <c r="H169" s="18" t="b">
        <v>0</v>
      </c>
      <c r="I169" s="18">
        <v>3</v>
      </c>
      <c r="J169" s="18">
        <v>101700</v>
      </c>
      <c r="K169" s="18" t="s">
        <v>324</v>
      </c>
      <c r="L169" s="18">
        <v>10170002</v>
      </c>
      <c r="M169" s="18">
        <v>10170004</v>
      </c>
      <c r="N169" s="18" t="s">
        <v>394</v>
      </c>
      <c r="O169" s="18">
        <v>10202016</v>
      </c>
      <c r="P169" s="18">
        <v>0</v>
      </c>
      <c r="Q169" s="18">
        <v>2</v>
      </c>
      <c r="R169" s="18">
        <v>11</v>
      </c>
      <c r="S169" s="18">
        <v>0</v>
      </c>
      <c r="T169" s="18">
        <v>100</v>
      </c>
      <c r="U169" s="18" t="s">
        <v>338</v>
      </c>
      <c r="V169" s="18">
        <v>650</v>
      </c>
      <c r="W169" s="18">
        <v>650</v>
      </c>
      <c r="X169" s="18" t="s">
        <v>326</v>
      </c>
      <c r="Y169" s="18" t="s">
        <v>327</v>
      </c>
      <c r="Z169" s="18" t="s">
        <v>390</v>
      </c>
      <c r="AA169" s="18">
        <v>1</v>
      </c>
      <c r="AB169" s="18">
        <v>0</v>
      </c>
      <c r="AC169" s="18" t="b">
        <v>1</v>
      </c>
      <c r="AD169" s="18" t="s">
        <v>391</v>
      </c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 t="s">
        <v>339</v>
      </c>
      <c r="AZ169" s="18">
        <v>10800</v>
      </c>
      <c r="BA169" s="18" t="s">
        <v>395</v>
      </c>
      <c r="BB169" s="18" t="s">
        <v>390</v>
      </c>
      <c r="BC169" s="18">
        <v>10000</v>
      </c>
      <c r="BD169" s="18">
        <v>0</v>
      </c>
      <c r="BE169" s="18" t="s">
        <v>332</v>
      </c>
      <c r="BF169" s="18">
        <v>0</v>
      </c>
      <c r="BG169" s="18"/>
      <c r="BH169" s="18"/>
      <c r="BI169" s="18"/>
      <c r="BJ169" s="18"/>
      <c r="BK169" s="18"/>
      <c r="BL169" s="18"/>
      <c r="BM169" s="18">
        <v>21001103</v>
      </c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>
        <v>200</v>
      </c>
      <c r="GS169" s="18">
        <v>400</v>
      </c>
      <c r="GT169" s="18" t="s">
        <v>356</v>
      </c>
      <c r="GU169" s="18">
        <v>30044</v>
      </c>
      <c r="GV169" s="18" t="s">
        <v>339</v>
      </c>
      <c r="GW169" s="18" t="s">
        <v>339</v>
      </c>
      <c r="GX169" s="18" t="b">
        <v>1</v>
      </c>
      <c r="GY169" s="18">
        <v>6000</v>
      </c>
      <c r="GZ169" s="18" t="b">
        <v>0</v>
      </c>
      <c r="HA169" s="18">
        <v>0</v>
      </c>
      <c r="HB169" s="18">
        <v>0</v>
      </c>
      <c r="HC169" s="18">
        <v>0</v>
      </c>
      <c r="HD169" s="18">
        <v>0</v>
      </c>
      <c r="HE169" s="18" t="b">
        <v>0</v>
      </c>
      <c r="HF169" s="18">
        <v>0</v>
      </c>
      <c r="HG169" s="18">
        <v>10001</v>
      </c>
      <c r="HH169" s="18" t="s">
        <v>339</v>
      </c>
      <c r="HI169" s="18" t="s">
        <v>334</v>
      </c>
      <c r="HJ169" s="18">
        <v>0</v>
      </c>
      <c r="HK169" s="18">
        <v>0</v>
      </c>
      <c r="HL169" s="18">
        <v>0</v>
      </c>
      <c r="HM169" s="18">
        <v>0</v>
      </c>
      <c r="HN169" s="18" t="b">
        <v>0</v>
      </c>
    </row>
    <row r="170" spans="1:222">
      <c r="A170"/>
      <c r="B170" s="29" cm="1">
        <f t="array" ref="B170">10000000+INDEX(编号表!$B$1:$B$112,MATCH(D170,编号表!$A$1:$A$112,0))*10000+I170</f>
        <v>10170004</v>
      </c>
      <c r="C170" s="18" t="s">
        <v>393</v>
      </c>
      <c r="D170" s="18" t="s">
        <v>393</v>
      </c>
      <c r="E170" s="18" t="s">
        <v>322</v>
      </c>
      <c r="F170" s="18" t="s">
        <v>358</v>
      </c>
      <c r="G170" s="18" t="b">
        <v>0</v>
      </c>
      <c r="H170" s="18" t="b">
        <v>0</v>
      </c>
      <c r="I170" s="18">
        <v>4</v>
      </c>
      <c r="J170" s="18">
        <v>101700</v>
      </c>
      <c r="K170" s="18" t="s">
        <v>324</v>
      </c>
      <c r="L170" s="18">
        <v>10170003</v>
      </c>
      <c r="M170" s="18">
        <v>10170005</v>
      </c>
      <c r="N170" s="18" t="s">
        <v>394</v>
      </c>
      <c r="O170" s="18">
        <v>10202016</v>
      </c>
      <c r="P170" s="18">
        <v>0</v>
      </c>
      <c r="Q170" s="18">
        <v>3</v>
      </c>
      <c r="R170" s="18">
        <v>16</v>
      </c>
      <c r="S170" s="18">
        <v>0</v>
      </c>
      <c r="T170" s="18">
        <v>100</v>
      </c>
      <c r="U170" s="18" t="s">
        <v>338</v>
      </c>
      <c r="V170" s="18">
        <v>650</v>
      </c>
      <c r="W170" s="18">
        <v>650</v>
      </c>
      <c r="X170" s="18" t="s">
        <v>326</v>
      </c>
      <c r="Y170" s="18" t="s">
        <v>327</v>
      </c>
      <c r="Z170" s="18" t="s">
        <v>390</v>
      </c>
      <c r="AA170" s="18">
        <v>1</v>
      </c>
      <c r="AB170" s="18">
        <v>0</v>
      </c>
      <c r="AC170" s="18" t="b">
        <v>1</v>
      </c>
      <c r="AD170" s="18" t="s">
        <v>391</v>
      </c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 t="s">
        <v>339</v>
      </c>
      <c r="AZ170" s="18">
        <v>11200</v>
      </c>
      <c r="BA170" s="18" t="s">
        <v>395</v>
      </c>
      <c r="BB170" s="18" t="s">
        <v>390</v>
      </c>
      <c r="BC170" s="18">
        <v>10000</v>
      </c>
      <c r="BD170" s="18">
        <v>0</v>
      </c>
      <c r="BE170" s="18" t="s">
        <v>332</v>
      </c>
      <c r="BF170" s="18">
        <v>0</v>
      </c>
      <c r="BG170" s="18"/>
      <c r="BH170" s="18"/>
      <c r="BI170" s="18"/>
      <c r="BJ170" s="18"/>
      <c r="BK170" s="18"/>
      <c r="BL170" s="18"/>
      <c r="BM170" s="18">
        <v>21001104</v>
      </c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>
        <v>200</v>
      </c>
      <c r="GS170" s="18">
        <v>400</v>
      </c>
      <c r="GT170" s="18" t="s">
        <v>356</v>
      </c>
      <c r="GU170" s="18">
        <v>30044</v>
      </c>
      <c r="GV170" s="18" t="s">
        <v>339</v>
      </c>
      <c r="GW170" s="18" t="s">
        <v>339</v>
      </c>
      <c r="GX170" s="18" t="b">
        <v>1</v>
      </c>
      <c r="GY170" s="18">
        <v>6000</v>
      </c>
      <c r="GZ170" s="18" t="b">
        <v>0</v>
      </c>
      <c r="HA170" s="18">
        <v>0</v>
      </c>
      <c r="HB170" s="18">
        <v>0</v>
      </c>
      <c r="HC170" s="18">
        <v>0</v>
      </c>
      <c r="HD170" s="18">
        <v>0</v>
      </c>
      <c r="HE170" s="18" t="b">
        <v>0</v>
      </c>
      <c r="HF170" s="18">
        <v>0</v>
      </c>
      <c r="HG170" s="18">
        <v>10001</v>
      </c>
      <c r="HH170" s="18" t="s">
        <v>339</v>
      </c>
      <c r="HI170" s="18" t="s">
        <v>334</v>
      </c>
      <c r="HJ170" s="18">
        <v>0</v>
      </c>
      <c r="HK170" s="18">
        <v>0</v>
      </c>
      <c r="HL170" s="18">
        <v>0</v>
      </c>
      <c r="HM170" s="18">
        <v>0</v>
      </c>
      <c r="HN170" s="18" t="b">
        <v>0</v>
      </c>
    </row>
    <row r="171" spans="1:222">
      <c r="A171"/>
      <c r="B171" s="29" cm="1">
        <f t="array" ref="B171">10000000+INDEX(编号表!$B$1:$B$112,MATCH(D171,编号表!$A$1:$A$112,0))*10000+I171</f>
        <v>10170005</v>
      </c>
      <c r="C171" s="18" t="s">
        <v>393</v>
      </c>
      <c r="D171" s="18" t="s">
        <v>393</v>
      </c>
      <c r="E171" s="18" t="s">
        <v>322</v>
      </c>
      <c r="F171" s="18" t="s">
        <v>358</v>
      </c>
      <c r="G171" s="18" t="b">
        <v>0</v>
      </c>
      <c r="H171" s="18" t="b">
        <v>0</v>
      </c>
      <c r="I171" s="18">
        <v>5</v>
      </c>
      <c r="J171" s="18">
        <v>101700</v>
      </c>
      <c r="K171" s="18" t="s">
        <v>324</v>
      </c>
      <c r="L171" s="18">
        <v>10170004</v>
      </c>
      <c r="M171" s="18">
        <v>10170006</v>
      </c>
      <c r="N171" s="18" t="s">
        <v>394</v>
      </c>
      <c r="O171" s="18">
        <v>10202016</v>
      </c>
      <c r="P171" s="18">
        <v>0</v>
      </c>
      <c r="Q171" s="18">
        <v>3</v>
      </c>
      <c r="R171" s="18">
        <v>25</v>
      </c>
      <c r="S171" s="18">
        <v>0</v>
      </c>
      <c r="T171" s="18">
        <v>100</v>
      </c>
      <c r="U171" s="18" t="s">
        <v>338</v>
      </c>
      <c r="V171" s="18">
        <v>650</v>
      </c>
      <c r="W171" s="18">
        <v>650</v>
      </c>
      <c r="X171" s="18" t="s">
        <v>326</v>
      </c>
      <c r="Y171" s="18" t="s">
        <v>327</v>
      </c>
      <c r="Z171" s="18" t="s">
        <v>390</v>
      </c>
      <c r="AA171" s="18">
        <v>1</v>
      </c>
      <c r="AB171" s="18">
        <v>0</v>
      </c>
      <c r="AC171" s="18" t="b">
        <v>1</v>
      </c>
      <c r="AD171" s="18" t="s">
        <v>391</v>
      </c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 t="s">
        <v>339</v>
      </c>
      <c r="AZ171" s="18">
        <v>11300</v>
      </c>
      <c r="BA171" s="18" t="s">
        <v>395</v>
      </c>
      <c r="BB171" s="18" t="s">
        <v>390</v>
      </c>
      <c r="BC171" s="18">
        <v>10000</v>
      </c>
      <c r="BD171" s="18">
        <v>0</v>
      </c>
      <c r="BE171" s="18" t="s">
        <v>332</v>
      </c>
      <c r="BF171" s="18">
        <v>0</v>
      </c>
      <c r="BG171" s="18"/>
      <c r="BH171" s="18"/>
      <c r="BI171" s="18"/>
      <c r="BJ171" s="18"/>
      <c r="BK171" s="18"/>
      <c r="BL171" s="18"/>
      <c r="BM171" s="18">
        <v>21001105</v>
      </c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>
        <v>200</v>
      </c>
      <c r="GS171" s="18">
        <v>400</v>
      </c>
      <c r="GT171" s="18" t="s">
        <v>356</v>
      </c>
      <c r="GU171" s="18">
        <v>30044</v>
      </c>
      <c r="GV171" s="18" t="s">
        <v>339</v>
      </c>
      <c r="GW171" s="18" t="s">
        <v>339</v>
      </c>
      <c r="GX171" s="18" t="b">
        <v>1</v>
      </c>
      <c r="GY171" s="18">
        <v>6000</v>
      </c>
      <c r="GZ171" s="18" t="b">
        <v>0</v>
      </c>
      <c r="HA171" s="18">
        <v>0</v>
      </c>
      <c r="HB171" s="18">
        <v>0</v>
      </c>
      <c r="HC171" s="18">
        <v>0</v>
      </c>
      <c r="HD171" s="18">
        <v>0</v>
      </c>
      <c r="HE171" s="18" t="b">
        <v>0</v>
      </c>
      <c r="HF171" s="18">
        <v>0</v>
      </c>
      <c r="HG171" s="18">
        <v>10001</v>
      </c>
      <c r="HH171" s="18" t="s">
        <v>339</v>
      </c>
      <c r="HI171" s="18" t="s">
        <v>334</v>
      </c>
      <c r="HJ171" s="18">
        <v>0</v>
      </c>
      <c r="HK171" s="18">
        <v>0</v>
      </c>
      <c r="HL171" s="18">
        <v>0</v>
      </c>
      <c r="HM171" s="18">
        <v>0</v>
      </c>
      <c r="HN171" s="18" t="b">
        <v>0</v>
      </c>
    </row>
    <row r="172" spans="1:222">
      <c r="A172"/>
      <c r="B172" s="29" cm="1">
        <f t="array" ref="B172">10000000+INDEX(编号表!$B$1:$B$112,MATCH(D172,编号表!$A$1:$A$112,0))*10000+I172</f>
        <v>10170006</v>
      </c>
      <c r="C172" s="18" t="s">
        <v>393</v>
      </c>
      <c r="D172" s="18" t="s">
        <v>393</v>
      </c>
      <c r="E172" s="18" t="s">
        <v>322</v>
      </c>
      <c r="F172" s="18" t="s">
        <v>358</v>
      </c>
      <c r="G172" s="18" t="b">
        <v>0</v>
      </c>
      <c r="H172" s="18" t="b">
        <v>0</v>
      </c>
      <c r="I172" s="18">
        <v>6</v>
      </c>
      <c r="J172" s="18">
        <v>101700</v>
      </c>
      <c r="K172" s="18" t="s">
        <v>324</v>
      </c>
      <c r="L172" s="18">
        <v>10170005</v>
      </c>
      <c r="M172" s="18">
        <v>10170007</v>
      </c>
      <c r="N172" s="18" t="s">
        <v>394</v>
      </c>
      <c r="O172" s="18">
        <v>10202016</v>
      </c>
      <c r="P172" s="18">
        <v>0</v>
      </c>
      <c r="Q172" s="18">
        <v>3</v>
      </c>
      <c r="R172" s="18">
        <v>30</v>
      </c>
      <c r="S172" s="18">
        <v>0</v>
      </c>
      <c r="T172" s="18">
        <v>100</v>
      </c>
      <c r="U172" s="18" t="s">
        <v>338</v>
      </c>
      <c r="V172" s="18">
        <v>650</v>
      </c>
      <c r="W172" s="18">
        <v>650</v>
      </c>
      <c r="X172" s="18" t="s">
        <v>326</v>
      </c>
      <c r="Y172" s="18" t="s">
        <v>327</v>
      </c>
      <c r="Z172" s="18" t="s">
        <v>390</v>
      </c>
      <c r="AA172" s="18">
        <v>1</v>
      </c>
      <c r="AB172" s="18">
        <v>0</v>
      </c>
      <c r="AC172" s="18" t="b">
        <v>1</v>
      </c>
      <c r="AD172" s="18" t="s">
        <v>391</v>
      </c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 t="s">
        <v>339</v>
      </c>
      <c r="AZ172" s="18">
        <v>11600</v>
      </c>
      <c r="BA172" s="18" t="s">
        <v>395</v>
      </c>
      <c r="BB172" s="18" t="s">
        <v>390</v>
      </c>
      <c r="BC172" s="18">
        <v>10000</v>
      </c>
      <c r="BD172" s="18">
        <v>0</v>
      </c>
      <c r="BE172" s="18" t="s">
        <v>332</v>
      </c>
      <c r="BF172" s="18">
        <v>0</v>
      </c>
      <c r="BG172" s="18"/>
      <c r="BH172" s="18"/>
      <c r="BI172" s="18"/>
      <c r="BJ172" s="18"/>
      <c r="BK172" s="18"/>
      <c r="BL172" s="18"/>
      <c r="BM172" s="18">
        <v>21001106</v>
      </c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>
        <v>200</v>
      </c>
      <c r="GS172" s="18">
        <v>400</v>
      </c>
      <c r="GT172" s="18" t="s">
        <v>356</v>
      </c>
      <c r="GU172" s="18">
        <v>30044</v>
      </c>
      <c r="GV172" s="18" t="s">
        <v>339</v>
      </c>
      <c r="GW172" s="18" t="s">
        <v>339</v>
      </c>
      <c r="GX172" s="18" t="b">
        <v>1</v>
      </c>
      <c r="GY172" s="18">
        <v>6000</v>
      </c>
      <c r="GZ172" s="18" t="b">
        <v>0</v>
      </c>
      <c r="HA172" s="18">
        <v>0</v>
      </c>
      <c r="HB172" s="18">
        <v>0</v>
      </c>
      <c r="HC172" s="18">
        <v>0</v>
      </c>
      <c r="HD172" s="18">
        <v>0</v>
      </c>
      <c r="HE172" s="18" t="b">
        <v>0</v>
      </c>
      <c r="HF172" s="18">
        <v>0</v>
      </c>
      <c r="HG172" s="18">
        <v>10001</v>
      </c>
      <c r="HH172" s="18" t="s">
        <v>339</v>
      </c>
      <c r="HI172" s="18" t="s">
        <v>334</v>
      </c>
      <c r="HJ172" s="18">
        <v>0</v>
      </c>
      <c r="HK172" s="18">
        <v>0</v>
      </c>
      <c r="HL172" s="18">
        <v>0</v>
      </c>
      <c r="HM172" s="18">
        <v>0</v>
      </c>
      <c r="HN172" s="18" t="b">
        <v>0</v>
      </c>
    </row>
    <row r="173" spans="1:222">
      <c r="A173"/>
      <c r="B173" s="29" cm="1">
        <f t="array" ref="B173">10000000+INDEX(编号表!$B$1:$B$112,MATCH(D173,编号表!$A$1:$A$112,0))*10000+I173</f>
        <v>10170007</v>
      </c>
      <c r="C173" s="18" t="s">
        <v>393</v>
      </c>
      <c r="D173" s="18" t="s">
        <v>393</v>
      </c>
      <c r="E173" s="18" t="s">
        <v>322</v>
      </c>
      <c r="F173" s="18" t="s">
        <v>358</v>
      </c>
      <c r="G173" s="18" t="b">
        <v>0</v>
      </c>
      <c r="H173" s="18" t="b">
        <v>0</v>
      </c>
      <c r="I173" s="18">
        <v>7</v>
      </c>
      <c r="J173" s="18">
        <v>101700</v>
      </c>
      <c r="K173" s="18" t="s">
        <v>324</v>
      </c>
      <c r="L173" s="18">
        <v>10170006</v>
      </c>
      <c r="M173" s="18">
        <v>10170008</v>
      </c>
      <c r="N173" s="18" t="s">
        <v>394</v>
      </c>
      <c r="O173" s="18">
        <v>10202016</v>
      </c>
      <c r="P173" s="18">
        <v>0</v>
      </c>
      <c r="Q173" s="18">
        <v>3</v>
      </c>
      <c r="R173" s="18">
        <v>35</v>
      </c>
      <c r="S173" s="18">
        <v>0</v>
      </c>
      <c r="T173" s="18">
        <v>100</v>
      </c>
      <c r="U173" s="18" t="s">
        <v>338</v>
      </c>
      <c r="V173" s="18">
        <v>650</v>
      </c>
      <c r="W173" s="18">
        <v>650</v>
      </c>
      <c r="X173" s="18" t="s">
        <v>326</v>
      </c>
      <c r="Y173" s="18" t="s">
        <v>327</v>
      </c>
      <c r="Z173" s="18" t="s">
        <v>390</v>
      </c>
      <c r="AA173" s="18">
        <v>1</v>
      </c>
      <c r="AB173" s="18">
        <v>0</v>
      </c>
      <c r="AC173" s="18" t="b">
        <v>1</v>
      </c>
      <c r="AD173" s="18" t="s">
        <v>391</v>
      </c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 t="s">
        <v>339</v>
      </c>
      <c r="AZ173" s="18">
        <v>11700</v>
      </c>
      <c r="BA173" s="18" t="s">
        <v>395</v>
      </c>
      <c r="BB173" s="18" t="s">
        <v>390</v>
      </c>
      <c r="BC173" s="18">
        <v>10000</v>
      </c>
      <c r="BD173" s="18">
        <v>0</v>
      </c>
      <c r="BE173" s="18" t="s">
        <v>332</v>
      </c>
      <c r="BF173" s="18">
        <v>0</v>
      </c>
      <c r="BG173" s="18"/>
      <c r="BH173" s="18"/>
      <c r="BI173" s="18"/>
      <c r="BJ173" s="18"/>
      <c r="BK173" s="18"/>
      <c r="BL173" s="18"/>
      <c r="BM173" s="18">
        <v>21001107</v>
      </c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>
        <v>200</v>
      </c>
      <c r="GS173" s="18">
        <v>400</v>
      </c>
      <c r="GT173" s="18" t="s">
        <v>356</v>
      </c>
      <c r="GU173" s="18">
        <v>30044</v>
      </c>
      <c r="GV173" s="18" t="s">
        <v>339</v>
      </c>
      <c r="GW173" s="18" t="s">
        <v>339</v>
      </c>
      <c r="GX173" s="18" t="b">
        <v>1</v>
      </c>
      <c r="GY173" s="18">
        <v>6000</v>
      </c>
      <c r="GZ173" s="18" t="b">
        <v>0</v>
      </c>
      <c r="HA173" s="18">
        <v>0</v>
      </c>
      <c r="HB173" s="18">
        <v>0</v>
      </c>
      <c r="HC173" s="18">
        <v>0</v>
      </c>
      <c r="HD173" s="18">
        <v>0</v>
      </c>
      <c r="HE173" s="18" t="b">
        <v>0</v>
      </c>
      <c r="HF173" s="18">
        <v>0</v>
      </c>
      <c r="HG173" s="18">
        <v>10001</v>
      </c>
      <c r="HH173" s="18" t="s">
        <v>339</v>
      </c>
      <c r="HI173" s="18" t="s">
        <v>334</v>
      </c>
      <c r="HJ173" s="18">
        <v>0</v>
      </c>
      <c r="HK173" s="18">
        <v>0</v>
      </c>
      <c r="HL173" s="18">
        <v>0</v>
      </c>
      <c r="HM173" s="18">
        <v>0</v>
      </c>
      <c r="HN173" s="18" t="b">
        <v>0</v>
      </c>
    </row>
    <row r="174" spans="1:222">
      <c r="A174"/>
      <c r="B174" s="29" cm="1">
        <f t="array" ref="B174">10000000+INDEX(编号表!$B$1:$B$112,MATCH(D174,编号表!$A$1:$A$112,0))*10000+I174</f>
        <v>10170008</v>
      </c>
      <c r="C174" s="18" t="s">
        <v>393</v>
      </c>
      <c r="D174" s="18" t="s">
        <v>393</v>
      </c>
      <c r="E174" s="18" t="s">
        <v>322</v>
      </c>
      <c r="F174" s="18" t="s">
        <v>358</v>
      </c>
      <c r="G174" s="18" t="b">
        <v>0</v>
      </c>
      <c r="H174" s="18" t="b">
        <v>0</v>
      </c>
      <c r="I174" s="18">
        <v>8</v>
      </c>
      <c r="J174" s="18">
        <v>101700</v>
      </c>
      <c r="K174" s="18" t="s">
        <v>324</v>
      </c>
      <c r="L174" s="18">
        <v>10170007</v>
      </c>
      <c r="M174" s="18">
        <v>10170009</v>
      </c>
      <c r="N174" s="18" t="s">
        <v>394</v>
      </c>
      <c r="O174" s="18">
        <v>10202016</v>
      </c>
      <c r="P174" s="18">
        <v>0</v>
      </c>
      <c r="Q174" s="18">
        <v>3</v>
      </c>
      <c r="R174" s="18">
        <v>35</v>
      </c>
      <c r="S174" s="18">
        <v>0</v>
      </c>
      <c r="T174" s="18">
        <v>100</v>
      </c>
      <c r="U174" s="18" t="s">
        <v>338</v>
      </c>
      <c r="V174" s="18">
        <v>650</v>
      </c>
      <c r="W174" s="18">
        <v>650</v>
      </c>
      <c r="X174" s="18" t="s">
        <v>326</v>
      </c>
      <c r="Y174" s="18" t="s">
        <v>327</v>
      </c>
      <c r="Z174" s="18" t="s">
        <v>390</v>
      </c>
      <c r="AA174" s="18">
        <v>1</v>
      </c>
      <c r="AB174" s="18">
        <v>0</v>
      </c>
      <c r="AC174" s="18" t="b">
        <v>1</v>
      </c>
      <c r="AD174" s="18" t="s">
        <v>391</v>
      </c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 t="s">
        <v>339</v>
      </c>
      <c r="AZ174" s="18">
        <v>11800</v>
      </c>
      <c r="BA174" s="18" t="s">
        <v>395</v>
      </c>
      <c r="BB174" s="18" t="s">
        <v>390</v>
      </c>
      <c r="BC174" s="18">
        <v>10000</v>
      </c>
      <c r="BD174" s="18">
        <v>0</v>
      </c>
      <c r="BE174" s="18" t="s">
        <v>332</v>
      </c>
      <c r="BF174" s="18">
        <v>0</v>
      </c>
      <c r="BG174" s="18"/>
      <c r="BH174" s="18"/>
      <c r="BI174" s="18"/>
      <c r="BJ174" s="18"/>
      <c r="BK174" s="18"/>
      <c r="BL174" s="18"/>
      <c r="BM174" s="18">
        <v>21001108</v>
      </c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>
        <v>200</v>
      </c>
      <c r="GS174" s="18">
        <v>400</v>
      </c>
      <c r="GT174" s="18" t="s">
        <v>356</v>
      </c>
      <c r="GU174" s="18">
        <v>30044</v>
      </c>
      <c r="GV174" s="18" t="s">
        <v>339</v>
      </c>
      <c r="GW174" s="18" t="s">
        <v>339</v>
      </c>
      <c r="GX174" s="18" t="b">
        <v>1</v>
      </c>
      <c r="GY174" s="18">
        <v>6000</v>
      </c>
      <c r="GZ174" s="18" t="b">
        <v>0</v>
      </c>
      <c r="HA174" s="18">
        <v>0</v>
      </c>
      <c r="HB174" s="18">
        <v>0</v>
      </c>
      <c r="HC174" s="18">
        <v>0</v>
      </c>
      <c r="HD174" s="18">
        <v>0</v>
      </c>
      <c r="HE174" s="18" t="b">
        <v>0</v>
      </c>
      <c r="HF174" s="18">
        <v>0</v>
      </c>
      <c r="HG174" s="18">
        <v>10001</v>
      </c>
      <c r="HH174" s="18" t="s">
        <v>339</v>
      </c>
      <c r="HI174" s="18" t="s">
        <v>334</v>
      </c>
      <c r="HJ174" s="18">
        <v>0</v>
      </c>
      <c r="HK174" s="18">
        <v>0</v>
      </c>
      <c r="HL174" s="18">
        <v>0</v>
      </c>
      <c r="HM174" s="18">
        <v>0</v>
      </c>
      <c r="HN174" s="18" t="b">
        <v>0</v>
      </c>
    </row>
    <row r="175" spans="1:222">
      <c r="A175"/>
      <c r="B175" s="29" cm="1">
        <f t="array" ref="B175">10000000+INDEX(编号表!$B$1:$B$112,MATCH(D175,编号表!$A$1:$A$112,0))*10000+I175</f>
        <v>10170009</v>
      </c>
      <c r="C175" s="18" t="s">
        <v>393</v>
      </c>
      <c r="D175" s="18" t="s">
        <v>393</v>
      </c>
      <c r="E175" s="18" t="s">
        <v>322</v>
      </c>
      <c r="F175" s="18" t="s">
        <v>358</v>
      </c>
      <c r="G175" s="18" t="b">
        <v>0</v>
      </c>
      <c r="H175" s="18" t="b">
        <v>0</v>
      </c>
      <c r="I175" s="18">
        <v>9</v>
      </c>
      <c r="J175" s="18">
        <v>101700</v>
      </c>
      <c r="K175" s="18" t="s">
        <v>324</v>
      </c>
      <c r="L175" s="18">
        <v>10170008</v>
      </c>
      <c r="M175" s="18">
        <v>10170010</v>
      </c>
      <c r="N175" s="18" t="s">
        <v>394</v>
      </c>
      <c r="O175" s="18">
        <v>10202016</v>
      </c>
      <c r="P175" s="18">
        <v>0</v>
      </c>
      <c r="Q175" s="18">
        <v>3</v>
      </c>
      <c r="R175" s="18">
        <v>40</v>
      </c>
      <c r="S175" s="18">
        <v>0</v>
      </c>
      <c r="T175" s="18">
        <v>100</v>
      </c>
      <c r="U175" s="18" t="s">
        <v>338</v>
      </c>
      <c r="V175" s="18">
        <v>650</v>
      </c>
      <c r="W175" s="18">
        <v>650</v>
      </c>
      <c r="X175" s="18" t="s">
        <v>326</v>
      </c>
      <c r="Y175" s="18" t="s">
        <v>327</v>
      </c>
      <c r="Z175" s="18" t="s">
        <v>390</v>
      </c>
      <c r="AA175" s="18">
        <v>1</v>
      </c>
      <c r="AB175" s="18">
        <v>0</v>
      </c>
      <c r="AC175" s="18" t="b">
        <v>1</v>
      </c>
      <c r="AD175" s="18" t="s">
        <v>391</v>
      </c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 t="s">
        <v>339</v>
      </c>
      <c r="AZ175" s="18">
        <v>11900</v>
      </c>
      <c r="BA175" s="18" t="s">
        <v>395</v>
      </c>
      <c r="BB175" s="18" t="s">
        <v>390</v>
      </c>
      <c r="BC175" s="18">
        <v>10000</v>
      </c>
      <c r="BD175" s="18">
        <v>0</v>
      </c>
      <c r="BE175" s="18" t="s">
        <v>332</v>
      </c>
      <c r="BF175" s="18">
        <v>0</v>
      </c>
      <c r="BG175" s="18"/>
      <c r="BH175" s="18"/>
      <c r="BI175" s="18"/>
      <c r="BJ175" s="18"/>
      <c r="BK175" s="18"/>
      <c r="BL175" s="18"/>
      <c r="BM175" s="18">
        <v>21001109</v>
      </c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>
        <v>200</v>
      </c>
      <c r="GS175" s="18">
        <v>400</v>
      </c>
      <c r="GT175" s="18" t="s">
        <v>356</v>
      </c>
      <c r="GU175" s="18">
        <v>30044</v>
      </c>
      <c r="GV175" s="18" t="s">
        <v>339</v>
      </c>
      <c r="GW175" s="18" t="s">
        <v>339</v>
      </c>
      <c r="GX175" s="18" t="b">
        <v>1</v>
      </c>
      <c r="GY175" s="18">
        <v>6000</v>
      </c>
      <c r="GZ175" s="18" t="b">
        <v>0</v>
      </c>
      <c r="HA175" s="18">
        <v>0</v>
      </c>
      <c r="HB175" s="18">
        <v>0</v>
      </c>
      <c r="HC175" s="18">
        <v>0</v>
      </c>
      <c r="HD175" s="18">
        <v>0</v>
      </c>
      <c r="HE175" s="18" t="b">
        <v>0</v>
      </c>
      <c r="HF175" s="18">
        <v>0</v>
      </c>
      <c r="HG175" s="18">
        <v>10001</v>
      </c>
      <c r="HH175" s="18" t="s">
        <v>339</v>
      </c>
      <c r="HI175" s="18" t="s">
        <v>334</v>
      </c>
      <c r="HJ175" s="18">
        <v>0</v>
      </c>
      <c r="HK175" s="18">
        <v>0</v>
      </c>
      <c r="HL175" s="18">
        <v>0</v>
      </c>
      <c r="HM175" s="18">
        <v>0</v>
      </c>
      <c r="HN175" s="18" t="b">
        <v>0</v>
      </c>
    </row>
    <row r="176" spans="1:222">
      <c r="A176"/>
      <c r="B176" s="29" cm="1">
        <f t="array" ref="B176">10000000+INDEX(编号表!$B$1:$B$112,MATCH(D176,编号表!$A$1:$A$112,0))*10000+I176</f>
        <v>10170010</v>
      </c>
      <c r="C176" s="18" t="s">
        <v>393</v>
      </c>
      <c r="D176" s="18" t="s">
        <v>393</v>
      </c>
      <c r="E176" s="18" t="s">
        <v>322</v>
      </c>
      <c r="F176" s="18" t="s">
        <v>358</v>
      </c>
      <c r="G176" s="18" t="b">
        <v>0</v>
      </c>
      <c r="H176" s="18" t="b">
        <v>0</v>
      </c>
      <c r="I176" s="18">
        <v>10</v>
      </c>
      <c r="J176" s="18">
        <v>101700</v>
      </c>
      <c r="K176" s="18" t="s">
        <v>324</v>
      </c>
      <c r="L176" s="18">
        <v>10170009</v>
      </c>
      <c r="M176" s="18">
        <v>0</v>
      </c>
      <c r="N176" s="18" t="s">
        <v>394</v>
      </c>
      <c r="O176" s="18">
        <v>10202016</v>
      </c>
      <c r="P176" s="18">
        <v>0</v>
      </c>
      <c r="Q176" s="18">
        <v>3</v>
      </c>
      <c r="R176" s="18">
        <v>40</v>
      </c>
      <c r="S176" s="18">
        <v>0</v>
      </c>
      <c r="T176" s="18">
        <v>0</v>
      </c>
      <c r="U176" s="18" t="s">
        <v>338</v>
      </c>
      <c r="V176" s="18">
        <v>650</v>
      </c>
      <c r="W176" s="18">
        <v>650</v>
      </c>
      <c r="X176" s="18" t="s">
        <v>326</v>
      </c>
      <c r="Y176" s="18" t="s">
        <v>327</v>
      </c>
      <c r="Z176" s="18" t="s">
        <v>390</v>
      </c>
      <c r="AA176" s="18">
        <v>1</v>
      </c>
      <c r="AB176" s="18">
        <v>0</v>
      </c>
      <c r="AC176" s="18" t="b">
        <v>1</v>
      </c>
      <c r="AD176" s="18" t="s">
        <v>391</v>
      </c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 t="s">
        <v>339</v>
      </c>
      <c r="AZ176" s="18">
        <v>12000</v>
      </c>
      <c r="BA176" s="18" t="s">
        <v>395</v>
      </c>
      <c r="BB176" s="18" t="s">
        <v>390</v>
      </c>
      <c r="BC176" s="18">
        <v>10000</v>
      </c>
      <c r="BD176" s="18">
        <v>0</v>
      </c>
      <c r="BE176" s="18" t="s">
        <v>332</v>
      </c>
      <c r="BF176" s="18">
        <v>0</v>
      </c>
      <c r="BG176" s="18"/>
      <c r="BH176" s="18"/>
      <c r="BI176" s="18"/>
      <c r="BJ176" s="18"/>
      <c r="BK176" s="18"/>
      <c r="BL176" s="18"/>
      <c r="BM176" s="18">
        <v>21001110</v>
      </c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>
        <v>200</v>
      </c>
      <c r="GS176" s="18">
        <v>400</v>
      </c>
      <c r="GT176" s="18" t="s">
        <v>356</v>
      </c>
      <c r="GU176" s="18">
        <v>30044</v>
      </c>
      <c r="GV176" s="18" t="s">
        <v>339</v>
      </c>
      <c r="GW176" s="18" t="s">
        <v>339</v>
      </c>
      <c r="GX176" s="18" t="b">
        <v>1</v>
      </c>
      <c r="GY176" s="18">
        <v>6000</v>
      </c>
      <c r="GZ176" s="18" t="b">
        <v>0</v>
      </c>
      <c r="HA176" s="18">
        <v>0</v>
      </c>
      <c r="HB176" s="18">
        <v>0</v>
      </c>
      <c r="HC176" s="18">
        <v>0</v>
      </c>
      <c r="HD176" s="18">
        <v>0</v>
      </c>
      <c r="HE176" s="18" t="b">
        <v>0</v>
      </c>
      <c r="HF176" s="18">
        <v>0</v>
      </c>
      <c r="HG176" s="18">
        <v>10001</v>
      </c>
      <c r="HH176" s="18" t="s">
        <v>339</v>
      </c>
      <c r="HI176" s="18" t="s">
        <v>334</v>
      </c>
      <c r="HJ176" s="18">
        <v>0</v>
      </c>
      <c r="HK176" s="18">
        <v>0</v>
      </c>
      <c r="HL176" s="18">
        <v>0</v>
      </c>
      <c r="HM176" s="18">
        <v>0</v>
      </c>
      <c r="HN176" s="18" t="b">
        <v>0</v>
      </c>
    </row>
    <row r="177" spans="1:222">
      <c r="A177"/>
      <c r="B177" s="29" cm="1">
        <f t="array" ref="B177">10000000+INDEX(编号表!$B$1:$B$112,MATCH(D177,编号表!$A$1:$A$112,0))*10000+I177</f>
        <v>10180001</v>
      </c>
      <c r="C177" s="18" t="s">
        <v>396</v>
      </c>
      <c r="D177" s="18" t="s">
        <v>396</v>
      </c>
      <c r="E177" s="18" t="s">
        <v>322</v>
      </c>
      <c r="F177" s="18" t="s">
        <v>373</v>
      </c>
      <c r="G177" s="18" t="b">
        <v>0</v>
      </c>
      <c r="H177" s="18" t="b">
        <v>0</v>
      </c>
      <c r="I177" s="18">
        <v>1</v>
      </c>
      <c r="J177" s="18">
        <v>101800</v>
      </c>
      <c r="K177" s="18" t="s">
        <v>324</v>
      </c>
      <c r="L177" s="18">
        <v>0</v>
      </c>
      <c r="M177" s="18">
        <v>10180002</v>
      </c>
      <c r="N177" s="18" t="s">
        <v>397</v>
      </c>
      <c r="O177" s="18">
        <v>10202017</v>
      </c>
      <c r="P177" s="18">
        <v>0</v>
      </c>
      <c r="Q177" s="18">
        <v>0</v>
      </c>
      <c r="R177" s="18">
        <v>1</v>
      </c>
      <c r="S177" s="18">
        <v>0</v>
      </c>
      <c r="T177" s="18">
        <v>100</v>
      </c>
      <c r="U177" s="18" t="s">
        <v>338</v>
      </c>
      <c r="V177" s="18">
        <v>650</v>
      </c>
      <c r="W177" s="18">
        <v>650</v>
      </c>
      <c r="X177" s="18" t="s">
        <v>326</v>
      </c>
      <c r="Y177" s="18" t="s">
        <v>327</v>
      </c>
      <c r="Z177" s="18" t="s">
        <v>328</v>
      </c>
      <c r="AA177" s="18">
        <v>0</v>
      </c>
      <c r="AB177" s="18">
        <v>1</v>
      </c>
      <c r="AC177" s="18" t="b">
        <v>0</v>
      </c>
      <c r="AD177" s="18" t="s">
        <v>329</v>
      </c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 t="s">
        <v>339</v>
      </c>
      <c r="AZ177" s="18">
        <v>10000</v>
      </c>
      <c r="BA177" s="18" t="s">
        <v>395</v>
      </c>
      <c r="BB177" s="18" t="s">
        <v>328</v>
      </c>
      <c r="BC177" s="18">
        <v>10000</v>
      </c>
      <c r="BD177" s="18">
        <v>0</v>
      </c>
      <c r="BE177" s="18" t="s">
        <v>332</v>
      </c>
      <c r="BF177" s="18">
        <v>0</v>
      </c>
      <c r="BG177" s="18"/>
      <c r="BH177" s="18"/>
      <c r="BI177" s="18"/>
      <c r="BJ177" s="18"/>
      <c r="BK177" s="18"/>
      <c r="BL177" s="18"/>
      <c r="BM177" s="18">
        <v>21001201</v>
      </c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>
        <v>200</v>
      </c>
      <c r="GS177" s="18">
        <v>400</v>
      </c>
      <c r="GT177" s="18" t="s">
        <v>356</v>
      </c>
      <c r="GU177" s="18">
        <v>30045</v>
      </c>
      <c r="GV177" s="18" t="s">
        <v>339</v>
      </c>
      <c r="GW177" s="18" t="s">
        <v>339</v>
      </c>
      <c r="GX177" s="18" t="b">
        <v>1</v>
      </c>
      <c r="GY177" s="18">
        <v>8000</v>
      </c>
      <c r="GZ177" s="18" t="b">
        <v>0</v>
      </c>
      <c r="HA177" s="18">
        <v>0</v>
      </c>
      <c r="HB177" s="18">
        <v>0</v>
      </c>
      <c r="HC177" s="18">
        <v>0</v>
      </c>
      <c r="HD177" s="18">
        <v>0</v>
      </c>
      <c r="HE177" s="18" t="b">
        <v>0</v>
      </c>
      <c r="HF177" s="18">
        <v>0</v>
      </c>
      <c r="HG177" s="18">
        <v>10001</v>
      </c>
      <c r="HH177" s="18" t="s">
        <v>339</v>
      </c>
      <c r="HI177" s="18" t="s">
        <v>334</v>
      </c>
      <c r="HJ177" s="18">
        <v>0</v>
      </c>
      <c r="HK177" s="18">
        <v>0</v>
      </c>
      <c r="HL177" s="18">
        <v>0</v>
      </c>
      <c r="HM177" s="18">
        <v>0</v>
      </c>
      <c r="HN177" s="18" t="b">
        <v>0</v>
      </c>
    </row>
    <row r="178" spans="1:222">
      <c r="A178"/>
      <c r="B178" s="29" cm="1">
        <f t="array" ref="B178">10000000+INDEX(编号表!$B$1:$B$112,MATCH(D178,编号表!$A$1:$A$112,0))*10000+I178</f>
        <v>10180002</v>
      </c>
      <c r="C178" s="18" t="s">
        <v>396</v>
      </c>
      <c r="D178" s="18" t="s">
        <v>396</v>
      </c>
      <c r="E178" s="18" t="s">
        <v>322</v>
      </c>
      <c r="F178" s="18" t="s">
        <v>373</v>
      </c>
      <c r="G178" s="18" t="b">
        <v>0</v>
      </c>
      <c r="H178" s="18" t="b">
        <v>0</v>
      </c>
      <c r="I178" s="18">
        <v>2</v>
      </c>
      <c r="J178" s="18">
        <v>101800</v>
      </c>
      <c r="K178" s="18" t="s">
        <v>324</v>
      </c>
      <c r="L178" s="18">
        <v>10180001</v>
      </c>
      <c r="M178" s="18">
        <v>10180003</v>
      </c>
      <c r="N178" s="18" t="s">
        <v>397</v>
      </c>
      <c r="O178" s="18">
        <v>10202017</v>
      </c>
      <c r="P178" s="18">
        <v>0</v>
      </c>
      <c r="Q178" s="18">
        <v>1</v>
      </c>
      <c r="R178" s="18">
        <v>7</v>
      </c>
      <c r="S178" s="18">
        <v>0</v>
      </c>
      <c r="T178" s="18">
        <v>100</v>
      </c>
      <c r="U178" s="18" t="s">
        <v>338</v>
      </c>
      <c r="V178" s="18">
        <v>650</v>
      </c>
      <c r="W178" s="18">
        <v>650</v>
      </c>
      <c r="X178" s="18" t="s">
        <v>326</v>
      </c>
      <c r="Y178" s="18" t="s">
        <v>327</v>
      </c>
      <c r="Z178" s="18" t="s">
        <v>328</v>
      </c>
      <c r="AA178" s="18">
        <v>0</v>
      </c>
      <c r="AB178" s="18">
        <v>1</v>
      </c>
      <c r="AC178" s="18" t="b">
        <v>0</v>
      </c>
      <c r="AD178" s="18" t="s">
        <v>329</v>
      </c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 t="s">
        <v>339</v>
      </c>
      <c r="AZ178" s="18">
        <v>10400</v>
      </c>
      <c r="BA178" s="18" t="s">
        <v>395</v>
      </c>
      <c r="BB178" s="18" t="s">
        <v>328</v>
      </c>
      <c r="BC178" s="18">
        <v>10000</v>
      </c>
      <c r="BD178" s="18">
        <v>0</v>
      </c>
      <c r="BE178" s="18" t="s">
        <v>332</v>
      </c>
      <c r="BF178" s="18">
        <v>0</v>
      </c>
      <c r="BG178" s="18"/>
      <c r="BH178" s="18"/>
      <c r="BI178" s="18"/>
      <c r="BJ178" s="18"/>
      <c r="BK178" s="18"/>
      <c r="BL178" s="18"/>
      <c r="BM178" s="18">
        <v>21001202</v>
      </c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>
        <v>200</v>
      </c>
      <c r="GS178" s="18">
        <v>400</v>
      </c>
      <c r="GT178" s="18" t="s">
        <v>356</v>
      </c>
      <c r="GU178" s="18">
        <v>30045</v>
      </c>
      <c r="GV178" s="18" t="s">
        <v>339</v>
      </c>
      <c r="GW178" s="18" t="s">
        <v>339</v>
      </c>
      <c r="GX178" s="18" t="b">
        <v>1</v>
      </c>
      <c r="GY178" s="18">
        <v>8000</v>
      </c>
      <c r="GZ178" s="18" t="b">
        <v>0</v>
      </c>
      <c r="HA178" s="18">
        <v>0</v>
      </c>
      <c r="HB178" s="18">
        <v>0</v>
      </c>
      <c r="HC178" s="18">
        <v>0</v>
      </c>
      <c r="HD178" s="18">
        <v>0</v>
      </c>
      <c r="HE178" s="18" t="b">
        <v>0</v>
      </c>
      <c r="HF178" s="18">
        <v>0</v>
      </c>
      <c r="HG178" s="18">
        <v>10001</v>
      </c>
      <c r="HH178" s="18" t="s">
        <v>339</v>
      </c>
      <c r="HI178" s="18" t="s">
        <v>334</v>
      </c>
      <c r="HJ178" s="18">
        <v>0</v>
      </c>
      <c r="HK178" s="18">
        <v>0</v>
      </c>
      <c r="HL178" s="18">
        <v>0</v>
      </c>
      <c r="HM178" s="18">
        <v>0</v>
      </c>
      <c r="HN178" s="18" t="b">
        <v>0</v>
      </c>
    </row>
    <row r="179" spans="1:222">
      <c r="A179"/>
      <c r="B179" s="29" cm="1">
        <f t="array" ref="B179">10000000+INDEX(编号表!$B$1:$B$112,MATCH(D179,编号表!$A$1:$A$112,0))*10000+I179</f>
        <v>10180003</v>
      </c>
      <c r="C179" s="18" t="s">
        <v>396</v>
      </c>
      <c r="D179" s="18" t="s">
        <v>396</v>
      </c>
      <c r="E179" s="18" t="s">
        <v>322</v>
      </c>
      <c r="F179" s="18" t="s">
        <v>373</v>
      </c>
      <c r="G179" s="18" t="b">
        <v>0</v>
      </c>
      <c r="H179" s="18" t="b">
        <v>0</v>
      </c>
      <c r="I179" s="18">
        <v>3</v>
      </c>
      <c r="J179" s="18">
        <v>101800</v>
      </c>
      <c r="K179" s="18" t="s">
        <v>324</v>
      </c>
      <c r="L179" s="18">
        <v>10180002</v>
      </c>
      <c r="M179" s="18">
        <v>10180004</v>
      </c>
      <c r="N179" s="18" t="s">
        <v>397</v>
      </c>
      <c r="O179" s="18">
        <v>10202017</v>
      </c>
      <c r="P179" s="18">
        <v>0</v>
      </c>
      <c r="Q179" s="18">
        <v>2</v>
      </c>
      <c r="R179" s="18">
        <v>11</v>
      </c>
      <c r="S179" s="18">
        <v>0</v>
      </c>
      <c r="T179" s="18">
        <v>100</v>
      </c>
      <c r="U179" s="18" t="s">
        <v>338</v>
      </c>
      <c r="V179" s="18">
        <v>650</v>
      </c>
      <c r="W179" s="18">
        <v>650</v>
      </c>
      <c r="X179" s="18" t="s">
        <v>326</v>
      </c>
      <c r="Y179" s="18" t="s">
        <v>327</v>
      </c>
      <c r="Z179" s="18" t="s">
        <v>328</v>
      </c>
      <c r="AA179" s="18">
        <v>0</v>
      </c>
      <c r="AB179" s="18">
        <v>1</v>
      </c>
      <c r="AC179" s="18" t="b">
        <v>0</v>
      </c>
      <c r="AD179" s="18" t="s">
        <v>329</v>
      </c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 t="s">
        <v>339</v>
      </c>
      <c r="AZ179" s="18">
        <v>10800</v>
      </c>
      <c r="BA179" s="18" t="s">
        <v>395</v>
      </c>
      <c r="BB179" s="18" t="s">
        <v>328</v>
      </c>
      <c r="BC179" s="18">
        <v>10000</v>
      </c>
      <c r="BD179" s="18">
        <v>0</v>
      </c>
      <c r="BE179" s="18" t="s">
        <v>332</v>
      </c>
      <c r="BF179" s="18">
        <v>0</v>
      </c>
      <c r="BG179" s="18"/>
      <c r="BH179" s="18"/>
      <c r="BI179" s="18"/>
      <c r="BJ179" s="18"/>
      <c r="BK179" s="18"/>
      <c r="BL179" s="18"/>
      <c r="BM179" s="18">
        <v>21001203</v>
      </c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>
        <v>200</v>
      </c>
      <c r="GS179" s="18">
        <v>400</v>
      </c>
      <c r="GT179" s="18" t="s">
        <v>356</v>
      </c>
      <c r="GU179" s="18">
        <v>30045</v>
      </c>
      <c r="GV179" s="18" t="s">
        <v>339</v>
      </c>
      <c r="GW179" s="18" t="s">
        <v>339</v>
      </c>
      <c r="GX179" s="18" t="b">
        <v>1</v>
      </c>
      <c r="GY179" s="18">
        <v>8000</v>
      </c>
      <c r="GZ179" s="18" t="b">
        <v>0</v>
      </c>
      <c r="HA179" s="18">
        <v>0</v>
      </c>
      <c r="HB179" s="18">
        <v>0</v>
      </c>
      <c r="HC179" s="18">
        <v>0</v>
      </c>
      <c r="HD179" s="18">
        <v>0</v>
      </c>
      <c r="HE179" s="18" t="b">
        <v>0</v>
      </c>
      <c r="HF179" s="18">
        <v>0</v>
      </c>
      <c r="HG179" s="18">
        <v>10001</v>
      </c>
      <c r="HH179" s="18" t="s">
        <v>339</v>
      </c>
      <c r="HI179" s="18" t="s">
        <v>334</v>
      </c>
      <c r="HJ179" s="18">
        <v>0</v>
      </c>
      <c r="HK179" s="18">
        <v>0</v>
      </c>
      <c r="HL179" s="18">
        <v>0</v>
      </c>
      <c r="HM179" s="18">
        <v>0</v>
      </c>
      <c r="HN179" s="18" t="b">
        <v>0</v>
      </c>
    </row>
    <row r="180" spans="1:222">
      <c r="A180"/>
      <c r="B180" s="29" cm="1">
        <f t="array" ref="B180">10000000+INDEX(编号表!$B$1:$B$112,MATCH(D180,编号表!$A$1:$A$112,0))*10000+I180</f>
        <v>10180004</v>
      </c>
      <c r="C180" s="18" t="s">
        <v>396</v>
      </c>
      <c r="D180" s="18" t="s">
        <v>396</v>
      </c>
      <c r="E180" s="18" t="s">
        <v>322</v>
      </c>
      <c r="F180" s="18" t="s">
        <v>373</v>
      </c>
      <c r="G180" s="18" t="b">
        <v>0</v>
      </c>
      <c r="H180" s="18" t="b">
        <v>0</v>
      </c>
      <c r="I180" s="18">
        <v>4</v>
      </c>
      <c r="J180" s="18">
        <v>101800</v>
      </c>
      <c r="K180" s="18" t="s">
        <v>324</v>
      </c>
      <c r="L180" s="18">
        <v>10180003</v>
      </c>
      <c r="M180" s="18">
        <v>10180005</v>
      </c>
      <c r="N180" s="18" t="s">
        <v>397</v>
      </c>
      <c r="O180" s="18">
        <v>10202017</v>
      </c>
      <c r="P180" s="18">
        <v>0</v>
      </c>
      <c r="Q180" s="18">
        <v>3</v>
      </c>
      <c r="R180" s="18">
        <v>16</v>
      </c>
      <c r="S180" s="18">
        <v>0</v>
      </c>
      <c r="T180" s="18">
        <v>100</v>
      </c>
      <c r="U180" s="18" t="s">
        <v>338</v>
      </c>
      <c r="V180" s="18">
        <v>650</v>
      </c>
      <c r="W180" s="18">
        <v>650</v>
      </c>
      <c r="X180" s="18" t="s">
        <v>326</v>
      </c>
      <c r="Y180" s="18" t="s">
        <v>327</v>
      </c>
      <c r="Z180" s="18" t="s">
        <v>328</v>
      </c>
      <c r="AA180" s="18">
        <v>0</v>
      </c>
      <c r="AB180" s="18">
        <v>1</v>
      </c>
      <c r="AC180" s="18" t="b">
        <v>0</v>
      </c>
      <c r="AD180" s="18" t="s">
        <v>329</v>
      </c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 t="s">
        <v>339</v>
      </c>
      <c r="AZ180" s="18">
        <v>11200</v>
      </c>
      <c r="BA180" s="18" t="s">
        <v>395</v>
      </c>
      <c r="BB180" s="18" t="s">
        <v>328</v>
      </c>
      <c r="BC180" s="18">
        <v>10000</v>
      </c>
      <c r="BD180" s="18">
        <v>0</v>
      </c>
      <c r="BE180" s="18" t="s">
        <v>332</v>
      </c>
      <c r="BF180" s="18">
        <v>0</v>
      </c>
      <c r="BG180" s="18"/>
      <c r="BH180" s="18"/>
      <c r="BI180" s="18"/>
      <c r="BJ180" s="18"/>
      <c r="BK180" s="18"/>
      <c r="BL180" s="18"/>
      <c r="BM180" s="18">
        <v>21001204</v>
      </c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>
        <v>200</v>
      </c>
      <c r="GS180" s="18">
        <v>400</v>
      </c>
      <c r="GT180" s="18" t="s">
        <v>356</v>
      </c>
      <c r="GU180" s="18">
        <v>30045</v>
      </c>
      <c r="GV180" s="18" t="s">
        <v>339</v>
      </c>
      <c r="GW180" s="18" t="s">
        <v>339</v>
      </c>
      <c r="GX180" s="18" t="b">
        <v>1</v>
      </c>
      <c r="GY180" s="18">
        <v>8000</v>
      </c>
      <c r="GZ180" s="18" t="b">
        <v>0</v>
      </c>
      <c r="HA180" s="18">
        <v>0</v>
      </c>
      <c r="HB180" s="18">
        <v>0</v>
      </c>
      <c r="HC180" s="18">
        <v>0</v>
      </c>
      <c r="HD180" s="18">
        <v>0</v>
      </c>
      <c r="HE180" s="18" t="b">
        <v>0</v>
      </c>
      <c r="HF180" s="18">
        <v>0</v>
      </c>
      <c r="HG180" s="18">
        <v>10001</v>
      </c>
      <c r="HH180" s="18" t="s">
        <v>339</v>
      </c>
      <c r="HI180" s="18" t="s">
        <v>334</v>
      </c>
      <c r="HJ180" s="18">
        <v>0</v>
      </c>
      <c r="HK180" s="18">
        <v>0</v>
      </c>
      <c r="HL180" s="18">
        <v>0</v>
      </c>
      <c r="HM180" s="18">
        <v>0</v>
      </c>
      <c r="HN180" s="18" t="b">
        <v>0</v>
      </c>
    </row>
    <row r="181" spans="1:222">
      <c r="A181"/>
      <c r="B181" s="29" cm="1">
        <f t="array" ref="B181">10000000+INDEX(编号表!$B$1:$B$112,MATCH(D181,编号表!$A$1:$A$112,0))*10000+I181</f>
        <v>10180005</v>
      </c>
      <c r="C181" s="18" t="s">
        <v>396</v>
      </c>
      <c r="D181" s="18" t="s">
        <v>396</v>
      </c>
      <c r="E181" s="18" t="s">
        <v>322</v>
      </c>
      <c r="F181" s="18" t="s">
        <v>373</v>
      </c>
      <c r="G181" s="18" t="b">
        <v>0</v>
      </c>
      <c r="H181" s="18" t="b">
        <v>0</v>
      </c>
      <c r="I181" s="18">
        <v>5</v>
      </c>
      <c r="J181" s="18">
        <v>101800</v>
      </c>
      <c r="K181" s="18" t="s">
        <v>324</v>
      </c>
      <c r="L181" s="18">
        <v>10180004</v>
      </c>
      <c r="M181" s="18">
        <v>10180006</v>
      </c>
      <c r="N181" s="18" t="s">
        <v>397</v>
      </c>
      <c r="O181" s="18">
        <v>10202017</v>
      </c>
      <c r="P181" s="18">
        <v>0</v>
      </c>
      <c r="Q181" s="18">
        <v>3</v>
      </c>
      <c r="R181" s="18">
        <v>25</v>
      </c>
      <c r="S181" s="18">
        <v>0</v>
      </c>
      <c r="T181" s="18">
        <v>100</v>
      </c>
      <c r="U181" s="18" t="s">
        <v>338</v>
      </c>
      <c r="V181" s="18">
        <v>650</v>
      </c>
      <c r="W181" s="18">
        <v>650</v>
      </c>
      <c r="X181" s="18" t="s">
        <v>326</v>
      </c>
      <c r="Y181" s="18" t="s">
        <v>327</v>
      </c>
      <c r="Z181" s="18" t="s">
        <v>328</v>
      </c>
      <c r="AA181" s="18">
        <v>0</v>
      </c>
      <c r="AB181" s="18">
        <v>1</v>
      </c>
      <c r="AC181" s="18" t="b">
        <v>0</v>
      </c>
      <c r="AD181" s="18" t="s">
        <v>329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 t="s">
        <v>339</v>
      </c>
      <c r="AZ181" s="18">
        <v>11300</v>
      </c>
      <c r="BA181" s="18" t="s">
        <v>395</v>
      </c>
      <c r="BB181" s="18" t="s">
        <v>328</v>
      </c>
      <c r="BC181" s="18">
        <v>10000</v>
      </c>
      <c r="BD181" s="18">
        <v>0</v>
      </c>
      <c r="BE181" s="18" t="s">
        <v>332</v>
      </c>
      <c r="BF181" s="18">
        <v>0</v>
      </c>
      <c r="BG181" s="18"/>
      <c r="BH181" s="18"/>
      <c r="BI181" s="18"/>
      <c r="BJ181" s="18"/>
      <c r="BK181" s="18"/>
      <c r="BL181" s="18"/>
      <c r="BM181" s="18">
        <v>21001205</v>
      </c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>
        <v>200</v>
      </c>
      <c r="GS181" s="18">
        <v>400</v>
      </c>
      <c r="GT181" s="18" t="s">
        <v>356</v>
      </c>
      <c r="GU181" s="18">
        <v>30045</v>
      </c>
      <c r="GV181" s="18" t="s">
        <v>339</v>
      </c>
      <c r="GW181" s="18" t="s">
        <v>339</v>
      </c>
      <c r="GX181" s="18" t="b">
        <v>1</v>
      </c>
      <c r="GY181" s="18">
        <v>8000</v>
      </c>
      <c r="GZ181" s="18" t="b">
        <v>0</v>
      </c>
      <c r="HA181" s="18">
        <v>0</v>
      </c>
      <c r="HB181" s="18">
        <v>0</v>
      </c>
      <c r="HC181" s="18">
        <v>0</v>
      </c>
      <c r="HD181" s="18">
        <v>0</v>
      </c>
      <c r="HE181" s="18" t="b">
        <v>0</v>
      </c>
      <c r="HF181" s="18">
        <v>0</v>
      </c>
      <c r="HG181" s="18">
        <v>10001</v>
      </c>
      <c r="HH181" s="18" t="s">
        <v>339</v>
      </c>
      <c r="HI181" s="18" t="s">
        <v>334</v>
      </c>
      <c r="HJ181" s="18">
        <v>0</v>
      </c>
      <c r="HK181" s="18">
        <v>0</v>
      </c>
      <c r="HL181" s="18">
        <v>0</v>
      </c>
      <c r="HM181" s="18">
        <v>0</v>
      </c>
      <c r="HN181" s="18" t="b">
        <v>0</v>
      </c>
    </row>
    <row r="182" spans="1:222">
      <c r="A182"/>
      <c r="B182" s="29" cm="1">
        <f t="array" ref="B182">10000000+INDEX(编号表!$B$1:$B$112,MATCH(D182,编号表!$A$1:$A$112,0))*10000+I182</f>
        <v>10180006</v>
      </c>
      <c r="C182" s="18" t="s">
        <v>396</v>
      </c>
      <c r="D182" s="18" t="s">
        <v>396</v>
      </c>
      <c r="E182" s="18" t="s">
        <v>322</v>
      </c>
      <c r="F182" s="18" t="s">
        <v>373</v>
      </c>
      <c r="G182" s="18" t="b">
        <v>0</v>
      </c>
      <c r="H182" s="18" t="b">
        <v>0</v>
      </c>
      <c r="I182" s="18">
        <v>6</v>
      </c>
      <c r="J182" s="18">
        <v>101800</v>
      </c>
      <c r="K182" s="18" t="s">
        <v>324</v>
      </c>
      <c r="L182" s="18">
        <v>10180005</v>
      </c>
      <c r="M182" s="18">
        <v>10180007</v>
      </c>
      <c r="N182" s="18" t="s">
        <v>397</v>
      </c>
      <c r="O182" s="18">
        <v>10202017</v>
      </c>
      <c r="P182" s="18">
        <v>0</v>
      </c>
      <c r="Q182" s="18">
        <v>3</v>
      </c>
      <c r="R182" s="18">
        <v>30</v>
      </c>
      <c r="S182" s="18">
        <v>0</v>
      </c>
      <c r="T182" s="18">
        <v>100</v>
      </c>
      <c r="U182" s="18" t="s">
        <v>338</v>
      </c>
      <c r="V182" s="18">
        <v>650</v>
      </c>
      <c r="W182" s="18">
        <v>650</v>
      </c>
      <c r="X182" s="18" t="s">
        <v>326</v>
      </c>
      <c r="Y182" s="18" t="s">
        <v>327</v>
      </c>
      <c r="Z182" s="18" t="s">
        <v>328</v>
      </c>
      <c r="AA182" s="18">
        <v>0</v>
      </c>
      <c r="AB182" s="18">
        <v>1</v>
      </c>
      <c r="AC182" s="18" t="b">
        <v>0</v>
      </c>
      <c r="AD182" s="18" t="s">
        <v>329</v>
      </c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 t="s">
        <v>339</v>
      </c>
      <c r="AZ182" s="18">
        <v>11600</v>
      </c>
      <c r="BA182" s="18" t="s">
        <v>395</v>
      </c>
      <c r="BB182" s="18" t="s">
        <v>328</v>
      </c>
      <c r="BC182" s="18">
        <v>10000</v>
      </c>
      <c r="BD182" s="18">
        <v>0</v>
      </c>
      <c r="BE182" s="18" t="s">
        <v>332</v>
      </c>
      <c r="BF182" s="18">
        <v>0</v>
      </c>
      <c r="BG182" s="18"/>
      <c r="BH182" s="18"/>
      <c r="BI182" s="18"/>
      <c r="BJ182" s="18"/>
      <c r="BK182" s="18"/>
      <c r="BL182" s="18"/>
      <c r="BM182" s="18">
        <v>21001206</v>
      </c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>
        <v>200</v>
      </c>
      <c r="GS182" s="18">
        <v>400</v>
      </c>
      <c r="GT182" s="18" t="s">
        <v>356</v>
      </c>
      <c r="GU182" s="18">
        <v>30045</v>
      </c>
      <c r="GV182" s="18" t="s">
        <v>339</v>
      </c>
      <c r="GW182" s="18" t="s">
        <v>339</v>
      </c>
      <c r="GX182" s="18" t="b">
        <v>1</v>
      </c>
      <c r="GY182" s="18">
        <v>8000</v>
      </c>
      <c r="GZ182" s="18" t="b">
        <v>0</v>
      </c>
      <c r="HA182" s="18">
        <v>0</v>
      </c>
      <c r="HB182" s="18">
        <v>0</v>
      </c>
      <c r="HC182" s="18">
        <v>0</v>
      </c>
      <c r="HD182" s="18">
        <v>0</v>
      </c>
      <c r="HE182" s="18" t="b">
        <v>0</v>
      </c>
      <c r="HF182" s="18">
        <v>0</v>
      </c>
      <c r="HG182" s="18">
        <v>10001</v>
      </c>
      <c r="HH182" s="18" t="s">
        <v>339</v>
      </c>
      <c r="HI182" s="18" t="s">
        <v>334</v>
      </c>
      <c r="HJ182" s="18">
        <v>0</v>
      </c>
      <c r="HK182" s="18">
        <v>0</v>
      </c>
      <c r="HL182" s="18">
        <v>0</v>
      </c>
      <c r="HM182" s="18">
        <v>0</v>
      </c>
      <c r="HN182" s="18" t="b">
        <v>0</v>
      </c>
    </row>
    <row r="183" spans="1:222">
      <c r="A183"/>
      <c r="B183" s="29" cm="1">
        <f t="array" ref="B183">10000000+INDEX(编号表!$B$1:$B$112,MATCH(D183,编号表!$A$1:$A$112,0))*10000+I183</f>
        <v>10180007</v>
      </c>
      <c r="C183" s="18" t="s">
        <v>396</v>
      </c>
      <c r="D183" s="18" t="s">
        <v>396</v>
      </c>
      <c r="E183" s="18" t="s">
        <v>322</v>
      </c>
      <c r="F183" s="18" t="s">
        <v>373</v>
      </c>
      <c r="G183" s="18" t="b">
        <v>0</v>
      </c>
      <c r="H183" s="18" t="b">
        <v>0</v>
      </c>
      <c r="I183" s="18">
        <v>7</v>
      </c>
      <c r="J183" s="18">
        <v>101800</v>
      </c>
      <c r="K183" s="18" t="s">
        <v>324</v>
      </c>
      <c r="L183" s="18">
        <v>10180006</v>
      </c>
      <c r="M183" s="18">
        <v>10180008</v>
      </c>
      <c r="N183" s="18" t="s">
        <v>397</v>
      </c>
      <c r="O183" s="18">
        <v>10202017</v>
      </c>
      <c r="P183" s="18">
        <v>0</v>
      </c>
      <c r="Q183" s="18">
        <v>3</v>
      </c>
      <c r="R183" s="18">
        <v>35</v>
      </c>
      <c r="S183" s="18">
        <v>0</v>
      </c>
      <c r="T183" s="18">
        <v>100</v>
      </c>
      <c r="U183" s="18" t="s">
        <v>338</v>
      </c>
      <c r="V183" s="18">
        <v>650</v>
      </c>
      <c r="W183" s="18">
        <v>650</v>
      </c>
      <c r="X183" s="18" t="s">
        <v>326</v>
      </c>
      <c r="Y183" s="18" t="s">
        <v>327</v>
      </c>
      <c r="Z183" s="18" t="s">
        <v>328</v>
      </c>
      <c r="AA183" s="18">
        <v>0</v>
      </c>
      <c r="AB183" s="18">
        <v>1</v>
      </c>
      <c r="AC183" s="18" t="b">
        <v>0</v>
      </c>
      <c r="AD183" s="18" t="s">
        <v>329</v>
      </c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 t="s">
        <v>339</v>
      </c>
      <c r="AZ183" s="18">
        <v>11700</v>
      </c>
      <c r="BA183" s="18" t="s">
        <v>395</v>
      </c>
      <c r="BB183" s="18" t="s">
        <v>328</v>
      </c>
      <c r="BC183" s="18">
        <v>10000</v>
      </c>
      <c r="BD183" s="18">
        <v>0</v>
      </c>
      <c r="BE183" s="18" t="s">
        <v>332</v>
      </c>
      <c r="BF183" s="18">
        <v>0</v>
      </c>
      <c r="BG183" s="18"/>
      <c r="BH183" s="18"/>
      <c r="BI183" s="18"/>
      <c r="BJ183" s="18"/>
      <c r="BK183" s="18"/>
      <c r="BL183" s="18"/>
      <c r="BM183" s="18">
        <v>21001207</v>
      </c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>
        <v>200</v>
      </c>
      <c r="GS183" s="18">
        <v>400</v>
      </c>
      <c r="GT183" s="18" t="s">
        <v>356</v>
      </c>
      <c r="GU183" s="18">
        <v>30045</v>
      </c>
      <c r="GV183" s="18" t="s">
        <v>339</v>
      </c>
      <c r="GW183" s="18" t="s">
        <v>339</v>
      </c>
      <c r="GX183" s="18" t="b">
        <v>1</v>
      </c>
      <c r="GY183" s="18">
        <v>8000</v>
      </c>
      <c r="GZ183" s="18" t="b">
        <v>0</v>
      </c>
      <c r="HA183" s="18">
        <v>0</v>
      </c>
      <c r="HB183" s="18">
        <v>0</v>
      </c>
      <c r="HC183" s="18">
        <v>0</v>
      </c>
      <c r="HD183" s="18">
        <v>0</v>
      </c>
      <c r="HE183" s="18" t="b">
        <v>0</v>
      </c>
      <c r="HF183" s="18">
        <v>0</v>
      </c>
      <c r="HG183" s="18">
        <v>10001</v>
      </c>
      <c r="HH183" s="18" t="s">
        <v>339</v>
      </c>
      <c r="HI183" s="18" t="s">
        <v>334</v>
      </c>
      <c r="HJ183" s="18">
        <v>0</v>
      </c>
      <c r="HK183" s="18">
        <v>0</v>
      </c>
      <c r="HL183" s="18">
        <v>0</v>
      </c>
      <c r="HM183" s="18">
        <v>0</v>
      </c>
      <c r="HN183" s="18" t="b">
        <v>0</v>
      </c>
    </row>
    <row r="184" spans="1:222">
      <c r="A184"/>
      <c r="B184" s="29" cm="1">
        <f t="array" ref="B184">10000000+INDEX(编号表!$B$1:$B$112,MATCH(D184,编号表!$A$1:$A$112,0))*10000+I184</f>
        <v>10180008</v>
      </c>
      <c r="C184" s="18" t="s">
        <v>396</v>
      </c>
      <c r="D184" s="18" t="s">
        <v>396</v>
      </c>
      <c r="E184" s="18" t="s">
        <v>322</v>
      </c>
      <c r="F184" s="18" t="s">
        <v>373</v>
      </c>
      <c r="G184" s="18" t="b">
        <v>0</v>
      </c>
      <c r="H184" s="18" t="b">
        <v>0</v>
      </c>
      <c r="I184" s="18">
        <v>8</v>
      </c>
      <c r="J184" s="18">
        <v>101800</v>
      </c>
      <c r="K184" s="18" t="s">
        <v>324</v>
      </c>
      <c r="L184" s="18">
        <v>10180007</v>
      </c>
      <c r="M184" s="18">
        <v>10180009</v>
      </c>
      <c r="N184" s="18" t="s">
        <v>397</v>
      </c>
      <c r="O184" s="18">
        <v>10202017</v>
      </c>
      <c r="P184" s="18">
        <v>0</v>
      </c>
      <c r="Q184" s="18">
        <v>3</v>
      </c>
      <c r="R184" s="18">
        <v>35</v>
      </c>
      <c r="S184" s="18">
        <v>0</v>
      </c>
      <c r="T184" s="18">
        <v>100</v>
      </c>
      <c r="U184" s="18" t="s">
        <v>338</v>
      </c>
      <c r="V184" s="18">
        <v>650</v>
      </c>
      <c r="W184" s="18">
        <v>650</v>
      </c>
      <c r="X184" s="18" t="s">
        <v>326</v>
      </c>
      <c r="Y184" s="18" t="s">
        <v>327</v>
      </c>
      <c r="Z184" s="18" t="s">
        <v>328</v>
      </c>
      <c r="AA184" s="18">
        <v>0</v>
      </c>
      <c r="AB184" s="18">
        <v>1</v>
      </c>
      <c r="AC184" s="18" t="b">
        <v>0</v>
      </c>
      <c r="AD184" s="18" t="s">
        <v>329</v>
      </c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 t="s">
        <v>339</v>
      </c>
      <c r="AZ184" s="18">
        <v>11800</v>
      </c>
      <c r="BA184" s="18" t="s">
        <v>395</v>
      </c>
      <c r="BB184" s="18" t="s">
        <v>328</v>
      </c>
      <c r="BC184" s="18">
        <v>10000</v>
      </c>
      <c r="BD184" s="18">
        <v>0</v>
      </c>
      <c r="BE184" s="18" t="s">
        <v>332</v>
      </c>
      <c r="BF184" s="18">
        <v>0</v>
      </c>
      <c r="BG184" s="18"/>
      <c r="BH184" s="18"/>
      <c r="BI184" s="18"/>
      <c r="BJ184" s="18"/>
      <c r="BK184" s="18"/>
      <c r="BL184" s="18"/>
      <c r="BM184" s="18">
        <v>21001208</v>
      </c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>
        <v>200</v>
      </c>
      <c r="GS184" s="18">
        <v>400</v>
      </c>
      <c r="GT184" s="18" t="s">
        <v>356</v>
      </c>
      <c r="GU184" s="18">
        <v>30045</v>
      </c>
      <c r="GV184" s="18" t="s">
        <v>339</v>
      </c>
      <c r="GW184" s="18" t="s">
        <v>339</v>
      </c>
      <c r="GX184" s="18" t="b">
        <v>1</v>
      </c>
      <c r="GY184" s="18">
        <v>8000</v>
      </c>
      <c r="GZ184" s="18" t="b">
        <v>0</v>
      </c>
      <c r="HA184" s="18">
        <v>0</v>
      </c>
      <c r="HB184" s="18">
        <v>0</v>
      </c>
      <c r="HC184" s="18">
        <v>0</v>
      </c>
      <c r="HD184" s="18">
        <v>0</v>
      </c>
      <c r="HE184" s="18" t="b">
        <v>0</v>
      </c>
      <c r="HF184" s="18">
        <v>0</v>
      </c>
      <c r="HG184" s="18">
        <v>10001</v>
      </c>
      <c r="HH184" s="18" t="s">
        <v>339</v>
      </c>
      <c r="HI184" s="18" t="s">
        <v>334</v>
      </c>
      <c r="HJ184" s="18">
        <v>0</v>
      </c>
      <c r="HK184" s="18">
        <v>0</v>
      </c>
      <c r="HL184" s="18">
        <v>0</v>
      </c>
      <c r="HM184" s="18">
        <v>0</v>
      </c>
      <c r="HN184" s="18" t="b">
        <v>0</v>
      </c>
    </row>
    <row r="185" spans="1:222">
      <c r="A185"/>
      <c r="B185" s="29" cm="1">
        <f t="array" ref="B185">10000000+INDEX(编号表!$B$1:$B$112,MATCH(D185,编号表!$A$1:$A$112,0))*10000+I185</f>
        <v>10180009</v>
      </c>
      <c r="C185" s="18" t="s">
        <v>396</v>
      </c>
      <c r="D185" s="18" t="s">
        <v>396</v>
      </c>
      <c r="E185" s="18" t="s">
        <v>322</v>
      </c>
      <c r="F185" s="18" t="s">
        <v>373</v>
      </c>
      <c r="G185" s="18" t="b">
        <v>0</v>
      </c>
      <c r="H185" s="18" t="b">
        <v>0</v>
      </c>
      <c r="I185" s="18">
        <v>9</v>
      </c>
      <c r="J185" s="18">
        <v>101800</v>
      </c>
      <c r="K185" s="18" t="s">
        <v>324</v>
      </c>
      <c r="L185" s="18">
        <v>10180008</v>
      </c>
      <c r="M185" s="18">
        <v>10180010</v>
      </c>
      <c r="N185" s="18" t="s">
        <v>397</v>
      </c>
      <c r="O185" s="18">
        <v>10202017</v>
      </c>
      <c r="P185" s="18">
        <v>0</v>
      </c>
      <c r="Q185" s="18">
        <v>3</v>
      </c>
      <c r="R185" s="18">
        <v>40</v>
      </c>
      <c r="S185" s="18">
        <v>0</v>
      </c>
      <c r="T185" s="18">
        <v>100</v>
      </c>
      <c r="U185" s="18" t="s">
        <v>338</v>
      </c>
      <c r="V185" s="18">
        <v>650</v>
      </c>
      <c r="W185" s="18">
        <v>650</v>
      </c>
      <c r="X185" s="18" t="s">
        <v>326</v>
      </c>
      <c r="Y185" s="18" t="s">
        <v>327</v>
      </c>
      <c r="Z185" s="18" t="s">
        <v>328</v>
      </c>
      <c r="AA185" s="18">
        <v>0</v>
      </c>
      <c r="AB185" s="18">
        <v>1</v>
      </c>
      <c r="AC185" s="18" t="b">
        <v>0</v>
      </c>
      <c r="AD185" s="18" t="s">
        <v>329</v>
      </c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 t="s">
        <v>339</v>
      </c>
      <c r="AZ185" s="18">
        <v>11900</v>
      </c>
      <c r="BA185" s="18" t="s">
        <v>395</v>
      </c>
      <c r="BB185" s="18" t="s">
        <v>328</v>
      </c>
      <c r="BC185" s="18">
        <v>10000</v>
      </c>
      <c r="BD185" s="18">
        <v>0</v>
      </c>
      <c r="BE185" s="18" t="s">
        <v>332</v>
      </c>
      <c r="BF185" s="18">
        <v>0</v>
      </c>
      <c r="BG185" s="18"/>
      <c r="BH185" s="18"/>
      <c r="BI185" s="18"/>
      <c r="BJ185" s="18"/>
      <c r="BK185" s="18"/>
      <c r="BL185" s="18"/>
      <c r="BM185" s="18">
        <v>21001209</v>
      </c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>
        <v>200</v>
      </c>
      <c r="GS185" s="18">
        <v>400</v>
      </c>
      <c r="GT185" s="18" t="s">
        <v>356</v>
      </c>
      <c r="GU185" s="18">
        <v>30045</v>
      </c>
      <c r="GV185" s="18" t="s">
        <v>339</v>
      </c>
      <c r="GW185" s="18" t="s">
        <v>339</v>
      </c>
      <c r="GX185" s="18" t="b">
        <v>1</v>
      </c>
      <c r="GY185" s="18">
        <v>8000</v>
      </c>
      <c r="GZ185" s="18" t="b">
        <v>0</v>
      </c>
      <c r="HA185" s="18">
        <v>0</v>
      </c>
      <c r="HB185" s="18">
        <v>0</v>
      </c>
      <c r="HC185" s="18">
        <v>0</v>
      </c>
      <c r="HD185" s="18">
        <v>0</v>
      </c>
      <c r="HE185" s="18" t="b">
        <v>0</v>
      </c>
      <c r="HF185" s="18">
        <v>0</v>
      </c>
      <c r="HG185" s="18">
        <v>10001</v>
      </c>
      <c r="HH185" s="18" t="s">
        <v>339</v>
      </c>
      <c r="HI185" s="18" t="s">
        <v>334</v>
      </c>
      <c r="HJ185" s="18">
        <v>0</v>
      </c>
      <c r="HK185" s="18">
        <v>0</v>
      </c>
      <c r="HL185" s="18">
        <v>0</v>
      </c>
      <c r="HM185" s="18">
        <v>0</v>
      </c>
      <c r="HN185" s="18" t="b">
        <v>0</v>
      </c>
    </row>
    <row r="186" spans="1:222">
      <c r="A186"/>
      <c r="B186" s="29" cm="1">
        <f t="array" ref="B186">10000000+INDEX(编号表!$B$1:$B$112,MATCH(D186,编号表!$A$1:$A$112,0))*10000+I186</f>
        <v>10180010</v>
      </c>
      <c r="C186" s="18" t="s">
        <v>396</v>
      </c>
      <c r="D186" s="18" t="s">
        <v>396</v>
      </c>
      <c r="E186" s="18" t="s">
        <v>322</v>
      </c>
      <c r="F186" s="18" t="s">
        <v>373</v>
      </c>
      <c r="G186" s="18" t="b">
        <v>0</v>
      </c>
      <c r="H186" s="18" t="b">
        <v>0</v>
      </c>
      <c r="I186" s="18">
        <v>10</v>
      </c>
      <c r="J186" s="18">
        <v>101800</v>
      </c>
      <c r="K186" s="18" t="s">
        <v>324</v>
      </c>
      <c r="L186" s="18">
        <v>10180009</v>
      </c>
      <c r="M186" s="18">
        <v>0</v>
      </c>
      <c r="N186" s="18" t="s">
        <v>397</v>
      </c>
      <c r="O186" s="18">
        <v>10202017</v>
      </c>
      <c r="P186" s="18">
        <v>0</v>
      </c>
      <c r="Q186" s="18">
        <v>3</v>
      </c>
      <c r="R186" s="18">
        <v>40</v>
      </c>
      <c r="S186" s="18">
        <v>0</v>
      </c>
      <c r="T186" s="18">
        <v>0</v>
      </c>
      <c r="U186" s="18" t="s">
        <v>338</v>
      </c>
      <c r="V186" s="18">
        <v>650</v>
      </c>
      <c r="W186" s="18">
        <v>650</v>
      </c>
      <c r="X186" s="18" t="s">
        <v>326</v>
      </c>
      <c r="Y186" s="18" t="s">
        <v>327</v>
      </c>
      <c r="Z186" s="18" t="s">
        <v>328</v>
      </c>
      <c r="AA186" s="18">
        <v>0</v>
      </c>
      <c r="AB186" s="18">
        <v>1</v>
      </c>
      <c r="AC186" s="18" t="b">
        <v>0</v>
      </c>
      <c r="AD186" s="18" t="s">
        <v>329</v>
      </c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 t="s">
        <v>339</v>
      </c>
      <c r="AZ186" s="18">
        <v>12000</v>
      </c>
      <c r="BA186" s="18" t="s">
        <v>395</v>
      </c>
      <c r="BB186" s="18" t="s">
        <v>328</v>
      </c>
      <c r="BC186" s="18">
        <v>10000</v>
      </c>
      <c r="BD186" s="18">
        <v>0</v>
      </c>
      <c r="BE186" s="18" t="s">
        <v>332</v>
      </c>
      <c r="BF186" s="18">
        <v>0</v>
      </c>
      <c r="BG186" s="18"/>
      <c r="BH186" s="18"/>
      <c r="BI186" s="18"/>
      <c r="BJ186" s="18"/>
      <c r="BK186" s="18"/>
      <c r="BL186" s="18"/>
      <c r="BM186" s="18">
        <v>21001210</v>
      </c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>
        <v>200</v>
      </c>
      <c r="GS186" s="18">
        <v>400</v>
      </c>
      <c r="GT186" s="18" t="s">
        <v>356</v>
      </c>
      <c r="GU186" s="18">
        <v>30045</v>
      </c>
      <c r="GV186" s="18" t="s">
        <v>339</v>
      </c>
      <c r="GW186" s="18" t="s">
        <v>339</v>
      </c>
      <c r="GX186" s="18" t="b">
        <v>1</v>
      </c>
      <c r="GY186" s="18">
        <v>8000</v>
      </c>
      <c r="GZ186" s="18" t="b">
        <v>0</v>
      </c>
      <c r="HA186" s="18">
        <v>0</v>
      </c>
      <c r="HB186" s="18">
        <v>0</v>
      </c>
      <c r="HC186" s="18">
        <v>0</v>
      </c>
      <c r="HD186" s="18">
        <v>0</v>
      </c>
      <c r="HE186" s="18" t="b">
        <v>0</v>
      </c>
      <c r="HF186" s="18">
        <v>0</v>
      </c>
      <c r="HG186" s="18">
        <v>10001</v>
      </c>
      <c r="HH186" s="18" t="s">
        <v>339</v>
      </c>
      <c r="HI186" s="18" t="s">
        <v>334</v>
      </c>
      <c r="HJ186" s="18">
        <v>0</v>
      </c>
      <c r="HK186" s="18">
        <v>0</v>
      </c>
      <c r="HL186" s="18">
        <v>0</v>
      </c>
      <c r="HM186" s="18">
        <v>0</v>
      </c>
      <c r="HN186" s="18" t="b">
        <v>0</v>
      </c>
    </row>
    <row r="187" spans="1:222">
      <c r="A187"/>
      <c r="B187" s="29" cm="1">
        <f t="array" ref="B187">10000000+INDEX(编号表!$B$1:$B$112,MATCH(D187,编号表!$A$1:$A$112,0))*10000+I187</f>
        <v>10190001</v>
      </c>
      <c r="C187" s="18" t="s">
        <v>398</v>
      </c>
      <c r="D187" s="18" t="s">
        <v>398</v>
      </c>
      <c r="E187" s="18" t="s">
        <v>322</v>
      </c>
      <c r="F187" s="18" t="s">
        <v>361</v>
      </c>
      <c r="G187" s="18" t="b">
        <v>0</v>
      </c>
      <c r="H187" s="18" t="b">
        <v>0</v>
      </c>
      <c r="I187" s="18">
        <v>1</v>
      </c>
      <c r="J187" s="18">
        <v>101900</v>
      </c>
      <c r="K187" s="18" t="s">
        <v>324</v>
      </c>
      <c r="L187" s="18">
        <v>0</v>
      </c>
      <c r="M187" s="18">
        <v>10190002</v>
      </c>
      <c r="N187" s="18" t="s">
        <v>399</v>
      </c>
      <c r="O187" s="18">
        <v>10202018</v>
      </c>
      <c r="P187" s="18">
        <v>0</v>
      </c>
      <c r="Q187" s="18">
        <v>0</v>
      </c>
      <c r="R187" s="18">
        <v>1</v>
      </c>
      <c r="S187" s="18">
        <v>0</v>
      </c>
      <c r="T187" s="18">
        <v>100</v>
      </c>
      <c r="U187" s="18" t="s">
        <v>338</v>
      </c>
      <c r="V187" s="18">
        <v>650</v>
      </c>
      <c r="W187" s="18">
        <v>650</v>
      </c>
      <c r="X187" s="18" t="s">
        <v>326</v>
      </c>
      <c r="Y187" s="18" t="s">
        <v>327</v>
      </c>
      <c r="Z187" s="18" t="s">
        <v>328</v>
      </c>
      <c r="AA187" s="18">
        <v>0</v>
      </c>
      <c r="AB187" s="18">
        <v>1</v>
      </c>
      <c r="AC187" s="18" t="b">
        <v>0</v>
      </c>
      <c r="AD187" s="18" t="s">
        <v>329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 t="s">
        <v>339</v>
      </c>
      <c r="AZ187" s="18">
        <v>10000</v>
      </c>
      <c r="BA187" s="18" t="s">
        <v>395</v>
      </c>
      <c r="BB187" s="18" t="s">
        <v>328</v>
      </c>
      <c r="BC187" s="18">
        <v>10000</v>
      </c>
      <c r="BD187" s="18">
        <v>0</v>
      </c>
      <c r="BE187" s="18" t="s">
        <v>332</v>
      </c>
      <c r="BF187" s="18">
        <v>0</v>
      </c>
      <c r="BG187" s="18"/>
      <c r="BH187" s="18"/>
      <c r="BI187" s="18"/>
      <c r="BJ187" s="18"/>
      <c r="BK187" s="18"/>
      <c r="BL187" s="18"/>
      <c r="BM187" s="18">
        <v>21001301</v>
      </c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>
        <v>200</v>
      </c>
      <c r="GS187" s="18">
        <v>400</v>
      </c>
      <c r="GT187" s="18" t="s">
        <v>356</v>
      </c>
      <c r="GU187" s="18">
        <v>30017</v>
      </c>
      <c r="GV187" s="18" t="s">
        <v>339</v>
      </c>
      <c r="GW187" s="18" t="s">
        <v>339</v>
      </c>
      <c r="GX187" s="18" t="b">
        <v>1</v>
      </c>
      <c r="GY187" s="18">
        <v>9000</v>
      </c>
      <c r="GZ187" s="18" t="b">
        <v>0</v>
      </c>
      <c r="HA187" s="18">
        <v>0</v>
      </c>
      <c r="HB187" s="18">
        <v>0</v>
      </c>
      <c r="HC187" s="18">
        <v>0</v>
      </c>
      <c r="HD187" s="18">
        <v>0</v>
      </c>
      <c r="HE187" s="18" t="b">
        <v>0</v>
      </c>
      <c r="HF187" s="18">
        <v>0</v>
      </c>
      <c r="HG187" s="18">
        <v>10001</v>
      </c>
      <c r="HH187" s="18" t="s">
        <v>339</v>
      </c>
      <c r="HI187" s="18" t="s">
        <v>334</v>
      </c>
      <c r="HJ187" s="18">
        <v>0</v>
      </c>
      <c r="HK187" s="18">
        <v>0</v>
      </c>
      <c r="HL187" s="18">
        <v>0</v>
      </c>
      <c r="HM187" s="18">
        <v>0</v>
      </c>
      <c r="HN187" s="18" t="b">
        <v>0</v>
      </c>
    </row>
    <row r="188" spans="1:222">
      <c r="A188"/>
      <c r="B188" s="29" cm="1">
        <f t="array" ref="B188">10000000+INDEX(编号表!$B$1:$B$112,MATCH(D188,编号表!$A$1:$A$112,0))*10000+I188</f>
        <v>10190002</v>
      </c>
      <c r="C188" s="18" t="s">
        <v>398</v>
      </c>
      <c r="D188" s="18" t="s">
        <v>398</v>
      </c>
      <c r="E188" s="18" t="s">
        <v>322</v>
      </c>
      <c r="F188" s="18" t="s">
        <v>361</v>
      </c>
      <c r="G188" s="18" t="b">
        <v>0</v>
      </c>
      <c r="H188" s="18" t="b">
        <v>0</v>
      </c>
      <c r="I188" s="18">
        <v>2</v>
      </c>
      <c r="J188" s="18">
        <v>101900</v>
      </c>
      <c r="K188" s="18" t="s">
        <v>324</v>
      </c>
      <c r="L188" s="18">
        <v>10190001</v>
      </c>
      <c r="M188" s="18">
        <v>10190003</v>
      </c>
      <c r="N188" s="18" t="s">
        <v>399</v>
      </c>
      <c r="O188" s="18">
        <v>10202018</v>
      </c>
      <c r="P188" s="18">
        <v>0</v>
      </c>
      <c r="Q188" s="18">
        <v>1</v>
      </c>
      <c r="R188" s="18">
        <v>7</v>
      </c>
      <c r="S188" s="18">
        <v>0</v>
      </c>
      <c r="T188" s="18">
        <v>100</v>
      </c>
      <c r="U188" s="18" t="s">
        <v>338</v>
      </c>
      <c r="V188" s="18">
        <v>650</v>
      </c>
      <c r="W188" s="18">
        <v>650</v>
      </c>
      <c r="X188" s="18" t="s">
        <v>326</v>
      </c>
      <c r="Y188" s="18" t="s">
        <v>327</v>
      </c>
      <c r="Z188" s="18" t="s">
        <v>328</v>
      </c>
      <c r="AA188" s="18">
        <v>0</v>
      </c>
      <c r="AB188" s="18">
        <v>1</v>
      </c>
      <c r="AC188" s="18" t="b">
        <v>0</v>
      </c>
      <c r="AD188" s="18" t="s">
        <v>329</v>
      </c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 t="s">
        <v>339</v>
      </c>
      <c r="AZ188" s="18">
        <v>10400</v>
      </c>
      <c r="BA188" s="18" t="s">
        <v>395</v>
      </c>
      <c r="BB188" s="18" t="s">
        <v>328</v>
      </c>
      <c r="BC188" s="18">
        <v>10000</v>
      </c>
      <c r="BD188" s="18">
        <v>0</v>
      </c>
      <c r="BE188" s="18" t="s">
        <v>332</v>
      </c>
      <c r="BF188" s="18">
        <v>0</v>
      </c>
      <c r="BG188" s="18"/>
      <c r="BH188" s="18"/>
      <c r="BI188" s="18"/>
      <c r="BJ188" s="18"/>
      <c r="BK188" s="18"/>
      <c r="BL188" s="18"/>
      <c r="BM188" s="18">
        <v>21001302</v>
      </c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>
        <v>200</v>
      </c>
      <c r="GS188" s="18">
        <v>400</v>
      </c>
      <c r="GT188" s="18" t="s">
        <v>356</v>
      </c>
      <c r="GU188" s="18">
        <v>30017</v>
      </c>
      <c r="GV188" s="18" t="s">
        <v>339</v>
      </c>
      <c r="GW188" s="18" t="s">
        <v>339</v>
      </c>
      <c r="GX188" s="18" t="b">
        <v>1</v>
      </c>
      <c r="GY188" s="18">
        <v>9000</v>
      </c>
      <c r="GZ188" s="18" t="b">
        <v>0</v>
      </c>
      <c r="HA188" s="18">
        <v>0</v>
      </c>
      <c r="HB188" s="18">
        <v>0</v>
      </c>
      <c r="HC188" s="18">
        <v>0</v>
      </c>
      <c r="HD188" s="18">
        <v>0</v>
      </c>
      <c r="HE188" s="18" t="b">
        <v>0</v>
      </c>
      <c r="HF188" s="18">
        <v>0</v>
      </c>
      <c r="HG188" s="18">
        <v>10001</v>
      </c>
      <c r="HH188" s="18" t="s">
        <v>339</v>
      </c>
      <c r="HI188" s="18" t="s">
        <v>334</v>
      </c>
      <c r="HJ188" s="18">
        <v>0</v>
      </c>
      <c r="HK188" s="18">
        <v>0</v>
      </c>
      <c r="HL188" s="18">
        <v>0</v>
      </c>
      <c r="HM188" s="18">
        <v>0</v>
      </c>
      <c r="HN188" s="18" t="b">
        <v>0</v>
      </c>
    </row>
    <row r="189" spans="1:222">
      <c r="A189"/>
      <c r="B189" s="29" cm="1">
        <f t="array" ref="B189">10000000+INDEX(编号表!$B$1:$B$112,MATCH(D189,编号表!$A$1:$A$112,0))*10000+I189</f>
        <v>10190003</v>
      </c>
      <c r="C189" s="18" t="s">
        <v>398</v>
      </c>
      <c r="D189" s="18" t="s">
        <v>398</v>
      </c>
      <c r="E189" s="18" t="s">
        <v>322</v>
      </c>
      <c r="F189" s="18" t="s">
        <v>361</v>
      </c>
      <c r="G189" s="18" t="b">
        <v>0</v>
      </c>
      <c r="H189" s="18" t="b">
        <v>0</v>
      </c>
      <c r="I189" s="18">
        <v>3</v>
      </c>
      <c r="J189" s="18">
        <v>101900</v>
      </c>
      <c r="K189" s="18" t="s">
        <v>324</v>
      </c>
      <c r="L189" s="18">
        <v>10190002</v>
      </c>
      <c r="M189" s="18">
        <v>10190004</v>
      </c>
      <c r="N189" s="18" t="s">
        <v>399</v>
      </c>
      <c r="O189" s="18">
        <v>10202018</v>
      </c>
      <c r="P189" s="18">
        <v>0</v>
      </c>
      <c r="Q189" s="18">
        <v>2</v>
      </c>
      <c r="R189" s="18">
        <v>11</v>
      </c>
      <c r="S189" s="18">
        <v>0</v>
      </c>
      <c r="T189" s="18">
        <v>100</v>
      </c>
      <c r="U189" s="18" t="s">
        <v>338</v>
      </c>
      <c r="V189" s="18">
        <v>650</v>
      </c>
      <c r="W189" s="18">
        <v>650</v>
      </c>
      <c r="X189" s="18" t="s">
        <v>326</v>
      </c>
      <c r="Y189" s="18" t="s">
        <v>327</v>
      </c>
      <c r="Z189" s="18" t="s">
        <v>328</v>
      </c>
      <c r="AA189" s="18">
        <v>0</v>
      </c>
      <c r="AB189" s="18">
        <v>1</v>
      </c>
      <c r="AC189" s="18" t="b">
        <v>0</v>
      </c>
      <c r="AD189" s="18" t="s">
        <v>329</v>
      </c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 t="s">
        <v>339</v>
      </c>
      <c r="AZ189" s="18">
        <v>10800</v>
      </c>
      <c r="BA189" s="18" t="s">
        <v>395</v>
      </c>
      <c r="BB189" s="18" t="s">
        <v>328</v>
      </c>
      <c r="BC189" s="18">
        <v>10000</v>
      </c>
      <c r="BD189" s="18">
        <v>0</v>
      </c>
      <c r="BE189" s="18" t="s">
        <v>332</v>
      </c>
      <c r="BF189" s="18">
        <v>0</v>
      </c>
      <c r="BG189" s="18"/>
      <c r="BH189" s="18"/>
      <c r="BI189" s="18"/>
      <c r="BJ189" s="18"/>
      <c r="BK189" s="18"/>
      <c r="BL189" s="18"/>
      <c r="BM189" s="18">
        <v>21001303</v>
      </c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>
        <v>200</v>
      </c>
      <c r="GS189" s="18">
        <v>400</v>
      </c>
      <c r="GT189" s="18" t="s">
        <v>356</v>
      </c>
      <c r="GU189" s="18">
        <v>30017</v>
      </c>
      <c r="GV189" s="18" t="s">
        <v>339</v>
      </c>
      <c r="GW189" s="18" t="s">
        <v>339</v>
      </c>
      <c r="GX189" s="18" t="b">
        <v>1</v>
      </c>
      <c r="GY189" s="18">
        <v>9000</v>
      </c>
      <c r="GZ189" s="18" t="b">
        <v>0</v>
      </c>
      <c r="HA189" s="18">
        <v>0</v>
      </c>
      <c r="HB189" s="18">
        <v>0</v>
      </c>
      <c r="HC189" s="18">
        <v>0</v>
      </c>
      <c r="HD189" s="18">
        <v>0</v>
      </c>
      <c r="HE189" s="18" t="b">
        <v>0</v>
      </c>
      <c r="HF189" s="18">
        <v>0</v>
      </c>
      <c r="HG189" s="18">
        <v>10001</v>
      </c>
      <c r="HH189" s="18" t="s">
        <v>339</v>
      </c>
      <c r="HI189" s="18" t="s">
        <v>334</v>
      </c>
      <c r="HJ189" s="18">
        <v>0</v>
      </c>
      <c r="HK189" s="18">
        <v>0</v>
      </c>
      <c r="HL189" s="18">
        <v>0</v>
      </c>
      <c r="HM189" s="18">
        <v>0</v>
      </c>
      <c r="HN189" s="18" t="b">
        <v>0</v>
      </c>
    </row>
    <row r="190" spans="1:222">
      <c r="A190"/>
      <c r="B190" s="29" cm="1">
        <f t="array" ref="B190">10000000+INDEX(编号表!$B$1:$B$112,MATCH(D190,编号表!$A$1:$A$112,0))*10000+I190</f>
        <v>10190004</v>
      </c>
      <c r="C190" s="18" t="s">
        <v>398</v>
      </c>
      <c r="D190" s="18" t="s">
        <v>398</v>
      </c>
      <c r="E190" s="18" t="s">
        <v>322</v>
      </c>
      <c r="F190" s="18" t="s">
        <v>361</v>
      </c>
      <c r="G190" s="18" t="b">
        <v>0</v>
      </c>
      <c r="H190" s="18" t="b">
        <v>0</v>
      </c>
      <c r="I190" s="18">
        <v>4</v>
      </c>
      <c r="J190" s="18">
        <v>101900</v>
      </c>
      <c r="K190" s="18" t="s">
        <v>324</v>
      </c>
      <c r="L190" s="18">
        <v>10190003</v>
      </c>
      <c r="M190" s="18">
        <v>10190005</v>
      </c>
      <c r="N190" s="18" t="s">
        <v>399</v>
      </c>
      <c r="O190" s="18">
        <v>10202018</v>
      </c>
      <c r="P190" s="18">
        <v>0</v>
      </c>
      <c r="Q190" s="18">
        <v>3</v>
      </c>
      <c r="R190" s="18">
        <v>16</v>
      </c>
      <c r="S190" s="18">
        <v>0</v>
      </c>
      <c r="T190" s="18">
        <v>100</v>
      </c>
      <c r="U190" s="18" t="s">
        <v>338</v>
      </c>
      <c r="V190" s="18">
        <v>650</v>
      </c>
      <c r="W190" s="18">
        <v>650</v>
      </c>
      <c r="X190" s="18" t="s">
        <v>326</v>
      </c>
      <c r="Y190" s="18" t="s">
        <v>327</v>
      </c>
      <c r="Z190" s="18" t="s">
        <v>328</v>
      </c>
      <c r="AA190" s="18">
        <v>0</v>
      </c>
      <c r="AB190" s="18">
        <v>1</v>
      </c>
      <c r="AC190" s="18" t="b">
        <v>0</v>
      </c>
      <c r="AD190" s="18" t="s">
        <v>329</v>
      </c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 t="s">
        <v>339</v>
      </c>
      <c r="AZ190" s="18">
        <v>11200</v>
      </c>
      <c r="BA190" s="18" t="s">
        <v>395</v>
      </c>
      <c r="BB190" s="18" t="s">
        <v>328</v>
      </c>
      <c r="BC190" s="18">
        <v>10000</v>
      </c>
      <c r="BD190" s="18">
        <v>0</v>
      </c>
      <c r="BE190" s="18" t="s">
        <v>332</v>
      </c>
      <c r="BF190" s="18">
        <v>0</v>
      </c>
      <c r="BG190" s="18"/>
      <c r="BH190" s="18"/>
      <c r="BI190" s="18"/>
      <c r="BJ190" s="18"/>
      <c r="BK190" s="18"/>
      <c r="BL190" s="18"/>
      <c r="BM190" s="18">
        <v>21001304</v>
      </c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>
        <v>200</v>
      </c>
      <c r="GS190" s="18">
        <v>400</v>
      </c>
      <c r="GT190" s="18" t="s">
        <v>356</v>
      </c>
      <c r="GU190" s="18">
        <v>30017</v>
      </c>
      <c r="GV190" s="18" t="s">
        <v>339</v>
      </c>
      <c r="GW190" s="18" t="s">
        <v>339</v>
      </c>
      <c r="GX190" s="18" t="b">
        <v>1</v>
      </c>
      <c r="GY190" s="18">
        <v>9000</v>
      </c>
      <c r="GZ190" s="18" t="b">
        <v>0</v>
      </c>
      <c r="HA190" s="18">
        <v>0</v>
      </c>
      <c r="HB190" s="18">
        <v>0</v>
      </c>
      <c r="HC190" s="18">
        <v>0</v>
      </c>
      <c r="HD190" s="18">
        <v>0</v>
      </c>
      <c r="HE190" s="18" t="b">
        <v>0</v>
      </c>
      <c r="HF190" s="18">
        <v>0</v>
      </c>
      <c r="HG190" s="18">
        <v>10001</v>
      </c>
      <c r="HH190" s="18" t="s">
        <v>339</v>
      </c>
      <c r="HI190" s="18" t="s">
        <v>334</v>
      </c>
      <c r="HJ190" s="18">
        <v>0</v>
      </c>
      <c r="HK190" s="18">
        <v>0</v>
      </c>
      <c r="HL190" s="18">
        <v>0</v>
      </c>
      <c r="HM190" s="18">
        <v>0</v>
      </c>
      <c r="HN190" s="18" t="b">
        <v>0</v>
      </c>
    </row>
    <row r="191" spans="1:222">
      <c r="A191"/>
      <c r="B191" s="29" cm="1">
        <f t="array" ref="B191">10000000+INDEX(编号表!$B$1:$B$112,MATCH(D191,编号表!$A$1:$A$112,0))*10000+I191</f>
        <v>10190005</v>
      </c>
      <c r="C191" s="18" t="s">
        <v>398</v>
      </c>
      <c r="D191" s="18" t="s">
        <v>398</v>
      </c>
      <c r="E191" s="18" t="s">
        <v>322</v>
      </c>
      <c r="F191" s="18" t="s">
        <v>361</v>
      </c>
      <c r="G191" s="18" t="b">
        <v>0</v>
      </c>
      <c r="H191" s="18" t="b">
        <v>0</v>
      </c>
      <c r="I191" s="18">
        <v>5</v>
      </c>
      <c r="J191" s="18">
        <v>101900</v>
      </c>
      <c r="K191" s="18" t="s">
        <v>324</v>
      </c>
      <c r="L191" s="18">
        <v>10190004</v>
      </c>
      <c r="M191" s="18">
        <v>10190006</v>
      </c>
      <c r="N191" s="18" t="s">
        <v>399</v>
      </c>
      <c r="O191" s="18">
        <v>10202018</v>
      </c>
      <c r="P191" s="18">
        <v>0</v>
      </c>
      <c r="Q191" s="18">
        <v>3</v>
      </c>
      <c r="R191" s="18">
        <v>25</v>
      </c>
      <c r="S191" s="18">
        <v>0</v>
      </c>
      <c r="T191" s="18">
        <v>100</v>
      </c>
      <c r="U191" s="18" t="s">
        <v>338</v>
      </c>
      <c r="V191" s="18">
        <v>650</v>
      </c>
      <c r="W191" s="18">
        <v>650</v>
      </c>
      <c r="X191" s="18" t="s">
        <v>326</v>
      </c>
      <c r="Y191" s="18" t="s">
        <v>327</v>
      </c>
      <c r="Z191" s="18" t="s">
        <v>328</v>
      </c>
      <c r="AA191" s="18">
        <v>0</v>
      </c>
      <c r="AB191" s="18">
        <v>1</v>
      </c>
      <c r="AC191" s="18" t="b">
        <v>0</v>
      </c>
      <c r="AD191" s="18" t="s">
        <v>329</v>
      </c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 t="s">
        <v>339</v>
      </c>
      <c r="AZ191" s="18">
        <v>11300</v>
      </c>
      <c r="BA191" s="18" t="s">
        <v>395</v>
      </c>
      <c r="BB191" s="18" t="s">
        <v>328</v>
      </c>
      <c r="BC191" s="18">
        <v>10000</v>
      </c>
      <c r="BD191" s="18">
        <v>0</v>
      </c>
      <c r="BE191" s="18" t="s">
        <v>332</v>
      </c>
      <c r="BF191" s="18">
        <v>0</v>
      </c>
      <c r="BG191" s="18"/>
      <c r="BH191" s="18"/>
      <c r="BI191" s="18"/>
      <c r="BJ191" s="18"/>
      <c r="BK191" s="18"/>
      <c r="BL191" s="18"/>
      <c r="BM191" s="18">
        <v>21001305</v>
      </c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>
        <v>200</v>
      </c>
      <c r="GS191" s="18">
        <v>400</v>
      </c>
      <c r="GT191" s="18" t="s">
        <v>356</v>
      </c>
      <c r="GU191" s="18">
        <v>30017</v>
      </c>
      <c r="GV191" s="18" t="s">
        <v>339</v>
      </c>
      <c r="GW191" s="18" t="s">
        <v>339</v>
      </c>
      <c r="GX191" s="18" t="b">
        <v>1</v>
      </c>
      <c r="GY191" s="18">
        <v>9000</v>
      </c>
      <c r="GZ191" s="18" t="b">
        <v>0</v>
      </c>
      <c r="HA191" s="18">
        <v>0</v>
      </c>
      <c r="HB191" s="18">
        <v>0</v>
      </c>
      <c r="HC191" s="18">
        <v>0</v>
      </c>
      <c r="HD191" s="18">
        <v>0</v>
      </c>
      <c r="HE191" s="18" t="b">
        <v>0</v>
      </c>
      <c r="HF191" s="18">
        <v>0</v>
      </c>
      <c r="HG191" s="18">
        <v>10001</v>
      </c>
      <c r="HH191" s="18" t="s">
        <v>339</v>
      </c>
      <c r="HI191" s="18" t="s">
        <v>334</v>
      </c>
      <c r="HJ191" s="18">
        <v>0</v>
      </c>
      <c r="HK191" s="18">
        <v>0</v>
      </c>
      <c r="HL191" s="18">
        <v>0</v>
      </c>
      <c r="HM191" s="18">
        <v>0</v>
      </c>
      <c r="HN191" s="18" t="b">
        <v>0</v>
      </c>
    </row>
    <row r="192" spans="1:222">
      <c r="A192"/>
      <c r="B192" s="29" cm="1">
        <f t="array" ref="B192">10000000+INDEX(编号表!$B$1:$B$112,MATCH(D192,编号表!$A$1:$A$112,0))*10000+I192</f>
        <v>10190006</v>
      </c>
      <c r="C192" s="18" t="s">
        <v>398</v>
      </c>
      <c r="D192" s="18" t="s">
        <v>398</v>
      </c>
      <c r="E192" s="18" t="s">
        <v>322</v>
      </c>
      <c r="F192" s="18" t="s">
        <v>361</v>
      </c>
      <c r="G192" s="18" t="b">
        <v>0</v>
      </c>
      <c r="H192" s="18" t="b">
        <v>0</v>
      </c>
      <c r="I192" s="18">
        <v>6</v>
      </c>
      <c r="J192" s="18">
        <v>101900</v>
      </c>
      <c r="K192" s="18" t="s">
        <v>324</v>
      </c>
      <c r="L192" s="18">
        <v>10190005</v>
      </c>
      <c r="M192" s="18">
        <v>10190007</v>
      </c>
      <c r="N192" s="18" t="s">
        <v>399</v>
      </c>
      <c r="O192" s="18">
        <v>10202018</v>
      </c>
      <c r="P192" s="18">
        <v>0</v>
      </c>
      <c r="Q192" s="18">
        <v>3</v>
      </c>
      <c r="R192" s="18">
        <v>30</v>
      </c>
      <c r="S192" s="18">
        <v>0</v>
      </c>
      <c r="T192" s="18">
        <v>100</v>
      </c>
      <c r="U192" s="18" t="s">
        <v>338</v>
      </c>
      <c r="V192" s="18">
        <v>650</v>
      </c>
      <c r="W192" s="18">
        <v>650</v>
      </c>
      <c r="X192" s="18" t="s">
        <v>326</v>
      </c>
      <c r="Y192" s="18" t="s">
        <v>327</v>
      </c>
      <c r="Z192" s="18" t="s">
        <v>328</v>
      </c>
      <c r="AA192" s="18">
        <v>0</v>
      </c>
      <c r="AB192" s="18">
        <v>1</v>
      </c>
      <c r="AC192" s="18" t="b">
        <v>0</v>
      </c>
      <c r="AD192" s="18" t="s">
        <v>329</v>
      </c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 t="s">
        <v>339</v>
      </c>
      <c r="AZ192" s="18">
        <v>11600</v>
      </c>
      <c r="BA192" s="18" t="s">
        <v>395</v>
      </c>
      <c r="BB192" s="18" t="s">
        <v>328</v>
      </c>
      <c r="BC192" s="18">
        <v>10000</v>
      </c>
      <c r="BD192" s="18">
        <v>0</v>
      </c>
      <c r="BE192" s="18" t="s">
        <v>332</v>
      </c>
      <c r="BF192" s="18">
        <v>0</v>
      </c>
      <c r="BG192" s="18"/>
      <c r="BH192" s="18"/>
      <c r="BI192" s="18"/>
      <c r="BJ192" s="18"/>
      <c r="BK192" s="18"/>
      <c r="BL192" s="18"/>
      <c r="BM192" s="18">
        <v>21001306</v>
      </c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>
        <v>200</v>
      </c>
      <c r="GS192" s="18">
        <v>400</v>
      </c>
      <c r="GT192" s="18" t="s">
        <v>356</v>
      </c>
      <c r="GU192" s="18">
        <v>30017</v>
      </c>
      <c r="GV192" s="18" t="s">
        <v>339</v>
      </c>
      <c r="GW192" s="18" t="s">
        <v>339</v>
      </c>
      <c r="GX192" s="18" t="b">
        <v>1</v>
      </c>
      <c r="GY192" s="18">
        <v>9000</v>
      </c>
      <c r="GZ192" s="18" t="b">
        <v>0</v>
      </c>
      <c r="HA192" s="18">
        <v>0</v>
      </c>
      <c r="HB192" s="18">
        <v>0</v>
      </c>
      <c r="HC192" s="18">
        <v>0</v>
      </c>
      <c r="HD192" s="18">
        <v>0</v>
      </c>
      <c r="HE192" s="18" t="b">
        <v>0</v>
      </c>
      <c r="HF192" s="18">
        <v>0</v>
      </c>
      <c r="HG192" s="18">
        <v>10001</v>
      </c>
      <c r="HH192" s="18" t="s">
        <v>339</v>
      </c>
      <c r="HI192" s="18" t="s">
        <v>334</v>
      </c>
      <c r="HJ192" s="18">
        <v>0</v>
      </c>
      <c r="HK192" s="18">
        <v>0</v>
      </c>
      <c r="HL192" s="18">
        <v>0</v>
      </c>
      <c r="HM192" s="18">
        <v>0</v>
      </c>
      <c r="HN192" s="18" t="b">
        <v>0</v>
      </c>
    </row>
    <row r="193" spans="1:222">
      <c r="A193"/>
      <c r="B193" s="29" cm="1">
        <f t="array" ref="B193">10000000+INDEX(编号表!$B$1:$B$112,MATCH(D193,编号表!$A$1:$A$112,0))*10000+I193</f>
        <v>10190007</v>
      </c>
      <c r="C193" s="18" t="s">
        <v>398</v>
      </c>
      <c r="D193" s="18" t="s">
        <v>398</v>
      </c>
      <c r="E193" s="18" t="s">
        <v>322</v>
      </c>
      <c r="F193" s="18" t="s">
        <v>361</v>
      </c>
      <c r="G193" s="18" t="b">
        <v>0</v>
      </c>
      <c r="H193" s="18" t="b">
        <v>0</v>
      </c>
      <c r="I193" s="18">
        <v>7</v>
      </c>
      <c r="J193" s="18">
        <v>101900</v>
      </c>
      <c r="K193" s="18" t="s">
        <v>324</v>
      </c>
      <c r="L193" s="18">
        <v>10190006</v>
      </c>
      <c r="M193" s="18">
        <v>10190008</v>
      </c>
      <c r="N193" s="18" t="s">
        <v>399</v>
      </c>
      <c r="O193" s="18">
        <v>10202018</v>
      </c>
      <c r="P193" s="18">
        <v>0</v>
      </c>
      <c r="Q193" s="18">
        <v>3</v>
      </c>
      <c r="R193" s="18">
        <v>35</v>
      </c>
      <c r="S193" s="18">
        <v>0</v>
      </c>
      <c r="T193" s="18">
        <v>100</v>
      </c>
      <c r="U193" s="18" t="s">
        <v>338</v>
      </c>
      <c r="V193" s="18">
        <v>650</v>
      </c>
      <c r="W193" s="18">
        <v>650</v>
      </c>
      <c r="X193" s="18" t="s">
        <v>326</v>
      </c>
      <c r="Y193" s="18" t="s">
        <v>327</v>
      </c>
      <c r="Z193" s="18" t="s">
        <v>328</v>
      </c>
      <c r="AA193" s="18">
        <v>0</v>
      </c>
      <c r="AB193" s="18">
        <v>1</v>
      </c>
      <c r="AC193" s="18" t="b">
        <v>0</v>
      </c>
      <c r="AD193" s="18" t="s">
        <v>329</v>
      </c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 t="s">
        <v>339</v>
      </c>
      <c r="AZ193" s="18">
        <v>11700</v>
      </c>
      <c r="BA193" s="18" t="s">
        <v>395</v>
      </c>
      <c r="BB193" s="18" t="s">
        <v>328</v>
      </c>
      <c r="BC193" s="18">
        <v>10000</v>
      </c>
      <c r="BD193" s="18">
        <v>0</v>
      </c>
      <c r="BE193" s="18" t="s">
        <v>332</v>
      </c>
      <c r="BF193" s="18">
        <v>0</v>
      </c>
      <c r="BG193" s="18"/>
      <c r="BH193" s="18"/>
      <c r="BI193" s="18"/>
      <c r="BJ193" s="18"/>
      <c r="BK193" s="18"/>
      <c r="BL193" s="18"/>
      <c r="BM193" s="18">
        <v>21001307</v>
      </c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>
        <v>200</v>
      </c>
      <c r="GS193" s="18">
        <v>400</v>
      </c>
      <c r="GT193" s="18" t="s">
        <v>356</v>
      </c>
      <c r="GU193" s="18">
        <v>30017</v>
      </c>
      <c r="GV193" s="18" t="s">
        <v>339</v>
      </c>
      <c r="GW193" s="18" t="s">
        <v>339</v>
      </c>
      <c r="GX193" s="18" t="b">
        <v>1</v>
      </c>
      <c r="GY193" s="18">
        <v>9000</v>
      </c>
      <c r="GZ193" s="18" t="b">
        <v>0</v>
      </c>
      <c r="HA193" s="18">
        <v>0</v>
      </c>
      <c r="HB193" s="18">
        <v>0</v>
      </c>
      <c r="HC193" s="18">
        <v>0</v>
      </c>
      <c r="HD193" s="18">
        <v>0</v>
      </c>
      <c r="HE193" s="18" t="b">
        <v>0</v>
      </c>
      <c r="HF193" s="18">
        <v>0</v>
      </c>
      <c r="HG193" s="18">
        <v>10001</v>
      </c>
      <c r="HH193" s="18" t="s">
        <v>339</v>
      </c>
      <c r="HI193" s="18" t="s">
        <v>334</v>
      </c>
      <c r="HJ193" s="18">
        <v>0</v>
      </c>
      <c r="HK193" s="18">
        <v>0</v>
      </c>
      <c r="HL193" s="18">
        <v>0</v>
      </c>
      <c r="HM193" s="18">
        <v>0</v>
      </c>
      <c r="HN193" s="18" t="b">
        <v>0</v>
      </c>
    </row>
    <row r="194" spans="1:222">
      <c r="A194"/>
      <c r="B194" s="29" cm="1">
        <f t="array" ref="B194">10000000+INDEX(编号表!$B$1:$B$112,MATCH(D194,编号表!$A$1:$A$112,0))*10000+I194</f>
        <v>10190008</v>
      </c>
      <c r="C194" s="18" t="s">
        <v>398</v>
      </c>
      <c r="D194" s="18" t="s">
        <v>398</v>
      </c>
      <c r="E194" s="18" t="s">
        <v>322</v>
      </c>
      <c r="F194" s="18" t="s">
        <v>361</v>
      </c>
      <c r="G194" s="18" t="b">
        <v>0</v>
      </c>
      <c r="H194" s="18" t="b">
        <v>0</v>
      </c>
      <c r="I194" s="18">
        <v>8</v>
      </c>
      <c r="J194" s="18">
        <v>101900</v>
      </c>
      <c r="K194" s="18" t="s">
        <v>324</v>
      </c>
      <c r="L194" s="18">
        <v>10190007</v>
      </c>
      <c r="M194" s="18">
        <v>10190009</v>
      </c>
      <c r="N194" s="18" t="s">
        <v>399</v>
      </c>
      <c r="O194" s="18">
        <v>10202018</v>
      </c>
      <c r="P194" s="18">
        <v>0</v>
      </c>
      <c r="Q194" s="18">
        <v>3</v>
      </c>
      <c r="R194" s="18">
        <v>35</v>
      </c>
      <c r="S194" s="18">
        <v>0</v>
      </c>
      <c r="T194" s="18">
        <v>100</v>
      </c>
      <c r="U194" s="18" t="s">
        <v>338</v>
      </c>
      <c r="V194" s="18">
        <v>650</v>
      </c>
      <c r="W194" s="18">
        <v>650</v>
      </c>
      <c r="X194" s="18" t="s">
        <v>326</v>
      </c>
      <c r="Y194" s="18" t="s">
        <v>327</v>
      </c>
      <c r="Z194" s="18" t="s">
        <v>328</v>
      </c>
      <c r="AA194" s="18">
        <v>0</v>
      </c>
      <c r="AB194" s="18">
        <v>1</v>
      </c>
      <c r="AC194" s="18" t="b">
        <v>0</v>
      </c>
      <c r="AD194" s="18" t="s">
        <v>329</v>
      </c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 t="s">
        <v>339</v>
      </c>
      <c r="AZ194" s="18">
        <v>11800</v>
      </c>
      <c r="BA194" s="18" t="s">
        <v>395</v>
      </c>
      <c r="BB194" s="18" t="s">
        <v>328</v>
      </c>
      <c r="BC194" s="18">
        <v>10000</v>
      </c>
      <c r="BD194" s="18">
        <v>0</v>
      </c>
      <c r="BE194" s="18" t="s">
        <v>332</v>
      </c>
      <c r="BF194" s="18">
        <v>0</v>
      </c>
      <c r="BG194" s="18"/>
      <c r="BH194" s="18"/>
      <c r="BI194" s="18"/>
      <c r="BJ194" s="18"/>
      <c r="BK194" s="18"/>
      <c r="BL194" s="18"/>
      <c r="BM194" s="18">
        <v>21001308</v>
      </c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>
        <v>200</v>
      </c>
      <c r="GS194" s="18">
        <v>400</v>
      </c>
      <c r="GT194" s="18" t="s">
        <v>356</v>
      </c>
      <c r="GU194" s="18">
        <v>30017</v>
      </c>
      <c r="GV194" s="18" t="s">
        <v>339</v>
      </c>
      <c r="GW194" s="18" t="s">
        <v>339</v>
      </c>
      <c r="GX194" s="18" t="b">
        <v>1</v>
      </c>
      <c r="GY194" s="18">
        <v>9000</v>
      </c>
      <c r="GZ194" s="18" t="b">
        <v>0</v>
      </c>
      <c r="HA194" s="18">
        <v>0</v>
      </c>
      <c r="HB194" s="18">
        <v>0</v>
      </c>
      <c r="HC194" s="18">
        <v>0</v>
      </c>
      <c r="HD194" s="18">
        <v>0</v>
      </c>
      <c r="HE194" s="18" t="b">
        <v>0</v>
      </c>
      <c r="HF194" s="18">
        <v>0</v>
      </c>
      <c r="HG194" s="18">
        <v>10001</v>
      </c>
      <c r="HH194" s="18" t="s">
        <v>339</v>
      </c>
      <c r="HI194" s="18" t="s">
        <v>334</v>
      </c>
      <c r="HJ194" s="18">
        <v>0</v>
      </c>
      <c r="HK194" s="18">
        <v>0</v>
      </c>
      <c r="HL194" s="18">
        <v>0</v>
      </c>
      <c r="HM194" s="18">
        <v>0</v>
      </c>
      <c r="HN194" s="18" t="b">
        <v>0</v>
      </c>
    </row>
    <row r="195" spans="1:222">
      <c r="A195"/>
      <c r="B195" s="29" cm="1">
        <f t="array" ref="B195">10000000+INDEX(编号表!$B$1:$B$112,MATCH(D195,编号表!$A$1:$A$112,0))*10000+I195</f>
        <v>10190009</v>
      </c>
      <c r="C195" s="18" t="s">
        <v>398</v>
      </c>
      <c r="D195" s="18" t="s">
        <v>398</v>
      </c>
      <c r="E195" s="18" t="s">
        <v>322</v>
      </c>
      <c r="F195" s="18" t="s">
        <v>361</v>
      </c>
      <c r="G195" s="18" t="b">
        <v>0</v>
      </c>
      <c r="H195" s="18" t="b">
        <v>0</v>
      </c>
      <c r="I195" s="18">
        <v>9</v>
      </c>
      <c r="J195" s="18">
        <v>101900</v>
      </c>
      <c r="K195" s="18" t="s">
        <v>324</v>
      </c>
      <c r="L195" s="18">
        <v>10190008</v>
      </c>
      <c r="M195" s="18">
        <v>10190010</v>
      </c>
      <c r="N195" s="18" t="s">
        <v>399</v>
      </c>
      <c r="O195" s="18">
        <v>10202018</v>
      </c>
      <c r="P195" s="18">
        <v>0</v>
      </c>
      <c r="Q195" s="18">
        <v>3</v>
      </c>
      <c r="R195" s="18">
        <v>40</v>
      </c>
      <c r="S195" s="18">
        <v>0</v>
      </c>
      <c r="T195" s="18">
        <v>100</v>
      </c>
      <c r="U195" s="18" t="s">
        <v>338</v>
      </c>
      <c r="V195" s="18">
        <v>650</v>
      </c>
      <c r="W195" s="18">
        <v>650</v>
      </c>
      <c r="X195" s="18" t="s">
        <v>326</v>
      </c>
      <c r="Y195" s="18" t="s">
        <v>327</v>
      </c>
      <c r="Z195" s="18" t="s">
        <v>328</v>
      </c>
      <c r="AA195" s="18">
        <v>0</v>
      </c>
      <c r="AB195" s="18">
        <v>1</v>
      </c>
      <c r="AC195" s="18" t="b">
        <v>0</v>
      </c>
      <c r="AD195" s="18" t="s">
        <v>329</v>
      </c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 t="s">
        <v>339</v>
      </c>
      <c r="AZ195" s="18">
        <v>11900</v>
      </c>
      <c r="BA195" s="18" t="s">
        <v>395</v>
      </c>
      <c r="BB195" s="18" t="s">
        <v>328</v>
      </c>
      <c r="BC195" s="18">
        <v>10000</v>
      </c>
      <c r="BD195" s="18">
        <v>0</v>
      </c>
      <c r="BE195" s="18" t="s">
        <v>332</v>
      </c>
      <c r="BF195" s="18">
        <v>0</v>
      </c>
      <c r="BG195" s="18"/>
      <c r="BH195" s="18"/>
      <c r="BI195" s="18"/>
      <c r="BJ195" s="18"/>
      <c r="BK195" s="18"/>
      <c r="BL195" s="18"/>
      <c r="BM195" s="18">
        <v>21001309</v>
      </c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>
        <v>200</v>
      </c>
      <c r="GS195" s="18">
        <v>400</v>
      </c>
      <c r="GT195" s="18" t="s">
        <v>356</v>
      </c>
      <c r="GU195" s="18">
        <v>30017</v>
      </c>
      <c r="GV195" s="18" t="s">
        <v>339</v>
      </c>
      <c r="GW195" s="18" t="s">
        <v>339</v>
      </c>
      <c r="GX195" s="18" t="b">
        <v>1</v>
      </c>
      <c r="GY195" s="18">
        <v>9000</v>
      </c>
      <c r="GZ195" s="18" t="b">
        <v>0</v>
      </c>
      <c r="HA195" s="18">
        <v>0</v>
      </c>
      <c r="HB195" s="18">
        <v>0</v>
      </c>
      <c r="HC195" s="18">
        <v>0</v>
      </c>
      <c r="HD195" s="18">
        <v>0</v>
      </c>
      <c r="HE195" s="18" t="b">
        <v>0</v>
      </c>
      <c r="HF195" s="18">
        <v>0</v>
      </c>
      <c r="HG195" s="18">
        <v>10001</v>
      </c>
      <c r="HH195" s="18" t="s">
        <v>339</v>
      </c>
      <c r="HI195" s="18" t="s">
        <v>334</v>
      </c>
      <c r="HJ195" s="18">
        <v>0</v>
      </c>
      <c r="HK195" s="18">
        <v>0</v>
      </c>
      <c r="HL195" s="18">
        <v>0</v>
      </c>
      <c r="HM195" s="18">
        <v>0</v>
      </c>
      <c r="HN195" s="18" t="b">
        <v>0</v>
      </c>
    </row>
    <row r="196" spans="1:222">
      <c r="A196"/>
      <c r="B196" s="29" cm="1">
        <f t="array" ref="B196">10000000+INDEX(编号表!$B$1:$B$112,MATCH(D196,编号表!$A$1:$A$112,0))*10000+I196</f>
        <v>10190010</v>
      </c>
      <c r="C196" s="18" t="s">
        <v>398</v>
      </c>
      <c r="D196" s="18" t="s">
        <v>398</v>
      </c>
      <c r="E196" s="18" t="s">
        <v>322</v>
      </c>
      <c r="F196" s="18" t="s">
        <v>361</v>
      </c>
      <c r="G196" s="18" t="b">
        <v>0</v>
      </c>
      <c r="H196" s="18" t="b">
        <v>0</v>
      </c>
      <c r="I196" s="18">
        <v>10</v>
      </c>
      <c r="J196" s="18">
        <v>101900</v>
      </c>
      <c r="K196" s="18" t="s">
        <v>324</v>
      </c>
      <c r="L196" s="18">
        <v>10190009</v>
      </c>
      <c r="M196" s="18">
        <v>0</v>
      </c>
      <c r="N196" s="18" t="s">
        <v>399</v>
      </c>
      <c r="O196" s="18">
        <v>10202018</v>
      </c>
      <c r="P196" s="18">
        <v>0</v>
      </c>
      <c r="Q196" s="18">
        <v>3</v>
      </c>
      <c r="R196" s="18">
        <v>40</v>
      </c>
      <c r="S196" s="18">
        <v>0</v>
      </c>
      <c r="T196" s="18">
        <v>0</v>
      </c>
      <c r="U196" s="18" t="s">
        <v>338</v>
      </c>
      <c r="V196" s="18">
        <v>650</v>
      </c>
      <c r="W196" s="18">
        <v>650</v>
      </c>
      <c r="X196" s="18" t="s">
        <v>326</v>
      </c>
      <c r="Y196" s="18" t="s">
        <v>327</v>
      </c>
      <c r="Z196" s="18" t="s">
        <v>328</v>
      </c>
      <c r="AA196" s="18">
        <v>0</v>
      </c>
      <c r="AB196" s="18">
        <v>1</v>
      </c>
      <c r="AC196" s="18" t="b">
        <v>0</v>
      </c>
      <c r="AD196" s="18" t="s">
        <v>329</v>
      </c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 t="s">
        <v>339</v>
      </c>
      <c r="AZ196" s="18">
        <v>12000</v>
      </c>
      <c r="BA196" s="18" t="s">
        <v>395</v>
      </c>
      <c r="BB196" s="18" t="s">
        <v>328</v>
      </c>
      <c r="BC196" s="18">
        <v>10000</v>
      </c>
      <c r="BD196" s="18">
        <v>0</v>
      </c>
      <c r="BE196" s="18" t="s">
        <v>332</v>
      </c>
      <c r="BF196" s="18">
        <v>0</v>
      </c>
      <c r="BG196" s="18"/>
      <c r="BH196" s="18"/>
      <c r="BI196" s="18"/>
      <c r="BJ196" s="18"/>
      <c r="BK196" s="18"/>
      <c r="BL196" s="18"/>
      <c r="BM196" s="18">
        <v>21001310</v>
      </c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>
        <v>200</v>
      </c>
      <c r="GS196" s="18">
        <v>400</v>
      </c>
      <c r="GT196" s="18" t="s">
        <v>356</v>
      </c>
      <c r="GU196" s="18">
        <v>30017</v>
      </c>
      <c r="GV196" s="18" t="s">
        <v>339</v>
      </c>
      <c r="GW196" s="18" t="s">
        <v>339</v>
      </c>
      <c r="GX196" s="18" t="b">
        <v>1</v>
      </c>
      <c r="GY196" s="18">
        <v>9000</v>
      </c>
      <c r="GZ196" s="18" t="b">
        <v>0</v>
      </c>
      <c r="HA196" s="18">
        <v>0</v>
      </c>
      <c r="HB196" s="18">
        <v>0</v>
      </c>
      <c r="HC196" s="18">
        <v>0</v>
      </c>
      <c r="HD196" s="18">
        <v>0</v>
      </c>
      <c r="HE196" s="18" t="b">
        <v>0</v>
      </c>
      <c r="HF196" s="18">
        <v>0</v>
      </c>
      <c r="HG196" s="18">
        <v>10001</v>
      </c>
      <c r="HH196" s="18" t="s">
        <v>339</v>
      </c>
      <c r="HI196" s="18" t="s">
        <v>334</v>
      </c>
      <c r="HJ196" s="18">
        <v>0</v>
      </c>
      <c r="HK196" s="18">
        <v>0</v>
      </c>
      <c r="HL196" s="18">
        <v>0</v>
      </c>
      <c r="HM196" s="18">
        <v>0</v>
      </c>
      <c r="HN196" s="18" t="b">
        <v>0</v>
      </c>
    </row>
    <row r="197" spans="1:222">
      <c r="A197"/>
      <c r="B197" s="29" cm="1">
        <f t="array" ref="B197">10000000+INDEX(编号表!$B$1:$B$112,MATCH(D197,编号表!$A$1:$A$112,0))*10000+I197</f>
        <v>10200001</v>
      </c>
      <c r="C197" s="18" t="s">
        <v>400</v>
      </c>
      <c r="D197" s="18" t="s">
        <v>400</v>
      </c>
      <c r="E197" s="18" t="s">
        <v>322</v>
      </c>
      <c r="F197" s="18" t="s">
        <v>336</v>
      </c>
      <c r="G197" s="18" t="b">
        <v>0</v>
      </c>
      <c r="H197" s="18" t="b">
        <v>0</v>
      </c>
      <c r="I197" s="18">
        <v>1</v>
      </c>
      <c r="J197" s="18">
        <v>102000</v>
      </c>
      <c r="K197" s="18" t="s">
        <v>324</v>
      </c>
      <c r="L197" s="18">
        <v>0</v>
      </c>
      <c r="M197" s="18">
        <v>10200002</v>
      </c>
      <c r="N197" s="18" t="s">
        <v>401</v>
      </c>
      <c r="O197" s="18">
        <v>10202019</v>
      </c>
      <c r="P197" s="18">
        <v>0</v>
      </c>
      <c r="Q197" s="18">
        <v>0</v>
      </c>
      <c r="R197" s="18">
        <v>1</v>
      </c>
      <c r="S197" s="18">
        <v>0</v>
      </c>
      <c r="T197" s="18">
        <v>100</v>
      </c>
      <c r="U197" s="18" t="s">
        <v>338</v>
      </c>
      <c r="V197" s="18">
        <v>0</v>
      </c>
      <c r="W197" s="18">
        <v>0</v>
      </c>
      <c r="X197" s="18" t="s">
        <v>334</v>
      </c>
      <c r="Y197" s="18" t="s">
        <v>378</v>
      </c>
      <c r="Z197" s="18" t="s">
        <v>402</v>
      </c>
      <c r="AA197" s="18">
        <v>1</v>
      </c>
      <c r="AB197" s="18">
        <v>0</v>
      </c>
      <c r="AC197" s="18" t="b">
        <v>1</v>
      </c>
      <c r="AD197" s="18" t="s">
        <v>329</v>
      </c>
      <c r="AE197" s="18">
        <v>80</v>
      </c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 t="s">
        <v>339</v>
      </c>
      <c r="AZ197" s="18">
        <v>10000</v>
      </c>
      <c r="BA197" s="18" t="s">
        <v>395</v>
      </c>
      <c r="BB197" s="18" t="s">
        <v>402</v>
      </c>
      <c r="BC197" s="18">
        <v>10000</v>
      </c>
      <c r="BD197" s="18">
        <v>0</v>
      </c>
      <c r="BE197" s="18" t="s">
        <v>332</v>
      </c>
      <c r="BF197" s="18">
        <v>0</v>
      </c>
      <c r="BG197" s="18"/>
      <c r="BH197" s="18"/>
      <c r="BI197" s="18"/>
      <c r="BJ197" s="18"/>
      <c r="BK197" s="18"/>
      <c r="BL197" s="18"/>
      <c r="BM197" s="18">
        <v>21001401</v>
      </c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>
        <v>200</v>
      </c>
      <c r="GS197" s="18">
        <v>400</v>
      </c>
      <c r="GT197" s="18" t="s">
        <v>356</v>
      </c>
      <c r="GU197" s="18">
        <v>30009</v>
      </c>
      <c r="GV197" s="18" t="s">
        <v>339</v>
      </c>
      <c r="GW197" s="18" t="s">
        <v>339</v>
      </c>
      <c r="GX197" s="18" t="b">
        <v>1</v>
      </c>
      <c r="GY197" s="18">
        <v>12000</v>
      </c>
      <c r="GZ197" s="18" t="b">
        <v>0</v>
      </c>
      <c r="HA197" s="18">
        <v>0</v>
      </c>
      <c r="HB197" s="18">
        <v>0</v>
      </c>
      <c r="HC197" s="18">
        <v>0</v>
      </c>
      <c r="HD197" s="18">
        <v>0</v>
      </c>
      <c r="HE197" s="18" t="b">
        <v>0</v>
      </c>
      <c r="HF197" s="18">
        <v>0</v>
      </c>
      <c r="HG197" s="18">
        <v>10001</v>
      </c>
      <c r="HH197" s="18" t="s">
        <v>339</v>
      </c>
      <c r="HI197" s="18" t="s">
        <v>334</v>
      </c>
      <c r="HJ197" s="18">
        <v>0</v>
      </c>
      <c r="HK197" s="18">
        <v>0</v>
      </c>
      <c r="HL197" s="18">
        <v>0</v>
      </c>
      <c r="HM197" s="18">
        <v>0</v>
      </c>
      <c r="HN197" s="18" t="b">
        <v>0</v>
      </c>
    </row>
    <row r="198" spans="1:222">
      <c r="A198"/>
      <c r="B198" s="29" cm="1">
        <f t="array" ref="B198">10000000+INDEX(编号表!$B$1:$B$112,MATCH(D198,编号表!$A$1:$A$112,0))*10000+I198</f>
        <v>10200002</v>
      </c>
      <c r="C198" s="18" t="s">
        <v>400</v>
      </c>
      <c r="D198" s="18" t="s">
        <v>400</v>
      </c>
      <c r="E198" s="18" t="s">
        <v>322</v>
      </c>
      <c r="F198" s="18" t="s">
        <v>336</v>
      </c>
      <c r="G198" s="18" t="b">
        <v>0</v>
      </c>
      <c r="H198" s="18" t="b">
        <v>0</v>
      </c>
      <c r="I198" s="18">
        <v>2</v>
      </c>
      <c r="J198" s="18">
        <v>102000</v>
      </c>
      <c r="K198" s="18" t="s">
        <v>324</v>
      </c>
      <c r="L198" s="18">
        <v>10200001</v>
      </c>
      <c r="M198" s="18">
        <v>10200003</v>
      </c>
      <c r="N198" s="18" t="s">
        <v>401</v>
      </c>
      <c r="O198" s="18">
        <v>10202019</v>
      </c>
      <c r="P198" s="18">
        <v>0</v>
      </c>
      <c r="Q198" s="18">
        <v>1</v>
      </c>
      <c r="R198" s="18">
        <v>7</v>
      </c>
      <c r="S198" s="18">
        <v>0</v>
      </c>
      <c r="T198" s="18">
        <v>100</v>
      </c>
      <c r="U198" s="18" t="s">
        <v>338</v>
      </c>
      <c r="V198" s="18">
        <v>0</v>
      </c>
      <c r="W198" s="18">
        <v>0</v>
      </c>
      <c r="X198" s="18" t="s">
        <v>334</v>
      </c>
      <c r="Y198" s="18" t="s">
        <v>378</v>
      </c>
      <c r="Z198" s="18" t="s">
        <v>402</v>
      </c>
      <c r="AA198" s="18">
        <v>1</v>
      </c>
      <c r="AB198" s="18">
        <v>0</v>
      </c>
      <c r="AC198" s="18" t="b">
        <v>1</v>
      </c>
      <c r="AD198" s="18" t="s">
        <v>329</v>
      </c>
      <c r="AE198" s="18">
        <v>80</v>
      </c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 t="s">
        <v>339</v>
      </c>
      <c r="AZ198" s="18">
        <v>10400</v>
      </c>
      <c r="BA198" s="18" t="s">
        <v>395</v>
      </c>
      <c r="BB198" s="18" t="s">
        <v>402</v>
      </c>
      <c r="BC198" s="18">
        <v>10000</v>
      </c>
      <c r="BD198" s="18">
        <v>0</v>
      </c>
      <c r="BE198" s="18" t="s">
        <v>332</v>
      </c>
      <c r="BF198" s="18">
        <v>0</v>
      </c>
      <c r="BG198" s="18"/>
      <c r="BH198" s="18"/>
      <c r="BI198" s="18"/>
      <c r="BJ198" s="18"/>
      <c r="BK198" s="18"/>
      <c r="BL198" s="18"/>
      <c r="BM198" s="18">
        <v>21001402</v>
      </c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>
        <v>200</v>
      </c>
      <c r="GS198" s="18">
        <v>400</v>
      </c>
      <c r="GT198" s="18" t="s">
        <v>356</v>
      </c>
      <c r="GU198" s="18">
        <v>30009</v>
      </c>
      <c r="GV198" s="18" t="s">
        <v>339</v>
      </c>
      <c r="GW198" s="18" t="s">
        <v>339</v>
      </c>
      <c r="GX198" s="18" t="b">
        <v>1</v>
      </c>
      <c r="GY198" s="18">
        <v>12000</v>
      </c>
      <c r="GZ198" s="18" t="b">
        <v>0</v>
      </c>
      <c r="HA198" s="18">
        <v>0</v>
      </c>
      <c r="HB198" s="18">
        <v>0</v>
      </c>
      <c r="HC198" s="18">
        <v>0</v>
      </c>
      <c r="HD198" s="18">
        <v>0</v>
      </c>
      <c r="HE198" s="18" t="b">
        <v>0</v>
      </c>
      <c r="HF198" s="18">
        <v>0</v>
      </c>
      <c r="HG198" s="18">
        <v>10001</v>
      </c>
      <c r="HH198" s="18" t="s">
        <v>339</v>
      </c>
      <c r="HI198" s="18" t="s">
        <v>334</v>
      </c>
      <c r="HJ198" s="18">
        <v>0</v>
      </c>
      <c r="HK198" s="18">
        <v>0</v>
      </c>
      <c r="HL198" s="18">
        <v>0</v>
      </c>
      <c r="HM198" s="18">
        <v>0</v>
      </c>
      <c r="HN198" s="18" t="b">
        <v>0</v>
      </c>
    </row>
    <row r="199" spans="1:222">
      <c r="A199"/>
      <c r="B199" s="29" cm="1">
        <f t="array" ref="B199">10000000+INDEX(编号表!$B$1:$B$112,MATCH(D199,编号表!$A$1:$A$112,0))*10000+I199</f>
        <v>10200003</v>
      </c>
      <c r="C199" s="18" t="s">
        <v>400</v>
      </c>
      <c r="D199" s="18" t="s">
        <v>400</v>
      </c>
      <c r="E199" s="18" t="s">
        <v>322</v>
      </c>
      <c r="F199" s="18" t="s">
        <v>336</v>
      </c>
      <c r="G199" s="18" t="b">
        <v>0</v>
      </c>
      <c r="H199" s="18" t="b">
        <v>0</v>
      </c>
      <c r="I199" s="18">
        <v>3</v>
      </c>
      <c r="J199" s="18">
        <v>102000</v>
      </c>
      <c r="K199" s="18" t="s">
        <v>324</v>
      </c>
      <c r="L199" s="18">
        <v>10200002</v>
      </c>
      <c r="M199" s="18">
        <v>10200004</v>
      </c>
      <c r="N199" s="18" t="s">
        <v>401</v>
      </c>
      <c r="O199" s="18">
        <v>10202019</v>
      </c>
      <c r="P199" s="18">
        <v>0</v>
      </c>
      <c r="Q199" s="18">
        <v>2</v>
      </c>
      <c r="R199" s="18">
        <v>11</v>
      </c>
      <c r="S199" s="18">
        <v>0</v>
      </c>
      <c r="T199" s="18">
        <v>100</v>
      </c>
      <c r="U199" s="18" t="s">
        <v>338</v>
      </c>
      <c r="V199" s="18">
        <v>0</v>
      </c>
      <c r="W199" s="18">
        <v>0</v>
      </c>
      <c r="X199" s="18" t="s">
        <v>334</v>
      </c>
      <c r="Y199" s="18" t="s">
        <v>378</v>
      </c>
      <c r="Z199" s="18" t="s">
        <v>402</v>
      </c>
      <c r="AA199" s="18">
        <v>1</v>
      </c>
      <c r="AB199" s="18">
        <v>0</v>
      </c>
      <c r="AC199" s="18" t="b">
        <v>1</v>
      </c>
      <c r="AD199" s="18" t="s">
        <v>329</v>
      </c>
      <c r="AE199" s="18">
        <v>80</v>
      </c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 t="s">
        <v>339</v>
      </c>
      <c r="AZ199" s="18">
        <v>10800</v>
      </c>
      <c r="BA199" s="18" t="s">
        <v>395</v>
      </c>
      <c r="BB199" s="18" t="s">
        <v>402</v>
      </c>
      <c r="BC199" s="18">
        <v>10000</v>
      </c>
      <c r="BD199" s="18">
        <v>0</v>
      </c>
      <c r="BE199" s="18" t="s">
        <v>332</v>
      </c>
      <c r="BF199" s="18">
        <v>0</v>
      </c>
      <c r="BG199" s="18"/>
      <c r="BH199" s="18"/>
      <c r="BI199" s="18"/>
      <c r="BJ199" s="18"/>
      <c r="BK199" s="18"/>
      <c r="BL199" s="18"/>
      <c r="BM199" s="18">
        <v>21001403</v>
      </c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>
        <v>200</v>
      </c>
      <c r="GS199" s="18">
        <v>400</v>
      </c>
      <c r="GT199" s="18" t="s">
        <v>356</v>
      </c>
      <c r="GU199" s="18">
        <v>30009</v>
      </c>
      <c r="GV199" s="18" t="s">
        <v>339</v>
      </c>
      <c r="GW199" s="18" t="s">
        <v>339</v>
      </c>
      <c r="GX199" s="18" t="b">
        <v>1</v>
      </c>
      <c r="GY199" s="18">
        <v>12000</v>
      </c>
      <c r="GZ199" s="18" t="b">
        <v>0</v>
      </c>
      <c r="HA199" s="18">
        <v>0</v>
      </c>
      <c r="HB199" s="18">
        <v>0</v>
      </c>
      <c r="HC199" s="18">
        <v>0</v>
      </c>
      <c r="HD199" s="18">
        <v>0</v>
      </c>
      <c r="HE199" s="18" t="b">
        <v>0</v>
      </c>
      <c r="HF199" s="18">
        <v>0</v>
      </c>
      <c r="HG199" s="18">
        <v>10001</v>
      </c>
      <c r="HH199" s="18" t="s">
        <v>339</v>
      </c>
      <c r="HI199" s="18" t="s">
        <v>334</v>
      </c>
      <c r="HJ199" s="18">
        <v>0</v>
      </c>
      <c r="HK199" s="18">
        <v>0</v>
      </c>
      <c r="HL199" s="18">
        <v>0</v>
      </c>
      <c r="HM199" s="18">
        <v>0</v>
      </c>
      <c r="HN199" s="18" t="b">
        <v>0</v>
      </c>
    </row>
    <row r="200" spans="1:222">
      <c r="A200"/>
      <c r="B200" s="29" cm="1">
        <f t="array" ref="B200">10000000+INDEX(编号表!$B$1:$B$112,MATCH(D200,编号表!$A$1:$A$112,0))*10000+I200</f>
        <v>10200004</v>
      </c>
      <c r="C200" s="18" t="s">
        <v>400</v>
      </c>
      <c r="D200" s="18" t="s">
        <v>400</v>
      </c>
      <c r="E200" s="18" t="s">
        <v>322</v>
      </c>
      <c r="F200" s="18" t="s">
        <v>336</v>
      </c>
      <c r="G200" s="18" t="b">
        <v>0</v>
      </c>
      <c r="H200" s="18" t="b">
        <v>0</v>
      </c>
      <c r="I200" s="18">
        <v>4</v>
      </c>
      <c r="J200" s="18">
        <v>102000</v>
      </c>
      <c r="K200" s="18" t="s">
        <v>324</v>
      </c>
      <c r="L200" s="18">
        <v>10200003</v>
      </c>
      <c r="M200" s="18">
        <v>10200005</v>
      </c>
      <c r="N200" s="18" t="s">
        <v>401</v>
      </c>
      <c r="O200" s="18">
        <v>10202019</v>
      </c>
      <c r="P200" s="18">
        <v>0</v>
      </c>
      <c r="Q200" s="18">
        <v>3</v>
      </c>
      <c r="R200" s="18">
        <v>16</v>
      </c>
      <c r="S200" s="18">
        <v>0</v>
      </c>
      <c r="T200" s="18">
        <v>100</v>
      </c>
      <c r="U200" s="18" t="s">
        <v>338</v>
      </c>
      <c r="V200" s="18">
        <v>0</v>
      </c>
      <c r="W200" s="18">
        <v>0</v>
      </c>
      <c r="X200" s="18" t="s">
        <v>334</v>
      </c>
      <c r="Y200" s="18" t="s">
        <v>378</v>
      </c>
      <c r="Z200" s="18" t="s">
        <v>402</v>
      </c>
      <c r="AA200" s="18">
        <v>1</v>
      </c>
      <c r="AB200" s="18">
        <v>0</v>
      </c>
      <c r="AC200" s="18" t="b">
        <v>1</v>
      </c>
      <c r="AD200" s="18" t="s">
        <v>329</v>
      </c>
      <c r="AE200" s="18">
        <v>80</v>
      </c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 t="s">
        <v>339</v>
      </c>
      <c r="AZ200" s="18">
        <v>11200</v>
      </c>
      <c r="BA200" s="18" t="s">
        <v>395</v>
      </c>
      <c r="BB200" s="18" t="s">
        <v>402</v>
      </c>
      <c r="BC200" s="18">
        <v>10000</v>
      </c>
      <c r="BD200" s="18">
        <v>0</v>
      </c>
      <c r="BE200" s="18" t="s">
        <v>332</v>
      </c>
      <c r="BF200" s="18">
        <v>0</v>
      </c>
      <c r="BG200" s="18"/>
      <c r="BH200" s="18"/>
      <c r="BI200" s="18"/>
      <c r="BJ200" s="18"/>
      <c r="BK200" s="18"/>
      <c r="BL200" s="18"/>
      <c r="BM200" s="18">
        <v>21001404</v>
      </c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>
        <v>200</v>
      </c>
      <c r="GS200" s="18">
        <v>400</v>
      </c>
      <c r="GT200" s="18" t="s">
        <v>356</v>
      </c>
      <c r="GU200" s="18">
        <v>30009</v>
      </c>
      <c r="GV200" s="18" t="s">
        <v>339</v>
      </c>
      <c r="GW200" s="18" t="s">
        <v>339</v>
      </c>
      <c r="GX200" s="18" t="b">
        <v>1</v>
      </c>
      <c r="GY200" s="18">
        <v>12000</v>
      </c>
      <c r="GZ200" s="18" t="b">
        <v>0</v>
      </c>
      <c r="HA200" s="18">
        <v>0</v>
      </c>
      <c r="HB200" s="18">
        <v>0</v>
      </c>
      <c r="HC200" s="18">
        <v>0</v>
      </c>
      <c r="HD200" s="18">
        <v>0</v>
      </c>
      <c r="HE200" s="18" t="b">
        <v>0</v>
      </c>
      <c r="HF200" s="18">
        <v>0</v>
      </c>
      <c r="HG200" s="18">
        <v>10001</v>
      </c>
      <c r="HH200" s="18" t="s">
        <v>339</v>
      </c>
      <c r="HI200" s="18" t="s">
        <v>334</v>
      </c>
      <c r="HJ200" s="18">
        <v>0</v>
      </c>
      <c r="HK200" s="18">
        <v>0</v>
      </c>
      <c r="HL200" s="18">
        <v>0</v>
      </c>
      <c r="HM200" s="18">
        <v>0</v>
      </c>
      <c r="HN200" s="18" t="b">
        <v>0</v>
      </c>
    </row>
    <row r="201" spans="1:222">
      <c r="A201"/>
      <c r="B201" s="29" cm="1">
        <f t="array" ref="B201">10000000+INDEX(编号表!$B$1:$B$112,MATCH(D201,编号表!$A$1:$A$112,0))*10000+I201</f>
        <v>10200005</v>
      </c>
      <c r="C201" s="18" t="s">
        <v>400</v>
      </c>
      <c r="D201" s="18" t="s">
        <v>400</v>
      </c>
      <c r="E201" s="18" t="s">
        <v>322</v>
      </c>
      <c r="F201" s="18" t="s">
        <v>336</v>
      </c>
      <c r="G201" s="18" t="b">
        <v>0</v>
      </c>
      <c r="H201" s="18" t="b">
        <v>0</v>
      </c>
      <c r="I201" s="18">
        <v>5</v>
      </c>
      <c r="J201" s="18">
        <v>102000</v>
      </c>
      <c r="K201" s="18" t="s">
        <v>324</v>
      </c>
      <c r="L201" s="18">
        <v>10200004</v>
      </c>
      <c r="M201" s="18">
        <v>10200006</v>
      </c>
      <c r="N201" s="18" t="s">
        <v>401</v>
      </c>
      <c r="O201" s="18">
        <v>10202019</v>
      </c>
      <c r="P201" s="18">
        <v>0</v>
      </c>
      <c r="Q201" s="18">
        <v>3</v>
      </c>
      <c r="R201" s="18">
        <v>25</v>
      </c>
      <c r="S201" s="18">
        <v>0</v>
      </c>
      <c r="T201" s="18">
        <v>100</v>
      </c>
      <c r="U201" s="18" t="s">
        <v>338</v>
      </c>
      <c r="V201" s="18">
        <v>0</v>
      </c>
      <c r="W201" s="18">
        <v>0</v>
      </c>
      <c r="X201" s="18" t="s">
        <v>334</v>
      </c>
      <c r="Y201" s="18" t="s">
        <v>378</v>
      </c>
      <c r="Z201" s="18" t="s">
        <v>402</v>
      </c>
      <c r="AA201" s="18">
        <v>1</v>
      </c>
      <c r="AB201" s="18">
        <v>0</v>
      </c>
      <c r="AC201" s="18" t="b">
        <v>1</v>
      </c>
      <c r="AD201" s="18" t="s">
        <v>329</v>
      </c>
      <c r="AE201" s="18">
        <v>80</v>
      </c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 t="s">
        <v>339</v>
      </c>
      <c r="AZ201" s="18">
        <v>11300</v>
      </c>
      <c r="BA201" s="18" t="s">
        <v>395</v>
      </c>
      <c r="BB201" s="18" t="s">
        <v>402</v>
      </c>
      <c r="BC201" s="18">
        <v>10000</v>
      </c>
      <c r="BD201" s="18">
        <v>0</v>
      </c>
      <c r="BE201" s="18" t="s">
        <v>332</v>
      </c>
      <c r="BF201" s="18">
        <v>0</v>
      </c>
      <c r="BG201" s="18"/>
      <c r="BH201" s="18"/>
      <c r="BI201" s="18"/>
      <c r="BJ201" s="18"/>
      <c r="BK201" s="18"/>
      <c r="BL201" s="18"/>
      <c r="BM201" s="18">
        <v>21001405</v>
      </c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>
        <v>200</v>
      </c>
      <c r="GS201" s="18">
        <v>400</v>
      </c>
      <c r="GT201" s="18" t="s">
        <v>356</v>
      </c>
      <c r="GU201" s="18">
        <v>30009</v>
      </c>
      <c r="GV201" s="18" t="s">
        <v>339</v>
      </c>
      <c r="GW201" s="18" t="s">
        <v>339</v>
      </c>
      <c r="GX201" s="18" t="b">
        <v>1</v>
      </c>
      <c r="GY201" s="18">
        <v>12000</v>
      </c>
      <c r="GZ201" s="18" t="b">
        <v>0</v>
      </c>
      <c r="HA201" s="18">
        <v>0</v>
      </c>
      <c r="HB201" s="18">
        <v>0</v>
      </c>
      <c r="HC201" s="18">
        <v>0</v>
      </c>
      <c r="HD201" s="18">
        <v>0</v>
      </c>
      <c r="HE201" s="18" t="b">
        <v>0</v>
      </c>
      <c r="HF201" s="18">
        <v>0</v>
      </c>
      <c r="HG201" s="18">
        <v>10001</v>
      </c>
      <c r="HH201" s="18" t="s">
        <v>339</v>
      </c>
      <c r="HI201" s="18" t="s">
        <v>334</v>
      </c>
      <c r="HJ201" s="18">
        <v>0</v>
      </c>
      <c r="HK201" s="18">
        <v>0</v>
      </c>
      <c r="HL201" s="18">
        <v>0</v>
      </c>
      <c r="HM201" s="18">
        <v>0</v>
      </c>
      <c r="HN201" s="18" t="b">
        <v>0</v>
      </c>
    </row>
    <row r="202" spans="1:222">
      <c r="A202"/>
      <c r="B202" s="29" cm="1">
        <f t="array" ref="B202">10000000+INDEX(编号表!$B$1:$B$112,MATCH(D202,编号表!$A$1:$A$112,0))*10000+I202</f>
        <v>10200006</v>
      </c>
      <c r="C202" s="18" t="s">
        <v>400</v>
      </c>
      <c r="D202" s="18" t="s">
        <v>400</v>
      </c>
      <c r="E202" s="18" t="s">
        <v>322</v>
      </c>
      <c r="F202" s="18" t="s">
        <v>336</v>
      </c>
      <c r="G202" s="18" t="b">
        <v>0</v>
      </c>
      <c r="H202" s="18" t="b">
        <v>0</v>
      </c>
      <c r="I202" s="18">
        <v>6</v>
      </c>
      <c r="J202" s="18">
        <v>102000</v>
      </c>
      <c r="K202" s="18" t="s">
        <v>324</v>
      </c>
      <c r="L202" s="18">
        <v>10200005</v>
      </c>
      <c r="M202" s="18">
        <v>10200007</v>
      </c>
      <c r="N202" s="18" t="s">
        <v>401</v>
      </c>
      <c r="O202" s="18">
        <v>10202019</v>
      </c>
      <c r="P202" s="18">
        <v>0</v>
      </c>
      <c r="Q202" s="18">
        <v>3</v>
      </c>
      <c r="R202" s="18">
        <v>30</v>
      </c>
      <c r="S202" s="18">
        <v>0</v>
      </c>
      <c r="T202" s="18">
        <v>100</v>
      </c>
      <c r="U202" s="18" t="s">
        <v>338</v>
      </c>
      <c r="V202" s="18">
        <v>0</v>
      </c>
      <c r="W202" s="18">
        <v>0</v>
      </c>
      <c r="X202" s="18" t="s">
        <v>334</v>
      </c>
      <c r="Y202" s="18" t="s">
        <v>378</v>
      </c>
      <c r="Z202" s="18" t="s">
        <v>402</v>
      </c>
      <c r="AA202" s="18">
        <v>1</v>
      </c>
      <c r="AB202" s="18">
        <v>0</v>
      </c>
      <c r="AC202" s="18" t="b">
        <v>1</v>
      </c>
      <c r="AD202" s="18" t="s">
        <v>329</v>
      </c>
      <c r="AE202" s="18">
        <v>80</v>
      </c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 t="s">
        <v>339</v>
      </c>
      <c r="AZ202" s="18">
        <v>11600</v>
      </c>
      <c r="BA202" s="18" t="s">
        <v>395</v>
      </c>
      <c r="BB202" s="18" t="s">
        <v>402</v>
      </c>
      <c r="BC202" s="18">
        <v>10000</v>
      </c>
      <c r="BD202" s="18">
        <v>0</v>
      </c>
      <c r="BE202" s="18" t="s">
        <v>332</v>
      </c>
      <c r="BF202" s="18">
        <v>0</v>
      </c>
      <c r="BG202" s="18"/>
      <c r="BH202" s="18"/>
      <c r="BI202" s="18"/>
      <c r="BJ202" s="18"/>
      <c r="BK202" s="18"/>
      <c r="BL202" s="18"/>
      <c r="BM202" s="18">
        <v>21001406</v>
      </c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>
        <v>200</v>
      </c>
      <c r="GS202" s="18">
        <v>400</v>
      </c>
      <c r="GT202" s="18" t="s">
        <v>356</v>
      </c>
      <c r="GU202" s="18">
        <v>30009</v>
      </c>
      <c r="GV202" s="18" t="s">
        <v>339</v>
      </c>
      <c r="GW202" s="18" t="s">
        <v>339</v>
      </c>
      <c r="GX202" s="18" t="b">
        <v>1</v>
      </c>
      <c r="GY202" s="18">
        <v>12000</v>
      </c>
      <c r="GZ202" s="18" t="b">
        <v>0</v>
      </c>
      <c r="HA202" s="18">
        <v>0</v>
      </c>
      <c r="HB202" s="18">
        <v>0</v>
      </c>
      <c r="HC202" s="18">
        <v>0</v>
      </c>
      <c r="HD202" s="18">
        <v>0</v>
      </c>
      <c r="HE202" s="18" t="b">
        <v>0</v>
      </c>
      <c r="HF202" s="18">
        <v>0</v>
      </c>
      <c r="HG202" s="18">
        <v>10001</v>
      </c>
      <c r="HH202" s="18" t="s">
        <v>339</v>
      </c>
      <c r="HI202" s="18" t="s">
        <v>334</v>
      </c>
      <c r="HJ202" s="18">
        <v>0</v>
      </c>
      <c r="HK202" s="18">
        <v>0</v>
      </c>
      <c r="HL202" s="18">
        <v>0</v>
      </c>
      <c r="HM202" s="18">
        <v>0</v>
      </c>
      <c r="HN202" s="18" t="b">
        <v>0</v>
      </c>
    </row>
    <row r="203" spans="1:222">
      <c r="A203"/>
      <c r="B203" s="29" cm="1">
        <f t="array" ref="B203">10000000+INDEX(编号表!$B$1:$B$112,MATCH(D203,编号表!$A$1:$A$112,0))*10000+I203</f>
        <v>10200007</v>
      </c>
      <c r="C203" s="18" t="s">
        <v>400</v>
      </c>
      <c r="D203" s="18" t="s">
        <v>400</v>
      </c>
      <c r="E203" s="18" t="s">
        <v>322</v>
      </c>
      <c r="F203" s="18" t="s">
        <v>336</v>
      </c>
      <c r="G203" s="18" t="b">
        <v>0</v>
      </c>
      <c r="H203" s="18" t="b">
        <v>0</v>
      </c>
      <c r="I203" s="18">
        <v>7</v>
      </c>
      <c r="J203" s="18">
        <v>102000</v>
      </c>
      <c r="K203" s="18" t="s">
        <v>324</v>
      </c>
      <c r="L203" s="18">
        <v>10200006</v>
      </c>
      <c r="M203" s="18">
        <v>10200008</v>
      </c>
      <c r="N203" s="18" t="s">
        <v>401</v>
      </c>
      <c r="O203" s="18">
        <v>10202019</v>
      </c>
      <c r="P203" s="18">
        <v>0</v>
      </c>
      <c r="Q203" s="18">
        <v>3</v>
      </c>
      <c r="R203" s="18">
        <v>35</v>
      </c>
      <c r="S203" s="18">
        <v>0</v>
      </c>
      <c r="T203" s="18">
        <v>100</v>
      </c>
      <c r="U203" s="18" t="s">
        <v>338</v>
      </c>
      <c r="V203" s="18">
        <v>0</v>
      </c>
      <c r="W203" s="18">
        <v>0</v>
      </c>
      <c r="X203" s="18" t="s">
        <v>334</v>
      </c>
      <c r="Y203" s="18" t="s">
        <v>378</v>
      </c>
      <c r="Z203" s="18" t="s">
        <v>402</v>
      </c>
      <c r="AA203" s="18">
        <v>1</v>
      </c>
      <c r="AB203" s="18">
        <v>0</v>
      </c>
      <c r="AC203" s="18" t="b">
        <v>1</v>
      </c>
      <c r="AD203" s="18" t="s">
        <v>329</v>
      </c>
      <c r="AE203" s="18">
        <v>80</v>
      </c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 t="s">
        <v>339</v>
      </c>
      <c r="AZ203" s="18">
        <v>11700</v>
      </c>
      <c r="BA203" s="18" t="s">
        <v>395</v>
      </c>
      <c r="BB203" s="18" t="s">
        <v>402</v>
      </c>
      <c r="BC203" s="18">
        <v>10000</v>
      </c>
      <c r="BD203" s="18">
        <v>0</v>
      </c>
      <c r="BE203" s="18" t="s">
        <v>332</v>
      </c>
      <c r="BF203" s="18">
        <v>0</v>
      </c>
      <c r="BG203" s="18"/>
      <c r="BH203" s="18"/>
      <c r="BI203" s="18"/>
      <c r="BJ203" s="18"/>
      <c r="BK203" s="18"/>
      <c r="BL203" s="18"/>
      <c r="BM203" s="18">
        <v>21001407</v>
      </c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>
        <v>200</v>
      </c>
      <c r="GS203" s="18">
        <v>400</v>
      </c>
      <c r="GT203" s="18" t="s">
        <v>356</v>
      </c>
      <c r="GU203" s="18">
        <v>30009</v>
      </c>
      <c r="GV203" s="18" t="s">
        <v>339</v>
      </c>
      <c r="GW203" s="18" t="s">
        <v>339</v>
      </c>
      <c r="GX203" s="18" t="b">
        <v>1</v>
      </c>
      <c r="GY203" s="18">
        <v>12000</v>
      </c>
      <c r="GZ203" s="18" t="b">
        <v>0</v>
      </c>
      <c r="HA203" s="18">
        <v>0</v>
      </c>
      <c r="HB203" s="18">
        <v>0</v>
      </c>
      <c r="HC203" s="18">
        <v>0</v>
      </c>
      <c r="HD203" s="18">
        <v>0</v>
      </c>
      <c r="HE203" s="18" t="b">
        <v>0</v>
      </c>
      <c r="HF203" s="18">
        <v>0</v>
      </c>
      <c r="HG203" s="18">
        <v>10001</v>
      </c>
      <c r="HH203" s="18" t="s">
        <v>339</v>
      </c>
      <c r="HI203" s="18" t="s">
        <v>334</v>
      </c>
      <c r="HJ203" s="18">
        <v>0</v>
      </c>
      <c r="HK203" s="18">
        <v>0</v>
      </c>
      <c r="HL203" s="18">
        <v>0</v>
      </c>
      <c r="HM203" s="18">
        <v>0</v>
      </c>
      <c r="HN203" s="18" t="b">
        <v>0</v>
      </c>
    </row>
    <row r="204" spans="1:222">
      <c r="A204"/>
      <c r="B204" s="29" cm="1">
        <f t="array" ref="B204">10000000+INDEX(编号表!$B$1:$B$112,MATCH(D204,编号表!$A$1:$A$112,0))*10000+I204</f>
        <v>10200008</v>
      </c>
      <c r="C204" s="18" t="s">
        <v>400</v>
      </c>
      <c r="D204" s="18" t="s">
        <v>400</v>
      </c>
      <c r="E204" s="18" t="s">
        <v>322</v>
      </c>
      <c r="F204" s="18" t="s">
        <v>336</v>
      </c>
      <c r="G204" s="18" t="b">
        <v>0</v>
      </c>
      <c r="H204" s="18" t="b">
        <v>0</v>
      </c>
      <c r="I204" s="18">
        <v>8</v>
      </c>
      <c r="J204" s="18">
        <v>102000</v>
      </c>
      <c r="K204" s="18" t="s">
        <v>324</v>
      </c>
      <c r="L204" s="18">
        <v>10200007</v>
      </c>
      <c r="M204" s="18">
        <v>10200009</v>
      </c>
      <c r="N204" s="18" t="s">
        <v>401</v>
      </c>
      <c r="O204" s="18">
        <v>10202019</v>
      </c>
      <c r="P204" s="18">
        <v>0</v>
      </c>
      <c r="Q204" s="18">
        <v>3</v>
      </c>
      <c r="R204" s="18">
        <v>35</v>
      </c>
      <c r="S204" s="18">
        <v>0</v>
      </c>
      <c r="T204" s="18">
        <v>100</v>
      </c>
      <c r="U204" s="18" t="s">
        <v>338</v>
      </c>
      <c r="V204" s="18">
        <v>0</v>
      </c>
      <c r="W204" s="18">
        <v>0</v>
      </c>
      <c r="X204" s="18" t="s">
        <v>334</v>
      </c>
      <c r="Y204" s="18" t="s">
        <v>378</v>
      </c>
      <c r="Z204" s="18" t="s">
        <v>402</v>
      </c>
      <c r="AA204" s="18">
        <v>1</v>
      </c>
      <c r="AB204" s="18">
        <v>0</v>
      </c>
      <c r="AC204" s="18" t="b">
        <v>1</v>
      </c>
      <c r="AD204" s="18" t="s">
        <v>329</v>
      </c>
      <c r="AE204" s="18">
        <v>80</v>
      </c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 t="s">
        <v>339</v>
      </c>
      <c r="AZ204" s="18">
        <v>11800</v>
      </c>
      <c r="BA204" s="18" t="s">
        <v>395</v>
      </c>
      <c r="BB204" s="18" t="s">
        <v>402</v>
      </c>
      <c r="BC204" s="18">
        <v>10000</v>
      </c>
      <c r="BD204" s="18">
        <v>0</v>
      </c>
      <c r="BE204" s="18" t="s">
        <v>332</v>
      </c>
      <c r="BF204" s="18">
        <v>0</v>
      </c>
      <c r="BG204" s="18"/>
      <c r="BH204" s="18"/>
      <c r="BI204" s="18"/>
      <c r="BJ204" s="18"/>
      <c r="BK204" s="18"/>
      <c r="BL204" s="18"/>
      <c r="BM204" s="18">
        <v>21001408</v>
      </c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>
        <v>200</v>
      </c>
      <c r="GS204" s="18">
        <v>400</v>
      </c>
      <c r="GT204" s="18" t="s">
        <v>356</v>
      </c>
      <c r="GU204" s="18">
        <v>30009</v>
      </c>
      <c r="GV204" s="18" t="s">
        <v>339</v>
      </c>
      <c r="GW204" s="18" t="s">
        <v>339</v>
      </c>
      <c r="GX204" s="18" t="b">
        <v>1</v>
      </c>
      <c r="GY204" s="18">
        <v>12000</v>
      </c>
      <c r="GZ204" s="18" t="b">
        <v>0</v>
      </c>
      <c r="HA204" s="18">
        <v>0</v>
      </c>
      <c r="HB204" s="18">
        <v>0</v>
      </c>
      <c r="HC204" s="18">
        <v>0</v>
      </c>
      <c r="HD204" s="18">
        <v>0</v>
      </c>
      <c r="HE204" s="18" t="b">
        <v>0</v>
      </c>
      <c r="HF204" s="18">
        <v>0</v>
      </c>
      <c r="HG204" s="18">
        <v>10001</v>
      </c>
      <c r="HH204" s="18" t="s">
        <v>339</v>
      </c>
      <c r="HI204" s="18" t="s">
        <v>334</v>
      </c>
      <c r="HJ204" s="18">
        <v>0</v>
      </c>
      <c r="HK204" s="18">
        <v>0</v>
      </c>
      <c r="HL204" s="18">
        <v>0</v>
      </c>
      <c r="HM204" s="18">
        <v>0</v>
      </c>
      <c r="HN204" s="18" t="b">
        <v>0</v>
      </c>
    </row>
    <row r="205" spans="1:222">
      <c r="A205"/>
      <c r="B205" s="29" cm="1">
        <f t="array" ref="B205">10000000+INDEX(编号表!$B$1:$B$112,MATCH(D205,编号表!$A$1:$A$112,0))*10000+I205</f>
        <v>10200009</v>
      </c>
      <c r="C205" s="18" t="s">
        <v>400</v>
      </c>
      <c r="D205" s="18" t="s">
        <v>400</v>
      </c>
      <c r="E205" s="18" t="s">
        <v>322</v>
      </c>
      <c r="F205" s="18" t="s">
        <v>336</v>
      </c>
      <c r="G205" s="18" t="b">
        <v>0</v>
      </c>
      <c r="H205" s="18" t="b">
        <v>0</v>
      </c>
      <c r="I205" s="18">
        <v>9</v>
      </c>
      <c r="J205" s="18">
        <v>102000</v>
      </c>
      <c r="K205" s="18" t="s">
        <v>324</v>
      </c>
      <c r="L205" s="18">
        <v>10200008</v>
      </c>
      <c r="M205" s="18">
        <v>10200010</v>
      </c>
      <c r="N205" s="18" t="s">
        <v>401</v>
      </c>
      <c r="O205" s="18">
        <v>10202019</v>
      </c>
      <c r="P205" s="18">
        <v>0</v>
      </c>
      <c r="Q205" s="18">
        <v>3</v>
      </c>
      <c r="R205" s="18">
        <v>40</v>
      </c>
      <c r="S205" s="18">
        <v>0</v>
      </c>
      <c r="T205" s="18">
        <v>100</v>
      </c>
      <c r="U205" s="18" t="s">
        <v>338</v>
      </c>
      <c r="V205" s="18">
        <v>0</v>
      </c>
      <c r="W205" s="18">
        <v>0</v>
      </c>
      <c r="X205" s="18" t="s">
        <v>334</v>
      </c>
      <c r="Y205" s="18" t="s">
        <v>378</v>
      </c>
      <c r="Z205" s="18" t="s">
        <v>402</v>
      </c>
      <c r="AA205" s="18">
        <v>1</v>
      </c>
      <c r="AB205" s="18">
        <v>0</v>
      </c>
      <c r="AC205" s="18" t="b">
        <v>1</v>
      </c>
      <c r="AD205" s="18" t="s">
        <v>329</v>
      </c>
      <c r="AE205" s="18">
        <v>80</v>
      </c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 t="s">
        <v>339</v>
      </c>
      <c r="AZ205" s="18">
        <v>11900</v>
      </c>
      <c r="BA205" s="18" t="s">
        <v>395</v>
      </c>
      <c r="BB205" s="18" t="s">
        <v>402</v>
      </c>
      <c r="BC205" s="18">
        <v>10000</v>
      </c>
      <c r="BD205" s="18">
        <v>0</v>
      </c>
      <c r="BE205" s="18" t="s">
        <v>332</v>
      </c>
      <c r="BF205" s="18">
        <v>0</v>
      </c>
      <c r="BG205" s="18"/>
      <c r="BH205" s="18"/>
      <c r="BI205" s="18"/>
      <c r="BJ205" s="18"/>
      <c r="BK205" s="18"/>
      <c r="BL205" s="18"/>
      <c r="BM205" s="18">
        <v>21001409</v>
      </c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>
        <v>200</v>
      </c>
      <c r="GS205" s="18">
        <v>400</v>
      </c>
      <c r="GT205" s="18" t="s">
        <v>356</v>
      </c>
      <c r="GU205" s="18">
        <v>30009</v>
      </c>
      <c r="GV205" s="18" t="s">
        <v>339</v>
      </c>
      <c r="GW205" s="18" t="s">
        <v>339</v>
      </c>
      <c r="GX205" s="18" t="b">
        <v>1</v>
      </c>
      <c r="GY205" s="18">
        <v>12000</v>
      </c>
      <c r="GZ205" s="18" t="b">
        <v>0</v>
      </c>
      <c r="HA205" s="18">
        <v>0</v>
      </c>
      <c r="HB205" s="18">
        <v>0</v>
      </c>
      <c r="HC205" s="18">
        <v>0</v>
      </c>
      <c r="HD205" s="18">
        <v>0</v>
      </c>
      <c r="HE205" s="18" t="b">
        <v>0</v>
      </c>
      <c r="HF205" s="18">
        <v>0</v>
      </c>
      <c r="HG205" s="18">
        <v>10001</v>
      </c>
      <c r="HH205" s="18" t="s">
        <v>339</v>
      </c>
      <c r="HI205" s="18" t="s">
        <v>334</v>
      </c>
      <c r="HJ205" s="18">
        <v>0</v>
      </c>
      <c r="HK205" s="18">
        <v>0</v>
      </c>
      <c r="HL205" s="18">
        <v>0</v>
      </c>
      <c r="HM205" s="18">
        <v>0</v>
      </c>
      <c r="HN205" s="18" t="b">
        <v>0</v>
      </c>
    </row>
    <row r="206" spans="1:222">
      <c r="A206"/>
      <c r="B206" s="29" cm="1">
        <f t="array" ref="B206">10000000+INDEX(编号表!$B$1:$B$112,MATCH(D206,编号表!$A$1:$A$112,0))*10000+I206</f>
        <v>10200010</v>
      </c>
      <c r="C206" s="18" t="s">
        <v>400</v>
      </c>
      <c r="D206" s="18" t="s">
        <v>400</v>
      </c>
      <c r="E206" s="18" t="s">
        <v>322</v>
      </c>
      <c r="F206" s="18" t="s">
        <v>336</v>
      </c>
      <c r="G206" s="18" t="b">
        <v>0</v>
      </c>
      <c r="H206" s="18" t="b">
        <v>0</v>
      </c>
      <c r="I206" s="18">
        <v>10</v>
      </c>
      <c r="J206" s="18">
        <v>102000</v>
      </c>
      <c r="K206" s="18" t="s">
        <v>324</v>
      </c>
      <c r="L206" s="18">
        <v>10200009</v>
      </c>
      <c r="M206" s="18">
        <v>0</v>
      </c>
      <c r="N206" s="18" t="s">
        <v>401</v>
      </c>
      <c r="O206" s="18">
        <v>10202019</v>
      </c>
      <c r="P206" s="18">
        <v>0</v>
      </c>
      <c r="Q206" s="18">
        <v>3</v>
      </c>
      <c r="R206" s="18">
        <v>40</v>
      </c>
      <c r="S206" s="18">
        <v>0</v>
      </c>
      <c r="T206" s="18">
        <v>0</v>
      </c>
      <c r="U206" s="18" t="s">
        <v>338</v>
      </c>
      <c r="V206" s="18">
        <v>0</v>
      </c>
      <c r="W206" s="18">
        <v>0</v>
      </c>
      <c r="X206" s="18" t="s">
        <v>334</v>
      </c>
      <c r="Y206" s="18" t="s">
        <v>378</v>
      </c>
      <c r="Z206" s="18" t="s">
        <v>402</v>
      </c>
      <c r="AA206" s="18">
        <v>1</v>
      </c>
      <c r="AB206" s="18">
        <v>0</v>
      </c>
      <c r="AC206" s="18" t="b">
        <v>1</v>
      </c>
      <c r="AD206" s="18" t="s">
        <v>329</v>
      </c>
      <c r="AE206" s="18">
        <v>80</v>
      </c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 t="s">
        <v>339</v>
      </c>
      <c r="AZ206" s="18">
        <v>12000</v>
      </c>
      <c r="BA206" s="18" t="s">
        <v>395</v>
      </c>
      <c r="BB206" s="18" t="s">
        <v>402</v>
      </c>
      <c r="BC206" s="18">
        <v>10000</v>
      </c>
      <c r="BD206" s="18">
        <v>0</v>
      </c>
      <c r="BE206" s="18" t="s">
        <v>332</v>
      </c>
      <c r="BF206" s="18">
        <v>0</v>
      </c>
      <c r="BG206" s="18"/>
      <c r="BH206" s="18"/>
      <c r="BI206" s="18"/>
      <c r="BJ206" s="18"/>
      <c r="BK206" s="18"/>
      <c r="BL206" s="18"/>
      <c r="BM206" s="18">
        <v>21001410</v>
      </c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>
        <v>200</v>
      </c>
      <c r="GS206" s="18">
        <v>400</v>
      </c>
      <c r="GT206" s="18" t="s">
        <v>356</v>
      </c>
      <c r="GU206" s="18">
        <v>30009</v>
      </c>
      <c r="GV206" s="18" t="s">
        <v>339</v>
      </c>
      <c r="GW206" s="18" t="s">
        <v>339</v>
      </c>
      <c r="GX206" s="18" t="b">
        <v>1</v>
      </c>
      <c r="GY206" s="18">
        <v>12000</v>
      </c>
      <c r="GZ206" s="18" t="b">
        <v>0</v>
      </c>
      <c r="HA206" s="18">
        <v>0</v>
      </c>
      <c r="HB206" s="18">
        <v>0</v>
      </c>
      <c r="HC206" s="18">
        <v>0</v>
      </c>
      <c r="HD206" s="18">
        <v>0</v>
      </c>
      <c r="HE206" s="18" t="b">
        <v>0</v>
      </c>
      <c r="HF206" s="18">
        <v>0</v>
      </c>
      <c r="HG206" s="18">
        <v>10001</v>
      </c>
      <c r="HH206" s="18" t="s">
        <v>339</v>
      </c>
      <c r="HI206" s="18" t="s">
        <v>334</v>
      </c>
      <c r="HJ206" s="18">
        <v>0</v>
      </c>
      <c r="HK206" s="18">
        <v>0</v>
      </c>
      <c r="HL206" s="18">
        <v>0</v>
      </c>
      <c r="HM206" s="18">
        <v>0</v>
      </c>
      <c r="HN206" s="18" t="b">
        <v>0</v>
      </c>
    </row>
    <row r="207" spans="1:222">
      <c r="A207"/>
      <c r="B207" s="29" cm="1">
        <f t="array" ref="B207">10000000+INDEX(编号表!$B$1:$B$112,MATCH(D207,编号表!$A$1:$A$112,0))*10000+I207</f>
        <v>10210001</v>
      </c>
      <c r="C207" s="18" t="s">
        <v>403</v>
      </c>
      <c r="D207" s="18" t="s">
        <v>403</v>
      </c>
      <c r="E207" s="18" t="s">
        <v>322</v>
      </c>
      <c r="F207" s="18" t="s">
        <v>373</v>
      </c>
      <c r="G207" s="18" t="b">
        <v>0</v>
      </c>
      <c r="H207" s="18" t="b">
        <v>0</v>
      </c>
      <c r="I207" s="18">
        <v>1</v>
      </c>
      <c r="J207" s="18">
        <v>102100</v>
      </c>
      <c r="K207" s="18" t="s">
        <v>324</v>
      </c>
      <c r="L207" s="18">
        <v>0</v>
      </c>
      <c r="M207" s="18">
        <v>10210002</v>
      </c>
      <c r="N207" s="18" t="s">
        <v>404</v>
      </c>
      <c r="O207" s="18">
        <v>10202020</v>
      </c>
      <c r="P207" s="18">
        <v>0</v>
      </c>
      <c r="Q207" s="18">
        <v>0</v>
      </c>
      <c r="R207" s="18">
        <v>1</v>
      </c>
      <c r="S207" s="18">
        <v>0</v>
      </c>
      <c r="T207" s="18">
        <v>100</v>
      </c>
      <c r="U207" s="18" t="s">
        <v>338</v>
      </c>
      <c r="V207" s="18">
        <v>0</v>
      </c>
      <c r="W207" s="18">
        <v>0</v>
      </c>
      <c r="X207" s="18" t="s">
        <v>334</v>
      </c>
      <c r="Y207" s="18" t="s">
        <v>378</v>
      </c>
      <c r="Z207" s="18" t="s">
        <v>402</v>
      </c>
      <c r="AA207" s="18">
        <v>1</v>
      </c>
      <c r="AB207" s="18">
        <v>0</v>
      </c>
      <c r="AC207" s="18" t="b">
        <v>1</v>
      </c>
      <c r="AD207" s="18" t="s">
        <v>329</v>
      </c>
      <c r="AE207" s="18">
        <v>80</v>
      </c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 t="s">
        <v>339</v>
      </c>
      <c r="AZ207" s="18">
        <v>10000</v>
      </c>
      <c r="BA207" s="18" t="s">
        <v>395</v>
      </c>
      <c r="BB207" s="18" t="s">
        <v>402</v>
      </c>
      <c r="BC207" s="18">
        <v>10000</v>
      </c>
      <c r="BD207" s="18">
        <v>0</v>
      </c>
      <c r="BE207" s="18" t="s">
        <v>332</v>
      </c>
      <c r="BF207" s="18">
        <v>0</v>
      </c>
      <c r="BG207" s="18"/>
      <c r="BH207" s="18"/>
      <c r="BI207" s="18"/>
      <c r="BJ207" s="18"/>
      <c r="BK207" s="18"/>
      <c r="BL207" s="18"/>
      <c r="BM207" s="18">
        <v>21001501</v>
      </c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>
        <v>200</v>
      </c>
      <c r="GS207" s="18">
        <v>400</v>
      </c>
      <c r="GT207" s="18" t="s">
        <v>356</v>
      </c>
      <c r="GU207" s="18">
        <v>30008</v>
      </c>
      <c r="GV207" s="18" t="s">
        <v>339</v>
      </c>
      <c r="GW207" s="18" t="s">
        <v>339</v>
      </c>
      <c r="GX207" s="18" t="b">
        <v>1</v>
      </c>
      <c r="GY207" s="18">
        <v>12000</v>
      </c>
      <c r="GZ207" s="18" t="b">
        <v>0</v>
      </c>
      <c r="HA207" s="18">
        <v>0</v>
      </c>
      <c r="HB207" s="18">
        <v>0</v>
      </c>
      <c r="HC207" s="18">
        <v>0</v>
      </c>
      <c r="HD207" s="18">
        <v>0</v>
      </c>
      <c r="HE207" s="18" t="b">
        <v>0</v>
      </c>
      <c r="HF207" s="18">
        <v>0</v>
      </c>
      <c r="HG207" s="18">
        <v>10001</v>
      </c>
      <c r="HH207" s="18" t="s">
        <v>339</v>
      </c>
      <c r="HI207" s="18" t="s">
        <v>334</v>
      </c>
      <c r="HJ207" s="18">
        <v>0</v>
      </c>
      <c r="HK207" s="18">
        <v>0</v>
      </c>
      <c r="HL207" s="18">
        <v>0</v>
      </c>
      <c r="HM207" s="18">
        <v>0</v>
      </c>
      <c r="HN207" s="18" t="b">
        <v>0</v>
      </c>
    </row>
    <row r="208" spans="1:222">
      <c r="A208"/>
      <c r="B208" s="29" cm="1">
        <f t="array" ref="B208">10000000+INDEX(编号表!$B$1:$B$112,MATCH(D208,编号表!$A$1:$A$112,0))*10000+I208</f>
        <v>10210002</v>
      </c>
      <c r="C208" s="18" t="s">
        <v>403</v>
      </c>
      <c r="D208" s="18" t="s">
        <v>403</v>
      </c>
      <c r="E208" s="18" t="s">
        <v>322</v>
      </c>
      <c r="F208" s="18" t="s">
        <v>373</v>
      </c>
      <c r="G208" s="18" t="b">
        <v>0</v>
      </c>
      <c r="H208" s="18" t="b">
        <v>0</v>
      </c>
      <c r="I208" s="18">
        <v>2</v>
      </c>
      <c r="J208" s="18">
        <v>102100</v>
      </c>
      <c r="K208" s="18" t="s">
        <v>324</v>
      </c>
      <c r="L208" s="18">
        <v>10210001</v>
      </c>
      <c r="M208" s="18">
        <v>10210003</v>
      </c>
      <c r="N208" s="18" t="s">
        <v>404</v>
      </c>
      <c r="O208" s="18">
        <v>10202020</v>
      </c>
      <c r="P208" s="18">
        <v>0</v>
      </c>
      <c r="Q208" s="18">
        <v>1</v>
      </c>
      <c r="R208" s="18">
        <v>7</v>
      </c>
      <c r="S208" s="18">
        <v>0</v>
      </c>
      <c r="T208" s="18">
        <v>100</v>
      </c>
      <c r="U208" s="18" t="s">
        <v>338</v>
      </c>
      <c r="V208" s="18">
        <v>0</v>
      </c>
      <c r="W208" s="18">
        <v>0</v>
      </c>
      <c r="X208" s="18" t="s">
        <v>334</v>
      </c>
      <c r="Y208" s="18" t="s">
        <v>378</v>
      </c>
      <c r="Z208" s="18" t="s">
        <v>402</v>
      </c>
      <c r="AA208" s="18">
        <v>1</v>
      </c>
      <c r="AB208" s="18">
        <v>0</v>
      </c>
      <c r="AC208" s="18" t="b">
        <v>1</v>
      </c>
      <c r="AD208" s="18" t="s">
        <v>329</v>
      </c>
      <c r="AE208" s="18">
        <v>80</v>
      </c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 t="s">
        <v>339</v>
      </c>
      <c r="AZ208" s="18">
        <v>10400</v>
      </c>
      <c r="BA208" s="18" t="s">
        <v>395</v>
      </c>
      <c r="BB208" s="18" t="s">
        <v>402</v>
      </c>
      <c r="BC208" s="18">
        <v>10000</v>
      </c>
      <c r="BD208" s="18">
        <v>0</v>
      </c>
      <c r="BE208" s="18" t="s">
        <v>332</v>
      </c>
      <c r="BF208" s="18">
        <v>0</v>
      </c>
      <c r="BG208" s="18"/>
      <c r="BH208" s="18"/>
      <c r="BI208" s="18"/>
      <c r="BJ208" s="18"/>
      <c r="BK208" s="18"/>
      <c r="BL208" s="18"/>
      <c r="BM208" s="18">
        <v>21001502</v>
      </c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>
        <v>200</v>
      </c>
      <c r="GS208" s="18">
        <v>400</v>
      </c>
      <c r="GT208" s="18" t="s">
        <v>356</v>
      </c>
      <c r="GU208" s="18">
        <v>30008</v>
      </c>
      <c r="GV208" s="18" t="s">
        <v>339</v>
      </c>
      <c r="GW208" s="18" t="s">
        <v>339</v>
      </c>
      <c r="GX208" s="18" t="b">
        <v>1</v>
      </c>
      <c r="GY208" s="18">
        <v>12000</v>
      </c>
      <c r="GZ208" s="18" t="b">
        <v>0</v>
      </c>
      <c r="HA208" s="18">
        <v>0</v>
      </c>
      <c r="HB208" s="18">
        <v>0</v>
      </c>
      <c r="HC208" s="18">
        <v>0</v>
      </c>
      <c r="HD208" s="18">
        <v>0</v>
      </c>
      <c r="HE208" s="18" t="b">
        <v>0</v>
      </c>
      <c r="HF208" s="18">
        <v>0</v>
      </c>
      <c r="HG208" s="18">
        <v>10001</v>
      </c>
      <c r="HH208" s="18" t="s">
        <v>339</v>
      </c>
      <c r="HI208" s="18" t="s">
        <v>334</v>
      </c>
      <c r="HJ208" s="18">
        <v>0</v>
      </c>
      <c r="HK208" s="18">
        <v>0</v>
      </c>
      <c r="HL208" s="18">
        <v>0</v>
      </c>
      <c r="HM208" s="18">
        <v>0</v>
      </c>
      <c r="HN208" s="18" t="b">
        <v>0</v>
      </c>
    </row>
    <row r="209" spans="1:222">
      <c r="A209"/>
      <c r="B209" s="29" cm="1">
        <f t="array" ref="B209">10000000+INDEX(编号表!$B$1:$B$112,MATCH(D209,编号表!$A$1:$A$112,0))*10000+I209</f>
        <v>10210003</v>
      </c>
      <c r="C209" s="18" t="s">
        <v>403</v>
      </c>
      <c r="D209" s="18" t="s">
        <v>403</v>
      </c>
      <c r="E209" s="18" t="s">
        <v>322</v>
      </c>
      <c r="F209" s="18" t="s">
        <v>373</v>
      </c>
      <c r="G209" s="18" t="b">
        <v>0</v>
      </c>
      <c r="H209" s="18" t="b">
        <v>0</v>
      </c>
      <c r="I209" s="18">
        <v>3</v>
      </c>
      <c r="J209" s="18">
        <v>102100</v>
      </c>
      <c r="K209" s="18" t="s">
        <v>324</v>
      </c>
      <c r="L209" s="18">
        <v>10210002</v>
      </c>
      <c r="M209" s="18">
        <v>10210004</v>
      </c>
      <c r="N209" s="18" t="s">
        <v>404</v>
      </c>
      <c r="O209" s="18">
        <v>10202020</v>
      </c>
      <c r="P209" s="18">
        <v>0</v>
      </c>
      <c r="Q209" s="18">
        <v>2</v>
      </c>
      <c r="R209" s="18">
        <v>11</v>
      </c>
      <c r="S209" s="18">
        <v>0</v>
      </c>
      <c r="T209" s="18">
        <v>100</v>
      </c>
      <c r="U209" s="18" t="s">
        <v>338</v>
      </c>
      <c r="V209" s="18">
        <v>0</v>
      </c>
      <c r="W209" s="18">
        <v>0</v>
      </c>
      <c r="X209" s="18" t="s">
        <v>334</v>
      </c>
      <c r="Y209" s="18" t="s">
        <v>378</v>
      </c>
      <c r="Z209" s="18" t="s">
        <v>402</v>
      </c>
      <c r="AA209" s="18">
        <v>1</v>
      </c>
      <c r="AB209" s="18">
        <v>0</v>
      </c>
      <c r="AC209" s="18" t="b">
        <v>1</v>
      </c>
      <c r="AD209" s="18" t="s">
        <v>329</v>
      </c>
      <c r="AE209" s="18">
        <v>80</v>
      </c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 t="s">
        <v>339</v>
      </c>
      <c r="AZ209" s="18">
        <v>10800</v>
      </c>
      <c r="BA209" s="18" t="s">
        <v>395</v>
      </c>
      <c r="BB209" s="18" t="s">
        <v>402</v>
      </c>
      <c r="BC209" s="18">
        <v>10000</v>
      </c>
      <c r="BD209" s="18">
        <v>0</v>
      </c>
      <c r="BE209" s="18" t="s">
        <v>332</v>
      </c>
      <c r="BF209" s="18">
        <v>0</v>
      </c>
      <c r="BG209" s="18"/>
      <c r="BH209" s="18"/>
      <c r="BI209" s="18"/>
      <c r="BJ209" s="18"/>
      <c r="BK209" s="18"/>
      <c r="BL209" s="18"/>
      <c r="BM209" s="18">
        <v>21001503</v>
      </c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>
        <v>200</v>
      </c>
      <c r="GS209" s="18">
        <v>400</v>
      </c>
      <c r="GT209" s="18" t="s">
        <v>356</v>
      </c>
      <c r="GU209" s="18">
        <v>30008</v>
      </c>
      <c r="GV209" s="18" t="s">
        <v>339</v>
      </c>
      <c r="GW209" s="18" t="s">
        <v>339</v>
      </c>
      <c r="GX209" s="18" t="b">
        <v>1</v>
      </c>
      <c r="GY209" s="18">
        <v>12000</v>
      </c>
      <c r="GZ209" s="18" t="b">
        <v>0</v>
      </c>
      <c r="HA209" s="18">
        <v>0</v>
      </c>
      <c r="HB209" s="18">
        <v>0</v>
      </c>
      <c r="HC209" s="18">
        <v>0</v>
      </c>
      <c r="HD209" s="18">
        <v>0</v>
      </c>
      <c r="HE209" s="18" t="b">
        <v>0</v>
      </c>
      <c r="HF209" s="18">
        <v>0</v>
      </c>
      <c r="HG209" s="18">
        <v>10001</v>
      </c>
      <c r="HH209" s="18" t="s">
        <v>339</v>
      </c>
      <c r="HI209" s="18" t="s">
        <v>334</v>
      </c>
      <c r="HJ209" s="18">
        <v>0</v>
      </c>
      <c r="HK209" s="18">
        <v>0</v>
      </c>
      <c r="HL209" s="18">
        <v>0</v>
      </c>
      <c r="HM209" s="18">
        <v>0</v>
      </c>
      <c r="HN209" s="18" t="b">
        <v>0</v>
      </c>
    </row>
    <row r="210" spans="1:222">
      <c r="A210"/>
      <c r="B210" s="29" cm="1">
        <f t="array" ref="B210">10000000+INDEX(编号表!$B$1:$B$112,MATCH(D210,编号表!$A$1:$A$112,0))*10000+I210</f>
        <v>10210004</v>
      </c>
      <c r="C210" s="18" t="s">
        <v>403</v>
      </c>
      <c r="D210" s="18" t="s">
        <v>403</v>
      </c>
      <c r="E210" s="18" t="s">
        <v>322</v>
      </c>
      <c r="F210" s="18" t="s">
        <v>373</v>
      </c>
      <c r="G210" s="18" t="b">
        <v>0</v>
      </c>
      <c r="H210" s="18" t="b">
        <v>0</v>
      </c>
      <c r="I210" s="18">
        <v>4</v>
      </c>
      <c r="J210" s="18">
        <v>102100</v>
      </c>
      <c r="K210" s="18" t="s">
        <v>324</v>
      </c>
      <c r="L210" s="18">
        <v>10210003</v>
      </c>
      <c r="M210" s="18">
        <v>10210005</v>
      </c>
      <c r="N210" s="18" t="s">
        <v>404</v>
      </c>
      <c r="O210" s="18">
        <v>10202020</v>
      </c>
      <c r="P210" s="18">
        <v>0</v>
      </c>
      <c r="Q210" s="18">
        <v>3</v>
      </c>
      <c r="R210" s="18">
        <v>16</v>
      </c>
      <c r="S210" s="18">
        <v>0</v>
      </c>
      <c r="T210" s="18">
        <v>100</v>
      </c>
      <c r="U210" s="18" t="s">
        <v>338</v>
      </c>
      <c r="V210" s="18">
        <v>0</v>
      </c>
      <c r="W210" s="18">
        <v>0</v>
      </c>
      <c r="X210" s="18" t="s">
        <v>334</v>
      </c>
      <c r="Y210" s="18" t="s">
        <v>378</v>
      </c>
      <c r="Z210" s="18" t="s">
        <v>402</v>
      </c>
      <c r="AA210" s="18">
        <v>1</v>
      </c>
      <c r="AB210" s="18">
        <v>0</v>
      </c>
      <c r="AC210" s="18" t="b">
        <v>1</v>
      </c>
      <c r="AD210" s="18" t="s">
        <v>329</v>
      </c>
      <c r="AE210" s="18">
        <v>80</v>
      </c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 t="s">
        <v>339</v>
      </c>
      <c r="AZ210" s="18">
        <v>11200</v>
      </c>
      <c r="BA210" s="18" t="s">
        <v>395</v>
      </c>
      <c r="BB210" s="18" t="s">
        <v>402</v>
      </c>
      <c r="BC210" s="18">
        <v>10000</v>
      </c>
      <c r="BD210" s="18">
        <v>0</v>
      </c>
      <c r="BE210" s="18" t="s">
        <v>332</v>
      </c>
      <c r="BF210" s="18">
        <v>0</v>
      </c>
      <c r="BG210" s="18"/>
      <c r="BH210" s="18"/>
      <c r="BI210" s="18"/>
      <c r="BJ210" s="18"/>
      <c r="BK210" s="18"/>
      <c r="BL210" s="18"/>
      <c r="BM210" s="18">
        <v>21001504</v>
      </c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>
        <v>200</v>
      </c>
      <c r="GS210" s="18">
        <v>400</v>
      </c>
      <c r="GT210" s="18" t="s">
        <v>356</v>
      </c>
      <c r="GU210" s="18">
        <v>30008</v>
      </c>
      <c r="GV210" s="18" t="s">
        <v>339</v>
      </c>
      <c r="GW210" s="18" t="s">
        <v>339</v>
      </c>
      <c r="GX210" s="18" t="b">
        <v>1</v>
      </c>
      <c r="GY210" s="18">
        <v>12000</v>
      </c>
      <c r="GZ210" s="18" t="b">
        <v>0</v>
      </c>
      <c r="HA210" s="18">
        <v>0</v>
      </c>
      <c r="HB210" s="18">
        <v>0</v>
      </c>
      <c r="HC210" s="18">
        <v>0</v>
      </c>
      <c r="HD210" s="18">
        <v>0</v>
      </c>
      <c r="HE210" s="18" t="b">
        <v>0</v>
      </c>
      <c r="HF210" s="18">
        <v>0</v>
      </c>
      <c r="HG210" s="18">
        <v>10001</v>
      </c>
      <c r="HH210" s="18" t="s">
        <v>339</v>
      </c>
      <c r="HI210" s="18" t="s">
        <v>334</v>
      </c>
      <c r="HJ210" s="18">
        <v>0</v>
      </c>
      <c r="HK210" s="18">
        <v>0</v>
      </c>
      <c r="HL210" s="18">
        <v>0</v>
      </c>
      <c r="HM210" s="18">
        <v>0</v>
      </c>
      <c r="HN210" s="18" t="b">
        <v>0</v>
      </c>
    </row>
    <row r="211" spans="1:222">
      <c r="A211"/>
      <c r="B211" s="29" cm="1">
        <f t="array" ref="B211">10000000+INDEX(编号表!$B$1:$B$112,MATCH(D211,编号表!$A$1:$A$112,0))*10000+I211</f>
        <v>10210005</v>
      </c>
      <c r="C211" s="18" t="s">
        <v>403</v>
      </c>
      <c r="D211" s="18" t="s">
        <v>403</v>
      </c>
      <c r="E211" s="18" t="s">
        <v>322</v>
      </c>
      <c r="F211" s="18" t="s">
        <v>373</v>
      </c>
      <c r="G211" s="18" t="b">
        <v>0</v>
      </c>
      <c r="H211" s="18" t="b">
        <v>0</v>
      </c>
      <c r="I211" s="18">
        <v>5</v>
      </c>
      <c r="J211" s="18">
        <v>102100</v>
      </c>
      <c r="K211" s="18" t="s">
        <v>324</v>
      </c>
      <c r="L211" s="18">
        <v>10210004</v>
      </c>
      <c r="M211" s="18">
        <v>10210006</v>
      </c>
      <c r="N211" s="18" t="s">
        <v>404</v>
      </c>
      <c r="O211" s="18">
        <v>10202020</v>
      </c>
      <c r="P211" s="18">
        <v>0</v>
      </c>
      <c r="Q211" s="18">
        <v>3</v>
      </c>
      <c r="R211" s="18">
        <v>25</v>
      </c>
      <c r="S211" s="18">
        <v>0</v>
      </c>
      <c r="T211" s="18">
        <v>100</v>
      </c>
      <c r="U211" s="18" t="s">
        <v>338</v>
      </c>
      <c r="V211" s="18">
        <v>0</v>
      </c>
      <c r="W211" s="18">
        <v>0</v>
      </c>
      <c r="X211" s="18" t="s">
        <v>334</v>
      </c>
      <c r="Y211" s="18" t="s">
        <v>378</v>
      </c>
      <c r="Z211" s="18" t="s">
        <v>402</v>
      </c>
      <c r="AA211" s="18">
        <v>1</v>
      </c>
      <c r="AB211" s="18">
        <v>0</v>
      </c>
      <c r="AC211" s="18" t="b">
        <v>1</v>
      </c>
      <c r="AD211" s="18" t="s">
        <v>329</v>
      </c>
      <c r="AE211" s="18">
        <v>80</v>
      </c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 t="s">
        <v>339</v>
      </c>
      <c r="AZ211" s="18">
        <v>11300</v>
      </c>
      <c r="BA211" s="18" t="s">
        <v>395</v>
      </c>
      <c r="BB211" s="18" t="s">
        <v>402</v>
      </c>
      <c r="BC211" s="18">
        <v>10000</v>
      </c>
      <c r="BD211" s="18">
        <v>0</v>
      </c>
      <c r="BE211" s="18" t="s">
        <v>332</v>
      </c>
      <c r="BF211" s="18">
        <v>0</v>
      </c>
      <c r="BG211" s="18"/>
      <c r="BH211" s="18"/>
      <c r="BI211" s="18"/>
      <c r="BJ211" s="18"/>
      <c r="BK211" s="18"/>
      <c r="BL211" s="18"/>
      <c r="BM211" s="18">
        <v>21001505</v>
      </c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>
        <v>200</v>
      </c>
      <c r="GS211" s="18">
        <v>400</v>
      </c>
      <c r="GT211" s="18" t="s">
        <v>356</v>
      </c>
      <c r="GU211" s="18">
        <v>30008</v>
      </c>
      <c r="GV211" s="18" t="s">
        <v>339</v>
      </c>
      <c r="GW211" s="18" t="s">
        <v>339</v>
      </c>
      <c r="GX211" s="18" t="b">
        <v>1</v>
      </c>
      <c r="GY211" s="18">
        <v>12000</v>
      </c>
      <c r="GZ211" s="18" t="b">
        <v>0</v>
      </c>
      <c r="HA211" s="18">
        <v>0</v>
      </c>
      <c r="HB211" s="18">
        <v>0</v>
      </c>
      <c r="HC211" s="18">
        <v>0</v>
      </c>
      <c r="HD211" s="18">
        <v>0</v>
      </c>
      <c r="HE211" s="18" t="b">
        <v>0</v>
      </c>
      <c r="HF211" s="18">
        <v>0</v>
      </c>
      <c r="HG211" s="18">
        <v>10001</v>
      </c>
      <c r="HH211" s="18" t="s">
        <v>339</v>
      </c>
      <c r="HI211" s="18" t="s">
        <v>334</v>
      </c>
      <c r="HJ211" s="18">
        <v>0</v>
      </c>
      <c r="HK211" s="18">
        <v>0</v>
      </c>
      <c r="HL211" s="18">
        <v>0</v>
      </c>
      <c r="HM211" s="18">
        <v>0</v>
      </c>
      <c r="HN211" s="18" t="b">
        <v>0</v>
      </c>
    </row>
    <row r="212" spans="1:222">
      <c r="A212"/>
      <c r="B212" s="29" cm="1">
        <f t="array" ref="B212">10000000+INDEX(编号表!$B$1:$B$112,MATCH(D212,编号表!$A$1:$A$112,0))*10000+I212</f>
        <v>10210006</v>
      </c>
      <c r="C212" s="18" t="s">
        <v>403</v>
      </c>
      <c r="D212" s="18" t="s">
        <v>403</v>
      </c>
      <c r="E212" s="18" t="s">
        <v>322</v>
      </c>
      <c r="F212" s="18" t="s">
        <v>373</v>
      </c>
      <c r="G212" s="18" t="b">
        <v>0</v>
      </c>
      <c r="H212" s="18" t="b">
        <v>0</v>
      </c>
      <c r="I212" s="18">
        <v>6</v>
      </c>
      <c r="J212" s="18">
        <v>102100</v>
      </c>
      <c r="K212" s="18" t="s">
        <v>324</v>
      </c>
      <c r="L212" s="18">
        <v>10210005</v>
      </c>
      <c r="M212" s="18">
        <v>10210007</v>
      </c>
      <c r="N212" s="18" t="s">
        <v>404</v>
      </c>
      <c r="O212" s="18">
        <v>10202020</v>
      </c>
      <c r="P212" s="18">
        <v>0</v>
      </c>
      <c r="Q212" s="18">
        <v>3</v>
      </c>
      <c r="R212" s="18">
        <v>30</v>
      </c>
      <c r="S212" s="18">
        <v>0</v>
      </c>
      <c r="T212" s="18">
        <v>100</v>
      </c>
      <c r="U212" s="18" t="s">
        <v>338</v>
      </c>
      <c r="V212" s="18">
        <v>0</v>
      </c>
      <c r="W212" s="18">
        <v>0</v>
      </c>
      <c r="X212" s="18" t="s">
        <v>334</v>
      </c>
      <c r="Y212" s="18" t="s">
        <v>378</v>
      </c>
      <c r="Z212" s="18" t="s">
        <v>402</v>
      </c>
      <c r="AA212" s="18">
        <v>1</v>
      </c>
      <c r="AB212" s="18">
        <v>0</v>
      </c>
      <c r="AC212" s="18" t="b">
        <v>1</v>
      </c>
      <c r="AD212" s="18" t="s">
        <v>329</v>
      </c>
      <c r="AE212" s="18">
        <v>80</v>
      </c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 t="s">
        <v>339</v>
      </c>
      <c r="AZ212" s="18">
        <v>11600</v>
      </c>
      <c r="BA212" s="18" t="s">
        <v>395</v>
      </c>
      <c r="BB212" s="18" t="s">
        <v>402</v>
      </c>
      <c r="BC212" s="18">
        <v>10000</v>
      </c>
      <c r="BD212" s="18">
        <v>0</v>
      </c>
      <c r="BE212" s="18" t="s">
        <v>332</v>
      </c>
      <c r="BF212" s="18">
        <v>0</v>
      </c>
      <c r="BG212" s="18"/>
      <c r="BH212" s="18"/>
      <c r="BI212" s="18"/>
      <c r="BJ212" s="18"/>
      <c r="BK212" s="18"/>
      <c r="BL212" s="18"/>
      <c r="BM212" s="18">
        <v>21001506</v>
      </c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>
        <v>200</v>
      </c>
      <c r="GS212" s="18">
        <v>400</v>
      </c>
      <c r="GT212" s="18" t="s">
        <v>356</v>
      </c>
      <c r="GU212" s="18">
        <v>30008</v>
      </c>
      <c r="GV212" s="18" t="s">
        <v>339</v>
      </c>
      <c r="GW212" s="18" t="s">
        <v>339</v>
      </c>
      <c r="GX212" s="18" t="b">
        <v>1</v>
      </c>
      <c r="GY212" s="18">
        <v>12000</v>
      </c>
      <c r="GZ212" s="18" t="b">
        <v>0</v>
      </c>
      <c r="HA212" s="18">
        <v>0</v>
      </c>
      <c r="HB212" s="18">
        <v>0</v>
      </c>
      <c r="HC212" s="18">
        <v>0</v>
      </c>
      <c r="HD212" s="18">
        <v>0</v>
      </c>
      <c r="HE212" s="18" t="b">
        <v>0</v>
      </c>
      <c r="HF212" s="18">
        <v>0</v>
      </c>
      <c r="HG212" s="18">
        <v>10001</v>
      </c>
      <c r="HH212" s="18" t="s">
        <v>339</v>
      </c>
      <c r="HI212" s="18" t="s">
        <v>334</v>
      </c>
      <c r="HJ212" s="18">
        <v>0</v>
      </c>
      <c r="HK212" s="18">
        <v>0</v>
      </c>
      <c r="HL212" s="18">
        <v>0</v>
      </c>
      <c r="HM212" s="18">
        <v>0</v>
      </c>
      <c r="HN212" s="18" t="b">
        <v>0</v>
      </c>
    </row>
    <row r="213" spans="1:222">
      <c r="A213"/>
      <c r="B213" s="29" cm="1">
        <f t="array" ref="B213">10000000+INDEX(编号表!$B$1:$B$112,MATCH(D213,编号表!$A$1:$A$112,0))*10000+I213</f>
        <v>10210007</v>
      </c>
      <c r="C213" s="18" t="s">
        <v>403</v>
      </c>
      <c r="D213" s="18" t="s">
        <v>403</v>
      </c>
      <c r="E213" s="18" t="s">
        <v>322</v>
      </c>
      <c r="F213" s="18" t="s">
        <v>373</v>
      </c>
      <c r="G213" s="18" t="b">
        <v>0</v>
      </c>
      <c r="H213" s="18" t="b">
        <v>0</v>
      </c>
      <c r="I213" s="18">
        <v>7</v>
      </c>
      <c r="J213" s="18">
        <v>102100</v>
      </c>
      <c r="K213" s="18" t="s">
        <v>324</v>
      </c>
      <c r="L213" s="18">
        <v>10210006</v>
      </c>
      <c r="M213" s="18">
        <v>10210008</v>
      </c>
      <c r="N213" s="18" t="s">
        <v>404</v>
      </c>
      <c r="O213" s="18">
        <v>10202020</v>
      </c>
      <c r="P213" s="18">
        <v>0</v>
      </c>
      <c r="Q213" s="18">
        <v>3</v>
      </c>
      <c r="R213" s="18">
        <v>35</v>
      </c>
      <c r="S213" s="18">
        <v>0</v>
      </c>
      <c r="T213" s="18">
        <v>100</v>
      </c>
      <c r="U213" s="18" t="s">
        <v>338</v>
      </c>
      <c r="V213" s="18">
        <v>0</v>
      </c>
      <c r="W213" s="18">
        <v>0</v>
      </c>
      <c r="X213" s="18" t="s">
        <v>334</v>
      </c>
      <c r="Y213" s="18" t="s">
        <v>378</v>
      </c>
      <c r="Z213" s="18" t="s">
        <v>402</v>
      </c>
      <c r="AA213" s="18">
        <v>1</v>
      </c>
      <c r="AB213" s="18">
        <v>0</v>
      </c>
      <c r="AC213" s="18" t="b">
        <v>1</v>
      </c>
      <c r="AD213" s="18" t="s">
        <v>329</v>
      </c>
      <c r="AE213" s="18">
        <v>80</v>
      </c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 t="s">
        <v>339</v>
      </c>
      <c r="AZ213" s="18">
        <v>11700</v>
      </c>
      <c r="BA213" s="18" t="s">
        <v>395</v>
      </c>
      <c r="BB213" s="18" t="s">
        <v>402</v>
      </c>
      <c r="BC213" s="18">
        <v>10000</v>
      </c>
      <c r="BD213" s="18">
        <v>0</v>
      </c>
      <c r="BE213" s="18" t="s">
        <v>332</v>
      </c>
      <c r="BF213" s="18">
        <v>0</v>
      </c>
      <c r="BG213" s="18"/>
      <c r="BH213" s="18"/>
      <c r="BI213" s="18"/>
      <c r="BJ213" s="18"/>
      <c r="BK213" s="18"/>
      <c r="BL213" s="18"/>
      <c r="BM213" s="18">
        <v>21001507</v>
      </c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>
        <v>200</v>
      </c>
      <c r="GS213" s="18">
        <v>400</v>
      </c>
      <c r="GT213" s="18" t="s">
        <v>356</v>
      </c>
      <c r="GU213" s="18">
        <v>30008</v>
      </c>
      <c r="GV213" s="18" t="s">
        <v>339</v>
      </c>
      <c r="GW213" s="18" t="s">
        <v>339</v>
      </c>
      <c r="GX213" s="18" t="b">
        <v>1</v>
      </c>
      <c r="GY213" s="18">
        <v>12000</v>
      </c>
      <c r="GZ213" s="18" t="b">
        <v>0</v>
      </c>
      <c r="HA213" s="18">
        <v>0</v>
      </c>
      <c r="HB213" s="18">
        <v>0</v>
      </c>
      <c r="HC213" s="18">
        <v>0</v>
      </c>
      <c r="HD213" s="18">
        <v>0</v>
      </c>
      <c r="HE213" s="18" t="b">
        <v>0</v>
      </c>
      <c r="HF213" s="18">
        <v>0</v>
      </c>
      <c r="HG213" s="18">
        <v>10001</v>
      </c>
      <c r="HH213" s="18" t="s">
        <v>339</v>
      </c>
      <c r="HI213" s="18" t="s">
        <v>334</v>
      </c>
      <c r="HJ213" s="18">
        <v>0</v>
      </c>
      <c r="HK213" s="18">
        <v>0</v>
      </c>
      <c r="HL213" s="18">
        <v>0</v>
      </c>
      <c r="HM213" s="18">
        <v>0</v>
      </c>
      <c r="HN213" s="18" t="b">
        <v>0</v>
      </c>
    </row>
    <row r="214" spans="1:222">
      <c r="A214"/>
      <c r="B214" s="29" cm="1">
        <f t="array" ref="B214">10000000+INDEX(编号表!$B$1:$B$112,MATCH(D214,编号表!$A$1:$A$112,0))*10000+I214</f>
        <v>10210008</v>
      </c>
      <c r="C214" s="18" t="s">
        <v>403</v>
      </c>
      <c r="D214" s="18" t="s">
        <v>403</v>
      </c>
      <c r="E214" s="18" t="s">
        <v>322</v>
      </c>
      <c r="F214" s="18" t="s">
        <v>373</v>
      </c>
      <c r="G214" s="18" t="b">
        <v>0</v>
      </c>
      <c r="H214" s="18" t="b">
        <v>0</v>
      </c>
      <c r="I214" s="18">
        <v>8</v>
      </c>
      <c r="J214" s="18">
        <v>102100</v>
      </c>
      <c r="K214" s="18" t="s">
        <v>324</v>
      </c>
      <c r="L214" s="18">
        <v>10210007</v>
      </c>
      <c r="M214" s="18">
        <v>10210009</v>
      </c>
      <c r="N214" s="18" t="s">
        <v>404</v>
      </c>
      <c r="O214" s="18">
        <v>10202020</v>
      </c>
      <c r="P214" s="18">
        <v>0</v>
      </c>
      <c r="Q214" s="18">
        <v>3</v>
      </c>
      <c r="R214" s="18">
        <v>35</v>
      </c>
      <c r="S214" s="18">
        <v>0</v>
      </c>
      <c r="T214" s="18">
        <v>100</v>
      </c>
      <c r="U214" s="18" t="s">
        <v>338</v>
      </c>
      <c r="V214" s="18">
        <v>0</v>
      </c>
      <c r="W214" s="18">
        <v>0</v>
      </c>
      <c r="X214" s="18" t="s">
        <v>334</v>
      </c>
      <c r="Y214" s="18" t="s">
        <v>378</v>
      </c>
      <c r="Z214" s="18" t="s">
        <v>402</v>
      </c>
      <c r="AA214" s="18">
        <v>1</v>
      </c>
      <c r="AB214" s="18">
        <v>0</v>
      </c>
      <c r="AC214" s="18" t="b">
        <v>1</v>
      </c>
      <c r="AD214" s="18" t="s">
        <v>329</v>
      </c>
      <c r="AE214" s="18">
        <v>80</v>
      </c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 t="s">
        <v>339</v>
      </c>
      <c r="AZ214" s="18">
        <v>11800</v>
      </c>
      <c r="BA214" s="18" t="s">
        <v>395</v>
      </c>
      <c r="BB214" s="18" t="s">
        <v>402</v>
      </c>
      <c r="BC214" s="18">
        <v>10000</v>
      </c>
      <c r="BD214" s="18">
        <v>0</v>
      </c>
      <c r="BE214" s="18" t="s">
        <v>332</v>
      </c>
      <c r="BF214" s="18">
        <v>0</v>
      </c>
      <c r="BG214" s="18"/>
      <c r="BH214" s="18"/>
      <c r="BI214" s="18"/>
      <c r="BJ214" s="18"/>
      <c r="BK214" s="18"/>
      <c r="BL214" s="18"/>
      <c r="BM214" s="18">
        <v>21001508</v>
      </c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>
        <v>200</v>
      </c>
      <c r="GS214" s="18">
        <v>400</v>
      </c>
      <c r="GT214" s="18" t="s">
        <v>356</v>
      </c>
      <c r="GU214" s="18">
        <v>30008</v>
      </c>
      <c r="GV214" s="18" t="s">
        <v>339</v>
      </c>
      <c r="GW214" s="18" t="s">
        <v>339</v>
      </c>
      <c r="GX214" s="18" t="b">
        <v>1</v>
      </c>
      <c r="GY214" s="18">
        <v>12000</v>
      </c>
      <c r="GZ214" s="18" t="b">
        <v>0</v>
      </c>
      <c r="HA214" s="18">
        <v>0</v>
      </c>
      <c r="HB214" s="18">
        <v>0</v>
      </c>
      <c r="HC214" s="18">
        <v>0</v>
      </c>
      <c r="HD214" s="18">
        <v>0</v>
      </c>
      <c r="HE214" s="18" t="b">
        <v>0</v>
      </c>
      <c r="HF214" s="18">
        <v>0</v>
      </c>
      <c r="HG214" s="18">
        <v>10001</v>
      </c>
      <c r="HH214" s="18" t="s">
        <v>339</v>
      </c>
      <c r="HI214" s="18" t="s">
        <v>334</v>
      </c>
      <c r="HJ214" s="18">
        <v>0</v>
      </c>
      <c r="HK214" s="18">
        <v>0</v>
      </c>
      <c r="HL214" s="18">
        <v>0</v>
      </c>
      <c r="HM214" s="18">
        <v>0</v>
      </c>
      <c r="HN214" s="18" t="b">
        <v>0</v>
      </c>
    </row>
    <row r="215" spans="1:222">
      <c r="A215"/>
      <c r="B215" s="29" cm="1">
        <f t="array" ref="B215">10000000+INDEX(编号表!$B$1:$B$112,MATCH(D215,编号表!$A$1:$A$112,0))*10000+I215</f>
        <v>10210009</v>
      </c>
      <c r="C215" s="18" t="s">
        <v>403</v>
      </c>
      <c r="D215" s="18" t="s">
        <v>403</v>
      </c>
      <c r="E215" s="18" t="s">
        <v>322</v>
      </c>
      <c r="F215" s="18" t="s">
        <v>373</v>
      </c>
      <c r="G215" s="18" t="b">
        <v>0</v>
      </c>
      <c r="H215" s="18" t="b">
        <v>0</v>
      </c>
      <c r="I215" s="18">
        <v>9</v>
      </c>
      <c r="J215" s="18">
        <v>102100</v>
      </c>
      <c r="K215" s="18" t="s">
        <v>324</v>
      </c>
      <c r="L215" s="18">
        <v>10210008</v>
      </c>
      <c r="M215" s="18">
        <v>10210010</v>
      </c>
      <c r="N215" s="18" t="s">
        <v>404</v>
      </c>
      <c r="O215" s="18">
        <v>10202020</v>
      </c>
      <c r="P215" s="18">
        <v>0</v>
      </c>
      <c r="Q215" s="18">
        <v>3</v>
      </c>
      <c r="R215" s="18">
        <v>40</v>
      </c>
      <c r="S215" s="18">
        <v>0</v>
      </c>
      <c r="T215" s="18">
        <v>100</v>
      </c>
      <c r="U215" s="18" t="s">
        <v>338</v>
      </c>
      <c r="V215" s="18">
        <v>0</v>
      </c>
      <c r="W215" s="18">
        <v>0</v>
      </c>
      <c r="X215" s="18" t="s">
        <v>334</v>
      </c>
      <c r="Y215" s="18" t="s">
        <v>378</v>
      </c>
      <c r="Z215" s="18" t="s">
        <v>402</v>
      </c>
      <c r="AA215" s="18">
        <v>1</v>
      </c>
      <c r="AB215" s="18">
        <v>0</v>
      </c>
      <c r="AC215" s="18" t="b">
        <v>1</v>
      </c>
      <c r="AD215" s="18" t="s">
        <v>329</v>
      </c>
      <c r="AE215" s="18">
        <v>80</v>
      </c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 t="s">
        <v>339</v>
      </c>
      <c r="AZ215" s="18">
        <v>11900</v>
      </c>
      <c r="BA215" s="18" t="s">
        <v>395</v>
      </c>
      <c r="BB215" s="18" t="s">
        <v>402</v>
      </c>
      <c r="BC215" s="18">
        <v>10000</v>
      </c>
      <c r="BD215" s="18">
        <v>0</v>
      </c>
      <c r="BE215" s="18" t="s">
        <v>332</v>
      </c>
      <c r="BF215" s="18">
        <v>0</v>
      </c>
      <c r="BG215" s="18"/>
      <c r="BH215" s="18"/>
      <c r="BI215" s="18"/>
      <c r="BJ215" s="18"/>
      <c r="BK215" s="18"/>
      <c r="BL215" s="18"/>
      <c r="BM215" s="18">
        <v>21001509</v>
      </c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>
        <v>200</v>
      </c>
      <c r="GS215" s="18">
        <v>400</v>
      </c>
      <c r="GT215" s="18" t="s">
        <v>356</v>
      </c>
      <c r="GU215" s="18">
        <v>30008</v>
      </c>
      <c r="GV215" s="18" t="s">
        <v>339</v>
      </c>
      <c r="GW215" s="18" t="s">
        <v>339</v>
      </c>
      <c r="GX215" s="18" t="b">
        <v>1</v>
      </c>
      <c r="GY215" s="18">
        <v>12000</v>
      </c>
      <c r="GZ215" s="18" t="b">
        <v>0</v>
      </c>
      <c r="HA215" s="18">
        <v>0</v>
      </c>
      <c r="HB215" s="18">
        <v>0</v>
      </c>
      <c r="HC215" s="18">
        <v>0</v>
      </c>
      <c r="HD215" s="18">
        <v>0</v>
      </c>
      <c r="HE215" s="18" t="b">
        <v>0</v>
      </c>
      <c r="HF215" s="18">
        <v>0</v>
      </c>
      <c r="HG215" s="18">
        <v>10001</v>
      </c>
      <c r="HH215" s="18" t="s">
        <v>339</v>
      </c>
      <c r="HI215" s="18" t="s">
        <v>334</v>
      </c>
      <c r="HJ215" s="18">
        <v>0</v>
      </c>
      <c r="HK215" s="18">
        <v>0</v>
      </c>
      <c r="HL215" s="18">
        <v>0</v>
      </c>
      <c r="HM215" s="18">
        <v>0</v>
      </c>
      <c r="HN215" s="18" t="b">
        <v>0</v>
      </c>
    </row>
    <row r="216" spans="1:222">
      <c r="A216"/>
      <c r="B216" s="29" cm="1">
        <f t="array" ref="B216">10000000+INDEX(编号表!$B$1:$B$112,MATCH(D216,编号表!$A$1:$A$112,0))*10000+I216</f>
        <v>10210010</v>
      </c>
      <c r="C216" s="18" t="s">
        <v>403</v>
      </c>
      <c r="D216" s="18" t="s">
        <v>403</v>
      </c>
      <c r="E216" s="18" t="s">
        <v>322</v>
      </c>
      <c r="F216" s="18" t="s">
        <v>373</v>
      </c>
      <c r="G216" s="18" t="b">
        <v>0</v>
      </c>
      <c r="H216" s="18" t="b">
        <v>0</v>
      </c>
      <c r="I216" s="18">
        <v>10</v>
      </c>
      <c r="J216" s="18">
        <v>102100</v>
      </c>
      <c r="K216" s="18" t="s">
        <v>324</v>
      </c>
      <c r="L216" s="18">
        <v>10210009</v>
      </c>
      <c r="M216" s="18">
        <v>0</v>
      </c>
      <c r="N216" s="18" t="s">
        <v>404</v>
      </c>
      <c r="O216" s="18">
        <v>10202020</v>
      </c>
      <c r="P216" s="18">
        <v>0</v>
      </c>
      <c r="Q216" s="18">
        <v>3</v>
      </c>
      <c r="R216" s="18">
        <v>40</v>
      </c>
      <c r="S216" s="18">
        <v>0</v>
      </c>
      <c r="T216" s="18">
        <v>0</v>
      </c>
      <c r="U216" s="18" t="s">
        <v>338</v>
      </c>
      <c r="V216" s="18">
        <v>0</v>
      </c>
      <c r="W216" s="18">
        <v>0</v>
      </c>
      <c r="X216" s="18" t="s">
        <v>334</v>
      </c>
      <c r="Y216" s="18" t="s">
        <v>378</v>
      </c>
      <c r="Z216" s="18" t="s">
        <v>402</v>
      </c>
      <c r="AA216" s="18">
        <v>1</v>
      </c>
      <c r="AB216" s="18">
        <v>0</v>
      </c>
      <c r="AC216" s="18" t="b">
        <v>1</v>
      </c>
      <c r="AD216" s="18" t="s">
        <v>329</v>
      </c>
      <c r="AE216" s="18">
        <v>80</v>
      </c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 t="s">
        <v>339</v>
      </c>
      <c r="AZ216" s="18">
        <v>12000</v>
      </c>
      <c r="BA216" s="18" t="s">
        <v>395</v>
      </c>
      <c r="BB216" s="18" t="s">
        <v>402</v>
      </c>
      <c r="BC216" s="18">
        <v>10000</v>
      </c>
      <c r="BD216" s="18">
        <v>0</v>
      </c>
      <c r="BE216" s="18" t="s">
        <v>332</v>
      </c>
      <c r="BF216" s="18">
        <v>0</v>
      </c>
      <c r="BG216" s="18"/>
      <c r="BH216" s="18"/>
      <c r="BI216" s="18"/>
      <c r="BJ216" s="18"/>
      <c r="BK216" s="18"/>
      <c r="BL216" s="18"/>
      <c r="BM216" s="18">
        <v>21001510</v>
      </c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>
        <v>200</v>
      </c>
      <c r="GS216" s="18">
        <v>400</v>
      </c>
      <c r="GT216" s="18" t="s">
        <v>356</v>
      </c>
      <c r="GU216" s="18">
        <v>30008</v>
      </c>
      <c r="GV216" s="18" t="s">
        <v>339</v>
      </c>
      <c r="GW216" s="18" t="s">
        <v>339</v>
      </c>
      <c r="GX216" s="18" t="b">
        <v>1</v>
      </c>
      <c r="GY216" s="18">
        <v>12000</v>
      </c>
      <c r="GZ216" s="18" t="b">
        <v>0</v>
      </c>
      <c r="HA216" s="18">
        <v>0</v>
      </c>
      <c r="HB216" s="18">
        <v>0</v>
      </c>
      <c r="HC216" s="18">
        <v>0</v>
      </c>
      <c r="HD216" s="18">
        <v>0</v>
      </c>
      <c r="HE216" s="18" t="b">
        <v>0</v>
      </c>
      <c r="HF216" s="18">
        <v>0</v>
      </c>
      <c r="HG216" s="18">
        <v>10001</v>
      </c>
      <c r="HH216" s="18" t="s">
        <v>339</v>
      </c>
      <c r="HI216" s="18" t="s">
        <v>334</v>
      </c>
      <c r="HJ216" s="18">
        <v>0</v>
      </c>
      <c r="HK216" s="18">
        <v>0</v>
      </c>
      <c r="HL216" s="18">
        <v>0</v>
      </c>
      <c r="HM216" s="18">
        <v>0</v>
      </c>
      <c r="HN216" s="18" t="b">
        <v>0</v>
      </c>
    </row>
    <row r="217" spans="1:222">
      <c r="A217"/>
      <c r="B217" s="29" cm="1">
        <f t="array" ref="B217">10000000+INDEX(编号表!$B$1:$B$112,MATCH(D217,编号表!$A$1:$A$112,0))*10000+I217</f>
        <v>10220001</v>
      </c>
      <c r="C217" s="18" t="s">
        <v>405</v>
      </c>
      <c r="D217" s="18" t="s">
        <v>405</v>
      </c>
      <c r="E217" s="18" t="s">
        <v>322</v>
      </c>
      <c r="F217" s="18" t="s">
        <v>351</v>
      </c>
      <c r="G217" s="18" t="b">
        <v>0</v>
      </c>
      <c r="H217" s="18" t="b">
        <v>0</v>
      </c>
      <c r="I217" s="18">
        <v>1</v>
      </c>
      <c r="J217" s="18">
        <v>102200</v>
      </c>
      <c r="K217" s="18" t="s">
        <v>324</v>
      </c>
      <c r="L217" s="18">
        <v>0</v>
      </c>
      <c r="M217" s="18">
        <v>10220002</v>
      </c>
      <c r="N217" s="18" t="s">
        <v>406</v>
      </c>
      <c r="O217" s="18">
        <v>10202021</v>
      </c>
      <c r="P217" s="18">
        <v>0</v>
      </c>
      <c r="Q217" s="18">
        <v>0</v>
      </c>
      <c r="R217" s="18">
        <v>1</v>
      </c>
      <c r="S217" s="18">
        <v>0</v>
      </c>
      <c r="T217" s="18">
        <v>100</v>
      </c>
      <c r="U217" s="18" t="s">
        <v>338</v>
      </c>
      <c r="V217" s="18">
        <v>650</v>
      </c>
      <c r="W217" s="18">
        <v>650</v>
      </c>
      <c r="X217" s="18" t="s">
        <v>326</v>
      </c>
      <c r="Y217" s="18" t="s">
        <v>327</v>
      </c>
      <c r="Z217" s="18" t="s">
        <v>328</v>
      </c>
      <c r="AA217" s="18">
        <v>0</v>
      </c>
      <c r="AB217" s="18">
        <v>1</v>
      </c>
      <c r="AC217" s="18" t="b">
        <v>0</v>
      </c>
      <c r="AD217" s="18" t="s">
        <v>329</v>
      </c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 t="s">
        <v>339</v>
      </c>
      <c r="AZ217" s="18">
        <v>10000</v>
      </c>
      <c r="BA217" s="18" t="s">
        <v>395</v>
      </c>
      <c r="BB217" s="18" t="s">
        <v>328</v>
      </c>
      <c r="BC217" s="18">
        <v>10000</v>
      </c>
      <c r="BD217" s="18">
        <v>0</v>
      </c>
      <c r="BE217" s="18" t="s">
        <v>332</v>
      </c>
      <c r="BF217" s="18">
        <v>0</v>
      </c>
      <c r="BG217" s="18"/>
      <c r="BH217" s="18"/>
      <c r="BI217" s="18"/>
      <c r="BJ217" s="18"/>
      <c r="BK217" s="18"/>
      <c r="BL217" s="18"/>
      <c r="BM217" s="18">
        <v>21001601</v>
      </c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>
        <v>200</v>
      </c>
      <c r="GS217" s="18">
        <v>400</v>
      </c>
      <c r="GT217" s="18" t="s">
        <v>356</v>
      </c>
      <c r="GU217" s="18">
        <v>30056</v>
      </c>
      <c r="GV217" s="18" t="s">
        <v>339</v>
      </c>
      <c r="GW217" s="18" t="s">
        <v>339</v>
      </c>
      <c r="GX217" s="18" t="b">
        <v>1</v>
      </c>
      <c r="GY217" s="18">
        <v>8000</v>
      </c>
      <c r="GZ217" s="18" t="b">
        <v>0</v>
      </c>
      <c r="HA217" s="18">
        <v>0</v>
      </c>
      <c r="HB217" s="18">
        <v>0</v>
      </c>
      <c r="HC217" s="18">
        <v>0</v>
      </c>
      <c r="HD217" s="18">
        <v>0</v>
      </c>
      <c r="HE217" s="18" t="b">
        <v>0</v>
      </c>
      <c r="HF217" s="18">
        <v>0</v>
      </c>
      <c r="HG217" s="18">
        <v>10001</v>
      </c>
      <c r="HH217" s="18" t="s">
        <v>339</v>
      </c>
      <c r="HI217" s="18" t="s">
        <v>334</v>
      </c>
      <c r="HJ217" s="18">
        <v>0</v>
      </c>
      <c r="HK217" s="18">
        <v>0</v>
      </c>
      <c r="HL217" s="18">
        <v>0</v>
      </c>
      <c r="HM217" s="18">
        <v>0</v>
      </c>
      <c r="HN217" s="18" t="b">
        <v>0</v>
      </c>
    </row>
    <row r="218" spans="1:222">
      <c r="A218"/>
      <c r="B218" s="29" cm="1">
        <f t="array" ref="B218">10000000+INDEX(编号表!$B$1:$B$112,MATCH(D218,编号表!$A$1:$A$112,0))*10000+I218</f>
        <v>10220002</v>
      </c>
      <c r="C218" s="18" t="s">
        <v>405</v>
      </c>
      <c r="D218" s="18" t="s">
        <v>405</v>
      </c>
      <c r="E218" s="18" t="s">
        <v>322</v>
      </c>
      <c r="F218" s="18" t="s">
        <v>351</v>
      </c>
      <c r="G218" s="18" t="b">
        <v>0</v>
      </c>
      <c r="H218" s="18" t="b">
        <v>0</v>
      </c>
      <c r="I218" s="18">
        <v>2</v>
      </c>
      <c r="J218" s="18">
        <v>102200</v>
      </c>
      <c r="K218" s="18" t="s">
        <v>324</v>
      </c>
      <c r="L218" s="18">
        <v>10220001</v>
      </c>
      <c r="M218" s="18">
        <v>10220003</v>
      </c>
      <c r="N218" s="18" t="s">
        <v>406</v>
      </c>
      <c r="O218" s="18">
        <v>10202021</v>
      </c>
      <c r="P218" s="18">
        <v>0</v>
      </c>
      <c r="Q218" s="18">
        <v>1</v>
      </c>
      <c r="R218" s="18">
        <v>7</v>
      </c>
      <c r="S218" s="18">
        <v>0</v>
      </c>
      <c r="T218" s="18">
        <v>100</v>
      </c>
      <c r="U218" s="18" t="s">
        <v>338</v>
      </c>
      <c r="V218" s="18">
        <v>650</v>
      </c>
      <c r="W218" s="18">
        <v>650</v>
      </c>
      <c r="X218" s="18" t="s">
        <v>326</v>
      </c>
      <c r="Y218" s="18" t="s">
        <v>327</v>
      </c>
      <c r="Z218" s="18" t="s">
        <v>328</v>
      </c>
      <c r="AA218" s="18">
        <v>0</v>
      </c>
      <c r="AB218" s="18">
        <v>1</v>
      </c>
      <c r="AC218" s="18" t="b">
        <v>0</v>
      </c>
      <c r="AD218" s="18" t="s">
        <v>329</v>
      </c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 t="s">
        <v>339</v>
      </c>
      <c r="AZ218" s="18">
        <v>10400</v>
      </c>
      <c r="BA218" s="18" t="s">
        <v>395</v>
      </c>
      <c r="BB218" s="18" t="s">
        <v>328</v>
      </c>
      <c r="BC218" s="18">
        <v>10000</v>
      </c>
      <c r="BD218" s="18">
        <v>0</v>
      </c>
      <c r="BE218" s="18" t="s">
        <v>332</v>
      </c>
      <c r="BF218" s="18">
        <v>0</v>
      </c>
      <c r="BG218" s="18"/>
      <c r="BH218" s="18"/>
      <c r="BI218" s="18"/>
      <c r="BJ218" s="18"/>
      <c r="BK218" s="18"/>
      <c r="BL218" s="18"/>
      <c r="BM218" s="18">
        <v>21001602</v>
      </c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>
        <v>200</v>
      </c>
      <c r="GS218" s="18">
        <v>400</v>
      </c>
      <c r="GT218" s="18" t="s">
        <v>356</v>
      </c>
      <c r="GU218" s="18">
        <v>30056</v>
      </c>
      <c r="GV218" s="18" t="s">
        <v>339</v>
      </c>
      <c r="GW218" s="18" t="s">
        <v>339</v>
      </c>
      <c r="GX218" s="18" t="b">
        <v>1</v>
      </c>
      <c r="GY218" s="18">
        <v>8000</v>
      </c>
      <c r="GZ218" s="18" t="b">
        <v>0</v>
      </c>
      <c r="HA218" s="18">
        <v>0</v>
      </c>
      <c r="HB218" s="18">
        <v>0</v>
      </c>
      <c r="HC218" s="18">
        <v>0</v>
      </c>
      <c r="HD218" s="18">
        <v>0</v>
      </c>
      <c r="HE218" s="18" t="b">
        <v>0</v>
      </c>
      <c r="HF218" s="18">
        <v>0</v>
      </c>
      <c r="HG218" s="18">
        <v>10001</v>
      </c>
      <c r="HH218" s="18" t="s">
        <v>339</v>
      </c>
      <c r="HI218" s="18" t="s">
        <v>334</v>
      </c>
      <c r="HJ218" s="18">
        <v>0</v>
      </c>
      <c r="HK218" s="18">
        <v>0</v>
      </c>
      <c r="HL218" s="18">
        <v>0</v>
      </c>
      <c r="HM218" s="18">
        <v>0</v>
      </c>
      <c r="HN218" s="18" t="b">
        <v>0</v>
      </c>
    </row>
    <row r="219" spans="1:222">
      <c r="A219"/>
      <c r="B219" s="29" cm="1">
        <f t="array" ref="B219">10000000+INDEX(编号表!$B$1:$B$112,MATCH(D219,编号表!$A$1:$A$112,0))*10000+I219</f>
        <v>10220003</v>
      </c>
      <c r="C219" s="18" t="s">
        <v>405</v>
      </c>
      <c r="D219" s="18" t="s">
        <v>405</v>
      </c>
      <c r="E219" s="18" t="s">
        <v>322</v>
      </c>
      <c r="F219" s="18" t="s">
        <v>351</v>
      </c>
      <c r="G219" s="18" t="b">
        <v>0</v>
      </c>
      <c r="H219" s="18" t="b">
        <v>0</v>
      </c>
      <c r="I219" s="18">
        <v>3</v>
      </c>
      <c r="J219" s="18">
        <v>102200</v>
      </c>
      <c r="K219" s="18" t="s">
        <v>324</v>
      </c>
      <c r="L219" s="18">
        <v>10220002</v>
      </c>
      <c r="M219" s="18">
        <v>10220004</v>
      </c>
      <c r="N219" s="18" t="s">
        <v>406</v>
      </c>
      <c r="O219" s="18">
        <v>10202021</v>
      </c>
      <c r="P219" s="18">
        <v>0</v>
      </c>
      <c r="Q219" s="18">
        <v>2</v>
      </c>
      <c r="R219" s="18">
        <v>11</v>
      </c>
      <c r="S219" s="18">
        <v>0</v>
      </c>
      <c r="T219" s="18">
        <v>100</v>
      </c>
      <c r="U219" s="18" t="s">
        <v>338</v>
      </c>
      <c r="V219" s="18">
        <v>650</v>
      </c>
      <c r="W219" s="18">
        <v>650</v>
      </c>
      <c r="X219" s="18" t="s">
        <v>326</v>
      </c>
      <c r="Y219" s="18" t="s">
        <v>327</v>
      </c>
      <c r="Z219" s="18" t="s">
        <v>328</v>
      </c>
      <c r="AA219" s="18">
        <v>0</v>
      </c>
      <c r="AB219" s="18">
        <v>1</v>
      </c>
      <c r="AC219" s="18" t="b">
        <v>0</v>
      </c>
      <c r="AD219" s="18" t="s">
        <v>329</v>
      </c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 t="s">
        <v>339</v>
      </c>
      <c r="AZ219" s="18">
        <v>10800</v>
      </c>
      <c r="BA219" s="18" t="s">
        <v>395</v>
      </c>
      <c r="BB219" s="18" t="s">
        <v>328</v>
      </c>
      <c r="BC219" s="18">
        <v>10000</v>
      </c>
      <c r="BD219" s="18">
        <v>0</v>
      </c>
      <c r="BE219" s="18" t="s">
        <v>332</v>
      </c>
      <c r="BF219" s="18">
        <v>0</v>
      </c>
      <c r="BG219" s="18"/>
      <c r="BH219" s="18"/>
      <c r="BI219" s="18"/>
      <c r="BJ219" s="18"/>
      <c r="BK219" s="18"/>
      <c r="BL219" s="18"/>
      <c r="BM219" s="18">
        <v>21001603</v>
      </c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>
        <v>200</v>
      </c>
      <c r="GS219" s="18">
        <v>400</v>
      </c>
      <c r="GT219" s="18" t="s">
        <v>356</v>
      </c>
      <c r="GU219" s="18">
        <v>30056</v>
      </c>
      <c r="GV219" s="18" t="s">
        <v>339</v>
      </c>
      <c r="GW219" s="18" t="s">
        <v>339</v>
      </c>
      <c r="GX219" s="18" t="b">
        <v>1</v>
      </c>
      <c r="GY219" s="18">
        <v>8000</v>
      </c>
      <c r="GZ219" s="18" t="b">
        <v>0</v>
      </c>
      <c r="HA219" s="18">
        <v>0</v>
      </c>
      <c r="HB219" s="18">
        <v>0</v>
      </c>
      <c r="HC219" s="18">
        <v>0</v>
      </c>
      <c r="HD219" s="18">
        <v>0</v>
      </c>
      <c r="HE219" s="18" t="b">
        <v>0</v>
      </c>
      <c r="HF219" s="18">
        <v>0</v>
      </c>
      <c r="HG219" s="18">
        <v>10001</v>
      </c>
      <c r="HH219" s="18" t="s">
        <v>339</v>
      </c>
      <c r="HI219" s="18" t="s">
        <v>334</v>
      </c>
      <c r="HJ219" s="18">
        <v>0</v>
      </c>
      <c r="HK219" s="18">
        <v>0</v>
      </c>
      <c r="HL219" s="18">
        <v>0</v>
      </c>
      <c r="HM219" s="18">
        <v>0</v>
      </c>
      <c r="HN219" s="18" t="b">
        <v>0</v>
      </c>
    </row>
    <row r="220" spans="1:222">
      <c r="A220"/>
      <c r="B220" s="29" cm="1">
        <f t="array" ref="B220">10000000+INDEX(编号表!$B$1:$B$112,MATCH(D220,编号表!$A$1:$A$112,0))*10000+I220</f>
        <v>10220004</v>
      </c>
      <c r="C220" s="18" t="s">
        <v>405</v>
      </c>
      <c r="D220" s="18" t="s">
        <v>405</v>
      </c>
      <c r="E220" s="18" t="s">
        <v>322</v>
      </c>
      <c r="F220" s="18" t="s">
        <v>351</v>
      </c>
      <c r="G220" s="18" t="b">
        <v>0</v>
      </c>
      <c r="H220" s="18" t="b">
        <v>0</v>
      </c>
      <c r="I220" s="18">
        <v>4</v>
      </c>
      <c r="J220" s="18">
        <v>102200</v>
      </c>
      <c r="K220" s="18" t="s">
        <v>324</v>
      </c>
      <c r="L220" s="18">
        <v>10220003</v>
      </c>
      <c r="M220" s="18">
        <v>10220005</v>
      </c>
      <c r="N220" s="18" t="s">
        <v>406</v>
      </c>
      <c r="O220" s="18">
        <v>10202021</v>
      </c>
      <c r="P220" s="18">
        <v>0</v>
      </c>
      <c r="Q220" s="18">
        <v>3</v>
      </c>
      <c r="R220" s="18">
        <v>16</v>
      </c>
      <c r="S220" s="18">
        <v>0</v>
      </c>
      <c r="T220" s="18">
        <v>100</v>
      </c>
      <c r="U220" s="18" t="s">
        <v>338</v>
      </c>
      <c r="V220" s="18">
        <v>650</v>
      </c>
      <c r="W220" s="18">
        <v>650</v>
      </c>
      <c r="X220" s="18" t="s">
        <v>326</v>
      </c>
      <c r="Y220" s="18" t="s">
        <v>327</v>
      </c>
      <c r="Z220" s="18" t="s">
        <v>328</v>
      </c>
      <c r="AA220" s="18">
        <v>0</v>
      </c>
      <c r="AB220" s="18">
        <v>1</v>
      </c>
      <c r="AC220" s="18" t="b">
        <v>0</v>
      </c>
      <c r="AD220" s="18" t="s">
        <v>329</v>
      </c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 t="s">
        <v>339</v>
      </c>
      <c r="AZ220" s="18">
        <v>11200</v>
      </c>
      <c r="BA220" s="18" t="s">
        <v>395</v>
      </c>
      <c r="BB220" s="18" t="s">
        <v>328</v>
      </c>
      <c r="BC220" s="18">
        <v>10000</v>
      </c>
      <c r="BD220" s="18">
        <v>0</v>
      </c>
      <c r="BE220" s="18" t="s">
        <v>332</v>
      </c>
      <c r="BF220" s="18">
        <v>0</v>
      </c>
      <c r="BG220" s="18"/>
      <c r="BH220" s="18"/>
      <c r="BI220" s="18"/>
      <c r="BJ220" s="18"/>
      <c r="BK220" s="18"/>
      <c r="BL220" s="18"/>
      <c r="BM220" s="18">
        <v>21001604</v>
      </c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>
        <v>200</v>
      </c>
      <c r="GS220" s="18">
        <v>400</v>
      </c>
      <c r="GT220" s="18" t="s">
        <v>356</v>
      </c>
      <c r="GU220" s="18">
        <v>30056</v>
      </c>
      <c r="GV220" s="18" t="s">
        <v>339</v>
      </c>
      <c r="GW220" s="18" t="s">
        <v>339</v>
      </c>
      <c r="GX220" s="18" t="b">
        <v>1</v>
      </c>
      <c r="GY220" s="18">
        <v>8000</v>
      </c>
      <c r="GZ220" s="18" t="b">
        <v>0</v>
      </c>
      <c r="HA220" s="18">
        <v>0</v>
      </c>
      <c r="HB220" s="18">
        <v>0</v>
      </c>
      <c r="HC220" s="18">
        <v>0</v>
      </c>
      <c r="HD220" s="18">
        <v>0</v>
      </c>
      <c r="HE220" s="18" t="b">
        <v>0</v>
      </c>
      <c r="HF220" s="18">
        <v>0</v>
      </c>
      <c r="HG220" s="18">
        <v>10001</v>
      </c>
      <c r="HH220" s="18" t="s">
        <v>339</v>
      </c>
      <c r="HI220" s="18" t="s">
        <v>334</v>
      </c>
      <c r="HJ220" s="18">
        <v>0</v>
      </c>
      <c r="HK220" s="18">
        <v>0</v>
      </c>
      <c r="HL220" s="18">
        <v>0</v>
      </c>
      <c r="HM220" s="18">
        <v>0</v>
      </c>
      <c r="HN220" s="18" t="b">
        <v>0</v>
      </c>
    </row>
    <row r="221" spans="1:222">
      <c r="A221"/>
      <c r="B221" s="29" cm="1">
        <f t="array" ref="B221">10000000+INDEX(编号表!$B$1:$B$112,MATCH(D221,编号表!$A$1:$A$112,0))*10000+I221</f>
        <v>10220005</v>
      </c>
      <c r="C221" s="18" t="s">
        <v>405</v>
      </c>
      <c r="D221" s="18" t="s">
        <v>405</v>
      </c>
      <c r="E221" s="18" t="s">
        <v>322</v>
      </c>
      <c r="F221" s="18" t="s">
        <v>351</v>
      </c>
      <c r="G221" s="18" t="b">
        <v>0</v>
      </c>
      <c r="H221" s="18" t="b">
        <v>0</v>
      </c>
      <c r="I221" s="18">
        <v>5</v>
      </c>
      <c r="J221" s="18">
        <v>102200</v>
      </c>
      <c r="K221" s="18" t="s">
        <v>324</v>
      </c>
      <c r="L221" s="18">
        <v>10220004</v>
      </c>
      <c r="M221" s="18">
        <v>10220006</v>
      </c>
      <c r="N221" s="18" t="s">
        <v>406</v>
      </c>
      <c r="O221" s="18">
        <v>10202021</v>
      </c>
      <c r="P221" s="18">
        <v>0</v>
      </c>
      <c r="Q221" s="18">
        <v>3</v>
      </c>
      <c r="R221" s="18">
        <v>25</v>
      </c>
      <c r="S221" s="18">
        <v>0</v>
      </c>
      <c r="T221" s="18">
        <v>100</v>
      </c>
      <c r="U221" s="18" t="s">
        <v>338</v>
      </c>
      <c r="V221" s="18">
        <v>650</v>
      </c>
      <c r="W221" s="18">
        <v>650</v>
      </c>
      <c r="X221" s="18" t="s">
        <v>326</v>
      </c>
      <c r="Y221" s="18" t="s">
        <v>327</v>
      </c>
      <c r="Z221" s="18" t="s">
        <v>328</v>
      </c>
      <c r="AA221" s="18">
        <v>0</v>
      </c>
      <c r="AB221" s="18">
        <v>1</v>
      </c>
      <c r="AC221" s="18" t="b">
        <v>0</v>
      </c>
      <c r="AD221" s="18" t="s">
        <v>329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 t="s">
        <v>339</v>
      </c>
      <c r="AZ221" s="18">
        <v>11300</v>
      </c>
      <c r="BA221" s="18" t="s">
        <v>395</v>
      </c>
      <c r="BB221" s="18" t="s">
        <v>328</v>
      </c>
      <c r="BC221" s="18">
        <v>10000</v>
      </c>
      <c r="BD221" s="18">
        <v>0</v>
      </c>
      <c r="BE221" s="18" t="s">
        <v>332</v>
      </c>
      <c r="BF221" s="18">
        <v>0</v>
      </c>
      <c r="BG221" s="18"/>
      <c r="BH221" s="18"/>
      <c r="BI221" s="18"/>
      <c r="BJ221" s="18"/>
      <c r="BK221" s="18"/>
      <c r="BL221" s="18"/>
      <c r="BM221" s="18">
        <v>21001605</v>
      </c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>
        <v>200</v>
      </c>
      <c r="GS221" s="18">
        <v>400</v>
      </c>
      <c r="GT221" s="18" t="s">
        <v>356</v>
      </c>
      <c r="GU221" s="18">
        <v>30056</v>
      </c>
      <c r="GV221" s="18" t="s">
        <v>339</v>
      </c>
      <c r="GW221" s="18" t="s">
        <v>339</v>
      </c>
      <c r="GX221" s="18" t="b">
        <v>1</v>
      </c>
      <c r="GY221" s="18">
        <v>8000</v>
      </c>
      <c r="GZ221" s="18" t="b">
        <v>0</v>
      </c>
      <c r="HA221" s="18">
        <v>0</v>
      </c>
      <c r="HB221" s="18">
        <v>0</v>
      </c>
      <c r="HC221" s="18">
        <v>0</v>
      </c>
      <c r="HD221" s="18">
        <v>0</v>
      </c>
      <c r="HE221" s="18" t="b">
        <v>0</v>
      </c>
      <c r="HF221" s="18">
        <v>0</v>
      </c>
      <c r="HG221" s="18">
        <v>10001</v>
      </c>
      <c r="HH221" s="18" t="s">
        <v>339</v>
      </c>
      <c r="HI221" s="18" t="s">
        <v>334</v>
      </c>
      <c r="HJ221" s="18">
        <v>0</v>
      </c>
      <c r="HK221" s="18">
        <v>0</v>
      </c>
      <c r="HL221" s="18">
        <v>0</v>
      </c>
      <c r="HM221" s="18">
        <v>0</v>
      </c>
      <c r="HN221" s="18" t="b">
        <v>0</v>
      </c>
    </row>
    <row r="222" spans="1:222">
      <c r="A222"/>
      <c r="B222" s="29" cm="1">
        <f t="array" ref="B222">10000000+INDEX(编号表!$B$1:$B$112,MATCH(D222,编号表!$A$1:$A$112,0))*10000+I222</f>
        <v>10220006</v>
      </c>
      <c r="C222" s="18" t="s">
        <v>405</v>
      </c>
      <c r="D222" s="18" t="s">
        <v>405</v>
      </c>
      <c r="E222" s="18" t="s">
        <v>322</v>
      </c>
      <c r="F222" s="18" t="s">
        <v>351</v>
      </c>
      <c r="G222" s="18" t="b">
        <v>0</v>
      </c>
      <c r="H222" s="18" t="b">
        <v>0</v>
      </c>
      <c r="I222" s="18">
        <v>6</v>
      </c>
      <c r="J222" s="18">
        <v>102200</v>
      </c>
      <c r="K222" s="18" t="s">
        <v>324</v>
      </c>
      <c r="L222" s="18">
        <v>10220005</v>
      </c>
      <c r="M222" s="18">
        <v>10220007</v>
      </c>
      <c r="N222" s="18" t="s">
        <v>406</v>
      </c>
      <c r="O222" s="18">
        <v>10202021</v>
      </c>
      <c r="P222" s="18">
        <v>0</v>
      </c>
      <c r="Q222" s="18">
        <v>3</v>
      </c>
      <c r="R222" s="18">
        <v>30</v>
      </c>
      <c r="S222" s="18">
        <v>0</v>
      </c>
      <c r="T222" s="18">
        <v>100</v>
      </c>
      <c r="U222" s="18" t="s">
        <v>338</v>
      </c>
      <c r="V222" s="18">
        <v>650</v>
      </c>
      <c r="W222" s="18">
        <v>650</v>
      </c>
      <c r="X222" s="18" t="s">
        <v>326</v>
      </c>
      <c r="Y222" s="18" t="s">
        <v>327</v>
      </c>
      <c r="Z222" s="18" t="s">
        <v>328</v>
      </c>
      <c r="AA222" s="18">
        <v>0</v>
      </c>
      <c r="AB222" s="18">
        <v>1</v>
      </c>
      <c r="AC222" s="18" t="b">
        <v>0</v>
      </c>
      <c r="AD222" s="18" t="s">
        <v>329</v>
      </c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 t="s">
        <v>339</v>
      </c>
      <c r="AZ222" s="18">
        <v>11600</v>
      </c>
      <c r="BA222" s="18" t="s">
        <v>395</v>
      </c>
      <c r="BB222" s="18" t="s">
        <v>328</v>
      </c>
      <c r="BC222" s="18">
        <v>10000</v>
      </c>
      <c r="BD222" s="18">
        <v>0</v>
      </c>
      <c r="BE222" s="18" t="s">
        <v>332</v>
      </c>
      <c r="BF222" s="18">
        <v>0</v>
      </c>
      <c r="BG222" s="18"/>
      <c r="BH222" s="18"/>
      <c r="BI222" s="18"/>
      <c r="BJ222" s="18"/>
      <c r="BK222" s="18"/>
      <c r="BL222" s="18"/>
      <c r="BM222" s="18">
        <v>21001606</v>
      </c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>
        <v>200</v>
      </c>
      <c r="GS222" s="18">
        <v>400</v>
      </c>
      <c r="GT222" s="18" t="s">
        <v>356</v>
      </c>
      <c r="GU222" s="18">
        <v>30056</v>
      </c>
      <c r="GV222" s="18" t="s">
        <v>339</v>
      </c>
      <c r="GW222" s="18" t="s">
        <v>339</v>
      </c>
      <c r="GX222" s="18" t="b">
        <v>1</v>
      </c>
      <c r="GY222" s="18">
        <v>8000</v>
      </c>
      <c r="GZ222" s="18" t="b">
        <v>0</v>
      </c>
      <c r="HA222" s="18">
        <v>0</v>
      </c>
      <c r="HB222" s="18">
        <v>0</v>
      </c>
      <c r="HC222" s="18">
        <v>0</v>
      </c>
      <c r="HD222" s="18">
        <v>0</v>
      </c>
      <c r="HE222" s="18" t="b">
        <v>0</v>
      </c>
      <c r="HF222" s="18">
        <v>0</v>
      </c>
      <c r="HG222" s="18">
        <v>10001</v>
      </c>
      <c r="HH222" s="18" t="s">
        <v>339</v>
      </c>
      <c r="HI222" s="18" t="s">
        <v>334</v>
      </c>
      <c r="HJ222" s="18">
        <v>0</v>
      </c>
      <c r="HK222" s="18">
        <v>0</v>
      </c>
      <c r="HL222" s="18">
        <v>0</v>
      </c>
      <c r="HM222" s="18">
        <v>0</v>
      </c>
      <c r="HN222" s="18" t="b">
        <v>0</v>
      </c>
    </row>
    <row r="223" spans="1:222">
      <c r="A223"/>
      <c r="B223" s="29" cm="1">
        <f t="array" ref="B223">10000000+INDEX(编号表!$B$1:$B$112,MATCH(D223,编号表!$A$1:$A$112,0))*10000+I223</f>
        <v>10220007</v>
      </c>
      <c r="C223" s="18" t="s">
        <v>405</v>
      </c>
      <c r="D223" s="18" t="s">
        <v>405</v>
      </c>
      <c r="E223" s="18" t="s">
        <v>322</v>
      </c>
      <c r="F223" s="18" t="s">
        <v>351</v>
      </c>
      <c r="G223" s="18" t="b">
        <v>0</v>
      </c>
      <c r="H223" s="18" t="b">
        <v>0</v>
      </c>
      <c r="I223" s="18">
        <v>7</v>
      </c>
      <c r="J223" s="18">
        <v>102200</v>
      </c>
      <c r="K223" s="18" t="s">
        <v>324</v>
      </c>
      <c r="L223" s="18">
        <v>10220006</v>
      </c>
      <c r="M223" s="18">
        <v>10220008</v>
      </c>
      <c r="N223" s="18" t="s">
        <v>406</v>
      </c>
      <c r="O223" s="18">
        <v>10202021</v>
      </c>
      <c r="P223" s="18">
        <v>0</v>
      </c>
      <c r="Q223" s="18">
        <v>3</v>
      </c>
      <c r="R223" s="18">
        <v>35</v>
      </c>
      <c r="S223" s="18">
        <v>0</v>
      </c>
      <c r="T223" s="18">
        <v>100</v>
      </c>
      <c r="U223" s="18" t="s">
        <v>338</v>
      </c>
      <c r="V223" s="18">
        <v>650</v>
      </c>
      <c r="W223" s="18">
        <v>650</v>
      </c>
      <c r="X223" s="18" t="s">
        <v>326</v>
      </c>
      <c r="Y223" s="18" t="s">
        <v>327</v>
      </c>
      <c r="Z223" s="18" t="s">
        <v>328</v>
      </c>
      <c r="AA223" s="18">
        <v>0</v>
      </c>
      <c r="AB223" s="18">
        <v>1</v>
      </c>
      <c r="AC223" s="18" t="b">
        <v>0</v>
      </c>
      <c r="AD223" s="18" t="s">
        <v>329</v>
      </c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 t="s">
        <v>339</v>
      </c>
      <c r="AZ223" s="18">
        <v>11700</v>
      </c>
      <c r="BA223" s="18" t="s">
        <v>395</v>
      </c>
      <c r="BB223" s="18" t="s">
        <v>328</v>
      </c>
      <c r="BC223" s="18">
        <v>10000</v>
      </c>
      <c r="BD223" s="18">
        <v>0</v>
      </c>
      <c r="BE223" s="18" t="s">
        <v>332</v>
      </c>
      <c r="BF223" s="18">
        <v>0</v>
      </c>
      <c r="BG223" s="18"/>
      <c r="BH223" s="18"/>
      <c r="BI223" s="18"/>
      <c r="BJ223" s="18"/>
      <c r="BK223" s="18"/>
      <c r="BL223" s="18"/>
      <c r="BM223" s="18">
        <v>21001607</v>
      </c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>
        <v>200</v>
      </c>
      <c r="GS223" s="18">
        <v>400</v>
      </c>
      <c r="GT223" s="18" t="s">
        <v>356</v>
      </c>
      <c r="GU223" s="18">
        <v>30056</v>
      </c>
      <c r="GV223" s="18" t="s">
        <v>339</v>
      </c>
      <c r="GW223" s="18" t="s">
        <v>339</v>
      </c>
      <c r="GX223" s="18" t="b">
        <v>1</v>
      </c>
      <c r="GY223" s="18">
        <v>8000</v>
      </c>
      <c r="GZ223" s="18" t="b">
        <v>0</v>
      </c>
      <c r="HA223" s="18">
        <v>0</v>
      </c>
      <c r="HB223" s="18">
        <v>0</v>
      </c>
      <c r="HC223" s="18">
        <v>0</v>
      </c>
      <c r="HD223" s="18">
        <v>0</v>
      </c>
      <c r="HE223" s="18" t="b">
        <v>0</v>
      </c>
      <c r="HF223" s="18">
        <v>0</v>
      </c>
      <c r="HG223" s="18">
        <v>10001</v>
      </c>
      <c r="HH223" s="18" t="s">
        <v>339</v>
      </c>
      <c r="HI223" s="18" t="s">
        <v>334</v>
      </c>
      <c r="HJ223" s="18">
        <v>0</v>
      </c>
      <c r="HK223" s="18">
        <v>0</v>
      </c>
      <c r="HL223" s="18">
        <v>0</v>
      </c>
      <c r="HM223" s="18">
        <v>0</v>
      </c>
      <c r="HN223" s="18" t="b">
        <v>0</v>
      </c>
    </row>
    <row r="224" spans="1:222">
      <c r="A224"/>
      <c r="B224" s="29" cm="1">
        <f t="array" ref="B224">10000000+INDEX(编号表!$B$1:$B$112,MATCH(D224,编号表!$A$1:$A$112,0))*10000+I224</f>
        <v>10220008</v>
      </c>
      <c r="C224" s="18" t="s">
        <v>405</v>
      </c>
      <c r="D224" s="18" t="s">
        <v>405</v>
      </c>
      <c r="E224" s="18" t="s">
        <v>322</v>
      </c>
      <c r="F224" s="18" t="s">
        <v>351</v>
      </c>
      <c r="G224" s="18" t="b">
        <v>0</v>
      </c>
      <c r="H224" s="18" t="b">
        <v>0</v>
      </c>
      <c r="I224" s="18">
        <v>8</v>
      </c>
      <c r="J224" s="18">
        <v>102200</v>
      </c>
      <c r="K224" s="18" t="s">
        <v>324</v>
      </c>
      <c r="L224" s="18">
        <v>10220007</v>
      </c>
      <c r="M224" s="18">
        <v>10220009</v>
      </c>
      <c r="N224" s="18" t="s">
        <v>406</v>
      </c>
      <c r="O224" s="18">
        <v>10202021</v>
      </c>
      <c r="P224" s="18">
        <v>0</v>
      </c>
      <c r="Q224" s="18">
        <v>3</v>
      </c>
      <c r="R224" s="18">
        <v>35</v>
      </c>
      <c r="S224" s="18">
        <v>0</v>
      </c>
      <c r="T224" s="18">
        <v>100</v>
      </c>
      <c r="U224" s="18" t="s">
        <v>338</v>
      </c>
      <c r="V224" s="18">
        <v>650</v>
      </c>
      <c r="W224" s="18">
        <v>650</v>
      </c>
      <c r="X224" s="18" t="s">
        <v>326</v>
      </c>
      <c r="Y224" s="18" t="s">
        <v>327</v>
      </c>
      <c r="Z224" s="18" t="s">
        <v>328</v>
      </c>
      <c r="AA224" s="18">
        <v>0</v>
      </c>
      <c r="AB224" s="18">
        <v>1</v>
      </c>
      <c r="AC224" s="18" t="b">
        <v>0</v>
      </c>
      <c r="AD224" s="18" t="s">
        <v>329</v>
      </c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 t="s">
        <v>339</v>
      </c>
      <c r="AZ224" s="18">
        <v>11800</v>
      </c>
      <c r="BA224" s="18" t="s">
        <v>395</v>
      </c>
      <c r="BB224" s="18" t="s">
        <v>328</v>
      </c>
      <c r="BC224" s="18">
        <v>10000</v>
      </c>
      <c r="BD224" s="18">
        <v>0</v>
      </c>
      <c r="BE224" s="18" t="s">
        <v>332</v>
      </c>
      <c r="BF224" s="18">
        <v>0</v>
      </c>
      <c r="BG224" s="18"/>
      <c r="BH224" s="18"/>
      <c r="BI224" s="18"/>
      <c r="BJ224" s="18"/>
      <c r="BK224" s="18"/>
      <c r="BL224" s="18"/>
      <c r="BM224" s="18">
        <v>21001608</v>
      </c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>
        <v>200</v>
      </c>
      <c r="GS224" s="18">
        <v>400</v>
      </c>
      <c r="GT224" s="18" t="s">
        <v>356</v>
      </c>
      <c r="GU224" s="18">
        <v>30056</v>
      </c>
      <c r="GV224" s="18" t="s">
        <v>339</v>
      </c>
      <c r="GW224" s="18" t="s">
        <v>339</v>
      </c>
      <c r="GX224" s="18" t="b">
        <v>1</v>
      </c>
      <c r="GY224" s="18">
        <v>8000</v>
      </c>
      <c r="GZ224" s="18" t="b">
        <v>0</v>
      </c>
      <c r="HA224" s="18">
        <v>0</v>
      </c>
      <c r="HB224" s="18">
        <v>0</v>
      </c>
      <c r="HC224" s="18">
        <v>0</v>
      </c>
      <c r="HD224" s="18">
        <v>0</v>
      </c>
      <c r="HE224" s="18" t="b">
        <v>0</v>
      </c>
      <c r="HF224" s="18">
        <v>0</v>
      </c>
      <c r="HG224" s="18">
        <v>10001</v>
      </c>
      <c r="HH224" s="18" t="s">
        <v>339</v>
      </c>
      <c r="HI224" s="18" t="s">
        <v>334</v>
      </c>
      <c r="HJ224" s="18">
        <v>0</v>
      </c>
      <c r="HK224" s="18">
        <v>0</v>
      </c>
      <c r="HL224" s="18">
        <v>0</v>
      </c>
      <c r="HM224" s="18">
        <v>0</v>
      </c>
      <c r="HN224" s="18" t="b">
        <v>0</v>
      </c>
    </row>
    <row r="225" spans="1:222">
      <c r="A225"/>
      <c r="B225" s="29" cm="1">
        <f t="array" ref="B225">10000000+INDEX(编号表!$B$1:$B$112,MATCH(D225,编号表!$A$1:$A$112,0))*10000+I225</f>
        <v>10220009</v>
      </c>
      <c r="C225" s="18" t="s">
        <v>405</v>
      </c>
      <c r="D225" s="18" t="s">
        <v>405</v>
      </c>
      <c r="E225" s="18" t="s">
        <v>322</v>
      </c>
      <c r="F225" s="18" t="s">
        <v>351</v>
      </c>
      <c r="G225" s="18" t="b">
        <v>0</v>
      </c>
      <c r="H225" s="18" t="b">
        <v>0</v>
      </c>
      <c r="I225" s="18">
        <v>9</v>
      </c>
      <c r="J225" s="18">
        <v>102200</v>
      </c>
      <c r="K225" s="18" t="s">
        <v>324</v>
      </c>
      <c r="L225" s="18">
        <v>10220008</v>
      </c>
      <c r="M225" s="18">
        <v>10220010</v>
      </c>
      <c r="N225" s="18" t="s">
        <v>406</v>
      </c>
      <c r="O225" s="18">
        <v>10202021</v>
      </c>
      <c r="P225" s="18">
        <v>0</v>
      </c>
      <c r="Q225" s="18">
        <v>3</v>
      </c>
      <c r="R225" s="18">
        <v>40</v>
      </c>
      <c r="S225" s="18">
        <v>0</v>
      </c>
      <c r="T225" s="18">
        <v>100</v>
      </c>
      <c r="U225" s="18" t="s">
        <v>338</v>
      </c>
      <c r="V225" s="18">
        <v>650</v>
      </c>
      <c r="W225" s="18">
        <v>650</v>
      </c>
      <c r="X225" s="18" t="s">
        <v>326</v>
      </c>
      <c r="Y225" s="18" t="s">
        <v>327</v>
      </c>
      <c r="Z225" s="18" t="s">
        <v>328</v>
      </c>
      <c r="AA225" s="18">
        <v>0</v>
      </c>
      <c r="AB225" s="18">
        <v>1</v>
      </c>
      <c r="AC225" s="18" t="b">
        <v>0</v>
      </c>
      <c r="AD225" s="18" t="s">
        <v>329</v>
      </c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 t="s">
        <v>339</v>
      </c>
      <c r="AZ225" s="18">
        <v>11900</v>
      </c>
      <c r="BA225" s="18" t="s">
        <v>395</v>
      </c>
      <c r="BB225" s="18" t="s">
        <v>328</v>
      </c>
      <c r="BC225" s="18">
        <v>10000</v>
      </c>
      <c r="BD225" s="18">
        <v>0</v>
      </c>
      <c r="BE225" s="18" t="s">
        <v>332</v>
      </c>
      <c r="BF225" s="18">
        <v>0</v>
      </c>
      <c r="BG225" s="18"/>
      <c r="BH225" s="18"/>
      <c r="BI225" s="18"/>
      <c r="BJ225" s="18"/>
      <c r="BK225" s="18"/>
      <c r="BL225" s="18"/>
      <c r="BM225" s="18">
        <v>21001609</v>
      </c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>
        <v>200</v>
      </c>
      <c r="GS225" s="18">
        <v>400</v>
      </c>
      <c r="GT225" s="18" t="s">
        <v>356</v>
      </c>
      <c r="GU225" s="18">
        <v>30056</v>
      </c>
      <c r="GV225" s="18" t="s">
        <v>339</v>
      </c>
      <c r="GW225" s="18" t="s">
        <v>339</v>
      </c>
      <c r="GX225" s="18" t="b">
        <v>1</v>
      </c>
      <c r="GY225" s="18">
        <v>8000</v>
      </c>
      <c r="GZ225" s="18" t="b">
        <v>0</v>
      </c>
      <c r="HA225" s="18">
        <v>0</v>
      </c>
      <c r="HB225" s="18">
        <v>0</v>
      </c>
      <c r="HC225" s="18">
        <v>0</v>
      </c>
      <c r="HD225" s="18">
        <v>0</v>
      </c>
      <c r="HE225" s="18" t="b">
        <v>0</v>
      </c>
      <c r="HF225" s="18">
        <v>0</v>
      </c>
      <c r="HG225" s="18">
        <v>10001</v>
      </c>
      <c r="HH225" s="18" t="s">
        <v>339</v>
      </c>
      <c r="HI225" s="18" t="s">
        <v>334</v>
      </c>
      <c r="HJ225" s="18">
        <v>0</v>
      </c>
      <c r="HK225" s="18">
        <v>0</v>
      </c>
      <c r="HL225" s="18">
        <v>0</v>
      </c>
      <c r="HM225" s="18">
        <v>0</v>
      </c>
      <c r="HN225" s="18" t="b">
        <v>0</v>
      </c>
    </row>
    <row r="226" spans="1:222">
      <c r="A226"/>
      <c r="B226" s="29" cm="1">
        <f t="array" ref="B226">10000000+INDEX(编号表!$B$1:$B$112,MATCH(D226,编号表!$A$1:$A$112,0))*10000+I226</f>
        <v>10220010</v>
      </c>
      <c r="C226" s="18" t="s">
        <v>405</v>
      </c>
      <c r="D226" s="18" t="s">
        <v>405</v>
      </c>
      <c r="E226" s="18" t="s">
        <v>322</v>
      </c>
      <c r="F226" s="18" t="s">
        <v>351</v>
      </c>
      <c r="G226" s="18" t="b">
        <v>0</v>
      </c>
      <c r="H226" s="18" t="b">
        <v>0</v>
      </c>
      <c r="I226" s="18">
        <v>10</v>
      </c>
      <c r="J226" s="18">
        <v>102200</v>
      </c>
      <c r="K226" s="18" t="s">
        <v>324</v>
      </c>
      <c r="L226" s="18">
        <v>10220009</v>
      </c>
      <c r="M226" s="18">
        <v>0</v>
      </c>
      <c r="N226" s="18" t="s">
        <v>406</v>
      </c>
      <c r="O226" s="18">
        <v>10202021</v>
      </c>
      <c r="P226" s="18">
        <v>0</v>
      </c>
      <c r="Q226" s="18">
        <v>3</v>
      </c>
      <c r="R226" s="18">
        <v>40</v>
      </c>
      <c r="S226" s="18">
        <v>0</v>
      </c>
      <c r="T226" s="18">
        <v>0</v>
      </c>
      <c r="U226" s="18" t="s">
        <v>338</v>
      </c>
      <c r="V226" s="18">
        <v>650</v>
      </c>
      <c r="W226" s="18">
        <v>650</v>
      </c>
      <c r="X226" s="18" t="s">
        <v>326</v>
      </c>
      <c r="Y226" s="18" t="s">
        <v>327</v>
      </c>
      <c r="Z226" s="18" t="s">
        <v>328</v>
      </c>
      <c r="AA226" s="18">
        <v>0</v>
      </c>
      <c r="AB226" s="18">
        <v>1</v>
      </c>
      <c r="AC226" s="18" t="b">
        <v>0</v>
      </c>
      <c r="AD226" s="18" t="s">
        <v>329</v>
      </c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 t="s">
        <v>339</v>
      </c>
      <c r="AZ226" s="18">
        <v>12000</v>
      </c>
      <c r="BA226" s="18" t="s">
        <v>395</v>
      </c>
      <c r="BB226" s="18" t="s">
        <v>328</v>
      </c>
      <c r="BC226" s="18">
        <v>10000</v>
      </c>
      <c r="BD226" s="18">
        <v>0</v>
      </c>
      <c r="BE226" s="18" t="s">
        <v>332</v>
      </c>
      <c r="BF226" s="18">
        <v>0</v>
      </c>
      <c r="BG226" s="18"/>
      <c r="BH226" s="18"/>
      <c r="BI226" s="18"/>
      <c r="BJ226" s="18"/>
      <c r="BK226" s="18"/>
      <c r="BL226" s="18"/>
      <c r="BM226" s="18">
        <v>21001610</v>
      </c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>
        <v>200</v>
      </c>
      <c r="GS226" s="18">
        <v>400</v>
      </c>
      <c r="GT226" s="18" t="s">
        <v>356</v>
      </c>
      <c r="GU226" s="18">
        <v>30056</v>
      </c>
      <c r="GV226" s="18" t="s">
        <v>339</v>
      </c>
      <c r="GW226" s="18" t="s">
        <v>339</v>
      </c>
      <c r="GX226" s="18" t="b">
        <v>1</v>
      </c>
      <c r="GY226" s="18">
        <v>8000</v>
      </c>
      <c r="GZ226" s="18" t="b">
        <v>0</v>
      </c>
      <c r="HA226" s="18">
        <v>0</v>
      </c>
      <c r="HB226" s="18">
        <v>0</v>
      </c>
      <c r="HC226" s="18">
        <v>0</v>
      </c>
      <c r="HD226" s="18">
        <v>0</v>
      </c>
      <c r="HE226" s="18" t="b">
        <v>0</v>
      </c>
      <c r="HF226" s="18">
        <v>0</v>
      </c>
      <c r="HG226" s="18">
        <v>10001</v>
      </c>
      <c r="HH226" s="18" t="s">
        <v>339</v>
      </c>
      <c r="HI226" s="18" t="s">
        <v>334</v>
      </c>
      <c r="HJ226" s="18">
        <v>0</v>
      </c>
      <c r="HK226" s="18">
        <v>0</v>
      </c>
      <c r="HL226" s="18">
        <v>0</v>
      </c>
      <c r="HM226" s="18">
        <v>0</v>
      </c>
      <c r="HN226" s="18" t="b">
        <v>0</v>
      </c>
    </row>
    <row r="227" spans="1:222">
      <c r="A227"/>
      <c r="B227" s="29" cm="1">
        <f t="array" ref="B227">10000000+INDEX(编号表!$B$1:$B$112,MATCH(D227,编号表!$A$1:$A$112,0))*10000+I227</f>
        <v>10230001</v>
      </c>
      <c r="C227" s="18" t="s">
        <v>407</v>
      </c>
      <c r="D227" s="18" t="s">
        <v>407</v>
      </c>
      <c r="E227" s="18" t="s">
        <v>322</v>
      </c>
      <c r="F227" s="18" t="s">
        <v>373</v>
      </c>
      <c r="G227" s="18" t="b">
        <v>0</v>
      </c>
      <c r="H227" s="18" t="b">
        <v>0</v>
      </c>
      <c r="I227" s="18">
        <v>1</v>
      </c>
      <c r="J227" s="18">
        <v>102300</v>
      </c>
      <c r="K227" s="18" t="s">
        <v>324</v>
      </c>
      <c r="L227" s="18">
        <v>0</v>
      </c>
      <c r="M227" s="18">
        <v>10230002</v>
      </c>
      <c r="N227" s="18" t="s">
        <v>408</v>
      </c>
      <c r="O227" s="18">
        <v>10202022</v>
      </c>
      <c r="P227" s="18">
        <v>0</v>
      </c>
      <c r="Q227" s="18">
        <v>0</v>
      </c>
      <c r="R227" s="18">
        <v>1</v>
      </c>
      <c r="S227" s="18">
        <v>0</v>
      </c>
      <c r="T227" s="18">
        <v>100</v>
      </c>
      <c r="U227" s="18" t="s">
        <v>338</v>
      </c>
      <c r="V227" s="18">
        <v>650</v>
      </c>
      <c r="W227" s="18">
        <v>650</v>
      </c>
      <c r="X227" s="18" t="s">
        <v>326</v>
      </c>
      <c r="Y227" s="18" t="s">
        <v>327</v>
      </c>
      <c r="Z227" s="18" t="s">
        <v>328</v>
      </c>
      <c r="AA227" s="18">
        <v>0</v>
      </c>
      <c r="AB227" s="18">
        <v>1</v>
      </c>
      <c r="AC227" s="18" t="b">
        <v>0</v>
      </c>
      <c r="AD227" s="18" t="s">
        <v>329</v>
      </c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 t="s">
        <v>339</v>
      </c>
      <c r="AZ227" s="18">
        <v>10000</v>
      </c>
      <c r="BA227" s="18" t="s">
        <v>395</v>
      </c>
      <c r="BB227" s="18" t="s">
        <v>328</v>
      </c>
      <c r="BC227" s="18">
        <v>10000</v>
      </c>
      <c r="BD227" s="18">
        <v>0</v>
      </c>
      <c r="BE227" s="18" t="s">
        <v>332</v>
      </c>
      <c r="BF227" s="18">
        <v>0</v>
      </c>
      <c r="BG227" s="18"/>
      <c r="BH227" s="18"/>
      <c r="BI227" s="18"/>
      <c r="BJ227" s="18"/>
      <c r="BK227" s="18"/>
      <c r="BL227" s="18"/>
      <c r="BM227" s="18">
        <v>21001701</v>
      </c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>
        <v>200</v>
      </c>
      <c r="GS227" s="18">
        <v>400</v>
      </c>
      <c r="GT227" s="18" t="s">
        <v>356</v>
      </c>
      <c r="GU227" s="18">
        <v>30054</v>
      </c>
      <c r="GV227" s="18" t="s">
        <v>339</v>
      </c>
      <c r="GW227" s="18" t="s">
        <v>339</v>
      </c>
      <c r="GX227" s="18" t="b">
        <v>1</v>
      </c>
      <c r="GY227" s="18">
        <v>8000</v>
      </c>
      <c r="GZ227" s="18" t="b">
        <v>0</v>
      </c>
      <c r="HA227" s="18">
        <v>0</v>
      </c>
      <c r="HB227" s="18">
        <v>0</v>
      </c>
      <c r="HC227" s="18">
        <v>0</v>
      </c>
      <c r="HD227" s="18">
        <v>0</v>
      </c>
      <c r="HE227" s="18" t="b">
        <v>0</v>
      </c>
      <c r="HF227" s="18">
        <v>0</v>
      </c>
      <c r="HG227" s="18">
        <v>10001</v>
      </c>
      <c r="HH227" s="18" t="s">
        <v>339</v>
      </c>
      <c r="HI227" s="18" t="s">
        <v>334</v>
      </c>
      <c r="HJ227" s="18">
        <v>0</v>
      </c>
      <c r="HK227" s="18">
        <v>0</v>
      </c>
      <c r="HL227" s="18">
        <v>0</v>
      </c>
      <c r="HM227" s="18">
        <v>0</v>
      </c>
      <c r="HN227" s="18" t="b">
        <v>0</v>
      </c>
    </row>
    <row r="228" spans="1:222">
      <c r="A228"/>
      <c r="B228" s="29" cm="1">
        <f t="array" ref="B228">10000000+INDEX(编号表!$B$1:$B$112,MATCH(D228,编号表!$A$1:$A$112,0))*10000+I228</f>
        <v>10230002</v>
      </c>
      <c r="C228" s="18" t="s">
        <v>407</v>
      </c>
      <c r="D228" s="18" t="s">
        <v>407</v>
      </c>
      <c r="E228" s="18" t="s">
        <v>322</v>
      </c>
      <c r="F228" s="18" t="s">
        <v>373</v>
      </c>
      <c r="G228" s="18" t="b">
        <v>0</v>
      </c>
      <c r="H228" s="18" t="b">
        <v>0</v>
      </c>
      <c r="I228" s="18">
        <v>2</v>
      </c>
      <c r="J228" s="18">
        <v>102300</v>
      </c>
      <c r="K228" s="18" t="s">
        <v>324</v>
      </c>
      <c r="L228" s="18">
        <v>10230001</v>
      </c>
      <c r="M228" s="18">
        <v>10230003</v>
      </c>
      <c r="N228" s="18" t="s">
        <v>408</v>
      </c>
      <c r="O228" s="18">
        <v>10202022</v>
      </c>
      <c r="P228" s="18">
        <v>0</v>
      </c>
      <c r="Q228" s="18">
        <v>1</v>
      </c>
      <c r="R228" s="18">
        <v>7</v>
      </c>
      <c r="S228" s="18">
        <v>0</v>
      </c>
      <c r="T228" s="18">
        <v>100</v>
      </c>
      <c r="U228" s="18" t="s">
        <v>338</v>
      </c>
      <c r="V228" s="18">
        <v>650</v>
      </c>
      <c r="W228" s="18">
        <v>650</v>
      </c>
      <c r="X228" s="18" t="s">
        <v>326</v>
      </c>
      <c r="Y228" s="18" t="s">
        <v>327</v>
      </c>
      <c r="Z228" s="18" t="s">
        <v>328</v>
      </c>
      <c r="AA228" s="18">
        <v>0</v>
      </c>
      <c r="AB228" s="18">
        <v>1</v>
      </c>
      <c r="AC228" s="18" t="b">
        <v>0</v>
      </c>
      <c r="AD228" s="18" t="s">
        <v>329</v>
      </c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 t="s">
        <v>339</v>
      </c>
      <c r="AZ228" s="18">
        <v>10400</v>
      </c>
      <c r="BA228" s="18" t="s">
        <v>395</v>
      </c>
      <c r="BB228" s="18" t="s">
        <v>328</v>
      </c>
      <c r="BC228" s="18">
        <v>10000</v>
      </c>
      <c r="BD228" s="18">
        <v>0</v>
      </c>
      <c r="BE228" s="18" t="s">
        <v>332</v>
      </c>
      <c r="BF228" s="18">
        <v>0</v>
      </c>
      <c r="BG228" s="18"/>
      <c r="BH228" s="18"/>
      <c r="BI228" s="18"/>
      <c r="BJ228" s="18"/>
      <c r="BK228" s="18"/>
      <c r="BL228" s="18"/>
      <c r="BM228" s="18">
        <v>21001702</v>
      </c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>
        <v>200</v>
      </c>
      <c r="GS228" s="18">
        <v>400</v>
      </c>
      <c r="GT228" s="18" t="s">
        <v>356</v>
      </c>
      <c r="GU228" s="18">
        <v>30054</v>
      </c>
      <c r="GV228" s="18" t="s">
        <v>339</v>
      </c>
      <c r="GW228" s="18" t="s">
        <v>339</v>
      </c>
      <c r="GX228" s="18" t="b">
        <v>1</v>
      </c>
      <c r="GY228" s="18">
        <v>8000</v>
      </c>
      <c r="GZ228" s="18" t="b">
        <v>0</v>
      </c>
      <c r="HA228" s="18">
        <v>0</v>
      </c>
      <c r="HB228" s="18">
        <v>0</v>
      </c>
      <c r="HC228" s="18">
        <v>0</v>
      </c>
      <c r="HD228" s="18">
        <v>0</v>
      </c>
      <c r="HE228" s="18" t="b">
        <v>0</v>
      </c>
      <c r="HF228" s="18">
        <v>0</v>
      </c>
      <c r="HG228" s="18">
        <v>10001</v>
      </c>
      <c r="HH228" s="18" t="s">
        <v>339</v>
      </c>
      <c r="HI228" s="18" t="s">
        <v>334</v>
      </c>
      <c r="HJ228" s="18">
        <v>0</v>
      </c>
      <c r="HK228" s="18">
        <v>0</v>
      </c>
      <c r="HL228" s="18">
        <v>0</v>
      </c>
      <c r="HM228" s="18">
        <v>0</v>
      </c>
      <c r="HN228" s="18" t="b">
        <v>0</v>
      </c>
    </row>
    <row r="229" spans="1:222">
      <c r="A229"/>
      <c r="B229" s="29" cm="1">
        <f t="array" ref="B229">10000000+INDEX(编号表!$B$1:$B$112,MATCH(D229,编号表!$A$1:$A$112,0))*10000+I229</f>
        <v>10230003</v>
      </c>
      <c r="C229" s="18" t="s">
        <v>407</v>
      </c>
      <c r="D229" s="18" t="s">
        <v>407</v>
      </c>
      <c r="E229" s="18" t="s">
        <v>322</v>
      </c>
      <c r="F229" s="18" t="s">
        <v>373</v>
      </c>
      <c r="G229" s="18" t="b">
        <v>0</v>
      </c>
      <c r="H229" s="18" t="b">
        <v>0</v>
      </c>
      <c r="I229" s="18">
        <v>3</v>
      </c>
      <c r="J229" s="18">
        <v>102300</v>
      </c>
      <c r="K229" s="18" t="s">
        <v>324</v>
      </c>
      <c r="L229" s="18">
        <v>10230002</v>
      </c>
      <c r="M229" s="18">
        <v>10230004</v>
      </c>
      <c r="N229" s="18" t="s">
        <v>408</v>
      </c>
      <c r="O229" s="18">
        <v>10202022</v>
      </c>
      <c r="P229" s="18">
        <v>0</v>
      </c>
      <c r="Q229" s="18">
        <v>2</v>
      </c>
      <c r="R229" s="18">
        <v>11</v>
      </c>
      <c r="S229" s="18">
        <v>0</v>
      </c>
      <c r="T229" s="18">
        <v>100</v>
      </c>
      <c r="U229" s="18" t="s">
        <v>338</v>
      </c>
      <c r="V229" s="18">
        <v>650</v>
      </c>
      <c r="W229" s="18">
        <v>650</v>
      </c>
      <c r="X229" s="18" t="s">
        <v>326</v>
      </c>
      <c r="Y229" s="18" t="s">
        <v>327</v>
      </c>
      <c r="Z229" s="18" t="s">
        <v>328</v>
      </c>
      <c r="AA229" s="18">
        <v>0</v>
      </c>
      <c r="AB229" s="18">
        <v>1</v>
      </c>
      <c r="AC229" s="18" t="b">
        <v>0</v>
      </c>
      <c r="AD229" s="18" t="s">
        <v>329</v>
      </c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 t="s">
        <v>339</v>
      </c>
      <c r="AZ229" s="18">
        <v>10800</v>
      </c>
      <c r="BA229" s="18" t="s">
        <v>395</v>
      </c>
      <c r="BB229" s="18" t="s">
        <v>328</v>
      </c>
      <c r="BC229" s="18">
        <v>10000</v>
      </c>
      <c r="BD229" s="18">
        <v>0</v>
      </c>
      <c r="BE229" s="18" t="s">
        <v>332</v>
      </c>
      <c r="BF229" s="18">
        <v>0</v>
      </c>
      <c r="BG229" s="18"/>
      <c r="BH229" s="18"/>
      <c r="BI229" s="18"/>
      <c r="BJ229" s="18"/>
      <c r="BK229" s="18"/>
      <c r="BL229" s="18"/>
      <c r="BM229" s="18">
        <v>21001703</v>
      </c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>
        <v>200</v>
      </c>
      <c r="GS229" s="18">
        <v>400</v>
      </c>
      <c r="GT229" s="18" t="s">
        <v>356</v>
      </c>
      <c r="GU229" s="18">
        <v>30054</v>
      </c>
      <c r="GV229" s="18" t="s">
        <v>339</v>
      </c>
      <c r="GW229" s="18" t="s">
        <v>339</v>
      </c>
      <c r="GX229" s="18" t="b">
        <v>1</v>
      </c>
      <c r="GY229" s="18">
        <v>8000</v>
      </c>
      <c r="GZ229" s="18" t="b">
        <v>0</v>
      </c>
      <c r="HA229" s="18">
        <v>0</v>
      </c>
      <c r="HB229" s="18">
        <v>0</v>
      </c>
      <c r="HC229" s="18">
        <v>0</v>
      </c>
      <c r="HD229" s="18">
        <v>0</v>
      </c>
      <c r="HE229" s="18" t="b">
        <v>0</v>
      </c>
      <c r="HF229" s="18">
        <v>0</v>
      </c>
      <c r="HG229" s="18">
        <v>10001</v>
      </c>
      <c r="HH229" s="18" t="s">
        <v>339</v>
      </c>
      <c r="HI229" s="18" t="s">
        <v>334</v>
      </c>
      <c r="HJ229" s="18">
        <v>0</v>
      </c>
      <c r="HK229" s="18">
        <v>0</v>
      </c>
      <c r="HL229" s="18">
        <v>0</v>
      </c>
      <c r="HM229" s="18">
        <v>0</v>
      </c>
      <c r="HN229" s="18" t="b">
        <v>0</v>
      </c>
    </row>
    <row r="230" spans="1:222">
      <c r="A230"/>
      <c r="B230" s="29" cm="1">
        <f t="array" ref="B230">10000000+INDEX(编号表!$B$1:$B$112,MATCH(D230,编号表!$A$1:$A$112,0))*10000+I230</f>
        <v>10230004</v>
      </c>
      <c r="C230" s="18" t="s">
        <v>407</v>
      </c>
      <c r="D230" s="18" t="s">
        <v>407</v>
      </c>
      <c r="E230" s="18" t="s">
        <v>322</v>
      </c>
      <c r="F230" s="18" t="s">
        <v>373</v>
      </c>
      <c r="G230" s="18" t="b">
        <v>0</v>
      </c>
      <c r="H230" s="18" t="b">
        <v>0</v>
      </c>
      <c r="I230" s="18">
        <v>4</v>
      </c>
      <c r="J230" s="18">
        <v>102300</v>
      </c>
      <c r="K230" s="18" t="s">
        <v>324</v>
      </c>
      <c r="L230" s="18">
        <v>10230003</v>
      </c>
      <c r="M230" s="18">
        <v>10230005</v>
      </c>
      <c r="N230" s="18" t="s">
        <v>408</v>
      </c>
      <c r="O230" s="18">
        <v>10202022</v>
      </c>
      <c r="P230" s="18">
        <v>0</v>
      </c>
      <c r="Q230" s="18">
        <v>3</v>
      </c>
      <c r="R230" s="18">
        <v>16</v>
      </c>
      <c r="S230" s="18">
        <v>0</v>
      </c>
      <c r="T230" s="18">
        <v>100</v>
      </c>
      <c r="U230" s="18" t="s">
        <v>338</v>
      </c>
      <c r="V230" s="18">
        <v>650</v>
      </c>
      <c r="W230" s="18">
        <v>650</v>
      </c>
      <c r="X230" s="18" t="s">
        <v>326</v>
      </c>
      <c r="Y230" s="18" t="s">
        <v>327</v>
      </c>
      <c r="Z230" s="18" t="s">
        <v>328</v>
      </c>
      <c r="AA230" s="18">
        <v>0</v>
      </c>
      <c r="AB230" s="18">
        <v>1</v>
      </c>
      <c r="AC230" s="18" t="b">
        <v>0</v>
      </c>
      <c r="AD230" s="18" t="s">
        <v>329</v>
      </c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 t="s">
        <v>339</v>
      </c>
      <c r="AZ230" s="18">
        <v>11200</v>
      </c>
      <c r="BA230" s="18" t="s">
        <v>395</v>
      </c>
      <c r="BB230" s="18" t="s">
        <v>328</v>
      </c>
      <c r="BC230" s="18">
        <v>10000</v>
      </c>
      <c r="BD230" s="18">
        <v>0</v>
      </c>
      <c r="BE230" s="18" t="s">
        <v>332</v>
      </c>
      <c r="BF230" s="18">
        <v>0</v>
      </c>
      <c r="BG230" s="18"/>
      <c r="BH230" s="18"/>
      <c r="BI230" s="18"/>
      <c r="BJ230" s="18"/>
      <c r="BK230" s="18"/>
      <c r="BL230" s="18"/>
      <c r="BM230" s="18">
        <v>21001704</v>
      </c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>
        <v>200</v>
      </c>
      <c r="GS230" s="18">
        <v>400</v>
      </c>
      <c r="GT230" s="18" t="s">
        <v>356</v>
      </c>
      <c r="GU230" s="18">
        <v>30054</v>
      </c>
      <c r="GV230" s="18" t="s">
        <v>339</v>
      </c>
      <c r="GW230" s="18" t="s">
        <v>339</v>
      </c>
      <c r="GX230" s="18" t="b">
        <v>1</v>
      </c>
      <c r="GY230" s="18">
        <v>8000</v>
      </c>
      <c r="GZ230" s="18" t="b">
        <v>0</v>
      </c>
      <c r="HA230" s="18">
        <v>0</v>
      </c>
      <c r="HB230" s="18">
        <v>0</v>
      </c>
      <c r="HC230" s="18">
        <v>0</v>
      </c>
      <c r="HD230" s="18">
        <v>0</v>
      </c>
      <c r="HE230" s="18" t="b">
        <v>0</v>
      </c>
      <c r="HF230" s="18">
        <v>0</v>
      </c>
      <c r="HG230" s="18">
        <v>10001</v>
      </c>
      <c r="HH230" s="18" t="s">
        <v>339</v>
      </c>
      <c r="HI230" s="18" t="s">
        <v>334</v>
      </c>
      <c r="HJ230" s="18">
        <v>0</v>
      </c>
      <c r="HK230" s="18">
        <v>0</v>
      </c>
      <c r="HL230" s="18">
        <v>0</v>
      </c>
      <c r="HM230" s="18">
        <v>0</v>
      </c>
      <c r="HN230" s="18" t="b">
        <v>0</v>
      </c>
    </row>
    <row r="231" spans="1:222">
      <c r="A231"/>
      <c r="B231" s="29" cm="1">
        <f t="array" ref="B231">10000000+INDEX(编号表!$B$1:$B$112,MATCH(D231,编号表!$A$1:$A$112,0))*10000+I231</f>
        <v>10230005</v>
      </c>
      <c r="C231" s="18" t="s">
        <v>407</v>
      </c>
      <c r="D231" s="18" t="s">
        <v>407</v>
      </c>
      <c r="E231" s="18" t="s">
        <v>322</v>
      </c>
      <c r="F231" s="18" t="s">
        <v>373</v>
      </c>
      <c r="G231" s="18" t="b">
        <v>0</v>
      </c>
      <c r="H231" s="18" t="b">
        <v>0</v>
      </c>
      <c r="I231" s="18">
        <v>5</v>
      </c>
      <c r="J231" s="18">
        <v>102300</v>
      </c>
      <c r="K231" s="18" t="s">
        <v>324</v>
      </c>
      <c r="L231" s="18">
        <v>10230004</v>
      </c>
      <c r="M231" s="18">
        <v>10230006</v>
      </c>
      <c r="N231" s="18" t="s">
        <v>408</v>
      </c>
      <c r="O231" s="18">
        <v>10202022</v>
      </c>
      <c r="P231" s="18">
        <v>0</v>
      </c>
      <c r="Q231" s="18">
        <v>3</v>
      </c>
      <c r="R231" s="18">
        <v>25</v>
      </c>
      <c r="S231" s="18">
        <v>0</v>
      </c>
      <c r="T231" s="18">
        <v>100</v>
      </c>
      <c r="U231" s="18" t="s">
        <v>338</v>
      </c>
      <c r="V231" s="18">
        <v>650</v>
      </c>
      <c r="W231" s="18">
        <v>650</v>
      </c>
      <c r="X231" s="18" t="s">
        <v>326</v>
      </c>
      <c r="Y231" s="18" t="s">
        <v>327</v>
      </c>
      <c r="Z231" s="18" t="s">
        <v>328</v>
      </c>
      <c r="AA231" s="18">
        <v>0</v>
      </c>
      <c r="AB231" s="18">
        <v>1</v>
      </c>
      <c r="AC231" s="18" t="b">
        <v>0</v>
      </c>
      <c r="AD231" s="18" t="s">
        <v>329</v>
      </c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 t="s">
        <v>339</v>
      </c>
      <c r="AZ231" s="18">
        <v>11300</v>
      </c>
      <c r="BA231" s="18" t="s">
        <v>395</v>
      </c>
      <c r="BB231" s="18" t="s">
        <v>328</v>
      </c>
      <c r="BC231" s="18">
        <v>10000</v>
      </c>
      <c r="BD231" s="18">
        <v>0</v>
      </c>
      <c r="BE231" s="18" t="s">
        <v>332</v>
      </c>
      <c r="BF231" s="18">
        <v>0</v>
      </c>
      <c r="BG231" s="18"/>
      <c r="BH231" s="18"/>
      <c r="BI231" s="18"/>
      <c r="BJ231" s="18"/>
      <c r="BK231" s="18"/>
      <c r="BL231" s="18"/>
      <c r="BM231" s="18">
        <v>21001705</v>
      </c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18"/>
      <c r="FB231" s="18"/>
      <c r="FC231" s="18"/>
      <c r="FD231" s="18"/>
      <c r="FE231" s="18"/>
      <c r="FF231" s="18"/>
      <c r="FG231" s="18"/>
      <c r="FH231" s="18"/>
      <c r="FI231" s="18"/>
      <c r="FJ231" s="18"/>
      <c r="FK231" s="18"/>
      <c r="FL231" s="18"/>
      <c r="FM231" s="18"/>
      <c r="FN231" s="18"/>
      <c r="FO231" s="18"/>
      <c r="FP231" s="18"/>
      <c r="FQ231" s="18"/>
      <c r="FR231" s="18"/>
      <c r="FS231" s="18"/>
      <c r="FT231" s="18"/>
      <c r="FU231" s="18"/>
      <c r="FV231" s="18"/>
      <c r="FW231" s="18"/>
      <c r="FX231" s="18"/>
      <c r="FY231" s="18"/>
      <c r="FZ231" s="18"/>
      <c r="GA231" s="18"/>
      <c r="GB231" s="18"/>
      <c r="GC231" s="18"/>
      <c r="GD231" s="18"/>
      <c r="GE231" s="18"/>
      <c r="GF231" s="18"/>
      <c r="GG231" s="18"/>
      <c r="GH231" s="18"/>
      <c r="GI231" s="18"/>
      <c r="GJ231" s="18"/>
      <c r="GK231" s="18"/>
      <c r="GL231" s="18"/>
      <c r="GM231" s="18"/>
      <c r="GN231" s="18"/>
      <c r="GO231" s="18"/>
      <c r="GP231" s="18"/>
      <c r="GQ231" s="18"/>
      <c r="GR231" s="18">
        <v>200</v>
      </c>
      <c r="GS231" s="18">
        <v>400</v>
      </c>
      <c r="GT231" s="18" t="s">
        <v>356</v>
      </c>
      <c r="GU231" s="18">
        <v>30054</v>
      </c>
      <c r="GV231" s="18" t="s">
        <v>339</v>
      </c>
      <c r="GW231" s="18" t="s">
        <v>339</v>
      </c>
      <c r="GX231" s="18" t="b">
        <v>1</v>
      </c>
      <c r="GY231" s="18">
        <v>8000</v>
      </c>
      <c r="GZ231" s="18" t="b">
        <v>0</v>
      </c>
      <c r="HA231" s="18">
        <v>0</v>
      </c>
      <c r="HB231" s="18">
        <v>0</v>
      </c>
      <c r="HC231" s="18">
        <v>0</v>
      </c>
      <c r="HD231" s="18">
        <v>0</v>
      </c>
      <c r="HE231" s="18" t="b">
        <v>0</v>
      </c>
      <c r="HF231" s="18">
        <v>0</v>
      </c>
      <c r="HG231" s="18">
        <v>10001</v>
      </c>
      <c r="HH231" s="18" t="s">
        <v>339</v>
      </c>
      <c r="HI231" s="18" t="s">
        <v>334</v>
      </c>
      <c r="HJ231" s="18">
        <v>0</v>
      </c>
      <c r="HK231" s="18">
        <v>0</v>
      </c>
      <c r="HL231" s="18">
        <v>0</v>
      </c>
      <c r="HM231" s="18">
        <v>0</v>
      </c>
      <c r="HN231" s="18" t="b">
        <v>0</v>
      </c>
    </row>
    <row r="232" spans="1:222">
      <c r="A232"/>
      <c r="B232" s="29" cm="1">
        <f t="array" ref="B232">10000000+INDEX(编号表!$B$1:$B$112,MATCH(D232,编号表!$A$1:$A$112,0))*10000+I232</f>
        <v>10230006</v>
      </c>
      <c r="C232" s="18" t="s">
        <v>407</v>
      </c>
      <c r="D232" s="18" t="s">
        <v>407</v>
      </c>
      <c r="E232" s="18" t="s">
        <v>322</v>
      </c>
      <c r="F232" s="18" t="s">
        <v>373</v>
      </c>
      <c r="G232" s="18" t="b">
        <v>0</v>
      </c>
      <c r="H232" s="18" t="b">
        <v>0</v>
      </c>
      <c r="I232" s="18">
        <v>6</v>
      </c>
      <c r="J232" s="18">
        <v>102300</v>
      </c>
      <c r="K232" s="18" t="s">
        <v>324</v>
      </c>
      <c r="L232" s="18">
        <v>10230005</v>
      </c>
      <c r="M232" s="18">
        <v>10230007</v>
      </c>
      <c r="N232" s="18" t="s">
        <v>408</v>
      </c>
      <c r="O232" s="18">
        <v>10202022</v>
      </c>
      <c r="P232" s="18">
        <v>0</v>
      </c>
      <c r="Q232" s="18">
        <v>3</v>
      </c>
      <c r="R232" s="18">
        <v>30</v>
      </c>
      <c r="S232" s="18">
        <v>0</v>
      </c>
      <c r="T232" s="18">
        <v>100</v>
      </c>
      <c r="U232" s="18" t="s">
        <v>338</v>
      </c>
      <c r="V232" s="18">
        <v>650</v>
      </c>
      <c r="W232" s="18">
        <v>650</v>
      </c>
      <c r="X232" s="18" t="s">
        <v>326</v>
      </c>
      <c r="Y232" s="18" t="s">
        <v>327</v>
      </c>
      <c r="Z232" s="18" t="s">
        <v>328</v>
      </c>
      <c r="AA232" s="18">
        <v>0</v>
      </c>
      <c r="AB232" s="18">
        <v>1</v>
      </c>
      <c r="AC232" s="18" t="b">
        <v>0</v>
      </c>
      <c r="AD232" s="18" t="s">
        <v>329</v>
      </c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 t="s">
        <v>339</v>
      </c>
      <c r="AZ232" s="18">
        <v>11600</v>
      </c>
      <c r="BA232" s="18" t="s">
        <v>395</v>
      </c>
      <c r="BB232" s="18" t="s">
        <v>328</v>
      </c>
      <c r="BC232" s="18">
        <v>10000</v>
      </c>
      <c r="BD232" s="18">
        <v>0</v>
      </c>
      <c r="BE232" s="18" t="s">
        <v>332</v>
      </c>
      <c r="BF232" s="18">
        <v>0</v>
      </c>
      <c r="BG232" s="18"/>
      <c r="BH232" s="18"/>
      <c r="BI232" s="18"/>
      <c r="BJ232" s="18"/>
      <c r="BK232" s="18"/>
      <c r="BL232" s="18"/>
      <c r="BM232" s="18">
        <v>21001706</v>
      </c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>
        <v>200</v>
      </c>
      <c r="GS232" s="18">
        <v>400</v>
      </c>
      <c r="GT232" s="18" t="s">
        <v>356</v>
      </c>
      <c r="GU232" s="18">
        <v>30054</v>
      </c>
      <c r="GV232" s="18" t="s">
        <v>339</v>
      </c>
      <c r="GW232" s="18" t="s">
        <v>339</v>
      </c>
      <c r="GX232" s="18" t="b">
        <v>1</v>
      </c>
      <c r="GY232" s="18">
        <v>8000</v>
      </c>
      <c r="GZ232" s="18" t="b">
        <v>0</v>
      </c>
      <c r="HA232" s="18">
        <v>0</v>
      </c>
      <c r="HB232" s="18">
        <v>0</v>
      </c>
      <c r="HC232" s="18">
        <v>0</v>
      </c>
      <c r="HD232" s="18">
        <v>0</v>
      </c>
      <c r="HE232" s="18" t="b">
        <v>0</v>
      </c>
      <c r="HF232" s="18">
        <v>0</v>
      </c>
      <c r="HG232" s="18">
        <v>10001</v>
      </c>
      <c r="HH232" s="18" t="s">
        <v>339</v>
      </c>
      <c r="HI232" s="18" t="s">
        <v>334</v>
      </c>
      <c r="HJ232" s="18">
        <v>0</v>
      </c>
      <c r="HK232" s="18">
        <v>0</v>
      </c>
      <c r="HL232" s="18">
        <v>0</v>
      </c>
      <c r="HM232" s="18">
        <v>0</v>
      </c>
      <c r="HN232" s="18" t="b">
        <v>0</v>
      </c>
    </row>
    <row r="233" spans="1:222">
      <c r="A233"/>
      <c r="B233" s="29" cm="1">
        <f t="array" ref="B233">10000000+INDEX(编号表!$B$1:$B$112,MATCH(D233,编号表!$A$1:$A$112,0))*10000+I233</f>
        <v>10230007</v>
      </c>
      <c r="C233" s="18" t="s">
        <v>407</v>
      </c>
      <c r="D233" s="18" t="s">
        <v>407</v>
      </c>
      <c r="E233" s="18" t="s">
        <v>322</v>
      </c>
      <c r="F233" s="18" t="s">
        <v>373</v>
      </c>
      <c r="G233" s="18" t="b">
        <v>0</v>
      </c>
      <c r="H233" s="18" t="b">
        <v>0</v>
      </c>
      <c r="I233" s="18">
        <v>7</v>
      </c>
      <c r="J233" s="18">
        <v>102300</v>
      </c>
      <c r="K233" s="18" t="s">
        <v>324</v>
      </c>
      <c r="L233" s="18">
        <v>10230006</v>
      </c>
      <c r="M233" s="18">
        <v>10230008</v>
      </c>
      <c r="N233" s="18" t="s">
        <v>408</v>
      </c>
      <c r="O233" s="18">
        <v>10202022</v>
      </c>
      <c r="P233" s="18">
        <v>0</v>
      </c>
      <c r="Q233" s="18">
        <v>3</v>
      </c>
      <c r="R233" s="18">
        <v>35</v>
      </c>
      <c r="S233" s="18">
        <v>0</v>
      </c>
      <c r="T233" s="18">
        <v>100</v>
      </c>
      <c r="U233" s="18" t="s">
        <v>338</v>
      </c>
      <c r="V233" s="18">
        <v>650</v>
      </c>
      <c r="W233" s="18">
        <v>650</v>
      </c>
      <c r="X233" s="18" t="s">
        <v>326</v>
      </c>
      <c r="Y233" s="18" t="s">
        <v>327</v>
      </c>
      <c r="Z233" s="18" t="s">
        <v>328</v>
      </c>
      <c r="AA233" s="18">
        <v>0</v>
      </c>
      <c r="AB233" s="18">
        <v>1</v>
      </c>
      <c r="AC233" s="18" t="b">
        <v>0</v>
      </c>
      <c r="AD233" s="18" t="s">
        <v>329</v>
      </c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 t="s">
        <v>339</v>
      </c>
      <c r="AZ233" s="18">
        <v>11700</v>
      </c>
      <c r="BA233" s="18" t="s">
        <v>395</v>
      </c>
      <c r="BB233" s="18" t="s">
        <v>328</v>
      </c>
      <c r="BC233" s="18">
        <v>10000</v>
      </c>
      <c r="BD233" s="18">
        <v>0</v>
      </c>
      <c r="BE233" s="18" t="s">
        <v>332</v>
      </c>
      <c r="BF233" s="18">
        <v>0</v>
      </c>
      <c r="BG233" s="18"/>
      <c r="BH233" s="18"/>
      <c r="BI233" s="18"/>
      <c r="BJ233" s="18"/>
      <c r="BK233" s="18"/>
      <c r="BL233" s="18"/>
      <c r="BM233" s="18">
        <v>21001707</v>
      </c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>
        <v>200</v>
      </c>
      <c r="GS233" s="18">
        <v>400</v>
      </c>
      <c r="GT233" s="18" t="s">
        <v>356</v>
      </c>
      <c r="GU233" s="18">
        <v>30054</v>
      </c>
      <c r="GV233" s="18" t="s">
        <v>339</v>
      </c>
      <c r="GW233" s="18" t="s">
        <v>339</v>
      </c>
      <c r="GX233" s="18" t="b">
        <v>1</v>
      </c>
      <c r="GY233" s="18">
        <v>8000</v>
      </c>
      <c r="GZ233" s="18" t="b">
        <v>0</v>
      </c>
      <c r="HA233" s="18">
        <v>0</v>
      </c>
      <c r="HB233" s="18">
        <v>0</v>
      </c>
      <c r="HC233" s="18">
        <v>0</v>
      </c>
      <c r="HD233" s="18">
        <v>0</v>
      </c>
      <c r="HE233" s="18" t="b">
        <v>0</v>
      </c>
      <c r="HF233" s="18">
        <v>0</v>
      </c>
      <c r="HG233" s="18">
        <v>10001</v>
      </c>
      <c r="HH233" s="18" t="s">
        <v>339</v>
      </c>
      <c r="HI233" s="18" t="s">
        <v>334</v>
      </c>
      <c r="HJ233" s="18">
        <v>0</v>
      </c>
      <c r="HK233" s="18">
        <v>0</v>
      </c>
      <c r="HL233" s="18">
        <v>0</v>
      </c>
      <c r="HM233" s="18">
        <v>0</v>
      </c>
      <c r="HN233" s="18" t="b">
        <v>0</v>
      </c>
    </row>
    <row r="234" spans="1:222">
      <c r="A234"/>
      <c r="B234" s="29" cm="1">
        <f t="array" ref="B234">10000000+INDEX(编号表!$B$1:$B$112,MATCH(D234,编号表!$A$1:$A$112,0))*10000+I234</f>
        <v>10230008</v>
      </c>
      <c r="C234" s="18" t="s">
        <v>407</v>
      </c>
      <c r="D234" s="18" t="s">
        <v>407</v>
      </c>
      <c r="E234" s="18" t="s">
        <v>322</v>
      </c>
      <c r="F234" s="18" t="s">
        <v>373</v>
      </c>
      <c r="G234" s="18" t="b">
        <v>0</v>
      </c>
      <c r="H234" s="18" t="b">
        <v>0</v>
      </c>
      <c r="I234" s="18">
        <v>8</v>
      </c>
      <c r="J234" s="18">
        <v>102300</v>
      </c>
      <c r="K234" s="18" t="s">
        <v>324</v>
      </c>
      <c r="L234" s="18">
        <v>10230007</v>
      </c>
      <c r="M234" s="18">
        <v>10230009</v>
      </c>
      <c r="N234" s="18" t="s">
        <v>408</v>
      </c>
      <c r="O234" s="18">
        <v>10202022</v>
      </c>
      <c r="P234" s="18">
        <v>0</v>
      </c>
      <c r="Q234" s="18">
        <v>3</v>
      </c>
      <c r="R234" s="18">
        <v>35</v>
      </c>
      <c r="S234" s="18">
        <v>0</v>
      </c>
      <c r="T234" s="18">
        <v>100</v>
      </c>
      <c r="U234" s="18" t="s">
        <v>338</v>
      </c>
      <c r="V234" s="18">
        <v>650</v>
      </c>
      <c r="W234" s="18">
        <v>650</v>
      </c>
      <c r="X234" s="18" t="s">
        <v>326</v>
      </c>
      <c r="Y234" s="18" t="s">
        <v>327</v>
      </c>
      <c r="Z234" s="18" t="s">
        <v>328</v>
      </c>
      <c r="AA234" s="18">
        <v>0</v>
      </c>
      <c r="AB234" s="18">
        <v>1</v>
      </c>
      <c r="AC234" s="18" t="b">
        <v>0</v>
      </c>
      <c r="AD234" s="18" t="s">
        <v>329</v>
      </c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 t="s">
        <v>339</v>
      </c>
      <c r="AZ234" s="18">
        <v>11800</v>
      </c>
      <c r="BA234" s="18" t="s">
        <v>395</v>
      </c>
      <c r="BB234" s="18" t="s">
        <v>328</v>
      </c>
      <c r="BC234" s="18">
        <v>10000</v>
      </c>
      <c r="BD234" s="18">
        <v>0</v>
      </c>
      <c r="BE234" s="18" t="s">
        <v>332</v>
      </c>
      <c r="BF234" s="18">
        <v>0</v>
      </c>
      <c r="BG234" s="18"/>
      <c r="BH234" s="18"/>
      <c r="BI234" s="18"/>
      <c r="BJ234" s="18"/>
      <c r="BK234" s="18"/>
      <c r="BL234" s="18"/>
      <c r="BM234" s="18">
        <v>21001708</v>
      </c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>
        <v>200</v>
      </c>
      <c r="GS234" s="18">
        <v>400</v>
      </c>
      <c r="GT234" s="18" t="s">
        <v>356</v>
      </c>
      <c r="GU234" s="18">
        <v>30054</v>
      </c>
      <c r="GV234" s="18" t="s">
        <v>339</v>
      </c>
      <c r="GW234" s="18" t="s">
        <v>339</v>
      </c>
      <c r="GX234" s="18" t="b">
        <v>1</v>
      </c>
      <c r="GY234" s="18">
        <v>8000</v>
      </c>
      <c r="GZ234" s="18" t="b">
        <v>0</v>
      </c>
      <c r="HA234" s="18">
        <v>0</v>
      </c>
      <c r="HB234" s="18">
        <v>0</v>
      </c>
      <c r="HC234" s="18">
        <v>0</v>
      </c>
      <c r="HD234" s="18">
        <v>0</v>
      </c>
      <c r="HE234" s="18" t="b">
        <v>0</v>
      </c>
      <c r="HF234" s="18">
        <v>0</v>
      </c>
      <c r="HG234" s="18">
        <v>10001</v>
      </c>
      <c r="HH234" s="18" t="s">
        <v>339</v>
      </c>
      <c r="HI234" s="18" t="s">
        <v>334</v>
      </c>
      <c r="HJ234" s="18">
        <v>0</v>
      </c>
      <c r="HK234" s="18">
        <v>0</v>
      </c>
      <c r="HL234" s="18">
        <v>0</v>
      </c>
      <c r="HM234" s="18">
        <v>0</v>
      </c>
      <c r="HN234" s="18" t="b">
        <v>0</v>
      </c>
    </row>
    <row r="235" spans="1:222">
      <c r="A235"/>
      <c r="B235" s="29" cm="1">
        <f t="array" ref="B235">10000000+INDEX(编号表!$B$1:$B$112,MATCH(D235,编号表!$A$1:$A$112,0))*10000+I235</f>
        <v>10230009</v>
      </c>
      <c r="C235" s="18" t="s">
        <v>407</v>
      </c>
      <c r="D235" s="18" t="s">
        <v>407</v>
      </c>
      <c r="E235" s="18" t="s">
        <v>322</v>
      </c>
      <c r="F235" s="18" t="s">
        <v>373</v>
      </c>
      <c r="G235" s="18" t="b">
        <v>0</v>
      </c>
      <c r="H235" s="18" t="b">
        <v>0</v>
      </c>
      <c r="I235" s="18">
        <v>9</v>
      </c>
      <c r="J235" s="18">
        <v>102300</v>
      </c>
      <c r="K235" s="18" t="s">
        <v>324</v>
      </c>
      <c r="L235" s="18">
        <v>10230008</v>
      </c>
      <c r="M235" s="18">
        <v>10230010</v>
      </c>
      <c r="N235" s="18" t="s">
        <v>408</v>
      </c>
      <c r="O235" s="18">
        <v>10202022</v>
      </c>
      <c r="P235" s="18">
        <v>0</v>
      </c>
      <c r="Q235" s="18">
        <v>3</v>
      </c>
      <c r="R235" s="18">
        <v>40</v>
      </c>
      <c r="S235" s="18">
        <v>0</v>
      </c>
      <c r="T235" s="18">
        <v>100</v>
      </c>
      <c r="U235" s="18" t="s">
        <v>338</v>
      </c>
      <c r="V235" s="18">
        <v>650</v>
      </c>
      <c r="W235" s="18">
        <v>650</v>
      </c>
      <c r="X235" s="18" t="s">
        <v>326</v>
      </c>
      <c r="Y235" s="18" t="s">
        <v>327</v>
      </c>
      <c r="Z235" s="18" t="s">
        <v>328</v>
      </c>
      <c r="AA235" s="18">
        <v>0</v>
      </c>
      <c r="AB235" s="18">
        <v>1</v>
      </c>
      <c r="AC235" s="18" t="b">
        <v>0</v>
      </c>
      <c r="AD235" s="18" t="s">
        <v>329</v>
      </c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 t="s">
        <v>339</v>
      </c>
      <c r="AZ235" s="18">
        <v>11900</v>
      </c>
      <c r="BA235" s="18" t="s">
        <v>395</v>
      </c>
      <c r="BB235" s="18" t="s">
        <v>328</v>
      </c>
      <c r="BC235" s="18">
        <v>10000</v>
      </c>
      <c r="BD235" s="18">
        <v>0</v>
      </c>
      <c r="BE235" s="18" t="s">
        <v>332</v>
      </c>
      <c r="BF235" s="18">
        <v>0</v>
      </c>
      <c r="BG235" s="18"/>
      <c r="BH235" s="18"/>
      <c r="BI235" s="18"/>
      <c r="BJ235" s="18"/>
      <c r="BK235" s="18"/>
      <c r="BL235" s="18"/>
      <c r="BM235" s="18">
        <v>21001709</v>
      </c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>
        <v>200</v>
      </c>
      <c r="GS235" s="18">
        <v>400</v>
      </c>
      <c r="GT235" s="18" t="s">
        <v>356</v>
      </c>
      <c r="GU235" s="18">
        <v>30054</v>
      </c>
      <c r="GV235" s="18" t="s">
        <v>339</v>
      </c>
      <c r="GW235" s="18" t="s">
        <v>339</v>
      </c>
      <c r="GX235" s="18" t="b">
        <v>1</v>
      </c>
      <c r="GY235" s="18">
        <v>8000</v>
      </c>
      <c r="GZ235" s="18" t="b">
        <v>0</v>
      </c>
      <c r="HA235" s="18">
        <v>0</v>
      </c>
      <c r="HB235" s="18">
        <v>0</v>
      </c>
      <c r="HC235" s="18">
        <v>0</v>
      </c>
      <c r="HD235" s="18">
        <v>0</v>
      </c>
      <c r="HE235" s="18" t="b">
        <v>0</v>
      </c>
      <c r="HF235" s="18">
        <v>0</v>
      </c>
      <c r="HG235" s="18">
        <v>10001</v>
      </c>
      <c r="HH235" s="18" t="s">
        <v>339</v>
      </c>
      <c r="HI235" s="18" t="s">
        <v>334</v>
      </c>
      <c r="HJ235" s="18">
        <v>0</v>
      </c>
      <c r="HK235" s="18">
        <v>0</v>
      </c>
      <c r="HL235" s="18">
        <v>0</v>
      </c>
      <c r="HM235" s="18">
        <v>0</v>
      </c>
      <c r="HN235" s="18" t="b">
        <v>0</v>
      </c>
    </row>
    <row r="236" spans="1:222">
      <c r="A236"/>
      <c r="B236" s="29" cm="1">
        <f t="array" ref="B236">10000000+INDEX(编号表!$B$1:$B$112,MATCH(D236,编号表!$A$1:$A$112,0))*10000+I236</f>
        <v>10230010</v>
      </c>
      <c r="C236" s="18" t="s">
        <v>407</v>
      </c>
      <c r="D236" s="18" t="s">
        <v>407</v>
      </c>
      <c r="E236" s="18" t="s">
        <v>322</v>
      </c>
      <c r="F236" s="18" t="s">
        <v>373</v>
      </c>
      <c r="G236" s="18" t="b">
        <v>0</v>
      </c>
      <c r="H236" s="18" t="b">
        <v>0</v>
      </c>
      <c r="I236" s="18">
        <v>10</v>
      </c>
      <c r="J236" s="18">
        <v>102300</v>
      </c>
      <c r="K236" s="18" t="s">
        <v>324</v>
      </c>
      <c r="L236" s="18">
        <v>10230009</v>
      </c>
      <c r="M236" s="18">
        <v>0</v>
      </c>
      <c r="N236" s="18" t="s">
        <v>408</v>
      </c>
      <c r="O236" s="18">
        <v>10202022</v>
      </c>
      <c r="P236" s="18">
        <v>0</v>
      </c>
      <c r="Q236" s="18">
        <v>3</v>
      </c>
      <c r="R236" s="18">
        <v>40</v>
      </c>
      <c r="S236" s="18">
        <v>0</v>
      </c>
      <c r="T236" s="18">
        <v>0</v>
      </c>
      <c r="U236" s="18" t="s">
        <v>338</v>
      </c>
      <c r="V236" s="18">
        <v>650</v>
      </c>
      <c r="W236" s="18">
        <v>650</v>
      </c>
      <c r="X236" s="18" t="s">
        <v>326</v>
      </c>
      <c r="Y236" s="18" t="s">
        <v>327</v>
      </c>
      <c r="Z236" s="18" t="s">
        <v>328</v>
      </c>
      <c r="AA236" s="18">
        <v>0</v>
      </c>
      <c r="AB236" s="18">
        <v>1</v>
      </c>
      <c r="AC236" s="18" t="b">
        <v>0</v>
      </c>
      <c r="AD236" s="18" t="s">
        <v>329</v>
      </c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 t="s">
        <v>339</v>
      </c>
      <c r="AZ236" s="18">
        <v>12000</v>
      </c>
      <c r="BA236" s="18" t="s">
        <v>395</v>
      </c>
      <c r="BB236" s="18" t="s">
        <v>328</v>
      </c>
      <c r="BC236" s="18">
        <v>10000</v>
      </c>
      <c r="BD236" s="18">
        <v>0</v>
      </c>
      <c r="BE236" s="18" t="s">
        <v>332</v>
      </c>
      <c r="BF236" s="18">
        <v>0</v>
      </c>
      <c r="BG236" s="18"/>
      <c r="BH236" s="18"/>
      <c r="BI236" s="18"/>
      <c r="BJ236" s="18"/>
      <c r="BK236" s="18"/>
      <c r="BL236" s="18"/>
      <c r="BM236" s="18">
        <v>21001710</v>
      </c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>
        <v>200</v>
      </c>
      <c r="GS236" s="18">
        <v>400</v>
      </c>
      <c r="GT236" s="18" t="s">
        <v>356</v>
      </c>
      <c r="GU236" s="18">
        <v>30054</v>
      </c>
      <c r="GV236" s="18" t="s">
        <v>339</v>
      </c>
      <c r="GW236" s="18" t="s">
        <v>339</v>
      </c>
      <c r="GX236" s="18" t="b">
        <v>1</v>
      </c>
      <c r="GY236" s="18">
        <v>8000</v>
      </c>
      <c r="GZ236" s="18" t="b">
        <v>0</v>
      </c>
      <c r="HA236" s="18">
        <v>0</v>
      </c>
      <c r="HB236" s="18">
        <v>0</v>
      </c>
      <c r="HC236" s="18">
        <v>0</v>
      </c>
      <c r="HD236" s="18">
        <v>0</v>
      </c>
      <c r="HE236" s="18" t="b">
        <v>0</v>
      </c>
      <c r="HF236" s="18">
        <v>0</v>
      </c>
      <c r="HG236" s="18">
        <v>10001</v>
      </c>
      <c r="HH236" s="18" t="s">
        <v>339</v>
      </c>
      <c r="HI236" s="18" t="s">
        <v>334</v>
      </c>
      <c r="HJ236" s="18">
        <v>0</v>
      </c>
      <c r="HK236" s="18">
        <v>0</v>
      </c>
      <c r="HL236" s="18">
        <v>0</v>
      </c>
      <c r="HM236" s="18">
        <v>0</v>
      </c>
      <c r="HN236" s="18" t="b">
        <v>0</v>
      </c>
    </row>
    <row r="237" spans="1:222">
      <c r="A237"/>
      <c r="B237" s="29" cm="1">
        <f t="array" ref="B237">10000000+INDEX(编号表!$B$1:$B$112,MATCH(D237,编号表!$A$1:$A$112,0))*10000+I237</f>
        <v>10240001</v>
      </c>
      <c r="C237" s="18" t="s">
        <v>409</v>
      </c>
      <c r="D237" s="18" t="s">
        <v>409</v>
      </c>
      <c r="E237" s="18" t="s">
        <v>322</v>
      </c>
      <c r="F237" s="18" t="s">
        <v>364</v>
      </c>
      <c r="G237" s="18" t="b">
        <v>0</v>
      </c>
      <c r="H237" s="18" t="b">
        <v>0</v>
      </c>
      <c r="I237" s="18">
        <v>1</v>
      </c>
      <c r="J237" s="18">
        <v>102400</v>
      </c>
      <c r="K237" s="18" t="s">
        <v>324</v>
      </c>
      <c r="L237" s="18">
        <v>0</v>
      </c>
      <c r="M237" s="18">
        <v>10240002</v>
      </c>
      <c r="N237" s="18" t="s">
        <v>410</v>
      </c>
      <c r="O237" s="18">
        <v>10202023</v>
      </c>
      <c r="P237" s="18">
        <v>0</v>
      </c>
      <c r="Q237" s="18">
        <v>0</v>
      </c>
      <c r="R237" s="18">
        <v>1</v>
      </c>
      <c r="S237" s="18">
        <v>0</v>
      </c>
      <c r="T237" s="18">
        <v>100</v>
      </c>
      <c r="U237" s="18" t="s">
        <v>338</v>
      </c>
      <c r="V237" s="18">
        <v>650</v>
      </c>
      <c r="W237" s="18">
        <v>650</v>
      </c>
      <c r="X237" s="18" t="s">
        <v>326</v>
      </c>
      <c r="Y237" s="18" t="s">
        <v>327</v>
      </c>
      <c r="Z237" s="18" t="s">
        <v>328</v>
      </c>
      <c r="AA237" s="18">
        <v>0</v>
      </c>
      <c r="AB237" s="18">
        <v>1</v>
      </c>
      <c r="AC237" s="18" t="b">
        <v>0</v>
      </c>
      <c r="AD237" s="18" t="s">
        <v>329</v>
      </c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 t="s">
        <v>354</v>
      </c>
      <c r="AZ237" s="18">
        <v>10000</v>
      </c>
      <c r="BA237" s="18" t="s">
        <v>395</v>
      </c>
      <c r="BB237" s="18" t="s">
        <v>328</v>
      </c>
      <c r="BC237" s="18">
        <v>10000</v>
      </c>
      <c r="BD237" s="18">
        <v>0</v>
      </c>
      <c r="BE237" s="18" t="s">
        <v>332</v>
      </c>
      <c r="BF237" s="18">
        <v>0</v>
      </c>
      <c r="BG237" s="18"/>
      <c r="BH237" s="18"/>
      <c r="BI237" s="18"/>
      <c r="BJ237" s="18"/>
      <c r="BK237" s="18"/>
      <c r="BL237" s="18"/>
      <c r="BM237" s="18">
        <v>21001801</v>
      </c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>
        <v>200</v>
      </c>
      <c r="GS237" s="18">
        <v>400</v>
      </c>
      <c r="GT237" s="18" t="s">
        <v>356</v>
      </c>
      <c r="GU237" s="18">
        <v>30049</v>
      </c>
      <c r="GV237" s="18" t="s">
        <v>339</v>
      </c>
      <c r="GW237" s="18" t="s">
        <v>339</v>
      </c>
      <c r="GX237" s="18" t="b">
        <v>1</v>
      </c>
      <c r="GY237" s="18">
        <v>6000</v>
      </c>
      <c r="GZ237" s="18" t="b">
        <v>0</v>
      </c>
      <c r="HA237" s="18">
        <v>0</v>
      </c>
      <c r="HB237" s="18">
        <v>0</v>
      </c>
      <c r="HC237" s="18">
        <v>0</v>
      </c>
      <c r="HD237" s="18">
        <v>0</v>
      </c>
      <c r="HE237" s="18" t="b">
        <v>0</v>
      </c>
      <c r="HF237" s="18">
        <v>0</v>
      </c>
      <c r="HG237" s="18">
        <v>10001</v>
      </c>
      <c r="HH237" s="18" t="s">
        <v>339</v>
      </c>
      <c r="HI237" s="18" t="s">
        <v>334</v>
      </c>
      <c r="HJ237" s="18">
        <v>0</v>
      </c>
      <c r="HK237" s="18">
        <v>0</v>
      </c>
      <c r="HL237" s="18">
        <v>0</v>
      </c>
      <c r="HM237" s="18">
        <v>0</v>
      </c>
      <c r="HN237" s="18" t="b">
        <v>0</v>
      </c>
    </row>
    <row r="238" spans="1:222">
      <c r="A238"/>
      <c r="B238" s="29" cm="1">
        <f t="array" ref="B238">10000000+INDEX(编号表!$B$1:$B$112,MATCH(D238,编号表!$A$1:$A$112,0))*10000+I238</f>
        <v>10240002</v>
      </c>
      <c r="C238" s="18" t="s">
        <v>409</v>
      </c>
      <c r="D238" s="18" t="s">
        <v>409</v>
      </c>
      <c r="E238" s="18" t="s">
        <v>322</v>
      </c>
      <c r="F238" s="18" t="s">
        <v>364</v>
      </c>
      <c r="G238" s="18" t="b">
        <v>0</v>
      </c>
      <c r="H238" s="18" t="b">
        <v>0</v>
      </c>
      <c r="I238" s="18">
        <v>2</v>
      </c>
      <c r="J238" s="18">
        <v>102400</v>
      </c>
      <c r="K238" s="18" t="s">
        <v>324</v>
      </c>
      <c r="L238" s="18">
        <v>10240001</v>
      </c>
      <c r="M238" s="18">
        <v>10240003</v>
      </c>
      <c r="N238" s="18" t="s">
        <v>410</v>
      </c>
      <c r="O238" s="18">
        <v>10202023</v>
      </c>
      <c r="P238" s="18">
        <v>0</v>
      </c>
      <c r="Q238" s="18">
        <v>1</v>
      </c>
      <c r="R238" s="18">
        <v>7</v>
      </c>
      <c r="S238" s="18">
        <v>0</v>
      </c>
      <c r="T238" s="18">
        <v>100</v>
      </c>
      <c r="U238" s="18" t="s">
        <v>338</v>
      </c>
      <c r="V238" s="18">
        <v>650</v>
      </c>
      <c r="W238" s="18">
        <v>650</v>
      </c>
      <c r="X238" s="18" t="s">
        <v>326</v>
      </c>
      <c r="Y238" s="18" t="s">
        <v>327</v>
      </c>
      <c r="Z238" s="18" t="s">
        <v>328</v>
      </c>
      <c r="AA238" s="18">
        <v>0</v>
      </c>
      <c r="AB238" s="18">
        <v>1</v>
      </c>
      <c r="AC238" s="18" t="b">
        <v>0</v>
      </c>
      <c r="AD238" s="18" t="s">
        <v>329</v>
      </c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 t="s">
        <v>354</v>
      </c>
      <c r="AZ238" s="18">
        <v>10400</v>
      </c>
      <c r="BA238" s="18" t="s">
        <v>395</v>
      </c>
      <c r="BB238" s="18" t="s">
        <v>328</v>
      </c>
      <c r="BC238" s="18">
        <v>10000</v>
      </c>
      <c r="BD238" s="18">
        <v>0</v>
      </c>
      <c r="BE238" s="18" t="s">
        <v>332</v>
      </c>
      <c r="BF238" s="18">
        <v>0</v>
      </c>
      <c r="BG238" s="18"/>
      <c r="BH238" s="18"/>
      <c r="BI238" s="18"/>
      <c r="BJ238" s="18"/>
      <c r="BK238" s="18"/>
      <c r="BL238" s="18"/>
      <c r="BM238" s="18">
        <v>21001802</v>
      </c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>
        <v>200</v>
      </c>
      <c r="GS238" s="18">
        <v>400</v>
      </c>
      <c r="GT238" s="18" t="s">
        <v>356</v>
      </c>
      <c r="GU238" s="18">
        <v>30049</v>
      </c>
      <c r="GV238" s="18" t="s">
        <v>339</v>
      </c>
      <c r="GW238" s="18" t="s">
        <v>339</v>
      </c>
      <c r="GX238" s="18" t="b">
        <v>1</v>
      </c>
      <c r="GY238" s="18">
        <v>6000</v>
      </c>
      <c r="GZ238" s="18" t="b">
        <v>0</v>
      </c>
      <c r="HA238" s="18">
        <v>0</v>
      </c>
      <c r="HB238" s="18">
        <v>0</v>
      </c>
      <c r="HC238" s="18">
        <v>0</v>
      </c>
      <c r="HD238" s="18">
        <v>0</v>
      </c>
      <c r="HE238" s="18" t="b">
        <v>0</v>
      </c>
      <c r="HF238" s="18">
        <v>0</v>
      </c>
      <c r="HG238" s="18">
        <v>10001</v>
      </c>
      <c r="HH238" s="18" t="s">
        <v>339</v>
      </c>
      <c r="HI238" s="18" t="s">
        <v>334</v>
      </c>
      <c r="HJ238" s="18">
        <v>0</v>
      </c>
      <c r="HK238" s="18">
        <v>0</v>
      </c>
      <c r="HL238" s="18">
        <v>0</v>
      </c>
      <c r="HM238" s="18">
        <v>0</v>
      </c>
      <c r="HN238" s="18" t="b">
        <v>0</v>
      </c>
    </row>
    <row r="239" spans="1:222">
      <c r="A239"/>
      <c r="B239" s="29" cm="1">
        <f t="array" ref="B239">10000000+INDEX(编号表!$B$1:$B$112,MATCH(D239,编号表!$A$1:$A$112,0))*10000+I239</f>
        <v>10240003</v>
      </c>
      <c r="C239" s="18" t="s">
        <v>409</v>
      </c>
      <c r="D239" s="18" t="s">
        <v>409</v>
      </c>
      <c r="E239" s="18" t="s">
        <v>322</v>
      </c>
      <c r="F239" s="18" t="s">
        <v>364</v>
      </c>
      <c r="G239" s="18" t="b">
        <v>0</v>
      </c>
      <c r="H239" s="18" t="b">
        <v>0</v>
      </c>
      <c r="I239" s="18">
        <v>3</v>
      </c>
      <c r="J239" s="18">
        <v>102400</v>
      </c>
      <c r="K239" s="18" t="s">
        <v>324</v>
      </c>
      <c r="L239" s="18">
        <v>10240002</v>
      </c>
      <c r="M239" s="18">
        <v>10240004</v>
      </c>
      <c r="N239" s="18" t="s">
        <v>410</v>
      </c>
      <c r="O239" s="18">
        <v>10202023</v>
      </c>
      <c r="P239" s="18">
        <v>0</v>
      </c>
      <c r="Q239" s="18">
        <v>2</v>
      </c>
      <c r="R239" s="18">
        <v>11</v>
      </c>
      <c r="S239" s="18">
        <v>0</v>
      </c>
      <c r="T239" s="18">
        <v>100</v>
      </c>
      <c r="U239" s="18" t="s">
        <v>338</v>
      </c>
      <c r="V239" s="18">
        <v>650</v>
      </c>
      <c r="W239" s="18">
        <v>650</v>
      </c>
      <c r="X239" s="18" t="s">
        <v>326</v>
      </c>
      <c r="Y239" s="18" t="s">
        <v>327</v>
      </c>
      <c r="Z239" s="18" t="s">
        <v>328</v>
      </c>
      <c r="AA239" s="18">
        <v>0</v>
      </c>
      <c r="AB239" s="18">
        <v>1</v>
      </c>
      <c r="AC239" s="18" t="b">
        <v>0</v>
      </c>
      <c r="AD239" s="18" t="s">
        <v>329</v>
      </c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 t="s">
        <v>354</v>
      </c>
      <c r="AZ239" s="18">
        <v>10800</v>
      </c>
      <c r="BA239" s="18" t="s">
        <v>395</v>
      </c>
      <c r="BB239" s="18" t="s">
        <v>328</v>
      </c>
      <c r="BC239" s="18">
        <v>10000</v>
      </c>
      <c r="BD239" s="18">
        <v>0</v>
      </c>
      <c r="BE239" s="18" t="s">
        <v>332</v>
      </c>
      <c r="BF239" s="18">
        <v>0</v>
      </c>
      <c r="BG239" s="18"/>
      <c r="BH239" s="18"/>
      <c r="BI239" s="18"/>
      <c r="BJ239" s="18"/>
      <c r="BK239" s="18"/>
      <c r="BL239" s="18"/>
      <c r="BM239" s="18">
        <v>21001803</v>
      </c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>
        <v>200</v>
      </c>
      <c r="GS239" s="18">
        <v>400</v>
      </c>
      <c r="GT239" s="18" t="s">
        <v>356</v>
      </c>
      <c r="GU239" s="18">
        <v>30049</v>
      </c>
      <c r="GV239" s="18" t="s">
        <v>339</v>
      </c>
      <c r="GW239" s="18" t="s">
        <v>339</v>
      </c>
      <c r="GX239" s="18" t="b">
        <v>1</v>
      </c>
      <c r="GY239" s="18">
        <v>6000</v>
      </c>
      <c r="GZ239" s="18" t="b">
        <v>0</v>
      </c>
      <c r="HA239" s="18">
        <v>0</v>
      </c>
      <c r="HB239" s="18">
        <v>0</v>
      </c>
      <c r="HC239" s="18">
        <v>0</v>
      </c>
      <c r="HD239" s="18">
        <v>0</v>
      </c>
      <c r="HE239" s="18" t="b">
        <v>0</v>
      </c>
      <c r="HF239" s="18">
        <v>0</v>
      </c>
      <c r="HG239" s="18">
        <v>10001</v>
      </c>
      <c r="HH239" s="18" t="s">
        <v>339</v>
      </c>
      <c r="HI239" s="18" t="s">
        <v>334</v>
      </c>
      <c r="HJ239" s="18">
        <v>0</v>
      </c>
      <c r="HK239" s="18">
        <v>0</v>
      </c>
      <c r="HL239" s="18">
        <v>0</v>
      </c>
      <c r="HM239" s="18">
        <v>0</v>
      </c>
      <c r="HN239" s="18" t="b">
        <v>0</v>
      </c>
    </row>
    <row r="240" spans="1:222">
      <c r="A240"/>
      <c r="B240" s="29" cm="1">
        <f t="array" ref="B240">10000000+INDEX(编号表!$B$1:$B$112,MATCH(D240,编号表!$A$1:$A$112,0))*10000+I240</f>
        <v>10240004</v>
      </c>
      <c r="C240" s="18" t="s">
        <v>409</v>
      </c>
      <c r="D240" s="18" t="s">
        <v>409</v>
      </c>
      <c r="E240" s="18" t="s">
        <v>322</v>
      </c>
      <c r="F240" s="18" t="s">
        <v>364</v>
      </c>
      <c r="G240" s="18" t="b">
        <v>0</v>
      </c>
      <c r="H240" s="18" t="b">
        <v>0</v>
      </c>
      <c r="I240" s="18">
        <v>4</v>
      </c>
      <c r="J240" s="18">
        <v>102400</v>
      </c>
      <c r="K240" s="18" t="s">
        <v>324</v>
      </c>
      <c r="L240" s="18">
        <v>10240003</v>
      </c>
      <c r="M240" s="18">
        <v>10240005</v>
      </c>
      <c r="N240" s="18" t="s">
        <v>410</v>
      </c>
      <c r="O240" s="18">
        <v>10202023</v>
      </c>
      <c r="P240" s="18">
        <v>0</v>
      </c>
      <c r="Q240" s="18">
        <v>3</v>
      </c>
      <c r="R240" s="18">
        <v>16</v>
      </c>
      <c r="S240" s="18">
        <v>0</v>
      </c>
      <c r="T240" s="18">
        <v>100</v>
      </c>
      <c r="U240" s="18" t="s">
        <v>338</v>
      </c>
      <c r="V240" s="18">
        <v>650</v>
      </c>
      <c r="W240" s="18">
        <v>650</v>
      </c>
      <c r="X240" s="18" t="s">
        <v>326</v>
      </c>
      <c r="Y240" s="18" t="s">
        <v>327</v>
      </c>
      <c r="Z240" s="18" t="s">
        <v>328</v>
      </c>
      <c r="AA240" s="18">
        <v>0</v>
      </c>
      <c r="AB240" s="18">
        <v>1</v>
      </c>
      <c r="AC240" s="18" t="b">
        <v>0</v>
      </c>
      <c r="AD240" s="18" t="s">
        <v>329</v>
      </c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 t="s">
        <v>354</v>
      </c>
      <c r="AZ240" s="18">
        <v>11200</v>
      </c>
      <c r="BA240" s="18" t="s">
        <v>395</v>
      </c>
      <c r="BB240" s="18" t="s">
        <v>328</v>
      </c>
      <c r="BC240" s="18">
        <v>10000</v>
      </c>
      <c r="BD240" s="18">
        <v>0</v>
      </c>
      <c r="BE240" s="18" t="s">
        <v>332</v>
      </c>
      <c r="BF240" s="18">
        <v>0</v>
      </c>
      <c r="BG240" s="18"/>
      <c r="BH240" s="18"/>
      <c r="BI240" s="18"/>
      <c r="BJ240" s="18"/>
      <c r="BK240" s="18"/>
      <c r="BL240" s="18"/>
      <c r="BM240" s="18">
        <v>21001804</v>
      </c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>
        <v>200</v>
      </c>
      <c r="GS240" s="18">
        <v>400</v>
      </c>
      <c r="GT240" s="18" t="s">
        <v>356</v>
      </c>
      <c r="GU240" s="18">
        <v>30049</v>
      </c>
      <c r="GV240" s="18" t="s">
        <v>339</v>
      </c>
      <c r="GW240" s="18" t="s">
        <v>339</v>
      </c>
      <c r="GX240" s="18" t="b">
        <v>1</v>
      </c>
      <c r="GY240" s="18">
        <v>6000</v>
      </c>
      <c r="GZ240" s="18" t="b">
        <v>0</v>
      </c>
      <c r="HA240" s="18">
        <v>0</v>
      </c>
      <c r="HB240" s="18">
        <v>0</v>
      </c>
      <c r="HC240" s="18">
        <v>0</v>
      </c>
      <c r="HD240" s="18">
        <v>0</v>
      </c>
      <c r="HE240" s="18" t="b">
        <v>0</v>
      </c>
      <c r="HF240" s="18">
        <v>0</v>
      </c>
      <c r="HG240" s="18">
        <v>10001</v>
      </c>
      <c r="HH240" s="18" t="s">
        <v>339</v>
      </c>
      <c r="HI240" s="18" t="s">
        <v>334</v>
      </c>
      <c r="HJ240" s="18">
        <v>0</v>
      </c>
      <c r="HK240" s="18">
        <v>0</v>
      </c>
      <c r="HL240" s="18">
        <v>0</v>
      </c>
      <c r="HM240" s="18">
        <v>0</v>
      </c>
      <c r="HN240" s="18" t="b">
        <v>0</v>
      </c>
    </row>
    <row r="241" spans="1:222">
      <c r="A241"/>
      <c r="B241" s="29" cm="1">
        <f t="array" ref="B241">10000000+INDEX(编号表!$B$1:$B$112,MATCH(D241,编号表!$A$1:$A$112,0))*10000+I241</f>
        <v>10240005</v>
      </c>
      <c r="C241" s="18" t="s">
        <v>409</v>
      </c>
      <c r="D241" s="18" t="s">
        <v>409</v>
      </c>
      <c r="E241" s="18" t="s">
        <v>322</v>
      </c>
      <c r="F241" s="18" t="s">
        <v>364</v>
      </c>
      <c r="G241" s="18" t="b">
        <v>0</v>
      </c>
      <c r="H241" s="18" t="b">
        <v>0</v>
      </c>
      <c r="I241" s="18">
        <v>5</v>
      </c>
      <c r="J241" s="18">
        <v>102400</v>
      </c>
      <c r="K241" s="18" t="s">
        <v>324</v>
      </c>
      <c r="L241" s="18">
        <v>10240004</v>
      </c>
      <c r="M241" s="18">
        <v>10240006</v>
      </c>
      <c r="N241" s="18" t="s">
        <v>410</v>
      </c>
      <c r="O241" s="18">
        <v>10202023</v>
      </c>
      <c r="P241" s="18">
        <v>0</v>
      </c>
      <c r="Q241" s="18">
        <v>3</v>
      </c>
      <c r="R241" s="18">
        <v>25</v>
      </c>
      <c r="S241" s="18">
        <v>0</v>
      </c>
      <c r="T241" s="18">
        <v>100</v>
      </c>
      <c r="U241" s="18" t="s">
        <v>338</v>
      </c>
      <c r="V241" s="18">
        <v>650</v>
      </c>
      <c r="W241" s="18">
        <v>650</v>
      </c>
      <c r="X241" s="18" t="s">
        <v>326</v>
      </c>
      <c r="Y241" s="18" t="s">
        <v>327</v>
      </c>
      <c r="Z241" s="18" t="s">
        <v>328</v>
      </c>
      <c r="AA241" s="18">
        <v>0</v>
      </c>
      <c r="AB241" s="18">
        <v>1</v>
      </c>
      <c r="AC241" s="18" t="b">
        <v>0</v>
      </c>
      <c r="AD241" s="18" t="s">
        <v>329</v>
      </c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 t="s">
        <v>354</v>
      </c>
      <c r="AZ241" s="18">
        <v>11300</v>
      </c>
      <c r="BA241" s="18" t="s">
        <v>395</v>
      </c>
      <c r="BB241" s="18" t="s">
        <v>328</v>
      </c>
      <c r="BC241" s="18">
        <v>10000</v>
      </c>
      <c r="BD241" s="18">
        <v>0</v>
      </c>
      <c r="BE241" s="18" t="s">
        <v>332</v>
      </c>
      <c r="BF241" s="18">
        <v>0</v>
      </c>
      <c r="BG241" s="18"/>
      <c r="BH241" s="18"/>
      <c r="BI241" s="18"/>
      <c r="BJ241" s="18"/>
      <c r="BK241" s="18"/>
      <c r="BL241" s="18"/>
      <c r="BM241" s="18">
        <v>21001805</v>
      </c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>
        <v>200</v>
      </c>
      <c r="GS241" s="18">
        <v>400</v>
      </c>
      <c r="GT241" s="18" t="s">
        <v>356</v>
      </c>
      <c r="GU241" s="18">
        <v>30049</v>
      </c>
      <c r="GV241" s="18" t="s">
        <v>339</v>
      </c>
      <c r="GW241" s="18" t="s">
        <v>339</v>
      </c>
      <c r="GX241" s="18" t="b">
        <v>1</v>
      </c>
      <c r="GY241" s="18">
        <v>6000</v>
      </c>
      <c r="GZ241" s="18" t="b">
        <v>0</v>
      </c>
      <c r="HA241" s="18">
        <v>0</v>
      </c>
      <c r="HB241" s="18">
        <v>0</v>
      </c>
      <c r="HC241" s="18">
        <v>0</v>
      </c>
      <c r="HD241" s="18">
        <v>0</v>
      </c>
      <c r="HE241" s="18" t="b">
        <v>0</v>
      </c>
      <c r="HF241" s="18">
        <v>0</v>
      </c>
      <c r="HG241" s="18">
        <v>10001</v>
      </c>
      <c r="HH241" s="18" t="s">
        <v>339</v>
      </c>
      <c r="HI241" s="18" t="s">
        <v>334</v>
      </c>
      <c r="HJ241" s="18">
        <v>0</v>
      </c>
      <c r="HK241" s="18">
        <v>0</v>
      </c>
      <c r="HL241" s="18">
        <v>0</v>
      </c>
      <c r="HM241" s="18">
        <v>0</v>
      </c>
      <c r="HN241" s="18" t="b">
        <v>0</v>
      </c>
    </row>
    <row r="242" spans="1:222">
      <c r="A242"/>
      <c r="B242" s="29" cm="1">
        <f t="array" ref="B242">10000000+INDEX(编号表!$B$1:$B$112,MATCH(D242,编号表!$A$1:$A$112,0))*10000+I242</f>
        <v>10240006</v>
      </c>
      <c r="C242" s="18" t="s">
        <v>409</v>
      </c>
      <c r="D242" s="18" t="s">
        <v>409</v>
      </c>
      <c r="E242" s="18" t="s">
        <v>322</v>
      </c>
      <c r="F242" s="18" t="s">
        <v>364</v>
      </c>
      <c r="G242" s="18" t="b">
        <v>0</v>
      </c>
      <c r="H242" s="18" t="b">
        <v>0</v>
      </c>
      <c r="I242" s="18">
        <v>6</v>
      </c>
      <c r="J242" s="18">
        <v>102400</v>
      </c>
      <c r="K242" s="18" t="s">
        <v>324</v>
      </c>
      <c r="L242" s="18">
        <v>10240005</v>
      </c>
      <c r="M242" s="18">
        <v>10240007</v>
      </c>
      <c r="N242" s="18" t="s">
        <v>410</v>
      </c>
      <c r="O242" s="18">
        <v>10202023</v>
      </c>
      <c r="P242" s="18">
        <v>0</v>
      </c>
      <c r="Q242" s="18">
        <v>3</v>
      </c>
      <c r="R242" s="18">
        <v>30</v>
      </c>
      <c r="S242" s="18">
        <v>0</v>
      </c>
      <c r="T242" s="18">
        <v>100</v>
      </c>
      <c r="U242" s="18" t="s">
        <v>338</v>
      </c>
      <c r="V242" s="18">
        <v>650</v>
      </c>
      <c r="W242" s="18">
        <v>650</v>
      </c>
      <c r="X242" s="18" t="s">
        <v>326</v>
      </c>
      <c r="Y242" s="18" t="s">
        <v>327</v>
      </c>
      <c r="Z242" s="18" t="s">
        <v>328</v>
      </c>
      <c r="AA242" s="18">
        <v>0</v>
      </c>
      <c r="AB242" s="18">
        <v>1</v>
      </c>
      <c r="AC242" s="18" t="b">
        <v>0</v>
      </c>
      <c r="AD242" s="18" t="s">
        <v>329</v>
      </c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 t="s">
        <v>354</v>
      </c>
      <c r="AZ242" s="18">
        <v>11600</v>
      </c>
      <c r="BA242" s="18" t="s">
        <v>395</v>
      </c>
      <c r="BB242" s="18" t="s">
        <v>328</v>
      </c>
      <c r="BC242" s="18">
        <v>10000</v>
      </c>
      <c r="BD242" s="18">
        <v>0</v>
      </c>
      <c r="BE242" s="18" t="s">
        <v>332</v>
      </c>
      <c r="BF242" s="18">
        <v>0</v>
      </c>
      <c r="BG242" s="18"/>
      <c r="BH242" s="18"/>
      <c r="BI242" s="18"/>
      <c r="BJ242" s="18"/>
      <c r="BK242" s="18"/>
      <c r="BL242" s="18"/>
      <c r="BM242" s="18">
        <v>21001806</v>
      </c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>
        <v>200</v>
      </c>
      <c r="GS242" s="18">
        <v>400</v>
      </c>
      <c r="GT242" s="18" t="s">
        <v>356</v>
      </c>
      <c r="GU242" s="18">
        <v>30049</v>
      </c>
      <c r="GV242" s="18" t="s">
        <v>339</v>
      </c>
      <c r="GW242" s="18" t="s">
        <v>339</v>
      </c>
      <c r="GX242" s="18" t="b">
        <v>1</v>
      </c>
      <c r="GY242" s="18">
        <v>6000</v>
      </c>
      <c r="GZ242" s="18" t="b">
        <v>0</v>
      </c>
      <c r="HA242" s="18">
        <v>0</v>
      </c>
      <c r="HB242" s="18">
        <v>0</v>
      </c>
      <c r="HC242" s="18">
        <v>0</v>
      </c>
      <c r="HD242" s="18">
        <v>0</v>
      </c>
      <c r="HE242" s="18" t="b">
        <v>0</v>
      </c>
      <c r="HF242" s="18">
        <v>0</v>
      </c>
      <c r="HG242" s="18">
        <v>10001</v>
      </c>
      <c r="HH242" s="18" t="s">
        <v>339</v>
      </c>
      <c r="HI242" s="18" t="s">
        <v>334</v>
      </c>
      <c r="HJ242" s="18">
        <v>0</v>
      </c>
      <c r="HK242" s="18">
        <v>0</v>
      </c>
      <c r="HL242" s="18">
        <v>0</v>
      </c>
      <c r="HM242" s="18">
        <v>0</v>
      </c>
      <c r="HN242" s="18" t="b">
        <v>0</v>
      </c>
    </row>
    <row r="243" spans="1:222">
      <c r="A243"/>
      <c r="B243" s="29" cm="1">
        <f t="array" ref="B243">10000000+INDEX(编号表!$B$1:$B$112,MATCH(D243,编号表!$A$1:$A$112,0))*10000+I243</f>
        <v>10240007</v>
      </c>
      <c r="C243" s="18" t="s">
        <v>409</v>
      </c>
      <c r="D243" s="18" t="s">
        <v>409</v>
      </c>
      <c r="E243" s="18" t="s">
        <v>322</v>
      </c>
      <c r="F243" s="18" t="s">
        <v>364</v>
      </c>
      <c r="G243" s="18" t="b">
        <v>0</v>
      </c>
      <c r="H243" s="18" t="b">
        <v>0</v>
      </c>
      <c r="I243" s="18">
        <v>7</v>
      </c>
      <c r="J243" s="18">
        <v>102400</v>
      </c>
      <c r="K243" s="18" t="s">
        <v>324</v>
      </c>
      <c r="L243" s="18">
        <v>10240006</v>
      </c>
      <c r="M243" s="18">
        <v>10240008</v>
      </c>
      <c r="N243" s="18" t="s">
        <v>410</v>
      </c>
      <c r="O243" s="18">
        <v>10202023</v>
      </c>
      <c r="P243" s="18">
        <v>0</v>
      </c>
      <c r="Q243" s="18">
        <v>3</v>
      </c>
      <c r="R243" s="18">
        <v>35</v>
      </c>
      <c r="S243" s="18">
        <v>0</v>
      </c>
      <c r="T243" s="18">
        <v>100</v>
      </c>
      <c r="U243" s="18" t="s">
        <v>338</v>
      </c>
      <c r="V243" s="18">
        <v>650</v>
      </c>
      <c r="W243" s="18">
        <v>650</v>
      </c>
      <c r="X243" s="18" t="s">
        <v>326</v>
      </c>
      <c r="Y243" s="18" t="s">
        <v>327</v>
      </c>
      <c r="Z243" s="18" t="s">
        <v>328</v>
      </c>
      <c r="AA243" s="18">
        <v>0</v>
      </c>
      <c r="AB243" s="18">
        <v>1</v>
      </c>
      <c r="AC243" s="18" t="b">
        <v>0</v>
      </c>
      <c r="AD243" s="18" t="s">
        <v>329</v>
      </c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 t="s">
        <v>354</v>
      </c>
      <c r="AZ243" s="18">
        <v>11700</v>
      </c>
      <c r="BA243" s="18" t="s">
        <v>395</v>
      </c>
      <c r="BB243" s="18" t="s">
        <v>328</v>
      </c>
      <c r="BC243" s="18">
        <v>10000</v>
      </c>
      <c r="BD243" s="18">
        <v>0</v>
      </c>
      <c r="BE243" s="18" t="s">
        <v>332</v>
      </c>
      <c r="BF243" s="18">
        <v>0</v>
      </c>
      <c r="BG243" s="18"/>
      <c r="BH243" s="18"/>
      <c r="BI243" s="18"/>
      <c r="BJ243" s="18"/>
      <c r="BK243" s="18"/>
      <c r="BL243" s="18"/>
      <c r="BM243" s="18">
        <v>21001807</v>
      </c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>
        <v>200</v>
      </c>
      <c r="GS243" s="18">
        <v>400</v>
      </c>
      <c r="GT243" s="18" t="s">
        <v>356</v>
      </c>
      <c r="GU243" s="18">
        <v>30049</v>
      </c>
      <c r="GV243" s="18" t="s">
        <v>339</v>
      </c>
      <c r="GW243" s="18" t="s">
        <v>339</v>
      </c>
      <c r="GX243" s="18" t="b">
        <v>1</v>
      </c>
      <c r="GY243" s="18">
        <v>6000</v>
      </c>
      <c r="GZ243" s="18" t="b">
        <v>0</v>
      </c>
      <c r="HA243" s="18">
        <v>0</v>
      </c>
      <c r="HB243" s="18">
        <v>0</v>
      </c>
      <c r="HC243" s="18">
        <v>0</v>
      </c>
      <c r="HD243" s="18">
        <v>0</v>
      </c>
      <c r="HE243" s="18" t="b">
        <v>0</v>
      </c>
      <c r="HF243" s="18">
        <v>0</v>
      </c>
      <c r="HG243" s="18">
        <v>10001</v>
      </c>
      <c r="HH243" s="18" t="s">
        <v>339</v>
      </c>
      <c r="HI243" s="18" t="s">
        <v>334</v>
      </c>
      <c r="HJ243" s="18">
        <v>0</v>
      </c>
      <c r="HK243" s="18">
        <v>0</v>
      </c>
      <c r="HL243" s="18">
        <v>0</v>
      </c>
      <c r="HM243" s="18">
        <v>0</v>
      </c>
      <c r="HN243" s="18" t="b">
        <v>0</v>
      </c>
    </row>
    <row r="244" spans="1:222">
      <c r="A244"/>
      <c r="B244" s="29" cm="1">
        <f t="array" ref="B244">10000000+INDEX(编号表!$B$1:$B$112,MATCH(D244,编号表!$A$1:$A$112,0))*10000+I244</f>
        <v>10240008</v>
      </c>
      <c r="C244" s="18" t="s">
        <v>409</v>
      </c>
      <c r="D244" s="18" t="s">
        <v>409</v>
      </c>
      <c r="E244" s="18" t="s">
        <v>322</v>
      </c>
      <c r="F244" s="18" t="s">
        <v>364</v>
      </c>
      <c r="G244" s="18" t="b">
        <v>0</v>
      </c>
      <c r="H244" s="18" t="b">
        <v>0</v>
      </c>
      <c r="I244" s="18">
        <v>8</v>
      </c>
      <c r="J244" s="18">
        <v>102400</v>
      </c>
      <c r="K244" s="18" t="s">
        <v>324</v>
      </c>
      <c r="L244" s="18">
        <v>10240007</v>
      </c>
      <c r="M244" s="18">
        <v>10240009</v>
      </c>
      <c r="N244" s="18" t="s">
        <v>410</v>
      </c>
      <c r="O244" s="18">
        <v>10202023</v>
      </c>
      <c r="P244" s="18">
        <v>0</v>
      </c>
      <c r="Q244" s="18">
        <v>3</v>
      </c>
      <c r="R244" s="18">
        <v>35</v>
      </c>
      <c r="S244" s="18">
        <v>0</v>
      </c>
      <c r="T244" s="18">
        <v>100</v>
      </c>
      <c r="U244" s="18" t="s">
        <v>338</v>
      </c>
      <c r="V244" s="18">
        <v>650</v>
      </c>
      <c r="W244" s="18">
        <v>650</v>
      </c>
      <c r="X244" s="18" t="s">
        <v>326</v>
      </c>
      <c r="Y244" s="18" t="s">
        <v>327</v>
      </c>
      <c r="Z244" s="18" t="s">
        <v>328</v>
      </c>
      <c r="AA244" s="18">
        <v>0</v>
      </c>
      <c r="AB244" s="18">
        <v>1</v>
      </c>
      <c r="AC244" s="18" t="b">
        <v>0</v>
      </c>
      <c r="AD244" s="18" t="s">
        <v>329</v>
      </c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 t="s">
        <v>354</v>
      </c>
      <c r="AZ244" s="18">
        <v>11800</v>
      </c>
      <c r="BA244" s="18" t="s">
        <v>395</v>
      </c>
      <c r="BB244" s="18" t="s">
        <v>328</v>
      </c>
      <c r="BC244" s="18">
        <v>10000</v>
      </c>
      <c r="BD244" s="18">
        <v>0</v>
      </c>
      <c r="BE244" s="18" t="s">
        <v>332</v>
      </c>
      <c r="BF244" s="18">
        <v>0</v>
      </c>
      <c r="BG244" s="18"/>
      <c r="BH244" s="18"/>
      <c r="BI244" s="18"/>
      <c r="BJ244" s="18"/>
      <c r="BK244" s="18"/>
      <c r="BL244" s="18"/>
      <c r="BM244" s="18">
        <v>21001808</v>
      </c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>
        <v>200</v>
      </c>
      <c r="GS244" s="18">
        <v>400</v>
      </c>
      <c r="GT244" s="18" t="s">
        <v>356</v>
      </c>
      <c r="GU244" s="18">
        <v>30049</v>
      </c>
      <c r="GV244" s="18" t="s">
        <v>339</v>
      </c>
      <c r="GW244" s="18" t="s">
        <v>339</v>
      </c>
      <c r="GX244" s="18" t="b">
        <v>1</v>
      </c>
      <c r="GY244" s="18">
        <v>6000</v>
      </c>
      <c r="GZ244" s="18" t="b">
        <v>0</v>
      </c>
      <c r="HA244" s="18">
        <v>0</v>
      </c>
      <c r="HB244" s="18">
        <v>0</v>
      </c>
      <c r="HC244" s="18">
        <v>0</v>
      </c>
      <c r="HD244" s="18">
        <v>0</v>
      </c>
      <c r="HE244" s="18" t="b">
        <v>0</v>
      </c>
      <c r="HF244" s="18">
        <v>0</v>
      </c>
      <c r="HG244" s="18">
        <v>10001</v>
      </c>
      <c r="HH244" s="18" t="s">
        <v>339</v>
      </c>
      <c r="HI244" s="18" t="s">
        <v>334</v>
      </c>
      <c r="HJ244" s="18">
        <v>0</v>
      </c>
      <c r="HK244" s="18">
        <v>0</v>
      </c>
      <c r="HL244" s="18">
        <v>0</v>
      </c>
      <c r="HM244" s="18">
        <v>0</v>
      </c>
      <c r="HN244" s="18" t="b">
        <v>0</v>
      </c>
    </row>
    <row r="245" spans="1:222">
      <c r="A245"/>
      <c r="B245" s="29" cm="1">
        <f t="array" ref="B245">10000000+INDEX(编号表!$B$1:$B$112,MATCH(D245,编号表!$A$1:$A$112,0))*10000+I245</f>
        <v>10240009</v>
      </c>
      <c r="C245" s="18" t="s">
        <v>409</v>
      </c>
      <c r="D245" s="18" t="s">
        <v>409</v>
      </c>
      <c r="E245" s="18" t="s">
        <v>322</v>
      </c>
      <c r="F245" s="18" t="s">
        <v>364</v>
      </c>
      <c r="G245" s="18" t="b">
        <v>0</v>
      </c>
      <c r="H245" s="18" t="b">
        <v>0</v>
      </c>
      <c r="I245" s="18">
        <v>9</v>
      </c>
      <c r="J245" s="18">
        <v>102400</v>
      </c>
      <c r="K245" s="18" t="s">
        <v>324</v>
      </c>
      <c r="L245" s="18">
        <v>10240008</v>
      </c>
      <c r="M245" s="18">
        <v>10240010</v>
      </c>
      <c r="N245" s="18" t="s">
        <v>410</v>
      </c>
      <c r="O245" s="18">
        <v>10202023</v>
      </c>
      <c r="P245" s="18">
        <v>0</v>
      </c>
      <c r="Q245" s="18">
        <v>3</v>
      </c>
      <c r="R245" s="18">
        <v>40</v>
      </c>
      <c r="S245" s="18">
        <v>0</v>
      </c>
      <c r="T245" s="18">
        <v>100</v>
      </c>
      <c r="U245" s="18" t="s">
        <v>338</v>
      </c>
      <c r="V245" s="18">
        <v>650</v>
      </c>
      <c r="W245" s="18">
        <v>650</v>
      </c>
      <c r="X245" s="18" t="s">
        <v>326</v>
      </c>
      <c r="Y245" s="18" t="s">
        <v>327</v>
      </c>
      <c r="Z245" s="18" t="s">
        <v>328</v>
      </c>
      <c r="AA245" s="18">
        <v>0</v>
      </c>
      <c r="AB245" s="18">
        <v>1</v>
      </c>
      <c r="AC245" s="18" t="b">
        <v>0</v>
      </c>
      <c r="AD245" s="18" t="s">
        <v>329</v>
      </c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 t="s">
        <v>354</v>
      </c>
      <c r="AZ245" s="18">
        <v>11900</v>
      </c>
      <c r="BA245" s="18" t="s">
        <v>395</v>
      </c>
      <c r="BB245" s="18" t="s">
        <v>328</v>
      </c>
      <c r="BC245" s="18">
        <v>10000</v>
      </c>
      <c r="BD245" s="18">
        <v>0</v>
      </c>
      <c r="BE245" s="18" t="s">
        <v>332</v>
      </c>
      <c r="BF245" s="18">
        <v>0</v>
      </c>
      <c r="BG245" s="18"/>
      <c r="BH245" s="18"/>
      <c r="BI245" s="18"/>
      <c r="BJ245" s="18"/>
      <c r="BK245" s="18"/>
      <c r="BL245" s="18"/>
      <c r="BM245" s="18">
        <v>21001809</v>
      </c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>
        <v>200</v>
      </c>
      <c r="GS245" s="18">
        <v>400</v>
      </c>
      <c r="GT245" s="18" t="s">
        <v>356</v>
      </c>
      <c r="GU245" s="18">
        <v>30049</v>
      </c>
      <c r="GV245" s="18" t="s">
        <v>339</v>
      </c>
      <c r="GW245" s="18" t="s">
        <v>339</v>
      </c>
      <c r="GX245" s="18" t="b">
        <v>1</v>
      </c>
      <c r="GY245" s="18">
        <v>6000</v>
      </c>
      <c r="GZ245" s="18" t="b">
        <v>0</v>
      </c>
      <c r="HA245" s="18">
        <v>0</v>
      </c>
      <c r="HB245" s="18">
        <v>0</v>
      </c>
      <c r="HC245" s="18">
        <v>0</v>
      </c>
      <c r="HD245" s="18">
        <v>0</v>
      </c>
      <c r="HE245" s="18" t="b">
        <v>0</v>
      </c>
      <c r="HF245" s="18">
        <v>0</v>
      </c>
      <c r="HG245" s="18">
        <v>10001</v>
      </c>
      <c r="HH245" s="18" t="s">
        <v>339</v>
      </c>
      <c r="HI245" s="18" t="s">
        <v>334</v>
      </c>
      <c r="HJ245" s="18">
        <v>0</v>
      </c>
      <c r="HK245" s="18">
        <v>0</v>
      </c>
      <c r="HL245" s="18">
        <v>0</v>
      </c>
      <c r="HM245" s="18">
        <v>0</v>
      </c>
      <c r="HN245" s="18" t="b">
        <v>0</v>
      </c>
    </row>
    <row r="246" spans="1:222">
      <c r="A246"/>
      <c r="B246" s="29" cm="1">
        <f t="array" ref="B246">10000000+INDEX(编号表!$B$1:$B$112,MATCH(D246,编号表!$A$1:$A$112,0))*10000+I246</f>
        <v>10240010</v>
      </c>
      <c r="C246" s="18" t="s">
        <v>409</v>
      </c>
      <c r="D246" s="18" t="s">
        <v>409</v>
      </c>
      <c r="E246" s="18" t="s">
        <v>322</v>
      </c>
      <c r="F246" s="18" t="s">
        <v>364</v>
      </c>
      <c r="G246" s="18" t="b">
        <v>0</v>
      </c>
      <c r="H246" s="18" t="b">
        <v>0</v>
      </c>
      <c r="I246" s="18">
        <v>10</v>
      </c>
      <c r="J246" s="18">
        <v>102400</v>
      </c>
      <c r="K246" s="18" t="s">
        <v>324</v>
      </c>
      <c r="L246" s="18">
        <v>10240009</v>
      </c>
      <c r="M246" s="18">
        <v>0</v>
      </c>
      <c r="N246" s="18" t="s">
        <v>410</v>
      </c>
      <c r="O246" s="18">
        <v>10202023</v>
      </c>
      <c r="P246" s="18">
        <v>0</v>
      </c>
      <c r="Q246" s="18">
        <v>3</v>
      </c>
      <c r="R246" s="18">
        <v>40</v>
      </c>
      <c r="S246" s="18">
        <v>0</v>
      </c>
      <c r="T246" s="18">
        <v>0</v>
      </c>
      <c r="U246" s="18" t="s">
        <v>338</v>
      </c>
      <c r="V246" s="18">
        <v>650</v>
      </c>
      <c r="W246" s="18">
        <v>650</v>
      </c>
      <c r="X246" s="18" t="s">
        <v>326</v>
      </c>
      <c r="Y246" s="18" t="s">
        <v>327</v>
      </c>
      <c r="Z246" s="18" t="s">
        <v>328</v>
      </c>
      <c r="AA246" s="18">
        <v>0</v>
      </c>
      <c r="AB246" s="18">
        <v>1</v>
      </c>
      <c r="AC246" s="18" t="b">
        <v>0</v>
      </c>
      <c r="AD246" s="18" t="s">
        <v>329</v>
      </c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 t="s">
        <v>354</v>
      </c>
      <c r="AZ246" s="18">
        <v>12000</v>
      </c>
      <c r="BA246" s="18" t="s">
        <v>395</v>
      </c>
      <c r="BB246" s="18" t="s">
        <v>328</v>
      </c>
      <c r="BC246" s="18">
        <v>10000</v>
      </c>
      <c r="BD246" s="18">
        <v>0</v>
      </c>
      <c r="BE246" s="18" t="s">
        <v>332</v>
      </c>
      <c r="BF246" s="18">
        <v>0</v>
      </c>
      <c r="BG246" s="18"/>
      <c r="BH246" s="18"/>
      <c r="BI246" s="18"/>
      <c r="BJ246" s="18"/>
      <c r="BK246" s="18"/>
      <c r="BL246" s="18"/>
      <c r="BM246" s="18">
        <v>21001810</v>
      </c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>
        <v>200</v>
      </c>
      <c r="GS246" s="18">
        <v>400</v>
      </c>
      <c r="GT246" s="18" t="s">
        <v>356</v>
      </c>
      <c r="GU246" s="18">
        <v>30049</v>
      </c>
      <c r="GV246" s="18" t="s">
        <v>339</v>
      </c>
      <c r="GW246" s="18" t="s">
        <v>339</v>
      </c>
      <c r="GX246" s="18" t="b">
        <v>1</v>
      </c>
      <c r="GY246" s="18">
        <v>6000</v>
      </c>
      <c r="GZ246" s="18" t="b">
        <v>0</v>
      </c>
      <c r="HA246" s="18">
        <v>0</v>
      </c>
      <c r="HB246" s="18">
        <v>0</v>
      </c>
      <c r="HC246" s="18">
        <v>0</v>
      </c>
      <c r="HD246" s="18">
        <v>0</v>
      </c>
      <c r="HE246" s="18" t="b">
        <v>0</v>
      </c>
      <c r="HF246" s="18">
        <v>0</v>
      </c>
      <c r="HG246" s="18">
        <v>10001</v>
      </c>
      <c r="HH246" s="18" t="s">
        <v>339</v>
      </c>
      <c r="HI246" s="18" t="s">
        <v>334</v>
      </c>
      <c r="HJ246" s="18">
        <v>0</v>
      </c>
      <c r="HK246" s="18">
        <v>0</v>
      </c>
      <c r="HL246" s="18">
        <v>0</v>
      </c>
      <c r="HM246" s="18">
        <v>0</v>
      </c>
      <c r="HN246" s="18" t="b">
        <v>0</v>
      </c>
    </row>
    <row r="247" spans="1:222">
      <c r="A247"/>
      <c r="B247" s="29" cm="1">
        <f t="array" ref="B247">10000000+INDEX(编号表!$B$1:$B$112,MATCH(D247,编号表!$A$1:$A$112,0))*10000+I247</f>
        <v>10250001</v>
      </c>
      <c r="C247" s="18" t="s">
        <v>411</v>
      </c>
      <c r="D247" s="18" t="s">
        <v>411</v>
      </c>
      <c r="E247" s="18" t="s">
        <v>322</v>
      </c>
      <c r="F247" s="18" t="s">
        <v>364</v>
      </c>
      <c r="G247" s="18" t="b">
        <v>0</v>
      </c>
      <c r="H247" s="18" t="b">
        <v>0</v>
      </c>
      <c r="I247" s="18">
        <v>1</v>
      </c>
      <c r="J247" s="18">
        <v>102500</v>
      </c>
      <c r="K247" s="18" t="s">
        <v>324</v>
      </c>
      <c r="L247" s="18">
        <v>0</v>
      </c>
      <c r="M247" s="18">
        <v>10250002</v>
      </c>
      <c r="N247" s="18" t="s">
        <v>412</v>
      </c>
      <c r="O247" s="18">
        <v>10202024</v>
      </c>
      <c r="P247" s="18">
        <v>0</v>
      </c>
      <c r="Q247" s="18">
        <v>0</v>
      </c>
      <c r="R247" s="18">
        <v>1</v>
      </c>
      <c r="S247" s="18">
        <v>0</v>
      </c>
      <c r="T247" s="18">
        <v>100</v>
      </c>
      <c r="U247" s="18" t="s">
        <v>338</v>
      </c>
      <c r="V247" s="18">
        <v>0</v>
      </c>
      <c r="W247" s="18">
        <v>0</v>
      </c>
      <c r="X247" s="18" t="s">
        <v>334</v>
      </c>
      <c r="Y247" s="18" t="s">
        <v>378</v>
      </c>
      <c r="Z247" s="18" t="s">
        <v>402</v>
      </c>
      <c r="AA247" s="18">
        <v>1</v>
      </c>
      <c r="AB247" s="18">
        <v>0</v>
      </c>
      <c r="AC247" s="18" t="b">
        <v>1</v>
      </c>
      <c r="AD247" s="18" t="s">
        <v>329</v>
      </c>
      <c r="AE247" s="18">
        <v>80</v>
      </c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 t="s">
        <v>354</v>
      </c>
      <c r="AZ247" s="18">
        <v>10000</v>
      </c>
      <c r="BA247" s="18" t="s">
        <v>395</v>
      </c>
      <c r="BB247" s="18" t="s">
        <v>402</v>
      </c>
      <c r="BC247" s="18">
        <v>10000</v>
      </c>
      <c r="BD247" s="18">
        <v>0</v>
      </c>
      <c r="BE247" s="18" t="s">
        <v>332</v>
      </c>
      <c r="BF247" s="18">
        <v>0</v>
      </c>
      <c r="BG247" s="18"/>
      <c r="BH247" s="18"/>
      <c r="BI247" s="18"/>
      <c r="BJ247" s="18"/>
      <c r="BK247" s="18"/>
      <c r="BL247" s="18"/>
      <c r="BM247" s="18">
        <v>21001901</v>
      </c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>
        <v>200</v>
      </c>
      <c r="GS247" s="18">
        <v>400</v>
      </c>
      <c r="GT247" s="18" t="s">
        <v>356</v>
      </c>
      <c r="GU247" s="18">
        <v>30052</v>
      </c>
      <c r="GV247" s="18" t="s">
        <v>339</v>
      </c>
      <c r="GW247" s="18" t="s">
        <v>339</v>
      </c>
      <c r="GX247" s="18" t="b">
        <v>1</v>
      </c>
      <c r="GY247" s="18">
        <v>12000</v>
      </c>
      <c r="GZ247" s="18" t="b">
        <v>0</v>
      </c>
      <c r="HA247" s="18">
        <v>0</v>
      </c>
      <c r="HB247" s="18">
        <v>0</v>
      </c>
      <c r="HC247" s="18">
        <v>0</v>
      </c>
      <c r="HD247" s="18">
        <v>0</v>
      </c>
      <c r="HE247" s="18" t="b">
        <v>0</v>
      </c>
      <c r="HF247" s="18">
        <v>0</v>
      </c>
      <c r="HG247" s="18">
        <v>10001</v>
      </c>
      <c r="HH247" s="18" t="s">
        <v>339</v>
      </c>
      <c r="HI247" s="18" t="s">
        <v>334</v>
      </c>
      <c r="HJ247" s="18">
        <v>0</v>
      </c>
      <c r="HK247" s="18">
        <v>0</v>
      </c>
      <c r="HL247" s="18">
        <v>0</v>
      </c>
      <c r="HM247" s="18">
        <v>0</v>
      </c>
      <c r="HN247" s="18" t="b">
        <v>0</v>
      </c>
    </row>
    <row r="248" spans="1:222">
      <c r="A248"/>
      <c r="B248" s="29" cm="1">
        <f t="array" ref="B248">10000000+INDEX(编号表!$B$1:$B$112,MATCH(D248,编号表!$A$1:$A$112,0))*10000+I248</f>
        <v>10250002</v>
      </c>
      <c r="C248" s="18" t="s">
        <v>411</v>
      </c>
      <c r="D248" s="18" t="s">
        <v>411</v>
      </c>
      <c r="E248" s="18" t="s">
        <v>322</v>
      </c>
      <c r="F248" s="18" t="s">
        <v>364</v>
      </c>
      <c r="G248" s="18" t="b">
        <v>0</v>
      </c>
      <c r="H248" s="18" t="b">
        <v>0</v>
      </c>
      <c r="I248" s="18">
        <v>2</v>
      </c>
      <c r="J248" s="18">
        <v>102500</v>
      </c>
      <c r="K248" s="18" t="s">
        <v>324</v>
      </c>
      <c r="L248" s="18">
        <v>10250001</v>
      </c>
      <c r="M248" s="18">
        <v>10250003</v>
      </c>
      <c r="N248" s="18" t="s">
        <v>412</v>
      </c>
      <c r="O248" s="18">
        <v>10202024</v>
      </c>
      <c r="P248" s="18">
        <v>0</v>
      </c>
      <c r="Q248" s="18">
        <v>1</v>
      </c>
      <c r="R248" s="18">
        <v>7</v>
      </c>
      <c r="S248" s="18">
        <v>0</v>
      </c>
      <c r="T248" s="18">
        <v>100</v>
      </c>
      <c r="U248" s="18" t="s">
        <v>338</v>
      </c>
      <c r="V248" s="18">
        <v>0</v>
      </c>
      <c r="W248" s="18">
        <v>0</v>
      </c>
      <c r="X248" s="18" t="s">
        <v>334</v>
      </c>
      <c r="Y248" s="18" t="s">
        <v>378</v>
      </c>
      <c r="Z248" s="18" t="s">
        <v>402</v>
      </c>
      <c r="AA248" s="18">
        <v>1</v>
      </c>
      <c r="AB248" s="18">
        <v>0</v>
      </c>
      <c r="AC248" s="18" t="b">
        <v>1</v>
      </c>
      <c r="AD248" s="18" t="s">
        <v>329</v>
      </c>
      <c r="AE248" s="18">
        <v>80</v>
      </c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 t="s">
        <v>354</v>
      </c>
      <c r="AZ248" s="18">
        <v>10400</v>
      </c>
      <c r="BA248" s="18" t="s">
        <v>395</v>
      </c>
      <c r="BB248" s="18" t="s">
        <v>402</v>
      </c>
      <c r="BC248" s="18">
        <v>10000</v>
      </c>
      <c r="BD248" s="18">
        <v>0</v>
      </c>
      <c r="BE248" s="18" t="s">
        <v>332</v>
      </c>
      <c r="BF248" s="18">
        <v>0</v>
      </c>
      <c r="BG248" s="18"/>
      <c r="BH248" s="18"/>
      <c r="BI248" s="18"/>
      <c r="BJ248" s="18"/>
      <c r="BK248" s="18"/>
      <c r="BL248" s="18"/>
      <c r="BM248" s="18">
        <v>21001902</v>
      </c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>
        <v>200</v>
      </c>
      <c r="GS248" s="18">
        <v>400</v>
      </c>
      <c r="GT248" s="18" t="s">
        <v>356</v>
      </c>
      <c r="GU248" s="18">
        <v>30052</v>
      </c>
      <c r="GV248" s="18" t="s">
        <v>339</v>
      </c>
      <c r="GW248" s="18" t="s">
        <v>339</v>
      </c>
      <c r="GX248" s="18" t="b">
        <v>1</v>
      </c>
      <c r="GY248" s="18">
        <v>12000</v>
      </c>
      <c r="GZ248" s="18" t="b">
        <v>0</v>
      </c>
      <c r="HA248" s="18">
        <v>0</v>
      </c>
      <c r="HB248" s="18">
        <v>0</v>
      </c>
      <c r="HC248" s="18">
        <v>0</v>
      </c>
      <c r="HD248" s="18">
        <v>0</v>
      </c>
      <c r="HE248" s="18" t="b">
        <v>0</v>
      </c>
      <c r="HF248" s="18">
        <v>0</v>
      </c>
      <c r="HG248" s="18">
        <v>10001</v>
      </c>
      <c r="HH248" s="18" t="s">
        <v>339</v>
      </c>
      <c r="HI248" s="18" t="s">
        <v>334</v>
      </c>
      <c r="HJ248" s="18">
        <v>0</v>
      </c>
      <c r="HK248" s="18">
        <v>0</v>
      </c>
      <c r="HL248" s="18">
        <v>0</v>
      </c>
      <c r="HM248" s="18">
        <v>0</v>
      </c>
      <c r="HN248" s="18" t="b">
        <v>0</v>
      </c>
    </row>
    <row r="249" spans="1:222">
      <c r="A249"/>
      <c r="B249" s="29" cm="1">
        <f t="array" ref="B249">10000000+INDEX(编号表!$B$1:$B$112,MATCH(D249,编号表!$A$1:$A$112,0))*10000+I249</f>
        <v>10250003</v>
      </c>
      <c r="C249" s="18" t="s">
        <v>411</v>
      </c>
      <c r="D249" s="18" t="s">
        <v>411</v>
      </c>
      <c r="E249" s="18" t="s">
        <v>322</v>
      </c>
      <c r="F249" s="18" t="s">
        <v>364</v>
      </c>
      <c r="G249" s="18" t="b">
        <v>0</v>
      </c>
      <c r="H249" s="18" t="b">
        <v>0</v>
      </c>
      <c r="I249" s="18">
        <v>3</v>
      </c>
      <c r="J249" s="18">
        <v>102500</v>
      </c>
      <c r="K249" s="18" t="s">
        <v>324</v>
      </c>
      <c r="L249" s="18">
        <v>10250002</v>
      </c>
      <c r="M249" s="18">
        <v>10250004</v>
      </c>
      <c r="N249" s="18" t="s">
        <v>412</v>
      </c>
      <c r="O249" s="18">
        <v>10202024</v>
      </c>
      <c r="P249" s="18">
        <v>0</v>
      </c>
      <c r="Q249" s="18">
        <v>2</v>
      </c>
      <c r="R249" s="18">
        <v>11</v>
      </c>
      <c r="S249" s="18">
        <v>0</v>
      </c>
      <c r="T249" s="18">
        <v>100</v>
      </c>
      <c r="U249" s="18" t="s">
        <v>338</v>
      </c>
      <c r="V249" s="18">
        <v>0</v>
      </c>
      <c r="W249" s="18">
        <v>0</v>
      </c>
      <c r="X249" s="18" t="s">
        <v>334</v>
      </c>
      <c r="Y249" s="18" t="s">
        <v>378</v>
      </c>
      <c r="Z249" s="18" t="s">
        <v>402</v>
      </c>
      <c r="AA249" s="18">
        <v>1</v>
      </c>
      <c r="AB249" s="18">
        <v>0</v>
      </c>
      <c r="AC249" s="18" t="b">
        <v>1</v>
      </c>
      <c r="AD249" s="18" t="s">
        <v>329</v>
      </c>
      <c r="AE249" s="18">
        <v>80</v>
      </c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 t="s">
        <v>354</v>
      </c>
      <c r="AZ249" s="18">
        <v>10800</v>
      </c>
      <c r="BA249" s="18" t="s">
        <v>395</v>
      </c>
      <c r="BB249" s="18" t="s">
        <v>402</v>
      </c>
      <c r="BC249" s="18">
        <v>10000</v>
      </c>
      <c r="BD249" s="18">
        <v>0</v>
      </c>
      <c r="BE249" s="18" t="s">
        <v>332</v>
      </c>
      <c r="BF249" s="18">
        <v>0</v>
      </c>
      <c r="BG249" s="18"/>
      <c r="BH249" s="18"/>
      <c r="BI249" s="18"/>
      <c r="BJ249" s="18"/>
      <c r="BK249" s="18"/>
      <c r="BL249" s="18"/>
      <c r="BM249" s="18">
        <v>21001903</v>
      </c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>
        <v>200</v>
      </c>
      <c r="GS249" s="18">
        <v>400</v>
      </c>
      <c r="GT249" s="18" t="s">
        <v>356</v>
      </c>
      <c r="GU249" s="18">
        <v>30052</v>
      </c>
      <c r="GV249" s="18" t="s">
        <v>339</v>
      </c>
      <c r="GW249" s="18" t="s">
        <v>339</v>
      </c>
      <c r="GX249" s="18" t="b">
        <v>1</v>
      </c>
      <c r="GY249" s="18">
        <v>12000</v>
      </c>
      <c r="GZ249" s="18" t="b">
        <v>0</v>
      </c>
      <c r="HA249" s="18">
        <v>0</v>
      </c>
      <c r="HB249" s="18">
        <v>0</v>
      </c>
      <c r="HC249" s="18">
        <v>0</v>
      </c>
      <c r="HD249" s="18">
        <v>0</v>
      </c>
      <c r="HE249" s="18" t="b">
        <v>0</v>
      </c>
      <c r="HF249" s="18">
        <v>0</v>
      </c>
      <c r="HG249" s="18">
        <v>10001</v>
      </c>
      <c r="HH249" s="18" t="s">
        <v>339</v>
      </c>
      <c r="HI249" s="18" t="s">
        <v>334</v>
      </c>
      <c r="HJ249" s="18">
        <v>0</v>
      </c>
      <c r="HK249" s="18">
        <v>0</v>
      </c>
      <c r="HL249" s="18">
        <v>0</v>
      </c>
      <c r="HM249" s="18">
        <v>0</v>
      </c>
      <c r="HN249" s="18" t="b">
        <v>0</v>
      </c>
    </row>
    <row r="250" spans="1:222">
      <c r="A250"/>
      <c r="B250" s="29" cm="1">
        <f t="array" ref="B250">10000000+INDEX(编号表!$B$1:$B$112,MATCH(D250,编号表!$A$1:$A$112,0))*10000+I250</f>
        <v>10250004</v>
      </c>
      <c r="C250" s="18" t="s">
        <v>411</v>
      </c>
      <c r="D250" s="18" t="s">
        <v>411</v>
      </c>
      <c r="E250" s="18" t="s">
        <v>322</v>
      </c>
      <c r="F250" s="18" t="s">
        <v>364</v>
      </c>
      <c r="G250" s="18" t="b">
        <v>0</v>
      </c>
      <c r="H250" s="18" t="b">
        <v>0</v>
      </c>
      <c r="I250" s="18">
        <v>4</v>
      </c>
      <c r="J250" s="18">
        <v>102500</v>
      </c>
      <c r="K250" s="18" t="s">
        <v>324</v>
      </c>
      <c r="L250" s="18">
        <v>10250003</v>
      </c>
      <c r="M250" s="18">
        <v>10250005</v>
      </c>
      <c r="N250" s="18" t="s">
        <v>412</v>
      </c>
      <c r="O250" s="18">
        <v>10202024</v>
      </c>
      <c r="P250" s="18">
        <v>0</v>
      </c>
      <c r="Q250" s="18">
        <v>3</v>
      </c>
      <c r="R250" s="18">
        <v>16</v>
      </c>
      <c r="S250" s="18">
        <v>0</v>
      </c>
      <c r="T250" s="18">
        <v>100</v>
      </c>
      <c r="U250" s="18" t="s">
        <v>338</v>
      </c>
      <c r="V250" s="18">
        <v>0</v>
      </c>
      <c r="W250" s="18">
        <v>0</v>
      </c>
      <c r="X250" s="18" t="s">
        <v>334</v>
      </c>
      <c r="Y250" s="18" t="s">
        <v>378</v>
      </c>
      <c r="Z250" s="18" t="s">
        <v>402</v>
      </c>
      <c r="AA250" s="18">
        <v>1</v>
      </c>
      <c r="AB250" s="18">
        <v>0</v>
      </c>
      <c r="AC250" s="18" t="b">
        <v>1</v>
      </c>
      <c r="AD250" s="18" t="s">
        <v>329</v>
      </c>
      <c r="AE250" s="18">
        <v>80</v>
      </c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 t="s">
        <v>354</v>
      </c>
      <c r="AZ250" s="18">
        <v>11200</v>
      </c>
      <c r="BA250" s="18" t="s">
        <v>395</v>
      </c>
      <c r="BB250" s="18" t="s">
        <v>402</v>
      </c>
      <c r="BC250" s="18">
        <v>10000</v>
      </c>
      <c r="BD250" s="18">
        <v>0</v>
      </c>
      <c r="BE250" s="18" t="s">
        <v>332</v>
      </c>
      <c r="BF250" s="18">
        <v>0</v>
      </c>
      <c r="BG250" s="18"/>
      <c r="BH250" s="18"/>
      <c r="BI250" s="18"/>
      <c r="BJ250" s="18"/>
      <c r="BK250" s="18"/>
      <c r="BL250" s="18"/>
      <c r="BM250" s="18">
        <v>21001904</v>
      </c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>
        <v>200</v>
      </c>
      <c r="GS250" s="18">
        <v>400</v>
      </c>
      <c r="GT250" s="18" t="s">
        <v>356</v>
      </c>
      <c r="GU250" s="18">
        <v>30052</v>
      </c>
      <c r="GV250" s="18" t="s">
        <v>339</v>
      </c>
      <c r="GW250" s="18" t="s">
        <v>339</v>
      </c>
      <c r="GX250" s="18" t="b">
        <v>1</v>
      </c>
      <c r="GY250" s="18">
        <v>12000</v>
      </c>
      <c r="GZ250" s="18" t="b">
        <v>0</v>
      </c>
      <c r="HA250" s="18">
        <v>0</v>
      </c>
      <c r="HB250" s="18">
        <v>0</v>
      </c>
      <c r="HC250" s="18">
        <v>0</v>
      </c>
      <c r="HD250" s="18">
        <v>0</v>
      </c>
      <c r="HE250" s="18" t="b">
        <v>0</v>
      </c>
      <c r="HF250" s="18">
        <v>0</v>
      </c>
      <c r="HG250" s="18">
        <v>10001</v>
      </c>
      <c r="HH250" s="18" t="s">
        <v>339</v>
      </c>
      <c r="HI250" s="18" t="s">
        <v>334</v>
      </c>
      <c r="HJ250" s="18">
        <v>0</v>
      </c>
      <c r="HK250" s="18">
        <v>0</v>
      </c>
      <c r="HL250" s="18">
        <v>0</v>
      </c>
      <c r="HM250" s="18">
        <v>0</v>
      </c>
      <c r="HN250" s="18" t="b">
        <v>0</v>
      </c>
    </row>
    <row r="251" spans="1:222">
      <c r="A251"/>
      <c r="B251" s="29" cm="1">
        <f t="array" ref="B251">10000000+INDEX(编号表!$B$1:$B$112,MATCH(D251,编号表!$A$1:$A$112,0))*10000+I251</f>
        <v>10250005</v>
      </c>
      <c r="C251" s="18" t="s">
        <v>411</v>
      </c>
      <c r="D251" s="18" t="s">
        <v>411</v>
      </c>
      <c r="E251" s="18" t="s">
        <v>322</v>
      </c>
      <c r="F251" s="18" t="s">
        <v>364</v>
      </c>
      <c r="G251" s="18" t="b">
        <v>0</v>
      </c>
      <c r="H251" s="18" t="b">
        <v>0</v>
      </c>
      <c r="I251" s="18">
        <v>5</v>
      </c>
      <c r="J251" s="18">
        <v>102500</v>
      </c>
      <c r="K251" s="18" t="s">
        <v>324</v>
      </c>
      <c r="L251" s="18">
        <v>10250004</v>
      </c>
      <c r="M251" s="18">
        <v>10250006</v>
      </c>
      <c r="N251" s="18" t="s">
        <v>412</v>
      </c>
      <c r="O251" s="18">
        <v>10202024</v>
      </c>
      <c r="P251" s="18">
        <v>0</v>
      </c>
      <c r="Q251" s="18">
        <v>3</v>
      </c>
      <c r="R251" s="18">
        <v>25</v>
      </c>
      <c r="S251" s="18">
        <v>0</v>
      </c>
      <c r="T251" s="18">
        <v>100</v>
      </c>
      <c r="U251" s="18" t="s">
        <v>338</v>
      </c>
      <c r="V251" s="18">
        <v>0</v>
      </c>
      <c r="W251" s="18">
        <v>0</v>
      </c>
      <c r="X251" s="18" t="s">
        <v>334</v>
      </c>
      <c r="Y251" s="18" t="s">
        <v>378</v>
      </c>
      <c r="Z251" s="18" t="s">
        <v>402</v>
      </c>
      <c r="AA251" s="18">
        <v>1</v>
      </c>
      <c r="AB251" s="18">
        <v>0</v>
      </c>
      <c r="AC251" s="18" t="b">
        <v>1</v>
      </c>
      <c r="AD251" s="18" t="s">
        <v>329</v>
      </c>
      <c r="AE251" s="18">
        <v>80</v>
      </c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 t="s">
        <v>354</v>
      </c>
      <c r="AZ251" s="18">
        <v>11300</v>
      </c>
      <c r="BA251" s="18" t="s">
        <v>395</v>
      </c>
      <c r="BB251" s="18" t="s">
        <v>402</v>
      </c>
      <c r="BC251" s="18">
        <v>10000</v>
      </c>
      <c r="BD251" s="18">
        <v>0</v>
      </c>
      <c r="BE251" s="18" t="s">
        <v>332</v>
      </c>
      <c r="BF251" s="18">
        <v>0</v>
      </c>
      <c r="BG251" s="18"/>
      <c r="BH251" s="18"/>
      <c r="BI251" s="18"/>
      <c r="BJ251" s="18"/>
      <c r="BK251" s="18"/>
      <c r="BL251" s="18"/>
      <c r="BM251" s="18">
        <v>21001905</v>
      </c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>
        <v>200</v>
      </c>
      <c r="GS251" s="18">
        <v>400</v>
      </c>
      <c r="GT251" s="18" t="s">
        <v>356</v>
      </c>
      <c r="GU251" s="18">
        <v>30052</v>
      </c>
      <c r="GV251" s="18" t="s">
        <v>339</v>
      </c>
      <c r="GW251" s="18" t="s">
        <v>339</v>
      </c>
      <c r="GX251" s="18" t="b">
        <v>1</v>
      </c>
      <c r="GY251" s="18">
        <v>12000</v>
      </c>
      <c r="GZ251" s="18" t="b">
        <v>0</v>
      </c>
      <c r="HA251" s="18">
        <v>0</v>
      </c>
      <c r="HB251" s="18">
        <v>0</v>
      </c>
      <c r="HC251" s="18">
        <v>0</v>
      </c>
      <c r="HD251" s="18">
        <v>0</v>
      </c>
      <c r="HE251" s="18" t="b">
        <v>0</v>
      </c>
      <c r="HF251" s="18">
        <v>0</v>
      </c>
      <c r="HG251" s="18">
        <v>10001</v>
      </c>
      <c r="HH251" s="18" t="s">
        <v>339</v>
      </c>
      <c r="HI251" s="18" t="s">
        <v>334</v>
      </c>
      <c r="HJ251" s="18">
        <v>0</v>
      </c>
      <c r="HK251" s="18">
        <v>0</v>
      </c>
      <c r="HL251" s="18">
        <v>0</v>
      </c>
      <c r="HM251" s="18">
        <v>0</v>
      </c>
      <c r="HN251" s="18" t="b">
        <v>0</v>
      </c>
    </row>
    <row r="252" spans="1:222">
      <c r="A252"/>
      <c r="B252" s="29" cm="1">
        <f t="array" ref="B252">10000000+INDEX(编号表!$B$1:$B$112,MATCH(D252,编号表!$A$1:$A$112,0))*10000+I252</f>
        <v>10250006</v>
      </c>
      <c r="C252" s="18" t="s">
        <v>411</v>
      </c>
      <c r="D252" s="18" t="s">
        <v>411</v>
      </c>
      <c r="E252" s="18" t="s">
        <v>322</v>
      </c>
      <c r="F252" s="18" t="s">
        <v>364</v>
      </c>
      <c r="G252" s="18" t="b">
        <v>0</v>
      </c>
      <c r="H252" s="18" t="b">
        <v>0</v>
      </c>
      <c r="I252" s="18">
        <v>6</v>
      </c>
      <c r="J252" s="18">
        <v>102500</v>
      </c>
      <c r="K252" s="18" t="s">
        <v>324</v>
      </c>
      <c r="L252" s="18">
        <v>10250005</v>
      </c>
      <c r="M252" s="18">
        <v>10250007</v>
      </c>
      <c r="N252" s="18" t="s">
        <v>412</v>
      </c>
      <c r="O252" s="18">
        <v>10202024</v>
      </c>
      <c r="P252" s="18">
        <v>0</v>
      </c>
      <c r="Q252" s="18">
        <v>3</v>
      </c>
      <c r="R252" s="18">
        <v>30</v>
      </c>
      <c r="S252" s="18">
        <v>0</v>
      </c>
      <c r="T252" s="18">
        <v>100</v>
      </c>
      <c r="U252" s="18" t="s">
        <v>338</v>
      </c>
      <c r="V252" s="18">
        <v>0</v>
      </c>
      <c r="W252" s="18">
        <v>0</v>
      </c>
      <c r="X252" s="18" t="s">
        <v>334</v>
      </c>
      <c r="Y252" s="18" t="s">
        <v>378</v>
      </c>
      <c r="Z252" s="18" t="s">
        <v>402</v>
      </c>
      <c r="AA252" s="18">
        <v>1</v>
      </c>
      <c r="AB252" s="18">
        <v>0</v>
      </c>
      <c r="AC252" s="18" t="b">
        <v>1</v>
      </c>
      <c r="AD252" s="18" t="s">
        <v>329</v>
      </c>
      <c r="AE252" s="18">
        <v>80</v>
      </c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 t="s">
        <v>354</v>
      </c>
      <c r="AZ252" s="18">
        <v>11600</v>
      </c>
      <c r="BA252" s="18" t="s">
        <v>395</v>
      </c>
      <c r="BB252" s="18" t="s">
        <v>402</v>
      </c>
      <c r="BC252" s="18">
        <v>10000</v>
      </c>
      <c r="BD252" s="18">
        <v>0</v>
      </c>
      <c r="BE252" s="18" t="s">
        <v>332</v>
      </c>
      <c r="BF252" s="18">
        <v>0</v>
      </c>
      <c r="BG252" s="18"/>
      <c r="BH252" s="18"/>
      <c r="BI252" s="18"/>
      <c r="BJ252" s="18"/>
      <c r="BK252" s="18"/>
      <c r="BL252" s="18"/>
      <c r="BM252" s="18">
        <v>21001906</v>
      </c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>
        <v>200</v>
      </c>
      <c r="GS252" s="18">
        <v>400</v>
      </c>
      <c r="GT252" s="18" t="s">
        <v>356</v>
      </c>
      <c r="GU252" s="18">
        <v>30052</v>
      </c>
      <c r="GV252" s="18" t="s">
        <v>339</v>
      </c>
      <c r="GW252" s="18" t="s">
        <v>339</v>
      </c>
      <c r="GX252" s="18" t="b">
        <v>1</v>
      </c>
      <c r="GY252" s="18">
        <v>12000</v>
      </c>
      <c r="GZ252" s="18" t="b">
        <v>0</v>
      </c>
      <c r="HA252" s="18">
        <v>0</v>
      </c>
      <c r="HB252" s="18">
        <v>0</v>
      </c>
      <c r="HC252" s="18">
        <v>0</v>
      </c>
      <c r="HD252" s="18">
        <v>0</v>
      </c>
      <c r="HE252" s="18" t="b">
        <v>0</v>
      </c>
      <c r="HF252" s="18">
        <v>0</v>
      </c>
      <c r="HG252" s="18">
        <v>10001</v>
      </c>
      <c r="HH252" s="18" t="s">
        <v>339</v>
      </c>
      <c r="HI252" s="18" t="s">
        <v>334</v>
      </c>
      <c r="HJ252" s="18">
        <v>0</v>
      </c>
      <c r="HK252" s="18">
        <v>0</v>
      </c>
      <c r="HL252" s="18">
        <v>0</v>
      </c>
      <c r="HM252" s="18">
        <v>0</v>
      </c>
      <c r="HN252" s="18" t="b">
        <v>0</v>
      </c>
    </row>
    <row r="253" spans="1:222">
      <c r="A253"/>
      <c r="B253" s="29" cm="1">
        <f t="array" ref="B253">10000000+INDEX(编号表!$B$1:$B$112,MATCH(D253,编号表!$A$1:$A$112,0))*10000+I253</f>
        <v>10250007</v>
      </c>
      <c r="C253" s="18" t="s">
        <v>411</v>
      </c>
      <c r="D253" s="18" t="s">
        <v>411</v>
      </c>
      <c r="E253" s="18" t="s">
        <v>322</v>
      </c>
      <c r="F253" s="18" t="s">
        <v>364</v>
      </c>
      <c r="G253" s="18" t="b">
        <v>0</v>
      </c>
      <c r="H253" s="18" t="b">
        <v>0</v>
      </c>
      <c r="I253" s="18">
        <v>7</v>
      </c>
      <c r="J253" s="18">
        <v>102500</v>
      </c>
      <c r="K253" s="18" t="s">
        <v>324</v>
      </c>
      <c r="L253" s="18">
        <v>10250006</v>
      </c>
      <c r="M253" s="18">
        <v>10250008</v>
      </c>
      <c r="N253" s="18" t="s">
        <v>412</v>
      </c>
      <c r="O253" s="18">
        <v>10202024</v>
      </c>
      <c r="P253" s="18">
        <v>0</v>
      </c>
      <c r="Q253" s="18">
        <v>3</v>
      </c>
      <c r="R253" s="18">
        <v>35</v>
      </c>
      <c r="S253" s="18">
        <v>0</v>
      </c>
      <c r="T253" s="18">
        <v>100</v>
      </c>
      <c r="U253" s="18" t="s">
        <v>338</v>
      </c>
      <c r="V253" s="18">
        <v>0</v>
      </c>
      <c r="W253" s="18">
        <v>0</v>
      </c>
      <c r="X253" s="18" t="s">
        <v>334</v>
      </c>
      <c r="Y253" s="18" t="s">
        <v>378</v>
      </c>
      <c r="Z253" s="18" t="s">
        <v>402</v>
      </c>
      <c r="AA253" s="18">
        <v>1</v>
      </c>
      <c r="AB253" s="18">
        <v>0</v>
      </c>
      <c r="AC253" s="18" t="b">
        <v>1</v>
      </c>
      <c r="AD253" s="18" t="s">
        <v>329</v>
      </c>
      <c r="AE253" s="18">
        <v>80</v>
      </c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 t="s">
        <v>354</v>
      </c>
      <c r="AZ253" s="18">
        <v>11700</v>
      </c>
      <c r="BA253" s="18" t="s">
        <v>395</v>
      </c>
      <c r="BB253" s="18" t="s">
        <v>402</v>
      </c>
      <c r="BC253" s="18">
        <v>10000</v>
      </c>
      <c r="BD253" s="18">
        <v>0</v>
      </c>
      <c r="BE253" s="18" t="s">
        <v>332</v>
      </c>
      <c r="BF253" s="18">
        <v>0</v>
      </c>
      <c r="BG253" s="18"/>
      <c r="BH253" s="18"/>
      <c r="BI253" s="18"/>
      <c r="BJ253" s="18"/>
      <c r="BK253" s="18"/>
      <c r="BL253" s="18"/>
      <c r="BM253" s="18">
        <v>21001907</v>
      </c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>
        <v>200</v>
      </c>
      <c r="GS253" s="18">
        <v>400</v>
      </c>
      <c r="GT253" s="18" t="s">
        <v>356</v>
      </c>
      <c r="GU253" s="18">
        <v>30052</v>
      </c>
      <c r="GV253" s="18" t="s">
        <v>339</v>
      </c>
      <c r="GW253" s="18" t="s">
        <v>339</v>
      </c>
      <c r="GX253" s="18" t="b">
        <v>1</v>
      </c>
      <c r="GY253" s="18">
        <v>12000</v>
      </c>
      <c r="GZ253" s="18" t="b">
        <v>0</v>
      </c>
      <c r="HA253" s="18">
        <v>0</v>
      </c>
      <c r="HB253" s="18">
        <v>0</v>
      </c>
      <c r="HC253" s="18">
        <v>0</v>
      </c>
      <c r="HD253" s="18">
        <v>0</v>
      </c>
      <c r="HE253" s="18" t="b">
        <v>0</v>
      </c>
      <c r="HF253" s="18">
        <v>0</v>
      </c>
      <c r="HG253" s="18">
        <v>10001</v>
      </c>
      <c r="HH253" s="18" t="s">
        <v>339</v>
      </c>
      <c r="HI253" s="18" t="s">
        <v>334</v>
      </c>
      <c r="HJ253" s="18">
        <v>0</v>
      </c>
      <c r="HK253" s="18">
        <v>0</v>
      </c>
      <c r="HL253" s="18">
        <v>0</v>
      </c>
      <c r="HM253" s="18">
        <v>0</v>
      </c>
      <c r="HN253" s="18" t="b">
        <v>0</v>
      </c>
    </row>
    <row r="254" spans="1:222">
      <c r="A254"/>
      <c r="B254" s="29" cm="1">
        <f t="array" ref="B254">10000000+INDEX(编号表!$B$1:$B$112,MATCH(D254,编号表!$A$1:$A$112,0))*10000+I254</f>
        <v>10250008</v>
      </c>
      <c r="C254" s="18" t="s">
        <v>411</v>
      </c>
      <c r="D254" s="18" t="s">
        <v>411</v>
      </c>
      <c r="E254" s="18" t="s">
        <v>322</v>
      </c>
      <c r="F254" s="18" t="s">
        <v>364</v>
      </c>
      <c r="G254" s="18" t="b">
        <v>0</v>
      </c>
      <c r="H254" s="18" t="b">
        <v>0</v>
      </c>
      <c r="I254" s="18">
        <v>8</v>
      </c>
      <c r="J254" s="18">
        <v>102500</v>
      </c>
      <c r="K254" s="18" t="s">
        <v>324</v>
      </c>
      <c r="L254" s="18">
        <v>10250007</v>
      </c>
      <c r="M254" s="18">
        <v>10250009</v>
      </c>
      <c r="N254" s="18" t="s">
        <v>412</v>
      </c>
      <c r="O254" s="18">
        <v>10202024</v>
      </c>
      <c r="P254" s="18">
        <v>0</v>
      </c>
      <c r="Q254" s="18">
        <v>3</v>
      </c>
      <c r="R254" s="18">
        <v>35</v>
      </c>
      <c r="S254" s="18">
        <v>0</v>
      </c>
      <c r="T254" s="18">
        <v>100</v>
      </c>
      <c r="U254" s="18" t="s">
        <v>338</v>
      </c>
      <c r="V254" s="18">
        <v>0</v>
      </c>
      <c r="W254" s="18">
        <v>0</v>
      </c>
      <c r="X254" s="18" t="s">
        <v>334</v>
      </c>
      <c r="Y254" s="18" t="s">
        <v>378</v>
      </c>
      <c r="Z254" s="18" t="s">
        <v>402</v>
      </c>
      <c r="AA254" s="18">
        <v>1</v>
      </c>
      <c r="AB254" s="18">
        <v>0</v>
      </c>
      <c r="AC254" s="18" t="b">
        <v>1</v>
      </c>
      <c r="AD254" s="18" t="s">
        <v>329</v>
      </c>
      <c r="AE254" s="18">
        <v>80</v>
      </c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 t="s">
        <v>354</v>
      </c>
      <c r="AZ254" s="18">
        <v>11800</v>
      </c>
      <c r="BA254" s="18" t="s">
        <v>395</v>
      </c>
      <c r="BB254" s="18" t="s">
        <v>402</v>
      </c>
      <c r="BC254" s="18">
        <v>10000</v>
      </c>
      <c r="BD254" s="18">
        <v>0</v>
      </c>
      <c r="BE254" s="18" t="s">
        <v>332</v>
      </c>
      <c r="BF254" s="18">
        <v>0</v>
      </c>
      <c r="BG254" s="18"/>
      <c r="BH254" s="18"/>
      <c r="BI254" s="18"/>
      <c r="BJ254" s="18"/>
      <c r="BK254" s="18"/>
      <c r="BL254" s="18"/>
      <c r="BM254" s="18">
        <v>21001908</v>
      </c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>
        <v>200</v>
      </c>
      <c r="GS254" s="18">
        <v>400</v>
      </c>
      <c r="GT254" s="18" t="s">
        <v>356</v>
      </c>
      <c r="GU254" s="18">
        <v>30052</v>
      </c>
      <c r="GV254" s="18" t="s">
        <v>339</v>
      </c>
      <c r="GW254" s="18" t="s">
        <v>339</v>
      </c>
      <c r="GX254" s="18" t="b">
        <v>1</v>
      </c>
      <c r="GY254" s="18">
        <v>12000</v>
      </c>
      <c r="GZ254" s="18" t="b">
        <v>0</v>
      </c>
      <c r="HA254" s="18">
        <v>0</v>
      </c>
      <c r="HB254" s="18">
        <v>0</v>
      </c>
      <c r="HC254" s="18">
        <v>0</v>
      </c>
      <c r="HD254" s="18">
        <v>0</v>
      </c>
      <c r="HE254" s="18" t="b">
        <v>0</v>
      </c>
      <c r="HF254" s="18">
        <v>0</v>
      </c>
      <c r="HG254" s="18">
        <v>10001</v>
      </c>
      <c r="HH254" s="18" t="s">
        <v>339</v>
      </c>
      <c r="HI254" s="18" t="s">
        <v>334</v>
      </c>
      <c r="HJ254" s="18">
        <v>0</v>
      </c>
      <c r="HK254" s="18">
        <v>0</v>
      </c>
      <c r="HL254" s="18">
        <v>0</v>
      </c>
      <c r="HM254" s="18">
        <v>0</v>
      </c>
      <c r="HN254" s="18" t="b">
        <v>0</v>
      </c>
    </row>
    <row r="255" spans="1:222">
      <c r="A255"/>
      <c r="B255" s="29" cm="1">
        <f t="array" ref="B255">10000000+INDEX(编号表!$B$1:$B$112,MATCH(D255,编号表!$A$1:$A$112,0))*10000+I255</f>
        <v>10250009</v>
      </c>
      <c r="C255" s="18" t="s">
        <v>411</v>
      </c>
      <c r="D255" s="18" t="s">
        <v>411</v>
      </c>
      <c r="E255" s="18" t="s">
        <v>322</v>
      </c>
      <c r="F255" s="18" t="s">
        <v>364</v>
      </c>
      <c r="G255" s="18" t="b">
        <v>0</v>
      </c>
      <c r="H255" s="18" t="b">
        <v>0</v>
      </c>
      <c r="I255" s="18">
        <v>9</v>
      </c>
      <c r="J255" s="18">
        <v>102500</v>
      </c>
      <c r="K255" s="18" t="s">
        <v>324</v>
      </c>
      <c r="L255" s="18">
        <v>10250008</v>
      </c>
      <c r="M255" s="18">
        <v>10250010</v>
      </c>
      <c r="N255" s="18" t="s">
        <v>412</v>
      </c>
      <c r="O255" s="18">
        <v>10202024</v>
      </c>
      <c r="P255" s="18">
        <v>0</v>
      </c>
      <c r="Q255" s="18">
        <v>3</v>
      </c>
      <c r="R255" s="18">
        <v>40</v>
      </c>
      <c r="S255" s="18">
        <v>0</v>
      </c>
      <c r="T255" s="18">
        <v>100</v>
      </c>
      <c r="U255" s="18" t="s">
        <v>338</v>
      </c>
      <c r="V255" s="18">
        <v>0</v>
      </c>
      <c r="W255" s="18">
        <v>0</v>
      </c>
      <c r="X255" s="18" t="s">
        <v>334</v>
      </c>
      <c r="Y255" s="18" t="s">
        <v>378</v>
      </c>
      <c r="Z255" s="18" t="s">
        <v>402</v>
      </c>
      <c r="AA255" s="18">
        <v>1</v>
      </c>
      <c r="AB255" s="18">
        <v>0</v>
      </c>
      <c r="AC255" s="18" t="b">
        <v>1</v>
      </c>
      <c r="AD255" s="18" t="s">
        <v>329</v>
      </c>
      <c r="AE255" s="18">
        <v>80</v>
      </c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 t="s">
        <v>354</v>
      </c>
      <c r="AZ255" s="18">
        <v>11900</v>
      </c>
      <c r="BA255" s="18" t="s">
        <v>395</v>
      </c>
      <c r="BB255" s="18" t="s">
        <v>402</v>
      </c>
      <c r="BC255" s="18">
        <v>10000</v>
      </c>
      <c r="BD255" s="18">
        <v>0</v>
      </c>
      <c r="BE255" s="18" t="s">
        <v>332</v>
      </c>
      <c r="BF255" s="18">
        <v>0</v>
      </c>
      <c r="BG255" s="18"/>
      <c r="BH255" s="18"/>
      <c r="BI255" s="18"/>
      <c r="BJ255" s="18"/>
      <c r="BK255" s="18"/>
      <c r="BL255" s="18"/>
      <c r="BM255" s="18">
        <v>21001909</v>
      </c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>
        <v>200</v>
      </c>
      <c r="GS255" s="18">
        <v>400</v>
      </c>
      <c r="GT255" s="18" t="s">
        <v>356</v>
      </c>
      <c r="GU255" s="18">
        <v>30052</v>
      </c>
      <c r="GV255" s="18" t="s">
        <v>339</v>
      </c>
      <c r="GW255" s="18" t="s">
        <v>339</v>
      </c>
      <c r="GX255" s="18" t="b">
        <v>1</v>
      </c>
      <c r="GY255" s="18">
        <v>12000</v>
      </c>
      <c r="GZ255" s="18" t="b">
        <v>0</v>
      </c>
      <c r="HA255" s="18">
        <v>0</v>
      </c>
      <c r="HB255" s="18">
        <v>0</v>
      </c>
      <c r="HC255" s="18">
        <v>0</v>
      </c>
      <c r="HD255" s="18">
        <v>0</v>
      </c>
      <c r="HE255" s="18" t="b">
        <v>0</v>
      </c>
      <c r="HF255" s="18">
        <v>0</v>
      </c>
      <c r="HG255" s="18">
        <v>10001</v>
      </c>
      <c r="HH255" s="18" t="s">
        <v>339</v>
      </c>
      <c r="HI255" s="18" t="s">
        <v>334</v>
      </c>
      <c r="HJ255" s="18">
        <v>0</v>
      </c>
      <c r="HK255" s="18">
        <v>0</v>
      </c>
      <c r="HL255" s="18">
        <v>0</v>
      </c>
      <c r="HM255" s="18">
        <v>0</v>
      </c>
      <c r="HN255" s="18" t="b">
        <v>0</v>
      </c>
    </row>
    <row r="256" spans="1:222">
      <c r="A256"/>
      <c r="B256" s="29" cm="1">
        <f t="array" ref="B256">10000000+INDEX(编号表!$B$1:$B$112,MATCH(D256,编号表!$A$1:$A$112,0))*10000+I256</f>
        <v>10250010</v>
      </c>
      <c r="C256" s="18" t="s">
        <v>411</v>
      </c>
      <c r="D256" s="18" t="s">
        <v>411</v>
      </c>
      <c r="E256" s="18" t="s">
        <v>322</v>
      </c>
      <c r="F256" s="18" t="s">
        <v>364</v>
      </c>
      <c r="G256" s="18" t="b">
        <v>0</v>
      </c>
      <c r="H256" s="18" t="b">
        <v>0</v>
      </c>
      <c r="I256" s="18">
        <v>10</v>
      </c>
      <c r="J256" s="18">
        <v>102500</v>
      </c>
      <c r="K256" s="18" t="s">
        <v>324</v>
      </c>
      <c r="L256" s="18">
        <v>10250009</v>
      </c>
      <c r="M256" s="18">
        <v>0</v>
      </c>
      <c r="N256" s="18" t="s">
        <v>412</v>
      </c>
      <c r="O256" s="18">
        <v>10202024</v>
      </c>
      <c r="P256" s="18">
        <v>0</v>
      </c>
      <c r="Q256" s="18">
        <v>3</v>
      </c>
      <c r="R256" s="18">
        <v>40</v>
      </c>
      <c r="S256" s="18">
        <v>0</v>
      </c>
      <c r="T256" s="18">
        <v>0</v>
      </c>
      <c r="U256" s="18" t="s">
        <v>338</v>
      </c>
      <c r="V256" s="18">
        <v>0</v>
      </c>
      <c r="W256" s="18">
        <v>0</v>
      </c>
      <c r="X256" s="18" t="s">
        <v>334</v>
      </c>
      <c r="Y256" s="18" t="s">
        <v>378</v>
      </c>
      <c r="Z256" s="18" t="s">
        <v>402</v>
      </c>
      <c r="AA256" s="18">
        <v>1</v>
      </c>
      <c r="AB256" s="18">
        <v>0</v>
      </c>
      <c r="AC256" s="18" t="b">
        <v>1</v>
      </c>
      <c r="AD256" s="18" t="s">
        <v>329</v>
      </c>
      <c r="AE256" s="18">
        <v>80</v>
      </c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 t="s">
        <v>354</v>
      </c>
      <c r="AZ256" s="18">
        <v>12000</v>
      </c>
      <c r="BA256" s="18" t="s">
        <v>395</v>
      </c>
      <c r="BB256" s="18" t="s">
        <v>402</v>
      </c>
      <c r="BC256" s="18">
        <v>10000</v>
      </c>
      <c r="BD256" s="18">
        <v>0</v>
      </c>
      <c r="BE256" s="18" t="s">
        <v>332</v>
      </c>
      <c r="BF256" s="18">
        <v>0</v>
      </c>
      <c r="BG256" s="18"/>
      <c r="BH256" s="18"/>
      <c r="BI256" s="18"/>
      <c r="BJ256" s="18"/>
      <c r="BK256" s="18"/>
      <c r="BL256" s="18"/>
      <c r="BM256" s="18">
        <v>21001910</v>
      </c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>
        <v>200</v>
      </c>
      <c r="GS256" s="18">
        <v>400</v>
      </c>
      <c r="GT256" s="18" t="s">
        <v>356</v>
      </c>
      <c r="GU256" s="18">
        <v>30052</v>
      </c>
      <c r="GV256" s="18" t="s">
        <v>339</v>
      </c>
      <c r="GW256" s="18" t="s">
        <v>339</v>
      </c>
      <c r="GX256" s="18" t="b">
        <v>1</v>
      </c>
      <c r="GY256" s="18">
        <v>12000</v>
      </c>
      <c r="GZ256" s="18" t="b">
        <v>0</v>
      </c>
      <c r="HA256" s="18">
        <v>0</v>
      </c>
      <c r="HB256" s="18">
        <v>0</v>
      </c>
      <c r="HC256" s="18">
        <v>0</v>
      </c>
      <c r="HD256" s="18">
        <v>0</v>
      </c>
      <c r="HE256" s="18" t="b">
        <v>0</v>
      </c>
      <c r="HF256" s="18">
        <v>0</v>
      </c>
      <c r="HG256" s="18">
        <v>10001</v>
      </c>
      <c r="HH256" s="18" t="s">
        <v>339</v>
      </c>
      <c r="HI256" s="18" t="s">
        <v>334</v>
      </c>
      <c r="HJ256" s="18">
        <v>0</v>
      </c>
      <c r="HK256" s="18">
        <v>0</v>
      </c>
      <c r="HL256" s="18">
        <v>0</v>
      </c>
      <c r="HM256" s="18">
        <v>0</v>
      </c>
      <c r="HN256" s="18" t="b">
        <v>0</v>
      </c>
    </row>
    <row r="257" spans="1:222">
      <c r="A257"/>
      <c r="B257" s="29" cm="1">
        <f t="array" ref="B257">10000000+INDEX(编号表!$B$1:$B$112,MATCH(D257,编号表!$A$1:$A$112,0))*10000+I257</f>
        <v>10260001</v>
      </c>
      <c r="C257" s="18" t="s">
        <v>413</v>
      </c>
      <c r="D257" s="18" t="s">
        <v>413</v>
      </c>
      <c r="E257" s="18" t="s">
        <v>322</v>
      </c>
      <c r="F257" s="18" t="s">
        <v>361</v>
      </c>
      <c r="G257" s="18" t="b">
        <v>0</v>
      </c>
      <c r="H257" s="18" t="b">
        <v>0</v>
      </c>
      <c r="I257" s="18">
        <v>1</v>
      </c>
      <c r="J257" s="18">
        <v>102600</v>
      </c>
      <c r="K257" s="18" t="s">
        <v>324</v>
      </c>
      <c r="L257" s="18">
        <v>0</v>
      </c>
      <c r="M257" s="18">
        <v>10260002</v>
      </c>
      <c r="N257" s="18" t="s">
        <v>414</v>
      </c>
      <c r="O257" s="18">
        <v>10202025</v>
      </c>
      <c r="P257" s="18">
        <v>0</v>
      </c>
      <c r="Q257" s="18">
        <v>0</v>
      </c>
      <c r="R257" s="18">
        <v>1</v>
      </c>
      <c r="S257" s="18">
        <v>0</v>
      </c>
      <c r="T257" s="18">
        <v>100</v>
      </c>
      <c r="U257" s="18" t="s">
        <v>338</v>
      </c>
      <c r="V257" s="18">
        <v>0</v>
      </c>
      <c r="W257" s="18">
        <v>0</v>
      </c>
      <c r="X257" s="18" t="s">
        <v>334</v>
      </c>
      <c r="Y257" s="18" t="s">
        <v>378</v>
      </c>
      <c r="Z257" s="18" t="s">
        <v>402</v>
      </c>
      <c r="AA257" s="18">
        <v>1</v>
      </c>
      <c r="AB257" s="18">
        <v>0</v>
      </c>
      <c r="AC257" s="18" t="b">
        <v>1</v>
      </c>
      <c r="AD257" s="18" t="s">
        <v>329</v>
      </c>
      <c r="AE257" s="18">
        <v>80</v>
      </c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 t="s">
        <v>339</v>
      </c>
      <c r="AZ257" s="18">
        <v>10000</v>
      </c>
      <c r="BA257" s="18" t="s">
        <v>395</v>
      </c>
      <c r="BB257" s="18" t="s">
        <v>402</v>
      </c>
      <c r="BC257" s="18">
        <v>10000</v>
      </c>
      <c r="BD257" s="18">
        <v>0</v>
      </c>
      <c r="BE257" s="18" t="s">
        <v>332</v>
      </c>
      <c r="BF257" s="18">
        <v>0</v>
      </c>
      <c r="BG257" s="18"/>
      <c r="BH257" s="18"/>
      <c r="BI257" s="18"/>
      <c r="BJ257" s="18"/>
      <c r="BK257" s="18"/>
      <c r="BL257" s="18"/>
      <c r="BM257" s="18">
        <v>21002001</v>
      </c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>
        <v>200</v>
      </c>
      <c r="GS257" s="18">
        <v>400</v>
      </c>
      <c r="GT257" s="18" t="s">
        <v>356</v>
      </c>
      <c r="GU257" s="18">
        <v>30053</v>
      </c>
      <c r="GV257" s="18" t="s">
        <v>339</v>
      </c>
      <c r="GW257" s="18" t="s">
        <v>339</v>
      </c>
      <c r="GX257" s="18" t="b">
        <v>1</v>
      </c>
      <c r="GY257" s="18">
        <v>12000</v>
      </c>
      <c r="GZ257" s="18" t="b">
        <v>0</v>
      </c>
      <c r="HA257" s="18">
        <v>0</v>
      </c>
      <c r="HB257" s="18">
        <v>0</v>
      </c>
      <c r="HC257" s="18">
        <v>0</v>
      </c>
      <c r="HD257" s="18">
        <v>0</v>
      </c>
      <c r="HE257" s="18" t="b">
        <v>0</v>
      </c>
      <c r="HF257" s="18">
        <v>0</v>
      </c>
      <c r="HG257" s="18">
        <v>10001</v>
      </c>
      <c r="HH257" s="18" t="s">
        <v>339</v>
      </c>
      <c r="HI257" s="18" t="s">
        <v>334</v>
      </c>
      <c r="HJ257" s="18">
        <v>0</v>
      </c>
      <c r="HK257" s="18">
        <v>0</v>
      </c>
      <c r="HL257" s="18">
        <v>0</v>
      </c>
      <c r="HM257" s="18">
        <v>0</v>
      </c>
      <c r="HN257" s="18" t="b">
        <v>0</v>
      </c>
    </row>
    <row r="258" spans="1:222">
      <c r="A258"/>
      <c r="B258" s="29" cm="1">
        <f t="array" ref="B258">10000000+INDEX(编号表!$B$1:$B$112,MATCH(D258,编号表!$A$1:$A$112,0))*10000+I258</f>
        <v>10260002</v>
      </c>
      <c r="C258" s="18" t="s">
        <v>413</v>
      </c>
      <c r="D258" s="18" t="s">
        <v>413</v>
      </c>
      <c r="E258" s="18" t="s">
        <v>322</v>
      </c>
      <c r="F258" s="18" t="s">
        <v>361</v>
      </c>
      <c r="G258" s="18" t="b">
        <v>0</v>
      </c>
      <c r="H258" s="18" t="b">
        <v>0</v>
      </c>
      <c r="I258" s="18">
        <v>2</v>
      </c>
      <c r="J258" s="18">
        <v>102600</v>
      </c>
      <c r="K258" s="18" t="s">
        <v>324</v>
      </c>
      <c r="L258" s="18">
        <v>10260001</v>
      </c>
      <c r="M258" s="18">
        <v>10260003</v>
      </c>
      <c r="N258" s="18" t="s">
        <v>414</v>
      </c>
      <c r="O258" s="18">
        <v>10202025</v>
      </c>
      <c r="P258" s="18">
        <v>0</v>
      </c>
      <c r="Q258" s="18">
        <v>1</v>
      </c>
      <c r="R258" s="18">
        <v>7</v>
      </c>
      <c r="S258" s="18">
        <v>0</v>
      </c>
      <c r="T258" s="18">
        <v>100</v>
      </c>
      <c r="U258" s="18" t="s">
        <v>338</v>
      </c>
      <c r="V258" s="18">
        <v>0</v>
      </c>
      <c r="W258" s="18">
        <v>0</v>
      </c>
      <c r="X258" s="18" t="s">
        <v>334</v>
      </c>
      <c r="Y258" s="18" t="s">
        <v>378</v>
      </c>
      <c r="Z258" s="18" t="s">
        <v>402</v>
      </c>
      <c r="AA258" s="18">
        <v>1</v>
      </c>
      <c r="AB258" s="18">
        <v>0</v>
      </c>
      <c r="AC258" s="18" t="b">
        <v>1</v>
      </c>
      <c r="AD258" s="18" t="s">
        <v>329</v>
      </c>
      <c r="AE258" s="18">
        <v>80</v>
      </c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 t="s">
        <v>339</v>
      </c>
      <c r="AZ258" s="18">
        <v>10400</v>
      </c>
      <c r="BA258" s="18" t="s">
        <v>395</v>
      </c>
      <c r="BB258" s="18" t="s">
        <v>402</v>
      </c>
      <c r="BC258" s="18">
        <v>10000</v>
      </c>
      <c r="BD258" s="18">
        <v>0</v>
      </c>
      <c r="BE258" s="18" t="s">
        <v>332</v>
      </c>
      <c r="BF258" s="18">
        <v>0</v>
      </c>
      <c r="BG258" s="18"/>
      <c r="BH258" s="18"/>
      <c r="BI258" s="18"/>
      <c r="BJ258" s="18"/>
      <c r="BK258" s="18"/>
      <c r="BL258" s="18"/>
      <c r="BM258" s="18">
        <v>21002002</v>
      </c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>
        <v>200</v>
      </c>
      <c r="GS258" s="18">
        <v>400</v>
      </c>
      <c r="GT258" s="18" t="s">
        <v>356</v>
      </c>
      <c r="GU258" s="18">
        <v>30053</v>
      </c>
      <c r="GV258" s="18" t="s">
        <v>339</v>
      </c>
      <c r="GW258" s="18" t="s">
        <v>339</v>
      </c>
      <c r="GX258" s="18" t="b">
        <v>1</v>
      </c>
      <c r="GY258" s="18">
        <v>12000</v>
      </c>
      <c r="GZ258" s="18" t="b">
        <v>0</v>
      </c>
      <c r="HA258" s="18">
        <v>0</v>
      </c>
      <c r="HB258" s="18">
        <v>0</v>
      </c>
      <c r="HC258" s="18">
        <v>0</v>
      </c>
      <c r="HD258" s="18">
        <v>0</v>
      </c>
      <c r="HE258" s="18" t="b">
        <v>0</v>
      </c>
      <c r="HF258" s="18">
        <v>0</v>
      </c>
      <c r="HG258" s="18">
        <v>10001</v>
      </c>
      <c r="HH258" s="18" t="s">
        <v>339</v>
      </c>
      <c r="HI258" s="18" t="s">
        <v>334</v>
      </c>
      <c r="HJ258" s="18">
        <v>0</v>
      </c>
      <c r="HK258" s="18">
        <v>0</v>
      </c>
      <c r="HL258" s="18">
        <v>0</v>
      </c>
      <c r="HM258" s="18">
        <v>0</v>
      </c>
      <c r="HN258" s="18" t="b">
        <v>0</v>
      </c>
    </row>
    <row r="259" spans="1:222">
      <c r="A259"/>
      <c r="B259" s="29" cm="1">
        <f t="array" ref="B259">10000000+INDEX(编号表!$B$1:$B$112,MATCH(D259,编号表!$A$1:$A$112,0))*10000+I259</f>
        <v>10260003</v>
      </c>
      <c r="C259" s="18" t="s">
        <v>413</v>
      </c>
      <c r="D259" s="18" t="s">
        <v>413</v>
      </c>
      <c r="E259" s="18" t="s">
        <v>322</v>
      </c>
      <c r="F259" s="18" t="s">
        <v>361</v>
      </c>
      <c r="G259" s="18" t="b">
        <v>0</v>
      </c>
      <c r="H259" s="18" t="b">
        <v>0</v>
      </c>
      <c r="I259" s="18">
        <v>3</v>
      </c>
      <c r="J259" s="18">
        <v>102600</v>
      </c>
      <c r="K259" s="18" t="s">
        <v>324</v>
      </c>
      <c r="L259" s="18">
        <v>10260002</v>
      </c>
      <c r="M259" s="18">
        <v>10260004</v>
      </c>
      <c r="N259" s="18" t="s">
        <v>414</v>
      </c>
      <c r="O259" s="18">
        <v>10202025</v>
      </c>
      <c r="P259" s="18">
        <v>0</v>
      </c>
      <c r="Q259" s="18">
        <v>2</v>
      </c>
      <c r="R259" s="18">
        <v>11</v>
      </c>
      <c r="S259" s="18">
        <v>0</v>
      </c>
      <c r="T259" s="18">
        <v>100</v>
      </c>
      <c r="U259" s="18" t="s">
        <v>338</v>
      </c>
      <c r="V259" s="18">
        <v>0</v>
      </c>
      <c r="W259" s="18">
        <v>0</v>
      </c>
      <c r="X259" s="18" t="s">
        <v>334</v>
      </c>
      <c r="Y259" s="18" t="s">
        <v>378</v>
      </c>
      <c r="Z259" s="18" t="s">
        <v>402</v>
      </c>
      <c r="AA259" s="18">
        <v>1</v>
      </c>
      <c r="AB259" s="18">
        <v>0</v>
      </c>
      <c r="AC259" s="18" t="b">
        <v>1</v>
      </c>
      <c r="AD259" s="18" t="s">
        <v>329</v>
      </c>
      <c r="AE259" s="18">
        <v>80</v>
      </c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 t="s">
        <v>339</v>
      </c>
      <c r="AZ259" s="18">
        <v>10800</v>
      </c>
      <c r="BA259" s="18" t="s">
        <v>395</v>
      </c>
      <c r="BB259" s="18" t="s">
        <v>402</v>
      </c>
      <c r="BC259" s="18">
        <v>10000</v>
      </c>
      <c r="BD259" s="18">
        <v>0</v>
      </c>
      <c r="BE259" s="18" t="s">
        <v>332</v>
      </c>
      <c r="BF259" s="18">
        <v>0</v>
      </c>
      <c r="BG259" s="18"/>
      <c r="BH259" s="18"/>
      <c r="BI259" s="18"/>
      <c r="BJ259" s="18"/>
      <c r="BK259" s="18"/>
      <c r="BL259" s="18"/>
      <c r="BM259" s="18">
        <v>21002003</v>
      </c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>
        <v>200</v>
      </c>
      <c r="GS259" s="18">
        <v>400</v>
      </c>
      <c r="GT259" s="18" t="s">
        <v>356</v>
      </c>
      <c r="GU259" s="18">
        <v>30053</v>
      </c>
      <c r="GV259" s="18" t="s">
        <v>339</v>
      </c>
      <c r="GW259" s="18" t="s">
        <v>339</v>
      </c>
      <c r="GX259" s="18" t="b">
        <v>1</v>
      </c>
      <c r="GY259" s="18">
        <v>12000</v>
      </c>
      <c r="GZ259" s="18" t="b">
        <v>0</v>
      </c>
      <c r="HA259" s="18">
        <v>0</v>
      </c>
      <c r="HB259" s="18">
        <v>0</v>
      </c>
      <c r="HC259" s="18">
        <v>0</v>
      </c>
      <c r="HD259" s="18">
        <v>0</v>
      </c>
      <c r="HE259" s="18" t="b">
        <v>0</v>
      </c>
      <c r="HF259" s="18">
        <v>0</v>
      </c>
      <c r="HG259" s="18">
        <v>10001</v>
      </c>
      <c r="HH259" s="18" t="s">
        <v>339</v>
      </c>
      <c r="HI259" s="18" t="s">
        <v>334</v>
      </c>
      <c r="HJ259" s="18">
        <v>0</v>
      </c>
      <c r="HK259" s="18">
        <v>0</v>
      </c>
      <c r="HL259" s="18">
        <v>0</v>
      </c>
      <c r="HM259" s="18">
        <v>0</v>
      </c>
      <c r="HN259" s="18" t="b">
        <v>0</v>
      </c>
    </row>
    <row r="260" spans="1:222">
      <c r="A260"/>
      <c r="B260" s="29" cm="1">
        <f t="array" ref="B260">10000000+INDEX(编号表!$B$1:$B$112,MATCH(D260,编号表!$A$1:$A$112,0))*10000+I260</f>
        <v>10260004</v>
      </c>
      <c r="C260" s="18" t="s">
        <v>413</v>
      </c>
      <c r="D260" s="18" t="s">
        <v>413</v>
      </c>
      <c r="E260" s="18" t="s">
        <v>322</v>
      </c>
      <c r="F260" s="18" t="s">
        <v>361</v>
      </c>
      <c r="G260" s="18" t="b">
        <v>0</v>
      </c>
      <c r="H260" s="18" t="b">
        <v>0</v>
      </c>
      <c r="I260" s="18">
        <v>4</v>
      </c>
      <c r="J260" s="18">
        <v>102600</v>
      </c>
      <c r="K260" s="18" t="s">
        <v>324</v>
      </c>
      <c r="L260" s="18">
        <v>10260003</v>
      </c>
      <c r="M260" s="18">
        <v>10260005</v>
      </c>
      <c r="N260" s="18" t="s">
        <v>414</v>
      </c>
      <c r="O260" s="18">
        <v>10202025</v>
      </c>
      <c r="P260" s="18">
        <v>0</v>
      </c>
      <c r="Q260" s="18">
        <v>3</v>
      </c>
      <c r="R260" s="18">
        <v>16</v>
      </c>
      <c r="S260" s="18">
        <v>0</v>
      </c>
      <c r="T260" s="18">
        <v>100</v>
      </c>
      <c r="U260" s="18" t="s">
        <v>338</v>
      </c>
      <c r="V260" s="18">
        <v>0</v>
      </c>
      <c r="W260" s="18">
        <v>0</v>
      </c>
      <c r="X260" s="18" t="s">
        <v>334</v>
      </c>
      <c r="Y260" s="18" t="s">
        <v>378</v>
      </c>
      <c r="Z260" s="18" t="s">
        <v>402</v>
      </c>
      <c r="AA260" s="18">
        <v>1</v>
      </c>
      <c r="AB260" s="18">
        <v>0</v>
      </c>
      <c r="AC260" s="18" t="b">
        <v>1</v>
      </c>
      <c r="AD260" s="18" t="s">
        <v>329</v>
      </c>
      <c r="AE260" s="18">
        <v>80</v>
      </c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 t="s">
        <v>339</v>
      </c>
      <c r="AZ260" s="18">
        <v>11200</v>
      </c>
      <c r="BA260" s="18" t="s">
        <v>395</v>
      </c>
      <c r="BB260" s="18" t="s">
        <v>402</v>
      </c>
      <c r="BC260" s="18">
        <v>10000</v>
      </c>
      <c r="BD260" s="18">
        <v>0</v>
      </c>
      <c r="BE260" s="18" t="s">
        <v>332</v>
      </c>
      <c r="BF260" s="18">
        <v>0</v>
      </c>
      <c r="BG260" s="18"/>
      <c r="BH260" s="18"/>
      <c r="BI260" s="18"/>
      <c r="BJ260" s="18"/>
      <c r="BK260" s="18"/>
      <c r="BL260" s="18"/>
      <c r="BM260" s="18">
        <v>21002004</v>
      </c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>
        <v>200</v>
      </c>
      <c r="GS260" s="18">
        <v>400</v>
      </c>
      <c r="GT260" s="18" t="s">
        <v>356</v>
      </c>
      <c r="GU260" s="18">
        <v>30053</v>
      </c>
      <c r="GV260" s="18" t="s">
        <v>339</v>
      </c>
      <c r="GW260" s="18" t="s">
        <v>339</v>
      </c>
      <c r="GX260" s="18" t="b">
        <v>1</v>
      </c>
      <c r="GY260" s="18">
        <v>12000</v>
      </c>
      <c r="GZ260" s="18" t="b">
        <v>0</v>
      </c>
      <c r="HA260" s="18">
        <v>0</v>
      </c>
      <c r="HB260" s="18">
        <v>0</v>
      </c>
      <c r="HC260" s="18">
        <v>0</v>
      </c>
      <c r="HD260" s="18">
        <v>0</v>
      </c>
      <c r="HE260" s="18" t="b">
        <v>0</v>
      </c>
      <c r="HF260" s="18">
        <v>0</v>
      </c>
      <c r="HG260" s="18">
        <v>10001</v>
      </c>
      <c r="HH260" s="18" t="s">
        <v>339</v>
      </c>
      <c r="HI260" s="18" t="s">
        <v>334</v>
      </c>
      <c r="HJ260" s="18">
        <v>0</v>
      </c>
      <c r="HK260" s="18">
        <v>0</v>
      </c>
      <c r="HL260" s="18">
        <v>0</v>
      </c>
      <c r="HM260" s="18">
        <v>0</v>
      </c>
      <c r="HN260" s="18" t="b">
        <v>0</v>
      </c>
    </row>
    <row r="261" spans="1:222">
      <c r="A261"/>
      <c r="B261" s="29" cm="1">
        <f t="array" ref="B261">10000000+INDEX(编号表!$B$1:$B$112,MATCH(D261,编号表!$A$1:$A$112,0))*10000+I261</f>
        <v>10260005</v>
      </c>
      <c r="C261" s="18" t="s">
        <v>413</v>
      </c>
      <c r="D261" s="18" t="s">
        <v>413</v>
      </c>
      <c r="E261" s="18" t="s">
        <v>322</v>
      </c>
      <c r="F261" s="18" t="s">
        <v>361</v>
      </c>
      <c r="G261" s="18" t="b">
        <v>0</v>
      </c>
      <c r="H261" s="18" t="b">
        <v>0</v>
      </c>
      <c r="I261" s="18">
        <v>5</v>
      </c>
      <c r="J261" s="18">
        <v>102600</v>
      </c>
      <c r="K261" s="18" t="s">
        <v>324</v>
      </c>
      <c r="L261" s="18">
        <v>10260004</v>
      </c>
      <c r="M261" s="18">
        <v>10260006</v>
      </c>
      <c r="N261" s="18" t="s">
        <v>414</v>
      </c>
      <c r="O261" s="18">
        <v>10202025</v>
      </c>
      <c r="P261" s="18">
        <v>0</v>
      </c>
      <c r="Q261" s="18">
        <v>3</v>
      </c>
      <c r="R261" s="18">
        <v>25</v>
      </c>
      <c r="S261" s="18">
        <v>0</v>
      </c>
      <c r="T261" s="18">
        <v>100</v>
      </c>
      <c r="U261" s="18" t="s">
        <v>338</v>
      </c>
      <c r="V261" s="18">
        <v>0</v>
      </c>
      <c r="W261" s="18">
        <v>0</v>
      </c>
      <c r="X261" s="18" t="s">
        <v>334</v>
      </c>
      <c r="Y261" s="18" t="s">
        <v>378</v>
      </c>
      <c r="Z261" s="18" t="s">
        <v>402</v>
      </c>
      <c r="AA261" s="18">
        <v>1</v>
      </c>
      <c r="AB261" s="18">
        <v>0</v>
      </c>
      <c r="AC261" s="18" t="b">
        <v>1</v>
      </c>
      <c r="AD261" s="18" t="s">
        <v>329</v>
      </c>
      <c r="AE261" s="18">
        <v>80</v>
      </c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 t="s">
        <v>339</v>
      </c>
      <c r="AZ261" s="18">
        <v>11300</v>
      </c>
      <c r="BA261" s="18" t="s">
        <v>395</v>
      </c>
      <c r="BB261" s="18" t="s">
        <v>402</v>
      </c>
      <c r="BC261" s="18">
        <v>10000</v>
      </c>
      <c r="BD261" s="18">
        <v>0</v>
      </c>
      <c r="BE261" s="18" t="s">
        <v>332</v>
      </c>
      <c r="BF261" s="18">
        <v>0</v>
      </c>
      <c r="BG261" s="18"/>
      <c r="BH261" s="18"/>
      <c r="BI261" s="18"/>
      <c r="BJ261" s="18"/>
      <c r="BK261" s="18"/>
      <c r="BL261" s="18"/>
      <c r="BM261" s="18">
        <v>21002005</v>
      </c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>
        <v>200</v>
      </c>
      <c r="GS261" s="18">
        <v>400</v>
      </c>
      <c r="GT261" s="18" t="s">
        <v>356</v>
      </c>
      <c r="GU261" s="18">
        <v>30053</v>
      </c>
      <c r="GV261" s="18" t="s">
        <v>339</v>
      </c>
      <c r="GW261" s="18" t="s">
        <v>339</v>
      </c>
      <c r="GX261" s="18" t="b">
        <v>1</v>
      </c>
      <c r="GY261" s="18">
        <v>12000</v>
      </c>
      <c r="GZ261" s="18" t="b">
        <v>0</v>
      </c>
      <c r="HA261" s="18">
        <v>0</v>
      </c>
      <c r="HB261" s="18">
        <v>0</v>
      </c>
      <c r="HC261" s="18">
        <v>0</v>
      </c>
      <c r="HD261" s="18">
        <v>0</v>
      </c>
      <c r="HE261" s="18" t="b">
        <v>0</v>
      </c>
      <c r="HF261" s="18">
        <v>0</v>
      </c>
      <c r="HG261" s="18">
        <v>10001</v>
      </c>
      <c r="HH261" s="18" t="s">
        <v>339</v>
      </c>
      <c r="HI261" s="18" t="s">
        <v>334</v>
      </c>
      <c r="HJ261" s="18">
        <v>0</v>
      </c>
      <c r="HK261" s="18">
        <v>0</v>
      </c>
      <c r="HL261" s="18">
        <v>0</v>
      </c>
      <c r="HM261" s="18">
        <v>0</v>
      </c>
      <c r="HN261" s="18" t="b">
        <v>0</v>
      </c>
    </row>
    <row r="262" spans="1:222">
      <c r="A262"/>
      <c r="B262" s="29" cm="1">
        <f t="array" ref="B262">10000000+INDEX(编号表!$B$1:$B$112,MATCH(D262,编号表!$A$1:$A$112,0))*10000+I262</f>
        <v>10260006</v>
      </c>
      <c r="C262" s="18" t="s">
        <v>413</v>
      </c>
      <c r="D262" s="18" t="s">
        <v>413</v>
      </c>
      <c r="E262" s="18" t="s">
        <v>322</v>
      </c>
      <c r="F262" s="18" t="s">
        <v>361</v>
      </c>
      <c r="G262" s="18" t="b">
        <v>0</v>
      </c>
      <c r="H262" s="18" t="b">
        <v>0</v>
      </c>
      <c r="I262" s="18">
        <v>6</v>
      </c>
      <c r="J262" s="18">
        <v>102600</v>
      </c>
      <c r="K262" s="18" t="s">
        <v>324</v>
      </c>
      <c r="L262" s="18">
        <v>10260005</v>
      </c>
      <c r="M262" s="18">
        <v>10260007</v>
      </c>
      <c r="N262" s="18" t="s">
        <v>414</v>
      </c>
      <c r="O262" s="18">
        <v>10202025</v>
      </c>
      <c r="P262" s="18">
        <v>0</v>
      </c>
      <c r="Q262" s="18">
        <v>3</v>
      </c>
      <c r="R262" s="18">
        <v>30</v>
      </c>
      <c r="S262" s="18">
        <v>0</v>
      </c>
      <c r="T262" s="18">
        <v>100</v>
      </c>
      <c r="U262" s="18" t="s">
        <v>338</v>
      </c>
      <c r="V262" s="18">
        <v>0</v>
      </c>
      <c r="W262" s="18">
        <v>0</v>
      </c>
      <c r="X262" s="18" t="s">
        <v>334</v>
      </c>
      <c r="Y262" s="18" t="s">
        <v>378</v>
      </c>
      <c r="Z262" s="18" t="s">
        <v>402</v>
      </c>
      <c r="AA262" s="18">
        <v>1</v>
      </c>
      <c r="AB262" s="18">
        <v>0</v>
      </c>
      <c r="AC262" s="18" t="b">
        <v>1</v>
      </c>
      <c r="AD262" s="18" t="s">
        <v>329</v>
      </c>
      <c r="AE262" s="18">
        <v>80</v>
      </c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 t="s">
        <v>339</v>
      </c>
      <c r="AZ262" s="18">
        <v>11600</v>
      </c>
      <c r="BA262" s="18" t="s">
        <v>395</v>
      </c>
      <c r="BB262" s="18" t="s">
        <v>402</v>
      </c>
      <c r="BC262" s="18">
        <v>10000</v>
      </c>
      <c r="BD262" s="18">
        <v>0</v>
      </c>
      <c r="BE262" s="18" t="s">
        <v>332</v>
      </c>
      <c r="BF262" s="18">
        <v>0</v>
      </c>
      <c r="BG262" s="18"/>
      <c r="BH262" s="18"/>
      <c r="BI262" s="18"/>
      <c r="BJ262" s="18"/>
      <c r="BK262" s="18"/>
      <c r="BL262" s="18"/>
      <c r="BM262" s="18">
        <v>21002006</v>
      </c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>
        <v>200</v>
      </c>
      <c r="GS262" s="18">
        <v>400</v>
      </c>
      <c r="GT262" s="18" t="s">
        <v>356</v>
      </c>
      <c r="GU262" s="18">
        <v>30053</v>
      </c>
      <c r="GV262" s="18" t="s">
        <v>339</v>
      </c>
      <c r="GW262" s="18" t="s">
        <v>339</v>
      </c>
      <c r="GX262" s="18" t="b">
        <v>1</v>
      </c>
      <c r="GY262" s="18">
        <v>12000</v>
      </c>
      <c r="GZ262" s="18" t="b">
        <v>0</v>
      </c>
      <c r="HA262" s="18">
        <v>0</v>
      </c>
      <c r="HB262" s="18">
        <v>0</v>
      </c>
      <c r="HC262" s="18">
        <v>0</v>
      </c>
      <c r="HD262" s="18">
        <v>0</v>
      </c>
      <c r="HE262" s="18" t="b">
        <v>0</v>
      </c>
      <c r="HF262" s="18">
        <v>0</v>
      </c>
      <c r="HG262" s="18">
        <v>10001</v>
      </c>
      <c r="HH262" s="18" t="s">
        <v>339</v>
      </c>
      <c r="HI262" s="18" t="s">
        <v>334</v>
      </c>
      <c r="HJ262" s="18">
        <v>0</v>
      </c>
      <c r="HK262" s="18">
        <v>0</v>
      </c>
      <c r="HL262" s="18">
        <v>0</v>
      </c>
      <c r="HM262" s="18">
        <v>0</v>
      </c>
      <c r="HN262" s="18" t="b">
        <v>0</v>
      </c>
    </row>
    <row r="263" spans="1:222">
      <c r="A263"/>
      <c r="B263" s="29" cm="1">
        <f t="array" ref="B263">10000000+INDEX(编号表!$B$1:$B$112,MATCH(D263,编号表!$A$1:$A$112,0))*10000+I263</f>
        <v>10260007</v>
      </c>
      <c r="C263" s="18" t="s">
        <v>413</v>
      </c>
      <c r="D263" s="18" t="s">
        <v>413</v>
      </c>
      <c r="E263" s="18" t="s">
        <v>322</v>
      </c>
      <c r="F263" s="18" t="s">
        <v>361</v>
      </c>
      <c r="G263" s="18" t="b">
        <v>0</v>
      </c>
      <c r="H263" s="18" t="b">
        <v>0</v>
      </c>
      <c r="I263" s="18">
        <v>7</v>
      </c>
      <c r="J263" s="18">
        <v>102600</v>
      </c>
      <c r="K263" s="18" t="s">
        <v>324</v>
      </c>
      <c r="L263" s="18">
        <v>10260006</v>
      </c>
      <c r="M263" s="18">
        <v>10260008</v>
      </c>
      <c r="N263" s="18" t="s">
        <v>414</v>
      </c>
      <c r="O263" s="18">
        <v>10202025</v>
      </c>
      <c r="P263" s="18">
        <v>0</v>
      </c>
      <c r="Q263" s="18">
        <v>3</v>
      </c>
      <c r="R263" s="18">
        <v>35</v>
      </c>
      <c r="S263" s="18">
        <v>0</v>
      </c>
      <c r="T263" s="18">
        <v>100</v>
      </c>
      <c r="U263" s="18" t="s">
        <v>338</v>
      </c>
      <c r="V263" s="18">
        <v>0</v>
      </c>
      <c r="W263" s="18">
        <v>0</v>
      </c>
      <c r="X263" s="18" t="s">
        <v>334</v>
      </c>
      <c r="Y263" s="18" t="s">
        <v>378</v>
      </c>
      <c r="Z263" s="18" t="s">
        <v>402</v>
      </c>
      <c r="AA263" s="18">
        <v>1</v>
      </c>
      <c r="AB263" s="18">
        <v>0</v>
      </c>
      <c r="AC263" s="18" t="b">
        <v>1</v>
      </c>
      <c r="AD263" s="18" t="s">
        <v>329</v>
      </c>
      <c r="AE263" s="18">
        <v>80</v>
      </c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 t="s">
        <v>339</v>
      </c>
      <c r="AZ263" s="18">
        <v>11700</v>
      </c>
      <c r="BA263" s="18" t="s">
        <v>395</v>
      </c>
      <c r="BB263" s="18" t="s">
        <v>402</v>
      </c>
      <c r="BC263" s="18">
        <v>10000</v>
      </c>
      <c r="BD263" s="18">
        <v>0</v>
      </c>
      <c r="BE263" s="18" t="s">
        <v>332</v>
      </c>
      <c r="BF263" s="18">
        <v>0</v>
      </c>
      <c r="BG263" s="18"/>
      <c r="BH263" s="18"/>
      <c r="BI263" s="18"/>
      <c r="BJ263" s="18"/>
      <c r="BK263" s="18"/>
      <c r="BL263" s="18"/>
      <c r="BM263" s="18">
        <v>21002007</v>
      </c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>
        <v>200</v>
      </c>
      <c r="GS263" s="18">
        <v>400</v>
      </c>
      <c r="GT263" s="18" t="s">
        <v>356</v>
      </c>
      <c r="GU263" s="18">
        <v>30053</v>
      </c>
      <c r="GV263" s="18" t="s">
        <v>339</v>
      </c>
      <c r="GW263" s="18" t="s">
        <v>339</v>
      </c>
      <c r="GX263" s="18" t="b">
        <v>1</v>
      </c>
      <c r="GY263" s="18">
        <v>12000</v>
      </c>
      <c r="GZ263" s="18" t="b">
        <v>0</v>
      </c>
      <c r="HA263" s="18">
        <v>0</v>
      </c>
      <c r="HB263" s="18">
        <v>0</v>
      </c>
      <c r="HC263" s="18">
        <v>0</v>
      </c>
      <c r="HD263" s="18">
        <v>0</v>
      </c>
      <c r="HE263" s="18" t="b">
        <v>0</v>
      </c>
      <c r="HF263" s="18">
        <v>0</v>
      </c>
      <c r="HG263" s="18">
        <v>10001</v>
      </c>
      <c r="HH263" s="18" t="s">
        <v>339</v>
      </c>
      <c r="HI263" s="18" t="s">
        <v>334</v>
      </c>
      <c r="HJ263" s="18">
        <v>0</v>
      </c>
      <c r="HK263" s="18">
        <v>0</v>
      </c>
      <c r="HL263" s="18">
        <v>0</v>
      </c>
      <c r="HM263" s="18">
        <v>0</v>
      </c>
      <c r="HN263" s="18" t="b">
        <v>0</v>
      </c>
    </row>
    <row r="264" spans="1:222">
      <c r="A264"/>
      <c r="B264" s="29" cm="1">
        <f t="array" ref="B264">10000000+INDEX(编号表!$B$1:$B$112,MATCH(D264,编号表!$A$1:$A$112,0))*10000+I264</f>
        <v>10260008</v>
      </c>
      <c r="C264" s="18" t="s">
        <v>413</v>
      </c>
      <c r="D264" s="18" t="s">
        <v>413</v>
      </c>
      <c r="E264" s="18" t="s">
        <v>322</v>
      </c>
      <c r="F264" s="18" t="s">
        <v>361</v>
      </c>
      <c r="G264" s="18" t="b">
        <v>0</v>
      </c>
      <c r="H264" s="18" t="b">
        <v>0</v>
      </c>
      <c r="I264" s="18">
        <v>8</v>
      </c>
      <c r="J264" s="18">
        <v>102600</v>
      </c>
      <c r="K264" s="18" t="s">
        <v>324</v>
      </c>
      <c r="L264" s="18">
        <v>10260007</v>
      </c>
      <c r="M264" s="18">
        <v>10260009</v>
      </c>
      <c r="N264" s="18" t="s">
        <v>414</v>
      </c>
      <c r="O264" s="18">
        <v>10202025</v>
      </c>
      <c r="P264" s="18">
        <v>0</v>
      </c>
      <c r="Q264" s="18">
        <v>3</v>
      </c>
      <c r="R264" s="18">
        <v>35</v>
      </c>
      <c r="S264" s="18">
        <v>0</v>
      </c>
      <c r="T264" s="18">
        <v>100</v>
      </c>
      <c r="U264" s="18" t="s">
        <v>338</v>
      </c>
      <c r="V264" s="18">
        <v>0</v>
      </c>
      <c r="W264" s="18">
        <v>0</v>
      </c>
      <c r="X264" s="18" t="s">
        <v>334</v>
      </c>
      <c r="Y264" s="18" t="s">
        <v>378</v>
      </c>
      <c r="Z264" s="18" t="s">
        <v>402</v>
      </c>
      <c r="AA264" s="18">
        <v>1</v>
      </c>
      <c r="AB264" s="18">
        <v>0</v>
      </c>
      <c r="AC264" s="18" t="b">
        <v>1</v>
      </c>
      <c r="AD264" s="18" t="s">
        <v>329</v>
      </c>
      <c r="AE264" s="18">
        <v>80</v>
      </c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 t="s">
        <v>339</v>
      </c>
      <c r="AZ264" s="18">
        <v>11800</v>
      </c>
      <c r="BA264" s="18" t="s">
        <v>395</v>
      </c>
      <c r="BB264" s="18" t="s">
        <v>402</v>
      </c>
      <c r="BC264" s="18">
        <v>10000</v>
      </c>
      <c r="BD264" s="18">
        <v>0</v>
      </c>
      <c r="BE264" s="18" t="s">
        <v>332</v>
      </c>
      <c r="BF264" s="18">
        <v>0</v>
      </c>
      <c r="BG264" s="18"/>
      <c r="BH264" s="18"/>
      <c r="BI264" s="18"/>
      <c r="BJ264" s="18"/>
      <c r="BK264" s="18"/>
      <c r="BL264" s="18"/>
      <c r="BM264" s="18">
        <v>21002008</v>
      </c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>
        <v>200</v>
      </c>
      <c r="GS264" s="18">
        <v>400</v>
      </c>
      <c r="GT264" s="18" t="s">
        <v>356</v>
      </c>
      <c r="GU264" s="18">
        <v>30053</v>
      </c>
      <c r="GV264" s="18" t="s">
        <v>339</v>
      </c>
      <c r="GW264" s="18" t="s">
        <v>339</v>
      </c>
      <c r="GX264" s="18" t="b">
        <v>1</v>
      </c>
      <c r="GY264" s="18">
        <v>12000</v>
      </c>
      <c r="GZ264" s="18" t="b">
        <v>0</v>
      </c>
      <c r="HA264" s="18">
        <v>0</v>
      </c>
      <c r="HB264" s="18">
        <v>0</v>
      </c>
      <c r="HC264" s="18">
        <v>0</v>
      </c>
      <c r="HD264" s="18">
        <v>0</v>
      </c>
      <c r="HE264" s="18" t="b">
        <v>0</v>
      </c>
      <c r="HF264" s="18">
        <v>0</v>
      </c>
      <c r="HG264" s="18">
        <v>10001</v>
      </c>
      <c r="HH264" s="18" t="s">
        <v>339</v>
      </c>
      <c r="HI264" s="18" t="s">
        <v>334</v>
      </c>
      <c r="HJ264" s="18">
        <v>0</v>
      </c>
      <c r="HK264" s="18">
        <v>0</v>
      </c>
      <c r="HL264" s="18">
        <v>0</v>
      </c>
      <c r="HM264" s="18">
        <v>0</v>
      </c>
      <c r="HN264" s="18" t="b">
        <v>0</v>
      </c>
    </row>
    <row r="265" spans="1:222">
      <c r="A265"/>
      <c r="B265" s="29" cm="1">
        <f t="array" ref="B265">10000000+INDEX(编号表!$B$1:$B$112,MATCH(D265,编号表!$A$1:$A$112,0))*10000+I265</f>
        <v>10260009</v>
      </c>
      <c r="C265" s="18" t="s">
        <v>413</v>
      </c>
      <c r="D265" s="18" t="s">
        <v>413</v>
      </c>
      <c r="E265" s="18" t="s">
        <v>322</v>
      </c>
      <c r="F265" s="18" t="s">
        <v>361</v>
      </c>
      <c r="G265" s="18" t="b">
        <v>0</v>
      </c>
      <c r="H265" s="18" t="b">
        <v>0</v>
      </c>
      <c r="I265" s="18">
        <v>9</v>
      </c>
      <c r="J265" s="18">
        <v>102600</v>
      </c>
      <c r="K265" s="18" t="s">
        <v>324</v>
      </c>
      <c r="L265" s="18">
        <v>10260008</v>
      </c>
      <c r="M265" s="18">
        <v>10260010</v>
      </c>
      <c r="N265" s="18" t="s">
        <v>414</v>
      </c>
      <c r="O265" s="18">
        <v>10202025</v>
      </c>
      <c r="P265" s="18">
        <v>0</v>
      </c>
      <c r="Q265" s="18">
        <v>3</v>
      </c>
      <c r="R265" s="18">
        <v>40</v>
      </c>
      <c r="S265" s="18">
        <v>0</v>
      </c>
      <c r="T265" s="18">
        <v>100</v>
      </c>
      <c r="U265" s="18" t="s">
        <v>338</v>
      </c>
      <c r="V265" s="18">
        <v>0</v>
      </c>
      <c r="W265" s="18">
        <v>0</v>
      </c>
      <c r="X265" s="18" t="s">
        <v>334</v>
      </c>
      <c r="Y265" s="18" t="s">
        <v>378</v>
      </c>
      <c r="Z265" s="18" t="s">
        <v>402</v>
      </c>
      <c r="AA265" s="18">
        <v>1</v>
      </c>
      <c r="AB265" s="18">
        <v>0</v>
      </c>
      <c r="AC265" s="18" t="b">
        <v>1</v>
      </c>
      <c r="AD265" s="18" t="s">
        <v>329</v>
      </c>
      <c r="AE265" s="18">
        <v>80</v>
      </c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 t="s">
        <v>339</v>
      </c>
      <c r="AZ265" s="18">
        <v>11900</v>
      </c>
      <c r="BA265" s="18" t="s">
        <v>395</v>
      </c>
      <c r="BB265" s="18" t="s">
        <v>402</v>
      </c>
      <c r="BC265" s="18">
        <v>10000</v>
      </c>
      <c r="BD265" s="18">
        <v>0</v>
      </c>
      <c r="BE265" s="18" t="s">
        <v>332</v>
      </c>
      <c r="BF265" s="18">
        <v>0</v>
      </c>
      <c r="BG265" s="18"/>
      <c r="BH265" s="18"/>
      <c r="BI265" s="18"/>
      <c r="BJ265" s="18"/>
      <c r="BK265" s="18"/>
      <c r="BL265" s="18"/>
      <c r="BM265" s="18">
        <v>21002009</v>
      </c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>
        <v>200</v>
      </c>
      <c r="GS265" s="18">
        <v>400</v>
      </c>
      <c r="GT265" s="18" t="s">
        <v>356</v>
      </c>
      <c r="GU265" s="18">
        <v>30053</v>
      </c>
      <c r="GV265" s="18" t="s">
        <v>339</v>
      </c>
      <c r="GW265" s="18" t="s">
        <v>339</v>
      </c>
      <c r="GX265" s="18" t="b">
        <v>1</v>
      </c>
      <c r="GY265" s="18">
        <v>12000</v>
      </c>
      <c r="GZ265" s="18" t="b">
        <v>0</v>
      </c>
      <c r="HA265" s="18">
        <v>0</v>
      </c>
      <c r="HB265" s="18">
        <v>0</v>
      </c>
      <c r="HC265" s="18">
        <v>0</v>
      </c>
      <c r="HD265" s="18">
        <v>0</v>
      </c>
      <c r="HE265" s="18" t="b">
        <v>0</v>
      </c>
      <c r="HF265" s="18">
        <v>0</v>
      </c>
      <c r="HG265" s="18">
        <v>10001</v>
      </c>
      <c r="HH265" s="18" t="s">
        <v>339</v>
      </c>
      <c r="HI265" s="18" t="s">
        <v>334</v>
      </c>
      <c r="HJ265" s="18">
        <v>0</v>
      </c>
      <c r="HK265" s="18">
        <v>0</v>
      </c>
      <c r="HL265" s="18">
        <v>0</v>
      </c>
      <c r="HM265" s="18">
        <v>0</v>
      </c>
      <c r="HN265" s="18" t="b">
        <v>0</v>
      </c>
    </row>
    <row r="266" spans="1:222">
      <c r="A266"/>
      <c r="B266" s="29" cm="1">
        <f t="array" ref="B266">10000000+INDEX(编号表!$B$1:$B$112,MATCH(D266,编号表!$A$1:$A$112,0))*10000+I266</f>
        <v>10260010</v>
      </c>
      <c r="C266" s="18" t="s">
        <v>413</v>
      </c>
      <c r="D266" s="18" t="s">
        <v>413</v>
      </c>
      <c r="E266" s="18" t="s">
        <v>322</v>
      </c>
      <c r="F266" s="18" t="s">
        <v>361</v>
      </c>
      <c r="G266" s="18" t="b">
        <v>0</v>
      </c>
      <c r="H266" s="18" t="b">
        <v>0</v>
      </c>
      <c r="I266" s="18">
        <v>10</v>
      </c>
      <c r="J266" s="18">
        <v>102600</v>
      </c>
      <c r="K266" s="18" t="s">
        <v>324</v>
      </c>
      <c r="L266" s="18">
        <v>10260009</v>
      </c>
      <c r="M266" s="18">
        <v>0</v>
      </c>
      <c r="N266" s="18" t="s">
        <v>414</v>
      </c>
      <c r="O266" s="18">
        <v>10202025</v>
      </c>
      <c r="P266" s="18">
        <v>0</v>
      </c>
      <c r="Q266" s="18">
        <v>3</v>
      </c>
      <c r="R266" s="18">
        <v>40</v>
      </c>
      <c r="S266" s="18">
        <v>0</v>
      </c>
      <c r="T266" s="18">
        <v>0</v>
      </c>
      <c r="U266" s="18" t="s">
        <v>338</v>
      </c>
      <c r="V266" s="18">
        <v>0</v>
      </c>
      <c r="W266" s="18">
        <v>0</v>
      </c>
      <c r="X266" s="18" t="s">
        <v>334</v>
      </c>
      <c r="Y266" s="18" t="s">
        <v>378</v>
      </c>
      <c r="Z266" s="18" t="s">
        <v>402</v>
      </c>
      <c r="AA266" s="18">
        <v>1</v>
      </c>
      <c r="AB266" s="18">
        <v>0</v>
      </c>
      <c r="AC266" s="18" t="b">
        <v>1</v>
      </c>
      <c r="AD266" s="18" t="s">
        <v>329</v>
      </c>
      <c r="AE266" s="18">
        <v>80</v>
      </c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 t="s">
        <v>339</v>
      </c>
      <c r="AZ266" s="18">
        <v>12000</v>
      </c>
      <c r="BA266" s="18" t="s">
        <v>395</v>
      </c>
      <c r="BB266" s="18" t="s">
        <v>402</v>
      </c>
      <c r="BC266" s="18">
        <v>10000</v>
      </c>
      <c r="BD266" s="18">
        <v>0</v>
      </c>
      <c r="BE266" s="18" t="s">
        <v>332</v>
      </c>
      <c r="BF266" s="18">
        <v>0</v>
      </c>
      <c r="BG266" s="18"/>
      <c r="BH266" s="18"/>
      <c r="BI266" s="18"/>
      <c r="BJ266" s="18"/>
      <c r="BK266" s="18"/>
      <c r="BL266" s="18"/>
      <c r="BM266" s="18">
        <v>21002010</v>
      </c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>
        <v>200</v>
      </c>
      <c r="GS266" s="18">
        <v>400</v>
      </c>
      <c r="GT266" s="18" t="s">
        <v>356</v>
      </c>
      <c r="GU266" s="18">
        <v>30053</v>
      </c>
      <c r="GV266" s="18" t="s">
        <v>339</v>
      </c>
      <c r="GW266" s="18" t="s">
        <v>339</v>
      </c>
      <c r="GX266" s="18" t="b">
        <v>1</v>
      </c>
      <c r="GY266" s="18">
        <v>12000</v>
      </c>
      <c r="GZ266" s="18" t="b">
        <v>0</v>
      </c>
      <c r="HA266" s="18">
        <v>0</v>
      </c>
      <c r="HB266" s="18">
        <v>0</v>
      </c>
      <c r="HC266" s="18">
        <v>0</v>
      </c>
      <c r="HD266" s="18">
        <v>0</v>
      </c>
      <c r="HE266" s="18" t="b">
        <v>0</v>
      </c>
      <c r="HF266" s="18">
        <v>0</v>
      </c>
      <c r="HG266" s="18">
        <v>10001</v>
      </c>
      <c r="HH266" s="18" t="s">
        <v>339</v>
      </c>
      <c r="HI266" s="18" t="s">
        <v>334</v>
      </c>
      <c r="HJ266" s="18">
        <v>0</v>
      </c>
      <c r="HK266" s="18">
        <v>0</v>
      </c>
      <c r="HL266" s="18">
        <v>0</v>
      </c>
      <c r="HM266" s="18">
        <v>0</v>
      </c>
      <c r="HN266" s="18" t="b">
        <v>0</v>
      </c>
    </row>
    <row r="267" spans="1:222">
      <c r="A267"/>
      <c r="B267" s="29" cm="1">
        <f t="array" ref="B267">10000000+INDEX(编号表!$B$1:$B$112,MATCH(D267,编号表!$A$1:$A$112,0))*10000+I267</f>
        <v>10270001</v>
      </c>
      <c r="C267" s="18" t="s">
        <v>415</v>
      </c>
      <c r="D267" s="18" t="s">
        <v>415</v>
      </c>
      <c r="E267" s="18" t="s">
        <v>322</v>
      </c>
      <c r="F267" s="18" t="s">
        <v>370</v>
      </c>
      <c r="G267" s="18" t="b">
        <v>0</v>
      </c>
      <c r="H267" s="18" t="b">
        <v>0</v>
      </c>
      <c r="I267" s="18">
        <v>1</v>
      </c>
      <c r="J267" s="18">
        <v>102700</v>
      </c>
      <c r="K267" s="18" t="s">
        <v>324</v>
      </c>
      <c r="L267" s="18">
        <v>0</v>
      </c>
      <c r="M267" s="18">
        <v>10270002</v>
      </c>
      <c r="N267" s="18" t="s">
        <v>416</v>
      </c>
      <c r="O267" s="18">
        <v>10202026</v>
      </c>
      <c r="P267" s="18">
        <v>0</v>
      </c>
      <c r="Q267" s="18">
        <v>0</v>
      </c>
      <c r="R267" s="18">
        <v>1</v>
      </c>
      <c r="S267" s="18">
        <v>0</v>
      </c>
      <c r="T267" s="18">
        <v>100</v>
      </c>
      <c r="U267" s="18" t="s">
        <v>338</v>
      </c>
      <c r="V267" s="18">
        <v>0</v>
      </c>
      <c r="W267" s="18">
        <v>0</v>
      </c>
      <c r="X267" s="18" t="s">
        <v>334</v>
      </c>
      <c r="Y267" s="18" t="s">
        <v>378</v>
      </c>
      <c r="Z267" s="18" t="s">
        <v>402</v>
      </c>
      <c r="AA267" s="18">
        <v>1</v>
      </c>
      <c r="AB267" s="18">
        <v>0</v>
      </c>
      <c r="AC267" s="18" t="b">
        <v>1</v>
      </c>
      <c r="AD267" s="18" t="s">
        <v>329</v>
      </c>
      <c r="AE267" s="18">
        <v>80</v>
      </c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 t="s">
        <v>339</v>
      </c>
      <c r="AZ267" s="18">
        <v>10000</v>
      </c>
      <c r="BA267" s="18" t="s">
        <v>395</v>
      </c>
      <c r="BB267" s="18" t="s">
        <v>402</v>
      </c>
      <c r="BC267" s="18">
        <v>10000</v>
      </c>
      <c r="BD267" s="18">
        <v>0</v>
      </c>
      <c r="BE267" s="18" t="s">
        <v>332</v>
      </c>
      <c r="BF267" s="18">
        <v>0</v>
      </c>
      <c r="BG267" s="18"/>
      <c r="BH267" s="18"/>
      <c r="BI267" s="18"/>
      <c r="BJ267" s="18"/>
      <c r="BK267" s="18"/>
      <c r="BL267" s="18"/>
      <c r="BM267" s="18">
        <v>21002201</v>
      </c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>
        <v>200</v>
      </c>
      <c r="GS267" s="18">
        <v>400</v>
      </c>
      <c r="GT267" s="18" t="s">
        <v>356</v>
      </c>
      <c r="GU267" s="18">
        <v>30055</v>
      </c>
      <c r="GV267" s="18" t="s">
        <v>339</v>
      </c>
      <c r="GW267" s="18" t="s">
        <v>339</v>
      </c>
      <c r="GX267" s="18" t="b">
        <v>1</v>
      </c>
      <c r="GY267" s="18">
        <v>12000</v>
      </c>
      <c r="GZ267" s="18" t="b">
        <v>0</v>
      </c>
      <c r="HA267" s="18">
        <v>0</v>
      </c>
      <c r="HB267" s="18">
        <v>0</v>
      </c>
      <c r="HC267" s="18">
        <v>0</v>
      </c>
      <c r="HD267" s="18">
        <v>0</v>
      </c>
      <c r="HE267" s="18" t="b">
        <v>0</v>
      </c>
      <c r="HF267" s="18">
        <v>0</v>
      </c>
      <c r="HG267" s="18">
        <v>10001</v>
      </c>
      <c r="HH267" s="18" t="s">
        <v>339</v>
      </c>
      <c r="HI267" s="18" t="s">
        <v>334</v>
      </c>
      <c r="HJ267" s="18">
        <v>0</v>
      </c>
      <c r="HK267" s="18">
        <v>0</v>
      </c>
      <c r="HL267" s="18">
        <v>0</v>
      </c>
      <c r="HM267" s="18">
        <v>0</v>
      </c>
      <c r="HN267" s="18" t="b">
        <v>0</v>
      </c>
    </row>
    <row r="268" spans="1:222">
      <c r="A268"/>
      <c r="B268" s="29" cm="1">
        <f t="array" ref="B268">10000000+INDEX(编号表!$B$1:$B$112,MATCH(D268,编号表!$A$1:$A$112,0))*10000+I268</f>
        <v>10270002</v>
      </c>
      <c r="C268" s="18" t="s">
        <v>415</v>
      </c>
      <c r="D268" s="18" t="s">
        <v>415</v>
      </c>
      <c r="E268" s="18" t="s">
        <v>322</v>
      </c>
      <c r="F268" s="18" t="s">
        <v>370</v>
      </c>
      <c r="G268" s="18" t="b">
        <v>0</v>
      </c>
      <c r="H268" s="18" t="b">
        <v>0</v>
      </c>
      <c r="I268" s="18">
        <v>2</v>
      </c>
      <c r="J268" s="18">
        <v>102700</v>
      </c>
      <c r="K268" s="18" t="s">
        <v>324</v>
      </c>
      <c r="L268" s="18">
        <v>10270001</v>
      </c>
      <c r="M268" s="18">
        <v>10270003</v>
      </c>
      <c r="N268" s="18" t="s">
        <v>416</v>
      </c>
      <c r="O268" s="18">
        <v>10202026</v>
      </c>
      <c r="P268" s="18">
        <v>0</v>
      </c>
      <c r="Q268" s="18">
        <v>1</v>
      </c>
      <c r="R268" s="18">
        <v>7</v>
      </c>
      <c r="S268" s="18">
        <v>0</v>
      </c>
      <c r="T268" s="18">
        <v>100</v>
      </c>
      <c r="U268" s="18" t="s">
        <v>338</v>
      </c>
      <c r="V268" s="18">
        <v>0</v>
      </c>
      <c r="W268" s="18">
        <v>0</v>
      </c>
      <c r="X268" s="18" t="s">
        <v>334</v>
      </c>
      <c r="Y268" s="18" t="s">
        <v>378</v>
      </c>
      <c r="Z268" s="18" t="s">
        <v>402</v>
      </c>
      <c r="AA268" s="18">
        <v>1</v>
      </c>
      <c r="AB268" s="18">
        <v>0</v>
      </c>
      <c r="AC268" s="18" t="b">
        <v>1</v>
      </c>
      <c r="AD268" s="18" t="s">
        <v>329</v>
      </c>
      <c r="AE268" s="18">
        <v>80</v>
      </c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 t="s">
        <v>339</v>
      </c>
      <c r="AZ268" s="18">
        <v>10400</v>
      </c>
      <c r="BA268" s="18" t="s">
        <v>395</v>
      </c>
      <c r="BB268" s="18" t="s">
        <v>402</v>
      </c>
      <c r="BC268" s="18">
        <v>10000</v>
      </c>
      <c r="BD268" s="18">
        <v>0</v>
      </c>
      <c r="BE268" s="18" t="s">
        <v>332</v>
      </c>
      <c r="BF268" s="18">
        <v>0</v>
      </c>
      <c r="BG268" s="18"/>
      <c r="BH268" s="18"/>
      <c r="BI268" s="18"/>
      <c r="BJ268" s="18"/>
      <c r="BK268" s="18"/>
      <c r="BL268" s="18"/>
      <c r="BM268" s="18">
        <v>21002202</v>
      </c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>
        <v>200</v>
      </c>
      <c r="GS268" s="18">
        <v>400</v>
      </c>
      <c r="GT268" s="18" t="s">
        <v>356</v>
      </c>
      <c r="GU268" s="18">
        <v>30055</v>
      </c>
      <c r="GV268" s="18" t="s">
        <v>339</v>
      </c>
      <c r="GW268" s="18" t="s">
        <v>339</v>
      </c>
      <c r="GX268" s="18" t="b">
        <v>1</v>
      </c>
      <c r="GY268" s="18">
        <v>12000</v>
      </c>
      <c r="GZ268" s="18" t="b">
        <v>0</v>
      </c>
      <c r="HA268" s="18">
        <v>0</v>
      </c>
      <c r="HB268" s="18">
        <v>0</v>
      </c>
      <c r="HC268" s="18">
        <v>0</v>
      </c>
      <c r="HD268" s="18">
        <v>0</v>
      </c>
      <c r="HE268" s="18" t="b">
        <v>0</v>
      </c>
      <c r="HF268" s="18">
        <v>0</v>
      </c>
      <c r="HG268" s="18">
        <v>10001</v>
      </c>
      <c r="HH268" s="18" t="s">
        <v>339</v>
      </c>
      <c r="HI268" s="18" t="s">
        <v>334</v>
      </c>
      <c r="HJ268" s="18">
        <v>0</v>
      </c>
      <c r="HK268" s="18">
        <v>0</v>
      </c>
      <c r="HL268" s="18">
        <v>0</v>
      </c>
      <c r="HM268" s="18">
        <v>0</v>
      </c>
      <c r="HN268" s="18" t="b">
        <v>0</v>
      </c>
    </row>
    <row r="269" spans="1:222">
      <c r="A269"/>
      <c r="B269" s="29" cm="1">
        <f t="array" ref="B269">10000000+INDEX(编号表!$B$1:$B$112,MATCH(D269,编号表!$A$1:$A$112,0))*10000+I269</f>
        <v>10270003</v>
      </c>
      <c r="C269" s="18" t="s">
        <v>415</v>
      </c>
      <c r="D269" s="18" t="s">
        <v>415</v>
      </c>
      <c r="E269" s="18" t="s">
        <v>322</v>
      </c>
      <c r="F269" s="18" t="s">
        <v>370</v>
      </c>
      <c r="G269" s="18" t="b">
        <v>0</v>
      </c>
      <c r="H269" s="18" t="b">
        <v>0</v>
      </c>
      <c r="I269" s="18">
        <v>3</v>
      </c>
      <c r="J269" s="18">
        <v>102700</v>
      </c>
      <c r="K269" s="18" t="s">
        <v>324</v>
      </c>
      <c r="L269" s="18">
        <v>10270002</v>
      </c>
      <c r="M269" s="18">
        <v>10270004</v>
      </c>
      <c r="N269" s="18" t="s">
        <v>416</v>
      </c>
      <c r="O269" s="18">
        <v>10202026</v>
      </c>
      <c r="P269" s="18">
        <v>0</v>
      </c>
      <c r="Q269" s="18">
        <v>2</v>
      </c>
      <c r="R269" s="18">
        <v>11</v>
      </c>
      <c r="S269" s="18">
        <v>0</v>
      </c>
      <c r="T269" s="18">
        <v>100</v>
      </c>
      <c r="U269" s="18" t="s">
        <v>338</v>
      </c>
      <c r="V269" s="18">
        <v>0</v>
      </c>
      <c r="W269" s="18">
        <v>0</v>
      </c>
      <c r="X269" s="18" t="s">
        <v>334</v>
      </c>
      <c r="Y269" s="18" t="s">
        <v>378</v>
      </c>
      <c r="Z269" s="18" t="s">
        <v>402</v>
      </c>
      <c r="AA269" s="18">
        <v>1</v>
      </c>
      <c r="AB269" s="18">
        <v>0</v>
      </c>
      <c r="AC269" s="18" t="b">
        <v>1</v>
      </c>
      <c r="AD269" s="18" t="s">
        <v>329</v>
      </c>
      <c r="AE269" s="18">
        <v>80</v>
      </c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 t="s">
        <v>339</v>
      </c>
      <c r="AZ269" s="18">
        <v>10800</v>
      </c>
      <c r="BA269" s="18" t="s">
        <v>395</v>
      </c>
      <c r="BB269" s="18" t="s">
        <v>402</v>
      </c>
      <c r="BC269" s="18">
        <v>10000</v>
      </c>
      <c r="BD269" s="18">
        <v>0</v>
      </c>
      <c r="BE269" s="18" t="s">
        <v>332</v>
      </c>
      <c r="BF269" s="18">
        <v>0</v>
      </c>
      <c r="BG269" s="18"/>
      <c r="BH269" s="18"/>
      <c r="BI269" s="18"/>
      <c r="BJ269" s="18"/>
      <c r="BK269" s="18"/>
      <c r="BL269" s="18"/>
      <c r="BM269" s="18">
        <v>21002203</v>
      </c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>
        <v>200</v>
      </c>
      <c r="GS269" s="18">
        <v>400</v>
      </c>
      <c r="GT269" s="18" t="s">
        <v>356</v>
      </c>
      <c r="GU269" s="18">
        <v>30055</v>
      </c>
      <c r="GV269" s="18" t="s">
        <v>339</v>
      </c>
      <c r="GW269" s="18" t="s">
        <v>339</v>
      </c>
      <c r="GX269" s="18" t="b">
        <v>1</v>
      </c>
      <c r="GY269" s="18">
        <v>12000</v>
      </c>
      <c r="GZ269" s="18" t="b">
        <v>0</v>
      </c>
      <c r="HA269" s="18">
        <v>0</v>
      </c>
      <c r="HB269" s="18">
        <v>0</v>
      </c>
      <c r="HC269" s="18">
        <v>0</v>
      </c>
      <c r="HD269" s="18">
        <v>0</v>
      </c>
      <c r="HE269" s="18" t="b">
        <v>0</v>
      </c>
      <c r="HF269" s="18">
        <v>0</v>
      </c>
      <c r="HG269" s="18">
        <v>10001</v>
      </c>
      <c r="HH269" s="18" t="s">
        <v>339</v>
      </c>
      <c r="HI269" s="18" t="s">
        <v>334</v>
      </c>
      <c r="HJ269" s="18">
        <v>0</v>
      </c>
      <c r="HK269" s="18">
        <v>0</v>
      </c>
      <c r="HL269" s="18">
        <v>0</v>
      </c>
      <c r="HM269" s="18">
        <v>0</v>
      </c>
      <c r="HN269" s="18" t="b">
        <v>0</v>
      </c>
    </row>
    <row r="270" spans="1:222">
      <c r="A270"/>
      <c r="B270" s="29" cm="1">
        <f t="array" ref="B270">10000000+INDEX(编号表!$B$1:$B$112,MATCH(D270,编号表!$A$1:$A$112,0))*10000+I270</f>
        <v>10270004</v>
      </c>
      <c r="C270" s="18" t="s">
        <v>415</v>
      </c>
      <c r="D270" s="18" t="s">
        <v>415</v>
      </c>
      <c r="E270" s="18" t="s">
        <v>322</v>
      </c>
      <c r="F270" s="18" t="s">
        <v>370</v>
      </c>
      <c r="G270" s="18" t="b">
        <v>0</v>
      </c>
      <c r="H270" s="18" t="b">
        <v>0</v>
      </c>
      <c r="I270" s="18">
        <v>4</v>
      </c>
      <c r="J270" s="18">
        <v>102700</v>
      </c>
      <c r="K270" s="18" t="s">
        <v>324</v>
      </c>
      <c r="L270" s="18">
        <v>10270003</v>
      </c>
      <c r="M270" s="18">
        <v>10270005</v>
      </c>
      <c r="N270" s="18" t="s">
        <v>416</v>
      </c>
      <c r="O270" s="18">
        <v>10202026</v>
      </c>
      <c r="P270" s="18">
        <v>0</v>
      </c>
      <c r="Q270" s="18">
        <v>3</v>
      </c>
      <c r="R270" s="18">
        <v>16</v>
      </c>
      <c r="S270" s="18">
        <v>0</v>
      </c>
      <c r="T270" s="18">
        <v>100</v>
      </c>
      <c r="U270" s="18" t="s">
        <v>338</v>
      </c>
      <c r="V270" s="18">
        <v>0</v>
      </c>
      <c r="W270" s="18">
        <v>0</v>
      </c>
      <c r="X270" s="18" t="s">
        <v>334</v>
      </c>
      <c r="Y270" s="18" t="s">
        <v>378</v>
      </c>
      <c r="Z270" s="18" t="s">
        <v>402</v>
      </c>
      <c r="AA270" s="18">
        <v>1</v>
      </c>
      <c r="AB270" s="18">
        <v>0</v>
      </c>
      <c r="AC270" s="18" t="b">
        <v>1</v>
      </c>
      <c r="AD270" s="18" t="s">
        <v>329</v>
      </c>
      <c r="AE270" s="18">
        <v>80</v>
      </c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 t="s">
        <v>339</v>
      </c>
      <c r="AZ270" s="18">
        <v>11200</v>
      </c>
      <c r="BA270" s="18" t="s">
        <v>395</v>
      </c>
      <c r="BB270" s="18" t="s">
        <v>402</v>
      </c>
      <c r="BC270" s="18">
        <v>10000</v>
      </c>
      <c r="BD270" s="18">
        <v>0</v>
      </c>
      <c r="BE270" s="18" t="s">
        <v>332</v>
      </c>
      <c r="BF270" s="18">
        <v>0</v>
      </c>
      <c r="BG270" s="18"/>
      <c r="BH270" s="18"/>
      <c r="BI270" s="18"/>
      <c r="BJ270" s="18"/>
      <c r="BK270" s="18"/>
      <c r="BL270" s="18"/>
      <c r="BM270" s="18">
        <v>21002204</v>
      </c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>
        <v>200</v>
      </c>
      <c r="GS270" s="18">
        <v>400</v>
      </c>
      <c r="GT270" s="18" t="s">
        <v>356</v>
      </c>
      <c r="GU270" s="18">
        <v>30055</v>
      </c>
      <c r="GV270" s="18" t="s">
        <v>339</v>
      </c>
      <c r="GW270" s="18" t="s">
        <v>339</v>
      </c>
      <c r="GX270" s="18" t="b">
        <v>1</v>
      </c>
      <c r="GY270" s="18">
        <v>12000</v>
      </c>
      <c r="GZ270" s="18" t="b">
        <v>0</v>
      </c>
      <c r="HA270" s="18">
        <v>0</v>
      </c>
      <c r="HB270" s="18">
        <v>0</v>
      </c>
      <c r="HC270" s="18">
        <v>0</v>
      </c>
      <c r="HD270" s="18">
        <v>0</v>
      </c>
      <c r="HE270" s="18" t="b">
        <v>0</v>
      </c>
      <c r="HF270" s="18">
        <v>0</v>
      </c>
      <c r="HG270" s="18">
        <v>10001</v>
      </c>
      <c r="HH270" s="18" t="s">
        <v>339</v>
      </c>
      <c r="HI270" s="18" t="s">
        <v>334</v>
      </c>
      <c r="HJ270" s="18">
        <v>0</v>
      </c>
      <c r="HK270" s="18">
        <v>0</v>
      </c>
      <c r="HL270" s="18">
        <v>0</v>
      </c>
      <c r="HM270" s="18">
        <v>0</v>
      </c>
      <c r="HN270" s="18" t="b">
        <v>0</v>
      </c>
    </row>
    <row r="271" spans="1:222">
      <c r="A271"/>
      <c r="B271" s="29" cm="1">
        <f t="array" ref="B271">10000000+INDEX(编号表!$B$1:$B$112,MATCH(D271,编号表!$A$1:$A$112,0))*10000+I271</f>
        <v>10270005</v>
      </c>
      <c r="C271" s="18" t="s">
        <v>415</v>
      </c>
      <c r="D271" s="18" t="s">
        <v>415</v>
      </c>
      <c r="E271" s="18" t="s">
        <v>322</v>
      </c>
      <c r="F271" s="18" t="s">
        <v>370</v>
      </c>
      <c r="G271" s="18" t="b">
        <v>0</v>
      </c>
      <c r="H271" s="18" t="b">
        <v>0</v>
      </c>
      <c r="I271" s="18">
        <v>5</v>
      </c>
      <c r="J271" s="18">
        <v>102700</v>
      </c>
      <c r="K271" s="18" t="s">
        <v>324</v>
      </c>
      <c r="L271" s="18">
        <v>10270004</v>
      </c>
      <c r="M271" s="18">
        <v>10270006</v>
      </c>
      <c r="N271" s="18" t="s">
        <v>416</v>
      </c>
      <c r="O271" s="18">
        <v>10202026</v>
      </c>
      <c r="P271" s="18">
        <v>0</v>
      </c>
      <c r="Q271" s="18">
        <v>3</v>
      </c>
      <c r="R271" s="18">
        <v>25</v>
      </c>
      <c r="S271" s="18">
        <v>0</v>
      </c>
      <c r="T271" s="18">
        <v>100</v>
      </c>
      <c r="U271" s="18" t="s">
        <v>338</v>
      </c>
      <c r="V271" s="18">
        <v>0</v>
      </c>
      <c r="W271" s="18">
        <v>0</v>
      </c>
      <c r="X271" s="18" t="s">
        <v>334</v>
      </c>
      <c r="Y271" s="18" t="s">
        <v>378</v>
      </c>
      <c r="Z271" s="18" t="s">
        <v>402</v>
      </c>
      <c r="AA271" s="18">
        <v>1</v>
      </c>
      <c r="AB271" s="18">
        <v>0</v>
      </c>
      <c r="AC271" s="18" t="b">
        <v>1</v>
      </c>
      <c r="AD271" s="18" t="s">
        <v>329</v>
      </c>
      <c r="AE271" s="18">
        <v>80</v>
      </c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 t="s">
        <v>339</v>
      </c>
      <c r="AZ271" s="18">
        <v>11300</v>
      </c>
      <c r="BA271" s="18" t="s">
        <v>395</v>
      </c>
      <c r="BB271" s="18" t="s">
        <v>402</v>
      </c>
      <c r="BC271" s="18">
        <v>10000</v>
      </c>
      <c r="BD271" s="18">
        <v>0</v>
      </c>
      <c r="BE271" s="18" t="s">
        <v>332</v>
      </c>
      <c r="BF271" s="18">
        <v>0</v>
      </c>
      <c r="BG271" s="18"/>
      <c r="BH271" s="18"/>
      <c r="BI271" s="18"/>
      <c r="BJ271" s="18"/>
      <c r="BK271" s="18"/>
      <c r="BL271" s="18"/>
      <c r="BM271" s="18">
        <v>21002205</v>
      </c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>
        <v>200</v>
      </c>
      <c r="GS271" s="18">
        <v>400</v>
      </c>
      <c r="GT271" s="18" t="s">
        <v>356</v>
      </c>
      <c r="GU271" s="18">
        <v>30055</v>
      </c>
      <c r="GV271" s="18" t="s">
        <v>339</v>
      </c>
      <c r="GW271" s="18" t="s">
        <v>339</v>
      </c>
      <c r="GX271" s="18" t="b">
        <v>1</v>
      </c>
      <c r="GY271" s="18">
        <v>12000</v>
      </c>
      <c r="GZ271" s="18" t="b">
        <v>0</v>
      </c>
      <c r="HA271" s="18">
        <v>0</v>
      </c>
      <c r="HB271" s="18">
        <v>0</v>
      </c>
      <c r="HC271" s="18">
        <v>0</v>
      </c>
      <c r="HD271" s="18">
        <v>0</v>
      </c>
      <c r="HE271" s="18" t="b">
        <v>0</v>
      </c>
      <c r="HF271" s="18">
        <v>0</v>
      </c>
      <c r="HG271" s="18">
        <v>10001</v>
      </c>
      <c r="HH271" s="18" t="s">
        <v>339</v>
      </c>
      <c r="HI271" s="18" t="s">
        <v>334</v>
      </c>
      <c r="HJ271" s="18">
        <v>0</v>
      </c>
      <c r="HK271" s="18">
        <v>0</v>
      </c>
      <c r="HL271" s="18">
        <v>0</v>
      </c>
      <c r="HM271" s="18">
        <v>0</v>
      </c>
      <c r="HN271" s="18" t="b">
        <v>0</v>
      </c>
    </row>
    <row r="272" spans="1:222">
      <c r="A272"/>
      <c r="B272" s="29" cm="1">
        <f t="array" ref="B272">10000000+INDEX(编号表!$B$1:$B$112,MATCH(D272,编号表!$A$1:$A$112,0))*10000+I272</f>
        <v>10270006</v>
      </c>
      <c r="C272" s="18" t="s">
        <v>415</v>
      </c>
      <c r="D272" s="18" t="s">
        <v>415</v>
      </c>
      <c r="E272" s="18" t="s">
        <v>322</v>
      </c>
      <c r="F272" s="18" t="s">
        <v>370</v>
      </c>
      <c r="G272" s="18" t="b">
        <v>0</v>
      </c>
      <c r="H272" s="18" t="b">
        <v>0</v>
      </c>
      <c r="I272" s="18">
        <v>6</v>
      </c>
      <c r="J272" s="18">
        <v>102700</v>
      </c>
      <c r="K272" s="18" t="s">
        <v>324</v>
      </c>
      <c r="L272" s="18">
        <v>10270005</v>
      </c>
      <c r="M272" s="18">
        <v>10270007</v>
      </c>
      <c r="N272" s="18" t="s">
        <v>416</v>
      </c>
      <c r="O272" s="18">
        <v>10202026</v>
      </c>
      <c r="P272" s="18">
        <v>0</v>
      </c>
      <c r="Q272" s="18">
        <v>3</v>
      </c>
      <c r="R272" s="18">
        <v>30</v>
      </c>
      <c r="S272" s="18">
        <v>0</v>
      </c>
      <c r="T272" s="18">
        <v>100</v>
      </c>
      <c r="U272" s="18" t="s">
        <v>338</v>
      </c>
      <c r="V272" s="18">
        <v>0</v>
      </c>
      <c r="W272" s="18">
        <v>0</v>
      </c>
      <c r="X272" s="18" t="s">
        <v>334</v>
      </c>
      <c r="Y272" s="18" t="s">
        <v>378</v>
      </c>
      <c r="Z272" s="18" t="s">
        <v>402</v>
      </c>
      <c r="AA272" s="18">
        <v>1</v>
      </c>
      <c r="AB272" s="18">
        <v>0</v>
      </c>
      <c r="AC272" s="18" t="b">
        <v>1</v>
      </c>
      <c r="AD272" s="18" t="s">
        <v>329</v>
      </c>
      <c r="AE272" s="18">
        <v>80</v>
      </c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 t="s">
        <v>339</v>
      </c>
      <c r="AZ272" s="18">
        <v>11600</v>
      </c>
      <c r="BA272" s="18" t="s">
        <v>395</v>
      </c>
      <c r="BB272" s="18" t="s">
        <v>402</v>
      </c>
      <c r="BC272" s="18">
        <v>10000</v>
      </c>
      <c r="BD272" s="18">
        <v>0</v>
      </c>
      <c r="BE272" s="18" t="s">
        <v>332</v>
      </c>
      <c r="BF272" s="18">
        <v>0</v>
      </c>
      <c r="BG272" s="18"/>
      <c r="BH272" s="18"/>
      <c r="BI272" s="18"/>
      <c r="BJ272" s="18"/>
      <c r="BK272" s="18"/>
      <c r="BL272" s="18"/>
      <c r="BM272" s="18">
        <v>21002206</v>
      </c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>
        <v>200</v>
      </c>
      <c r="GS272" s="18">
        <v>400</v>
      </c>
      <c r="GT272" s="18" t="s">
        <v>356</v>
      </c>
      <c r="GU272" s="18">
        <v>30055</v>
      </c>
      <c r="GV272" s="18" t="s">
        <v>339</v>
      </c>
      <c r="GW272" s="18" t="s">
        <v>339</v>
      </c>
      <c r="GX272" s="18" t="b">
        <v>1</v>
      </c>
      <c r="GY272" s="18">
        <v>12000</v>
      </c>
      <c r="GZ272" s="18" t="b">
        <v>0</v>
      </c>
      <c r="HA272" s="18">
        <v>0</v>
      </c>
      <c r="HB272" s="18">
        <v>0</v>
      </c>
      <c r="HC272" s="18">
        <v>0</v>
      </c>
      <c r="HD272" s="18">
        <v>0</v>
      </c>
      <c r="HE272" s="18" t="b">
        <v>0</v>
      </c>
      <c r="HF272" s="18">
        <v>0</v>
      </c>
      <c r="HG272" s="18">
        <v>10001</v>
      </c>
      <c r="HH272" s="18" t="s">
        <v>339</v>
      </c>
      <c r="HI272" s="18" t="s">
        <v>334</v>
      </c>
      <c r="HJ272" s="18">
        <v>0</v>
      </c>
      <c r="HK272" s="18">
        <v>0</v>
      </c>
      <c r="HL272" s="18">
        <v>0</v>
      </c>
      <c r="HM272" s="18">
        <v>0</v>
      </c>
      <c r="HN272" s="18" t="b">
        <v>0</v>
      </c>
    </row>
    <row r="273" spans="1:222">
      <c r="A273"/>
      <c r="B273" s="29" cm="1">
        <f t="array" ref="B273">10000000+INDEX(编号表!$B$1:$B$112,MATCH(D273,编号表!$A$1:$A$112,0))*10000+I273</f>
        <v>10270007</v>
      </c>
      <c r="C273" s="18" t="s">
        <v>415</v>
      </c>
      <c r="D273" s="18" t="s">
        <v>415</v>
      </c>
      <c r="E273" s="18" t="s">
        <v>322</v>
      </c>
      <c r="F273" s="18" t="s">
        <v>370</v>
      </c>
      <c r="G273" s="18" t="b">
        <v>0</v>
      </c>
      <c r="H273" s="18" t="b">
        <v>0</v>
      </c>
      <c r="I273" s="18">
        <v>7</v>
      </c>
      <c r="J273" s="18">
        <v>102700</v>
      </c>
      <c r="K273" s="18" t="s">
        <v>324</v>
      </c>
      <c r="L273" s="18">
        <v>10270006</v>
      </c>
      <c r="M273" s="18">
        <v>10270008</v>
      </c>
      <c r="N273" s="18" t="s">
        <v>416</v>
      </c>
      <c r="O273" s="18">
        <v>10202026</v>
      </c>
      <c r="P273" s="18">
        <v>0</v>
      </c>
      <c r="Q273" s="18">
        <v>3</v>
      </c>
      <c r="R273" s="18">
        <v>35</v>
      </c>
      <c r="S273" s="18">
        <v>0</v>
      </c>
      <c r="T273" s="18">
        <v>100</v>
      </c>
      <c r="U273" s="18" t="s">
        <v>338</v>
      </c>
      <c r="V273" s="18">
        <v>0</v>
      </c>
      <c r="W273" s="18">
        <v>0</v>
      </c>
      <c r="X273" s="18" t="s">
        <v>334</v>
      </c>
      <c r="Y273" s="18" t="s">
        <v>378</v>
      </c>
      <c r="Z273" s="18" t="s">
        <v>402</v>
      </c>
      <c r="AA273" s="18">
        <v>1</v>
      </c>
      <c r="AB273" s="18">
        <v>0</v>
      </c>
      <c r="AC273" s="18" t="b">
        <v>1</v>
      </c>
      <c r="AD273" s="18" t="s">
        <v>329</v>
      </c>
      <c r="AE273" s="18">
        <v>80</v>
      </c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 t="s">
        <v>339</v>
      </c>
      <c r="AZ273" s="18">
        <v>11700</v>
      </c>
      <c r="BA273" s="18" t="s">
        <v>395</v>
      </c>
      <c r="BB273" s="18" t="s">
        <v>402</v>
      </c>
      <c r="BC273" s="18">
        <v>10000</v>
      </c>
      <c r="BD273" s="18">
        <v>0</v>
      </c>
      <c r="BE273" s="18" t="s">
        <v>332</v>
      </c>
      <c r="BF273" s="18">
        <v>0</v>
      </c>
      <c r="BG273" s="18"/>
      <c r="BH273" s="18"/>
      <c r="BI273" s="18"/>
      <c r="BJ273" s="18"/>
      <c r="BK273" s="18"/>
      <c r="BL273" s="18"/>
      <c r="BM273" s="18">
        <v>21002207</v>
      </c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>
        <v>200</v>
      </c>
      <c r="GS273" s="18">
        <v>400</v>
      </c>
      <c r="GT273" s="18" t="s">
        <v>356</v>
      </c>
      <c r="GU273" s="18">
        <v>30055</v>
      </c>
      <c r="GV273" s="18" t="s">
        <v>339</v>
      </c>
      <c r="GW273" s="18" t="s">
        <v>339</v>
      </c>
      <c r="GX273" s="18" t="b">
        <v>1</v>
      </c>
      <c r="GY273" s="18">
        <v>12000</v>
      </c>
      <c r="GZ273" s="18" t="b">
        <v>0</v>
      </c>
      <c r="HA273" s="18">
        <v>0</v>
      </c>
      <c r="HB273" s="18">
        <v>0</v>
      </c>
      <c r="HC273" s="18">
        <v>0</v>
      </c>
      <c r="HD273" s="18">
        <v>0</v>
      </c>
      <c r="HE273" s="18" t="b">
        <v>0</v>
      </c>
      <c r="HF273" s="18">
        <v>0</v>
      </c>
      <c r="HG273" s="18">
        <v>10001</v>
      </c>
      <c r="HH273" s="18" t="s">
        <v>339</v>
      </c>
      <c r="HI273" s="18" t="s">
        <v>334</v>
      </c>
      <c r="HJ273" s="18">
        <v>0</v>
      </c>
      <c r="HK273" s="18">
        <v>0</v>
      </c>
      <c r="HL273" s="18">
        <v>0</v>
      </c>
      <c r="HM273" s="18">
        <v>0</v>
      </c>
      <c r="HN273" s="18" t="b">
        <v>0</v>
      </c>
    </row>
    <row r="274" spans="1:222">
      <c r="A274"/>
      <c r="B274" s="29" cm="1">
        <f t="array" ref="B274">10000000+INDEX(编号表!$B$1:$B$112,MATCH(D274,编号表!$A$1:$A$112,0))*10000+I274</f>
        <v>10270008</v>
      </c>
      <c r="C274" s="18" t="s">
        <v>415</v>
      </c>
      <c r="D274" s="18" t="s">
        <v>415</v>
      </c>
      <c r="E274" s="18" t="s">
        <v>322</v>
      </c>
      <c r="F274" s="18" t="s">
        <v>370</v>
      </c>
      <c r="G274" s="18" t="b">
        <v>0</v>
      </c>
      <c r="H274" s="18" t="b">
        <v>0</v>
      </c>
      <c r="I274" s="18">
        <v>8</v>
      </c>
      <c r="J274" s="18">
        <v>102700</v>
      </c>
      <c r="K274" s="18" t="s">
        <v>324</v>
      </c>
      <c r="L274" s="18">
        <v>10270007</v>
      </c>
      <c r="M274" s="18">
        <v>10270009</v>
      </c>
      <c r="N274" s="18" t="s">
        <v>416</v>
      </c>
      <c r="O274" s="18">
        <v>10202026</v>
      </c>
      <c r="P274" s="18">
        <v>0</v>
      </c>
      <c r="Q274" s="18">
        <v>3</v>
      </c>
      <c r="R274" s="18">
        <v>35</v>
      </c>
      <c r="S274" s="18">
        <v>0</v>
      </c>
      <c r="T274" s="18">
        <v>100</v>
      </c>
      <c r="U274" s="18" t="s">
        <v>338</v>
      </c>
      <c r="V274" s="18">
        <v>0</v>
      </c>
      <c r="W274" s="18">
        <v>0</v>
      </c>
      <c r="X274" s="18" t="s">
        <v>334</v>
      </c>
      <c r="Y274" s="18" t="s">
        <v>378</v>
      </c>
      <c r="Z274" s="18" t="s">
        <v>402</v>
      </c>
      <c r="AA274" s="18">
        <v>1</v>
      </c>
      <c r="AB274" s="18">
        <v>0</v>
      </c>
      <c r="AC274" s="18" t="b">
        <v>1</v>
      </c>
      <c r="AD274" s="18" t="s">
        <v>329</v>
      </c>
      <c r="AE274" s="18">
        <v>80</v>
      </c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 t="s">
        <v>339</v>
      </c>
      <c r="AZ274" s="18">
        <v>11800</v>
      </c>
      <c r="BA274" s="18" t="s">
        <v>395</v>
      </c>
      <c r="BB274" s="18" t="s">
        <v>402</v>
      </c>
      <c r="BC274" s="18">
        <v>10000</v>
      </c>
      <c r="BD274" s="18">
        <v>0</v>
      </c>
      <c r="BE274" s="18" t="s">
        <v>332</v>
      </c>
      <c r="BF274" s="18">
        <v>0</v>
      </c>
      <c r="BG274" s="18"/>
      <c r="BH274" s="18"/>
      <c r="BI274" s="18"/>
      <c r="BJ274" s="18"/>
      <c r="BK274" s="18"/>
      <c r="BL274" s="18"/>
      <c r="BM274" s="18">
        <v>21002208</v>
      </c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>
        <v>200</v>
      </c>
      <c r="GS274" s="18">
        <v>400</v>
      </c>
      <c r="GT274" s="18" t="s">
        <v>356</v>
      </c>
      <c r="GU274" s="18">
        <v>30055</v>
      </c>
      <c r="GV274" s="18" t="s">
        <v>339</v>
      </c>
      <c r="GW274" s="18" t="s">
        <v>339</v>
      </c>
      <c r="GX274" s="18" t="b">
        <v>1</v>
      </c>
      <c r="GY274" s="18">
        <v>12000</v>
      </c>
      <c r="GZ274" s="18" t="b">
        <v>0</v>
      </c>
      <c r="HA274" s="18">
        <v>0</v>
      </c>
      <c r="HB274" s="18">
        <v>0</v>
      </c>
      <c r="HC274" s="18">
        <v>0</v>
      </c>
      <c r="HD274" s="18">
        <v>0</v>
      </c>
      <c r="HE274" s="18" t="b">
        <v>0</v>
      </c>
      <c r="HF274" s="18">
        <v>0</v>
      </c>
      <c r="HG274" s="18">
        <v>10001</v>
      </c>
      <c r="HH274" s="18" t="s">
        <v>339</v>
      </c>
      <c r="HI274" s="18" t="s">
        <v>334</v>
      </c>
      <c r="HJ274" s="18">
        <v>0</v>
      </c>
      <c r="HK274" s="18">
        <v>0</v>
      </c>
      <c r="HL274" s="18">
        <v>0</v>
      </c>
      <c r="HM274" s="18">
        <v>0</v>
      </c>
      <c r="HN274" s="18" t="b">
        <v>0</v>
      </c>
    </row>
    <row r="275" spans="1:222">
      <c r="A275"/>
      <c r="B275" s="29" cm="1">
        <f t="array" ref="B275">10000000+INDEX(编号表!$B$1:$B$112,MATCH(D275,编号表!$A$1:$A$112,0))*10000+I275</f>
        <v>10270009</v>
      </c>
      <c r="C275" s="18" t="s">
        <v>415</v>
      </c>
      <c r="D275" s="18" t="s">
        <v>415</v>
      </c>
      <c r="E275" s="18" t="s">
        <v>322</v>
      </c>
      <c r="F275" s="18" t="s">
        <v>370</v>
      </c>
      <c r="G275" s="18" t="b">
        <v>0</v>
      </c>
      <c r="H275" s="18" t="b">
        <v>0</v>
      </c>
      <c r="I275" s="18">
        <v>9</v>
      </c>
      <c r="J275" s="18">
        <v>102700</v>
      </c>
      <c r="K275" s="18" t="s">
        <v>324</v>
      </c>
      <c r="L275" s="18">
        <v>10270008</v>
      </c>
      <c r="M275" s="18">
        <v>10270010</v>
      </c>
      <c r="N275" s="18" t="s">
        <v>416</v>
      </c>
      <c r="O275" s="18">
        <v>10202026</v>
      </c>
      <c r="P275" s="18">
        <v>0</v>
      </c>
      <c r="Q275" s="18">
        <v>3</v>
      </c>
      <c r="R275" s="18">
        <v>40</v>
      </c>
      <c r="S275" s="18">
        <v>0</v>
      </c>
      <c r="T275" s="18">
        <v>100</v>
      </c>
      <c r="U275" s="18" t="s">
        <v>338</v>
      </c>
      <c r="V275" s="18">
        <v>0</v>
      </c>
      <c r="W275" s="18">
        <v>0</v>
      </c>
      <c r="X275" s="18" t="s">
        <v>334</v>
      </c>
      <c r="Y275" s="18" t="s">
        <v>378</v>
      </c>
      <c r="Z275" s="18" t="s">
        <v>402</v>
      </c>
      <c r="AA275" s="18">
        <v>1</v>
      </c>
      <c r="AB275" s="18">
        <v>0</v>
      </c>
      <c r="AC275" s="18" t="b">
        <v>1</v>
      </c>
      <c r="AD275" s="18" t="s">
        <v>329</v>
      </c>
      <c r="AE275" s="18">
        <v>80</v>
      </c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 t="s">
        <v>339</v>
      </c>
      <c r="AZ275" s="18">
        <v>11900</v>
      </c>
      <c r="BA275" s="18" t="s">
        <v>395</v>
      </c>
      <c r="BB275" s="18" t="s">
        <v>402</v>
      </c>
      <c r="BC275" s="18">
        <v>10000</v>
      </c>
      <c r="BD275" s="18">
        <v>0</v>
      </c>
      <c r="BE275" s="18" t="s">
        <v>332</v>
      </c>
      <c r="BF275" s="18">
        <v>0</v>
      </c>
      <c r="BG275" s="18"/>
      <c r="BH275" s="18"/>
      <c r="BI275" s="18"/>
      <c r="BJ275" s="18"/>
      <c r="BK275" s="18"/>
      <c r="BL275" s="18"/>
      <c r="BM275" s="18">
        <v>21002209</v>
      </c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>
        <v>200</v>
      </c>
      <c r="GS275" s="18">
        <v>400</v>
      </c>
      <c r="GT275" s="18" t="s">
        <v>356</v>
      </c>
      <c r="GU275" s="18">
        <v>30055</v>
      </c>
      <c r="GV275" s="18" t="s">
        <v>339</v>
      </c>
      <c r="GW275" s="18" t="s">
        <v>339</v>
      </c>
      <c r="GX275" s="18" t="b">
        <v>1</v>
      </c>
      <c r="GY275" s="18">
        <v>12000</v>
      </c>
      <c r="GZ275" s="18" t="b">
        <v>0</v>
      </c>
      <c r="HA275" s="18">
        <v>0</v>
      </c>
      <c r="HB275" s="18">
        <v>0</v>
      </c>
      <c r="HC275" s="18">
        <v>0</v>
      </c>
      <c r="HD275" s="18">
        <v>0</v>
      </c>
      <c r="HE275" s="18" t="b">
        <v>0</v>
      </c>
      <c r="HF275" s="18">
        <v>0</v>
      </c>
      <c r="HG275" s="18">
        <v>10001</v>
      </c>
      <c r="HH275" s="18" t="s">
        <v>339</v>
      </c>
      <c r="HI275" s="18" t="s">
        <v>334</v>
      </c>
      <c r="HJ275" s="18">
        <v>0</v>
      </c>
      <c r="HK275" s="18">
        <v>0</v>
      </c>
      <c r="HL275" s="18">
        <v>0</v>
      </c>
      <c r="HM275" s="18">
        <v>0</v>
      </c>
      <c r="HN275" s="18" t="b">
        <v>0</v>
      </c>
    </row>
    <row r="276" spans="1:222">
      <c r="A276"/>
      <c r="B276" s="29" cm="1">
        <f t="array" ref="B276">10000000+INDEX(编号表!$B$1:$B$112,MATCH(D276,编号表!$A$1:$A$112,0))*10000+I276</f>
        <v>10270010</v>
      </c>
      <c r="C276" s="18" t="s">
        <v>415</v>
      </c>
      <c r="D276" s="18" t="s">
        <v>415</v>
      </c>
      <c r="E276" s="18" t="s">
        <v>322</v>
      </c>
      <c r="F276" s="18" t="s">
        <v>370</v>
      </c>
      <c r="G276" s="18" t="b">
        <v>0</v>
      </c>
      <c r="H276" s="18" t="b">
        <v>0</v>
      </c>
      <c r="I276" s="18">
        <v>10</v>
      </c>
      <c r="J276" s="18">
        <v>102700</v>
      </c>
      <c r="K276" s="18" t="s">
        <v>324</v>
      </c>
      <c r="L276" s="18">
        <v>10270009</v>
      </c>
      <c r="M276" s="18">
        <v>0</v>
      </c>
      <c r="N276" s="18" t="s">
        <v>416</v>
      </c>
      <c r="O276" s="18">
        <v>10202026</v>
      </c>
      <c r="P276" s="18">
        <v>0</v>
      </c>
      <c r="Q276" s="18">
        <v>3</v>
      </c>
      <c r="R276" s="18">
        <v>40</v>
      </c>
      <c r="S276" s="18">
        <v>0</v>
      </c>
      <c r="T276" s="18">
        <v>0</v>
      </c>
      <c r="U276" s="18" t="s">
        <v>338</v>
      </c>
      <c r="V276" s="18">
        <v>0</v>
      </c>
      <c r="W276" s="18">
        <v>0</v>
      </c>
      <c r="X276" s="18" t="s">
        <v>334</v>
      </c>
      <c r="Y276" s="18" t="s">
        <v>378</v>
      </c>
      <c r="Z276" s="18" t="s">
        <v>402</v>
      </c>
      <c r="AA276" s="18">
        <v>1</v>
      </c>
      <c r="AB276" s="18">
        <v>0</v>
      </c>
      <c r="AC276" s="18" t="b">
        <v>1</v>
      </c>
      <c r="AD276" s="18" t="s">
        <v>329</v>
      </c>
      <c r="AE276" s="18">
        <v>80</v>
      </c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 t="s">
        <v>339</v>
      </c>
      <c r="AZ276" s="18">
        <v>12000</v>
      </c>
      <c r="BA276" s="18" t="s">
        <v>395</v>
      </c>
      <c r="BB276" s="18" t="s">
        <v>402</v>
      </c>
      <c r="BC276" s="18">
        <v>10000</v>
      </c>
      <c r="BD276" s="18">
        <v>0</v>
      </c>
      <c r="BE276" s="18" t="s">
        <v>332</v>
      </c>
      <c r="BF276" s="18">
        <v>0</v>
      </c>
      <c r="BG276" s="18"/>
      <c r="BH276" s="18"/>
      <c r="BI276" s="18"/>
      <c r="BJ276" s="18"/>
      <c r="BK276" s="18"/>
      <c r="BL276" s="18"/>
      <c r="BM276" s="18">
        <v>21002210</v>
      </c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>
        <v>200</v>
      </c>
      <c r="GS276" s="18">
        <v>400</v>
      </c>
      <c r="GT276" s="18" t="s">
        <v>356</v>
      </c>
      <c r="GU276" s="18">
        <v>30055</v>
      </c>
      <c r="GV276" s="18" t="s">
        <v>339</v>
      </c>
      <c r="GW276" s="18" t="s">
        <v>339</v>
      </c>
      <c r="GX276" s="18" t="b">
        <v>1</v>
      </c>
      <c r="GY276" s="18">
        <v>12000</v>
      </c>
      <c r="GZ276" s="18" t="b">
        <v>0</v>
      </c>
      <c r="HA276" s="18">
        <v>0</v>
      </c>
      <c r="HB276" s="18">
        <v>0</v>
      </c>
      <c r="HC276" s="18">
        <v>0</v>
      </c>
      <c r="HD276" s="18">
        <v>0</v>
      </c>
      <c r="HE276" s="18" t="b">
        <v>0</v>
      </c>
      <c r="HF276" s="18">
        <v>0</v>
      </c>
      <c r="HG276" s="18">
        <v>10001</v>
      </c>
      <c r="HH276" s="18" t="s">
        <v>339</v>
      </c>
      <c r="HI276" s="18" t="s">
        <v>334</v>
      </c>
      <c r="HJ276" s="18">
        <v>0</v>
      </c>
      <c r="HK276" s="18">
        <v>0</v>
      </c>
      <c r="HL276" s="18">
        <v>0</v>
      </c>
      <c r="HM276" s="18">
        <v>0</v>
      </c>
      <c r="HN276" s="18" t="b">
        <v>0</v>
      </c>
    </row>
    <row r="277" spans="1:222">
      <c r="A277"/>
      <c r="B277" s="29" cm="1">
        <f t="array" ref="B277">10000000+INDEX(编号表!$B$1:$B$112,MATCH(D277,编号表!$A$1:$A$112,0))*10000+I277</f>
        <v>10280001</v>
      </c>
      <c r="C277" s="18" t="s">
        <v>417</v>
      </c>
      <c r="D277" s="18" t="s">
        <v>417</v>
      </c>
      <c r="E277" s="18" t="s">
        <v>322</v>
      </c>
      <c r="F277" s="18" t="s">
        <v>336</v>
      </c>
      <c r="G277" s="18" t="b">
        <v>0</v>
      </c>
      <c r="H277" s="18" t="b">
        <v>0</v>
      </c>
      <c r="I277" s="18">
        <v>1</v>
      </c>
      <c r="J277" s="18">
        <v>102800</v>
      </c>
      <c r="K277" s="18" t="s">
        <v>324</v>
      </c>
      <c r="L277" s="18">
        <v>0</v>
      </c>
      <c r="M277" s="18">
        <v>10280002</v>
      </c>
      <c r="N277" s="18" t="s">
        <v>418</v>
      </c>
      <c r="O277" s="18">
        <v>10202027</v>
      </c>
      <c r="P277" s="18">
        <v>0</v>
      </c>
      <c r="Q277" s="18">
        <v>0</v>
      </c>
      <c r="R277" s="18">
        <v>1</v>
      </c>
      <c r="S277" s="18">
        <v>0</v>
      </c>
      <c r="T277" s="18">
        <v>100</v>
      </c>
      <c r="U277" s="18" t="s">
        <v>338</v>
      </c>
      <c r="V277" s="18">
        <v>0</v>
      </c>
      <c r="W277" s="18">
        <v>0</v>
      </c>
      <c r="X277" s="18" t="s">
        <v>342</v>
      </c>
      <c r="Y277" s="18" t="s">
        <v>378</v>
      </c>
      <c r="Z277" s="18" t="s">
        <v>402</v>
      </c>
      <c r="AA277" s="18">
        <v>1</v>
      </c>
      <c r="AB277" s="18">
        <v>0</v>
      </c>
      <c r="AC277" s="18" t="b">
        <v>1</v>
      </c>
      <c r="AD277" s="18" t="s">
        <v>329</v>
      </c>
      <c r="AE277" s="18">
        <v>80</v>
      </c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 t="s">
        <v>339</v>
      </c>
      <c r="AZ277" s="18">
        <v>10000</v>
      </c>
      <c r="BA277" s="18" t="s">
        <v>346</v>
      </c>
      <c r="BB277" s="18" t="s">
        <v>402</v>
      </c>
      <c r="BC277" s="18">
        <v>10000</v>
      </c>
      <c r="BD277" s="18">
        <v>0</v>
      </c>
      <c r="BE277" s="18" t="s">
        <v>332</v>
      </c>
      <c r="BF277" s="18">
        <v>0</v>
      </c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 t="s">
        <v>419</v>
      </c>
      <c r="CA277" s="18">
        <v>420</v>
      </c>
      <c r="CB277" s="18" t="s">
        <v>348</v>
      </c>
      <c r="CC277" s="18" t="s">
        <v>420</v>
      </c>
      <c r="CD277" s="18" t="b">
        <v>0</v>
      </c>
      <c r="CE277" s="18">
        <v>1400</v>
      </c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>
        <v>200</v>
      </c>
      <c r="GS277" s="18">
        <v>400</v>
      </c>
      <c r="GT277" s="18" t="s">
        <v>356</v>
      </c>
      <c r="GU277" s="18">
        <v>30061</v>
      </c>
      <c r="GV277" s="18" t="s">
        <v>339</v>
      </c>
      <c r="GW277" s="18" t="s">
        <v>339</v>
      </c>
      <c r="GX277" s="18" t="b">
        <v>1</v>
      </c>
      <c r="GY277" s="18">
        <v>5000</v>
      </c>
      <c r="GZ277" s="18" t="b">
        <v>0</v>
      </c>
      <c r="HA277" s="18">
        <v>0</v>
      </c>
      <c r="HB277" s="18">
        <v>0</v>
      </c>
      <c r="HC277" s="18">
        <v>0</v>
      </c>
      <c r="HD277" s="18">
        <v>0</v>
      </c>
      <c r="HE277" s="18" t="b">
        <v>0</v>
      </c>
      <c r="HF277" s="18">
        <v>0</v>
      </c>
      <c r="HG277" s="18">
        <v>10001</v>
      </c>
      <c r="HH277" s="18" t="s">
        <v>339</v>
      </c>
      <c r="HI277" s="18" t="s">
        <v>334</v>
      </c>
      <c r="HJ277" s="18">
        <v>0</v>
      </c>
      <c r="HK277" s="18">
        <v>0</v>
      </c>
      <c r="HL277" s="18">
        <v>0</v>
      </c>
      <c r="HM277" s="18">
        <v>0</v>
      </c>
      <c r="HN277" s="18" t="b">
        <v>0</v>
      </c>
    </row>
    <row r="278" spans="1:222">
      <c r="A278"/>
      <c r="B278" s="29" cm="1">
        <f t="array" ref="B278">10000000+INDEX(编号表!$B$1:$B$112,MATCH(D278,编号表!$A$1:$A$112,0))*10000+I278</f>
        <v>10280002</v>
      </c>
      <c r="C278" s="18" t="s">
        <v>417</v>
      </c>
      <c r="D278" s="18" t="s">
        <v>417</v>
      </c>
      <c r="E278" s="18" t="s">
        <v>322</v>
      </c>
      <c r="F278" s="18" t="s">
        <v>336</v>
      </c>
      <c r="G278" s="18" t="b">
        <v>0</v>
      </c>
      <c r="H278" s="18" t="b">
        <v>0</v>
      </c>
      <c r="I278" s="18">
        <v>2</v>
      </c>
      <c r="J278" s="18">
        <v>102800</v>
      </c>
      <c r="K278" s="18" t="s">
        <v>324</v>
      </c>
      <c r="L278" s="18">
        <v>10280001</v>
      </c>
      <c r="M278" s="18">
        <v>10280003</v>
      </c>
      <c r="N278" s="18" t="s">
        <v>418</v>
      </c>
      <c r="O278" s="18">
        <v>10202027</v>
      </c>
      <c r="P278" s="18">
        <v>0</v>
      </c>
      <c r="Q278" s="18">
        <v>1</v>
      </c>
      <c r="R278" s="18">
        <v>7</v>
      </c>
      <c r="S278" s="18">
        <v>0</v>
      </c>
      <c r="T278" s="18">
        <v>100</v>
      </c>
      <c r="U278" s="18" t="s">
        <v>338</v>
      </c>
      <c r="V278" s="18">
        <v>0</v>
      </c>
      <c r="W278" s="18">
        <v>0</v>
      </c>
      <c r="X278" s="18" t="s">
        <v>342</v>
      </c>
      <c r="Y278" s="18" t="s">
        <v>378</v>
      </c>
      <c r="Z278" s="18" t="s">
        <v>402</v>
      </c>
      <c r="AA278" s="18">
        <v>1</v>
      </c>
      <c r="AB278" s="18">
        <v>0</v>
      </c>
      <c r="AC278" s="18" t="b">
        <v>1</v>
      </c>
      <c r="AD278" s="18" t="s">
        <v>329</v>
      </c>
      <c r="AE278" s="18">
        <v>80</v>
      </c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 t="s">
        <v>339</v>
      </c>
      <c r="AZ278" s="18">
        <v>10400</v>
      </c>
      <c r="BA278" s="18" t="s">
        <v>346</v>
      </c>
      <c r="BB278" s="18" t="s">
        <v>402</v>
      </c>
      <c r="BC278" s="18">
        <v>10000</v>
      </c>
      <c r="BD278" s="18">
        <v>0</v>
      </c>
      <c r="BE278" s="18" t="s">
        <v>332</v>
      </c>
      <c r="BF278" s="18">
        <v>0</v>
      </c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 t="s">
        <v>419</v>
      </c>
      <c r="CA278" s="18">
        <v>420</v>
      </c>
      <c r="CB278" s="18" t="s">
        <v>348</v>
      </c>
      <c r="CC278" s="18" t="s">
        <v>420</v>
      </c>
      <c r="CD278" s="18" t="b">
        <v>0</v>
      </c>
      <c r="CE278" s="18">
        <v>1400</v>
      </c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>
        <v>200</v>
      </c>
      <c r="GS278" s="18">
        <v>400</v>
      </c>
      <c r="GT278" s="18" t="s">
        <v>356</v>
      </c>
      <c r="GU278" s="18">
        <v>30061</v>
      </c>
      <c r="GV278" s="18" t="s">
        <v>339</v>
      </c>
      <c r="GW278" s="18" t="s">
        <v>339</v>
      </c>
      <c r="GX278" s="18" t="b">
        <v>1</v>
      </c>
      <c r="GY278" s="18">
        <v>5000</v>
      </c>
      <c r="GZ278" s="18" t="b">
        <v>0</v>
      </c>
      <c r="HA278" s="18">
        <v>0</v>
      </c>
      <c r="HB278" s="18">
        <v>0</v>
      </c>
      <c r="HC278" s="18">
        <v>0</v>
      </c>
      <c r="HD278" s="18">
        <v>0</v>
      </c>
      <c r="HE278" s="18" t="b">
        <v>0</v>
      </c>
      <c r="HF278" s="18">
        <v>0</v>
      </c>
      <c r="HG278" s="18">
        <v>10001</v>
      </c>
      <c r="HH278" s="18" t="s">
        <v>339</v>
      </c>
      <c r="HI278" s="18" t="s">
        <v>334</v>
      </c>
      <c r="HJ278" s="18">
        <v>0</v>
      </c>
      <c r="HK278" s="18">
        <v>0</v>
      </c>
      <c r="HL278" s="18">
        <v>0</v>
      </c>
      <c r="HM278" s="18">
        <v>0</v>
      </c>
      <c r="HN278" s="18" t="b">
        <v>0</v>
      </c>
    </row>
    <row r="279" spans="1:222">
      <c r="A279"/>
      <c r="B279" s="29" cm="1">
        <f t="array" ref="B279">10000000+INDEX(编号表!$B$1:$B$112,MATCH(D279,编号表!$A$1:$A$112,0))*10000+I279</f>
        <v>10280003</v>
      </c>
      <c r="C279" s="18" t="s">
        <v>417</v>
      </c>
      <c r="D279" s="18" t="s">
        <v>417</v>
      </c>
      <c r="E279" s="18" t="s">
        <v>322</v>
      </c>
      <c r="F279" s="18" t="s">
        <v>336</v>
      </c>
      <c r="G279" s="18" t="b">
        <v>0</v>
      </c>
      <c r="H279" s="18" t="b">
        <v>0</v>
      </c>
      <c r="I279" s="18">
        <v>3</v>
      </c>
      <c r="J279" s="18">
        <v>102800</v>
      </c>
      <c r="K279" s="18" t="s">
        <v>324</v>
      </c>
      <c r="L279" s="18">
        <v>10280002</v>
      </c>
      <c r="M279" s="18">
        <v>10280004</v>
      </c>
      <c r="N279" s="18" t="s">
        <v>418</v>
      </c>
      <c r="O279" s="18">
        <v>10202027</v>
      </c>
      <c r="P279" s="18">
        <v>0</v>
      </c>
      <c r="Q279" s="18">
        <v>2</v>
      </c>
      <c r="R279" s="18">
        <v>11</v>
      </c>
      <c r="S279" s="18">
        <v>0</v>
      </c>
      <c r="T279" s="18">
        <v>100</v>
      </c>
      <c r="U279" s="18" t="s">
        <v>338</v>
      </c>
      <c r="V279" s="18">
        <v>0</v>
      </c>
      <c r="W279" s="18">
        <v>0</v>
      </c>
      <c r="X279" s="18" t="s">
        <v>342</v>
      </c>
      <c r="Y279" s="18" t="s">
        <v>378</v>
      </c>
      <c r="Z279" s="18" t="s">
        <v>402</v>
      </c>
      <c r="AA279" s="18">
        <v>1</v>
      </c>
      <c r="AB279" s="18">
        <v>0</v>
      </c>
      <c r="AC279" s="18" t="b">
        <v>1</v>
      </c>
      <c r="AD279" s="18" t="s">
        <v>329</v>
      </c>
      <c r="AE279" s="18">
        <v>80</v>
      </c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 t="s">
        <v>339</v>
      </c>
      <c r="AZ279" s="18">
        <v>10800</v>
      </c>
      <c r="BA279" s="18" t="s">
        <v>346</v>
      </c>
      <c r="BB279" s="18" t="s">
        <v>402</v>
      </c>
      <c r="BC279" s="18">
        <v>10000</v>
      </c>
      <c r="BD279" s="18">
        <v>0</v>
      </c>
      <c r="BE279" s="18" t="s">
        <v>332</v>
      </c>
      <c r="BF279" s="18">
        <v>0</v>
      </c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 t="s">
        <v>419</v>
      </c>
      <c r="CA279" s="18">
        <v>420</v>
      </c>
      <c r="CB279" s="18" t="s">
        <v>348</v>
      </c>
      <c r="CC279" s="18" t="s">
        <v>420</v>
      </c>
      <c r="CD279" s="18" t="b">
        <v>0</v>
      </c>
      <c r="CE279" s="18">
        <v>1400</v>
      </c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>
        <v>200</v>
      </c>
      <c r="GS279" s="18">
        <v>400</v>
      </c>
      <c r="GT279" s="18" t="s">
        <v>356</v>
      </c>
      <c r="GU279" s="18">
        <v>30061</v>
      </c>
      <c r="GV279" s="18" t="s">
        <v>339</v>
      </c>
      <c r="GW279" s="18" t="s">
        <v>339</v>
      </c>
      <c r="GX279" s="18" t="b">
        <v>1</v>
      </c>
      <c r="GY279" s="18">
        <v>5000</v>
      </c>
      <c r="GZ279" s="18" t="b">
        <v>0</v>
      </c>
      <c r="HA279" s="18">
        <v>0</v>
      </c>
      <c r="HB279" s="18">
        <v>0</v>
      </c>
      <c r="HC279" s="18">
        <v>0</v>
      </c>
      <c r="HD279" s="18">
        <v>0</v>
      </c>
      <c r="HE279" s="18" t="b">
        <v>0</v>
      </c>
      <c r="HF279" s="18">
        <v>0</v>
      </c>
      <c r="HG279" s="18">
        <v>10001</v>
      </c>
      <c r="HH279" s="18" t="s">
        <v>339</v>
      </c>
      <c r="HI279" s="18" t="s">
        <v>334</v>
      </c>
      <c r="HJ279" s="18">
        <v>0</v>
      </c>
      <c r="HK279" s="18">
        <v>0</v>
      </c>
      <c r="HL279" s="18">
        <v>0</v>
      </c>
      <c r="HM279" s="18">
        <v>0</v>
      </c>
      <c r="HN279" s="18" t="b">
        <v>0</v>
      </c>
    </row>
    <row r="280" spans="1:222">
      <c r="A280"/>
      <c r="B280" s="29" cm="1">
        <f t="array" ref="B280">10000000+INDEX(编号表!$B$1:$B$112,MATCH(D280,编号表!$A$1:$A$112,0))*10000+I280</f>
        <v>10280004</v>
      </c>
      <c r="C280" s="18" t="s">
        <v>417</v>
      </c>
      <c r="D280" s="18" t="s">
        <v>417</v>
      </c>
      <c r="E280" s="18" t="s">
        <v>322</v>
      </c>
      <c r="F280" s="18" t="s">
        <v>336</v>
      </c>
      <c r="G280" s="18" t="b">
        <v>0</v>
      </c>
      <c r="H280" s="18" t="b">
        <v>0</v>
      </c>
      <c r="I280" s="18">
        <v>4</v>
      </c>
      <c r="J280" s="18">
        <v>102800</v>
      </c>
      <c r="K280" s="18" t="s">
        <v>324</v>
      </c>
      <c r="L280" s="18">
        <v>10280003</v>
      </c>
      <c r="M280" s="18">
        <v>10280005</v>
      </c>
      <c r="N280" s="18" t="s">
        <v>418</v>
      </c>
      <c r="O280" s="18">
        <v>10202027</v>
      </c>
      <c r="P280" s="18">
        <v>0</v>
      </c>
      <c r="Q280" s="18">
        <v>3</v>
      </c>
      <c r="R280" s="18">
        <v>16</v>
      </c>
      <c r="S280" s="18">
        <v>0</v>
      </c>
      <c r="T280" s="18">
        <v>100</v>
      </c>
      <c r="U280" s="18" t="s">
        <v>338</v>
      </c>
      <c r="V280" s="18">
        <v>0</v>
      </c>
      <c r="W280" s="18">
        <v>0</v>
      </c>
      <c r="X280" s="18" t="s">
        <v>342</v>
      </c>
      <c r="Y280" s="18" t="s">
        <v>378</v>
      </c>
      <c r="Z280" s="18" t="s">
        <v>402</v>
      </c>
      <c r="AA280" s="18">
        <v>1</v>
      </c>
      <c r="AB280" s="18">
        <v>0</v>
      </c>
      <c r="AC280" s="18" t="b">
        <v>1</v>
      </c>
      <c r="AD280" s="18" t="s">
        <v>329</v>
      </c>
      <c r="AE280" s="18">
        <v>80</v>
      </c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 t="s">
        <v>339</v>
      </c>
      <c r="AZ280" s="18">
        <v>11200</v>
      </c>
      <c r="BA280" s="18" t="s">
        <v>346</v>
      </c>
      <c r="BB280" s="18" t="s">
        <v>402</v>
      </c>
      <c r="BC280" s="18">
        <v>10000</v>
      </c>
      <c r="BD280" s="18">
        <v>0</v>
      </c>
      <c r="BE280" s="18" t="s">
        <v>332</v>
      </c>
      <c r="BF280" s="18">
        <v>0</v>
      </c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 t="s">
        <v>419</v>
      </c>
      <c r="CA280" s="18">
        <v>420</v>
      </c>
      <c r="CB280" s="18" t="s">
        <v>348</v>
      </c>
      <c r="CC280" s="18" t="s">
        <v>420</v>
      </c>
      <c r="CD280" s="18" t="b">
        <v>0</v>
      </c>
      <c r="CE280" s="18">
        <v>1400</v>
      </c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>
        <v>200</v>
      </c>
      <c r="GS280" s="18">
        <v>400</v>
      </c>
      <c r="GT280" s="18" t="s">
        <v>356</v>
      </c>
      <c r="GU280" s="18">
        <v>30061</v>
      </c>
      <c r="GV280" s="18" t="s">
        <v>339</v>
      </c>
      <c r="GW280" s="18" t="s">
        <v>339</v>
      </c>
      <c r="GX280" s="18" t="b">
        <v>1</v>
      </c>
      <c r="GY280" s="18">
        <v>5000</v>
      </c>
      <c r="GZ280" s="18" t="b">
        <v>0</v>
      </c>
      <c r="HA280" s="18">
        <v>0</v>
      </c>
      <c r="HB280" s="18">
        <v>0</v>
      </c>
      <c r="HC280" s="18">
        <v>0</v>
      </c>
      <c r="HD280" s="18">
        <v>0</v>
      </c>
      <c r="HE280" s="18" t="b">
        <v>0</v>
      </c>
      <c r="HF280" s="18">
        <v>0</v>
      </c>
      <c r="HG280" s="18">
        <v>10001</v>
      </c>
      <c r="HH280" s="18" t="s">
        <v>339</v>
      </c>
      <c r="HI280" s="18" t="s">
        <v>334</v>
      </c>
      <c r="HJ280" s="18">
        <v>0</v>
      </c>
      <c r="HK280" s="18">
        <v>0</v>
      </c>
      <c r="HL280" s="18">
        <v>0</v>
      </c>
      <c r="HM280" s="18">
        <v>0</v>
      </c>
      <c r="HN280" s="18" t="b">
        <v>0</v>
      </c>
    </row>
    <row r="281" spans="1:222">
      <c r="A281"/>
      <c r="B281" s="29" cm="1">
        <f t="array" ref="B281">10000000+INDEX(编号表!$B$1:$B$112,MATCH(D281,编号表!$A$1:$A$112,0))*10000+I281</f>
        <v>10280005</v>
      </c>
      <c r="C281" s="18" t="s">
        <v>417</v>
      </c>
      <c r="D281" s="18" t="s">
        <v>417</v>
      </c>
      <c r="E281" s="18" t="s">
        <v>322</v>
      </c>
      <c r="F281" s="18" t="s">
        <v>336</v>
      </c>
      <c r="G281" s="18" t="b">
        <v>0</v>
      </c>
      <c r="H281" s="18" t="b">
        <v>0</v>
      </c>
      <c r="I281" s="18">
        <v>5</v>
      </c>
      <c r="J281" s="18">
        <v>102800</v>
      </c>
      <c r="K281" s="18" t="s">
        <v>324</v>
      </c>
      <c r="L281" s="18">
        <v>10280004</v>
      </c>
      <c r="M281" s="18">
        <v>10280006</v>
      </c>
      <c r="N281" s="18" t="s">
        <v>418</v>
      </c>
      <c r="O281" s="18">
        <v>10202027</v>
      </c>
      <c r="P281" s="18">
        <v>0</v>
      </c>
      <c r="Q281" s="18">
        <v>3</v>
      </c>
      <c r="R281" s="18">
        <v>25</v>
      </c>
      <c r="S281" s="18">
        <v>0</v>
      </c>
      <c r="T281" s="18">
        <v>100</v>
      </c>
      <c r="U281" s="18" t="s">
        <v>338</v>
      </c>
      <c r="V281" s="18">
        <v>0</v>
      </c>
      <c r="W281" s="18">
        <v>0</v>
      </c>
      <c r="X281" s="18" t="s">
        <v>342</v>
      </c>
      <c r="Y281" s="18" t="s">
        <v>378</v>
      </c>
      <c r="Z281" s="18" t="s">
        <v>402</v>
      </c>
      <c r="AA281" s="18">
        <v>1</v>
      </c>
      <c r="AB281" s="18">
        <v>0</v>
      </c>
      <c r="AC281" s="18" t="b">
        <v>1</v>
      </c>
      <c r="AD281" s="18" t="s">
        <v>329</v>
      </c>
      <c r="AE281" s="18">
        <v>80</v>
      </c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 t="s">
        <v>339</v>
      </c>
      <c r="AZ281" s="18">
        <v>11300</v>
      </c>
      <c r="BA281" s="18" t="s">
        <v>346</v>
      </c>
      <c r="BB281" s="18" t="s">
        <v>402</v>
      </c>
      <c r="BC281" s="18">
        <v>10000</v>
      </c>
      <c r="BD281" s="18">
        <v>0</v>
      </c>
      <c r="BE281" s="18" t="s">
        <v>332</v>
      </c>
      <c r="BF281" s="18">
        <v>0</v>
      </c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 t="s">
        <v>419</v>
      </c>
      <c r="CA281" s="18">
        <v>420</v>
      </c>
      <c r="CB281" s="18" t="s">
        <v>348</v>
      </c>
      <c r="CC281" s="18" t="s">
        <v>420</v>
      </c>
      <c r="CD281" s="18" t="b">
        <v>0</v>
      </c>
      <c r="CE281" s="18">
        <v>1400</v>
      </c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>
        <v>200</v>
      </c>
      <c r="GS281" s="18">
        <v>400</v>
      </c>
      <c r="GT281" s="18" t="s">
        <v>356</v>
      </c>
      <c r="GU281" s="18">
        <v>30061</v>
      </c>
      <c r="GV281" s="18" t="s">
        <v>339</v>
      </c>
      <c r="GW281" s="18" t="s">
        <v>339</v>
      </c>
      <c r="GX281" s="18" t="b">
        <v>1</v>
      </c>
      <c r="GY281" s="18">
        <v>5000</v>
      </c>
      <c r="GZ281" s="18" t="b">
        <v>0</v>
      </c>
      <c r="HA281" s="18">
        <v>0</v>
      </c>
      <c r="HB281" s="18">
        <v>0</v>
      </c>
      <c r="HC281" s="18">
        <v>0</v>
      </c>
      <c r="HD281" s="18">
        <v>0</v>
      </c>
      <c r="HE281" s="18" t="b">
        <v>0</v>
      </c>
      <c r="HF281" s="18">
        <v>0</v>
      </c>
      <c r="HG281" s="18">
        <v>10001</v>
      </c>
      <c r="HH281" s="18" t="s">
        <v>339</v>
      </c>
      <c r="HI281" s="18" t="s">
        <v>334</v>
      </c>
      <c r="HJ281" s="18">
        <v>0</v>
      </c>
      <c r="HK281" s="18">
        <v>0</v>
      </c>
      <c r="HL281" s="18">
        <v>0</v>
      </c>
      <c r="HM281" s="18">
        <v>0</v>
      </c>
      <c r="HN281" s="18" t="b">
        <v>0</v>
      </c>
    </row>
    <row r="282" spans="1:222">
      <c r="A282"/>
      <c r="B282" s="29" cm="1">
        <f t="array" ref="B282">10000000+INDEX(编号表!$B$1:$B$112,MATCH(D282,编号表!$A$1:$A$112,0))*10000+I282</f>
        <v>10280006</v>
      </c>
      <c r="C282" s="18" t="s">
        <v>417</v>
      </c>
      <c r="D282" s="18" t="s">
        <v>417</v>
      </c>
      <c r="E282" s="18" t="s">
        <v>322</v>
      </c>
      <c r="F282" s="18" t="s">
        <v>336</v>
      </c>
      <c r="G282" s="18" t="b">
        <v>0</v>
      </c>
      <c r="H282" s="18" t="b">
        <v>0</v>
      </c>
      <c r="I282" s="18">
        <v>6</v>
      </c>
      <c r="J282" s="18">
        <v>102800</v>
      </c>
      <c r="K282" s="18" t="s">
        <v>324</v>
      </c>
      <c r="L282" s="18">
        <v>10280005</v>
      </c>
      <c r="M282" s="18">
        <v>10280007</v>
      </c>
      <c r="N282" s="18" t="s">
        <v>418</v>
      </c>
      <c r="O282" s="18">
        <v>10202027</v>
      </c>
      <c r="P282" s="18">
        <v>0</v>
      </c>
      <c r="Q282" s="18">
        <v>3</v>
      </c>
      <c r="R282" s="18">
        <v>30</v>
      </c>
      <c r="S282" s="18">
        <v>0</v>
      </c>
      <c r="T282" s="18">
        <v>100</v>
      </c>
      <c r="U282" s="18" t="s">
        <v>338</v>
      </c>
      <c r="V282" s="18">
        <v>0</v>
      </c>
      <c r="W282" s="18">
        <v>0</v>
      </c>
      <c r="X282" s="18" t="s">
        <v>342</v>
      </c>
      <c r="Y282" s="18" t="s">
        <v>378</v>
      </c>
      <c r="Z282" s="18" t="s">
        <v>402</v>
      </c>
      <c r="AA282" s="18">
        <v>1</v>
      </c>
      <c r="AB282" s="18">
        <v>0</v>
      </c>
      <c r="AC282" s="18" t="b">
        <v>1</v>
      </c>
      <c r="AD282" s="18" t="s">
        <v>329</v>
      </c>
      <c r="AE282" s="18">
        <v>80</v>
      </c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 t="s">
        <v>339</v>
      </c>
      <c r="AZ282" s="18">
        <v>11600</v>
      </c>
      <c r="BA282" s="18" t="s">
        <v>346</v>
      </c>
      <c r="BB282" s="18" t="s">
        <v>402</v>
      </c>
      <c r="BC282" s="18">
        <v>10000</v>
      </c>
      <c r="BD282" s="18">
        <v>0</v>
      </c>
      <c r="BE282" s="18" t="s">
        <v>332</v>
      </c>
      <c r="BF282" s="18">
        <v>0</v>
      </c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 t="s">
        <v>419</v>
      </c>
      <c r="CA282" s="18">
        <v>420</v>
      </c>
      <c r="CB282" s="18" t="s">
        <v>348</v>
      </c>
      <c r="CC282" s="18" t="s">
        <v>420</v>
      </c>
      <c r="CD282" s="18" t="b">
        <v>0</v>
      </c>
      <c r="CE282" s="18">
        <v>1400</v>
      </c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>
        <v>200</v>
      </c>
      <c r="GS282" s="18">
        <v>400</v>
      </c>
      <c r="GT282" s="18" t="s">
        <v>356</v>
      </c>
      <c r="GU282" s="18">
        <v>30061</v>
      </c>
      <c r="GV282" s="18" t="s">
        <v>339</v>
      </c>
      <c r="GW282" s="18" t="s">
        <v>339</v>
      </c>
      <c r="GX282" s="18" t="b">
        <v>1</v>
      </c>
      <c r="GY282" s="18">
        <v>5000</v>
      </c>
      <c r="GZ282" s="18" t="b">
        <v>0</v>
      </c>
      <c r="HA282" s="18">
        <v>0</v>
      </c>
      <c r="HB282" s="18">
        <v>0</v>
      </c>
      <c r="HC282" s="18">
        <v>0</v>
      </c>
      <c r="HD282" s="18">
        <v>0</v>
      </c>
      <c r="HE282" s="18" t="b">
        <v>0</v>
      </c>
      <c r="HF282" s="18">
        <v>0</v>
      </c>
      <c r="HG282" s="18">
        <v>10001</v>
      </c>
      <c r="HH282" s="18" t="s">
        <v>339</v>
      </c>
      <c r="HI282" s="18" t="s">
        <v>334</v>
      </c>
      <c r="HJ282" s="18">
        <v>0</v>
      </c>
      <c r="HK282" s="18">
        <v>0</v>
      </c>
      <c r="HL282" s="18">
        <v>0</v>
      </c>
      <c r="HM282" s="18">
        <v>0</v>
      </c>
      <c r="HN282" s="18" t="b">
        <v>0</v>
      </c>
    </row>
    <row r="283" spans="1:222">
      <c r="A283"/>
      <c r="B283" s="29" cm="1">
        <f t="array" ref="B283">10000000+INDEX(编号表!$B$1:$B$112,MATCH(D283,编号表!$A$1:$A$112,0))*10000+I283</f>
        <v>10280007</v>
      </c>
      <c r="C283" s="18" t="s">
        <v>417</v>
      </c>
      <c r="D283" s="18" t="s">
        <v>417</v>
      </c>
      <c r="E283" s="18" t="s">
        <v>322</v>
      </c>
      <c r="F283" s="18" t="s">
        <v>336</v>
      </c>
      <c r="G283" s="18" t="b">
        <v>0</v>
      </c>
      <c r="H283" s="18" t="b">
        <v>0</v>
      </c>
      <c r="I283" s="18">
        <v>7</v>
      </c>
      <c r="J283" s="18">
        <v>102800</v>
      </c>
      <c r="K283" s="18" t="s">
        <v>324</v>
      </c>
      <c r="L283" s="18">
        <v>10280006</v>
      </c>
      <c r="M283" s="18">
        <v>10280008</v>
      </c>
      <c r="N283" s="18" t="s">
        <v>418</v>
      </c>
      <c r="O283" s="18">
        <v>10202027</v>
      </c>
      <c r="P283" s="18">
        <v>0</v>
      </c>
      <c r="Q283" s="18">
        <v>3</v>
      </c>
      <c r="R283" s="18">
        <v>35</v>
      </c>
      <c r="S283" s="18">
        <v>0</v>
      </c>
      <c r="T283" s="18">
        <v>100</v>
      </c>
      <c r="U283" s="18" t="s">
        <v>338</v>
      </c>
      <c r="V283" s="18">
        <v>0</v>
      </c>
      <c r="W283" s="18">
        <v>0</v>
      </c>
      <c r="X283" s="18" t="s">
        <v>342</v>
      </c>
      <c r="Y283" s="18" t="s">
        <v>378</v>
      </c>
      <c r="Z283" s="18" t="s">
        <v>402</v>
      </c>
      <c r="AA283" s="18">
        <v>1</v>
      </c>
      <c r="AB283" s="18">
        <v>0</v>
      </c>
      <c r="AC283" s="18" t="b">
        <v>1</v>
      </c>
      <c r="AD283" s="18" t="s">
        <v>329</v>
      </c>
      <c r="AE283" s="18">
        <v>80</v>
      </c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 t="s">
        <v>339</v>
      </c>
      <c r="AZ283" s="18">
        <v>11700</v>
      </c>
      <c r="BA283" s="18" t="s">
        <v>346</v>
      </c>
      <c r="BB283" s="18" t="s">
        <v>402</v>
      </c>
      <c r="BC283" s="18">
        <v>10000</v>
      </c>
      <c r="BD283" s="18">
        <v>0</v>
      </c>
      <c r="BE283" s="18" t="s">
        <v>332</v>
      </c>
      <c r="BF283" s="18">
        <v>0</v>
      </c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 t="s">
        <v>419</v>
      </c>
      <c r="CA283" s="18">
        <v>420</v>
      </c>
      <c r="CB283" s="18" t="s">
        <v>348</v>
      </c>
      <c r="CC283" s="18" t="s">
        <v>420</v>
      </c>
      <c r="CD283" s="18" t="b">
        <v>0</v>
      </c>
      <c r="CE283" s="18">
        <v>1400</v>
      </c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>
        <v>200</v>
      </c>
      <c r="GS283" s="18">
        <v>400</v>
      </c>
      <c r="GT283" s="18" t="s">
        <v>356</v>
      </c>
      <c r="GU283" s="18">
        <v>30061</v>
      </c>
      <c r="GV283" s="18" t="s">
        <v>339</v>
      </c>
      <c r="GW283" s="18" t="s">
        <v>339</v>
      </c>
      <c r="GX283" s="18" t="b">
        <v>1</v>
      </c>
      <c r="GY283" s="18">
        <v>5000</v>
      </c>
      <c r="GZ283" s="18" t="b">
        <v>0</v>
      </c>
      <c r="HA283" s="18">
        <v>0</v>
      </c>
      <c r="HB283" s="18">
        <v>0</v>
      </c>
      <c r="HC283" s="18">
        <v>0</v>
      </c>
      <c r="HD283" s="18">
        <v>0</v>
      </c>
      <c r="HE283" s="18" t="b">
        <v>0</v>
      </c>
      <c r="HF283" s="18">
        <v>0</v>
      </c>
      <c r="HG283" s="18">
        <v>10001</v>
      </c>
      <c r="HH283" s="18" t="s">
        <v>339</v>
      </c>
      <c r="HI283" s="18" t="s">
        <v>334</v>
      </c>
      <c r="HJ283" s="18">
        <v>0</v>
      </c>
      <c r="HK283" s="18">
        <v>0</v>
      </c>
      <c r="HL283" s="18">
        <v>0</v>
      </c>
      <c r="HM283" s="18">
        <v>0</v>
      </c>
      <c r="HN283" s="18" t="b">
        <v>0</v>
      </c>
    </row>
    <row r="284" spans="1:222">
      <c r="A284"/>
      <c r="B284" s="29" cm="1">
        <f t="array" ref="B284">10000000+INDEX(编号表!$B$1:$B$112,MATCH(D284,编号表!$A$1:$A$112,0))*10000+I284</f>
        <v>10280008</v>
      </c>
      <c r="C284" s="18" t="s">
        <v>417</v>
      </c>
      <c r="D284" s="18" t="s">
        <v>417</v>
      </c>
      <c r="E284" s="18" t="s">
        <v>322</v>
      </c>
      <c r="F284" s="18" t="s">
        <v>336</v>
      </c>
      <c r="G284" s="18" t="b">
        <v>0</v>
      </c>
      <c r="H284" s="18" t="b">
        <v>0</v>
      </c>
      <c r="I284" s="18">
        <v>8</v>
      </c>
      <c r="J284" s="18">
        <v>102800</v>
      </c>
      <c r="K284" s="18" t="s">
        <v>324</v>
      </c>
      <c r="L284" s="18">
        <v>10280007</v>
      </c>
      <c r="M284" s="18">
        <v>10280009</v>
      </c>
      <c r="N284" s="18" t="s">
        <v>418</v>
      </c>
      <c r="O284" s="18">
        <v>10202027</v>
      </c>
      <c r="P284" s="18">
        <v>0</v>
      </c>
      <c r="Q284" s="18">
        <v>3</v>
      </c>
      <c r="R284" s="18">
        <v>35</v>
      </c>
      <c r="S284" s="18">
        <v>0</v>
      </c>
      <c r="T284" s="18">
        <v>100</v>
      </c>
      <c r="U284" s="18" t="s">
        <v>338</v>
      </c>
      <c r="V284" s="18">
        <v>0</v>
      </c>
      <c r="W284" s="18">
        <v>0</v>
      </c>
      <c r="X284" s="18" t="s">
        <v>342</v>
      </c>
      <c r="Y284" s="18" t="s">
        <v>378</v>
      </c>
      <c r="Z284" s="18" t="s">
        <v>402</v>
      </c>
      <c r="AA284" s="18">
        <v>1</v>
      </c>
      <c r="AB284" s="18">
        <v>0</v>
      </c>
      <c r="AC284" s="18" t="b">
        <v>1</v>
      </c>
      <c r="AD284" s="18" t="s">
        <v>329</v>
      </c>
      <c r="AE284" s="18">
        <v>80</v>
      </c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 t="s">
        <v>339</v>
      </c>
      <c r="AZ284" s="18">
        <v>11800</v>
      </c>
      <c r="BA284" s="18" t="s">
        <v>346</v>
      </c>
      <c r="BB284" s="18" t="s">
        <v>402</v>
      </c>
      <c r="BC284" s="18">
        <v>10000</v>
      </c>
      <c r="BD284" s="18">
        <v>0</v>
      </c>
      <c r="BE284" s="18" t="s">
        <v>332</v>
      </c>
      <c r="BF284" s="18">
        <v>0</v>
      </c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 t="s">
        <v>419</v>
      </c>
      <c r="CA284" s="18">
        <v>420</v>
      </c>
      <c r="CB284" s="18" t="s">
        <v>348</v>
      </c>
      <c r="CC284" s="18" t="s">
        <v>420</v>
      </c>
      <c r="CD284" s="18" t="b">
        <v>0</v>
      </c>
      <c r="CE284" s="18">
        <v>1400</v>
      </c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>
        <v>200</v>
      </c>
      <c r="GS284" s="18">
        <v>400</v>
      </c>
      <c r="GT284" s="18" t="s">
        <v>356</v>
      </c>
      <c r="GU284" s="18">
        <v>30061</v>
      </c>
      <c r="GV284" s="18" t="s">
        <v>339</v>
      </c>
      <c r="GW284" s="18" t="s">
        <v>339</v>
      </c>
      <c r="GX284" s="18" t="b">
        <v>1</v>
      </c>
      <c r="GY284" s="18">
        <v>5000</v>
      </c>
      <c r="GZ284" s="18" t="b">
        <v>0</v>
      </c>
      <c r="HA284" s="18">
        <v>0</v>
      </c>
      <c r="HB284" s="18">
        <v>0</v>
      </c>
      <c r="HC284" s="18">
        <v>0</v>
      </c>
      <c r="HD284" s="18">
        <v>0</v>
      </c>
      <c r="HE284" s="18" t="b">
        <v>0</v>
      </c>
      <c r="HF284" s="18">
        <v>0</v>
      </c>
      <c r="HG284" s="18">
        <v>10001</v>
      </c>
      <c r="HH284" s="18" t="s">
        <v>339</v>
      </c>
      <c r="HI284" s="18" t="s">
        <v>334</v>
      </c>
      <c r="HJ284" s="18">
        <v>0</v>
      </c>
      <c r="HK284" s="18">
        <v>0</v>
      </c>
      <c r="HL284" s="18">
        <v>0</v>
      </c>
      <c r="HM284" s="18">
        <v>0</v>
      </c>
      <c r="HN284" s="18" t="b">
        <v>0</v>
      </c>
    </row>
    <row r="285" spans="1:222">
      <c r="A285"/>
      <c r="B285" s="29" cm="1">
        <f t="array" ref="B285">10000000+INDEX(编号表!$B$1:$B$112,MATCH(D285,编号表!$A$1:$A$112,0))*10000+I285</f>
        <v>10280009</v>
      </c>
      <c r="C285" s="18" t="s">
        <v>417</v>
      </c>
      <c r="D285" s="18" t="s">
        <v>417</v>
      </c>
      <c r="E285" s="18" t="s">
        <v>322</v>
      </c>
      <c r="F285" s="18" t="s">
        <v>336</v>
      </c>
      <c r="G285" s="18" t="b">
        <v>0</v>
      </c>
      <c r="H285" s="18" t="b">
        <v>0</v>
      </c>
      <c r="I285" s="18">
        <v>9</v>
      </c>
      <c r="J285" s="18">
        <v>102800</v>
      </c>
      <c r="K285" s="18" t="s">
        <v>324</v>
      </c>
      <c r="L285" s="18">
        <v>10280008</v>
      </c>
      <c r="M285" s="18">
        <v>10280010</v>
      </c>
      <c r="N285" s="18" t="s">
        <v>418</v>
      </c>
      <c r="O285" s="18">
        <v>10202027</v>
      </c>
      <c r="P285" s="18">
        <v>0</v>
      </c>
      <c r="Q285" s="18">
        <v>3</v>
      </c>
      <c r="R285" s="18">
        <v>40</v>
      </c>
      <c r="S285" s="18">
        <v>0</v>
      </c>
      <c r="T285" s="18">
        <v>100</v>
      </c>
      <c r="U285" s="18" t="s">
        <v>338</v>
      </c>
      <c r="V285" s="18">
        <v>0</v>
      </c>
      <c r="W285" s="18">
        <v>0</v>
      </c>
      <c r="X285" s="18" t="s">
        <v>342</v>
      </c>
      <c r="Y285" s="18" t="s">
        <v>378</v>
      </c>
      <c r="Z285" s="18" t="s">
        <v>402</v>
      </c>
      <c r="AA285" s="18">
        <v>1</v>
      </c>
      <c r="AB285" s="18">
        <v>0</v>
      </c>
      <c r="AC285" s="18" t="b">
        <v>1</v>
      </c>
      <c r="AD285" s="18" t="s">
        <v>329</v>
      </c>
      <c r="AE285" s="18">
        <v>80</v>
      </c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 t="s">
        <v>339</v>
      </c>
      <c r="AZ285" s="18">
        <v>11900</v>
      </c>
      <c r="BA285" s="18" t="s">
        <v>346</v>
      </c>
      <c r="BB285" s="18" t="s">
        <v>402</v>
      </c>
      <c r="BC285" s="18">
        <v>10000</v>
      </c>
      <c r="BD285" s="18">
        <v>0</v>
      </c>
      <c r="BE285" s="18" t="s">
        <v>332</v>
      </c>
      <c r="BF285" s="18">
        <v>0</v>
      </c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 t="s">
        <v>419</v>
      </c>
      <c r="CA285" s="18">
        <v>420</v>
      </c>
      <c r="CB285" s="18" t="s">
        <v>348</v>
      </c>
      <c r="CC285" s="18" t="s">
        <v>420</v>
      </c>
      <c r="CD285" s="18" t="b">
        <v>0</v>
      </c>
      <c r="CE285" s="18">
        <v>1400</v>
      </c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>
        <v>200</v>
      </c>
      <c r="GS285" s="18">
        <v>400</v>
      </c>
      <c r="GT285" s="18" t="s">
        <v>356</v>
      </c>
      <c r="GU285" s="18">
        <v>30061</v>
      </c>
      <c r="GV285" s="18" t="s">
        <v>339</v>
      </c>
      <c r="GW285" s="18" t="s">
        <v>339</v>
      </c>
      <c r="GX285" s="18" t="b">
        <v>1</v>
      </c>
      <c r="GY285" s="18">
        <v>5000</v>
      </c>
      <c r="GZ285" s="18" t="b">
        <v>0</v>
      </c>
      <c r="HA285" s="18">
        <v>0</v>
      </c>
      <c r="HB285" s="18">
        <v>0</v>
      </c>
      <c r="HC285" s="18">
        <v>0</v>
      </c>
      <c r="HD285" s="18">
        <v>0</v>
      </c>
      <c r="HE285" s="18" t="b">
        <v>0</v>
      </c>
      <c r="HF285" s="18">
        <v>0</v>
      </c>
      <c r="HG285" s="18">
        <v>10001</v>
      </c>
      <c r="HH285" s="18" t="s">
        <v>339</v>
      </c>
      <c r="HI285" s="18" t="s">
        <v>334</v>
      </c>
      <c r="HJ285" s="18">
        <v>0</v>
      </c>
      <c r="HK285" s="18">
        <v>0</v>
      </c>
      <c r="HL285" s="18">
        <v>0</v>
      </c>
      <c r="HM285" s="18">
        <v>0</v>
      </c>
      <c r="HN285" s="18" t="b">
        <v>0</v>
      </c>
    </row>
    <row r="286" spans="1:222">
      <c r="A286"/>
      <c r="B286" s="29" cm="1">
        <f t="array" ref="B286">10000000+INDEX(编号表!$B$1:$B$112,MATCH(D286,编号表!$A$1:$A$112,0))*10000+I286</f>
        <v>10280010</v>
      </c>
      <c r="C286" s="18" t="s">
        <v>417</v>
      </c>
      <c r="D286" s="18" t="s">
        <v>417</v>
      </c>
      <c r="E286" s="18" t="s">
        <v>322</v>
      </c>
      <c r="F286" s="18" t="s">
        <v>336</v>
      </c>
      <c r="G286" s="18" t="b">
        <v>0</v>
      </c>
      <c r="H286" s="18" t="b">
        <v>0</v>
      </c>
      <c r="I286" s="18">
        <v>10</v>
      </c>
      <c r="J286" s="18">
        <v>102800</v>
      </c>
      <c r="K286" s="18" t="s">
        <v>324</v>
      </c>
      <c r="L286" s="18">
        <v>10280009</v>
      </c>
      <c r="M286" s="18">
        <v>0</v>
      </c>
      <c r="N286" s="18" t="s">
        <v>418</v>
      </c>
      <c r="O286" s="18">
        <v>10202027</v>
      </c>
      <c r="P286" s="18">
        <v>0</v>
      </c>
      <c r="Q286" s="18">
        <v>3</v>
      </c>
      <c r="R286" s="18">
        <v>40</v>
      </c>
      <c r="S286" s="18">
        <v>0</v>
      </c>
      <c r="T286" s="18">
        <v>0</v>
      </c>
      <c r="U286" s="18" t="s">
        <v>338</v>
      </c>
      <c r="V286" s="18">
        <v>0</v>
      </c>
      <c r="W286" s="18">
        <v>0</v>
      </c>
      <c r="X286" s="18" t="s">
        <v>342</v>
      </c>
      <c r="Y286" s="18" t="s">
        <v>378</v>
      </c>
      <c r="Z286" s="18" t="s">
        <v>402</v>
      </c>
      <c r="AA286" s="18">
        <v>1</v>
      </c>
      <c r="AB286" s="18">
        <v>0</v>
      </c>
      <c r="AC286" s="18" t="b">
        <v>1</v>
      </c>
      <c r="AD286" s="18" t="s">
        <v>329</v>
      </c>
      <c r="AE286" s="18">
        <v>80</v>
      </c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 t="s">
        <v>339</v>
      </c>
      <c r="AZ286" s="18">
        <v>12000</v>
      </c>
      <c r="BA286" s="18" t="s">
        <v>346</v>
      </c>
      <c r="BB286" s="18" t="s">
        <v>402</v>
      </c>
      <c r="BC286" s="18">
        <v>10000</v>
      </c>
      <c r="BD286" s="18">
        <v>0</v>
      </c>
      <c r="BE286" s="18" t="s">
        <v>332</v>
      </c>
      <c r="BF286" s="18">
        <v>0</v>
      </c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 t="s">
        <v>419</v>
      </c>
      <c r="CA286" s="18">
        <v>420</v>
      </c>
      <c r="CB286" s="18" t="s">
        <v>348</v>
      </c>
      <c r="CC286" s="18" t="s">
        <v>420</v>
      </c>
      <c r="CD286" s="18" t="b">
        <v>0</v>
      </c>
      <c r="CE286" s="18">
        <v>1400</v>
      </c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>
        <v>200</v>
      </c>
      <c r="GS286" s="18">
        <v>400</v>
      </c>
      <c r="GT286" s="18" t="s">
        <v>356</v>
      </c>
      <c r="GU286" s="18">
        <v>30061</v>
      </c>
      <c r="GV286" s="18" t="s">
        <v>339</v>
      </c>
      <c r="GW286" s="18" t="s">
        <v>339</v>
      </c>
      <c r="GX286" s="18" t="b">
        <v>1</v>
      </c>
      <c r="GY286" s="18">
        <v>5000</v>
      </c>
      <c r="GZ286" s="18" t="b">
        <v>0</v>
      </c>
      <c r="HA286" s="18">
        <v>0</v>
      </c>
      <c r="HB286" s="18">
        <v>0</v>
      </c>
      <c r="HC286" s="18">
        <v>0</v>
      </c>
      <c r="HD286" s="18">
        <v>0</v>
      </c>
      <c r="HE286" s="18" t="b">
        <v>0</v>
      </c>
      <c r="HF286" s="18">
        <v>0</v>
      </c>
      <c r="HG286" s="18">
        <v>10001</v>
      </c>
      <c r="HH286" s="18" t="s">
        <v>339</v>
      </c>
      <c r="HI286" s="18" t="s">
        <v>334</v>
      </c>
      <c r="HJ286" s="18">
        <v>0</v>
      </c>
      <c r="HK286" s="18">
        <v>0</v>
      </c>
      <c r="HL286" s="18">
        <v>0</v>
      </c>
      <c r="HM286" s="18">
        <v>0</v>
      </c>
      <c r="HN286" s="18" t="b">
        <v>0</v>
      </c>
    </row>
    <row r="287" spans="1:222">
      <c r="B287" s="29" cm="1">
        <f t="array" ref="B287">10000000+INDEX(编号表!$B$1:$B$112,MATCH(D287,编号表!$A$1:$A$112,0))*10000+I287</f>
        <v>10500001</v>
      </c>
      <c r="C287" s="29" t="s">
        <v>421</v>
      </c>
      <c r="D287" s="29" t="s">
        <v>422</v>
      </c>
      <c r="E287" s="29" t="s">
        <v>423</v>
      </c>
      <c r="F287" s="29" t="s">
        <v>422</v>
      </c>
      <c r="G287" s="29">
        <v>1</v>
      </c>
      <c r="H287" s="29" t="b">
        <v>0</v>
      </c>
      <c r="I287" s="29">
        <v>1</v>
      </c>
      <c r="J287" s="29" t="str">
        <f>LEFT(B287,6)</f>
        <v>105000</v>
      </c>
      <c r="K287" s="29" t="s">
        <v>324</v>
      </c>
      <c r="M287" s="29">
        <f t="shared" ref="M287:M293" si="7">B288</f>
        <v>10500002</v>
      </c>
      <c r="N287" s="29" t="s">
        <v>424</v>
      </c>
      <c r="O287" s="29">
        <v>11002000</v>
      </c>
      <c r="P287" s="29">
        <v>0</v>
      </c>
      <c r="Q287" s="29">
        <v>0</v>
      </c>
      <c r="R287" s="29">
        <v>1</v>
      </c>
      <c r="T287" s="29">
        <v>100</v>
      </c>
      <c r="V287" s="29">
        <v>0</v>
      </c>
      <c r="W287" s="29">
        <v>0</v>
      </c>
      <c r="X287" s="29" t="s">
        <v>334</v>
      </c>
      <c r="Y287" s="29" t="s">
        <v>327</v>
      </c>
      <c r="Z287" s="29" t="s">
        <v>402</v>
      </c>
      <c r="AA287" s="29">
        <v>1</v>
      </c>
      <c r="AB287" s="29">
        <v>0</v>
      </c>
      <c r="AC287" s="29">
        <v>1</v>
      </c>
      <c r="AD287" s="29" t="s">
        <v>334</v>
      </c>
      <c r="AY287" s="29">
        <v>191</v>
      </c>
      <c r="AZ287" s="29">
        <v>0</v>
      </c>
      <c r="GR287" s="29">
        <v>0</v>
      </c>
      <c r="GS287" s="29">
        <v>0</v>
      </c>
      <c r="GT287" s="29" t="s">
        <v>425</v>
      </c>
      <c r="GU287" s="29">
        <v>0</v>
      </c>
      <c r="GX287" s="29">
        <v>0</v>
      </c>
      <c r="GZ287" s="29">
        <v>0</v>
      </c>
      <c r="HA287" s="29">
        <v>0</v>
      </c>
      <c r="HB287" s="29">
        <v>0</v>
      </c>
      <c r="HC287" s="29">
        <v>0</v>
      </c>
      <c r="HD287" s="29">
        <v>0</v>
      </c>
      <c r="HE287" s="29" t="b">
        <v>0</v>
      </c>
      <c r="HG287" s="29">
        <v>0</v>
      </c>
      <c r="HI287" s="29" t="s">
        <v>334</v>
      </c>
      <c r="HJ287" s="29">
        <v>0</v>
      </c>
      <c r="HK287" s="29">
        <v>0</v>
      </c>
      <c r="HL287" s="29">
        <v>0</v>
      </c>
    </row>
    <row r="288" spans="1:222">
      <c r="B288" s="29" cm="1">
        <f t="array" ref="B288">10000000+INDEX(编号表!$B$1:$B$112,MATCH(D288,编号表!$A$1:$A$112,0))*10000+I288</f>
        <v>10500002</v>
      </c>
      <c r="C288" s="29" t="s">
        <v>421</v>
      </c>
      <c r="D288" s="29" t="s">
        <v>422</v>
      </c>
      <c r="E288" s="29" t="s">
        <v>423</v>
      </c>
      <c r="F288" s="29" t="s">
        <v>422</v>
      </c>
      <c r="G288" s="29">
        <v>1</v>
      </c>
      <c r="H288" s="29" t="b">
        <v>0</v>
      </c>
      <c r="I288" s="29">
        <v>2</v>
      </c>
      <c r="J288" s="29" t="str">
        <f t="shared" ref="J288:J294" si="8">LEFT(B288,6)</f>
        <v>105000</v>
      </c>
      <c r="K288" s="29" t="s">
        <v>324</v>
      </c>
      <c r="L288" s="29">
        <f t="shared" ref="L288:L294" si="9">B287</f>
        <v>10500001</v>
      </c>
      <c r="M288" s="29">
        <f t="shared" si="7"/>
        <v>10500003</v>
      </c>
      <c r="N288" s="29" t="s">
        <v>424</v>
      </c>
      <c r="O288" s="29">
        <v>11002000</v>
      </c>
      <c r="P288" s="29">
        <v>0</v>
      </c>
      <c r="Q288" s="29">
        <v>0</v>
      </c>
      <c r="R288" s="29">
        <v>1</v>
      </c>
      <c r="T288" s="29">
        <v>100</v>
      </c>
      <c r="V288" s="29">
        <v>0</v>
      </c>
      <c r="W288" s="29">
        <v>0</v>
      </c>
      <c r="X288" s="29" t="s">
        <v>334</v>
      </c>
      <c r="Y288" s="29" t="s">
        <v>327</v>
      </c>
      <c r="Z288" s="29" t="s">
        <v>402</v>
      </c>
      <c r="AA288" s="29">
        <v>1</v>
      </c>
      <c r="AB288" s="29">
        <v>0</v>
      </c>
      <c r="AC288" s="29">
        <v>1</v>
      </c>
      <c r="AD288" s="29" t="s">
        <v>334</v>
      </c>
      <c r="AY288" s="29">
        <v>191</v>
      </c>
      <c r="AZ288" s="29">
        <v>0</v>
      </c>
      <c r="GR288" s="29">
        <v>0</v>
      </c>
      <c r="GS288" s="29">
        <v>0</v>
      </c>
      <c r="GT288" s="29" t="s">
        <v>425</v>
      </c>
      <c r="GU288" s="29">
        <v>0</v>
      </c>
      <c r="GX288" s="29">
        <v>0</v>
      </c>
      <c r="GZ288" s="29">
        <v>0</v>
      </c>
      <c r="HA288" s="29">
        <v>0</v>
      </c>
      <c r="HB288" s="29">
        <v>0</v>
      </c>
      <c r="HC288" s="29">
        <v>0</v>
      </c>
      <c r="HD288" s="29">
        <v>0</v>
      </c>
      <c r="HE288" s="29" t="b">
        <v>0</v>
      </c>
      <c r="HG288" s="29">
        <v>0</v>
      </c>
      <c r="HI288" s="29" t="s">
        <v>334</v>
      </c>
      <c r="HJ288" s="29">
        <v>0</v>
      </c>
      <c r="HK288" s="29">
        <v>0</v>
      </c>
      <c r="HL288" s="29">
        <v>0</v>
      </c>
    </row>
    <row r="289" spans="2:220">
      <c r="B289" s="29" cm="1">
        <f t="array" ref="B289">10000000+INDEX(编号表!$B$1:$B$112,MATCH(D289,编号表!$A$1:$A$112,0))*10000+I289</f>
        <v>10500003</v>
      </c>
      <c r="C289" s="29" t="s">
        <v>421</v>
      </c>
      <c r="D289" s="29" t="s">
        <v>422</v>
      </c>
      <c r="E289" s="29" t="s">
        <v>423</v>
      </c>
      <c r="F289" s="29" t="s">
        <v>422</v>
      </c>
      <c r="G289" s="29">
        <v>1</v>
      </c>
      <c r="H289" s="29" t="b">
        <v>0</v>
      </c>
      <c r="I289" s="29">
        <v>3</v>
      </c>
      <c r="J289" s="29" t="str">
        <f t="shared" si="8"/>
        <v>105000</v>
      </c>
      <c r="K289" s="29" t="s">
        <v>324</v>
      </c>
      <c r="L289" s="29">
        <f t="shared" si="9"/>
        <v>10500002</v>
      </c>
      <c r="M289" s="29">
        <f t="shared" si="7"/>
        <v>10500004</v>
      </c>
      <c r="N289" s="29" t="s">
        <v>424</v>
      </c>
      <c r="O289" s="29">
        <v>11002000</v>
      </c>
      <c r="P289" s="29">
        <v>0</v>
      </c>
      <c r="Q289" s="29">
        <v>0</v>
      </c>
      <c r="R289" s="29">
        <v>1</v>
      </c>
      <c r="T289" s="29">
        <v>100</v>
      </c>
      <c r="V289" s="29">
        <v>0</v>
      </c>
      <c r="W289" s="29">
        <v>0</v>
      </c>
      <c r="X289" s="29" t="s">
        <v>334</v>
      </c>
      <c r="Y289" s="29" t="s">
        <v>327</v>
      </c>
      <c r="Z289" s="29" t="s">
        <v>402</v>
      </c>
      <c r="AA289" s="29">
        <v>1</v>
      </c>
      <c r="AB289" s="29">
        <v>0</v>
      </c>
      <c r="AC289" s="29">
        <v>1</v>
      </c>
      <c r="AD289" s="29" t="s">
        <v>334</v>
      </c>
      <c r="AY289" s="29">
        <v>191</v>
      </c>
      <c r="AZ289" s="29">
        <v>0</v>
      </c>
      <c r="GR289" s="29">
        <v>0</v>
      </c>
      <c r="GS289" s="29">
        <v>0</v>
      </c>
      <c r="GT289" s="29" t="s">
        <v>425</v>
      </c>
      <c r="GU289" s="29">
        <v>0</v>
      </c>
      <c r="GX289" s="29">
        <v>0</v>
      </c>
      <c r="GZ289" s="29">
        <v>0</v>
      </c>
      <c r="HA289" s="29">
        <v>0</v>
      </c>
      <c r="HB289" s="29">
        <v>0</v>
      </c>
      <c r="HC289" s="29">
        <v>0</v>
      </c>
      <c r="HD289" s="29">
        <v>0</v>
      </c>
      <c r="HE289" s="29" t="b">
        <v>0</v>
      </c>
      <c r="HG289" s="29">
        <v>0</v>
      </c>
      <c r="HI289" s="29" t="s">
        <v>334</v>
      </c>
      <c r="HJ289" s="29">
        <v>0</v>
      </c>
      <c r="HK289" s="29">
        <v>0</v>
      </c>
      <c r="HL289" s="29">
        <v>0</v>
      </c>
    </row>
    <row r="290" spans="2:220">
      <c r="B290" s="29" cm="1">
        <f t="array" ref="B290">10000000+INDEX(编号表!$B$1:$B$112,MATCH(D290,编号表!$A$1:$A$112,0))*10000+I290</f>
        <v>10500004</v>
      </c>
      <c r="C290" s="29" t="s">
        <v>421</v>
      </c>
      <c r="D290" s="29" t="s">
        <v>422</v>
      </c>
      <c r="E290" s="29" t="s">
        <v>423</v>
      </c>
      <c r="F290" s="29" t="s">
        <v>422</v>
      </c>
      <c r="G290" s="29">
        <v>1</v>
      </c>
      <c r="H290" s="29" t="b">
        <v>0</v>
      </c>
      <c r="I290" s="29">
        <v>4</v>
      </c>
      <c r="J290" s="29" t="str">
        <f t="shared" si="8"/>
        <v>105000</v>
      </c>
      <c r="K290" s="29" t="s">
        <v>324</v>
      </c>
      <c r="L290" s="29">
        <f t="shared" si="9"/>
        <v>10500003</v>
      </c>
      <c r="M290" s="29">
        <f t="shared" si="7"/>
        <v>10500005</v>
      </c>
      <c r="N290" s="29" t="s">
        <v>424</v>
      </c>
      <c r="O290" s="29">
        <v>11002000</v>
      </c>
      <c r="P290" s="29">
        <v>0</v>
      </c>
      <c r="Q290" s="29">
        <v>0</v>
      </c>
      <c r="R290" s="29">
        <v>1</v>
      </c>
      <c r="T290" s="29">
        <v>100</v>
      </c>
      <c r="V290" s="29">
        <v>0</v>
      </c>
      <c r="W290" s="29">
        <v>0</v>
      </c>
      <c r="X290" s="29" t="s">
        <v>334</v>
      </c>
      <c r="Y290" s="29" t="s">
        <v>327</v>
      </c>
      <c r="Z290" s="29" t="s">
        <v>402</v>
      </c>
      <c r="AA290" s="29">
        <v>1</v>
      </c>
      <c r="AB290" s="29">
        <v>0</v>
      </c>
      <c r="AC290" s="29">
        <v>1</v>
      </c>
      <c r="AD290" s="29" t="s">
        <v>334</v>
      </c>
      <c r="AY290" s="29">
        <v>191</v>
      </c>
      <c r="AZ290" s="29">
        <v>0</v>
      </c>
      <c r="GR290" s="29">
        <v>0</v>
      </c>
      <c r="GS290" s="29">
        <v>0</v>
      </c>
      <c r="GT290" s="29" t="s">
        <v>425</v>
      </c>
      <c r="GU290" s="29">
        <v>0</v>
      </c>
      <c r="GX290" s="29">
        <v>0</v>
      </c>
      <c r="GZ290" s="29">
        <v>0</v>
      </c>
      <c r="HA290" s="29">
        <v>0</v>
      </c>
      <c r="HB290" s="29">
        <v>0</v>
      </c>
      <c r="HC290" s="29">
        <v>0</v>
      </c>
      <c r="HD290" s="29">
        <v>0</v>
      </c>
      <c r="HE290" s="29" t="b">
        <v>0</v>
      </c>
      <c r="HG290" s="29">
        <v>0</v>
      </c>
      <c r="HI290" s="29" t="s">
        <v>334</v>
      </c>
      <c r="HJ290" s="29">
        <v>0</v>
      </c>
      <c r="HK290" s="29">
        <v>0</v>
      </c>
      <c r="HL290" s="29">
        <v>0</v>
      </c>
    </row>
    <row r="291" spans="2:220">
      <c r="B291" s="29" cm="1">
        <f t="array" ref="B291">10000000+INDEX(编号表!$B$1:$B$112,MATCH(D291,编号表!$A$1:$A$112,0))*10000+I291</f>
        <v>10500005</v>
      </c>
      <c r="C291" s="29" t="s">
        <v>421</v>
      </c>
      <c r="D291" s="29" t="s">
        <v>422</v>
      </c>
      <c r="E291" s="29" t="s">
        <v>423</v>
      </c>
      <c r="F291" s="29" t="s">
        <v>422</v>
      </c>
      <c r="G291" s="29">
        <v>1</v>
      </c>
      <c r="H291" s="29" t="b">
        <v>0</v>
      </c>
      <c r="I291" s="29">
        <v>5</v>
      </c>
      <c r="J291" s="29" t="str">
        <f t="shared" si="8"/>
        <v>105000</v>
      </c>
      <c r="K291" s="29" t="s">
        <v>324</v>
      </c>
      <c r="L291" s="29">
        <f t="shared" si="9"/>
        <v>10500004</v>
      </c>
      <c r="M291" s="29">
        <f t="shared" si="7"/>
        <v>10500006</v>
      </c>
      <c r="N291" s="29" t="s">
        <v>424</v>
      </c>
      <c r="O291" s="29">
        <v>11002000</v>
      </c>
      <c r="P291" s="29">
        <v>0</v>
      </c>
      <c r="Q291" s="29">
        <v>0</v>
      </c>
      <c r="R291" s="29">
        <v>1</v>
      </c>
      <c r="T291" s="29">
        <v>100</v>
      </c>
      <c r="V291" s="29">
        <v>0</v>
      </c>
      <c r="W291" s="29">
        <v>0</v>
      </c>
      <c r="X291" s="29" t="s">
        <v>334</v>
      </c>
      <c r="Y291" s="29" t="s">
        <v>327</v>
      </c>
      <c r="Z291" s="29" t="s">
        <v>402</v>
      </c>
      <c r="AA291" s="29">
        <v>1</v>
      </c>
      <c r="AB291" s="29">
        <v>0</v>
      </c>
      <c r="AC291" s="29">
        <v>1</v>
      </c>
      <c r="AD291" s="29" t="s">
        <v>334</v>
      </c>
      <c r="AY291" s="29">
        <v>191</v>
      </c>
      <c r="AZ291" s="29">
        <v>0</v>
      </c>
      <c r="GR291" s="29">
        <v>0</v>
      </c>
      <c r="GS291" s="29">
        <v>0</v>
      </c>
      <c r="GT291" s="29" t="s">
        <v>425</v>
      </c>
      <c r="GU291" s="29">
        <v>0</v>
      </c>
      <c r="GX291" s="29">
        <v>0</v>
      </c>
      <c r="GZ291" s="29">
        <v>0</v>
      </c>
      <c r="HA291" s="29">
        <v>0</v>
      </c>
      <c r="HB291" s="29">
        <v>0</v>
      </c>
      <c r="HC291" s="29">
        <v>0</v>
      </c>
      <c r="HD291" s="29">
        <v>0</v>
      </c>
      <c r="HE291" s="29" t="b">
        <v>0</v>
      </c>
      <c r="HG291" s="29">
        <v>0</v>
      </c>
      <c r="HI291" s="29" t="s">
        <v>334</v>
      </c>
      <c r="HJ291" s="29">
        <v>0</v>
      </c>
      <c r="HK291" s="29">
        <v>0</v>
      </c>
      <c r="HL291" s="29">
        <v>0</v>
      </c>
    </row>
    <row r="292" spans="2:220">
      <c r="B292" s="29" cm="1">
        <f t="array" ref="B292">10000000+INDEX(编号表!$B$1:$B$112,MATCH(D292,编号表!$A$1:$A$112,0))*10000+I292</f>
        <v>10500006</v>
      </c>
      <c r="C292" s="29" t="s">
        <v>421</v>
      </c>
      <c r="D292" s="29" t="s">
        <v>422</v>
      </c>
      <c r="E292" s="29" t="s">
        <v>423</v>
      </c>
      <c r="F292" s="29" t="s">
        <v>422</v>
      </c>
      <c r="G292" s="29">
        <v>1</v>
      </c>
      <c r="H292" s="29" t="b">
        <v>0</v>
      </c>
      <c r="I292" s="29">
        <v>6</v>
      </c>
      <c r="J292" s="29" t="str">
        <f t="shared" si="8"/>
        <v>105000</v>
      </c>
      <c r="K292" s="29" t="s">
        <v>324</v>
      </c>
      <c r="L292" s="29">
        <f t="shared" si="9"/>
        <v>10500005</v>
      </c>
      <c r="M292" s="29">
        <f t="shared" si="7"/>
        <v>10500007</v>
      </c>
      <c r="N292" s="29" t="s">
        <v>424</v>
      </c>
      <c r="O292" s="29">
        <v>11002000</v>
      </c>
      <c r="P292" s="29">
        <v>0</v>
      </c>
      <c r="Q292" s="29">
        <v>0</v>
      </c>
      <c r="R292" s="29">
        <v>1</v>
      </c>
      <c r="T292" s="29">
        <v>100</v>
      </c>
      <c r="V292" s="29">
        <v>0</v>
      </c>
      <c r="W292" s="29">
        <v>0</v>
      </c>
      <c r="X292" s="29" t="s">
        <v>334</v>
      </c>
      <c r="Y292" s="29" t="s">
        <v>327</v>
      </c>
      <c r="Z292" s="29" t="s">
        <v>402</v>
      </c>
      <c r="AA292" s="29">
        <v>1</v>
      </c>
      <c r="AB292" s="29">
        <v>0</v>
      </c>
      <c r="AC292" s="29">
        <v>1</v>
      </c>
      <c r="AD292" s="29" t="s">
        <v>334</v>
      </c>
      <c r="AY292" s="29">
        <v>191</v>
      </c>
      <c r="AZ292" s="29">
        <v>0</v>
      </c>
      <c r="GR292" s="29">
        <v>0</v>
      </c>
      <c r="GS292" s="29">
        <v>0</v>
      </c>
      <c r="GT292" s="29" t="s">
        <v>425</v>
      </c>
      <c r="GU292" s="29">
        <v>0</v>
      </c>
      <c r="GX292" s="29">
        <v>0</v>
      </c>
      <c r="GZ292" s="29">
        <v>0</v>
      </c>
      <c r="HA292" s="29">
        <v>0</v>
      </c>
      <c r="HB292" s="29">
        <v>0</v>
      </c>
      <c r="HC292" s="29">
        <v>0</v>
      </c>
      <c r="HD292" s="29">
        <v>0</v>
      </c>
      <c r="HE292" s="29" t="b">
        <v>0</v>
      </c>
      <c r="HG292" s="29">
        <v>0</v>
      </c>
      <c r="HI292" s="29" t="s">
        <v>334</v>
      </c>
      <c r="HJ292" s="29">
        <v>0</v>
      </c>
      <c r="HK292" s="29">
        <v>0</v>
      </c>
      <c r="HL292" s="29">
        <v>0</v>
      </c>
    </row>
    <row r="293" spans="2:220">
      <c r="B293" s="29" cm="1">
        <f t="array" ref="B293">10000000+INDEX(编号表!$B$1:$B$112,MATCH(D293,编号表!$A$1:$A$112,0))*10000+I293</f>
        <v>10500007</v>
      </c>
      <c r="C293" s="29" t="s">
        <v>421</v>
      </c>
      <c r="D293" s="29" t="s">
        <v>422</v>
      </c>
      <c r="E293" s="29" t="s">
        <v>423</v>
      </c>
      <c r="F293" s="29" t="s">
        <v>422</v>
      </c>
      <c r="G293" s="29">
        <v>1</v>
      </c>
      <c r="H293" s="29" t="b">
        <v>0</v>
      </c>
      <c r="I293" s="29">
        <v>7</v>
      </c>
      <c r="J293" s="29" t="str">
        <f t="shared" si="8"/>
        <v>105000</v>
      </c>
      <c r="K293" s="29" t="s">
        <v>324</v>
      </c>
      <c r="L293" s="29">
        <f t="shared" si="9"/>
        <v>10500006</v>
      </c>
      <c r="M293" s="29">
        <f t="shared" si="7"/>
        <v>10500008</v>
      </c>
      <c r="N293" s="29" t="s">
        <v>424</v>
      </c>
      <c r="O293" s="29">
        <v>11002000</v>
      </c>
      <c r="P293" s="29">
        <v>0</v>
      </c>
      <c r="Q293" s="29">
        <v>0</v>
      </c>
      <c r="R293" s="29">
        <v>1</v>
      </c>
      <c r="T293" s="29">
        <v>100</v>
      </c>
      <c r="V293" s="29">
        <v>0</v>
      </c>
      <c r="W293" s="29">
        <v>0</v>
      </c>
      <c r="X293" s="29" t="s">
        <v>334</v>
      </c>
      <c r="Y293" s="29" t="s">
        <v>327</v>
      </c>
      <c r="Z293" s="29" t="s">
        <v>402</v>
      </c>
      <c r="AA293" s="29">
        <v>1</v>
      </c>
      <c r="AB293" s="29">
        <v>0</v>
      </c>
      <c r="AC293" s="29">
        <v>1</v>
      </c>
      <c r="AD293" s="29" t="s">
        <v>334</v>
      </c>
      <c r="AY293" s="29">
        <v>191</v>
      </c>
      <c r="AZ293" s="29">
        <v>0</v>
      </c>
      <c r="GR293" s="29">
        <v>0</v>
      </c>
      <c r="GS293" s="29">
        <v>0</v>
      </c>
      <c r="GT293" s="29" t="s">
        <v>425</v>
      </c>
      <c r="GU293" s="29">
        <v>0</v>
      </c>
      <c r="GX293" s="29">
        <v>0</v>
      </c>
      <c r="GZ293" s="29">
        <v>0</v>
      </c>
      <c r="HA293" s="29">
        <v>0</v>
      </c>
      <c r="HB293" s="29">
        <v>0</v>
      </c>
      <c r="HC293" s="29">
        <v>0</v>
      </c>
      <c r="HD293" s="29">
        <v>0</v>
      </c>
      <c r="HE293" s="29" t="b">
        <v>0</v>
      </c>
      <c r="HG293" s="29">
        <v>0</v>
      </c>
      <c r="HI293" s="29" t="s">
        <v>334</v>
      </c>
      <c r="HJ293" s="29">
        <v>0</v>
      </c>
      <c r="HK293" s="29">
        <v>0</v>
      </c>
      <c r="HL293" s="29">
        <v>0</v>
      </c>
    </row>
    <row r="294" spans="2:220">
      <c r="B294" s="29" cm="1">
        <f t="array" ref="B294">10000000+INDEX(编号表!$B$1:$B$112,MATCH(D294,编号表!$A$1:$A$112,0))*10000+I294</f>
        <v>10500008</v>
      </c>
      <c r="C294" s="29" t="s">
        <v>421</v>
      </c>
      <c r="D294" s="29" t="s">
        <v>422</v>
      </c>
      <c r="E294" s="29" t="s">
        <v>423</v>
      </c>
      <c r="F294" s="29" t="s">
        <v>422</v>
      </c>
      <c r="G294" s="29">
        <v>1</v>
      </c>
      <c r="H294" s="29" t="b">
        <v>0</v>
      </c>
      <c r="I294" s="29">
        <v>8</v>
      </c>
      <c r="J294" s="29" t="str">
        <f t="shared" si="8"/>
        <v>105000</v>
      </c>
      <c r="K294" s="29" t="s">
        <v>324</v>
      </c>
      <c r="L294" s="29">
        <f t="shared" si="9"/>
        <v>10500007</v>
      </c>
      <c r="N294" s="29" t="s">
        <v>424</v>
      </c>
      <c r="O294" s="29">
        <v>11002000</v>
      </c>
      <c r="P294" s="29">
        <v>0</v>
      </c>
      <c r="Q294" s="29">
        <v>0</v>
      </c>
      <c r="R294" s="29">
        <v>1</v>
      </c>
      <c r="T294" s="29">
        <v>100</v>
      </c>
      <c r="V294" s="29">
        <v>0</v>
      </c>
      <c r="W294" s="29">
        <v>0</v>
      </c>
      <c r="X294" s="29" t="s">
        <v>334</v>
      </c>
      <c r="Y294" s="29" t="s">
        <v>327</v>
      </c>
      <c r="Z294" s="29" t="s">
        <v>402</v>
      </c>
      <c r="AA294" s="29">
        <v>1</v>
      </c>
      <c r="AB294" s="29">
        <v>0</v>
      </c>
      <c r="AC294" s="29">
        <v>1</v>
      </c>
      <c r="AD294" s="29" t="s">
        <v>334</v>
      </c>
      <c r="AY294" s="29">
        <v>191</v>
      </c>
      <c r="AZ294" s="29">
        <v>0</v>
      </c>
      <c r="GR294" s="29">
        <v>0</v>
      </c>
      <c r="GS294" s="29">
        <v>0</v>
      </c>
      <c r="GT294" s="29" t="s">
        <v>425</v>
      </c>
      <c r="GU294" s="29">
        <v>0</v>
      </c>
      <c r="GX294" s="29">
        <v>0</v>
      </c>
      <c r="GZ294" s="29">
        <v>0</v>
      </c>
      <c r="HA294" s="29">
        <v>0</v>
      </c>
      <c r="HB294" s="29">
        <v>0</v>
      </c>
      <c r="HC294" s="29">
        <v>0</v>
      </c>
      <c r="HD294" s="29">
        <v>0</v>
      </c>
      <c r="HE294" s="29" t="b">
        <v>0</v>
      </c>
      <c r="HG294" s="29">
        <v>0</v>
      </c>
      <c r="HI294" s="29" t="s">
        <v>334</v>
      </c>
      <c r="HJ294" s="29">
        <v>0</v>
      </c>
      <c r="HK294" s="29">
        <v>0</v>
      </c>
      <c r="HL294" s="29">
        <v>0</v>
      </c>
    </row>
    <row r="295" spans="2:220">
      <c r="B295" s="29" cm="1">
        <f t="array" ref="B295">10000000+INDEX(编号表!$B$1:$B$112,MATCH(D295,编号表!$A$1:$A$112,0))*10000+I295</f>
        <v>10510001</v>
      </c>
      <c r="C295" s="29" t="s">
        <v>426</v>
      </c>
      <c r="D295" s="29" t="s">
        <v>427</v>
      </c>
      <c r="E295" s="29" t="s">
        <v>423</v>
      </c>
      <c r="F295" s="29" t="s">
        <v>427</v>
      </c>
      <c r="G295" s="29">
        <v>1</v>
      </c>
      <c r="H295" s="29" t="b">
        <v>0</v>
      </c>
      <c r="I295" s="29">
        <v>1</v>
      </c>
      <c r="J295" s="29" t="str">
        <f t="shared" ref="J295:J302" si="10">LEFT(B295,6)</f>
        <v>105100</v>
      </c>
      <c r="K295" s="29" t="s">
        <v>324</v>
      </c>
      <c r="M295" s="29">
        <f t="shared" ref="M295:M301" si="11">B296</f>
        <v>10510002</v>
      </c>
      <c r="N295" s="29" t="s">
        <v>428</v>
      </c>
      <c r="O295" s="29">
        <v>11002001</v>
      </c>
      <c r="P295" s="29">
        <v>0</v>
      </c>
      <c r="Q295" s="29">
        <v>0</v>
      </c>
      <c r="R295" s="29">
        <v>1</v>
      </c>
      <c r="T295" s="29">
        <v>100</v>
      </c>
      <c r="AY295" s="29" t="s">
        <v>425</v>
      </c>
      <c r="AZ295" s="29">
        <v>0</v>
      </c>
      <c r="GR295" s="29">
        <v>0</v>
      </c>
      <c r="GS295" s="29">
        <v>0</v>
      </c>
      <c r="GT295" s="29" t="s">
        <v>425</v>
      </c>
      <c r="GU295" s="29">
        <v>0</v>
      </c>
      <c r="GX295" s="29">
        <v>0</v>
      </c>
      <c r="GZ295" s="29">
        <v>0</v>
      </c>
      <c r="HA295" s="29">
        <v>0</v>
      </c>
      <c r="HB295" s="29">
        <v>0</v>
      </c>
      <c r="HC295" s="29">
        <v>0</v>
      </c>
      <c r="HD295" s="29">
        <v>0</v>
      </c>
      <c r="HE295" s="29" t="b">
        <v>0</v>
      </c>
      <c r="HG295" s="29">
        <v>0</v>
      </c>
      <c r="HI295" s="29" t="s">
        <v>334</v>
      </c>
      <c r="HJ295" s="29">
        <v>0</v>
      </c>
      <c r="HK295" s="29">
        <v>0</v>
      </c>
      <c r="HL295" s="29">
        <v>0</v>
      </c>
    </row>
    <row r="296" spans="2:220">
      <c r="B296" s="29" cm="1">
        <f t="array" ref="B296">10000000+INDEX(编号表!$B$1:$B$112,MATCH(D296,编号表!$A$1:$A$112,0))*10000+I296</f>
        <v>10510002</v>
      </c>
      <c r="C296" s="29" t="s">
        <v>426</v>
      </c>
      <c r="D296" s="29" t="s">
        <v>427</v>
      </c>
      <c r="E296" s="29" t="s">
        <v>423</v>
      </c>
      <c r="F296" s="29" t="s">
        <v>427</v>
      </c>
      <c r="G296" s="29">
        <v>1</v>
      </c>
      <c r="H296" s="29" t="b">
        <v>0</v>
      </c>
      <c r="I296" s="29">
        <v>2</v>
      </c>
      <c r="J296" s="29" t="str">
        <f t="shared" si="10"/>
        <v>105100</v>
      </c>
      <c r="K296" s="29" t="s">
        <v>324</v>
      </c>
      <c r="L296" s="29">
        <f t="shared" ref="L296:L302" si="12">B295</f>
        <v>10510001</v>
      </c>
      <c r="M296" s="29">
        <f t="shared" si="11"/>
        <v>10510003</v>
      </c>
      <c r="N296" s="29" t="s">
        <v>428</v>
      </c>
      <c r="O296" s="29">
        <v>11002001</v>
      </c>
      <c r="P296" s="29">
        <v>0</v>
      </c>
      <c r="Q296" s="29">
        <v>0</v>
      </c>
      <c r="R296" s="29">
        <v>1</v>
      </c>
      <c r="T296" s="29">
        <v>100</v>
      </c>
      <c r="AY296" s="29" t="s">
        <v>425</v>
      </c>
      <c r="AZ296" s="29">
        <v>0</v>
      </c>
      <c r="GR296" s="29">
        <v>0</v>
      </c>
      <c r="GS296" s="29">
        <v>0</v>
      </c>
      <c r="GT296" s="29" t="s">
        <v>425</v>
      </c>
      <c r="GU296" s="29">
        <v>0</v>
      </c>
      <c r="GX296" s="29">
        <v>0</v>
      </c>
      <c r="GZ296" s="29">
        <v>0</v>
      </c>
      <c r="HA296" s="29">
        <v>0</v>
      </c>
      <c r="HB296" s="29">
        <v>0</v>
      </c>
      <c r="HC296" s="29">
        <v>0</v>
      </c>
      <c r="HD296" s="29">
        <v>0</v>
      </c>
      <c r="HE296" s="29" t="b">
        <v>0</v>
      </c>
      <c r="HG296" s="29">
        <v>0</v>
      </c>
      <c r="HI296" s="29" t="s">
        <v>334</v>
      </c>
      <c r="HJ296" s="29">
        <v>0</v>
      </c>
      <c r="HK296" s="29">
        <v>0</v>
      </c>
      <c r="HL296" s="29">
        <v>0</v>
      </c>
    </row>
    <row r="297" spans="2:220">
      <c r="B297" s="29" cm="1">
        <f t="array" ref="B297">10000000+INDEX(编号表!$B$1:$B$112,MATCH(D297,编号表!$A$1:$A$112,0))*10000+I297</f>
        <v>10510003</v>
      </c>
      <c r="C297" s="29" t="s">
        <v>426</v>
      </c>
      <c r="D297" s="29" t="s">
        <v>427</v>
      </c>
      <c r="E297" s="29" t="s">
        <v>423</v>
      </c>
      <c r="F297" s="29" t="s">
        <v>427</v>
      </c>
      <c r="G297" s="29">
        <v>1</v>
      </c>
      <c r="H297" s="29" t="b">
        <v>0</v>
      </c>
      <c r="I297" s="29">
        <v>3</v>
      </c>
      <c r="J297" s="29" t="str">
        <f t="shared" si="10"/>
        <v>105100</v>
      </c>
      <c r="K297" s="29" t="s">
        <v>324</v>
      </c>
      <c r="L297" s="29">
        <f t="shared" si="12"/>
        <v>10510002</v>
      </c>
      <c r="M297" s="29">
        <f t="shared" si="11"/>
        <v>10510004</v>
      </c>
      <c r="N297" s="29" t="s">
        <v>428</v>
      </c>
      <c r="O297" s="29">
        <v>11002001</v>
      </c>
      <c r="P297" s="29">
        <v>0</v>
      </c>
      <c r="Q297" s="29">
        <v>0</v>
      </c>
      <c r="R297" s="29">
        <v>1</v>
      </c>
      <c r="T297" s="29">
        <v>100</v>
      </c>
      <c r="AY297" s="29" t="s">
        <v>425</v>
      </c>
      <c r="AZ297" s="29">
        <v>0</v>
      </c>
      <c r="GR297" s="29">
        <v>0</v>
      </c>
      <c r="GS297" s="29">
        <v>0</v>
      </c>
      <c r="GT297" s="29" t="s">
        <v>425</v>
      </c>
      <c r="GU297" s="29">
        <v>0</v>
      </c>
      <c r="GX297" s="29">
        <v>0</v>
      </c>
      <c r="GZ297" s="29">
        <v>0</v>
      </c>
      <c r="HA297" s="29">
        <v>0</v>
      </c>
      <c r="HB297" s="29">
        <v>0</v>
      </c>
      <c r="HC297" s="29">
        <v>0</v>
      </c>
      <c r="HD297" s="29">
        <v>0</v>
      </c>
      <c r="HE297" s="29" t="b">
        <v>0</v>
      </c>
      <c r="HG297" s="29">
        <v>0</v>
      </c>
      <c r="HI297" s="29" t="s">
        <v>334</v>
      </c>
      <c r="HJ297" s="29">
        <v>0</v>
      </c>
      <c r="HK297" s="29">
        <v>0</v>
      </c>
      <c r="HL297" s="29">
        <v>0</v>
      </c>
    </row>
    <row r="298" spans="2:220">
      <c r="B298" s="29" cm="1">
        <f t="array" ref="B298">10000000+INDEX(编号表!$B$1:$B$112,MATCH(D298,编号表!$A$1:$A$112,0))*10000+I298</f>
        <v>10510004</v>
      </c>
      <c r="C298" s="29" t="s">
        <v>426</v>
      </c>
      <c r="D298" s="29" t="s">
        <v>427</v>
      </c>
      <c r="E298" s="29" t="s">
        <v>423</v>
      </c>
      <c r="F298" s="29" t="s">
        <v>427</v>
      </c>
      <c r="G298" s="29">
        <v>1</v>
      </c>
      <c r="H298" s="29" t="b">
        <v>0</v>
      </c>
      <c r="I298" s="29">
        <v>4</v>
      </c>
      <c r="J298" s="29" t="str">
        <f t="shared" si="10"/>
        <v>105100</v>
      </c>
      <c r="K298" s="29" t="s">
        <v>324</v>
      </c>
      <c r="L298" s="29">
        <f t="shared" si="12"/>
        <v>10510003</v>
      </c>
      <c r="M298" s="29">
        <f t="shared" si="11"/>
        <v>10510005</v>
      </c>
      <c r="N298" s="29" t="s">
        <v>428</v>
      </c>
      <c r="O298" s="29">
        <v>11002001</v>
      </c>
      <c r="P298" s="29">
        <v>0</v>
      </c>
      <c r="Q298" s="29">
        <v>0</v>
      </c>
      <c r="R298" s="29">
        <v>1</v>
      </c>
      <c r="T298" s="29">
        <v>100</v>
      </c>
      <c r="AY298" s="29" t="s">
        <v>425</v>
      </c>
      <c r="AZ298" s="29">
        <v>0</v>
      </c>
      <c r="GR298" s="29">
        <v>0</v>
      </c>
      <c r="GS298" s="29">
        <v>0</v>
      </c>
      <c r="GT298" s="29" t="s">
        <v>425</v>
      </c>
      <c r="GU298" s="29">
        <v>0</v>
      </c>
      <c r="GX298" s="29">
        <v>0</v>
      </c>
      <c r="GZ298" s="29">
        <v>0</v>
      </c>
      <c r="HA298" s="29">
        <v>0</v>
      </c>
      <c r="HB298" s="29">
        <v>0</v>
      </c>
      <c r="HC298" s="29">
        <v>0</v>
      </c>
      <c r="HD298" s="29">
        <v>0</v>
      </c>
      <c r="HE298" s="29" t="b">
        <v>0</v>
      </c>
      <c r="HG298" s="29">
        <v>0</v>
      </c>
      <c r="HI298" s="29" t="s">
        <v>334</v>
      </c>
      <c r="HJ298" s="29">
        <v>0</v>
      </c>
      <c r="HK298" s="29">
        <v>0</v>
      </c>
      <c r="HL298" s="29">
        <v>0</v>
      </c>
    </row>
    <row r="299" spans="2:220">
      <c r="B299" s="29" cm="1">
        <f t="array" ref="B299">10000000+INDEX(编号表!$B$1:$B$112,MATCH(D299,编号表!$A$1:$A$112,0))*10000+I299</f>
        <v>10510005</v>
      </c>
      <c r="C299" s="29" t="s">
        <v>426</v>
      </c>
      <c r="D299" s="29" t="s">
        <v>427</v>
      </c>
      <c r="E299" s="29" t="s">
        <v>423</v>
      </c>
      <c r="F299" s="29" t="s">
        <v>427</v>
      </c>
      <c r="G299" s="29">
        <v>1</v>
      </c>
      <c r="H299" s="29" t="b">
        <v>0</v>
      </c>
      <c r="I299" s="29">
        <v>5</v>
      </c>
      <c r="J299" s="29" t="str">
        <f t="shared" si="10"/>
        <v>105100</v>
      </c>
      <c r="K299" s="29" t="s">
        <v>324</v>
      </c>
      <c r="L299" s="29">
        <f t="shared" si="12"/>
        <v>10510004</v>
      </c>
      <c r="M299" s="29">
        <f t="shared" si="11"/>
        <v>10510006</v>
      </c>
      <c r="N299" s="29" t="s">
        <v>428</v>
      </c>
      <c r="O299" s="29">
        <v>11002001</v>
      </c>
      <c r="P299" s="29">
        <v>0</v>
      </c>
      <c r="Q299" s="29">
        <v>0</v>
      </c>
      <c r="R299" s="29">
        <v>1</v>
      </c>
      <c r="T299" s="29">
        <v>100</v>
      </c>
      <c r="AY299" s="29" t="s">
        <v>425</v>
      </c>
      <c r="AZ299" s="29">
        <v>0</v>
      </c>
      <c r="GR299" s="29">
        <v>0</v>
      </c>
      <c r="GS299" s="29">
        <v>0</v>
      </c>
      <c r="GT299" s="29" t="s">
        <v>425</v>
      </c>
      <c r="GU299" s="29">
        <v>0</v>
      </c>
      <c r="GX299" s="29">
        <v>0</v>
      </c>
      <c r="GZ299" s="29">
        <v>0</v>
      </c>
      <c r="HA299" s="29">
        <v>0</v>
      </c>
      <c r="HB299" s="29">
        <v>0</v>
      </c>
      <c r="HC299" s="29">
        <v>0</v>
      </c>
      <c r="HD299" s="29">
        <v>0</v>
      </c>
      <c r="HE299" s="29" t="b">
        <v>0</v>
      </c>
      <c r="HG299" s="29">
        <v>0</v>
      </c>
      <c r="HI299" s="29" t="s">
        <v>334</v>
      </c>
      <c r="HJ299" s="29">
        <v>0</v>
      </c>
      <c r="HK299" s="29">
        <v>0</v>
      </c>
      <c r="HL299" s="29">
        <v>0</v>
      </c>
    </row>
    <row r="300" spans="2:220">
      <c r="B300" s="29" cm="1">
        <f t="array" ref="B300">10000000+INDEX(编号表!$B$1:$B$112,MATCH(D300,编号表!$A$1:$A$112,0))*10000+I300</f>
        <v>10510006</v>
      </c>
      <c r="C300" s="29" t="s">
        <v>426</v>
      </c>
      <c r="D300" s="29" t="s">
        <v>427</v>
      </c>
      <c r="E300" s="29" t="s">
        <v>423</v>
      </c>
      <c r="F300" s="29" t="s">
        <v>427</v>
      </c>
      <c r="G300" s="29">
        <v>1</v>
      </c>
      <c r="H300" s="29" t="b">
        <v>0</v>
      </c>
      <c r="I300" s="29">
        <v>6</v>
      </c>
      <c r="J300" s="29" t="str">
        <f t="shared" si="10"/>
        <v>105100</v>
      </c>
      <c r="K300" s="29" t="s">
        <v>324</v>
      </c>
      <c r="L300" s="29">
        <f t="shared" si="12"/>
        <v>10510005</v>
      </c>
      <c r="M300" s="29">
        <f t="shared" si="11"/>
        <v>10510007</v>
      </c>
      <c r="N300" s="29" t="s">
        <v>428</v>
      </c>
      <c r="O300" s="29">
        <v>11002001</v>
      </c>
      <c r="P300" s="29">
        <v>0</v>
      </c>
      <c r="Q300" s="29">
        <v>0</v>
      </c>
      <c r="R300" s="29">
        <v>1</v>
      </c>
      <c r="T300" s="29">
        <v>100</v>
      </c>
      <c r="AY300" s="29" t="s">
        <v>425</v>
      </c>
      <c r="AZ300" s="29">
        <v>0</v>
      </c>
      <c r="GR300" s="29">
        <v>0</v>
      </c>
      <c r="GS300" s="29">
        <v>0</v>
      </c>
      <c r="GT300" s="29" t="s">
        <v>425</v>
      </c>
      <c r="GU300" s="29">
        <v>0</v>
      </c>
      <c r="GX300" s="29">
        <v>0</v>
      </c>
      <c r="GZ300" s="29">
        <v>0</v>
      </c>
      <c r="HA300" s="29">
        <v>0</v>
      </c>
      <c r="HB300" s="29">
        <v>0</v>
      </c>
      <c r="HC300" s="29">
        <v>0</v>
      </c>
      <c r="HD300" s="29">
        <v>0</v>
      </c>
      <c r="HE300" s="29" t="b">
        <v>0</v>
      </c>
      <c r="HG300" s="29">
        <v>0</v>
      </c>
      <c r="HI300" s="29" t="s">
        <v>334</v>
      </c>
      <c r="HJ300" s="29">
        <v>0</v>
      </c>
      <c r="HK300" s="29">
        <v>0</v>
      </c>
      <c r="HL300" s="29">
        <v>0</v>
      </c>
    </row>
    <row r="301" spans="2:220">
      <c r="B301" s="29" cm="1">
        <f t="array" ref="B301">10000000+INDEX(编号表!$B$1:$B$112,MATCH(D301,编号表!$A$1:$A$112,0))*10000+I301</f>
        <v>10510007</v>
      </c>
      <c r="C301" s="29" t="s">
        <v>426</v>
      </c>
      <c r="D301" s="29" t="s">
        <v>427</v>
      </c>
      <c r="E301" s="29" t="s">
        <v>423</v>
      </c>
      <c r="F301" s="29" t="s">
        <v>427</v>
      </c>
      <c r="G301" s="29">
        <v>1</v>
      </c>
      <c r="H301" s="29" t="b">
        <v>0</v>
      </c>
      <c r="I301" s="29">
        <v>7</v>
      </c>
      <c r="J301" s="29" t="str">
        <f t="shared" si="10"/>
        <v>105100</v>
      </c>
      <c r="K301" s="29" t="s">
        <v>324</v>
      </c>
      <c r="L301" s="29">
        <f t="shared" si="12"/>
        <v>10510006</v>
      </c>
      <c r="M301" s="29">
        <f t="shared" si="11"/>
        <v>10510008</v>
      </c>
      <c r="N301" s="29" t="s">
        <v>428</v>
      </c>
      <c r="O301" s="29">
        <v>11002001</v>
      </c>
      <c r="P301" s="29">
        <v>0</v>
      </c>
      <c r="Q301" s="29">
        <v>0</v>
      </c>
      <c r="R301" s="29">
        <v>1</v>
      </c>
      <c r="T301" s="29">
        <v>100</v>
      </c>
      <c r="AY301" s="29" t="s">
        <v>425</v>
      </c>
      <c r="AZ301" s="29">
        <v>0</v>
      </c>
      <c r="GR301" s="29">
        <v>0</v>
      </c>
      <c r="GS301" s="29">
        <v>0</v>
      </c>
      <c r="GT301" s="29" t="s">
        <v>425</v>
      </c>
      <c r="GU301" s="29">
        <v>0</v>
      </c>
      <c r="GX301" s="29">
        <v>0</v>
      </c>
      <c r="GZ301" s="29">
        <v>0</v>
      </c>
      <c r="HA301" s="29">
        <v>0</v>
      </c>
      <c r="HB301" s="29">
        <v>0</v>
      </c>
      <c r="HC301" s="29">
        <v>0</v>
      </c>
      <c r="HD301" s="29">
        <v>0</v>
      </c>
      <c r="HE301" s="29" t="b">
        <v>0</v>
      </c>
      <c r="HG301" s="29">
        <v>0</v>
      </c>
      <c r="HI301" s="29" t="s">
        <v>334</v>
      </c>
      <c r="HJ301" s="29">
        <v>0</v>
      </c>
      <c r="HK301" s="29">
        <v>0</v>
      </c>
      <c r="HL301" s="29">
        <v>0</v>
      </c>
    </row>
    <row r="302" spans="2:220">
      <c r="B302" s="29" cm="1">
        <f t="array" ref="B302">10000000+INDEX(编号表!$B$1:$B$112,MATCH(D302,编号表!$A$1:$A$112,0))*10000+I302</f>
        <v>10510008</v>
      </c>
      <c r="C302" s="29" t="s">
        <v>426</v>
      </c>
      <c r="D302" s="29" t="s">
        <v>427</v>
      </c>
      <c r="E302" s="29" t="s">
        <v>423</v>
      </c>
      <c r="F302" s="29" t="s">
        <v>427</v>
      </c>
      <c r="G302" s="29">
        <v>1</v>
      </c>
      <c r="H302" s="29" t="b">
        <v>0</v>
      </c>
      <c r="I302" s="29">
        <v>8</v>
      </c>
      <c r="J302" s="29" t="str">
        <f t="shared" si="10"/>
        <v>105100</v>
      </c>
      <c r="K302" s="29" t="s">
        <v>324</v>
      </c>
      <c r="L302" s="29">
        <f t="shared" si="12"/>
        <v>10510007</v>
      </c>
      <c r="N302" s="29" t="s">
        <v>428</v>
      </c>
      <c r="O302" s="29">
        <v>11002001</v>
      </c>
      <c r="P302" s="29">
        <v>0</v>
      </c>
      <c r="Q302" s="29">
        <v>0</v>
      </c>
      <c r="R302" s="29">
        <v>1</v>
      </c>
      <c r="T302" s="29">
        <v>100</v>
      </c>
      <c r="AY302" s="29" t="s">
        <v>425</v>
      </c>
      <c r="AZ302" s="29">
        <v>0</v>
      </c>
      <c r="GR302" s="29">
        <v>0</v>
      </c>
      <c r="GS302" s="29">
        <v>0</v>
      </c>
      <c r="GT302" s="29" t="s">
        <v>425</v>
      </c>
      <c r="GU302" s="29">
        <v>0</v>
      </c>
      <c r="GX302" s="29">
        <v>0</v>
      </c>
      <c r="GZ302" s="29">
        <v>0</v>
      </c>
      <c r="HA302" s="29">
        <v>0</v>
      </c>
      <c r="HB302" s="29">
        <v>0</v>
      </c>
      <c r="HC302" s="29">
        <v>0</v>
      </c>
      <c r="HD302" s="29">
        <v>0</v>
      </c>
      <c r="HE302" s="29" t="b">
        <v>0</v>
      </c>
      <c r="HG302" s="29">
        <v>0</v>
      </c>
      <c r="HI302" s="29" t="s">
        <v>334</v>
      </c>
      <c r="HJ302" s="29">
        <v>0</v>
      </c>
      <c r="HK302" s="29">
        <v>0</v>
      </c>
      <c r="HL302" s="29">
        <v>0</v>
      </c>
    </row>
    <row r="303" spans="2:220">
      <c r="B303" s="29" cm="1">
        <f t="array" ref="B303">10000000+INDEX(编号表!$B$1:$B$112,MATCH(D303,编号表!$A$1:$A$112,0))*10000+I303</f>
        <v>10520001</v>
      </c>
      <c r="C303" s="29" t="s">
        <v>429</v>
      </c>
      <c r="D303" s="29" t="s">
        <v>430</v>
      </c>
      <c r="E303" s="29" t="s">
        <v>423</v>
      </c>
      <c r="F303" s="29" t="s">
        <v>430</v>
      </c>
      <c r="G303" s="29">
        <v>1</v>
      </c>
      <c r="H303" s="29" t="b">
        <v>0</v>
      </c>
      <c r="I303" s="29">
        <v>1</v>
      </c>
      <c r="J303" s="29" t="str">
        <f t="shared" ref="J303:J310" si="13">LEFT(B303,6)</f>
        <v>105200</v>
      </c>
      <c r="K303" s="29" t="s">
        <v>324</v>
      </c>
      <c r="M303" s="29">
        <f t="shared" ref="M303:M309" si="14">B304</f>
        <v>10520002</v>
      </c>
      <c r="N303" s="29" t="s">
        <v>431</v>
      </c>
      <c r="O303" s="29">
        <v>11002002</v>
      </c>
      <c r="P303" s="29">
        <v>0</v>
      </c>
      <c r="Q303" s="29">
        <v>0</v>
      </c>
      <c r="R303" s="29">
        <v>1</v>
      </c>
      <c r="T303" s="29">
        <v>100</v>
      </c>
      <c r="AY303" s="29" t="s">
        <v>425</v>
      </c>
      <c r="AZ303" s="29">
        <v>0</v>
      </c>
      <c r="GR303" s="29">
        <v>0</v>
      </c>
      <c r="GS303" s="29">
        <v>0</v>
      </c>
      <c r="GT303" s="29" t="s">
        <v>425</v>
      </c>
      <c r="GU303" s="29">
        <v>0</v>
      </c>
      <c r="GX303" s="29">
        <v>0</v>
      </c>
      <c r="GZ303" s="29">
        <v>0</v>
      </c>
      <c r="HA303" s="29">
        <v>0</v>
      </c>
      <c r="HB303" s="29">
        <v>0</v>
      </c>
      <c r="HC303" s="29">
        <v>0</v>
      </c>
      <c r="HD303" s="29">
        <v>0</v>
      </c>
      <c r="HE303" s="29" t="b">
        <v>0</v>
      </c>
      <c r="HG303" s="29">
        <v>0</v>
      </c>
      <c r="HI303" s="29" t="s">
        <v>334</v>
      </c>
      <c r="HJ303" s="29">
        <v>0</v>
      </c>
      <c r="HK303" s="29">
        <v>0</v>
      </c>
      <c r="HL303" s="29">
        <v>0</v>
      </c>
    </row>
    <row r="304" spans="2:220">
      <c r="B304" s="29" cm="1">
        <f t="array" ref="B304">10000000+INDEX(编号表!$B$1:$B$112,MATCH(D304,编号表!$A$1:$A$112,0))*10000+I304</f>
        <v>10520002</v>
      </c>
      <c r="C304" s="29" t="s">
        <v>429</v>
      </c>
      <c r="D304" s="29" t="s">
        <v>430</v>
      </c>
      <c r="E304" s="29" t="s">
        <v>423</v>
      </c>
      <c r="F304" s="29" t="s">
        <v>430</v>
      </c>
      <c r="G304" s="29">
        <v>1</v>
      </c>
      <c r="H304" s="29" t="b">
        <v>0</v>
      </c>
      <c r="I304" s="29">
        <v>2</v>
      </c>
      <c r="J304" s="29" t="str">
        <f t="shared" si="13"/>
        <v>105200</v>
      </c>
      <c r="K304" s="29" t="s">
        <v>324</v>
      </c>
      <c r="L304" s="29">
        <f t="shared" ref="L304:L310" si="15">B303</f>
        <v>10520001</v>
      </c>
      <c r="M304" s="29">
        <f t="shared" si="14"/>
        <v>10520003</v>
      </c>
      <c r="N304" s="29" t="s">
        <v>431</v>
      </c>
      <c r="O304" s="29">
        <v>11002002</v>
      </c>
      <c r="P304" s="29">
        <v>0</v>
      </c>
      <c r="Q304" s="29">
        <v>0</v>
      </c>
      <c r="R304" s="29">
        <v>1</v>
      </c>
      <c r="T304" s="29">
        <v>100</v>
      </c>
      <c r="AY304" s="29" t="s">
        <v>425</v>
      </c>
      <c r="AZ304" s="29">
        <v>0</v>
      </c>
      <c r="GR304" s="29">
        <v>0</v>
      </c>
      <c r="GS304" s="29">
        <v>0</v>
      </c>
      <c r="GT304" s="29" t="s">
        <v>425</v>
      </c>
      <c r="GU304" s="29">
        <v>0</v>
      </c>
      <c r="GX304" s="29">
        <v>0</v>
      </c>
      <c r="GZ304" s="29">
        <v>0</v>
      </c>
      <c r="HA304" s="29">
        <v>0</v>
      </c>
      <c r="HB304" s="29">
        <v>0</v>
      </c>
      <c r="HC304" s="29">
        <v>0</v>
      </c>
      <c r="HD304" s="29">
        <v>0</v>
      </c>
      <c r="HE304" s="29" t="b">
        <v>0</v>
      </c>
      <c r="HG304" s="29">
        <v>0</v>
      </c>
      <c r="HI304" s="29" t="s">
        <v>334</v>
      </c>
      <c r="HJ304" s="29">
        <v>0</v>
      </c>
      <c r="HK304" s="29">
        <v>0</v>
      </c>
      <c r="HL304" s="29">
        <v>0</v>
      </c>
    </row>
    <row r="305" spans="2:220">
      <c r="B305" s="29" cm="1">
        <f t="array" ref="B305">10000000+INDEX(编号表!$B$1:$B$112,MATCH(D305,编号表!$A$1:$A$112,0))*10000+I305</f>
        <v>10520003</v>
      </c>
      <c r="C305" s="29" t="s">
        <v>429</v>
      </c>
      <c r="D305" s="29" t="s">
        <v>430</v>
      </c>
      <c r="E305" s="29" t="s">
        <v>423</v>
      </c>
      <c r="F305" s="29" t="s">
        <v>430</v>
      </c>
      <c r="G305" s="29">
        <v>1</v>
      </c>
      <c r="H305" s="29" t="b">
        <v>0</v>
      </c>
      <c r="I305" s="29">
        <v>3</v>
      </c>
      <c r="J305" s="29" t="str">
        <f t="shared" si="13"/>
        <v>105200</v>
      </c>
      <c r="K305" s="29" t="s">
        <v>324</v>
      </c>
      <c r="L305" s="29">
        <f t="shared" si="15"/>
        <v>10520002</v>
      </c>
      <c r="M305" s="29">
        <f t="shared" si="14"/>
        <v>10520004</v>
      </c>
      <c r="N305" s="29" t="s">
        <v>431</v>
      </c>
      <c r="O305" s="29">
        <v>11002002</v>
      </c>
      <c r="P305" s="29">
        <v>0</v>
      </c>
      <c r="Q305" s="29">
        <v>0</v>
      </c>
      <c r="R305" s="29">
        <v>1</v>
      </c>
      <c r="T305" s="29">
        <v>100</v>
      </c>
      <c r="AY305" s="29" t="s">
        <v>425</v>
      </c>
      <c r="AZ305" s="29">
        <v>0</v>
      </c>
      <c r="GR305" s="29">
        <v>0</v>
      </c>
      <c r="GS305" s="29">
        <v>0</v>
      </c>
      <c r="GT305" s="29" t="s">
        <v>425</v>
      </c>
      <c r="GU305" s="29">
        <v>0</v>
      </c>
      <c r="GX305" s="29">
        <v>0</v>
      </c>
      <c r="GZ305" s="29">
        <v>0</v>
      </c>
      <c r="HA305" s="29">
        <v>0</v>
      </c>
      <c r="HB305" s="29">
        <v>0</v>
      </c>
      <c r="HC305" s="29">
        <v>0</v>
      </c>
      <c r="HD305" s="29">
        <v>0</v>
      </c>
      <c r="HE305" s="29" t="b">
        <v>0</v>
      </c>
      <c r="HG305" s="29">
        <v>0</v>
      </c>
      <c r="HI305" s="29" t="s">
        <v>334</v>
      </c>
      <c r="HJ305" s="29">
        <v>0</v>
      </c>
      <c r="HK305" s="29">
        <v>0</v>
      </c>
      <c r="HL305" s="29">
        <v>0</v>
      </c>
    </row>
    <row r="306" spans="2:220">
      <c r="B306" s="29" cm="1">
        <f t="array" ref="B306">10000000+INDEX(编号表!$B$1:$B$112,MATCH(D306,编号表!$A$1:$A$112,0))*10000+I306</f>
        <v>10520004</v>
      </c>
      <c r="C306" s="29" t="s">
        <v>429</v>
      </c>
      <c r="D306" s="29" t="s">
        <v>430</v>
      </c>
      <c r="E306" s="29" t="s">
        <v>423</v>
      </c>
      <c r="F306" s="29" t="s">
        <v>430</v>
      </c>
      <c r="G306" s="29">
        <v>1</v>
      </c>
      <c r="H306" s="29" t="b">
        <v>0</v>
      </c>
      <c r="I306" s="29">
        <v>4</v>
      </c>
      <c r="J306" s="29" t="str">
        <f t="shared" si="13"/>
        <v>105200</v>
      </c>
      <c r="K306" s="29" t="s">
        <v>324</v>
      </c>
      <c r="L306" s="29">
        <f t="shared" si="15"/>
        <v>10520003</v>
      </c>
      <c r="M306" s="29">
        <f t="shared" si="14"/>
        <v>10520005</v>
      </c>
      <c r="N306" s="29" t="s">
        <v>431</v>
      </c>
      <c r="O306" s="29">
        <v>11002002</v>
      </c>
      <c r="P306" s="29">
        <v>0</v>
      </c>
      <c r="Q306" s="29">
        <v>0</v>
      </c>
      <c r="R306" s="29">
        <v>1</v>
      </c>
      <c r="T306" s="29">
        <v>100</v>
      </c>
      <c r="AY306" s="29" t="s">
        <v>425</v>
      </c>
      <c r="AZ306" s="29">
        <v>0</v>
      </c>
      <c r="GR306" s="29">
        <v>0</v>
      </c>
      <c r="GS306" s="29">
        <v>0</v>
      </c>
      <c r="GT306" s="29" t="s">
        <v>425</v>
      </c>
      <c r="GU306" s="29">
        <v>0</v>
      </c>
      <c r="GX306" s="29">
        <v>0</v>
      </c>
      <c r="GZ306" s="29">
        <v>0</v>
      </c>
      <c r="HA306" s="29">
        <v>0</v>
      </c>
      <c r="HB306" s="29">
        <v>0</v>
      </c>
      <c r="HC306" s="29">
        <v>0</v>
      </c>
      <c r="HD306" s="29">
        <v>0</v>
      </c>
      <c r="HE306" s="29" t="b">
        <v>0</v>
      </c>
      <c r="HG306" s="29">
        <v>0</v>
      </c>
      <c r="HI306" s="29" t="s">
        <v>334</v>
      </c>
      <c r="HJ306" s="29">
        <v>0</v>
      </c>
      <c r="HK306" s="29">
        <v>0</v>
      </c>
      <c r="HL306" s="29">
        <v>0</v>
      </c>
    </row>
    <row r="307" spans="2:220">
      <c r="B307" s="29" cm="1">
        <f t="array" ref="B307">10000000+INDEX(编号表!$B$1:$B$112,MATCH(D307,编号表!$A$1:$A$112,0))*10000+I307</f>
        <v>10520005</v>
      </c>
      <c r="C307" s="29" t="s">
        <v>429</v>
      </c>
      <c r="D307" s="29" t="s">
        <v>430</v>
      </c>
      <c r="E307" s="29" t="s">
        <v>423</v>
      </c>
      <c r="F307" s="29" t="s">
        <v>430</v>
      </c>
      <c r="G307" s="29">
        <v>1</v>
      </c>
      <c r="H307" s="29" t="b">
        <v>0</v>
      </c>
      <c r="I307" s="29">
        <v>5</v>
      </c>
      <c r="J307" s="29" t="str">
        <f t="shared" si="13"/>
        <v>105200</v>
      </c>
      <c r="K307" s="29" t="s">
        <v>324</v>
      </c>
      <c r="L307" s="29">
        <f t="shared" si="15"/>
        <v>10520004</v>
      </c>
      <c r="M307" s="29">
        <f t="shared" si="14"/>
        <v>10520006</v>
      </c>
      <c r="N307" s="29" t="s">
        <v>431</v>
      </c>
      <c r="O307" s="29">
        <v>11002002</v>
      </c>
      <c r="P307" s="29">
        <v>0</v>
      </c>
      <c r="Q307" s="29">
        <v>0</v>
      </c>
      <c r="R307" s="29">
        <v>1</v>
      </c>
      <c r="T307" s="29">
        <v>100</v>
      </c>
      <c r="AY307" s="29" t="s">
        <v>425</v>
      </c>
      <c r="AZ307" s="29">
        <v>0</v>
      </c>
      <c r="GR307" s="29">
        <v>0</v>
      </c>
      <c r="GS307" s="29">
        <v>0</v>
      </c>
      <c r="GT307" s="29" t="s">
        <v>425</v>
      </c>
      <c r="GU307" s="29">
        <v>0</v>
      </c>
      <c r="GX307" s="29">
        <v>0</v>
      </c>
      <c r="GZ307" s="29">
        <v>0</v>
      </c>
      <c r="HA307" s="29">
        <v>0</v>
      </c>
      <c r="HB307" s="29">
        <v>0</v>
      </c>
      <c r="HC307" s="29">
        <v>0</v>
      </c>
      <c r="HD307" s="29">
        <v>0</v>
      </c>
      <c r="HE307" s="29" t="b">
        <v>0</v>
      </c>
      <c r="HG307" s="29">
        <v>0</v>
      </c>
      <c r="HI307" s="29" t="s">
        <v>334</v>
      </c>
      <c r="HJ307" s="29">
        <v>0</v>
      </c>
      <c r="HK307" s="29">
        <v>0</v>
      </c>
      <c r="HL307" s="29">
        <v>0</v>
      </c>
    </row>
    <row r="308" spans="2:220">
      <c r="B308" s="29" cm="1">
        <f t="array" ref="B308">10000000+INDEX(编号表!$B$1:$B$112,MATCH(D308,编号表!$A$1:$A$112,0))*10000+I308</f>
        <v>10520006</v>
      </c>
      <c r="C308" s="29" t="s">
        <v>429</v>
      </c>
      <c r="D308" s="29" t="s">
        <v>430</v>
      </c>
      <c r="E308" s="29" t="s">
        <v>423</v>
      </c>
      <c r="F308" s="29" t="s">
        <v>430</v>
      </c>
      <c r="G308" s="29">
        <v>1</v>
      </c>
      <c r="H308" s="29" t="b">
        <v>0</v>
      </c>
      <c r="I308" s="29">
        <v>6</v>
      </c>
      <c r="J308" s="29" t="str">
        <f t="shared" si="13"/>
        <v>105200</v>
      </c>
      <c r="K308" s="29" t="s">
        <v>324</v>
      </c>
      <c r="L308" s="29">
        <f t="shared" si="15"/>
        <v>10520005</v>
      </c>
      <c r="M308" s="29">
        <f t="shared" si="14"/>
        <v>10520007</v>
      </c>
      <c r="N308" s="29" t="s">
        <v>431</v>
      </c>
      <c r="O308" s="29">
        <v>11002002</v>
      </c>
      <c r="P308" s="29">
        <v>0</v>
      </c>
      <c r="Q308" s="29">
        <v>0</v>
      </c>
      <c r="R308" s="29">
        <v>1</v>
      </c>
      <c r="T308" s="29">
        <v>100</v>
      </c>
      <c r="AY308" s="29" t="s">
        <v>425</v>
      </c>
      <c r="AZ308" s="29">
        <v>0</v>
      </c>
      <c r="GR308" s="29">
        <v>0</v>
      </c>
      <c r="GS308" s="29">
        <v>0</v>
      </c>
      <c r="GT308" s="29" t="s">
        <v>425</v>
      </c>
      <c r="GU308" s="29">
        <v>0</v>
      </c>
      <c r="GX308" s="29">
        <v>0</v>
      </c>
      <c r="GZ308" s="29">
        <v>0</v>
      </c>
      <c r="HA308" s="29">
        <v>0</v>
      </c>
      <c r="HB308" s="29">
        <v>0</v>
      </c>
      <c r="HC308" s="29">
        <v>0</v>
      </c>
      <c r="HD308" s="29">
        <v>0</v>
      </c>
      <c r="HE308" s="29" t="b">
        <v>0</v>
      </c>
      <c r="HG308" s="29">
        <v>0</v>
      </c>
      <c r="HI308" s="29" t="s">
        <v>334</v>
      </c>
      <c r="HJ308" s="29">
        <v>0</v>
      </c>
      <c r="HK308" s="29">
        <v>0</v>
      </c>
      <c r="HL308" s="29">
        <v>0</v>
      </c>
    </row>
    <row r="309" spans="2:220">
      <c r="B309" s="29" cm="1">
        <f t="array" ref="B309">10000000+INDEX(编号表!$B$1:$B$112,MATCH(D309,编号表!$A$1:$A$112,0))*10000+I309</f>
        <v>10520007</v>
      </c>
      <c r="C309" s="29" t="s">
        <v>429</v>
      </c>
      <c r="D309" s="29" t="s">
        <v>430</v>
      </c>
      <c r="E309" s="29" t="s">
        <v>423</v>
      </c>
      <c r="F309" s="29" t="s">
        <v>430</v>
      </c>
      <c r="G309" s="29">
        <v>1</v>
      </c>
      <c r="H309" s="29" t="b">
        <v>0</v>
      </c>
      <c r="I309" s="29">
        <v>7</v>
      </c>
      <c r="J309" s="29" t="str">
        <f t="shared" si="13"/>
        <v>105200</v>
      </c>
      <c r="K309" s="29" t="s">
        <v>324</v>
      </c>
      <c r="L309" s="29">
        <f t="shared" si="15"/>
        <v>10520006</v>
      </c>
      <c r="M309" s="29">
        <f t="shared" si="14"/>
        <v>10520008</v>
      </c>
      <c r="N309" s="29" t="s">
        <v>431</v>
      </c>
      <c r="O309" s="29">
        <v>11002002</v>
      </c>
      <c r="P309" s="29">
        <v>0</v>
      </c>
      <c r="Q309" s="29">
        <v>0</v>
      </c>
      <c r="R309" s="29">
        <v>1</v>
      </c>
      <c r="T309" s="29">
        <v>100</v>
      </c>
      <c r="AY309" s="29" t="s">
        <v>425</v>
      </c>
      <c r="AZ309" s="29">
        <v>0</v>
      </c>
      <c r="GR309" s="29">
        <v>0</v>
      </c>
      <c r="GS309" s="29">
        <v>0</v>
      </c>
      <c r="GT309" s="29" t="s">
        <v>425</v>
      </c>
      <c r="GU309" s="29">
        <v>0</v>
      </c>
      <c r="GX309" s="29">
        <v>0</v>
      </c>
      <c r="GZ309" s="29">
        <v>0</v>
      </c>
      <c r="HA309" s="29">
        <v>0</v>
      </c>
      <c r="HB309" s="29">
        <v>0</v>
      </c>
      <c r="HC309" s="29">
        <v>0</v>
      </c>
      <c r="HD309" s="29">
        <v>0</v>
      </c>
      <c r="HE309" s="29" t="b">
        <v>0</v>
      </c>
      <c r="HG309" s="29">
        <v>0</v>
      </c>
      <c r="HI309" s="29" t="s">
        <v>334</v>
      </c>
      <c r="HJ309" s="29">
        <v>0</v>
      </c>
      <c r="HK309" s="29">
        <v>0</v>
      </c>
      <c r="HL309" s="29">
        <v>0</v>
      </c>
    </row>
    <row r="310" spans="2:220">
      <c r="B310" s="29" cm="1">
        <f t="array" ref="B310">10000000+INDEX(编号表!$B$1:$B$112,MATCH(D310,编号表!$A$1:$A$112,0))*10000+I310</f>
        <v>10520008</v>
      </c>
      <c r="C310" s="29" t="s">
        <v>429</v>
      </c>
      <c r="D310" s="29" t="s">
        <v>430</v>
      </c>
      <c r="E310" s="29" t="s">
        <v>423</v>
      </c>
      <c r="F310" s="29" t="s">
        <v>430</v>
      </c>
      <c r="G310" s="29">
        <v>1</v>
      </c>
      <c r="H310" s="29" t="b">
        <v>0</v>
      </c>
      <c r="I310" s="29">
        <v>8</v>
      </c>
      <c r="J310" s="29" t="str">
        <f t="shared" si="13"/>
        <v>105200</v>
      </c>
      <c r="K310" s="29" t="s">
        <v>324</v>
      </c>
      <c r="L310" s="29">
        <f t="shared" si="15"/>
        <v>10520007</v>
      </c>
      <c r="N310" s="29" t="s">
        <v>431</v>
      </c>
      <c r="O310" s="29">
        <v>11002002</v>
      </c>
      <c r="P310" s="29">
        <v>0</v>
      </c>
      <c r="Q310" s="29">
        <v>0</v>
      </c>
      <c r="R310" s="29">
        <v>1</v>
      </c>
      <c r="T310" s="29">
        <v>100</v>
      </c>
      <c r="AY310" s="29" t="s">
        <v>425</v>
      </c>
      <c r="AZ310" s="29">
        <v>0</v>
      </c>
      <c r="GR310" s="29">
        <v>0</v>
      </c>
      <c r="GS310" s="29">
        <v>0</v>
      </c>
      <c r="GT310" s="29" t="s">
        <v>425</v>
      </c>
      <c r="GU310" s="29">
        <v>0</v>
      </c>
      <c r="GX310" s="29">
        <v>0</v>
      </c>
      <c r="GZ310" s="29">
        <v>0</v>
      </c>
      <c r="HA310" s="29">
        <v>0</v>
      </c>
      <c r="HB310" s="29">
        <v>0</v>
      </c>
      <c r="HC310" s="29">
        <v>0</v>
      </c>
      <c r="HD310" s="29">
        <v>0</v>
      </c>
      <c r="HE310" s="29" t="b">
        <v>0</v>
      </c>
      <c r="HG310" s="29">
        <v>0</v>
      </c>
      <c r="HI310" s="29" t="s">
        <v>334</v>
      </c>
      <c r="HJ310" s="29">
        <v>0</v>
      </c>
      <c r="HK310" s="29">
        <v>0</v>
      </c>
      <c r="HL310" s="29">
        <v>0</v>
      </c>
    </row>
    <row r="311" spans="2:220">
      <c r="B311" s="29" cm="1">
        <f t="array" ref="B311">10000000+INDEX(编号表!$B$1:$B$112,MATCH(D311,编号表!$A$1:$A$112,0))*10000+I311</f>
        <v>10530001</v>
      </c>
      <c r="C311" s="29" t="s">
        <v>432</v>
      </c>
      <c r="D311" s="29" t="s">
        <v>433</v>
      </c>
      <c r="E311" s="29" t="s">
        <v>423</v>
      </c>
      <c r="F311" s="29" t="s">
        <v>433</v>
      </c>
      <c r="G311" s="29">
        <v>1</v>
      </c>
      <c r="H311" s="29" t="b">
        <v>0</v>
      </c>
      <c r="I311" s="29">
        <v>1</v>
      </c>
      <c r="J311" s="29" t="str">
        <f t="shared" ref="J311:J318" si="16">LEFT(B311,6)</f>
        <v>105300</v>
      </c>
      <c r="K311" s="29" t="s">
        <v>324</v>
      </c>
      <c r="M311" s="29">
        <f t="shared" ref="M311:M317" si="17">B312</f>
        <v>10530002</v>
      </c>
      <c r="N311" s="29" t="s">
        <v>434</v>
      </c>
      <c r="O311" s="29">
        <v>11002003</v>
      </c>
      <c r="P311" s="29">
        <v>0</v>
      </c>
      <c r="Q311" s="29">
        <v>0</v>
      </c>
      <c r="R311" s="29">
        <v>1</v>
      </c>
      <c r="T311" s="29">
        <v>100</v>
      </c>
      <c r="AY311" s="29" t="s">
        <v>425</v>
      </c>
      <c r="AZ311" s="29">
        <v>0</v>
      </c>
      <c r="GR311" s="29">
        <v>0</v>
      </c>
      <c r="GS311" s="29">
        <v>0</v>
      </c>
      <c r="GT311" s="29" t="s">
        <v>425</v>
      </c>
      <c r="GU311" s="29">
        <v>0</v>
      </c>
      <c r="GX311" s="29">
        <v>0</v>
      </c>
      <c r="GZ311" s="29">
        <v>0</v>
      </c>
      <c r="HA311" s="29">
        <v>0</v>
      </c>
      <c r="HB311" s="29">
        <v>0</v>
      </c>
      <c r="HC311" s="29">
        <v>0</v>
      </c>
      <c r="HD311" s="29">
        <v>0</v>
      </c>
      <c r="HE311" s="29" t="b">
        <v>0</v>
      </c>
      <c r="HG311" s="29">
        <v>0</v>
      </c>
      <c r="HI311" s="29" t="s">
        <v>334</v>
      </c>
      <c r="HJ311" s="29">
        <v>0</v>
      </c>
      <c r="HK311" s="29">
        <v>0</v>
      </c>
      <c r="HL311" s="29">
        <v>0</v>
      </c>
    </row>
    <row r="312" spans="2:220">
      <c r="B312" s="29" cm="1">
        <f t="array" ref="B312">10000000+INDEX(编号表!$B$1:$B$112,MATCH(D312,编号表!$A$1:$A$112,0))*10000+I312</f>
        <v>10530002</v>
      </c>
      <c r="C312" s="29" t="s">
        <v>432</v>
      </c>
      <c r="D312" s="29" t="s">
        <v>433</v>
      </c>
      <c r="E312" s="29" t="s">
        <v>423</v>
      </c>
      <c r="F312" s="29" t="s">
        <v>433</v>
      </c>
      <c r="G312" s="29">
        <v>1</v>
      </c>
      <c r="H312" s="29" t="b">
        <v>0</v>
      </c>
      <c r="I312" s="29">
        <v>2</v>
      </c>
      <c r="J312" s="29" t="str">
        <f t="shared" si="16"/>
        <v>105300</v>
      </c>
      <c r="K312" s="29" t="s">
        <v>324</v>
      </c>
      <c r="L312" s="29">
        <f t="shared" ref="L312:L318" si="18">B311</f>
        <v>10530001</v>
      </c>
      <c r="M312" s="29">
        <f t="shared" si="17"/>
        <v>10530003</v>
      </c>
      <c r="N312" s="29" t="s">
        <v>434</v>
      </c>
      <c r="O312" s="29">
        <v>11002003</v>
      </c>
      <c r="P312" s="29">
        <v>0</v>
      </c>
      <c r="Q312" s="29">
        <v>0</v>
      </c>
      <c r="R312" s="29">
        <v>1</v>
      </c>
      <c r="T312" s="29">
        <v>100</v>
      </c>
      <c r="AY312" s="29" t="s">
        <v>425</v>
      </c>
      <c r="AZ312" s="29">
        <v>0</v>
      </c>
      <c r="GR312" s="29">
        <v>0</v>
      </c>
      <c r="GS312" s="29">
        <v>0</v>
      </c>
      <c r="GT312" s="29" t="s">
        <v>425</v>
      </c>
      <c r="GU312" s="29">
        <v>0</v>
      </c>
      <c r="GX312" s="29">
        <v>0</v>
      </c>
      <c r="GZ312" s="29">
        <v>0</v>
      </c>
      <c r="HA312" s="29">
        <v>0</v>
      </c>
      <c r="HB312" s="29">
        <v>0</v>
      </c>
      <c r="HC312" s="29">
        <v>0</v>
      </c>
      <c r="HD312" s="29">
        <v>0</v>
      </c>
      <c r="HE312" s="29" t="b">
        <v>0</v>
      </c>
      <c r="HG312" s="29">
        <v>0</v>
      </c>
      <c r="HI312" s="29" t="s">
        <v>334</v>
      </c>
      <c r="HJ312" s="29">
        <v>0</v>
      </c>
      <c r="HK312" s="29">
        <v>0</v>
      </c>
      <c r="HL312" s="29">
        <v>0</v>
      </c>
    </row>
    <row r="313" spans="2:220">
      <c r="B313" s="29" cm="1">
        <f t="array" ref="B313">10000000+INDEX(编号表!$B$1:$B$112,MATCH(D313,编号表!$A$1:$A$112,0))*10000+I313</f>
        <v>10530003</v>
      </c>
      <c r="C313" s="29" t="s">
        <v>432</v>
      </c>
      <c r="D313" s="29" t="s">
        <v>433</v>
      </c>
      <c r="E313" s="29" t="s">
        <v>423</v>
      </c>
      <c r="F313" s="29" t="s">
        <v>433</v>
      </c>
      <c r="G313" s="29">
        <v>1</v>
      </c>
      <c r="H313" s="29" t="b">
        <v>0</v>
      </c>
      <c r="I313" s="29">
        <v>3</v>
      </c>
      <c r="J313" s="29" t="str">
        <f t="shared" si="16"/>
        <v>105300</v>
      </c>
      <c r="K313" s="29" t="s">
        <v>324</v>
      </c>
      <c r="L313" s="29">
        <f t="shared" si="18"/>
        <v>10530002</v>
      </c>
      <c r="M313" s="29">
        <f t="shared" si="17"/>
        <v>10530004</v>
      </c>
      <c r="N313" s="29" t="s">
        <v>434</v>
      </c>
      <c r="O313" s="29">
        <v>11002003</v>
      </c>
      <c r="P313" s="29">
        <v>0</v>
      </c>
      <c r="Q313" s="29">
        <v>0</v>
      </c>
      <c r="R313" s="29">
        <v>1</v>
      </c>
      <c r="T313" s="29">
        <v>100</v>
      </c>
      <c r="AY313" s="29" t="s">
        <v>425</v>
      </c>
      <c r="AZ313" s="29">
        <v>0</v>
      </c>
      <c r="GR313" s="29">
        <v>0</v>
      </c>
      <c r="GS313" s="29">
        <v>0</v>
      </c>
      <c r="GT313" s="29" t="s">
        <v>425</v>
      </c>
      <c r="GU313" s="29">
        <v>0</v>
      </c>
      <c r="GX313" s="29">
        <v>0</v>
      </c>
      <c r="GZ313" s="29">
        <v>0</v>
      </c>
      <c r="HA313" s="29">
        <v>0</v>
      </c>
      <c r="HB313" s="29">
        <v>0</v>
      </c>
      <c r="HC313" s="29">
        <v>0</v>
      </c>
      <c r="HD313" s="29">
        <v>0</v>
      </c>
      <c r="HE313" s="29" t="b">
        <v>0</v>
      </c>
      <c r="HG313" s="29">
        <v>0</v>
      </c>
      <c r="HI313" s="29" t="s">
        <v>334</v>
      </c>
      <c r="HJ313" s="29">
        <v>0</v>
      </c>
      <c r="HK313" s="29">
        <v>0</v>
      </c>
      <c r="HL313" s="29">
        <v>0</v>
      </c>
    </row>
    <row r="314" spans="2:220">
      <c r="B314" s="29" cm="1">
        <f t="array" ref="B314">10000000+INDEX(编号表!$B$1:$B$112,MATCH(D314,编号表!$A$1:$A$112,0))*10000+I314</f>
        <v>10530004</v>
      </c>
      <c r="C314" s="29" t="s">
        <v>432</v>
      </c>
      <c r="D314" s="29" t="s">
        <v>433</v>
      </c>
      <c r="E314" s="29" t="s">
        <v>423</v>
      </c>
      <c r="F314" s="29" t="s">
        <v>433</v>
      </c>
      <c r="G314" s="29">
        <v>1</v>
      </c>
      <c r="H314" s="29" t="b">
        <v>0</v>
      </c>
      <c r="I314" s="29">
        <v>4</v>
      </c>
      <c r="J314" s="29" t="str">
        <f t="shared" si="16"/>
        <v>105300</v>
      </c>
      <c r="K314" s="29" t="s">
        <v>324</v>
      </c>
      <c r="L314" s="29">
        <f t="shared" si="18"/>
        <v>10530003</v>
      </c>
      <c r="M314" s="29">
        <f t="shared" si="17"/>
        <v>10530005</v>
      </c>
      <c r="N314" s="29" t="s">
        <v>434</v>
      </c>
      <c r="O314" s="29">
        <v>11002003</v>
      </c>
      <c r="P314" s="29">
        <v>0</v>
      </c>
      <c r="Q314" s="29">
        <v>0</v>
      </c>
      <c r="R314" s="29">
        <v>1</v>
      </c>
      <c r="T314" s="29">
        <v>100</v>
      </c>
      <c r="AY314" s="29" t="s">
        <v>425</v>
      </c>
      <c r="AZ314" s="29">
        <v>0</v>
      </c>
      <c r="GR314" s="29">
        <v>0</v>
      </c>
      <c r="GS314" s="29">
        <v>0</v>
      </c>
      <c r="GT314" s="29" t="s">
        <v>425</v>
      </c>
      <c r="GU314" s="29">
        <v>0</v>
      </c>
      <c r="GX314" s="29">
        <v>0</v>
      </c>
      <c r="GZ314" s="29">
        <v>0</v>
      </c>
      <c r="HA314" s="29">
        <v>0</v>
      </c>
      <c r="HB314" s="29">
        <v>0</v>
      </c>
      <c r="HC314" s="29">
        <v>0</v>
      </c>
      <c r="HD314" s="29">
        <v>0</v>
      </c>
      <c r="HE314" s="29" t="b">
        <v>0</v>
      </c>
      <c r="HG314" s="29">
        <v>0</v>
      </c>
      <c r="HI314" s="29" t="s">
        <v>334</v>
      </c>
      <c r="HJ314" s="29">
        <v>0</v>
      </c>
      <c r="HK314" s="29">
        <v>0</v>
      </c>
      <c r="HL314" s="29">
        <v>0</v>
      </c>
    </row>
    <row r="315" spans="2:220">
      <c r="B315" s="29" cm="1">
        <f t="array" ref="B315">10000000+INDEX(编号表!$B$1:$B$112,MATCH(D315,编号表!$A$1:$A$112,0))*10000+I315</f>
        <v>10530005</v>
      </c>
      <c r="C315" s="29" t="s">
        <v>432</v>
      </c>
      <c r="D315" s="29" t="s">
        <v>433</v>
      </c>
      <c r="E315" s="29" t="s">
        <v>423</v>
      </c>
      <c r="F315" s="29" t="s">
        <v>433</v>
      </c>
      <c r="G315" s="29">
        <v>1</v>
      </c>
      <c r="H315" s="29" t="b">
        <v>0</v>
      </c>
      <c r="I315" s="29">
        <v>5</v>
      </c>
      <c r="J315" s="29" t="str">
        <f t="shared" si="16"/>
        <v>105300</v>
      </c>
      <c r="K315" s="29" t="s">
        <v>324</v>
      </c>
      <c r="L315" s="29">
        <f t="shared" si="18"/>
        <v>10530004</v>
      </c>
      <c r="M315" s="29">
        <f t="shared" si="17"/>
        <v>10530006</v>
      </c>
      <c r="N315" s="29" t="s">
        <v>434</v>
      </c>
      <c r="O315" s="29">
        <v>11002003</v>
      </c>
      <c r="P315" s="29">
        <v>0</v>
      </c>
      <c r="Q315" s="29">
        <v>0</v>
      </c>
      <c r="R315" s="29">
        <v>1</v>
      </c>
      <c r="T315" s="29">
        <v>100</v>
      </c>
      <c r="AY315" s="29" t="s">
        <v>425</v>
      </c>
      <c r="AZ315" s="29">
        <v>0</v>
      </c>
      <c r="GR315" s="29">
        <v>0</v>
      </c>
      <c r="GS315" s="29">
        <v>0</v>
      </c>
      <c r="GT315" s="29" t="s">
        <v>425</v>
      </c>
      <c r="GU315" s="29">
        <v>0</v>
      </c>
      <c r="GX315" s="29">
        <v>0</v>
      </c>
      <c r="GZ315" s="29">
        <v>0</v>
      </c>
      <c r="HA315" s="29">
        <v>0</v>
      </c>
      <c r="HB315" s="29">
        <v>0</v>
      </c>
      <c r="HC315" s="29">
        <v>0</v>
      </c>
      <c r="HD315" s="29">
        <v>0</v>
      </c>
      <c r="HE315" s="29" t="b">
        <v>0</v>
      </c>
      <c r="HG315" s="29">
        <v>0</v>
      </c>
      <c r="HI315" s="29" t="s">
        <v>334</v>
      </c>
      <c r="HJ315" s="29">
        <v>0</v>
      </c>
      <c r="HK315" s="29">
        <v>0</v>
      </c>
      <c r="HL315" s="29">
        <v>0</v>
      </c>
    </row>
    <row r="316" spans="2:220">
      <c r="B316" s="29" cm="1">
        <f t="array" ref="B316">10000000+INDEX(编号表!$B$1:$B$112,MATCH(D316,编号表!$A$1:$A$112,0))*10000+I316</f>
        <v>10530006</v>
      </c>
      <c r="C316" s="29" t="s">
        <v>432</v>
      </c>
      <c r="D316" s="29" t="s">
        <v>433</v>
      </c>
      <c r="E316" s="29" t="s">
        <v>423</v>
      </c>
      <c r="F316" s="29" t="s">
        <v>433</v>
      </c>
      <c r="G316" s="29">
        <v>1</v>
      </c>
      <c r="H316" s="29" t="b">
        <v>0</v>
      </c>
      <c r="I316" s="29">
        <v>6</v>
      </c>
      <c r="J316" s="29" t="str">
        <f t="shared" si="16"/>
        <v>105300</v>
      </c>
      <c r="K316" s="29" t="s">
        <v>324</v>
      </c>
      <c r="L316" s="29">
        <f t="shared" si="18"/>
        <v>10530005</v>
      </c>
      <c r="M316" s="29">
        <f t="shared" si="17"/>
        <v>10530007</v>
      </c>
      <c r="N316" s="29" t="s">
        <v>434</v>
      </c>
      <c r="O316" s="29">
        <v>11002003</v>
      </c>
      <c r="P316" s="29">
        <v>0</v>
      </c>
      <c r="Q316" s="29">
        <v>0</v>
      </c>
      <c r="R316" s="29">
        <v>1</v>
      </c>
      <c r="T316" s="29">
        <v>100</v>
      </c>
      <c r="AY316" s="29" t="s">
        <v>425</v>
      </c>
      <c r="AZ316" s="29">
        <v>0</v>
      </c>
      <c r="GR316" s="29">
        <v>0</v>
      </c>
      <c r="GS316" s="29">
        <v>0</v>
      </c>
      <c r="GT316" s="29" t="s">
        <v>425</v>
      </c>
      <c r="GU316" s="29">
        <v>0</v>
      </c>
      <c r="GX316" s="29">
        <v>0</v>
      </c>
      <c r="GZ316" s="29">
        <v>0</v>
      </c>
      <c r="HA316" s="29">
        <v>0</v>
      </c>
      <c r="HB316" s="29">
        <v>0</v>
      </c>
      <c r="HC316" s="29">
        <v>0</v>
      </c>
      <c r="HD316" s="29">
        <v>0</v>
      </c>
      <c r="HE316" s="29" t="b">
        <v>0</v>
      </c>
      <c r="HG316" s="29">
        <v>0</v>
      </c>
      <c r="HI316" s="29" t="s">
        <v>334</v>
      </c>
      <c r="HJ316" s="29">
        <v>0</v>
      </c>
      <c r="HK316" s="29">
        <v>0</v>
      </c>
      <c r="HL316" s="29">
        <v>0</v>
      </c>
    </row>
    <row r="317" spans="2:220">
      <c r="B317" s="29" cm="1">
        <f t="array" ref="B317">10000000+INDEX(编号表!$B$1:$B$112,MATCH(D317,编号表!$A$1:$A$112,0))*10000+I317</f>
        <v>10530007</v>
      </c>
      <c r="C317" s="29" t="s">
        <v>432</v>
      </c>
      <c r="D317" s="29" t="s">
        <v>433</v>
      </c>
      <c r="E317" s="29" t="s">
        <v>423</v>
      </c>
      <c r="F317" s="29" t="s">
        <v>433</v>
      </c>
      <c r="G317" s="29">
        <v>1</v>
      </c>
      <c r="H317" s="29" t="b">
        <v>0</v>
      </c>
      <c r="I317" s="29">
        <v>7</v>
      </c>
      <c r="J317" s="29" t="str">
        <f t="shared" si="16"/>
        <v>105300</v>
      </c>
      <c r="K317" s="29" t="s">
        <v>324</v>
      </c>
      <c r="L317" s="29">
        <f t="shared" si="18"/>
        <v>10530006</v>
      </c>
      <c r="M317" s="29">
        <f t="shared" si="17"/>
        <v>10530008</v>
      </c>
      <c r="N317" s="29" t="s">
        <v>434</v>
      </c>
      <c r="O317" s="29">
        <v>11002003</v>
      </c>
      <c r="P317" s="29">
        <v>0</v>
      </c>
      <c r="Q317" s="29">
        <v>0</v>
      </c>
      <c r="R317" s="29">
        <v>1</v>
      </c>
      <c r="T317" s="29">
        <v>100</v>
      </c>
      <c r="AY317" s="29" t="s">
        <v>425</v>
      </c>
      <c r="AZ317" s="29">
        <v>0</v>
      </c>
      <c r="GR317" s="29">
        <v>0</v>
      </c>
      <c r="GS317" s="29">
        <v>0</v>
      </c>
      <c r="GT317" s="29" t="s">
        <v>425</v>
      </c>
      <c r="GU317" s="29">
        <v>0</v>
      </c>
      <c r="GX317" s="29">
        <v>0</v>
      </c>
      <c r="GZ317" s="29">
        <v>0</v>
      </c>
      <c r="HA317" s="29">
        <v>0</v>
      </c>
      <c r="HB317" s="29">
        <v>0</v>
      </c>
      <c r="HC317" s="29">
        <v>0</v>
      </c>
      <c r="HD317" s="29">
        <v>0</v>
      </c>
      <c r="HE317" s="29" t="b">
        <v>0</v>
      </c>
      <c r="HG317" s="29">
        <v>0</v>
      </c>
      <c r="HI317" s="29" t="s">
        <v>334</v>
      </c>
      <c r="HJ317" s="29">
        <v>0</v>
      </c>
      <c r="HK317" s="29">
        <v>0</v>
      </c>
      <c r="HL317" s="29">
        <v>0</v>
      </c>
    </row>
    <row r="318" spans="2:220">
      <c r="B318" s="29" cm="1">
        <f t="array" ref="B318">10000000+INDEX(编号表!$B$1:$B$112,MATCH(D318,编号表!$A$1:$A$112,0))*10000+I318</f>
        <v>10530008</v>
      </c>
      <c r="C318" s="29" t="s">
        <v>432</v>
      </c>
      <c r="D318" s="29" t="s">
        <v>433</v>
      </c>
      <c r="E318" s="29" t="s">
        <v>423</v>
      </c>
      <c r="F318" s="29" t="s">
        <v>433</v>
      </c>
      <c r="G318" s="29">
        <v>1</v>
      </c>
      <c r="H318" s="29" t="b">
        <v>0</v>
      </c>
      <c r="I318" s="29">
        <v>8</v>
      </c>
      <c r="J318" s="29" t="str">
        <f t="shared" si="16"/>
        <v>105300</v>
      </c>
      <c r="K318" s="29" t="s">
        <v>324</v>
      </c>
      <c r="L318" s="29">
        <f t="shared" si="18"/>
        <v>10530007</v>
      </c>
      <c r="N318" s="29" t="s">
        <v>434</v>
      </c>
      <c r="O318" s="29">
        <v>11002003</v>
      </c>
      <c r="P318" s="29">
        <v>0</v>
      </c>
      <c r="Q318" s="29">
        <v>0</v>
      </c>
      <c r="R318" s="29">
        <v>1</v>
      </c>
      <c r="T318" s="29">
        <v>100</v>
      </c>
      <c r="AY318" s="29" t="s">
        <v>425</v>
      </c>
      <c r="AZ318" s="29">
        <v>0</v>
      </c>
      <c r="GR318" s="29">
        <v>0</v>
      </c>
      <c r="GS318" s="29">
        <v>0</v>
      </c>
      <c r="GT318" s="29" t="s">
        <v>425</v>
      </c>
      <c r="GU318" s="29">
        <v>0</v>
      </c>
      <c r="GX318" s="29">
        <v>0</v>
      </c>
      <c r="GZ318" s="29">
        <v>0</v>
      </c>
      <c r="HA318" s="29">
        <v>0</v>
      </c>
      <c r="HB318" s="29">
        <v>0</v>
      </c>
      <c r="HC318" s="29">
        <v>0</v>
      </c>
      <c r="HD318" s="29">
        <v>0</v>
      </c>
      <c r="HE318" s="29" t="b">
        <v>0</v>
      </c>
      <c r="HG318" s="29">
        <v>0</v>
      </c>
      <c r="HI318" s="29" t="s">
        <v>334</v>
      </c>
      <c r="HJ318" s="29">
        <v>0</v>
      </c>
      <c r="HK318" s="29">
        <v>0</v>
      </c>
      <c r="HL318" s="29">
        <v>0</v>
      </c>
    </row>
    <row r="319" spans="2:220">
      <c r="B319" s="29" cm="1">
        <f t="array" ref="B319">10000000+INDEX(编号表!$B$1:$B$112,MATCH(D319,编号表!$A$1:$A$112,0))*10000+I319</f>
        <v>10540001</v>
      </c>
      <c r="C319" s="29" t="s">
        <v>435</v>
      </c>
      <c r="D319" s="29" t="s">
        <v>436</v>
      </c>
      <c r="E319" s="29" t="s">
        <v>423</v>
      </c>
      <c r="F319" s="29" t="s">
        <v>436</v>
      </c>
      <c r="G319" s="29">
        <v>1</v>
      </c>
      <c r="H319" s="29" t="b">
        <v>0</v>
      </c>
      <c r="I319" s="29">
        <v>1</v>
      </c>
      <c r="J319" s="29" t="str">
        <f t="shared" ref="J319:J326" si="19">LEFT(B319,6)</f>
        <v>105400</v>
      </c>
      <c r="K319" s="29" t="s">
        <v>324</v>
      </c>
      <c r="M319" s="29">
        <f t="shared" ref="M319:M325" si="20">B320</f>
        <v>10540002</v>
      </c>
      <c r="N319" s="29" t="s">
        <v>437</v>
      </c>
      <c r="O319" s="29">
        <v>11002004</v>
      </c>
      <c r="P319" s="29">
        <v>0</v>
      </c>
      <c r="Q319" s="29">
        <v>0</v>
      </c>
      <c r="R319" s="29">
        <v>1</v>
      </c>
      <c r="T319" s="29">
        <v>100</v>
      </c>
      <c r="AY319" s="29" t="s">
        <v>425</v>
      </c>
      <c r="AZ319" s="29">
        <v>0</v>
      </c>
      <c r="GR319" s="29">
        <v>0</v>
      </c>
      <c r="GS319" s="29">
        <v>0</v>
      </c>
      <c r="GT319" s="29" t="s">
        <v>425</v>
      </c>
      <c r="GU319" s="29">
        <v>0</v>
      </c>
      <c r="GX319" s="29">
        <v>0</v>
      </c>
      <c r="GZ319" s="29">
        <v>0</v>
      </c>
      <c r="HA319" s="29">
        <v>0</v>
      </c>
      <c r="HB319" s="29">
        <v>0</v>
      </c>
      <c r="HC319" s="29">
        <v>0</v>
      </c>
      <c r="HD319" s="29">
        <v>0</v>
      </c>
      <c r="HE319" s="29" t="b">
        <v>0</v>
      </c>
      <c r="HG319" s="29">
        <v>0</v>
      </c>
      <c r="HI319" s="29" t="s">
        <v>334</v>
      </c>
      <c r="HJ319" s="29">
        <v>0</v>
      </c>
      <c r="HK319" s="29">
        <v>0</v>
      </c>
      <c r="HL319" s="29">
        <v>0</v>
      </c>
    </row>
    <row r="320" spans="2:220">
      <c r="B320" s="29" cm="1">
        <f t="array" ref="B320">10000000+INDEX(编号表!$B$1:$B$112,MATCH(D320,编号表!$A$1:$A$112,0))*10000+I320</f>
        <v>10540002</v>
      </c>
      <c r="C320" s="29" t="s">
        <v>435</v>
      </c>
      <c r="D320" s="29" t="s">
        <v>436</v>
      </c>
      <c r="E320" s="29" t="s">
        <v>423</v>
      </c>
      <c r="F320" s="29" t="s">
        <v>436</v>
      </c>
      <c r="G320" s="29">
        <v>1</v>
      </c>
      <c r="H320" s="29" t="b">
        <v>0</v>
      </c>
      <c r="I320" s="29">
        <v>2</v>
      </c>
      <c r="J320" s="29" t="str">
        <f t="shared" si="19"/>
        <v>105400</v>
      </c>
      <c r="K320" s="29" t="s">
        <v>324</v>
      </c>
      <c r="L320" s="29">
        <f t="shared" ref="L320:L326" si="21">B319</f>
        <v>10540001</v>
      </c>
      <c r="M320" s="29">
        <f t="shared" si="20"/>
        <v>10540003</v>
      </c>
      <c r="N320" s="29" t="s">
        <v>437</v>
      </c>
      <c r="O320" s="29">
        <v>11002004</v>
      </c>
      <c r="P320" s="29">
        <v>0</v>
      </c>
      <c r="Q320" s="29">
        <v>0</v>
      </c>
      <c r="R320" s="29">
        <v>1</v>
      </c>
      <c r="T320" s="29">
        <v>100</v>
      </c>
      <c r="AY320" s="29" t="s">
        <v>425</v>
      </c>
      <c r="AZ320" s="29">
        <v>0</v>
      </c>
      <c r="GR320" s="29">
        <v>0</v>
      </c>
      <c r="GS320" s="29">
        <v>0</v>
      </c>
      <c r="GT320" s="29" t="s">
        <v>425</v>
      </c>
      <c r="GU320" s="29">
        <v>0</v>
      </c>
      <c r="GX320" s="29">
        <v>0</v>
      </c>
      <c r="GZ320" s="29">
        <v>0</v>
      </c>
      <c r="HA320" s="29">
        <v>0</v>
      </c>
      <c r="HB320" s="29">
        <v>0</v>
      </c>
      <c r="HC320" s="29">
        <v>0</v>
      </c>
      <c r="HD320" s="29">
        <v>0</v>
      </c>
      <c r="HE320" s="29" t="b">
        <v>0</v>
      </c>
      <c r="HG320" s="29">
        <v>0</v>
      </c>
      <c r="HI320" s="29" t="s">
        <v>334</v>
      </c>
      <c r="HJ320" s="29">
        <v>0</v>
      </c>
      <c r="HK320" s="29">
        <v>0</v>
      </c>
      <c r="HL320" s="29">
        <v>0</v>
      </c>
    </row>
    <row r="321" spans="2:220">
      <c r="B321" s="29" cm="1">
        <f t="array" ref="B321">10000000+INDEX(编号表!$B$1:$B$112,MATCH(D321,编号表!$A$1:$A$112,0))*10000+I321</f>
        <v>10540003</v>
      </c>
      <c r="C321" s="29" t="s">
        <v>435</v>
      </c>
      <c r="D321" s="29" t="s">
        <v>436</v>
      </c>
      <c r="E321" s="29" t="s">
        <v>423</v>
      </c>
      <c r="F321" s="29" t="s">
        <v>436</v>
      </c>
      <c r="G321" s="29">
        <v>1</v>
      </c>
      <c r="H321" s="29" t="b">
        <v>0</v>
      </c>
      <c r="I321" s="29">
        <v>3</v>
      </c>
      <c r="J321" s="29" t="str">
        <f t="shared" si="19"/>
        <v>105400</v>
      </c>
      <c r="K321" s="29" t="s">
        <v>324</v>
      </c>
      <c r="L321" s="29">
        <f t="shared" si="21"/>
        <v>10540002</v>
      </c>
      <c r="M321" s="29">
        <f t="shared" si="20"/>
        <v>10540004</v>
      </c>
      <c r="N321" s="29" t="s">
        <v>437</v>
      </c>
      <c r="O321" s="29">
        <v>11002004</v>
      </c>
      <c r="P321" s="29">
        <v>0</v>
      </c>
      <c r="Q321" s="29">
        <v>0</v>
      </c>
      <c r="R321" s="29">
        <v>1</v>
      </c>
      <c r="T321" s="29">
        <v>100</v>
      </c>
      <c r="AY321" s="29" t="s">
        <v>425</v>
      </c>
      <c r="AZ321" s="29">
        <v>0</v>
      </c>
      <c r="GR321" s="29">
        <v>0</v>
      </c>
      <c r="GS321" s="29">
        <v>0</v>
      </c>
      <c r="GT321" s="29" t="s">
        <v>425</v>
      </c>
      <c r="GU321" s="29">
        <v>0</v>
      </c>
      <c r="GX321" s="29">
        <v>0</v>
      </c>
      <c r="GZ321" s="29">
        <v>0</v>
      </c>
      <c r="HA321" s="29">
        <v>0</v>
      </c>
      <c r="HB321" s="29">
        <v>0</v>
      </c>
      <c r="HC321" s="29">
        <v>0</v>
      </c>
      <c r="HD321" s="29">
        <v>0</v>
      </c>
      <c r="HE321" s="29" t="b">
        <v>0</v>
      </c>
      <c r="HG321" s="29">
        <v>0</v>
      </c>
      <c r="HI321" s="29" t="s">
        <v>334</v>
      </c>
      <c r="HJ321" s="29">
        <v>0</v>
      </c>
      <c r="HK321" s="29">
        <v>0</v>
      </c>
      <c r="HL321" s="29">
        <v>0</v>
      </c>
    </row>
    <row r="322" spans="2:220">
      <c r="B322" s="29" cm="1">
        <f t="array" ref="B322">10000000+INDEX(编号表!$B$1:$B$112,MATCH(D322,编号表!$A$1:$A$112,0))*10000+I322</f>
        <v>10540004</v>
      </c>
      <c r="C322" s="29" t="s">
        <v>435</v>
      </c>
      <c r="D322" s="29" t="s">
        <v>436</v>
      </c>
      <c r="E322" s="29" t="s">
        <v>423</v>
      </c>
      <c r="F322" s="29" t="s">
        <v>436</v>
      </c>
      <c r="G322" s="29">
        <v>1</v>
      </c>
      <c r="H322" s="29" t="b">
        <v>0</v>
      </c>
      <c r="I322" s="29">
        <v>4</v>
      </c>
      <c r="J322" s="29" t="str">
        <f t="shared" si="19"/>
        <v>105400</v>
      </c>
      <c r="K322" s="29" t="s">
        <v>324</v>
      </c>
      <c r="L322" s="29">
        <f t="shared" si="21"/>
        <v>10540003</v>
      </c>
      <c r="M322" s="29">
        <f t="shared" si="20"/>
        <v>10540005</v>
      </c>
      <c r="N322" s="29" t="s">
        <v>437</v>
      </c>
      <c r="O322" s="29">
        <v>11002004</v>
      </c>
      <c r="P322" s="29">
        <v>0</v>
      </c>
      <c r="Q322" s="29">
        <v>0</v>
      </c>
      <c r="R322" s="29">
        <v>1</v>
      </c>
      <c r="T322" s="29">
        <v>100</v>
      </c>
      <c r="AY322" s="29" t="s">
        <v>425</v>
      </c>
      <c r="AZ322" s="29">
        <v>0</v>
      </c>
      <c r="GR322" s="29">
        <v>0</v>
      </c>
      <c r="GS322" s="29">
        <v>0</v>
      </c>
      <c r="GT322" s="29" t="s">
        <v>425</v>
      </c>
      <c r="GU322" s="29">
        <v>0</v>
      </c>
      <c r="GX322" s="29">
        <v>0</v>
      </c>
      <c r="GZ322" s="29">
        <v>0</v>
      </c>
      <c r="HA322" s="29">
        <v>0</v>
      </c>
      <c r="HB322" s="29">
        <v>0</v>
      </c>
      <c r="HC322" s="29">
        <v>0</v>
      </c>
      <c r="HD322" s="29">
        <v>0</v>
      </c>
      <c r="HE322" s="29" t="b">
        <v>0</v>
      </c>
      <c r="HG322" s="29">
        <v>0</v>
      </c>
      <c r="HI322" s="29" t="s">
        <v>334</v>
      </c>
      <c r="HJ322" s="29">
        <v>0</v>
      </c>
      <c r="HK322" s="29">
        <v>0</v>
      </c>
      <c r="HL322" s="29">
        <v>0</v>
      </c>
    </row>
    <row r="323" spans="2:220">
      <c r="B323" s="29" cm="1">
        <f t="array" ref="B323">10000000+INDEX(编号表!$B$1:$B$112,MATCH(D323,编号表!$A$1:$A$112,0))*10000+I323</f>
        <v>10540005</v>
      </c>
      <c r="C323" s="29" t="s">
        <v>435</v>
      </c>
      <c r="D323" s="29" t="s">
        <v>436</v>
      </c>
      <c r="E323" s="29" t="s">
        <v>423</v>
      </c>
      <c r="F323" s="29" t="s">
        <v>436</v>
      </c>
      <c r="G323" s="29">
        <v>1</v>
      </c>
      <c r="H323" s="29" t="b">
        <v>0</v>
      </c>
      <c r="I323" s="29">
        <v>5</v>
      </c>
      <c r="J323" s="29" t="str">
        <f t="shared" si="19"/>
        <v>105400</v>
      </c>
      <c r="K323" s="29" t="s">
        <v>324</v>
      </c>
      <c r="L323" s="29">
        <f t="shared" si="21"/>
        <v>10540004</v>
      </c>
      <c r="M323" s="29">
        <f t="shared" si="20"/>
        <v>10540006</v>
      </c>
      <c r="N323" s="29" t="s">
        <v>437</v>
      </c>
      <c r="O323" s="29">
        <v>11002004</v>
      </c>
      <c r="P323" s="29">
        <v>0</v>
      </c>
      <c r="Q323" s="29">
        <v>0</v>
      </c>
      <c r="R323" s="29">
        <v>1</v>
      </c>
      <c r="T323" s="29">
        <v>100</v>
      </c>
      <c r="AY323" s="29" t="s">
        <v>425</v>
      </c>
      <c r="AZ323" s="29">
        <v>0</v>
      </c>
      <c r="GR323" s="29">
        <v>0</v>
      </c>
      <c r="GS323" s="29">
        <v>0</v>
      </c>
      <c r="GT323" s="29" t="s">
        <v>425</v>
      </c>
      <c r="GU323" s="29">
        <v>0</v>
      </c>
      <c r="GX323" s="29">
        <v>0</v>
      </c>
      <c r="GZ323" s="29">
        <v>0</v>
      </c>
      <c r="HA323" s="29">
        <v>0</v>
      </c>
      <c r="HB323" s="29">
        <v>0</v>
      </c>
      <c r="HC323" s="29">
        <v>0</v>
      </c>
      <c r="HD323" s="29">
        <v>0</v>
      </c>
      <c r="HE323" s="29" t="b">
        <v>0</v>
      </c>
      <c r="HG323" s="29">
        <v>0</v>
      </c>
      <c r="HI323" s="29" t="s">
        <v>334</v>
      </c>
      <c r="HJ323" s="29">
        <v>0</v>
      </c>
      <c r="HK323" s="29">
        <v>0</v>
      </c>
      <c r="HL323" s="29">
        <v>0</v>
      </c>
    </row>
    <row r="324" spans="2:220">
      <c r="B324" s="29" cm="1">
        <f t="array" ref="B324">10000000+INDEX(编号表!$B$1:$B$112,MATCH(D324,编号表!$A$1:$A$112,0))*10000+I324</f>
        <v>10540006</v>
      </c>
      <c r="C324" s="29" t="s">
        <v>435</v>
      </c>
      <c r="D324" s="29" t="s">
        <v>436</v>
      </c>
      <c r="E324" s="29" t="s">
        <v>423</v>
      </c>
      <c r="F324" s="29" t="s">
        <v>436</v>
      </c>
      <c r="G324" s="29">
        <v>1</v>
      </c>
      <c r="H324" s="29" t="b">
        <v>0</v>
      </c>
      <c r="I324" s="29">
        <v>6</v>
      </c>
      <c r="J324" s="29" t="str">
        <f t="shared" si="19"/>
        <v>105400</v>
      </c>
      <c r="K324" s="29" t="s">
        <v>324</v>
      </c>
      <c r="L324" s="29">
        <f t="shared" si="21"/>
        <v>10540005</v>
      </c>
      <c r="M324" s="29">
        <f t="shared" si="20"/>
        <v>10540007</v>
      </c>
      <c r="N324" s="29" t="s">
        <v>437</v>
      </c>
      <c r="O324" s="29">
        <v>11002004</v>
      </c>
      <c r="P324" s="29">
        <v>0</v>
      </c>
      <c r="Q324" s="29">
        <v>0</v>
      </c>
      <c r="R324" s="29">
        <v>1</v>
      </c>
      <c r="T324" s="29">
        <v>100</v>
      </c>
      <c r="AY324" s="29" t="s">
        <v>425</v>
      </c>
      <c r="AZ324" s="29">
        <v>0</v>
      </c>
      <c r="GR324" s="29">
        <v>0</v>
      </c>
      <c r="GS324" s="29">
        <v>0</v>
      </c>
      <c r="GT324" s="29" t="s">
        <v>425</v>
      </c>
      <c r="GU324" s="29">
        <v>0</v>
      </c>
      <c r="GX324" s="29">
        <v>0</v>
      </c>
      <c r="GZ324" s="29">
        <v>0</v>
      </c>
      <c r="HA324" s="29">
        <v>0</v>
      </c>
      <c r="HB324" s="29">
        <v>0</v>
      </c>
      <c r="HC324" s="29">
        <v>0</v>
      </c>
      <c r="HD324" s="29">
        <v>0</v>
      </c>
      <c r="HE324" s="29" t="b">
        <v>0</v>
      </c>
      <c r="HG324" s="29">
        <v>0</v>
      </c>
      <c r="HI324" s="29" t="s">
        <v>334</v>
      </c>
      <c r="HJ324" s="29">
        <v>0</v>
      </c>
      <c r="HK324" s="29">
        <v>0</v>
      </c>
      <c r="HL324" s="29">
        <v>0</v>
      </c>
    </row>
    <row r="325" spans="2:220">
      <c r="B325" s="29" cm="1">
        <f t="array" ref="B325">10000000+INDEX(编号表!$B$1:$B$112,MATCH(D325,编号表!$A$1:$A$112,0))*10000+I325</f>
        <v>10540007</v>
      </c>
      <c r="C325" s="29" t="s">
        <v>435</v>
      </c>
      <c r="D325" s="29" t="s">
        <v>436</v>
      </c>
      <c r="E325" s="29" t="s">
        <v>423</v>
      </c>
      <c r="F325" s="29" t="s">
        <v>436</v>
      </c>
      <c r="G325" s="29">
        <v>1</v>
      </c>
      <c r="H325" s="29" t="b">
        <v>0</v>
      </c>
      <c r="I325" s="29">
        <v>7</v>
      </c>
      <c r="J325" s="29" t="str">
        <f t="shared" si="19"/>
        <v>105400</v>
      </c>
      <c r="K325" s="29" t="s">
        <v>324</v>
      </c>
      <c r="L325" s="29">
        <f t="shared" si="21"/>
        <v>10540006</v>
      </c>
      <c r="M325" s="29">
        <f t="shared" si="20"/>
        <v>10540008</v>
      </c>
      <c r="N325" s="29" t="s">
        <v>437</v>
      </c>
      <c r="O325" s="29">
        <v>11002004</v>
      </c>
      <c r="P325" s="29">
        <v>0</v>
      </c>
      <c r="Q325" s="29">
        <v>0</v>
      </c>
      <c r="R325" s="29">
        <v>1</v>
      </c>
      <c r="T325" s="29">
        <v>100</v>
      </c>
      <c r="AY325" s="29" t="s">
        <v>425</v>
      </c>
      <c r="AZ325" s="29">
        <v>0</v>
      </c>
      <c r="GR325" s="29">
        <v>0</v>
      </c>
      <c r="GS325" s="29">
        <v>0</v>
      </c>
      <c r="GT325" s="29" t="s">
        <v>425</v>
      </c>
      <c r="GU325" s="29">
        <v>0</v>
      </c>
      <c r="GX325" s="29">
        <v>0</v>
      </c>
      <c r="GZ325" s="29">
        <v>0</v>
      </c>
      <c r="HA325" s="29">
        <v>0</v>
      </c>
      <c r="HB325" s="29">
        <v>0</v>
      </c>
      <c r="HC325" s="29">
        <v>0</v>
      </c>
      <c r="HD325" s="29">
        <v>0</v>
      </c>
      <c r="HE325" s="29" t="b">
        <v>0</v>
      </c>
      <c r="HG325" s="29">
        <v>0</v>
      </c>
      <c r="HI325" s="29" t="s">
        <v>334</v>
      </c>
      <c r="HJ325" s="29">
        <v>0</v>
      </c>
      <c r="HK325" s="29">
        <v>0</v>
      </c>
      <c r="HL325" s="29">
        <v>0</v>
      </c>
    </row>
    <row r="326" spans="2:220">
      <c r="B326" s="29" cm="1">
        <f t="array" ref="B326">10000000+INDEX(编号表!$B$1:$B$112,MATCH(D326,编号表!$A$1:$A$112,0))*10000+I326</f>
        <v>10540008</v>
      </c>
      <c r="C326" s="29" t="s">
        <v>435</v>
      </c>
      <c r="D326" s="29" t="s">
        <v>436</v>
      </c>
      <c r="E326" s="29" t="s">
        <v>423</v>
      </c>
      <c r="F326" s="29" t="s">
        <v>436</v>
      </c>
      <c r="G326" s="29">
        <v>1</v>
      </c>
      <c r="H326" s="29" t="b">
        <v>0</v>
      </c>
      <c r="I326" s="29">
        <v>8</v>
      </c>
      <c r="J326" s="29" t="str">
        <f t="shared" si="19"/>
        <v>105400</v>
      </c>
      <c r="K326" s="29" t="s">
        <v>324</v>
      </c>
      <c r="L326" s="29">
        <f t="shared" si="21"/>
        <v>10540007</v>
      </c>
      <c r="N326" s="29" t="s">
        <v>437</v>
      </c>
      <c r="O326" s="29">
        <v>11002004</v>
      </c>
      <c r="P326" s="29">
        <v>0</v>
      </c>
      <c r="Q326" s="29">
        <v>0</v>
      </c>
      <c r="R326" s="29">
        <v>1</v>
      </c>
      <c r="T326" s="29">
        <v>100</v>
      </c>
      <c r="AY326" s="29" t="s">
        <v>425</v>
      </c>
      <c r="AZ326" s="29">
        <v>0</v>
      </c>
      <c r="GR326" s="29">
        <v>0</v>
      </c>
      <c r="GS326" s="29">
        <v>0</v>
      </c>
      <c r="GT326" s="29" t="s">
        <v>425</v>
      </c>
      <c r="GU326" s="29">
        <v>0</v>
      </c>
      <c r="GX326" s="29">
        <v>0</v>
      </c>
      <c r="GZ326" s="29">
        <v>0</v>
      </c>
      <c r="HA326" s="29">
        <v>0</v>
      </c>
      <c r="HB326" s="29">
        <v>0</v>
      </c>
      <c r="HC326" s="29">
        <v>0</v>
      </c>
      <c r="HD326" s="29">
        <v>0</v>
      </c>
      <c r="HE326" s="29" t="b">
        <v>0</v>
      </c>
      <c r="HG326" s="29">
        <v>0</v>
      </c>
      <c r="HI326" s="29" t="s">
        <v>334</v>
      </c>
      <c r="HJ326" s="29">
        <v>0</v>
      </c>
      <c r="HK326" s="29">
        <v>0</v>
      </c>
      <c r="HL326" s="29">
        <v>0</v>
      </c>
    </row>
    <row r="327" spans="2:220">
      <c r="B327" s="29" cm="1">
        <f t="array" ref="B327">10000000+INDEX(编号表!$B$1:$B$112,MATCH(D327,编号表!$A$1:$A$112,0))*10000+I327</f>
        <v>10550001</v>
      </c>
      <c r="C327" s="29" t="s">
        <v>438</v>
      </c>
      <c r="D327" s="29" t="s">
        <v>439</v>
      </c>
      <c r="E327" s="29" t="s">
        <v>423</v>
      </c>
      <c r="F327" s="29" t="s">
        <v>439</v>
      </c>
      <c r="G327" s="29">
        <v>1</v>
      </c>
      <c r="H327" s="29" t="b">
        <v>0</v>
      </c>
      <c r="I327" s="29">
        <v>1</v>
      </c>
      <c r="J327" s="29" t="str">
        <f t="shared" ref="J327:J334" si="22">LEFT(B327,6)</f>
        <v>105500</v>
      </c>
      <c r="K327" s="29" t="s">
        <v>324</v>
      </c>
      <c r="M327" s="29">
        <f t="shared" ref="M327:M333" si="23">B328</f>
        <v>10550002</v>
      </c>
      <c r="N327" s="29" t="s">
        <v>440</v>
      </c>
      <c r="O327" s="29">
        <v>11002005</v>
      </c>
      <c r="P327" s="29">
        <v>0</v>
      </c>
      <c r="Q327" s="29">
        <v>0</v>
      </c>
      <c r="R327" s="29">
        <v>1</v>
      </c>
      <c r="T327" s="29">
        <v>100</v>
      </c>
      <c r="AY327" s="29" t="s">
        <v>425</v>
      </c>
      <c r="AZ327" s="29">
        <v>0</v>
      </c>
      <c r="GR327" s="29">
        <v>0</v>
      </c>
      <c r="GS327" s="29">
        <v>0</v>
      </c>
      <c r="GT327" s="29" t="s">
        <v>425</v>
      </c>
      <c r="GU327" s="29">
        <v>0</v>
      </c>
      <c r="GX327" s="29">
        <v>0</v>
      </c>
      <c r="GZ327" s="29">
        <v>0</v>
      </c>
      <c r="HA327" s="29">
        <v>0</v>
      </c>
      <c r="HB327" s="29">
        <v>0</v>
      </c>
      <c r="HC327" s="29">
        <v>0</v>
      </c>
      <c r="HD327" s="29">
        <v>0</v>
      </c>
      <c r="HE327" s="29" t="b">
        <v>0</v>
      </c>
      <c r="HG327" s="29">
        <v>0</v>
      </c>
      <c r="HI327" s="29" t="s">
        <v>334</v>
      </c>
      <c r="HJ327" s="29">
        <v>0</v>
      </c>
      <c r="HK327" s="29">
        <v>0</v>
      </c>
      <c r="HL327" s="29">
        <v>0</v>
      </c>
    </row>
    <row r="328" spans="2:220">
      <c r="B328" s="29" cm="1">
        <f t="array" ref="B328">10000000+INDEX(编号表!$B$1:$B$112,MATCH(D328,编号表!$A$1:$A$112,0))*10000+I328</f>
        <v>10550002</v>
      </c>
      <c r="C328" s="29" t="s">
        <v>438</v>
      </c>
      <c r="D328" s="29" t="s">
        <v>439</v>
      </c>
      <c r="E328" s="29" t="s">
        <v>423</v>
      </c>
      <c r="F328" s="29" t="s">
        <v>439</v>
      </c>
      <c r="G328" s="29">
        <v>1</v>
      </c>
      <c r="H328" s="29" t="b">
        <v>0</v>
      </c>
      <c r="I328" s="29">
        <v>2</v>
      </c>
      <c r="J328" s="29" t="str">
        <f t="shared" si="22"/>
        <v>105500</v>
      </c>
      <c r="K328" s="29" t="s">
        <v>324</v>
      </c>
      <c r="L328" s="29">
        <f t="shared" ref="L328:L334" si="24">B327</f>
        <v>10550001</v>
      </c>
      <c r="M328" s="29">
        <f t="shared" si="23"/>
        <v>10550003</v>
      </c>
      <c r="N328" s="29" t="s">
        <v>440</v>
      </c>
      <c r="O328" s="29">
        <v>11002005</v>
      </c>
      <c r="P328" s="29">
        <v>0</v>
      </c>
      <c r="Q328" s="29">
        <v>0</v>
      </c>
      <c r="R328" s="29">
        <v>1</v>
      </c>
      <c r="T328" s="29">
        <v>100</v>
      </c>
      <c r="AY328" s="29" t="s">
        <v>425</v>
      </c>
      <c r="AZ328" s="29">
        <v>0</v>
      </c>
      <c r="GR328" s="29">
        <v>0</v>
      </c>
      <c r="GS328" s="29">
        <v>0</v>
      </c>
      <c r="GT328" s="29" t="s">
        <v>425</v>
      </c>
      <c r="GU328" s="29">
        <v>0</v>
      </c>
      <c r="GX328" s="29">
        <v>0</v>
      </c>
      <c r="GZ328" s="29">
        <v>0</v>
      </c>
      <c r="HA328" s="29">
        <v>0</v>
      </c>
      <c r="HB328" s="29">
        <v>0</v>
      </c>
      <c r="HC328" s="29">
        <v>0</v>
      </c>
      <c r="HD328" s="29">
        <v>0</v>
      </c>
      <c r="HE328" s="29" t="b">
        <v>0</v>
      </c>
      <c r="HG328" s="29">
        <v>0</v>
      </c>
      <c r="HI328" s="29" t="s">
        <v>334</v>
      </c>
      <c r="HJ328" s="29">
        <v>0</v>
      </c>
      <c r="HK328" s="29">
        <v>0</v>
      </c>
      <c r="HL328" s="29">
        <v>0</v>
      </c>
    </row>
    <row r="329" spans="2:220">
      <c r="B329" s="29" cm="1">
        <f t="array" ref="B329">10000000+INDEX(编号表!$B$1:$B$112,MATCH(D329,编号表!$A$1:$A$112,0))*10000+I329</f>
        <v>10550003</v>
      </c>
      <c r="C329" s="29" t="s">
        <v>438</v>
      </c>
      <c r="D329" s="29" t="s">
        <v>439</v>
      </c>
      <c r="E329" s="29" t="s">
        <v>423</v>
      </c>
      <c r="F329" s="29" t="s">
        <v>439</v>
      </c>
      <c r="G329" s="29">
        <v>1</v>
      </c>
      <c r="H329" s="29" t="b">
        <v>0</v>
      </c>
      <c r="I329" s="29">
        <v>3</v>
      </c>
      <c r="J329" s="29" t="str">
        <f t="shared" si="22"/>
        <v>105500</v>
      </c>
      <c r="K329" s="29" t="s">
        <v>324</v>
      </c>
      <c r="L329" s="29">
        <f t="shared" si="24"/>
        <v>10550002</v>
      </c>
      <c r="M329" s="29">
        <f t="shared" si="23"/>
        <v>10550004</v>
      </c>
      <c r="N329" s="29" t="s">
        <v>440</v>
      </c>
      <c r="O329" s="29">
        <v>11002005</v>
      </c>
      <c r="P329" s="29">
        <v>0</v>
      </c>
      <c r="Q329" s="29">
        <v>0</v>
      </c>
      <c r="R329" s="29">
        <v>1</v>
      </c>
      <c r="T329" s="29">
        <v>100</v>
      </c>
      <c r="AY329" s="29" t="s">
        <v>425</v>
      </c>
      <c r="AZ329" s="29">
        <v>0</v>
      </c>
      <c r="GR329" s="29">
        <v>0</v>
      </c>
      <c r="GS329" s="29">
        <v>0</v>
      </c>
      <c r="GT329" s="29" t="s">
        <v>425</v>
      </c>
      <c r="GU329" s="29">
        <v>0</v>
      </c>
      <c r="GX329" s="29">
        <v>0</v>
      </c>
      <c r="GZ329" s="29">
        <v>0</v>
      </c>
      <c r="HA329" s="29">
        <v>0</v>
      </c>
      <c r="HB329" s="29">
        <v>0</v>
      </c>
      <c r="HC329" s="29">
        <v>0</v>
      </c>
      <c r="HD329" s="29">
        <v>0</v>
      </c>
      <c r="HE329" s="29" t="b">
        <v>0</v>
      </c>
      <c r="HG329" s="29">
        <v>0</v>
      </c>
      <c r="HI329" s="29" t="s">
        <v>334</v>
      </c>
      <c r="HJ329" s="29">
        <v>0</v>
      </c>
      <c r="HK329" s="29">
        <v>0</v>
      </c>
      <c r="HL329" s="29">
        <v>0</v>
      </c>
    </row>
    <row r="330" spans="2:220">
      <c r="B330" s="29" cm="1">
        <f t="array" ref="B330">10000000+INDEX(编号表!$B$1:$B$112,MATCH(D330,编号表!$A$1:$A$112,0))*10000+I330</f>
        <v>10550004</v>
      </c>
      <c r="C330" s="29" t="s">
        <v>438</v>
      </c>
      <c r="D330" s="29" t="s">
        <v>439</v>
      </c>
      <c r="E330" s="29" t="s">
        <v>423</v>
      </c>
      <c r="F330" s="29" t="s">
        <v>439</v>
      </c>
      <c r="G330" s="29">
        <v>1</v>
      </c>
      <c r="H330" s="29" t="b">
        <v>0</v>
      </c>
      <c r="I330" s="29">
        <v>4</v>
      </c>
      <c r="J330" s="29" t="str">
        <f t="shared" si="22"/>
        <v>105500</v>
      </c>
      <c r="K330" s="29" t="s">
        <v>324</v>
      </c>
      <c r="L330" s="29">
        <f t="shared" si="24"/>
        <v>10550003</v>
      </c>
      <c r="M330" s="29">
        <f t="shared" si="23"/>
        <v>10550005</v>
      </c>
      <c r="N330" s="29" t="s">
        <v>440</v>
      </c>
      <c r="O330" s="29">
        <v>11002005</v>
      </c>
      <c r="P330" s="29">
        <v>0</v>
      </c>
      <c r="Q330" s="29">
        <v>0</v>
      </c>
      <c r="R330" s="29">
        <v>1</v>
      </c>
      <c r="T330" s="29">
        <v>100</v>
      </c>
      <c r="AY330" s="29" t="s">
        <v>425</v>
      </c>
      <c r="AZ330" s="29">
        <v>0</v>
      </c>
      <c r="GR330" s="29">
        <v>0</v>
      </c>
      <c r="GS330" s="29">
        <v>0</v>
      </c>
      <c r="GT330" s="29" t="s">
        <v>425</v>
      </c>
      <c r="GU330" s="29">
        <v>0</v>
      </c>
      <c r="GX330" s="29">
        <v>0</v>
      </c>
      <c r="GZ330" s="29">
        <v>0</v>
      </c>
      <c r="HA330" s="29">
        <v>0</v>
      </c>
      <c r="HB330" s="29">
        <v>0</v>
      </c>
      <c r="HC330" s="29">
        <v>0</v>
      </c>
      <c r="HD330" s="29">
        <v>0</v>
      </c>
      <c r="HE330" s="29" t="b">
        <v>0</v>
      </c>
      <c r="HG330" s="29">
        <v>0</v>
      </c>
      <c r="HI330" s="29" t="s">
        <v>334</v>
      </c>
      <c r="HJ330" s="29">
        <v>0</v>
      </c>
      <c r="HK330" s="29">
        <v>0</v>
      </c>
      <c r="HL330" s="29">
        <v>0</v>
      </c>
    </row>
    <row r="331" spans="2:220">
      <c r="B331" s="29" cm="1">
        <f t="array" ref="B331">10000000+INDEX(编号表!$B$1:$B$112,MATCH(D331,编号表!$A$1:$A$112,0))*10000+I331</f>
        <v>10550005</v>
      </c>
      <c r="C331" s="29" t="s">
        <v>438</v>
      </c>
      <c r="D331" s="29" t="s">
        <v>439</v>
      </c>
      <c r="E331" s="29" t="s">
        <v>423</v>
      </c>
      <c r="F331" s="29" t="s">
        <v>439</v>
      </c>
      <c r="G331" s="29">
        <v>1</v>
      </c>
      <c r="H331" s="29" t="b">
        <v>0</v>
      </c>
      <c r="I331" s="29">
        <v>5</v>
      </c>
      <c r="J331" s="29" t="str">
        <f t="shared" si="22"/>
        <v>105500</v>
      </c>
      <c r="K331" s="29" t="s">
        <v>324</v>
      </c>
      <c r="L331" s="29">
        <f t="shared" si="24"/>
        <v>10550004</v>
      </c>
      <c r="M331" s="29">
        <f t="shared" si="23"/>
        <v>10550006</v>
      </c>
      <c r="N331" s="29" t="s">
        <v>440</v>
      </c>
      <c r="O331" s="29">
        <v>11002005</v>
      </c>
      <c r="P331" s="29">
        <v>0</v>
      </c>
      <c r="Q331" s="29">
        <v>0</v>
      </c>
      <c r="R331" s="29">
        <v>1</v>
      </c>
      <c r="T331" s="29">
        <v>100</v>
      </c>
      <c r="AY331" s="29" t="s">
        <v>425</v>
      </c>
      <c r="AZ331" s="29">
        <v>0</v>
      </c>
      <c r="GR331" s="29">
        <v>0</v>
      </c>
      <c r="GS331" s="29">
        <v>0</v>
      </c>
      <c r="GT331" s="29" t="s">
        <v>425</v>
      </c>
      <c r="GU331" s="29">
        <v>0</v>
      </c>
      <c r="GX331" s="29">
        <v>0</v>
      </c>
      <c r="GZ331" s="29">
        <v>0</v>
      </c>
      <c r="HA331" s="29">
        <v>0</v>
      </c>
      <c r="HB331" s="29">
        <v>0</v>
      </c>
      <c r="HC331" s="29">
        <v>0</v>
      </c>
      <c r="HD331" s="29">
        <v>0</v>
      </c>
      <c r="HE331" s="29" t="b">
        <v>0</v>
      </c>
      <c r="HG331" s="29">
        <v>0</v>
      </c>
      <c r="HI331" s="29" t="s">
        <v>334</v>
      </c>
      <c r="HJ331" s="29">
        <v>0</v>
      </c>
      <c r="HK331" s="29">
        <v>0</v>
      </c>
      <c r="HL331" s="29">
        <v>0</v>
      </c>
    </row>
    <row r="332" spans="2:220">
      <c r="B332" s="29" cm="1">
        <f t="array" ref="B332">10000000+INDEX(编号表!$B$1:$B$112,MATCH(D332,编号表!$A$1:$A$112,0))*10000+I332</f>
        <v>10550006</v>
      </c>
      <c r="C332" s="29" t="s">
        <v>438</v>
      </c>
      <c r="D332" s="29" t="s">
        <v>439</v>
      </c>
      <c r="E332" s="29" t="s">
        <v>423</v>
      </c>
      <c r="F332" s="29" t="s">
        <v>439</v>
      </c>
      <c r="G332" s="29">
        <v>1</v>
      </c>
      <c r="H332" s="29" t="b">
        <v>0</v>
      </c>
      <c r="I332" s="29">
        <v>6</v>
      </c>
      <c r="J332" s="29" t="str">
        <f t="shared" si="22"/>
        <v>105500</v>
      </c>
      <c r="K332" s="29" t="s">
        <v>324</v>
      </c>
      <c r="L332" s="29">
        <f t="shared" si="24"/>
        <v>10550005</v>
      </c>
      <c r="M332" s="29">
        <f t="shared" si="23"/>
        <v>10550007</v>
      </c>
      <c r="N332" s="29" t="s">
        <v>440</v>
      </c>
      <c r="O332" s="29">
        <v>11002005</v>
      </c>
      <c r="P332" s="29">
        <v>0</v>
      </c>
      <c r="Q332" s="29">
        <v>0</v>
      </c>
      <c r="R332" s="29">
        <v>1</v>
      </c>
      <c r="T332" s="29">
        <v>100</v>
      </c>
      <c r="AY332" s="29" t="s">
        <v>425</v>
      </c>
      <c r="AZ332" s="29">
        <v>0</v>
      </c>
      <c r="GR332" s="29">
        <v>0</v>
      </c>
      <c r="GS332" s="29">
        <v>0</v>
      </c>
      <c r="GT332" s="29" t="s">
        <v>425</v>
      </c>
      <c r="GU332" s="29">
        <v>0</v>
      </c>
      <c r="GX332" s="29">
        <v>0</v>
      </c>
      <c r="GZ332" s="29">
        <v>0</v>
      </c>
      <c r="HA332" s="29">
        <v>0</v>
      </c>
      <c r="HB332" s="29">
        <v>0</v>
      </c>
      <c r="HC332" s="29">
        <v>0</v>
      </c>
      <c r="HD332" s="29">
        <v>0</v>
      </c>
      <c r="HE332" s="29" t="b">
        <v>0</v>
      </c>
      <c r="HG332" s="29">
        <v>0</v>
      </c>
      <c r="HI332" s="29" t="s">
        <v>334</v>
      </c>
      <c r="HJ332" s="29">
        <v>0</v>
      </c>
      <c r="HK332" s="29">
        <v>0</v>
      </c>
      <c r="HL332" s="29">
        <v>0</v>
      </c>
    </row>
    <row r="333" spans="2:220">
      <c r="B333" s="29" cm="1">
        <f t="array" ref="B333">10000000+INDEX(编号表!$B$1:$B$112,MATCH(D333,编号表!$A$1:$A$112,0))*10000+I333</f>
        <v>10550007</v>
      </c>
      <c r="C333" s="29" t="s">
        <v>438</v>
      </c>
      <c r="D333" s="29" t="s">
        <v>439</v>
      </c>
      <c r="E333" s="29" t="s">
        <v>423</v>
      </c>
      <c r="F333" s="29" t="s">
        <v>439</v>
      </c>
      <c r="G333" s="29">
        <v>1</v>
      </c>
      <c r="H333" s="29" t="b">
        <v>0</v>
      </c>
      <c r="I333" s="29">
        <v>7</v>
      </c>
      <c r="J333" s="29" t="str">
        <f t="shared" si="22"/>
        <v>105500</v>
      </c>
      <c r="K333" s="29" t="s">
        <v>324</v>
      </c>
      <c r="L333" s="29">
        <f t="shared" si="24"/>
        <v>10550006</v>
      </c>
      <c r="M333" s="29">
        <f t="shared" si="23"/>
        <v>10550008</v>
      </c>
      <c r="N333" s="29" t="s">
        <v>440</v>
      </c>
      <c r="O333" s="29">
        <v>11002005</v>
      </c>
      <c r="P333" s="29">
        <v>0</v>
      </c>
      <c r="Q333" s="29">
        <v>0</v>
      </c>
      <c r="R333" s="29">
        <v>1</v>
      </c>
      <c r="T333" s="29">
        <v>100</v>
      </c>
      <c r="AY333" s="29" t="s">
        <v>425</v>
      </c>
      <c r="AZ333" s="29">
        <v>0</v>
      </c>
      <c r="GR333" s="29">
        <v>0</v>
      </c>
      <c r="GS333" s="29">
        <v>0</v>
      </c>
      <c r="GT333" s="29" t="s">
        <v>425</v>
      </c>
      <c r="GU333" s="29">
        <v>0</v>
      </c>
      <c r="GX333" s="29">
        <v>0</v>
      </c>
      <c r="GZ333" s="29">
        <v>0</v>
      </c>
      <c r="HA333" s="29">
        <v>0</v>
      </c>
      <c r="HB333" s="29">
        <v>0</v>
      </c>
      <c r="HC333" s="29">
        <v>0</v>
      </c>
      <c r="HD333" s="29">
        <v>0</v>
      </c>
      <c r="HE333" s="29" t="b">
        <v>0</v>
      </c>
      <c r="HG333" s="29">
        <v>0</v>
      </c>
      <c r="HI333" s="29" t="s">
        <v>334</v>
      </c>
      <c r="HJ333" s="29">
        <v>0</v>
      </c>
      <c r="HK333" s="29">
        <v>0</v>
      </c>
      <c r="HL333" s="29">
        <v>0</v>
      </c>
    </row>
    <row r="334" spans="2:220">
      <c r="B334" s="29" cm="1">
        <f t="array" ref="B334">10000000+INDEX(编号表!$B$1:$B$112,MATCH(D334,编号表!$A$1:$A$112,0))*10000+I334</f>
        <v>10550008</v>
      </c>
      <c r="C334" s="29" t="s">
        <v>438</v>
      </c>
      <c r="D334" s="29" t="s">
        <v>439</v>
      </c>
      <c r="E334" s="29" t="s">
        <v>423</v>
      </c>
      <c r="F334" s="29" t="s">
        <v>439</v>
      </c>
      <c r="G334" s="29">
        <v>1</v>
      </c>
      <c r="H334" s="29" t="b">
        <v>0</v>
      </c>
      <c r="I334" s="29">
        <v>8</v>
      </c>
      <c r="J334" s="29" t="str">
        <f t="shared" si="22"/>
        <v>105500</v>
      </c>
      <c r="K334" s="29" t="s">
        <v>324</v>
      </c>
      <c r="L334" s="29">
        <f t="shared" si="24"/>
        <v>10550007</v>
      </c>
      <c r="N334" s="29" t="s">
        <v>440</v>
      </c>
      <c r="O334" s="29">
        <v>11002005</v>
      </c>
      <c r="P334" s="29">
        <v>0</v>
      </c>
      <c r="Q334" s="29">
        <v>0</v>
      </c>
      <c r="R334" s="29">
        <v>1</v>
      </c>
      <c r="T334" s="29">
        <v>100</v>
      </c>
      <c r="AY334" s="29" t="s">
        <v>425</v>
      </c>
      <c r="AZ334" s="29">
        <v>0</v>
      </c>
      <c r="GR334" s="29">
        <v>0</v>
      </c>
      <c r="GS334" s="29">
        <v>0</v>
      </c>
      <c r="GT334" s="29" t="s">
        <v>425</v>
      </c>
      <c r="GU334" s="29">
        <v>0</v>
      </c>
      <c r="GX334" s="29">
        <v>0</v>
      </c>
      <c r="GZ334" s="29">
        <v>0</v>
      </c>
      <c r="HA334" s="29">
        <v>0</v>
      </c>
      <c r="HB334" s="29">
        <v>0</v>
      </c>
      <c r="HC334" s="29">
        <v>0</v>
      </c>
      <c r="HD334" s="29">
        <v>0</v>
      </c>
      <c r="HE334" s="29" t="b">
        <v>0</v>
      </c>
      <c r="HG334" s="29">
        <v>0</v>
      </c>
      <c r="HI334" s="29" t="s">
        <v>334</v>
      </c>
      <c r="HJ334" s="29">
        <v>0</v>
      </c>
      <c r="HK334" s="29">
        <v>0</v>
      </c>
      <c r="HL334" s="29">
        <v>0</v>
      </c>
    </row>
    <row r="335" spans="2:220">
      <c r="B335" s="29" cm="1">
        <f t="array" ref="B335">10000000+INDEX(编号表!$B$1:$B$112,MATCH(D335,编号表!$A$1:$A$112,0))*10000+I335</f>
        <v>10560001</v>
      </c>
      <c r="C335" s="29" t="s">
        <v>441</v>
      </c>
      <c r="D335" s="29" t="s">
        <v>442</v>
      </c>
      <c r="E335" s="29" t="s">
        <v>423</v>
      </c>
      <c r="F335" s="29" t="s">
        <v>442</v>
      </c>
      <c r="G335" s="29">
        <v>1</v>
      </c>
      <c r="H335" s="29" t="b">
        <v>0</v>
      </c>
      <c r="I335" s="29">
        <v>1</v>
      </c>
      <c r="J335" s="29" t="str">
        <f t="shared" ref="J335:J342" si="25">LEFT(B335,6)</f>
        <v>105600</v>
      </c>
      <c r="K335" s="29" t="s">
        <v>324</v>
      </c>
      <c r="M335" s="29">
        <f t="shared" ref="M335:M341" si="26">B336</f>
        <v>10560002</v>
      </c>
      <c r="N335" s="29" t="s">
        <v>443</v>
      </c>
      <c r="O335" s="29">
        <v>11002006</v>
      </c>
      <c r="P335" s="29">
        <v>0</v>
      </c>
      <c r="Q335" s="29">
        <v>0</v>
      </c>
      <c r="R335" s="29">
        <v>1</v>
      </c>
      <c r="T335" s="29">
        <v>100</v>
      </c>
      <c r="AY335" s="29" t="s">
        <v>425</v>
      </c>
      <c r="AZ335" s="29">
        <v>0</v>
      </c>
      <c r="GR335" s="29">
        <v>0</v>
      </c>
      <c r="GS335" s="29">
        <v>0</v>
      </c>
      <c r="GT335" s="29" t="s">
        <v>425</v>
      </c>
      <c r="GU335" s="29">
        <v>0</v>
      </c>
      <c r="GX335" s="29">
        <v>0</v>
      </c>
      <c r="GZ335" s="29">
        <v>0</v>
      </c>
      <c r="HA335" s="29">
        <v>0</v>
      </c>
      <c r="HB335" s="29">
        <v>0</v>
      </c>
      <c r="HC335" s="29">
        <v>0</v>
      </c>
      <c r="HD335" s="29">
        <v>0</v>
      </c>
      <c r="HE335" s="29" t="b">
        <v>0</v>
      </c>
      <c r="HG335" s="29">
        <v>0</v>
      </c>
      <c r="HI335" s="29" t="s">
        <v>334</v>
      </c>
      <c r="HJ335" s="29">
        <v>0</v>
      </c>
      <c r="HK335" s="29">
        <v>0</v>
      </c>
      <c r="HL335" s="29">
        <v>0</v>
      </c>
    </row>
    <row r="336" spans="2:220">
      <c r="B336" s="29" cm="1">
        <f t="array" ref="B336">10000000+INDEX(编号表!$B$1:$B$112,MATCH(D336,编号表!$A$1:$A$112,0))*10000+I336</f>
        <v>10560002</v>
      </c>
      <c r="C336" s="29" t="s">
        <v>441</v>
      </c>
      <c r="D336" s="29" t="s">
        <v>442</v>
      </c>
      <c r="E336" s="29" t="s">
        <v>423</v>
      </c>
      <c r="F336" s="29" t="s">
        <v>442</v>
      </c>
      <c r="G336" s="29">
        <v>1</v>
      </c>
      <c r="H336" s="29" t="b">
        <v>0</v>
      </c>
      <c r="I336" s="29">
        <v>2</v>
      </c>
      <c r="J336" s="29" t="str">
        <f t="shared" si="25"/>
        <v>105600</v>
      </c>
      <c r="K336" s="29" t="s">
        <v>324</v>
      </c>
      <c r="L336" s="29">
        <f t="shared" ref="L336:L342" si="27">B335</f>
        <v>10560001</v>
      </c>
      <c r="M336" s="29">
        <f t="shared" si="26"/>
        <v>10560003</v>
      </c>
      <c r="N336" s="29" t="s">
        <v>443</v>
      </c>
      <c r="O336" s="29">
        <v>11002006</v>
      </c>
      <c r="P336" s="29">
        <v>0</v>
      </c>
      <c r="Q336" s="29">
        <v>0</v>
      </c>
      <c r="R336" s="29">
        <v>1</v>
      </c>
      <c r="T336" s="29">
        <v>100</v>
      </c>
      <c r="AY336" s="29" t="s">
        <v>425</v>
      </c>
      <c r="AZ336" s="29">
        <v>0</v>
      </c>
      <c r="GR336" s="29">
        <v>0</v>
      </c>
      <c r="GS336" s="29">
        <v>0</v>
      </c>
      <c r="GT336" s="29" t="s">
        <v>425</v>
      </c>
      <c r="GU336" s="29">
        <v>0</v>
      </c>
      <c r="GX336" s="29">
        <v>0</v>
      </c>
      <c r="GZ336" s="29">
        <v>0</v>
      </c>
      <c r="HA336" s="29">
        <v>0</v>
      </c>
      <c r="HB336" s="29">
        <v>0</v>
      </c>
      <c r="HC336" s="29">
        <v>0</v>
      </c>
      <c r="HD336" s="29">
        <v>0</v>
      </c>
      <c r="HE336" s="29" t="b">
        <v>0</v>
      </c>
      <c r="HG336" s="29">
        <v>0</v>
      </c>
      <c r="HI336" s="29" t="s">
        <v>334</v>
      </c>
      <c r="HJ336" s="29">
        <v>0</v>
      </c>
      <c r="HK336" s="29">
        <v>0</v>
      </c>
      <c r="HL336" s="29">
        <v>0</v>
      </c>
    </row>
    <row r="337" spans="2:220">
      <c r="B337" s="29" cm="1">
        <f t="array" ref="B337">10000000+INDEX(编号表!$B$1:$B$112,MATCH(D337,编号表!$A$1:$A$112,0))*10000+I337</f>
        <v>10560003</v>
      </c>
      <c r="C337" s="29" t="s">
        <v>441</v>
      </c>
      <c r="D337" s="29" t="s">
        <v>442</v>
      </c>
      <c r="E337" s="29" t="s">
        <v>423</v>
      </c>
      <c r="F337" s="29" t="s">
        <v>442</v>
      </c>
      <c r="G337" s="29">
        <v>1</v>
      </c>
      <c r="H337" s="29" t="b">
        <v>0</v>
      </c>
      <c r="I337" s="29">
        <v>3</v>
      </c>
      <c r="J337" s="29" t="str">
        <f t="shared" si="25"/>
        <v>105600</v>
      </c>
      <c r="K337" s="29" t="s">
        <v>324</v>
      </c>
      <c r="L337" s="29">
        <f t="shared" si="27"/>
        <v>10560002</v>
      </c>
      <c r="M337" s="29">
        <f t="shared" si="26"/>
        <v>10560004</v>
      </c>
      <c r="N337" s="29" t="s">
        <v>443</v>
      </c>
      <c r="O337" s="29">
        <v>11002006</v>
      </c>
      <c r="P337" s="29">
        <v>0</v>
      </c>
      <c r="Q337" s="29">
        <v>0</v>
      </c>
      <c r="R337" s="29">
        <v>1</v>
      </c>
      <c r="T337" s="29">
        <v>100</v>
      </c>
      <c r="AY337" s="29" t="s">
        <v>425</v>
      </c>
      <c r="AZ337" s="29">
        <v>0</v>
      </c>
      <c r="GR337" s="29">
        <v>0</v>
      </c>
      <c r="GS337" s="29">
        <v>0</v>
      </c>
      <c r="GT337" s="29" t="s">
        <v>425</v>
      </c>
      <c r="GU337" s="29">
        <v>0</v>
      </c>
      <c r="GX337" s="29">
        <v>0</v>
      </c>
      <c r="GZ337" s="29">
        <v>0</v>
      </c>
      <c r="HA337" s="29">
        <v>0</v>
      </c>
      <c r="HB337" s="29">
        <v>0</v>
      </c>
      <c r="HC337" s="29">
        <v>0</v>
      </c>
      <c r="HD337" s="29">
        <v>0</v>
      </c>
      <c r="HE337" s="29" t="b">
        <v>0</v>
      </c>
      <c r="HG337" s="29">
        <v>0</v>
      </c>
      <c r="HI337" s="29" t="s">
        <v>334</v>
      </c>
      <c r="HJ337" s="29">
        <v>0</v>
      </c>
      <c r="HK337" s="29">
        <v>0</v>
      </c>
      <c r="HL337" s="29">
        <v>0</v>
      </c>
    </row>
    <row r="338" spans="2:220">
      <c r="B338" s="29" cm="1">
        <f t="array" ref="B338">10000000+INDEX(编号表!$B$1:$B$112,MATCH(D338,编号表!$A$1:$A$112,0))*10000+I338</f>
        <v>10560004</v>
      </c>
      <c r="C338" s="29" t="s">
        <v>441</v>
      </c>
      <c r="D338" s="29" t="s">
        <v>442</v>
      </c>
      <c r="E338" s="29" t="s">
        <v>423</v>
      </c>
      <c r="F338" s="29" t="s">
        <v>442</v>
      </c>
      <c r="G338" s="29">
        <v>1</v>
      </c>
      <c r="H338" s="29" t="b">
        <v>0</v>
      </c>
      <c r="I338" s="29">
        <v>4</v>
      </c>
      <c r="J338" s="29" t="str">
        <f t="shared" si="25"/>
        <v>105600</v>
      </c>
      <c r="K338" s="29" t="s">
        <v>324</v>
      </c>
      <c r="L338" s="29">
        <f t="shared" si="27"/>
        <v>10560003</v>
      </c>
      <c r="M338" s="29">
        <f t="shared" si="26"/>
        <v>10560005</v>
      </c>
      <c r="N338" s="29" t="s">
        <v>443</v>
      </c>
      <c r="O338" s="29">
        <v>11002006</v>
      </c>
      <c r="P338" s="29">
        <v>0</v>
      </c>
      <c r="Q338" s="29">
        <v>0</v>
      </c>
      <c r="R338" s="29">
        <v>1</v>
      </c>
      <c r="T338" s="29">
        <v>100</v>
      </c>
      <c r="AY338" s="29" t="s">
        <v>425</v>
      </c>
      <c r="AZ338" s="29">
        <v>0</v>
      </c>
      <c r="GR338" s="29">
        <v>0</v>
      </c>
      <c r="GS338" s="29">
        <v>0</v>
      </c>
      <c r="GT338" s="29" t="s">
        <v>425</v>
      </c>
      <c r="GU338" s="29">
        <v>0</v>
      </c>
      <c r="GX338" s="29">
        <v>0</v>
      </c>
      <c r="GZ338" s="29">
        <v>0</v>
      </c>
      <c r="HA338" s="29">
        <v>0</v>
      </c>
      <c r="HB338" s="29">
        <v>0</v>
      </c>
      <c r="HC338" s="29">
        <v>0</v>
      </c>
      <c r="HD338" s="29">
        <v>0</v>
      </c>
      <c r="HE338" s="29" t="b">
        <v>0</v>
      </c>
      <c r="HG338" s="29">
        <v>0</v>
      </c>
      <c r="HI338" s="29" t="s">
        <v>334</v>
      </c>
      <c r="HJ338" s="29">
        <v>0</v>
      </c>
      <c r="HK338" s="29">
        <v>0</v>
      </c>
      <c r="HL338" s="29">
        <v>0</v>
      </c>
    </row>
    <row r="339" spans="2:220">
      <c r="B339" s="29" cm="1">
        <f t="array" ref="B339">10000000+INDEX(编号表!$B$1:$B$112,MATCH(D339,编号表!$A$1:$A$112,0))*10000+I339</f>
        <v>10560005</v>
      </c>
      <c r="C339" s="29" t="s">
        <v>441</v>
      </c>
      <c r="D339" s="29" t="s">
        <v>442</v>
      </c>
      <c r="E339" s="29" t="s">
        <v>423</v>
      </c>
      <c r="F339" s="29" t="s">
        <v>442</v>
      </c>
      <c r="G339" s="29">
        <v>1</v>
      </c>
      <c r="H339" s="29" t="b">
        <v>0</v>
      </c>
      <c r="I339" s="29">
        <v>5</v>
      </c>
      <c r="J339" s="29" t="str">
        <f t="shared" si="25"/>
        <v>105600</v>
      </c>
      <c r="K339" s="29" t="s">
        <v>324</v>
      </c>
      <c r="L339" s="29">
        <f t="shared" si="27"/>
        <v>10560004</v>
      </c>
      <c r="M339" s="29">
        <f t="shared" si="26"/>
        <v>10560006</v>
      </c>
      <c r="N339" s="29" t="s">
        <v>443</v>
      </c>
      <c r="O339" s="29">
        <v>11002006</v>
      </c>
      <c r="P339" s="29">
        <v>0</v>
      </c>
      <c r="Q339" s="29">
        <v>0</v>
      </c>
      <c r="R339" s="29">
        <v>1</v>
      </c>
      <c r="T339" s="29">
        <v>100</v>
      </c>
      <c r="AY339" s="29" t="s">
        <v>425</v>
      </c>
      <c r="AZ339" s="29">
        <v>0</v>
      </c>
      <c r="GR339" s="29">
        <v>0</v>
      </c>
      <c r="GS339" s="29">
        <v>0</v>
      </c>
      <c r="GT339" s="29" t="s">
        <v>425</v>
      </c>
      <c r="GU339" s="29">
        <v>0</v>
      </c>
      <c r="GX339" s="29">
        <v>0</v>
      </c>
      <c r="GZ339" s="29">
        <v>0</v>
      </c>
      <c r="HA339" s="29">
        <v>0</v>
      </c>
      <c r="HB339" s="29">
        <v>0</v>
      </c>
      <c r="HC339" s="29">
        <v>0</v>
      </c>
      <c r="HD339" s="29">
        <v>0</v>
      </c>
      <c r="HE339" s="29" t="b">
        <v>0</v>
      </c>
      <c r="HG339" s="29">
        <v>0</v>
      </c>
      <c r="HI339" s="29" t="s">
        <v>334</v>
      </c>
      <c r="HJ339" s="29">
        <v>0</v>
      </c>
      <c r="HK339" s="29">
        <v>0</v>
      </c>
      <c r="HL339" s="29">
        <v>0</v>
      </c>
    </row>
    <row r="340" spans="2:220">
      <c r="B340" s="29" cm="1">
        <f t="array" ref="B340">10000000+INDEX(编号表!$B$1:$B$112,MATCH(D340,编号表!$A$1:$A$112,0))*10000+I340</f>
        <v>10560006</v>
      </c>
      <c r="C340" s="29" t="s">
        <v>441</v>
      </c>
      <c r="D340" s="29" t="s">
        <v>442</v>
      </c>
      <c r="E340" s="29" t="s">
        <v>423</v>
      </c>
      <c r="F340" s="29" t="s">
        <v>442</v>
      </c>
      <c r="G340" s="29">
        <v>1</v>
      </c>
      <c r="H340" s="29" t="b">
        <v>0</v>
      </c>
      <c r="I340" s="29">
        <v>6</v>
      </c>
      <c r="J340" s="29" t="str">
        <f t="shared" si="25"/>
        <v>105600</v>
      </c>
      <c r="K340" s="29" t="s">
        <v>324</v>
      </c>
      <c r="L340" s="29">
        <f t="shared" si="27"/>
        <v>10560005</v>
      </c>
      <c r="M340" s="29">
        <f t="shared" si="26"/>
        <v>10560007</v>
      </c>
      <c r="N340" s="29" t="s">
        <v>443</v>
      </c>
      <c r="O340" s="29">
        <v>11002006</v>
      </c>
      <c r="P340" s="29">
        <v>0</v>
      </c>
      <c r="Q340" s="29">
        <v>0</v>
      </c>
      <c r="R340" s="29">
        <v>1</v>
      </c>
      <c r="T340" s="29">
        <v>100</v>
      </c>
      <c r="AY340" s="29" t="s">
        <v>425</v>
      </c>
      <c r="AZ340" s="29">
        <v>0</v>
      </c>
      <c r="GR340" s="29">
        <v>0</v>
      </c>
      <c r="GS340" s="29">
        <v>0</v>
      </c>
      <c r="GT340" s="29" t="s">
        <v>425</v>
      </c>
      <c r="GU340" s="29">
        <v>0</v>
      </c>
      <c r="GX340" s="29">
        <v>0</v>
      </c>
      <c r="GZ340" s="29">
        <v>0</v>
      </c>
      <c r="HA340" s="29">
        <v>0</v>
      </c>
      <c r="HB340" s="29">
        <v>0</v>
      </c>
      <c r="HC340" s="29">
        <v>0</v>
      </c>
      <c r="HD340" s="29">
        <v>0</v>
      </c>
      <c r="HE340" s="29" t="b">
        <v>0</v>
      </c>
      <c r="HG340" s="29">
        <v>0</v>
      </c>
      <c r="HI340" s="29" t="s">
        <v>334</v>
      </c>
      <c r="HJ340" s="29">
        <v>0</v>
      </c>
      <c r="HK340" s="29">
        <v>0</v>
      </c>
      <c r="HL340" s="29">
        <v>0</v>
      </c>
    </row>
    <row r="341" spans="2:220">
      <c r="B341" s="29" cm="1">
        <f t="array" ref="B341">10000000+INDEX(编号表!$B$1:$B$112,MATCH(D341,编号表!$A$1:$A$112,0))*10000+I341</f>
        <v>10560007</v>
      </c>
      <c r="C341" s="29" t="s">
        <v>441</v>
      </c>
      <c r="D341" s="29" t="s">
        <v>442</v>
      </c>
      <c r="E341" s="29" t="s">
        <v>423</v>
      </c>
      <c r="F341" s="29" t="s">
        <v>442</v>
      </c>
      <c r="G341" s="29">
        <v>1</v>
      </c>
      <c r="H341" s="29" t="b">
        <v>0</v>
      </c>
      <c r="I341" s="29">
        <v>7</v>
      </c>
      <c r="J341" s="29" t="str">
        <f t="shared" si="25"/>
        <v>105600</v>
      </c>
      <c r="K341" s="29" t="s">
        <v>324</v>
      </c>
      <c r="L341" s="29">
        <f t="shared" si="27"/>
        <v>10560006</v>
      </c>
      <c r="M341" s="29">
        <f t="shared" si="26"/>
        <v>10560008</v>
      </c>
      <c r="N341" s="29" t="s">
        <v>443</v>
      </c>
      <c r="O341" s="29">
        <v>11002006</v>
      </c>
      <c r="P341" s="29">
        <v>0</v>
      </c>
      <c r="Q341" s="29">
        <v>0</v>
      </c>
      <c r="R341" s="29">
        <v>1</v>
      </c>
      <c r="T341" s="29">
        <v>100</v>
      </c>
      <c r="AY341" s="29" t="s">
        <v>425</v>
      </c>
      <c r="AZ341" s="29">
        <v>0</v>
      </c>
      <c r="GR341" s="29">
        <v>0</v>
      </c>
      <c r="GS341" s="29">
        <v>0</v>
      </c>
      <c r="GT341" s="29" t="s">
        <v>425</v>
      </c>
      <c r="GU341" s="29">
        <v>0</v>
      </c>
      <c r="GX341" s="29">
        <v>0</v>
      </c>
      <c r="GZ341" s="29">
        <v>0</v>
      </c>
      <c r="HA341" s="29">
        <v>0</v>
      </c>
      <c r="HB341" s="29">
        <v>0</v>
      </c>
      <c r="HC341" s="29">
        <v>0</v>
      </c>
      <c r="HD341" s="29">
        <v>0</v>
      </c>
      <c r="HE341" s="29" t="b">
        <v>0</v>
      </c>
      <c r="HG341" s="29">
        <v>0</v>
      </c>
      <c r="HI341" s="29" t="s">
        <v>334</v>
      </c>
      <c r="HJ341" s="29">
        <v>0</v>
      </c>
      <c r="HK341" s="29">
        <v>0</v>
      </c>
      <c r="HL341" s="29">
        <v>0</v>
      </c>
    </row>
    <row r="342" spans="2:220">
      <c r="B342" s="29" cm="1">
        <f t="array" ref="B342">10000000+INDEX(编号表!$B$1:$B$112,MATCH(D342,编号表!$A$1:$A$112,0))*10000+I342</f>
        <v>10560008</v>
      </c>
      <c r="C342" s="29" t="s">
        <v>441</v>
      </c>
      <c r="D342" s="29" t="s">
        <v>442</v>
      </c>
      <c r="E342" s="29" t="s">
        <v>423</v>
      </c>
      <c r="F342" s="29" t="s">
        <v>442</v>
      </c>
      <c r="G342" s="29">
        <v>1</v>
      </c>
      <c r="H342" s="29" t="b">
        <v>0</v>
      </c>
      <c r="I342" s="29">
        <v>8</v>
      </c>
      <c r="J342" s="29" t="str">
        <f t="shared" si="25"/>
        <v>105600</v>
      </c>
      <c r="K342" s="29" t="s">
        <v>324</v>
      </c>
      <c r="L342" s="29">
        <f t="shared" si="27"/>
        <v>10560007</v>
      </c>
      <c r="N342" s="29" t="s">
        <v>443</v>
      </c>
      <c r="O342" s="29">
        <v>11002006</v>
      </c>
      <c r="P342" s="29">
        <v>0</v>
      </c>
      <c r="Q342" s="29">
        <v>0</v>
      </c>
      <c r="R342" s="29">
        <v>1</v>
      </c>
      <c r="T342" s="29">
        <v>100</v>
      </c>
      <c r="AY342" s="29" t="s">
        <v>425</v>
      </c>
      <c r="AZ342" s="29">
        <v>0</v>
      </c>
      <c r="GR342" s="29">
        <v>0</v>
      </c>
      <c r="GS342" s="29">
        <v>0</v>
      </c>
      <c r="GT342" s="29" t="s">
        <v>425</v>
      </c>
      <c r="GU342" s="29">
        <v>0</v>
      </c>
      <c r="GX342" s="29">
        <v>0</v>
      </c>
      <c r="GZ342" s="29">
        <v>0</v>
      </c>
      <c r="HA342" s="29">
        <v>0</v>
      </c>
      <c r="HB342" s="29">
        <v>0</v>
      </c>
      <c r="HC342" s="29">
        <v>0</v>
      </c>
      <c r="HD342" s="29">
        <v>0</v>
      </c>
      <c r="HE342" s="29" t="b">
        <v>0</v>
      </c>
      <c r="HG342" s="29">
        <v>0</v>
      </c>
      <c r="HI342" s="29" t="s">
        <v>334</v>
      </c>
      <c r="HJ342" s="29">
        <v>0</v>
      </c>
      <c r="HK342" s="29">
        <v>0</v>
      </c>
      <c r="HL342" s="29">
        <v>0</v>
      </c>
    </row>
    <row r="343" spans="2:220">
      <c r="B343" s="29" cm="1">
        <f t="array" ref="B343">10000000+INDEX(编号表!$B$1:$B$112,MATCH(D343,编号表!$A$1:$A$112,0))*10000+I343</f>
        <v>10570001</v>
      </c>
      <c r="C343" s="29" t="s">
        <v>444</v>
      </c>
      <c r="D343" s="29" t="s">
        <v>444</v>
      </c>
      <c r="E343" s="29" t="s">
        <v>445</v>
      </c>
      <c r="F343" s="29" t="s">
        <v>446</v>
      </c>
      <c r="G343" s="29">
        <v>1</v>
      </c>
      <c r="H343" s="29" t="b">
        <v>0</v>
      </c>
      <c r="I343" s="29">
        <v>1</v>
      </c>
      <c r="J343" s="29">
        <v>105700</v>
      </c>
      <c r="K343" s="29" t="s">
        <v>324</v>
      </c>
      <c r="M343" s="29">
        <v>10570002</v>
      </c>
      <c r="N343" s="29" t="s">
        <v>447</v>
      </c>
      <c r="O343" s="29">
        <v>10902000</v>
      </c>
      <c r="P343" s="29">
        <v>0</v>
      </c>
      <c r="Q343" s="29">
        <v>0</v>
      </c>
      <c r="R343" s="29">
        <v>1</v>
      </c>
      <c r="T343" s="29">
        <v>100</v>
      </c>
      <c r="AY343" s="29" t="s">
        <v>425</v>
      </c>
      <c r="AZ343" s="29">
        <v>0</v>
      </c>
      <c r="GR343" s="29">
        <v>0</v>
      </c>
      <c r="GS343" s="29">
        <v>0</v>
      </c>
      <c r="GT343" s="29" t="s">
        <v>425</v>
      </c>
      <c r="GU343" s="29">
        <v>0</v>
      </c>
      <c r="GX343" s="29">
        <v>0</v>
      </c>
      <c r="GZ343" s="29">
        <v>0</v>
      </c>
      <c r="HA343" s="29">
        <v>0</v>
      </c>
      <c r="HB343" s="29">
        <v>0</v>
      </c>
      <c r="HC343" s="29">
        <v>0</v>
      </c>
      <c r="HD343" s="29">
        <v>0</v>
      </c>
      <c r="HE343" s="29" t="b">
        <v>0</v>
      </c>
      <c r="HG343" s="29">
        <v>0</v>
      </c>
      <c r="HI343" s="29" t="s">
        <v>334</v>
      </c>
      <c r="HJ343" s="29">
        <v>0</v>
      </c>
      <c r="HK343" s="29">
        <v>0</v>
      </c>
      <c r="HL343" s="29">
        <v>0</v>
      </c>
    </row>
    <row r="344" spans="2:220">
      <c r="B344" s="29" cm="1">
        <f t="array" ref="B344">10000000+INDEX(编号表!$B$1:$B$112,MATCH(D344,编号表!$A$1:$A$112,0))*10000+I344</f>
        <v>10570002</v>
      </c>
      <c r="C344" s="29" t="s">
        <v>444</v>
      </c>
      <c r="D344" s="29" t="s">
        <v>444</v>
      </c>
      <c r="E344" s="29" t="s">
        <v>445</v>
      </c>
      <c r="F344" s="29" t="s">
        <v>446</v>
      </c>
      <c r="G344" s="29">
        <v>1</v>
      </c>
      <c r="H344" s="29" t="b">
        <v>0</v>
      </c>
      <c r="I344" s="29">
        <v>2</v>
      </c>
      <c r="J344" s="29">
        <v>105700</v>
      </c>
      <c r="K344" s="29" t="s">
        <v>324</v>
      </c>
      <c r="L344" s="29">
        <v>10570001</v>
      </c>
      <c r="M344" s="29">
        <v>10570003</v>
      </c>
      <c r="N344" s="29" t="s">
        <v>447</v>
      </c>
      <c r="O344" s="29">
        <v>10902000</v>
      </c>
      <c r="P344" s="29">
        <v>0</v>
      </c>
      <c r="Q344" s="29">
        <v>0</v>
      </c>
      <c r="R344" s="29">
        <v>1</v>
      </c>
      <c r="T344" s="29">
        <v>100</v>
      </c>
      <c r="AY344" s="29" t="s">
        <v>425</v>
      </c>
      <c r="AZ344" s="29">
        <v>0</v>
      </c>
      <c r="GR344" s="29">
        <v>0</v>
      </c>
      <c r="GS344" s="29">
        <v>0</v>
      </c>
      <c r="GT344" s="29" t="s">
        <v>425</v>
      </c>
      <c r="GU344" s="29">
        <v>0</v>
      </c>
      <c r="GX344" s="29">
        <v>0</v>
      </c>
      <c r="GZ344" s="29">
        <v>0</v>
      </c>
      <c r="HA344" s="29">
        <v>0</v>
      </c>
      <c r="HB344" s="29">
        <v>0</v>
      </c>
      <c r="HC344" s="29">
        <v>0</v>
      </c>
      <c r="HD344" s="29">
        <v>0</v>
      </c>
      <c r="HE344" s="29" t="b">
        <v>0</v>
      </c>
      <c r="HG344" s="29">
        <v>0</v>
      </c>
      <c r="HI344" s="29" t="s">
        <v>334</v>
      </c>
      <c r="HJ344" s="29">
        <v>0</v>
      </c>
      <c r="HK344" s="29">
        <v>0</v>
      </c>
      <c r="HL344" s="29">
        <v>0</v>
      </c>
    </row>
    <row r="345" spans="2:220">
      <c r="B345" s="29" cm="1">
        <f t="array" ref="B345">10000000+INDEX(编号表!$B$1:$B$112,MATCH(D345,编号表!$A$1:$A$112,0))*10000+I345</f>
        <v>10570003</v>
      </c>
      <c r="C345" s="29" t="s">
        <v>444</v>
      </c>
      <c r="D345" s="29" t="s">
        <v>444</v>
      </c>
      <c r="E345" s="29" t="s">
        <v>445</v>
      </c>
      <c r="F345" s="29" t="s">
        <v>446</v>
      </c>
      <c r="G345" s="29">
        <v>1</v>
      </c>
      <c r="H345" s="29" t="b">
        <v>0</v>
      </c>
      <c r="I345" s="29">
        <v>3</v>
      </c>
      <c r="J345" s="29">
        <v>105700</v>
      </c>
      <c r="K345" s="29" t="s">
        <v>324</v>
      </c>
      <c r="L345" s="29">
        <v>10570002</v>
      </c>
      <c r="M345" s="29">
        <v>10570004</v>
      </c>
      <c r="N345" s="29" t="s">
        <v>447</v>
      </c>
      <c r="O345" s="29">
        <v>10902000</v>
      </c>
      <c r="P345" s="29">
        <v>0</v>
      </c>
      <c r="Q345" s="29">
        <v>0</v>
      </c>
      <c r="R345" s="29">
        <v>1</v>
      </c>
      <c r="T345" s="29">
        <v>100</v>
      </c>
      <c r="AY345" s="29" t="s">
        <v>425</v>
      </c>
      <c r="AZ345" s="29">
        <v>0</v>
      </c>
      <c r="GR345" s="29">
        <v>0</v>
      </c>
      <c r="GS345" s="29">
        <v>0</v>
      </c>
      <c r="GT345" s="29" t="s">
        <v>425</v>
      </c>
      <c r="GU345" s="29">
        <v>0</v>
      </c>
      <c r="GX345" s="29">
        <v>0</v>
      </c>
      <c r="GZ345" s="29">
        <v>0</v>
      </c>
      <c r="HA345" s="29">
        <v>0</v>
      </c>
      <c r="HB345" s="29">
        <v>0</v>
      </c>
      <c r="HC345" s="29">
        <v>0</v>
      </c>
      <c r="HD345" s="29">
        <v>0</v>
      </c>
      <c r="HE345" s="29" t="b">
        <v>0</v>
      </c>
      <c r="HG345" s="29">
        <v>0</v>
      </c>
      <c r="HI345" s="29" t="s">
        <v>334</v>
      </c>
      <c r="HJ345" s="29">
        <v>0</v>
      </c>
      <c r="HK345" s="29">
        <v>0</v>
      </c>
      <c r="HL345" s="29">
        <v>0</v>
      </c>
    </row>
    <row r="346" spans="2:220">
      <c r="B346" s="29" cm="1">
        <f t="array" ref="B346">10000000+INDEX(编号表!$B$1:$B$112,MATCH(D346,编号表!$A$1:$A$112,0))*10000+I346</f>
        <v>10570004</v>
      </c>
      <c r="C346" s="29" t="s">
        <v>444</v>
      </c>
      <c r="D346" s="29" t="s">
        <v>444</v>
      </c>
      <c r="E346" s="29" t="s">
        <v>445</v>
      </c>
      <c r="F346" s="29" t="s">
        <v>446</v>
      </c>
      <c r="G346" s="29">
        <v>1</v>
      </c>
      <c r="H346" s="29" t="b">
        <v>0</v>
      </c>
      <c r="I346" s="29">
        <v>4</v>
      </c>
      <c r="J346" s="29">
        <v>105700</v>
      </c>
      <c r="K346" s="29" t="s">
        <v>324</v>
      </c>
      <c r="L346" s="29">
        <v>10570003</v>
      </c>
      <c r="M346" s="29">
        <v>10570005</v>
      </c>
      <c r="N346" s="29" t="s">
        <v>447</v>
      </c>
      <c r="O346" s="29">
        <v>10902000</v>
      </c>
      <c r="P346" s="29">
        <v>0</v>
      </c>
      <c r="Q346" s="29">
        <v>0</v>
      </c>
      <c r="R346" s="29">
        <v>1</v>
      </c>
      <c r="T346" s="29">
        <v>100</v>
      </c>
      <c r="AY346" s="29" t="s">
        <v>425</v>
      </c>
      <c r="AZ346" s="29">
        <v>0</v>
      </c>
      <c r="GR346" s="29">
        <v>0</v>
      </c>
      <c r="GS346" s="29">
        <v>0</v>
      </c>
      <c r="GT346" s="29" t="s">
        <v>425</v>
      </c>
      <c r="GU346" s="29">
        <v>0</v>
      </c>
      <c r="GX346" s="29">
        <v>0</v>
      </c>
      <c r="GZ346" s="29">
        <v>0</v>
      </c>
      <c r="HA346" s="29">
        <v>0</v>
      </c>
      <c r="HB346" s="29">
        <v>0</v>
      </c>
      <c r="HC346" s="29">
        <v>0</v>
      </c>
      <c r="HD346" s="29">
        <v>0</v>
      </c>
      <c r="HE346" s="29" t="b">
        <v>0</v>
      </c>
      <c r="HG346" s="29">
        <v>0</v>
      </c>
      <c r="HI346" s="29" t="s">
        <v>334</v>
      </c>
      <c r="HJ346" s="29">
        <v>0</v>
      </c>
      <c r="HK346" s="29">
        <v>0</v>
      </c>
      <c r="HL346" s="29">
        <v>0</v>
      </c>
    </row>
    <row r="347" spans="2:220">
      <c r="B347" s="29" cm="1">
        <f t="array" ref="B347">10000000+INDEX(编号表!$B$1:$B$112,MATCH(D347,编号表!$A$1:$A$112,0))*10000+I347</f>
        <v>10570005</v>
      </c>
      <c r="C347" s="29" t="s">
        <v>444</v>
      </c>
      <c r="D347" s="29" t="s">
        <v>444</v>
      </c>
      <c r="E347" s="29" t="s">
        <v>445</v>
      </c>
      <c r="F347" s="29" t="s">
        <v>446</v>
      </c>
      <c r="G347" s="29">
        <v>1</v>
      </c>
      <c r="H347" s="29" t="b">
        <v>0</v>
      </c>
      <c r="I347" s="29">
        <v>5</v>
      </c>
      <c r="J347" s="29">
        <v>105700</v>
      </c>
      <c r="K347" s="29" t="s">
        <v>324</v>
      </c>
      <c r="L347" s="29">
        <v>10570004</v>
      </c>
      <c r="M347" s="29">
        <v>10570006</v>
      </c>
      <c r="N347" s="29" t="s">
        <v>447</v>
      </c>
      <c r="O347" s="29">
        <v>10902000</v>
      </c>
      <c r="P347" s="29">
        <v>0</v>
      </c>
      <c r="Q347" s="29">
        <v>0</v>
      </c>
      <c r="R347" s="29">
        <v>1</v>
      </c>
      <c r="T347" s="29">
        <v>100</v>
      </c>
      <c r="AY347" s="29" t="s">
        <v>425</v>
      </c>
      <c r="AZ347" s="29">
        <v>0</v>
      </c>
      <c r="GR347" s="29">
        <v>0</v>
      </c>
      <c r="GS347" s="29">
        <v>0</v>
      </c>
      <c r="GT347" s="29" t="s">
        <v>425</v>
      </c>
      <c r="GU347" s="29">
        <v>0</v>
      </c>
      <c r="GX347" s="29">
        <v>0</v>
      </c>
      <c r="GZ347" s="29">
        <v>0</v>
      </c>
      <c r="HA347" s="29">
        <v>0</v>
      </c>
      <c r="HB347" s="29">
        <v>0</v>
      </c>
      <c r="HC347" s="29">
        <v>0</v>
      </c>
      <c r="HD347" s="29">
        <v>0</v>
      </c>
      <c r="HE347" s="29" t="b">
        <v>0</v>
      </c>
      <c r="HG347" s="29">
        <v>0</v>
      </c>
      <c r="HI347" s="29" t="s">
        <v>334</v>
      </c>
      <c r="HJ347" s="29">
        <v>0</v>
      </c>
      <c r="HK347" s="29">
        <v>0</v>
      </c>
      <c r="HL347" s="29">
        <v>0</v>
      </c>
    </row>
    <row r="348" spans="2:220">
      <c r="B348" s="29" cm="1">
        <f t="array" ref="B348">10000000+INDEX(编号表!$B$1:$B$112,MATCH(D348,编号表!$A$1:$A$112,0))*10000+I348</f>
        <v>10570006</v>
      </c>
      <c r="C348" s="29" t="s">
        <v>444</v>
      </c>
      <c r="D348" s="29" t="s">
        <v>444</v>
      </c>
      <c r="E348" s="29" t="s">
        <v>445</v>
      </c>
      <c r="F348" s="29" t="s">
        <v>446</v>
      </c>
      <c r="G348" s="29">
        <v>1</v>
      </c>
      <c r="H348" s="29" t="b">
        <v>0</v>
      </c>
      <c r="I348" s="29">
        <v>6</v>
      </c>
      <c r="J348" s="29">
        <v>105700</v>
      </c>
      <c r="K348" s="29" t="s">
        <v>324</v>
      </c>
      <c r="L348" s="29">
        <v>10570005</v>
      </c>
      <c r="M348" s="29">
        <v>10570007</v>
      </c>
      <c r="N348" s="29" t="s">
        <v>447</v>
      </c>
      <c r="O348" s="29">
        <v>10902000</v>
      </c>
      <c r="P348" s="29">
        <v>0</v>
      </c>
      <c r="Q348" s="29">
        <v>0</v>
      </c>
      <c r="R348" s="29">
        <v>1</v>
      </c>
      <c r="T348" s="29">
        <v>100</v>
      </c>
      <c r="AY348" s="29" t="s">
        <v>425</v>
      </c>
      <c r="AZ348" s="29">
        <v>0</v>
      </c>
      <c r="GR348" s="29">
        <v>0</v>
      </c>
      <c r="GS348" s="29">
        <v>0</v>
      </c>
      <c r="GT348" s="29" t="s">
        <v>425</v>
      </c>
      <c r="GU348" s="29">
        <v>0</v>
      </c>
      <c r="GX348" s="29">
        <v>0</v>
      </c>
      <c r="GZ348" s="29">
        <v>0</v>
      </c>
      <c r="HA348" s="29">
        <v>0</v>
      </c>
      <c r="HB348" s="29">
        <v>0</v>
      </c>
      <c r="HC348" s="29">
        <v>0</v>
      </c>
      <c r="HD348" s="29">
        <v>0</v>
      </c>
      <c r="HE348" s="29" t="b">
        <v>0</v>
      </c>
      <c r="HG348" s="29">
        <v>0</v>
      </c>
      <c r="HI348" s="29" t="s">
        <v>334</v>
      </c>
      <c r="HJ348" s="29">
        <v>0</v>
      </c>
      <c r="HK348" s="29">
        <v>0</v>
      </c>
      <c r="HL348" s="29">
        <v>0</v>
      </c>
    </row>
    <row r="349" spans="2:220">
      <c r="B349" s="29" cm="1">
        <f t="array" ref="B349">10000000+INDEX(编号表!$B$1:$B$112,MATCH(D349,编号表!$A$1:$A$112,0))*10000+I349</f>
        <v>10570007</v>
      </c>
      <c r="C349" s="29" t="s">
        <v>444</v>
      </c>
      <c r="D349" s="29" t="s">
        <v>444</v>
      </c>
      <c r="E349" s="29" t="s">
        <v>445</v>
      </c>
      <c r="F349" s="29" t="s">
        <v>446</v>
      </c>
      <c r="G349" s="29">
        <v>1</v>
      </c>
      <c r="H349" s="29" t="b">
        <v>0</v>
      </c>
      <c r="I349" s="29">
        <v>7</v>
      </c>
      <c r="J349" s="29">
        <v>105700</v>
      </c>
      <c r="K349" s="29" t="s">
        <v>324</v>
      </c>
      <c r="L349" s="29">
        <v>10570006</v>
      </c>
      <c r="M349" s="29">
        <v>10570008</v>
      </c>
      <c r="N349" s="29" t="s">
        <v>447</v>
      </c>
      <c r="O349" s="29">
        <v>10902000</v>
      </c>
      <c r="P349" s="29">
        <v>0</v>
      </c>
      <c r="Q349" s="29">
        <v>0</v>
      </c>
      <c r="R349" s="29">
        <v>1</v>
      </c>
      <c r="T349" s="29">
        <v>100</v>
      </c>
      <c r="AY349" s="29" t="s">
        <v>425</v>
      </c>
      <c r="AZ349" s="29">
        <v>0</v>
      </c>
      <c r="GR349" s="29">
        <v>0</v>
      </c>
      <c r="GS349" s="29">
        <v>0</v>
      </c>
      <c r="GT349" s="29" t="s">
        <v>425</v>
      </c>
      <c r="GU349" s="29">
        <v>0</v>
      </c>
      <c r="GX349" s="29">
        <v>0</v>
      </c>
      <c r="GZ349" s="29">
        <v>0</v>
      </c>
      <c r="HA349" s="29">
        <v>0</v>
      </c>
      <c r="HB349" s="29">
        <v>0</v>
      </c>
      <c r="HC349" s="29">
        <v>0</v>
      </c>
      <c r="HD349" s="29">
        <v>0</v>
      </c>
      <c r="HE349" s="29" t="b">
        <v>0</v>
      </c>
      <c r="HG349" s="29">
        <v>0</v>
      </c>
      <c r="HI349" s="29" t="s">
        <v>334</v>
      </c>
      <c r="HJ349" s="29">
        <v>0</v>
      </c>
      <c r="HK349" s="29">
        <v>0</v>
      </c>
      <c r="HL349" s="29">
        <v>0</v>
      </c>
    </row>
    <row r="350" spans="2:220">
      <c r="B350" s="29" cm="1">
        <f t="array" ref="B350">10000000+INDEX(编号表!$B$1:$B$112,MATCH(D350,编号表!$A$1:$A$112,0))*10000+I350</f>
        <v>10570008</v>
      </c>
      <c r="C350" s="29" t="s">
        <v>444</v>
      </c>
      <c r="D350" s="29" t="s">
        <v>444</v>
      </c>
      <c r="E350" s="29" t="s">
        <v>445</v>
      </c>
      <c r="F350" s="29" t="s">
        <v>446</v>
      </c>
      <c r="G350" s="29">
        <v>1</v>
      </c>
      <c r="H350" s="29" t="b">
        <v>0</v>
      </c>
      <c r="I350" s="29">
        <v>8</v>
      </c>
      <c r="J350" s="29">
        <v>105700</v>
      </c>
      <c r="K350" s="29" t="s">
        <v>324</v>
      </c>
      <c r="L350" s="29">
        <v>10570007</v>
      </c>
      <c r="M350" s="29">
        <v>10570009</v>
      </c>
      <c r="N350" s="29" t="s">
        <v>447</v>
      </c>
      <c r="O350" s="29">
        <v>10902000</v>
      </c>
      <c r="P350" s="29">
        <v>0</v>
      </c>
      <c r="Q350" s="29">
        <v>0</v>
      </c>
      <c r="R350" s="29">
        <v>1</v>
      </c>
      <c r="T350" s="29">
        <v>100</v>
      </c>
      <c r="AY350" s="29" t="s">
        <v>425</v>
      </c>
      <c r="AZ350" s="29">
        <v>0</v>
      </c>
      <c r="GR350" s="29">
        <v>0</v>
      </c>
      <c r="GS350" s="29">
        <v>0</v>
      </c>
      <c r="GT350" s="29" t="s">
        <v>425</v>
      </c>
      <c r="GU350" s="29">
        <v>0</v>
      </c>
      <c r="GX350" s="29">
        <v>0</v>
      </c>
      <c r="GZ350" s="29">
        <v>0</v>
      </c>
      <c r="HA350" s="29">
        <v>0</v>
      </c>
      <c r="HB350" s="29">
        <v>0</v>
      </c>
      <c r="HC350" s="29">
        <v>0</v>
      </c>
      <c r="HD350" s="29">
        <v>0</v>
      </c>
      <c r="HE350" s="29" t="b">
        <v>0</v>
      </c>
      <c r="HG350" s="29">
        <v>0</v>
      </c>
      <c r="HI350" s="29" t="s">
        <v>334</v>
      </c>
      <c r="HJ350" s="29">
        <v>0</v>
      </c>
      <c r="HK350" s="29">
        <v>0</v>
      </c>
      <c r="HL350" s="29">
        <v>0</v>
      </c>
    </row>
    <row r="351" spans="2:220">
      <c r="B351" s="29" cm="1">
        <f t="array" ref="B351">10000000+INDEX(编号表!$B$1:$B$112,MATCH(D351,编号表!$A$1:$A$112,0))*10000+I351</f>
        <v>10570009</v>
      </c>
      <c r="C351" s="29" t="s">
        <v>444</v>
      </c>
      <c r="D351" s="29" t="s">
        <v>444</v>
      </c>
      <c r="E351" s="29" t="s">
        <v>445</v>
      </c>
      <c r="F351" s="29" t="s">
        <v>446</v>
      </c>
      <c r="G351" s="29">
        <v>1</v>
      </c>
      <c r="H351" s="29" t="b">
        <v>0</v>
      </c>
      <c r="I351" s="29">
        <v>9</v>
      </c>
      <c r="J351" s="29">
        <v>105700</v>
      </c>
      <c r="K351" s="29" t="s">
        <v>324</v>
      </c>
      <c r="L351" s="29">
        <v>10570008</v>
      </c>
      <c r="M351" s="29">
        <v>10570010</v>
      </c>
      <c r="N351" s="29" t="s">
        <v>447</v>
      </c>
      <c r="O351" s="29">
        <v>10902000</v>
      </c>
      <c r="P351" s="29">
        <v>0</v>
      </c>
      <c r="Q351" s="29">
        <v>0</v>
      </c>
      <c r="R351" s="29">
        <v>1</v>
      </c>
      <c r="T351" s="29">
        <v>100</v>
      </c>
      <c r="AY351" s="29" t="s">
        <v>425</v>
      </c>
      <c r="AZ351" s="29">
        <v>0</v>
      </c>
      <c r="GR351" s="29">
        <v>0</v>
      </c>
      <c r="GS351" s="29">
        <v>0</v>
      </c>
      <c r="GT351" s="29" t="s">
        <v>425</v>
      </c>
      <c r="GU351" s="29">
        <v>0</v>
      </c>
      <c r="GX351" s="29">
        <v>0</v>
      </c>
      <c r="GZ351" s="29">
        <v>0</v>
      </c>
      <c r="HA351" s="29">
        <v>0</v>
      </c>
      <c r="HB351" s="29">
        <v>0</v>
      </c>
      <c r="HC351" s="29">
        <v>0</v>
      </c>
      <c r="HD351" s="29">
        <v>0</v>
      </c>
      <c r="HE351" s="29" t="b">
        <v>0</v>
      </c>
      <c r="HG351" s="29">
        <v>0</v>
      </c>
      <c r="HI351" s="29" t="s">
        <v>334</v>
      </c>
      <c r="HJ351" s="29">
        <v>0</v>
      </c>
      <c r="HK351" s="29">
        <v>0</v>
      </c>
      <c r="HL351" s="29">
        <v>0</v>
      </c>
    </row>
    <row r="352" spans="2:220">
      <c r="B352" s="29" cm="1">
        <f t="array" ref="B352">10000000+INDEX(编号表!$B$1:$B$112,MATCH(D352,编号表!$A$1:$A$112,0))*10000+I352</f>
        <v>10570010</v>
      </c>
      <c r="C352" s="29" t="s">
        <v>444</v>
      </c>
      <c r="D352" s="29" t="s">
        <v>444</v>
      </c>
      <c r="E352" s="29" t="s">
        <v>445</v>
      </c>
      <c r="F352" s="29" t="s">
        <v>446</v>
      </c>
      <c r="G352" s="29">
        <v>1</v>
      </c>
      <c r="H352" s="29" t="b">
        <v>0</v>
      </c>
      <c r="I352" s="29">
        <v>10</v>
      </c>
      <c r="J352" s="29">
        <v>105700</v>
      </c>
      <c r="K352" s="29" t="s">
        <v>324</v>
      </c>
      <c r="L352" s="29">
        <v>10570009</v>
      </c>
      <c r="N352" s="29" t="s">
        <v>447</v>
      </c>
      <c r="O352" s="29">
        <v>10902000</v>
      </c>
      <c r="P352" s="29">
        <v>0</v>
      </c>
      <c r="Q352" s="29">
        <v>0</v>
      </c>
      <c r="R352" s="29">
        <v>1</v>
      </c>
      <c r="T352" s="29">
        <v>100</v>
      </c>
      <c r="AY352" s="29" t="s">
        <v>425</v>
      </c>
      <c r="AZ352" s="29">
        <v>0</v>
      </c>
      <c r="GR352" s="29">
        <v>0</v>
      </c>
      <c r="GS352" s="29">
        <v>0</v>
      </c>
      <c r="GT352" s="29" t="s">
        <v>425</v>
      </c>
      <c r="GU352" s="29">
        <v>0</v>
      </c>
      <c r="GX352" s="29">
        <v>0</v>
      </c>
      <c r="GZ352" s="29">
        <v>0</v>
      </c>
      <c r="HA352" s="29">
        <v>0</v>
      </c>
      <c r="HB352" s="29">
        <v>0</v>
      </c>
      <c r="HC352" s="29">
        <v>0</v>
      </c>
      <c r="HD352" s="29">
        <v>0</v>
      </c>
      <c r="HE352" s="29" t="b">
        <v>0</v>
      </c>
      <c r="HG352" s="29">
        <v>0</v>
      </c>
      <c r="HI352" s="29" t="s">
        <v>334</v>
      </c>
      <c r="HJ352" s="29">
        <v>0</v>
      </c>
      <c r="HK352" s="29">
        <v>0</v>
      </c>
      <c r="HL352" s="29">
        <v>0</v>
      </c>
    </row>
    <row r="353" spans="2:220">
      <c r="B353" s="29" cm="1">
        <f t="array" ref="B353">10000000+INDEX(编号表!$B$1:$B$112,MATCH(D353,编号表!$A$1:$A$112,0))*10000+I353</f>
        <v>10580001</v>
      </c>
      <c r="C353" s="29" t="s">
        <v>448</v>
      </c>
      <c r="D353" s="29" t="s">
        <v>448</v>
      </c>
      <c r="E353" s="29" t="s">
        <v>445</v>
      </c>
      <c r="F353" s="29" t="s">
        <v>446</v>
      </c>
      <c r="G353" s="29">
        <v>1</v>
      </c>
      <c r="H353" s="29" t="b">
        <v>0</v>
      </c>
      <c r="I353" s="29">
        <v>1</v>
      </c>
      <c r="J353" s="29">
        <v>105800</v>
      </c>
      <c r="K353" s="29" t="s">
        <v>324</v>
      </c>
      <c r="M353" s="29">
        <v>10580002</v>
      </c>
      <c r="N353" s="29" t="s">
        <v>449</v>
      </c>
      <c r="O353" s="29">
        <v>10902001</v>
      </c>
      <c r="P353" s="29">
        <v>0</v>
      </c>
      <c r="Q353" s="29">
        <v>0</v>
      </c>
      <c r="R353" s="29">
        <v>1</v>
      </c>
      <c r="T353" s="29">
        <v>100</v>
      </c>
      <c r="AY353" s="29" t="s">
        <v>425</v>
      </c>
      <c r="AZ353" s="29">
        <v>0</v>
      </c>
      <c r="GR353" s="29">
        <v>0</v>
      </c>
      <c r="GS353" s="29">
        <v>0</v>
      </c>
      <c r="GT353" s="29" t="s">
        <v>425</v>
      </c>
      <c r="GU353" s="29">
        <v>0</v>
      </c>
      <c r="GX353" s="29">
        <v>0</v>
      </c>
      <c r="GZ353" s="29">
        <v>0</v>
      </c>
      <c r="HA353" s="29">
        <v>0</v>
      </c>
      <c r="HB353" s="29">
        <v>0</v>
      </c>
      <c r="HC353" s="29">
        <v>0</v>
      </c>
      <c r="HD353" s="29">
        <v>0</v>
      </c>
      <c r="HE353" s="29" t="b">
        <v>0</v>
      </c>
      <c r="HG353" s="29">
        <v>0</v>
      </c>
      <c r="HI353" s="29" t="s">
        <v>334</v>
      </c>
      <c r="HJ353" s="29">
        <v>0</v>
      </c>
      <c r="HK353" s="29">
        <v>0</v>
      </c>
      <c r="HL353" s="29">
        <v>0</v>
      </c>
    </row>
    <row r="354" spans="2:220">
      <c r="B354" s="29" cm="1">
        <f t="array" ref="B354">10000000+INDEX(编号表!$B$1:$B$112,MATCH(D354,编号表!$A$1:$A$112,0))*10000+I354</f>
        <v>10580002</v>
      </c>
      <c r="C354" s="29" t="s">
        <v>448</v>
      </c>
      <c r="D354" s="29" t="s">
        <v>448</v>
      </c>
      <c r="E354" s="29" t="s">
        <v>445</v>
      </c>
      <c r="F354" s="29" t="s">
        <v>446</v>
      </c>
      <c r="G354" s="29">
        <v>1</v>
      </c>
      <c r="H354" s="29" t="b">
        <v>0</v>
      </c>
      <c r="I354" s="29">
        <v>2</v>
      </c>
      <c r="J354" s="29">
        <v>105800</v>
      </c>
      <c r="K354" s="29" t="s">
        <v>324</v>
      </c>
      <c r="L354" s="29">
        <v>10580001</v>
      </c>
      <c r="M354" s="29">
        <v>10580003</v>
      </c>
      <c r="N354" s="29" t="s">
        <v>449</v>
      </c>
      <c r="O354" s="29">
        <v>10902001</v>
      </c>
      <c r="P354" s="29">
        <v>0</v>
      </c>
      <c r="Q354" s="29">
        <v>0</v>
      </c>
      <c r="R354" s="29">
        <v>1</v>
      </c>
      <c r="T354" s="29">
        <v>100</v>
      </c>
      <c r="AY354" s="29" t="s">
        <v>425</v>
      </c>
      <c r="AZ354" s="29">
        <v>0</v>
      </c>
      <c r="GR354" s="29">
        <v>0</v>
      </c>
      <c r="GS354" s="29">
        <v>0</v>
      </c>
      <c r="GT354" s="29" t="s">
        <v>425</v>
      </c>
      <c r="GU354" s="29">
        <v>0</v>
      </c>
      <c r="GX354" s="29">
        <v>0</v>
      </c>
      <c r="GZ354" s="29">
        <v>0</v>
      </c>
      <c r="HA354" s="29">
        <v>0</v>
      </c>
      <c r="HB354" s="29">
        <v>0</v>
      </c>
      <c r="HC354" s="29">
        <v>0</v>
      </c>
      <c r="HD354" s="29">
        <v>0</v>
      </c>
      <c r="HE354" s="29" t="b">
        <v>0</v>
      </c>
      <c r="HG354" s="29">
        <v>0</v>
      </c>
      <c r="HI354" s="29" t="s">
        <v>334</v>
      </c>
      <c r="HJ354" s="29">
        <v>0</v>
      </c>
      <c r="HK354" s="29">
        <v>0</v>
      </c>
      <c r="HL354" s="29">
        <v>0</v>
      </c>
    </row>
    <row r="355" spans="2:220">
      <c r="B355" s="29" cm="1">
        <f t="array" ref="B355">10000000+INDEX(编号表!$B$1:$B$112,MATCH(D355,编号表!$A$1:$A$112,0))*10000+I355</f>
        <v>10580003</v>
      </c>
      <c r="C355" s="29" t="s">
        <v>448</v>
      </c>
      <c r="D355" s="29" t="s">
        <v>448</v>
      </c>
      <c r="E355" s="29" t="s">
        <v>445</v>
      </c>
      <c r="F355" s="29" t="s">
        <v>446</v>
      </c>
      <c r="G355" s="29">
        <v>1</v>
      </c>
      <c r="H355" s="29" t="b">
        <v>0</v>
      </c>
      <c r="I355" s="29">
        <v>3</v>
      </c>
      <c r="J355" s="29">
        <v>105800</v>
      </c>
      <c r="K355" s="29" t="s">
        <v>324</v>
      </c>
      <c r="L355" s="29">
        <v>10580002</v>
      </c>
      <c r="M355" s="29">
        <v>10580004</v>
      </c>
      <c r="N355" s="29" t="s">
        <v>449</v>
      </c>
      <c r="O355" s="29">
        <v>10902001</v>
      </c>
      <c r="P355" s="29">
        <v>0</v>
      </c>
      <c r="Q355" s="29">
        <v>0</v>
      </c>
      <c r="R355" s="29">
        <v>1</v>
      </c>
      <c r="T355" s="29">
        <v>100</v>
      </c>
      <c r="AY355" s="29" t="s">
        <v>425</v>
      </c>
      <c r="AZ355" s="29">
        <v>0</v>
      </c>
      <c r="GR355" s="29">
        <v>0</v>
      </c>
      <c r="GS355" s="29">
        <v>0</v>
      </c>
      <c r="GT355" s="29" t="s">
        <v>425</v>
      </c>
      <c r="GU355" s="29">
        <v>0</v>
      </c>
      <c r="GX355" s="29">
        <v>0</v>
      </c>
      <c r="GZ355" s="29">
        <v>0</v>
      </c>
      <c r="HA355" s="29">
        <v>0</v>
      </c>
      <c r="HB355" s="29">
        <v>0</v>
      </c>
      <c r="HC355" s="29">
        <v>0</v>
      </c>
      <c r="HD355" s="29">
        <v>0</v>
      </c>
      <c r="HE355" s="29" t="b">
        <v>0</v>
      </c>
      <c r="HG355" s="29">
        <v>0</v>
      </c>
      <c r="HI355" s="29" t="s">
        <v>334</v>
      </c>
      <c r="HJ355" s="29">
        <v>0</v>
      </c>
      <c r="HK355" s="29">
        <v>0</v>
      </c>
      <c r="HL355" s="29">
        <v>0</v>
      </c>
    </row>
    <row r="356" spans="2:220">
      <c r="B356" s="29" cm="1">
        <f t="array" ref="B356">10000000+INDEX(编号表!$B$1:$B$112,MATCH(D356,编号表!$A$1:$A$112,0))*10000+I356</f>
        <v>10580004</v>
      </c>
      <c r="C356" s="29" t="s">
        <v>448</v>
      </c>
      <c r="D356" s="29" t="s">
        <v>448</v>
      </c>
      <c r="E356" s="29" t="s">
        <v>445</v>
      </c>
      <c r="F356" s="29" t="s">
        <v>446</v>
      </c>
      <c r="G356" s="29">
        <v>1</v>
      </c>
      <c r="H356" s="29" t="b">
        <v>0</v>
      </c>
      <c r="I356" s="29">
        <v>4</v>
      </c>
      <c r="J356" s="29">
        <v>105800</v>
      </c>
      <c r="K356" s="29" t="s">
        <v>324</v>
      </c>
      <c r="L356" s="29">
        <v>10580003</v>
      </c>
      <c r="M356" s="29">
        <v>10580005</v>
      </c>
      <c r="N356" s="29" t="s">
        <v>449</v>
      </c>
      <c r="O356" s="29">
        <v>10902001</v>
      </c>
      <c r="P356" s="29">
        <v>0</v>
      </c>
      <c r="Q356" s="29">
        <v>0</v>
      </c>
      <c r="R356" s="29">
        <v>1</v>
      </c>
      <c r="T356" s="29">
        <v>100</v>
      </c>
      <c r="AY356" s="29" t="s">
        <v>425</v>
      </c>
      <c r="AZ356" s="29">
        <v>0</v>
      </c>
      <c r="GR356" s="29">
        <v>0</v>
      </c>
      <c r="GS356" s="29">
        <v>0</v>
      </c>
      <c r="GT356" s="29" t="s">
        <v>425</v>
      </c>
      <c r="GU356" s="29">
        <v>0</v>
      </c>
      <c r="GX356" s="29">
        <v>0</v>
      </c>
      <c r="GZ356" s="29">
        <v>0</v>
      </c>
      <c r="HA356" s="29">
        <v>0</v>
      </c>
      <c r="HB356" s="29">
        <v>0</v>
      </c>
      <c r="HC356" s="29">
        <v>0</v>
      </c>
      <c r="HD356" s="29">
        <v>0</v>
      </c>
      <c r="HE356" s="29" t="b">
        <v>0</v>
      </c>
      <c r="HG356" s="29">
        <v>0</v>
      </c>
      <c r="HI356" s="29" t="s">
        <v>334</v>
      </c>
      <c r="HJ356" s="29">
        <v>0</v>
      </c>
      <c r="HK356" s="29">
        <v>0</v>
      </c>
      <c r="HL356" s="29">
        <v>0</v>
      </c>
    </row>
    <row r="357" spans="2:220">
      <c r="B357" s="29" cm="1">
        <f t="array" ref="B357">10000000+INDEX(编号表!$B$1:$B$112,MATCH(D357,编号表!$A$1:$A$112,0))*10000+I357</f>
        <v>10580005</v>
      </c>
      <c r="C357" s="29" t="s">
        <v>448</v>
      </c>
      <c r="D357" s="29" t="s">
        <v>448</v>
      </c>
      <c r="E357" s="29" t="s">
        <v>445</v>
      </c>
      <c r="F357" s="29" t="s">
        <v>446</v>
      </c>
      <c r="G357" s="29">
        <v>1</v>
      </c>
      <c r="H357" s="29" t="b">
        <v>0</v>
      </c>
      <c r="I357" s="29">
        <v>5</v>
      </c>
      <c r="J357" s="29">
        <v>105800</v>
      </c>
      <c r="K357" s="29" t="s">
        <v>324</v>
      </c>
      <c r="L357" s="29">
        <v>10580004</v>
      </c>
      <c r="M357" s="29">
        <v>10580006</v>
      </c>
      <c r="N357" s="29" t="s">
        <v>449</v>
      </c>
      <c r="O357" s="29">
        <v>10902001</v>
      </c>
      <c r="P357" s="29">
        <v>0</v>
      </c>
      <c r="Q357" s="29">
        <v>0</v>
      </c>
      <c r="R357" s="29">
        <v>1</v>
      </c>
      <c r="T357" s="29">
        <v>100</v>
      </c>
      <c r="AY357" s="29" t="s">
        <v>425</v>
      </c>
      <c r="AZ357" s="29">
        <v>0</v>
      </c>
      <c r="GR357" s="29">
        <v>0</v>
      </c>
      <c r="GS357" s="29">
        <v>0</v>
      </c>
      <c r="GT357" s="29" t="s">
        <v>425</v>
      </c>
      <c r="GU357" s="29">
        <v>0</v>
      </c>
      <c r="GX357" s="29">
        <v>0</v>
      </c>
      <c r="GZ357" s="29">
        <v>0</v>
      </c>
      <c r="HA357" s="29">
        <v>0</v>
      </c>
      <c r="HB357" s="29">
        <v>0</v>
      </c>
      <c r="HC357" s="29">
        <v>0</v>
      </c>
      <c r="HD357" s="29">
        <v>0</v>
      </c>
      <c r="HE357" s="29" t="b">
        <v>0</v>
      </c>
      <c r="HG357" s="29">
        <v>0</v>
      </c>
      <c r="HI357" s="29" t="s">
        <v>334</v>
      </c>
      <c r="HJ357" s="29">
        <v>0</v>
      </c>
      <c r="HK357" s="29">
        <v>0</v>
      </c>
      <c r="HL357" s="29">
        <v>0</v>
      </c>
    </row>
    <row r="358" spans="2:220">
      <c r="B358" s="29" cm="1">
        <f t="array" ref="B358">10000000+INDEX(编号表!$B$1:$B$112,MATCH(D358,编号表!$A$1:$A$112,0))*10000+I358</f>
        <v>10580006</v>
      </c>
      <c r="C358" s="29" t="s">
        <v>448</v>
      </c>
      <c r="D358" s="29" t="s">
        <v>448</v>
      </c>
      <c r="E358" s="29" t="s">
        <v>445</v>
      </c>
      <c r="F358" s="29" t="s">
        <v>446</v>
      </c>
      <c r="G358" s="29">
        <v>1</v>
      </c>
      <c r="H358" s="29" t="b">
        <v>0</v>
      </c>
      <c r="I358" s="29">
        <v>6</v>
      </c>
      <c r="J358" s="29">
        <v>105800</v>
      </c>
      <c r="K358" s="29" t="s">
        <v>324</v>
      </c>
      <c r="L358" s="29">
        <v>10580005</v>
      </c>
      <c r="M358" s="29">
        <v>10580007</v>
      </c>
      <c r="N358" s="29" t="s">
        <v>449</v>
      </c>
      <c r="O358" s="29">
        <v>10902001</v>
      </c>
      <c r="P358" s="29">
        <v>0</v>
      </c>
      <c r="Q358" s="29">
        <v>0</v>
      </c>
      <c r="R358" s="29">
        <v>1</v>
      </c>
      <c r="T358" s="29">
        <v>100</v>
      </c>
      <c r="AY358" s="29" t="s">
        <v>425</v>
      </c>
      <c r="AZ358" s="29">
        <v>0</v>
      </c>
      <c r="GR358" s="29">
        <v>0</v>
      </c>
      <c r="GS358" s="29">
        <v>0</v>
      </c>
      <c r="GT358" s="29" t="s">
        <v>425</v>
      </c>
      <c r="GU358" s="29">
        <v>0</v>
      </c>
      <c r="GX358" s="29">
        <v>0</v>
      </c>
      <c r="GZ358" s="29">
        <v>0</v>
      </c>
      <c r="HA358" s="29">
        <v>0</v>
      </c>
      <c r="HB358" s="29">
        <v>0</v>
      </c>
      <c r="HC358" s="29">
        <v>0</v>
      </c>
      <c r="HD358" s="29">
        <v>0</v>
      </c>
      <c r="HE358" s="29" t="b">
        <v>0</v>
      </c>
      <c r="HG358" s="29">
        <v>0</v>
      </c>
      <c r="HI358" s="29" t="s">
        <v>334</v>
      </c>
      <c r="HJ358" s="29">
        <v>0</v>
      </c>
      <c r="HK358" s="29">
        <v>0</v>
      </c>
      <c r="HL358" s="29">
        <v>0</v>
      </c>
    </row>
    <row r="359" spans="2:220">
      <c r="B359" s="29" cm="1">
        <f t="array" ref="B359">10000000+INDEX(编号表!$B$1:$B$112,MATCH(D359,编号表!$A$1:$A$112,0))*10000+I359</f>
        <v>10580007</v>
      </c>
      <c r="C359" s="29" t="s">
        <v>448</v>
      </c>
      <c r="D359" s="29" t="s">
        <v>448</v>
      </c>
      <c r="E359" s="29" t="s">
        <v>445</v>
      </c>
      <c r="F359" s="29" t="s">
        <v>446</v>
      </c>
      <c r="G359" s="29">
        <v>1</v>
      </c>
      <c r="H359" s="29" t="b">
        <v>0</v>
      </c>
      <c r="I359" s="29">
        <v>7</v>
      </c>
      <c r="J359" s="29">
        <v>105800</v>
      </c>
      <c r="K359" s="29" t="s">
        <v>324</v>
      </c>
      <c r="L359" s="29">
        <v>10580006</v>
      </c>
      <c r="M359" s="29">
        <v>10580008</v>
      </c>
      <c r="N359" s="29" t="s">
        <v>449</v>
      </c>
      <c r="O359" s="29">
        <v>10902001</v>
      </c>
      <c r="P359" s="29">
        <v>0</v>
      </c>
      <c r="Q359" s="29">
        <v>0</v>
      </c>
      <c r="R359" s="29">
        <v>1</v>
      </c>
      <c r="T359" s="29">
        <v>100</v>
      </c>
      <c r="AY359" s="29" t="s">
        <v>425</v>
      </c>
      <c r="AZ359" s="29">
        <v>0</v>
      </c>
      <c r="GR359" s="29">
        <v>0</v>
      </c>
      <c r="GS359" s="29">
        <v>0</v>
      </c>
      <c r="GT359" s="29" t="s">
        <v>425</v>
      </c>
      <c r="GU359" s="29">
        <v>0</v>
      </c>
      <c r="GX359" s="29">
        <v>0</v>
      </c>
      <c r="GZ359" s="29">
        <v>0</v>
      </c>
      <c r="HA359" s="29">
        <v>0</v>
      </c>
      <c r="HB359" s="29">
        <v>0</v>
      </c>
      <c r="HC359" s="29">
        <v>0</v>
      </c>
      <c r="HD359" s="29">
        <v>0</v>
      </c>
      <c r="HE359" s="29" t="b">
        <v>0</v>
      </c>
      <c r="HG359" s="29">
        <v>0</v>
      </c>
      <c r="HI359" s="29" t="s">
        <v>334</v>
      </c>
      <c r="HJ359" s="29">
        <v>0</v>
      </c>
      <c r="HK359" s="29">
        <v>0</v>
      </c>
      <c r="HL359" s="29">
        <v>0</v>
      </c>
    </row>
    <row r="360" spans="2:220">
      <c r="B360" s="29" cm="1">
        <f t="array" ref="B360">10000000+INDEX(编号表!$B$1:$B$112,MATCH(D360,编号表!$A$1:$A$112,0))*10000+I360</f>
        <v>10580008</v>
      </c>
      <c r="C360" s="29" t="s">
        <v>448</v>
      </c>
      <c r="D360" s="29" t="s">
        <v>448</v>
      </c>
      <c r="E360" s="29" t="s">
        <v>445</v>
      </c>
      <c r="F360" s="29" t="s">
        <v>446</v>
      </c>
      <c r="G360" s="29">
        <v>1</v>
      </c>
      <c r="H360" s="29" t="b">
        <v>0</v>
      </c>
      <c r="I360" s="29">
        <v>8</v>
      </c>
      <c r="J360" s="29">
        <v>105800</v>
      </c>
      <c r="K360" s="29" t="s">
        <v>324</v>
      </c>
      <c r="L360" s="29">
        <v>10580007</v>
      </c>
      <c r="M360" s="29">
        <v>10580009</v>
      </c>
      <c r="N360" s="29" t="s">
        <v>449</v>
      </c>
      <c r="O360" s="29">
        <v>10902001</v>
      </c>
      <c r="P360" s="29">
        <v>0</v>
      </c>
      <c r="Q360" s="29">
        <v>0</v>
      </c>
      <c r="R360" s="29">
        <v>1</v>
      </c>
      <c r="T360" s="29">
        <v>100</v>
      </c>
      <c r="AY360" s="29" t="s">
        <v>425</v>
      </c>
      <c r="AZ360" s="29">
        <v>0</v>
      </c>
      <c r="GR360" s="29">
        <v>0</v>
      </c>
      <c r="GS360" s="29">
        <v>0</v>
      </c>
      <c r="GT360" s="29" t="s">
        <v>425</v>
      </c>
      <c r="GU360" s="29">
        <v>0</v>
      </c>
      <c r="GX360" s="29">
        <v>0</v>
      </c>
      <c r="GZ360" s="29">
        <v>0</v>
      </c>
      <c r="HA360" s="29">
        <v>0</v>
      </c>
      <c r="HB360" s="29">
        <v>0</v>
      </c>
      <c r="HC360" s="29">
        <v>0</v>
      </c>
      <c r="HD360" s="29">
        <v>0</v>
      </c>
      <c r="HE360" s="29" t="b">
        <v>0</v>
      </c>
      <c r="HG360" s="29">
        <v>0</v>
      </c>
      <c r="HI360" s="29" t="s">
        <v>334</v>
      </c>
      <c r="HJ360" s="29">
        <v>0</v>
      </c>
      <c r="HK360" s="29">
        <v>0</v>
      </c>
      <c r="HL360" s="29">
        <v>0</v>
      </c>
    </row>
    <row r="361" spans="2:220">
      <c r="B361" s="29" cm="1">
        <f t="array" ref="B361">10000000+INDEX(编号表!$B$1:$B$112,MATCH(D361,编号表!$A$1:$A$112,0))*10000+I361</f>
        <v>10580009</v>
      </c>
      <c r="C361" s="29" t="s">
        <v>448</v>
      </c>
      <c r="D361" s="29" t="s">
        <v>448</v>
      </c>
      <c r="E361" s="29" t="s">
        <v>445</v>
      </c>
      <c r="F361" s="29" t="s">
        <v>446</v>
      </c>
      <c r="G361" s="29">
        <v>1</v>
      </c>
      <c r="H361" s="29" t="b">
        <v>0</v>
      </c>
      <c r="I361" s="29">
        <v>9</v>
      </c>
      <c r="J361" s="29">
        <v>105800</v>
      </c>
      <c r="K361" s="29" t="s">
        <v>324</v>
      </c>
      <c r="L361" s="29">
        <v>10580008</v>
      </c>
      <c r="M361" s="29">
        <v>10580010</v>
      </c>
      <c r="N361" s="29" t="s">
        <v>449</v>
      </c>
      <c r="O361" s="29">
        <v>10902001</v>
      </c>
      <c r="P361" s="29">
        <v>0</v>
      </c>
      <c r="Q361" s="29">
        <v>0</v>
      </c>
      <c r="R361" s="29">
        <v>1</v>
      </c>
      <c r="T361" s="29">
        <v>100</v>
      </c>
      <c r="AY361" s="29" t="s">
        <v>425</v>
      </c>
      <c r="AZ361" s="29">
        <v>0</v>
      </c>
      <c r="GR361" s="29">
        <v>0</v>
      </c>
      <c r="GS361" s="29">
        <v>0</v>
      </c>
      <c r="GT361" s="29" t="s">
        <v>425</v>
      </c>
      <c r="GU361" s="29">
        <v>0</v>
      </c>
      <c r="GX361" s="29">
        <v>0</v>
      </c>
      <c r="GZ361" s="29">
        <v>0</v>
      </c>
      <c r="HA361" s="29">
        <v>0</v>
      </c>
      <c r="HB361" s="29">
        <v>0</v>
      </c>
      <c r="HC361" s="29">
        <v>0</v>
      </c>
      <c r="HD361" s="29">
        <v>0</v>
      </c>
      <c r="HE361" s="29" t="b">
        <v>0</v>
      </c>
      <c r="HG361" s="29">
        <v>0</v>
      </c>
      <c r="HI361" s="29" t="s">
        <v>334</v>
      </c>
      <c r="HJ361" s="29">
        <v>0</v>
      </c>
      <c r="HK361" s="29">
        <v>0</v>
      </c>
      <c r="HL361" s="29">
        <v>0</v>
      </c>
    </row>
    <row r="362" spans="2:220">
      <c r="B362" s="29" cm="1">
        <f t="array" ref="B362">10000000+INDEX(编号表!$B$1:$B$112,MATCH(D362,编号表!$A$1:$A$112,0))*10000+I362</f>
        <v>10580010</v>
      </c>
      <c r="C362" s="29" t="s">
        <v>448</v>
      </c>
      <c r="D362" s="29" t="s">
        <v>448</v>
      </c>
      <c r="E362" s="29" t="s">
        <v>445</v>
      </c>
      <c r="F362" s="29" t="s">
        <v>446</v>
      </c>
      <c r="G362" s="29">
        <v>1</v>
      </c>
      <c r="H362" s="29" t="b">
        <v>0</v>
      </c>
      <c r="I362" s="29">
        <v>10</v>
      </c>
      <c r="J362" s="29">
        <v>105800</v>
      </c>
      <c r="K362" s="29" t="s">
        <v>324</v>
      </c>
      <c r="L362" s="29">
        <v>10580009</v>
      </c>
      <c r="N362" s="29" t="s">
        <v>449</v>
      </c>
      <c r="O362" s="29">
        <v>10902001</v>
      </c>
      <c r="P362" s="29">
        <v>0</v>
      </c>
      <c r="Q362" s="29">
        <v>0</v>
      </c>
      <c r="R362" s="29">
        <v>1</v>
      </c>
      <c r="T362" s="29">
        <v>100</v>
      </c>
      <c r="AY362" s="29" t="s">
        <v>425</v>
      </c>
      <c r="AZ362" s="29">
        <v>0</v>
      </c>
      <c r="GR362" s="29">
        <v>0</v>
      </c>
      <c r="GS362" s="29">
        <v>0</v>
      </c>
      <c r="GT362" s="29" t="s">
        <v>425</v>
      </c>
      <c r="GU362" s="29">
        <v>0</v>
      </c>
      <c r="GX362" s="29">
        <v>0</v>
      </c>
      <c r="GZ362" s="29">
        <v>0</v>
      </c>
      <c r="HA362" s="29">
        <v>0</v>
      </c>
      <c r="HB362" s="29">
        <v>0</v>
      </c>
      <c r="HC362" s="29">
        <v>0</v>
      </c>
      <c r="HD362" s="29">
        <v>0</v>
      </c>
      <c r="HE362" s="29" t="b">
        <v>0</v>
      </c>
      <c r="HG362" s="29">
        <v>0</v>
      </c>
      <c r="HI362" s="29" t="s">
        <v>334</v>
      </c>
      <c r="HJ362" s="29">
        <v>0</v>
      </c>
      <c r="HK362" s="29">
        <v>0</v>
      </c>
      <c r="HL362" s="29">
        <v>0</v>
      </c>
    </row>
    <row r="363" spans="2:220">
      <c r="B363" s="29" cm="1">
        <f t="array" ref="B363">10000000+INDEX(编号表!$B$1:$B$112,MATCH(D363,编号表!$A$1:$A$112,0))*10000+I363</f>
        <v>10590001</v>
      </c>
      <c r="C363" s="29" t="s">
        <v>450</v>
      </c>
      <c r="D363" s="29" t="s">
        <v>450</v>
      </c>
      <c r="E363" s="29" t="s">
        <v>445</v>
      </c>
      <c r="F363" s="29" t="s">
        <v>446</v>
      </c>
      <c r="G363" s="29">
        <v>1</v>
      </c>
      <c r="H363" s="29" t="b">
        <v>0</v>
      </c>
      <c r="I363" s="29">
        <v>1</v>
      </c>
      <c r="J363" s="29">
        <v>105900</v>
      </c>
      <c r="K363" s="29" t="s">
        <v>324</v>
      </c>
      <c r="M363" s="29">
        <v>10590002</v>
      </c>
      <c r="N363" s="29" t="s">
        <v>451</v>
      </c>
      <c r="O363" s="29">
        <v>10902002</v>
      </c>
      <c r="P363" s="29">
        <v>0</v>
      </c>
      <c r="Q363" s="29">
        <v>0</v>
      </c>
      <c r="R363" s="29">
        <v>1</v>
      </c>
      <c r="T363" s="29">
        <v>100</v>
      </c>
      <c r="AY363" s="29" t="s">
        <v>425</v>
      </c>
      <c r="AZ363" s="29">
        <v>0</v>
      </c>
      <c r="GR363" s="29">
        <v>0</v>
      </c>
      <c r="GS363" s="29">
        <v>0</v>
      </c>
      <c r="GT363" s="29" t="s">
        <v>425</v>
      </c>
      <c r="GU363" s="29">
        <v>0</v>
      </c>
      <c r="GX363" s="29">
        <v>0</v>
      </c>
      <c r="GZ363" s="29">
        <v>0</v>
      </c>
      <c r="HA363" s="29">
        <v>0</v>
      </c>
      <c r="HB363" s="29">
        <v>0</v>
      </c>
      <c r="HC363" s="29">
        <v>0</v>
      </c>
      <c r="HD363" s="29">
        <v>0</v>
      </c>
      <c r="HE363" s="29" t="b">
        <v>0</v>
      </c>
      <c r="HG363" s="29">
        <v>0</v>
      </c>
      <c r="HI363" s="29" t="s">
        <v>334</v>
      </c>
      <c r="HJ363" s="29">
        <v>0</v>
      </c>
      <c r="HK363" s="29">
        <v>0</v>
      </c>
      <c r="HL363" s="29">
        <v>0</v>
      </c>
    </row>
    <row r="364" spans="2:220">
      <c r="B364" s="29" cm="1">
        <f t="array" ref="B364">10000000+INDEX(编号表!$B$1:$B$112,MATCH(D364,编号表!$A$1:$A$112,0))*10000+I364</f>
        <v>10590002</v>
      </c>
      <c r="C364" s="29" t="s">
        <v>450</v>
      </c>
      <c r="D364" s="29" t="s">
        <v>450</v>
      </c>
      <c r="E364" s="29" t="s">
        <v>445</v>
      </c>
      <c r="F364" s="29" t="s">
        <v>446</v>
      </c>
      <c r="G364" s="29">
        <v>1</v>
      </c>
      <c r="H364" s="29" t="b">
        <v>0</v>
      </c>
      <c r="I364" s="29">
        <v>2</v>
      </c>
      <c r="J364" s="29">
        <v>105900</v>
      </c>
      <c r="K364" s="29" t="s">
        <v>324</v>
      </c>
      <c r="L364" s="29">
        <v>10590001</v>
      </c>
      <c r="M364" s="29">
        <v>10590003</v>
      </c>
      <c r="N364" s="29" t="s">
        <v>451</v>
      </c>
      <c r="O364" s="29">
        <v>10902002</v>
      </c>
      <c r="P364" s="29">
        <v>0</v>
      </c>
      <c r="Q364" s="29">
        <v>0</v>
      </c>
      <c r="R364" s="29">
        <v>1</v>
      </c>
      <c r="T364" s="29">
        <v>100</v>
      </c>
      <c r="AY364" s="29" t="s">
        <v>425</v>
      </c>
      <c r="AZ364" s="29">
        <v>0</v>
      </c>
      <c r="GR364" s="29">
        <v>0</v>
      </c>
      <c r="GS364" s="29">
        <v>0</v>
      </c>
      <c r="GT364" s="29" t="s">
        <v>425</v>
      </c>
      <c r="GU364" s="29">
        <v>0</v>
      </c>
      <c r="GX364" s="29">
        <v>0</v>
      </c>
      <c r="GZ364" s="29">
        <v>0</v>
      </c>
      <c r="HA364" s="29">
        <v>0</v>
      </c>
      <c r="HB364" s="29">
        <v>0</v>
      </c>
      <c r="HC364" s="29">
        <v>0</v>
      </c>
      <c r="HD364" s="29">
        <v>0</v>
      </c>
      <c r="HE364" s="29" t="b">
        <v>0</v>
      </c>
      <c r="HG364" s="29">
        <v>0</v>
      </c>
      <c r="HI364" s="29" t="s">
        <v>334</v>
      </c>
      <c r="HJ364" s="29">
        <v>0</v>
      </c>
      <c r="HK364" s="29">
        <v>0</v>
      </c>
      <c r="HL364" s="29">
        <v>0</v>
      </c>
    </row>
    <row r="365" spans="2:220">
      <c r="B365" s="29" cm="1">
        <f t="array" ref="B365">10000000+INDEX(编号表!$B$1:$B$112,MATCH(D365,编号表!$A$1:$A$112,0))*10000+I365</f>
        <v>10590003</v>
      </c>
      <c r="C365" s="29" t="s">
        <v>450</v>
      </c>
      <c r="D365" s="29" t="s">
        <v>450</v>
      </c>
      <c r="E365" s="29" t="s">
        <v>445</v>
      </c>
      <c r="F365" s="29" t="s">
        <v>446</v>
      </c>
      <c r="G365" s="29">
        <v>1</v>
      </c>
      <c r="H365" s="29" t="b">
        <v>0</v>
      </c>
      <c r="I365" s="29">
        <v>3</v>
      </c>
      <c r="J365" s="29">
        <v>105900</v>
      </c>
      <c r="K365" s="29" t="s">
        <v>324</v>
      </c>
      <c r="L365" s="29">
        <v>10590002</v>
      </c>
      <c r="M365" s="29">
        <v>10590004</v>
      </c>
      <c r="N365" s="29" t="s">
        <v>451</v>
      </c>
      <c r="O365" s="29">
        <v>10902002</v>
      </c>
      <c r="P365" s="29">
        <v>0</v>
      </c>
      <c r="Q365" s="29">
        <v>0</v>
      </c>
      <c r="R365" s="29">
        <v>1</v>
      </c>
      <c r="T365" s="29">
        <v>100</v>
      </c>
      <c r="AY365" s="29" t="s">
        <v>425</v>
      </c>
      <c r="AZ365" s="29">
        <v>0</v>
      </c>
      <c r="GR365" s="29">
        <v>0</v>
      </c>
      <c r="GS365" s="29">
        <v>0</v>
      </c>
      <c r="GT365" s="29" t="s">
        <v>425</v>
      </c>
      <c r="GU365" s="29">
        <v>0</v>
      </c>
      <c r="GX365" s="29">
        <v>0</v>
      </c>
      <c r="GZ365" s="29">
        <v>0</v>
      </c>
      <c r="HA365" s="29">
        <v>0</v>
      </c>
      <c r="HB365" s="29">
        <v>0</v>
      </c>
      <c r="HC365" s="29">
        <v>0</v>
      </c>
      <c r="HD365" s="29">
        <v>0</v>
      </c>
      <c r="HE365" s="29" t="b">
        <v>0</v>
      </c>
      <c r="HG365" s="29">
        <v>0</v>
      </c>
      <c r="HI365" s="29" t="s">
        <v>334</v>
      </c>
      <c r="HJ365" s="29">
        <v>0</v>
      </c>
      <c r="HK365" s="29">
        <v>0</v>
      </c>
      <c r="HL365" s="29">
        <v>0</v>
      </c>
    </row>
    <row r="366" spans="2:220">
      <c r="B366" s="29" cm="1">
        <f t="array" ref="B366">10000000+INDEX(编号表!$B$1:$B$112,MATCH(D366,编号表!$A$1:$A$112,0))*10000+I366</f>
        <v>10590004</v>
      </c>
      <c r="C366" s="29" t="s">
        <v>450</v>
      </c>
      <c r="D366" s="29" t="s">
        <v>450</v>
      </c>
      <c r="E366" s="29" t="s">
        <v>445</v>
      </c>
      <c r="F366" s="29" t="s">
        <v>446</v>
      </c>
      <c r="G366" s="29">
        <v>1</v>
      </c>
      <c r="H366" s="29" t="b">
        <v>0</v>
      </c>
      <c r="I366" s="29">
        <v>4</v>
      </c>
      <c r="J366" s="29">
        <v>105900</v>
      </c>
      <c r="K366" s="29" t="s">
        <v>324</v>
      </c>
      <c r="L366" s="29">
        <v>10590003</v>
      </c>
      <c r="M366" s="29">
        <v>10590005</v>
      </c>
      <c r="N366" s="29" t="s">
        <v>451</v>
      </c>
      <c r="O366" s="29">
        <v>10902002</v>
      </c>
      <c r="P366" s="29">
        <v>0</v>
      </c>
      <c r="Q366" s="29">
        <v>0</v>
      </c>
      <c r="R366" s="29">
        <v>1</v>
      </c>
      <c r="T366" s="29">
        <v>100</v>
      </c>
      <c r="AY366" s="29" t="s">
        <v>425</v>
      </c>
      <c r="AZ366" s="29">
        <v>0</v>
      </c>
      <c r="GR366" s="29">
        <v>0</v>
      </c>
      <c r="GS366" s="29">
        <v>0</v>
      </c>
      <c r="GT366" s="29" t="s">
        <v>425</v>
      </c>
      <c r="GU366" s="29">
        <v>0</v>
      </c>
      <c r="GX366" s="29">
        <v>0</v>
      </c>
      <c r="GZ366" s="29">
        <v>0</v>
      </c>
      <c r="HA366" s="29">
        <v>0</v>
      </c>
      <c r="HB366" s="29">
        <v>0</v>
      </c>
      <c r="HC366" s="29">
        <v>0</v>
      </c>
      <c r="HD366" s="29">
        <v>0</v>
      </c>
      <c r="HE366" s="29" t="b">
        <v>0</v>
      </c>
      <c r="HG366" s="29">
        <v>0</v>
      </c>
      <c r="HI366" s="29" t="s">
        <v>334</v>
      </c>
      <c r="HJ366" s="29">
        <v>0</v>
      </c>
      <c r="HK366" s="29">
        <v>0</v>
      </c>
      <c r="HL366" s="29">
        <v>0</v>
      </c>
    </row>
    <row r="367" spans="2:220">
      <c r="B367" s="29" cm="1">
        <f t="array" ref="B367">10000000+INDEX(编号表!$B$1:$B$112,MATCH(D367,编号表!$A$1:$A$112,0))*10000+I367</f>
        <v>10590005</v>
      </c>
      <c r="C367" s="29" t="s">
        <v>450</v>
      </c>
      <c r="D367" s="29" t="s">
        <v>450</v>
      </c>
      <c r="E367" s="29" t="s">
        <v>445</v>
      </c>
      <c r="F367" s="29" t="s">
        <v>446</v>
      </c>
      <c r="G367" s="29">
        <v>1</v>
      </c>
      <c r="H367" s="29" t="b">
        <v>0</v>
      </c>
      <c r="I367" s="29">
        <v>5</v>
      </c>
      <c r="J367" s="29">
        <v>105900</v>
      </c>
      <c r="K367" s="29" t="s">
        <v>324</v>
      </c>
      <c r="L367" s="29">
        <v>10590004</v>
      </c>
      <c r="M367" s="29">
        <v>10590006</v>
      </c>
      <c r="N367" s="29" t="s">
        <v>451</v>
      </c>
      <c r="O367" s="29">
        <v>10902002</v>
      </c>
      <c r="P367" s="29">
        <v>0</v>
      </c>
      <c r="Q367" s="29">
        <v>0</v>
      </c>
      <c r="R367" s="29">
        <v>1</v>
      </c>
      <c r="T367" s="29">
        <v>100</v>
      </c>
      <c r="AY367" s="29" t="s">
        <v>425</v>
      </c>
      <c r="AZ367" s="29">
        <v>0</v>
      </c>
      <c r="GR367" s="29">
        <v>0</v>
      </c>
      <c r="GS367" s="29">
        <v>0</v>
      </c>
      <c r="GT367" s="29" t="s">
        <v>425</v>
      </c>
      <c r="GU367" s="29">
        <v>0</v>
      </c>
      <c r="GX367" s="29">
        <v>0</v>
      </c>
      <c r="GZ367" s="29">
        <v>0</v>
      </c>
      <c r="HA367" s="29">
        <v>0</v>
      </c>
      <c r="HB367" s="29">
        <v>0</v>
      </c>
      <c r="HC367" s="29">
        <v>0</v>
      </c>
      <c r="HD367" s="29">
        <v>0</v>
      </c>
      <c r="HE367" s="29" t="b">
        <v>0</v>
      </c>
      <c r="HG367" s="29">
        <v>0</v>
      </c>
      <c r="HI367" s="29" t="s">
        <v>334</v>
      </c>
      <c r="HJ367" s="29">
        <v>0</v>
      </c>
      <c r="HK367" s="29">
        <v>0</v>
      </c>
      <c r="HL367" s="29">
        <v>0</v>
      </c>
    </row>
    <row r="368" spans="2:220">
      <c r="B368" s="29" cm="1">
        <f t="array" ref="B368">10000000+INDEX(编号表!$B$1:$B$112,MATCH(D368,编号表!$A$1:$A$112,0))*10000+I368</f>
        <v>10590006</v>
      </c>
      <c r="C368" s="29" t="s">
        <v>450</v>
      </c>
      <c r="D368" s="29" t="s">
        <v>450</v>
      </c>
      <c r="E368" s="29" t="s">
        <v>445</v>
      </c>
      <c r="F368" s="29" t="s">
        <v>446</v>
      </c>
      <c r="G368" s="29">
        <v>1</v>
      </c>
      <c r="H368" s="29" t="b">
        <v>0</v>
      </c>
      <c r="I368" s="29">
        <v>6</v>
      </c>
      <c r="J368" s="29">
        <v>105900</v>
      </c>
      <c r="K368" s="29" t="s">
        <v>324</v>
      </c>
      <c r="L368" s="29">
        <v>10590005</v>
      </c>
      <c r="M368" s="29">
        <v>10590007</v>
      </c>
      <c r="N368" s="29" t="s">
        <v>451</v>
      </c>
      <c r="O368" s="29">
        <v>10902002</v>
      </c>
      <c r="P368" s="29">
        <v>0</v>
      </c>
      <c r="Q368" s="29">
        <v>0</v>
      </c>
      <c r="R368" s="29">
        <v>1</v>
      </c>
      <c r="T368" s="29">
        <v>100</v>
      </c>
      <c r="AY368" s="29" t="s">
        <v>425</v>
      </c>
      <c r="AZ368" s="29">
        <v>0</v>
      </c>
      <c r="GR368" s="29">
        <v>0</v>
      </c>
      <c r="GS368" s="29">
        <v>0</v>
      </c>
      <c r="GT368" s="29" t="s">
        <v>425</v>
      </c>
      <c r="GU368" s="29">
        <v>0</v>
      </c>
      <c r="GX368" s="29">
        <v>0</v>
      </c>
      <c r="GZ368" s="29">
        <v>0</v>
      </c>
      <c r="HA368" s="29">
        <v>0</v>
      </c>
      <c r="HB368" s="29">
        <v>0</v>
      </c>
      <c r="HC368" s="29">
        <v>0</v>
      </c>
      <c r="HD368" s="29">
        <v>0</v>
      </c>
      <c r="HE368" s="29" t="b">
        <v>0</v>
      </c>
      <c r="HG368" s="29">
        <v>0</v>
      </c>
      <c r="HI368" s="29" t="s">
        <v>334</v>
      </c>
      <c r="HJ368" s="29">
        <v>0</v>
      </c>
      <c r="HK368" s="29">
        <v>0</v>
      </c>
      <c r="HL368" s="29">
        <v>0</v>
      </c>
    </row>
    <row r="369" spans="2:220">
      <c r="B369" s="29" cm="1">
        <f t="array" ref="B369">10000000+INDEX(编号表!$B$1:$B$112,MATCH(D369,编号表!$A$1:$A$112,0))*10000+I369</f>
        <v>10590007</v>
      </c>
      <c r="C369" s="29" t="s">
        <v>450</v>
      </c>
      <c r="D369" s="29" t="s">
        <v>450</v>
      </c>
      <c r="E369" s="29" t="s">
        <v>445</v>
      </c>
      <c r="F369" s="29" t="s">
        <v>446</v>
      </c>
      <c r="G369" s="29">
        <v>1</v>
      </c>
      <c r="H369" s="29" t="b">
        <v>0</v>
      </c>
      <c r="I369" s="29">
        <v>7</v>
      </c>
      <c r="J369" s="29">
        <v>105900</v>
      </c>
      <c r="K369" s="29" t="s">
        <v>324</v>
      </c>
      <c r="L369" s="29">
        <v>10590006</v>
      </c>
      <c r="M369" s="29">
        <v>10590008</v>
      </c>
      <c r="N369" s="29" t="s">
        <v>451</v>
      </c>
      <c r="O369" s="29">
        <v>10902002</v>
      </c>
      <c r="P369" s="29">
        <v>0</v>
      </c>
      <c r="Q369" s="29">
        <v>0</v>
      </c>
      <c r="R369" s="29">
        <v>1</v>
      </c>
      <c r="T369" s="29">
        <v>100</v>
      </c>
      <c r="AY369" s="29" t="s">
        <v>425</v>
      </c>
      <c r="AZ369" s="29">
        <v>0</v>
      </c>
      <c r="GR369" s="29">
        <v>0</v>
      </c>
      <c r="GS369" s="29">
        <v>0</v>
      </c>
      <c r="GT369" s="29" t="s">
        <v>425</v>
      </c>
      <c r="GU369" s="29">
        <v>0</v>
      </c>
      <c r="GX369" s="29">
        <v>0</v>
      </c>
      <c r="GZ369" s="29">
        <v>0</v>
      </c>
      <c r="HA369" s="29">
        <v>0</v>
      </c>
      <c r="HB369" s="29">
        <v>0</v>
      </c>
      <c r="HC369" s="29">
        <v>0</v>
      </c>
      <c r="HD369" s="29">
        <v>0</v>
      </c>
      <c r="HE369" s="29" t="b">
        <v>0</v>
      </c>
      <c r="HG369" s="29">
        <v>0</v>
      </c>
      <c r="HI369" s="29" t="s">
        <v>334</v>
      </c>
      <c r="HJ369" s="29">
        <v>0</v>
      </c>
      <c r="HK369" s="29">
        <v>0</v>
      </c>
      <c r="HL369" s="29">
        <v>0</v>
      </c>
    </row>
    <row r="370" spans="2:220">
      <c r="B370" s="29" cm="1">
        <f t="array" ref="B370">10000000+INDEX(编号表!$B$1:$B$112,MATCH(D370,编号表!$A$1:$A$112,0))*10000+I370</f>
        <v>10590008</v>
      </c>
      <c r="C370" s="29" t="s">
        <v>450</v>
      </c>
      <c r="D370" s="29" t="s">
        <v>450</v>
      </c>
      <c r="E370" s="29" t="s">
        <v>445</v>
      </c>
      <c r="F370" s="29" t="s">
        <v>446</v>
      </c>
      <c r="G370" s="29">
        <v>1</v>
      </c>
      <c r="H370" s="29" t="b">
        <v>0</v>
      </c>
      <c r="I370" s="29">
        <v>8</v>
      </c>
      <c r="J370" s="29">
        <v>105900</v>
      </c>
      <c r="K370" s="29" t="s">
        <v>324</v>
      </c>
      <c r="L370" s="29">
        <v>10590007</v>
      </c>
      <c r="M370" s="29">
        <v>10590009</v>
      </c>
      <c r="N370" s="29" t="s">
        <v>451</v>
      </c>
      <c r="O370" s="29">
        <v>10902002</v>
      </c>
      <c r="P370" s="29">
        <v>0</v>
      </c>
      <c r="Q370" s="29">
        <v>0</v>
      </c>
      <c r="R370" s="29">
        <v>1</v>
      </c>
      <c r="T370" s="29">
        <v>100</v>
      </c>
      <c r="AY370" s="29" t="s">
        <v>425</v>
      </c>
      <c r="AZ370" s="29">
        <v>0</v>
      </c>
      <c r="GR370" s="29">
        <v>0</v>
      </c>
      <c r="GS370" s="29">
        <v>0</v>
      </c>
      <c r="GT370" s="29" t="s">
        <v>425</v>
      </c>
      <c r="GU370" s="29">
        <v>0</v>
      </c>
      <c r="GX370" s="29">
        <v>0</v>
      </c>
      <c r="GZ370" s="29">
        <v>0</v>
      </c>
      <c r="HA370" s="29">
        <v>0</v>
      </c>
      <c r="HB370" s="29">
        <v>0</v>
      </c>
      <c r="HC370" s="29">
        <v>0</v>
      </c>
      <c r="HD370" s="29">
        <v>0</v>
      </c>
      <c r="HE370" s="29" t="b">
        <v>0</v>
      </c>
      <c r="HG370" s="29">
        <v>0</v>
      </c>
      <c r="HI370" s="29" t="s">
        <v>334</v>
      </c>
      <c r="HJ370" s="29">
        <v>0</v>
      </c>
      <c r="HK370" s="29">
        <v>0</v>
      </c>
      <c r="HL370" s="29">
        <v>0</v>
      </c>
    </row>
    <row r="371" spans="2:220">
      <c r="B371" s="29" cm="1">
        <f t="array" ref="B371">10000000+INDEX(编号表!$B$1:$B$112,MATCH(D371,编号表!$A$1:$A$112,0))*10000+I371</f>
        <v>10590009</v>
      </c>
      <c r="C371" s="29" t="s">
        <v>450</v>
      </c>
      <c r="D371" s="29" t="s">
        <v>450</v>
      </c>
      <c r="E371" s="29" t="s">
        <v>445</v>
      </c>
      <c r="F371" s="29" t="s">
        <v>446</v>
      </c>
      <c r="G371" s="29">
        <v>1</v>
      </c>
      <c r="H371" s="29" t="b">
        <v>0</v>
      </c>
      <c r="I371" s="29">
        <v>9</v>
      </c>
      <c r="J371" s="29">
        <v>105900</v>
      </c>
      <c r="K371" s="29" t="s">
        <v>324</v>
      </c>
      <c r="L371" s="29">
        <v>10590008</v>
      </c>
      <c r="M371" s="29">
        <v>10590010</v>
      </c>
      <c r="N371" s="29" t="s">
        <v>451</v>
      </c>
      <c r="O371" s="29">
        <v>10902002</v>
      </c>
      <c r="P371" s="29">
        <v>0</v>
      </c>
      <c r="Q371" s="29">
        <v>0</v>
      </c>
      <c r="R371" s="29">
        <v>1</v>
      </c>
      <c r="T371" s="29">
        <v>100</v>
      </c>
      <c r="AY371" s="29" t="s">
        <v>425</v>
      </c>
      <c r="AZ371" s="29">
        <v>0</v>
      </c>
      <c r="GR371" s="29">
        <v>0</v>
      </c>
      <c r="GS371" s="29">
        <v>0</v>
      </c>
      <c r="GT371" s="29" t="s">
        <v>425</v>
      </c>
      <c r="GU371" s="29">
        <v>0</v>
      </c>
      <c r="GX371" s="29">
        <v>0</v>
      </c>
      <c r="GZ371" s="29">
        <v>0</v>
      </c>
      <c r="HA371" s="29">
        <v>0</v>
      </c>
      <c r="HB371" s="29">
        <v>0</v>
      </c>
      <c r="HC371" s="29">
        <v>0</v>
      </c>
      <c r="HD371" s="29">
        <v>0</v>
      </c>
      <c r="HE371" s="29" t="b">
        <v>0</v>
      </c>
      <c r="HG371" s="29">
        <v>0</v>
      </c>
      <c r="HI371" s="29" t="s">
        <v>334</v>
      </c>
      <c r="HJ371" s="29">
        <v>0</v>
      </c>
      <c r="HK371" s="29">
        <v>0</v>
      </c>
      <c r="HL371" s="29">
        <v>0</v>
      </c>
    </row>
    <row r="372" spans="2:220">
      <c r="B372" s="29" cm="1">
        <f t="array" ref="B372">10000000+INDEX(编号表!$B$1:$B$112,MATCH(D372,编号表!$A$1:$A$112,0))*10000+I372</f>
        <v>10590010</v>
      </c>
      <c r="C372" s="29" t="s">
        <v>450</v>
      </c>
      <c r="D372" s="29" t="s">
        <v>450</v>
      </c>
      <c r="E372" s="29" t="s">
        <v>445</v>
      </c>
      <c r="F372" s="29" t="s">
        <v>446</v>
      </c>
      <c r="G372" s="29">
        <v>1</v>
      </c>
      <c r="H372" s="29" t="b">
        <v>0</v>
      </c>
      <c r="I372" s="29">
        <v>10</v>
      </c>
      <c r="J372" s="29">
        <v>105900</v>
      </c>
      <c r="K372" s="29" t="s">
        <v>324</v>
      </c>
      <c r="L372" s="29">
        <v>10590009</v>
      </c>
      <c r="N372" s="29" t="s">
        <v>451</v>
      </c>
      <c r="O372" s="29">
        <v>10902002</v>
      </c>
      <c r="P372" s="29">
        <v>0</v>
      </c>
      <c r="Q372" s="29">
        <v>0</v>
      </c>
      <c r="R372" s="29">
        <v>1</v>
      </c>
      <c r="T372" s="29">
        <v>100</v>
      </c>
      <c r="AY372" s="29" t="s">
        <v>425</v>
      </c>
      <c r="AZ372" s="29">
        <v>0</v>
      </c>
      <c r="GR372" s="29">
        <v>0</v>
      </c>
      <c r="GS372" s="29">
        <v>0</v>
      </c>
      <c r="GT372" s="29" t="s">
        <v>425</v>
      </c>
      <c r="GU372" s="29">
        <v>0</v>
      </c>
      <c r="GX372" s="29">
        <v>0</v>
      </c>
      <c r="GZ372" s="29">
        <v>0</v>
      </c>
      <c r="HA372" s="29">
        <v>0</v>
      </c>
      <c r="HB372" s="29">
        <v>0</v>
      </c>
      <c r="HC372" s="29">
        <v>0</v>
      </c>
      <c r="HD372" s="29">
        <v>0</v>
      </c>
      <c r="HE372" s="29" t="b">
        <v>0</v>
      </c>
      <c r="HG372" s="29">
        <v>0</v>
      </c>
      <c r="HI372" s="29" t="s">
        <v>334</v>
      </c>
      <c r="HJ372" s="29">
        <v>0</v>
      </c>
      <c r="HK372" s="29">
        <v>0</v>
      </c>
      <c r="HL372" s="29">
        <v>0</v>
      </c>
    </row>
    <row r="373" spans="2:220">
      <c r="B373" s="29" cm="1">
        <f t="array" ref="B373">10000000+INDEX(编号表!$B$1:$B$112,MATCH(D373,编号表!$A$1:$A$112,0))*10000+I373</f>
        <v>10600001</v>
      </c>
      <c r="C373" s="29" t="s">
        <v>452</v>
      </c>
      <c r="D373" s="29" t="s">
        <v>452</v>
      </c>
      <c r="E373" s="29" t="s">
        <v>445</v>
      </c>
      <c r="F373" s="29" t="s">
        <v>446</v>
      </c>
      <c r="G373" s="29">
        <v>1</v>
      </c>
      <c r="H373" s="29" t="b">
        <v>0</v>
      </c>
      <c r="I373" s="29">
        <v>1</v>
      </c>
      <c r="J373" s="29">
        <v>106000</v>
      </c>
      <c r="K373" s="29" t="s">
        <v>324</v>
      </c>
      <c r="M373" s="29">
        <v>10600002</v>
      </c>
      <c r="N373" s="29" t="s">
        <v>453</v>
      </c>
      <c r="O373" s="29">
        <v>10902003</v>
      </c>
      <c r="P373" s="29">
        <v>0</v>
      </c>
      <c r="Q373" s="29">
        <v>0</v>
      </c>
      <c r="R373" s="29">
        <v>1</v>
      </c>
      <c r="T373" s="29">
        <v>100</v>
      </c>
      <c r="AY373" s="29" t="s">
        <v>425</v>
      </c>
      <c r="AZ373" s="29">
        <v>0</v>
      </c>
      <c r="GR373" s="29">
        <v>0</v>
      </c>
      <c r="GS373" s="29">
        <v>0</v>
      </c>
      <c r="GT373" s="29" t="s">
        <v>425</v>
      </c>
      <c r="GU373" s="29">
        <v>0</v>
      </c>
      <c r="GX373" s="29">
        <v>0</v>
      </c>
      <c r="GZ373" s="29">
        <v>0</v>
      </c>
      <c r="HA373" s="29">
        <v>0</v>
      </c>
      <c r="HB373" s="29">
        <v>0</v>
      </c>
      <c r="HC373" s="29">
        <v>0</v>
      </c>
      <c r="HD373" s="29">
        <v>0</v>
      </c>
      <c r="HE373" s="29" t="b">
        <v>0</v>
      </c>
      <c r="HG373" s="29">
        <v>0</v>
      </c>
      <c r="HI373" s="29" t="s">
        <v>334</v>
      </c>
      <c r="HJ373" s="29">
        <v>0</v>
      </c>
      <c r="HK373" s="29">
        <v>0</v>
      </c>
      <c r="HL373" s="29">
        <v>0</v>
      </c>
    </row>
    <row r="374" spans="2:220">
      <c r="B374" s="29" cm="1">
        <f t="array" ref="B374">10000000+INDEX(编号表!$B$1:$B$112,MATCH(D374,编号表!$A$1:$A$112,0))*10000+I374</f>
        <v>10600002</v>
      </c>
      <c r="C374" s="29" t="s">
        <v>452</v>
      </c>
      <c r="D374" s="29" t="s">
        <v>452</v>
      </c>
      <c r="E374" s="29" t="s">
        <v>445</v>
      </c>
      <c r="F374" s="29" t="s">
        <v>446</v>
      </c>
      <c r="G374" s="29">
        <v>1</v>
      </c>
      <c r="H374" s="29" t="b">
        <v>0</v>
      </c>
      <c r="I374" s="29">
        <v>2</v>
      </c>
      <c r="J374" s="29">
        <v>106000</v>
      </c>
      <c r="K374" s="29" t="s">
        <v>324</v>
      </c>
      <c r="L374" s="29">
        <v>10600001</v>
      </c>
      <c r="M374" s="29">
        <v>10600003</v>
      </c>
      <c r="N374" s="29" t="s">
        <v>453</v>
      </c>
      <c r="O374" s="29">
        <v>10902003</v>
      </c>
      <c r="P374" s="29">
        <v>0</v>
      </c>
      <c r="Q374" s="29">
        <v>0</v>
      </c>
      <c r="R374" s="29">
        <v>1</v>
      </c>
      <c r="T374" s="29">
        <v>100</v>
      </c>
      <c r="AY374" s="29" t="s">
        <v>425</v>
      </c>
      <c r="AZ374" s="29">
        <v>0</v>
      </c>
      <c r="GR374" s="29">
        <v>0</v>
      </c>
      <c r="GS374" s="29">
        <v>0</v>
      </c>
      <c r="GT374" s="29" t="s">
        <v>425</v>
      </c>
      <c r="GU374" s="29">
        <v>0</v>
      </c>
      <c r="GX374" s="29">
        <v>0</v>
      </c>
      <c r="GZ374" s="29">
        <v>0</v>
      </c>
      <c r="HA374" s="29">
        <v>0</v>
      </c>
      <c r="HB374" s="29">
        <v>0</v>
      </c>
      <c r="HC374" s="29">
        <v>0</v>
      </c>
      <c r="HD374" s="29">
        <v>0</v>
      </c>
      <c r="HE374" s="29" t="b">
        <v>0</v>
      </c>
      <c r="HG374" s="29">
        <v>0</v>
      </c>
      <c r="HI374" s="29" t="s">
        <v>334</v>
      </c>
      <c r="HJ374" s="29">
        <v>0</v>
      </c>
      <c r="HK374" s="29">
        <v>0</v>
      </c>
      <c r="HL374" s="29">
        <v>0</v>
      </c>
    </row>
    <row r="375" spans="2:220">
      <c r="B375" s="29" cm="1">
        <f t="array" ref="B375">10000000+INDEX(编号表!$B$1:$B$112,MATCH(D375,编号表!$A$1:$A$112,0))*10000+I375</f>
        <v>10600003</v>
      </c>
      <c r="C375" s="29" t="s">
        <v>452</v>
      </c>
      <c r="D375" s="29" t="s">
        <v>452</v>
      </c>
      <c r="E375" s="29" t="s">
        <v>445</v>
      </c>
      <c r="F375" s="29" t="s">
        <v>446</v>
      </c>
      <c r="G375" s="29">
        <v>1</v>
      </c>
      <c r="H375" s="29" t="b">
        <v>0</v>
      </c>
      <c r="I375" s="29">
        <v>3</v>
      </c>
      <c r="J375" s="29">
        <v>106000</v>
      </c>
      <c r="K375" s="29" t="s">
        <v>324</v>
      </c>
      <c r="L375" s="29">
        <v>10600002</v>
      </c>
      <c r="M375" s="29">
        <v>10600004</v>
      </c>
      <c r="N375" s="29" t="s">
        <v>453</v>
      </c>
      <c r="O375" s="29">
        <v>10902003</v>
      </c>
      <c r="P375" s="29">
        <v>0</v>
      </c>
      <c r="Q375" s="29">
        <v>0</v>
      </c>
      <c r="R375" s="29">
        <v>1</v>
      </c>
      <c r="T375" s="29">
        <v>100</v>
      </c>
      <c r="AY375" s="29" t="s">
        <v>425</v>
      </c>
      <c r="AZ375" s="29">
        <v>0</v>
      </c>
      <c r="GR375" s="29">
        <v>0</v>
      </c>
      <c r="GS375" s="29">
        <v>0</v>
      </c>
      <c r="GT375" s="29" t="s">
        <v>425</v>
      </c>
      <c r="GU375" s="29">
        <v>0</v>
      </c>
      <c r="GX375" s="29">
        <v>0</v>
      </c>
      <c r="GZ375" s="29">
        <v>0</v>
      </c>
      <c r="HA375" s="29">
        <v>0</v>
      </c>
      <c r="HB375" s="29">
        <v>0</v>
      </c>
      <c r="HC375" s="29">
        <v>0</v>
      </c>
      <c r="HD375" s="29">
        <v>0</v>
      </c>
      <c r="HE375" s="29" t="b">
        <v>0</v>
      </c>
      <c r="HG375" s="29">
        <v>0</v>
      </c>
      <c r="HI375" s="29" t="s">
        <v>334</v>
      </c>
      <c r="HJ375" s="29">
        <v>0</v>
      </c>
      <c r="HK375" s="29">
        <v>0</v>
      </c>
      <c r="HL375" s="29">
        <v>0</v>
      </c>
    </row>
    <row r="376" spans="2:220">
      <c r="B376" s="29" cm="1">
        <f t="array" ref="B376">10000000+INDEX(编号表!$B$1:$B$112,MATCH(D376,编号表!$A$1:$A$112,0))*10000+I376</f>
        <v>10600004</v>
      </c>
      <c r="C376" s="29" t="s">
        <v>452</v>
      </c>
      <c r="D376" s="29" t="s">
        <v>452</v>
      </c>
      <c r="E376" s="29" t="s">
        <v>445</v>
      </c>
      <c r="F376" s="29" t="s">
        <v>446</v>
      </c>
      <c r="G376" s="29">
        <v>1</v>
      </c>
      <c r="H376" s="29" t="b">
        <v>0</v>
      </c>
      <c r="I376" s="29">
        <v>4</v>
      </c>
      <c r="J376" s="29">
        <v>106000</v>
      </c>
      <c r="K376" s="29" t="s">
        <v>324</v>
      </c>
      <c r="L376" s="29">
        <v>10600003</v>
      </c>
      <c r="M376" s="29">
        <v>10600005</v>
      </c>
      <c r="N376" s="29" t="s">
        <v>453</v>
      </c>
      <c r="O376" s="29">
        <v>10902003</v>
      </c>
      <c r="P376" s="29">
        <v>0</v>
      </c>
      <c r="Q376" s="29">
        <v>0</v>
      </c>
      <c r="R376" s="29">
        <v>1</v>
      </c>
      <c r="T376" s="29">
        <v>100</v>
      </c>
      <c r="AY376" s="29" t="s">
        <v>425</v>
      </c>
      <c r="AZ376" s="29">
        <v>0</v>
      </c>
      <c r="GR376" s="29">
        <v>0</v>
      </c>
      <c r="GS376" s="29">
        <v>0</v>
      </c>
      <c r="GT376" s="29" t="s">
        <v>425</v>
      </c>
      <c r="GU376" s="29">
        <v>0</v>
      </c>
      <c r="GX376" s="29">
        <v>0</v>
      </c>
      <c r="GZ376" s="29">
        <v>0</v>
      </c>
      <c r="HA376" s="29">
        <v>0</v>
      </c>
      <c r="HB376" s="29">
        <v>0</v>
      </c>
      <c r="HC376" s="29">
        <v>0</v>
      </c>
      <c r="HD376" s="29">
        <v>0</v>
      </c>
      <c r="HE376" s="29" t="b">
        <v>0</v>
      </c>
      <c r="HG376" s="29">
        <v>0</v>
      </c>
      <c r="HI376" s="29" t="s">
        <v>334</v>
      </c>
      <c r="HJ376" s="29">
        <v>0</v>
      </c>
      <c r="HK376" s="29">
        <v>0</v>
      </c>
      <c r="HL376" s="29">
        <v>0</v>
      </c>
    </row>
    <row r="377" spans="2:220">
      <c r="B377" s="29" cm="1">
        <f t="array" ref="B377">10000000+INDEX(编号表!$B$1:$B$112,MATCH(D377,编号表!$A$1:$A$112,0))*10000+I377</f>
        <v>10600005</v>
      </c>
      <c r="C377" s="29" t="s">
        <v>452</v>
      </c>
      <c r="D377" s="29" t="s">
        <v>452</v>
      </c>
      <c r="E377" s="29" t="s">
        <v>445</v>
      </c>
      <c r="F377" s="29" t="s">
        <v>446</v>
      </c>
      <c r="G377" s="29">
        <v>1</v>
      </c>
      <c r="H377" s="29" t="b">
        <v>0</v>
      </c>
      <c r="I377" s="29">
        <v>5</v>
      </c>
      <c r="J377" s="29">
        <v>106000</v>
      </c>
      <c r="K377" s="29" t="s">
        <v>324</v>
      </c>
      <c r="L377" s="29">
        <v>10600004</v>
      </c>
      <c r="M377" s="29">
        <v>10600006</v>
      </c>
      <c r="N377" s="29" t="s">
        <v>453</v>
      </c>
      <c r="O377" s="29">
        <v>10902003</v>
      </c>
      <c r="P377" s="29">
        <v>0</v>
      </c>
      <c r="Q377" s="29">
        <v>0</v>
      </c>
      <c r="R377" s="29">
        <v>1</v>
      </c>
      <c r="T377" s="29">
        <v>100</v>
      </c>
      <c r="AY377" s="29" t="s">
        <v>425</v>
      </c>
      <c r="AZ377" s="29">
        <v>0</v>
      </c>
      <c r="GR377" s="29">
        <v>0</v>
      </c>
      <c r="GS377" s="29">
        <v>0</v>
      </c>
      <c r="GT377" s="29" t="s">
        <v>425</v>
      </c>
      <c r="GU377" s="29">
        <v>0</v>
      </c>
      <c r="GX377" s="29">
        <v>0</v>
      </c>
      <c r="GZ377" s="29">
        <v>0</v>
      </c>
      <c r="HA377" s="29">
        <v>0</v>
      </c>
      <c r="HB377" s="29">
        <v>0</v>
      </c>
      <c r="HC377" s="29">
        <v>0</v>
      </c>
      <c r="HD377" s="29">
        <v>0</v>
      </c>
      <c r="HE377" s="29" t="b">
        <v>0</v>
      </c>
      <c r="HG377" s="29">
        <v>0</v>
      </c>
      <c r="HI377" s="29" t="s">
        <v>334</v>
      </c>
      <c r="HJ377" s="29">
        <v>0</v>
      </c>
      <c r="HK377" s="29">
        <v>0</v>
      </c>
      <c r="HL377" s="29">
        <v>0</v>
      </c>
    </row>
    <row r="378" spans="2:220">
      <c r="B378" s="29" cm="1">
        <f t="array" ref="B378">10000000+INDEX(编号表!$B$1:$B$112,MATCH(D378,编号表!$A$1:$A$112,0))*10000+I378</f>
        <v>10600006</v>
      </c>
      <c r="C378" s="29" t="s">
        <v>452</v>
      </c>
      <c r="D378" s="29" t="s">
        <v>452</v>
      </c>
      <c r="E378" s="29" t="s">
        <v>445</v>
      </c>
      <c r="F378" s="29" t="s">
        <v>446</v>
      </c>
      <c r="G378" s="29">
        <v>1</v>
      </c>
      <c r="H378" s="29" t="b">
        <v>0</v>
      </c>
      <c r="I378" s="29">
        <v>6</v>
      </c>
      <c r="J378" s="29">
        <v>106000</v>
      </c>
      <c r="K378" s="29" t="s">
        <v>324</v>
      </c>
      <c r="L378" s="29">
        <v>10600005</v>
      </c>
      <c r="M378" s="29">
        <v>10600007</v>
      </c>
      <c r="N378" s="29" t="s">
        <v>453</v>
      </c>
      <c r="O378" s="29">
        <v>10902003</v>
      </c>
      <c r="P378" s="29">
        <v>0</v>
      </c>
      <c r="Q378" s="29">
        <v>0</v>
      </c>
      <c r="R378" s="29">
        <v>1</v>
      </c>
      <c r="T378" s="29">
        <v>100</v>
      </c>
      <c r="AY378" s="29" t="s">
        <v>425</v>
      </c>
      <c r="AZ378" s="29">
        <v>0</v>
      </c>
      <c r="GR378" s="29">
        <v>0</v>
      </c>
      <c r="GS378" s="29">
        <v>0</v>
      </c>
      <c r="GT378" s="29" t="s">
        <v>425</v>
      </c>
      <c r="GU378" s="29">
        <v>0</v>
      </c>
      <c r="GX378" s="29">
        <v>0</v>
      </c>
      <c r="GZ378" s="29">
        <v>0</v>
      </c>
      <c r="HA378" s="29">
        <v>0</v>
      </c>
      <c r="HB378" s="29">
        <v>0</v>
      </c>
      <c r="HC378" s="29">
        <v>0</v>
      </c>
      <c r="HD378" s="29">
        <v>0</v>
      </c>
      <c r="HE378" s="29" t="b">
        <v>0</v>
      </c>
      <c r="HG378" s="29">
        <v>0</v>
      </c>
      <c r="HI378" s="29" t="s">
        <v>334</v>
      </c>
      <c r="HJ378" s="29">
        <v>0</v>
      </c>
      <c r="HK378" s="29">
        <v>0</v>
      </c>
      <c r="HL378" s="29">
        <v>0</v>
      </c>
    </row>
    <row r="379" spans="2:220">
      <c r="B379" s="29" cm="1">
        <f t="array" ref="B379">10000000+INDEX(编号表!$B$1:$B$112,MATCH(D379,编号表!$A$1:$A$112,0))*10000+I379</f>
        <v>10600007</v>
      </c>
      <c r="C379" s="29" t="s">
        <v>452</v>
      </c>
      <c r="D379" s="29" t="s">
        <v>452</v>
      </c>
      <c r="E379" s="29" t="s">
        <v>445</v>
      </c>
      <c r="F379" s="29" t="s">
        <v>446</v>
      </c>
      <c r="G379" s="29">
        <v>1</v>
      </c>
      <c r="H379" s="29" t="b">
        <v>0</v>
      </c>
      <c r="I379" s="29">
        <v>7</v>
      </c>
      <c r="J379" s="29">
        <v>106000</v>
      </c>
      <c r="K379" s="29" t="s">
        <v>324</v>
      </c>
      <c r="L379" s="29">
        <v>10600006</v>
      </c>
      <c r="M379" s="29">
        <v>10600008</v>
      </c>
      <c r="N379" s="29" t="s">
        <v>453</v>
      </c>
      <c r="O379" s="29">
        <v>10902003</v>
      </c>
      <c r="P379" s="29">
        <v>0</v>
      </c>
      <c r="Q379" s="29">
        <v>0</v>
      </c>
      <c r="R379" s="29">
        <v>1</v>
      </c>
      <c r="T379" s="29">
        <v>100</v>
      </c>
      <c r="AY379" s="29" t="s">
        <v>425</v>
      </c>
      <c r="AZ379" s="29">
        <v>0</v>
      </c>
      <c r="GR379" s="29">
        <v>0</v>
      </c>
      <c r="GS379" s="29">
        <v>0</v>
      </c>
      <c r="GT379" s="29" t="s">
        <v>425</v>
      </c>
      <c r="GU379" s="29">
        <v>0</v>
      </c>
      <c r="GX379" s="29">
        <v>0</v>
      </c>
      <c r="GZ379" s="29">
        <v>0</v>
      </c>
      <c r="HA379" s="29">
        <v>0</v>
      </c>
      <c r="HB379" s="29">
        <v>0</v>
      </c>
      <c r="HC379" s="29">
        <v>0</v>
      </c>
      <c r="HD379" s="29">
        <v>0</v>
      </c>
      <c r="HE379" s="29" t="b">
        <v>0</v>
      </c>
      <c r="HG379" s="29">
        <v>0</v>
      </c>
      <c r="HI379" s="29" t="s">
        <v>334</v>
      </c>
      <c r="HJ379" s="29">
        <v>0</v>
      </c>
      <c r="HK379" s="29">
        <v>0</v>
      </c>
      <c r="HL379" s="29">
        <v>0</v>
      </c>
    </row>
    <row r="380" spans="2:220">
      <c r="B380" s="29" cm="1">
        <f t="array" ref="B380">10000000+INDEX(编号表!$B$1:$B$112,MATCH(D380,编号表!$A$1:$A$112,0))*10000+I380</f>
        <v>10600008</v>
      </c>
      <c r="C380" s="29" t="s">
        <v>452</v>
      </c>
      <c r="D380" s="29" t="s">
        <v>452</v>
      </c>
      <c r="E380" s="29" t="s">
        <v>445</v>
      </c>
      <c r="F380" s="29" t="s">
        <v>446</v>
      </c>
      <c r="G380" s="29">
        <v>1</v>
      </c>
      <c r="H380" s="29" t="b">
        <v>0</v>
      </c>
      <c r="I380" s="29">
        <v>8</v>
      </c>
      <c r="J380" s="29">
        <v>106000</v>
      </c>
      <c r="K380" s="29" t="s">
        <v>324</v>
      </c>
      <c r="L380" s="29">
        <v>10600007</v>
      </c>
      <c r="M380" s="29">
        <v>10600009</v>
      </c>
      <c r="N380" s="29" t="s">
        <v>453</v>
      </c>
      <c r="O380" s="29">
        <v>10902003</v>
      </c>
      <c r="P380" s="29">
        <v>0</v>
      </c>
      <c r="Q380" s="29">
        <v>0</v>
      </c>
      <c r="R380" s="29">
        <v>1</v>
      </c>
      <c r="T380" s="29">
        <v>100</v>
      </c>
      <c r="AY380" s="29" t="s">
        <v>425</v>
      </c>
      <c r="AZ380" s="29">
        <v>0</v>
      </c>
      <c r="GR380" s="29">
        <v>0</v>
      </c>
      <c r="GS380" s="29">
        <v>0</v>
      </c>
      <c r="GT380" s="29" t="s">
        <v>425</v>
      </c>
      <c r="GU380" s="29">
        <v>0</v>
      </c>
      <c r="GX380" s="29">
        <v>0</v>
      </c>
      <c r="GZ380" s="29">
        <v>0</v>
      </c>
      <c r="HA380" s="29">
        <v>0</v>
      </c>
      <c r="HB380" s="29">
        <v>0</v>
      </c>
      <c r="HC380" s="29">
        <v>0</v>
      </c>
      <c r="HD380" s="29">
        <v>0</v>
      </c>
      <c r="HE380" s="29" t="b">
        <v>0</v>
      </c>
      <c r="HG380" s="29">
        <v>0</v>
      </c>
      <c r="HI380" s="29" t="s">
        <v>334</v>
      </c>
      <c r="HJ380" s="29">
        <v>0</v>
      </c>
      <c r="HK380" s="29">
        <v>0</v>
      </c>
      <c r="HL380" s="29">
        <v>0</v>
      </c>
    </row>
    <row r="381" spans="2:220">
      <c r="B381" s="29" cm="1">
        <f t="array" ref="B381">10000000+INDEX(编号表!$B$1:$B$112,MATCH(D381,编号表!$A$1:$A$112,0))*10000+I381</f>
        <v>10600009</v>
      </c>
      <c r="C381" s="29" t="s">
        <v>452</v>
      </c>
      <c r="D381" s="29" t="s">
        <v>452</v>
      </c>
      <c r="E381" s="29" t="s">
        <v>445</v>
      </c>
      <c r="F381" s="29" t="s">
        <v>446</v>
      </c>
      <c r="G381" s="29">
        <v>1</v>
      </c>
      <c r="H381" s="29" t="b">
        <v>0</v>
      </c>
      <c r="I381" s="29">
        <v>9</v>
      </c>
      <c r="J381" s="29">
        <v>106000</v>
      </c>
      <c r="K381" s="29" t="s">
        <v>324</v>
      </c>
      <c r="L381" s="29">
        <v>10600008</v>
      </c>
      <c r="M381" s="29">
        <v>10600010</v>
      </c>
      <c r="N381" s="29" t="s">
        <v>453</v>
      </c>
      <c r="O381" s="29">
        <v>10902003</v>
      </c>
      <c r="P381" s="29">
        <v>0</v>
      </c>
      <c r="Q381" s="29">
        <v>0</v>
      </c>
      <c r="R381" s="29">
        <v>1</v>
      </c>
      <c r="T381" s="29">
        <v>100</v>
      </c>
      <c r="AY381" s="29" t="s">
        <v>425</v>
      </c>
      <c r="AZ381" s="29">
        <v>0</v>
      </c>
      <c r="GR381" s="29">
        <v>0</v>
      </c>
      <c r="GS381" s="29">
        <v>0</v>
      </c>
      <c r="GT381" s="29" t="s">
        <v>425</v>
      </c>
      <c r="GU381" s="29">
        <v>0</v>
      </c>
      <c r="GX381" s="29">
        <v>0</v>
      </c>
      <c r="GZ381" s="29">
        <v>0</v>
      </c>
      <c r="HA381" s="29">
        <v>0</v>
      </c>
      <c r="HB381" s="29">
        <v>0</v>
      </c>
      <c r="HC381" s="29">
        <v>0</v>
      </c>
      <c r="HD381" s="29">
        <v>0</v>
      </c>
      <c r="HE381" s="29" t="b">
        <v>0</v>
      </c>
      <c r="HG381" s="29">
        <v>0</v>
      </c>
      <c r="HI381" s="29" t="s">
        <v>334</v>
      </c>
      <c r="HJ381" s="29">
        <v>0</v>
      </c>
      <c r="HK381" s="29">
        <v>0</v>
      </c>
      <c r="HL381" s="29">
        <v>0</v>
      </c>
    </row>
    <row r="382" spans="2:220">
      <c r="B382" s="29" cm="1">
        <f t="array" ref="B382">10000000+INDEX(编号表!$B$1:$B$112,MATCH(D382,编号表!$A$1:$A$112,0))*10000+I382</f>
        <v>10600010</v>
      </c>
      <c r="C382" s="29" t="s">
        <v>452</v>
      </c>
      <c r="D382" s="29" t="s">
        <v>452</v>
      </c>
      <c r="E382" s="29" t="s">
        <v>445</v>
      </c>
      <c r="F382" s="29" t="s">
        <v>446</v>
      </c>
      <c r="G382" s="29">
        <v>1</v>
      </c>
      <c r="H382" s="29" t="b">
        <v>0</v>
      </c>
      <c r="I382" s="29">
        <v>10</v>
      </c>
      <c r="J382" s="29">
        <v>106000</v>
      </c>
      <c r="K382" s="29" t="s">
        <v>324</v>
      </c>
      <c r="L382" s="29">
        <v>10600009</v>
      </c>
      <c r="N382" s="29" t="s">
        <v>453</v>
      </c>
      <c r="O382" s="29">
        <v>10902003</v>
      </c>
      <c r="P382" s="29">
        <v>0</v>
      </c>
      <c r="Q382" s="29">
        <v>0</v>
      </c>
      <c r="R382" s="29">
        <v>1</v>
      </c>
      <c r="T382" s="29">
        <v>100</v>
      </c>
      <c r="AY382" s="29" t="s">
        <v>425</v>
      </c>
      <c r="AZ382" s="29">
        <v>0</v>
      </c>
      <c r="GR382" s="29">
        <v>0</v>
      </c>
      <c r="GS382" s="29">
        <v>0</v>
      </c>
      <c r="GT382" s="29" t="s">
        <v>425</v>
      </c>
      <c r="GU382" s="29">
        <v>0</v>
      </c>
      <c r="GX382" s="29">
        <v>0</v>
      </c>
      <c r="GZ382" s="29">
        <v>0</v>
      </c>
      <c r="HA382" s="29">
        <v>0</v>
      </c>
      <c r="HB382" s="29">
        <v>0</v>
      </c>
      <c r="HC382" s="29">
        <v>0</v>
      </c>
      <c r="HD382" s="29">
        <v>0</v>
      </c>
      <c r="HE382" s="29" t="b">
        <v>0</v>
      </c>
      <c r="HG382" s="29">
        <v>0</v>
      </c>
      <c r="HI382" s="29" t="s">
        <v>334</v>
      </c>
      <c r="HJ382" s="29">
        <v>0</v>
      </c>
      <c r="HK382" s="29">
        <v>0</v>
      </c>
      <c r="HL382" s="29">
        <v>0</v>
      </c>
    </row>
    <row r="383" spans="2:220">
      <c r="B383" s="29" cm="1">
        <f t="array" ref="B383">10000000+INDEX(编号表!$B$1:$B$112,MATCH(D383,编号表!$A$1:$A$112,0))*10000+I383</f>
        <v>10610001</v>
      </c>
      <c r="C383" s="29" t="s">
        <v>454</v>
      </c>
      <c r="D383" s="29" t="s">
        <v>454</v>
      </c>
      <c r="E383" s="29" t="s">
        <v>445</v>
      </c>
      <c r="F383" s="29" t="s">
        <v>446</v>
      </c>
      <c r="G383" s="29">
        <v>1</v>
      </c>
      <c r="H383" s="29" t="b">
        <v>0</v>
      </c>
      <c r="I383" s="29">
        <v>1</v>
      </c>
      <c r="J383" s="29">
        <v>106100</v>
      </c>
      <c r="K383" s="29" t="s">
        <v>324</v>
      </c>
      <c r="M383" s="29">
        <v>10610002</v>
      </c>
      <c r="N383" s="29" t="s">
        <v>455</v>
      </c>
      <c r="O383" s="29">
        <v>10902004</v>
      </c>
      <c r="P383" s="29">
        <v>0</v>
      </c>
      <c r="Q383" s="29">
        <v>0</v>
      </c>
      <c r="R383" s="29">
        <v>1</v>
      </c>
      <c r="T383" s="29">
        <v>100</v>
      </c>
      <c r="AY383" s="29" t="s">
        <v>425</v>
      </c>
      <c r="AZ383" s="29">
        <v>0</v>
      </c>
      <c r="GR383" s="29">
        <v>0</v>
      </c>
      <c r="GS383" s="29">
        <v>0</v>
      </c>
      <c r="GT383" s="29" t="s">
        <v>425</v>
      </c>
      <c r="GU383" s="29">
        <v>0</v>
      </c>
      <c r="GX383" s="29">
        <v>0</v>
      </c>
      <c r="GZ383" s="29">
        <v>0</v>
      </c>
      <c r="HA383" s="29">
        <v>0</v>
      </c>
      <c r="HB383" s="29">
        <v>0</v>
      </c>
      <c r="HC383" s="29">
        <v>0</v>
      </c>
      <c r="HD383" s="29">
        <v>0</v>
      </c>
      <c r="HE383" s="29" t="b">
        <v>0</v>
      </c>
      <c r="HG383" s="29">
        <v>0</v>
      </c>
      <c r="HI383" s="29" t="s">
        <v>334</v>
      </c>
      <c r="HJ383" s="29">
        <v>0</v>
      </c>
      <c r="HK383" s="29">
        <v>0</v>
      </c>
      <c r="HL383" s="29">
        <v>0</v>
      </c>
    </row>
    <row r="384" spans="2:220">
      <c r="B384" s="29" cm="1">
        <f t="array" ref="B384">10000000+INDEX(编号表!$B$1:$B$112,MATCH(D384,编号表!$A$1:$A$112,0))*10000+I384</f>
        <v>10610002</v>
      </c>
      <c r="C384" s="29" t="s">
        <v>454</v>
      </c>
      <c r="D384" s="29" t="s">
        <v>454</v>
      </c>
      <c r="E384" s="29" t="s">
        <v>445</v>
      </c>
      <c r="F384" s="29" t="s">
        <v>446</v>
      </c>
      <c r="G384" s="29">
        <v>1</v>
      </c>
      <c r="H384" s="29" t="b">
        <v>0</v>
      </c>
      <c r="I384" s="29">
        <v>2</v>
      </c>
      <c r="J384" s="29">
        <v>106100</v>
      </c>
      <c r="K384" s="29" t="s">
        <v>324</v>
      </c>
      <c r="L384" s="29">
        <v>10610001</v>
      </c>
      <c r="M384" s="29">
        <v>10610003</v>
      </c>
      <c r="N384" s="29" t="s">
        <v>455</v>
      </c>
      <c r="O384" s="29">
        <v>10902004</v>
      </c>
      <c r="P384" s="29">
        <v>0</v>
      </c>
      <c r="Q384" s="29">
        <v>0</v>
      </c>
      <c r="R384" s="29">
        <v>1</v>
      </c>
      <c r="T384" s="29">
        <v>100</v>
      </c>
      <c r="AY384" s="29" t="s">
        <v>425</v>
      </c>
      <c r="AZ384" s="29">
        <v>0</v>
      </c>
      <c r="GR384" s="29">
        <v>0</v>
      </c>
      <c r="GS384" s="29">
        <v>0</v>
      </c>
      <c r="GT384" s="29" t="s">
        <v>425</v>
      </c>
      <c r="GU384" s="29">
        <v>0</v>
      </c>
      <c r="GX384" s="29">
        <v>0</v>
      </c>
      <c r="GZ384" s="29">
        <v>0</v>
      </c>
      <c r="HA384" s="29">
        <v>0</v>
      </c>
      <c r="HB384" s="29">
        <v>0</v>
      </c>
      <c r="HC384" s="29">
        <v>0</v>
      </c>
      <c r="HD384" s="29">
        <v>0</v>
      </c>
      <c r="HE384" s="29" t="b">
        <v>0</v>
      </c>
      <c r="HG384" s="29">
        <v>0</v>
      </c>
      <c r="HI384" s="29" t="s">
        <v>334</v>
      </c>
      <c r="HJ384" s="29">
        <v>0</v>
      </c>
      <c r="HK384" s="29">
        <v>0</v>
      </c>
      <c r="HL384" s="29">
        <v>0</v>
      </c>
    </row>
    <row r="385" spans="2:220">
      <c r="B385" s="29" cm="1">
        <f t="array" ref="B385">10000000+INDEX(编号表!$B$1:$B$112,MATCH(D385,编号表!$A$1:$A$112,0))*10000+I385</f>
        <v>10610003</v>
      </c>
      <c r="C385" s="29" t="s">
        <v>454</v>
      </c>
      <c r="D385" s="29" t="s">
        <v>454</v>
      </c>
      <c r="E385" s="29" t="s">
        <v>445</v>
      </c>
      <c r="F385" s="29" t="s">
        <v>446</v>
      </c>
      <c r="G385" s="29">
        <v>1</v>
      </c>
      <c r="H385" s="29" t="b">
        <v>0</v>
      </c>
      <c r="I385" s="29">
        <v>3</v>
      </c>
      <c r="J385" s="29">
        <v>106100</v>
      </c>
      <c r="K385" s="29" t="s">
        <v>324</v>
      </c>
      <c r="L385" s="29">
        <v>10610002</v>
      </c>
      <c r="M385" s="29">
        <v>10610004</v>
      </c>
      <c r="N385" s="29" t="s">
        <v>455</v>
      </c>
      <c r="O385" s="29">
        <v>10902004</v>
      </c>
      <c r="P385" s="29">
        <v>0</v>
      </c>
      <c r="Q385" s="29">
        <v>0</v>
      </c>
      <c r="R385" s="29">
        <v>1</v>
      </c>
      <c r="T385" s="29">
        <v>100</v>
      </c>
      <c r="AY385" s="29" t="s">
        <v>425</v>
      </c>
      <c r="AZ385" s="29">
        <v>0</v>
      </c>
      <c r="GR385" s="29">
        <v>0</v>
      </c>
      <c r="GS385" s="29">
        <v>0</v>
      </c>
      <c r="GT385" s="29" t="s">
        <v>425</v>
      </c>
      <c r="GU385" s="29">
        <v>0</v>
      </c>
      <c r="GX385" s="29">
        <v>0</v>
      </c>
      <c r="GZ385" s="29">
        <v>0</v>
      </c>
      <c r="HA385" s="29">
        <v>0</v>
      </c>
      <c r="HB385" s="29">
        <v>0</v>
      </c>
      <c r="HC385" s="29">
        <v>0</v>
      </c>
      <c r="HD385" s="29">
        <v>0</v>
      </c>
      <c r="HE385" s="29" t="b">
        <v>0</v>
      </c>
      <c r="HG385" s="29">
        <v>0</v>
      </c>
      <c r="HI385" s="29" t="s">
        <v>334</v>
      </c>
      <c r="HJ385" s="29">
        <v>0</v>
      </c>
      <c r="HK385" s="29">
        <v>0</v>
      </c>
      <c r="HL385" s="29">
        <v>0</v>
      </c>
    </row>
    <row r="386" spans="2:220">
      <c r="B386" s="29" cm="1">
        <f t="array" ref="B386">10000000+INDEX(编号表!$B$1:$B$112,MATCH(D386,编号表!$A$1:$A$112,0))*10000+I386</f>
        <v>10610004</v>
      </c>
      <c r="C386" s="29" t="s">
        <v>454</v>
      </c>
      <c r="D386" s="29" t="s">
        <v>454</v>
      </c>
      <c r="E386" s="29" t="s">
        <v>445</v>
      </c>
      <c r="F386" s="29" t="s">
        <v>446</v>
      </c>
      <c r="G386" s="29">
        <v>1</v>
      </c>
      <c r="H386" s="29" t="b">
        <v>0</v>
      </c>
      <c r="I386" s="29">
        <v>4</v>
      </c>
      <c r="J386" s="29">
        <v>106100</v>
      </c>
      <c r="K386" s="29" t="s">
        <v>324</v>
      </c>
      <c r="L386" s="29">
        <v>10610003</v>
      </c>
      <c r="M386" s="29">
        <v>10610005</v>
      </c>
      <c r="N386" s="29" t="s">
        <v>455</v>
      </c>
      <c r="O386" s="29">
        <v>10902004</v>
      </c>
      <c r="P386" s="29">
        <v>0</v>
      </c>
      <c r="Q386" s="29">
        <v>0</v>
      </c>
      <c r="R386" s="29">
        <v>1</v>
      </c>
      <c r="T386" s="29">
        <v>100</v>
      </c>
      <c r="AY386" s="29" t="s">
        <v>425</v>
      </c>
      <c r="AZ386" s="29">
        <v>0</v>
      </c>
      <c r="GR386" s="29">
        <v>0</v>
      </c>
      <c r="GS386" s="29">
        <v>0</v>
      </c>
      <c r="GT386" s="29" t="s">
        <v>425</v>
      </c>
      <c r="GU386" s="29">
        <v>0</v>
      </c>
      <c r="GX386" s="29">
        <v>0</v>
      </c>
      <c r="GZ386" s="29">
        <v>0</v>
      </c>
      <c r="HA386" s="29">
        <v>0</v>
      </c>
      <c r="HB386" s="29">
        <v>0</v>
      </c>
      <c r="HC386" s="29">
        <v>0</v>
      </c>
      <c r="HD386" s="29">
        <v>0</v>
      </c>
      <c r="HE386" s="29" t="b">
        <v>0</v>
      </c>
      <c r="HG386" s="29">
        <v>0</v>
      </c>
      <c r="HI386" s="29" t="s">
        <v>334</v>
      </c>
      <c r="HJ386" s="29">
        <v>0</v>
      </c>
      <c r="HK386" s="29">
        <v>0</v>
      </c>
      <c r="HL386" s="29">
        <v>0</v>
      </c>
    </row>
    <row r="387" spans="2:220">
      <c r="B387" s="29" cm="1">
        <f t="array" ref="B387">10000000+INDEX(编号表!$B$1:$B$112,MATCH(D387,编号表!$A$1:$A$112,0))*10000+I387</f>
        <v>10610005</v>
      </c>
      <c r="C387" s="29" t="s">
        <v>454</v>
      </c>
      <c r="D387" s="29" t="s">
        <v>454</v>
      </c>
      <c r="E387" s="29" t="s">
        <v>445</v>
      </c>
      <c r="F387" s="29" t="s">
        <v>446</v>
      </c>
      <c r="G387" s="29">
        <v>1</v>
      </c>
      <c r="H387" s="29" t="b">
        <v>0</v>
      </c>
      <c r="I387" s="29">
        <v>5</v>
      </c>
      <c r="J387" s="29">
        <v>106100</v>
      </c>
      <c r="K387" s="29" t="s">
        <v>324</v>
      </c>
      <c r="L387" s="29">
        <v>10610004</v>
      </c>
      <c r="M387" s="29">
        <v>10610006</v>
      </c>
      <c r="N387" s="29" t="s">
        <v>455</v>
      </c>
      <c r="O387" s="29">
        <v>10902004</v>
      </c>
      <c r="P387" s="29">
        <v>0</v>
      </c>
      <c r="Q387" s="29">
        <v>0</v>
      </c>
      <c r="R387" s="29">
        <v>1</v>
      </c>
      <c r="T387" s="29">
        <v>100</v>
      </c>
      <c r="AY387" s="29" t="s">
        <v>425</v>
      </c>
      <c r="AZ387" s="29">
        <v>0</v>
      </c>
      <c r="GR387" s="29">
        <v>0</v>
      </c>
      <c r="GS387" s="29">
        <v>0</v>
      </c>
      <c r="GT387" s="29" t="s">
        <v>425</v>
      </c>
      <c r="GU387" s="29">
        <v>0</v>
      </c>
      <c r="GX387" s="29">
        <v>0</v>
      </c>
      <c r="GZ387" s="29">
        <v>0</v>
      </c>
      <c r="HA387" s="29">
        <v>0</v>
      </c>
      <c r="HB387" s="29">
        <v>0</v>
      </c>
      <c r="HC387" s="29">
        <v>0</v>
      </c>
      <c r="HD387" s="29">
        <v>0</v>
      </c>
      <c r="HE387" s="29" t="b">
        <v>0</v>
      </c>
      <c r="HG387" s="29">
        <v>0</v>
      </c>
      <c r="HI387" s="29" t="s">
        <v>334</v>
      </c>
      <c r="HJ387" s="29">
        <v>0</v>
      </c>
      <c r="HK387" s="29">
        <v>0</v>
      </c>
      <c r="HL387" s="29">
        <v>0</v>
      </c>
    </row>
    <row r="388" spans="2:220">
      <c r="B388" s="29" cm="1">
        <f t="array" ref="B388">10000000+INDEX(编号表!$B$1:$B$112,MATCH(D388,编号表!$A$1:$A$112,0))*10000+I388</f>
        <v>10610006</v>
      </c>
      <c r="C388" s="29" t="s">
        <v>454</v>
      </c>
      <c r="D388" s="29" t="s">
        <v>454</v>
      </c>
      <c r="E388" s="29" t="s">
        <v>445</v>
      </c>
      <c r="F388" s="29" t="s">
        <v>446</v>
      </c>
      <c r="G388" s="29">
        <v>1</v>
      </c>
      <c r="H388" s="29" t="b">
        <v>0</v>
      </c>
      <c r="I388" s="29">
        <v>6</v>
      </c>
      <c r="J388" s="29">
        <v>106100</v>
      </c>
      <c r="K388" s="29" t="s">
        <v>324</v>
      </c>
      <c r="L388" s="29">
        <v>10610005</v>
      </c>
      <c r="M388" s="29">
        <v>10610007</v>
      </c>
      <c r="N388" s="29" t="s">
        <v>455</v>
      </c>
      <c r="O388" s="29">
        <v>10902004</v>
      </c>
      <c r="P388" s="29">
        <v>0</v>
      </c>
      <c r="Q388" s="29">
        <v>0</v>
      </c>
      <c r="R388" s="29">
        <v>1</v>
      </c>
      <c r="T388" s="29">
        <v>100</v>
      </c>
      <c r="AY388" s="29" t="s">
        <v>425</v>
      </c>
      <c r="AZ388" s="29">
        <v>0</v>
      </c>
      <c r="GR388" s="29">
        <v>0</v>
      </c>
      <c r="GS388" s="29">
        <v>0</v>
      </c>
      <c r="GT388" s="29" t="s">
        <v>425</v>
      </c>
      <c r="GU388" s="29">
        <v>0</v>
      </c>
      <c r="GX388" s="29">
        <v>0</v>
      </c>
      <c r="GZ388" s="29">
        <v>0</v>
      </c>
      <c r="HA388" s="29">
        <v>0</v>
      </c>
      <c r="HB388" s="29">
        <v>0</v>
      </c>
      <c r="HC388" s="29">
        <v>0</v>
      </c>
      <c r="HD388" s="29">
        <v>0</v>
      </c>
      <c r="HE388" s="29" t="b">
        <v>0</v>
      </c>
      <c r="HG388" s="29">
        <v>0</v>
      </c>
      <c r="HI388" s="29" t="s">
        <v>334</v>
      </c>
      <c r="HJ388" s="29">
        <v>0</v>
      </c>
      <c r="HK388" s="29">
        <v>0</v>
      </c>
      <c r="HL388" s="29">
        <v>0</v>
      </c>
    </row>
    <row r="389" spans="2:220">
      <c r="B389" s="29" cm="1">
        <f t="array" ref="B389">10000000+INDEX(编号表!$B$1:$B$112,MATCH(D389,编号表!$A$1:$A$112,0))*10000+I389</f>
        <v>10610007</v>
      </c>
      <c r="C389" s="29" t="s">
        <v>454</v>
      </c>
      <c r="D389" s="29" t="s">
        <v>454</v>
      </c>
      <c r="E389" s="29" t="s">
        <v>445</v>
      </c>
      <c r="F389" s="29" t="s">
        <v>446</v>
      </c>
      <c r="G389" s="29">
        <v>1</v>
      </c>
      <c r="H389" s="29" t="b">
        <v>0</v>
      </c>
      <c r="I389" s="29">
        <v>7</v>
      </c>
      <c r="J389" s="29">
        <v>106100</v>
      </c>
      <c r="K389" s="29" t="s">
        <v>324</v>
      </c>
      <c r="L389" s="29">
        <v>10610006</v>
      </c>
      <c r="M389" s="29">
        <v>10610008</v>
      </c>
      <c r="N389" s="29" t="s">
        <v>455</v>
      </c>
      <c r="O389" s="29">
        <v>10902004</v>
      </c>
      <c r="P389" s="29">
        <v>0</v>
      </c>
      <c r="Q389" s="29">
        <v>0</v>
      </c>
      <c r="R389" s="29">
        <v>1</v>
      </c>
      <c r="T389" s="29">
        <v>100</v>
      </c>
      <c r="AY389" s="29" t="s">
        <v>425</v>
      </c>
      <c r="AZ389" s="29">
        <v>0</v>
      </c>
      <c r="GR389" s="29">
        <v>0</v>
      </c>
      <c r="GS389" s="29">
        <v>0</v>
      </c>
      <c r="GT389" s="29" t="s">
        <v>425</v>
      </c>
      <c r="GU389" s="29">
        <v>0</v>
      </c>
      <c r="GX389" s="29">
        <v>0</v>
      </c>
      <c r="GZ389" s="29">
        <v>0</v>
      </c>
      <c r="HA389" s="29">
        <v>0</v>
      </c>
      <c r="HB389" s="29">
        <v>0</v>
      </c>
      <c r="HC389" s="29">
        <v>0</v>
      </c>
      <c r="HD389" s="29">
        <v>0</v>
      </c>
      <c r="HE389" s="29" t="b">
        <v>0</v>
      </c>
      <c r="HG389" s="29">
        <v>0</v>
      </c>
      <c r="HI389" s="29" t="s">
        <v>334</v>
      </c>
      <c r="HJ389" s="29">
        <v>0</v>
      </c>
      <c r="HK389" s="29">
        <v>0</v>
      </c>
      <c r="HL389" s="29">
        <v>0</v>
      </c>
    </row>
    <row r="390" spans="2:220">
      <c r="B390" s="29" cm="1">
        <f t="array" ref="B390">10000000+INDEX(编号表!$B$1:$B$112,MATCH(D390,编号表!$A$1:$A$112,0))*10000+I390</f>
        <v>10610008</v>
      </c>
      <c r="C390" s="29" t="s">
        <v>454</v>
      </c>
      <c r="D390" s="29" t="s">
        <v>454</v>
      </c>
      <c r="E390" s="29" t="s">
        <v>445</v>
      </c>
      <c r="F390" s="29" t="s">
        <v>446</v>
      </c>
      <c r="G390" s="29">
        <v>1</v>
      </c>
      <c r="H390" s="29" t="b">
        <v>0</v>
      </c>
      <c r="I390" s="29">
        <v>8</v>
      </c>
      <c r="J390" s="29">
        <v>106100</v>
      </c>
      <c r="K390" s="29" t="s">
        <v>324</v>
      </c>
      <c r="L390" s="29">
        <v>10610007</v>
      </c>
      <c r="M390" s="29">
        <v>10610009</v>
      </c>
      <c r="N390" s="29" t="s">
        <v>455</v>
      </c>
      <c r="O390" s="29">
        <v>10902004</v>
      </c>
      <c r="P390" s="29">
        <v>0</v>
      </c>
      <c r="Q390" s="29">
        <v>0</v>
      </c>
      <c r="R390" s="29">
        <v>1</v>
      </c>
      <c r="T390" s="29">
        <v>100</v>
      </c>
      <c r="AY390" s="29" t="s">
        <v>425</v>
      </c>
      <c r="AZ390" s="29">
        <v>0</v>
      </c>
      <c r="GR390" s="29">
        <v>0</v>
      </c>
      <c r="GS390" s="29">
        <v>0</v>
      </c>
      <c r="GT390" s="29" t="s">
        <v>425</v>
      </c>
      <c r="GU390" s="29">
        <v>0</v>
      </c>
      <c r="GX390" s="29">
        <v>0</v>
      </c>
      <c r="GZ390" s="29">
        <v>0</v>
      </c>
      <c r="HA390" s="29">
        <v>0</v>
      </c>
      <c r="HB390" s="29">
        <v>0</v>
      </c>
      <c r="HC390" s="29">
        <v>0</v>
      </c>
      <c r="HD390" s="29">
        <v>0</v>
      </c>
      <c r="HE390" s="29" t="b">
        <v>0</v>
      </c>
      <c r="HG390" s="29">
        <v>0</v>
      </c>
      <c r="HI390" s="29" t="s">
        <v>334</v>
      </c>
      <c r="HJ390" s="29">
        <v>0</v>
      </c>
      <c r="HK390" s="29">
        <v>0</v>
      </c>
      <c r="HL390" s="29">
        <v>0</v>
      </c>
    </row>
    <row r="391" spans="2:220">
      <c r="B391" s="29" cm="1">
        <f t="array" ref="B391">10000000+INDEX(编号表!$B$1:$B$112,MATCH(D391,编号表!$A$1:$A$112,0))*10000+I391</f>
        <v>10610009</v>
      </c>
      <c r="C391" s="29" t="s">
        <v>454</v>
      </c>
      <c r="D391" s="29" t="s">
        <v>454</v>
      </c>
      <c r="E391" s="29" t="s">
        <v>445</v>
      </c>
      <c r="F391" s="29" t="s">
        <v>446</v>
      </c>
      <c r="G391" s="29">
        <v>1</v>
      </c>
      <c r="H391" s="29" t="b">
        <v>0</v>
      </c>
      <c r="I391" s="29">
        <v>9</v>
      </c>
      <c r="J391" s="29">
        <v>106100</v>
      </c>
      <c r="K391" s="29" t="s">
        <v>324</v>
      </c>
      <c r="L391" s="29">
        <v>10610008</v>
      </c>
      <c r="M391" s="29">
        <v>10610010</v>
      </c>
      <c r="N391" s="29" t="s">
        <v>455</v>
      </c>
      <c r="O391" s="29">
        <v>10902004</v>
      </c>
      <c r="P391" s="29">
        <v>0</v>
      </c>
      <c r="Q391" s="29">
        <v>0</v>
      </c>
      <c r="R391" s="29">
        <v>1</v>
      </c>
      <c r="T391" s="29">
        <v>100</v>
      </c>
      <c r="AY391" s="29" t="s">
        <v>425</v>
      </c>
      <c r="AZ391" s="29">
        <v>0</v>
      </c>
      <c r="GR391" s="29">
        <v>0</v>
      </c>
      <c r="GS391" s="29">
        <v>0</v>
      </c>
      <c r="GT391" s="29" t="s">
        <v>425</v>
      </c>
      <c r="GU391" s="29">
        <v>0</v>
      </c>
      <c r="GX391" s="29">
        <v>0</v>
      </c>
      <c r="GZ391" s="29">
        <v>0</v>
      </c>
      <c r="HA391" s="29">
        <v>0</v>
      </c>
      <c r="HB391" s="29">
        <v>0</v>
      </c>
      <c r="HC391" s="29">
        <v>0</v>
      </c>
      <c r="HD391" s="29">
        <v>0</v>
      </c>
      <c r="HE391" s="29" t="b">
        <v>0</v>
      </c>
      <c r="HG391" s="29">
        <v>0</v>
      </c>
      <c r="HI391" s="29" t="s">
        <v>334</v>
      </c>
      <c r="HJ391" s="29">
        <v>0</v>
      </c>
      <c r="HK391" s="29">
        <v>0</v>
      </c>
      <c r="HL391" s="29">
        <v>0</v>
      </c>
    </row>
    <row r="392" spans="2:220">
      <c r="B392" s="29" cm="1">
        <f t="array" ref="B392">10000000+INDEX(编号表!$B$1:$B$112,MATCH(D392,编号表!$A$1:$A$112,0))*10000+I392</f>
        <v>10610010</v>
      </c>
      <c r="C392" s="29" t="s">
        <v>454</v>
      </c>
      <c r="D392" s="29" t="s">
        <v>454</v>
      </c>
      <c r="E392" s="29" t="s">
        <v>445</v>
      </c>
      <c r="F392" s="29" t="s">
        <v>446</v>
      </c>
      <c r="G392" s="29">
        <v>1</v>
      </c>
      <c r="H392" s="29" t="b">
        <v>0</v>
      </c>
      <c r="I392" s="29">
        <v>10</v>
      </c>
      <c r="J392" s="29">
        <v>106100</v>
      </c>
      <c r="K392" s="29" t="s">
        <v>324</v>
      </c>
      <c r="L392" s="29">
        <v>10610009</v>
      </c>
      <c r="N392" s="29" t="s">
        <v>455</v>
      </c>
      <c r="O392" s="29">
        <v>10902004</v>
      </c>
      <c r="P392" s="29">
        <v>0</v>
      </c>
      <c r="Q392" s="29">
        <v>0</v>
      </c>
      <c r="R392" s="29">
        <v>1</v>
      </c>
      <c r="T392" s="29">
        <v>100</v>
      </c>
      <c r="AY392" s="29" t="s">
        <v>425</v>
      </c>
      <c r="AZ392" s="29">
        <v>0</v>
      </c>
      <c r="GR392" s="29">
        <v>0</v>
      </c>
      <c r="GS392" s="29">
        <v>0</v>
      </c>
      <c r="GT392" s="29" t="s">
        <v>425</v>
      </c>
      <c r="GU392" s="29">
        <v>0</v>
      </c>
      <c r="GX392" s="29">
        <v>0</v>
      </c>
      <c r="GZ392" s="29">
        <v>0</v>
      </c>
      <c r="HA392" s="29">
        <v>0</v>
      </c>
      <c r="HB392" s="29">
        <v>0</v>
      </c>
      <c r="HC392" s="29">
        <v>0</v>
      </c>
      <c r="HD392" s="29">
        <v>0</v>
      </c>
      <c r="HE392" s="29" t="b">
        <v>0</v>
      </c>
      <c r="HG392" s="29">
        <v>0</v>
      </c>
      <c r="HI392" s="29" t="s">
        <v>334</v>
      </c>
      <c r="HJ392" s="29">
        <v>0</v>
      </c>
      <c r="HK392" s="29">
        <v>0</v>
      </c>
      <c r="HL392" s="29">
        <v>0</v>
      </c>
    </row>
    <row r="393" spans="2:220">
      <c r="B393" s="29" cm="1">
        <f t="array" ref="B393">10000000+INDEX(编号表!$B$1:$B$112,MATCH(D393,编号表!$A$1:$A$112,0))*10000+I393</f>
        <v>10620001</v>
      </c>
      <c r="C393" s="29" t="s">
        <v>456</v>
      </c>
      <c r="D393" s="29" t="s">
        <v>456</v>
      </c>
      <c r="E393" s="29" t="s">
        <v>445</v>
      </c>
      <c r="F393" s="29" t="s">
        <v>446</v>
      </c>
      <c r="G393" s="29">
        <v>1</v>
      </c>
      <c r="H393" s="29" t="b">
        <v>0</v>
      </c>
      <c r="I393" s="29">
        <v>1</v>
      </c>
      <c r="J393" s="29">
        <v>106200</v>
      </c>
      <c r="K393" s="29" t="s">
        <v>324</v>
      </c>
      <c r="M393" s="29">
        <v>10620002</v>
      </c>
      <c r="N393" s="29" t="s">
        <v>457</v>
      </c>
      <c r="O393" s="29">
        <v>10902005</v>
      </c>
      <c r="P393" s="29">
        <v>0</v>
      </c>
      <c r="Q393" s="29">
        <v>0</v>
      </c>
      <c r="R393" s="29">
        <v>1</v>
      </c>
      <c r="T393" s="29">
        <v>100</v>
      </c>
      <c r="AY393" s="29" t="s">
        <v>425</v>
      </c>
      <c r="AZ393" s="29">
        <v>0</v>
      </c>
      <c r="GR393" s="29">
        <v>0</v>
      </c>
      <c r="GS393" s="29">
        <v>0</v>
      </c>
      <c r="GT393" s="29" t="s">
        <v>425</v>
      </c>
      <c r="GU393" s="29">
        <v>0</v>
      </c>
      <c r="GX393" s="29">
        <v>0</v>
      </c>
      <c r="GZ393" s="29">
        <v>0</v>
      </c>
      <c r="HA393" s="29">
        <v>0</v>
      </c>
      <c r="HB393" s="29">
        <v>0</v>
      </c>
      <c r="HC393" s="29">
        <v>0</v>
      </c>
      <c r="HD393" s="29">
        <v>0</v>
      </c>
      <c r="HE393" s="29" t="b">
        <v>0</v>
      </c>
      <c r="HG393" s="29">
        <v>0</v>
      </c>
      <c r="HI393" s="29" t="s">
        <v>334</v>
      </c>
      <c r="HJ393" s="29">
        <v>0</v>
      </c>
      <c r="HK393" s="29">
        <v>0</v>
      </c>
      <c r="HL393" s="29">
        <v>0</v>
      </c>
    </row>
    <row r="394" spans="2:220">
      <c r="B394" s="29" cm="1">
        <f t="array" ref="B394">10000000+INDEX(编号表!$B$1:$B$112,MATCH(D394,编号表!$A$1:$A$112,0))*10000+I394</f>
        <v>10620002</v>
      </c>
      <c r="C394" s="29" t="s">
        <v>456</v>
      </c>
      <c r="D394" s="29" t="s">
        <v>456</v>
      </c>
      <c r="E394" s="29" t="s">
        <v>445</v>
      </c>
      <c r="F394" s="29" t="s">
        <v>446</v>
      </c>
      <c r="G394" s="29">
        <v>1</v>
      </c>
      <c r="H394" s="29" t="b">
        <v>0</v>
      </c>
      <c r="I394" s="29">
        <v>2</v>
      </c>
      <c r="J394" s="29">
        <v>106200</v>
      </c>
      <c r="K394" s="29" t="s">
        <v>324</v>
      </c>
      <c r="L394" s="29">
        <v>10620001</v>
      </c>
      <c r="M394" s="29">
        <v>10620003</v>
      </c>
      <c r="N394" s="29" t="s">
        <v>457</v>
      </c>
      <c r="O394" s="29">
        <v>10902005</v>
      </c>
      <c r="P394" s="29">
        <v>0</v>
      </c>
      <c r="Q394" s="29">
        <v>0</v>
      </c>
      <c r="R394" s="29">
        <v>1</v>
      </c>
      <c r="T394" s="29">
        <v>100</v>
      </c>
      <c r="AY394" s="29" t="s">
        <v>425</v>
      </c>
      <c r="AZ394" s="29">
        <v>0</v>
      </c>
      <c r="GR394" s="29">
        <v>0</v>
      </c>
      <c r="GS394" s="29">
        <v>0</v>
      </c>
      <c r="GT394" s="29" t="s">
        <v>425</v>
      </c>
      <c r="GU394" s="29">
        <v>0</v>
      </c>
      <c r="GX394" s="29">
        <v>0</v>
      </c>
      <c r="GZ394" s="29">
        <v>0</v>
      </c>
      <c r="HA394" s="29">
        <v>0</v>
      </c>
      <c r="HB394" s="29">
        <v>0</v>
      </c>
      <c r="HC394" s="29">
        <v>0</v>
      </c>
      <c r="HD394" s="29">
        <v>0</v>
      </c>
      <c r="HE394" s="29" t="b">
        <v>0</v>
      </c>
      <c r="HG394" s="29">
        <v>0</v>
      </c>
      <c r="HI394" s="29" t="s">
        <v>334</v>
      </c>
      <c r="HJ394" s="29">
        <v>0</v>
      </c>
      <c r="HK394" s="29">
        <v>0</v>
      </c>
      <c r="HL394" s="29">
        <v>0</v>
      </c>
    </row>
    <row r="395" spans="2:220">
      <c r="B395" s="29" cm="1">
        <f t="array" ref="B395">10000000+INDEX(编号表!$B$1:$B$112,MATCH(D395,编号表!$A$1:$A$112,0))*10000+I395</f>
        <v>10620003</v>
      </c>
      <c r="C395" s="29" t="s">
        <v>456</v>
      </c>
      <c r="D395" s="29" t="s">
        <v>456</v>
      </c>
      <c r="E395" s="29" t="s">
        <v>445</v>
      </c>
      <c r="F395" s="29" t="s">
        <v>446</v>
      </c>
      <c r="G395" s="29">
        <v>1</v>
      </c>
      <c r="H395" s="29" t="b">
        <v>0</v>
      </c>
      <c r="I395" s="29">
        <v>3</v>
      </c>
      <c r="J395" s="29">
        <v>106200</v>
      </c>
      <c r="K395" s="29" t="s">
        <v>324</v>
      </c>
      <c r="L395" s="29">
        <v>10620002</v>
      </c>
      <c r="M395" s="29">
        <v>10620004</v>
      </c>
      <c r="N395" s="29" t="s">
        <v>457</v>
      </c>
      <c r="O395" s="29">
        <v>10902005</v>
      </c>
      <c r="P395" s="29">
        <v>0</v>
      </c>
      <c r="Q395" s="29">
        <v>0</v>
      </c>
      <c r="R395" s="29">
        <v>1</v>
      </c>
      <c r="T395" s="29">
        <v>100</v>
      </c>
      <c r="AY395" s="29" t="s">
        <v>425</v>
      </c>
      <c r="AZ395" s="29">
        <v>0</v>
      </c>
      <c r="GR395" s="29">
        <v>0</v>
      </c>
      <c r="GS395" s="29">
        <v>0</v>
      </c>
      <c r="GT395" s="29" t="s">
        <v>425</v>
      </c>
      <c r="GU395" s="29">
        <v>0</v>
      </c>
      <c r="GX395" s="29">
        <v>0</v>
      </c>
      <c r="GZ395" s="29">
        <v>0</v>
      </c>
      <c r="HA395" s="29">
        <v>0</v>
      </c>
      <c r="HB395" s="29">
        <v>0</v>
      </c>
      <c r="HC395" s="29">
        <v>0</v>
      </c>
      <c r="HD395" s="29">
        <v>0</v>
      </c>
      <c r="HE395" s="29" t="b">
        <v>0</v>
      </c>
      <c r="HG395" s="29">
        <v>0</v>
      </c>
      <c r="HI395" s="29" t="s">
        <v>334</v>
      </c>
      <c r="HJ395" s="29">
        <v>0</v>
      </c>
      <c r="HK395" s="29">
        <v>0</v>
      </c>
      <c r="HL395" s="29">
        <v>0</v>
      </c>
    </row>
    <row r="396" spans="2:220">
      <c r="B396" s="29" cm="1">
        <f t="array" ref="B396">10000000+INDEX(编号表!$B$1:$B$112,MATCH(D396,编号表!$A$1:$A$112,0))*10000+I396</f>
        <v>10620004</v>
      </c>
      <c r="C396" s="29" t="s">
        <v>456</v>
      </c>
      <c r="D396" s="29" t="s">
        <v>456</v>
      </c>
      <c r="E396" s="29" t="s">
        <v>445</v>
      </c>
      <c r="F396" s="29" t="s">
        <v>446</v>
      </c>
      <c r="G396" s="29">
        <v>1</v>
      </c>
      <c r="H396" s="29" t="b">
        <v>0</v>
      </c>
      <c r="I396" s="29">
        <v>4</v>
      </c>
      <c r="J396" s="29">
        <v>106200</v>
      </c>
      <c r="K396" s="29" t="s">
        <v>324</v>
      </c>
      <c r="L396" s="29">
        <v>10620003</v>
      </c>
      <c r="M396" s="29">
        <v>10620005</v>
      </c>
      <c r="N396" s="29" t="s">
        <v>457</v>
      </c>
      <c r="O396" s="29">
        <v>10902005</v>
      </c>
      <c r="P396" s="29">
        <v>0</v>
      </c>
      <c r="Q396" s="29">
        <v>0</v>
      </c>
      <c r="R396" s="29">
        <v>1</v>
      </c>
      <c r="T396" s="29">
        <v>100</v>
      </c>
      <c r="AY396" s="29" t="s">
        <v>425</v>
      </c>
      <c r="AZ396" s="29">
        <v>0</v>
      </c>
      <c r="GR396" s="29">
        <v>0</v>
      </c>
      <c r="GS396" s="29">
        <v>0</v>
      </c>
      <c r="GT396" s="29" t="s">
        <v>425</v>
      </c>
      <c r="GU396" s="29">
        <v>0</v>
      </c>
      <c r="GX396" s="29">
        <v>0</v>
      </c>
      <c r="GZ396" s="29">
        <v>0</v>
      </c>
      <c r="HA396" s="29">
        <v>0</v>
      </c>
      <c r="HB396" s="29">
        <v>0</v>
      </c>
      <c r="HC396" s="29">
        <v>0</v>
      </c>
      <c r="HD396" s="29">
        <v>0</v>
      </c>
      <c r="HE396" s="29" t="b">
        <v>0</v>
      </c>
      <c r="HG396" s="29">
        <v>0</v>
      </c>
      <c r="HI396" s="29" t="s">
        <v>334</v>
      </c>
      <c r="HJ396" s="29">
        <v>0</v>
      </c>
      <c r="HK396" s="29">
        <v>0</v>
      </c>
      <c r="HL396" s="29">
        <v>0</v>
      </c>
    </row>
    <row r="397" spans="2:220">
      <c r="B397" s="29" cm="1">
        <f t="array" ref="B397">10000000+INDEX(编号表!$B$1:$B$112,MATCH(D397,编号表!$A$1:$A$112,0))*10000+I397</f>
        <v>10620005</v>
      </c>
      <c r="C397" s="29" t="s">
        <v>456</v>
      </c>
      <c r="D397" s="29" t="s">
        <v>456</v>
      </c>
      <c r="E397" s="29" t="s">
        <v>445</v>
      </c>
      <c r="F397" s="29" t="s">
        <v>446</v>
      </c>
      <c r="G397" s="29">
        <v>1</v>
      </c>
      <c r="H397" s="29" t="b">
        <v>0</v>
      </c>
      <c r="I397" s="29">
        <v>5</v>
      </c>
      <c r="J397" s="29">
        <v>106200</v>
      </c>
      <c r="K397" s="29" t="s">
        <v>324</v>
      </c>
      <c r="L397" s="29">
        <v>10620004</v>
      </c>
      <c r="M397" s="29">
        <v>10620006</v>
      </c>
      <c r="N397" s="29" t="s">
        <v>457</v>
      </c>
      <c r="O397" s="29">
        <v>10902005</v>
      </c>
      <c r="P397" s="29">
        <v>0</v>
      </c>
      <c r="Q397" s="29">
        <v>0</v>
      </c>
      <c r="R397" s="29">
        <v>1</v>
      </c>
      <c r="T397" s="29">
        <v>100</v>
      </c>
      <c r="AY397" s="29" t="s">
        <v>425</v>
      </c>
      <c r="AZ397" s="29">
        <v>0</v>
      </c>
      <c r="GR397" s="29">
        <v>0</v>
      </c>
      <c r="GS397" s="29">
        <v>0</v>
      </c>
      <c r="GT397" s="29" t="s">
        <v>425</v>
      </c>
      <c r="GU397" s="29">
        <v>0</v>
      </c>
      <c r="GX397" s="29">
        <v>0</v>
      </c>
      <c r="GZ397" s="29">
        <v>0</v>
      </c>
      <c r="HA397" s="29">
        <v>0</v>
      </c>
      <c r="HB397" s="29">
        <v>0</v>
      </c>
      <c r="HC397" s="29">
        <v>0</v>
      </c>
      <c r="HD397" s="29">
        <v>0</v>
      </c>
      <c r="HE397" s="29" t="b">
        <v>0</v>
      </c>
      <c r="HG397" s="29">
        <v>0</v>
      </c>
      <c r="HI397" s="29" t="s">
        <v>334</v>
      </c>
      <c r="HJ397" s="29">
        <v>0</v>
      </c>
      <c r="HK397" s="29">
        <v>0</v>
      </c>
      <c r="HL397" s="29">
        <v>0</v>
      </c>
    </row>
    <row r="398" spans="2:220">
      <c r="B398" s="29" cm="1">
        <f t="array" ref="B398">10000000+INDEX(编号表!$B$1:$B$112,MATCH(D398,编号表!$A$1:$A$112,0))*10000+I398</f>
        <v>10620006</v>
      </c>
      <c r="C398" s="29" t="s">
        <v>456</v>
      </c>
      <c r="D398" s="29" t="s">
        <v>456</v>
      </c>
      <c r="E398" s="29" t="s">
        <v>445</v>
      </c>
      <c r="F398" s="29" t="s">
        <v>446</v>
      </c>
      <c r="G398" s="29">
        <v>1</v>
      </c>
      <c r="H398" s="29" t="b">
        <v>0</v>
      </c>
      <c r="I398" s="29">
        <v>6</v>
      </c>
      <c r="J398" s="29">
        <v>106200</v>
      </c>
      <c r="K398" s="29" t="s">
        <v>324</v>
      </c>
      <c r="L398" s="29">
        <v>10620005</v>
      </c>
      <c r="M398" s="29">
        <v>10620007</v>
      </c>
      <c r="N398" s="29" t="s">
        <v>457</v>
      </c>
      <c r="O398" s="29">
        <v>10902005</v>
      </c>
      <c r="P398" s="29">
        <v>0</v>
      </c>
      <c r="Q398" s="29">
        <v>0</v>
      </c>
      <c r="R398" s="29">
        <v>1</v>
      </c>
      <c r="T398" s="29">
        <v>100</v>
      </c>
      <c r="AY398" s="29" t="s">
        <v>425</v>
      </c>
      <c r="AZ398" s="29">
        <v>0</v>
      </c>
      <c r="GR398" s="29">
        <v>0</v>
      </c>
      <c r="GS398" s="29">
        <v>0</v>
      </c>
      <c r="GT398" s="29" t="s">
        <v>425</v>
      </c>
      <c r="GU398" s="29">
        <v>0</v>
      </c>
      <c r="GX398" s="29">
        <v>0</v>
      </c>
      <c r="GZ398" s="29">
        <v>0</v>
      </c>
      <c r="HA398" s="29">
        <v>0</v>
      </c>
      <c r="HB398" s="29">
        <v>0</v>
      </c>
      <c r="HC398" s="29">
        <v>0</v>
      </c>
      <c r="HD398" s="29">
        <v>0</v>
      </c>
      <c r="HE398" s="29" t="b">
        <v>0</v>
      </c>
      <c r="HG398" s="29">
        <v>0</v>
      </c>
      <c r="HI398" s="29" t="s">
        <v>334</v>
      </c>
      <c r="HJ398" s="29">
        <v>0</v>
      </c>
      <c r="HK398" s="29">
        <v>0</v>
      </c>
      <c r="HL398" s="29">
        <v>0</v>
      </c>
    </row>
    <row r="399" spans="2:220">
      <c r="B399" s="29" cm="1">
        <f t="array" ref="B399">10000000+INDEX(编号表!$B$1:$B$112,MATCH(D399,编号表!$A$1:$A$112,0))*10000+I399</f>
        <v>10620007</v>
      </c>
      <c r="C399" s="29" t="s">
        <v>456</v>
      </c>
      <c r="D399" s="29" t="s">
        <v>456</v>
      </c>
      <c r="E399" s="29" t="s">
        <v>445</v>
      </c>
      <c r="F399" s="29" t="s">
        <v>446</v>
      </c>
      <c r="G399" s="29">
        <v>1</v>
      </c>
      <c r="H399" s="29" t="b">
        <v>0</v>
      </c>
      <c r="I399" s="29">
        <v>7</v>
      </c>
      <c r="J399" s="29">
        <v>106200</v>
      </c>
      <c r="K399" s="29" t="s">
        <v>324</v>
      </c>
      <c r="L399" s="29">
        <v>10620006</v>
      </c>
      <c r="M399" s="29">
        <v>10620008</v>
      </c>
      <c r="N399" s="29" t="s">
        <v>457</v>
      </c>
      <c r="O399" s="29">
        <v>10902005</v>
      </c>
      <c r="P399" s="29">
        <v>0</v>
      </c>
      <c r="Q399" s="29">
        <v>0</v>
      </c>
      <c r="R399" s="29">
        <v>1</v>
      </c>
      <c r="T399" s="29">
        <v>100</v>
      </c>
      <c r="AY399" s="29" t="s">
        <v>425</v>
      </c>
      <c r="AZ399" s="29">
        <v>0</v>
      </c>
      <c r="GR399" s="29">
        <v>0</v>
      </c>
      <c r="GS399" s="29">
        <v>0</v>
      </c>
      <c r="GT399" s="29" t="s">
        <v>425</v>
      </c>
      <c r="GU399" s="29">
        <v>0</v>
      </c>
      <c r="GX399" s="29">
        <v>0</v>
      </c>
      <c r="GZ399" s="29">
        <v>0</v>
      </c>
      <c r="HA399" s="29">
        <v>0</v>
      </c>
      <c r="HB399" s="29">
        <v>0</v>
      </c>
      <c r="HC399" s="29">
        <v>0</v>
      </c>
      <c r="HD399" s="29">
        <v>0</v>
      </c>
      <c r="HE399" s="29" t="b">
        <v>0</v>
      </c>
      <c r="HG399" s="29">
        <v>0</v>
      </c>
      <c r="HI399" s="29" t="s">
        <v>334</v>
      </c>
      <c r="HJ399" s="29">
        <v>0</v>
      </c>
      <c r="HK399" s="29">
        <v>0</v>
      </c>
      <c r="HL399" s="29">
        <v>0</v>
      </c>
    </row>
    <row r="400" spans="2:220">
      <c r="B400" s="29" cm="1">
        <f t="array" ref="B400">10000000+INDEX(编号表!$B$1:$B$112,MATCH(D400,编号表!$A$1:$A$112,0))*10000+I400</f>
        <v>10620008</v>
      </c>
      <c r="C400" s="29" t="s">
        <v>456</v>
      </c>
      <c r="D400" s="29" t="s">
        <v>456</v>
      </c>
      <c r="E400" s="29" t="s">
        <v>445</v>
      </c>
      <c r="F400" s="29" t="s">
        <v>446</v>
      </c>
      <c r="G400" s="29">
        <v>1</v>
      </c>
      <c r="H400" s="29" t="b">
        <v>0</v>
      </c>
      <c r="I400" s="29">
        <v>8</v>
      </c>
      <c r="J400" s="29">
        <v>106200</v>
      </c>
      <c r="K400" s="29" t="s">
        <v>324</v>
      </c>
      <c r="L400" s="29">
        <v>10620007</v>
      </c>
      <c r="M400" s="29">
        <v>10620009</v>
      </c>
      <c r="N400" s="29" t="s">
        <v>457</v>
      </c>
      <c r="O400" s="29">
        <v>10902005</v>
      </c>
      <c r="P400" s="29">
        <v>0</v>
      </c>
      <c r="Q400" s="29">
        <v>0</v>
      </c>
      <c r="R400" s="29">
        <v>1</v>
      </c>
      <c r="T400" s="29">
        <v>100</v>
      </c>
      <c r="AY400" s="29" t="s">
        <v>425</v>
      </c>
      <c r="AZ400" s="29">
        <v>0</v>
      </c>
      <c r="GR400" s="29">
        <v>0</v>
      </c>
      <c r="GS400" s="29">
        <v>0</v>
      </c>
      <c r="GT400" s="29" t="s">
        <v>425</v>
      </c>
      <c r="GU400" s="29">
        <v>0</v>
      </c>
      <c r="GX400" s="29">
        <v>0</v>
      </c>
      <c r="GZ400" s="29">
        <v>0</v>
      </c>
      <c r="HA400" s="29">
        <v>0</v>
      </c>
      <c r="HB400" s="29">
        <v>0</v>
      </c>
      <c r="HC400" s="29">
        <v>0</v>
      </c>
      <c r="HD400" s="29">
        <v>0</v>
      </c>
      <c r="HE400" s="29" t="b">
        <v>0</v>
      </c>
      <c r="HG400" s="29">
        <v>0</v>
      </c>
      <c r="HI400" s="29" t="s">
        <v>334</v>
      </c>
      <c r="HJ400" s="29">
        <v>0</v>
      </c>
      <c r="HK400" s="29">
        <v>0</v>
      </c>
      <c r="HL400" s="29">
        <v>0</v>
      </c>
    </row>
    <row r="401" spans="2:220">
      <c r="B401" s="29" cm="1">
        <f t="array" ref="B401">10000000+INDEX(编号表!$B$1:$B$112,MATCH(D401,编号表!$A$1:$A$112,0))*10000+I401</f>
        <v>10620009</v>
      </c>
      <c r="C401" s="29" t="s">
        <v>456</v>
      </c>
      <c r="D401" s="29" t="s">
        <v>456</v>
      </c>
      <c r="E401" s="29" t="s">
        <v>445</v>
      </c>
      <c r="F401" s="29" t="s">
        <v>446</v>
      </c>
      <c r="G401" s="29">
        <v>1</v>
      </c>
      <c r="H401" s="29" t="b">
        <v>0</v>
      </c>
      <c r="I401" s="29">
        <v>9</v>
      </c>
      <c r="J401" s="29">
        <v>106200</v>
      </c>
      <c r="K401" s="29" t="s">
        <v>324</v>
      </c>
      <c r="L401" s="29">
        <v>10620008</v>
      </c>
      <c r="M401" s="29">
        <v>10620010</v>
      </c>
      <c r="N401" s="29" t="s">
        <v>457</v>
      </c>
      <c r="O401" s="29">
        <v>10902005</v>
      </c>
      <c r="P401" s="29">
        <v>0</v>
      </c>
      <c r="Q401" s="29">
        <v>0</v>
      </c>
      <c r="R401" s="29">
        <v>1</v>
      </c>
      <c r="T401" s="29">
        <v>100</v>
      </c>
      <c r="AY401" s="29" t="s">
        <v>425</v>
      </c>
      <c r="AZ401" s="29">
        <v>0</v>
      </c>
      <c r="GR401" s="29">
        <v>0</v>
      </c>
      <c r="GS401" s="29">
        <v>0</v>
      </c>
      <c r="GT401" s="29" t="s">
        <v>425</v>
      </c>
      <c r="GU401" s="29">
        <v>0</v>
      </c>
      <c r="GX401" s="29">
        <v>0</v>
      </c>
      <c r="GZ401" s="29">
        <v>0</v>
      </c>
      <c r="HA401" s="29">
        <v>0</v>
      </c>
      <c r="HB401" s="29">
        <v>0</v>
      </c>
      <c r="HC401" s="29">
        <v>0</v>
      </c>
      <c r="HD401" s="29">
        <v>0</v>
      </c>
      <c r="HE401" s="29" t="b">
        <v>0</v>
      </c>
      <c r="HG401" s="29">
        <v>0</v>
      </c>
      <c r="HI401" s="29" t="s">
        <v>334</v>
      </c>
      <c r="HJ401" s="29">
        <v>0</v>
      </c>
      <c r="HK401" s="29">
        <v>0</v>
      </c>
      <c r="HL401" s="29">
        <v>0</v>
      </c>
    </row>
    <row r="402" spans="2:220">
      <c r="B402" s="29" cm="1">
        <f t="array" ref="B402">10000000+INDEX(编号表!$B$1:$B$112,MATCH(D402,编号表!$A$1:$A$112,0))*10000+I402</f>
        <v>10620010</v>
      </c>
      <c r="C402" s="29" t="s">
        <v>456</v>
      </c>
      <c r="D402" s="29" t="s">
        <v>456</v>
      </c>
      <c r="E402" s="29" t="s">
        <v>445</v>
      </c>
      <c r="F402" s="29" t="s">
        <v>446</v>
      </c>
      <c r="G402" s="29">
        <v>1</v>
      </c>
      <c r="H402" s="29" t="b">
        <v>0</v>
      </c>
      <c r="I402" s="29">
        <v>10</v>
      </c>
      <c r="J402" s="29">
        <v>106200</v>
      </c>
      <c r="K402" s="29" t="s">
        <v>324</v>
      </c>
      <c r="L402" s="29">
        <v>10620009</v>
      </c>
      <c r="N402" s="29" t="s">
        <v>457</v>
      </c>
      <c r="O402" s="29">
        <v>10902005</v>
      </c>
      <c r="P402" s="29">
        <v>0</v>
      </c>
      <c r="Q402" s="29">
        <v>0</v>
      </c>
      <c r="R402" s="29">
        <v>1</v>
      </c>
      <c r="T402" s="29">
        <v>100</v>
      </c>
      <c r="AY402" s="29" t="s">
        <v>425</v>
      </c>
      <c r="AZ402" s="29">
        <v>0</v>
      </c>
      <c r="GR402" s="29">
        <v>0</v>
      </c>
      <c r="GS402" s="29">
        <v>0</v>
      </c>
      <c r="GT402" s="29" t="s">
        <v>425</v>
      </c>
      <c r="GU402" s="29">
        <v>0</v>
      </c>
      <c r="GX402" s="29">
        <v>0</v>
      </c>
      <c r="GZ402" s="29">
        <v>0</v>
      </c>
      <c r="HA402" s="29">
        <v>0</v>
      </c>
      <c r="HB402" s="29">
        <v>0</v>
      </c>
      <c r="HC402" s="29">
        <v>0</v>
      </c>
      <c r="HD402" s="29">
        <v>0</v>
      </c>
      <c r="HE402" s="29" t="b">
        <v>0</v>
      </c>
      <c r="HG402" s="29">
        <v>0</v>
      </c>
      <c r="HI402" s="29" t="s">
        <v>334</v>
      </c>
      <c r="HJ402" s="29">
        <v>0</v>
      </c>
      <c r="HK402" s="29">
        <v>0</v>
      </c>
      <c r="HL402" s="29">
        <v>0</v>
      </c>
    </row>
    <row r="403" spans="2:220">
      <c r="B403" s="29" cm="1">
        <f t="array" ref="B403">10000000+INDEX(编号表!$B$1:$B$112,MATCH(D403,编号表!$A$1:$A$112,0))*10000+I403</f>
        <v>10630001</v>
      </c>
      <c r="C403" s="29" t="s">
        <v>458</v>
      </c>
      <c r="D403" s="29" t="s">
        <v>458</v>
      </c>
      <c r="E403" s="29" t="s">
        <v>445</v>
      </c>
      <c r="F403" s="29" t="s">
        <v>446</v>
      </c>
      <c r="G403" s="29">
        <v>1</v>
      </c>
      <c r="H403" s="29" t="b">
        <v>0</v>
      </c>
      <c r="I403" s="29">
        <v>1</v>
      </c>
      <c r="J403" s="29">
        <v>106300</v>
      </c>
      <c r="K403" s="29" t="s">
        <v>324</v>
      </c>
      <c r="M403" s="29">
        <v>10630002</v>
      </c>
      <c r="N403" s="29" t="s">
        <v>459</v>
      </c>
      <c r="O403" s="29">
        <v>10902006</v>
      </c>
      <c r="P403" s="29">
        <v>0</v>
      </c>
      <c r="Q403" s="29">
        <v>0</v>
      </c>
      <c r="R403" s="29">
        <v>1</v>
      </c>
      <c r="T403" s="29">
        <v>100</v>
      </c>
      <c r="AY403" s="29" t="s">
        <v>425</v>
      </c>
      <c r="AZ403" s="29">
        <v>0</v>
      </c>
      <c r="GR403" s="29">
        <v>0</v>
      </c>
      <c r="GS403" s="29">
        <v>0</v>
      </c>
      <c r="GT403" s="29" t="s">
        <v>425</v>
      </c>
      <c r="GU403" s="29">
        <v>0</v>
      </c>
      <c r="GX403" s="29">
        <v>0</v>
      </c>
      <c r="GZ403" s="29">
        <v>0</v>
      </c>
      <c r="HA403" s="29">
        <v>0</v>
      </c>
      <c r="HB403" s="29">
        <v>0</v>
      </c>
      <c r="HC403" s="29">
        <v>0</v>
      </c>
      <c r="HD403" s="29">
        <v>0</v>
      </c>
      <c r="HE403" s="29" t="b">
        <v>0</v>
      </c>
      <c r="HG403" s="29">
        <v>0</v>
      </c>
      <c r="HI403" s="29" t="s">
        <v>334</v>
      </c>
      <c r="HJ403" s="29">
        <v>0</v>
      </c>
      <c r="HK403" s="29">
        <v>0</v>
      </c>
      <c r="HL403" s="29">
        <v>0</v>
      </c>
    </row>
    <row r="404" spans="2:220">
      <c r="B404" s="29" cm="1">
        <f t="array" ref="B404">10000000+INDEX(编号表!$B$1:$B$112,MATCH(D404,编号表!$A$1:$A$112,0))*10000+I404</f>
        <v>10630002</v>
      </c>
      <c r="C404" s="29" t="s">
        <v>458</v>
      </c>
      <c r="D404" s="29" t="s">
        <v>458</v>
      </c>
      <c r="E404" s="29" t="s">
        <v>445</v>
      </c>
      <c r="F404" s="29" t="s">
        <v>446</v>
      </c>
      <c r="G404" s="29">
        <v>1</v>
      </c>
      <c r="H404" s="29" t="b">
        <v>0</v>
      </c>
      <c r="I404" s="29">
        <v>2</v>
      </c>
      <c r="J404" s="29">
        <v>106300</v>
      </c>
      <c r="K404" s="29" t="s">
        <v>324</v>
      </c>
      <c r="L404" s="29">
        <v>10630001</v>
      </c>
      <c r="M404" s="29">
        <v>10630003</v>
      </c>
      <c r="N404" s="29" t="s">
        <v>459</v>
      </c>
      <c r="O404" s="29">
        <v>10902006</v>
      </c>
      <c r="P404" s="29">
        <v>0</v>
      </c>
      <c r="Q404" s="29">
        <v>0</v>
      </c>
      <c r="R404" s="29">
        <v>1</v>
      </c>
      <c r="T404" s="29">
        <v>100</v>
      </c>
      <c r="AY404" s="29" t="s">
        <v>425</v>
      </c>
      <c r="AZ404" s="29">
        <v>0</v>
      </c>
      <c r="GR404" s="29">
        <v>0</v>
      </c>
      <c r="GS404" s="29">
        <v>0</v>
      </c>
      <c r="GT404" s="29" t="s">
        <v>425</v>
      </c>
      <c r="GU404" s="29">
        <v>0</v>
      </c>
      <c r="GX404" s="29">
        <v>0</v>
      </c>
      <c r="GZ404" s="29">
        <v>0</v>
      </c>
      <c r="HA404" s="29">
        <v>0</v>
      </c>
      <c r="HB404" s="29">
        <v>0</v>
      </c>
      <c r="HC404" s="29">
        <v>0</v>
      </c>
      <c r="HD404" s="29">
        <v>0</v>
      </c>
      <c r="HE404" s="29" t="b">
        <v>0</v>
      </c>
      <c r="HG404" s="29">
        <v>0</v>
      </c>
      <c r="HI404" s="29" t="s">
        <v>334</v>
      </c>
      <c r="HJ404" s="29">
        <v>0</v>
      </c>
      <c r="HK404" s="29">
        <v>0</v>
      </c>
      <c r="HL404" s="29">
        <v>0</v>
      </c>
    </row>
    <row r="405" spans="2:220">
      <c r="B405" s="29" cm="1">
        <f t="array" ref="B405">10000000+INDEX(编号表!$B$1:$B$112,MATCH(D405,编号表!$A$1:$A$112,0))*10000+I405</f>
        <v>10630003</v>
      </c>
      <c r="C405" s="29" t="s">
        <v>458</v>
      </c>
      <c r="D405" s="29" t="s">
        <v>458</v>
      </c>
      <c r="E405" s="29" t="s">
        <v>445</v>
      </c>
      <c r="F405" s="29" t="s">
        <v>446</v>
      </c>
      <c r="G405" s="29">
        <v>1</v>
      </c>
      <c r="H405" s="29" t="b">
        <v>0</v>
      </c>
      <c r="I405" s="29">
        <v>3</v>
      </c>
      <c r="J405" s="29">
        <v>106300</v>
      </c>
      <c r="K405" s="29" t="s">
        <v>324</v>
      </c>
      <c r="L405" s="29">
        <v>10630002</v>
      </c>
      <c r="M405" s="29">
        <v>10630004</v>
      </c>
      <c r="N405" s="29" t="s">
        <v>459</v>
      </c>
      <c r="O405" s="29">
        <v>10902006</v>
      </c>
      <c r="P405" s="29">
        <v>0</v>
      </c>
      <c r="Q405" s="29">
        <v>0</v>
      </c>
      <c r="R405" s="29">
        <v>1</v>
      </c>
      <c r="T405" s="29">
        <v>100</v>
      </c>
      <c r="AY405" s="29" t="s">
        <v>425</v>
      </c>
      <c r="AZ405" s="29">
        <v>0</v>
      </c>
      <c r="GR405" s="29">
        <v>0</v>
      </c>
      <c r="GS405" s="29">
        <v>0</v>
      </c>
      <c r="GT405" s="29" t="s">
        <v>425</v>
      </c>
      <c r="GU405" s="29">
        <v>0</v>
      </c>
      <c r="GX405" s="29">
        <v>0</v>
      </c>
      <c r="GZ405" s="29">
        <v>0</v>
      </c>
      <c r="HA405" s="29">
        <v>0</v>
      </c>
      <c r="HB405" s="29">
        <v>0</v>
      </c>
      <c r="HC405" s="29">
        <v>0</v>
      </c>
      <c r="HD405" s="29">
        <v>0</v>
      </c>
      <c r="HE405" s="29" t="b">
        <v>0</v>
      </c>
      <c r="HG405" s="29">
        <v>0</v>
      </c>
      <c r="HI405" s="29" t="s">
        <v>334</v>
      </c>
      <c r="HJ405" s="29">
        <v>0</v>
      </c>
      <c r="HK405" s="29">
        <v>0</v>
      </c>
      <c r="HL405" s="29">
        <v>0</v>
      </c>
    </row>
    <row r="406" spans="2:220">
      <c r="B406" s="29" cm="1">
        <f t="array" ref="B406">10000000+INDEX(编号表!$B$1:$B$112,MATCH(D406,编号表!$A$1:$A$112,0))*10000+I406</f>
        <v>10630004</v>
      </c>
      <c r="C406" s="29" t="s">
        <v>458</v>
      </c>
      <c r="D406" s="29" t="s">
        <v>458</v>
      </c>
      <c r="E406" s="29" t="s">
        <v>445</v>
      </c>
      <c r="F406" s="29" t="s">
        <v>446</v>
      </c>
      <c r="G406" s="29">
        <v>1</v>
      </c>
      <c r="H406" s="29" t="b">
        <v>0</v>
      </c>
      <c r="I406" s="29">
        <v>4</v>
      </c>
      <c r="J406" s="29">
        <v>106300</v>
      </c>
      <c r="K406" s="29" t="s">
        <v>324</v>
      </c>
      <c r="L406" s="29">
        <v>10630003</v>
      </c>
      <c r="M406" s="29">
        <v>10630005</v>
      </c>
      <c r="N406" s="29" t="s">
        <v>459</v>
      </c>
      <c r="O406" s="29">
        <v>10902006</v>
      </c>
      <c r="P406" s="29">
        <v>0</v>
      </c>
      <c r="Q406" s="29">
        <v>0</v>
      </c>
      <c r="R406" s="29">
        <v>1</v>
      </c>
      <c r="T406" s="29">
        <v>100</v>
      </c>
      <c r="AY406" s="29" t="s">
        <v>425</v>
      </c>
      <c r="AZ406" s="29">
        <v>0</v>
      </c>
      <c r="GR406" s="29">
        <v>0</v>
      </c>
      <c r="GS406" s="29">
        <v>0</v>
      </c>
      <c r="GT406" s="29" t="s">
        <v>425</v>
      </c>
      <c r="GU406" s="29">
        <v>0</v>
      </c>
      <c r="GX406" s="29">
        <v>0</v>
      </c>
      <c r="GZ406" s="29">
        <v>0</v>
      </c>
      <c r="HA406" s="29">
        <v>0</v>
      </c>
      <c r="HB406" s="29">
        <v>0</v>
      </c>
      <c r="HC406" s="29">
        <v>0</v>
      </c>
      <c r="HD406" s="29">
        <v>0</v>
      </c>
      <c r="HE406" s="29" t="b">
        <v>0</v>
      </c>
      <c r="HG406" s="29">
        <v>0</v>
      </c>
      <c r="HI406" s="29" t="s">
        <v>334</v>
      </c>
      <c r="HJ406" s="29">
        <v>0</v>
      </c>
      <c r="HK406" s="29">
        <v>0</v>
      </c>
      <c r="HL406" s="29">
        <v>0</v>
      </c>
    </row>
    <row r="407" spans="2:220">
      <c r="B407" s="29" cm="1">
        <f t="array" ref="B407">10000000+INDEX(编号表!$B$1:$B$112,MATCH(D407,编号表!$A$1:$A$112,0))*10000+I407</f>
        <v>10630005</v>
      </c>
      <c r="C407" s="29" t="s">
        <v>458</v>
      </c>
      <c r="D407" s="29" t="s">
        <v>458</v>
      </c>
      <c r="E407" s="29" t="s">
        <v>445</v>
      </c>
      <c r="F407" s="29" t="s">
        <v>446</v>
      </c>
      <c r="G407" s="29">
        <v>1</v>
      </c>
      <c r="H407" s="29" t="b">
        <v>0</v>
      </c>
      <c r="I407" s="29">
        <v>5</v>
      </c>
      <c r="J407" s="29">
        <v>106300</v>
      </c>
      <c r="K407" s="29" t="s">
        <v>324</v>
      </c>
      <c r="L407" s="29">
        <v>10630004</v>
      </c>
      <c r="M407" s="29">
        <v>10630006</v>
      </c>
      <c r="N407" s="29" t="s">
        <v>459</v>
      </c>
      <c r="O407" s="29">
        <v>10902006</v>
      </c>
      <c r="P407" s="29">
        <v>0</v>
      </c>
      <c r="Q407" s="29">
        <v>0</v>
      </c>
      <c r="R407" s="29">
        <v>1</v>
      </c>
      <c r="T407" s="29">
        <v>100</v>
      </c>
      <c r="AY407" s="29" t="s">
        <v>425</v>
      </c>
      <c r="AZ407" s="29">
        <v>0</v>
      </c>
      <c r="GR407" s="29">
        <v>0</v>
      </c>
      <c r="GS407" s="29">
        <v>0</v>
      </c>
      <c r="GT407" s="29" t="s">
        <v>425</v>
      </c>
      <c r="GU407" s="29">
        <v>0</v>
      </c>
      <c r="GX407" s="29">
        <v>0</v>
      </c>
      <c r="GZ407" s="29">
        <v>0</v>
      </c>
      <c r="HA407" s="29">
        <v>0</v>
      </c>
      <c r="HB407" s="29">
        <v>0</v>
      </c>
      <c r="HC407" s="29">
        <v>0</v>
      </c>
      <c r="HD407" s="29">
        <v>0</v>
      </c>
      <c r="HE407" s="29" t="b">
        <v>0</v>
      </c>
      <c r="HG407" s="29">
        <v>0</v>
      </c>
      <c r="HI407" s="29" t="s">
        <v>334</v>
      </c>
      <c r="HJ407" s="29">
        <v>0</v>
      </c>
      <c r="HK407" s="29">
        <v>0</v>
      </c>
      <c r="HL407" s="29">
        <v>0</v>
      </c>
    </row>
    <row r="408" spans="2:220">
      <c r="B408" s="29" cm="1">
        <f t="array" ref="B408">10000000+INDEX(编号表!$B$1:$B$112,MATCH(D408,编号表!$A$1:$A$112,0))*10000+I408</f>
        <v>10630006</v>
      </c>
      <c r="C408" s="29" t="s">
        <v>458</v>
      </c>
      <c r="D408" s="29" t="s">
        <v>458</v>
      </c>
      <c r="E408" s="29" t="s">
        <v>445</v>
      </c>
      <c r="F408" s="29" t="s">
        <v>446</v>
      </c>
      <c r="G408" s="29">
        <v>1</v>
      </c>
      <c r="H408" s="29" t="b">
        <v>0</v>
      </c>
      <c r="I408" s="29">
        <v>6</v>
      </c>
      <c r="J408" s="29">
        <v>106300</v>
      </c>
      <c r="K408" s="29" t="s">
        <v>324</v>
      </c>
      <c r="L408" s="29">
        <v>10630005</v>
      </c>
      <c r="M408" s="29">
        <v>10630007</v>
      </c>
      <c r="N408" s="29" t="s">
        <v>459</v>
      </c>
      <c r="O408" s="29">
        <v>10902006</v>
      </c>
      <c r="P408" s="29">
        <v>0</v>
      </c>
      <c r="Q408" s="29">
        <v>0</v>
      </c>
      <c r="R408" s="29">
        <v>1</v>
      </c>
      <c r="T408" s="29">
        <v>100</v>
      </c>
      <c r="AY408" s="29" t="s">
        <v>425</v>
      </c>
      <c r="AZ408" s="29">
        <v>0</v>
      </c>
      <c r="GR408" s="29">
        <v>0</v>
      </c>
      <c r="GS408" s="29">
        <v>0</v>
      </c>
      <c r="GT408" s="29" t="s">
        <v>425</v>
      </c>
      <c r="GU408" s="29">
        <v>0</v>
      </c>
      <c r="GX408" s="29">
        <v>0</v>
      </c>
      <c r="GZ408" s="29">
        <v>0</v>
      </c>
      <c r="HA408" s="29">
        <v>0</v>
      </c>
      <c r="HB408" s="29">
        <v>0</v>
      </c>
      <c r="HC408" s="29">
        <v>0</v>
      </c>
      <c r="HD408" s="29">
        <v>0</v>
      </c>
      <c r="HE408" s="29" t="b">
        <v>0</v>
      </c>
      <c r="HG408" s="29">
        <v>0</v>
      </c>
      <c r="HI408" s="29" t="s">
        <v>334</v>
      </c>
      <c r="HJ408" s="29">
        <v>0</v>
      </c>
      <c r="HK408" s="29">
        <v>0</v>
      </c>
      <c r="HL408" s="29">
        <v>0</v>
      </c>
    </row>
    <row r="409" spans="2:220">
      <c r="B409" s="29" cm="1">
        <f t="array" ref="B409">10000000+INDEX(编号表!$B$1:$B$112,MATCH(D409,编号表!$A$1:$A$112,0))*10000+I409</f>
        <v>10630007</v>
      </c>
      <c r="C409" s="29" t="s">
        <v>458</v>
      </c>
      <c r="D409" s="29" t="s">
        <v>458</v>
      </c>
      <c r="E409" s="29" t="s">
        <v>445</v>
      </c>
      <c r="F409" s="29" t="s">
        <v>446</v>
      </c>
      <c r="G409" s="29">
        <v>1</v>
      </c>
      <c r="H409" s="29" t="b">
        <v>0</v>
      </c>
      <c r="I409" s="29">
        <v>7</v>
      </c>
      <c r="J409" s="29">
        <v>106300</v>
      </c>
      <c r="K409" s="29" t="s">
        <v>324</v>
      </c>
      <c r="L409" s="29">
        <v>10630006</v>
      </c>
      <c r="M409" s="29">
        <v>10630008</v>
      </c>
      <c r="N409" s="29" t="s">
        <v>459</v>
      </c>
      <c r="O409" s="29">
        <v>10902006</v>
      </c>
      <c r="P409" s="29">
        <v>0</v>
      </c>
      <c r="Q409" s="29">
        <v>0</v>
      </c>
      <c r="R409" s="29">
        <v>1</v>
      </c>
      <c r="T409" s="29">
        <v>100</v>
      </c>
      <c r="AY409" s="29" t="s">
        <v>425</v>
      </c>
      <c r="AZ409" s="29">
        <v>0</v>
      </c>
      <c r="GR409" s="29">
        <v>0</v>
      </c>
      <c r="GS409" s="29">
        <v>0</v>
      </c>
      <c r="GT409" s="29" t="s">
        <v>425</v>
      </c>
      <c r="GU409" s="29">
        <v>0</v>
      </c>
      <c r="GX409" s="29">
        <v>0</v>
      </c>
      <c r="GZ409" s="29">
        <v>0</v>
      </c>
      <c r="HA409" s="29">
        <v>0</v>
      </c>
      <c r="HB409" s="29">
        <v>0</v>
      </c>
      <c r="HC409" s="29">
        <v>0</v>
      </c>
      <c r="HD409" s="29">
        <v>0</v>
      </c>
      <c r="HE409" s="29" t="b">
        <v>0</v>
      </c>
      <c r="HG409" s="29">
        <v>0</v>
      </c>
      <c r="HI409" s="29" t="s">
        <v>334</v>
      </c>
      <c r="HJ409" s="29">
        <v>0</v>
      </c>
      <c r="HK409" s="29">
        <v>0</v>
      </c>
      <c r="HL409" s="29">
        <v>0</v>
      </c>
    </row>
    <row r="410" spans="2:220">
      <c r="B410" s="29" cm="1">
        <f t="array" ref="B410">10000000+INDEX(编号表!$B$1:$B$112,MATCH(D410,编号表!$A$1:$A$112,0))*10000+I410</f>
        <v>10630008</v>
      </c>
      <c r="C410" s="29" t="s">
        <v>458</v>
      </c>
      <c r="D410" s="29" t="s">
        <v>458</v>
      </c>
      <c r="E410" s="29" t="s">
        <v>445</v>
      </c>
      <c r="F410" s="29" t="s">
        <v>446</v>
      </c>
      <c r="G410" s="29">
        <v>1</v>
      </c>
      <c r="H410" s="29" t="b">
        <v>0</v>
      </c>
      <c r="I410" s="29">
        <v>8</v>
      </c>
      <c r="J410" s="29">
        <v>106300</v>
      </c>
      <c r="K410" s="29" t="s">
        <v>324</v>
      </c>
      <c r="L410" s="29">
        <v>10630007</v>
      </c>
      <c r="M410" s="29">
        <v>10630009</v>
      </c>
      <c r="N410" s="29" t="s">
        <v>459</v>
      </c>
      <c r="O410" s="29">
        <v>10902006</v>
      </c>
      <c r="P410" s="29">
        <v>0</v>
      </c>
      <c r="Q410" s="29">
        <v>0</v>
      </c>
      <c r="R410" s="29">
        <v>1</v>
      </c>
      <c r="T410" s="29">
        <v>100</v>
      </c>
      <c r="AY410" s="29" t="s">
        <v>425</v>
      </c>
      <c r="AZ410" s="29">
        <v>0</v>
      </c>
      <c r="GR410" s="29">
        <v>0</v>
      </c>
      <c r="GS410" s="29">
        <v>0</v>
      </c>
      <c r="GT410" s="29" t="s">
        <v>425</v>
      </c>
      <c r="GU410" s="29">
        <v>0</v>
      </c>
      <c r="GX410" s="29">
        <v>0</v>
      </c>
      <c r="GZ410" s="29">
        <v>0</v>
      </c>
      <c r="HA410" s="29">
        <v>0</v>
      </c>
      <c r="HB410" s="29">
        <v>0</v>
      </c>
      <c r="HC410" s="29">
        <v>0</v>
      </c>
      <c r="HD410" s="29">
        <v>0</v>
      </c>
      <c r="HE410" s="29" t="b">
        <v>0</v>
      </c>
      <c r="HG410" s="29">
        <v>0</v>
      </c>
      <c r="HI410" s="29" t="s">
        <v>334</v>
      </c>
      <c r="HJ410" s="29">
        <v>0</v>
      </c>
      <c r="HK410" s="29">
        <v>0</v>
      </c>
      <c r="HL410" s="29">
        <v>0</v>
      </c>
    </row>
    <row r="411" spans="2:220">
      <c r="B411" s="29" cm="1">
        <f t="array" ref="B411">10000000+INDEX(编号表!$B$1:$B$112,MATCH(D411,编号表!$A$1:$A$112,0))*10000+I411</f>
        <v>10630009</v>
      </c>
      <c r="C411" s="29" t="s">
        <v>458</v>
      </c>
      <c r="D411" s="29" t="s">
        <v>458</v>
      </c>
      <c r="E411" s="29" t="s">
        <v>445</v>
      </c>
      <c r="F411" s="29" t="s">
        <v>446</v>
      </c>
      <c r="G411" s="29">
        <v>1</v>
      </c>
      <c r="H411" s="29" t="b">
        <v>0</v>
      </c>
      <c r="I411" s="29">
        <v>9</v>
      </c>
      <c r="J411" s="29">
        <v>106300</v>
      </c>
      <c r="K411" s="29" t="s">
        <v>324</v>
      </c>
      <c r="L411" s="29">
        <v>10630008</v>
      </c>
      <c r="M411" s="29">
        <v>10630010</v>
      </c>
      <c r="N411" s="29" t="s">
        <v>459</v>
      </c>
      <c r="O411" s="29">
        <v>10902006</v>
      </c>
      <c r="P411" s="29">
        <v>0</v>
      </c>
      <c r="Q411" s="29">
        <v>0</v>
      </c>
      <c r="R411" s="29">
        <v>1</v>
      </c>
      <c r="T411" s="29">
        <v>100</v>
      </c>
      <c r="AY411" s="29" t="s">
        <v>425</v>
      </c>
      <c r="AZ411" s="29">
        <v>0</v>
      </c>
      <c r="GR411" s="29">
        <v>0</v>
      </c>
      <c r="GS411" s="29">
        <v>0</v>
      </c>
      <c r="GT411" s="29" t="s">
        <v>425</v>
      </c>
      <c r="GU411" s="29">
        <v>0</v>
      </c>
      <c r="GX411" s="29">
        <v>0</v>
      </c>
      <c r="GZ411" s="29">
        <v>0</v>
      </c>
      <c r="HA411" s="29">
        <v>0</v>
      </c>
      <c r="HB411" s="29">
        <v>0</v>
      </c>
      <c r="HC411" s="29">
        <v>0</v>
      </c>
      <c r="HD411" s="29">
        <v>0</v>
      </c>
      <c r="HE411" s="29" t="b">
        <v>0</v>
      </c>
      <c r="HG411" s="29">
        <v>0</v>
      </c>
      <c r="HI411" s="29" t="s">
        <v>334</v>
      </c>
      <c r="HJ411" s="29">
        <v>0</v>
      </c>
      <c r="HK411" s="29">
        <v>0</v>
      </c>
      <c r="HL411" s="29">
        <v>0</v>
      </c>
    </row>
    <row r="412" spans="2:220">
      <c r="B412" s="29" cm="1">
        <f t="array" ref="B412">10000000+INDEX(编号表!$B$1:$B$112,MATCH(D412,编号表!$A$1:$A$112,0))*10000+I412</f>
        <v>10630010</v>
      </c>
      <c r="C412" s="29" t="s">
        <v>458</v>
      </c>
      <c r="D412" s="29" t="s">
        <v>458</v>
      </c>
      <c r="E412" s="29" t="s">
        <v>445</v>
      </c>
      <c r="F412" s="29" t="s">
        <v>446</v>
      </c>
      <c r="G412" s="29">
        <v>1</v>
      </c>
      <c r="H412" s="29" t="b">
        <v>0</v>
      </c>
      <c r="I412" s="29">
        <v>10</v>
      </c>
      <c r="J412" s="29">
        <v>106300</v>
      </c>
      <c r="K412" s="29" t="s">
        <v>324</v>
      </c>
      <c r="L412" s="29">
        <v>10630009</v>
      </c>
      <c r="N412" s="29" t="s">
        <v>459</v>
      </c>
      <c r="O412" s="29">
        <v>10902006</v>
      </c>
      <c r="P412" s="29">
        <v>0</v>
      </c>
      <c r="Q412" s="29">
        <v>0</v>
      </c>
      <c r="R412" s="29">
        <v>1</v>
      </c>
      <c r="T412" s="29">
        <v>100</v>
      </c>
      <c r="AY412" s="29" t="s">
        <v>425</v>
      </c>
      <c r="AZ412" s="29">
        <v>0</v>
      </c>
      <c r="GR412" s="29">
        <v>0</v>
      </c>
      <c r="GS412" s="29">
        <v>0</v>
      </c>
      <c r="GT412" s="29" t="s">
        <v>425</v>
      </c>
      <c r="GU412" s="29">
        <v>0</v>
      </c>
      <c r="GX412" s="29">
        <v>0</v>
      </c>
      <c r="GZ412" s="29">
        <v>0</v>
      </c>
      <c r="HA412" s="29">
        <v>0</v>
      </c>
      <c r="HB412" s="29">
        <v>0</v>
      </c>
      <c r="HC412" s="29">
        <v>0</v>
      </c>
      <c r="HD412" s="29">
        <v>0</v>
      </c>
      <c r="HE412" s="29" t="b">
        <v>0</v>
      </c>
      <c r="HG412" s="29">
        <v>0</v>
      </c>
      <c r="HI412" s="29" t="s">
        <v>334</v>
      </c>
      <c r="HJ412" s="29">
        <v>0</v>
      </c>
      <c r="HK412" s="29">
        <v>0</v>
      </c>
      <c r="HL412" s="29">
        <v>0</v>
      </c>
    </row>
    <row r="413" spans="2:220">
      <c r="B413" s="29" cm="1">
        <f t="array" ref="B413">10000000+INDEX(编号表!$B$1:$B$112,MATCH(D413,编号表!$A$1:$A$112,0))*10000+I413</f>
        <v>10640001</v>
      </c>
      <c r="C413" s="29" t="s">
        <v>460</v>
      </c>
      <c r="D413" s="29" t="s">
        <v>460</v>
      </c>
      <c r="E413" s="29" t="s">
        <v>445</v>
      </c>
      <c r="F413" s="29" t="s">
        <v>446</v>
      </c>
      <c r="G413" s="29">
        <v>1</v>
      </c>
      <c r="H413" s="29" t="b">
        <v>0</v>
      </c>
      <c r="I413" s="29">
        <v>1</v>
      </c>
      <c r="J413" s="29">
        <v>106400</v>
      </c>
      <c r="K413" s="29" t="s">
        <v>324</v>
      </c>
      <c r="M413" s="29">
        <v>10640002</v>
      </c>
      <c r="N413" s="29" t="s">
        <v>461</v>
      </c>
      <c r="O413" s="29">
        <v>10902007</v>
      </c>
      <c r="P413" s="29">
        <v>0</v>
      </c>
      <c r="Q413" s="29">
        <v>0</v>
      </c>
      <c r="R413" s="29">
        <v>1</v>
      </c>
      <c r="T413" s="29">
        <v>100</v>
      </c>
      <c r="AY413" s="29" t="s">
        <v>425</v>
      </c>
      <c r="AZ413" s="29">
        <v>0</v>
      </c>
      <c r="GR413" s="29">
        <v>0</v>
      </c>
      <c r="GS413" s="29">
        <v>0</v>
      </c>
      <c r="GT413" s="29" t="s">
        <v>425</v>
      </c>
      <c r="GU413" s="29">
        <v>0</v>
      </c>
      <c r="GX413" s="29">
        <v>0</v>
      </c>
      <c r="GZ413" s="29">
        <v>0</v>
      </c>
      <c r="HA413" s="29">
        <v>0</v>
      </c>
      <c r="HB413" s="29">
        <v>0</v>
      </c>
      <c r="HC413" s="29">
        <v>0</v>
      </c>
      <c r="HD413" s="29">
        <v>0</v>
      </c>
      <c r="HE413" s="29" t="b">
        <v>0</v>
      </c>
      <c r="HG413" s="29">
        <v>0</v>
      </c>
      <c r="HI413" s="29" t="s">
        <v>334</v>
      </c>
      <c r="HJ413" s="29">
        <v>0</v>
      </c>
      <c r="HK413" s="29">
        <v>0</v>
      </c>
      <c r="HL413" s="29">
        <v>0</v>
      </c>
    </row>
    <row r="414" spans="2:220">
      <c r="B414" s="29" cm="1">
        <f t="array" ref="B414">10000000+INDEX(编号表!$B$1:$B$112,MATCH(D414,编号表!$A$1:$A$112,0))*10000+I414</f>
        <v>10640002</v>
      </c>
      <c r="C414" s="29" t="s">
        <v>460</v>
      </c>
      <c r="D414" s="29" t="s">
        <v>460</v>
      </c>
      <c r="E414" s="29" t="s">
        <v>445</v>
      </c>
      <c r="F414" s="29" t="s">
        <v>446</v>
      </c>
      <c r="G414" s="29">
        <v>1</v>
      </c>
      <c r="H414" s="29" t="b">
        <v>0</v>
      </c>
      <c r="I414" s="29">
        <v>2</v>
      </c>
      <c r="J414" s="29">
        <v>106400</v>
      </c>
      <c r="K414" s="29" t="s">
        <v>324</v>
      </c>
      <c r="L414" s="29">
        <v>10640001</v>
      </c>
      <c r="M414" s="29">
        <v>10640003</v>
      </c>
      <c r="N414" s="29" t="s">
        <v>461</v>
      </c>
      <c r="O414" s="29">
        <v>10902007</v>
      </c>
      <c r="P414" s="29">
        <v>0</v>
      </c>
      <c r="Q414" s="29">
        <v>0</v>
      </c>
      <c r="R414" s="29">
        <v>1</v>
      </c>
      <c r="T414" s="29">
        <v>100</v>
      </c>
      <c r="AY414" s="29" t="s">
        <v>425</v>
      </c>
      <c r="AZ414" s="29">
        <v>0</v>
      </c>
      <c r="GR414" s="29">
        <v>0</v>
      </c>
      <c r="GS414" s="29">
        <v>0</v>
      </c>
      <c r="GT414" s="29" t="s">
        <v>425</v>
      </c>
      <c r="GU414" s="29">
        <v>0</v>
      </c>
      <c r="GX414" s="29">
        <v>0</v>
      </c>
      <c r="GZ414" s="29">
        <v>0</v>
      </c>
      <c r="HA414" s="29">
        <v>0</v>
      </c>
      <c r="HB414" s="29">
        <v>0</v>
      </c>
      <c r="HC414" s="29">
        <v>0</v>
      </c>
      <c r="HD414" s="29">
        <v>0</v>
      </c>
      <c r="HE414" s="29" t="b">
        <v>0</v>
      </c>
      <c r="HG414" s="29">
        <v>0</v>
      </c>
      <c r="HI414" s="29" t="s">
        <v>334</v>
      </c>
      <c r="HJ414" s="29">
        <v>0</v>
      </c>
      <c r="HK414" s="29">
        <v>0</v>
      </c>
      <c r="HL414" s="29">
        <v>0</v>
      </c>
    </row>
    <row r="415" spans="2:220">
      <c r="B415" s="29" cm="1">
        <f t="array" ref="B415">10000000+INDEX(编号表!$B$1:$B$112,MATCH(D415,编号表!$A$1:$A$112,0))*10000+I415</f>
        <v>10640003</v>
      </c>
      <c r="C415" s="29" t="s">
        <v>460</v>
      </c>
      <c r="D415" s="29" t="s">
        <v>460</v>
      </c>
      <c r="E415" s="29" t="s">
        <v>445</v>
      </c>
      <c r="F415" s="29" t="s">
        <v>446</v>
      </c>
      <c r="G415" s="29">
        <v>1</v>
      </c>
      <c r="H415" s="29" t="b">
        <v>0</v>
      </c>
      <c r="I415" s="29">
        <v>3</v>
      </c>
      <c r="J415" s="29">
        <v>106400</v>
      </c>
      <c r="K415" s="29" t="s">
        <v>324</v>
      </c>
      <c r="L415" s="29">
        <v>10640002</v>
      </c>
      <c r="M415" s="29">
        <v>10640004</v>
      </c>
      <c r="N415" s="29" t="s">
        <v>461</v>
      </c>
      <c r="O415" s="29">
        <v>10902007</v>
      </c>
      <c r="P415" s="29">
        <v>0</v>
      </c>
      <c r="Q415" s="29">
        <v>0</v>
      </c>
      <c r="R415" s="29">
        <v>1</v>
      </c>
      <c r="T415" s="29">
        <v>100</v>
      </c>
      <c r="AY415" s="29" t="s">
        <v>425</v>
      </c>
      <c r="AZ415" s="29">
        <v>0</v>
      </c>
      <c r="GR415" s="29">
        <v>0</v>
      </c>
      <c r="GS415" s="29">
        <v>0</v>
      </c>
      <c r="GT415" s="29" t="s">
        <v>425</v>
      </c>
      <c r="GU415" s="29">
        <v>0</v>
      </c>
      <c r="GX415" s="29">
        <v>0</v>
      </c>
      <c r="GZ415" s="29">
        <v>0</v>
      </c>
      <c r="HA415" s="29">
        <v>0</v>
      </c>
      <c r="HB415" s="29">
        <v>0</v>
      </c>
      <c r="HC415" s="29">
        <v>0</v>
      </c>
      <c r="HD415" s="29">
        <v>0</v>
      </c>
      <c r="HE415" s="29" t="b">
        <v>0</v>
      </c>
      <c r="HG415" s="29">
        <v>0</v>
      </c>
      <c r="HI415" s="29" t="s">
        <v>334</v>
      </c>
      <c r="HJ415" s="29">
        <v>0</v>
      </c>
      <c r="HK415" s="29">
        <v>0</v>
      </c>
      <c r="HL415" s="29">
        <v>0</v>
      </c>
    </row>
    <row r="416" spans="2:220">
      <c r="B416" s="29" cm="1">
        <f t="array" ref="B416">10000000+INDEX(编号表!$B$1:$B$112,MATCH(D416,编号表!$A$1:$A$112,0))*10000+I416</f>
        <v>10640004</v>
      </c>
      <c r="C416" s="29" t="s">
        <v>460</v>
      </c>
      <c r="D416" s="29" t="s">
        <v>460</v>
      </c>
      <c r="E416" s="29" t="s">
        <v>445</v>
      </c>
      <c r="F416" s="29" t="s">
        <v>446</v>
      </c>
      <c r="G416" s="29">
        <v>1</v>
      </c>
      <c r="H416" s="29" t="b">
        <v>0</v>
      </c>
      <c r="I416" s="29">
        <v>4</v>
      </c>
      <c r="J416" s="29">
        <v>106400</v>
      </c>
      <c r="K416" s="29" t="s">
        <v>324</v>
      </c>
      <c r="L416" s="29">
        <v>10640003</v>
      </c>
      <c r="M416" s="29">
        <v>10640005</v>
      </c>
      <c r="N416" s="29" t="s">
        <v>461</v>
      </c>
      <c r="O416" s="29">
        <v>10902007</v>
      </c>
      <c r="P416" s="29">
        <v>0</v>
      </c>
      <c r="Q416" s="29">
        <v>0</v>
      </c>
      <c r="R416" s="29">
        <v>1</v>
      </c>
      <c r="T416" s="29">
        <v>100</v>
      </c>
      <c r="AY416" s="29" t="s">
        <v>425</v>
      </c>
      <c r="AZ416" s="29">
        <v>0</v>
      </c>
      <c r="GR416" s="29">
        <v>0</v>
      </c>
      <c r="GS416" s="29">
        <v>0</v>
      </c>
      <c r="GT416" s="29" t="s">
        <v>425</v>
      </c>
      <c r="GU416" s="29">
        <v>0</v>
      </c>
      <c r="GX416" s="29">
        <v>0</v>
      </c>
      <c r="GZ416" s="29">
        <v>0</v>
      </c>
      <c r="HA416" s="29">
        <v>0</v>
      </c>
      <c r="HB416" s="29">
        <v>0</v>
      </c>
      <c r="HC416" s="29">
        <v>0</v>
      </c>
      <c r="HD416" s="29">
        <v>0</v>
      </c>
      <c r="HE416" s="29" t="b">
        <v>0</v>
      </c>
      <c r="HG416" s="29">
        <v>0</v>
      </c>
      <c r="HI416" s="29" t="s">
        <v>334</v>
      </c>
      <c r="HJ416" s="29">
        <v>0</v>
      </c>
      <c r="HK416" s="29">
        <v>0</v>
      </c>
      <c r="HL416" s="29">
        <v>0</v>
      </c>
    </row>
    <row r="417" spans="2:220">
      <c r="B417" s="29" cm="1">
        <f t="array" ref="B417">10000000+INDEX(编号表!$B$1:$B$112,MATCH(D417,编号表!$A$1:$A$112,0))*10000+I417</f>
        <v>10640005</v>
      </c>
      <c r="C417" s="29" t="s">
        <v>460</v>
      </c>
      <c r="D417" s="29" t="s">
        <v>460</v>
      </c>
      <c r="E417" s="29" t="s">
        <v>445</v>
      </c>
      <c r="F417" s="29" t="s">
        <v>446</v>
      </c>
      <c r="G417" s="29">
        <v>1</v>
      </c>
      <c r="H417" s="29" t="b">
        <v>0</v>
      </c>
      <c r="I417" s="29">
        <v>5</v>
      </c>
      <c r="J417" s="29">
        <v>106400</v>
      </c>
      <c r="K417" s="29" t="s">
        <v>324</v>
      </c>
      <c r="L417" s="29">
        <v>10640004</v>
      </c>
      <c r="M417" s="29">
        <v>10640006</v>
      </c>
      <c r="N417" s="29" t="s">
        <v>461</v>
      </c>
      <c r="O417" s="29">
        <v>10902007</v>
      </c>
      <c r="P417" s="29">
        <v>0</v>
      </c>
      <c r="Q417" s="29">
        <v>0</v>
      </c>
      <c r="R417" s="29">
        <v>1</v>
      </c>
      <c r="T417" s="29">
        <v>100</v>
      </c>
      <c r="AY417" s="29" t="s">
        <v>425</v>
      </c>
      <c r="AZ417" s="29">
        <v>0</v>
      </c>
      <c r="GR417" s="29">
        <v>0</v>
      </c>
      <c r="GS417" s="29">
        <v>0</v>
      </c>
      <c r="GT417" s="29" t="s">
        <v>425</v>
      </c>
      <c r="GU417" s="29">
        <v>0</v>
      </c>
      <c r="GX417" s="29">
        <v>0</v>
      </c>
      <c r="GZ417" s="29">
        <v>0</v>
      </c>
      <c r="HA417" s="29">
        <v>0</v>
      </c>
      <c r="HB417" s="29">
        <v>0</v>
      </c>
      <c r="HC417" s="29">
        <v>0</v>
      </c>
      <c r="HD417" s="29">
        <v>0</v>
      </c>
      <c r="HE417" s="29" t="b">
        <v>0</v>
      </c>
      <c r="HG417" s="29">
        <v>0</v>
      </c>
      <c r="HI417" s="29" t="s">
        <v>334</v>
      </c>
      <c r="HJ417" s="29">
        <v>0</v>
      </c>
      <c r="HK417" s="29">
        <v>0</v>
      </c>
      <c r="HL417" s="29">
        <v>0</v>
      </c>
    </row>
    <row r="418" spans="2:220">
      <c r="B418" s="29" cm="1">
        <f t="array" ref="B418">10000000+INDEX(编号表!$B$1:$B$112,MATCH(D418,编号表!$A$1:$A$112,0))*10000+I418</f>
        <v>10640006</v>
      </c>
      <c r="C418" s="29" t="s">
        <v>460</v>
      </c>
      <c r="D418" s="29" t="s">
        <v>460</v>
      </c>
      <c r="E418" s="29" t="s">
        <v>445</v>
      </c>
      <c r="F418" s="29" t="s">
        <v>446</v>
      </c>
      <c r="G418" s="29">
        <v>1</v>
      </c>
      <c r="H418" s="29" t="b">
        <v>0</v>
      </c>
      <c r="I418" s="29">
        <v>6</v>
      </c>
      <c r="J418" s="29">
        <v>106400</v>
      </c>
      <c r="K418" s="29" t="s">
        <v>324</v>
      </c>
      <c r="L418" s="29">
        <v>10640005</v>
      </c>
      <c r="M418" s="29">
        <v>10640007</v>
      </c>
      <c r="N418" s="29" t="s">
        <v>461</v>
      </c>
      <c r="O418" s="29">
        <v>10902007</v>
      </c>
      <c r="P418" s="29">
        <v>0</v>
      </c>
      <c r="Q418" s="29">
        <v>0</v>
      </c>
      <c r="R418" s="29">
        <v>1</v>
      </c>
      <c r="T418" s="29">
        <v>100</v>
      </c>
      <c r="AY418" s="29" t="s">
        <v>425</v>
      </c>
      <c r="AZ418" s="29">
        <v>0</v>
      </c>
      <c r="GR418" s="29">
        <v>0</v>
      </c>
      <c r="GS418" s="29">
        <v>0</v>
      </c>
      <c r="GT418" s="29" t="s">
        <v>425</v>
      </c>
      <c r="GU418" s="29">
        <v>0</v>
      </c>
      <c r="GX418" s="29">
        <v>0</v>
      </c>
      <c r="GZ418" s="29">
        <v>0</v>
      </c>
      <c r="HA418" s="29">
        <v>0</v>
      </c>
      <c r="HB418" s="29">
        <v>0</v>
      </c>
      <c r="HC418" s="29">
        <v>0</v>
      </c>
      <c r="HD418" s="29">
        <v>0</v>
      </c>
      <c r="HE418" s="29" t="b">
        <v>0</v>
      </c>
      <c r="HG418" s="29">
        <v>0</v>
      </c>
      <c r="HI418" s="29" t="s">
        <v>334</v>
      </c>
      <c r="HJ418" s="29">
        <v>0</v>
      </c>
      <c r="HK418" s="29">
        <v>0</v>
      </c>
      <c r="HL418" s="29">
        <v>0</v>
      </c>
    </row>
    <row r="419" spans="2:220">
      <c r="B419" s="29" cm="1">
        <f t="array" ref="B419">10000000+INDEX(编号表!$B$1:$B$112,MATCH(D419,编号表!$A$1:$A$112,0))*10000+I419</f>
        <v>10640007</v>
      </c>
      <c r="C419" s="29" t="s">
        <v>460</v>
      </c>
      <c r="D419" s="29" t="s">
        <v>460</v>
      </c>
      <c r="E419" s="29" t="s">
        <v>445</v>
      </c>
      <c r="F419" s="29" t="s">
        <v>446</v>
      </c>
      <c r="G419" s="29">
        <v>1</v>
      </c>
      <c r="H419" s="29" t="b">
        <v>0</v>
      </c>
      <c r="I419" s="29">
        <v>7</v>
      </c>
      <c r="J419" s="29">
        <v>106400</v>
      </c>
      <c r="K419" s="29" t="s">
        <v>324</v>
      </c>
      <c r="L419" s="29">
        <v>10640006</v>
      </c>
      <c r="M419" s="29">
        <v>10640008</v>
      </c>
      <c r="N419" s="29" t="s">
        <v>461</v>
      </c>
      <c r="O419" s="29">
        <v>10902007</v>
      </c>
      <c r="P419" s="29">
        <v>0</v>
      </c>
      <c r="Q419" s="29">
        <v>0</v>
      </c>
      <c r="R419" s="29">
        <v>1</v>
      </c>
      <c r="T419" s="29">
        <v>100</v>
      </c>
      <c r="AY419" s="29" t="s">
        <v>425</v>
      </c>
      <c r="AZ419" s="29">
        <v>0</v>
      </c>
      <c r="GR419" s="29">
        <v>0</v>
      </c>
      <c r="GS419" s="29">
        <v>0</v>
      </c>
      <c r="GT419" s="29" t="s">
        <v>425</v>
      </c>
      <c r="GU419" s="29">
        <v>0</v>
      </c>
      <c r="GX419" s="29">
        <v>0</v>
      </c>
      <c r="GZ419" s="29">
        <v>0</v>
      </c>
      <c r="HA419" s="29">
        <v>0</v>
      </c>
      <c r="HB419" s="29">
        <v>0</v>
      </c>
      <c r="HC419" s="29">
        <v>0</v>
      </c>
      <c r="HD419" s="29">
        <v>0</v>
      </c>
      <c r="HE419" s="29" t="b">
        <v>0</v>
      </c>
      <c r="HG419" s="29">
        <v>0</v>
      </c>
      <c r="HI419" s="29" t="s">
        <v>334</v>
      </c>
      <c r="HJ419" s="29">
        <v>0</v>
      </c>
      <c r="HK419" s="29">
        <v>0</v>
      </c>
      <c r="HL419" s="29">
        <v>0</v>
      </c>
    </row>
    <row r="420" spans="2:220">
      <c r="B420" s="29" cm="1">
        <f t="array" ref="B420">10000000+INDEX(编号表!$B$1:$B$112,MATCH(D420,编号表!$A$1:$A$112,0))*10000+I420</f>
        <v>10640008</v>
      </c>
      <c r="C420" s="29" t="s">
        <v>460</v>
      </c>
      <c r="D420" s="29" t="s">
        <v>460</v>
      </c>
      <c r="E420" s="29" t="s">
        <v>445</v>
      </c>
      <c r="F420" s="29" t="s">
        <v>446</v>
      </c>
      <c r="G420" s="29">
        <v>1</v>
      </c>
      <c r="H420" s="29" t="b">
        <v>0</v>
      </c>
      <c r="I420" s="29">
        <v>8</v>
      </c>
      <c r="J420" s="29">
        <v>106400</v>
      </c>
      <c r="K420" s="29" t="s">
        <v>324</v>
      </c>
      <c r="L420" s="29">
        <v>10640007</v>
      </c>
      <c r="M420" s="29">
        <v>10640009</v>
      </c>
      <c r="N420" s="29" t="s">
        <v>461</v>
      </c>
      <c r="O420" s="29">
        <v>10902007</v>
      </c>
      <c r="P420" s="29">
        <v>0</v>
      </c>
      <c r="Q420" s="29">
        <v>0</v>
      </c>
      <c r="R420" s="29">
        <v>1</v>
      </c>
      <c r="T420" s="29">
        <v>100</v>
      </c>
      <c r="AY420" s="29" t="s">
        <v>425</v>
      </c>
      <c r="AZ420" s="29">
        <v>0</v>
      </c>
      <c r="GR420" s="29">
        <v>0</v>
      </c>
      <c r="GS420" s="29">
        <v>0</v>
      </c>
      <c r="GT420" s="29" t="s">
        <v>425</v>
      </c>
      <c r="GU420" s="29">
        <v>0</v>
      </c>
      <c r="GX420" s="29">
        <v>0</v>
      </c>
      <c r="GZ420" s="29">
        <v>0</v>
      </c>
      <c r="HA420" s="29">
        <v>0</v>
      </c>
      <c r="HB420" s="29">
        <v>0</v>
      </c>
      <c r="HC420" s="29">
        <v>0</v>
      </c>
      <c r="HD420" s="29">
        <v>0</v>
      </c>
      <c r="HE420" s="29" t="b">
        <v>0</v>
      </c>
      <c r="HG420" s="29">
        <v>0</v>
      </c>
      <c r="HI420" s="29" t="s">
        <v>334</v>
      </c>
      <c r="HJ420" s="29">
        <v>0</v>
      </c>
      <c r="HK420" s="29">
        <v>0</v>
      </c>
      <c r="HL420" s="29">
        <v>0</v>
      </c>
    </row>
    <row r="421" spans="2:220">
      <c r="B421" s="29" cm="1">
        <f t="array" ref="B421">10000000+INDEX(编号表!$B$1:$B$112,MATCH(D421,编号表!$A$1:$A$112,0))*10000+I421</f>
        <v>10640009</v>
      </c>
      <c r="C421" s="29" t="s">
        <v>460</v>
      </c>
      <c r="D421" s="29" t="s">
        <v>460</v>
      </c>
      <c r="E421" s="29" t="s">
        <v>445</v>
      </c>
      <c r="F421" s="29" t="s">
        <v>446</v>
      </c>
      <c r="G421" s="29">
        <v>1</v>
      </c>
      <c r="H421" s="29" t="b">
        <v>0</v>
      </c>
      <c r="I421" s="29">
        <v>9</v>
      </c>
      <c r="J421" s="29">
        <v>106400</v>
      </c>
      <c r="K421" s="29" t="s">
        <v>324</v>
      </c>
      <c r="L421" s="29">
        <v>10640008</v>
      </c>
      <c r="M421" s="29">
        <v>10640010</v>
      </c>
      <c r="N421" s="29" t="s">
        <v>461</v>
      </c>
      <c r="O421" s="29">
        <v>10902007</v>
      </c>
      <c r="P421" s="29">
        <v>0</v>
      </c>
      <c r="Q421" s="29">
        <v>0</v>
      </c>
      <c r="R421" s="29">
        <v>1</v>
      </c>
      <c r="T421" s="29">
        <v>100</v>
      </c>
      <c r="AY421" s="29" t="s">
        <v>425</v>
      </c>
      <c r="AZ421" s="29">
        <v>0</v>
      </c>
      <c r="GR421" s="29">
        <v>0</v>
      </c>
      <c r="GS421" s="29">
        <v>0</v>
      </c>
      <c r="GT421" s="29" t="s">
        <v>425</v>
      </c>
      <c r="GU421" s="29">
        <v>0</v>
      </c>
      <c r="GX421" s="29">
        <v>0</v>
      </c>
      <c r="GZ421" s="29">
        <v>0</v>
      </c>
      <c r="HA421" s="29">
        <v>0</v>
      </c>
      <c r="HB421" s="29">
        <v>0</v>
      </c>
      <c r="HC421" s="29">
        <v>0</v>
      </c>
      <c r="HD421" s="29">
        <v>0</v>
      </c>
      <c r="HE421" s="29" t="b">
        <v>0</v>
      </c>
      <c r="HG421" s="29">
        <v>0</v>
      </c>
      <c r="HI421" s="29" t="s">
        <v>334</v>
      </c>
      <c r="HJ421" s="29">
        <v>0</v>
      </c>
      <c r="HK421" s="29">
        <v>0</v>
      </c>
      <c r="HL421" s="29">
        <v>0</v>
      </c>
    </row>
    <row r="422" spans="2:220">
      <c r="B422" s="29" cm="1">
        <f t="array" ref="B422">10000000+INDEX(编号表!$B$1:$B$112,MATCH(D422,编号表!$A$1:$A$112,0))*10000+I422</f>
        <v>10640010</v>
      </c>
      <c r="C422" s="29" t="s">
        <v>460</v>
      </c>
      <c r="D422" s="29" t="s">
        <v>460</v>
      </c>
      <c r="E422" s="29" t="s">
        <v>445</v>
      </c>
      <c r="F422" s="29" t="s">
        <v>446</v>
      </c>
      <c r="G422" s="29">
        <v>1</v>
      </c>
      <c r="H422" s="29" t="b">
        <v>0</v>
      </c>
      <c r="I422" s="29">
        <v>10</v>
      </c>
      <c r="J422" s="29">
        <v>106400</v>
      </c>
      <c r="K422" s="29" t="s">
        <v>324</v>
      </c>
      <c r="L422" s="29">
        <v>10640009</v>
      </c>
      <c r="N422" s="29" t="s">
        <v>461</v>
      </c>
      <c r="O422" s="29">
        <v>10902007</v>
      </c>
      <c r="P422" s="29">
        <v>0</v>
      </c>
      <c r="Q422" s="29">
        <v>0</v>
      </c>
      <c r="R422" s="29">
        <v>1</v>
      </c>
      <c r="T422" s="29">
        <v>100</v>
      </c>
      <c r="AY422" s="29" t="s">
        <v>425</v>
      </c>
      <c r="AZ422" s="29">
        <v>0</v>
      </c>
      <c r="GR422" s="29">
        <v>0</v>
      </c>
      <c r="GS422" s="29">
        <v>0</v>
      </c>
      <c r="GT422" s="29" t="s">
        <v>425</v>
      </c>
      <c r="GU422" s="29">
        <v>0</v>
      </c>
      <c r="GX422" s="29">
        <v>0</v>
      </c>
      <c r="GZ422" s="29">
        <v>0</v>
      </c>
      <c r="HA422" s="29">
        <v>0</v>
      </c>
      <c r="HB422" s="29">
        <v>0</v>
      </c>
      <c r="HC422" s="29">
        <v>0</v>
      </c>
      <c r="HD422" s="29">
        <v>0</v>
      </c>
      <c r="HE422" s="29" t="b">
        <v>0</v>
      </c>
      <c r="HG422" s="29">
        <v>0</v>
      </c>
      <c r="HI422" s="29" t="s">
        <v>334</v>
      </c>
      <c r="HJ422" s="29">
        <v>0</v>
      </c>
      <c r="HK422" s="29">
        <v>0</v>
      </c>
      <c r="HL422" s="29">
        <v>0</v>
      </c>
    </row>
    <row r="423" spans="2:220">
      <c r="B423" s="29" cm="1">
        <f t="array" ref="B423">10000000+INDEX(编号表!$B$1:$B$112,MATCH(D423,编号表!$A$1:$A$112,0))*10000+I423</f>
        <v>10650001</v>
      </c>
      <c r="C423" s="29" t="s">
        <v>462</v>
      </c>
      <c r="D423" s="29" t="s">
        <v>462</v>
      </c>
      <c r="E423" s="29" t="s">
        <v>445</v>
      </c>
      <c r="F423" s="29" t="s">
        <v>446</v>
      </c>
      <c r="G423" s="29">
        <v>1</v>
      </c>
      <c r="H423" s="29" t="b">
        <v>0</v>
      </c>
      <c r="I423" s="29">
        <v>1</v>
      </c>
      <c r="J423" s="29">
        <v>106500</v>
      </c>
      <c r="K423" s="29" t="s">
        <v>324</v>
      </c>
      <c r="M423" s="29">
        <v>10650002</v>
      </c>
      <c r="N423" s="29" t="s">
        <v>463</v>
      </c>
      <c r="O423" s="29">
        <v>10902008</v>
      </c>
      <c r="P423" s="29">
        <v>0</v>
      </c>
      <c r="Q423" s="29">
        <v>0</v>
      </c>
      <c r="R423" s="29">
        <v>1</v>
      </c>
      <c r="T423" s="29">
        <v>100</v>
      </c>
      <c r="AY423" s="29" t="s">
        <v>425</v>
      </c>
      <c r="AZ423" s="29">
        <v>0</v>
      </c>
      <c r="GR423" s="29">
        <v>0</v>
      </c>
      <c r="GS423" s="29">
        <v>0</v>
      </c>
      <c r="GT423" s="29" t="s">
        <v>425</v>
      </c>
      <c r="GU423" s="29">
        <v>0</v>
      </c>
      <c r="GX423" s="29">
        <v>0</v>
      </c>
      <c r="GZ423" s="29">
        <v>0</v>
      </c>
      <c r="HA423" s="29">
        <v>0</v>
      </c>
      <c r="HB423" s="29">
        <v>0</v>
      </c>
      <c r="HC423" s="29">
        <v>0</v>
      </c>
      <c r="HD423" s="29">
        <v>0</v>
      </c>
      <c r="HE423" s="29" t="b">
        <v>0</v>
      </c>
      <c r="HG423" s="29">
        <v>0</v>
      </c>
      <c r="HI423" s="29" t="s">
        <v>334</v>
      </c>
      <c r="HJ423" s="29">
        <v>0</v>
      </c>
      <c r="HK423" s="29">
        <v>0</v>
      </c>
      <c r="HL423" s="29">
        <v>0</v>
      </c>
    </row>
    <row r="424" spans="2:220">
      <c r="B424" s="29" cm="1">
        <f t="array" ref="B424">10000000+INDEX(编号表!$B$1:$B$112,MATCH(D424,编号表!$A$1:$A$112,0))*10000+I424</f>
        <v>10650002</v>
      </c>
      <c r="C424" s="29" t="s">
        <v>462</v>
      </c>
      <c r="D424" s="29" t="s">
        <v>462</v>
      </c>
      <c r="E424" s="29" t="s">
        <v>445</v>
      </c>
      <c r="F424" s="29" t="s">
        <v>446</v>
      </c>
      <c r="G424" s="29">
        <v>1</v>
      </c>
      <c r="H424" s="29" t="b">
        <v>0</v>
      </c>
      <c r="I424" s="29">
        <v>2</v>
      </c>
      <c r="J424" s="29">
        <v>106500</v>
      </c>
      <c r="K424" s="29" t="s">
        <v>324</v>
      </c>
      <c r="L424" s="29">
        <v>10650001</v>
      </c>
      <c r="M424" s="29">
        <v>10650003</v>
      </c>
      <c r="N424" s="29" t="s">
        <v>463</v>
      </c>
      <c r="O424" s="29">
        <v>10902008</v>
      </c>
      <c r="P424" s="29">
        <v>0</v>
      </c>
      <c r="Q424" s="29">
        <v>0</v>
      </c>
      <c r="R424" s="29">
        <v>1</v>
      </c>
      <c r="T424" s="29">
        <v>100</v>
      </c>
      <c r="AY424" s="29" t="s">
        <v>425</v>
      </c>
      <c r="AZ424" s="29">
        <v>0</v>
      </c>
      <c r="GR424" s="29">
        <v>0</v>
      </c>
      <c r="GS424" s="29">
        <v>0</v>
      </c>
      <c r="GT424" s="29" t="s">
        <v>425</v>
      </c>
      <c r="GU424" s="29">
        <v>0</v>
      </c>
      <c r="GX424" s="29">
        <v>0</v>
      </c>
      <c r="GZ424" s="29">
        <v>0</v>
      </c>
      <c r="HA424" s="29">
        <v>0</v>
      </c>
      <c r="HB424" s="29">
        <v>0</v>
      </c>
      <c r="HC424" s="29">
        <v>0</v>
      </c>
      <c r="HD424" s="29">
        <v>0</v>
      </c>
      <c r="HE424" s="29" t="b">
        <v>0</v>
      </c>
      <c r="HG424" s="29">
        <v>0</v>
      </c>
      <c r="HI424" s="29" t="s">
        <v>334</v>
      </c>
      <c r="HJ424" s="29">
        <v>0</v>
      </c>
      <c r="HK424" s="29">
        <v>0</v>
      </c>
      <c r="HL424" s="29">
        <v>0</v>
      </c>
    </row>
    <row r="425" spans="2:220">
      <c r="B425" s="29" cm="1">
        <f t="array" ref="B425">10000000+INDEX(编号表!$B$1:$B$112,MATCH(D425,编号表!$A$1:$A$112,0))*10000+I425</f>
        <v>10650003</v>
      </c>
      <c r="C425" s="29" t="s">
        <v>462</v>
      </c>
      <c r="D425" s="29" t="s">
        <v>462</v>
      </c>
      <c r="E425" s="29" t="s">
        <v>445</v>
      </c>
      <c r="F425" s="29" t="s">
        <v>446</v>
      </c>
      <c r="G425" s="29">
        <v>1</v>
      </c>
      <c r="H425" s="29" t="b">
        <v>0</v>
      </c>
      <c r="I425" s="29">
        <v>3</v>
      </c>
      <c r="J425" s="29">
        <v>106500</v>
      </c>
      <c r="K425" s="29" t="s">
        <v>324</v>
      </c>
      <c r="L425" s="29">
        <v>10650002</v>
      </c>
      <c r="M425" s="29">
        <v>10650004</v>
      </c>
      <c r="N425" s="29" t="s">
        <v>463</v>
      </c>
      <c r="O425" s="29">
        <v>10902008</v>
      </c>
      <c r="P425" s="29">
        <v>0</v>
      </c>
      <c r="Q425" s="29">
        <v>0</v>
      </c>
      <c r="R425" s="29">
        <v>1</v>
      </c>
      <c r="T425" s="29">
        <v>100</v>
      </c>
      <c r="AY425" s="29" t="s">
        <v>425</v>
      </c>
      <c r="AZ425" s="29">
        <v>0</v>
      </c>
      <c r="GR425" s="29">
        <v>0</v>
      </c>
      <c r="GS425" s="29">
        <v>0</v>
      </c>
      <c r="GT425" s="29" t="s">
        <v>425</v>
      </c>
      <c r="GU425" s="29">
        <v>0</v>
      </c>
      <c r="GX425" s="29">
        <v>0</v>
      </c>
      <c r="GZ425" s="29">
        <v>0</v>
      </c>
      <c r="HA425" s="29">
        <v>0</v>
      </c>
      <c r="HB425" s="29">
        <v>0</v>
      </c>
      <c r="HC425" s="29">
        <v>0</v>
      </c>
      <c r="HD425" s="29">
        <v>0</v>
      </c>
      <c r="HE425" s="29" t="b">
        <v>0</v>
      </c>
      <c r="HG425" s="29">
        <v>0</v>
      </c>
      <c r="HI425" s="29" t="s">
        <v>334</v>
      </c>
      <c r="HJ425" s="29">
        <v>0</v>
      </c>
      <c r="HK425" s="29">
        <v>0</v>
      </c>
      <c r="HL425" s="29">
        <v>0</v>
      </c>
    </row>
    <row r="426" spans="2:220">
      <c r="B426" s="29" cm="1">
        <f t="array" ref="B426">10000000+INDEX(编号表!$B$1:$B$112,MATCH(D426,编号表!$A$1:$A$112,0))*10000+I426</f>
        <v>10650004</v>
      </c>
      <c r="C426" s="29" t="s">
        <v>462</v>
      </c>
      <c r="D426" s="29" t="s">
        <v>462</v>
      </c>
      <c r="E426" s="29" t="s">
        <v>445</v>
      </c>
      <c r="F426" s="29" t="s">
        <v>446</v>
      </c>
      <c r="G426" s="29">
        <v>1</v>
      </c>
      <c r="H426" s="29" t="b">
        <v>0</v>
      </c>
      <c r="I426" s="29">
        <v>4</v>
      </c>
      <c r="J426" s="29">
        <v>106500</v>
      </c>
      <c r="K426" s="29" t="s">
        <v>324</v>
      </c>
      <c r="L426" s="29">
        <v>10650003</v>
      </c>
      <c r="M426" s="29">
        <v>10650005</v>
      </c>
      <c r="N426" s="29" t="s">
        <v>463</v>
      </c>
      <c r="O426" s="29">
        <v>10902008</v>
      </c>
      <c r="P426" s="29">
        <v>0</v>
      </c>
      <c r="Q426" s="29">
        <v>0</v>
      </c>
      <c r="R426" s="29">
        <v>1</v>
      </c>
      <c r="T426" s="29">
        <v>100</v>
      </c>
      <c r="AY426" s="29" t="s">
        <v>425</v>
      </c>
      <c r="AZ426" s="29">
        <v>0</v>
      </c>
      <c r="GR426" s="29">
        <v>0</v>
      </c>
      <c r="GS426" s="29">
        <v>0</v>
      </c>
      <c r="GT426" s="29" t="s">
        <v>425</v>
      </c>
      <c r="GU426" s="29">
        <v>0</v>
      </c>
      <c r="GX426" s="29">
        <v>0</v>
      </c>
      <c r="GZ426" s="29">
        <v>0</v>
      </c>
      <c r="HA426" s="29">
        <v>0</v>
      </c>
      <c r="HB426" s="29">
        <v>0</v>
      </c>
      <c r="HC426" s="29">
        <v>0</v>
      </c>
      <c r="HD426" s="29">
        <v>0</v>
      </c>
      <c r="HE426" s="29" t="b">
        <v>0</v>
      </c>
      <c r="HG426" s="29">
        <v>0</v>
      </c>
      <c r="HI426" s="29" t="s">
        <v>334</v>
      </c>
      <c r="HJ426" s="29">
        <v>0</v>
      </c>
      <c r="HK426" s="29">
        <v>0</v>
      </c>
      <c r="HL426" s="29">
        <v>0</v>
      </c>
    </row>
    <row r="427" spans="2:220">
      <c r="B427" s="29" cm="1">
        <f t="array" ref="B427">10000000+INDEX(编号表!$B$1:$B$112,MATCH(D427,编号表!$A$1:$A$112,0))*10000+I427</f>
        <v>10650005</v>
      </c>
      <c r="C427" s="29" t="s">
        <v>462</v>
      </c>
      <c r="D427" s="29" t="s">
        <v>462</v>
      </c>
      <c r="E427" s="29" t="s">
        <v>445</v>
      </c>
      <c r="F427" s="29" t="s">
        <v>446</v>
      </c>
      <c r="G427" s="29">
        <v>1</v>
      </c>
      <c r="H427" s="29" t="b">
        <v>0</v>
      </c>
      <c r="I427" s="29">
        <v>5</v>
      </c>
      <c r="J427" s="29">
        <v>106500</v>
      </c>
      <c r="K427" s="29" t="s">
        <v>324</v>
      </c>
      <c r="L427" s="29">
        <v>10650004</v>
      </c>
      <c r="M427" s="29">
        <v>10650006</v>
      </c>
      <c r="N427" s="29" t="s">
        <v>463</v>
      </c>
      <c r="O427" s="29">
        <v>10902008</v>
      </c>
      <c r="P427" s="29">
        <v>0</v>
      </c>
      <c r="Q427" s="29">
        <v>0</v>
      </c>
      <c r="R427" s="29">
        <v>1</v>
      </c>
      <c r="T427" s="29">
        <v>100</v>
      </c>
      <c r="AY427" s="29" t="s">
        <v>425</v>
      </c>
      <c r="AZ427" s="29">
        <v>0</v>
      </c>
      <c r="GR427" s="29">
        <v>0</v>
      </c>
      <c r="GS427" s="29">
        <v>0</v>
      </c>
      <c r="GT427" s="29" t="s">
        <v>425</v>
      </c>
      <c r="GU427" s="29">
        <v>0</v>
      </c>
      <c r="GX427" s="29">
        <v>0</v>
      </c>
      <c r="GZ427" s="29">
        <v>0</v>
      </c>
      <c r="HA427" s="29">
        <v>0</v>
      </c>
      <c r="HB427" s="29">
        <v>0</v>
      </c>
      <c r="HC427" s="29">
        <v>0</v>
      </c>
      <c r="HD427" s="29">
        <v>0</v>
      </c>
      <c r="HE427" s="29" t="b">
        <v>0</v>
      </c>
      <c r="HG427" s="29">
        <v>0</v>
      </c>
      <c r="HI427" s="29" t="s">
        <v>334</v>
      </c>
      <c r="HJ427" s="29">
        <v>0</v>
      </c>
      <c r="HK427" s="29">
        <v>0</v>
      </c>
      <c r="HL427" s="29">
        <v>0</v>
      </c>
    </row>
    <row r="428" spans="2:220">
      <c r="B428" s="29" cm="1">
        <f t="array" ref="B428">10000000+INDEX(编号表!$B$1:$B$112,MATCH(D428,编号表!$A$1:$A$112,0))*10000+I428</f>
        <v>10650006</v>
      </c>
      <c r="C428" s="29" t="s">
        <v>462</v>
      </c>
      <c r="D428" s="29" t="s">
        <v>462</v>
      </c>
      <c r="E428" s="29" t="s">
        <v>445</v>
      </c>
      <c r="F428" s="29" t="s">
        <v>446</v>
      </c>
      <c r="G428" s="29">
        <v>1</v>
      </c>
      <c r="H428" s="29" t="b">
        <v>0</v>
      </c>
      <c r="I428" s="29">
        <v>6</v>
      </c>
      <c r="J428" s="29">
        <v>106500</v>
      </c>
      <c r="K428" s="29" t="s">
        <v>324</v>
      </c>
      <c r="L428" s="29">
        <v>10650005</v>
      </c>
      <c r="M428" s="29">
        <v>10650007</v>
      </c>
      <c r="N428" s="29" t="s">
        <v>463</v>
      </c>
      <c r="O428" s="29">
        <v>10902008</v>
      </c>
      <c r="P428" s="29">
        <v>0</v>
      </c>
      <c r="Q428" s="29">
        <v>0</v>
      </c>
      <c r="R428" s="29">
        <v>1</v>
      </c>
      <c r="T428" s="29">
        <v>100</v>
      </c>
      <c r="AY428" s="29" t="s">
        <v>425</v>
      </c>
      <c r="AZ428" s="29">
        <v>0</v>
      </c>
      <c r="GR428" s="29">
        <v>0</v>
      </c>
      <c r="GS428" s="29">
        <v>0</v>
      </c>
      <c r="GT428" s="29" t="s">
        <v>425</v>
      </c>
      <c r="GU428" s="29">
        <v>0</v>
      </c>
      <c r="GX428" s="29">
        <v>0</v>
      </c>
      <c r="GZ428" s="29">
        <v>0</v>
      </c>
      <c r="HA428" s="29">
        <v>0</v>
      </c>
      <c r="HB428" s="29">
        <v>0</v>
      </c>
      <c r="HC428" s="29">
        <v>0</v>
      </c>
      <c r="HD428" s="29">
        <v>0</v>
      </c>
      <c r="HE428" s="29" t="b">
        <v>0</v>
      </c>
      <c r="HG428" s="29">
        <v>0</v>
      </c>
      <c r="HI428" s="29" t="s">
        <v>334</v>
      </c>
      <c r="HJ428" s="29">
        <v>0</v>
      </c>
      <c r="HK428" s="29">
        <v>0</v>
      </c>
      <c r="HL428" s="29">
        <v>0</v>
      </c>
    </row>
    <row r="429" spans="2:220">
      <c r="B429" s="29" cm="1">
        <f t="array" ref="B429">10000000+INDEX(编号表!$B$1:$B$112,MATCH(D429,编号表!$A$1:$A$112,0))*10000+I429</f>
        <v>10650007</v>
      </c>
      <c r="C429" s="29" t="s">
        <v>462</v>
      </c>
      <c r="D429" s="29" t="s">
        <v>462</v>
      </c>
      <c r="E429" s="29" t="s">
        <v>445</v>
      </c>
      <c r="F429" s="29" t="s">
        <v>446</v>
      </c>
      <c r="G429" s="29">
        <v>1</v>
      </c>
      <c r="H429" s="29" t="b">
        <v>0</v>
      </c>
      <c r="I429" s="29">
        <v>7</v>
      </c>
      <c r="J429" s="29">
        <v>106500</v>
      </c>
      <c r="K429" s="29" t="s">
        <v>324</v>
      </c>
      <c r="L429" s="29">
        <v>10650006</v>
      </c>
      <c r="M429" s="29">
        <v>10650008</v>
      </c>
      <c r="N429" s="29" t="s">
        <v>463</v>
      </c>
      <c r="O429" s="29">
        <v>10902008</v>
      </c>
      <c r="P429" s="29">
        <v>0</v>
      </c>
      <c r="Q429" s="29">
        <v>0</v>
      </c>
      <c r="R429" s="29">
        <v>1</v>
      </c>
      <c r="T429" s="29">
        <v>100</v>
      </c>
      <c r="AY429" s="29" t="s">
        <v>425</v>
      </c>
      <c r="AZ429" s="29">
        <v>0</v>
      </c>
      <c r="GR429" s="29">
        <v>0</v>
      </c>
      <c r="GS429" s="29">
        <v>0</v>
      </c>
      <c r="GT429" s="29" t="s">
        <v>425</v>
      </c>
      <c r="GU429" s="29">
        <v>0</v>
      </c>
      <c r="GX429" s="29">
        <v>0</v>
      </c>
      <c r="GZ429" s="29">
        <v>0</v>
      </c>
      <c r="HA429" s="29">
        <v>0</v>
      </c>
      <c r="HB429" s="29">
        <v>0</v>
      </c>
      <c r="HC429" s="29">
        <v>0</v>
      </c>
      <c r="HD429" s="29">
        <v>0</v>
      </c>
      <c r="HE429" s="29" t="b">
        <v>0</v>
      </c>
      <c r="HG429" s="29">
        <v>0</v>
      </c>
      <c r="HI429" s="29" t="s">
        <v>334</v>
      </c>
      <c r="HJ429" s="29">
        <v>0</v>
      </c>
      <c r="HK429" s="29">
        <v>0</v>
      </c>
      <c r="HL429" s="29">
        <v>0</v>
      </c>
    </row>
    <row r="430" spans="2:220">
      <c r="B430" s="29" cm="1">
        <f t="array" ref="B430">10000000+INDEX(编号表!$B$1:$B$112,MATCH(D430,编号表!$A$1:$A$112,0))*10000+I430</f>
        <v>10650008</v>
      </c>
      <c r="C430" s="29" t="s">
        <v>462</v>
      </c>
      <c r="D430" s="29" t="s">
        <v>462</v>
      </c>
      <c r="E430" s="29" t="s">
        <v>445</v>
      </c>
      <c r="F430" s="29" t="s">
        <v>446</v>
      </c>
      <c r="G430" s="29">
        <v>1</v>
      </c>
      <c r="H430" s="29" t="b">
        <v>0</v>
      </c>
      <c r="I430" s="29">
        <v>8</v>
      </c>
      <c r="J430" s="29">
        <v>106500</v>
      </c>
      <c r="K430" s="29" t="s">
        <v>324</v>
      </c>
      <c r="L430" s="29">
        <v>10650007</v>
      </c>
      <c r="M430" s="29">
        <v>10650009</v>
      </c>
      <c r="N430" s="29" t="s">
        <v>463</v>
      </c>
      <c r="O430" s="29">
        <v>10902008</v>
      </c>
      <c r="P430" s="29">
        <v>0</v>
      </c>
      <c r="Q430" s="29">
        <v>0</v>
      </c>
      <c r="R430" s="29">
        <v>1</v>
      </c>
      <c r="T430" s="29">
        <v>100</v>
      </c>
      <c r="AY430" s="29" t="s">
        <v>425</v>
      </c>
      <c r="AZ430" s="29">
        <v>0</v>
      </c>
      <c r="GR430" s="29">
        <v>0</v>
      </c>
      <c r="GS430" s="29">
        <v>0</v>
      </c>
      <c r="GT430" s="29" t="s">
        <v>425</v>
      </c>
      <c r="GU430" s="29">
        <v>0</v>
      </c>
      <c r="GX430" s="29">
        <v>0</v>
      </c>
      <c r="GZ430" s="29">
        <v>0</v>
      </c>
      <c r="HA430" s="29">
        <v>0</v>
      </c>
      <c r="HB430" s="29">
        <v>0</v>
      </c>
      <c r="HC430" s="29">
        <v>0</v>
      </c>
      <c r="HD430" s="29">
        <v>0</v>
      </c>
      <c r="HE430" s="29" t="b">
        <v>0</v>
      </c>
      <c r="HG430" s="29">
        <v>0</v>
      </c>
      <c r="HI430" s="29" t="s">
        <v>334</v>
      </c>
      <c r="HJ430" s="29">
        <v>0</v>
      </c>
      <c r="HK430" s="29">
        <v>0</v>
      </c>
      <c r="HL430" s="29">
        <v>0</v>
      </c>
    </row>
    <row r="431" spans="2:220">
      <c r="B431" s="29" cm="1">
        <f t="array" ref="B431">10000000+INDEX(编号表!$B$1:$B$112,MATCH(D431,编号表!$A$1:$A$112,0))*10000+I431</f>
        <v>10650009</v>
      </c>
      <c r="C431" s="29" t="s">
        <v>462</v>
      </c>
      <c r="D431" s="29" t="s">
        <v>462</v>
      </c>
      <c r="E431" s="29" t="s">
        <v>445</v>
      </c>
      <c r="F431" s="29" t="s">
        <v>446</v>
      </c>
      <c r="G431" s="29">
        <v>1</v>
      </c>
      <c r="H431" s="29" t="b">
        <v>0</v>
      </c>
      <c r="I431" s="29">
        <v>9</v>
      </c>
      <c r="J431" s="29">
        <v>106500</v>
      </c>
      <c r="K431" s="29" t="s">
        <v>324</v>
      </c>
      <c r="L431" s="29">
        <v>10650008</v>
      </c>
      <c r="M431" s="29">
        <v>10650010</v>
      </c>
      <c r="N431" s="29" t="s">
        <v>463</v>
      </c>
      <c r="O431" s="29">
        <v>10902008</v>
      </c>
      <c r="P431" s="29">
        <v>0</v>
      </c>
      <c r="Q431" s="29">
        <v>0</v>
      </c>
      <c r="R431" s="29">
        <v>1</v>
      </c>
      <c r="T431" s="29">
        <v>100</v>
      </c>
      <c r="AY431" s="29" t="s">
        <v>425</v>
      </c>
      <c r="AZ431" s="29">
        <v>0</v>
      </c>
      <c r="GR431" s="29">
        <v>0</v>
      </c>
      <c r="GS431" s="29">
        <v>0</v>
      </c>
      <c r="GT431" s="29" t="s">
        <v>425</v>
      </c>
      <c r="GU431" s="29">
        <v>0</v>
      </c>
      <c r="GX431" s="29">
        <v>0</v>
      </c>
      <c r="GZ431" s="29">
        <v>0</v>
      </c>
      <c r="HA431" s="29">
        <v>0</v>
      </c>
      <c r="HB431" s="29">
        <v>0</v>
      </c>
      <c r="HC431" s="29">
        <v>0</v>
      </c>
      <c r="HD431" s="29">
        <v>0</v>
      </c>
      <c r="HE431" s="29" t="b">
        <v>0</v>
      </c>
      <c r="HG431" s="29">
        <v>0</v>
      </c>
      <c r="HI431" s="29" t="s">
        <v>334</v>
      </c>
      <c r="HJ431" s="29">
        <v>0</v>
      </c>
      <c r="HK431" s="29">
        <v>0</v>
      </c>
      <c r="HL431" s="29">
        <v>0</v>
      </c>
    </row>
    <row r="432" spans="2:220">
      <c r="B432" s="29" cm="1">
        <f t="array" ref="B432">10000000+INDEX(编号表!$B$1:$B$112,MATCH(D432,编号表!$A$1:$A$112,0))*10000+I432</f>
        <v>10650010</v>
      </c>
      <c r="C432" s="29" t="s">
        <v>462</v>
      </c>
      <c r="D432" s="29" t="s">
        <v>462</v>
      </c>
      <c r="E432" s="29" t="s">
        <v>445</v>
      </c>
      <c r="F432" s="29" t="s">
        <v>446</v>
      </c>
      <c r="G432" s="29">
        <v>1</v>
      </c>
      <c r="H432" s="29" t="b">
        <v>0</v>
      </c>
      <c r="I432" s="29">
        <v>10</v>
      </c>
      <c r="J432" s="29">
        <v>106500</v>
      </c>
      <c r="K432" s="29" t="s">
        <v>324</v>
      </c>
      <c r="L432" s="29">
        <v>10650009</v>
      </c>
      <c r="N432" s="29" t="s">
        <v>463</v>
      </c>
      <c r="O432" s="29">
        <v>10902008</v>
      </c>
      <c r="P432" s="29">
        <v>0</v>
      </c>
      <c r="Q432" s="29">
        <v>0</v>
      </c>
      <c r="R432" s="29">
        <v>1</v>
      </c>
      <c r="T432" s="29">
        <v>100</v>
      </c>
      <c r="AY432" s="29" t="s">
        <v>425</v>
      </c>
      <c r="AZ432" s="29">
        <v>0</v>
      </c>
      <c r="GR432" s="29">
        <v>0</v>
      </c>
      <c r="GS432" s="29">
        <v>0</v>
      </c>
      <c r="GT432" s="29" t="s">
        <v>425</v>
      </c>
      <c r="GU432" s="29">
        <v>0</v>
      </c>
      <c r="GX432" s="29">
        <v>0</v>
      </c>
      <c r="GZ432" s="29">
        <v>0</v>
      </c>
      <c r="HA432" s="29">
        <v>0</v>
      </c>
      <c r="HB432" s="29">
        <v>0</v>
      </c>
      <c r="HC432" s="29">
        <v>0</v>
      </c>
      <c r="HD432" s="29">
        <v>0</v>
      </c>
      <c r="HE432" s="29" t="b">
        <v>0</v>
      </c>
      <c r="HG432" s="29">
        <v>0</v>
      </c>
      <c r="HI432" s="29" t="s">
        <v>334</v>
      </c>
      <c r="HJ432" s="29">
        <v>0</v>
      </c>
      <c r="HK432" s="29">
        <v>0</v>
      </c>
      <c r="HL432" s="29">
        <v>0</v>
      </c>
    </row>
    <row r="433" spans="2:220">
      <c r="B433" s="29" cm="1">
        <f t="array" ref="B433">10000000+INDEX(编号表!$B$1:$B$112,MATCH(D433,编号表!$A$1:$A$112,0))*10000+I433</f>
        <v>10660001</v>
      </c>
      <c r="C433" s="29" t="s">
        <v>464</v>
      </c>
      <c r="D433" s="29" t="s">
        <v>464</v>
      </c>
      <c r="E433" s="29" t="s">
        <v>445</v>
      </c>
      <c r="F433" s="29" t="s">
        <v>465</v>
      </c>
      <c r="G433" s="29">
        <v>1</v>
      </c>
      <c r="H433" s="29" t="b">
        <v>0</v>
      </c>
      <c r="I433" s="29">
        <v>1</v>
      </c>
      <c r="J433" s="29">
        <v>106600</v>
      </c>
      <c r="K433" s="29" t="s">
        <v>324</v>
      </c>
      <c r="M433" s="29">
        <v>10660002</v>
      </c>
      <c r="N433" s="29" t="s">
        <v>466</v>
      </c>
      <c r="O433" s="29">
        <v>10902009</v>
      </c>
      <c r="P433" s="29">
        <v>0</v>
      </c>
      <c r="Q433" s="29">
        <v>0</v>
      </c>
      <c r="R433" s="29">
        <v>1</v>
      </c>
      <c r="AY433" s="29" t="s">
        <v>425</v>
      </c>
      <c r="AZ433" s="29">
        <v>0</v>
      </c>
      <c r="GR433" s="29">
        <v>0</v>
      </c>
      <c r="GS433" s="29">
        <v>0</v>
      </c>
      <c r="GT433" s="29" t="s">
        <v>425</v>
      </c>
      <c r="GU433" s="29">
        <v>0</v>
      </c>
      <c r="GX433" s="29">
        <v>0</v>
      </c>
      <c r="GZ433" s="29">
        <v>0</v>
      </c>
      <c r="HA433" s="29">
        <v>0</v>
      </c>
      <c r="HB433" s="29">
        <v>0</v>
      </c>
      <c r="HC433" s="29">
        <v>0</v>
      </c>
      <c r="HD433" s="29">
        <v>0</v>
      </c>
      <c r="HE433" s="29" t="b">
        <v>0</v>
      </c>
      <c r="HG433" s="29">
        <v>0</v>
      </c>
      <c r="HI433" s="29" t="s">
        <v>334</v>
      </c>
      <c r="HJ433" s="29">
        <v>0</v>
      </c>
      <c r="HK433" s="29">
        <v>0</v>
      </c>
      <c r="HL433" s="29">
        <v>0</v>
      </c>
    </row>
    <row r="434" spans="2:220">
      <c r="B434" s="29" cm="1">
        <f t="array" ref="B434">10000000+INDEX(编号表!$B$1:$B$112,MATCH(D434,编号表!$A$1:$A$112,0))*10000+I434</f>
        <v>10660002</v>
      </c>
      <c r="C434" s="29" t="s">
        <v>464</v>
      </c>
      <c r="D434" s="29" t="s">
        <v>464</v>
      </c>
      <c r="E434" s="29" t="s">
        <v>445</v>
      </c>
      <c r="F434" s="29" t="s">
        <v>465</v>
      </c>
      <c r="G434" s="29">
        <v>1</v>
      </c>
      <c r="H434" s="29" t="b">
        <v>0</v>
      </c>
      <c r="I434" s="29">
        <v>2</v>
      </c>
      <c r="J434" s="29">
        <v>106600</v>
      </c>
      <c r="K434" s="29" t="s">
        <v>324</v>
      </c>
      <c r="L434" s="29">
        <v>10660001</v>
      </c>
      <c r="M434" s="29">
        <v>10660003</v>
      </c>
      <c r="N434" s="29" t="s">
        <v>466</v>
      </c>
      <c r="O434" s="29">
        <v>10902009</v>
      </c>
      <c r="P434" s="29">
        <v>0</v>
      </c>
      <c r="Q434" s="29">
        <v>0</v>
      </c>
      <c r="R434" s="29">
        <v>1</v>
      </c>
      <c r="AY434" s="29" t="s">
        <v>425</v>
      </c>
      <c r="AZ434" s="29">
        <v>0</v>
      </c>
      <c r="GR434" s="29">
        <v>0</v>
      </c>
      <c r="GS434" s="29">
        <v>0</v>
      </c>
      <c r="GT434" s="29" t="s">
        <v>425</v>
      </c>
      <c r="GU434" s="29">
        <v>0</v>
      </c>
      <c r="GX434" s="29">
        <v>0</v>
      </c>
      <c r="GZ434" s="29">
        <v>0</v>
      </c>
      <c r="HA434" s="29">
        <v>0</v>
      </c>
      <c r="HB434" s="29">
        <v>0</v>
      </c>
      <c r="HC434" s="29">
        <v>0</v>
      </c>
      <c r="HD434" s="29">
        <v>0</v>
      </c>
      <c r="HE434" s="29" t="b">
        <v>0</v>
      </c>
      <c r="HG434" s="29">
        <v>0</v>
      </c>
      <c r="HI434" s="29" t="s">
        <v>334</v>
      </c>
      <c r="HJ434" s="29">
        <v>0</v>
      </c>
      <c r="HK434" s="29">
        <v>0</v>
      </c>
      <c r="HL434" s="29">
        <v>0</v>
      </c>
    </row>
    <row r="435" spans="2:220">
      <c r="B435" s="29" cm="1">
        <f t="array" ref="B435">10000000+INDEX(编号表!$B$1:$B$112,MATCH(D435,编号表!$A$1:$A$112,0))*10000+I435</f>
        <v>10660003</v>
      </c>
      <c r="C435" s="29" t="s">
        <v>464</v>
      </c>
      <c r="D435" s="29" t="s">
        <v>464</v>
      </c>
      <c r="E435" s="29" t="s">
        <v>445</v>
      </c>
      <c r="F435" s="29" t="s">
        <v>465</v>
      </c>
      <c r="G435" s="29">
        <v>1</v>
      </c>
      <c r="H435" s="29" t="b">
        <v>0</v>
      </c>
      <c r="I435" s="29">
        <v>3</v>
      </c>
      <c r="J435" s="29">
        <v>106600</v>
      </c>
      <c r="K435" s="29" t="s">
        <v>324</v>
      </c>
      <c r="L435" s="29">
        <v>10660002</v>
      </c>
      <c r="M435" s="29">
        <v>10660004</v>
      </c>
      <c r="N435" s="29" t="s">
        <v>466</v>
      </c>
      <c r="O435" s="29">
        <v>10902009</v>
      </c>
      <c r="P435" s="29">
        <v>0</v>
      </c>
      <c r="Q435" s="29">
        <v>0</v>
      </c>
      <c r="R435" s="29">
        <v>1</v>
      </c>
      <c r="AY435" s="29" t="s">
        <v>425</v>
      </c>
      <c r="AZ435" s="29">
        <v>0</v>
      </c>
      <c r="GR435" s="29">
        <v>0</v>
      </c>
      <c r="GS435" s="29">
        <v>0</v>
      </c>
      <c r="GT435" s="29" t="s">
        <v>425</v>
      </c>
      <c r="GU435" s="29">
        <v>0</v>
      </c>
      <c r="GX435" s="29">
        <v>0</v>
      </c>
      <c r="GZ435" s="29">
        <v>0</v>
      </c>
      <c r="HA435" s="29">
        <v>0</v>
      </c>
      <c r="HB435" s="29">
        <v>0</v>
      </c>
      <c r="HC435" s="29">
        <v>0</v>
      </c>
      <c r="HD435" s="29">
        <v>0</v>
      </c>
      <c r="HE435" s="29" t="b">
        <v>0</v>
      </c>
      <c r="HG435" s="29">
        <v>0</v>
      </c>
      <c r="HI435" s="29" t="s">
        <v>334</v>
      </c>
      <c r="HJ435" s="29">
        <v>0</v>
      </c>
      <c r="HK435" s="29">
        <v>0</v>
      </c>
      <c r="HL435" s="29">
        <v>0</v>
      </c>
    </row>
    <row r="436" spans="2:220">
      <c r="B436" s="29" cm="1">
        <f t="array" ref="B436">10000000+INDEX(编号表!$B$1:$B$112,MATCH(D436,编号表!$A$1:$A$112,0))*10000+I436</f>
        <v>10660004</v>
      </c>
      <c r="C436" s="29" t="s">
        <v>464</v>
      </c>
      <c r="D436" s="29" t="s">
        <v>464</v>
      </c>
      <c r="E436" s="29" t="s">
        <v>445</v>
      </c>
      <c r="F436" s="29" t="s">
        <v>465</v>
      </c>
      <c r="G436" s="29">
        <v>1</v>
      </c>
      <c r="H436" s="29" t="b">
        <v>0</v>
      </c>
      <c r="I436" s="29">
        <v>4</v>
      </c>
      <c r="J436" s="29">
        <v>106600</v>
      </c>
      <c r="K436" s="29" t="s">
        <v>324</v>
      </c>
      <c r="L436" s="29">
        <v>10660003</v>
      </c>
      <c r="M436" s="29">
        <v>10660005</v>
      </c>
      <c r="N436" s="29" t="s">
        <v>466</v>
      </c>
      <c r="O436" s="29">
        <v>10902009</v>
      </c>
      <c r="P436" s="29">
        <v>0</v>
      </c>
      <c r="Q436" s="29">
        <v>0</v>
      </c>
      <c r="R436" s="29">
        <v>1</v>
      </c>
      <c r="AY436" s="29" t="s">
        <v>425</v>
      </c>
      <c r="AZ436" s="29">
        <v>0</v>
      </c>
      <c r="GR436" s="29">
        <v>0</v>
      </c>
      <c r="GS436" s="29">
        <v>0</v>
      </c>
      <c r="GT436" s="29" t="s">
        <v>425</v>
      </c>
      <c r="GU436" s="29">
        <v>0</v>
      </c>
      <c r="GX436" s="29">
        <v>0</v>
      </c>
      <c r="GZ436" s="29">
        <v>0</v>
      </c>
      <c r="HA436" s="29">
        <v>0</v>
      </c>
      <c r="HB436" s="29">
        <v>0</v>
      </c>
      <c r="HC436" s="29">
        <v>0</v>
      </c>
      <c r="HD436" s="29">
        <v>0</v>
      </c>
      <c r="HE436" s="29" t="b">
        <v>0</v>
      </c>
      <c r="HG436" s="29">
        <v>0</v>
      </c>
      <c r="HI436" s="29" t="s">
        <v>334</v>
      </c>
      <c r="HJ436" s="29">
        <v>0</v>
      </c>
      <c r="HK436" s="29">
        <v>0</v>
      </c>
      <c r="HL436" s="29">
        <v>0</v>
      </c>
    </row>
    <row r="437" spans="2:220">
      <c r="B437" s="29" cm="1">
        <f t="array" ref="B437">10000000+INDEX(编号表!$B$1:$B$112,MATCH(D437,编号表!$A$1:$A$112,0))*10000+I437</f>
        <v>10660005</v>
      </c>
      <c r="C437" s="29" t="s">
        <v>464</v>
      </c>
      <c r="D437" s="29" t="s">
        <v>464</v>
      </c>
      <c r="E437" s="29" t="s">
        <v>445</v>
      </c>
      <c r="F437" s="29" t="s">
        <v>465</v>
      </c>
      <c r="G437" s="29">
        <v>1</v>
      </c>
      <c r="H437" s="29" t="b">
        <v>0</v>
      </c>
      <c r="I437" s="29">
        <v>5</v>
      </c>
      <c r="J437" s="29">
        <v>106600</v>
      </c>
      <c r="K437" s="29" t="s">
        <v>324</v>
      </c>
      <c r="L437" s="29">
        <v>10660004</v>
      </c>
      <c r="M437" s="29">
        <v>10660006</v>
      </c>
      <c r="N437" s="29" t="s">
        <v>466</v>
      </c>
      <c r="O437" s="29">
        <v>10902009</v>
      </c>
      <c r="P437" s="29">
        <v>0</v>
      </c>
      <c r="Q437" s="29">
        <v>0</v>
      </c>
      <c r="R437" s="29">
        <v>1</v>
      </c>
      <c r="AY437" s="29" t="s">
        <v>425</v>
      </c>
      <c r="AZ437" s="29">
        <v>0</v>
      </c>
      <c r="GR437" s="29">
        <v>0</v>
      </c>
      <c r="GS437" s="29">
        <v>0</v>
      </c>
      <c r="GT437" s="29" t="s">
        <v>425</v>
      </c>
      <c r="GU437" s="29">
        <v>0</v>
      </c>
      <c r="GX437" s="29">
        <v>0</v>
      </c>
      <c r="GZ437" s="29">
        <v>0</v>
      </c>
      <c r="HA437" s="29">
        <v>0</v>
      </c>
      <c r="HB437" s="29">
        <v>0</v>
      </c>
      <c r="HC437" s="29">
        <v>0</v>
      </c>
      <c r="HD437" s="29">
        <v>0</v>
      </c>
      <c r="HE437" s="29" t="b">
        <v>0</v>
      </c>
      <c r="HG437" s="29">
        <v>0</v>
      </c>
      <c r="HI437" s="29" t="s">
        <v>334</v>
      </c>
      <c r="HJ437" s="29">
        <v>0</v>
      </c>
      <c r="HK437" s="29">
        <v>0</v>
      </c>
      <c r="HL437" s="29">
        <v>0</v>
      </c>
    </row>
    <row r="438" spans="2:220">
      <c r="B438" s="29" cm="1">
        <f t="array" ref="B438">10000000+INDEX(编号表!$B$1:$B$112,MATCH(D438,编号表!$A$1:$A$112,0))*10000+I438</f>
        <v>10660006</v>
      </c>
      <c r="C438" s="29" t="s">
        <v>464</v>
      </c>
      <c r="D438" s="29" t="s">
        <v>464</v>
      </c>
      <c r="E438" s="29" t="s">
        <v>445</v>
      </c>
      <c r="F438" s="29" t="s">
        <v>465</v>
      </c>
      <c r="G438" s="29">
        <v>1</v>
      </c>
      <c r="H438" s="29" t="b">
        <v>0</v>
      </c>
      <c r="I438" s="29">
        <v>6</v>
      </c>
      <c r="J438" s="29">
        <v>106600</v>
      </c>
      <c r="K438" s="29" t="s">
        <v>324</v>
      </c>
      <c r="L438" s="29">
        <v>10660005</v>
      </c>
      <c r="M438" s="29">
        <v>10660007</v>
      </c>
      <c r="N438" s="29" t="s">
        <v>466</v>
      </c>
      <c r="O438" s="29">
        <v>10902009</v>
      </c>
      <c r="P438" s="29">
        <v>0</v>
      </c>
      <c r="Q438" s="29">
        <v>0</v>
      </c>
      <c r="R438" s="29">
        <v>1</v>
      </c>
      <c r="AY438" s="29" t="s">
        <v>425</v>
      </c>
      <c r="AZ438" s="29">
        <v>0</v>
      </c>
      <c r="GR438" s="29">
        <v>0</v>
      </c>
      <c r="GS438" s="29">
        <v>0</v>
      </c>
      <c r="GT438" s="29" t="s">
        <v>425</v>
      </c>
      <c r="GU438" s="29">
        <v>0</v>
      </c>
      <c r="GX438" s="29">
        <v>0</v>
      </c>
      <c r="GZ438" s="29">
        <v>0</v>
      </c>
      <c r="HA438" s="29">
        <v>0</v>
      </c>
      <c r="HB438" s="29">
        <v>0</v>
      </c>
      <c r="HC438" s="29">
        <v>0</v>
      </c>
      <c r="HD438" s="29">
        <v>0</v>
      </c>
      <c r="HE438" s="29" t="b">
        <v>0</v>
      </c>
      <c r="HG438" s="29">
        <v>0</v>
      </c>
      <c r="HI438" s="29" t="s">
        <v>334</v>
      </c>
      <c r="HJ438" s="29">
        <v>0</v>
      </c>
      <c r="HK438" s="29">
        <v>0</v>
      </c>
      <c r="HL438" s="29">
        <v>0</v>
      </c>
    </row>
    <row r="439" spans="2:220">
      <c r="B439" s="29" cm="1">
        <f t="array" ref="B439">10000000+INDEX(编号表!$B$1:$B$112,MATCH(D439,编号表!$A$1:$A$112,0))*10000+I439</f>
        <v>10660007</v>
      </c>
      <c r="C439" s="29" t="s">
        <v>464</v>
      </c>
      <c r="D439" s="29" t="s">
        <v>464</v>
      </c>
      <c r="E439" s="29" t="s">
        <v>445</v>
      </c>
      <c r="F439" s="29" t="s">
        <v>465</v>
      </c>
      <c r="G439" s="29">
        <v>1</v>
      </c>
      <c r="H439" s="29" t="b">
        <v>0</v>
      </c>
      <c r="I439" s="29">
        <v>7</v>
      </c>
      <c r="J439" s="29">
        <v>106600</v>
      </c>
      <c r="K439" s="29" t="s">
        <v>324</v>
      </c>
      <c r="L439" s="29">
        <v>10660006</v>
      </c>
      <c r="M439" s="29">
        <v>10660008</v>
      </c>
      <c r="N439" s="29" t="s">
        <v>466</v>
      </c>
      <c r="O439" s="29">
        <v>10902009</v>
      </c>
      <c r="P439" s="29">
        <v>0</v>
      </c>
      <c r="Q439" s="29">
        <v>0</v>
      </c>
      <c r="R439" s="29">
        <v>1</v>
      </c>
      <c r="AY439" s="29" t="s">
        <v>425</v>
      </c>
      <c r="AZ439" s="29">
        <v>0</v>
      </c>
      <c r="GR439" s="29">
        <v>0</v>
      </c>
      <c r="GS439" s="29">
        <v>0</v>
      </c>
      <c r="GT439" s="29" t="s">
        <v>425</v>
      </c>
      <c r="GU439" s="29">
        <v>0</v>
      </c>
      <c r="GX439" s="29">
        <v>0</v>
      </c>
      <c r="GZ439" s="29">
        <v>0</v>
      </c>
      <c r="HA439" s="29">
        <v>0</v>
      </c>
      <c r="HB439" s="29">
        <v>0</v>
      </c>
      <c r="HC439" s="29">
        <v>0</v>
      </c>
      <c r="HD439" s="29">
        <v>0</v>
      </c>
      <c r="HE439" s="29" t="b">
        <v>0</v>
      </c>
      <c r="HG439" s="29">
        <v>0</v>
      </c>
      <c r="HI439" s="29" t="s">
        <v>334</v>
      </c>
      <c r="HJ439" s="29">
        <v>0</v>
      </c>
      <c r="HK439" s="29">
        <v>0</v>
      </c>
      <c r="HL439" s="29">
        <v>0</v>
      </c>
    </row>
    <row r="440" spans="2:220">
      <c r="B440" s="29" cm="1">
        <f t="array" ref="B440">10000000+INDEX(编号表!$B$1:$B$112,MATCH(D440,编号表!$A$1:$A$112,0))*10000+I440</f>
        <v>10660008</v>
      </c>
      <c r="C440" s="29" t="s">
        <v>464</v>
      </c>
      <c r="D440" s="29" t="s">
        <v>464</v>
      </c>
      <c r="E440" s="29" t="s">
        <v>445</v>
      </c>
      <c r="F440" s="29" t="s">
        <v>465</v>
      </c>
      <c r="G440" s="29">
        <v>1</v>
      </c>
      <c r="H440" s="29" t="b">
        <v>0</v>
      </c>
      <c r="I440" s="29">
        <v>8</v>
      </c>
      <c r="J440" s="29">
        <v>106600</v>
      </c>
      <c r="K440" s="29" t="s">
        <v>324</v>
      </c>
      <c r="L440" s="29">
        <v>10660007</v>
      </c>
      <c r="M440" s="29">
        <v>10660009</v>
      </c>
      <c r="N440" s="29" t="s">
        <v>466</v>
      </c>
      <c r="O440" s="29">
        <v>10902009</v>
      </c>
      <c r="P440" s="29">
        <v>0</v>
      </c>
      <c r="Q440" s="29">
        <v>0</v>
      </c>
      <c r="R440" s="29">
        <v>1</v>
      </c>
      <c r="AY440" s="29" t="s">
        <v>425</v>
      </c>
      <c r="AZ440" s="29">
        <v>0</v>
      </c>
      <c r="GR440" s="29">
        <v>0</v>
      </c>
      <c r="GS440" s="29">
        <v>0</v>
      </c>
      <c r="GT440" s="29" t="s">
        <v>425</v>
      </c>
      <c r="GU440" s="29">
        <v>0</v>
      </c>
      <c r="GX440" s="29">
        <v>0</v>
      </c>
      <c r="GZ440" s="29">
        <v>0</v>
      </c>
      <c r="HA440" s="29">
        <v>0</v>
      </c>
      <c r="HB440" s="29">
        <v>0</v>
      </c>
      <c r="HC440" s="29">
        <v>0</v>
      </c>
      <c r="HD440" s="29">
        <v>0</v>
      </c>
      <c r="HE440" s="29" t="b">
        <v>0</v>
      </c>
      <c r="HG440" s="29">
        <v>0</v>
      </c>
      <c r="HI440" s="29" t="s">
        <v>334</v>
      </c>
      <c r="HJ440" s="29">
        <v>0</v>
      </c>
      <c r="HK440" s="29">
        <v>0</v>
      </c>
      <c r="HL440" s="29">
        <v>0</v>
      </c>
    </row>
    <row r="441" spans="2:220">
      <c r="B441" s="29" cm="1">
        <f t="array" ref="B441">10000000+INDEX(编号表!$B$1:$B$112,MATCH(D441,编号表!$A$1:$A$112,0))*10000+I441</f>
        <v>10660009</v>
      </c>
      <c r="C441" s="29" t="s">
        <v>464</v>
      </c>
      <c r="D441" s="29" t="s">
        <v>464</v>
      </c>
      <c r="E441" s="29" t="s">
        <v>445</v>
      </c>
      <c r="F441" s="29" t="s">
        <v>465</v>
      </c>
      <c r="G441" s="29">
        <v>1</v>
      </c>
      <c r="H441" s="29" t="b">
        <v>0</v>
      </c>
      <c r="I441" s="29">
        <v>9</v>
      </c>
      <c r="J441" s="29">
        <v>106600</v>
      </c>
      <c r="K441" s="29" t="s">
        <v>324</v>
      </c>
      <c r="L441" s="29">
        <v>10660008</v>
      </c>
      <c r="M441" s="29">
        <v>10660010</v>
      </c>
      <c r="N441" s="29" t="s">
        <v>466</v>
      </c>
      <c r="O441" s="29">
        <v>10902009</v>
      </c>
      <c r="P441" s="29">
        <v>0</v>
      </c>
      <c r="Q441" s="29">
        <v>0</v>
      </c>
      <c r="R441" s="29">
        <v>1</v>
      </c>
      <c r="AY441" s="29" t="s">
        <v>425</v>
      </c>
      <c r="AZ441" s="29">
        <v>0</v>
      </c>
      <c r="GR441" s="29">
        <v>0</v>
      </c>
      <c r="GS441" s="29">
        <v>0</v>
      </c>
      <c r="GT441" s="29" t="s">
        <v>425</v>
      </c>
      <c r="GU441" s="29">
        <v>0</v>
      </c>
      <c r="GX441" s="29">
        <v>0</v>
      </c>
      <c r="GZ441" s="29">
        <v>0</v>
      </c>
      <c r="HA441" s="29">
        <v>0</v>
      </c>
      <c r="HB441" s="29">
        <v>0</v>
      </c>
      <c r="HC441" s="29">
        <v>0</v>
      </c>
      <c r="HD441" s="29">
        <v>0</v>
      </c>
      <c r="HE441" s="29" t="b">
        <v>0</v>
      </c>
      <c r="HG441" s="29">
        <v>0</v>
      </c>
      <c r="HI441" s="29" t="s">
        <v>334</v>
      </c>
      <c r="HJ441" s="29">
        <v>0</v>
      </c>
      <c r="HK441" s="29">
        <v>0</v>
      </c>
      <c r="HL441" s="29">
        <v>0</v>
      </c>
    </row>
    <row r="442" spans="2:220">
      <c r="B442" s="29" cm="1">
        <f t="array" ref="B442">10000000+INDEX(编号表!$B$1:$B$112,MATCH(D442,编号表!$A$1:$A$112,0))*10000+I442</f>
        <v>10660010</v>
      </c>
      <c r="C442" s="29" t="s">
        <v>464</v>
      </c>
      <c r="D442" s="29" t="s">
        <v>464</v>
      </c>
      <c r="E442" s="29" t="s">
        <v>445</v>
      </c>
      <c r="F442" s="29" t="s">
        <v>465</v>
      </c>
      <c r="G442" s="29">
        <v>1</v>
      </c>
      <c r="H442" s="29" t="b">
        <v>0</v>
      </c>
      <c r="I442" s="29">
        <v>10</v>
      </c>
      <c r="J442" s="29">
        <v>106600</v>
      </c>
      <c r="K442" s="29" t="s">
        <v>324</v>
      </c>
      <c r="L442" s="29">
        <v>10660009</v>
      </c>
      <c r="N442" s="29" t="s">
        <v>466</v>
      </c>
      <c r="O442" s="29">
        <v>10902009</v>
      </c>
      <c r="P442" s="29">
        <v>0</v>
      </c>
      <c r="Q442" s="29">
        <v>0</v>
      </c>
      <c r="R442" s="29">
        <v>1</v>
      </c>
      <c r="AY442" s="29" t="s">
        <v>425</v>
      </c>
      <c r="AZ442" s="29">
        <v>0</v>
      </c>
      <c r="GR442" s="29">
        <v>0</v>
      </c>
      <c r="GS442" s="29">
        <v>0</v>
      </c>
      <c r="GT442" s="29" t="s">
        <v>425</v>
      </c>
      <c r="GU442" s="29">
        <v>0</v>
      </c>
      <c r="GX442" s="29">
        <v>0</v>
      </c>
      <c r="GZ442" s="29">
        <v>0</v>
      </c>
      <c r="HA442" s="29">
        <v>0</v>
      </c>
      <c r="HB442" s="29">
        <v>0</v>
      </c>
      <c r="HC442" s="29">
        <v>0</v>
      </c>
      <c r="HD442" s="29">
        <v>0</v>
      </c>
      <c r="HE442" s="29" t="b">
        <v>0</v>
      </c>
      <c r="HG442" s="29">
        <v>0</v>
      </c>
      <c r="HI442" s="29" t="s">
        <v>334</v>
      </c>
      <c r="HJ442" s="29">
        <v>0</v>
      </c>
      <c r="HK442" s="29">
        <v>0</v>
      </c>
      <c r="HL442" s="29">
        <v>0</v>
      </c>
    </row>
    <row r="443" spans="2:220">
      <c r="B443" s="29" cm="1">
        <f t="array" ref="B443">10000000+INDEX(编号表!$B$1:$B$112,MATCH(D443,编号表!$A$1:$A$112,0))*10000+I443</f>
        <v>10670001</v>
      </c>
      <c r="C443" s="29" t="s">
        <v>467</v>
      </c>
      <c r="D443" s="29" t="s">
        <v>467</v>
      </c>
      <c r="E443" s="29" t="s">
        <v>445</v>
      </c>
      <c r="F443" s="29" t="s">
        <v>468</v>
      </c>
      <c r="G443" s="29">
        <v>1</v>
      </c>
      <c r="H443" s="29" t="b">
        <v>0</v>
      </c>
      <c r="I443" s="29">
        <v>1</v>
      </c>
      <c r="J443" s="29">
        <v>106700</v>
      </c>
      <c r="K443" s="29" t="s">
        <v>324</v>
      </c>
      <c r="M443" s="29">
        <v>10670002</v>
      </c>
      <c r="N443" s="29" t="s">
        <v>469</v>
      </c>
      <c r="O443" s="29">
        <v>10902010</v>
      </c>
      <c r="P443" s="29">
        <v>0</v>
      </c>
      <c r="Q443" s="29">
        <v>0</v>
      </c>
      <c r="R443" s="29">
        <v>1</v>
      </c>
      <c r="AY443" s="29" t="s">
        <v>425</v>
      </c>
      <c r="AZ443" s="29">
        <v>0</v>
      </c>
      <c r="GR443" s="29">
        <v>0</v>
      </c>
      <c r="GS443" s="29">
        <v>0</v>
      </c>
      <c r="GT443" s="29" t="s">
        <v>425</v>
      </c>
      <c r="GU443" s="29">
        <v>0</v>
      </c>
      <c r="GX443" s="29">
        <v>0</v>
      </c>
      <c r="GZ443" s="29">
        <v>0</v>
      </c>
      <c r="HA443" s="29">
        <v>0</v>
      </c>
      <c r="HB443" s="29">
        <v>0</v>
      </c>
      <c r="HC443" s="29">
        <v>0</v>
      </c>
      <c r="HD443" s="29">
        <v>0</v>
      </c>
      <c r="HE443" s="29" t="b">
        <v>0</v>
      </c>
      <c r="HG443" s="29">
        <v>0</v>
      </c>
      <c r="HI443" s="29" t="s">
        <v>334</v>
      </c>
      <c r="HJ443" s="29">
        <v>0</v>
      </c>
      <c r="HK443" s="29">
        <v>0</v>
      </c>
      <c r="HL443" s="29">
        <v>0</v>
      </c>
    </row>
    <row r="444" spans="2:220">
      <c r="B444" s="29" cm="1">
        <f t="array" ref="B444">10000000+INDEX(编号表!$B$1:$B$112,MATCH(D444,编号表!$A$1:$A$112,0))*10000+I444</f>
        <v>10670002</v>
      </c>
      <c r="C444" s="29" t="s">
        <v>467</v>
      </c>
      <c r="D444" s="29" t="s">
        <v>467</v>
      </c>
      <c r="E444" s="29" t="s">
        <v>445</v>
      </c>
      <c r="F444" s="29" t="s">
        <v>468</v>
      </c>
      <c r="G444" s="29">
        <v>1</v>
      </c>
      <c r="H444" s="29" t="b">
        <v>0</v>
      </c>
      <c r="I444" s="29">
        <v>2</v>
      </c>
      <c r="J444" s="29">
        <v>106700</v>
      </c>
      <c r="K444" s="29" t="s">
        <v>324</v>
      </c>
      <c r="L444" s="29">
        <v>10670001</v>
      </c>
      <c r="M444" s="29">
        <v>10670003</v>
      </c>
      <c r="N444" s="29" t="s">
        <v>469</v>
      </c>
      <c r="O444" s="29">
        <v>10902010</v>
      </c>
      <c r="P444" s="29">
        <v>0</v>
      </c>
      <c r="Q444" s="29">
        <v>0</v>
      </c>
      <c r="R444" s="29">
        <v>1</v>
      </c>
      <c r="AY444" s="29" t="s">
        <v>425</v>
      </c>
      <c r="AZ444" s="29">
        <v>0</v>
      </c>
      <c r="GR444" s="29">
        <v>0</v>
      </c>
      <c r="GS444" s="29">
        <v>0</v>
      </c>
      <c r="GT444" s="29" t="s">
        <v>425</v>
      </c>
      <c r="GU444" s="29">
        <v>0</v>
      </c>
      <c r="GX444" s="29">
        <v>0</v>
      </c>
      <c r="GZ444" s="29">
        <v>0</v>
      </c>
      <c r="HA444" s="29">
        <v>0</v>
      </c>
      <c r="HB444" s="29">
        <v>0</v>
      </c>
      <c r="HC444" s="29">
        <v>0</v>
      </c>
      <c r="HD444" s="29">
        <v>0</v>
      </c>
      <c r="HE444" s="29" t="b">
        <v>0</v>
      </c>
      <c r="HG444" s="29">
        <v>0</v>
      </c>
      <c r="HI444" s="29" t="s">
        <v>334</v>
      </c>
      <c r="HJ444" s="29">
        <v>0</v>
      </c>
      <c r="HK444" s="29">
        <v>0</v>
      </c>
      <c r="HL444" s="29">
        <v>0</v>
      </c>
    </row>
    <row r="445" spans="2:220">
      <c r="B445" s="29" cm="1">
        <f t="array" ref="B445">10000000+INDEX(编号表!$B$1:$B$112,MATCH(D445,编号表!$A$1:$A$112,0))*10000+I445</f>
        <v>10670003</v>
      </c>
      <c r="C445" s="29" t="s">
        <v>467</v>
      </c>
      <c r="D445" s="29" t="s">
        <v>467</v>
      </c>
      <c r="E445" s="29" t="s">
        <v>445</v>
      </c>
      <c r="F445" s="29" t="s">
        <v>468</v>
      </c>
      <c r="G445" s="29">
        <v>1</v>
      </c>
      <c r="H445" s="29" t="b">
        <v>0</v>
      </c>
      <c r="I445" s="29">
        <v>3</v>
      </c>
      <c r="J445" s="29">
        <v>106700</v>
      </c>
      <c r="K445" s="29" t="s">
        <v>324</v>
      </c>
      <c r="L445" s="29">
        <v>10670002</v>
      </c>
      <c r="M445" s="29">
        <v>10670004</v>
      </c>
      <c r="N445" s="29" t="s">
        <v>469</v>
      </c>
      <c r="O445" s="29">
        <v>10902010</v>
      </c>
      <c r="P445" s="29">
        <v>0</v>
      </c>
      <c r="Q445" s="29">
        <v>0</v>
      </c>
      <c r="R445" s="29">
        <v>1</v>
      </c>
      <c r="AY445" s="29" t="s">
        <v>425</v>
      </c>
      <c r="AZ445" s="29">
        <v>0</v>
      </c>
      <c r="GR445" s="29">
        <v>0</v>
      </c>
      <c r="GS445" s="29">
        <v>0</v>
      </c>
      <c r="GT445" s="29" t="s">
        <v>425</v>
      </c>
      <c r="GU445" s="29">
        <v>0</v>
      </c>
      <c r="GX445" s="29">
        <v>0</v>
      </c>
      <c r="GZ445" s="29">
        <v>0</v>
      </c>
      <c r="HA445" s="29">
        <v>0</v>
      </c>
      <c r="HB445" s="29">
        <v>0</v>
      </c>
      <c r="HC445" s="29">
        <v>0</v>
      </c>
      <c r="HD445" s="29">
        <v>0</v>
      </c>
      <c r="HE445" s="29" t="b">
        <v>0</v>
      </c>
      <c r="HG445" s="29">
        <v>0</v>
      </c>
      <c r="HI445" s="29" t="s">
        <v>334</v>
      </c>
      <c r="HJ445" s="29">
        <v>0</v>
      </c>
      <c r="HK445" s="29">
        <v>0</v>
      </c>
      <c r="HL445" s="29">
        <v>0</v>
      </c>
    </row>
    <row r="446" spans="2:220">
      <c r="B446" s="29" cm="1">
        <f t="array" ref="B446">10000000+INDEX(编号表!$B$1:$B$112,MATCH(D446,编号表!$A$1:$A$112,0))*10000+I446</f>
        <v>10670004</v>
      </c>
      <c r="C446" s="29" t="s">
        <v>467</v>
      </c>
      <c r="D446" s="29" t="s">
        <v>467</v>
      </c>
      <c r="E446" s="29" t="s">
        <v>445</v>
      </c>
      <c r="F446" s="29" t="s">
        <v>468</v>
      </c>
      <c r="G446" s="29">
        <v>1</v>
      </c>
      <c r="H446" s="29" t="b">
        <v>0</v>
      </c>
      <c r="I446" s="29">
        <v>4</v>
      </c>
      <c r="J446" s="29">
        <v>106700</v>
      </c>
      <c r="K446" s="29" t="s">
        <v>324</v>
      </c>
      <c r="L446" s="29">
        <v>10670003</v>
      </c>
      <c r="M446" s="29">
        <v>10670005</v>
      </c>
      <c r="N446" s="29" t="s">
        <v>469</v>
      </c>
      <c r="O446" s="29">
        <v>10902010</v>
      </c>
      <c r="P446" s="29">
        <v>0</v>
      </c>
      <c r="Q446" s="29">
        <v>0</v>
      </c>
      <c r="R446" s="29">
        <v>1</v>
      </c>
      <c r="AY446" s="29" t="s">
        <v>425</v>
      </c>
      <c r="AZ446" s="29">
        <v>0</v>
      </c>
      <c r="GR446" s="29">
        <v>0</v>
      </c>
      <c r="GS446" s="29">
        <v>0</v>
      </c>
      <c r="GT446" s="29" t="s">
        <v>425</v>
      </c>
      <c r="GU446" s="29">
        <v>0</v>
      </c>
      <c r="GX446" s="29">
        <v>0</v>
      </c>
      <c r="GZ446" s="29">
        <v>0</v>
      </c>
      <c r="HA446" s="29">
        <v>0</v>
      </c>
      <c r="HB446" s="29">
        <v>0</v>
      </c>
      <c r="HC446" s="29">
        <v>0</v>
      </c>
      <c r="HD446" s="29">
        <v>0</v>
      </c>
      <c r="HE446" s="29" t="b">
        <v>0</v>
      </c>
      <c r="HG446" s="29">
        <v>0</v>
      </c>
      <c r="HI446" s="29" t="s">
        <v>334</v>
      </c>
      <c r="HJ446" s="29">
        <v>0</v>
      </c>
      <c r="HK446" s="29">
        <v>0</v>
      </c>
      <c r="HL446" s="29">
        <v>0</v>
      </c>
    </row>
    <row r="447" spans="2:220">
      <c r="B447" s="29" cm="1">
        <f t="array" ref="B447">10000000+INDEX(编号表!$B$1:$B$112,MATCH(D447,编号表!$A$1:$A$112,0))*10000+I447</f>
        <v>10670005</v>
      </c>
      <c r="C447" s="29" t="s">
        <v>467</v>
      </c>
      <c r="D447" s="29" t="s">
        <v>467</v>
      </c>
      <c r="E447" s="29" t="s">
        <v>445</v>
      </c>
      <c r="F447" s="29" t="s">
        <v>468</v>
      </c>
      <c r="G447" s="29">
        <v>1</v>
      </c>
      <c r="H447" s="29" t="b">
        <v>0</v>
      </c>
      <c r="I447" s="29">
        <v>5</v>
      </c>
      <c r="J447" s="29">
        <v>106700</v>
      </c>
      <c r="K447" s="29" t="s">
        <v>324</v>
      </c>
      <c r="L447" s="29">
        <v>10670004</v>
      </c>
      <c r="M447" s="29">
        <v>10670006</v>
      </c>
      <c r="N447" s="29" t="s">
        <v>469</v>
      </c>
      <c r="O447" s="29">
        <v>10902010</v>
      </c>
      <c r="P447" s="29">
        <v>0</v>
      </c>
      <c r="Q447" s="29">
        <v>0</v>
      </c>
      <c r="R447" s="29">
        <v>1</v>
      </c>
      <c r="AY447" s="29" t="s">
        <v>425</v>
      </c>
      <c r="AZ447" s="29">
        <v>0</v>
      </c>
      <c r="GR447" s="29">
        <v>0</v>
      </c>
      <c r="GS447" s="29">
        <v>0</v>
      </c>
      <c r="GT447" s="29" t="s">
        <v>425</v>
      </c>
      <c r="GU447" s="29">
        <v>0</v>
      </c>
      <c r="GX447" s="29">
        <v>0</v>
      </c>
      <c r="GZ447" s="29">
        <v>0</v>
      </c>
      <c r="HA447" s="29">
        <v>0</v>
      </c>
      <c r="HB447" s="29">
        <v>0</v>
      </c>
      <c r="HC447" s="29">
        <v>0</v>
      </c>
      <c r="HD447" s="29">
        <v>0</v>
      </c>
      <c r="HE447" s="29" t="b">
        <v>0</v>
      </c>
      <c r="HG447" s="29">
        <v>0</v>
      </c>
      <c r="HI447" s="29" t="s">
        <v>334</v>
      </c>
      <c r="HJ447" s="29">
        <v>0</v>
      </c>
      <c r="HK447" s="29">
        <v>0</v>
      </c>
      <c r="HL447" s="29">
        <v>0</v>
      </c>
    </row>
    <row r="448" spans="2:220">
      <c r="B448" s="29" cm="1">
        <f t="array" ref="B448">10000000+INDEX(编号表!$B$1:$B$112,MATCH(D448,编号表!$A$1:$A$112,0))*10000+I448</f>
        <v>10670006</v>
      </c>
      <c r="C448" s="29" t="s">
        <v>467</v>
      </c>
      <c r="D448" s="29" t="s">
        <v>467</v>
      </c>
      <c r="E448" s="29" t="s">
        <v>445</v>
      </c>
      <c r="F448" s="29" t="s">
        <v>468</v>
      </c>
      <c r="G448" s="29">
        <v>1</v>
      </c>
      <c r="H448" s="29" t="b">
        <v>0</v>
      </c>
      <c r="I448" s="29">
        <v>6</v>
      </c>
      <c r="J448" s="29">
        <v>106700</v>
      </c>
      <c r="K448" s="29" t="s">
        <v>324</v>
      </c>
      <c r="L448" s="29">
        <v>10670005</v>
      </c>
      <c r="M448" s="29">
        <v>10670007</v>
      </c>
      <c r="N448" s="29" t="s">
        <v>469</v>
      </c>
      <c r="O448" s="29">
        <v>10902010</v>
      </c>
      <c r="P448" s="29">
        <v>0</v>
      </c>
      <c r="Q448" s="29">
        <v>0</v>
      </c>
      <c r="R448" s="29">
        <v>1</v>
      </c>
      <c r="AY448" s="29" t="s">
        <v>425</v>
      </c>
      <c r="AZ448" s="29">
        <v>0</v>
      </c>
      <c r="GR448" s="29">
        <v>0</v>
      </c>
      <c r="GS448" s="29">
        <v>0</v>
      </c>
      <c r="GT448" s="29" t="s">
        <v>425</v>
      </c>
      <c r="GU448" s="29">
        <v>0</v>
      </c>
      <c r="GX448" s="29">
        <v>0</v>
      </c>
      <c r="GZ448" s="29">
        <v>0</v>
      </c>
      <c r="HA448" s="29">
        <v>0</v>
      </c>
      <c r="HB448" s="29">
        <v>0</v>
      </c>
      <c r="HC448" s="29">
        <v>0</v>
      </c>
      <c r="HD448" s="29">
        <v>0</v>
      </c>
      <c r="HE448" s="29" t="b">
        <v>0</v>
      </c>
      <c r="HG448" s="29">
        <v>0</v>
      </c>
      <c r="HI448" s="29" t="s">
        <v>334</v>
      </c>
      <c r="HJ448" s="29">
        <v>0</v>
      </c>
      <c r="HK448" s="29">
        <v>0</v>
      </c>
      <c r="HL448" s="29">
        <v>0</v>
      </c>
    </row>
    <row r="449" spans="2:220">
      <c r="B449" s="29" cm="1">
        <f t="array" ref="B449">10000000+INDEX(编号表!$B$1:$B$112,MATCH(D449,编号表!$A$1:$A$112,0))*10000+I449</f>
        <v>10670007</v>
      </c>
      <c r="C449" s="29" t="s">
        <v>467</v>
      </c>
      <c r="D449" s="29" t="s">
        <v>467</v>
      </c>
      <c r="E449" s="29" t="s">
        <v>445</v>
      </c>
      <c r="F449" s="29" t="s">
        <v>468</v>
      </c>
      <c r="G449" s="29">
        <v>1</v>
      </c>
      <c r="H449" s="29" t="b">
        <v>0</v>
      </c>
      <c r="I449" s="29">
        <v>7</v>
      </c>
      <c r="J449" s="29">
        <v>106700</v>
      </c>
      <c r="K449" s="29" t="s">
        <v>324</v>
      </c>
      <c r="L449" s="29">
        <v>10670006</v>
      </c>
      <c r="M449" s="29">
        <v>10670008</v>
      </c>
      <c r="N449" s="29" t="s">
        <v>469</v>
      </c>
      <c r="O449" s="29">
        <v>10902010</v>
      </c>
      <c r="P449" s="29">
        <v>0</v>
      </c>
      <c r="Q449" s="29">
        <v>0</v>
      </c>
      <c r="R449" s="29">
        <v>1</v>
      </c>
      <c r="AY449" s="29" t="s">
        <v>425</v>
      </c>
      <c r="AZ449" s="29">
        <v>0</v>
      </c>
      <c r="GR449" s="29">
        <v>0</v>
      </c>
      <c r="GS449" s="29">
        <v>0</v>
      </c>
      <c r="GT449" s="29" t="s">
        <v>425</v>
      </c>
      <c r="GU449" s="29">
        <v>0</v>
      </c>
      <c r="GX449" s="29">
        <v>0</v>
      </c>
      <c r="GZ449" s="29">
        <v>0</v>
      </c>
      <c r="HA449" s="29">
        <v>0</v>
      </c>
      <c r="HB449" s="29">
        <v>0</v>
      </c>
      <c r="HC449" s="29">
        <v>0</v>
      </c>
      <c r="HD449" s="29">
        <v>0</v>
      </c>
      <c r="HE449" s="29" t="b">
        <v>0</v>
      </c>
      <c r="HG449" s="29">
        <v>0</v>
      </c>
      <c r="HI449" s="29" t="s">
        <v>334</v>
      </c>
      <c r="HJ449" s="29">
        <v>0</v>
      </c>
      <c r="HK449" s="29">
        <v>0</v>
      </c>
      <c r="HL449" s="29">
        <v>0</v>
      </c>
    </row>
    <row r="450" spans="2:220">
      <c r="B450" s="29" cm="1">
        <f t="array" ref="B450">10000000+INDEX(编号表!$B$1:$B$112,MATCH(D450,编号表!$A$1:$A$112,0))*10000+I450</f>
        <v>10670008</v>
      </c>
      <c r="C450" s="29" t="s">
        <v>467</v>
      </c>
      <c r="D450" s="29" t="s">
        <v>467</v>
      </c>
      <c r="E450" s="29" t="s">
        <v>445</v>
      </c>
      <c r="F450" s="29" t="s">
        <v>468</v>
      </c>
      <c r="G450" s="29">
        <v>1</v>
      </c>
      <c r="H450" s="29" t="b">
        <v>0</v>
      </c>
      <c r="I450" s="29">
        <v>8</v>
      </c>
      <c r="J450" s="29">
        <v>106700</v>
      </c>
      <c r="K450" s="29" t="s">
        <v>324</v>
      </c>
      <c r="L450" s="29">
        <v>10670007</v>
      </c>
      <c r="M450" s="29">
        <v>10670009</v>
      </c>
      <c r="N450" s="29" t="s">
        <v>469</v>
      </c>
      <c r="O450" s="29">
        <v>10902010</v>
      </c>
      <c r="P450" s="29">
        <v>0</v>
      </c>
      <c r="Q450" s="29">
        <v>0</v>
      </c>
      <c r="R450" s="29">
        <v>1</v>
      </c>
      <c r="AY450" s="29" t="s">
        <v>425</v>
      </c>
      <c r="AZ450" s="29">
        <v>0</v>
      </c>
      <c r="GR450" s="29">
        <v>0</v>
      </c>
      <c r="GS450" s="29">
        <v>0</v>
      </c>
      <c r="GT450" s="29" t="s">
        <v>425</v>
      </c>
      <c r="GU450" s="29">
        <v>0</v>
      </c>
      <c r="GX450" s="29">
        <v>0</v>
      </c>
      <c r="GZ450" s="29">
        <v>0</v>
      </c>
      <c r="HA450" s="29">
        <v>0</v>
      </c>
      <c r="HB450" s="29">
        <v>0</v>
      </c>
      <c r="HC450" s="29">
        <v>0</v>
      </c>
      <c r="HD450" s="29">
        <v>0</v>
      </c>
      <c r="HE450" s="29" t="b">
        <v>0</v>
      </c>
      <c r="HG450" s="29">
        <v>0</v>
      </c>
      <c r="HI450" s="29" t="s">
        <v>334</v>
      </c>
      <c r="HJ450" s="29">
        <v>0</v>
      </c>
      <c r="HK450" s="29">
        <v>0</v>
      </c>
      <c r="HL450" s="29">
        <v>0</v>
      </c>
    </row>
    <row r="451" spans="2:220">
      <c r="B451" s="29" cm="1">
        <f t="array" ref="B451">10000000+INDEX(编号表!$B$1:$B$112,MATCH(D451,编号表!$A$1:$A$112,0))*10000+I451</f>
        <v>10670009</v>
      </c>
      <c r="C451" s="29" t="s">
        <v>467</v>
      </c>
      <c r="D451" s="29" t="s">
        <v>467</v>
      </c>
      <c r="E451" s="29" t="s">
        <v>445</v>
      </c>
      <c r="F451" s="29" t="s">
        <v>468</v>
      </c>
      <c r="G451" s="29">
        <v>1</v>
      </c>
      <c r="H451" s="29" t="b">
        <v>0</v>
      </c>
      <c r="I451" s="29">
        <v>9</v>
      </c>
      <c r="J451" s="29">
        <v>106700</v>
      </c>
      <c r="K451" s="29" t="s">
        <v>324</v>
      </c>
      <c r="L451" s="29">
        <v>10670008</v>
      </c>
      <c r="M451" s="29">
        <v>10670010</v>
      </c>
      <c r="N451" s="29" t="s">
        <v>469</v>
      </c>
      <c r="O451" s="29">
        <v>10902010</v>
      </c>
      <c r="P451" s="29">
        <v>0</v>
      </c>
      <c r="Q451" s="29">
        <v>0</v>
      </c>
      <c r="R451" s="29">
        <v>1</v>
      </c>
      <c r="AY451" s="29" t="s">
        <v>425</v>
      </c>
      <c r="AZ451" s="29">
        <v>0</v>
      </c>
      <c r="GR451" s="29">
        <v>0</v>
      </c>
      <c r="GS451" s="29">
        <v>0</v>
      </c>
      <c r="GT451" s="29" t="s">
        <v>425</v>
      </c>
      <c r="GU451" s="29">
        <v>0</v>
      </c>
      <c r="GX451" s="29">
        <v>0</v>
      </c>
      <c r="GZ451" s="29">
        <v>0</v>
      </c>
      <c r="HA451" s="29">
        <v>0</v>
      </c>
      <c r="HB451" s="29">
        <v>0</v>
      </c>
      <c r="HC451" s="29">
        <v>0</v>
      </c>
      <c r="HD451" s="29">
        <v>0</v>
      </c>
      <c r="HE451" s="29" t="b">
        <v>0</v>
      </c>
      <c r="HG451" s="29">
        <v>0</v>
      </c>
      <c r="HI451" s="29" t="s">
        <v>334</v>
      </c>
      <c r="HJ451" s="29">
        <v>0</v>
      </c>
      <c r="HK451" s="29">
        <v>0</v>
      </c>
      <c r="HL451" s="29">
        <v>0</v>
      </c>
    </row>
    <row r="452" spans="2:220">
      <c r="B452" s="29" cm="1">
        <f t="array" ref="B452">10000000+INDEX(编号表!$B$1:$B$112,MATCH(D452,编号表!$A$1:$A$112,0))*10000+I452</f>
        <v>10670010</v>
      </c>
      <c r="C452" s="29" t="s">
        <v>467</v>
      </c>
      <c r="D452" s="29" t="s">
        <v>467</v>
      </c>
      <c r="E452" s="29" t="s">
        <v>445</v>
      </c>
      <c r="F452" s="29" t="s">
        <v>468</v>
      </c>
      <c r="G452" s="29">
        <v>1</v>
      </c>
      <c r="H452" s="29" t="b">
        <v>0</v>
      </c>
      <c r="I452" s="29">
        <v>10</v>
      </c>
      <c r="J452" s="29">
        <v>106700</v>
      </c>
      <c r="K452" s="29" t="s">
        <v>324</v>
      </c>
      <c r="L452" s="29">
        <v>10670009</v>
      </c>
      <c r="N452" s="29" t="s">
        <v>469</v>
      </c>
      <c r="O452" s="29">
        <v>10902010</v>
      </c>
      <c r="P452" s="29">
        <v>0</v>
      </c>
      <c r="Q452" s="29">
        <v>0</v>
      </c>
      <c r="R452" s="29">
        <v>1</v>
      </c>
      <c r="AY452" s="29" t="s">
        <v>425</v>
      </c>
      <c r="AZ452" s="29">
        <v>0</v>
      </c>
      <c r="GR452" s="29">
        <v>0</v>
      </c>
      <c r="GS452" s="29">
        <v>0</v>
      </c>
      <c r="GT452" s="29" t="s">
        <v>425</v>
      </c>
      <c r="GU452" s="29">
        <v>0</v>
      </c>
      <c r="GX452" s="29">
        <v>0</v>
      </c>
      <c r="GZ452" s="29">
        <v>0</v>
      </c>
      <c r="HA452" s="29">
        <v>0</v>
      </c>
      <c r="HB452" s="29">
        <v>0</v>
      </c>
      <c r="HC452" s="29">
        <v>0</v>
      </c>
      <c r="HD452" s="29">
        <v>0</v>
      </c>
      <c r="HE452" s="29" t="b">
        <v>0</v>
      </c>
      <c r="HG452" s="29">
        <v>0</v>
      </c>
      <c r="HI452" s="29" t="s">
        <v>334</v>
      </c>
      <c r="HJ452" s="29">
        <v>0</v>
      </c>
      <c r="HK452" s="29">
        <v>0</v>
      </c>
      <c r="HL452" s="29">
        <v>0</v>
      </c>
    </row>
    <row r="453">
      <c r="B453" s="29" cm="1">
        <f t="array" ref="B453">10000000+INDEX(编号表!$B$1:$B$112,MATCH(D453,编号表!$A$1:$A$112,0))*10000+I453</f>
        <v>10680001</v>
      </c>
      <c r="C453" s="29" t="s">
        <v>470</v>
      </c>
      <c r="D453" s="29" t="s">
        <v>470</v>
      </c>
      <c r="E453" s="29" t="s">
        <v>445</v>
      </c>
      <c r="F453" s="29" t="inlineStr">
        <is>
          <t xml:space="preserve">神通</t>
        </is>
      </c>
      <c r="G453" s="29">
        <v>1</v>
      </c>
      <c r="H453" s="29" t="b">
        <v>0</v>
      </c>
      <c r="I453" s="29">
        <v>1</v>
      </c>
      <c r="J453" s="29">
        <v>106800</v>
      </c>
      <c r="K453" s="29" t="s">
        <v>324</v>
      </c>
      <c r="M453" s="29">
        <v>10680002</v>
      </c>
      <c r="N453" s="29" t="s">
        <v>471</v>
      </c>
      <c r="O453" s="29">
        <v>10902011</v>
      </c>
      <c r="P453" s="29">
        <v>0</v>
      </c>
      <c r="Q453" s="29">
        <v>0</v>
      </c>
      <c r="R453" s="29">
        <v>1</v>
      </c>
      <c r="T453" s="29">
        <v>100</v>
      </c>
      <c r="AY453" s="29" t="s">
        <v>425</v>
      </c>
      <c r="AZ453" s="29">
        <v>0</v>
      </c>
      <c r="GR453" s="29">
        <v>0</v>
      </c>
      <c r="GS453" s="29">
        <v>0</v>
      </c>
      <c r="GT453" s="29" t="s">
        <v>425</v>
      </c>
      <c r="GU453" s="29">
        <v>0</v>
      </c>
      <c r="GX453" s="29">
        <v>0</v>
      </c>
      <c r="GZ453" s="29">
        <v>0</v>
      </c>
      <c r="HA453" s="29">
        <v>0</v>
      </c>
      <c r="HB453" s="29">
        <v>0</v>
      </c>
      <c r="HC453" s="29">
        <v>0</v>
      </c>
      <c r="HD453" s="29">
        <v>0</v>
      </c>
      <c r="HE453" s="29" t="b">
        <v>0</v>
      </c>
      <c r="HG453" s="29">
        <v>0</v>
      </c>
      <c r="HI453" s="29" t="s">
        <v>334</v>
      </c>
      <c r="HJ453" s="29">
        <v>0</v>
      </c>
      <c r="HK453" s="29">
        <v>0</v>
      </c>
      <c r="HL453" s="29">
        <v>0</v>
      </c>
    </row>
    <row r="454">
      <c r="B454" s="29" cm="1">
        <f t="array" ref="B454">10000000+INDEX(编号表!$B$1:$B$112,MATCH(D454,编号表!$A$1:$A$112,0))*10000+I454</f>
        <v>10680002</v>
      </c>
      <c r="C454" s="29" t="s">
        <v>470</v>
      </c>
      <c r="D454" s="29" t="s">
        <v>470</v>
      </c>
      <c r="E454" s="29" t="s">
        <v>445</v>
      </c>
      <c r="F454" s="29" t="inlineStr">
        <is>
          <t xml:space="preserve">神通</t>
        </is>
      </c>
      <c r="G454" s="29">
        <v>1</v>
      </c>
      <c r="H454" s="29" t="b">
        <v>0</v>
      </c>
      <c r="I454" s="29">
        <v>2</v>
      </c>
      <c r="J454" s="29">
        <v>106800</v>
      </c>
      <c r="K454" s="29" t="s">
        <v>324</v>
      </c>
      <c r="L454" s="29">
        <v>10680001</v>
      </c>
      <c r="M454" s="29">
        <v>10680003</v>
      </c>
      <c r="N454" s="29" t="s">
        <v>471</v>
      </c>
      <c r="O454" s="29">
        <v>10902011</v>
      </c>
      <c r="P454" s="29">
        <v>0</v>
      </c>
      <c r="Q454" s="29">
        <v>0</v>
      </c>
      <c r="R454" s="29">
        <v>1</v>
      </c>
      <c r="T454" s="29">
        <v>100</v>
      </c>
      <c r="AY454" s="29" t="s">
        <v>425</v>
      </c>
      <c r="AZ454" s="29">
        <v>0</v>
      </c>
      <c r="GR454" s="29">
        <v>0</v>
      </c>
      <c r="GS454" s="29">
        <v>0</v>
      </c>
      <c r="GT454" s="29" t="s">
        <v>425</v>
      </c>
      <c r="GU454" s="29">
        <v>0</v>
      </c>
      <c r="GX454" s="29">
        <v>0</v>
      </c>
      <c r="GZ454" s="29">
        <v>0</v>
      </c>
      <c r="HA454" s="29">
        <v>0</v>
      </c>
      <c r="HB454" s="29">
        <v>0</v>
      </c>
      <c r="HC454" s="29">
        <v>0</v>
      </c>
      <c r="HD454" s="29">
        <v>0</v>
      </c>
      <c r="HE454" s="29" t="b">
        <v>0</v>
      </c>
      <c r="HG454" s="29">
        <v>0</v>
      </c>
      <c r="HI454" s="29" t="s">
        <v>334</v>
      </c>
      <c r="HJ454" s="29">
        <v>0</v>
      </c>
      <c r="HK454" s="29">
        <v>0</v>
      </c>
      <c r="HL454" s="29">
        <v>0</v>
      </c>
    </row>
    <row r="455">
      <c r="B455" s="29" cm="1">
        <f t="array" ref="B455">10000000+INDEX(编号表!$B$1:$B$112,MATCH(D455,编号表!$A$1:$A$112,0))*10000+I455</f>
        <v>10680003</v>
      </c>
      <c r="C455" s="29" t="s">
        <v>470</v>
      </c>
      <c r="D455" s="29" t="s">
        <v>470</v>
      </c>
      <c r="E455" s="29" t="s">
        <v>445</v>
      </c>
      <c r="F455" s="29" t="inlineStr">
        <is>
          <t xml:space="preserve">神通</t>
        </is>
      </c>
      <c r="G455" s="29">
        <v>1</v>
      </c>
      <c r="H455" s="29" t="b">
        <v>0</v>
      </c>
      <c r="I455" s="29">
        <v>3</v>
      </c>
      <c r="J455" s="29">
        <v>106800</v>
      </c>
      <c r="K455" s="29" t="s">
        <v>324</v>
      </c>
      <c r="L455" s="29">
        <v>10680002</v>
      </c>
      <c r="M455" s="29">
        <v>10680004</v>
      </c>
      <c r="N455" s="29" t="s">
        <v>471</v>
      </c>
      <c r="O455" s="29">
        <v>10902011</v>
      </c>
      <c r="P455" s="29">
        <v>0</v>
      </c>
      <c r="Q455" s="29">
        <v>0</v>
      </c>
      <c r="R455" s="29">
        <v>1</v>
      </c>
      <c r="T455" s="29">
        <v>100</v>
      </c>
      <c r="AY455" s="29" t="s">
        <v>425</v>
      </c>
      <c r="AZ455" s="29">
        <v>0</v>
      </c>
      <c r="GR455" s="29">
        <v>0</v>
      </c>
      <c r="GS455" s="29">
        <v>0</v>
      </c>
      <c r="GT455" s="29" t="s">
        <v>425</v>
      </c>
      <c r="GU455" s="29">
        <v>0</v>
      </c>
      <c r="GX455" s="29">
        <v>0</v>
      </c>
      <c r="GZ455" s="29">
        <v>0</v>
      </c>
      <c r="HA455" s="29">
        <v>0</v>
      </c>
      <c r="HB455" s="29">
        <v>0</v>
      </c>
      <c r="HC455" s="29">
        <v>0</v>
      </c>
      <c r="HD455" s="29">
        <v>0</v>
      </c>
      <c r="HE455" s="29" t="b">
        <v>0</v>
      </c>
      <c r="HG455" s="29">
        <v>0</v>
      </c>
      <c r="HI455" s="29" t="s">
        <v>334</v>
      </c>
      <c r="HJ455" s="29">
        <v>0</v>
      </c>
      <c r="HK455" s="29">
        <v>0</v>
      </c>
      <c r="HL455" s="29">
        <v>0</v>
      </c>
    </row>
    <row r="456">
      <c r="B456" s="29" cm="1">
        <f t="array" ref="B456">10000000+INDEX(编号表!$B$1:$B$112,MATCH(D456,编号表!$A$1:$A$112,0))*10000+I456</f>
        <v>10680004</v>
      </c>
      <c r="C456" s="29" t="s">
        <v>470</v>
      </c>
      <c r="D456" s="29" t="s">
        <v>470</v>
      </c>
      <c r="E456" s="29" t="s">
        <v>445</v>
      </c>
      <c r="F456" s="29" t="inlineStr">
        <is>
          <t xml:space="preserve">神通</t>
        </is>
      </c>
      <c r="G456" s="29">
        <v>1</v>
      </c>
      <c r="H456" s="29" t="b">
        <v>0</v>
      </c>
      <c r="I456" s="29">
        <v>4</v>
      </c>
      <c r="J456" s="29">
        <v>106800</v>
      </c>
      <c r="K456" s="29" t="s">
        <v>324</v>
      </c>
      <c r="L456" s="29">
        <v>10680003</v>
      </c>
      <c r="M456" s="29">
        <v>10680005</v>
      </c>
      <c r="N456" s="29" t="s">
        <v>471</v>
      </c>
      <c r="O456" s="29">
        <v>10902011</v>
      </c>
      <c r="P456" s="29">
        <v>0</v>
      </c>
      <c r="Q456" s="29">
        <v>0</v>
      </c>
      <c r="R456" s="29">
        <v>1</v>
      </c>
      <c r="T456" s="29">
        <v>100</v>
      </c>
      <c r="AY456" s="29" t="s">
        <v>425</v>
      </c>
      <c r="AZ456" s="29">
        <v>0</v>
      </c>
      <c r="GR456" s="29">
        <v>0</v>
      </c>
      <c r="GS456" s="29">
        <v>0</v>
      </c>
      <c r="GT456" s="29" t="s">
        <v>425</v>
      </c>
      <c r="GU456" s="29">
        <v>0</v>
      </c>
      <c r="GX456" s="29">
        <v>0</v>
      </c>
      <c r="GZ456" s="29">
        <v>0</v>
      </c>
      <c r="HA456" s="29">
        <v>0</v>
      </c>
      <c r="HB456" s="29">
        <v>0</v>
      </c>
      <c r="HC456" s="29">
        <v>0</v>
      </c>
      <c r="HD456" s="29">
        <v>0</v>
      </c>
      <c r="HE456" s="29" t="b">
        <v>0</v>
      </c>
      <c r="HG456" s="29">
        <v>0</v>
      </c>
      <c r="HI456" s="29" t="s">
        <v>334</v>
      </c>
      <c r="HJ456" s="29">
        <v>0</v>
      </c>
      <c r="HK456" s="29">
        <v>0</v>
      </c>
      <c r="HL456" s="29">
        <v>0</v>
      </c>
    </row>
    <row r="457">
      <c r="B457" s="29" cm="1">
        <f t="array" ref="B457">10000000+INDEX(编号表!$B$1:$B$112,MATCH(D457,编号表!$A$1:$A$112,0))*10000+I457</f>
        <v>10680005</v>
      </c>
      <c r="C457" s="29" t="s">
        <v>470</v>
      </c>
      <c r="D457" s="29" t="s">
        <v>470</v>
      </c>
      <c r="E457" s="29" t="s">
        <v>445</v>
      </c>
      <c r="F457" s="29" t="inlineStr">
        <is>
          <t xml:space="preserve">神通</t>
        </is>
      </c>
      <c r="G457" s="29">
        <v>1</v>
      </c>
      <c r="H457" s="29" t="b">
        <v>0</v>
      </c>
      <c r="I457" s="29">
        <v>5</v>
      </c>
      <c r="J457" s="29">
        <v>106800</v>
      </c>
      <c r="K457" s="29" t="s">
        <v>324</v>
      </c>
      <c r="L457" s="29">
        <v>10680004</v>
      </c>
      <c r="M457" s="29">
        <v>10680006</v>
      </c>
      <c r="N457" s="29" t="s">
        <v>471</v>
      </c>
      <c r="O457" s="29">
        <v>10902011</v>
      </c>
      <c r="P457" s="29">
        <v>0</v>
      </c>
      <c r="Q457" s="29">
        <v>0</v>
      </c>
      <c r="R457" s="29">
        <v>1</v>
      </c>
      <c r="T457" s="29">
        <v>100</v>
      </c>
      <c r="AY457" s="29" t="s">
        <v>425</v>
      </c>
      <c r="AZ457" s="29">
        <v>0</v>
      </c>
      <c r="GR457" s="29">
        <v>0</v>
      </c>
      <c r="GS457" s="29">
        <v>0</v>
      </c>
      <c r="GT457" s="29" t="s">
        <v>425</v>
      </c>
      <c r="GU457" s="29">
        <v>0</v>
      </c>
      <c r="GX457" s="29">
        <v>0</v>
      </c>
      <c r="GZ457" s="29">
        <v>0</v>
      </c>
      <c r="HA457" s="29">
        <v>0</v>
      </c>
      <c r="HB457" s="29">
        <v>0</v>
      </c>
      <c r="HC457" s="29">
        <v>0</v>
      </c>
      <c r="HD457" s="29">
        <v>0</v>
      </c>
      <c r="HE457" s="29" t="b">
        <v>0</v>
      </c>
      <c r="HG457" s="29">
        <v>0</v>
      </c>
      <c r="HI457" s="29" t="s">
        <v>334</v>
      </c>
      <c r="HJ457" s="29">
        <v>0</v>
      </c>
      <c r="HK457" s="29">
        <v>0</v>
      </c>
      <c r="HL457" s="29">
        <v>0</v>
      </c>
    </row>
    <row r="458">
      <c r="B458" s="29" cm="1">
        <f t="array" ref="B458">10000000+INDEX(编号表!$B$1:$B$112,MATCH(D458,编号表!$A$1:$A$112,0))*10000+I458</f>
        <v>10680006</v>
      </c>
      <c r="C458" s="29" t="s">
        <v>470</v>
      </c>
      <c r="D458" s="29" t="s">
        <v>470</v>
      </c>
      <c r="E458" s="29" t="s">
        <v>445</v>
      </c>
      <c r="F458" s="29" t="inlineStr">
        <is>
          <t xml:space="preserve">神通</t>
        </is>
      </c>
      <c r="G458" s="29">
        <v>1</v>
      </c>
      <c r="H458" s="29" t="b">
        <v>0</v>
      </c>
      <c r="I458" s="29">
        <v>6</v>
      </c>
      <c r="J458" s="29">
        <v>106800</v>
      </c>
      <c r="K458" s="29" t="s">
        <v>324</v>
      </c>
      <c r="L458" s="29">
        <v>10680005</v>
      </c>
      <c r="M458" s="29">
        <v>10680007</v>
      </c>
      <c r="N458" s="29" t="s">
        <v>471</v>
      </c>
      <c r="O458" s="29">
        <v>10902011</v>
      </c>
      <c r="P458" s="29">
        <v>0</v>
      </c>
      <c r="Q458" s="29">
        <v>0</v>
      </c>
      <c r="R458" s="29">
        <v>1</v>
      </c>
      <c r="T458" s="29">
        <v>100</v>
      </c>
      <c r="AY458" s="29" t="s">
        <v>425</v>
      </c>
      <c r="AZ458" s="29">
        <v>0</v>
      </c>
      <c r="GR458" s="29">
        <v>0</v>
      </c>
      <c r="GS458" s="29">
        <v>0</v>
      </c>
      <c r="GT458" s="29" t="s">
        <v>425</v>
      </c>
      <c r="GU458" s="29">
        <v>0</v>
      </c>
      <c r="GX458" s="29">
        <v>0</v>
      </c>
      <c r="GZ458" s="29">
        <v>0</v>
      </c>
      <c r="HA458" s="29">
        <v>0</v>
      </c>
      <c r="HB458" s="29">
        <v>0</v>
      </c>
      <c r="HC458" s="29">
        <v>0</v>
      </c>
      <c r="HD458" s="29">
        <v>0</v>
      </c>
      <c r="HE458" s="29" t="b">
        <v>0</v>
      </c>
      <c r="HG458" s="29">
        <v>0</v>
      </c>
      <c r="HI458" s="29" t="s">
        <v>334</v>
      </c>
      <c r="HJ458" s="29">
        <v>0</v>
      </c>
      <c r="HK458" s="29">
        <v>0</v>
      </c>
      <c r="HL458" s="29">
        <v>0</v>
      </c>
    </row>
    <row r="459">
      <c r="B459" s="29" cm="1">
        <f t="array" ref="B459">10000000+INDEX(编号表!$B$1:$B$112,MATCH(D459,编号表!$A$1:$A$112,0))*10000+I459</f>
        <v>10680007</v>
      </c>
      <c r="C459" s="29" t="s">
        <v>470</v>
      </c>
      <c r="D459" s="29" t="s">
        <v>470</v>
      </c>
      <c r="E459" s="29" t="s">
        <v>445</v>
      </c>
      <c r="F459" s="29" t="inlineStr">
        <is>
          <t xml:space="preserve">神通</t>
        </is>
      </c>
      <c r="G459" s="29">
        <v>1</v>
      </c>
      <c r="H459" s="29" t="b">
        <v>0</v>
      </c>
      <c r="I459" s="29">
        <v>7</v>
      </c>
      <c r="J459" s="29">
        <v>106800</v>
      </c>
      <c r="K459" s="29" t="s">
        <v>324</v>
      </c>
      <c r="L459" s="29">
        <v>10680006</v>
      </c>
      <c r="M459" s="29">
        <v>10680008</v>
      </c>
      <c r="N459" s="29" t="s">
        <v>471</v>
      </c>
      <c r="O459" s="29">
        <v>10902011</v>
      </c>
      <c r="P459" s="29">
        <v>0</v>
      </c>
      <c r="Q459" s="29">
        <v>0</v>
      </c>
      <c r="R459" s="29">
        <v>1</v>
      </c>
      <c r="T459" s="29">
        <v>100</v>
      </c>
      <c r="AY459" s="29" t="s">
        <v>425</v>
      </c>
      <c r="AZ459" s="29">
        <v>0</v>
      </c>
      <c r="GR459" s="29">
        <v>0</v>
      </c>
      <c r="GS459" s="29">
        <v>0</v>
      </c>
      <c r="GT459" s="29" t="s">
        <v>425</v>
      </c>
      <c r="GU459" s="29">
        <v>0</v>
      </c>
      <c r="GX459" s="29">
        <v>0</v>
      </c>
      <c r="GZ459" s="29">
        <v>0</v>
      </c>
      <c r="HA459" s="29">
        <v>0</v>
      </c>
      <c r="HB459" s="29">
        <v>0</v>
      </c>
      <c r="HC459" s="29">
        <v>0</v>
      </c>
      <c r="HD459" s="29">
        <v>0</v>
      </c>
      <c r="HE459" s="29" t="b">
        <v>0</v>
      </c>
      <c r="HG459" s="29">
        <v>0</v>
      </c>
      <c r="HI459" s="29" t="s">
        <v>334</v>
      </c>
      <c r="HJ459" s="29">
        <v>0</v>
      </c>
      <c r="HK459" s="29">
        <v>0</v>
      </c>
      <c r="HL459" s="29">
        <v>0</v>
      </c>
    </row>
    <row r="460">
      <c r="B460" s="29" cm="1">
        <f t="array" ref="B460">10000000+INDEX(编号表!$B$1:$B$112,MATCH(D460,编号表!$A$1:$A$112,0))*10000+I460</f>
        <v>10680008</v>
      </c>
      <c r="C460" s="29" t="s">
        <v>470</v>
      </c>
      <c r="D460" s="29" t="s">
        <v>470</v>
      </c>
      <c r="E460" s="29" t="s">
        <v>445</v>
      </c>
      <c r="F460" s="29" t="inlineStr">
        <is>
          <t xml:space="preserve">神通</t>
        </is>
      </c>
      <c r="G460" s="29">
        <v>1</v>
      </c>
      <c r="H460" s="29" t="b">
        <v>0</v>
      </c>
      <c r="I460" s="29">
        <v>8</v>
      </c>
      <c r="J460" s="29">
        <v>106800</v>
      </c>
      <c r="K460" s="29" t="s">
        <v>324</v>
      </c>
      <c r="L460" s="29">
        <v>10680007</v>
      </c>
      <c r="M460" s="29">
        <v>10680009</v>
      </c>
      <c r="N460" s="29" t="s">
        <v>471</v>
      </c>
      <c r="O460" s="29">
        <v>10902011</v>
      </c>
      <c r="P460" s="29">
        <v>0</v>
      </c>
      <c r="Q460" s="29">
        <v>0</v>
      </c>
      <c r="R460" s="29">
        <v>1</v>
      </c>
      <c r="T460" s="29">
        <v>100</v>
      </c>
      <c r="AY460" s="29" t="s">
        <v>425</v>
      </c>
      <c r="AZ460" s="29">
        <v>0</v>
      </c>
      <c r="GR460" s="29">
        <v>0</v>
      </c>
      <c r="GS460" s="29">
        <v>0</v>
      </c>
      <c r="GT460" s="29" t="s">
        <v>425</v>
      </c>
      <c r="GU460" s="29">
        <v>0</v>
      </c>
      <c r="GX460" s="29">
        <v>0</v>
      </c>
      <c r="GZ460" s="29">
        <v>0</v>
      </c>
      <c r="HA460" s="29">
        <v>0</v>
      </c>
      <c r="HB460" s="29">
        <v>0</v>
      </c>
      <c r="HC460" s="29">
        <v>0</v>
      </c>
      <c r="HD460" s="29">
        <v>0</v>
      </c>
      <c r="HE460" s="29" t="b">
        <v>0</v>
      </c>
      <c r="HG460" s="29">
        <v>0</v>
      </c>
      <c r="HI460" s="29" t="s">
        <v>334</v>
      </c>
      <c r="HJ460" s="29">
        <v>0</v>
      </c>
      <c r="HK460" s="29">
        <v>0</v>
      </c>
      <c r="HL460" s="29">
        <v>0</v>
      </c>
    </row>
    <row r="461">
      <c r="B461" s="29" cm="1">
        <f t="array" ref="B461">10000000+INDEX(编号表!$B$1:$B$112,MATCH(D461,编号表!$A$1:$A$112,0))*10000+I461</f>
        <v>10680009</v>
      </c>
      <c r="C461" s="29" t="s">
        <v>470</v>
      </c>
      <c r="D461" s="29" t="s">
        <v>470</v>
      </c>
      <c r="E461" s="29" t="s">
        <v>445</v>
      </c>
      <c r="F461" s="29" t="inlineStr">
        <is>
          <t xml:space="preserve">神通</t>
        </is>
      </c>
      <c r="G461" s="29">
        <v>1</v>
      </c>
      <c r="H461" s="29" t="b">
        <v>0</v>
      </c>
      <c r="I461" s="29">
        <v>9</v>
      </c>
      <c r="J461" s="29">
        <v>106800</v>
      </c>
      <c r="K461" s="29" t="s">
        <v>324</v>
      </c>
      <c r="L461" s="29">
        <v>10680008</v>
      </c>
      <c r="M461" s="29">
        <v>10680010</v>
      </c>
      <c r="N461" s="29" t="s">
        <v>471</v>
      </c>
      <c r="O461" s="29">
        <v>10902011</v>
      </c>
      <c r="P461" s="29">
        <v>0</v>
      </c>
      <c r="Q461" s="29">
        <v>0</v>
      </c>
      <c r="R461" s="29">
        <v>1</v>
      </c>
      <c r="T461" s="29">
        <v>100</v>
      </c>
      <c r="AY461" s="29" t="s">
        <v>425</v>
      </c>
      <c r="AZ461" s="29">
        <v>0</v>
      </c>
      <c r="GR461" s="29">
        <v>0</v>
      </c>
      <c r="GS461" s="29">
        <v>0</v>
      </c>
      <c r="GT461" s="29" t="s">
        <v>425</v>
      </c>
      <c r="GU461" s="29">
        <v>0</v>
      </c>
      <c r="GX461" s="29">
        <v>0</v>
      </c>
      <c r="GZ461" s="29">
        <v>0</v>
      </c>
      <c r="HA461" s="29">
        <v>0</v>
      </c>
      <c r="HB461" s="29">
        <v>0</v>
      </c>
      <c r="HC461" s="29">
        <v>0</v>
      </c>
      <c r="HD461" s="29">
        <v>0</v>
      </c>
      <c r="HE461" s="29" t="b">
        <v>0</v>
      </c>
      <c r="HG461" s="29">
        <v>0</v>
      </c>
      <c r="HI461" s="29" t="s">
        <v>334</v>
      </c>
      <c r="HJ461" s="29">
        <v>0</v>
      </c>
      <c r="HK461" s="29">
        <v>0</v>
      </c>
      <c r="HL461" s="29">
        <v>0</v>
      </c>
    </row>
    <row r="462">
      <c r="B462" s="29" cm="1">
        <f t="array" ref="B462">10000000+INDEX(编号表!$B$1:$B$112,MATCH(D462,编号表!$A$1:$A$112,0))*10000+I462</f>
        <v>10680010</v>
      </c>
      <c r="C462" s="29" t="s">
        <v>470</v>
      </c>
      <c r="D462" s="29" t="s">
        <v>470</v>
      </c>
      <c r="E462" s="29" t="s">
        <v>445</v>
      </c>
      <c r="F462" s="29" t="inlineStr">
        <is>
          <t xml:space="preserve">神通</t>
        </is>
      </c>
      <c r="G462" s="29">
        <v>1</v>
      </c>
      <c r="H462" s="29" t="b">
        <v>0</v>
      </c>
      <c r="I462" s="29">
        <v>10</v>
      </c>
      <c r="J462" s="29">
        <v>106800</v>
      </c>
      <c r="K462" s="29" t="s">
        <v>324</v>
      </c>
      <c r="L462" s="29">
        <v>10680009</v>
      </c>
      <c r="N462" s="29" t="s">
        <v>471</v>
      </c>
      <c r="O462" s="29">
        <v>10902011</v>
      </c>
      <c r="P462" s="29">
        <v>0</v>
      </c>
      <c r="Q462" s="29">
        <v>0</v>
      </c>
      <c r="R462" s="29">
        <v>1</v>
      </c>
      <c r="T462" s="29">
        <v>100</v>
      </c>
      <c r="AY462" s="29" t="s">
        <v>425</v>
      </c>
      <c r="AZ462" s="29">
        <v>0</v>
      </c>
      <c r="GR462" s="29">
        <v>0</v>
      </c>
      <c r="GS462" s="29">
        <v>0</v>
      </c>
      <c r="GT462" s="29" t="s">
        <v>425</v>
      </c>
      <c r="GU462" s="29">
        <v>0</v>
      </c>
      <c r="GX462" s="29">
        <v>0</v>
      </c>
      <c r="GZ462" s="29">
        <v>0</v>
      </c>
      <c r="HA462" s="29">
        <v>0</v>
      </c>
      <c r="HB462" s="29">
        <v>0</v>
      </c>
      <c r="HC462" s="29">
        <v>0</v>
      </c>
      <c r="HD462" s="29">
        <v>0</v>
      </c>
      <c r="HE462" s="29" t="b">
        <v>0</v>
      </c>
      <c r="HG462" s="29">
        <v>0</v>
      </c>
      <c r="HI462" s="29" t="s">
        <v>334</v>
      </c>
      <c r="HJ462" s="29">
        <v>0</v>
      </c>
      <c r="HK462" s="29">
        <v>0</v>
      </c>
      <c r="HL462" s="29">
        <v>0</v>
      </c>
    </row>
    <row r="463">
      <c r="B463" s="29" cm="1">
        <f t="array" ref="B463">10000000+INDEX(编号表!$B$1:$B$112,MATCH(D463,编号表!$A$1:$A$112,0))*10000+I463</f>
        <v>10690001</v>
      </c>
      <c r="C463" s="29" t="s">
        <v>472</v>
      </c>
      <c r="D463" s="29" t="s">
        <v>472</v>
      </c>
      <c r="E463" s="29" t="s">
        <v>445</v>
      </c>
      <c r="F463" s="29" t="inlineStr">
        <is>
          <t xml:space="preserve">神通</t>
        </is>
      </c>
      <c r="G463" s="29">
        <v>1</v>
      </c>
      <c r="H463" s="29" t="b">
        <v>0</v>
      </c>
      <c r="I463" s="29">
        <v>1</v>
      </c>
      <c r="J463" s="29">
        <v>106900</v>
      </c>
      <c r="K463" s="29" t="s">
        <v>324</v>
      </c>
      <c r="M463" s="29">
        <v>10690002</v>
      </c>
      <c r="N463" s="29" t="s">
        <v>473</v>
      </c>
      <c r="O463" s="29">
        <v>10902012</v>
      </c>
      <c r="P463" s="29">
        <v>0</v>
      </c>
      <c r="Q463" s="29">
        <v>0</v>
      </c>
      <c r="R463" s="29">
        <v>1</v>
      </c>
      <c r="T463" s="29">
        <v>100</v>
      </c>
      <c r="AY463" s="29" t="s">
        <v>425</v>
      </c>
      <c r="AZ463" s="29">
        <v>0</v>
      </c>
      <c r="GR463" s="29">
        <v>0</v>
      </c>
      <c r="GS463" s="29">
        <v>0</v>
      </c>
      <c r="GT463" s="29" t="s">
        <v>425</v>
      </c>
      <c r="GU463" s="29">
        <v>0</v>
      </c>
      <c r="GX463" s="29">
        <v>0</v>
      </c>
      <c r="GZ463" s="29">
        <v>0</v>
      </c>
      <c r="HA463" s="29">
        <v>0</v>
      </c>
      <c r="HB463" s="29">
        <v>0</v>
      </c>
      <c r="HC463" s="29">
        <v>0</v>
      </c>
      <c r="HD463" s="29">
        <v>0</v>
      </c>
      <c r="HE463" s="29" t="b">
        <v>0</v>
      </c>
      <c r="HG463" s="29">
        <v>0</v>
      </c>
      <c r="HI463" s="29" t="s">
        <v>334</v>
      </c>
      <c r="HJ463" s="29">
        <v>0</v>
      </c>
      <c r="HK463" s="29">
        <v>0</v>
      </c>
      <c r="HL463" s="29">
        <v>0</v>
      </c>
    </row>
    <row r="464">
      <c r="B464" s="29" cm="1">
        <f t="array" ref="B464">10000000+INDEX(编号表!$B$1:$B$112,MATCH(D464,编号表!$A$1:$A$112,0))*10000+I464</f>
        <v>10690002</v>
      </c>
      <c r="C464" s="29" t="s">
        <v>472</v>
      </c>
      <c r="D464" s="29" t="s">
        <v>472</v>
      </c>
      <c r="E464" s="29" t="s">
        <v>445</v>
      </c>
      <c r="F464" s="29" t="inlineStr">
        <is>
          <t xml:space="preserve">神通</t>
        </is>
      </c>
      <c r="G464" s="29">
        <v>1</v>
      </c>
      <c r="H464" s="29" t="b">
        <v>0</v>
      </c>
      <c r="I464" s="29">
        <v>2</v>
      </c>
      <c r="J464" s="29">
        <v>106900</v>
      </c>
      <c r="K464" s="29" t="s">
        <v>324</v>
      </c>
      <c r="L464" s="29">
        <v>10690001</v>
      </c>
      <c r="M464" s="29">
        <v>10690003</v>
      </c>
      <c r="N464" s="29" t="s">
        <v>473</v>
      </c>
      <c r="O464" s="29">
        <v>10902012</v>
      </c>
      <c r="P464" s="29">
        <v>0</v>
      </c>
      <c r="Q464" s="29">
        <v>0</v>
      </c>
      <c r="R464" s="29">
        <v>1</v>
      </c>
      <c r="T464" s="29">
        <v>100</v>
      </c>
      <c r="AY464" s="29" t="s">
        <v>425</v>
      </c>
      <c r="AZ464" s="29">
        <v>0</v>
      </c>
      <c r="GR464" s="29">
        <v>0</v>
      </c>
      <c r="GS464" s="29">
        <v>0</v>
      </c>
      <c r="GT464" s="29" t="s">
        <v>425</v>
      </c>
      <c r="GU464" s="29">
        <v>0</v>
      </c>
      <c r="GX464" s="29">
        <v>0</v>
      </c>
      <c r="GZ464" s="29">
        <v>0</v>
      </c>
      <c r="HA464" s="29">
        <v>0</v>
      </c>
      <c r="HB464" s="29">
        <v>0</v>
      </c>
      <c r="HC464" s="29">
        <v>0</v>
      </c>
      <c r="HD464" s="29">
        <v>0</v>
      </c>
      <c r="HE464" s="29" t="b">
        <v>0</v>
      </c>
      <c r="HG464" s="29">
        <v>0</v>
      </c>
      <c r="HI464" s="29" t="s">
        <v>334</v>
      </c>
      <c r="HJ464" s="29">
        <v>0</v>
      </c>
      <c r="HK464" s="29">
        <v>0</v>
      </c>
      <c r="HL464" s="29">
        <v>0</v>
      </c>
    </row>
    <row r="465">
      <c r="B465" s="29" cm="1">
        <f t="array" ref="B465">10000000+INDEX(编号表!$B$1:$B$112,MATCH(D465,编号表!$A$1:$A$112,0))*10000+I465</f>
        <v>10690003</v>
      </c>
      <c r="C465" s="29" t="s">
        <v>472</v>
      </c>
      <c r="D465" s="29" t="s">
        <v>472</v>
      </c>
      <c r="E465" s="29" t="s">
        <v>445</v>
      </c>
      <c r="F465" s="29" t="inlineStr">
        <is>
          <t xml:space="preserve">神通</t>
        </is>
      </c>
      <c r="G465" s="29">
        <v>1</v>
      </c>
      <c r="H465" s="29" t="b">
        <v>0</v>
      </c>
      <c r="I465" s="29">
        <v>3</v>
      </c>
      <c r="J465" s="29">
        <v>106900</v>
      </c>
      <c r="K465" s="29" t="s">
        <v>324</v>
      </c>
      <c r="L465" s="29">
        <v>10690002</v>
      </c>
      <c r="M465" s="29">
        <v>10690004</v>
      </c>
      <c r="N465" s="29" t="s">
        <v>473</v>
      </c>
      <c r="O465" s="29">
        <v>10902012</v>
      </c>
      <c r="P465" s="29">
        <v>0</v>
      </c>
      <c r="Q465" s="29">
        <v>0</v>
      </c>
      <c r="R465" s="29">
        <v>1</v>
      </c>
      <c r="T465" s="29">
        <v>100</v>
      </c>
      <c r="AY465" s="29" t="s">
        <v>425</v>
      </c>
      <c r="AZ465" s="29">
        <v>0</v>
      </c>
      <c r="GR465" s="29">
        <v>0</v>
      </c>
      <c r="GS465" s="29">
        <v>0</v>
      </c>
      <c r="GT465" s="29" t="s">
        <v>425</v>
      </c>
      <c r="GU465" s="29">
        <v>0</v>
      </c>
      <c r="GX465" s="29">
        <v>0</v>
      </c>
      <c r="GZ465" s="29">
        <v>0</v>
      </c>
      <c r="HA465" s="29">
        <v>0</v>
      </c>
      <c r="HB465" s="29">
        <v>0</v>
      </c>
      <c r="HC465" s="29">
        <v>0</v>
      </c>
      <c r="HD465" s="29">
        <v>0</v>
      </c>
      <c r="HE465" s="29" t="b">
        <v>0</v>
      </c>
      <c r="HG465" s="29">
        <v>0</v>
      </c>
      <c r="HI465" s="29" t="s">
        <v>334</v>
      </c>
      <c r="HJ465" s="29">
        <v>0</v>
      </c>
      <c r="HK465" s="29">
        <v>0</v>
      </c>
      <c r="HL465" s="29">
        <v>0</v>
      </c>
    </row>
    <row r="466">
      <c r="B466" s="29" cm="1">
        <f t="array" ref="B466">10000000+INDEX(编号表!$B$1:$B$112,MATCH(D466,编号表!$A$1:$A$112,0))*10000+I466</f>
        <v>10690004</v>
      </c>
      <c r="C466" s="29" t="s">
        <v>472</v>
      </c>
      <c r="D466" s="29" t="s">
        <v>472</v>
      </c>
      <c r="E466" s="29" t="s">
        <v>445</v>
      </c>
      <c r="F466" s="29" t="inlineStr">
        <is>
          <t xml:space="preserve">神通</t>
        </is>
      </c>
      <c r="G466" s="29">
        <v>1</v>
      </c>
      <c r="H466" s="29" t="b">
        <v>0</v>
      </c>
      <c r="I466" s="29">
        <v>4</v>
      </c>
      <c r="J466" s="29">
        <v>106900</v>
      </c>
      <c r="K466" s="29" t="s">
        <v>324</v>
      </c>
      <c r="L466" s="29">
        <v>10690003</v>
      </c>
      <c r="M466" s="29">
        <v>10690005</v>
      </c>
      <c r="N466" s="29" t="s">
        <v>473</v>
      </c>
      <c r="O466" s="29">
        <v>10902012</v>
      </c>
      <c r="P466" s="29">
        <v>0</v>
      </c>
      <c r="Q466" s="29">
        <v>0</v>
      </c>
      <c r="R466" s="29">
        <v>1</v>
      </c>
      <c r="T466" s="29">
        <v>100</v>
      </c>
      <c r="AY466" s="29" t="s">
        <v>425</v>
      </c>
      <c r="AZ466" s="29">
        <v>0</v>
      </c>
      <c r="GR466" s="29">
        <v>0</v>
      </c>
      <c r="GS466" s="29">
        <v>0</v>
      </c>
      <c r="GT466" s="29" t="s">
        <v>425</v>
      </c>
      <c r="GU466" s="29">
        <v>0</v>
      </c>
      <c r="GX466" s="29">
        <v>0</v>
      </c>
      <c r="GZ466" s="29">
        <v>0</v>
      </c>
      <c r="HA466" s="29">
        <v>0</v>
      </c>
      <c r="HB466" s="29">
        <v>0</v>
      </c>
      <c r="HC466" s="29">
        <v>0</v>
      </c>
      <c r="HD466" s="29">
        <v>0</v>
      </c>
      <c r="HE466" s="29" t="b">
        <v>0</v>
      </c>
      <c r="HG466" s="29">
        <v>0</v>
      </c>
      <c r="HI466" s="29" t="s">
        <v>334</v>
      </c>
      <c r="HJ466" s="29">
        <v>0</v>
      </c>
      <c r="HK466" s="29">
        <v>0</v>
      </c>
      <c r="HL466" s="29">
        <v>0</v>
      </c>
    </row>
    <row r="467">
      <c r="B467" s="29" cm="1">
        <f t="array" ref="B467">10000000+INDEX(编号表!$B$1:$B$112,MATCH(D467,编号表!$A$1:$A$112,0))*10000+I467</f>
        <v>10690005</v>
      </c>
      <c r="C467" s="29" t="s">
        <v>472</v>
      </c>
      <c r="D467" s="29" t="s">
        <v>472</v>
      </c>
      <c r="E467" s="29" t="s">
        <v>445</v>
      </c>
      <c r="F467" s="29" t="inlineStr">
        <is>
          <t xml:space="preserve">神通</t>
        </is>
      </c>
      <c r="G467" s="29">
        <v>1</v>
      </c>
      <c r="H467" s="29" t="b">
        <v>0</v>
      </c>
      <c r="I467" s="29">
        <v>5</v>
      </c>
      <c r="J467" s="29">
        <v>106900</v>
      </c>
      <c r="K467" s="29" t="s">
        <v>324</v>
      </c>
      <c r="L467" s="29">
        <v>10690004</v>
      </c>
      <c r="M467" s="29">
        <v>10690006</v>
      </c>
      <c r="N467" s="29" t="s">
        <v>473</v>
      </c>
      <c r="O467" s="29">
        <v>10902012</v>
      </c>
      <c r="P467" s="29">
        <v>0</v>
      </c>
      <c r="Q467" s="29">
        <v>0</v>
      </c>
      <c r="R467" s="29">
        <v>1</v>
      </c>
      <c r="T467" s="29">
        <v>100</v>
      </c>
      <c r="AY467" s="29" t="s">
        <v>425</v>
      </c>
      <c r="AZ467" s="29">
        <v>0</v>
      </c>
      <c r="GR467" s="29">
        <v>0</v>
      </c>
      <c r="GS467" s="29">
        <v>0</v>
      </c>
      <c r="GT467" s="29" t="s">
        <v>425</v>
      </c>
      <c r="GU467" s="29">
        <v>0</v>
      </c>
      <c r="GX467" s="29">
        <v>0</v>
      </c>
      <c r="GZ467" s="29">
        <v>0</v>
      </c>
      <c r="HA467" s="29">
        <v>0</v>
      </c>
      <c r="HB467" s="29">
        <v>0</v>
      </c>
      <c r="HC467" s="29">
        <v>0</v>
      </c>
      <c r="HD467" s="29">
        <v>0</v>
      </c>
      <c r="HE467" s="29" t="b">
        <v>0</v>
      </c>
      <c r="HG467" s="29">
        <v>0</v>
      </c>
      <c r="HI467" s="29" t="s">
        <v>334</v>
      </c>
      <c r="HJ467" s="29">
        <v>0</v>
      </c>
      <c r="HK467" s="29">
        <v>0</v>
      </c>
      <c r="HL467" s="29">
        <v>0</v>
      </c>
    </row>
    <row r="468">
      <c r="B468" s="29" cm="1">
        <f t="array" ref="B468">10000000+INDEX(编号表!$B$1:$B$112,MATCH(D468,编号表!$A$1:$A$112,0))*10000+I468</f>
        <v>10690006</v>
      </c>
      <c r="C468" s="29" t="s">
        <v>472</v>
      </c>
      <c r="D468" s="29" t="s">
        <v>472</v>
      </c>
      <c r="E468" s="29" t="s">
        <v>445</v>
      </c>
      <c r="F468" s="29" t="inlineStr">
        <is>
          <t xml:space="preserve">神通</t>
        </is>
      </c>
      <c r="G468" s="29">
        <v>1</v>
      </c>
      <c r="H468" s="29" t="b">
        <v>0</v>
      </c>
      <c r="I468" s="29">
        <v>6</v>
      </c>
      <c r="J468" s="29">
        <v>106900</v>
      </c>
      <c r="K468" s="29" t="s">
        <v>324</v>
      </c>
      <c r="L468" s="29">
        <v>10690005</v>
      </c>
      <c r="M468" s="29">
        <v>10690007</v>
      </c>
      <c r="N468" s="29" t="s">
        <v>473</v>
      </c>
      <c r="O468" s="29">
        <v>10902012</v>
      </c>
      <c r="P468" s="29">
        <v>0</v>
      </c>
      <c r="Q468" s="29">
        <v>0</v>
      </c>
      <c r="R468" s="29">
        <v>1</v>
      </c>
      <c r="T468" s="29">
        <v>100</v>
      </c>
      <c r="AY468" s="29" t="s">
        <v>425</v>
      </c>
      <c r="AZ468" s="29">
        <v>0</v>
      </c>
      <c r="GR468" s="29">
        <v>0</v>
      </c>
      <c r="GS468" s="29">
        <v>0</v>
      </c>
      <c r="GT468" s="29" t="s">
        <v>425</v>
      </c>
      <c r="GU468" s="29">
        <v>0</v>
      </c>
      <c r="GX468" s="29">
        <v>0</v>
      </c>
      <c r="GZ468" s="29">
        <v>0</v>
      </c>
      <c r="HA468" s="29">
        <v>0</v>
      </c>
      <c r="HB468" s="29">
        <v>0</v>
      </c>
      <c r="HC468" s="29">
        <v>0</v>
      </c>
      <c r="HD468" s="29">
        <v>0</v>
      </c>
      <c r="HE468" s="29" t="b">
        <v>0</v>
      </c>
      <c r="HG468" s="29">
        <v>0</v>
      </c>
      <c r="HI468" s="29" t="s">
        <v>334</v>
      </c>
      <c r="HJ468" s="29">
        <v>0</v>
      </c>
      <c r="HK468" s="29">
        <v>0</v>
      </c>
      <c r="HL468" s="29">
        <v>0</v>
      </c>
    </row>
    <row r="469">
      <c r="B469" s="29" cm="1">
        <f t="array" ref="B469">10000000+INDEX(编号表!$B$1:$B$112,MATCH(D469,编号表!$A$1:$A$112,0))*10000+I469</f>
        <v>10690007</v>
      </c>
      <c r="C469" s="29" t="s">
        <v>472</v>
      </c>
      <c r="D469" s="29" t="s">
        <v>472</v>
      </c>
      <c r="E469" s="29" t="s">
        <v>445</v>
      </c>
      <c r="F469" s="29" t="inlineStr">
        <is>
          <t xml:space="preserve">神通</t>
        </is>
      </c>
      <c r="G469" s="29">
        <v>1</v>
      </c>
      <c r="H469" s="29" t="b">
        <v>0</v>
      </c>
      <c r="I469" s="29">
        <v>7</v>
      </c>
      <c r="J469" s="29">
        <v>106900</v>
      </c>
      <c r="K469" s="29" t="s">
        <v>324</v>
      </c>
      <c r="L469" s="29">
        <v>10690006</v>
      </c>
      <c r="M469" s="29">
        <v>10690008</v>
      </c>
      <c r="N469" s="29" t="s">
        <v>473</v>
      </c>
      <c r="O469" s="29">
        <v>10902012</v>
      </c>
      <c r="P469" s="29">
        <v>0</v>
      </c>
      <c r="Q469" s="29">
        <v>0</v>
      </c>
      <c r="R469" s="29">
        <v>1</v>
      </c>
      <c r="T469" s="29">
        <v>100</v>
      </c>
      <c r="AY469" s="29" t="s">
        <v>425</v>
      </c>
      <c r="AZ469" s="29">
        <v>0</v>
      </c>
      <c r="GR469" s="29">
        <v>0</v>
      </c>
      <c r="GS469" s="29">
        <v>0</v>
      </c>
      <c r="GT469" s="29" t="s">
        <v>425</v>
      </c>
      <c r="GU469" s="29">
        <v>0</v>
      </c>
      <c r="GX469" s="29">
        <v>0</v>
      </c>
      <c r="GZ469" s="29">
        <v>0</v>
      </c>
      <c r="HA469" s="29">
        <v>0</v>
      </c>
      <c r="HB469" s="29">
        <v>0</v>
      </c>
      <c r="HC469" s="29">
        <v>0</v>
      </c>
      <c r="HD469" s="29">
        <v>0</v>
      </c>
      <c r="HE469" s="29" t="b">
        <v>0</v>
      </c>
      <c r="HG469" s="29">
        <v>0</v>
      </c>
      <c r="HI469" s="29" t="s">
        <v>334</v>
      </c>
      <c r="HJ469" s="29">
        <v>0</v>
      </c>
      <c r="HK469" s="29">
        <v>0</v>
      </c>
      <c r="HL469" s="29">
        <v>0</v>
      </c>
    </row>
    <row r="470">
      <c r="B470" s="29" cm="1">
        <f t="array" ref="B470">10000000+INDEX(编号表!$B$1:$B$112,MATCH(D470,编号表!$A$1:$A$112,0))*10000+I470</f>
        <v>10690008</v>
      </c>
      <c r="C470" s="29" t="s">
        <v>472</v>
      </c>
      <c r="D470" s="29" t="s">
        <v>472</v>
      </c>
      <c r="E470" s="29" t="s">
        <v>445</v>
      </c>
      <c r="F470" s="29" t="inlineStr">
        <is>
          <t xml:space="preserve">神通</t>
        </is>
      </c>
      <c r="G470" s="29">
        <v>1</v>
      </c>
      <c r="H470" s="29" t="b">
        <v>0</v>
      </c>
      <c r="I470" s="29">
        <v>8</v>
      </c>
      <c r="J470" s="29">
        <v>106900</v>
      </c>
      <c r="K470" s="29" t="s">
        <v>324</v>
      </c>
      <c r="L470" s="29">
        <v>10690007</v>
      </c>
      <c r="M470" s="29">
        <v>10690009</v>
      </c>
      <c r="N470" s="29" t="s">
        <v>473</v>
      </c>
      <c r="O470" s="29">
        <v>10902012</v>
      </c>
      <c r="P470" s="29">
        <v>0</v>
      </c>
      <c r="Q470" s="29">
        <v>0</v>
      </c>
      <c r="R470" s="29">
        <v>1</v>
      </c>
      <c r="T470" s="29">
        <v>100</v>
      </c>
      <c r="AY470" s="29" t="s">
        <v>425</v>
      </c>
      <c r="AZ470" s="29">
        <v>0</v>
      </c>
      <c r="GR470" s="29">
        <v>0</v>
      </c>
      <c r="GS470" s="29">
        <v>0</v>
      </c>
      <c r="GT470" s="29" t="s">
        <v>425</v>
      </c>
      <c r="GU470" s="29">
        <v>0</v>
      </c>
      <c r="GX470" s="29">
        <v>0</v>
      </c>
      <c r="GZ470" s="29">
        <v>0</v>
      </c>
      <c r="HA470" s="29">
        <v>0</v>
      </c>
      <c r="HB470" s="29">
        <v>0</v>
      </c>
      <c r="HC470" s="29">
        <v>0</v>
      </c>
      <c r="HD470" s="29">
        <v>0</v>
      </c>
      <c r="HE470" s="29" t="b">
        <v>0</v>
      </c>
      <c r="HG470" s="29">
        <v>0</v>
      </c>
      <c r="HI470" s="29" t="s">
        <v>334</v>
      </c>
      <c r="HJ470" s="29">
        <v>0</v>
      </c>
      <c r="HK470" s="29">
        <v>0</v>
      </c>
      <c r="HL470" s="29">
        <v>0</v>
      </c>
    </row>
    <row r="471">
      <c r="B471" s="29" cm="1">
        <f t="array" ref="B471">10000000+INDEX(编号表!$B$1:$B$112,MATCH(D471,编号表!$A$1:$A$112,0))*10000+I471</f>
        <v>10690009</v>
      </c>
      <c r="C471" s="29" t="s">
        <v>472</v>
      </c>
      <c r="D471" s="29" t="s">
        <v>472</v>
      </c>
      <c r="E471" s="29" t="s">
        <v>445</v>
      </c>
      <c r="F471" s="29" t="inlineStr">
        <is>
          <t xml:space="preserve">神通</t>
        </is>
      </c>
      <c r="G471" s="29">
        <v>1</v>
      </c>
      <c r="H471" s="29" t="b">
        <v>0</v>
      </c>
      <c r="I471" s="29">
        <v>9</v>
      </c>
      <c r="J471" s="29">
        <v>106900</v>
      </c>
      <c r="K471" s="29" t="s">
        <v>324</v>
      </c>
      <c r="L471" s="29">
        <v>10690008</v>
      </c>
      <c r="M471" s="29">
        <v>10690010</v>
      </c>
      <c r="N471" s="29" t="s">
        <v>473</v>
      </c>
      <c r="O471" s="29">
        <v>10902012</v>
      </c>
      <c r="P471" s="29">
        <v>0</v>
      </c>
      <c r="Q471" s="29">
        <v>0</v>
      </c>
      <c r="R471" s="29">
        <v>1</v>
      </c>
      <c r="T471" s="29">
        <v>100</v>
      </c>
      <c r="AY471" s="29" t="s">
        <v>425</v>
      </c>
      <c r="AZ471" s="29">
        <v>0</v>
      </c>
      <c r="GR471" s="29">
        <v>0</v>
      </c>
      <c r="GS471" s="29">
        <v>0</v>
      </c>
      <c r="GT471" s="29" t="s">
        <v>425</v>
      </c>
      <c r="GU471" s="29">
        <v>0</v>
      </c>
      <c r="GX471" s="29">
        <v>0</v>
      </c>
      <c r="GZ471" s="29">
        <v>0</v>
      </c>
      <c r="HA471" s="29">
        <v>0</v>
      </c>
      <c r="HB471" s="29">
        <v>0</v>
      </c>
      <c r="HC471" s="29">
        <v>0</v>
      </c>
      <c r="HD471" s="29">
        <v>0</v>
      </c>
      <c r="HE471" s="29" t="b">
        <v>0</v>
      </c>
      <c r="HG471" s="29">
        <v>0</v>
      </c>
      <c r="HI471" s="29" t="s">
        <v>334</v>
      </c>
      <c r="HJ471" s="29">
        <v>0</v>
      </c>
      <c r="HK471" s="29">
        <v>0</v>
      </c>
      <c r="HL471" s="29">
        <v>0</v>
      </c>
    </row>
    <row r="472">
      <c r="B472" s="29" cm="1">
        <f t="array" ref="B472">10000000+INDEX(编号表!$B$1:$B$112,MATCH(D472,编号表!$A$1:$A$112,0))*10000+I472</f>
        <v>10690010</v>
      </c>
      <c r="C472" s="29" t="s">
        <v>472</v>
      </c>
      <c r="D472" s="29" t="s">
        <v>472</v>
      </c>
      <c r="E472" s="29" t="s">
        <v>445</v>
      </c>
      <c r="F472" s="29" t="inlineStr">
        <is>
          <t xml:space="preserve">神通</t>
        </is>
      </c>
      <c r="G472" s="29">
        <v>1</v>
      </c>
      <c r="H472" s="29" t="b">
        <v>0</v>
      </c>
      <c r="I472" s="29">
        <v>10</v>
      </c>
      <c r="J472" s="29">
        <v>106900</v>
      </c>
      <c r="K472" s="29" t="s">
        <v>324</v>
      </c>
      <c r="L472" s="29">
        <v>10690009</v>
      </c>
      <c r="N472" s="29" t="s">
        <v>473</v>
      </c>
      <c r="O472" s="29">
        <v>10902012</v>
      </c>
      <c r="P472" s="29">
        <v>0</v>
      </c>
      <c r="Q472" s="29">
        <v>0</v>
      </c>
      <c r="R472" s="29">
        <v>1</v>
      </c>
      <c r="T472" s="29">
        <v>100</v>
      </c>
      <c r="AY472" s="29" t="s">
        <v>425</v>
      </c>
      <c r="AZ472" s="29">
        <v>0</v>
      </c>
      <c r="GR472" s="29">
        <v>0</v>
      </c>
      <c r="GS472" s="29">
        <v>0</v>
      </c>
      <c r="GT472" s="29" t="s">
        <v>425</v>
      </c>
      <c r="GU472" s="29">
        <v>0</v>
      </c>
      <c r="GX472" s="29">
        <v>0</v>
      </c>
      <c r="GZ472" s="29">
        <v>0</v>
      </c>
      <c r="HA472" s="29">
        <v>0</v>
      </c>
      <c r="HB472" s="29">
        <v>0</v>
      </c>
      <c r="HC472" s="29">
        <v>0</v>
      </c>
      <c r="HD472" s="29">
        <v>0</v>
      </c>
      <c r="HE472" s="29" t="b">
        <v>0</v>
      </c>
      <c r="HG472" s="29">
        <v>0</v>
      </c>
      <c r="HI472" s="29" t="s">
        <v>334</v>
      </c>
      <c r="HJ472" s="29">
        <v>0</v>
      </c>
      <c r="HK472" s="29">
        <v>0</v>
      </c>
      <c r="HL472" s="29">
        <v>0</v>
      </c>
    </row>
    <row r="473" spans="2:220">
      <c r="B473" s="29" cm="1">
        <f t="array" ref="B473">10000000+INDEX(编号表!$B$1:$B$112,MATCH(D473,编号表!$A$1:$A$112,0))*10000+I473</f>
        <v>10700001</v>
      </c>
      <c r="C473" s="29" t="s">
        <v>474</v>
      </c>
      <c r="D473" s="29" t="s">
        <v>474</v>
      </c>
      <c r="E473" s="29" t="s">
        <v>445</v>
      </c>
      <c r="F473" s="29" t="s">
        <v>323</v>
      </c>
      <c r="G473" s="29">
        <v>1</v>
      </c>
      <c r="H473" s="29" t="b">
        <v>0</v>
      </c>
      <c r="I473" s="29">
        <v>1</v>
      </c>
      <c r="J473" s="29">
        <v>107000</v>
      </c>
      <c r="K473" s="29" t="s">
        <v>324</v>
      </c>
      <c r="M473" s="29">
        <v>10700002</v>
      </c>
      <c r="N473" s="29" t="s">
        <v>475</v>
      </c>
      <c r="O473" s="29">
        <v>10902013</v>
      </c>
      <c r="P473" s="29">
        <v>0</v>
      </c>
      <c r="Q473" s="29">
        <v>0</v>
      </c>
      <c r="R473" s="29">
        <v>1</v>
      </c>
      <c r="T473" s="29">
        <v>100</v>
      </c>
      <c r="AY473" s="29" t="s">
        <v>425</v>
      </c>
      <c r="AZ473" s="29">
        <v>0</v>
      </c>
      <c r="GR473" s="29">
        <v>0</v>
      </c>
      <c r="GS473" s="29">
        <v>0</v>
      </c>
      <c r="GT473" s="29" t="s">
        <v>425</v>
      </c>
      <c r="GU473" s="29">
        <v>0</v>
      </c>
      <c r="GX473" s="29">
        <v>0</v>
      </c>
      <c r="GZ473" s="29">
        <v>0</v>
      </c>
      <c r="HA473" s="29">
        <v>0</v>
      </c>
      <c r="HB473" s="29">
        <v>0</v>
      </c>
      <c r="HC473" s="29">
        <v>0</v>
      </c>
      <c r="HD473" s="29">
        <v>0</v>
      </c>
      <c r="HE473" s="29" t="b">
        <v>0</v>
      </c>
      <c r="HG473" s="29">
        <v>0</v>
      </c>
      <c r="HI473" s="29" t="s">
        <v>334</v>
      </c>
      <c r="HJ473" s="29">
        <v>0</v>
      </c>
      <c r="HK473" s="29">
        <v>0</v>
      </c>
      <c r="HL473" s="29">
        <v>0</v>
      </c>
    </row>
    <row r="474" spans="2:220">
      <c r="B474" s="29" cm="1">
        <f t="array" ref="B474">10000000+INDEX(编号表!$B$1:$B$112,MATCH(D474,编号表!$A$1:$A$112,0))*10000+I474</f>
        <v>10700002</v>
      </c>
      <c r="C474" s="29" t="s">
        <v>474</v>
      </c>
      <c r="D474" s="29" t="s">
        <v>474</v>
      </c>
      <c r="E474" s="29" t="s">
        <v>445</v>
      </c>
      <c r="F474" s="29" t="s">
        <v>323</v>
      </c>
      <c r="G474" s="29">
        <v>1</v>
      </c>
      <c r="H474" s="29" t="b">
        <v>0</v>
      </c>
      <c r="I474" s="29">
        <v>2</v>
      </c>
      <c r="J474" s="29">
        <v>107000</v>
      </c>
      <c r="K474" s="29" t="s">
        <v>324</v>
      </c>
      <c r="L474" s="29">
        <v>10700001</v>
      </c>
      <c r="M474" s="29">
        <v>10700003</v>
      </c>
      <c r="N474" s="29" t="s">
        <v>475</v>
      </c>
      <c r="O474" s="29">
        <v>10902013</v>
      </c>
      <c r="P474" s="29">
        <v>0</v>
      </c>
      <c r="Q474" s="29">
        <v>0</v>
      </c>
      <c r="R474" s="29">
        <v>1</v>
      </c>
      <c r="T474" s="29">
        <v>100</v>
      </c>
      <c r="AY474" s="29" t="s">
        <v>425</v>
      </c>
      <c r="AZ474" s="29">
        <v>0</v>
      </c>
      <c r="GR474" s="29">
        <v>0</v>
      </c>
      <c r="GS474" s="29">
        <v>0</v>
      </c>
      <c r="GT474" s="29" t="s">
        <v>425</v>
      </c>
      <c r="GU474" s="29">
        <v>0</v>
      </c>
      <c r="GX474" s="29">
        <v>0</v>
      </c>
      <c r="GZ474" s="29">
        <v>0</v>
      </c>
      <c r="HA474" s="29">
        <v>0</v>
      </c>
      <c r="HB474" s="29">
        <v>0</v>
      </c>
      <c r="HC474" s="29">
        <v>0</v>
      </c>
      <c r="HD474" s="29">
        <v>0</v>
      </c>
      <c r="HE474" s="29" t="b">
        <v>0</v>
      </c>
      <c r="HG474" s="29">
        <v>0</v>
      </c>
      <c r="HI474" s="29" t="s">
        <v>334</v>
      </c>
      <c r="HJ474" s="29">
        <v>0</v>
      </c>
      <c r="HK474" s="29">
        <v>0</v>
      </c>
      <c r="HL474" s="29">
        <v>0</v>
      </c>
    </row>
    <row r="475" spans="2:220">
      <c r="B475" s="29" cm="1">
        <f t="array" ref="B475">10000000+INDEX(编号表!$B$1:$B$112,MATCH(D475,编号表!$A$1:$A$112,0))*10000+I475</f>
        <v>10700003</v>
      </c>
      <c r="C475" s="29" t="s">
        <v>474</v>
      </c>
      <c r="D475" s="29" t="s">
        <v>474</v>
      </c>
      <c r="E475" s="29" t="s">
        <v>445</v>
      </c>
      <c r="F475" s="29" t="s">
        <v>323</v>
      </c>
      <c r="G475" s="29">
        <v>1</v>
      </c>
      <c r="H475" s="29" t="b">
        <v>0</v>
      </c>
      <c r="I475" s="29">
        <v>3</v>
      </c>
      <c r="J475" s="29">
        <v>107000</v>
      </c>
      <c r="K475" s="29" t="s">
        <v>324</v>
      </c>
      <c r="L475" s="29">
        <v>10700002</v>
      </c>
      <c r="M475" s="29">
        <v>10700004</v>
      </c>
      <c r="N475" s="29" t="s">
        <v>475</v>
      </c>
      <c r="O475" s="29">
        <v>10902013</v>
      </c>
      <c r="P475" s="29">
        <v>0</v>
      </c>
      <c r="Q475" s="29">
        <v>0</v>
      </c>
      <c r="R475" s="29">
        <v>1</v>
      </c>
      <c r="T475" s="29">
        <v>100</v>
      </c>
      <c r="AY475" s="29" t="s">
        <v>425</v>
      </c>
      <c r="AZ475" s="29">
        <v>0</v>
      </c>
      <c r="GR475" s="29">
        <v>0</v>
      </c>
      <c r="GS475" s="29">
        <v>0</v>
      </c>
      <c r="GT475" s="29" t="s">
        <v>425</v>
      </c>
      <c r="GU475" s="29">
        <v>0</v>
      </c>
      <c r="GX475" s="29">
        <v>0</v>
      </c>
      <c r="GZ475" s="29">
        <v>0</v>
      </c>
      <c r="HA475" s="29">
        <v>0</v>
      </c>
      <c r="HB475" s="29">
        <v>0</v>
      </c>
      <c r="HC475" s="29">
        <v>0</v>
      </c>
      <c r="HD475" s="29">
        <v>0</v>
      </c>
      <c r="HE475" s="29" t="b">
        <v>0</v>
      </c>
      <c r="HG475" s="29">
        <v>0</v>
      </c>
      <c r="HI475" s="29" t="s">
        <v>334</v>
      </c>
      <c r="HJ475" s="29">
        <v>0</v>
      </c>
      <c r="HK475" s="29">
        <v>0</v>
      </c>
      <c r="HL475" s="29">
        <v>0</v>
      </c>
    </row>
    <row r="476" spans="2:220">
      <c r="B476" s="29" cm="1">
        <f t="array" ref="B476">10000000+INDEX(编号表!$B$1:$B$112,MATCH(D476,编号表!$A$1:$A$112,0))*10000+I476</f>
        <v>10700004</v>
      </c>
      <c r="C476" s="29" t="s">
        <v>474</v>
      </c>
      <c r="D476" s="29" t="s">
        <v>474</v>
      </c>
      <c r="E476" s="29" t="s">
        <v>445</v>
      </c>
      <c r="F476" s="29" t="s">
        <v>323</v>
      </c>
      <c r="G476" s="29">
        <v>1</v>
      </c>
      <c r="H476" s="29" t="b">
        <v>0</v>
      </c>
      <c r="I476" s="29">
        <v>4</v>
      </c>
      <c r="J476" s="29">
        <v>107000</v>
      </c>
      <c r="K476" s="29" t="s">
        <v>324</v>
      </c>
      <c r="L476" s="29">
        <v>10700003</v>
      </c>
      <c r="M476" s="29">
        <v>10700005</v>
      </c>
      <c r="N476" s="29" t="s">
        <v>475</v>
      </c>
      <c r="O476" s="29">
        <v>10902013</v>
      </c>
      <c r="P476" s="29">
        <v>0</v>
      </c>
      <c r="Q476" s="29">
        <v>0</v>
      </c>
      <c r="R476" s="29">
        <v>1</v>
      </c>
      <c r="T476" s="29">
        <v>100</v>
      </c>
      <c r="AY476" s="29" t="s">
        <v>425</v>
      </c>
      <c r="AZ476" s="29">
        <v>0</v>
      </c>
      <c r="GR476" s="29">
        <v>0</v>
      </c>
      <c r="GS476" s="29">
        <v>0</v>
      </c>
      <c r="GT476" s="29" t="s">
        <v>425</v>
      </c>
      <c r="GU476" s="29">
        <v>0</v>
      </c>
      <c r="GX476" s="29">
        <v>0</v>
      </c>
      <c r="GZ476" s="29">
        <v>0</v>
      </c>
      <c r="HA476" s="29">
        <v>0</v>
      </c>
      <c r="HB476" s="29">
        <v>0</v>
      </c>
      <c r="HC476" s="29">
        <v>0</v>
      </c>
      <c r="HD476" s="29">
        <v>0</v>
      </c>
      <c r="HE476" s="29" t="b">
        <v>0</v>
      </c>
      <c r="HG476" s="29">
        <v>0</v>
      </c>
      <c r="HI476" s="29" t="s">
        <v>334</v>
      </c>
      <c r="HJ476" s="29">
        <v>0</v>
      </c>
      <c r="HK476" s="29">
        <v>0</v>
      </c>
      <c r="HL476" s="29">
        <v>0</v>
      </c>
    </row>
    <row r="477" spans="2:220">
      <c r="B477" s="29" cm="1">
        <f t="array" ref="B477">10000000+INDEX(编号表!$B$1:$B$112,MATCH(D477,编号表!$A$1:$A$112,0))*10000+I477</f>
        <v>10700005</v>
      </c>
      <c r="C477" s="29" t="s">
        <v>474</v>
      </c>
      <c r="D477" s="29" t="s">
        <v>474</v>
      </c>
      <c r="E477" s="29" t="s">
        <v>445</v>
      </c>
      <c r="F477" s="29" t="s">
        <v>323</v>
      </c>
      <c r="G477" s="29">
        <v>1</v>
      </c>
      <c r="H477" s="29" t="b">
        <v>0</v>
      </c>
      <c r="I477" s="29">
        <v>5</v>
      </c>
      <c r="J477" s="29">
        <v>107000</v>
      </c>
      <c r="K477" s="29" t="s">
        <v>324</v>
      </c>
      <c r="L477" s="29">
        <v>10700004</v>
      </c>
      <c r="M477" s="29">
        <v>10700006</v>
      </c>
      <c r="N477" s="29" t="s">
        <v>475</v>
      </c>
      <c r="O477" s="29">
        <v>10902013</v>
      </c>
      <c r="P477" s="29">
        <v>0</v>
      </c>
      <c r="Q477" s="29">
        <v>0</v>
      </c>
      <c r="R477" s="29">
        <v>1</v>
      </c>
      <c r="T477" s="29">
        <v>100</v>
      </c>
      <c r="AY477" s="29" t="s">
        <v>425</v>
      </c>
      <c r="AZ477" s="29">
        <v>0</v>
      </c>
      <c r="GR477" s="29">
        <v>0</v>
      </c>
      <c r="GS477" s="29">
        <v>0</v>
      </c>
      <c r="GT477" s="29" t="s">
        <v>425</v>
      </c>
      <c r="GU477" s="29">
        <v>0</v>
      </c>
      <c r="GX477" s="29">
        <v>0</v>
      </c>
      <c r="GZ477" s="29">
        <v>0</v>
      </c>
      <c r="HA477" s="29">
        <v>0</v>
      </c>
      <c r="HB477" s="29">
        <v>0</v>
      </c>
      <c r="HC477" s="29">
        <v>0</v>
      </c>
      <c r="HD477" s="29">
        <v>0</v>
      </c>
      <c r="HE477" s="29" t="b">
        <v>0</v>
      </c>
      <c r="HG477" s="29">
        <v>0</v>
      </c>
      <c r="HI477" s="29" t="s">
        <v>334</v>
      </c>
      <c r="HJ477" s="29">
        <v>0</v>
      </c>
      <c r="HK477" s="29">
        <v>0</v>
      </c>
      <c r="HL477" s="29">
        <v>0</v>
      </c>
    </row>
    <row r="478" spans="2:220">
      <c r="B478" s="29" cm="1">
        <f t="array" ref="B478">10000000+INDEX(编号表!$B$1:$B$112,MATCH(D478,编号表!$A$1:$A$112,0))*10000+I478</f>
        <v>10700006</v>
      </c>
      <c r="C478" s="29" t="s">
        <v>474</v>
      </c>
      <c r="D478" s="29" t="s">
        <v>474</v>
      </c>
      <c r="E478" s="29" t="s">
        <v>445</v>
      </c>
      <c r="F478" s="29" t="s">
        <v>323</v>
      </c>
      <c r="G478" s="29">
        <v>1</v>
      </c>
      <c r="H478" s="29" t="b">
        <v>0</v>
      </c>
      <c r="I478" s="29">
        <v>6</v>
      </c>
      <c r="J478" s="29">
        <v>107000</v>
      </c>
      <c r="K478" s="29" t="s">
        <v>324</v>
      </c>
      <c r="L478" s="29">
        <v>10700005</v>
      </c>
      <c r="M478" s="29">
        <v>10700007</v>
      </c>
      <c r="N478" s="29" t="s">
        <v>475</v>
      </c>
      <c r="O478" s="29">
        <v>10902013</v>
      </c>
      <c r="P478" s="29">
        <v>0</v>
      </c>
      <c r="Q478" s="29">
        <v>0</v>
      </c>
      <c r="R478" s="29">
        <v>1</v>
      </c>
      <c r="T478" s="29">
        <v>100</v>
      </c>
      <c r="AY478" s="29" t="s">
        <v>425</v>
      </c>
      <c r="AZ478" s="29">
        <v>0</v>
      </c>
      <c r="GR478" s="29">
        <v>0</v>
      </c>
      <c r="GS478" s="29">
        <v>0</v>
      </c>
      <c r="GT478" s="29" t="s">
        <v>425</v>
      </c>
      <c r="GU478" s="29">
        <v>0</v>
      </c>
      <c r="GX478" s="29">
        <v>0</v>
      </c>
      <c r="GZ478" s="29">
        <v>0</v>
      </c>
      <c r="HA478" s="29">
        <v>0</v>
      </c>
      <c r="HB478" s="29">
        <v>0</v>
      </c>
      <c r="HC478" s="29">
        <v>0</v>
      </c>
      <c r="HD478" s="29">
        <v>0</v>
      </c>
      <c r="HE478" s="29" t="b">
        <v>0</v>
      </c>
      <c r="HG478" s="29">
        <v>0</v>
      </c>
      <c r="HI478" s="29" t="s">
        <v>334</v>
      </c>
      <c r="HJ478" s="29">
        <v>0</v>
      </c>
      <c r="HK478" s="29">
        <v>0</v>
      </c>
      <c r="HL478" s="29">
        <v>0</v>
      </c>
    </row>
    <row r="479" spans="2:220">
      <c r="B479" s="29" cm="1">
        <f t="array" ref="B479">10000000+INDEX(编号表!$B$1:$B$112,MATCH(D479,编号表!$A$1:$A$112,0))*10000+I479</f>
        <v>10700007</v>
      </c>
      <c r="C479" s="29" t="s">
        <v>474</v>
      </c>
      <c r="D479" s="29" t="s">
        <v>474</v>
      </c>
      <c r="E479" s="29" t="s">
        <v>445</v>
      </c>
      <c r="F479" s="29" t="s">
        <v>323</v>
      </c>
      <c r="G479" s="29">
        <v>1</v>
      </c>
      <c r="H479" s="29" t="b">
        <v>0</v>
      </c>
      <c r="I479" s="29">
        <v>7</v>
      </c>
      <c r="J479" s="29">
        <v>107000</v>
      </c>
      <c r="K479" s="29" t="s">
        <v>324</v>
      </c>
      <c r="L479" s="29">
        <v>10700006</v>
      </c>
      <c r="M479" s="29">
        <v>10700008</v>
      </c>
      <c r="N479" s="29" t="s">
        <v>475</v>
      </c>
      <c r="O479" s="29">
        <v>10902013</v>
      </c>
      <c r="P479" s="29">
        <v>0</v>
      </c>
      <c r="Q479" s="29">
        <v>0</v>
      </c>
      <c r="R479" s="29">
        <v>1</v>
      </c>
      <c r="T479" s="29">
        <v>100</v>
      </c>
      <c r="AY479" s="29" t="s">
        <v>425</v>
      </c>
      <c r="AZ479" s="29">
        <v>0</v>
      </c>
      <c r="GR479" s="29">
        <v>0</v>
      </c>
      <c r="GS479" s="29">
        <v>0</v>
      </c>
      <c r="GT479" s="29" t="s">
        <v>425</v>
      </c>
      <c r="GU479" s="29">
        <v>0</v>
      </c>
      <c r="GX479" s="29">
        <v>0</v>
      </c>
      <c r="GZ479" s="29">
        <v>0</v>
      </c>
      <c r="HA479" s="29">
        <v>0</v>
      </c>
      <c r="HB479" s="29">
        <v>0</v>
      </c>
      <c r="HC479" s="29">
        <v>0</v>
      </c>
      <c r="HD479" s="29">
        <v>0</v>
      </c>
      <c r="HE479" s="29" t="b">
        <v>0</v>
      </c>
      <c r="HG479" s="29">
        <v>0</v>
      </c>
      <c r="HI479" s="29" t="s">
        <v>334</v>
      </c>
      <c r="HJ479" s="29">
        <v>0</v>
      </c>
      <c r="HK479" s="29">
        <v>0</v>
      </c>
      <c r="HL479" s="29">
        <v>0</v>
      </c>
    </row>
    <row r="480" spans="2:220">
      <c r="B480" s="29" cm="1">
        <f t="array" ref="B480">10000000+INDEX(编号表!$B$1:$B$112,MATCH(D480,编号表!$A$1:$A$112,0))*10000+I480</f>
        <v>10700008</v>
      </c>
      <c r="C480" s="29" t="s">
        <v>474</v>
      </c>
      <c r="D480" s="29" t="s">
        <v>474</v>
      </c>
      <c r="E480" s="29" t="s">
        <v>445</v>
      </c>
      <c r="F480" s="29" t="s">
        <v>323</v>
      </c>
      <c r="G480" s="29">
        <v>1</v>
      </c>
      <c r="H480" s="29" t="b">
        <v>0</v>
      </c>
      <c r="I480" s="29">
        <v>8</v>
      </c>
      <c r="J480" s="29">
        <v>107000</v>
      </c>
      <c r="K480" s="29" t="s">
        <v>324</v>
      </c>
      <c r="L480" s="29">
        <v>10700007</v>
      </c>
      <c r="M480" s="29">
        <v>10700009</v>
      </c>
      <c r="N480" s="29" t="s">
        <v>475</v>
      </c>
      <c r="O480" s="29">
        <v>10902013</v>
      </c>
      <c r="P480" s="29">
        <v>0</v>
      </c>
      <c r="Q480" s="29">
        <v>0</v>
      </c>
      <c r="R480" s="29">
        <v>1</v>
      </c>
      <c r="T480" s="29">
        <v>100</v>
      </c>
      <c r="AY480" s="29" t="s">
        <v>425</v>
      </c>
      <c r="AZ480" s="29">
        <v>0</v>
      </c>
      <c r="GR480" s="29">
        <v>0</v>
      </c>
      <c r="GS480" s="29">
        <v>0</v>
      </c>
      <c r="GT480" s="29" t="s">
        <v>425</v>
      </c>
      <c r="GU480" s="29">
        <v>0</v>
      </c>
      <c r="GX480" s="29">
        <v>0</v>
      </c>
      <c r="GZ480" s="29">
        <v>0</v>
      </c>
      <c r="HA480" s="29">
        <v>0</v>
      </c>
      <c r="HB480" s="29">
        <v>0</v>
      </c>
      <c r="HC480" s="29">
        <v>0</v>
      </c>
      <c r="HD480" s="29">
        <v>0</v>
      </c>
      <c r="HE480" s="29" t="b">
        <v>0</v>
      </c>
      <c r="HG480" s="29">
        <v>0</v>
      </c>
      <c r="HI480" s="29" t="s">
        <v>334</v>
      </c>
      <c r="HJ480" s="29">
        <v>0</v>
      </c>
      <c r="HK480" s="29">
        <v>0</v>
      </c>
      <c r="HL480" s="29">
        <v>0</v>
      </c>
    </row>
    <row r="481" spans="2:220">
      <c r="B481" s="29" cm="1">
        <f t="array" ref="B481">10000000+INDEX(编号表!$B$1:$B$112,MATCH(D481,编号表!$A$1:$A$112,0))*10000+I481</f>
        <v>10700009</v>
      </c>
      <c r="C481" s="29" t="s">
        <v>474</v>
      </c>
      <c r="D481" s="29" t="s">
        <v>474</v>
      </c>
      <c r="E481" s="29" t="s">
        <v>445</v>
      </c>
      <c r="F481" s="29" t="s">
        <v>323</v>
      </c>
      <c r="G481" s="29">
        <v>1</v>
      </c>
      <c r="H481" s="29" t="b">
        <v>0</v>
      </c>
      <c r="I481" s="29">
        <v>9</v>
      </c>
      <c r="J481" s="29">
        <v>107000</v>
      </c>
      <c r="K481" s="29" t="s">
        <v>324</v>
      </c>
      <c r="L481" s="29">
        <v>10700008</v>
      </c>
      <c r="M481" s="29">
        <v>10700010</v>
      </c>
      <c r="N481" s="29" t="s">
        <v>475</v>
      </c>
      <c r="O481" s="29">
        <v>10902013</v>
      </c>
      <c r="P481" s="29">
        <v>0</v>
      </c>
      <c r="Q481" s="29">
        <v>0</v>
      </c>
      <c r="R481" s="29">
        <v>1</v>
      </c>
      <c r="T481" s="29">
        <v>100</v>
      </c>
      <c r="AY481" s="29" t="s">
        <v>425</v>
      </c>
      <c r="AZ481" s="29">
        <v>0</v>
      </c>
      <c r="GR481" s="29">
        <v>0</v>
      </c>
      <c r="GS481" s="29">
        <v>0</v>
      </c>
      <c r="GT481" s="29" t="s">
        <v>425</v>
      </c>
      <c r="GU481" s="29">
        <v>0</v>
      </c>
      <c r="GX481" s="29">
        <v>0</v>
      </c>
      <c r="GZ481" s="29">
        <v>0</v>
      </c>
      <c r="HA481" s="29">
        <v>0</v>
      </c>
      <c r="HB481" s="29">
        <v>0</v>
      </c>
      <c r="HC481" s="29">
        <v>0</v>
      </c>
      <c r="HD481" s="29">
        <v>0</v>
      </c>
      <c r="HE481" s="29" t="b">
        <v>0</v>
      </c>
      <c r="HG481" s="29">
        <v>0</v>
      </c>
      <c r="HI481" s="29" t="s">
        <v>334</v>
      </c>
      <c r="HJ481" s="29">
        <v>0</v>
      </c>
      <c r="HK481" s="29">
        <v>0</v>
      </c>
      <c r="HL481" s="29">
        <v>0</v>
      </c>
    </row>
    <row r="482" spans="2:220">
      <c r="B482" s="29" cm="1">
        <f t="array" ref="B482">10000000+INDEX(编号表!$B$1:$B$112,MATCH(D482,编号表!$A$1:$A$112,0))*10000+I482</f>
        <v>10700010</v>
      </c>
      <c r="C482" s="29" t="s">
        <v>474</v>
      </c>
      <c r="D482" s="29" t="s">
        <v>474</v>
      </c>
      <c r="E482" s="29" t="s">
        <v>445</v>
      </c>
      <c r="F482" s="29" t="s">
        <v>323</v>
      </c>
      <c r="G482" s="29">
        <v>1</v>
      </c>
      <c r="H482" s="29" t="b">
        <v>0</v>
      </c>
      <c r="I482" s="29">
        <v>10</v>
      </c>
      <c r="J482" s="29">
        <v>107000</v>
      </c>
      <c r="K482" s="29" t="s">
        <v>324</v>
      </c>
      <c r="L482" s="29">
        <v>10700009</v>
      </c>
      <c r="N482" s="29" t="s">
        <v>475</v>
      </c>
      <c r="O482" s="29">
        <v>10902013</v>
      </c>
      <c r="P482" s="29">
        <v>0</v>
      </c>
      <c r="Q482" s="29">
        <v>0</v>
      </c>
      <c r="R482" s="29">
        <v>1</v>
      </c>
      <c r="T482" s="29">
        <v>100</v>
      </c>
      <c r="AY482" s="29" t="s">
        <v>425</v>
      </c>
      <c r="AZ482" s="29">
        <v>0</v>
      </c>
      <c r="GR482" s="29">
        <v>0</v>
      </c>
      <c r="GS482" s="29">
        <v>0</v>
      </c>
      <c r="GT482" s="29" t="s">
        <v>425</v>
      </c>
      <c r="GU482" s="29">
        <v>0</v>
      </c>
      <c r="GX482" s="29">
        <v>0</v>
      </c>
      <c r="GZ482" s="29">
        <v>0</v>
      </c>
      <c r="HA482" s="29">
        <v>0</v>
      </c>
      <c r="HB482" s="29">
        <v>0</v>
      </c>
      <c r="HC482" s="29">
        <v>0</v>
      </c>
      <c r="HD482" s="29">
        <v>0</v>
      </c>
      <c r="HE482" s="29" t="b">
        <v>0</v>
      </c>
      <c r="HG482" s="29">
        <v>0</v>
      </c>
      <c r="HI482" s="29" t="s">
        <v>334</v>
      </c>
      <c r="HJ482" s="29">
        <v>0</v>
      </c>
      <c r="HK482" s="29">
        <v>0</v>
      </c>
      <c r="HL482" s="29">
        <v>0</v>
      </c>
    </row>
    <row r="483" spans="2:220">
      <c r="B483" s="29" cm="1">
        <f t="array" ref="B483">10000000+INDEX(编号表!$B$1:$B$112,MATCH(D483,编号表!$A$1:$A$112,0))*10000+I483</f>
        <v>10710001</v>
      </c>
      <c r="C483" s="29" t="s">
        <v>476</v>
      </c>
      <c r="D483" s="29" t="s">
        <v>476</v>
      </c>
      <c r="E483" s="29" t="s">
        <v>445</v>
      </c>
      <c r="F483" s="29" t="s">
        <v>373</v>
      </c>
      <c r="G483" s="29">
        <v>1</v>
      </c>
      <c r="H483" s="29" t="b">
        <v>0</v>
      </c>
      <c r="I483" s="29">
        <v>1</v>
      </c>
      <c r="J483" s="29">
        <v>107100</v>
      </c>
      <c r="K483" s="29" t="s">
        <v>324</v>
      </c>
      <c r="M483" s="29">
        <v>10710002</v>
      </c>
      <c r="N483" s="29" t="s">
        <v>477</v>
      </c>
      <c r="O483" s="29">
        <v>10902014</v>
      </c>
      <c r="P483" s="29">
        <v>0</v>
      </c>
      <c r="Q483" s="29">
        <v>0</v>
      </c>
      <c r="R483" s="29">
        <v>1</v>
      </c>
      <c r="T483" s="29">
        <v>100</v>
      </c>
      <c r="AY483" s="29" t="s">
        <v>425</v>
      </c>
      <c r="AZ483" s="29">
        <v>0</v>
      </c>
      <c r="GR483" s="29">
        <v>0</v>
      </c>
      <c r="GS483" s="29">
        <v>0</v>
      </c>
      <c r="GT483" s="29" t="s">
        <v>425</v>
      </c>
      <c r="GU483" s="29">
        <v>0</v>
      </c>
      <c r="GX483" s="29">
        <v>0</v>
      </c>
      <c r="GZ483" s="29">
        <v>0</v>
      </c>
      <c r="HA483" s="29">
        <v>0</v>
      </c>
      <c r="HB483" s="29">
        <v>0</v>
      </c>
      <c r="HC483" s="29">
        <v>0</v>
      </c>
      <c r="HD483" s="29">
        <v>0</v>
      </c>
      <c r="HE483" s="29" t="b">
        <v>0</v>
      </c>
      <c r="HG483" s="29">
        <v>0</v>
      </c>
      <c r="HI483" s="29" t="s">
        <v>334</v>
      </c>
      <c r="HJ483" s="29">
        <v>0</v>
      </c>
      <c r="HK483" s="29">
        <v>0</v>
      </c>
      <c r="HL483" s="29">
        <v>0</v>
      </c>
    </row>
    <row r="484" spans="2:220">
      <c r="B484" s="29" cm="1">
        <f t="array" ref="B484">10000000+INDEX(编号表!$B$1:$B$112,MATCH(D484,编号表!$A$1:$A$112,0))*10000+I484</f>
        <v>10710002</v>
      </c>
      <c r="C484" s="29" t="s">
        <v>476</v>
      </c>
      <c r="D484" s="29" t="s">
        <v>476</v>
      </c>
      <c r="E484" s="29" t="s">
        <v>445</v>
      </c>
      <c r="F484" s="29" t="s">
        <v>373</v>
      </c>
      <c r="G484" s="29">
        <v>1</v>
      </c>
      <c r="H484" s="29" t="b">
        <v>0</v>
      </c>
      <c r="I484" s="29">
        <v>2</v>
      </c>
      <c r="J484" s="29">
        <v>107100</v>
      </c>
      <c r="K484" s="29" t="s">
        <v>324</v>
      </c>
      <c r="L484" s="29">
        <v>10710001</v>
      </c>
      <c r="M484" s="29">
        <v>10710003</v>
      </c>
      <c r="N484" s="29" t="s">
        <v>477</v>
      </c>
      <c r="O484" s="29">
        <v>10902014</v>
      </c>
      <c r="P484" s="29">
        <v>0</v>
      </c>
      <c r="Q484" s="29">
        <v>0</v>
      </c>
      <c r="R484" s="29">
        <v>1</v>
      </c>
      <c r="T484" s="29">
        <v>100</v>
      </c>
      <c r="AY484" s="29" t="s">
        <v>425</v>
      </c>
      <c r="AZ484" s="29">
        <v>0</v>
      </c>
      <c r="GR484" s="29">
        <v>0</v>
      </c>
      <c r="GS484" s="29">
        <v>0</v>
      </c>
      <c r="GT484" s="29" t="s">
        <v>425</v>
      </c>
      <c r="GU484" s="29">
        <v>0</v>
      </c>
      <c r="GX484" s="29">
        <v>0</v>
      </c>
      <c r="GZ484" s="29">
        <v>0</v>
      </c>
      <c r="HA484" s="29">
        <v>0</v>
      </c>
      <c r="HB484" s="29">
        <v>0</v>
      </c>
      <c r="HC484" s="29">
        <v>0</v>
      </c>
      <c r="HD484" s="29">
        <v>0</v>
      </c>
      <c r="HE484" s="29" t="b">
        <v>0</v>
      </c>
      <c r="HG484" s="29">
        <v>0</v>
      </c>
      <c r="HI484" s="29" t="s">
        <v>334</v>
      </c>
      <c r="HJ484" s="29">
        <v>0</v>
      </c>
      <c r="HK484" s="29">
        <v>0</v>
      </c>
      <c r="HL484" s="29">
        <v>0</v>
      </c>
    </row>
    <row r="485" spans="2:220">
      <c r="B485" s="29" cm="1">
        <f t="array" ref="B485">10000000+INDEX(编号表!$B$1:$B$112,MATCH(D485,编号表!$A$1:$A$112,0))*10000+I485</f>
        <v>10710003</v>
      </c>
      <c r="C485" s="29" t="s">
        <v>476</v>
      </c>
      <c r="D485" s="29" t="s">
        <v>476</v>
      </c>
      <c r="E485" s="29" t="s">
        <v>445</v>
      </c>
      <c r="F485" s="29" t="s">
        <v>373</v>
      </c>
      <c r="G485" s="29">
        <v>1</v>
      </c>
      <c r="H485" s="29" t="b">
        <v>0</v>
      </c>
      <c r="I485" s="29">
        <v>3</v>
      </c>
      <c r="J485" s="29">
        <v>107100</v>
      </c>
      <c r="K485" s="29" t="s">
        <v>324</v>
      </c>
      <c r="L485" s="29">
        <v>10710002</v>
      </c>
      <c r="M485" s="29">
        <v>10710004</v>
      </c>
      <c r="N485" s="29" t="s">
        <v>477</v>
      </c>
      <c r="O485" s="29">
        <v>10902014</v>
      </c>
      <c r="P485" s="29">
        <v>0</v>
      </c>
      <c r="Q485" s="29">
        <v>0</v>
      </c>
      <c r="R485" s="29">
        <v>1</v>
      </c>
      <c r="T485" s="29">
        <v>100</v>
      </c>
      <c r="AY485" s="29" t="s">
        <v>425</v>
      </c>
      <c r="AZ485" s="29">
        <v>0</v>
      </c>
      <c r="GR485" s="29">
        <v>0</v>
      </c>
      <c r="GS485" s="29">
        <v>0</v>
      </c>
      <c r="GT485" s="29" t="s">
        <v>425</v>
      </c>
      <c r="GU485" s="29">
        <v>0</v>
      </c>
      <c r="GX485" s="29">
        <v>0</v>
      </c>
      <c r="GZ485" s="29">
        <v>0</v>
      </c>
      <c r="HA485" s="29">
        <v>0</v>
      </c>
      <c r="HB485" s="29">
        <v>0</v>
      </c>
      <c r="HC485" s="29">
        <v>0</v>
      </c>
      <c r="HD485" s="29">
        <v>0</v>
      </c>
      <c r="HE485" s="29" t="b">
        <v>0</v>
      </c>
      <c r="HG485" s="29">
        <v>0</v>
      </c>
      <c r="HI485" s="29" t="s">
        <v>334</v>
      </c>
      <c r="HJ485" s="29">
        <v>0</v>
      </c>
      <c r="HK485" s="29">
        <v>0</v>
      </c>
      <c r="HL485" s="29">
        <v>0</v>
      </c>
    </row>
    <row r="486" spans="2:220">
      <c r="B486" s="29" cm="1">
        <f t="array" ref="B486">10000000+INDEX(编号表!$B$1:$B$112,MATCH(D486,编号表!$A$1:$A$112,0))*10000+I486</f>
        <v>10710004</v>
      </c>
      <c r="C486" s="29" t="s">
        <v>476</v>
      </c>
      <c r="D486" s="29" t="s">
        <v>476</v>
      </c>
      <c r="E486" s="29" t="s">
        <v>445</v>
      </c>
      <c r="F486" s="29" t="s">
        <v>373</v>
      </c>
      <c r="G486" s="29">
        <v>1</v>
      </c>
      <c r="H486" s="29" t="b">
        <v>0</v>
      </c>
      <c r="I486" s="29">
        <v>4</v>
      </c>
      <c r="J486" s="29">
        <v>107100</v>
      </c>
      <c r="K486" s="29" t="s">
        <v>324</v>
      </c>
      <c r="L486" s="29">
        <v>10710003</v>
      </c>
      <c r="M486" s="29">
        <v>10710005</v>
      </c>
      <c r="N486" s="29" t="s">
        <v>477</v>
      </c>
      <c r="O486" s="29">
        <v>10902014</v>
      </c>
      <c r="P486" s="29">
        <v>0</v>
      </c>
      <c r="Q486" s="29">
        <v>0</v>
      </c>
      <c r="R486" s="29">
        <v>1</v>
      </c>
      <c r="T486" s="29">
        <v>100</v>
      </c>
      <c r="AY486" s="29" t="s">
        <v>425</v>
      </c>
      <c r="AZ486" s="29">
        <v>0</v>
      </c>
      <c r="GR486" s="29">
        <v>0</v>
      </c>
      <c r="GS486" s="29">
        <v>0</v>
      </c>
      <c r="GT486" s="29" t="s">
        <v>425</v>
      </c>
      <c r="GU486" s="29">
        <v>0</v>
      </c>
      <c r="GX486" s="29">
        <v>0</v>
      </c>
      <c r="GZ486" s="29">
        <v>0</v>
      </c>
      <c r="HA486" s="29">
        <v>0</v>
      </c>
      <c r="HB486" s="29">
        <v>0</v>
      </c>
      <c r="HC486" s="29">
        <v>0</v>
      </c>
      <c r="HD486" s="29">
        <v>0</v>
      </c>
      <c r="HE486" s="29" t="b">
        <v>0</v>
      </c>
      <c r="HG486" s="29">
        <v>0</v>
      </c>
      <c r="HI486" s="29" t="s">
        <v>334</v>
      </c>
      <c r="HJ486" s="29">
        <v>0</v>
      </c>
      <c r="HK486" s="29">
        <v>0</v>
      </c>
      <c r="HL486" s="29">
        <v>0</v>
      </c>
    </row>
    <row r="487" spans="2:220">
      <c r="B487" s="29" cm="1">
        <f t="array" ref="B487">10000000+INDEX(编号表!$B$1:$B$112,MATCH(D487,编号表!$A$1:$A$112,0))*10000+I487</f>
        <v>10710005</v>
      </c>
      <c r="C487" s="29" t="s">
        <v>476</v>
      </c>
      <c r="D487" s="29" t="s">
        <v>476</v>
      </c>
      <c r="E487" s="29" t="s">
        <v>445</v>
      </c>
      <c r="F487" s="29" t="s">
        <v>373</v>
      </c>
      <c r="G487" s="29">
        <v>1</v>
      </c>
      <c r="H487" s="29" t="b">
        <v>0</v>
      </c>
      <c r="I487" s="29">
        <v>5</v>
      </c>
      <c r="J487" s="29">
        <v>107100</v>
      </c>
      <c r="K487" s="29" t="s">
        <v>324</v>
      </c>
      <c r="L487" s="29">
        <v>10710004</v>
      </c>
      <c r="M487" s="29">
        <v>10710006</v>
      </c>
      <c r="N487" s="29" t="s">
        <v>477</v>
      </c>
      <c r="O487" s="29">
        <v>10902014</v>
      </c>
      <c r="P487" s="29">
        <v>0</v>
      </c>
      <c r="Q487" s="29">
        <v>0</v>
      </c>
      <c r="R487" s="29">
        <v>1</v>
      </c>
      <c r="T487" s="29">
        <v>100</v>
      </c>
      <c r="AY487" s="29" t="s">
        <v>425</v>
      </c>
      <c r="AZ487" s="29">
        <v>0</v>
      </c>
      <c r="GR487" s="29">
        <v>0</v>
      </c>
      <c r="GS487" s="29">
        <v>0</v>
      </c>
      <c r="GT487" s="29" t="s">
        <v>425</v>
      </c>
      <c r="GU487" s="29">
        <v>0</v>
      </c>
      <c r="GX487" s="29">
        <v>0</v>
      </c>
      <c r="GZ487" s="29">
        <v>0</v>
      </c>
      <c r="HA487" s="29">
        <v>0</v>
      </c>
      <c r="HB487" s="29">
        <v>0</v>
      </c>
      <c r="HC487" s="29">
        <v>0</v>
      </c>
      <c r="HD487" s="29">
        <v>0</v>
      </c>
      <c r="HE487" s="29" t="b">
        <v>0</v>
      </c>
      <c r="HG487" s="29">
        <v>0</v>
      </c>
      <c r="HI487" s="29" t="s">
        <v>334</v>
      </c>
      <c r="HJ487" s="29">
        <v>0</v>
      </c>
      <c r="HK487" s="29">
        <v>0</v>
      </c>
      <c r="HL487" s="29">
        <v>0</v>
      </c>
    </row>
    <row r="488" spans="2:220">
      <c r="B488" s="29" cm="1">
        <f t="array" ref="B488">10000000+INDEX(编号表!$B$1:$B$112,MATCH(D488,编号表!$A$1:$A$112,0))*10000+I488</f>
        <v>10710006</v>
      </c>
      <c r="C488" s="29" t="s">
        <v>476</v>
      </c>
      <c r="D488" s="29" t="s">
        <v>476</v>
      </c>
      <c r="E488" s="29" t="s">
        <v>445</v>
      </c>
      <c r="F488" s="29" t="s">
        <v>373</v>
      </c>
      <c r="G488" s="29">
        <v>1</v>
      </c>
      <c r="H488" s="29" t="b">
        <v>0</v>
      </c>
      <c r="I488" s="29">
        <v>6</v>
      </c>
      <c r="J488" s="29">
        <v>107100</v>
      </c>
      <c r="K488" s="29" t="s">
        <v>324</v>
      </c>
      <c r="L488" s="29">
        <v>10710005</v>
      </c>
      <c r="M488" s="29">
        <v>10710007</v>
      </c>
      <c r="N488" s="29" t="s">
        <v>477</v>
      </c>
      <c r="O488" s="29">
        <v>10902014</v>
      </c>
      <c r="P488" s="29">
        <v>0</v>
      </c>
      <c r="Q488" s="29">
        <v>0</v>
      </c>
      <c r="R488" s="29">
        <v>1</v>
      </c>
      <c r="T488" s="29">
        <v>100</v>
      </c>
      <c r="AY488" s="29" t="s">
        <v>425</v>
      </c>
      <c r="AZ488" s="29">
        <v>0</v>
      </c>
      <c r="GR488" s="29">
        <v>0</v>
      </c>
      <c r="GS488" s="29">
        <v>0</v>
      </c>
      <c r="GT488" s="29" t="s">
        <v>425</v>
      </c>
      <c r="GU488" s="29">
        <v>0</v>
      </c>
      <c r="GX488" s="29">
        <v>0</v>
      </c>
      <c r="GZ488" s="29">
        <v>0</v>
      </c>
      <c r="HA488" s="29">
        <v>0</v>
      </c>
      <c r="HB488" s="29">
        <v>0</v>
      </c>
      <c r="HC488" s="29">
        <v>0</v>
      </c>
      <c r="HD488" s="29">
        <v>0</v>
      </c>
      <c r="HE488" s="29" t="b">
        <v>0</v>
      </c>
      <c r="HG488" s="29">
        <v>0</v>
      </c>
      <c r="HI488" s="29" t="s">
        <v>334</v>
      </c>
      <c r="HJ488" s="29">
        <v>0</v>
      </c>
      <c r="HK488" s="29">
        <v>0</v>
      </c>
      <c r="HL488" s="29">
        <v>0</v>
      </c>
    </row>
    <row r="489" spans="2:220">
      <c r="B489" s="29" cm="1">
        <f t="array" ref="B489">10000000+INDEX(编号表!$B$1:$B$112,MATCH(D489,编号表!$A$1:$A$112,0))*10000+I489</f>
        <v>10710007</v>
      </c>
      <c r="C489" s="29" t="s">
        <v>476</v>
      </c>
      <c r="D489" s="29" t="s">
        <v>476</v>
      </c>
      <c r="E489" s="29" t="s">
        <v>445</v>
      </c>
      <c r="F489" s="29" t="s">
        <v>373</v>
      </c>
      <c r="G489" s="29">
        <v>1</v>
      </c>
      <c r="H489" s="29" t="b">
        <v>0</v>
      </c>
      <c r="I489" s="29">
        <v>7</v>
      </c>
      <c r="J489" s="29">
        <v>107100</v>
      </c>
      <c r="K489" s="29" t="s">
        <v>324</v>
      </c>
      <c r="L489" s="29">
        <v>10710006</v>
      </c>
      <c r="M489" s="29">
        <v>10710008</v>
      </c>
      <c r="N489" s="29" t="s">
        <v>477</v>
      </c>
      <c r="O489" s="29">
        <v>10902014</v>
      </c>
      <c r="P489" s="29">
        <v>0</v>
      </c>
      <c r="Q489" s="29">
        <v>0</v>
      </c>
      <c r="R489" s="29">
        <v>1</v>
      </c>
      <c r="T489" s="29">
        <v>100</v>
      </c>
      <c r="AY489" s="29" t="s">
        <v>425</v>
      </c>
      <c r="AZ489" s="29">
        <v>0</v>
      </c>
      <c r="GR489" s="29">
        <v>0</v>
      </c>
      <c r="GS489" s="29">
        <v>0</v>
      </c>
      <c r="GT489" s="29" t="s">
        <v>425</v>
      </c>
      <c r="GU489" s="29">
        <v>0</v>
      </c>
      <c r="GX489" s="29">
        <v>0</v>
      </c>
      <c r="GZ489" s="29">
        <v>0</v>
      </c>
      <c r="HA489" s="29">
        <v>0</v>
      </c>
      <c r="HB489" s="29">
        <v>0</v>
      </c>
      <c r="HC489" s="29">
        <v>0</v>
      </c>
      <c r="HD489" s="29">
        <v>0</v>
      </c>
      <c r="HE489" s="29" t="b">
        <v>0</v>
      </c>
      <c r="HG489" s="29">
        <v>0</v>
      </c>
      <c r="HI489" s="29" t="s">
        <v>334</v>
      </c>
      <c r="HJ489" s="29">
        <v>0</v>
      </c>
      <c r="HK489" s="29">
        <v>0</v>
      </c>
      <c r="HL489" s="29">
        <v>0</v>
      </c>
    </row>
    <row r="490" spans="2:220">
      <c r="B490" s="29" cm="1">
        <f t="array" ref="B490">10000000+INDEX(编号表!$B$1:$B$112,MATCH(D490,编号表!$A$1:$A$112,0))*10000+I490</f>
        <v>10710008</v>
      </c>
      <c r="C490" s="29" t="s">
        <v>476</v>
      </c>
      <c r="D490" s="29" t="s">
        <v>476</v>
      </c>
      <c r="E490" s="29" t="s">
        <v>445</v>
      </c>
      <c r="F490" s="29" t="s">
        <v>373</v>
      </c>
      <c r="G490" s="29">
        <v>1</v>
      </c>
      <c r="H490" s="29" t="b">
        <v>0</v>
      </c>
      <c r="I490" s="29">
        <v>8</v>
      </c>
      <c r="J490" s="29">
        <v>107100</v>
      </c>
      <c r="K490" s="29" t="s">
        <v>324</v>
      </c>
      <c r="L490" s="29">
        <v>10710007</v>
      </c>
      <c r="M490" s="29">
        <v>10710009</v>
      </c>
      <c r="N490" s="29" t="s">
        <v>477</v>
      </c>
      <c r="O490" s="29">
        <v>10902014</v>
      </c>
      <c r="P490" s="29">
        <v>0</v>
      </c>
      <c r="Q490" s="29">
        <v>0</v>
      </c>
      <c r="R490" s="29">
        <v>1</v>
      </c>
      <c r="T490" s="29">
        <v>100</v>
      </c>
      <c r="AY490" s="29" t="s">
        <v>425</v>
      </c>
      <c r="AZ490" s="29">
        <v>0</v>
      </c>
      <c r="GR490" s="29">
        <v>0</v>
      </c>
      <c r="GS490" s="29">
        <v>0</v>
      </c>
      <c r="GT490" s="29" t="s">
        <v>425</v>
      </c>
      <c r="GU490" s="29">
        <v>0</v>
      </c>
      <c r="GX490" s="29">
        <v>0</v>
      </c>
      <c r="GZ490" s="29">
        <v>0</v>
      </c>
      <c r="HA490" s="29">
        <v>0</v>
      </c>
      <c r="HB490" s="29">
        <v>0</v>
      </c>
      <c r="HC490" s="29">
        <v>0</v>
      </c>
      <c r="HD490" s="29">
        <v>0</v>
      </c>
      <c r="HE490" s="29" t="b">
        <v>0</v>
      </c>
      <c r="HG490" s="29">
        <v>0</v>
      </c>
      <c r="HI490" s="29" t="s">
        <v>334</v>
      </c>
      <c r="HJ490" s="29">
        <v>0</v>
      </c>
      <c r="HK490" s="29">
        <v>0</v>
      </c>
      <c r="HL490" s="29">
        <v>0</v>
      </c>
    </row>
    <row r="491" spans="2:220">
      <c r="B491" s="29" cm="1">
        <f t="array" ref="B491">10000000+INDEX(编号表!$B$1:$B$112,MATCH(D491,编号表!$A$1:$A$112,0))*10000+I491</f>
        <v>10710009</v>
      </c>
      <c r="C491" s="29" t="s">
        <v>476</v>
      </c>
      <c r="D491" s="29" t="s">
        <v>476</v>
      </c>
      <c r="E491" s="29" t="s">
        <v>445</v>
      </c>
      <c r="F491" s="29" t="s">
        <v>373</v>
      </c>
      <c r="G491" s="29">
        <v>1</v>
      </c>
      <c r="H491" s="29" t="b">
        <v>0</v>
      </c>
      <c r="I491" s="29">
        <v>9</v>
      </c>
      <c r="J491" s="29">
        <v>107100</v>
      </c>
      <c r="K491" s="29" t="s">
        <v>324</v>
      </c>
      <c r="L491" s="29">
        <v>10710008</v>
      </c>
      <c r="M491" s="29">
        <v>10710010</v>
      </c>
      <c r="N491" s="29" t="s">
        <v>477</v>
      </c>
      <c r="O491" s="29">
        <v>10902014</v>
      </c>
      <c r="P491" s="29">
        <v>0</v>
      </c>
      <c r="Q491" s="29">
        <v>0</v>
      </c>
      <c r="R491" s="29">
        <v>1</v>
      </c>
      <c r="T491" s="29">
        <v>100</v>
      </c>
      <c r="AY491" s="29" t="s">
        <v>425</v>
      </c>
      <c r="AZ491" s="29">
        <v>0</v>
      </c>
      <c r="GR491" s="29">
        <v>0</v>
      </c>
      <c r="GS491" s="29">
        <v>0</v>
      </c>
      <c r="GT491" s="29" t="s">
        <v>425</v>
      </c>
      <c r="GU491" s="29">
        <v>0</v>
      </c>
      <c r="GX491" s="29">
        <v>0</v>
      </c>
      <c r="GZ491" s="29">
        <v>0</v>
      </c>
      <c r="HA491" s="29">
        <v>0</v>
      </c>
      <c r="HB491" s="29">
        <v>0</v>
      </c>
      <c r="HC491" s="29">
        <v>0</v>
      </c>
      <c r="HD491" s="29">
        <v>0</v>
      </c>
      <c r="HE491" s="29" t="b">
        <v>0</v>
      </c>
      <c r="HG491" s="29">
        <v>0</v>
      </c>
      <c r="HI491" s="29" t="s">
        <v>334</v>
      </c>
      <c r="HJ491" s="29">
        <v>0</v>
      </c>
      <c r="HK491" s="29">
        <v>0</v>
      </c>
      <c r="HL491" s="29">
        <v>0</v>
      </c>
    </row>
    <row r="492" spans="2:220">
      <c r="B492" s="29" cm="1">
        <f t="array" ref="B492">10000000+INDEX(编号表!$B$1:$B$112,MATCH(D492,编号表!$A$1:$A$112,0))*10000+I492</f>
        <v>10710010</v>
      </c>
      <c r="C492" s="29" t="s">
        <v>476</v>
      </c>
      <c r="D492" s="29" t="s">
        <v>476</v>
      </c>
      <c r="E492" s="29" t="s">
        <v>445</v>
      </c>
      <c r="F492" s="29" t="s">
        <v>373</v>
      </c>
      <c r="G492" s="29">
        <v>1</v>
      </c>
      <c r="H492" s="29" t="b">
        <v>0</v>
      </c>
      <c r="I492" s="29">
        <v>10</v>
      </c>
      <c r="J492" s="29">
        <v>107100</v>
      </c>
      <c r="K492" s="29" t="s">
        <v>324</v>
      </c>
      <c r="L492" s="29">
        <v>10710009</v>
      </c>
      <c r="N492" s="29" t="s">
        <v>477</v>
      </c>
      <c r="O492" s="29">
        <v>10902014</v>
      </c>
      <c r="P492" s="29">
        <v>0</v>
      </c>
      <c r="Q492" s="29">
        <v>0</v>
      </c>
      <c r="R492" s="29">
        <v>1</v>
      </c>
      <c r="T492" s="29">
        <v>100</v>
      </c>
      <c r="AY492" s="29" t="s">
        <v>425</v>
      </c>
      <c r="AZ492" s="29">
        <v>0</v>
      </c>
      <c r="GR492" s="29">
        <v>0</v>
      </c>
      <c r="GS492" s="29">
        <v>0</v>
      </c>
      <c r="GT492" s="29" t="s">
        <v>425</v>
      </c>
      <c r="GU492" s="29">
        <v>0</v>
      </c>
      <c r="GX492" s="29">
        <v>0</v>
      </c>
      <c r="GZ492" s="29">
        <v>0</v>
      </c>
      <c r="HA492" s="29">
        <v>0</v>
      </c>
      <c r="HB492" s="29">
        <v>0</v>
      </c>
      <c r="HC492" s="29">
        <v>0</v>
      </c>
      <c r="HD492" s="29">
        <v>0</v>
      </c>
      <c r="HE492" s="29" t="b">
        <v>0</v>
      </c>
      <c r="HG492" s="29">
        <v>0</v>
      </c>
      <c r="HI492" s="29" t="s">
        <v>334</v>
      </c>
      <c r="HJ492" s="29">
        <v>0</v>
      </c>
      <c r="HK492" s="29">
        <v>0</v>
      </c>
      <c r="HL492" s="29">
        <v>0</v>
      </c>
    </row>
    <row r="493" spans="2:220">
      <c r="B493" s="29" cm="1">
        <f t="array" ref="B493">10000000+INDEX(编号表!$B$1:$B$112,MATCH(D493,编号表!$A$1:$A$112,0))*10000+I493</f>
        <v>10720001</v>
      </c>
      <c r="C493" s="29" t="s">
        <v>478</v>
      </c>
      <c r="D493" s="29" t="s">
        <v>478</v>
      </c>
      <c r="E493" s="29" t="s">
        <v>445</v>
      </c>
      <c r="F493" s="29" t="s">
        <v>336</v>
      </c>
      <c r="G493" s="29">
        <v>1</v>
      </c>
      <c r="H493" s="29" t="b">
        <v>0</v>
      </c>
      <c r="I493" s="29">
        <v>1</v>
      </c>
      <c r="J493" s="29">
        <v>107200</v>
      </c>
      <c r="K493" s="29" t="s">
        <v>324</v>
      </c>
      <c r="M493" s="29">
        <v>10720002</v>
      </c>
      <c r="N493" s="29" t="s">
        <v>479</v>
      </c>
      <c r="O493" s="29">
        <v>10902015</v>
      </c>
      <c r="P493" s="29">
        <v>0</v>
      </c>
      <c r="Q493" s="29">
        <v>0</v>
      </c>
      <c r="R493" s="29">
        <v>1</v>
      </c>
      <c r="T493" s="29">
        <v>100</v>
      </c>
      <c r="AY493" s="29" t="s">
        <v>425</v>
      </c>
      <c r="AZ493" s="29">
        <v>0</v>
      </c>
      <c r="GR493" s="29">
        <v>0</v>
      </c>
      <c r="GS493" s="29">
        <v>0</v>
      </c>
      <c r="GT493" s="29" t="s">
        <v>425</v>
      </c>
      <c r="GU493" s="29">
        <v>0</v>
      </c>
      <c r="GX493" s="29">
        <v>0</v>
      </c>
      <c r="GZ493" s="29">
        <v>0</v>
      </c>
      <c r="HA493" s="29">
        <v>0</v>
      </c>
      <c r="HB493" s="29">
        <v>0</v>
      </c>
      <c r="HC493" s="29">
        <v>0</v>
      </c>
      <c r="HD493" s="29">
        <v>0</v>
      </c>
      <c r="HE493" s="29" t="b">
        <v>0</v>
      </c>
      <c r="HG493" s="29">
        <v>0</v>
      </c>
      <c r="HI493" s="29" t="s">
        <v>334</v>
      </c>
      <c r="HJ493" s="29">
        <v>0</v>
      </c>
      <c r="HK493" s="29">
        <v>0</v>
      </c>
      <c r="HL493" s="29">
        <v>0</v>
      </c>
    </row>
    <row r="494" spans="2:220">
      <c r="B494" s="29" cm="1">
        <f t="array" ref="B494">10000000+INDEX(编号表!$B$1:$B$112,MATCH(D494,编号表!$A$1:$A$112,0))*10000+I494</f>
        <v>10720002</v>
      </c>
      <c r="C494" s="29" t="s">
        <v>478</v>
      </c>
      <c r="D494" s="29" t="s">
        <v>478</v>
      </c>
      <c r="E494" s="29" t="s">
        <v>445</v>
      </c>
      <c r="F494" s="29" t="s">
        <v>336</v>
      </c>
      <c r="G494" s="29">
        <v>1</v>
      </c>
      <c r="H494" s="29" t="b">
        <v>0</v>
      </c>
      <c r="I494" s="29">
        <v>2</v>
      </c>
      <c r="J494" s="29">
        <v>107200</v>
      </c>
      <c r="K494" s="29" t="s">
        <v>324</v>
      </c>
      <c r="L494" s="29">
        <v>10720001</v>
      </c>
      <c r="M494" s="29">
        <v>10720003</v>
      </c>
      <c r="N494" s="29" t="s">
        <v>479</v>
      </c>
      <c r="O494" s="29">
        <v>10902015</v>
      </c>
      <c r="P494" s="29">
        <v>0</v>
      </c>
      <c r="Q494" s="29">
        <v>0</v>
      </c>
      <c r="R494" s="29">
        <v>1</v>
      </c>
      <c r="T494" s="29">
        <v>100</v>
      </c>
      <c r="AY494" s="29" t="s">
        <v>425</v>
      </c>
      <c r="AZ494" s="29">
        <v>0</v>
      </c>
      <c r="GR494" s="29">
        <v>0</v>
      </c>
      <c r="GS494" s="29">
        <v>0</v>
      </c>
      <c r="GT494" s="29" t="s">
        <v>425</v>
      </c>
      <c r="GU494" s="29">
        <v>0</v>
      </c>
      <c r="GX494" s="29">
        <v>0</v>
      </c>
      <c r="GZ494" s="29">
        <v>0</v>
      </c>
      <c r="HA494" s="29">
        <v>0</v>
      </c>
      <c r="HB494" s="29">
        <v>0</v>
      </c>
      <c r="HC494" s="29">
        <v>0</v>
      </c>
      <c r="HD494" s="29">
        <v>0</v>
      </c>
      <c r="HE494" s="29" t="b">
        <v>0</v>
      </c>
      <c r="HG494" s="29">
        <v>0</v>
      </c>
      <c r="HI494" s="29" t="s">
        <v>334</v>
      </c>
      <c r="HJ494" s="29">
        <v>0</v>
      </c>
      <c r="HK494" s="29">
        <v>0</v>
      </c>
      <c r="HL494" s="29">
        <v>0</v>
      </c>
    </row>
    <row r="495" spans="2:220">
      <c r="B495" s="29" cm="1">
        <f t="array" ref="B495">10000000+INDEX(编号表!$B$1:$B$112,MATCH(D495,编号表!$A$1:$A$112,0))*10000+I495</f>
        <v>10720003</v>
      </c>
      <c r="C495" s="29" t="s">
        <v>478</v>
      </c>
      <c r="D495" s="29" t="s">
        <v>478</v>
      </c>
      <c r="E495" s="29" t="s">
        <v>445</v>
      </c>
      <c r="F495" s="29" t="s">
        <v>336</v>
      </c>
      <c r="G495" s="29">
        <v>1</v>
      </c>
      <c r="H495" s="29" t="b">
        <v>0</v>
      </c>
      <c r="I495" s="29">
        <v>3</v>
      </c>
      <c r="J495" s="29">
        <v>107200</v>
      </c>
      <c r="K495" s="29" t="s">
        <v>324</v>
      </c>
      <c r="L495" s="29">
        <v>10720002</v>
      </c>
      <c r="M495" s="29">
        <v>10720004</v>
      </c>
      <c r="N495" s="29" t="s">
        <v>479</v>
      </c>
      <c r="O495" s="29">
        <v>10902015</v>
      </c>
      <c r="P495" s="29">
        <v>0</v>
      </c>
      <c r="Q495" s="29">
        <v>0</v>
      </c>
      <c r="R495" s="29">
        <v>1</v>
      </c>
      <c r="T495" s="29">
        <v>100</v>
      </c>
      <c r="AY495" s="29" t="s">
        <v>425</v>
      </c>
      <c r="AZ495" s="29">
        <v>0</v>
      </c>
      <c r="GR495" s="29">
        <v>0</v>
      </c>
      <c r="GS495" s="29">
        <v>0</v>
      </c>
      <c r="GT495" s="29" t="s">
        <v>425</v>
      </c>
      <c r="GU495" s="29">
        <v>0</v>
      </c>
      <c r="GX495" s="29">
        <v>0</v>
      </c>
      <c r="GZ495" s="29">
        <v>0</v>
      </c>
      <c r="HA495" s="29">
        <v>0</v>
      </c>
      <c r="HB495" s="29">
        <v>0</v>
      </c>
      <c r="HC495" s="29">
        <v>0</v>
      </c>
      <c r="HD495" s="29">
        <v>0</v>
      </c>
      <c r="HE495" s="29" t="b">
        <v>0</v>
      </c>
      <c r="HG495" s="29">
        <v>0</v>
      </c>
      <c r="HI495" s="29" t="s">
        <v>334</v>
      </c>
      <c r="HJ495" s="29">
        <v>0</v>
      </c>
      <c r="HK495" s="29">
        <v>0</v>
      </c>
      <c r="HL495" s="29">
        <v>0</v>
      </c>
    </row>
    <row r="496" spans="2:220">
      <c r="B496" s="29" cm="1">
        <f t="array" ref="B496">10000000+INDEX(编号表!$B$1:$B$112,MATCH(D496,编号表!$A$1:$A$112,0))*10000+I496</f>
        <v>10720004</v>
      </c>
      <c r="C496" s="29" t="s">
        <v>478</v>
      </c>
      <c r="D496" s="29" t="s">
        <v>478</v>
      </c>
      <c r="E496" s="29" t="s">
        <v>445</v>
      </c>
      <c r="F496" s="29" t="s">
        <v>336</v>
      </c>
      <c r="G496" s="29">
        <v>1</v>
      </c>
      <c r="H496" s="29" t="b">
        <v>0</v>
      </c>
      <c r="I496" s="29">
        <v>4</v>
      </c>
      <c r="J496" s="29">
        <v>107200</v>
      </c>
      <c r="K496" s="29" t="s">
        <v>324</v>
      </c>
      <c r="L496" s="29">
        <v>10720003</v>
      </c>
      <c r="M496" s="29">
        <v>10720005</v>
      </c>
      <c r="N496" s="29" t="s">
        <v>479</v>
      </c>
      <c r="O496" s="29">
        <v>10902015</v>
      </c>
      <c r="P496" s="29">
        <v>0</v>
      </c>
      <c r="Q496" s="29">
        <v>0</v>
      </c>
      <c r="R496" s="29">
        <v>1</v>
      </c>
      <c r="T496" s="29">
        <v>100</v>
      </c>
      <c r="AY496" s="29" t="s">
        <v>425</v>
      </c>
      <c r="AZ496" s="29">
        <v>0</v>
      </c>
      <c r="GR496" s="29">
        <v>0</v>
      </c>
      <c r="GS496" s="29">
        <v>0</v>
      </c>
      <c r="GT496" s="29" t="s">
        <v>425</v>
      </c>
      <c r="GU496" s="29">
        <v>0</v>
      </c>
      <c r="GX496" s="29">
        <v>0</v>
      </c>
      <c r="GZ496" s="29">
        <v>0</v>
      </c>
      <c r="HA496" s="29">
        <v>0</v>
      </c>
      <c r="HB496" s="29">
        <v>0</v>
      </c>
      <c r="HC496" s="29">
        <v>0</v>
      </c>
      <c r="HD496" s="29">
        <v>0</v>
      </c>
      <c r="HE496" s="29" t="b">
        <v>0</v>
      </c>
      <c r="HG496" s="29">
        <v>0</v>
      </c>
      <c r="HI496" s="29" t="s">
        <v>334</v>
      </c>
      <c r="HJ496" s="29">
        <v>0</v>
      </c>
      <c r="HK496" s="29">
        <v>0</v>
      </c>
      <c r="HL496" s="29">
        <v>0</v>
      </c>
    </row>
    <row r="497" spans="2:220">
      <c r="B497" s="29" cm="1">
        <f t="array" ref="B497">10000000+INDEX(编号表!$B$1:$B$112,MATCH(D497,编号表!$A$1:$A$112,0))*10000+I497</f>
        <v>10720005</v>
      </c>
      <c r="C497" s="29" t="s">
        <v>478</v>
      </c>
      <c r="D497" s="29" t="s">
        <v>478</v>
      </c>
      <c r="E497" s="29" t="s">
        <v>445</v>
      </c>
      <c r="F497" s="29" t="s">
        <v>336</v>
      </c>
      <c r="G497" s="29">
        <v>1</v>
      </c>
      <c r="H497" s="29" t="b">
        <v>0</v>
      </c>
      <c r="I497" s="29">
        <v>5</v>
      </c>
      <c r="J497" s="29">
        <v>107200</v>
      </c>
      <c r="K497" s="29" t="s">
        <v>324</v>
      </c>
      <c r="L497" s="29">
        <v>10720004</v>
      </c>
      <c r="M497" s="29">
        <v>10720006</v>
      </c>
      <c r="N497" s="29" t="s">
        <v>479</v>
      </c>
      <c r="O497" s="29">
        <v>10902015</v>
      </c>
      <c r="P497" s="29">
        <v>0</v>
      </c>
      <c r="Q497" s="29">
        <v>0</v>
      </c>
      <c r="R497" s="29">
        <v>1</v>
      </c>
      <c r="T497" s="29">
        <v>100</v>
      </c>
      <c r="AY497" s="29" t="s">
        <v>425</v>
      </c>
      <c r="AZ497" s="29">
        <v>0</v>
      </c>
      <c r="GR497" s="29">
        <v>0</v>
      </c>
      <c r="GS497" s="29">
        <v>0</v>
      </c>
      <c r="GT497" s="29" t="s">
        <v>425</v>
      </c>
      <c r="GU497" s="29">
        <v>0</v>
      </c>
      <c r="GX497" s="29">
        <v>0</v>
      </c>
      <c r="GZ497" s="29">
        <v>0</v>
      </c>
      <c r="HA497" s="29">
        <v>0</v>
      </c>
      <c r="HB497" s="29">
        <v>0</v>
      </c>
      <c r="HC497" s="29">
        <v>0</v>
      </c>
      <c r="HD497" s="29">
        <v>0</v>
      </c>
      <c r="HE497" s="29" t="b">
        <v>0</v>
      </c>
      <c r="HG497" s="29">
        <v>0</v>
      </c>
      <c r="HI497" s="29" t="s">
        <v>334</v>
      </c>
      <c r="HJ497" s="29">
        <v>0</v>
      </c>
      <c r="HK497" s="29">
        <v>0</v>
      </c>
      <c r="HL497" s="29">
        <v>0</v>
      </c>
    </row>
    <row r="498" spans="2:220">
      <c r="B498" s="29" cm="1">
        <f t="array" ref="B498">10000000+INDEX(编号表!$B$1:$B$112,MATCH(D498,编号表!$A$1:$A$112,0))*10000+I498</f>
        <v>10720006</v>
      </c>
      <c r="C498" s="29" t="s">
        <v>478</v>
      </c>
      <c r="D498" s="29" t="s">
        <v>478</v>
      </c>
      <c r="E498" s="29" t="s">
        <v>445</v>
      </c>
      <c r="F498" s="29" t="s">
        <v>336</v>
      </c>
      <c r="G498" s="29">
        <v>1</v>
      </c>
      <c r="H498" s="29" t="b">
        <v>0</v>
      </c>
      <c r="I498" s="29">
        <v>6</v>
      </c>
      <c r="J498" s="29">
        <v>107200</v>
      </c>
      <c r="K498" s="29" t="s">
        <v>324</v>
      </c>
      <c r="L498" s="29">
        <v>10720005</v>
      </c>
      <c r="M498" s="29">
        <v>10720007</v>
      </c>
      <c r="N498" s="29" t="s">
        <v>479</v>
      </c>
      <c r="O498" s="29">
        <v>10902015</v>
      </c>
      <c r="P498" s="29">
        <v>0</v>
      </c>
      <c r="Q498" s="29">
        <v>0</v>
      </c>
      <c r="R498" s="29">
        <v>1</v>
      </c>
      <c r="T498" s="29">
        <v>100</v>
      </c>
      <c r="AY498" s="29" t="s">
        <v>425</v>
      </c>
      <c r="AZ498" s="29">
        <v>0</v>
      </c>
      <c r="GR498" s="29">
        <v>0</v>
      </c>
      <c r="GS498" s="29">
        <v>0</v>
      </c>
      <c r="GT498" s="29" t="s">
        <v>425</v>
      </c>
      <c r="GU498" s="29">
        <v>0</v>
      </c>
      <c r="GX498" s="29">
        <v>0</v>
      </c>
      <c r="GZ498" s="29">
        <v>0</v>
      </c>
      <c r="HA498" s="29">
        <v>0</v>
      </c>
      <c r="HB498" s="29">
        <v>0</v>
      </c>
      <c r="HC498" s="29">
        <v>0</v>
      </c>
      <c r="HD498" s="29">
        <v>0</v>
      </c>
      <c r="HE498" s="29" t="b">
        <v>0</v>
      </c>
      <c r="HG498" s="29">
        <v>0</v>
      </c>
      <c r="HI498" s="29" t="s">
        <v>334</v>
      </c>
      <c r="HJ498" s="29">
        <v>0</v>
      </c>
      <c r="HK498" s="29">
        <v>0</v>
      </c>
      <c r="HL498" s="29">
        <v>0</v>
      </c>
    </row>
    <row r="499" spans="2:220">
      <c r="B499" s="29" cm="1">
        <f t="array" ref="B499">10000000+INDEX(编号表!$B$1:$B$112,MATCH(D499,编号表!$A$1:$A$112,0))*10000+I499</f>
        <v>10720007</v>
      </c>
      <c r="C499" s="29" t="s">
        <v>478</v>
      </c>
      <c r="D499" s="29" t="s">
        <v>478</v>
      </c>
      <c r="E499" s="29" t="s">
        <v>445</v>
      </c>
      <c r="F499" s="29" t="s">
        <v>336</v>
      </c>
      <c r="G499" s="29">
        <v>1</v>
      </c>
      <c r="H499" s="29" t="b">
        <v>0</v>
      </c>
      <c r="I499" s="29">
        <v>7</v>
      </c>
      <c r="J499" s="29">
        <v>107200</v>
      </c>
      <c r="K499" s="29" t="s">
        <v>324</v>
      </c>
      <c r="L499" s="29">
        <v>10720006</v>
      </c>
      <c r="M499" s="29">
        <v>10720008</v>
      </c>
      <c r="N499" s="29" t="s">
        <v>479</v>
      </c>
      <c r="O499" s="29">
        <v>10902015</v>
      </c>
      <c r="P499" s="29">
        <v>0</v>
      </c>
      <c r="Q499" s="29">
        <v>0</v>
      </c>
      <c r="R499" s="29">
        <v>1</v>
      </c>
      <c r="T499" s="29">
        <v>100</v>
      </c>
      <c r="AY499" s="29" t="s">
        <v>425</v>
      </c>
      <c r="AZ499" s="29">
        <v>0</v>
      </c>
      <c r="GR499" s="29">
        <v>0</v>
      </c>
      <c r="GS499" s="29">
        <v>0</v>
      </c>
      <c r="GT499" s="29" t="s">
        <v>425</v>
      </c>
      <c r="GU499" s="29">
        <v>0</v>
      </c>
      <c r="GX499" s="29">
        <v>0</v>
      </c>
      <c r="GZ499" s="29">
        <v>0</v>
      </c>
      <c r="HA499" s="29">
        <v>0</v>
      </c>
      <c r="HB499" s="29">
        <v>0</v>
      </c>
      <c r="HC499" s="29">
        <v>0</v>
      </c>
      <c r="HD499" s="29">
        <v>0</v>
      </c>
      <c r="HE499" s="29" t="b">
        <v>0</v>
      </c>
      <c r="HG499" s="29">
        <v>0</v>
      </c>
      <c r="HI499" s="29" t="s">
        <v>334</v>
      </c>
      <c r="HJ499" s="29">
        <v>0</v>
      </c>
      <c r="HK499" s="29">
        <v>0</v>
      </c>
      <c r="HL499" s="29">
        <v>0</v>
      </c>
    </row>
    <row r="500" spans="2:220">
      <c r="B500" s="29" cm="1">
        <f t="array" ref="B500">10000000+INDEX(编号表!$B$1:$B$112,MATCH(D500,编号表!$A$1:$A$112,0))*10000+I500</f>
        <v>10720008</v>
      </c>
      <c r="C500" s="29" t="s">
        <v>478</v>
      </c>
      <c r="D500" s="29" t="s">
        <v>478</v>
      </c>
      <c r="E500" s="29" t="s">
        <v>445</v>
      </c>
      <c r="F500" s="29" t="s">
        <v>336</v>
      </c>
      <c r="G500" s="29">
        <v>1</v>
      </c>
      <c r="H500" s="29" t="b">
        <v>0</v>
      </c>
      <c r="I500" s="29">
        <v>8</v>
      </c>
      <c r="J500" s="29">
        <v>107200</v>
      </c>
      <c r="K500" s="29" t="s">
        <v>324</v>
      </c>
      <c r="L500" s="29">
        <v>10720007</v>
      </c>
      <c r="M500" s="29">
        <v>10720009</v>
      </c>
      <c r="N500" s="29" t="s">
        <v>479</v>
      </c>
      <c r="O500" s="29">
        <v>10902015</v>
      </c>
      <c r="P500" s="29">
        <v>0</v>
      </c>
      <c r="Q500" s="29">
        <v>0</v>
      </c>
      <c r="R500" s="29">
        <v>1</v>
      </c>
      <c r="T500" s="29">
        <v>100</v>
      </c>
      <c r="AY500" s="29" t="s">
        <v>425</v>
      </c>
      <c r="AZ500" s="29">
        <v>0</v>
      </c>
      <c r="GR500" s="29">
        <v>0</v>
      </c>
      <c r="GS500" s="29">
        <v>0</v>
      </c>
      <c r="GT500" s="29" t="s">
        <v>425</v>
      </c>
      <c r="GU500" s="29">
        <v>0</v>
      </c>
      <c r="GX500" s="29">
        <v>0</v>
      </c>
      <c r="GZ500" s="29">
        <v>0</v>
      </c>
      <c r="HA500" s="29">
        <v>0</v>
      </c>
      <c r="HB500" s="29">
        <v>0</v>
      </c>
      <c r="HC500" s="29">
        <v>0</v>
      </c>
      <c r="HD500" s="29">
        <v>0</v>
      </c>
      <c r="HE500" s="29" t="b">
        <v>0</v>
      </c>
      <c r="HG500" s="29">
        <v>0</v>
      </c>
      <c r="HI500" s="29" t="s">
        <v>334</v>
      </c>
      <c r="HJ500" s="29">
        <v>0</v>
      </c>
      <c r="HK500" s="29">
        <v>0</v>
      </c>
      <c r="HL500" s="29">
        <v>0</v>
      </c>
    </row>
    <row r="501" spans="2:220">
      <c r="B501" s="29" cm="1">
        <f t="array" ref="B501">10000000+INDEX(编号表!$B$1:$B$112,MATCH(D501,编号表!$A$1:$A$112,0))*10000+I501</f>
        <v>10720009</v>
      </c>
      <c r="C501" s="29" t="s">
        <v>478</v>
      </c>
      <c r="D501" s="29" t="s">
        <v>478</v>
      </c>
      <c r="E501" s="29" t="s">
        <v>445</v>
      </c>
      <c r="F501" s="29" t="s">
        <v>336</v>
      </c>
      <c r="G501" s="29">
        <v>1</v>
      </c>
      <c r="H501" s="29" t="b">
        <v>0</v>
      </c>
      <c r="I501" s="29">
        <v>9</v>
      </c>
      <c r="J501" s="29">
        <v>107200</v>
      </c>
      <c r="K501" s="29" t="s">
        <v>324</v>
      </c>
      <c r="L501" s="29">
        <v>10720008</v>
      </c>
      <c r="M501" s="29">
        <v>10720010</v>
      </c>
      <c r="N501" s="29" t="s">
        <v>479</v>
      </c>
      <c r="O501" s="29">
        <v>10902015</v>
      </c>
      <c r="P501" s="29">
        <v>0</v>
      </c>
      <c r="Q501" s="29">
        <v>0</v>
      </c>
      <c r="R501" s="29">
        <v>1</v>
      </c>
      <c r="T501" s="29">
        <v>100</v>
      </c>
      <c r="AY501" s="29" t="s">
        <v>425</v>
      </c>
      <c r="AZ501" s="29">
        <v>0</v>
      </c>
      <c r="GR501" s="29">
        <v>0</v>
      </c>
      <c r="GS501" s="29">
        <v>0</v>
      </c>
      <c r="GT501" s="29" t="s">
        <v>425</v>
      </c>
      <c r="GU501" s="29">
        <v>0</v>
      </c>
      <c r="GX501" s="29">
        <v>0</v>
      </c>
      <c r="GZ501" s="29">
        <v>0</v>
      </c>
      <c r="HA501" s="29">
        <v>0</v>
      </c>
      <c r="HB501" s="29">
        <v>0</v>
      </c>
      <c r="HC501" s="29">
        <v>0</v>
      </c>
      <c r="HD501" s="29">
        <v>0</v>
      </c>
      <c r="HE501" s="29" t="b">
        <v>0</v>
      </c>
      <c r="HG501" s="29">
        <v>0</v>
      </c>
      <c r="HI501" s="29" t="s">
        <v>334</v>
      </c>
      <c r="HJ501" s="29">
        <v>0</v>
      </c>
      <c r="HK501" s="29">
        <v>0</v>
      </c>
      <c r="HL501" s="29">
        <v>0</v>
      </c>
    </row>
    <row r="502" spans="2:220">
      <c r="B502" s="29" cm="1">
        <f t="array" ref="B502">10000000+INDEX(编号表!$B$1:$B$112,MATCH(D502,编号表!$A$1:$A$112,0))*10000+I502</f>
        <v>10720010</v>
      </c>
      <c r="C502" s="29" t="s">
        <v>478</v>
      </c>
      <c r="D502" s="29" t="s">
        <v>478</v>
      </c>
      <c r="E502" s="29" t="s">
        <v>445</v>
      </c>
      <c r="F502" s="29" t="s">
        <v>336</v>
      </c>
      <c r="G502" s="29">
        <v>1</v>
      </c>
      <c r="H502" s="29" t="b">
        <v>0</v>
      </c>
      <c r="I502" s="29">
        <v>10</v>
      </c>
      <c r="J502" s="29">
        <v>107200</v>
      </c>
      <c r="K502" s="29" t="s">
        <v>324</v>
      </c>
      <c r="L502" s="29">
        <v>10720009</v>
      </c>
      <c r="N502" s="29" t="s">
        <v>479</v>
      </c>
      <c r="O502" s="29">
        <v>10902015</v>
      </c>
      <c r="P502" s="29">
        <v>0</v>
      </c>
      <c r="Q502" s="29">
        <v>0</v>
      </c>
      <c r="R502" s="29">
        <v>1</v>
      </c>
      <c r="T502" s="29">
        <v>100</v>
      </c>
      <c r="AY502" s="29" t="s">
        <v>425</v>
      </c>
      <c r="AZ502" s="29">
        <v>0</v>
      </c>
      <c r="GR502" s="29">
        <v>0</v>
      </c>
      <c r="GS502" s="29">
        <v>0</v>
      </c>
      <c r="GT502" s="29" t="s">
        <v>425</v>
      </c>
      <c r="GU502" s="29">
        <v>0</v>
      </c>
      <c r="GX502" s="29">
        <v>0</v>
      </c>
      <c r="GZ502" s="29">
        <v>0</v>
      </c>
      <c r="HA502" s="29">
        <v>0</v>
      </c>
      <c r="HB502" s="29">
        <v>0</v>
      </c>
      <c r="HC502" s="29">
        <v>0</v>
      </c>
      <c r="HD502" s="29">
        <v>0</v>
      </c>
      <c r="HE502" s="29" t="b">
        <v>0</v>
      </c>
      <c r="HG502" s="29">
        <v>0</v>
      </c>
      <c r="HI502" s="29" t="s">
        <v>334</v>
      </c>
      <c r="HJ502" s="29">
        <v>0</v>
      </c>
      <c r="HK502" s="29">
        <v>0</v>
      </c>
      <c r="HL502" s="29">
        <v>0</v>
      </c>
    </row>
    <row r="503" spans="2:220">
      <c r="B503" s="29" cm="1">
        <f t="array" ref="B503">10000000+INDEX(编号表!$B$1:$B$112,MATCH(D503,编号表!$A$1:$A$112,0))*10000+I503</f>
        <v>10730001</v>
      </c>
      <c r="C503" s="29" t="s">
        <v>480</v>
      </c>
      <c r="D503" s="29" t="s">
        <v>480</v>
      </c>
      <c r="E503" s="29" t="s">
        <v>445</v>
      </c>
      <c r="F503" s="29" t="s">
        <v>351</v>
      </c>
      <c r="G503" s="29">
        <v>1</v>
      </c>
      <c r="H503" s="29" t="b">
        <v>0</v>
      </c>
      <c r="I503" s="29">
        <v>1</v>
      </c>
      <c r="J503" s="29">
        <v>107300</v>
      </c>
      <c r="K503" s="29" t="s">
        <v>324</v>
      </c>
      <c r="M503" s="29">
        <v>10730002</v>
      </c>
      <c r="N503" s="29" t="s">
        <v>481</v>
      </c>
      <c r="O503" s="29">
        <v>10902016</v>
      </c>
      <c r="P503" s="29">
        <v>0</v>
      </c>
      <c r="Q503" s="29">
        <v>0</v>
      </c>
      <c r="R503" s="29">
        <v>1</v>
      </c>
      <c r="T503" s="29">
        <v>100</v>
      </c>
      <c r="AY503" s="29" t="s">
        <v>425</v>
      </c>
      <c r="AZ503" s="29">
        <v>0</v>
      </c>
      <c r="GR503" s="29">
        <v>0</v>
      </c>
      <c r="GS503" s="29">
        <v>0</v>
      </c>
      <c r="GT503" s="29" t="s">
        <v>425</v>
      </c>
      <c r="GU503" s="29">
        <v>0</v>
      </c>
      <c r="GX503" s="29">
        <v>0</v>
      </c>
      <c r="GZ503" s="29">
        <v>0</v>
      </c>
      <c r="HA503" s="29">
        <v>0</v>
      </c>
      <c r="HB503" s="29">
        <v>0</v>
      </c>
      <c r="HC503" s="29">
        <v>0</v>
      </c>
      <c r="HD503" s="29">
        <v>0</v>
      </c>
      <c r="HE503" s="29" t="b">
        <v>0</v>
      </c>
      <c r="HG503" s="29">
        <v>0</v>
      </c>
      <c r="HI503" s="29" t="s">
        <v>334</v>
      </c>
      <c r="HJ503" s="29">
        <v>0</v>
      </c>
      <c r="HK503" s="29">
        <v>0</v>
      </c>
      <c r="HL503" s="29">
        <v>0</v>
      </c>
    </row>
    <row r="504" spans="2:220">
      <c r="B504" s="29" cm="1">
        <f t="array" ref="B504">10000000+INDEX(编号表!$B$1:$B$112,MATCH(D504,编号表!$A$1:$A$112,0))*10000+I504</f>
        <v>10730002</v>
      </c>
      <c r="C504" s="29" t="s">
        <v>480</v>
      </c>
      <c r="D504" s="29" t="s">
        <v>480</v>
      </c>
      <c r="E504" s="29" t="s">
        <v>445</v>
      </c>
      <c r="F504" s="29" t="s">
        <v>351</v>
      </c>
      <c r="G504" s="29">
        <v>1</v>
      </c>
      <c r="H504" s="29" t="b">
        <v>0</v>
      </c>
      <c r="I504" s="29">
        <v>2</v>
      </c>
      <c r="J504" s="29">
        <v>107300</v>
      </c>
      <c r="K504" s="29" t="s">
        <v>324</v>
      </c>
      <c r="L504" s="29">
        <v>10730001</v>
      </c>
      <c r="M504" s="29">
        <v>10730003</v>
      </c>
      <c r="N504" s="29" t="s">
        <v>481</v>
      </c>
      <c r="O504" s="29">
        <v>10902016</v>
      </c>
      <c r="P504" s="29">
        <v>0</v>
      </c>
      <c r="Q504" s="29">
        <v>0</v>
      </c>
      <c r="R504" s="29">
        <v>1</v>
      </c>
      <c r="T504" s="29">
        <v>100</v>
      </c>
      <c r="AY504" s="29" t="s">
        <v>425</v>
      </c>
      <c r="AZ504" s="29">
        <v>0</v>
      </c>
      <c r="GR504" s="29">
        <v>0</v>
      </c>
      <c r="GS504" s="29">
        <v>0</v>
      </c>
      <c r="GT504" s="29" t="s">
        <v>425</v>
      </c>
      <c r="GU504" s="29">
        <v>0</v>
      </c>
      <c r="GX504" s="29">
        <v>0</v>
      </c>
      <c r="GZ504" s="29">
        <v>0</v>
      </c>
      <c r="HA504" s="29">
        <v>0</v>
      </c>
      <c r="HB504" s="29">
        <v>0</v>
      </c>
      <c r="HC504" s="29">
        <v>0</v>
      </c>
      <c r="HD504" s="29">
        <v>0</v>
      </c>
      <c r="HE504" s="29" t="b">
        <v>0</v>
      </c>
      <c r="HG504" s="29">
        <v>0</v>
      </c>
      <c r="HI504" s="29" t="s">
        <v>334</v>
      </c>
      <c r="HJ504" s="29">
        <v>0</v>
      </c>
      <c r="HK504" s="29">
        <v>0</v>
      </c>
      <c r="HL504" s="29">
        <v>0</v>
      </c>
    </row>
    <row r="505" spans="2:220">
      <c r="B505" s="29" cm="1">
        <f t="array" ref="B505">10000000+INDEX(编号表!$B$1:$B$112,MATCH(D505,编号表!$A$1:$A$112,0))*10000+I505</f>
        <v>10730003</v>
      </c>
      <c r="C505" s="29" t="s">
        <v>480</v>
      </c>
      <c r="D505" s="29" t="s">
        <v>480</v>
      </c>
      <c r="E505" s="29" t="s">
        <v>445</v>
      </c>
      <c r="F505" s="29" t="s">
        <v>351</v>
      </c>
      <c r="G505" s="29">
        <v>1</v>
      </c>
      <c r="H505" s="29" t="b">
        <v>0</v>
      </c>
      <c r="I505" s="29">
        <v>3</v>
      </c>
      <c r="J505" s="29">
        <v>107300</v>
      </c>
      <c r="K505" s="29" t="s">
        <v>324</v>
      </c>
      <c r="L505" s="29">
        <v>10730002</v>
      </c>
      <c r="M505" s="29">
        <v>10730004</v>
      </c>
      <c r="N505" s="29" t="s">
        <v>481</v>
      </c>
      <c r="O505" s="29">
        <v>10902016</v>
      </c>
      <c r="P505" s="29">
        <v>0</v>
      </c>
      <c r="Q505" s="29">
        <v>0</v>
      </c>
      <c r="R505" s="29">
        <v>1</v>
      </c>
      <c r="T505" s="29">
        <v>100</v>
      </c>
      <c r="AY505" s="29" t="s">
        <v>425</v>
      </c>
      <c r="AZ505" s="29">
        <v>0</v>
      </c>
      <c r="GR505" s="29">
        <v>0</v>
      </c>
      <c r="GS505" s="29">
        <v>0</v>
      </c>
      <c r="GT505" s="29" t="s">
        <v>425</v>
      </c>
      <c r="GU505" s="29">
        <v>0</v>
      </c>
      <c r="GX505" s="29">
        <v>0</v>
      </c>
      <c r="GZ505" s="29">
        <v>0</v>
      </c>
      <c r="HA505" s="29">
        <v>0</v>
      </c>
      <c r="HB505" s="29">
        <v>0</v>
      </c>
      <c r="HC505" s="29">
        <v>0</v>
      </c>
      <c r="HD505" s="29">
        <v>0</v>
      </c>
      <c r="HE505" s="29" t="b">
        <v>0</v>
      </c>
      <c r="HG505" s="29">
        <v>0</v>
      </c>
      <c r="HI505" s="29" t="s">
        <v>334</v>
      </c>
      <c r="HJ505" s="29">
        <v>0</v>
      </c>
      <c r="HK505" s="29">
        <v>0</v>
      </c>
      <c r="HL505" s="29">
        <v>0</v>
      </c>
    </row>
    <row r="506" spans="2:220">
      <c r="B506" s="29" cm="1">
        <f t="array" ref="B506">10000000+INDEX(编号表!$B$1:$B$112,MATCH(D506,编号表!$A$1:$A$112,0))*10000+I506</f>
        <v>10730004</v>
      </c>
      <c r="C506" s="29" t="s">
        <v>480</v>
      </c>
      <c r="D506" s="29" t="s">
        <v>480</v>
      </c>
      <c r="E506" s="29" t="s">
        <v>445</v>
      </c>
      <c r="F506" s="29" t="s">
        <v>351</v>
      </c>
      <c r="G506" s="29">
        <v>1</v>
      </c>
      <c r="H506" s="29" t="b">
        <v>0</v>
      </c>
      <c r="I506" s="29">
        <v>4</v>
      </c>
      <c r="J506" s="29">
        <v>107300</v>
      </c>
      <c r="K506" s="29" t="s">
        <v>324</v>
      </c>
      <c r="L506" s="29">
        <v>10730003</v>
      </c>
      <c r="M506" s="29">
        <v>10730005</v>
      </c>
      <c r="N506" s="29" t="s">
        <v>481</v>
      </c>
      <c r="O506" s="29">
        <v>10902016</v>
      </c>
      <c r="P506" s="29">
        <v>0</v>
      </c>
      <c r="Q506" s="29">
        <v>0</v>
      </c>
      <c r="R506" s="29">
        <v>1</v>
      </c>
      <c r="T506" s="29">
        <v>100</v>
      </c>
      <c r="AY506" s="29" t="s">
        <v>425</v>
      </c>
      <c r="AZ506" s="29">
        <v>0</v>
      </c>
      <c r="GR506" s="29">
        <v>0</v>
      </c>
      <c r="GS506" s="29">
        <v>0</v>
      </c>
      <c r="GT506" s="29" t="s">
        <v>425</v>
      </c>
      <c r="GU506" s="29">
        <v>0</v>
      </c>
      <c r="GX506" s="29">
        <v>0</v>
      </c>
      <c r="GZ506" s="29">
        <v>0</v>
      </c>
      <c r="HA506" s="29">
        <v>0</v>
      </c>
      <c r="HB506" s="29">
        <v>0</v>
      </c>
      <c r="HC506" s="29">
        <v>0</v>
      </c>
      <c r="HD506" s="29">
        <v>0</v>
      </c>
      <c r="HE506" s="29" t="b">
        <v>0</v>
      </c>
      <c r="HG506" s="29">
        <v>0</v>
      </c>
      <c r="HI506" s="29" t="s">
        <v>334</v>
      </c>
      <c r="HJ506" s="29">
        <v>0</v>
      </c>
      <c r="HK506" s="29">
        <v>0</v>
      </c>
      <c r="HL506" s="29">
        <v>0</v>
      </c>
    </row>
    <row r="507" spans="2:220">
      <c r="B507" s="29" cm="1">
        <f t="array" ref="B507">10000000+INDEX(编号表!$B$1:$B$112,MATCH(D507,编号表!$A$1:$A$112,0))*10000+I507</f>
        <v>10730005</v>
      </c>
      <c r="C507" s="29" t="s">
        <v>480</v>
      </c>
      <c r="D507" s="29" t="s">
        <v>480</v>
      </c>
      <c r="E507" s="29" t="s">
        <v>445</v>
      </c>
      <c r="F507" s="29" t="s">
        <v>351</v>
      </c>
      <c r="G507" s="29">
        <v>1</v>
      </c>
      <c r="H507" s="29" t="b">
        <v>0</v>
      </c>
      <c r="I507" s="29">
        <v>5</v>
      </c>
      <c r="J507" s="29">
        <v>107300</v>
      </c>
      <c r="K507" s="29" t="s">
        <v>324</v>
      </c>
      <c r="L507" s="29">
        <v>10730004</v>
      </c>
      <c r="M507" s="29">
        <v>10730006</v>
      </c>
      <c r="N507" s="29" t="s">
        <v>481</v>
      </c>
      <c r="O507" s="29">
        <v>10902016</v>
      </c>
      <c r="P507" s="29">
        <v>0</v>
      </c>
      <c r="Q507" s="29">
        <v>0</v>
      </c>
      <c r="R507" s="29">
        <v>1</v>
      </c>
      <c r="T507" s="29">
        <v>100</v>
      </c>
      <c r="AY507" s="29" t="s">
        <v>425</v>
      </c>
      <c r="AZ507" s="29">
        <v>0</v>
      </c>
      <c r="GR507" s="29">
        <v>0</v>
      </c>
      <c r="GS507" s="29">
        <v>0</v>
      </c>
      <c r="GT507" s="29" t="s">
        <v>425</v>
      </c>
      <c r="GU507" s="29">
        <v>0</v>
      </c>
      <c r="GX507" s="29">
        <v>0</v>
      </c>
      <c r="GZ507" s="29">
        <v>0</v>
      </c>
      <c r="HA507" s="29">
        <v>0</v>
      </c>
      <c r="HB507" s="29">
        <v>0</v>
      </c>
      <c r="HC507" s="29">
        <v>0</v>
      </c>
      <c r="HD507" s="29">
        <v>0</v>
      </c>
      <c r="HE507" s="29" t="b">
        <v>0</v>
      </c>
      <c r="HG507" s="29">
        <v>0</v>
      </c>
      <c r="HI507" s="29" t="s">
        <v>334</v>
      </c>
      <c r="HJ507" s="29">
        <v>0</v>
      </c>
      <c r="HK507" s="29">
        <v>0</v>
      </c>
      <c r="HL507" s="29">
        <v>0</v>
      </c>
    </row>
    <row r="508" spans="2:220">
      <c r="B508" s="29" cm="1">
        <f t="array" ref="B508">10000000+INDEX(编号表!$B$1:$B$112,MATCH(D508,编号表!$A$1:$A$112,0))*10000+I508</f>
        <v>10730006</v>
      </c>
      <c r="C508" s="29" t="s">
        <v>480</v>
      </c>
      <c r="D508" s="29" t="s">
        <v>480</v>
      </c>
      <c r="E508" s="29" t="s">
        <v>445</v>
      </c>
      <c r="F508" s="29" t="s">
        <v>351</v>
      </c>
      <c r="G508" s="29">
        <v>1</v>
      </c>
      <c r="H508" s="29" t="b">
        <v>0</v>
      </c>
      <c r="I508" s="29">
        <v>6</v>
      </c>
      <c r="J508" s="29">
        <v>107300</v>
      </c>
      <c r="K508" s="29" t="s">
        <v>324</v>
      </c>
      <c r="L508" s="29">
        <v>10730005</v>
      </c>
      <c r="M508" s="29">
        <v>10730007</v>
      </c>
      <c r="N508" s="29" t="s">
        <v>481</v>
      </c>
      <c r="O508" s="29">
        <v>10902016</v>
      </c>
      <c r="P508" s="29">
        <v>0</v>
      </c>
      <c r="Q508" s="29">
        <v>0</v>
      </c>
      <c r="R508" s="29">
        <v>1</v>
      </c>
      <c r="T508" s="29">
        <v>100</v>
      </c>
      <c r="AY508" s="29" t="s">
        <v>425</v>
      </c>
      <c r="AZ508" s="29">
        <v>0</v>
      </c>
      <c r="GR508" s="29">
        <v>0</v>
      </c>
      <c r="GS508" s="29">
        <v>0</v>
      </c>
      <c r="GT508" s="29" t="s">
        <v>425</v>
      </c>
      <c r="GU508" s="29">
        <v>0</v>
      </c>
      <c r="GX508" s="29">
        <v>0</v>
      </c>
      <c r="GZ508" s="29">
        <v>0</v>
      </c>
      <c r="HA508" s="29">
        <v>0</v>
      </c>
      <c r="HB508" s="29">
        <v>0</v>
      </c>
      <c r="HC508" s="29">
        <v>0</v>
      </c>
      <c r="HD508" s="29">
        <v>0</v>
      </c>
      <c r="HE508" s="29" t="b">
        <v>0</v>
      </c>
      <c r="HG508" s="29">
        <v>0</v>
      </c>
      <c r="HI508" s="29" t="s">
        <v>334</v>
      </c>
      <c r="HJ508" s="29">
        <v>0</v>
      </c>
      <c r="HK508" s="29">
        <v>0</v>
      </c>
      <c r="HL508" s="29">
        <v>0</v>
      </c>
    </row>
    <row r="509" spans="2:220">
      <c r="B509" s="29" cm="1">
        <f t="array" ref="B509">10000000+INDEX(编号表!$B$1:$B$112,MATCH(D509,编号表!$A$1:$A$112,0))*10000+I509</f>
        <v>10730007</v>
      </c>
      <c r="C509" s="29" t="s">
        <v>480</v>
      </c>
      <c r="D509" s="29" t="s">
        <v>480</v>
      </c>
      <c r="E509" s="29" t="s">
        <v>445</v>
      </c>
      <c r="F509" s="29" t="s">
        <v>351</v>
      </c>
      <c r="G509" s="29">
        <v>1</v>
      </c>
      <c r="H509" s="29" t="b">
        <v>0</v>
      </c>
      <c r="I509" s="29">
        <v>7</v>
      </c>
      <c r="J509" s="29">
        <v>107300</v>
      </c>
      <c r="K509" s="29" t="s">
        <v>324</v>
      </c>
      <c r="L509" s="29">
        <v>10730006</v>
      </c>
      <c r="M509" s="29">
        <v>10730008</v>
      </c>
      <c r="N509" s="29" t="s">
        <v>481</v>
      </c>
      <c r="O509" s="29">
        <v>10902016</v>
      </c>
      <c r="P509" s="29">
        <v>0</v>
      </c>
      <c r="Q509" s="29">
        <v>0</v>
      </c>
      <c r="R509" s="29">
        <v>1</v>
      </c>
      <c r="T509" s="29">
        <v>100</v>
      </c>
      <c r="AY509" s="29" t="s">
        <v>425</v>
      </c>
      <c r="AZ509" s="29">
        <v>0</v>
      </c>
      <c r="GR509" s="29">
        <v>0</v>
      </c>
      <c r="GS509" s="29">
        <v>0</v>
      </c>
      <c r="GT509" s="29" t="s">
        <v>425</v>
      </c>
      <c r="GU509" s="29">
        <v>0</v>
      </c>
      <c r="GX509" s="29">
        <v>0</v>
      </c>
      <c r="GZ509" s="29">
        <v>0</v>
      </c>
      <c r="HA509" s="29">
        <v>0</v>
      </c>
      <c r="HB509" s="29">
        <v>0</v>
      </c>
      <c r="HC509" s="29">
        <v>0</v>
      </c>
      <c r="HD509" s="29">
        <v>0</v>
      </c>
      <c r="HE509" s="29" t="b">
        <v>0</v>
      </c>
      <c r="HG509" s="29">
        <v>0</v>
      </c>
      <c r="HI509" s="29" t="s">
        <v>334</v>
      </c>
      <c r="HJ509" s="29">
        <v>0</v>
      </c>
      <c r="HK509" s="29">
        <v>0</v>
      </c>
      <c r="HL509" s="29">
        <v>0</v>
      </c>
    </row>
    <row r="510" spans="2:220">
      <c r="B510" s="29" cm="1">
        <f t="array" ref="B510">10000000+INDEX(编号表!$B$1:$B$112,MATCH(D510,编号表!$A$1:$A$112,0))*10000+I510</f>
        <v>10730008</v>
      </c>
      <c r="C510" s="29" t="s">
        <v>480</v>
      </c>
      <c r="D510" s="29" t="s">
        <v>480</v>
      </c>
      <c r="E510" s="29" t="s">
        <v>445</v>
      </c>
      <c r="F510" s="29" t="s">
        <v>351</v>
      </c>
      <c r="G510" s="29">
        <v>1</v>
      </c>
      <c r="H510" s="29" t="b">
        <v>0</v>
      </c>
      <c r="I510" s="29">
        <v>8</v>
      </c>
      <c r="J510" s="29">
        <v>107300</v>
      </c>
      <c r="K510" s="29" t="s">
        <v>324</v>
      </c>
      <c r="L510" s="29">
        <v>10730007</v>
      </c>
      <c r="M510" s="29">
        <v>10730009</v>
      </c>
      <c r="N510" s="29" t="s">
        <v>481</v>
      </c>
      <c r="O510" s="29">
        <v>10902016</v>
      </c>
      <c r="P510" s="29">
        <v>0</v>
      </c>
      <c r="Q510" s="29">
        <v>0</v>
      </c>
      <c r="R510" s="29">
        <v>1</v>
      </c>
      <c r="T510" s="29">
        <v>100</v>
      </c>
      <c r="AY510" s="29" t="s">
        <v>425</v>
      </c>
      <c r="AZ510" s="29">
        <v>0</v>
      </c>
      <c r="GR510" s="29">
        <v>0</v>
      </c>
      <c r="GS510" s="29">
        <v>0</v>
      </c>
      <c r="GT510" s="29" t="s">
        <v>425</v>
      </c>
      <c r="GU510" s="29">
        <v>0</v>
      </c>
      <c r="GX510" s="29">
        <v>0</v>
      </c>
      <c r="GZ510" s="29">
        <v>0</v>
      </c>
      <c r="HA510" s="29">
        <v>0</v>
      </c>
      <c r="HB510" s="29">
        <v>0</v>
      </c>
      <c r="HC510" s="29">
        <v>0</v>
      </c>
      <c r="HD510" s="29">
        <v>0</v>
      </c>
      <c r="HE510" s="29" t="b">
        <v>0</v>
      </c>
      <c r="HG510" s="29">
        <v>0</v>
      </c>
      <c r="HI510" s="29" t="s">
        <v>334</v>
      </c>
      <c r="HJ510" s="29">
        <v>0</v>
      </c>
      <c r="HK510" s="29">
        <v>0</v>
      </c>
      <c r="HL510" s="29">
        <v>0</v>
      </c>
    </row>
    <row r="511" spans="2:220">
      <c r="B511" s="29" cm="1">
        <f t="array" ref="B511">10000000+INDEX(编号表!$B$1:$B$112,MATCH(D511,编号表!$A$1:$A$112,0))*10000+I511</f>
        <v>10730009</v>
      </c>
      <c r="C511" s="29" t="s">
        <v>480</v>
      </c>
      <c r="D511" s="29" t="s">
        <v>480</v>
      </c>
      <c r="E511" s="29" t="s">
        <v>445</v>
      </c>
      <c r="F511" s="29" t="s">
        <v>351</v>
      </c>
      <c r="G511" s="29">
        <v>1</v>
      </c>
      <c r="H511" s="29" t="b">
        <v>0</v>
      </c>
      <c r="I511" s="29">
        <v>9</v>
      </c>
      <c r="J511" s="29">
        <v>107300</v>
      </c>
      <c r="K511" s="29" t="s">
        <v>324</v>
      </c>
      <c r="L511" s="29">
        <v>10730008</v>
      </c>
      <c r="M511" s="29">
        <v>10730010</v>
      </c>
      <c r="N511" s="29" t="s">
        <v>481</v>
      </c>
      <c r="O511" s="29">
        <v>10902016</v>
      </c>
      <c r="P511" s="29">
        <v>0</v>
      </c>
      <c r="Q511" s="29">
        <v>0</v>
      </c>
      <c r="R511" s="29">
        <v>1</v>
      </c>
      <c r="T511" s="29">
        <v>100</v>
      </c>
      <c r="AY511" s="29" t="s">
        <v>425</v>
      </c>
      <c r="AZ511" s="29">
        <v>0</v>
      </c>
      <c r="GR511" s="29">
        <v>0</v>
      </c>
      <c r="GS511" s="29">
        <v>0</v>
      </c>
      <c r="GT511" s="29" t="s">
        <v>425</v>
      </c>
      <c r="GU511" s="29">
        <v>0</v>
      </c>
      <c r="GX511" s="29">
        <v>0</v>
      </c>
      <c r="GZ511" s="29">
        <v>0</v>
      </c>
      <c r="HA511" s="29">
        <v>0</v>
      </c>
      <c r="HB511" s="29">
        <v>0</v>
      </c>
      <c r="HC511" s="29">
        <v>0</v>
      </c>
      <c r="HD511" s="29">
        <v>0</v>
      </c>
      <c r="HE511" s="29" t="b">
        <v>0</v>
      </c>
      <c r="HG511" s="29">
        <v>0</v>
      </c>
      <c r="HI511" s="29" t="s">
        <v>334</v>
      </c>
      <c r="HJ511" s="29">
        <v>0</v>
      </c>
      <c r="HK511" s="29">
        <v>0</v>
      </c>
      <c r="HL511" s="29">
        <v>0</v>
      </c>
    </row>
    <row r="512" spans="2:220">
      <c r="B512" s="29" cm="1">
        <f t="array" ref="B512">10000000+INDEX(编号表!$B$1:$B$112,MATCH(D512,编号表!$A$1:$A$112,0))*10000+I512</f>
        <v>10730010</v>
      </c>
      <c r="C512" s="29" t="s">
        <v>480</v>
      </c>
      <c r="D512" s="29" t="s">
        <v>480</v>
      </c>
      <c r="E512" s="29" t="s">
        <v>445</v>
      </c>
      <c r="F512" s="29" t="s">
        <v>351</v>
      </c>
      <c r="G512" s="29">
        <v>1</v>
      </c>
      <c r="H512" s="29" t="b">
        <v>0</v>
      </c>
      <c r="I512" s="29">
        <v>10</v>
      </c>
      <c r="J512" s="29">
        <v>107300</v>
      </c>
      <c r="K512" s="29" t="s">
        <v>324</v>
      </c>
      <c r="L512" s="29">
        <v>10730009</v>
      </c>
      <c r="N512" s="29" t="s">
        <v>481</v>
      </c>
      <c r="O512" s="29">
        <v>10902016</v>
      </c>
      <c r="P512" s="29">
        <v>0</v>
      </c>
      <c r="Q512" s="29">
        <v>0</v>
      </c>
      <c r="R512" s="29">
        <v>1</v>
      </c>
      <c r="T512" s="29">
        <v>100</v>
      </c>
      <c r="AY512" s="29" t="s">
        <v>425</v>
      </c>
      <c r="AZ512" s="29">
        <v>0</v>
      </c>
      <c r="GR512" s="29">
        <v>0</v>
      </c>
      <c r="GS512" s="29">
        <v>0</v>
      </c>
      <c r="GT512" s="29" t="s">
        <v>425</v>
      </c>
      <c r="GU512" s="29">
        <v>0</v>
      </c>
      <c r="GX512" s="29">
        <v>0</v>
      </c>
      <c r="GZ512" s="29">
        <v>0</v>
      </c>
      <c r="HA512" s="29">
        <v>0</v>
      </c>
      <c r="HB512" s="29">
        <v>0</v>
      </c>
      <c r="HC512" s="29">
        <v>0</v>
      </c>
      <c r="HD512" s="29">
        <v>0</v>
      </c>
      <c r="HE512" s="29" t="b">
        <v>0</v>
      </c>
      <c r="HG512" s="29">
        <v>0</v>
      </c>
      <c r="HI512" s="29" t="s">
        <v>334</v>
      </c>
      <c r="HJ512" s="29">
        <v>0</v>
      </c>
      <c r="HK512" s="29">
        <v>0</v>
      </c>
      <c r="HL512" s="29">
        <v>0</v>
      </c>
    </row>
    <row r="513" spans="2:220">
      <c r="B513" s="29" cm="1">
        <f t="array" ref="B513">10000000+INDEX(编号表!$B$1:$B$112,MATCH(D513,编号表!$A$1:$A$112,0))*10000+I513</f>
        <v>10740001</v>
      </c>
      <c r="C513" s="29" t="s">
        <v>482</v>
      </c>
      <c r="D513" s="29" t="s">
        <v>482</v>
      </c>
      <c r="E513" s="29" t="s">
        <v>445</v>
      </c>
      <c r="F513" s="29" t="s">
        <v>358</v>
      </c>
      <c r="G513" s="29">
        <v>1</v>
      </c>
      <c r="H513" s="29" t="b">
        <v>0</v>
      </c>
      <c r="I513" s="29">
        <v>1</v>
      </c>
      <c r="J513" s="29">
        <v>107400</v>
      </c>
      <c r="K513" s="29" t="s">
        <v>324</v>
      </c>
      <c r="M513" s="29">
        <v>10740002</v>
      </c>
      <c r="N513" s="29" t="s">
        <v>483</v>
      </c>
      <c r="O513" s="29">
        <v>10902017</v>
      </c>
      <c r="P513" s="29">
        <v>0</v>
      </c>
      <c r="Q513" s="29">
        <v>0</v>
      </c>
      <c r="R513" s="29">
        <v>1</v>
      </c>
      <c r="T513" s="29">
        <v>100</v>
      </c>
      <c r="AY513" s="29" t="s">
        <v>425</v>
      </c>
      <c r="AZ513" s="29">
        <v>0</v>
      </c>
      <c r="GR513" s="29">
        <v>0</v>
      </c>
      <c r="GS513" s="29">
        <v>0</v>
      </c>
      <c r="GT513" s="29" t="s">
        <v>425</v>
      </c>
      <c r="GU513" s="29">
        <v>0</v>
      </c>
      <c r="GX513" s="29">
        <v>0</v>
      </c>
      <c r="GZ513" s="29">
        <v>0</v>
      </c>
      <c r="HA513" s="29">
        <v>0</v>
      </c>
      <c r="HB513" s="29">
        <v>0</v>
      </c>
      <c r="HC513" s="29">
        <v>0</v>
      </c>
      <c r="HD513" s="29">
        <v>0</v>
      </c>
      <c r="HE513" s="29" t="b">
        <v>0</v>
      </c>
      <c r="HG513" s="29">
        <v>0</v>
      </c>
      <c r="HI513" s="29" t="s">
        <v>334</v>
      </c>
      <c r="HJ513" s="29">
        <v>0</v>
      </c>
      <c r="HK513" s="29">
        <v>0</v>
      </c>
      <c r="HL513" s="29">
        <v>0</v>
      </c>
    </row>
    <row r="514" spans="2:220">
      <c r="B514" s="29" cm="1">
        <f t="array" ref="B514">10000000+INDEX(编号表!$B$1:$B$112,MATCH(D514,编号表!$A$1:$A$112,0))*10000+I514</f>
        <v>10740002</v>
      </c>
      <c r="C514" s="29" t="s">
        <v>482</v>
      </c>
      <c r="D514" s="29" t="s">
        <v>482</v>
      </c>
      <c r="E514" s="29" t="s">
        <v>445</v>
      </c>
      <c r="F514" s="29" t="s">
        <v>358</v>
      </c>
      <c r="G514" s="29">
        <v>1</v>
      </c>
      <c r="H514" s="29" t="b">
        <v>0</v>
      </c>
      <c r="I514" s="29">
        <v>2</v>
      </c>
      <c r="J514" s="29">
        <v>107400</v>
      </c>
      <c r="K514" s="29" t="s">
        <v>324</v>
      </c>
      <c r="L514" s="29">
        <v>10740001</v>
      </c>
      <c r="M514" s="29">
        <v>10740003</v>
      </c>
      <c r="N514" s="29" t="s">
        <v>483</v>
      </c>
      <c r="O514" s="29">
        <v>10902017</v>
      </c>
      <c r="P514" s="29">
        <v>0</v>
      </c>
      <c r="Q514" s="29">
        <v>0</v>
      </c>
      <c r="R514" s="29">
        <v>1</v>
      </c>
      <c r="T514" s="29">
        <v>100</v>
      </c>
      <c r="AY514" s="29" t="s">
        <v>425</v>
      </c>
      <c r="AZ514" s="29">
        <v>0</v>
      </c>
      <c r="GR514" s="29">
        <v>0</v>
      </c>
      <c r="GS514" s="29">
        <v>0</v>
      </c>
      <c r="GT514" s="29" t="s">
        <v>425</v>
      </c>
      <c r="GU514" s="29">
        <v>0</v>
      </c>
      <c r="GX514" s="29">
        <v>0</v>
      </c>
      <c r="GZ514" s="29">
        <v>0</v>
      </c>
      <c r="HA514" s="29">
        <v>0</v>
      </c>
      <c r="HB514" s="29">
        <v>0</v>
      </c>
      <c r="HC514" s="29">
        <v>0</v>
      </c>
      <c r="HD514" s="29">
        <v>0</v>
      </c>
      <c r="HE514" s="29" t="b">
        <v>0</v>
      </c>
      <c r="HG514" s="29">
        <v>0</v>
      </c>
      <c r="HI514" s="29" t="s">
        <v>334</v>
      </c>
      <c r="HJ514" s="29">
        <v>0</v>
      </c>
      <c r="HK514" s="29">
        <v>0</v>
      </c>
      <c r="HL514" s="29">
        <v>0</v>
      </c>
    </row>
    <row r="515" spans="2:220">
      <c r="B515" s="29" cm="1">
        <f t="array" ref="B515">10000000+INDEX(编号表!$B$1:$B$112,MATCH(D515,编号表!$A$1:$A$112,0))*10000+I515</f>
        <v>10740003</v>
      </c>
      <c r="C515" s="29" t="s">
        <v>482</v>
      </c>
      <c r="D515" s="29" t="s">
        <v>482</v>
      </c>
      <c r="E515" s="29" t="s">
        <v>445</v>
      </c>
      <c r="F515" s="29" t="s">
        <v>358</v>
      </c>
      <c r="G515" s="29">
        <v>1</v>
      </c>
      <c r="H515" s="29" t="b">
        <v>0</v>
      </c>
      <c r="I515" s="29">
        <v>3</v>
      </c>
      <c r="J515" s="29">
        <v>107400</v>
      </c>
      <c r="K515" s="29" t="s">
        <v>324</v>
      </c>
      <c r="L515" s="29">
        <v>10740002</v>
      </c>
      <c r="M515" s="29">
        <v>10740004</v>
      </c>
      <c r="N515" s="29" t="s">
        <v>483</v>
      </c>
      <c r="O515" s="29">
        <v>10902017</v>
      </c>
      <c r="P515" s="29">
        <v>0</v>
      </c>
      <c r="Q515" s="29">
        <v>0</v>
      </c>
      <c r="R515" s="29">
        <v>1</v>
      </c>
      <c r="T515" s="29">
        <v>100</v>
      </c>
      <c r="AY515" s="29" t="s">
        <v>425</v>
      </c>
      <c r="AZ515" s="29">
        <v>0</v>
      </c>
      <c r="GR515" s="29">
        <v>0</v>
      </c>
      <c r="GS515" s="29">
        <v>0</v>
      </c>
      <c r="GT515" s="29" t="s">
        <v>425</v>
      </c>
      <c r="GU515" s="29">
        <v>0</v>
      </c>
      <c r="GX515" s="29">
        <v>0</v>
      </c>
      <c r="GZ515" s="29">
        <v>0</v>
      </c>
      <c r="HA515" s="29">
        <v>0</v>
      </c>
      <c r="HB515" s="29">
        <v>0</v>
      </c>
      <c r="HC515" s="29">
        <v>0</v>
      </c>
      <c r="HD515" s="29">
        <v>0</v>
      </c>
      <c r="HE515" s="29" t="b">
        <v>0</v>
      </c>
      <c r="HG515" s="29">
        <v>0</v>
      </c>
      <c r="HI515" s="29" t="s">
        <v>334</v>
      </c>
      <c r="HJ515" s="29">
        <v>0</v>
      </c>
      <c r="HK515" s="29">
        <v>0</v>
      </c>
      <c r="HL515" s="29">
        <v>0</v>
      </c>
    </row>
    <row r="516" spans="2:220">
      <c r="B516" s="29" cm="1">
        <f t="array" ref="B516">10000000+INDEX(编号表!$B$1:$B$112,MATCH(D516,编号表!$A$1:$A$112,0))*10000+I516</f>
        <v>10740004</v>
      </c>
      <c r="C516" s="29" t="s">
        <v>482</v>
      </c>
      <c r="D516" s="29" t="s">
        <v>482</v>
      </c>
      <c r="E516" s="29" t="s">
        <v>445</v>
      </c>
      <c r="F516" s="29" t="s">
        <v>358</v>
      </c>
      <c r="G516" s="29">
        <v>1</v>
      </c>
      <c r="H516" s="29" t="b">
        <v>0</v>
      </c>
      <c r="I516" s="29">
        <v>4</v>
      </c>
      <c r="J516" s="29">
        <v>107400</v>
      </c>
      <c r="K516" s="29" t="s">
        <v>324</v>
      </c>
      <c r="L516" s="29">
        <v>10740003</v>
      </c>
      <c r="M516" s="29">
        <v>10740005</v>
      </c>
      <c r="N516" s="29" t="s">
        <v>483</v>
      </c>
      <c r="O516" s="29">
        <v>10902017</v>
      </c>
      <c r="P516" s="29">
        <v>0</v>
      </c>
      <c r="Q516" s="29">
        <v>0</v>
      </c>
      <c r="R516" s="29">
        <v>1</v>
      </c>
      <c r="T516" s="29">
        <v>100</v>
      </c>
      <c r="AY516" s="29" t="s">
        <v>425</v>
      </c>
      <c r="AZ516" s="29">
        <v>0</v>
      </c>
      <c r="GR516" s="29">
        <v>0</v>
      </c>
      <c r="GS516" s="29">
        <v>0</v>
      </c>
      <c r="GT516" s="29" t="s">
        <v>425</v>
      </c>
      <c r="GU516" s="29">
        <v>0</v>
      </c>
      <c r="GX516" s="29">
        <v>0</v>
      </c>
      <c r="GZ516" s="29">
        <v>0</v>
      </c>
      <c r="HA516" s="29">
        <v>0</v>
      </c>
      <c r="HB516" s="29">
        <v>0</v>
      </c>
      <c r="HC516" s="29">
        <v>0</v>
      </c>
      <c r="HD516" s="29">
        <v>0</v>
      </c>
      <c r="HE516" s="29" t="b">
        <v>0</v>
      </c>
      <c r="HG516" s="29">
        <v>0</v>
      </c>
      <c r="HI516" s="29" t="s">
        <v>334</v>
      </c>
      <c r="HJ516" s="29">
        <v>0</v>
      </c>
      <c r="HK516" s="29">
        <v>0</v>
      </c>
      <c r="HL516" s="29">
        <v>0</v>
      </c>
    </row>
    <row r="517" spans="2:220">
      <c r="B517" s="29" cm="1">
        <f t="array" ref="B517">10000000+INDEX(编号表!$B$1:$B$112,MATCH(D517,编号表!$A$1:$A$112,0))*10000+I517</f>
        <v>10740005</v>
      </c>
      <c r="C517" s="29" t="s">
        <v>482</v>
      </c>
      <c r="D517" s="29" t="s">
        <v>482</v>
      </c>
      <c r="E517" s="29" t="s">
        <v>445</v>
      </c>
      <c r="F517" s="29" t="s">
        <v>358</v>
      </c>
      <c r="G517" s="29">
        <v>1</v>
      </c>
      <c r="H517" s="29" t="b">
        <v>0</v>
      </c>
      <c r="I517" s="29">
        <v>5</v>
      </c>
      <c r="J517" s="29">
        <v>107400</v>
      </c>
      <c r="K517" s="29" t="s">
        <v>324</v>
      </c>
      <c r="L517" s="29">
        <v>10740004</v>
      </c>
      <c r="M517" s="29">
        <v>10740006</v>
      </c>
      <c r="N517" s="29" t="s">
        <v>483</v>
      </c>
      <c r="O517" s="29">
        <v>10902017</v>
      </c>
      <c r="P517" s="29">
        <v>0</v>
      </c>
      <c r="Q517" s="29">
        <v>0</v>
      </c>
      <c r="R517" s="29">
        <v>1</v>
      </c>
      <c r="T517" s="29">
        <v>100</v>
      </c>
      <c r="AY517" s="29" t="s">
        <v>425</v>
      </c>
      <c r="AZ517" s="29">
        <v>0</v>
      </c>
      <c r="GR517" s="29">
        <v>0</v>
      </c>
      <c r="GS517" s="29">
        <v>0</v>
      </c>
      <c r="GT517" s="29" t="s">
        <v>425</v>
      </c>
      <c r="GU517" s="29">
        <v>0</v>
      </c>
      <c r="GX517" s="29">
        <v>0</v>
      </c>
      <c r="GZ517" s="29">
        <v>0</v>
      </c>
      <c r="HA517" s="29">
        <v>0</v>
      </c>
      <c r="HB517" s="29">
        <v>0</v>
      </c>
      <c r="HC517" s="29">
        <v>0</v>
      </c>
      <c r="HD517" s="29">
        <v>0</v>
      </c>
      <c r="HE517" s="29" t="b">
        <v>0</v>
      </c>
      <c r="HG517" s="29">
        <v>0</v>
      </c>
      <c r="HI517" s="29" t="s">
        <v>334</v>
      </c>
      <c r="HJ517" s="29">
        <v>0</v>
      </c>
      <c r="HK517" s="29">
        <v>0</v>
      </c>
      <c r="HL517" s="29">
        <v>0</v>
      </c>
    </row>
    <row r="518" spans="2:220">
      <c r="B518" s="29" cm="1">
        <f t="array" ref="B518">10000000+INDEX(编号表!$B$1:$B$112,MATCH(D518,编号表!$A$1:$A$112,0))*10000+I518</f>
        <v>10740006</v>
      </c>
      <c r="C518" s="29" t="s">
        <v>482</v>
      </c>
      <c r="D518" s="29" t="s">
        <v>482</v>
      </c>
      <c r="E518" s="29" t="s">
        <v>445</v>
      </c>
      <c r="F518" s="29" t="s">
        <v>358</v>
      </c>
      <c r="G518" s="29">
        <v>1</v>
      </c>
      <c r="H518" s="29" t="b">
        <v>0</v>
      </c>
      <c r="I518" s="29">
        <v>6</v>
      </c>
      <c r="J518" s="29">
        <v>107400</v>
      </c>
      <c r="K518" s="29" t="s">
        <v>324</v>
      </c>
      <c r="L518" s="29">
        <v>10740005</v>
      </c>
      <c r="M518" s="29">
        <v>10740007</v>
      </c>
      <c r="N518" s="29" t="s">
        <v>483</v>
      </c>
      <c r="O518" s="29">
        <v>10902017</v>
      </c>
      <c r="P518" s="29">
        <v>0</v>
      </c>
      <c r="Q518" s="29">
        <v>0</v>
      </c>
      <c r="R518" s="29">
        <v>1</v>
      </c>
      <c r="T518" s="29">
        <v>100</v>
      </c>
      <c r="AY518" s="29" t="s">
        <v>425</v>
      </c>
      <c r="AZ518" s="29">
        <v>0</v>
      </c>
      <c r="GR518" s="29">
        <v>0</v>
      </c>
      <c r="GS518" s="29">
        <v>0</v>
      </c>
      <c r="GT518" s="29" t="s">
        <v>425</v>
      </c>
      <c r="GU518" s="29">
        <v>0</v>
      </c>
      <c r="GX518" s="29">
        <v>0</v>
      </c>
      <c r="GZ518" s="29">
        <v>0</v>
      </c>
      <c r="HA518" s="29">
        <v>0</v>
      </c>
      <c r="HB518" s="29">
        <v>0</v>
      </c>
      <c r="HC518" s="29">
        <v>0</v>
      </c>
      <c r="HD518" s="29">
        <v>0</v>
      </c>
      <c r="HE518" s="29" t="b">
        <v>0</v>
      </c>
      <c r="HG518" s="29">
        <v>0</v>
      </c>
      <c r="HI518" s="29" t="s">
        <v>334</v>
      </c>
      <c r="HJ518" s="29">
        <v>0</v>
      </c>
      <c r="HK518" s="29">
        <v>0</v>
      </c>
      <c r="HL518" s="29">
        <v>0</v>
      </c>
    </row>
    <row r="519" spans="2:220">
      <c r="B519" s="29" cm="1">
        <f t="array" ref="B519">10000000+INDEX(编号表!$B$1:$B$112,MATCH(D519,编号表!$A$1:$A$112,0))*10000+I519</f>
        <v>10740007</v>
      </c>
      <c r="C519" s="29" t="s">
        <v>482</v>
      </c>
      <c r="D519" s="29" t="s">
        <v>482</v>
      </c>
      <c r="E519" s="29" t="s">
        <v>445</v>
      </c>
      <c r="F519" s="29" t="s">
        <v>358</v>
      </c>
      <c r="G519" s="29">
        <v>1</v>
      </c>
      <c r="H519" s="29" t="b">
        <v>0</v>
      </c>
      <c r="I519" s="29">
        <v>7</v>
      </c>
      <c r="J519" s="29">
        <v>107400</v>
      </c>
      <c r="K519" s="29" t="s">
        <v>324</v>
      </c>
      <c r="L519" s="29">
        <v>10740006</v>
      </c>
      <c r="M519" s="29">
        <v>10740008</v>
      </c>
      <c r="N519" s="29" t="s">
        <v>483</v>
      </c>
      <c r="O519" s="29">
        <v>10902017</v>
      </c>
      <c r="P519" s="29">
        <v>0</v>
      </c>
      <c r="Q519" s="29">
        <v>0</v>
      </c>
      <c r="R519" s="29">
        <v>1</v>
      </c>
      <c r="T519" s="29">
        <v>100</v>
      </c>
      <c r="AY519" s="29" t="s">
        <v>425</v>
      </c>
      <c r="AZ519" s="29">
        <v>0</v>
      </c>
      <c r="GR519" s="29">
        <v>0</v>
      </c>
      <c r="GS519" s="29">
        <v>0</v>
      </c>
      <c r="GT519" s="29" t="s">
        <v>425</v>
      </c>
      <c r="GU519" s="29">
        <v>0</v>
      </c>
      <c r="GX519" s="29">
        <v>0</v>
      </c>
      <c r="GZ519" s="29">
        <v>0</v>
      </c>
      <c r="HA519" s="29">
        <v>0</v>
      </c>
      <c r="HB519" s="29">
        <v>0</v>
      </c>
      <c r="HC519" s="29">
        <v>0</v>
      </c>
      <c r="HD519" s="29">
        <v>0</v>
      </c>
      <c r="HE519" s="29" t="b">
        <v>0</v>
      </c>
      <c r="HG519" s="29">
        <v>0</v>
      </c>
      <c r="HI519" s="29" t="s">
        <v>334</v>
      </c>
      <c r="HJ519" s="29">
        <v>0</v>
      </c>
      <c r="HK519" s="29">
        <v>0</v>
      </c>
      <c r="HL519" s="29">
        <v>0</v>
      </c>
    </row>
    <row r="520" spans="2:220">
      <c r="B520" s="29" cm="1">
        <f t="array" ref="B520">10000000+INDEX(编号表!$B$1:$B$112,MATCH(D520,编号表!$A$1:$A$112,0))*10000+I520</f>
        <v>10740008</v>
      </c>
      <c r="C520" s="29" t="s">
        <v>482</v>
      </c>
      <c r="D520" s="29" t="s">
        <v>482</v>
      </c>
      <c r="E520" s="29" t="s">
        <v>445</v>
      </c>
      <c r="F520" s="29" t="s">
        <v>358</v>
      </c>
      <c r="G520" s="29">
        <v>1</v>
      </c>
      <c r="H520" s="29" t="b">
        <v>0</v>
      </c>
      <c r="I520" s="29">
        <v>8</v>
      </c>
      <c r="J520" s="29">
        <v>107400</v>
      </c>
      <c r="K520" s="29" t="s">
        <v>324</v>
      </c>
      <c r="L520" s="29">
        <v>10740007</v>
      </c>
      <c r="M520" s="29">
        <v>10740009</v>
      </c>
      <c r="N520" s="29" t="s">
        <v>483</v>
      </c>
      <c r="O520" s="29">
        <v>10902017</v>
      </c>
      <c r="P520" s="29">
        <v>0</v>
      </c>
      <c r="Q520" s="29">
        <v>0</v>
      </c>
      <c r="R520" s="29">
        <v>1</v>
      </c>
      <c r="T520" s="29">
        <v>100</v>
      </c>
      <c r="AY520" s="29" t="s">
        <v>425</v>
      </c>
      <c r="AZ520" s="29">
        <v>0</v>
      </c>
      <c r="GR520" s="29">
        <v>0</v>
      </c>
      <c r="GS520" s="29">
        <v>0</v>
      </c>
      <c r="GT520" s="29" t="s">
        <v>425</v>
      </c>
      <c r="GU520" s="29">
        <v>0</v>
      </c>
      <c r="GX520" s="29">
        <v>0</v>
      </c>
      <c r="GZ520" s="29">
        <v>0</v>
      </c>
      <c r="HA520" s="29">
        <v>0</v>
      </c>
      <c r="HB520" s="29">
        <v>0</v>
      </c>
      <c r="HC520" s="29">
        <v>0</v>
      </c>
      <c r="HD520" s="29">
        <v>0</v>
      </c>
      <c r="HE520" s="29" t="b">
        <v>0</v>
      </c>
      <c r="HG520" s="29">
        <v>0</v>
      </c>
      <c r="HI520" s="29" t="s">
        <v>334</v>
      </c>
      <c r="HJ520" s="29">
        <v>0</v>
      </c>
      <c r="HK520" s="29">
        <v>0</v>
      </c>
      <c r="HL520" s="29">
        <v>0</v>
      </c>
    </row>
    <row r="521" spans="2:220">
      <c r="B521" s="29" cm="1">
        <f t="array" ref="B521">10000000+INDEX(编号表!$B$1:$B$112,MATCH(D521,编号表!$A$1:$A$112,0))*10000+I521</f>
        <v>10740009</v>
      </c>
      <c r="C521" s="29" t="s">
        <v>482</v>
      </c>
      <c r="D521" s="29" t="s">
        <v>482</v>
      </c>
      <c r="E521" s="29" t="s">
        <v>445</v>
      </c>
      <c r="F521" s="29" t="s">
        <v>358</v>
      </c>
      <c r="G521" s="29">
        <v>1</v>
      </c>
      <c r="H521" s="29" t="b">
        <v>0</v>
      </c>
      <c r="I521" s="29">
        <v>9</v>
      </c>
      <c r="J521" s="29">
        <v>107400</v>
      </c>
      <c r="K521" s="29" t="s">
        <v>324</v>
      </c>
      <c r="L521" s="29">
        <v>10740008</v>
      </c>
      <c r="M521" s="29">
        <v>10740010</v>
      </c>
      <c r="N521" s="29" t="s">
        <v>483</v>
      </c>
      <c r="O521" s="29">
        <v>10902017</v>
      </c>
      <c r="P521" s="29">
        <v>0</v>
      </c>
      <c r="Q521" s="29">
        <v>0</v>
      </c>
      <c r="R521" s="29">
        <v>1</v>
      </c>
      <c r="T521" s="29">
        <v>100</v>
      </c>
      <c r="AY521" s="29" t="s">
        <v>425</v>
      </c>
      <c r="AZ521" s="29">
        <v>0</v>
      </c>
      <c r="GR521" s="29">
        <v>0</v>
      </c>
      <c r="GS521" s="29">
        <v>0</v>
      </c>
      <c r="GT521" s="29" t="s">
        <v>425</v>
      </c>
      <c r="GU521" s="29">
        <v>0</v>
      </c>
      <c r="GX521" s="29">
        <v>0</v>
      </c>
      <c r="GZ521" s="29">
        <v>0</v>
      </c>
      <c r="HA521" s="29">
        <v>0</v>
      </c>
      <c r="HB521" s="29">
        <v>0</v>
      </c>
      <c r="HC521" s="29">
        <v>0</v>
      </c>
      <c r="HD521" s="29">
        <v>0</v>
      </c>
      <c r="HE521" s="29" t="b">
        <v>0</v>
      </c>
      <c r="HG521" s="29">
        <v>0</v>
      </c>
      <c r="HI521" s="29" t="s">
        <v>334</v>
      </c>
      <c r="HJ521" s="29">
        <v>0</v>
      </c>
      <c r="HK521" s="29">
        <v>0</v>
      </c>
      <c r="HL521" s="29">
        <v>0</v>
      </c>
    </row>
    <row r="522" spans="2:220">
      <c r="B522" s="29" cm="1">
        <f t="array" ref="B522">10000000+INDEX(编号表!$B$1:$B$112,MATCH(D522,编号表!$A$1:$A$112,0))*10000+I522</f>
        <v>10740010</v>
      </c>
      <c r="C522" s="29" t="s">
        <v>482</v>
      </c>
      <c r="D522" s="29" t="s">
        <v>482</v>
      </c>
      <c r="E522" s="29" t="s">
        <v>445</v>
      </c>
      <c r="F522" s="29" t="s">
        <v>358</v>
      </c>
      <c r="G522" s="29">
        <v>1</v>
      </c>
      <c r="H522" s="29" t="b">
        <v>0</v>
      </c>
      <c r="I522" s="29">
        <v>10</v>
      </c>
      <c r="J522" s="29">
        <v>107400</v>
      </c>
      <c r="K522" s="29" t="s">
        <v>324</v>
      </c>
      <c r="L522" s="29">
        <v>10740009</v>
      </c>
      <c r="N522" s="29" t="s">
        <v>483</v>
      </c>
      <c r="O522" s="29">
        <v>10902017</v>
      </c>
      <c r="P522" s="29">
        <v>0</v>
      </c>
      <c r="Q522" s="29">
        <v>0</v>
      </c>
      <c r="R522" s="29">
        <v>1</v>
      </c>
      <c r="T522" s="29">
        <v>100</v>
      </c>
      <c r="AY522" s="29" t="s">
        <v>425</v>
      </c>
      <c r="AZ522" s="29">
        <v>0</v>
      </c>
      <c r="GR522" s="29">
        <v>0</v>
      </c>
      <c r="GS522" s="29">
        <v>0</v>
      </c>
      <c r="GT522" s="29" t="s">
        <v>425</v>
      </c>
      <c r="GU522" s="29">
        <v>0</v>
      </c>
      <c r="GX522" s="29">
        <v>0</v>
      </c>
      <c r="GZ522" s="29">
        <v>0</v>
      </c>
      <c r="HA522" s="29">
        <v>0</v>
      </c>
      <c r="HB522" s="29">
        <v>0</v>
      </c>
      <c r="HC522" s="29">
        <v>0</v>
      </c>
      <c r="HD522" s="29">
        <v>0</v>
      </c>
      <c r="HE522" s="29" t="b">
        <v>0</v>
      </c>
      <c r="HG522" s="29">
        <v>0</v>
      </c>
      <c r="HI522" s="29" t="s">
        <v>334</v>
      </c>
      <c r="HJ522" s="29">
        <v>0</v>
      </c>
      <c r="HK522" s="29">
        <v>0</v>
      </c>
      <c r="HL522" s="29">
        <v>0</v>
      </c>
    </row>
    <row r="523" spans="2:220">
      <c r="B523" s="29" cm="1">
        <f t="array" ref="B523">10000000+INDEX(编号表!$B$1:$B$112,MATCH(D523,编号表!$A$1:$A$112,0))*10000+I523</f>
        <v>10750001</v>
      </c>
      <c r="C523" s="29" t="s">
        <v>484</v>
      </c>
      <c r="D523" s="29" t="s">
        <v>484</v>
      </c>
      <c r="E523" s="29" t="s">
        <v>445</v>
      </c>
      <c r="F523" s="29" t="s">
        <v>361</v>
      </c>
      <c r="G523" s="29">
        <v>1</v>
      </c>
      <c r="H523" s="29" t="b">
        <v>0</v>
      </c>
      <c r="I523" s="29">
        <v>1</v>
      </c>
      <c r="J523" s="29">
        <v>107500</v>
      </c>
      <c r="K523" s="29" t="s">
        <v>324</v>
      </c>
      <c r="M523" s="29">
        <v>10750002</v>
      </c>
      <c r="N523" s="29" t="s">
        <v>485</v>
      </c>
      <c r="O523" s="29">
        <v>10902018</v>
      </c>
      <c r="P523" s="29">
        <v>0</v>
      </c>
      <c r="Q523" s="29">
        <v>0</v>
      </c>
      <c r="R523" s="29">
        <v>1</v>
      </c>
      <c r="T523" s="29">
        <v>100</v>
      </c>
      <c r="AY523" s="29" t="s">
        <v>425</v>
      </c>
      <c r="AZ523" s="29">
        <v>0</v>
      </c>
      <c r="GR523" s="29">
        <v>0</v>
      </c>
      <c r="GS523" s="29">
        <v>0</v>
      </c>
      <c r="GT523" s="29" t="s">
        <v>425</v>
      </c>
      <c r="GU523" s="29">
        <v>0</v>
      </c>
      <c r="GX523" s="29">
        <v>0</v>
      </c>
      <c r="GZ523" s="29">
        <v>0</v>
      </c>
      <c r="HA523" s="29">
        <v>0</v>
      </c>
      <c r="HB523" s="29">
        <v>0</v>
      </c>
      <c r="HC523" s="29">
        <v>0</v>
      </c>
      <c r="HD523" s="29">
        <v>0</v>
      </c>
      <c r="HE523" s="29" t="b">
        <v>0</v>
      </c>
      <c r="HG523" s="29">
        <v>0</v>
      </c>
      <c r="HI523" s="29" t="s">
        <v>334</v>
      </c>
      <c r="HJ523" s="29">
        <v>0</v>
      </c>
      <c r="HK523" s="29">
        <v>0</v>
      </c>
      <c r="HL523" s="29">
        <v>0</v>
      </c>
    </row>
    <row r="524" spans="2:220">
      <c r="B524" s="29" cm="1">
        <f t="array" ref="B524">10000000+INDEX(编号表!$B$1:$B$112,MATCH(D524,编号表!$A$1:$A$112,0))*10000+I524</f>
        <v>10750002</v>
      </c>
      <c r="C524" s="29" t="s">
        <v>484</v>
      </c>
      <c r="D524" s="29" t="s">
        <v>484</v>
      </c>
      <c r="E524" s="29" t="s">
        <v>445</v>
      </c>
      <c r="F524" s="29" t="s">
        <v>361</v>
      </c>
      <c r="G524" s="29">
        <v>1</v>
      </c>
      <c r="H524" s="29" t="b">
        <v>0</v>
      </c>
      <c r="I524" s="29">
        <v>2</v>
      </c>
      <c r="J524" s="29">
        <v>107500</v>
      </c>
      <c r="K524" s="29" t="s">
        <v>324</v>
      </c>
      <c r="L524" s="29">
        <v>10750001</v>
      </c>
      <c r="M524" s="29">
        <v>10750003</v>
      </c>
      <c r="N524" s="29" t="s">
        <v>485</v>
      </c>
      <c r="O524" s="29">
        <v>10902018</v>
      </c>
      <c r="P524" s="29">
        <v>0</v>
      </c>
      <c r="Q524" s="29">
        <v>0</v>
      </c>
      <c r="R524" s="29">
        <v>1</v>
      </c>
      <c r="T524" s="29">
        <v>100</v>
      </c>
      <c r="AY524" s="29" t="s">
        <v>425</v>
      </c>
      <c r="AZ524" s="29">
        <v>0</v>
      </c>
      <c r="GR524" s="29">
        <v>0</v>
      </c>
      <c r="GS524" s="29">
        <v>0</v>
      </c>
      <c r="GT524" s="29" t="s">
        <v>425</v>
      </c>
      <c r="GU524" s="29">
        <v>0</v>
      </c>
      <c r="GX524" s="29">
        <v>0</v>
      </c>
      <c r="GZ524" s="29">
        <v>0</v>
      </c>
      <c r="HA524" s="29">
        <v>0</v>
      </c>
      <c r="HB524" s="29">
        <v>0</v>
      </c>
      <c r="HC524" s="29">
        <v>0</v>
      </c>
      <c r="HD524" s="29">
        <v>0</v>
      </c>
      <c r="HE524" s="29" t="b">
        <v>0</v>
      </c>
      <c r="HG524" s="29">
        <v>0</v>
      </c>
      <c r="HI524" s="29" t="s">
        <v>334</v>
      </c>
      <c r="HJ524" s="29">
        <v>0</v>
      </c>
      <c r="HK524" s="29">
        <v>0</v>
      </c>
      <c r="HL524" s="29">
        <v>0</v>
      </c>
    </row>
    <row r="525" spans="2:220">
      <c r="B525" s="29" cm="1">
        <f t="array" ref="B525">10000000+INDEX(编号表!$B$1:$B$112,MATCH(D525,编号表!$A$1:$A$112,0))*10000+I525</f>
        <v>10750003</v>
      </c>
      <c r="C525" s="29" t="s">
        <v>484</v>
      </c>
      <c r="D525" s="29" t="s">
        <v>484</v>
      </c>
      <c r="E525" s="29" t="s">
        <v>445</v>
      </c>
      <c r="F525" s="29" t="s">
        <v>361</v>
      </c>
      <c r="G525" s="29">
        <v>1</v>
      </c>
      <c r="H525" s="29" t="b">
        <v>0</v>
      </c>
      <c r="I525" s="29">
        <v>3</v>
      </c>
      <c r="J525" s="29">
        <v>107500</v>
      </c>
      <c r="K525" s="29" t="s">
        <v>324</v>
      </c>
      <c r="L525" s="29">
        <v>10750002</v>
      </c>
      <c r="M525" s="29">
        <v>10750004</v>
      </c>
      <c r="N525" s="29" t="s">
        <v>485</v>
      </c>
      <c r="O525" s="29">
        <v>10902018</v>
      </c>
      <c r="P525" s="29">
        <v>0</v>
      </c>
      <c r="Q525" s="29">
        <v>0</v>
      </c>
      <c r="R525" s="29">
        <v>1</v>
      </c>
      <c r="T525" s="29">
        <v>100</v>
      </c>
      <c r="AY525" s="29" t="s">
        <v>425</v>
      </c>
      <c r="AZ525" s="29">
        <v>0</v>
      </c>
      <c r="GR525" s="29">
        <v>0</v>
      </c>
      <c r="GS525" s="29">
        <v>0</v>
      </c>
      <c r="GT525" s="29" t="s">
        <v>425</v>
      </c>
      <c r="GU525" s="29">
        <v>0</v>
      </c>
      <c r="GX525" s="29">
        <v>0</v>
      </c>
      <c r="GZ525" s="29">
        <v>0</v>
      </c>
      <c r="HA525" s="29">
        <v>0</v>
      </c>
      <c r="HB525" s="29">
        <v>0</v>
      </c>
      <c r="HC525" s="29">
        <v>0</v>
      </c>
      <c r="HD525" s="29">
        <v>0</v>
      </c>
      <c r="HE525" s="29" t="b">
        <v>0</v>
      </c>
      <c r="HG525" s="29">
        <v>0</v>
      </c>
      <c r="HI525" s="29" t="s">
        <v>334</v>
      </c>
      <c r="HJ525" s="29">
        <v>0</v>
      </c>
      <c r="HK525" s="29">
        <v>0</v>
      </c>
      <c r="HL525" s="29">
        <v>0</v>
      </c>
    </row>
    <row r="526" spans="2:220">
      <c r="B526" s="29" cm="1">
        <f t="array" ref="B526">10000000+INDEX(编号表!$B$1:$B$112,MATCH(D526,编号表!$A$1:$A$112,0))*10000+I526</f>
        <v>10750004</v>
      </c>
      <c r="C526" s="29" t="s">
        <v>484</v>
      </c>
      <c r="D526" s="29" t="s">
        <v>484</v>
      </c>
      <c r="E526" s="29" t="s">
        <v>445</v>
      </c>
      <c r="F526" s="29" t="s">
        <v>361</v>
      </c>
      <c r="G526" s="29">
        <v>1</v>
      </c>
      <c r="H526" s="29" t="b">
        <v>0</v>
      </c>
      <c r="I526" s="29">
        <v>4</v>
      </c>
      <c r="J526" s="29">
        <v>107500</v>
      </c>
      <c r="K526" s="29" t="s">
        <v>324</v>
      </c>
      <c r="L526" s="29">
        <v>10750003</v>
      </c>
      <c r="M526" s="29">
        <v>10750005</v>
      </c>
      <c r="N526" s="29" t="s">
        <v>485</v>
      </c>
      <c r="O526" s="29">
        <v>10902018</v>
      </c>
      <c r="P526" s="29">
        <v>0</v>
      </c>
      <c r="Q526" s="29">
        <v>0</v>
      </c>
      <c r="R526" s="29">
        <v>1</v>
      </c>
      <c r="T526" s="29">
        <v>100</v>
      </c>
      <c r="AY526" s="29" t="s">
        <v>425</v>
      </c>
      <c r="AZ526" s="29">
        <v>0</v>
      </c>
      <c r="GR526" s="29">
        <v>0</v>
      </c>
      <c r="GS526" s="29">
        <v>0</v>
      </c>
      <c r="GT526" s="29" t="s">
        <v>425</v>
      </c>
      <c r="GU526" s="29">
        <v>0</v>
      </c>
      <c r="GX526" s="29">
        <v>0</v>
      </c>
      <c r="GZ526" s="29">
        <v>0</v>
      </c>
      <c r="HA526" s="29">
        <v>0</v>
      </c>
      <c r="HB526" s="29">
        <v>0</v>
      </c>
      <c r="HC526" s="29">
        <v>0</v>
      </c>
      <c r="HD526" s="29">
        <v>0</v>
      </c>
      <c r="HE526" s="29" t="b">
        <v>0</v>
      </c>
      <c r="HG526" s="29">
        <v>0</v>
      </c>
      <c r="HI526" s="29" t="s">
        <v>334</v>
      </c>
      <c r="HJ526" s="29">
        <v>0</v>
      </c>
      <c r="HK526" s="29">
        <v>0</v>
      </c>
      <c r="HL526" s="29">
        <v>0</v>
      </c>
    </row>
    <row r="527" spans="2:220">
      <c r="B527" s="29" cm="1">
        <f t="array" ref="B527">10000000+INDEX(编号表!$B$1:$B$112,MATCH(D527,编号表!$A$1:$A$112,0))*10000+I527</f>
        <v>10750005</v>
      </c>
      <c r="C527" s="29" t="s">
        <v>484</v>
      </c>
      <c r="D527" s="29" t="s">
        <v>484</v>
      </c>
      <c r="E527" s="29" t="s">
        <v>445</v>
      </c>
      <c r="F527" s="29" t="s">
        <v>361</v>
      </c>
      <c r="G527" s="29">
        <v>1</v>
      </c>
      <c r="H527" s="29" t="b">
        <v>0</v>
      </c>
      <c r="I527" s="29">
        <v>5</v>
      </c>
      <c r="J527" s="29">
        <v>107500</v>
      </c>
      <c r="K527" s="29" t="s">
        <v>324</v>
      </c>
      <c r="L527" s="29">
        <v>10750004</v>
      </c>
      <c r="M527" s="29">
        <v>10750006</v>
      </c>
      <c r="N527" s="29" t="s">
        <v>485</v>
      </c>
      <c r="O527" s="29">
        <v>10902018</v>
      </c>
      <c r="P527" s="29">
        <v>0</v>
      </c>
      <c r="Q527" s="29">
        <v>0</v>
      </c>
      <c r="R527" s="29">
        <v>1</v>
      </c>
      <c r="T527" s="29">
        <v>100</v>
      </c>
      <c r="AY527" s="29" t="s">
        <v>425</v>
      </c>
      <c r="AZ527" s="29">
        <v>0</v>
      </c>
      <c r="GR527" s="29">
        <v>0</v>
      </c>
      <c r="GS527" s="29">
        <v>0</v>
      </c>
      <c r="GT527" s="29" t="s">
        <v>425</v>
      </c>
      <c r="GU527" s="29">
        <v>0</v>
      </c>
      <c r="GX527" s="29">
        <v>0</v>
      </c>
      <c r="GZ527" s="29">
        <v>0</v>
      </c>
      <c r="HA527" s="29">
        <v>0</v>
      </c>
      <c r="HB527" s="29">
        <v>0</v>
      </c>
      <c r="HC527" s="29">
        <v>0</v>
      </c>
      <c r="HD527" s="29">
        <v>0</v>
      </c>
      <c r="HE527" s="29" t="b">
        <v>0</v>
      </c>
      <c r="HG527" s="29">
        <v>0</v>
      </c>
      <c r="HI527" s="29" t="s">
        <v>334</v>
      </c>
      <c r="HJ527" s="29">
        <v>0</v>
      </c>
      <c r="HK527" s="29">
        <v>0</v>
      </c>
      <c r="HL527" s="29">
        <v>0</v>
      </c>
    </row>
    <row r="528" spans="2:220">
      <c r="B528" s="29" cm="1">
        <f t="array" ref="B528">10000000+INDEX(编号表!$B$1:$B$112,MATCH(D528,编号表!$A$1:$A$112,0))*10000+I528</f>
        <v>10750006</v>
      </c>
      <c r="C528" s="29" t="s">
        <v>484</v>
      </c>
      <c r="D528" s="29" t="s">
        <v>484</v>
      </c>
      <c r="E528" s="29" t="s">
        <v>445</v>
      </c>
      <c r="F528" s="29" t="s">
        <v>361</v>
      </c>
      <c r="G528" s="29">
        <v>1</v>
      </c>
      <c r="H528" s="29" t="b">
        <v>0</v>
      </c>
      <c r="I528" s="29">
        <v>6</v>
      </c>
      <c r="J528" s="29">
        <v>107500</v>
      </c>
      <c r="K528" s="29" t="s">
        <v>324</v>
      </c>
      <c r="L528" s="29">
        <v>10750005</v>
      </c>
      <c r="M528" s="29">
        <v>10750007</v>
      </c>
      <c r="N528" s="29" t="s">
        <v>485</v>
      </c>
      <c r="O528" s="29">
        <v>10902018</v>
      </c>
      <c r="P528" s="29">
        <v>0</v>
      </c>
      <c r="Q528" s="29">
        <v>0</v>
      </c>
      <c r="R528" s="29">
        <v>1</v>
      </c>
      <c r="T528" s="29">
        <v>100</v>
      </c>
      <c r="AY528" s="29" t="s">
        <v>425</v>
      </c>
      <c r="AZ528" s="29">
        <v>0</v>
      </c>
      <c r="GR528" s="29">
        <v>0</v>
      </c>
      <c r="GS528" s="29">
        <v>0</v>
      </c>
      <c r="GT528" s="29" t="s">
        <v>425</v>
      </c>
      <c r="GU528" s="29">
        <v>0</v>
      </c>
      <c r="GX528" s="29">
        <v>0</v>
      </c>
      <c r="GZ528" s="29">
        <v>0</v>
      </c>
      <c r="HA528" s="29">
        <v>0</v>
      </c>
      <c r="HB528" s="29">
        <v>0</v>
      </c>
      <c r="HC528" s="29">
        <v>0</v>
      </c>
      <c r="HD528" s="29">
        <v>0</v>
      </c>
      <c r="HE528" s="29" t="b">
        <v>0</v>
      </c>
      <c r="HG528" s="29">
        <v>0</v>
      </c>
      <c r="HI528" s="29" t="s">
        <v>334</v>
      </c>
      <c r="HJ528" s="29">
        <v>0</v>
      </c>
      <c r="HK528" s="29">
        <v>0</v>
      </c>
      <c r="HL528" s="29">
        <v>0</v>
      </c>
    </row>
    <row r="529" spans="2:220">
      <c r="B529" s="29" cm="1">
        <f t="array" ref="B529">10000000+INDEX(编号表!$B$1:$B$112,MATCH(D529,编号表!$A$1:$A$112,0))*10000+I529</f>
        <v>10750007</v>
      </c>
      <c r="C529" s="29" t="s">
        <v>484</v>
      </c>
      <c r="D529" s="29" t="s">
        <v>484</v>
      </c>
      <c r="E529" s="29" t="s">
        <v>445</v>
      </c>
      <c r="F529" s="29" t="s">
        <v>361</v>
      </c>
      <c r="G529" s="29">
        <v>1</v>
      </c>
      <c r="H529" s="29" t="b">
        <v>0</v>
      </c>
      <c r="I529" s="29">
        <v>7</v>
      </c>
      <c r="J529" s="29">
        <v>107500</v>
      </c>
      <c r="K529" s="29" t="s">
        <v>324</v>
      </c>
      <c r="L529" s="29">
        <v>10750006</v>
      </c>
      <c r="M529" s="29">
        <v>10750008</v>
      </c>
      <c r="N529" s="29" t="s">
        <v>485</v>
      </c>
      <c r="O529" s="29">
        <v>10902018</v>
      </c>
      <c r="P529" s="29">
        <v>0</v>
      </c>
      <c r="Q529" s="29">
        <v>0</v>
      </c>
      <c r="R529" s="29">
        <v>1</v>
      </c>
      <c r="T529" s="29">
        <v>100</v>
      </c>
      <c r="AY529" s="29" t="s">
        <v>425</v>
      </c>
      <c r="AZ529" s="29">
        <v>0</v>
      </c>
      <c r="GR529" s="29">
        <v>0</v>
      </c>
      <c r="GS529" s="29">
        <v>0</v>
      </c>
      <c r="GT529" s="29" t="s">
        <v>425</v>
      </c>
      <c r="GU529" s="29">
        <v>0</v>
      </c>
      <c r="GX529" s="29">
        <v>0</v>
      </c>
      <c r="GZ529" s="29">
        <v>0</v>
      </c>
      <c r="HA529" s="29">
        <v>0</v>
      </c>
      <c r="HB529" s="29">
        <v>0</v>
      </c>
      <c r="HC529" s="29">
        <v>0</v>
      </c>
      <c r="HD529" s="29">
        <v>0</v>
      </c>
      <c r="HE529" s="29" t="b">
        <v>0</v>
      </c>
      <c r="HG529" s="29">
        <v>0</v>
      </c>
      <c r="HI529" s="29" t="s">
        <v>334</v>
      </c>
      <c r="HJ529" s="29">
        <v>0</v>
      </c>
      <c r="HK529" s="29">
        <v>0</v>
      </c>
      <c r="HL529" s="29">
        <v>0</v>
      </c>
    </row>
    <row r="530" spans="2:220">
      <c r="B530" s="29" cm="1">
        <f t="array" ref="B530">10000000+INDEX(编号表!$B$1:$B$112,MATCH(D530,编号表!$A$1:$A$112,0))*10000+I530</f>
        <v>10750008</v>
      </c>
      <c r="C530" s="29" t="s">
        <v>484</v>
      </c>
      <c r="D530" s="29" t="s">
        <v>484</v>
      </c>
      <c r="E530" s="29" t="s">
        <v>445</v>
      </c>
      <c r="F530" s="29" t="s">
        <v>361</v>
      </c>
      <c r="G530" s="29">
        <v>1</v>
      </c>
      <c r="H530" s="29" t="b">
        <v>0</v>
      </c>
      <c r="I530" s="29">
        <v>8</v>
      </c>
      <c r="J530" s="29">
        <v>107500</v>
      </c>
      <c r="K530" s="29" t="s">
        <v>324</v>
      </c>
      <c r="L530" s="29">
        <v>10750007</v>
      </c>
      <c r="M530" s="29">
        <v>10750009</v>
      </c>
      <c r="N530" s="29" t="s">
        <v>485</v>
      </c>
      <c r="O530" s="29">
        <v>10902018</v>
      </c>
      <c r="P530" s="29">
        <v>0</v>
      </c>
      <c r="Q530" s="29">
        <v>0</v>
      </c>
      <c r="R530" s="29">
        <v>1</v>
      </c>
      <c r="T530" s="29">
        <v>100</v>
      </c>
      <c r="AY530" s="29" t="s">
        <v>425</v>
      </c>
      <c r="AZ530" s="29">
        <v>0</v>
      </c>
      <c r="GR530" s="29">
        <v>0</v>
      </c>
      <c r="GS530" s="29">
        <v>0</v>
      </c>
      <c r="GT530" s="29" t="s">
        <v>425</v>
      </c>
      <c r="GU530" s="29">
        <v>0</v>
      </c>
      <c r="GX530" s="29">
        <v>0</v>
      </c>
      <c r="GZ530" s="29">
        <v>0</v>
      </c>
      <c r="HA530" s="29">
        <v>0</v>
      </c>
      <c r="HB530" s="29">
        <v>0</v>
      </c>
      <c r="HC530" s="29">
        <v>0</v>
      </c>
      <c r="HD530" s="29">
        <v>0</v>
      </c>
      <c r="HE530" s="29" t="b">
        <v>0</v>
      </c>
      <c r="HG530" s="29">
        <v>0</v>
      </c>
      <c r="HI530" s="29" t="s">
        <v>334</v>
      </c>
      <c r="HJ530" s="29">
        <v>0</v>
      </c>
      <c r="HK530" s="29">
        <v>0</v>
      </c>
      <c r="HL530" s="29">
        <v>0</v>
      </c>
    </row>
    <row r="531" spans="2:220">
      <c r="B531" s="29" cm="1">
        <f t="array" ref="B531">10000000+INDEX(编号表!$B$1:$B$112,MATCH(D531,编号表!$A$1:$A$112,0))*10000+I531</f>
        <v>10750009</v>
      </c>
      <c r="C531" s="29" t="s">
        <v>484</v>
      </c>
      <c r="D531" s="29" t="s">
        <v>484</v>
      </c>
      <c r="E531" s="29" t="s">
        <v>445</v>
      </c>
      <c r="F531" s="29" t="s">
        <v>361</v>
      </c>
      <c r="G531" s="29">
        <v>1</v>
      </c>
      <c r="H531" s="29" t="b">
        <v>0</v>
      </c>
      <c r="I531" s="29">
        <v>9</v>
      </c>
      <c r="J531" s="29">
        <v>107500</v>
      </c>
      <c r="K531" s="29" t="s">
        <v>324</v>
      </c>
      <c r="L531" s="29">
        <v>10750008</v>
      </c>
      <c r="M531" s="29">
        <v>10750010</v>
      </c>
      <c r="N531" s="29" t="s">
        <v>485</v>
      </c>
      <c r="O531" s="29">
        <v>10902018</v>
      </c>
      <c r="P531" s="29">
        <v>0</v>
      </c>
      <c r="Q531" s="29">
        <v>0</v>
      </c>
      <c r="R531" s="29">
        <v>1</v>
      </c>
      <c r="T531" s="29">
        <v>100</v>
      </c>
      <c r="AY531" s="29" t="s">
        <v>425</v>
      </c>
      <c r="AZ531" s="29">
        <v>0</v>
      </c>
      <c r="GR531" s="29">
        <v>0</v>
      </c>
      <c r="GS531" s="29">
        <v>0</v>
      </c>
      <c r="GT531" s="29" t="s">
        <v>425</v>
      </c>
      <c r="GU531" s="29">
        <v>0</v>
      </c>
      <c r="GX531" s="29">
        <v>0</v>
      </c>
      <c r="GZ531" s="29">
        <v>0</v>
      </c>
      <c r="HA531" s="29">
        <v>0</v>
      </c>
      <c r="HB531" s="29">
        <v>0</v>
      </c>
      <c r="HC531" s="29">
        <v>0</v>
      </c>
      <c r="HD531" s="29">
        <v>0</v>
      </c>
      <c r="HE531" s="29" t="b">
        <v>0</v>
      </c>
      <c r="HG531" s="29">
        <v>0</v>
      </c>
      <c r="HI531" s="29" t="s">
        <v>334</v>
      </c>
      <c r="HJ531" s="29">
        <v>0</v>
      </c>
      <c r="HK531" s="29">
        <v>0</v>
      </c>
      <c r="HL531" s="29">
        <v>0</v>
      </c>
    </row>
    <row r="532" spans="2:220">
      <c r="B532" s="29" cm="1">
        <f t="array" ref="B532">10000000+INDEX(编号表!$B$1:$B$112,MATCH(D532,编号表!$A$1:$A$112,0))*10000+I532</f>
        <v>10750010</v>
      </c>
      <c r="C532" s="29" t="s">
        <v>484</v>
      </c>
      <c r="D532" s="29" t="s">
        <v>484</v>
      </c>
      <c r="E532" s="29" t="s">
        <v>445</v>
      </c>
      <c r="F532" s="29" t="s">
        <v>361</v>
      </c>
      <c r="G532" s="29">
        <v>1</v>
      </c>
      <c r="H532" s="29" t="b">
        <v>0</v>
      </c>
      <c r="I532" s="29">
        <v>10</v>
      </c>
      <c r="J532" s="29">
        <v>107500</v>
      </c>
      <c r="K532" s="29" t="s">
        <v>324</v>
      </c>
      <c r="L532" s="29">
        <v>10750009</v>
      </c>
      <c r="N532" s="29" t="s">
        <v>485</v>
      </c>
      <c r="O532" s="29">
        <v>10902018</v>
      </c>
      <c r="P532" s="29">
        <v>0</v>
      </c>
      <c r="Q532" s="29">
        <v>0</v>
      </c>
      <c r="R532" s="29">
        <v>1</v>
      </c>
      <c r="T532" s="29">
        <v>100</v>
      </c>
      <c r="AY532" s="29" t="s">
        <v>425</v>
      </c>
      <c r="AZ532" s="29">
        <v>0</v>
      </c>
      <c r="GR532" s="29">
        <v>0</v>
      </c>
      <c r="GS532" s="29">
        <v>0</v>
      </c>
      <c r="GT532" s="29" t="s">
        <v>425</v>
      </c>
      <c r="GU532" s="29">
        <v>0</v>
      </c>
      <c r="GX532" s="29">
        <v>0</v>
      </c>
      <c r="GZ532" s="29">
        <v>0</v>
      </c>
      <c r="HA532" s="29">
        <v>0</v>
      </c>
      <c r="HB532" s="29">
        <v>0</v>
      </c>
      <c r="HC532" s="29">
        <v>0</v>
      </c>
      <c r="HD532" s="29">
        <v>0</v>
      </c>
      <c r="HE532" s="29" t="b">
        <v>0</v>
      </c>
      <c r="HG532" s="29">
        <v>0</v>
      </c>
      <c r="HI532" s="29" t="s">
        <v>334</v>
      </c>
      <c r="HJ532" s="29">
        <v>0</v>
      </c>
      <c r="HK532" s="29">
        <v>0</v>
      </c>
      <c r="HL532" s="29">
        <v>0</v>
      </c>
    </row>
    <row r="533" spans="2:220">
      <c r="B533" s="29" cm="1">
        <f t="array" ref="B533">10000000+INDEX(编号表!$B$1:$B$112,MATCH(D533,编号表!$A$1:$A$112,0))*10000+I533</f>
        <v>10760001</v>
      </c>
      <c r="C533" s="29" t="s">
        <v>486</v>
      </c>
      <c r="D533" s="29" t="s">
        <v>486</v>
      </c>
      <c r="E533" s="29" t="s">
        <v>445</v>
      </c>
      <c r="F533" s="29" t="s">
        <v>364</v>
      </c>
      <c r="G533" s="29">
        <v>1</v>
      </c>
      <c r="H533" s="29" t="b">
        <v>0</v>
      </c>
      <c r="I533" s="29">
        <v>1</v>
      </c>
      <c r="J533" s="29">
        <v>107600</v>
      </c>
      <c r="K533" s="29" t="s">
        <v>324</v>
      </c>
      <c r="M533" s="29">
        <v>10760002</v>
      </c>
      <c r="N533" s="29" t="s">
        <v>487</v>
      </c>
      <c r="O533" s="29">
        <v>10902019</v>
      </c>
      <c r="P533" s="29">
        <v>0</v>
      </c>
      <c r="Q533" s="29">
        <v>0</v>
      </c>
      <c r="R533" s="29">
        <v>1</v>
      </c>
      <c r="T533" s="29">
        <v>100</v>
      </c>
      <c r="AY533" s="29" t="s">
        <v>425</v>
      </c>
      <c r="AZ533" s="29">
        <v>0</v>
      </c>
      <c r="GR533" s="29">
        <v>0</v>
      </c>
      <c r="GS533" s="29">
        <v>0</v>
      </c>
      <c r="GT533" s="29" t="s">
        <v>425</v>
      </c>
      <c r="GU533" s="29">
        <v>0</v>
      </c>
      <c r="GX533" s="29">
        <v>0</v>
      </c>
      <c r="GZ533" s="29">
        <v>0</v>
      </c>
      <c r="HA533" s="29">
        <v>0</v>
      </c>
      <c r="HB533" s="29">
        <v>0</v>
      </c>
      <c r="HC533" s="29">
        <v>0</v>
      </c>
      <c r="HD533" s="29">
        <v>0</v>
      </c>
      <c r="HE533" s="29" t="b">
        <v>0</v>
      </c>
      <c r="HG533" s="29">
        <v>0</v>
      </c>
      <c r="HI533" s="29" t="s">
        <v>334</v>
      </c>
      <c r="HJ533" s="29">
        <v>0</v>
      </c>
      <c r="HK533" s="29">
        <v>0</v>
      </c>
      <c r="HL533" s="29">
        <v>0</v>
      </c>
    </row>
    <row r="534" spans="2:220">
      <c r="B534" s="29" cm="1">
        <f t="array" ref="B534">10000000+INDEX(编号表!$B$1:$B$112,MATCH(D534,编号表!$A$1:$A$112,0))*10000+I534</f>
        <v>10760002</v>
      </c>
      <c r="C534" s="29" t="s">
        <v>486</v>
      </c>
      <c r="D534" s="29" t="s">
        <v>486</v>
      </c>
      <c r="E534" s="29" t="s">
        <v>445</v>
      </c>
      <c r="F534" s="29" t="s">
        <v>364</v>
      </c>
      <c r="G534" s="29">
        <v>1</v>
      </c>
      <c r="H534" s="29" t="b">
        <v>0</v>
      </c>
      <c r="I534" s="29">
        <v>2</v>
      </c>
      <c r="J534" s="29">
        <v>107600</v>
      </c>
      <c r="K534" s="29" t="s">
        <v>324</v>
      </c>
      <c r="L534" s="29">
        <v>10760001</v>
      </c>
      <c r="M534" s="29">
        <v>10760003</v>
      </c>
      <c r="N534" s="29" t="s">
        <v>487</v>
      </c>
      <c r="O534" s="29">
        <v>10902019</v>
      </c>
      <c r="P534" s="29">
        <v>0</v>
      </c>
      <c r="Q534" s="29">
        <v>0</v>
      </c>
      <c r="R534" s="29">
        <v>1</v>
      </c>
      <c r="T534" s="29">
        <v>100</v>
      </c>
      <c r="AY534" s="29" t="s">
        <v>425</v>
      </c>
      <c r="AZ534" s="29">
        <v>0</v>
      </c>
      <c r="GR534" s="29">
        <v>0</v>
      </c>
      <c r="GS534" s="29">
        <v>0</v>
      </c>
      <c r="GT534" s="29" t="s">
        <v>425</v>
      </c>
      <c r="GU534" s="29">
        <v>0</v>
      </c>
      <c r="GX534" s="29">
        <v>0</v>
      </c>
      <c r="GZ534" s="29">
        <v>0</v>
      </c>
      <c r="HA534" s="29">
        <v>0</v>
      </c>
      <c r="HB534" s="29">
        <v>0</v>
      </c>
      <c r="HC534" s="29">
        <v>0</v>
      </c>
      <c r="HD534" s="29">
        <v>0</v>
      </c>
      <c r="HE534" s="29" t="b">
        <v>0</v>
      </c>
      <c r="HG534" s="29">
        <v>0</v>
      </c>
      <c r="HI534" s="29" t="s">
        <v>334</v>
      </c>
      <c r="HJ534" s="29">
        <v>0</v>
      </c>
      <c r="HK534" s="29">
        <v>0</v>
      </c>
      <c r="HL534" s="29">
        <v>0</v>
      </c>
    </row>
    <row r="535" spans="2:220">
      <c r="B535" s="29" cm="1">
        <f t="array" ref="B535">10000000+INDEX(编号表!$B$1:$B$112,MATCH(D535,编号表!$A$1:$A$112,0))*10000+I535</f>
        <v>10760003</v>
      </c>
      <c r="C535" s="29" t="s">
        <v>486</v>
      </c>
      <c r="D535" s="29" t="s">
        <v>486</v>
      </c>
      <c r="E535" s="29" t="s">
        <v>445</v>
      </c>
      <c r="F535" s="29" t="s">
        <v>364</v>
      </c>
      <c r="G535" s="29">
        <v>1</v>
      </c>
      <c r="H535" s="29" t="b">
        <v>0</v>
      </c>
      <c r="I535" s="29">
        <v>3</v>
      </c>
      <c r="J535" s="29">
        <v>107600</v>
      </c>
      <c r="K535" s="29" t="s">
        <v>324</v>
      </c>
      <c r="L535" s="29">
        <v>10760002</v>
      </c>
      <c r="M535" s="29">
        <v>10760004</v>
      </c>
      <c r="N535" s="29" t="s">
        <v>487</v>
      </c>
      <c r="O535" s="29">
        <v>10902019</v>
      </c>
      <c r="P535" s="29">
        <v>0</v>
      </c>
      <c r="Q535" s="29">
        <v>0</v>
      </c>
      <c r="R535" s="29">
        <v>1</v>
      </c>
      <c r="T535" s="29">
        <v>100</v>
      </c>
      <c r="AY535" s="29" t="s">
        <v>425</v>
      </c>
      <c r="AZ535" s="29">
        <v>0</v>
      </c>
      <c r="GR535" s="29">
        <v>0</v>
      </c>
      <c r="GS535" s="29">
        <v>0</v>
      </c>
      <c r="GT535" s="29" t="s">
        <v>425</v>
      </c>
      <c r="GU535" s="29">
        <v>0</v>
      </c>
      <c r="GX535" s="29">
        <v>0</v>
      </c>
      <c r="GZ535" s="29">
        <v>0</v>
      </c>
      <c r="HA535" s="29">
        <v>0</v>
      </c>
      <c r="HB535" s="29">
        <v>0</v>
      </c>
      <c r="HC535" s="29">
        <v>0</v>
      </c>
      <c r="HD535" s="29">
        <v>0</v>
      </c>
      <c r="HE535" s="29" t="b">
        <v>0</v>
      </c>
      <c r="HG535" s="29">
        <v>0</v>
      </c>
      <c r="HI535" s="29" t="s">
        <v>334</v>
      </c>
      <c r="HJ535" s="29">
        <v>0</v>
      </c>
      <c r="HK535" s="29">
        <v>0</v>
      </c>
      <c r="HL535" s="29">
        <v>0</v>
      </c>
    </row>
    <row r="536" spans="2:220">
      <c r="B536" s="29" cm="1">
        <f t="array" ref="B536">10000000+INDEX(编号表!$B$1:$B$112,MATCH(D536,编号表!$A$1:$A$112,0))*10000+I536</f>
        <v>10760004</v>
      </c>
      <c r="C536" s="29" t="s">
        <v>486</v>
      </c>
      <c r="D536" s="29" t="s">
        <v>486</v>
      </c>
      <c r="E536" s="29" t="s">
        <v>445</v>
      </c>
      <c r="F536" s="29" t="s">
        <v>364</v>
      </c>
      <c r="G536" s="29">
        <v>1</v>
      </c>
      <c r="H536" s="29" t="b">
        <v>0</v>
      </c>
      <c r="I536" s="29">
        <v>4</v>
      </c>
      <c r="J536" s="29">
        <v>107600</v>
      </c>
      <c r="K536" s="29" t="s">
        <v>324</v>
      </c>
      <c r="L536" s="29">
        <v>10760003</v>
      </c>
      <c r="M536" s="29">
        <v>10760005</v>
      </c>
      <c r="N536" s="29" t="s">
        <v>487</v>
      </c>
      <c r="O536" s="29">
        <v>10902019</v>
      </c>
      <c r="P536" s="29">
        <v>0</v>
      </c>
      <c r="Q536" s="29">
        <v>0</v>
      </c>
      <c r="R536" s="29">
        <v>1</v>
      </c>
      <c r="T536" s="29">
        <v>100</v>
      </c>
      <c r="AY536" s="29" t="s">
        <v>425</v>
      </c>
      <c r="AZ536" s="29">
        <v>0</v>
      </c>
      <c r="GR536" s="29">
        <v>0</v>
      </c>
      <c r="GS536" s="29">
        <v>0</v>
      </c>
      <c r="GT536" s="29" t="s">
        <v>425</v>
      </c>
      <c r="GU536" s="29">
        <v>0</v>
      </c>
      <c r="GX536" s="29">
        <v>0</v>
      </c>
      <c r="GZ536" s="29">
        <v>0</v>
      </c>
      <c r="HA536" s="29">
        <v>0</v>
      </c>
      <c r="HB536" s="29">
        <v>0</v>
      </c>
      <c r="HC536" s="29">
        <v>0</v>
      </c>
      <c r="HD536" s="29">
        <v>0</v>
      </c>
      <c r="HE536" s="29" t="b">
        <v>0</v>
      </c>
      <c r="HG536" s="29">
        <v>0</v>
      </c>
      <c r="HI536" s="29" t="s">
        <v>334</v>
      </c>
      <c r="HJ536" s="29">
        <v>0</v>
      </c>
      <c r="HK536" s="29">
        <v>0</v>
      </c>
      <c r="HL536" s="29">
        <v>0</v>
      </c>
    </row>
    <row r="537" spans="2:220">
      <c r="B537" s="29" cm="1">
        <f t="array" ref="B537">10000000+INDEX(编号表!$B$1:$B$112,MATCH(D537,编号表!$A$1:$A$112,0))*10000+I537</f>
        <v>10760005</v>
      </c>
      <c r="C537" s="29" t="s">
        <v>486</v>
      </c>
      <c r="D537" s="29" t="s">
        <v>486</v>
      </c>
      <c r="E537" s="29" t="s">
        <v>445</v>
      </c>
      <c r="F537" s="29" t="s">
        <v>364</v>
      </c>
      <c r="G537" s="29">
        <v>1</v>
      </c>
      <c r="H537" s="29" t="b">
        <v>0</v>
      </c>
      <c r="I537" s="29">
        <v>5</v>
      </c>
      <c r="J537" s="29">
        <v>107600</v>
      </c>
      <c r="K537" s="29" t="s">
        <v>324</v>
      </c>
      <c r="L537" s="29">
        <v>10760004</v>
      </c>
      <c r="M537" s="29">
        <v>10760006</v>
      </c>
      <c r="N537" s="29" t="s">
        <v>487</v>
      </c>
      <c r="O537" s="29">
        <v>10902019</v>
      </c>
      <c r="P537" s="29">
        <v>0</v>
      </c>
      <c r="Q537" s="29">
        <v>0</v>
      </c>
      <c r="R537" s="29">
        <v>1</v>
      </c>
      <c r="T537" s="29">
        <v>100</v>
      </c>
      <c r="AY537" s="29" t="s">
        <v>425</v>
      </c>
      <c r="AZ537" s="29">
        <v>0</v>
      </c>
      <c r="GR537" s="29">
        <v>0</v>
      </c>
      <c r="GS537" s="29">
        <v>0</v>
      </c>
      <c r="GT537" s="29" t="s">
        <v>425</v>
      </c>
      <c r="GU537" s="29">
        <v>0</v>
      </c>
      <c r="GX537" s="29">
        <v>0</v>
      </c>
      <c r="GZ537" s="29">
        <v>0</v>
      </c>
      <c r="HA537" s="29">
        <v>0</v>
      </c>
      <c r="HB537" s="29">
        <v>0</v>
      </c>
      <c r="HC537" s="29">
        <v>0</v>
      </c>
      <c r="HD537" s="29">
        <v>0</v>
      </c>
      <c r="HE537" s="29" t="b">
        <v>0</v>
      </c>
      <c r="HG537" s="29">
        <v>0</v>
      </c>
      <c r="HI537" s="29" t="s">
        <v>334</v>
      </c>
      <c r="HJ537" s="29">
        <v>0</v>
      </c>
      <c r="HK537" s="29">
        <v>0</v>
      </c>
      <c r="HL537" s="29">
        <v>0</v>
      </c>
    </row>
    <row r="538" spans="2:220">
      <c r="B538" s="29" cm="1">
        <f t="array" ref="B538">10000000+INDEX(编号表!$B$1:$B$112,MATCH(D538,编号表!$A$1:$A$112,0))*10000+I538</f>
        <v>10760006</v>
      </c>
      <c r="C538" s="29" t="s">
        <v>486</v>
      </c>
      <c r="D538" s="29" t="s">
        <v>486</v>
      </c>
      <c r="E538" s="29" t="s">
        <v>445</v>
      </c>
      <c r="F538" s="29" t="s">
        <v>364</v>
      </c>
      <c r="G538" s="29">
        <v>1</v>
      </c>
      <c r="H538" s="29" t="b">
        <v>0</v>
      </c>
      <c r="I538" s="29">
        <v>6</v>
      </c>
      <c r="J538" s="29">
        <v>107600</v>
      </c>
      <c r="K538" s="29" t="s">
        <v>324</v>
      </c>
      <c r="L538" s="29">
        <v>10760005</v>
      </c>
      <c r="M538" s="29">
        <v>10760007</v>
      </c>
      <c r="N538" s="29" t="s">
        <v>487</v>
      </c>
      <c r="O538" s="29">
        <v>10902019</v>
      </c>
      <c r="P538" s="29">
        <v>0</v>
      </c>
      <c r="Q538" s="29">
        <v>0</v>
      </c>
      <c r="R538" s="29">
        <v>1</v>
      </c>
      <c r="T538" s="29">
        <v>100</v>
      </c>
      <c r="AY538" s="29" t="s">
        <v>425</v>
      </c>
      <c r="AZ538" s="29">
        <v>0</v>
      </c>
      <c r="GR538" s="29">
        <v>0</v>
      </c>
      <c r="GS538" s="29">
        <v>0</v>
      </c>
      <c r="GT538" s="29" t="s">
        <v>425</v>
      </c>
      <c r="GU538" s="29">
        <v>0</v>
      </c>
      <c r="GX538" s="29">
        <v>0</v>
      </c>
      <c r="GZ538" s="29">
        <v>0</v>
      </c>
      <c r="HA538" s="29">
        <v>0</v>
      </c>
      <c r="HB538" s="29">
        <v>0</v>
      </c>
      <c r="HC538" s="29">
        <v>0</v>
      </c>
      <c r="HD538" s="29">
        <v>0</v>
      </c>
      <c r="HE538" s="29" t="b">
        <v>0</v>
      </c>
      <c r="HG538" s="29">
        <v>0</v>
      </c>
      <c r="HI538" s="29" t="s">
        <v>334</v>
      </c>
      <c r="HJ538" s="29">
        <v>0</v>
      </c>
      <c r="HK538" s="29">
        <v>0</v>
      </c>
      <c r="HL538" s="29">
        <v>0</v>
      </c>
    </row>
    <row r="539" spans="2:220">
      <c r="B539" s="29" cm="1">
        <f t="array" ref="B539">10000000+INDEX(编号表!$B$1:$B$112,MATCH(D539,编号表!$A$1:$A$112,0))*10000+I539</f>
        <v>10760007</v>
      </c>
      <c r="C539" s="29" t="s">
        <v>486</v>
      </c>
      <c r="D539" s="29" t="s">
        <v>486</v>
      </c>
      <c r="E539" s="29" t="s">
        <v>445</v>
      </c>
      <c r="F539" s="29" t="s">
        <v>364</v>
      </c>
      <c r="G539" s="29">
        <v>1</v>
      </c>
      <c r="H539" s="29" t="b">
        <v>0</v>
      </c>
      <c r="I539" s="29">
        <v>7</v>
      </c>
      <c r="J539" s="29">
        <v>107600</v>
      </c>
      <c r="K539" s="29" t="s">
        <v>324</v>
      </c>
      <c r="L539" s="29">
        <v>10760006</v>
      </c>
      <c r="M539" s="29">
        <v>10760008</v>
      </c>
      <c r="N539" s="29" t="s">
        <v>487</v>
      </c>
      <c r="O539" s="29">
        <v>10902019</v>
      </c>
      <c r="P539" s="29">
        <v>0</v>
      </c>
      <c r="Q539" s="29">
        <v>0</v>
      </c>
      <c r="R539" s="29">
        <v>1</v>
      </c>
      <c r="T539" s="29">
        <v>100</v>
      </c>
      <c r="AY539" s="29" t="s">
        <v>425</v>
      </c>
      <c r="AZ539" s="29">
        <v>0</v>
      </c>
      <c r="GR539" s="29">
        <v>0</v>
      </c>
      <c r="GS539" s="29">
        <v>0</v>
      </c>
      <c r="GT539" s="29" t="s">
        <v>425</v>
      </c>
      <c r="GU539" s="29">
        <v>0</v>
      </c>
      <c r="GX539" s="29">
        <v>0</v>
      </c>
      <c r="GZ539" s="29">
        <v>0</v>
      </c>
      <c r="HA539" s="29">
        <v>0</v>
      </c>
      <c r="HB539" s="29">
        <v>0</v>
      </c>
      <c r="HC539" s="29">
        <v>0</v>
      </c>
      <c r="HD539" s="29">
        <v>0</v>
      </c>
      <c r="HE539" s="29" t="b">
        <v>0</v>
      </c>
      <c r="HG539" s="29">
        <v>0</v>
      </c>
      <c r="HI539" s="29" t="s">
        <v>334</v>
      </c>
      <c r="HJ539" s="29">
        <v>0</v>
      </c>
      <c r="HK539" s="29">
        <v>0</v>
      </c>
      <c r="HL539" s="29">
        <v>0</v>
      </c>
    </row>
    <row r="540" spans="2:220">
      <c r="B540" s="29" cm="1">
        <f t="array" ref="B540">10000000+INDEX(编号表!$B$1:$B$112,MATCH(D540,编号表!$A$1:$A$112,0))*10000+I540</f>
        <v>10760008</v>
      </c>
      <c r="C540" s="29" t="s">
        <v>486</v>
      </c>
      <c r="D540" s="29" t="s">
        <v>486</v>
      </c>
      <c r="E540" s="29" t="s">
        <v>445</v>
      </c>
      <c r="F540" s="29" t="s">
        <v>364</v>
      </c>
      <c r="G540" s="29">
        <v>1</v>
      </c>
      <c r="H540" s="29" t="b">
        <v>0</v>
      </c>
      <c r="I540" s="29">
        <v>8</v>
      </c>
      <c r="J540" s="29">
        <v>107600</v>
      </c>
      <c r="K540" s="29" t="s">
        <v>324</v>
      </c>
      <c r="L540" s="29">
        <v>10760007</v>
      </c>
      <c r="M540" s="29">
        <v>10760009</v>
      </c>
      <c r="N540" s="29" t="s">
        <v>487</v>
      </c>
      <c r="O540" s="29">
        <v>10902019</v>
      </c>
      <c r="P540" s="29">
        <v>0</v>
      </c>
      <c r="Q540" s="29">
        <v>0</v>
      </c>
      <c r="R540" s="29">
        <v>1</v>
      </c>
      <c r="T540" s="29">
        <v>100</v>
      </c>
      <c r="AY540" s="29" t="s">
        <v>425</v>
      </c>
      <c r="AZ540" s="29">
        <v>0</v>
      </c>
      <c r="GR540" s="29">
        <v>0</v>
      </c>
      <c r="GS540" s="29">
        <v>0</v>
      </c>
      <c r="GT540" s="29" t="s">
        <v>425</v>
      </c>
      <c r="GU540" s="29">
        <v>0</v>
      </c>
      <c r="GX540" s="29">
        <v>0</v>
      </c>
      <c r="GZ540" s="29">
        <v>0</v>
      </c>
      <c r="HA540" s="29">
        <v>0</v>
      </c>
      <c r="HB540" s="29">
        <v>0</v>
      </c>
      <c r="HC540" s="29">
        <v>0</v>
      </c>
      <c r="HD540" s="29">
        <v>0</v>
      </c>
      <c r="HE540" s="29" t="b">
        <v>0</v>
      </c>
      <c r="HG540" s="29">
        <v>0</v>
      </c>
      <c r="HI540" s="29" t="s">
        <v>334</v>
      </c>
      <c r="HJ540" s="29">
        <v>0</v>
      </c>
      <c r="HK540" s="29">
        <v>0</v>
      </c>
      <c r="HL540" s="29">
        <v>0</v>
      </c>
    </row>
    <row r="541" spans="2:220">
      <c r="B541" s="29" cm="1">
        <f t="array" ref="B541">10000000+INDEX(编号表!$B$1:$B$112,MATCH(D541,编号表!$A$1:$A$112,0))*10000+I541</f>
        <v>10760009</v>
      </c>
      <c r="C541" s="29" t="s">
        <v>486</v>
      </c>
      <c r="D541" s="29" t="s">
        <v>486</v>
      </c>
      <c r="E541" s="29" t="s">
        <v>445</v>
      </c>
      <c r="F541" s="29" t="s">
        <v>364</v>
      </c>
      <c r="G541" s="29">
        <v>1</v>
      </c>
      <c r="H541" s="29" t="b">
        <v>0</v>
      </c>
      <c r="I541" s="29">
        <v>9</v>
      </c>
      <c r="J541" s="29">
        <v>107600</v>
      </c>
      <c r="K541" s="29" t="s">
        <v>324</v>
      </c>
      <c r="L541" s="29">
        <v>10760008</v>
      </c>
      <c r="M541" s="29">
        <v>10760010</v>
      </c>
      <c r="N541" s="29" t="s">
        <v>487</v>
      </c>
      <c r="O541" s="29">
        <v>10902019</v>
      </c>
      <c r="P541" s="29">
        <v>0</v>
      </c>
      <c r="Q541" s="29">
        <v>0</v>
      </c>
      <c r="R541" s="29">
        <v>1</v>
      </c>
      <c r="T541" s="29">
        <v>100</v>
      </c>
      <c r="AY541" s="29" t="s">
        <v>425</v>
      </c>
      <c r="AZ541" s="29">
        <v>0</v>
      </c>
      <c r="GR541" s="29">
        <v>0</v>
      </c>
      <c r="GS541" s="29">
        <v>0</v>
      </c>
      <c r="GT541" s="29" t="s">
        <v>425</v>
      </c>
      <c r="GU541" s="29">
        <v>0</v>
      </c>
      <c r="GX541" s="29">
        <v>0</v>
      </c>
      <c r="GZ541" s="29">
        <v>0</v>
      </c>
      <c r="HA541" s="29">
        <v>0</v>
      </c>
      <c r="HB541" s="29">
        <v>0</v>
      </c>
      <c r="HC541" s="29">
        <v>0</v>
      </c>
      <c r="HD541" s="29">
        <v>0</v>
      </c>
      <c r="HE541" s="29" t="b">
        <v>0</v>
      </c>
      <c r="HG541" s="29">
        <v>0</v>
      </c>
      <c r="HI541" s="29" t="s">
        <v>334</v>
      </c>
      <c r="HJ541" s="29">
        <v>0</v>
      </c>
      <c r="HK541" s="29">
        <v>0</v>
      </c>
      <c r="HL541" s="29">
        <v>0</v>
      </c>
    </row>
    <row r="542" spans="2:220">
      <c r="B542" s="29" cm="1">
        <f t="array" ref="B542">10000000+INDEX(编号表!$B$1:$B$112,MATCH(D542,编号表!$A$1:$A$112,0))*10000+I542</f>
        <v>10760010</v>
      </c>
      <c r="C542" s="29" t="s">
        <v>486</v>
      </c>
      <c r="D542" s="29" t="s">
        <v>486</v>
      </c>
      <c r="E542" s="29" t="s">
        <v>445</v>
      </c>
      <c r="F542" s="29" t="s">
        <v>364</v>
      </c>
      <c r="G542" s="29">
        <v>1</v>
      </c>
      <c r="H542" s="29" t="b">
        <v>0</v>
      </c>
      <c r="I542" s="29">
        <v>10</v>
      </c>
      <c r="J542" s="29">
        <v>107600</v>
      </c>
      <c r="K542" s="29" t="s">
        <v>324</v>
      </c>
      <c r="L542" s="29">
        <v>10760009</v>
      </c>
      <c r="N542" s="29" t="s">
        <v>487</v>
      </c>
      <c r="O542" s="29">
        <v>10902019</v>
      </c>
      <c r="P542" s="29">
        <v>0</v>
      </c>
      <c r="Q542" s="29">
        <v>0</v>
      </c>
      <c r="R542" s="29">
        <v>1</v>
      </c>
      <c r="T542" s="29">
        <v>100</v>
      </c>
      <c r="AY542" s="29" t="s">
        <v>425</v>
      </c>
      <c r="AZ542" s="29">
        <v>0</v>
      </c>
      <c r="GR542" s="29">
        <v>0</v>
      </c>
      <c r="GS542" s="29">
        <v>0</v>
      </c>
      <c r="GT542" s="29" t="s">
        <v>425</v>
      </c>
      <c r="GU542" s="29">
        <v>0</v>
      </c>
      <c r="GX542" s="29">
        <v>0</v>
      </c>
      <c r="GZ542" s="29">
        <v>0</v>
      </c>
      <c r="HA542" s="29">
        <v>0</v>
      </c>
      <c r="HB542" s="29">
        <v>0</v>
      </c>
      <c r="HC542" s="29">
        <v>0</v>
      </c>
      <c r="HD542" s="29">
        <v>0</v>
      </c>
      <c r="HE542" s="29" t="b">
        <v>0</v>
      </c>
      <c r="HG542" s="29">
        <v>0</v>
      </c>
      <c r="HI542" s="29" t="s">
        <v>334</v>
      </c>
      <c r="HJ542" s="29">
        <v>0</v>
      </c>
      <c r="HK542" s="29">
        <v>0</v>
      </c>
      <c r="HL542" s="29">
        <v>0</v>
      </c>
    </row>
    <row r="543" spans="2:220">
      <c r="B543" s="29" cm="1">
        <f t="array" ref="B543">10000000+INDEX(编号表!$B$1:$B$112,MATCH(D543,编号表!$A$1:$A$112,0))*10000+I543</f>
        <v>10770001</v>
      </c>
      <c r="C543" s="29" t="s">
        <v>488</v>
      </c>
      <c r="D543" s="29" t="s">
        <v>488</v>
      </c>
      <c r="E543" s="29" t="s">
        <v>445</v>
      </c>
      <c r="F543" s="29" t="s">
        <v>370</v>
      </c>
      <c r="G543" s="29">
        <v>1</v>
      </c>
      <c r="H543" s="29" t="b">
        <v>0</v>
      </c>
      <c r="I543" s="29">
        <v>1</v>
      </c>
      <c r="J543" s="29">
        <v>107700</v>
      </c>
      <c r="K543" s="29" t="s">
        <v>324</v>
      </c>
      <c r="M543" s="29">
        <v>10770002</v>
      </c>
      <c r="N543" s="29" t="s">
        <v>489</v>
      </c>
      <c r="O543" s="29">
        <v>10902020</v>
      </c>
      <c r="P543" s="29">
        <v>0</v>
      </c>
      <c r="Q543" s="29">
        <v>0</v>
      </c>
      <c r="R543" s="29">
        <v>1</v>
      </c>
      <c r="T543" s="29">
        <v>100</v>
      </c>
      <c r="AY543" s="29" t="s">
        <v>425</v>
      </c>
      <c r="AZ543" s="29">
        <v>0</v>
      </c>
      <c r="GR543" s="29">
        <v>0</v>
      </c>
      <c r="GS543" s="29">
        <v>0</v>
      </c>
      <c r="GT543" s="29" t="s">
        <v>425</v>
      </c>
      <c r="GU543" s="29">
        <v>0</v>
      </c>
      <c r="GX543" s="29">
        <v>0</v>
      </c>
      <c r="GZ543" s="29">
        <v>0</v>
      </c>
      <c r="HA543" s="29">
        <v>0</v>
      </c>
      <c r="HB543" s="29">
        <v>0</v>
      </c>
      <c r="HC543" s="29">
        <v>0</v>
      </c>
      <c r="HD543" s="29">
        <v>0</v>
      </c>
      <c r="HE543" s="29" t="b">
        <v>0</v>
      </c>
      <c r="HG543" s="29">
        <v>0</v>
      </c>
      <c r="HI543" s="29" t="s">
        <v>334</v>
      </c>
      <c r="HJ543" s="29">
        <v>0</v>
      </c>
      <c r="HK543" s="29">
        <v>0</v>
      </c>
      <c r="HL543" s="29">
        <v>0</v>
      </c>
    </row>
    <row r="544" spans="2:220">
      <c r="B544" s="29" cm="1">
        <f t="array" ref="B544">10000000+INDEX(编号表!$B$1:$B$112,MATCH(D544,编号表!$A$1:$A$112,0))*10000+I544</f>
        <v>10770002</v>
      </c>
      <c r="C544" s="29" t="s">
        <v>488</v>
      </c>
      <c r="D544" s="29" t="s">
        <v>488</v>
      </c>
      <c r="E544" s="29" t="s">
        <v>445</v>
      </c>
      <c r="F544" s="29" t="s">
        <v>370</v>
      </c>
      <c r="G544" s="29">
        <v>1</v>
      </c>
      <c r="H544" s="29" t="b">
        <v>0</v>
      </c>
      <c r="I544" s="29">
        <v>2</v>
      </c>
      <c r="J544" s="29">
        <v>107700</v>
      </c>
      <c r="K544" s="29" t="s">
        <v>324</v>
      </c>
      <c r="L544" s="29">
        <v>10770001</v>
      </c>
      <c r="M544" s="29">
        <v>10770003</v>
      </c>
      <c r="N544" s="29" t="s">
        <v>489</v>
      </c>
      <c r="O544" s="29">
        <v>10902020</v>
      </c>
      <c r="P544" s="29">
        <v>0</v>
      </c>
      <c r="Q544" s="29">
        <v>0</v>
      </c>
      <c r="R544" s="29">
        <v>1</v>
      </c>
      <c r="T544" s="29">
        <v>100</v>
      </c>
      <c r="AY544" s="29" t="s">
        <v>425</v>
      </c>
      <c r="AZ544" s="29">
        <v>0</v>
      </c>
      <c r="GR544" s="29">
        <v>0</v>
      </c>
      <c r="GS544" s="29">
        <v>0</v>
      </c>
      <c r="GT544" s="29" t="s">
        <v>425</v>
      </c>
      <c r="GU544" s="29">
        <v>0</v>
      </c>
      <c r="GX544" s="29">
        <v>0</v>
      </c>
      <c r="GZ544" s="29">
        <v>0</v>
      </c>
      <c r="HA544" s="29">
        <v>0</v>
      </c>
      <c r="HB544" s="29">
        <v>0</v>
      </c>
      <c r="HC544" s="29">
        <v>0</v>
      </c>
      <c r="HD544" s="29">
        <v>0</v>
      </c>
      <c r="HE544" s="29" t="b">
        <v>0</v>
      </c>
      <c r="HG544" s="29">
        <v>0</v>
      </c>
      <c r="HI544" s="29" t="s">
        <v>334</v>
      </c>
      <c r="HJ544" s="29">
        <v>0</v>
      </c>
      <c r="HK544" s="29">
        <v>0</v>
      </c>
      <c r="HL544" s="29">
        <v>0</v>
      </c>
    </row>
    <row r="545" spans="2:220">
      <c r="B545" s="29" cm="1">
        <f t="array" ref="B545">10000000+INDEX(编号表!$B$1:$B$112,MATCH(D545,编号表!$A$1:$A$112,0))*10000+I545</f>
        <v>10770003</v>
      </c>
      <c r="C545" s="29" t="s">
        <v>488</v>
      </c>
      <c r="D545" s="29" t="s">
        <v>488</v>
      </c>
      <c r="E545" s="29" t="s">
        <v>445</v>
      </c>
      <c r="F545" s="29" t="s">
        <v>370</v>
      </c>
      <c r="G545" s="29">
        <v>1</v>
      </c>
      <c r="H545" s="29" t="b">
        <v>0</v>
      </c>
      <c r="I545" s="29">
        <v>3</v>
      </c>
      <c r="J545" s="29">
        <v>107700</v>
      </c>
      <c r="K545" s="29" t="s">
        <v>324</v>
      </c>
      <c r="L545" s="29">
        <v>10770002</v>
      </c>
      <c r="M545" s="29">
        <v>10770004</v>
      </c>
      <c r="N545" s="29" t="s">
        <v>489</v>
      </c>
      <c r="O545" s="29">
        <v>10902020</v>
      </c>
      <c r="P545" s="29">
        <v>0</v>
      </c>
      <c r="Q545" s="29">
        <v>0</v>
      </c>
      <c r="R545" s="29">
        <v>1</v>
      </c>
      <c r="T545" s="29">
        <v>100</v>
      </c>
      <c r="AY545" s="29" t="s">
        <v>425</v>
      </c>
      <c r="AZ545" s="29">
        <v>0</v>
      </c>
      <c r="GR545" s="29">
        <v>0</v>
      </c>
      <c r="GS545" s="29">
        <v>0</v>
      </c>
      <c r="GT545" s="29" t="s">
        <v>425</v>
      </c>
      <c r="GU545" s="29">
        <v>0</v>
      </c>
      <c r="GX545" s="29">
        <v>0</v>
      </c>
      <c r="GZ545" s="29">
        <v>0</v>
      </c>
      <c r="HA545" s="29">
        <v>0</v>
      </c>
      <c r="HB545" s="29">
        <v>0</v>
      </c>
      <c r="HC545" s="29">
        <v>0</v>
      </c>
      <c r="HD545" s="29">
        <v>0</v>
      </c>
      <c r="HE545" s="29" t="b">
        <v>0</v>
      </c>
      <c r="HG545" s="29">
        <v>0</v>
      </c>
      <c r="HI545" s="29" t="s">
        <v>334</v>
      </c>
      <c r="HJ545" s="29">
        <v>0</v>
      </c>
      <c r="HK545" s="29">
        <v>0</v>
      </c>
      <c r="HL545" s="29">
        <v>0</v>
      </c>
    </row>
    <row r="546" spans="2:220">
      <c r="B546" s="29" cm="1">
        <f t="array" ref="B546">10000000+INDEX(编号表!$B$1:$B$112,MATCH(D546,编号表!$A$1:$A$112,0))*10000+I546</f>
        <v>10770004</v>
      </c>
      <c r="C546" s="29" t="s">
        <v>488</v>
      </c>
      <c r="D546" s="29" t="s">
        <v>488</v>
      </c>
      <c r="E546" s="29" t="s">
        <v>445</v>
      </c>
      <c r="F546" s="29" t="s">
        <v>370</v>
      </c>
      <c r="G546" s="29">
        <v>1</v>
      </c>
      <c r="H546" s="29" t="b">
        <v>0</v>
      </c>
      <c r="I546" s="29">
        <v>4</v>
      </c>
      <c r="J546" s="29">
        <v>107700</v>
      </c>
      <c r="K546" s="29" t="s">
        <v>324</v>
      </c>
      <c r="L546" s="29">
        <v>10770003</v>
      </c>
      <c r="M546" s="29">
        <v>10770005</v>
      </c>
      <c r="N546" s="29" t="s">
        <v>489</v>
      </c>
      <c r="O546" s="29">
        <v>10902020</v>
      </c>
      <c r="P546" s="29">
        <v>0</v>
      </c>
      <c r="Q546" s="29">
        <v>0</v>
      </c>
      <c r="R546" s="29">
        <v>1</v>
      </c>
      <c r="T546" s="29">
        <v>100</v>
      </c>
      <c r="AY546" s="29" t="s">
        <v>425</v>
      </c>
      <c r="AZ546" s="29">
        <v>0</v>
      </c>
      <c r="GR546" s="29">
        <v>0</v>
      </c>
      <c r="GS546" s="29">
        <v>0</v>
      </c>
      <c r="GT546" s="29" t="s">
        <v>425</v>
      </c>
      <c r="GU546" s="29">
        <v>0</v>
      </c>
      <c r="GX546" s="29">
        <v>0</v>
      </c>
      <c r="GZ546" s="29">
        <v>0</v>
      </c>
      <c r="HA546" s="29">
        <v>0</v>
      </c>
      <c r="HB546" s="29">
        <v>0</v>
      </c>
      <c r="HC546" s="29">
        <v>0</v>
      </c>
      <c r="HD546" s="29">
        <v>0</v>
      </c>
      <c r="HE546" s="29" t="b">
        <v>0</v>
      </c>
      <c r="HG546" s="29">
        <v>0</v>
      </c>
      <c r="HI546" s="29" t="s">
        <v>334</v>
      </c>
      <c r="HJ546" s="29">
        <v>0</v>
      </c>
      <c r="HK546" s="29">
        <v>0</v>
      </c>
      <c r="HL546" s="29">
        <v>0</v>
      </c>
    </row>
    <row r="547" spans="2:220">
      <c r="B547" s="29" cm="1">
        <f t="array" ref="B547">10000000+INDEX(编号表!$B$1:$B$112,MATCH(D547,编号表!$A$1:$A$112,0))*10000+I547</f>
        <v>10770005</v>
      </c>
      <c r="C547" s="29" t="s">
        <v>488</v>
      </c>
      <c r="D547" s="29" t="s">
        <v>488</v>
      </c>
      <c r="E547" s="29" t="s">
        <v>445</v>
      </c>
      <c r="F547" s="29" t="s">
        <v>370</v>
      </c>
      <c r="G547" s="29">
        <v>1</v>
      </c>
      <c r="H547" s="29" t="b">
        <v>0</v>
      </c>
      <c r="I547" s="29">
        <v>5</v>
      </c>
      <c r="J547" s="29">
        <v>107700</v>
      </c>
      <c r="K547" s="29" t="s">
        <v>324</v>
      </c>
      <c r="L547" s="29">
        <v>10770004</v>
      </c>
      <c r="M547" s="29">
        <v>10770006</v>
      </c>
      <c r="N547" s="29" t="s">
        <v>489</v>
      </c>
      <c r="O547" s="29">
        <v>10902020</v>
      </c>
      <c r="P547" s="29">
        <v>0</v>
      </c>
      <c r="Q547" s="29">
        <v>0</v>
      </c>
      <c r="R547" s="29">
        <v>1</v>
      </c>
      <c r="T547" s="29">
        <v>100</v>
      </c>
      <c r="AY547" s="29" t="s">
        <v>425</v>
      </c>
      <c r="AZ547" s="29">
        <v>0</v>
      </c>
      <c r="GR547" s="29">
        <v>0</v>
      </c>
      <c r="GS547" s="29">
        <v>0</v>
      </c>
      <c r="GT547" s="29" t="s">
        <v>425</v>
      </c>
      <c r="GU547" s="29">
        <v>0</v>
      </c>
      <c r="GX547" s="29">
        <v>0</v>
      </c>
      <c r="GZ547" s="29">
        <v>0</v>
      </c>
      <c r="HA547" s="29">
        <v>0</v>
      </c>
      <c r="HB547" s="29">
        <v>0</v>
      </c>
      <c r="HC547" s="29">
        <v>0</v>
      </c>
      <c r="HD547" s="29">
        <v>0</v>
      </c>
      <c r="HE547" s="29" t="b">
        <v>0</v>
      </c>
      <c r="HG547" s="29">
        <v>0</v>
      </c>
      <c r="HI547" s="29" t="s">
        <v>334</v>
      </c>
      <c r="HJ547" s="29">
        <v>0</v>
      </c>
      <c r="HK547" s="29">
        <v>0</v>
      </c>
      <c r="HL547" s="29">
        <v>0</v>
      </c>
    </row>
    <row r="548" spans="2:220">
      <c r="B548" s="29" cm="1">
        <f t="array" ref="B548">10000000+INDEX(编号表!$B$1:$B$112,MATCH(D548,编号表!$A$1:$A$112,0))*10000+I548</f>
        <v>10770006</v>
      </c>
      <c r="C548" s="29" t="s">
        <v>488</v>
      </c>
      <c r="D548" s="29" t="s">
        <v>488</v>
      </c>
      <c r="E548" s="29" t="s">
        <v>445</v>
      </c>
      <c r="F548" s="29" t="s">
        <v>370</v>
      </c>
      <c r="G548" s="29">
        <v>1</v>
      </c>
      <c r="H548" s="29" t="b">
        <v>0</v>
      </c>
      <c r="I548" s="29">
        <v>6</v>
      </c>
      <c r="J548" s="29">
        <v>107700</v>
      </c>
      <c r="K548" s="29" t="s">
        <v>324</v>
      </c>
      <c r="L548" s="29">
        <v>10770005</v>
      </c>
      <c r="M548" s="29">
        <v>10770007</v>
      </c>
      <c r="N548" s="29" t="s">
        <v>489</v>
      </c>
      <c r="O548" s="29">
        <v>10902020</v>
      </c>
      <c r="P548" s="29">
        <v>0</v>
      </c>
      <c r="Q548" s="29">
        <v>0</v>
      </c>
      <c r="R548" s="29">
        <v>1</v>
      </c>
      <c r="T548" s="29">
        <v>100</v>
      </c>
      <c r="AY548" s="29" t="s">
        <v>425</v>
      </c>
      <c r="AZ548" s="29">
        <v>0</v>
      </c>
      <c r="GR548" s="29">
        <v>0</v>
      </c>
      <c r="GS548" s="29">
        <v>0</v>
      </c>
      <c r="GT548" s="29" t="s">
        <v>425</v>
      </c>
      <c r="GU548" s="29">
        <v>0</v>
      </c>
      <c r="GX548" s="29">
        <v>0</v>
      </c>
      <c r="GZ548" s="29">
        <v>0</v>
      </c>
      <c r="HA548" s="29">
        <v>0</v>
      </c>
      <c r="HB548" s="29">
        <v>0</v>
      </c>
      <c r="HC548" s="29">
        <v>0</v>
      </c>
      <c r="HD548" s="29">
        <v>0</v>
      </c>
      <c r="HE548" s="29" t="b">
        <v>0</v>
      </c>
      <c r="HG548" s="29">
        <v>0</v>
      </c>
      <c r="HI548" s="29" t="s">
        <v>334</v>
      </c>
      <c r="HJ548" s="29">
        <v>0</v>
      </c>
      <c r="HK548" s="29">
        <v>0</v>
      </c>
      <c r="HL548" s="29">
        <v>0</v>
      </c>
    </row>
    <row r="549" spans="2:220">
      <c r="B549" s="29" cm="1">
        <f t="array" ref="B549">10000000+INDEX(编号表!$B$1:$B$112,MATCH(D549,编号表!$A$1:$A$112,0))*10000+I549</f>
        <v>10770007</v>
      </c>
      <c r="C549" s="29" t="s">
        <v>488</v>
      </c>
      <c r="D549" s="29" t="s">
        <v>488</v>
      </c>
      <c r="E549" s="29" t="s">
        <v>445</v>
      </c>
      <c r="F549" s="29" t="s">
        <v>370</v>
      </c>
      <c r="G549" s="29">
        <v>1</v>
      </c>
      <c r="H549" s="29" t="b">
        <v>0</v>
      </c>
      <c r="I549" s="29">
        <v>7</v>
      </c>
      <c r="J549" s="29">
        <v>107700</v>
      </c>
      <c r="K549" s="29" t="s">
        <v>324</v>
      </c>
      <c r="L549" s="29">
        <v>10770006</v>
      </c>
      <c r="M549" s="29">
        <v>10770008</v>
      </c>
      <c r="N549" s="29" t="s">
        <v>489</v>
      </c>
      <c r="O549" s="29">
        <v>10902020</v>
      </c>
      <c r="P549" s="29">
        <v>0</v>
      </c>
      <c r="Q549" s="29">
        <v>0</v>
      </c>
      <c r="R549" s="29">
        <v>1</v>
      </c>
      <c r="T549" s="29">
        <v>100</v>
      </c>
      <c r="AY549" s="29" t="s">
        <v>425</v>
      </c>
      <c r="AZ549" s="29">
        <v>0</v>
      </c>
      <c r="GR549" s="29">
        <v>0</v>
      </c>
      <c r="GS549" s="29">
        <v>0</v>
      </c>
      <c r="GT549" s="29" t="s">
        <v>425</v>
      </c>
      <c r="GU549" s="29">
        <v>0</v>
      </c>
      <c r="GX549" s="29">
        <v>0</v>
      </c>
      <c r="GZ549" s="29">
        <v>0</v>
      </c>
      <c r="HA549" s="29">
        <v>0</v>
      </c>
      <c r="HB549" s="29">
        <v>0</v>
      </c>
      <c r="HC549" s="29">
        <v>0</v>
      </c>
      <c r="HD549" s="29">
        <v>0</v>
      </c>
      <c r="HE549" s="29" t="b">
        <v>0</v>
      </c>
      <c r="HG549" s="29">
        <v>0</v>
      </c>
      <c r="HI549" s="29" t="s">
        <v>334</v>
      </c>
      <c r="HJ549" s="29">
        <v>0</v>
      </c>
      <c r="HK549" s="29">
        <v>0</v>
      </c>
      <c r="HL549" s="29">
        <v>0</v>
      </c>
    </row>
    <row r="550" spans="2:220">
      <c r="B550" s="29" cm="1">
        <f t="array" ref="B550">10000000+INDEX(编号表!$B$1:$B$112,MATCH(D550,编号表!$A$1:$A$112,0))*10000+I550</f>
        <v>10770008</v>
      </c>
      <c r="C550" s="29" t="s">
        <v>488</v>
      </c>
      <c r="D550" s="29" t="s">
        <v>488</v>
      </c>
      <c r="E550" s="29" t="s">
        <v>445</v>
      </c>
      <c r="F550" s="29" t="s">
        <v>370</v>
      </c>
      <c r="G550" s="29">
        <v>1</v>
      </c>
      <c r="H550" s="29" t="b">
        <v>0</v>
      </c>
      <c r="I550" s="29">
        <v>8</v>
      </c>
      <c r="J550" s="29">
        <v>107700</v>
      </c>
      <c r="K550" s="29" t="s">
        <v>324</v>
      </c>
      <c r="L550" s="29">
        <v>10770007</v>
      </c>
      <c r="M550" s="29">
        <v>10770009</v>
      </c>
      <c r="N550" s="29" t="s">
        <v>489</v>
      </c>
      <c r="O550" s="29">
        <v>10902020</v>
      </c>
      <c r="P550" s="29">
        <v>0</v>
      </c>
      <c r="Q550" s="29">
        <v>0</v>
      </c>
      <c r="R550" s="29">
        <v>1</v>
      </c>
      <c r="T550" s="29">
        <v>100</v>
      </c>
      <c r="AY550" s="29" t="s">
        <v>425</v>
      </c>
      <c r="AZ550" s="29">
        <v>0</v>
      </c>
      <c r="GR550" s="29">
        <v>0</v>
      </c>
      <c r="GS550" s="29">
        <v>0</v>
      </c>
      <c r="GT550" s="29" t="s">
        <v>425</v>
      </c>
      <c r="GU550" s="29">
        <v>0</v>
      </c>
      <c r="GX550" s="29">
        <v>0</v>
      </c>
      <c r="GZ550" s="29">
        <v>0</v>
      </c>
      <c r="HA550" s="29">
        <v>0</v>
      </c>
      <c r="HB550" s="29">
        <v>0</v>
      </c>
      <c r="HC550" s="29">
        <v>0</v>
      </c>
      <c r="HD550" s="29">
        <v>0</v>
      </c>
      <c r="HE550" s="29" t="b">
        <v>0</v>
      </c>
      <c r="HG550" s="29">
        <v>0</v>
      </c>
      <c r="HI550" s="29" t="s">
        <v>334</v>
      </c>
      <c r="HJ550" s="29">
        <v>0</v>
      </c>
      <c r="HK550" s="29">
        <v>0</v>
      </c>
      <c r="HL550" s="29">
        <v>0</v>
      </c>
    </row>
    <row r="551" spans="2:220">
      <c r="B551" s="29" cm="1">
        <f t="array" ref="B551">10000000+INDEX(编号表!$B$1:$B$112,MATCH(D551,编号表!$A$1:$A$112,0))*10000+I551</f>
        <v>10770009</v>
      </c>
      <c r="C551" s="29" t="s">
        <v>488</v>
      </c>
      <c r="D551" s="29" t="s">
        <v>488</v>
      </c>
      <c r="E551" s="29" t="s">
        <v>445</v>
      </c>
      <c r="F551" s="29" t="s">
        <v>370</v>
      </c>
      <c r="G551" s="29">
        <v>1</v>
      </c>
      <c r="H551" s="29" t="b">
        <v>0</v>
      </c>
      <c r="I551" s="29">
        <v>9</v>
      </c>
      <c r="J551" s="29">
        <v>107700</v>
      </c>
      <c r="K551" s="29" t="s">
        <v>324</v>
      </c>
      <c r="L551" s="29">
        <v>10770008</v>
      </c>
      <c r="M551" s="29">
        <v>10770010</v>
      </c>
      <c r="N551" s="29" t="s">
        <v>489</v>
      </c>
      <c r="O551" s="29">
        <v>10902020</v>
      </c>
      <c r="P551" s="29">
        <v>0</v>
      </c>
      <c r="Q551" s="29">
        <v>0</v>
      </c>
      <c r="R551" s="29">
        <v>1</v>
      </c>
      <c r="T551" s="29">
        <v>100</v>
      </c>
      <c r="AY551" s="29" t="s">
        <v>425</v>
      </c>
      <c r="AZ551" s="29">
        <v>0</v>
      </c>
      <c r="GR551" s="29">
        <v>0</v>
      </c>
      <c r="GS551" s="29">
        <v>0</v>
      </c>
      <c r="GT551" s="29" t="s">
        <v>425</v>
      </c>
      <c r="GU551" s="29">
        <v>0</v>
      </c>
      <c r="GX551" s="29">
        <v>0</v>
      </c>
      <c r="GZ551" s="29">
        <v>0</v>
      </c>
      <c r="HA551" s="29">
        <v>0</v>
      </c>
      <c r="HB551" s="29">
        <v>0</v>
      </c>
      <c r="HC551" s="29">
        <v>0</v>
      </c>
      <c r="HD551" s="29">
        <v>0</v>
      </c>
      <c r="HE551" s="29" t="b">
        <v>0</v>
      </c>
      <c r="HG551" s="29">
        <v>0</v>
      </c>
      <c r="HI551" s="29" t="s">
        <v>334</v>
      </c>
      <c r="HJ551" s="29">
        <v>0</v>
      </c>
      <c r="HK551" s="29">
        <v>0</v>
      </c>
      <c r="HL551" s="29">
        <v>0</v>
      </c>
    </row>
    <row r="552" spans="2:220">
      <c r="B552" s="29" cm="1">
        <f t="array" ref="B552">10000000+INDEX(编号表!$B$1:$B$112,MATCH(D552,编号表!$A$1:$A$112,0))*10000+I552</f>
        <v>10770010</v>
      </c>
      <c r="C552" s="29" t="s">
        <v>488</v>
      </c>
      <c r="D552" s="29" t="s">
        <v>488</v>
      </c>
      <c r="E552" s="29" t="s">
        <v>445</v>
      </c>
      <c r="F552" s="29" t="s">
        <v>370</v>
      </c>
      <c r="G552" s="29">
        <v>1</v>
      </c>
      <c r="H552" s="29" t="b">
        <v>0</v>
      </c>
      <c r="I552" s="29">
        <v>10</v>
      </c>
      <c r="J552" s="29">
        <v>107700</v>
      </c>
      <c r="K552" s="29" t="s">
        <v>324</v>
      </c>
      <c r="L552" s="29">
        <v>10770009</v>
      </c>
      <c r="N552" s="29" t="s">
        <v>489</v>
      </c>
      <c r="O552" s="29">
        <v>10902020</v>
      </c>
      <c r="P552" s="29">
        <v>0</v>
      </c>
      <c r="Q552" s="29">
        <v>0</v>
      </c>
      <c r="R552" s="29">
        <v>1</v>
      </c>
      <c r="T552" s="29">
        <v>100</v>
      </c>
      <c r="AY552" s="29" t="s">
        <v>425</v>
      </c>
      <c r="AZ552" s="29">
        <v>0</v>
      </c>
      <c r="GR552" s="29">
        <v>0</v>
      </c>
      <c r="GS552" s="29">
        <v>0</v>
      </c>
      <c r="GT552" s="29" t="s">
        <v>425</v>
      </c>
      <c r="GU552" s="29">
        <v>0</v>
      </c>
      <c r="GX552" s="29">
        <v>0</v>
      </c>
      <c r="GZ552" s="29">
        <v>0</v>
      </c>
      <c r="HA552" s="29">
        <v>0</v>
      </c>
      <c r="HB552" s="29">
        <v>0</v>
      </c>
      <c r="HC552" s="29">
        <v>0</v>
      </c>
      <c r="HD552" s="29">
        <v>0</v>
      </c>
      <c r="HE552" s="29" t="b">
        <v>0</v>
      </c>
      <c r="HG552" s="29">
        <v>0</v>
      </c>
      <c r="HI552" s="29" t="s">
        <v>334</v>
      </c>
      <c r="HJ552" s="29">
        <v>0</v>
      </c>
      <c r="HK552" s="29">
        <v>0</v>
      </c>
      <c r="HL552" s="29">
        <v>0</v>
      </c>
    </row>
    <row r="553" spans="2:220">
      <c r="B553" s="29" cm="1">
        <f t="array" ref="B553">10000000+INDEX(编号表!$B$1:$B$112,MATCH(D553,编号表!$A$1:$A$112,0))*10000+I553</f>
        <v>10780001</v>
      </c>
      <c r="C553" s="29" t="s">
        <v>490</v>
      </c>
      <c r="D553" s="29" t="s">
        <v>490</v>
      </c>
      <c r="E553" s="29" t="s">
        <v>445</v>
      </c>
      <c r="F553" s="29" t="s">
        <v>491</v>
      </c>
      <c r="G553" s="29">
        <v>1</v>
      </c>
      <c r="H553" s="29" t="b">
        <v>0</v>
      </c>
      <c r="I553" s="29">
        <v>1</v>
      </c>
      <c r="J553" s="29">
        <v>107800</v>
      </c>
      <c r="K553" s="29" t="s">
        <v>324</v>
      </c>
      <c r="M553" s="29">
        <v>10780002</v>
      </c>
      <c r="N553" s="29" t="s">
        <v>492</v>
      </c>
      <c r="O553" s="29">
        <v>10902021</v>
      </c>
      <c r="P553" s="29">
        <v>0</v>
      </c>
      <c r="Q553" s="29">
        <v>0</v>
      </c>
      <c r="R553" s="29">
        <v>1</v>
      </c>
      <c r="T553" s="29">
        <v>100</v>
      </c>
      <c r="AY553" s="29" t="s">
        <v>425</v>
      </c>
      <c r="AZ553" s="29">
        <v>0</v>
      </c>
      <c r="GR553" s="29">
        <v>0</v>
      </c>
      <c r="GS553" s="29">
        <v>0</v>
      </c>
      <c r="GT553" s="29" t="s">
        <v>425</v>
      </c>
      <c r="GU553" s="29">
        <v>0</v>
      </c>
      <c r="GX553" s="29">
        <v>0</v>
      </c>
      <c r="GZ553" s="29">
        <v>0</v>
      </c>
      <c r="HA553" s="29">
        <v>0</v>
      </c>
      <c r="HB553" s="29">
        <v>0</v>
      </c>
      <c r="HC553" s="29">
        <v>0</v>
      </c>
      <c r="HD553" s="29">
        <v>0</v>
      </c>
      <c r="HE553" s="29" t="b">
        <v>0</v>
      </c>
      <c r="HG553" s="29">
        <v>0</v>
      </c>
      <c r="HI553" s="29" t="s">
        <v>334</v>
      </c>
      <c r="HJ553" s="29">
        <v>0</v>
      </c>
      <c r="HK553" s="29">
        <v>0</v>
      </c>
      <c r="HL553" s="29">
        <v>0</v>
      </c>
    </row>
    <row r="554" spans="2:220">
      <c r="B554" s="29" cm="1">
        <f t="array" ref="B554">10000000+INDEX(编号表!$B$1:$B$112,MATCH(D554,编号表!$A$1:$A$112,0))*10000+I554</f>
        <v>10780002</v>
      </c>
      <c r="C554" s="29" t="s">
        <v>490</v>
      </c>
      <c r="D554" s="29" t="s">
        <v>490</v>
      </c>
      <c r="E554" s="29" t="s">
        <v>445</v>
      </c>
      <c r="F554" s="29" t="s">
        <v>491</v>
      </c>
      <c r="G554" s="29">
        <v>1</v>
      </c>
      <c r="H554" s="29" t="b">
        <v>0</v>
      </c>
      <c r="I554" s="29">
        <v>2</v>
      </c>
      <c r="J554" s="29">
        <v>107800</v>
      </c>
      <c r="K554" s="29" t="s">
        <v>324</v>
      </c>
      <c r="L554" s="29">
        <v>10780001</v>
      </c>
      <c r="M554" s="29">
        <v>10780003</v>
      </c>
      <c r="N554" s="29" t="s">
        <v>492</v>
      </c>
      <c r="O554" s="29">
        <v>10902021</v>
      </c>
      <c r="P554" s="29">
        <v>0</v>
      </c>
      <c r="Q554" s="29">
        <v>0</v>
      </c>
      <c r="R554" s="29">
        <v>1</v>
      </c>
      <c r="T554" s="29">
        <v>100</v>
      </c>
      <c r="AY554" s="29" t="s">
        <v>425</v>
      </c>
      <c r="AZ554" s="29">
        <v>0</v>
      </c>
      <c r="GR554" s="29">
        <v>0</v>
      </c>
      <c r="GS554" s="29">
        <v>0</v>
      </c>
      <c r="GT554" s="29" t="s">
        <v>425</v>
      </c>
      <c r="GU554" s="29">
        <v>0</v>
      </c>
      <c r="GX554" s="29">
        <v>0</v>
      </c>
      <c r="GZ554" s="29">
        <v>0</v>
      </c>
      <c r="HA554" s="29">
        <v>0</v>
      </c>
      <c r="HB554" s="29">
        <v>0</v>
      </c>
      <c r="HC554" s="29">
        <v>0</v>
      </c>
      <c r="HD554" s="29">
        <v>0</v>
      </c>
      <c r="HE554" s="29" t="b">
        <v>0</v>
      </c>
      <c r="HG554" s="29">
        <v>0</v>
      </c>
      <c r="HI554" s="29" t="s">
        <v>334</v>
      </c>
      <c r="HJ554" s="29">
        <v>0</v>
      </c>
      <c r="HK554" s="29">
        <v>0</v>
      </c>
      <c r="HL554" s="29">
        <v>0</v>
      </c>
    </row>
    <row r="555" spans="2:220">
      <c r="B555" s="29" cm="1">
        <f t="array" ref="B555">10000000+INDEX(编号表!$B$1:$B$112,MATCH(D555,编号表!$A$1:$A$112,0))*10000+I555</f>
        <v>10780003</v>
      </c>
      <c r="C555" s="29" t="s">
        <v>490</v>
      </c>
      <c r="D555" s="29" t="s">
        <v>490</v>
      </c>
      <c r="E555" s="29" t="s">
        <v>445</v>
      </c>
      <c r="F555" s="29" t="s">
        <v>491</v>
      </c>
      <c r="G555" s="29">
        <v>1</v>
      </c>
      <c r="H555" s="29" t="b">
        <v>0</v>
      </c>
      <c r="I555" s="29">
        <v>3</v>
      </c>
      <c r="J555" s="29">
        <v>107800</v>
      </c>
      <c r="K555" s="29" t="s">
        <v>324</v>
      </c>
      <c r="L555" s="29">
        <v>10780002</v>
      </c>
      <c r="M555" s="29">
        <v>10780004</v>
      </c>
      <c r="N555" s="29" t="s">
        <v>492</v>
      </c>
      <c r="O555" s="29">
        <v>10902021</v>
      </c>
      <c r="P555" s="29">
        <v>0</v>
      </c>
      <c r="Q555" s="29">
        <v>0</v>
      </c>
      <c r="R555" s="29">
        <v>1</v>
      </c>
      <c r="T555" s="29">
        <v>100</v>
      </c>
      <c r="AY555" s="29" t="s">
        <v>425</v>
      </c>
      <c r="AZ555" s="29">
        <v>0</v>
      </c>
      <c r="GR555" s="29">
        <v>0</v>
      </c>
      <c r="GS555" s="29">
        <v>0</v>
      </c>
      <c r="GT555" s="29" t="s">
        <v>425</v>
      </c>
      <c r="GU555" s="29">
        <v>0</v>
      </c>
      <c r="GX555" s="29">
        <v>0</v>
      </c>
      <c r="GZ555" s="29">
        <v>0</v>
      </c>
      <c r="HA555" s="29">
        <v>0</v>
      </c>
      <c r="HB555" s="29">
        <v>0</v>
      </c>
      <c r="HC555" s="29">
        <v>0</v>
      </c>
      <c r="HD555" s="29">
        <v>0</v>
      </c>
      <c r="HE555" s="29" t="b">
        <v>0</v>
      </c>
      <c r="HG555" s="29">
        <v>0</v>
      </c>
      <c r="HI555" s="29" t="s">
        <v>334</v>
      </c>
      <c r="HJ555" s="29">
        <v>0</v>
      </c>
      <c r="HK555" s="29">
        <v>0</v>
      </c>
      <c r="HL555" s="29">
        <v>0</v>
      </c>
    </row>
    <row r="556" spans="2:220">
      <c r="B556" s="29" cm="1">
        <f t="array" ref="B556">10000000+INDEX(编号表!$B$1:$B$112,MATCH(D556,编号表!$A$1:$A$112,0))*10000+I556</f>
        <v>10780004</v>
      </c>
      <c r="C556" s="29" t="s">
        <v>490</v>
      </c>
      <c r="D556" s="29" t="s">
        <v>490</v>
      </c>
      <c r="E556" s="29" t="s">
        <v>445</v>
      </c>
      <c r="F556" s="29" t="s">
        <v>491</v>
      </c>
      <c r="G556" s="29">
        <v>1</v>
      </c>
      <c r="H556" s="29" t="b">
        <v>0</v>
      </c>
      <c r="I556" s="29">
        <v>4</v>
      </c>
      <c r="J556" s="29">
        <v>107800</v>
      </c>
      <c r="K556" s="29" t="s">
        <v>324</v>
      </c>
      <c r="L556" s="29">
        <v>10780003</v>
      </c>
      <c r="M556" s="29">
        <v>10780005</v>
      </c>
      <c r="N556" s="29" t="s">
        <v>492</v>
      </c>
      <c r="O556" s="29">
        <v>10902021</v>
      </c>
      <c r="P556" s="29">
        <v>0</v>
      </c>
      <c r="Q556" s="29">
        <v>0</v>
      </c>
      <c r="R556" s="29">
        <v>1</v>
      </c>
      <c r="T556" s="29">
        <v>100</v>
      </c>
      <c r="AY556" s="29" t="s">
        <v>425</v>
      </c>
      <c r="AZ556" s="29">
        <v>0</v>
      </c>
      <c r="GR556" s="29">
        <v>0</v>
      </c>
      <c r="GS556" s="29">
        <v>0</v>
      </c>
      <c r="GT556" s="29" t="s">
        <v>425</v>
      </c>
      <c r="GU556" s="29">
        <v>0</v>
      </c>
      <c r="GX556" s="29">
        <v>0</v>
      </c>
      <c r="GZ556" s="29">
        <v>0</v>
      </c>
      <c r="HA556" s="29">
        <v>0</v>
      </c>
      <c r="HB556" s="29">
        <v>0</v>
      </c>
      <c r="HC556" s="29">
        <v>0</v>
      </c>
      <c r="HD556" s="29">
        <v>0</v>
      </c>
      <c r="HE556" s="29" t="b">
        <v>0</v>
      </c>
      <c r="HG556" s="29">
        <v>0</v>
      </c>
      <c r="HI556" s="29" t="s">
        <v>334</v>
      </c>
      <c r="HJ556" s="29">
        <v>0</v>
      </c>
      <c r="HK556" s="29">
        <v>0</v>
      </c>
      <c r="HL556" s="29">
        <v>0</v>
      </c>
    </row>
    <row r="557" spans="2:220">
      <c r="B557" s="29" cm="1">
        <f t="array" ref="B557">10000000+INDEX(编号表!$B$1:$B$112,MATCH(D557,编号表!$A$1:$A$112,0))*10000+I557</f>
        <v>10780005</v>
      </c>
      <c r="C557" s="29" t="s">
        <v>490</v>
      </c>
      <c r="D557" s="29" t="s">
        <v>490</v>
      </c>
      <c r="E557" s="29" t="s">
        <v>445</v>
      </c>
      <c r="F557" s="29" t="s">
        <v>491</v>
      </c>
      <c r="G557" s="29">
        <v>1</v>
      </c>
      <c r="H557" s="29" t="b">
        <v>0</v>
      </c>
      <c r="I557" s="29">
        <v>5</v>
      </c>
      <c r="J557" s="29">
        <v>107800</v>
      </c>
      <c r="K557" s="29" t="s">
        <v>324</v>
      </c>
      <c r="L557" s="29">
        <v>10780004</v>
      </c>
      <c r="M557" s="29">
        <v>10780006</v>
      </c>
      <c r="N557" s="29" t="s">
        <v>492</v>
      </c>
      <c r="O557" s="29">
        <v>10902021</v>
      </c>
      <c r="P557" s="29">
        <v>0</v>
      </c>
      <c r="Q557" s="29">
        <v>0</v>
      </c>
      <c r="R557" s="29">
        <v>1</v>
      </c>
      <c r="T557" s="29">
        <v>100</v>
      </c>
      <c r="AY557" s="29" t="s">
        <v>425</v>
      </c>
      <c r="AZ557" s="29">
        <v>0</v>
      </c>
      <c r="GR557" s="29">
        <v>0</v>
      </c>
      <c r="GS557" s="29">
        <v>0</v>
      </c>
      <c r="GT557" s="29" t="s">
        <v>425</v>
      </c>
      <c r="GU557" s="29">
        <v>0</v>
      </c>
      <c r="GX557" s="29">
        <v>0</v>
      </c>
      <c r="GZ557" s="29">
        <v>0</v>
      </c>
      <c r="HA557" s="29">
        <v>0</v>
      </c>
      <c r="HB557" s="29">
        <v>0</v>
      </c>
      <c r="HC557" s="29">
        <v>0</v>
      </c>
      <c r="HD557" s="29">
        <v>0</v>
      </c>
      <c r="HE557" s="29" t="b">
        <v>0</v>
      </c>
      <c r="HG557" s="29">
        <v>0</v>
      </c>
      <c r="HI557" s="29" t="s">
        <v>334</v>
      </c>
      <c r="HJ557" s="29">
        <v>0</v>
      </c>
      <c r="HK557" s="29">
        <v>0</v>
      </c>
      <c r="HL557" s="29">
        <v>0</v>
      </c>
    </row>
    <row r="558" spans="2:220">
      <c r="B558" s="29" cm="1">
        <f t="array" ref="B558">10000000+INDEX(编号表!$B$1:$B$112,MATCH(D558,编号表!$A$1:$A$112,0))*10000+I558</f>
        <v>10780006</v>
      </c>
      <c r="C558" s="29" t="s">
        <v>490</v>
      </c>
      <c r="D558" s="29" t="s">
        <v>490</v>
      </c>
      <c r="E558" s="29" t="s">
        <v>445</v>
      </c>
      <c r="F558" s="29" t="s">
        <v>491</v>
      </c>
      <c r="G558" s="29">
        <v>1</v>
      </c>
      <c r="H558" s="29" t="b">
        <v>0</v>
      </c>
      <c r="I558" s="29">
        <v>6</v>
      </c>
      <c r="J558" s="29">
        <v>107800</v>
      </c>
      <c r="K558" s="29" t="s">
        <v>324</v>
      </c>
      <c r="L558" s="29">
        <v>10780005</v>
      </c>
      <c r="M558" s="29">
        <v>10780007</v>
      </c>
      <c r="N558" s="29" t="s">
        <v>492</v>
      </c>
      <c r="O558" s="29">
        <v>10902021</v>
      </c>
      <c r="P558" s="29">
        <v>0</v>
      </c>
      <c r="Q558" s="29">
        <v>0</v>
      </c>
      <c r="R558" s="29">
        <v>1</v>
      </c>
      <c r="T558" s="29">
        <v>100</v>
      </c>
      <c r="AY558" s="29" t="s">
        <v>425</v>
      </c>
      <c r="AZ558" s="29">
        <v>0</v>
      </c>
      <c r="GR558" s="29">
        <v>0</v>
      </c>
      <c r="GS558" s="29">
        <v>0</v>
      </c>
      <c r="GT558" s="29" t="s">
        <v>425</v>
      </c>
      <c r="GU558" s="29">
        <v>0</v>
      </c>
      <c r="GX558" s="29">
        <v>0</v>
      </c>
      <c r="GZ558" s="29">
        <v>0</v>
      </c>
      <c r="HA558" s="29">
        <v>0</v>
      </c>
      <c r="HB558" s="29">
        <v>0</v>
      </c>
      <c r="HC558" s="29">
        <v>0</v>
      </c>
      <c r="HD558" s="29">
        <v>0</v>
      </c>
      <c r="HE558" s="29" t="b">
        <v>0</v>
      </c>
      <c r="HG558" s="29">
        <v>0</v>
      </c>
      <c r="HI558" s="29" t="s">
        <v>334</v>
      </c>
      <c r="HJ558" s="29">
        <v>0</v>
      </c>
      <c r="HK558" s="29">
        <v>0</v>
      </c>
      <c r="HL558" s="29">
        <v>0</v>
      </c>
    </row>
    <row r="559" spans="2:220">
      <c r="B559" s="29" cm="1">
        <f t="array" ref="B559">10000000+INDEX(编号表!$B$1:$B$112,MATCH(D559,编号表!$A$1:$A$112,0))*10000+I559</f>
        <v>10780007</v>
      </c>
      <c r="C559" s="29" t="s">
        <v>490</v>
      </c>
      <c r="D559" s="29" t="s">
        <v>490</v>
      </c>
      <c r="E559" s="29" t="s">
        <v>445</v>
      </c>
      <c r="F559" s="29" t="s">
        <v>491</v>
      </c>
      <c r="G559" s="29">
        <v>1</v>
      </c>
      <c r="H559" s="29" t="b">
        <v>0</v>
      </c>
      <c r="I559" s="29">
        <v>7</v>
      </c>
      <c r="J559" s="29">
        <v>107800</v>
      </c>
      <c r="K559" s="29" t="s">
        <v>324</v>
      </c>
      <c r="L559" s="29">
        <v>10780006</v>
      </c>
      <c r="M559" s="29">
        <v>10780008</v>
      </c>
      <c r="N559" s="29" t="s">
        <v>492</v>
      </c>
      <c r="O559" s="29">
        <v>10902021</v>
      </c>
      <c r="P559" s="29">
        <v>0</v>
      </c>
      <c r="Q559" s="29">
        <v>0</v>
      </c>
      <c r="R559" s="29">
        <v>1</v>
      </c>
      <c r="T559" s="29">
        <v>100</v>
      </c>
      <c r="AY559" s="29" t="s">
        <v>425</v>
      </c>
      <c r="AZ559" s="29">
        <v>0</v>
      </c>
      <c r="GR559" s="29">
        <v>0</v>
      </c>
      <c r="GS559" s="29">
        <v>0</v>
      </c>
      <c r="GT559" s="29" t="s">
        <v>425</v>
      </c>
      <c r="GU559" s="29">
        <v>0</v>
      </c>
      <c r="GX559" s="29">
        <v>0</v>
      </c>
      <c r="GZ559" s="29">
        <v>0</v>
      </c>
      <c r="HA559" s="29">
        <v>0</v>
      </c>
      <c r="HB559" s="29">
        <v>0</v>
      </c>
      <c r="HC559" s="29">
        <v>0</v>
      </c>
      <c r="HD559" s="29">
        <v>0</v>
      </c>
      <c r="HE559" s="29" t="b">
        <v>0</v>
      </c>
      <c r="HG559" s="29">
        <v>0</v>
      </c>
      <c r="HI559" s="29" t="s">
        <v>334</v>
      </c>
      <c r="HJ559" s="29">
        <v>0</v>
      </c>
      <c r="HK559" s="29">
        <v>0</v>
      </c>
      <c r="HL559" s="29">
        <v>0</v>
      </c>
    </row>
    <row r="560" spans="2:220">
      <c r="B560" s="29" cm="1">
        <f t="array" ref="B560">10000000+INDEX(编号表!$B$1:$B$112,MATCH(D560,编号表!$A$1:$A$112,0))*10000+I560</f>
        <v>10780008</v>
      </c>
      <c r="C560" s="29" t="s">
        <v>490</v>
      </c>
      <c r="D560" s="29" t="s">
        <v>490</v>
      </c>
      <c r="E560" s="29" t="s">
        <v>445</v>
      </c>
      <c r="F560" s="29" t="s">
        <v>491</v>
      </c>
      <c r="G560" s="29">
        <v>1</v>
      </c>
      <c r="H560" s="29" t="b">
        <v>0</v>
      </c>
      <c r="I560" s="29">
        <v>8</v>
      </c>
      <c r="J560" s="29">
        <v>107800</v>
      </c>
      <c r="K560" s="29" t="s">
        <v>324</v>
      </c>
      <c r="L560" s="29">
        <v>10780007</v>
      </c>
      <c r="M560" s="29">
        <v>10780009</v>
      </c>
      <c r="N560" s="29" t="s">
        <v>492</v>
      </c>
      <c r="O560" s="29">
        <v>10902021</v>
      </c>
      <c r="P560" s="29">
        <v>0</v>
      </c>
      <c r="Q560" s="29">
        <v>0</v>
      </c>
      <c r="R560" s="29">
        <v>1</v>
      </c>
      <c r="T560" s="29">
        <v>100</v>
      </c>
      <c r="AY560" s="29" t="s">
        <v>425</v>
      </c>
      <c r="AZ560" s="29">
        <v>0</v>
      </c>
      <c r="GR560" s="29">
        <v>0</v>
      </c>
      <c r="GS560" s="29">
        <v>0</v>
      </c>
      <c r="GT560" s="29" t="s">
        <v>425</v>
      </c>
      <c r="GU560" s="29">
        <v>0</v>
      </c>
      <c r="GX560" s="29">
        <v>0</v>
      </c>
      <c r="GZ560" s="29">
        <v>0</v>
      </c>
      <c r="HA560" s="29">
        <v>0</v>
      </c>
      <c r="HB560" s="29">
        <v>0</v>
      </c>
      <c r="HC560" s="29">
        <v>0</v>
      </c>
      <c r="HD560" s="29">
        <v>0</v>
      </c>
      <c r="HE560" s="29" t="b">
        <v>0</v>
      </c>
      <c r="HG560" s="29">
        <v>0</v>
      </c>
      <c r="HI560" s="29" t="s">
        <v>334</v>
      </c>
      <c r="HJ560" s="29">
        <v>0</v>
      </c>
      <c r="HK560" s="29">
        <v>0</v>
      </c>
      <c r="HL560" s="29">
        <v>0</v>
      </c>
    </row>
    <row r="561" spans="2:220">
      <c r="B561" s="29" cm="1">
        <f t="array" ref="B561">10000000+INDEX(编号表!$B$1:$B$112,MATCH(D561,编号表!$A$1:$A$112,0))*10000+I561</f>
        <v>10780009</v>
      </c>
      <c r="C561" s="29" t="s">
        <v>490</v>
      </c>
      <c r="D561" s="29" t="s">
        <v>490</v>
      </c>
      <c r="E561" s="29" t="s">
        <v>445</v>
      </c>
      <c r="F561" s="29" t="s">
        <v>491</v>
      </c>
      <c r="G561" s="29">
        <v>1</v>
      </c>
      <c r="H561" s="29" t="b">
        <v>0</v>
      </c>
      <c r="I561" s="29">
        <v>9</v>
      </c>
      <c r="J561" s="29">
        <v>107800</v>
      </c>
      <c r="K561" s="29" t="s">
        <v>324</v>
      </c>
      <c r="L561" s="29">
        <v>10780008</v>
      </c>
      <c r="M561" s="29">
        <v>10780010</v>
      </c>
      <c r="N561" s="29" t="s">
        <v>492</v>
      </c>
      <c r="O561" s="29">
        <v>10902021</v>
      </c>
      <c r="P561" s="29">
        <v>0</v>
      </c>
      <c r="Q561" s="29">
        <v>0</v>
      </c>
      <c r="R561" s="29">
        <v>1</v>
      </c>
      <c r="T561" s="29">
        <v>100</v>
      </c>
      <c r="AY561" s="29" t="s">
        <v>425</v>
      </c>
      <c r="AZ561" s="29">
        <v>0</v>
      </c>
      <c r="GR561" s="29">
        <v>0</v>
      </c>
      <c r="GS561" s="29">
        <v>0</v>
      </c>
      <c r="GT561" s="29" t="s">
        <v>425</v>
      </c>
      <c r="GU561" s="29">
        <v>0</v>
      </c>
      <c r="GX561" s="29">
        <v>0</v>
      </c>
      <c r="GZ561" s="29">
        <v>0</v>
      </c>
      <c r="HA561" s="29">
        <v>0</v>
      </c>
      <c r="HB561" s="29">
        <v>0</v>
      </c>
      <c r="HC561" s="29">
        <v>0</v>
      </c>
      <c r="HD561" s="29">
        <v>0</v>
      </c>
      <c r="HE561" s="29" t="b">
        <v>0</v>
      </c>
      <c r="HG561" s="29">
        <v>0</v>
      </c>
      <c r="HI561" s="29" t="s">
        <v>334</v>
      </c>
      <c r="HJ561" s="29">
        <v>0</v>
      </c>
      <c r="HK561" s="29">
        <v>0</v>
      </c>
      <c r="HL561" s="29">
        <v>0</v>
      </c>
    </row>
    <row r="562" spans="2:220">
      <c r="B562" s="29" cm="1">
        <f t="array" ref="B562">10000000+INDEX(编号表!$B$1:$B$112,MATCH(D562,编号表!$A$1:$A$112,0))*10000+I562</f>
        <v>10780010</v>
      </c>
      <c r="C562" s="29" t="s">
        <v>490</v>
      </c>
      <c r="D562" s="29" t="s">
        <v>490</v>
      </c>
      <c r="E562" s="29" t="s">
        <v>445</v>
      </c>
      <c r="F562" s="29" t="s">
        <v>491</v>
      </c>
      <c r="G562" s="29">
        <v>1</v>
      </c>
      <c r="H562" s="29" t="b">
        <v>0</v>
      </c>
      <c r="I562" s="29">
        <v>10</v>
      </c>
      <c r="J562" s="29">
        <v>107800</v>
      </c>
      <c r="K562" s="29" t="s">
        <v>324</v>
      </c>
      <c r="L562" s="29">
        <v>10780009</v>
      </c>
      <c r="N562" s="29" t="s">
        <v>492</v>
      </c>
      <c r="O562" s="29">
        <v>10902021</v>
      </c>
      <c r="P562" s="29">
        <v>0</v>
      </c>
      <c r="Q562" s="29">
        <v>0</v>
      </c>
      <c r="R562" s="29">
        <v>1</v>
      </c>
      <c r="T562" s="29">
        <v>100</v>
      </c>
      <c r="AY562" s="29" t="s">
        <v>425</v>
      </c>
      <c r="AZ562" s="29">
        <v>0</v>
      </c>
      <c r="GR562" s="29">
        <v>0</v>
      </c>
      <c r="GS562" s="29">
        <v>0</v>
      </c>
      <c r="GT562" s="29" t="s">
        <v>425</v>
      </c>
      <c r="GU562" s="29">
        <v>0</v>
      </c>
      <c r="GX562" s="29">
        <v>0</v>
      </c>
      <c r="GZ562" s="29">
        <v>0</v>
      </c>
      <c r="HA562" s="29">
        <v>0</v>
      </c>
      <c r="HB562" s="29">
        <v>0</v>
      </c>
      <c r="HC562" s="29">
        <v>0</v>
      </c>
      <c r="HD562" s="29">
        <v>0</v>
      </c>
      <c r="HE562" s="29" t="b">
        <v>0</v>
      </c>
      <c r="HG562" s="29">
        <v>0</v>
      </c>
      <c r="HI562" s="29" t="s">
        <v>334</v>
      </c>
      <c r="HJ562" s="29">
        <v>0</v>
      </c>
      <c r="HK562" s="29">
        <v>0</v>
      </c>
      <c r="HL562" s="29">
        <v>0</v>
      </c>
    </row>
    <row r="563" spans="2:220">
      <c r="B563" s="29" cm="1">
        <f t="array" ref="B563">10000000+INDEX(编号表!$B$1:$B$112,MATCH(D563,编号表!$A$1:$A$112,0))*10000+I563</f>
        <v>10790001</v>
      </c>
      <c r="C563" s="29" t="s">
        <v>493</v>
      </c>
      <c r="D563" s="29" t="s">
        <v>493</v>
      </c>
      <c r="E563" s="29" t="s">
        <v>445</v>
      </c>
      <c r="F563" s="29" t="s">
        <v>422</v>
      </c>
      <c r="G563" s="29">
        <v>1</v>
      </c>
      <c r="H563" s="29" t="b">
        <v>0</v>
      </c>
      <c r="I563" s="29">
        <v>1</v>
      </c>
      <c r="J563" s="29">
        <v>107900</v>
      </c>
      <c r="K563" s="29" t="s">
        <v>324</v>
      </c>
      <c r="M563" s="29">
        <v>10790002</v>
      </c>
      <c r="N563" s="29" t="s">
        <v>494</v>
      </c>
      <c r="O563" s="29">
        <v>10902022</v>
      </c>
      <c r="P563" s="29">
        <v>0</v>
      </c>
      <c r="Q563" s="29">
        <v>0</v>
      </c>
      <c r="R563" s="29">
        <v>1</v>
      </c>
      <c r="T563" s="29">
        <v>100</v>
      </c>
      <c r="AY563" s="29" t="s">
        <v>425</v>
      </c>
      <c r="AZ563" s="29">
        <v>0</v>
      </c>
      <c r="GR563" s="29">
        <v>0</v>
      </c>
      <c r="GS563" s="29">
        <v>0</v>
      </c>
      <c r="GT563" s="29" t="s">
        <v>425</v>
      </c>
      <c r="GU563" s="29">
        <v>0</v>
      </c>
      <c r="GX563" s="29">
        <v>0</v>
      </c>
      <c r="GZ563" s="29">
        <v>0</v>
      </c>
      <c r="HA563" s="29">
        <v>0</v>
      </c>
      <c r="HB563" s="29">
        <v>0</v>
      </c>
      <c r="HC563" s="29">
        <v>0</v>
      </c>
      <c r="HD563" s="29">
        <v>0</v>
      </c>
      <c r="HE563" s="29" t="b">
        <v>0</v>
      </c>
      <c r="HG563" s="29">
        <v>0</v>
      </c>
      <c r="HI563" s="29" t="s">
        <v>334</v>
      </c>
      <c r="HJ563" s="29">
        <v>0</v>
      </c>
      <c r="HK563" s="29">
        <v>0</v>
      </c>
      <c r="HL563" s="29">
        <v>0</v>
      </c>
    </row>
    <row r="564" spans="2:220">
      <c r="B564" s="29" cm="1">
        <f t="array" ref="B564">10000000+INDEX(编号表!$B$1:$B$112,MATCH(D564,编号表!$A$1:$A$112,0))*10000+I564</f>
        <v>10790002</v>
      </c>
      <c r="C564" s="29" t="s">
        <v>493</v>
      </c>
      <c r="D564" s="29" t="s">
        <v>493</v>
      </c>
      <c r="E564" s="29" t="s">
        <v>445</v>
      </c>
      <c r="F564" s="29" t="s">
        <v>422</v>
      </c>
      <c r="G564" s="29">
        <v>1</v>
      </c>
      <c r="H564" s="29" t="b">
        <v>0</v>
      </c>
      <c r="I564" s="29">
        <v>2</v>
      </c>
      <c r="J564" s="29">
        <v>107900</v>
      </c>
      <c r="K564" s="29" t="s">
        <v>324</v>
      </c>
      <c r="L564" s="29">
        <v>10790001</v>
      </c>
      <c r="M564" s="29">
        <v>10790003</v>
      </c>
      <c r="N564" s="29" t="s">
        <v>494</v>
      </c>
      <c r="O564" s="29">
        <v>10902022</v>
      </c>
      <c r="P564" s="29">
        <v>0</v>
      </c>
      <c r="Q564" s="29">
        <v>0</v>
      </c>
      <c r="R564" s="29">
        <v>1</v>
      </c>
      <c r="T564" s="29">
        <v>100</v>
      </c>
      <c r="AY564" s="29" t="s">
        <v>425</v>
      </c>
      <c r="AZ564" s="29">
        <v>0</v>
      </c>
      <c r="GR564" s="29">
        <v>0</v>
      </c>
      <c r="GS564" s="29">
        <v>0</v>
      </c>
      <c r="GT564" s="29" t="s">
        <v>425</v>
      </c>
      <c r="GU564" s="29">
        <v>0</v>
      </c>
      <c r="GX564" s="29">
        <v>0</v>
      </c>
      <c r="GZ564" s="29">
        <v>0</v>
      </c>
      <c r="HA564" s="29">
        <v>0</v>
      </c>
      <c r="HB564" s="29">
        <v>0</v>
      </c>
      <c r="HC564" s="29">
        <v>0</v>
      </c>
      <c r="HD564" s="29">
        <v>0</v>
      </c>
      <c r="HE564" s="29" t="b">
        <v>0</v>
      </c>
      <c r="HG564" s="29">
        <v>0</v>
      </c>
      <c r="HI564" s="29" t="s">
        <v>334</v>
      </c>
      <c r="HJ564" s="29">
        <v>0</v>
      </c>
      <c r="HK564" s="29">
        <v>0</v>
      </c>
      <c r="HL564" s="29">
        <v>0</v>
      </c>
    </row>
    <row r="565" spans="2:220">
      <c r="B565" s="29" cm="1">
        <f t="array" ref="B565">10000000+INDEX(编号表!$B$1:$B$112,MATCH(D565,编号表!$A$1:$A$112,0))*10000+I565</f>
        <v>10790003</v>
      </c>
      <c r="C565" s="29" t="s">
        <v>493</v>
      </c>
      <c r="D565" s="29" t="s">
        <v>493</v>
      </c>
      <c r="E565" s="29" t="s">
        <v>445</v>
      </c>
      <c r="F565" s="29" t="s">
        <v>422</v>
      </c>
      <c r="G565" s="29">
        <v>1</v>
      </c>
      <c r="H565" s="29" t="b">
        <v>0</v>
      </c>
      <c r="I565" s="29">
        <v>3</v>
      </c>
      <c r="J565" s="29">
        <v>107900</v>
      </c>
      <c r="K565" s="29" t="s">
        <v>324</v>
      </c>
      <c r="L565" s="29">
        <v>10790002</v>
      </c>
      <c r="M565" s="29">
        <v>10790004</v>
      </c>
      <c r="N565" s="29" t="s">
        <v>494</v>
      </c>
      <c r="O565" s="29">
        <v>10902022</v>
      </c>
      <c r="P565" s="29">
        <v>0</v>
      </c>
      <c r="Q565" s="29">
        <v>0</v>
      </c>
      <c r="R565" s="29">
        <v>1</v>
      </c>
      <c r="T565" s="29">
        <v>100</v>
      </c>
      <c r="AY565" s="29" t="s">
        <v>425</v>
      </c>
      <c r="AZ565" s="29">
        <v>0</v>
      </c>
      <c r="GR565" s="29">
        <v>0</v>
      </c>
      <c r="GS565" s="29">
        <v>0</v>
      </c>
      <c r="GT565" s="29" t="s">
        <v>425</v>
      </c>
      <c r="GU565" s="29">
        <v>0</v>
      </c>
      <c r="GX565" s="29">
        <v>0</v>
      </c>
      <c r="GZ565" s="29">
        <v>0</v>
      </c>
      <c r="HA565" s="29">
        <v>0</v>
      </c>
      <c r="HB565" s="29">
        <v>0</v>
      </c>
      <c r="HC565" s="29">
        <v>0</v>
      </c>
      <c r="HD565" s="29">
        <v>0</v>
      </c>
      <c r="HE565" s="29" t="b">
        <v>0</v>
      </c>
      <c r="HG565" s="29">
        <v>0</v>
      </c>
      <c r="HI565" s="29" t="s">
        <v>334</v>
      </c>
      <c r="HJ565" s="29">
        <v>0</v>
      </c>
      <c r="HK565" s="29">
        <v>0</v>
      </c>
      <c r="HL565" s="29">
        <v>0</v>
      </c>
    </row>
    <row r="566" spans="2:220">
      <c r="B566" s="29" cm="1">
        <f t="array" ref="B566">10000000+INDEX(编号表!$B$1:$B$112,MATCH(D566,编号表!$A$1:$A$112,0))*10000+I566</f>
        <v>10790004</v>
      </c>
      <c r="C566" s="29" t="s">
        <v>493</v>
      </c>
      <c r="D566" s="29" t="s">
        <v>493</v>
      </c>
      <c r="E566" s="29" t="s">
        <v>445</v>
      </c>
      <c r="F566" s="29" t="s">
        <v>422</v>
      </c>
      <c r="G566" s="29">
        <v>1</v>
      </c>
      <c r="H566" s="29" t="b">
        <v>0</v>
      </c>
      <c r="I566" s="29">
        <v>4</v>
      </c>
      <c r="J566" s="29">
        <v>107900</v>
      </c>
      <c r="K566" s="29" t="s">
        <v>324</v>
      </c>
      <c r="L566" s="29">
        <v>10790003</v>
      </c>
      <c r="M566" s="29">
        <v>10790005</v>
      </c>
      <c r="N566" s="29" t="s">
        <v>494</v>
      </c>
      <c r="O566" s="29">
        <v>10902022</v>
      </c>
      <c r="P566" s="29">
        <v>0</v>
      </c>
      <c r="Q566" s="29">
        <v>0</v>
      </c>
      <c r="R566" s="29">
        <v>1</v>
      </c>
      <c r="T566" s="29">
        <v>100</v>
      </c>
      <c r="AY566" s="29" t="s">
        <v>425</v>
      </c>
      <c r="AZ566" s="29">
        <v>0</v>
      </c>
      <c r="GR566" s="29">
        <v>0</v>
      </c>
      <c r="GS566" s="29">
        <v>0</v>
      </c>
      <c r="GT566" s="29" t="s">
        <v>425</v>
      </c>
      <c r="GU566" s="29">
        <v>0</v>
      </c>
      <c r="GX566" s="29">
        <v>0</v>
      </c>
      <c r="GZ566" s="29">
        <v>0</v>
      </c>
      <c r="HA566" s="29">
        <v>0</v>
      </c>
      <c r="HB566" s="29">
        <v>0</v>
      </c>
      <c r="HC566" s="29">
        <v>0</v>
      </c>
      <c r="HD566" s="29">
        <v>0</v>
      </c>
      <c r="HE566" s="29" t="b">
        <v>0</v>
      </c>
      <c r="HG566" s="29">
        <v>0</v>
      </c>
      <c r="HI566" s="29" t="s">
        <v>334</v>
      </c>
      <c r="HJ566" s="29">
        <v>0</v>
      </c>
      <c r="HK566" s="29">
        <v>0</v>
      </c>
      <c r="HL566" s="29">
        <v>0</v>
      </c>
    </row>
    <row r="567" spans="2:220">
      <c r="B567" s="29" cm="1">
        <f t="array" ref="B567">10000000+INDEX(编号表!$B$1:$B$112,MATCH(D567,编号表!$A$1:$A$112,0))*10000+I567</f>
        <v>10790005</v>
      </c>
      <c r="C567" s="29" t="s">
        <v>493</v>
      </c>
      <c r="D567" s="29" t="s">
        <v>493</v>
      </c>
      <c r="E567" s="29" t="s">
        <v>445</v>
      </c>
      <c r="F567" s="29" t="s">
        <v>422</v>
      </c>
      <c r="G567" s="29">
        <v>1</v>
      </c>
      <c r="H567" s="29" t="b">
        <v>0</v>
      </c>
      <c r="I567" s="29">
        <v>5</v>
      </c>
      <c r="J567" s="29">
        <v>107900</v>
      </c>
      <c r="K567" s="29" t="s">
        <v>324</v>
      </c>
      <c r="L567" s="29">
        <v>10790004</v>
      </c>
      <c r="M567" s="29">
        <v>10790006</v>
      </c>
      <c r="N567" s="29" t="s">
        <v>494</v>
      </c>
      <c r="O567" s="29">
        <v>10902022</v>
      </c>
      <c r="P567" s="29">
        <v>0</v>
      </c>
      <c r="Q567" s="29">
        <v>0</v>
      </c>
      <c r="R567" s="29">
        <v>1</v>
      </c>
      <c r="T567" s="29">
        <v>100</v>
      </c>
      <c r="AY567" s="29" t="s">
        <v>425</v>
      </c>
      <c r="AZ567" s="29">
        <v>0</v>
      </c>
      <c r="GR567" s="29">
        <v>0</v>
      </c>
      <c r="GS567" s="29">
        <v>0</v>
      </c>
      <c r="GT567" s="29" t="s">
        <v>425</v>
      </c>
      <c r="GU567" s="29">
        <v>0</v>
      </c>
      <c r="GX567" s="29">
        <v>0</v>
      </c>
      <c r="GZ567" s="29">
        <v>0</v>
      </c>
      <c r="HA567" s="29">
        <v>0</v>
      </c>
      <c r="HB567" s="29">
        <v>0</v>
      </c>
      <c r="HC567" s="29">
        <v>0</v>
      </c>
      <c r="HD567" s="29">
        <v>0</v>
      </c>
      <c r="HE567" s="29" t="b">
        <v>0</v>
      </c>
      <c r="HG567" s="29">
        <v>0</v>
      </c>
      <c r="HI567" s="29" t="s">
        <v>334</v>
      </c>
      <c r="HJ567" s="29">
        <v>0</v>
      </c>
      <c r="HK567" s="29">
        <v>0</v>
      </c>
      <c r="HL567" s="29">
        <v>0</v>
      </c>
    </row>
    <row r="568" spans="2:220">
      <c r="B568" s="29" cm="1">
        <f t="array" ref="B568">10000000+INDEX(编号表!$B$1:$B$112,MATCH(D568,编号表!$A$1:$A$112,0))*10000+I568</f>
        <v>10790006</v>
      </c>
      <c r="C568" s="29" t="s">
        <v>493</v>
      </c>
      <c r="D568" s="29" t="s">
        <v>493</v>
      </c>
      <c r="E568" s="29" t="s">
        <v>445</v>
      </c>
      <c r="F568" s="29" t="s">
        <v>422</v>
      </c>
      <c r="G568" s="29">
        <v>1</v>
      </c>
      <c r="H568" s="29" t="b">
        <v>0</v>
      </c>
      <c r="I568" s="29">
        <v>6</v>
      </c>
      <c r="J568" s="29">
        <v>107900</v>
      </c>
      <c r="K568" s="29" t="s">
        <v>324</v>
      </c>
      <c r="L568" s="29">
        <v>10790005</v>
      </c>
      <c r="M568" s="29">
        <v>10790007</v>
      </c>
      <c r="N568" s="29" t="s">
        <v>494</v>
      </c>
      <c r="O568" s="29">
        <v>10902022</v>
      </c>
      <c r="P568" s="29">
        <v>0</v>
      </c>
      <c r="Q568" s="29">
        <v>0</v>
      </c>
      <c r="R568" s="29">
        <v>1</v>
      </c>
      <c r="T568" s="29">
        <v>100</v>
      </c>
      <c r="AY568" s="29" t="s">
        <v>425</v>
      </c>
      <c r="AZ568" s="29">
        <v>0</v>
      </c>
      <c r="GR568" s="29">
        <v>0</v>
      </c>
      <c r="GS568" s="29">
        <v>0</v>
      </c>
      <c r="GT568" s="29" t="s">
        <v>425</v>
      </c>
      <c r="GU568" s="29">
        <v>0</v>
      </c>
      <c r="GX568" s="29">
        <v>0</v>
      </c>
      <c r="GZ568" s="29">
        <v>0</v>
      </c>
      <c r="HA568" s="29">
        <v>0</v>
      </c>
      <c r="HB568" s="29">
        <v>0</v>
      </c>
      <c r="HC568" s="29">
        <v>0</v>
      </c>
      <c r="HD568" s="29">
        <v>0</v>
      </c>
      <c r="HE568" s="29" t="b">
        <v>0</v>
      </c>
      <c r="HG568" s="29">
        <v>0</v>
      </c>
      <c r="HI568" s="29" t="s">
        <v>334</v>
      </c>
      <c r="HJ568" s="29">
        <v>0</v>
      </c>
      <c r="HK568" s="29">
        <v>0</v>
      </c>
      <c r="HL568" s="29">
        <v>0</v>
      </c>
    </row>
    <row r="569" spans="2:220">
      <c r="B569" s="29" cm="1">
        <f t="array" ref="B569">10000000+INDEX(编号表!$B$1:$B$112,MATCH(D569,编号表!$A$1:$A$112,0))*10000+I569</f>
        <v>10790007</v>
      </c>
      <c r="C569" s="29" t="s">
        <v>493</v>
      </c>
      <c r="D569" s="29" t="s">
        <v>493</v>
      </c>
      <c r="E569" s="29" t="s">
        <v>445</v>
      </c>
      <c r="F569" s="29" t="s">
        <v>422</v>
      </c>
      <c r="G569" s="29">
        <v>1</v>
      </c>
      <c r="H569" s="29" t="b">
        <v>0</v>
      </c>
      <c r="I569" s="29">
        <v>7</v>
      </c>
      <c r="J569" s="29">
        <v>107900</v>
      </c>
      <c r="K569" s="29" t="s">
        <v>324</v>
      </c>
      <c r="L569" s="29">
        <v>10790006</v>
      </c>
      <c r="M569" s="29">
        <v>10790008</v>
      </c>
      <c r="N569" s="29" t="s">
        <v>494</v>
      </c>
      <c r="O569" s="29">
        <v>10902022</v>
      </c>
      <c r="P569" s="29">
        <v>0</v>
      </c>
      <c r="Q569" s="29">
        <v>0</v>
      </c>
      <c r="R569" s="29">
        <v>1</v>
      </c>
      <c r="T569" s="29">
        <v>100</v>
      </c>
      <c r="AY569" s="29" t="s">
        <v>425</v>
      </c>
      <c r="AZ569" s="29">
        <v>0</v>
      </c>
      <c r="GR569" s="29">
        <v>0</v>
      </c>
      <c r="GS569" s="29">
        <v>0</v>
      </c>
      <c r="GT569" s="29" t="s">
        <v>425</v>
      </c>
      <c r="GU569" s="29">
        <v>0</v>
      </c>
      <c r="GX569" s="29">
        <v>0</v>
      </c>
      <c r="GZ569" s="29">
        <v>0</v>
      </c>
      <c r="HA569" s="29">
        <v>0</v>
      </c>
      <c r="HB569" s="29">
        <v>0</v>
      </c>
      <c r="HC569" s="29">
        <v>0</v>
      </c>
      <c r="HD569" s="29">
        <v>0</v>
      </c>
      <c r="HE569" s="29" t="b">
        <v>0</v>
      </c>
      <c r="HG569" s="29">
        <v>0</v>
      </c>
      <c r="HI569" s="29" t="s">
        <v>334</v>
      </c>
      <c r="HJ569" s="29">
        <v>0</v>
      </c>
      <c r="HK569" s="29">
        <v>0</v>
      </c>
      <c r="HL569" s="29">
        <v>0</v>
      </c>
    </row>
    <row r="570" spans="2:220">
      <c r="B570" s="29" cm="1">
        <f t="array" ref="B570">10000000+INDEX(编号表!$B$1:$B$112,MATCH(D570,编号表!$A$1:$A$112,0))*10000+I570</f>
        <v>10790008</v>
      </c>
      <c r="C570" s="29" t="s">
        <v>493</v>
      </c>
      <c r="D570" s="29" t="s">
        <v>493</v>
      </c>
      <c r="E570" s="29" t="s">
        <v>445</v>
      </c>
      <c r="F570" s="29" t="s">
        <v>422</v>
      </c>
      <c r="G570" s="29">
        <v>1</v>
      </c>
      <c r="H570" s="29" t="b">
        <v>0</v>
      </c>
      <c r="I570" s="29">
        <v>8</v>
      </c>
      <c r="J570" s="29">
        <v>107900</v>
      </c>
      <c r="K570" s="29" t="s">
        <v>324</v>
      </c>
      <c r="L570" s="29">
        <v>10790007</v>
      </c>
      <c r="M570" s="29">
        <v>10790009</v>
      </c>
      <c r="N570" s="29" t="s">
        <v>494</v>
      </c>
      <c r="O570" s="29">
        <v>10902022</v>
      </c>
      <c r="P570" s="29">
        <v>0</v>
      </c>
      <c r="Q570" s="29">
        <v>0</v>
      </c>
      <c r="R570" s="29">
        <v>1</v>
      </c>
      <c r="T570" s="29">
        <v>100</v>
      </c>
      <c r="AY570" s="29" t="s">
        <v>425</v>
      </c>
      <c r="AZ570" s="29">
        <v>0</v>
      </c>
      <c r="GR570" s="29">
        <v>0</v>
      </c>
      <c r="GS570" s="29">
        <v>0</v>
      </c>
      <c r="GT570" s="29" t="s">
        <v>425</v>
      </c>
      <c r="GU570" s="29">
        <v>0</v>
      </c>
      <c r="GX570" s="29">
        <v>0</v>
      </c>
      <c r="GZ570" s="29">
        <v>0</v>
      </c>
      <c r="HA570" s="29">
        <v>0</v>
      </c>
      <c r="HB570" s="29">
        <v>0</v>
      </c>
      <c r="HC570" s="29">
        <v>0</v>
      </c>
      <c r="HD570" s="29">
        <v>0</v>
      </c>
      <c r="HE570" s="29" t="b">
        <v>0</v>
      </c>
      <c r="HG570" s="29">
        <v>0</v>
      </c>
      <c r="HI570" s="29" t="s">
        <v>334</v>
      </c>
      <c r="HJ570" s="29">
        <v>0</v>
      </c>
      <c r="HK570" s="29">
        <v>0</v>
      </c>
      <c r="HL570" s="29">
        <v>0</v>
      </c>
    </row>
    <row r="571" spans="2:220">
      <c r="B571" s="29" cm="1">
        <f t="array" ref="B571">10000000+INDEX(编号表!$B$1:$B$112,MATCH(D571,编号表!$A$1:$A$112,0))*10000+I571</f>
        <v>10790009</v>
      </c>
      <c r="C571" s="29" t="s">
        <v>493</v>
      </c>
      <c r="D571" s="29" t="s">
        <v>493</v>
      </c>
      <c r="E571" s="29" t="s">
        <v>445</v>
      </c>
      <c r="F571" s="29" t="s">
        <v>422</v>
      </c>
      <c r="G571" s="29">
        <v>1</v>
      </c>
      <c r="H571" s="29" t="b">
        <v>0</v>
      </c>
      <c r="I571" s="29">
        <v>9</v>
      </c>
      <c r="J571" s="29">
        <v>107900</v>
      </c>
      <c r="K571" s="29" t="s">
        <v>324</v>
      </c>
      <c r="L571" s="29">
        <v>10790008</v>
      </c>
      <c r="M571" s="29">
        <v>10790010</v>
      </c>
      <c r="N571" s="29" t="s">
        <v>494</v>
      </c>
      <c r="O571" s="29">
        <v>10902022</v>
      </c>
      <c r="P571" s="29">
        <v>0</v>
      </c>
      <c r="Q571" s="29">
        <v>0</v>
      </c>
      <c r="R571" s="29">
        <v>1</v>
      </c>
      <c r="T571" s="29">
        <v>100</v>
      </c>
      <c r="AY571" s="29" t="s">
        <v>425</v>
      </c>
      <c r="AZ571" s="29">
        <v>0</v>
      </c>
      <c r="GR571" s="29">
        <v>0</v>
      </c>
      <c r="GS571" s="29">
        <v>0</v>
      </c>
      <c r="GT571" s="29" t="s">
        <v>425</v>
      </c>
      <c r="GU571" s="29">
        <v>0</v>
      </c>
      <c r="GX571" s="29">
        <v>0</v>
      </c>
      <c r="GZ571" s="29">
        <v>0</v>
      </c>
      <c r="HA571" s="29">
        <v>0</v>
      </c>
      <c r="HB571" s="29">
        <v>0</v>
      </c>
      <c r="HC571" s="29">
        <v>0</v>
      </c>
      <c r="HD571" s="29">
        <v>0</v>
      </c>
      <c r="HE571" s="29" t="b">
        <v>0</v>
      </c>
      <c r="HG571" s="29">
        <v>0</v>
      </c>
      <c r="HI571" s="29" t="s">
        <v>334</v>
      </c>
      <c r="HJ571" s="29">
        <v>0</v>
      </c>
      <c r="HK571" s="29">
        <v>0</v>
      </c>
      <c r="HL571" s="29">
        <v>0</v>
      </c>
    </row>
    <row r="572" spans="2:220">
      <c r="B572" s="29" cm="1">
        <f t="array" ref="B572">10000000+INDEX(编号表!$B$1:$B$112,MATCH(D572,编号表!$A$1:$A$112,0))*10000+I572</f>
        <v>10790010</v>
      </c>
      <c r="C572" s="29" t="s">
        <v>493</v>
      </c>
      <c r="D572" s="29" t="s">
        <v>493</v>
      </c>
      <c r="E572" s="29" t="s">
        <v>445</v>
      </c>
      <c r="F572" s="29" t="s">
        <v>422</v>
      </c>
      <c r="G572" s="29">
        <v>1</v>
      </c>
      <c r="H572" s="29" t="b">
        <v>0</v>
      </c>
      <c r="I572" s="29">
        <v>10</v>
      </c>
      <c r="J572" s="29">
        <v>107900</v>
      </c>
      <c r="K572" s="29" t="s">
        <v>324</v>
      </c>
      <c r="L572" s="29">
        <v>10790009</v>
      </c>
      <c r="N572" s="29" t="s">
        <v>494</v>
      </c>
      <c r="O572" s="29">
        <v>10902022</v>
      </c>
      <c r="P572" s="29">
        <v>0</v>
      </c>
      <c r="Q572" s="29">
        <v>0</v>
      </c>
      <c r="R572" s="29">
        <v>1</v>
      </c>
      <c r="T572" s="29">
        <v>100</v>
      </c>
      <c r="AY572" s="29" t="s">
        <v>425</v>
      </c>
      <c r="AZ572" s="29">
        <v>0</v>
      </c>
      <c r="GR572" s="29">
        <v>0</v>
      </c>
      <c r="GS572" s="29">
        <v>0</v>
      </c>
      <c r="GT572" s="29" t="s">
        <v>425</v>
      </c>
      <c r="GU572" s="29">
        <v>0</v>
      </c>
      <c r="GX572" s="29">
        <v>0</v>
      </c>
      <c r="GZ572" s="29">
        <v>0</v>
      </c>
      <c r="HA572" s="29">
        <v>0</v>
      </c>
      <c r="HB572" s="29">
        <v>0</v>
      </c>
      <c r="HC572" s="29">
        <v>0</v>
      </c>
      <c r="HD572" s="29">
        <v>0</v>
      </c>
      <c r="HE572" s="29" t="b">
        <v>0</v>
      </c>
      <c r="HG572" s="29">
        <v>0</v>
      </c>
      <c r="HI572" s="29" t="s">
        <v>334</v>
      </c>
      <c r="HJ572" s="29">
        <v>0</v>
      </c>
      <c r="HK572" s="29">
        <v>0</v>
      </c>
      <c r="HL572" s="29">
        <v>0</v>
      </c>
    </row>
    <row r="573" spans="2:220">
      <c r="B573" s="29" cm="1">
        <f t="array" ref="B573">10000000+INDEX(编号表!$B$1:$B$112,MATCH(D573,编号表!$A$1:$A$112,0))*10000+I573</f>
        <v>10800001</v>
      </c>
      <c r="C573" s="29" t="s">
        <v>495</v>
      </c>
      <c r="D573" s="29" t="s">
        <v>495</v>
      </c>
      <c r="E573" s="29" t="s">
        <v>445</v>
      </c>
      <c r="F573" s="29" t="s">
        <v>427</v>
      </c>
      <c r="G573" s="29">
        <v>1</v>
      </c>
      <c r="H573" s="29" t="b">
        <v>0</v>
      </c>
      <c r="I573" s="29">
        <v>1</v>
      </c>
      <c r="J573" s="29">
        <v>108000</v>
      </c>
      <c r="K573" s="29" t="s">
        <v>324</v>
      </c>
      <c r="M573" s="29">
        <v>10800002</v>
      </c>
      <c r="N573" s="29" t="s">
        <v>496</v>
      </c>
      <c r="O573" s="29">
        <v>10902023</v>
      </c>
      <c r="P573" s="29">
        <v>0</v>
      </c>
      <c r="Q573" s="29">
        <v>0</v>
      </c>
      <c r="R573" s="29">
        <v>1</v>
      </c>
      <c r="T573" s="29">
        <v>100</v>
      </c>
      <c r="AY573" s="29" t="s">
        <v>425</v>
      </c>
      <c r="AZ573" s="29">
        <v>0</v>
      </c>
      <c r="GR573" s="29">
        <v>0</v>
      </c>
      <c r="GS573" s="29">
        <v>0</v>
      </c>
      <c r="GT573" s="29" t="s">
        <v>425</v>
      </c>
      <c r="GU573" s="29">
        <v>0</v>
      </c>
      <c r="GX573" s="29">
        <v>0</v>
      </c>
      <c r="GZ573" s="29">
        <v>0</v>
      </c>
      <c r="HA573" s="29">
        <v>0</v>
      </c>
      <c r="HB573" s="29">
        <v>0</v>
      </c>
      <c r="HC573" s="29">
        <v>0</v>
      </c>
      <c r="HD573" s="29">
        <v>0</v>
      </c>
      <c r="HE573" s="29" t="b">
        <v>0</v>
      </c>
      <c r="HG573" s="29">
        <v>0</v>
      </c>
      <c r="HI573" s="29" t="s">
        <v>334</v>
      </c>
      <c r="HJ573" s="29">
        <v>0</v>
      </c>
      <c r="HK573" s="29">
        <v>0</v>
      </c>
      <c r="HL573" s="29">
        <v>0</v>
      </c>
    </row>
    <row r="574" spans="2:220">
      <c r="B574" s="29" cm="1">
        <f t="array" ref="B574">10000000+INDEX(编号表!$B$1:$B$112,MATCH(D574,编号表!$A$1:$A$112,0))*10000+I574</f>
        <v>10800002</v>
      </c>
      <c r="C574" s="29" t="s">
        <v>495</v>
      </c>
      <c r="D574" s="29" t="s">
        <v>495</v>
      </c>
      <c r="E574" s="29" t="s">
        <v>445</v>
      </c>
      <c r="F574" s="29" t="s">
        <v>427</v>
      </c>
      <c r="G574" s="29">
        <v>1</v>
      </c>
      <c r="H574" s="29" t="b">
        <v>0</v>
      </c>
      <c r="I574" s="29">
        <v>2</v>
      </c>
      <c r="J574" s="29">
        <v>108000</v>
      </c>
      <c r="K574" s="29" t="s">
        <v>324</v>
      </c>
      <c r="L574" s="29">
        <v>10800001</v>
      </c>
      <c r="M574" s="29">
        <v>10800003</v>
      </c>
      <c r="N574" s="29" t="s">
        <v>496</v>
      </c>
      <c r="O574" s="29">
        <v>10902023</v>
      </c>
      <c r="P574" s="29">
        <v>0</v>
      </c>
      <c r="Q574" s="29">
        <v>0</v>
      </c>
      <c r="R574" s="29">
        <v>1</v>
      </c>
      <c r="T574" s="29">
        <v>100</v>
      </c>
      <c r="AY574" s="29" t="s">
        <v>425</v>
      </c>
      <c r="AZ574" s="29">
        <v>0</v>
      </c>
      <c r="GR574" s="29">
        <v>0</v>
      </c>
      <c r="GS574" s="29">
        <v>0</v>
      </c>
      <c r="GT574" s="29" t="s">
        <v>425</v>
      </c>
      <c r="GU574" s="29">
        <v>0</v>
      </c>
      <c r="GX574" s="29">
        <v>0</v>
      </c>
      <c r="GZ574" s="29">
        <v>0</v>
      </c>
      <c r="HA574" s="29">
        <v>0</v>
      </c>
      <c r="HB574" s="29">
        <v>0</v>
      </c>
      <c r="HC574" s="29">
        <v>0</v>
      </c>
      <c r="HD574" s="29">
        <v>0</v>
      </c>
      <c r="HE574" s="29" t="b">
        <v>0</v>
      </c>
      <c r="HG574" s="29">
        <v>0</v>
      </c>
      <c r="HI574" s="29" t="s">
        <v>334</v>
      </c>
      <c r="HJ574" s="29">
        <v>0</v>
      </c>
      <c r="HK574" s="29">
        <v>0</v>
      </c>
      <c r="HL574" s="29">
        <v>0</v>
      </c>
    </row>
    <row r="575" spans="2:220">
      <c r="B575" s="29" cm="1">
        <f t="array" ref="B575">10000000+INDEX(编号表!$B$1:$B$112,MATCH(D575,编号表!$A$1:$A$112,0))*10000+I575</f>
        <v>10800003</v>
      </c>
      <c r="C575" s="29" t="s">
        <v>495</v>
      </c>
      <c r="D575" s="29" t="s">
        <v>495</v>
      </c>
      <c r="E575" s="29" t="s">
        <v>445</v>
      </c>
      <c r="F575" s="29" t="s">
        <v>427</v>
      </c>
      <c r="G575" s="29">
        <v>1</v>
      </c>
      <c r="H575" s="29" t="b">
        <v>0</v>
      </c>
      <c r="I575" s="29">
        <v>3</v>
      </c>
      <c r="J575" s="29">
        <v>108000</v>
      </c>
      <c r="K575" s="29" t="s">
        <v>324</v>
      </c>
      <c r="L575" s="29">
        <v>10800002</v>
      </c>
      <c r="M575" s="29">
        <v>10800004</v>
      </c>
      <c r="N575" s="29" t="s">
        <v>496</v>
      </c>
      <c r="O575" s="29">
        <v>10902023</v>
      </c>
      <c r="P575" s="29">
        <v>0</v>
      </c>
      <c r="Q575" s="29">
        <v>0</v>
      </c>
      <c r="R575" s="29">
        <v>1</v>
      </c>
      <c r="T575" s="29">
        <v>100</v>
      </c>
      <c r="AY575" s="29" t="s">
        <v>425</v>
      </c>
      <c r="AZ575" s="29">
        <v>0</v>
      </c>
      <c r="GR575" s="29">
        <v>0</v>
      </c>
      <c r="GS575" s="29">
        <v>0</v>
      </c>
      <c r="GT575" s="29" t="s">
        <v>425</v>
      </c>
      <c r="GU575" s="29">
        <v>0</v>
      </c>
      <c r="GX575" s="29">
        <v>0</v>
      </c>
      <c r="GZ575" s="29">
        <v>0</v>
      </c>
      <c r="HA575" s="29">
        <v>0</v>
      </c>
      <c r="HB575" s="29">
        <v>0</v>
      </c>
      <c r="HC575" s="29">
        <v>0</v>
      </c>
      <c r="HD575" s="29">
        <v>0</v>
      </c>
      <c r="HE575" s="29" t="b">
        <v>0</v>
      </c>
      <c r="HG575" s="29">
        <v>0</v>
      </c>
      <c r="HI575" s="29" t="s">
        <v>334</v>
      </c>
      <c r="HJ575" s="29">
        <v>0</v>
      </c>
      <c r="HK575" s="29">
        <v>0</v>
      </c>
      <c r="HL575" s="29">
        <v>0</v>
      </c>
    </row>
    <row r="576" spans="2:220">
      <c r="B576" s="29" cm="1">
        <f t="array" ref="B576">10000000+INDEX(编号表!$B$1:$B$112,MATCH(D576,编号表!$A$1:$A$112,0))*10000+I576</f>
        <v>10800004</v>
      </c>
      <c r="C576" s="29" t="s">
        <v>495</v>
      </c>
      <c r="D576" s="29" t="s">
        <v>495</v>
      </c>
      <c r="E576" s="29" t="s">
        <v>445</v>
      </c>
      <c r="F576" s="29" t="s">
        <v>427</v>
      </c>
      <c r="G576" s="29">
        <v>1</v>
      </c>
      <c r="H576" s="29" t="b">
        <v>0</v>
      </c>
      <c r="I576" s="29">
        <v>4</v>
      </c>
      <c r="J576" s="29">
        <v>108000</v>
      </c>
      <c r="K576" s="29" t="s">
        <v>324</v>
      </c>
      <c r="L576" s="29">
        <v>10800003</v>
      </c>
      <c r="M576" s="29">
        <v>10800005</v>
      </c>
      <c r="N576" s="29" t="s">
        <v>496</v>
      </c>
      <c r="O576" s="29">
        <v>10902023</v>
      </c>
      <c r="P576" s="29">
        <v>0</v>
      </c>
      <c r="Q576" s="29">
        <v>0</v>
      </c>
      <c r="R576" s="29">
        <v>1</v>
      </c>
      <c r="T576" s="29">
        <v>100</v>
      </c>
      <c r="AY576" s="29" t="s">
        <v>425</v>
      </c>
      <c r="AZ576" s="29">
        <v>0</v>
      </c>
      <c r="GR576" s="29">
        <v>0</v>
      </c>
      <c r="GS576" s="29">
        <v>0</v>
      </c>
      <c r="GT576" s="29" t="s">
        <v>425</v>
      </c>
      <c r="GU576" s="29">
        <v>0</v>
      </c>
      <c r="GX576" s="29">
        <v>0</v>
      </c>
      <c r="GZ576" s="29">
        <v>0</v>
      </c>
      <c r="HA576" s="29">
        <v>0</v>
      </c>
      <c r="HB576" s="29">
        <v>0</v>
      </c>
      <c r="HC576" s="29">
        <v>0</v>
      </c>
      <c r="HD576" s="29">
        <v>0</v>
      </c>
      <c r="HE576" s="29" t="b">
        <v>0</v>
      </c>
      <c r="HG576" s="29">
        <v>0</v>
      </c>
      <c r="HI576" s="29" t="s">
        <v>334</v>
      </c>
      <c r="HJ576" s="29">
        <v>0</v>
      </c>
      <c r="HK576" s="29">
        <v>0</v>
      </c>
      <c r="HL576" s="29">
        <v>0</v>
      </c>
    </row>
    <row r="577" spans="2:220">
      <c r="B577" s="29" cm="1">
        <f t="array" ref="B577">10000000+INDEX(编号表!$B$1:$B$112,MATCH(D577,编号表!$A$1:$A$112,0))*10000+I577</f>
        <v>10800005</v>
      </c>
      <c r="C577" s="29" t="s">
        <v>495</v>
      </c>
      <c r="D577" s="29" t="s">
        <v>495</v>
      </c>
      <c r="E577" s="29" t="s">
        <v>445</v>
      </c>
      <c r="F577" s="29" t="s">
        <v>427</v>
      </c>
      <c r="G577" s="29">
        <v>1</v>
      </c>
      <c r="H577" s="29" t="b">
        <v>0</v>
      </c>
      <c r="I577" s="29">
        <v>5</v>
      </c>
      <c r="J577" s="29">
        <v>108000</v>
      </c>
      <c r="K577" s="29" t="s">
        <v>324</v>
      </c>
      <c r="L577" s="29">
        <v>10800004</v>
      </c>
      <c r="M577" s="29">
        <v>10800006</v>
      </c>
      <c r="N577" s="29" t="s">
        <v>496</v>
      </c>
      <c r="O577" s="29">
        <v>10902023</v>
      </c>
      <c r="P577" s="29">
        <v>0</v>
      </c>
      <c r="Q577" s="29">
        <v>0</v>
      </c>
      <c r="R577" s="29">
        <v>1</v>
      </c>
      <c r="T577" s="29">
        <v>100</v>
      </c>
      <c r="AY577" s="29" t="s">
        <v>425</v>
      </c>
      <c r="AZ577" s="29">
        <v>0</v>
      </c>
      <c r="GR577" s="29">
        <v>0</v>
      </c>
      <c r="GS577" s="29">
        <v>0</v>
      </c>
      <c r="GT577" s="29" t="s">
        <v>425</v>
      </c>
      <c r="GU577" s="29">
        <v>0</v>
      </c>
      <c r="GX577" s="29">
        <v>0</v>
      </c>
      <c r="GZ577" s="29">
        <v>0</v>
      </c>
      <c r="HA577" s="29">
        <v>0</v>
      </c>
      <c r="HB577" s="29">
        <v>0</v>
      </c>
      <c r="HC577" s="29">
        <v>0</v>
      </c>
      <c r="HD577" s="29">
        <v>0</v>
      </c>
      <c r="HE577" s="29" t="b">
        <v>0</v>
      </c>
      <c r="HG577" s="29">
        <v>0</v>
      </c>
      <c r="HI577" s="29" t="s">
        <v>334</v>
      </c>
      <c r="HJ577" s="29">
        <v>0</v>
      </c>
      <c r="HK577" s="29">
        <v>0</v>
      </c>
      <c r="HL577" s="29">
        <v>0</v>
      </c>
    </row>
    <row r="578" spans="2:220">
      <c r="B578" s="29" cm="1">
        <f t="array" ref="B578">10000000+INDEX(编号表!$B$1:$B$112,MATCH(D578,编号表!$A$1:$A$112,0))*10000+I578</f>
        <v>10800006</v>
      </c>
      <c r="C578" s="29" t="s">
        <v>495</v>
      </c>
      <c r="D578" s="29" t="s">
        <v>495</v>
      </c>
      <c r="E578" s="29" t="s">
        <v>445</v>
      </c>
      <c r="F578" s="29" t="s">
        <v>427</v>
      </c>
      <c r="G578" s="29">
        <v>1</v>
      </c>
      <c r="H578" s="29" t="b">
        <v>0</v>
      </c>
      <c r="I578" s="29">
        <v>6</v>
      </c>
      <c r="J578" s="29">
        <v>108000</v>
      </c>
      <c r="K578" s="29" t="s">
        <v>324</v>
      </c>
      <c r="L578" s="29">
        <v>10800005</v>
      </c>
      <c r="M578" s="29">
        <v>10800007</v>
      </c>
      <c r="N578" s="29" t="s">
        <v>496</v>
      </c>
      <c r="O578" s="29">
        <v>10902023</v>
      </c>
      <c r="P578" s="29">
        <v>0</v>
      </c>
      <c r="Q578" s="29">
        <v>0</v>
      </c>
      <c r="R578" s="29">
        <v>1</v>
      </c>
      <c r="T578" s="29">
        <v>100</v>
      </c>
      <c r="AY578" s="29" t="s">
        <v>425</v>
      </c>
      <c r="AZ578" s="29">
        <v>0</v>
      </c>
      <c r="GR578" s="29">
        <v>0</v>
      </c>
      <c r="GS578" s="29">
        <v>0</v>
      </c>
      <c r="GT578" s="29" t="s">
        <v>425</v>
      </c>
      <c r="GU578" s="29">
        <v>0</v>
      </c>
      <c r="GX578" s="29">
        <v>0</v>
      </c>
      <c r="GZ578" s="29">
        <v>0</v>
      </c>
      <c r="HA578" s="29">
        <v>0</v>
      </c>
      <c r="HB578" s="29">
        <v>0</v>
      </c>
      <c r="HC578" s="29">
        <v>0</v>
      </c>
      <c r="HD578" s="29">
        <v>0</v>
      </c>
      <c r="HE578" s="29" t="b">
        <v>0</v>
      </c>
      <c r="HG578" s="29">
        <v>0</v>
      </c>
      <c r="HI578" s="29" t="s">
        <v>334</v>
      </c>
      <c r="HJ578" s="29">
        <v>0</v>
      </c>
      <c r="HK578" s="29">
        <v>0</v>
      </c>
      <c r="HL578" s="29">
        <v>0</v>
      </c>
    </row>
    <row r="579" spans="2:220">
      <c r="B579" s="29" cm="1">
        <f t="array" ref="B579">10000000+INDEX(编号表!$B$1:$B$112,MATCH(D579,编号表!$A$1:$A$112,0))*10000+I579</f>
        <v>10800007</v>
      </c>
      <c r="C579" s="29" t="s">
        <v>495</v>
      </c>
      <c r="D579" s="29" t="s">
        <v>495</v>
      </c>
      <c r="E579" s="29" t="s">
        <v>445</v>
      </c>
      <c r="F579" s="29" t="s">
        <v>427</v>
      </c>
      <c r="G579" s="29">
        <v>1</v>
      </c>
      <c r="H579" s="29" t="b">
        <v>0</v>
      </c>
      <c r="I579" s="29">
        <v>7</v>
      </c>
      <c r="J579" s="29">
        <v>108000</v>
      </c>
      <c r="K579" s="29" t="s">
        <v>324</v>
      </c>
      <c r="L579" s="29">
        <v>10800006</v>
      </c>
      <c r="M579" s="29">
        <v>10800008</v>
      </c>
      <c r="N579" s="29" t="s">
        <v>496</v>
      </c>
      <c r="O579" s="29">
        <v>10902023</v>
      </c>
      <c r="P579" s="29">
        <v>0</v>
      </c>
      <c r="Q579" s="29">
        <v>0</v>
      </c>
      <c r="R579" s="29">
        <v>1</v>
      </c>
      <c r="T579" s="29">
        <v>100</v>
      </c>
      <c r="AY579" s="29" t="s">
        <v>425</v>
      </c>
      <c r="AZ579" s="29">
        <v>0</v>
      </c>
      <c r="GR579" s="29">
        <v>0</v>
      </c>
      <c r="GS579" s="29">
        <v>0</v>
      </c>
      <c r="GT579" s="29" t="s">
        <v>425</v>
      </c>
      <c r="GU579" s="29">
        <v>0</v>
      </c>
      <c r="GX579" s="29">
        <v>0</v>
      </c>
      <c r="GZ579" s="29">
        <v>0</v>
      </c>
      <c r="HA579" s="29">
        <v>0</v>
      </c>
      <c r="HB579" s="29">
        <v>0</v>
      </c>
      <c r="HC579" s="29">
        <v>0</v>
      </c>
      <c r="HD579" s="29">
        <v>0</v>
      </c>
      <c r="HE579" s="29" t="b">
        <v>0</v>
      </c>
      <c r="HG579" s="29">
        <v>0</v>
      </c>
      <c r="HI579" s="29" t="s">
        <v>334</v>
      </c>
      <c r="HJ579" s="29">
        <v>0</v>
      </c>
      <c r="HK579" s="29">
        <v>0</v>
      </c>
      <c r="HL579" s="29">
        <v>0</v>
      </c>
    </row>
    <row r="580" spans="2:220">
      <c r="B580" s="29" cm="1">
        <f t="array" ref="B580">10000000+INDEX(编号表!$B$1:$B$112,MATCH(D580,编号表!$A$1:$A$112,0))*10000+I580</f>
        <v>10800008</v>
      </c>
      <c r="C580" s="29" t="s">
        <v>495</v>
      </c>
      <c r="D580" s="29" t="s">
        <v>495</v>
      </c>
      <c r="E580" s="29" t="s">
        <v>445</v>
      </c>
      <c r="F580" s="29" t="s">
        <v>427</v>
      </c>
      <c r="G580" s="29">
        <v>1</v>
      </c>
      <c r="H580" s="29" t="b">
        <v>0</v>
      </c>
      <c r="I580" s="29">
        <v>8</v>
      </c>
      <c r="J580" s="29">
        <v>108000</v>
      </c>
      <c r="K580" s="29" t="s">
        <v>324</v>
      </c>
      <c r="L580" s="29">
        <v>10800007</v>
      </c>
      <c r="M580" s="29">
        <v>10800009</v>
      </c>
      <c r="N580" s="29" t="s">
        <v>496</v>
      </c>
      <c r="O580" s="29">
        <v>10902023</v>
      </c>
      <c r="P580" s="29">
        <v>0</v>
      </c>
      <c r="Q580" s="29">
        <v>0</v>
      </c>
      <c r="R580" s="29">
        <v>1</v>
      </c>
      <c r="T580" s="29">
        <v>100</v>
      </c>
      <c r="AY580" s="29" t="s">
        <v>425</v>
      </c>
      <c r="AZ580" s="29">
        <v>0</v>
      </c>
      <c r="GR580" s="29">
        <v>0</v>
      </c>
      <c r="GS580" s="29">
        <v>0</v>
      </c>
      <c r="GT580" s="29" t="s">
        <v>425</v>
      </c>
      <c r="GU580" s="29">
        <v>0</v>
      </c>
      <c r="GX580" s="29">
        <v>0</v>
      </c>
      <c r="GZ580" s="29">
        <v>0</v>
      </c>
      <c r="HA580" s="29">
        <v>0</v>
      </c>
      <c r="HB580" s="29">
        <v>0</v>
      </c>
      <c r="HC580" s="29">
        <v>0</v>
      </c>
      <c r="HD580" s="29">
        <v>0</v>
      </c>
      <c r="HE580" s="29" t="b">
        <v>0</v>
      </c>
      <c r="HG580" s="29">
        <v>0</v>
      </c>
      <c r="HI580" s="29" t="s">
        <v>334</v>
      </c>
      <c r="HJ580" s="29">
        <v>0</v>
      </c>
      <c r="HK580" s="29">
        <v>0</v>
      </c>
      <c r="HL580" s="29">
        <v>0</v>
      </c>
    </row>
    <row r="581" spans="2:220">
      <c r="B581" s="29" cm="1">
        <f t="array" ref="B581">10000000+INDEX(编号表!$B$1:$B$112,MATCH(D581,编号表!$A$1:$A$112,0))*10000+I581</f>
        <v>10800009</v>
      </c>
      <c r="C581" s="29" t="s">
        <v>495</v>
      </c>
      <c r="D581" s="29" t="s">
        <v>495</v>
      </c>
      <c r="E581" s="29" t="s">
        <v>445</v>
      </c>
      <c r="F581" s="29" t="s">
        <v>427</v>
      </c>
      <c r="G581" s="29">
        <v>1</v>
      </c>
      <c r="H581" s="29" t="b">
        <v>0</v>
      </c>
      <c r="I581" s="29">
        <v>9</v>
      </c>
      <c r="J581" s="29">
        <v>108000</v>
      </c>
      <c r="K581" s="29" t="s">
        <v>324</v>
      </c>
      <c r="L581" s="29">
        <v>10800008</v>
      </c>
      <c r="M581" s="29">
        <v>10800010</v>
      </c>
      <c r="N581" s="29" t="s">
        <v>496</v>
      </c>
      <c r="O581" s="29">
        <v>10902023</v>
      </c>
      <c r="P581" s="29">
        <v>0</v>
      </c>
      <c r="Q581" s="29">
        <v>0</v>
      </c>
      <c r="R581" s="29">
        <v>1</v>
      </c>
      <c r="T581" s="29">
        <v>100</v>
      </c>
      <c r="AY581" s="29" t="s">
        <v>425</v>
      </c>
      <c r="AZ581" s="29">
        <v>0</v>
      </c>
      <c r="GR581" s="29">
        <v>0</v>
      </c>
      <c r="GS581" s="29">
        <v>0</v>
      </c>
      <c r="GT581" s="29" t="s">
        <v>425</v>
      </c>
      <c r="GU581" s="29">
        <v>0</v>
      </c>
      <c r="GX581" s="29">
        <v>0</v>
      </c>
      <c r="GZ581" s="29">
        <v>0</v>
      </c>
      <c r="HA581" s="29">
        <v>0</v>
      </c>
      <c r="HB581" s="29">
        <v>0</v>
      </c>
      <c r="HC581" s="29">
        <v>0</v>
      </c>
      <c r="HD581" s="29">
        <v>0</v>
      </c>
      <c r="HE581" s="29" t="b">
        <v>0</v>
      </c>
      <c r="HG581" s="29">
        <v>0</v>
      </c>
      <c r="HI581" s="29" t="s">
        <v>334</v>
      </c>
      <c r="HJ581" s="29">
        <v>0</v>
      </c>
      <c r="HK581" s="29">
        <v>0</v>
      </c>
      <c r="HL581" s="29">
        <v>0</v>
      </c>
    </row>
    <row r="582" spans="2:220">
      <c r="B582" s="29" cm="1">
        <f t="array" ref="B582">10000000+INDEX(编号表!$B$1:$B$112,MATCH(D582,编号表!$A$1:$A$112,0))*10000+I582</f>
        <v>10800010</v>
      </c>
      <c r="C582" s="29" t="s">
        <v>495</v>
      </c>
      <c r="D582" s="29" t="s">
        <v>495</v>
      </c>
      <c r="E582" s="29" t="s">
        <v>445</v>
      </c>
      <c r="F582" s="29" t="s">
        <v>427</v>
      </c>
      <c r="G582" s="29">
        <v>1</v>
      </c>
      <c r="H582" s="29" t="b">
        <v>0</v>
      </c>
      <c r="I582" s="29">
        <v>10</v>
      </c>
      <c r="J582" s="29">
        <v>108000</v>
      </c>
      <c r="K582" s="29" t="s">
        <v>324</v>
      </c>
      <c r="L582" s="29">
        <v>10800009</v>
      </c>
      <c r="N582" s="29" t="s">
        <v>496</v>
      </c>
      <c r="O582" s="29">
        <v>10902023</v>
      </c>
      <c r="P582" s="29">
        <v>0</v>
      </c>
      <c r="Q582" s="29">
        <v>0</v>
      </c>
      <c r="R582" s="29">
        <v>1</v>
      </c>
      <c r="T582" s="29">
        <v>100</v>
      </c>
      <c r="AY582" s="29" t="s">
        <v>425</v>
      </c>
      <c r="AZ582" s="29">
        <v>0</v>
      </c>
      <c r="GR582" s="29">
        <v>0</v>
      </c>
      <c r="GS582" s="29">
        <v>0</v>
      </c>
      <c r="GT582" s="29" t="s">
        <v>425</v>
      </c>
      <c r="GU582" s="29">
        <v>0</v>
      </c>
      <c r="GX582" s="29">
        <v>0</v>
      </c>
      <c r="GZ582" s="29">
        <v>0</v>
      </c>
      <c r="HA582" s="29">
        <v>0</v>
      </c>
      <c r="HB582" s="29">
        <v>0</v>
      </c>
      <c r="HC582" s="29">
        <v>0</v>
      </c>
      <c r="HD582" s="29">
        <v>0</v>
      </c>
      <c r="HE582" s="29" t="b">
        <v>0</v>
      </c>
      <c r="HG582" s="29">
        <v>0</v>
      </c>
      <c r="HI582" s="29" t="s">
        <v>334</v>
      </c>
      <c r="HJ582" s="29">
        <v>0</v>
      </c>
      <c r="HK582" s="29">
        <v>0</v>
      </c>
      <c r="HL582" s="29">
        <v>0</v>
      </c>
    </row>
    <row r="583" spans="2:220">
      <c r="B583" s="29" cm="1">
        <f t="array" ref="B583">10000000+INDEX(编号表!$B$1:$B$112,MATCH(D583,编号表!$A$1:$A$112,0))*10000+I583</f>
        <v>10810001</v>
      </c>
      <c r="C583" s="29" t="s">
        <v>497</v>
      </c>
      <c r="D583" s="29" t="s">
        <v>497</v>
      </c>
      <c r="E583" s="29" t="s">
        <v>445</v>
      </c>
      <c r="F583" s="29" t="s">
        <v>430</v>
      </c>
      <c r="G583" s="29">
        <v>1</v>
      </c>
      <c r="H583" s="29" t="b">
        <v>0</v>
      </c>
      <c r="I583" s="29">
        <v>1</v>
      </c>
      <c r="J583" s="29">
        <v>108100</v>
      </c>
      <c r="K583" s="29" t="s">
        <v>324</v>
      </c>
      <c r="M583" s="29">
        <v>10810002</v>
      </c>
      <c r="N583" s="29" t="s">
        <v>498</v>
      </c>
      <c r="O583" s="29">
        <v>10902024</v>
      </c>
      <c r="P583" s="29">
        <v>0</v>
      </c>
      <c r="Q583" s="29">
        <v>0</v>
      </c>
      <c r="R583" s="29">
        <v>1</v>
      </c>
      <c r="T583" s="29">
        <v>100</v>
      </c>
      <c r="AY583" s="29" t="s">
        <v>425</v>
      </c>
      <c r="AZ583" s="29">
        <v>0</v>
      </c>
      <c r="GR583" s="29">
        <v>0</v>
      </c>
      <c r="GS583" s="29">
        <v>0</v>
      </c>
      <c r="GT583" s="29" t="s">
        <v>425</v>
      </c>
      <c r="GU583" s="29">
        <v>0</v>
      </c>
      <c r="GX583" s="29">
        <v>0</v>
      </c>
      <c r="GZ583" s="29">
        <v>0</v>
      </c>
      <c r="HA583" s="29">
        <v>0</v>
      </c>
      <c r="HB583" s="29">
        <v>0</v>
      </c>
      <c r="HC583" s="29">
        <v>0</v>
      </c>
      <c r="HD583" s="29">
        <v>0</v>
      </c>
      <c r="HE583" s="29" t="b">
        <v>0</v>
      </c>
      <c r="HG583" s="29">
        <v>0</v>
      </c>
      <c r="HI583" s="29" t="s">
        <v>334</v>
      </c>
      <c r="HJ583" s="29">
        <v>0</v>
      </c>
      <c r="HK583" s="29">
        <v>0</v>
      </c>
      <c r="HL583" s="29">
        <v>0</v>
      </c>
    </row>
    <row r="584" spans="2:220">
      <c r="B584" s="29" cm="1">
        <f t="array" ref="B584">10000000+INDEX(编号表!$B$1:$B$112,MATCH(D584,编号表!$A$1:$A$112,0))*10000+I584</f>
        <v>10810002</v>
      </c>
      <c r="C584" s="29" t="s">
        <v>497</v>
      </c>
      <c r="D584" s="29" t="s">
        <v>497</v>
      </c>
      <c r="E584" s="29" t="s">
        <v>445</v>
      </c>
      <c r="F584" s="29" t="s">
        <v>430</v>
      </c>
      <c r="G584" s="29">
        <v>1</v>
      </c>
      <c r="H584" s="29" t="b">
        <v>0</v>
      </c>
      <c r="I584" s="29">
        <v>2</v>
      </c>
      <c r="J584" s="29">
        <v>108100</v>
      </c>
      <c r="K584" s="29" t="s">
        <v>324</v>
      </c>
      <c r="L584" s="29">
        <v>10810001</v>
      </c>
      <c r="M584" s="29">
        <v>10810003</v>
      </c>
      <c r="N584" s="29" t="s">
        <v>498</v>
      </c>
      <c r="O584" s="29">
        <v>10902024</v>
      </c>
      <c r="P584" s="29">
        <v>0</v>
      </c>
      <c r="Q584" s="29">
        <v>0</v>
      </c>
      <c r="R584" s="29">
        <v>1</v>
      </c>
      <c r="T584" s="29">
        <v>100</v>
      </c>
      <c r="AY584" s="29" t="s">
        <v>425</v>
      </c>
      <c r="AZ584" s="29">
        <v>0</v>
      </c>
      <c r="GR584" s="29">
        <v>0</v>
      </c>
      <c r="GS584" s="29">
        <v>0</v>
      </c>
      <c r="GT584" s="29" t="s">
        <v>425</v>
      </c>
      <c r="GU584" s="29">
        <v>0</v>
      </c>
      <c r="GX584" s="29">
        <v>0</v>
      </c>
      <c r="GZ584" s="29">
        <v>0</v>
      </c>
      <c r="HA584" s="29">
        <v>0</v>
      </c>
      <c r="HB584" s="29">
        <v>0</v>
      </c>
      <c r="HC584" s="29">
        <v>0</v>
      </c>
      <c r="HD584" s="29">
        <v>0</v>
      </c>
      <c r="HE584" s="29" t="b">
        <v>0</v>
      </c>
      <c r="HG584" s="29">
        <v>0</v>
      </c>
      <c r="HI584" s="29" t="s">
        <v>334</v>
      </c>
      <c r="HJ584" s="29">
        <v>0</v>
      </c>
      <c r="HK584" s="29">
        <v>0</v>
      </c>
      <c r="HL584" s="29">
        <v>0</v>
      </c>
    </row>
    <row r="585" spans="2:220">
      <c r="B585" s="29" cm="1">
        <f t="array" ref="B585">10000000+INDEX(编号表!$B$1:$B$112,MATCH(D585,编号表!$A$1:$A$112,0))*10000+I585</f>
        <v>10810003</v>
      </c>
      <c r="C585" s="29" t="s">
        <v>497</v>
      </c>
      <c r="D585" s="29" t="s">
        <v>497</v>
      </c>
      <c r="E585" s="29" t="s">
        <v>445</v>
      </c>
      <c r="F585" s="29" t="s">
        <v>430</v>
      </c>
      <c r="G585" s="29">
        <v>1</v>
      </c>
      <c r="H585" s="29" t="b">
        <v>0</v>
      </c>
      <c r="I585" s="29">
        <v>3</v>
      </c>
      <c r="J585" s="29">
        <v>108100</v>
      </c>
      <c r="K585" s="29" t="s">
        <v>324</v>
      </c>
      <c r="L585" s="29">
        <v>10810002</v>
      </c>
      <c r="M585" s="29">
        <v>10810004</v>
      </c>
      <c r="N585" s="29" t="s">
        <v>498</v>
      </c>
      <c r="O585" s="29">
        <v>10902024</v>
      </c>
      <c r="P585" s="29">
        <v>0</v>
      </c>
      <c r="Q585" s="29">
        <v>0</v>
      </c>
      <c r="R585" s="29">
        <v>1</v>
      </c>
      <c r="T585" s="29">
        <v>100</v>
      </c>
      <c r="AY585" s="29" t="s">
        <v>425</v>
      </c>
      <c r="AZ585" s="29">
        <v>0</v>
      </c>
      <c r="GR585" s="29">
        <v>0</v>
      </c>
      <c r="GS585" s="29">
        <v>0</v>
      </c>
      <c r="GT585" s="29" t="s">
        <v>425</v>
      </c>
      <c r="GU585" s="29">
        <v>0</v>
      </c>
      <c r="GX585" s="29">
        <v>0</v>
      </c>
      <c r="GZ585" s="29">
        <v>0</v>
      </c>
      <c r="HA585" s="29">
        <v>0</v>
      </c>
      <c r="HB585" s="29">
        <v>0</v>
      </c>
      <c r="HC585" s="29">
        <v>0</v>
      </c>
      <c r="HD585" s="29">
        <v>0</v>
      </c>
      <c r="HE585" s="29" t="b">
        <v>0</v>
      </c>
      <c r="HG585" s="29">
        <v>0</v>
      </c>
      <c r="HI585" s="29" t="s">
        <v>334</v>
      </c>
      <c r="HJ585" s="29">
        <v>0</v>
      </c>
      <c r="HK585" s="29">
        <v>0</v>
      </c>
      <c r="HL585" s="29">
        <v>0</v>
      </c>
    </row>
    <row r="586" spans="2:220">
      <c r="B586" s="29" cm="1">
        <f t="array" ref="B586">10000000+INDEX(编号表!$B$1:$B$112,MATCH(D586,编号表!$A$1:$A$112,0))*10000+I586</f>
        <v>10810004</v>
      </c>
      <c r="C586" s="29" t="s">
        <v>497</v>
      </c>
      <c r="D586" s="29" t="s">
        <v>497</v>
      </c>
      <c r="E586" s="29" t="s">
        <v>445</v>
      </c>
      <c r="F586" s="29" t="s">
        <v>430</v>
      </c>
      <c r="G586" s="29">
        <v>1</v>
      </c>
      <c r="H586" s="29" t="b">
        <v>0</v>
      </c>
      <c r="I586" s="29">
        <v>4</v>
      </c>
      <c r="J586" s="29">
        <v>108100</v>
      </c>
      <c r="K586" s="29" t="s">
        <v>324</v>
      </c>
      <c r="L586" s="29">
        <v>10810003</v>
      </c>
      <c r="M586" s="29">
        <v>10810005</v>
      </c>
      <c r="N586" s="29" t="s">
        <v>498</v>
      </c>
      <c r="O586" s="29">
        <v>10902024</v>
      </c>
      <c r="P586" s="29">
        <v>0</v>
      </c>
      <c r="Q586" s="29">
        <v>0</v>
      </c>
      <c r="R586" s="29">
        <v>1</v>
      </c>
      <c r="T586" s="29">
        <v>100</v>
      </c>
      <c r="AY586" s="29" t="s">
        <v>425</v>
      </c>
      <c r="AZ586" s="29">
        <v>0</v>
      </c>
      <c r="GR586" s="29">
        <v>0</v>
      </c>
      <c r="GS586" s="29">
        <v>0</v>
      </c>
      <c r="GT586" s="29" t="s">
        <v>425</v>
      </c>
      <c r="GU586" s="29">
        <v>0</v>
      </c>
      <c r="GX586" s="29">
        <v>0</v>
      </c>
      <c r="GZ586" s="29">
        <v>0</v>
      </c>
      <c r="HA586" s="29">
        <v>0</v>
      </c>
      <c r="HB586" s="29">
        <v>0</v>
      </c>
      <c r="HC586" s="29">
        <v>0</v>
      </c>
      <c r="HD586" s="29">
        <v>0</v>
      </c>
      <c r="HE586" s="29" t="b">
        <v>0</v>
      </c>
      <c r="HG586" s="29">
        <v>0</v>
      </c>
      <c r="HI586" s="29" t="s">
        <v>334</v>
      </c>
      <c r="HJ586" s="29">
        <v>0</v>
      </c>
      <c r="HK586" s="29">
        <v>0</v>
      </c>
      <c r="HL586" s="29">
        <v>0</v>
      </c>
    </row>
    <row r="587" spans="2:220">
      <c r="B587" s="29" cm="1">
        <f t="array" ref="B587">10000000+INDEX(编号表!$B$1:$B$112,MATCH(D587,编号表!$A$1:$A$112,0))*10000+I587</f>
        <v>10810005</v>
      </c>
      <c r="C587" s="29" t="s">
        <v>497</v>
      </c>
      <c r="D587" s="29" t="s">
        <v>497</v>
      </c>
      <c r="E587" s="29" t="s">
        <v>445</v>
      </c>
      <c r="F587" s="29" t="s">
        <v>430</v>
      </c>
      <c r="G587" s="29">
        <v>1</v>
      </c>
      <c r="H587" s="29" t="b">
        <v>0</v>
      </c>
      <c r="I587" s="29">
        <v>5</v>
      </c>
      <c r="J587" s="29">
        <v>108100</v>
      </c>
      <c r="K587" s="29" t="s">
        <v>324</v>
      </c>
      <c r="L587" s="29">
        <v>10810004</v>
      </c>
      <c r="M587" s="29">
        <v>10810006</v>
      </c>
      <c r="N587" s="29" t="s">
        <v>498</v>
      </c>
      <c r="O587" s="29">
        <v>10902024</v>
      </c>
      <c r="P587" s="29">
        <v>0</v>
      </c>
      <c r="Q587" s="29">
        <v>0</v>
      </c>
      <c r="R587" s="29">
        <v>1</v>
      </c>
      <c r="T587" s="29">
        <v>100</v>
      </c>
      <c r="AY587" s="29" t="s">
        <v>425</v>
      </c>
      <c r="AZ587" s="29">
        <v>0</v>
      </c>
      <c r="GR587" s="29">
        <v>0</v>
      </c>
      <c r="GS587" s="29">
        <v>0</v>
      </c>
      <c r="GT587" s="29" t="s">
        <v>425</v>
      </c>
      <c r="GU587" s="29">
        <v>0</v>
      </c>
      <c r="GX587" s="29">
        <v>0</v>
      </c>
      <c r="GZ587" s="29">
        <v>0</v>
      </c>
      <c r="HA587" s="29">
        <v>0</v>
      </c>
      <c r="HB587" s="29">
        <v>0</v>
      </c>
      <c r="HC587" s="29">
        <v>0</v>
      </c>
      <c r="HD587" s="29">
        <v>0</v>
      </c>
      <c r="HE587" s="29" t="b">
        <v>0</v>
      </c>
      <c r="HG587" s="29">
        <v>0</v>
      </c>
      <c r="HI587" s="29" t="s">
        <v>334</v>
      </c>
      <c r="HJ587" s="29">
        <v>0</v>
      </c>
      <c r="HK587" s="29">
        <v>0</v>
      </c>
      <c r="HL587" s="29">
        <v>0</v>
      </c>
    </row>
    <row r="588" spans="2:220">
      <c r="B588" s="29" cm="1">
        <f t="array" ref="B588">10000000+INDEX(编号表!$B$1:$B$112,MATCH(D588,编号表!$A$1:$A$112,0))*10000+I588</f>
        <v>10810006</v>
      </c>
      <c r="C588" s="29" t="s">
        <v>497</v>
      </c>
      <c r="D588" s="29" t="s">
        <v>497</v>
      </c>
      <c r="E588" s="29" t="s">
        <v>445</v>
      </c>
      <c r="F588" s="29" t="s">
        <v>430</v>
      </c>
      <c r="G588" s="29">
        <v>1</v>
      </c>
      <c r="H588" s="29" t="b">
        <v>0</v>
      </c>
      <c r="I588" s="29">
        <v>6</v>
      </c>
      <c r="J588" s="29">
        <v>108100</v>
      </c>
      <c r="K588" s="29" t="s">
        <v>324</v>
      </c>
      <c r="L588" s="29">
        <v>10810005</v>
      </c>
      <c r="M588" s="29">
        <v>10810007</v>
      </c>
      <c r="N588" s="29" t="s">
        <v>498</v>
      </c>
      <c r="O588" s="29">
        <v>10902024</v>
      </c>
      <c r="P588" s="29">
        <v>0</v>
      </c>
      <c r="Q588" s="29">
        <v>0</v>
      </c>
      <c r="R588" s="29">
        <v>1</v>
      </c>
      <c r="T588" s="29">
        <v>100</v>
      </c>
      <c r="AY588" s="29" t="s">
        <v>425</v>
      </c>
      <c r="AZ588" s="29">
        <v>0</v>
      </c>
      <c r="GR588" s="29">
        <v>0</v>
      </c>
      <c r="GS588" s="29">
        <v>0</v>
      </c>
      <c r="GT588" s="29" t="s">
        <v>425</v>
      </c>
      <c r="GU588" s="29">
        <v>0</v>
      </c>
      <c r="GX588" s="29">
        <v>0</v>
      </c>
      <c r="GZ588" s="29">
        <v>0</v>
      </c>
      <c r="HA588" s="29">
        <v>0</v>
      </c>
      <c r="HB588" s="29">
        <v>0</v>
      </c>
      <c r="HC588" s="29">
        <v>0</v>
      </c>
      <c r="HD588" s="29">
        <v>0</v>
      </c>
      <c r="HE588" s="29" t="b">
        <v>0</v>
      </c>
      <c r="HG588" s="29">
        <v>0</v>
      </c>
      <c r="HI588" s="29" t="s">
        <v>334</v>
      </c>
      <c r="HJ588" s="29">
        <v>0</v>
      </c>
      <c r="HK588" s="29">
        <v>0</v>
      </c>
      <c r="HL588" s="29">
        <v>0</v>
      </c>
    </row>
    <row r="589" spans="2:220">
      <c r="B589" s="29" cm="1">
        <f t="array" ref="B589">10000000+INDEX(编号表!$B$1:$B$112,MATCH(D589,编号表!$A$1:$A$112,0))*10000+I589</f>
        <v>10810007</v>
      </c>
      <c r="C589" s="29" t="s">
        <v>497</v>
      </c>
      <c r="D589" s="29" t="s">
        <v>497</v>
      </c>
      <c r="E589" s="29" t="s">
        <v>445</v>
      </c>
      <c r="F589" s="29" t="s">
        <v>430</v>
      </c>
      <c r="G589" s="29">
        <v>1</v>
      </c>
      <c r="H589" s="29" t="b">
        <v>0</v>
      </c>
      <c r="I589" s="29">
        <v>7</v>
      </c>
      <c r="J589" s="29">
        <v>108100</v>
      </c>
      <c r="K589" s="29" t="s">
        <v>324</v>
      </c>
      <c r="L589" s="29">
        <v>10810006</v>
      </c>
      <c r="M589" s="29">
        <v>10810008</v>
      </c>
      <c r="N589" s="29" t="s">
        <v>498</v>
      </c>
      <c r="O589" s="29">
        <v>10902024</v>
      </c>
      <c r="P589" s="29">
        <v>0</v>
      </c>
      <c r="Q589" s="29">
        <v>0</v>
      </c>
      <c r="R589" s="29">
        <v>1</v>
      </c>
      <c r="T589" s="29">
        <v>100</v>
      </c>
      <c r="AY589" s="29" t="s">
        <v>425</v>
      </c>
      <c r="AZ589" s="29">
        <v>0</v>
      </c>
      <c r="GR589" s="29">
        <v>0</v>
      </c>
      <c r="GS589" s="29">
        <v>0</v>
      </c>
      <c r="GT589" s="29" t="s">
        <v>425</v>
      </c>
      <c r="GU589" s="29">
        <v>0</v>
      </c>
      <c r="GX589" s="29">
        <v>0</v>
      </c>
      <c r="GZ589" s="29">
        <v>0</v>
      </c>
      <c r="HA589" s="29">
        <v>0</v>
      </c>
      <c r="HB589" s="29">
        <v>0</v>
      </c>
      <c r="HC589" s="29">
        <v>0</v>
      </c>
      <c r="HD589" s="29">
        <v>0</v>
      </c>
      <c r="HE589" s="29" t="b">
        <v>0</v>
      </c>
      <c r="HG589" s="29">
        <v>0</v>
      </c>
      <c r="HI589" s="29" t="s">
        <v>334</v>
      </c>
      <c r="HJ589" s="29">
        <v>0</v>
      </c>
      <c r="HK589" s="29">
        <v>0</v>
      </c>
      <c r="HL589" s="29">
        <v>0</v>
      </c>
    </row>
    <row r="590" spans="2:220">
      <c r="B590" s="29" cm="1">
        <f t="array" ref="B590">10000000+INDEX(编号表!$B$1:$B$112,MATCH(D590,编号表!$A$1:$A$112,0))*10000+I590</f>
        <v>10810008</v>
      </c>
      <c r="C590" s="29" t="s">
        <v>497</v>
      </c>
      <c r="D590" s="29" t="s">
        <v>497</v>
      </c>
      <c r="E590" s="29" t="s">
        <v>445</v>
      </c>
      <c r="F590" s="29" t="s">
        <v>430</v>
      </c>
      <c r="G590" s="29">
        <v>1</v>
      </c>
      <c r="H590" s="29" t="b">
        <v>0</v>
      </c>
      <c r="I590" s="29">
        <v>8</v>
      </c>
      <c r="J590" s="29">
        <v>108100</v>
      </c>
      <c r="K590" s="29" t="s">
        <v>324</v>
      </c>
      <c r="L590" s="29">
        <v>10810007</v>
      </c>
      <c r="M590" s="29">
        <v>10810009</v>
      </c>
      <c r="N590" s="29" t="s">
        <v>498</v>
      </c>
      <c r="O590" s="29">
        <v>10902024</v>
      </c>
      <c r="P590" s="29">
        <v>0</v>
      </c>
      <c r="Q590" s="29">
        <v>0</v>
      </c>
      <c r="R590" s="29">
        <v>1</v>
      </c>
      <c r="T590" s="29">
        <v>100</v>
      </c>
      <c r="AY590" s="29" t="s">
        <v>425</v>
      </c>
      <c r="AZ590" s="29">
        <v>0</v>
      </c>
      <c r="GR590" s="29">
        <v>0</v>
      </c>
      <c r="GS590" s="29">
        <v>0</v>
      </c>
      <c r="GT590" s="29" t="s">
        <v>425</v>
      </c>
      <c r="GU590" s="29">
        <v>0</v>
      </c>
      <c r="GX590" s="29">
        <v>0</v>
      </c>
      <c r="GZ590" s="29">
        <v>0</v>
      </c>
      <c r="HA590" s="29">
        <v>0</v>
      </c>
      <c r="HB590" s="29">
        <v>0</v>
      </c>
      <c r="HC590" s="29">
        <v>0</v>
      </c>
      <c r="HD590" s="29">
        <v>0</v>
      </c>
      <c r="HE590" s="29" t="b">
        <v>0</v>
      </c>
      <c r="HG590" s="29">
        <v>0</v>
      </c>
      <c r="HI590" s="29" t="s">
        <v>334</v>
      </c>
      <c r="HJ590" s="29">
        <v>0</v>
      </c>
      <c r="HK590" s="29">
        <v>0</v>
      </c>
      <c r="HL590" s="29">
        <v>0</v>
      </c>
    </row>
    <row r="591" spans="2:220">
      <c r="B591" s="29" cm="1">
        <f t="array" ref="B591">10000000+INDEX(编号表!$B$1:$B$112,MATCH(D591,编号表!$A$1:$A$112,0))*10000+I591</f>
        <v>10810009</v>
      </c>
      <c r="C591" s="29" t="s">
        <v>497</v>
      </c>
      <c r="D591" s="29" t="s">
        <v>497</v>
      </c>
      <c r="E591" s="29" t="s">
        <v>445</v>
      </c>
      <c r="F591" s="29" t="s">
        <v>430</v>
      </c>
      <c r="G591" s="29">
        <v>1</v>
      </c>
      <c r="H591" s="29" t="b">
        <v>0</v>
      </c>
      <c r="I591" s="29">
        <v>9</v>
      </c>
      <c r="J591" s="29">
        <v>108100</v>
      </c>
      <c r="K591" s="29" t="s">
        <v>324</v>
      </c>
      <c r="L591" s="29">
        <v>10810008</v>
      </c>
      <c r="M591" s="29">
        <v>10810010</v>
      </c>
      <c r="N591" s="29" t="s">
        <v>498</v>
      </c>
      <c r="O591" s="29">
        <v>10902024</v>
      </c>
      <c r="P591" s="29">
        <v>0</v>
      </c>
      <c r="Q591" s="29">
        <v>0</v>
      </c>
      <c r="R591" s="29">
        <v>1</v>
      </c>
      <c r="T591" s="29">
        <v>100</v>
      </c>
      <c r="AY591" s="29" t="s">
        <v>425</v>
      </c>
      <c r="AZ591" s="29">
        <v>0</v>
      </c>
      <c r="GR591" s="29">
        <v>0</v>
      </c>
      <c r="GS591" s="29">
        <v>0</v>
      </c>
      <c r="GT591" s="29" t="s">
        <v>425</v>
      </c>
      <c r="GU591" s="29">
        <v>0</v>
      </c>
      <c r="GX591" s="29">
        <v>0</v>
      </c>
      <c r="GZ591" s="29">
        <v>0</v>
      </c>
      <c r="HA591" s="29">
        <v>0</v>
      </c>
      <c r="HB591" s="29">
        <v>0</v>
      </c>
      <c r="HC591" s="29">
        <v>0</v>
      </c>
      <c r="HD591" s="29">
        <v>0</v>
      </c>
      <c r="HE591" s="29" t="b">
        <v>0</v>
      </c>
      <c r="HG591" s="29">
        <v>0</v>
      </c>
      <c r="HI591" s="29" t="s">
        <v>334</v>
      </c>
      <c r="HJ591" s="29">
        <v>0</v>
      </c>
      <c r="HK591" s="29">
        <v>0</v>
      </c>
      <c r="HL591" s="29">
        <v>0</v>
      </c>
    </row>
    <row r="592" spans="2:220">
      <c r="B592" s="29" cm="1">
        <f t="array" ref="B592">10000000+INDEX(编号表!$B$1:$B$112,MATCH(D592,编号表!$A$1:$A$112,0))*10000+I592</f>
        <v>10810010</v>
      </c>
      <c r="C592" s="29" t="s">
        <v>497</v>
      </c>
      <c r="D592" s="29" t="s">
        <v>497</v>
      </c>
      <c r="E592" s="29" t="s">
        <v>445</v>
      </c>
      <c r="F592" s="29" t="s">
        <v>430</v>
      </c>
      <c r="G592" s="29">
        <v>1</v>
      </c>
      <c r="H592" s="29" t="b">
        <v>0</v>
      </c>
      <c r="I592" s="29">
        <v>10</v>
      </c>
      <c r="J592" s="29">
        <v>108100</v>
      </c>
      <c r="K592" s="29" t="s">
        <v>324</v>
      </c>
      <c r="L592" s="29">
        <v>10810009</v>
      </c>
      <c r="N592" s="29" t="s">
        <v>498</v>
      </c>
      <c r="O592" s="29">
        <v>10902024</v>
      </c>
      <c r="P592" s="29">
        <v>0</v>
      </c>
      <c r="Q592" s="29">
        <v>0</v>
      </c>
      <c r="R592" s="29">
        <v>1</v>
      </c>
      <c r="T592" s="29">
        <v>100</v>
      </c>
      <c r="AY592" s="29" t="s">
        <v>425</v>
      </c>
      <c r="AZ592" s="29">
        <v>0</v>
      </c>
      <c r="GR592" s="29">
        <v>0</v>
      </c>
      <c r="GS592" s="29">
        <v>0</v>
      </c>
      <c r="GT592" s="29" t="s">
        <v>425</v>
      </c>
      <c r="GU592" s="29">
        <v>0</v>
      </c>
      <c r="GX592" s="29">
        <v>0</v>
      </c>
      <c r="GZ592" s="29">
        <v>0</v>
      </c>
      <c r="HA592" s="29">
        <v>0</v>
      </c>
      <c r="HB592" s="29">
        <v>0</v>
      </c>
      <c r="HC592" s="29">
        <v>0</v>
      </c>
      <c r="HD592" s="29">
        <v>0</v>
      </c>
      <c r="HE592" s="29" t="b">
        <v>0</v>
      </c>
      <c r="HG592" s="29">
        <v>0</v>
      </c>
      <c r="HI592" s="29" t="s">
        <v>334</v>
      </c>
      <c r="HJ592" s="29">
        <v>0</v>
      </c>
      <c r="HK592" s="29">
        <v>0</v>
      </c>
      <c r="HL592" s="29">
        <v>0</v>
      </c>
    </row>
    <row r="593" spans="2:220">
      <c r="B593" s="29" cm="1">
        <f t="array" ref="B593">10000000+INDEX(编号表!$B$1:$B$112,MATCH(D593,编号表!$A$1:$A$112,0))*10000+I593</f>
        <v>10820001</v>
      </c>
      <c r="C593" s="29" t="s">
        <v>499</v>
      </c>
      <c r="D593" s="29" t="s">
        <v>499</v>
      </c>
      <c r="E593" s="29" t="s">
        <v>445</v>
      </c>
      <c r="F593" s="29" t="s">
        <v>433</v>
      </c>
      <c r="G593" s="29">
        <v>1</v>
      </c>
      <c r="H593" s="29" t="b">
        <v>0</v>
      </c>
      <c r="I593" s="29">
        <v>1</v>
      </c>
      <c r="J593" s="29">
        <v>108200</v>
      </c>
      <c r="K593" s="29" t="s">
        <v>324</v>
      </c>
      <c r="M593" s="29">
        <v>10820002</v>
      </c>
      <c r="N593" s="29" t="s">
        <v>500</v>
      </c>
      <c r="O593" s="29">
        <v>10902025</v>
      </c>
      <c r="P593" s="29">
        <v>0</v>
      </c>
      <c r="Q593" s="29">
        <v>0</v>
      </c>
      <c r="R593" s="29">
        <v>1</v>
      </c>
      <c r="T593" s="29">
        <v>100</v>
      </c>
      <c r="AY593" s="29" t="s">
        <v>425</v>
      </c>
      <c r="AZ593" s="29">
        <v>0</v>
      </c>
      <c r="GR593" s="29">
        <v>0</v>
      </c>
      <c r="GS593" s="29">
        <v>0</v>
      </c>
      <c r="GT593" s="29" t="s">
        <v>425</v>
      </c>
      <c r="GU593" s="29">
        <v>0</v>
      </c>
      <c r="GX593" s="29">
        <v>0</v>
      </c>
      <c r="GZ593" s="29">
        <v>0</v>
      </c>
      <c r="HA593" s="29">
        <v>0</v>
      </c>
      <c r="HB593" s="29">
        <v>0</v>
      </c>
      <c r="HC593" s="29">
        <v>0</v>
      </c>
      <c r="HD593" s="29">
        <v>0</v>
      </c>
      <c r="HE593" s="29" t="b">
        <v>0</v>
      </c>
      <c r="HG593" s="29">
        <v>0</v>
      </c>
      <c r="HI593" s="29" t="s">
        <v>334</v>
      </c>
      <c r="HJ593" s="29">
        <v>0</v>
      </c>
      <c r="HK593" s="29">
        <v>0</v>
      </c>
      <c r="HL593" s="29">
        <v>0</v>
      </c>
    </row>
    <row r="594" spans="2:220">
      <c r="B594" s="29" cm="1">
        <f t="array" ref="B594">10000000+INDEX(编号表!$B$1:$B$112,MATCH(D594,编号表!$A$1:$A$112,0))*10000+I594</f>
        <v>10820002</v>
      </c>
      <c r="C594" s="29" t="s">
        <v>499</v>
      </c>
      <c r="D594" s="29" t="s">
        <v>499</v>
      </c>
      <c r="E594" s="29" t="s">
        <v>445</v>
      </c>
      <c r="F594" s="29" t="s">
        <v>433</v>
      </c>
      <c r="G594" s="29">
        <v>1</v>
      </c>
      <c r="H594" s="29" t="b">
        <v>0</v>
      </c>
      <c r="I594" s="29">
        <v>2</v>
      </c>
      <c r="J594" s="29">
        <v>108200</v>
      </c>
      <c r="K594" s="29" t="s">
        <v>324</v>
      </c>
      <c r="L594" s="29">
        <v>10820001</v>
      </c>
      <c r="M594" s="29">
        <v>10820003</v>
      </c>
      <c r="N594" s="29" t="s">
        <v>500</v>
      </c>
      <c r="O594" s="29">
        <v>10902025</v>
      </c>
      <c r="P594" s="29">
        <v>0</v>
      </c>
      <c r="Q594" s="29">
        <v>0</v>
      </c>
      <c r="R594" s="29">
        <v>1</v>
      </c>
      <c r="T594" s="29">
        <v>100</v>
      </c>
      <c r="AY594" s="29" t="s">
        <v>425</v>
      </c>
      <c r="AZ594" s="29">
        <v>0</v>
      </c>
      <c r="GR594" s="29">
        <v>0</v>
      </c>
      <c r="GS594" s="29">
        <v>0</v>
      </c>
      <c r="GT594" s="29" t="s">
        <v>425</v>
      </c>
      <c r="GU594" s="29">
        <v>0</v>
      </c>
      <c r="GX594" s="29">
        <v>0</v>
      </c>
      <c r="GZ594" s="29">
        <v>0</v>
      </c>
      <c r="HA594" s="29">
        <v>0</v>
      </c>
      <c r="HB594" s="29">
        <v>0</v>
      </c>
      <c r="HC594" s="29">
        <v>0</v>
      </c>
      <c r="HD594" s="29">
        <v>0</v>
      </c>
      <c r="HE594" s="29" t="b">
        <v>0</v>
      </c>
      <c r="HG594" s="29">
        <v>0</v>
      </c>
      <c r="HI594" s="29" t="s">
        <v>334</v>
      </c>
      <c r="HJ594" s="29">
        <v>0</v>
      </c>
      <c r="HK594" s="29">
        <v>0</v>
      </c>
      <c r="HL594" s="29">
        <v>0</v>
      </c>
    </row>
    <row r="595" spans="2:220">
      <c r="B595" s="29" cm="1">
        <f t="array" ref="B595">10000000+INDEX(编号表!$B$1:$B$112,MATCH(D595,编号表!$A$1:$A$112,0))*10000+I595</f>
        <v>10820003</v>
      </c>
      <c r="C595" s="29" t="s">
        <v>499</v>
      </c>
      <c r="D595" s="29" t="s">
        <v>499</v>
      </c>
      <c r="E595" s="29" t="s">
        <v>445</v>
      </c>
      <c r="F595" s="29" t="s">
        <v>433</v>
      </c>
      <c r="G595" s="29">
        <v>1</v>
      </c>
      <c r="H595" s="29" t="b">
        <v>0</v>
      </c>
      <c r="I595" s="29">
        <v>3</v>
      </c>
      <c r="J595" s="29">
        <v>108200</v>
      </c>
      <c r="K595" s="29" t="s">
        <v>324</v>
      </c>
      <c r="L595" s="29">
        <v>10820002</v>
      </c>
      <c r="M595" s="29">
        <v>10820004</v>
      </c>
      <c r="N595" s="29" t="s">
        <v>500</v>
      </c>
      <c r="O595" s="29">
        <v>10902025</v>
      </c>
      <c r="P595" s="29">
        <v>0</v>
      </c>
      <c r="Q595" s="29">
        <v>0</v>
      </c>
      <c r="R595" s="29">
        <v>1</v>
      </c>
      <c r="T595" s="29">
        <v>100</v>
      </c>
      <c r="AY595" s="29" t="s">
        <v>425</v>
      </c>
      <c r="AZ595" s="29">
        <v>0</v>
      </c>
      <c r="GR595" s="29">
        <v>0</v>
      </c>
      <c r="GS595" s="29">
        <v>0</v>
      </c>
      <c r="GT595" s="29" t="s">
        <v>425</v>
      </c>
      <c r="GU595" s="29">
        <v>0</v>
      </c>
      <c r="GX595" s="29">
        <v>0</v>
      </c>
      <c r="GZ595" s="29">
        <v>0</v>
      </c>
      <c r="HA595" s="29">
        <v>0</v>
      </c>
      <c r="HB595" s="29">
        <v>0</v>
      </c>
      <c r="HC595" s="29">
        <v>0</v>
      </c>
      <c r="HD595" s="29">
        <v>0</v>
      </c>
      <c r="HE595" s="29" t="b">
        <v>0</v>
      </c>
      <c r="HG595" s="29">
        <v>0</v>
      </c>
      <c r="HI595" s="29" t="s">
        <v>334</v>
      </c>
      <c r="HJ595" s="29">
        <v>0</v>
      </c>
      <c r="HK595" s="29">
        <v>0</v>
      </c>
      <c r="HL595" s="29">
        <v>0</v>
      </c>
    </row>
    <row r="596" spans="2:220">
      <c r="B596" s="29" cm="1">
        <f t="array" ref="B596">10000000+INDEX(编号表!$B$1:$B$112,MATCH(D596,编号表!$A$1:$A$112,0))*10000+I596</f>
        <v>10820004</v>
      </c>
      <c r="C596" s="29" t="s">
        <v>499</v>
      </c>
      <c r="D596" s="29" t="s">
        <v>499</v>
      </c>
      <c r="E596" s="29" t="s">
        <v>445</v>
      </c>
      <c r="F596" s="29" t="s">
        <v>433</v>
      </c>
      <c r="G596" s="29">
        <v>1</v>
      </c>
      <c r="H596" s="29" t="b">
        <v>0</v>
      </c>
      <c r="I596" s="29">
        <v>4</v>
      </c>
      <c r="J596" s="29">
        <v>108200</v>
      </c>
      <c r="K596" s="29" t="s">
        <v>324</v>
      </c>
      <c r="L596" s="29">
        <v>10820003</v>
      </c>
      <c r="M596" s="29">
        <v>10820005</v>
      </c>
      <c r="N596" s="29" t="s">
        <v>500</v>
      </c>
      <c r="O596" s="29">
        <v>10902025</v>
      </c>
      <c r="P596" s="29">
        <v>0</v>
      </c>
      <c r="Q596" s="29">
        <v>0</v>
      </c>
      <c r="R596" s="29">
        <v>1</v>
      </c>
      <c r="T596" s="29">
        <v>100</v>
      </c>
      <c r="AY596" s="29" t="s">
        <v>425</v>
      </c>
      <c r="AZ596" s="29">
        <v>0</v>
      </c>
      <c r="GR596" s="29">
        <v>0</v>
      </c>
      <c r="GS596" s="29">
        <v>0</v>
      </c>
      <c r="GT596" s="29" t="s">
        <v>425</v>
      </c>
      <c r="GU596" s="29">
        <v>0</v>
      </c>
      <c r="GX596" s="29">
        <v>0</v>
      </c>
      <c r="GZ596" s="29">
        <v>0</v>
      </c>
      <c r="HA596" s="29">
        <v>0</v>
      </c>
      <c r="HB596" s="29">
        <v>0</v>
      </c>
      <c r="HC596" s="29">
        <v>0</v>
      </c>
      <c r="HD596" s="29">
        <v>0</v>
      </c>
      <c r="HE596" s="29" t="b">
        <v>0</v>
      </c>
      <c r="HG596" s="29">
        <v>0</v>
      </c>
      <c r="HI596" s="29" t="s">
        <v>334</v>
      </c>
      <c r="HJ596" s="29">
        <v>0</v>
      </c>
      <c r="HK596" s="29">
        <v>0</v>
      </c>
      <c r="HL596" s="29">
        <v>0</v>
      </c>
    </row>
    <row r="597" spans="2:220">
      <c r="B597" s="29" cm="1">
        <f t="array" ref="B597">10000000+INDEX(编号表!$B$1:$B$112,MATCH(D597,编号表!$A$1:$A$112,0))*10000+I597</f>
        <v>10820005</v>
      </c>
      <c r="C597" s="29" t="s">
        <v>499</v>
      </c>
      <c r="D597" s="29" t="s">
        <v>499</v>
      </c>
      <c r="E597" s="29" t="s">
        <v>445</v>
      </c>
      <c r="F597" s="29" t="s">
        <v>433</v>
      </c>
      <c r="G597" s="29">
        <v>1</v>
      </c>
      <c r="H597" s="29" t="b">
        <v>0</v>
      </c>
      <c r="I597" s="29">
        <v>5</v>
      </c>
      <c r="J597" s="29">
        <v>108200</v>
      </c>
      <c r="K597" s="29" t="s">
        <v>324</v>
      </c>
      <c r="L597" s="29">
        <v>10820004</v>
      </c>
      <c r="M597" s="29">
        <v>10820006</v>
      </c>
      <c r="N597" s="29" t="s">
        <v>500</v>
      </c>
      <c r="O597" s="29">
        <v>10902025</v>
      </c>
      <c r="P597" s="29">
        <v>0</v>
      </c>
      <c r="Q597" s="29">
        <v>0</v>
      </c>
      <c r="R597" s="29">
        <v>1</v>
      </c>
      <c r="T597" s="29">
        <v>100</v>
      </c>
      <c r="AY597" s="29" t="s">
        <v>425</v>
      </c>
      <c r="AZ597" s="29">
        <v>0</v>
      </c>
      <c r="GR597" s="29">
        <v>0</v>
      </c>
      <c r="GS597" s="29">
        <v>0</v>
      </c>
      <c r="GT597" s="29" t="s">
        <v>425</v>
      </c>
      <c r="GU597" s="29">
        <v>0</v>
      </c>
      <c r="GX597" s="29">
        <v>0</v>
      </c>
      <c r="GZ597" s="29">
        <v>0</v>
      </c>
      <c r="HA597" s="29">
        <v>0</v>
      </c>
      <c r="HB597" s="29">
        <v>0</v>
      </c>
      <c r="HC597" s="29">
        <v>0</v>
      </c>
      <c r="HD597" s="29">
        <v>0</v>
      </c>
      <c r="HE597" s="29" t="b">
        <v>0</v>
      </c>
      <c r="HG597" s="29">
        <v>0</v>
      </c>
      <c r="HI597" s="29" t="s">
        <v>334</v>
      </c>
      <c r="HJ597" s="29">
        <v>0</v>
      </c>
      <c r="HK597" s="29">
        <v>0</v>
      </c>
      <c r="HL597" s="29">
        <v>0</v>
      </c>
    </row>
    <row r="598" spans="2:220">
      <c r="B598" s="29" cm="1">
        <f t="array" ref="B598">10000000+INDEX(编号表!$B$1:$B$112,MATCH(D598,编号表!$A$1:$A$112,0))*10000+I598</f>
        <v>10820006</v>
      </c>
      <c r="C598" s="29" t="s">
        <v>499</v>
      </c>
      <c r="D598" s="29" t="s">
        <v>499</v>
      </c>
      <c r="E598" s="29" t="s">
        <v>445</v>
      </c>
      <c r="F598" s="29" t="s">
        <v>433</v>
      </c>
      <c r="G598" s="29">
        <v>1</v>
      </c>
      <c r="H598" s="29" t="b">
        <v>0</v>
      </c>
      <c r="I598" s="29">
        <v>6</v>
      </c>
      <c r="J598" s="29">
        <v>108200</v>
      </c>
      <c r="K598" s="29" t="s">
        <v>324</v>
      </c>
      <c r="L598" s="29">
        <v>10820005</v>
      </c>
      <c r="M598" s="29">
        <v>10820007</v>
      </c>
      <c r="N598" s="29" t="s">
        <v>500</v>
      </c>
      <c r="O598" s="29">
        <v>10902025</v>
      </c>
      <c r="P598" s="29">
        <v>0</v>
      </c>
      <c r="Q598" s="29">
        <v>0</v>
      </c>
      <c r="R598" s="29">
        <v>1</v>
      </c>
      <c r="T598" s="29">
        <v>100</v>
      </c>
      <c r="AY598" s="29" t="s">
        <v>425</v>
      </c>
      <c r="AZ598" s="29">
        <v>0</v>
      </c>
      <c r="GR598" s="29">
        <v>0</v>
      </c>
      <c r="GS598" s="29">
        <v>0</v>
      </c>
      <c r="GT598" s="29" t="s">
        <v>425</v>
      </c>
      <c r="GU598" s="29">
        <v>0</v>
      </c>
      <c r="GX598" s="29">
        <v>0</v>
      </c>
      <c r="GZ598" s="29">
        <v>0</v>
      </c>
      <c r="HA598" s="29">
        <v>0</v>
      </c>
      <c r="HB598" s="29">
        <v>0</v>
      </c>
      <c r="HC598" s="29">
        <v>0</v>
      </c>
      <c r="HD598" s="29">
        <v>0</v>
      </c>
      <c r="HE598" s="29" t="b">
        <v>0</v>
      </c>
      <c r="HG598" s="29">
        <v>0</v>
      </c>
      <c r="HI598" s="29" t="s">
        <v>334</v>
      </c>
      <c r="HJ598" s="29">
        <v>0</v>
      </c>
      <c r="HK598" s="29">
        <v>0</v>
      </c>
      <c r="HL598" s="29">
        <v>0</v>
      </c>
    </row>
    <row r="599" spans="2:220">
      <c r="B599" s="29" cm="1">
        <f t="array" ref="B599">10000000+INDEX(编号表!$B$1:$B$112,MATCH(D599,编号表!$A$1:$A$112,0))*10000+I599</f>
        <v>10820007</v>
      </c>
      <c r="C599" s="29" t="s">
        <v>499</v>
      </c>
      <c r="D599" s="29" t="s">
        <v>499</v>
      </c>
      <c r="E599" s="29" t="s">
        <v>445</v>
      </c>
      <c r="F599" s="29" t="s">
        <v>433</v>
      </c>
      <c r="G599" s="29">
        <v>1</v>
      </c>
      <c r="H599" s="29" t="b">
        <v>0</v>
      </c>
      <c r="I599" s="29">
        <v>7</v>
      </c>
      <c r="J599" s="29">
        <v>108200</v>
      </c>
      <c r="K599" s="29" t="s">
        <v>324</v>
      </c>
      <c r="L599" s="29">
        <v>10820006</v>
      </c>
      <c r="M599" s="29">
        <v>10820008</v>
      </c>
      <c r="N599" s="29" t="s">
        <v>500</v>
      </c>
      <c r="O599" s="29">
        <v>10902025</v>
      </c>
      <c r="P599" s="29">
        <v>0</v>
      </c>
      <c r="Q599" s="29">
        <v>0</v>
      </c>
      <c r="R599" s="29">
        <v>1</v>
      </c>
      <c r="T599" s="29">
        <v>100</v>
      </c>
      <c r="AY599" s="29" t="s">
        <v>425</v>
      </c>
      <c r="AZ599" s="29">
        <v>0</v>
      </c>
      <c r="GR599" s="29">
        <v>0</v>
      </c>
      <c r="GS599" s="29">
        <v>0</v>
      </c>
      <c r="GT599" s="29" t="s">
        <v>425</v>
      </c>
      <c r="GU599" s="29">
        <v>0</v>
      </c>
      <c r="GX599" s="29">
        <v>0</v>
      </c>
      <c r="GZ599" s="29">
        <v>0</v>
      </c>
      <c r="HA599" s="29">
        <v>0</v>
      </c>
      <c r="HB599" s="29">
        <v>0</v>
      </c>
      <c r="HC599" s="29">
        <v>0</v>
      </c>
      <c r="HD599" s="29">
        <v>0</v>
      </c>
      <c r="HE599" s="29" t="b">
        <v>0</v>
      </c>
      <c r="HG599" s="29">
        <v>0</v>
      </c>
      <c r="HI599" s="29" t="s">
        <v>334</v>
      </c>
      <c r="HJ599" s="29">
        <v>0</v>
      </c>
      <c r="HK599" s="29">
        <v>0</v>
      </c>
      <c r="HL599" s="29">
        <v>0</v>
      </c>
    </row>
    <row r="600" spans="2:220">
      <c r="B600" s="29" cm="1">
        <f t="array" ref="B600">10000000+INDEX(编号表!$B$1:$B$112,MATCH(D600,编号表!$A$1:$A$112,0))*10000+I600</f>
        <v>10820008</v>
      </c>
      <c r="C600" s="29" t="s">
        <v>499</v>
      </c>
      <c r="D600" s="29" t="s">
        <v>499</v>
      </c>
      <c r="E600" s="29" t="s">
        <v>445</v>
      </c>
      <c r="F600" s="29" t="s">
        <v>433</v>
      </c>
      <c r="G600" s="29">
        <v>1</v>
      </c>
      <c r="H600" s="29" t="b">
        <v>0</v>
      </c>
      <c r="I600" s="29">
        <v>8</v>
      </c>
      <c r="J600" s="29">
        <v>108200</v>
      </c>
      <c r="K600" s="29" t="s">
        <v>324</v>
      </c>
      <c r="L600" s="29">
        <v>10820007</v>
      </c>
      <c r="M600" s="29">
        <v>10820009</v>
      </c>
      <c r="N600" s="29" t="s">
        <v>500</v>
      </c>
      <c r="O600" s="29">
        <v>10902025</v>
      </c>
      <c r="P600" s="29">
        <v>0</v>
      </c>
      <c r="Q600" s="29">
        <v>0</v>
      </c>
      <c r="R600" s="29">
        <v>1</v>
      </c>
      <c r="T600" s="29">
        <v>100</v>
      </c>
      <c r="AY600" s="29" t="s">
        <v>425</v>
      </c>
      <c r="AZ600" s="29">
        <v>0</v>
      </c>
      <c r="GR600" s="29">
        <v>0</v>
      </c>
      <c r="GS600" s="29">
        <v>0</v>
      </c>
      <c r="GT600" s="29" t="s">
        <v>425</v>
      </c>
      <c r="GU600" s="29">
        <v>0</v>
      </c>
      <c r="GX600" s="29">
        <v>0</v>
      </c>
      <c r="GZ600" s="29">
        <v>0</v>
      </c>
      <c r="HA600" s="29">
        <v>0</v>
      </c>
      <c r="HB600" s="29">
        <v>0</v>
      </c>
      <c r="HC600" s="29">
        <v>0</v>
      </c>
      <c r="HD600" s="29">
        <v>0</v>
      </c>
      <c r="HE600" s="29" t="b">
        <v>0</v>
      </c>
      <c r="HG600" s="29">
        <v>0</v>
      </c>
      <c r="HI600" s="29" t="s">
        <v>334</v>
      </c>
      <c r="HJ600" s="29">
        <v>0</v>
      </c>
      <c r="HK600" s="29">
        <v>0</v>
      </c>
      <c r="HL600" s="29">
        <v>0</v>
      </c>
    </row>
    <row r="601" spans="2:220">
      <c r="B601" s="29" cm="1">
        <f t="array" ref="B601">10000000+INDEX(编号表!$B$1:$B$112,MATCH(D601,编号表!$A$1:$A$112,0))*10000+I601</f>
        <v>10820009</v>
      </c>
      <c r="C601" s="29" t="s">
        <v>499</v>
      </c>
      <c r="D601" s="29" t="s">
        <v>499</v>
      </c>
      <c r="E601" s="29" t="s">
        <v>445</v>
      </c>
      <c r="F601" s="29" t="s">
        <v>433</v>
      </c>
      <c r="G601" s="29">
        <v>1</v>
      </c>
      <c r="H601" s="29" t="b">
        <v>0</v>
      </c>
      <c r="I601" s="29">
        <v>9</v>
      </c>
      <c r="J601" s="29">
        <v>108200</v>
      </c>
      <c r="K601" s="29" t="s">
        <v>324</v>
      </c>
      <c r="L601" s="29">
        <v>10820008</v>
      </c>
      <c r="M601" s="29">
        <v>10820010</v>
      </c>
      <c r="N601" s="29" t="s">
        <v>500</v>
      </c>
      <c r="O601" s="29">
        <v>10902025</v>
      </c>
      <c r="P601" s="29">
        <v>0</v>
      </c>
      <c r="Q601" s="29">
        <v>0</v>
      </c>
      <c r="R601" s="29">
        <v>1</v>
      </c>
      <c r="T601" s="29">
        <v>100</v>
      </c>
      <c r="AY601" s="29" t="s">
        <v>425</v>
      </c>
      <c r="AZ601" s="29">
        <v>0</v>
      </c>
      <c r="GR601" s="29">
        <v>0</v>
      </c>
      <c r="GS601" s="29">
        <v>0</v>
      </c>
      <c r="GT601" s="29" t="s">
        <v>425</v>
      </c>
      <c r="GU601" s="29">
        <v>0</v>
      </c>
      <c r="GX601" s="29">
        <v>0</v>
      </c>
      <c r="GZ601" s="29">
        <v>0</v>
      </c>
      <c r="HA601" s="29">
        <v>0</v>
      </c>
      <c r="HB601" s="29">
        <v>0</v>
      </c>
      <c r="HC601" s="29">
        <v>0</v>
      </c>
      <c r="HD601" s="29">
        <v>0</v>
      </c>
      <c r="HE601" s="29" t="b">
        <v>0</v>
      </c>
      <c r="HG601" s="29">
        <v>0</v>
      </c>
      <c r="HI601" s="29" t="s">
        <v>334</v>
      </c>
      <c r="HJ601" s="29">
        <v>0</v>
      </c>
      <c r="HK601" s="29">
        <v>0</v>
      </c>
      <c r="HL601" s="29">
        <v>0</v>
      </c>
    </row>
    <row r="602" spans="2:220">
      <c r="B602" s="29" cm="1">
        <f t="array" ref="B602">10000000+INDEX(编号表!$B$1:$B$112,MATCH(D602,编号表!$A$1:$A$112,0))*10000+I602</f>
        <v>10820010</v>
      </c>
      <c r="C602" s="29" t="s">
        <v>499</v>
      </c>
      <c r="D602" s="29" t="s">
        <v>499</v>
      </c>
      <c r="E602" s="29" t="s">
        <v>445</v>
      </c>
      <c r="F602" s="29" t="s">
        <v>433</v>
      </c>
      <c r="G602" s="29">
        <v>1</v>
      </c>
      <c r="H602" s="29" t="b">
        <v>0</v>
      </c>
      <c r="I602" s="29">
        <v>10</v>
      </c>
      <c r="J602" s="29">
        <v>108200</v>
      </c>
      <c r="K602" s="29" t="s">
        <v>324</v>
      </c>
      <c r="L602" s="29">
        <v>10820009</v>
      </c>
      <c r="N602" s="29" t="s">
        <v>500</v>
      </c>
      <c r="O602" s="29">
        <v>10902025</v>
      </c>
      <c r="P602" s="29">
        <v>0</v>
      </c>
      <c r="Q602" s="29">
        <v>0</v>
      </c>
      <c r="R602" s="29">
        <v>1</v>
      </c>
      <c r="T602" s="29">
        <v>100</v>
      </c>
      <c r="AY602" s="29" t="s">
        <v>425</v>
      </c>
      <c r="AZ602" s="29">
        <v>0</v>
      </c>
      <c r="GR602" s="29">
        <v>0</v>
      </c>
      <c r="GS602" s="29">
        <v>0</v>
      </c>
      <c r="GT602" s="29" t="s">
        <v>425</v>
      </c>
      <c r="GU602" s="29">
        <v>0</v>
      </c>
      <c r="GX602" s="29">
        <v>0</v>
      </c>
      <c r="GZ602" s="29">
        <v>0</v>
      </c>
      <c r="HA602" s="29">
        <v>0</v>
      </c>
      <c r="HB602" s="29">
        <v>0</v>
      </c>
      <c r="HC602" s="29">
        <v>0</v>
      </c>
      <c r="HD602" s="29">
        <v>0</v>
      </c>
      <c r="HE602" s="29" t="b">
        <v>0</v>
      </c>
      <c r="HG602" s="29">
        <v>0</v>
      </c>
      <c r="HI602" s="29" t="s">
        <v>334</v>
      </c>
      <c r="HJ602" s="29">
        <v>0</v>
      </c>
      <c r="HK602" s="29">
        <v>0</v>
      </c>
      <c r="HL602" s="29">
        <v>0</v>
      </c>
    </row>
    <row r="603" spans="2:220">
      <c r="B603" s="29" cm="1">
        <f t="array" ref="B603">10000000+INDEX(编号表!$B$1:$B$112,MATCH(D603,编号表!$A$1:$A$112,0))*10000+I603</f>
        <v>10830001</v>
      </c>
      <c r="C603" s="29" t="s">
        <v>501</v>
      </c>
      <c r="D603" s="29" t="s">
        <v>501</v>
      </c>
      <c r="E603" s="29" t="s">
        <v>445</v>
      </c>
      <c r="F603" s="29" t="s">
        <v>436</v>
      </c>
      <c r="G603" s="29">
        <v>1</v>
      </c>
      <c r="H603" s="29" t="b">
        <v>0</v>
      </c>
      <c r="I603" s="29">
        <v>1</v>
      </c>
      <c r="J603" s="29">
        <v>108300</v>
      </c>
      <c r="K603" s="29" t="s">
        <v>324</v>
      </c>
      <c r="M603" s="29">
        <v>10830002</v>
      </c>
      <c r="N603" s="29" t="s">
        <v>502</v>
      </c>
      <c r="O603" s="29">
        <v>10902026</v>
      </c>
      <c r="P603" s="29">
        <v>0</v>
      </c>
      <c r="Q603" s="29">
        <v>0</v>
      </c>
      <c r="R603" s="29">
        <v>1</v>
      </c>
      <c r="T603" s="29">
        <v>100</v>
      </c>
      <c r="AY603" s="29" t="s">
        <v>425</v>
      </c>
      <c r="AZ603" s="29">
        <v>0</v>
      </c>
      <c r="GR603" s="29">
        <v>0</v>
      </c>
      <c r="GS603" s="29">
        <v>0</v>
      </c>
      <c r="GT603" s="29" t="s">
        <v>425</v>
      </c>
      <c r="GU603" s="29">
        <v>0</v>
      </c>
      <c r="GX603" s="29">
        <v>0</v>
      </c>
      <c r="GZ603" s="29">
        <v>0</v>
      </c>
      <c r="HA603" s="29">
        <v>0</v>
      </c>
      <c r="HB603" s="29">
        <v>0</v>
      </c>
      <c r="HC603" s="29">
        <v>0</v>
      </c>
      <c r="HD603" s="29">
        <v>0</v>
      </c>
      <c r="HE603" s="29" t="b">
        <v>0</v>
      </c>
      <c r="HG603" s="29">
        <v>0</v>
      </c>
      <c r="HI603" s="29" t="s">
        <v>334</v>
      </c>
      <c r="HJ603" s="29">
        <v>0</v>
      </c>
      <c r="HK603" s="29">
        <v>0</v>
      </c>
      <c r="HL603" s="29">
        <v>0</v>
      </c>
    </row>
    <row r="604" spans="2:220">
      <c r="B604" s="29" cm="1">
        <f t="array" ref="B604">10000000+INDEX(编号表!$B$1:$B$112,MATCH(D604,编号表!$A$1:$A$112,0))*10000+I604</f>
        <v>10830002</v>
      </c>
      <c r="C604" s="29" t="s">
        <v>501</v>
      </c>
      <c r="D604" s="29" t="s">
        <v>501</v>
      </c>
      <c r="E604" s="29" t="s">
        <v>445</v>
      </c>
      <c r="F604" s="29" t="s">
        <v>436</v>
      </c>
      <c r="G604" s="29">
        <v>1</v>
      </c>
      <c r="H604" s="29" t="b">
        <v>0</v>
      </c>
      <c r="I604" s="29">
        <v>2</v>
      </c>
      <c r="J604" s="29">
        <v>108300</v>
      </c>
      <c r="K604" s="29" t="s">
        <v>324</v>
      </c>
      <c r="L604" s="29">
        <v>10830001</v>
      </c>
      <c r="M604" s="29">
        <v>10830003</v>
      </c>
      <c r="N604" s="29" t="s">
        <v>502</v>
      </c>
      <c r="O604" s="29">
        <v>10902026</v>
      </c>
      <c r="P604" s="29">
        <v>0</v>
      </c>
      <c r="Q604" s="29">
        <v>0</v>
      </c>
      <c r="R604" s="29">
        <v>1</v>
      </c>
      <c r="T604" s="29">
        <v>100</v>
      </c>
      <c r="AY604" s="29" t="s">
        <v>425</v>
      </c>
      <c r="AZ604" s="29">
        <v>0</v>
      </c>
      <c r="GR604" s="29">
        <v>0</v>
      </c>
      <c r="GS604" s="29">
        <v>0</v>
      </c>
      <c r="GT604" s="29" t="s">
        <v>425</v>
      </c>
      <c r="GU604" s="29">
        <v>0</v>
      </c>
      <c r="GX604" s="29">
        <v>0</v>
      </c>
      <c r="GZ604" s="29">
        <v>0</v>
      </c>
      <c r="HA604" s="29">
        <v>0</v>
      </c>
      <c r="HB604" s="29">
        <v>0</v>
      </c>
      <c r="HC604" s="29">
        <v>0</v>
      </c>
      <c r="HD604" s="29">
        <v>0</v>
      </c>
      <c r="HE604" s="29" t="b">
        <v>0</v>
      </c>
      <c r="HG604" s="29">
        <v>0</v>
      </c>
      <c r="HI604" s="29" t="s">
        <v>334</v>
      </c>
      <c r="HJ604" s="29">
        <v>0</v>
      </c>
      <c r="HK604" s="29">
        <v>0</v>
      </c>
      <c r="HL604" s="29">
        <v>0</v>
      </c>
    </row>
    <row r="605" spans="2:220">
      <c r="B605" s="29" cm="1">
        <f t="array" ref="B605">10000000+INDEX(编号表!$B$1:$B$112,MATCH(D605,编号表!$A$1:$A$112,0))*10000+I605</f>
        <v>10830003</v>
      </c>
      <c r="C605" s="29" t="s">
        <v>501</v>
      </c>
      <c r="D605" s="29" t="s">
        <v>501</v>
      </c>
      <c r="E605" s="29" t="s">
        <v>445</v>
      </c>
      <c r="F605" s="29" t="s">
        <v>436</v>
      </c>
      <c r="G605" s="29">
        <v>1</v>
      </c>
      <c r="H605" s="29" t="b">
        <v>0</v>
      </c>
      <c r="I605" s="29">
        <v>3</v>
      </c>
      <c r="J605" s="29">
        <v>108300</v>
      </c>
      <c r="K605" s="29" t="s">
        <v>324</v>
      </c>
      <c r="L605" s="29">
        <v>10830002</v>
      </c>
      <c r="M605" s="29">
        <v>10830004</v>
      </c>
      <c r="N605" s="29" t="s">
        <v>502</v>
      </c>
      <c r="O605" s="29">
        <v>10902026</v>
      </c>
      <c r="P605" s="29">
        <v>0</v>
      </c>
      <c r="Q605" s="29">
        <v>0</v>
      </c>
      <c r="R605" s="29">
        <v>1</v>
      </c>
      <c r="T605" s="29">
        <v>100</v>
      </c>
      <c r="AY605" s="29" t="s">
        <v>425</v>
      </c>
      <c r="AZ605" s="29">
        <v>0</v>
      </c>
      <c r="GR605" s="29">
        <v>0</v>
      </c>
      <c r="GS605" s="29">
        <v>0</v>
      </c>
      <c r="GT605" s="29" t="s">
        <v>425</v>
      </c>
      <c r="GU605" s="29">
        <v>0</v>
      </c>
      <c r="GX605" s="29">
        <v>0</v>
      </c>
      <c r="GZ605" s="29">
        <v>0</v>
      </c>
      <c r="HA605" s="29">
        <v>0</v>
      </c>
      <c r="HB605" s="29">
        <v>0</v>
      </c>
      <c r="HC605" s="29">
        <v>0</v>
      </c>
      <c r="HD605" s="29">
        <v>0</v>
      </c>
      <c r="HE605" s="29" t="b">
        <v>0</v>
      </c>
      <c r="HG605" s="29">
        <v>0</v>
      </c>
      <c r="HI605" s="29" t="s">
        <v>334</v>
      </c>
      <c r="HJ605" s="29">
        <v>0</v>
      </c>
      <c r="HK605" s="29">
        <v>0</v>
      </c>
      <c r="HL605" s="29">
        <v>0</v>
      </c>
    </row>
    <row r="606" spans="2:220">
      <c r="B606" s="29" cm="1">
        <f t="array" ref="B606">10000000+INDEX(编号表!$B$1:$B$112,MATCH(D606,编号表!$A$1:$A$112,0))*10000+I606</f>
        <v>10830004</v>
      </c>
      <c r="C606" s="29" t="s">
        <v>501</v>
      </c>
      <c r="D606" s="29" t="s">
        <v>501</v>
      </c>
      <c r="E606" s="29" t="s">
        <v>445</v>
      </c>
      <c r="F606" s="29" t="s">
        <v>436</v>
      </c>
      <c r="G606" s="29">
        <v>1</v>
      </c>
      <c r="H606" s="29" t="b">
        <v>0</v>
      </c>
      <c r="I606" s="29">
        <v>4</v>
      </c>
      <c r="J606" s="29">
        <v>108300</v>
      </c>
      <c r="K606" s="29" t="s">
        <v>324</v>
      </c>
      <c r="L606" s="29">
        <v>10830003</v>
      </c>
      <c r="M606" s="29">
        <v>10830005</v>
      </c>
      <c r="N606" s="29" t="s">
        <v>502</v>
      </c>
      <c r="O606" s="29">
        <v>10902026</v>
      </c>
      <c r="P606" s="29">
        <v>0</v>
      </c>
      <c r="Q606" s="29">
        <v>0</v>
      </c>
      <c r="R606" s="29">
        <v>1</v>
      </c>
      <c r="T606" s="29">
        <v>100</v>
      </c>
      <c r="AY606" s="29" t="s">
        <v>425</v>
      </c>
      <c r="AZ606" s="29">
        <v>0</v>
      </c>
      <c r="GR606" s="29">
        <v>0</v>
      </c>
      <c r="GS606" s="29">
        <v>0</v>
      </c>
      <c r="GT606" s="29" t="s">
        <v>425</v>
      </c>
      <c r="GU606" s="29">
        <v>0</v>
      </c>
      <c r="GX606" s="29">
        <v>0</v>
      </c>
      <c r="GZ606" s="29">
        <v>0</v>
      </c>
      <c r="HA606" s="29">
        <v>0</v>
      </c>
      <c r="HB606" s="29">
        <v>0</v>
      </c>
      <c r="HC606" s="29">
        <v>0</v>
      </c>
      <c r="HD606" s="29">
        <v>0</v>
      </c>
      <c r="HE606" s="29" t="b">
        <v>0</v>
      </c>
      <c r="HG606" s="29">
        <v>0</v>
      </c>
      <c r="HI606" s="29" t="s">
        <v>334</v>
      </c>
      <c r="HJ606" s="29">
        <v>0</v>
      </c>
      <c r="HK606" s="29">
        <v>0</v>
      </c>
      <c r="HL606" s="29">
        <v>0</v>
      </c>
    </row>
    <row r="607" spans="2:220">
      <c r="B607" s="29" cm="1">
        <f t="array" ref="B607">10000000+INDEX(编号表!$B$1:$B$112,MATCH(D607,编号表!$A$1:$A$112,0))*10000+I607</f>
        <v>10830005</v>
      </c>
      <c r="C607" s="29" t="s">
        <v>501</v>
      </c>
      <c r="D607" s="29" t="s">
        <v>501</v>
      </c>
      <c r="E607" s="29" t="s">
        <v>445</v>
      </c>
      <c r="F607" s="29" t="s">
        <v>436</v>
      </c>
      <c r="G607" s="29">
        <v>1</v>
      </c>
      <c r="H607" s="29" t="b">
        <v>0</v>
      </c>
      <c r="I607" s="29">
        <v>5</v>
      </c>
      <c r="J607" s="29">
        <v>108300</v>
      </c>
      <c r="K607" s="29" t="s">
        <v>324</v>
      </c>
      <c r="L607" s="29">
        <v>10830004</v>
      </c>
      <c r="M607" s="29">
        <v>10830006</v>
      </c>
      <c r="N607" s="29" t="s">
        <v>502</v>
      </c>
      <c r="O607" s="29">
        <v>10902026</v>
      </c>
      <c r="P607" s="29">
        <v>0</v>
      </c>
      <c r="Q607" s="29">
        <v>0</v>
      </c>
      <c r="R607" s="29">
        <v>1</v>
      </c>
      <c r="T607" s="29">
        <v>100</v>
      </c>
      <c r="AY607" s="29" t="s">
        <v>425</v>
      </c>
      <c r="AZ607" s="29">
        <v>0</v>
      </c>
      <c r="GR607" s="29">
        <v>0</v>
      </c>
      <c r="GS607" s="29">
        <v>0</v>
      </c>
      <c r="GT607" s="29" t="s">
        <v>425</v>
      </c>
      <c r="GU607" s="29">
        <v>0</v>
      </c>
      <c r="GX607" s="29">
        <v>0</v>
      </c>
      <c r="GZ607" s="29">
        <v>0</v>
      </c>
      <c r="HA607" s="29">
        <v>0</v>
      </c>
      <c r="HB607" s="29">
        <v>0</v>
      </c>
      <c r="HC607" s="29">
        <v>0</v>
      </c>
      <c r="HD607" s="29">
        <v>0</v>
      </c>
      <c r="HE607" s="29" t="b">
        <v>0</v>
      </c>
      <c r="HG607" s="29">
        <v>0</v>
      </c>
      <c r="HI607" s="29" t="s">
        <v>334</v>
      </c>
      <c r="HJ607" s="29">
        <v>0</v>
      </c>
      <c r="HK607" s="29">
        <v>0</v>
      </c>
      <c r="HL607" s="29">
        <v>0</v>
      </c>
    </row>
    <row r="608" spans="2:220">
      <c r="B608" s="29" cm="1">
        <f t="array" ref="B608">10000000+INDEX(编号表!$B$1:$B$112,MATCH(D608,编号表!$A$1:$A$112,0))*10000+I608</f>
        <v>10830006</v>
      </c>
      <c r="C608" s="29" t="s">
        <v>501</v>
      </c>
      <c r="D608" s="29" t="s">
        <v>501</v>
      </c>
      <c r="E608" s="29" t="s">
        <v>445</v>
      </c>
      <c r="F608" s="29" t="s">
        <v>436</v>
      </c>
      <c r="G608" s="29">
        <v>1</v>
      </c>
      <c r="H608" s="29" t="b">
        <v>0</v>
      </c>
      <c r="I608" s="29">
        <v>6</v>
      </c>
      <c r="J608" s="29">
        <v>108300</v>
      </c>
      <c r="K608" s="29" t="s">
        <v>324</v>
      </c>
      <c r="L608" s="29">
        <v>10830005</v>
      </c>
      <c r="M608" s="29">
        <v>10830007</v>
      </c>
      <c r="N608" s="29" t="s">
        <v>502</v>
      </c>
      <c r="O608" s="29">
        <v>10902026</v>
      </c>
      <c r="P608" s="29">
        <v>0</v>
      </c>
      <c r="Q608" s="29">
        <v>0</v>
      </c>
      <c r="R608" s="29">
        <v>1</v>
      </c>
      <c r="T608" s="29">
        <v>100</v>
      </c>
      <c r="AY608" s="29" t="s">
        <v>425</v>
      </c>
      <c r="AZ608" s="29">
        <v>0</v>
      </c>
      <c r="GR608" s="29">
        <v>0</v>
      </c>
      <c r="GS608" s="29">
        <v>0</v>
      </c>
      <c r="GT608" s="29" t="s">
        <v>425</v>
      </c>
      <c r="GU608" s="29">
        <v>0</v>
      </c>
      <c r="GX608" s="29">
        <v>0</v>
      </c>
      <c r="GZ608" s="29">
        <v>0</v>
      </c>
      <c r="HA608" s="29">
        <v>0</v>
      </c>
      <c r="HB608" s="29">
        <v>0</v>
      </c>
      <c r="HC608" s="29">
        <v>0</v>
      </c>
      <c r="HD608" s="29">
        <v>0</v>
      </c>
      <c r="HE608" s="29" t="b">
        <v>0</v>
      </c>
      <c r="HG608" s="29">
        <v>0</v>
      </c>
      <c r="HI608" s="29" t="s">
        <v>334</v>
      </c>
      <c r="HJ608" s="29">
        <v>0</v>
      </c>
      <c r="HK608" s="29">
        <v>0</v>
      </c>
      <c r="HL608" s="29">
        <v>0</v>
      </c>
    </row>
    <row r="609" spans="2:220">
      <c r="B609" s="29" cm="1">
        <f t="array" ref="B609">10000000+INDEX(编号表!$B$1:$B$112,MATCH(D609,编号表!$A$1:$A$112,0))*10000+I609</f>
        <v>10830007</v>
      </c>
      <c r="C609" s="29" t="s">
        <v>501</v>
      </c>
      <c r="D609" s="29" t="s">
        <v>501</v>
      </c>
      <c r="E609" s="29" t="s">
        <v>445</v>
      </c>
      <c r="F609" s="29" t="s">
        <v>436</v>
      </c>
      <c r="G609" s="29">
        <v>1</v>
      </c>
      <c r="H609" s="29" t="b">
        <v>0</v>
      </c>
      <c r="I609" s="29">
        <v>7</v>
      </c>
      <c r="J609" s="29">
        <v>108300</v>
      </c>
      <c r="K609" s="29" t="s">
        <v>324</v>
      </c>
      <c r="L609" s="29">
        <v>10830006</v>
      </c>
      <c r="M609" s="29">
        <v>10830008</v>
      </c>
      <c r="N609" s="29" t="s">
        <v>502</v>
      </c>
      <c r="O609" s="29">
        <v>10902026</v>
      </c>
      <c r="P609" s="29">
        <v>0</v>
      </c>
      <c r="Q609" s="29">
        <v>0</v>
      </c>
      <c r="R609" s="29">
        <v>1</v>
      </c>
      <c r="T609" s="29">
        <v>100</v>
      </c>
      <c r="AY609" s="29" t="s">
        <v>425</v>
      </c>
      <c r="AZ609" s="29">
        <v>0</v>
      </c>
      <c r="GR609" s="29">
        <v>0</v>
      </c>
      <c r="GS609" s="29">
        <v>0</v>
      </c>
      <c r="GT609" s="29" t="s">
        <v>425</v>
      </c>
      <c r="GU609" s="29">
        <v>0</v>
      </c>
      <c r="GX609" s="29">
        <v>0</v>
      </c>
      <c r="GZ609" s="29">
        <v>0</v>
      </c>
      <c r="HA609" s="29">
        <v>0</v>
      </c>
      <c r="HB609" s="29">
        <v>0</v>
      </c>
      <c r="HC609" s="29">
        <v>0</v>
      </c>
      <c r="HD609" s="29">
        <v>0</v>
      </c>
      <c r="HE609" s="29" t="b">
        <v>0</v>
      </c>
      <c r="HG609" s="29">
        <v>0</v>
      </c>
      <c r="HI609" s="29" t="s">
        <v>334</v>
      </c>
      <c r="HJ609" s="29">
        <v>0</v>
      </c>
      <c r="HK609" s="29">
        <v>0</v>
      </c>
      <c r="HL609" s="29">
        <v>0</v>
      </c>
    </row>
    <row r="610" spans="2:220">
      <c r="B610" s="29" cm="1">
        <f t="array" ref="B610">10000000+INDEX(编号表!$B$1:$B$112,MATCH(D610,编号表!$A$1:$A$112,0))*10000+I610</f>
        <v>10830008</v>
      </c>
      <c r="C610" s="29" t="s">
        <v>501</v>
      </c>
      <c r="D610" s="29" t="s">
        <v>501</v>
      </c>
      <c r="E610" s="29" t="s">
        <v>445</v>
      </c>
      <c r="F610" s="29" t="s">
        <v>436</v>
      </c>
      <c r="G610" s="29">
        <v>1</v>
      </c>
      <c r="H610" s="29" t="b">
        <v>0</v>
      </c>
      <c r="I610" s="29">
        <v>8</v>
      </c>
      <c r="J610" s="29">
        <v>108300</v>
      </c>
      <c r="K610" s="29" t="s">
        <v>324</v>
      </c>
      <c r="L610" s="29">
        <v>10830007</v>
      </c>
      <c r="M610" s="29">
        <v>10830009</v>
      </c>
      <c r="N610" s="29" t="s">
        <v>502</v>
      </c>
      <c r="O610" s="29">
        <v>10902026</v>
      </c>
      <c r="P610" s="29">
        <v>0</v>
      </c>
      <c r="Q610" s="29">
        <v>0</v>
      </c>
      <c r="R610" s="29">
        <v>1</v>
      </c>
      <c r="T610" s="29">
        <v>100</v>
      </c>
      <c r="AY610" s="29" t="s">
        <v>425</v>
      </c>
      <c r="AZ610" s="29">
        <v>0</v>
      </c>
      <c r="GR610" s="29">
        <v>0</v>
      </c>
      <c r="GS610" s="29">
        <v>0</v>
      </c>
      <c r="GT610" s="29" t="s">
        <v>425</v>
      </c>
      <c r="GU610" s="29">
        <v>0</v>
      </c>
      <c r="GX610" s="29">
        <v>0</v>
      </c>
      <c r="GZ610" s="29">
        <v>0</v>
      </c>
      <c r="HA610" s="29">
        <v>0</v>
      </c>
      <c r="HB610" s="29">
        <v>0</v>
      </c>
      <c r="HC610" s="29">
        <v>0</v>
      </c>
      <c r="HD610" s="29">
        <v>0</v>
      </c>
      <c r="HE610" s="29" t="b">
        <v>0</v>
      </c>
      <c r="HG610" s="29">
        <v>0</v>
      </c>
      <c r="HI610" s="29" t="s">
        <v>334</v>
      </c>
      <c r="HJ610" s="29">
        <v>0</v>
      </c>
      <c r="HK610" s="29">
        <v>0</v>
      </c>
      <c r="HL610" s="29">
        <v>0</v>
      </c>
    </row>
    <row r="611" spans="2:220">
      <c r="B611" s="29" cm="1">
        <f t="array" ref="B611">10000000+INDEX(编号表!$B$1:$B$112,MATCH(D611,编号表!$A$1:$A$112,0))*10000+I611</f>
        <v>10830009</v>
      </c>
      <c r="C611" s="29" t="s">
        <v>501</v>
      </c>
      <c r="D611" s="29" t="s">
        <v>501</v>
      </c>
      <c r="E611" s="29" t="s">
        <v>445</v>
      </c>
      <c r="F611" s="29" t="s">
        <v>436</v>
      </c>
      <c r="G611" s="29">
        <v>1</v>
      </c>
      <c r="H611" s="29" t="b">
        <v>0</v>
      </c>
      <c r="I611" s="29">
        <v>9</v>
      </c>
      <c r="J611" s="29">
        <v>108300</v>
      </c>
      <c r="K611" s="29" t="s">
        <v>324</v>
      </c>
      <c r="L611" s="29">
        <v>10830008</v>
      </c>
      <c r="M611" s="29">
        <v>10830010</v>
      </c>
      <c r="N611" s="29" t="s">
        <v>502</v>
      </c>
      <c r="O611" s="29">
        <v>10902026</v>
      </c>
      <c r="P611" s="29">
        <v>0</v>
      </c>
      <c r="Q611" s="29">
        <v>0</v>
      </c>
      <c r="R611" s="29">
        <v>1</v>
      </c>
      <c r="T611" s="29">
        <v>100</v>
      </c>
      <c r="AY611" s="29" t="s">
        <v>425</v>
      </c>
      <c r="AZ611" s="29">
        <v>0</v>
      </c>
      <c r="GR611" s="29">
        <v>0</v>
      </c>
      <c r="GS611" s="29">
        <v>0</v>
      </c>
      <c r="GT611" s="29" t="s">
        <v>425</v>
      </c>
      <c r="GU611" s="29">
        <v>0</v>
      </c>
      <c r="GX611" s="29">
        <v>0</v>
      </c>
      <c r="GZ611" s="29">
        <v>0</v>
      </c>
      <c r="HA611" s="29">
        <v>0</v>
      </c>
      <c r="HB611" s="29">
        <v>0</v>
      </c>
      <c r="HC611" s="29">
        <v>0</v>
      </c>
      <c r="HD611" s="29">
        <v>0</v>
      </c>
      <c r="HE611" s="29" t="b">
        <v>0</v>
      </c>
      <c r="HG611" s="29">
        <v>0</v>
      </c>
      <c r="HI611" s="29" t="s">
        <v>334</v>
      </c>
      <c r="HJ611" s="29">
        <v>0</v>
      </c>
      <c r="HK611" s="29">
        <v>0</v>
      </c>
      <c r="HL611" s="29">
        <v>0</v>
      </c>
    </row>
    <row r="612" spans="2:220">
      <c r="B612" s="29" cm="1">
        <f t="array" ref="B612">10000000+INDEX(编号表!$B$1:$B$112,MATCH(D612,编号表!$A$1:$A$112,0))*10000+I612</f>
        <v>10830010</v>
      </c>
      <c r="C612" s="29" t="s">
        <v>501</v>
      </c>
      <c r="D612" s="29" t="s">
        <v>501</v>
      </c>
      <c r="E612" s="29" t="s">
        <v>445</v>
      </c>
      <c r="F612" s="29" t="s">
        <v>436</v>
      </c>
      <c r="G612" s="29">
        <v>1</v>
      </c>
      <c r="H612" s="29" t="b">
        <v>0</v>
      </c>
      <c r="I612" s="29">
        <v>10</v>
      </c>
      <c r="J612" s="29">
        <v>108300</v>
      </c>
      <c r="K612" s="29" t="s">
        <v>324</v>
      </c>
      <c r="L612" s="29">
        <v>10830009</v>
      </c>
      <c r="N612" s="29" t="s">
        <v>502</v>
      </c>
      <c r="O612" s="29">
        <v>10902026</v>
      </c>
      <c r="P612" s="29">
        <v>0</v>
      </c>
      <c r="Q612" s="29">
        <v>0</v>
      </c>
      <c r="R612" s="29">
        <v>1</v>
      </c>
      <c r="T612" s="29">
        <v>100</v>
      </c>
      <c r="AY612" s="29" t="s">
        <v>425</v>
      </c>
      <c r="AZ612" s="29">
        <v>0</v>
      </c>
      <c r="GR612" s="29">
        <v>0</v>
      </c>
      <c r="GS612" s="29">
        <v>0</v>
      </c>
      <c r="GT612" s="29" t="s">
        <v>425</v>
      </c>
      <c r="GU612" s="29">
        <v>0</v>
      </c>
      <c r="GX612" s="29">
        <v>0</v>
      </c>
      <c r="GZ612" s="29">
        <v>0</v>
      </c>
      <c r="HA612" s="29">
        <v>0</v>
      </c>
      <c r="HB612" s="29">
        <v>0</v>
      </c>
      <c r="HC612" s="29">
        <v>0</v>
      </c>
      <c r="HD612" s="29">
        <v>0</v>
      </c>
      <c r="HE612" s="29" t="b">
        <v>0</v>
      </c>
      <c r="HG612" s="29">
        <v>0</v>
      </c>
      <c r="HI612" s="29" t="s">
        <v>334</v>
      </c>
      <c r="HJ612" s="29">
        <v>0</v>
      </c>
      <c r="HK612" s="29">
        <v>0</v>
      </c>
      <c r="HL612" s="29">
        <v>0</v>
      </c>
    </row>
    <row r="613" spans="2:220">
      <c r="B613" s="29" cm="1">
        <f t="array" ref="B613">10000000+INDEX(编号表!$B$1:$B$112,MATCH(D613,编号表!$A$1:$A$112,0))*10000+I613</f>
        <v>10840001</v>
      </c>
      <c r="C613" s="29" t="s">
        <v>503</v>
      </c>
      <c r="D613" s="29" t="s">
        <v>503</v>
      </c>
      <c r="E613" s="29" t="s">
        <v>445</v>
      </c>
      <c r="F613" s="29" t="s">
        <v>439</v>
      </c>
      <c r="G613" s="29">
        <v>1</v>
      </c>
      <c r="H613" s="29" t="b">
        <v>0</v>
      </c>
      <c r="I613" s="29">
        <v>1</v>
      </c>
      <c r="J613" s="29">
        <v>108400</v>
      </c>
      <c r="K613" s="29" t="s">
        <v>324</v>
      </c>
      <c r="M613" s="29">
        <v>10840002</v>
      </c>
      <c r="N613" s="29" t="s">
        <v>504</v>
      </c>
      <c r="O613" s="29">
        <v>10902027</v>
      </c>
      <c r="P613" s="29">
        <v>0</v>
      </c>
      <c r="Q613" s="29">
        <v>0</v>
      </c>
      <c r="R613" s="29">
        <v>1</v>
      </c>
      <c r="T613" s="29">
        <v>100</v>
      </c>
      <c r="AY613" s="29" t="s">
        <v>425</v>
      </c>
      <c r="AZ613" s="29">
        <v>0</v>
      </c>
      <c r="GR613" s="29">
        <v>0</v>
      </c>
      <c r="GS613" s="29">
        <v>0</v>
      </c>
      <c r="GT613" s="29" t="s">
        <v>425</v>
      </c>
      <c r="GU613" s="29">
        <v>0</v>
      </c>
      <c r="GX613" s="29">
        <v>0</v>
      </c>
      <c r="GZ613" s="29">
        <v>0</v>
      </c>
      <c r="HA613" s="29">
        <v>0</v>
      </c>
      <c r="HB613" s="29">
        <v>0</v>
      </c>
      <c r="HC613" s="29">
        <v>0</v>
      </c>
      <c r="HD613" s="29">
        <v>0</v>
      </c>
      <c r="HE613" s="29" t="b">
        <v>0</v>
      </c>
      <c r="HG613" s="29">
        <v>0</v>
      </c>
      <c r="HI613" s="29" t="s">
        <v>334</v>
      </c>
      <c r="HJ613" s="29">
        <v>0</v>
      </c>
      <c r="HK613" s="29">
        <v>0</v>
      </c>
      <c r="HL613" s="29">
        <v>0</v>
      </c>
    </row>
    <row r="614" spans="2:220">
      <c r="B614" s="29" cm="1">
        <f t="array" ref="B614">10000000+INDEX(编号表!$B$1:$B$112,MATCH(D614,编号表!$A$1:$A$112,0))*10000+I614</f>
        <v>10840002</v>
      </c>
      <c r="C614" s="29" t="s">
        <v>503</v>
      </c>
      <c r="D614" s="29" t="s">
        <v>503</v>
      </c>
      <c r="E614" s="29" t="s">
        <v>445</v>
      </c>
      <c r="F614" s="29" t="s">
        <v>439</v>
      </c>
      <c r="G614" s="29">
        <v>1</v>
      </c>
      <c r="H614" s="29" t="b">
        <v>0</v>
      </c>
      <c r="I614" s="29">
        <v>2</v>
      </c>
      <c r="J614" s="29">
        <v>108400</v>
      </c>
      <c r="K614" s="29" t="s">
        <v>324</v>
      </c>
      <c r="L614" s="29">
        <v>10840001</v>
      </c>
      <c r="M614" s="29">
        <v>10840003</v>
      </c>
      <c r="N614" s="29" t="s">
        <v>504</v>
      </c>
      <c r="O614" s="29">
        <v>10902027</v>
      </c>
      <c r="P614" s="29">
        <v>0</v>
      </c>
      <c r="Q614" s="29">
        <v>0</v>
      </c>
      <c r="R614" s="29">
        <v>1</v>
      </c>
      <c r="T614" s="29">
        <v>100</v>
      </c>
      <c r="AY614" s="29" t="s">
        <v>425</v>
      </c>
      <c r="AZ614" s="29">
        <v>0</v>
      </c>
      <c r="GR614" s="29">
        <v>0</v>
      </c>
      <c r="GS614" s="29">
        <v>0</v>
      </c>
      <c r="GT614" s="29" t="s">
        <v>425</v>
      </c>
      <c r="GU614" s="29">
        <v>0</v>
      </c>
      <c r="GX614" s="29">
        <v>0</v>
      </c>
      <c r="GZ614" s="29">
        <v>0</v>
      </c>
      <c r="HA614" s="29">
        <v>0</v>
      </c>
      <c r="HB614" s="29">
        <v>0</v>
      </c>
      <c r="HC614" s="29">
        <v>0</v>
      </c>
      <c r="HD614" s="29">
        <v>0</v>
      </c>
      <c r="HE614" s="29" t="b">
        <v>0</v>
      </c>
      <c r="HG614" s="29">
        <v>0</v>
      </c>
      <c r="HI614" s="29" t="s">
        <v>334</v>
      </c>
      <c r="HJ614" s="29">
        <v>0</v>
      </c>
      <c r="HK614" s="29">
        <v>0</v>
      </c>
      <c r="HL614" s="29">
        <v>0</v>
      </c>
    </row>
    <row r="615" spans="2:220">
      <c r="B615" s="29" cm="1">
        <f t="array" ref="B615">10000000+INDEX(编号表!$B$1:$B$112,MATCH(D615,编号表!$A$1:$A$112,0))*10000+I615</f>
        <v>10840003</v>
      </c>
      <c r="C615" s="29" t="s">
        <v>503</v>
      </c>
      <c r="D615" s="29" t="s">
        <v>503</v>
      </c>
      <c r="E615" s="29" t="s">
        <v>445</v>
      </c>
      <c r="F615" s="29" t="s">
        <v>439</v>
      </c>
      <c r="G615" s="29">
        <v>1</v>
      </c>
      <c r="H615" s="29" t="b">
        <v>0</v>
      </c>
      <c r="I615" s="29">
        <v>3</v>
      </c>
      <c r="J615" s="29">
        <v>108400</v>
      </c>
      <c r="K615" s="29" t="s">
        <v>324</v>
      </c>
      <c r="L615" s="29">
        <v>10840002</v>
      </c>
      <c r="M615" s="29">
        <v>10840004</v>
      </c>
      <c r="N615" s="29" t="s">
        <v>504</v>
      </c>
      <c r="O615" s="29">
        <v>10902027</v>
      </c>
      <c r="P615" s="29">
        <v>0</v>
      </c>
      <c r="Q615" s="29">
        <v>0</v>
      </c>
      <c r="R615" s="29">
        <v>1</v>
      </c>
      <c r="T615" s="29">
        <v>100</v>
      </c>
      <c r="AY615" s="29" t="s">
        <v>425</v>
      </c>
      <c r="AZ615" s="29">
        <v>0</v>
      </c>
      <c r="GR615" s="29">
        <v>0</v>
      </c>
      <c r="GS615" s="29">
        <v>0</v>
      </c>
      <c r="GT615" s="29" t="s">
        <v>425</v>
      </c>
      <c r="GU615" s="29">
        <v>0</v>
      </c>
      <c r="GX615" s="29">
        <v>0</v>
      </c>
      <c r="GZ615" s="29">
        <v>0</v>
      </c>
      <c r="HA615" s="29">
        <v>0</v>
      </c>
      <c r="HB615" s="29">
        <v>0</v>
      </c>
      <c r="HC615" s="29">
        <v>0</v>
      </c>
      <c r="HD615" s="29">
        <v>0</v>
      </c>
      <c r="HE615" s="29" t="b">
        <v>0</v>
      </c>
      <c r="HG615" s="29">
        <v>0</v>
      </c>
      <c r="HI615" s="29" t="s">
        <v>334</v>
      </c>
      <c r="HJ615" s="29">
        <v>0</v>
      </c>
      <c r="HK615" s="29">
        <v>0</v>
      </c>
      <c r="HL615" s="29">
        <v>0</v>
      </c>
    </row>
    <row r="616" spans="2:220">
      <c r="B616" s="29" cm="1">
        <f t="array" ref="B616">10000000+INDEX(编号表!$B$1:$B$112,MATCH(D616,编号表!$A$1:$A$112,0))*10000+I616</f>
        <v>10840004</v>
      </c>
      <c r="C616" s="29" t="s">
        <v>503</v>
      </c>
      <c r="D616" s="29" t="s">
        <v>503</v>
      </c>
      <c r="E616" s="29" t="s">
        <v>445</v>
      </c>
      <c r="F616" s="29" t="s">
        <v>439</v>
      </c>
      <c r="G616" s="29">
        <v>1</v>
      </c>
      <c r="H616" s="29" t="b">
        <v>0</v>
      </c>
      <c r="I616" s="29">
        <v>4</v>
      </c>
      <c r="J616" s="29">
        <v>108400</v>
      </c>
      <c r="K616" s="29" t="s">
        <v>324</v>
      </c>
      <c r="L616" s="29">
        <v>10840003</v>
      </c>
      <c r="M616" s="29">
        <v>10840005</v>
      </c>
      <c r="N616" s="29" t="s">
        <v>504</v>
      </c>
      <c r="O616" s="29">
        <v>10902027</v>
      </c>
      <c r="P616" s="29">
        <v>0</v>
      </c>
      <c r="Q616" s="29">
        <v>0</v>
      </c>
      <c r="R616" s="29">
        <v>1</v>
      </c>
      <c r="T616" s="29">
        <v>100</v>
      </c>
      <c r="AY616" s="29" t="s">
        <v>425</v>
      </c>
      <c r="AZ616" s="29">
        <v>0</v>
      </c>
      <c r="GR616" s="29">
        <v>0</v>
      </c>
      <c r="GS616" s="29">
        <v>0</v>
      </c>
      <c r="GT616" s="29" t="s">
        <v>425</v>
      </c>
      <c r="GU616" s="29">
        <v>0</v>
      </c>
      <c r="GX616" s="29">
        <v>0</v>
      </c>
      <c r="GZ616" s="29">
        <v>0</v>
      </c>
      <c r="HA616" s="29">
        <v>0</v>
      </c>
      <c r="HB616" s="29">
        <v>0</v>
      </c>
      <c r="HC616" s="29">
        <v>0</v>
      </c>
      <c r="HD616" s="29">
        <v>0</v>
      </c>
      <c r="HE616" s="29" t="b">
        <v>0</v>
      </c>
      <c r="HG616" s="29">
        <v>0</v>
      </c>
      <c r="HI616" s="29" t="s">
        <v>334</v>
      </c>
      <c r="HJ616" s="29">
        <v>0</v>
      </c>
      <c r="HK616" s="29">
        <v>0</v>
      </c>
      <c r="HL616" s="29">
        <v>0</v>
      </c>
    </row>
    <row r="617" spans="2:220">
      <c r="B617" s="29" cm="1">
        <f t="array" ref="B617">10000000+INDEX(编号表!$B$1:$B$112,MATCH(D617,编号表!$A$1:$A$112,0))*10000+I617</f>
        <v>10840005</v>
      </c>
      <c r="C617" s="29" t="s">
        <v>503</v>
      </c>
      <c r="D617" s="29" t="s">
        <v>503</v>
      </c>
      <c r="E617" s="29" t="s">
        <v>445</v>
      </c>
      <c r="F617" s="29" t="s">
        <v>439</v>
      </c>
      <c r="G617" s="29">
        <v>1</v>
      </c>
      <c r="H617" s="29" t="b">
        <v>0</v>
      </c>
      <c r="I617" s="29">
        <v>5</v>
      </c>
      <c r="J617" s="29">
        <v>108400</v>
      </c>
      <c r="K617" s="29" t="s">
        <v>324</v>
      </c>
      <c r="L617" s="29">
        <v>10840004</v>
      </c>
      <c r="M617" s="29">
        <v>10840006</v>
      </c>
      <c r="N617" s="29" t="s">
        <v>504</v>
      </c>
      <c r="O617" s="29">
        <v>10902027</v>
      </c>
      <c r="P617" s="29">
        <v>0</v>
      </c>
      <c r="Q617" s="29">
        <v>0</v>
      </c>
      <c r="R617" s="29">
        <v>1</v>
      </c>
      <c r="T617" s="29">
        <v>100</v>
      </c>
      <c r="AY617" s="29" t="s">
        <v>425</v>
      </c>
      <c r="AZ617" s="29">
        <v>0</v>
      </c>
      <c r="GR617" s="29">
        <v>0</v>
      </c>
      <c r="GS617" s="29">
        <v>0</v>
      </c>
      <c r="GT617" s="29" t="s">
        <v>425</v>
      </c>
      <c r="GU617" s="29">
        <v>0</v>
      </c>
      <c r="GX617" s="29">
        <v>0</v>
      </c>
      <c r="GZ617" s="29">
        <v>0</v>
      </c>
      <c r="HA617" s="29">
        <v>0</v>
      </c>
      <c r="HB617" s="29">
        <v>0</v>
      </c>
      <c r="HC617" s="29">
        <v>0</v>
      </c>
      <c r="HD617" s="29">
        <v>0</v>
      </c>
      <c r="HE617" s="29" t="b">
        <v>0</v>
      </c>
      <c r="HG617" s="29">
        <v>0</v>
      </c>
      <c r="HI617" s="29" t="s">
        <v>334</v>
      </c>
      <c r="HJ617" s="29">
        <v>0</v>
      </c>
      <c r="HK617" s="29">
        <v>0</v>
      </c>
      <c r="HL617" s="29">
        <v>0</v>
      </c>
    </row>
    <row r="618" spans="2:220">
      <c r="B618" s="29" cm="1">
        <f t="array" ref="B618">10000000+INDEX(编号表!$B$1:$B$112,MATCH(D618,编号表!$A$1:$A$112,0))*10000+I618</f>
        <v>10840006</v>
      </c>
      <c r="C618" s="29" t="s">
        <v>503</v>
      </c>
      <c r="D618" s="29" t="s">
        <v>503</v>
      </c>
      <c r="E618" s="29" t="s">
        <v>445</v>
      </c>
      <c r="F618" s="29" t="s">
        <v>439</v>
      </c>
      <c r="G618" s="29">
        <v>1</v>
      </c>
      <c r="H618" s="29" t="b">
        <v>0</v>
      </c>
      <c r="I618" s="29">
        <v>6</v>
      </c>
      <c r="J618" s="29">
        <v>108400</v>
      </c>
      <c r="K618" s="29" t="s">
        <v>324</v>
      </c>
      <c r="L618" s="29">
        <v>10840005</v>
      </c>
      <c r="M618" s="29">
        <v>10840007</v>
      </c>
      <c r="N618" s="29" t="s">
        <v>504</v>
      </c>
      <c r="O618" s="29">
        <v>10902027</v>
      </c>
      <c r="P618" s="29">
        <v>0</v>
      </c>
      <c r="Q618" s="29">
        <v>0</v>
      </c>
      <c r="R618" s="29">
        <v>1</v>
      </c>
      <c r="T618" s="29">
        <v>100</v>
      </c>
      <c r="AY618" s="29" t="s">
        <v>425</v>
      </c>
      <c r="AZ618" s="29">
        <v>0</v>
      </c>
      <c r="GR618" s="29">
        <v>0</v>
      </c>
      <c r="GS618" s="29">
        <v>0</v>
      </c>
      <c r="GT618" s="29" t="s">
        <v>425</v>
      </c>
      <c r="GU618" s="29">
        <v>0</v>
      </c>
      <c r="GX618" s="29">
        <v>0</v>
      </c>
      <c r="GZ618" s="29">
        <v>0</v>
      </c>
      <c r="HA618" s="29">
        <v>0</v>
      </c>
      <c r="HB618" s="29">
        <v>0</v>
      </c>
      <c r="HC618" s="29">
        <v>0</v>
      </c>
      <c r="HD618" s="29">
        <v>0</v>
      </c>
      <c r="HE618" s="29" t="b">
        <v>0</v>
      </c>
      <c r="HG618" s="29">
        <v>0</v>
      </c>
      <c r="HI618" s="29" t="s">
        <v>334</v>
      </c>
      <c r="HJ618" s="29">
        <v>0</v>
      </c>
      <c r="HK618" s="29">
        <v>0</v>
      </c>
      <c r="HL618" s="29">
        <v>0</v>
      </c>
    </row>
    <row r="619" spans="2:220">
      <c r="B619" s="29" cm="1">
        <f t="array" ref="B619">10000000+INDEX(编号表!$B$1:$B$112,MATCH(D619,编号表!$A$1:$A$112,0))*10000+I619</f>
        <v>10840007</v>
      </c>
      <c r="C619" s="29" t="s">
        <v>503</v>
      </c>
      <c r="D619" s="29" t="s">
        <v>503</v>
      </c>
      <c r="E619" s="29" t="s">
        <v>445</v>
      </c>
      <c r="F619" s="29" t="s">
        <v>439</v>
      </c>
      <c r="G619" s="29">
        <v>1</v>
      </c>
      <c r="H619" s="29" t="b">
        <v>0</v>
      </c>
      <c r="I619" s="29">
        <v>7</v>
      </c>
      <c r="J619" s="29">
        <v>108400</v>
      </c>
      <c r="K619" s="29" t="s">
        <v>324</v>
      </c>
      <c r="L619" s="29">
        <v>10840006</v>
      </c>
      <c r="M619" s="29">
        <v>10840008</v>
      </c>
      <c r="N619" s="29" t="s">
        <v>504</v>
      </c>
      <c r="O619" s="29">
        <v>10902027</v>
      </c>
      <c r="P619" s="29">
        <v>0</v>
      </c>
      <c r="Q619" s="29">
        <v>0</v>
      </c>
      <c r="R619" s="29">
        <v>1</v>
      </c>
      <c r="T619" s="29">
        <v>100</v>
      </c>
      <c r="AY619" s="29" t="s">
        <v>425</v>
      </c>
      <c r="AZ619" s="29">
        <v>0</v>
      </c>
      <c r="GR619" s="29">
        <v>0</v>
      </c>
      <c r="GS619" s="29">
        <v>0</v>
      </c>
      <c r="GT619" s="29" t="s">
        <v>425</v>
      </c>
      <c r="GU619" s="29">
        <v>0</v>
      </c>
      <c r="GX619" s="29">
        <v>0</v>
      </c>
      <c r="GZ619" s="29">
        <v>0</v>
      </c>
      <c r="HA619" s="29">
        <v>0</v>
      </c>
      <c r="HB619" s="29">
        <v>0</v>
      </c>
      <c r="HC619" s="29">
        <v>0</v>
      </c>
      <c r="HD619" s="29">
        <v>0</v>
      </c>
      <c r="HE619" s="29" t="b">
        <v>0</v>
      </c>
      <c r="HG619" s="29">
        <v>0</v>
      </c>
      <c r="HI619" s="29" t="s">
        <v>334</v>
      </c>
      <c r="HJ619" s="29">
        <v>0</v>
      </c>
      <c r="HK619" s="29">
        <v>0</v>
      </c>
      <c r="HL619" s="29">
        <v>0</v>
      </c>
    </row>
    <row r="620" spans="2:220">
      <c r="B620" s="29" cm="1">
        <f t="array" ref="B620">10000000+INDEX(编号表!$B$1:$B$112,MATCH(D620,编号表!$A$1:$A$112,0))*10000+I620</f>
        <v>10840008</v>
      </c>
      <c r="C620" s="29" t="s">
        <v>503</v>
      </c>
      <c r="D620" s="29" t="s">
        <v>503</v>
      </c>
      <c r="E620" s="29" t="s">
        <v>445</v>
      </c>
      <c r="F620" s="29" t="s">
        <v>439</v>
      </c>
      <c r="G620" s="29">
        <v>1</v>
      </c>
      <c r="H620" s="29" t="b">
        <v>0</v>
      </c>
      <c r="I620" s="29">
        <v>8</v>
      </c>
      <c r="J620" s="29">
        <v>108400</v>
      </c>
      <c r="K620" s="29" t="s">
        <v>324</v>
      </c>
      <c r="L620" s="29">
        <v>10840007</v>
      </c>
      <c r="M620" s="29">
        <v>10840009</v>
      </c>
      <c r="N620" s="29" t="s">
        <v>504</v>
      </c>
      <c r="O620" s="29">
        <v>10902027</v>
      </c>
      <c r="P620" s="29">
        <v>0</v>
      </c>
      <c r="Q620" s="29">
        <v>0</v>
      </c>
      <c r="R620" s="29">
        <v>1</v>
      </c>
      <c r="T620" s="29">
        <v>100</v>
      </c>
      <c r="AY620" s="29" t="s">
        <v>425</v>
      </c>
      <c r="AZ620" s="29">
        <v>0</v>
      </c>
      <c r="GR620" s="29">
        <v>0</v>
      </c>
      <c r="GS620" s="29">
        <v>0</v>
      </c>
      <c r="GT620" s="29" t="s">
        <v>425</v>
      </c>
      <c r="GU620" s="29">
        <v>0</v>
      </c>
      <c r="GX620" s="29">
        <v>0</v>
      </c>
      <c r="GZ620" s="29">
        <v>0</v>
      </c>
      <c r="HA620" s="29">
        <v>0</v>
      </c>
      <c r="HB620" s="29">
        <v>0</v>
      </c>
      <c r="HC620" s="29">
        <v>0</v>
      </c>
      <c r="HD620" s="29">
        <v>0</v>
      </c>
      <c r="HE620" s="29" t="b">
        <v>0</v>
      </c>
      <c r="HG620" s="29">
        <v>0</v>
      </c>
      <c r="HI620" s="29" t="s">
        <v>334</v>
      </c>
      <c r="HJ620" s="29">
        <v>0</v>
      </c>
      <c r="HK620" s="29">
        <v>0</v>
      </c>
      <c r="HL620" s="29">
        <v>0</v>
      </c>
    </row>
    <row r="621" spans="2:220">
      <c r="B621" s="29" cm="1">
        <f t="array" ref="B621">10000000+INDEX(编号表!$B$1:$B$112,MATCH(D621,编号表!$A$1:$A$112,0))*10000+I621</f>
        <v>10840009</v>
      </c>
      <c r="C621" s="29" t="s">
        <v>503</v>
      </c>
      <c r="D621" s="29" t="s">
        <v>503</v>
      </c>
      <c r="E621" s="29" t="s">
        <v>445</v>
      </c>
      <c r="F621" s="29" t="s">
        <v>439</v>
      </c>
      <c r="G621" s="29">
        <v>1</v>
      </c>
      <c r="H621" s="29" t="b">
        <v>0</v>
      </c>
      <c r="I621" s="29">
        <v>9</v>
      </c>
      <c r="J621" s="29">
        <v>108400</v>
      </c>
      <c r="K621" s="29" t="s">
        <v>324</v>
      </c>
      <c r="L621" s="29">
        <v>10840008</v>
      </c>
      <c r="M621" s="29">
        <v>10840010</v>
      </c>
      <c r="N621" s="29" t="s">
        <v>504</v>
      </c>
      <c r="O621" s="29">
        <v>10902027</v>
      </c>
      <c r="P621" s="29">
        <v>0</v>
      </c>
      <c r="Q621" s="29">
        <v>0</v>
      </c>
      <c r="R621" s="29">
        <v>1</v>
      </c>
      <c r="T621" s="29">
        <v>100</v>
      </c>
      <c r="AY621" s="29" t="s">
        <v>425</v>
      </c>
      <c r="AZ621" s="29">
        <v>0</v>
      </c>
      <c r="GR621" s="29">
        <v>0</v>
      </c>
      <c r="GS621" s="29">
        <v>0</v>
      </c>
      <c r="GT621" s="29" t="s">
        <v>425</v>
      </c>
      <c r="GU621" s="29">
        <v>0</v>
      </c>
      <c r="GX621" s="29">
        <v>0</v>
      </c>
      <c r="GZ621" s="29">
        <v>0</v>
      </c>
      <c r="HA621" s="29">
        <v>0</v>
      </c>
      <c r="HB621" s="29">
        <v>0</v>
      </c>
      <c r="HC621" s="29">
        <v>0</v>
      </c>
      <c r="HD621" s="29">
        <v>0</v>
      </c>
      <c r="HE621" s="29" t="b">
        <v>0</v>
      </c>
      <c r="HG621" s="29">
        <v>0</v>
      </c>
      <c r="HI621" s="29" t="s">
        <v>334</v>
      </c>
      <c r="HJ621" s="29">
        <v>0</v>
      </c>
      <c r="HK621" s="29">
        <v>0</v>
      </c>
      <c r="HL621" s="29">
        <v>0</v>
      </c>
    </row>
    <row r="622" spans="2:220">
      <c r="B622" s="29" cm="1">
        <f t="array" ref="B622">10000000+INDEX(编号表!$B$1:$B$112,MATCH(D622,编号表!$A$1:$A$112,0))*10000+I622</f>
        <v>10840010</v>
      </c>
      <c r="C622" s="29" t="s">
        <v>503</v>
      </c>
      <c r="D622" s="29" t="s">
        <v>503</v>
      </c>
      <c r="E622" s="29" t="s">
        <v>445</v>
      </c>
      <c r="F622" s="29" t="s">
        <v>439</v>
      </c>
      <c r="G622" s="29">
        <v>1</v>
      </c>
      <c r="H622" s="29" t="b">
        <v>0</v>
      </c>
      <c r="I622" s="29">
        <v>10</v>
      </c>
      <c r="J622" s="29">
        <v>108400</v>
      </c>
      <c r="K622" s="29" t="s">
        <v>324</v>
      </c>
      <c r="L622" s="29">
        <v>10840009</v>
      </c>
      <c r="N622" s="29" t="s">
        <v>504</v>
      </c>
      <c r="O622" s="29">
        <v>10902027</v>
      </c>
      <c r="P622" s="29">
        <v>0</v>
      </c>
      <c r="Q622" s="29">
        <v>0</v>
      </c>
      <c r="R622" s="29">
        <v>1</v>
      </c>
      <c r="T622" s="29">
        <v>100</v>
      </c>
      <c r="AY622" s="29" t="s">
        <v>425</v>
      </c>
      <c r="AZ622" s="29">
        <v>0</v>
      </c>
      <c r="GR622" s="29">
        <v>0</v>
      </c>
      <c r="GS622" s="29">
        <v>0</v>
      </c>
      <c r="GT622" s="29" t="s">
        <v>425</v>
      </c>
      <c r="GU622" s="29">
        <v>0</v>
      </c>
      <c r="GX622" s="29">
        <v>0</v>
      </c>
      <c r="GZ622" s="29">
        <v>0</v>
      </c>
      <c r="HA622" s="29">
        <v>0</v>
      </c>
      <c r="HB622" s="29">
        <v>0</v>
      </c>
      <c r="HC622" s="29">
        <v>0</v>
      </c>
      <c r="HD622" s="29">
        <v>0</v>
      </c>
      <c r="HE622" s="29" t="b">
        <v>0</v>
      </c>
      <c r="HG622" s="29">
        <v>0</v>
      </c>
      <c r="HI622" s="29" t="s">
        <v>334</v>
      </c>
      <c r="HJ622" s="29">
        <v>0</v>
      </c>
      <c r="HK622" s="29">
        <v>0</v>
      </c>
      <c r="HL622" s="29">
        <v>0</v>
      </c>
    </row>
    <row r="623" spans="2:220">
      <c r="B623" s="29" cm="1">
        <f t="array" ref="B623">10000000+INDEX(编号表!$B$1:$B$112,MATCH(D623,编号表!$A$1:$A$112,0))*10000+I623</f>
        <v>10850001</v>
      </c>
      <c r="C623" s="29" t="s">
        <v>505</v>
      </c>
      <c r="D623" s="29" t="s">
        <v>505</v>
      </c>
      <c r="E623" s="29" t="s">
        <v>445</v>
      </c>
      <c r="F623" s="29" t="s">
        <v>442</v>
      </c>
      <c r="G623" s="29">
        <v>1</v>
      </c>
      <c r="H623" s="29" t="b">
        <v>0</v>
      </c>
      <c r="I623" s="29">
        <v>1</v>
      </c>
      <c r="J623" s="29">
        <v>108500</v>
      </c>
      <c r="K623" s="29" t="s">
        <v>324</v>
      </c>
      <c r="M623" s="29">
        <v>10850002</v>
      </c>
      <c r="N623" s="29" t="s">
        <v>506</v>
      </c>
      <c r="O623" s="29">
        <v>10902028</v>
      </c>
      <c r="P623" s="29">
        <v>0</v>
      </c>
      <c r="Q623" s="29">
        <v>0</v>
      </c>
      <c r="R623" s="29">
        <v>1</v>
      </c>
      <c r="T623" s="29">
        <v>100</v>
      </c>
      <c r="AY623" s="29" t="s">
        <v>425</v>
      </c>
      <c r="AZ623" s="29">
        <v>0</v>
      </c>
      <c r="GR623" s="29">
        <v>0</v>
      </c>
      <c r="GS623" s="29">
        <v>0</v>
      </c>
      <c r="GT623" s="29" t="s">
        <v>425</v>
      </c>
      <c r="GU623" s="29">
        <v>0</v>
      </c>
      <c r="GX623" s="29">
        <v>0</v>
      </c>
      <c r="GZ623" s="29">
        <v>0</v>
      </c>
      <c r="HA623" s="29">
        <v>0</v>
      </c>
      <c r="HB623" s="29">
        <v>0</v>
      </c>
      <c r="HC623" s="29">
        <v>0</v>
      </c>
      <c r="HD623" s="29">
        <v>0</v>
      </c>
      <c r="HE623" s="29" t="b">
        <v>0</v>
      </c>
      <c r="HG623" s="29">
        <v>0</v>
      </c>
      <c r="HI623" s="29" t="s">
        <v>334</v>
      </c>
      <c r="HJ623" s="29">
        <v>0</v>
      </c>
      <c r="HK623" s="29">
        <v>0</v>
      </c>
      <c r="HL623" s="29">
        <v>0</v>
      </c>
    </row>
    <row r="624" spans="2:220">
      <c r="B624" s="29" cm="1">
        <f t="array" ref="B624">10000000+INDEX(编号表!$B$1:$B$112,MATCH(D624,编号表!$A$1:$A$112,0))*10000+I624</f>
        <v>10850002</v>
      </c>
      <c r="C624" s="29" t="s">
        <v>505</v>
      </c>
      <c r="D624" s="29" t="s">
        <v>505</v>
      </c>
      <c r="E624" s="29" t="s">
        <v>445</v>
      </c>
      <c r="F624" s="29" t="s">
        <v>442</v>
      </c>
      <c r="G624" s="29">
        <v>1</v>
      </c>
      <c r="H624" s="29" t="b">
        <v>0</v>
      </c>
      <c r="I624" s="29">
        <v>2</v>
      </c>
      <c r="J624" s="29">
        <v>108500</v>
      </c>
      <c r="K624" s="29" t="s">
        <v>324</v>
      </c>
      <c r="L624" s="29">
        <v>10850001</v>
      </c>
      <c r="M624" s="29">
        <v>10850003</v>
      </c>
      <c r="N624" s="29" t="s">
        <v>506</v>
      </c>
      <c r="O624" s="29">
        <v>10902028</v>
      </c>
      <c r="P624" s="29">
        <v>0</v>
      </c>
      <c r="Q624" s="29">
        <v>0</v>
      </c>
      <c r="R624" s="29">
        <v>1</v>
      </c>
      <c r="T624" s="29">
        <v>100</v>
      </c>
      <c r="AY624" s="29" t="s">
        <v>425</v>
      </c>
      <c r="AZ624" s="29">
        <v>0</v>
      </c>
      <c r="GR624" s="29">
        <v>0</v>
      </c>
      <c r="GS624" s="29">
        <v>0</v>
      </c>
      <c r="GT624" s="29" t="s">
        <v>425</v>
      </c>
      <c r="GU624" s="29">
        <v>0</v>
      </c>
      <c r="GX624" s="29">
        <v>0</v>
      </c>
      <c r="GZ624" s="29">
        <v>0</v>
      </c>
      <c r="HA624" s="29">
        <v>0</v>
      </c>
      <c r="HB624" s="29">
        <v>0</v>
      </c>
      <c r="HC624" s="29">
        <v>0</v>
      </c>
      <c r="HD624" s="29">
        <v>0</v>
      </c>
      <c r="HE624" s="29" t="b">
        <v>0</v>
      </c>
      <c r="HG624" s="29">
        <v>0</v>
      </c>
      <c r="HI624" s="29" t="s">
        <v>334</v>
      </c>
      <c r="HJ624" s="29">
        <v>0</v>
      </c>
      <c r="HK624" s="29">
        <v>0</v>
      </c>
      <c r="HL624" s="29">
        <v>0</v>
      </c>
    </row>
    <row r="625" spans="1:222">
      <c r="B625" s="29" cm="1">
        <f t="array" ref="B625">10000000+INDEX(编号表!$B$1:$B$112,MATCH(D625,编号表!$A$1:$A$112,0))*10000+I625</f>
        <v>10850003</v>
      </c>
      <c r="C625" s="29" t="s">
        <v>505</v>
      </c>
      <c r="D625" s="29" t="s">
        <v>505</v>
      </c>
      <c r="E625" s="29" t="s">
        <v>445</v>
      </c>
      <c r="F625" s="29" t="s">
        <v>442</v>
      </c>
      <c r="G625" s="29">
        <v>1</v>
      </c>
      <c r="H625" s="29" t="b">
        <v>0</v>
      </c>
      <c r="I625" s="29">
        <v>3</v>
      </c>
      <c r="J625" s="29">
        <v>108500</v>
      </c>
      <c r="K625" s="29" t="s">
        <v>324</v>
      </c>
      <c r="L625" s="29">
        <v>10850002</v>
      </c>
      <c r="M625" s="29">
        <v>10850004</v>
      </c>
      <c r="N625" s="29" t="s">
        <v>506</v>
      </c>
      <c r="O625" s="29">
        <v>10902028</v>
      </c>
      <c r="P625" s="29">
        <v>0</v>
      </c>
      <c r="Q625" s="29">
        <v>0</v>
      </c>
      <c r="R625" s="29">
        <v>1</v>
      </c>
      <c r="T625" s="29">
        <v>100</v>
      </c>
      <c r="AY625" s="29" t="s">
        <v>425</v>
      </c>
      <c r="AZ625" s="29">
        <v>0</v>
      </c>
      <c r="GR625" s="29">
        <v>0</v>
      </c>
      <c r="GS625" s="29">
        <v>0</v>
      </c>
      <c r="GT625" s="29" t="s">
        <v>425</v>
      </c>
      <c r="GU625" s="29">
        <v>0</v>
      </c>
      <c r="GX625" s="29">
        <v>0</v>
      </c>
      <c r="GZ625" s="29">
        <v>0</v>
      </c>
      <c r="HA625" s="29">
        <v>0</v>
      </c>
      <c r="HB625" s="29">
        <v>0</v>
      </c>
      <c r="HC625" s="29">
        <v>0</v>
      </c>
      <c r="HD625" s="29">
        <v>0</v>
      </c>
      <c r="HE625" s="29" t="b">
        <v>0</v>
      </c>
      <c r="HG625" s="29">
        <v>0</v>
      </c>
      <c r="HI625" s="29" t="s">
        <v>334</v>
      </c>
      <c r="HJ625" s="29">
        <v>0</v>
      </c>
      <c r="HK625" s="29">
        <v>0</v>
      </c>
      <c r="HL625" s="29">
        <v>0</v>
      </c>
    </row>
    <row r="626" spans="1:222">
      <c r="B626" s="29" cm="1">
        <f t="array" ref="B626">10000000+INDEX(编号表!$B$1:$B$112,MATCH(D626,编号表!$A$1:$A$112,0))*10000+I626</f>
        <v>10850004</v>
      </c>
      <c r="C626" s="29" t="s">
        <v>505</v>
      </c>
      <c r="D626" s="29" t="s">
        <v>505</v>
      </c>
      <c r="E626" s="29" t="s">
        <v>445</v>
      </c>
      <c r="F626" s="29" t="s">
        <v>442</v>
      </c>
      <c r="G626" s="29">
        <v>1</v>
      </c>
      <c r="H626" s="29" t="b">
        <v>0</v>
      </c>
      <c r="I626" s="29">
        <v>4</v>
      </c>
      <c r="J626" s="29">
        <v>108500</v>
      </c>
      <c r="K626" s="29" t="s">
        <v>324</v>
      </c>
      <c r="L626" s="29">
        <v>10850003</v>
      </c>
      <c r="M626" s="29">
        <v>10850005</v>
      </c>
      <c r="N626" s="29" t="s">
        <v>506</v>
      </c>
      <c r="O626" s="29">
        <v>10902028</v>
      </c>
      <c r="P626" s="29">
        <v>0</v>
      </c>
      <c r="Q626" s="29">
        <v>0</v>
      </c>
      <c r="R626" s="29">
        <v>1</v>
      </c>
      <c r="T626" s="29">
        <v>100</v>
      </c>
      <c r="AY626" s="29" t="s">
        <v>425</v>
      </c>
      <c r="AZ626" s="29">
        <v>0</v>
      </c>
      <c r="GR626" s="29">
        <v>0</v>
      </c>
      <c r="GS626" s="29">
        <v>0</v>
      </c>
      <c r="GT626" s="29" t="s">
        <v>425</v>
      </c>
      <c r="GU626" s="29">
        <v>0</v>
      </c>
      <c r="GX626" s="29">
        <v>0</v>
      </c>
      <c r="GZ626" s="29">
        <v>0</v>
      </c>
      <c r="HA626" s="29">
        <v>0</v>
      </c>
      <c r="HB626" s="29">
        <v>0</v>
      </c>
      <c r="HC626" s="29">
        <v>0</v>
      </c>
      <c r="HD626" s="29">
        <v>0</v>
      </c>
      <c r="HE626" s="29" t="b">
        <v>0</v>
      </c>
      <c r="HG626" s="29">
        <v>0</v>
      </c>
      <c r="HI626" s="29" t="s">
        <v>334</v>
      </c>
      <c r="HJ626" s="29">
        <v>0</v>
      </c>
      <c r="HK626" s="29">
        <v>0</v>
      </c>
      <c r="HL626" s="29">
        <v>0</v>
      </c>
    </row>
    <row r="627" spans="1:222">
      <c r="B627" s="29" cm="1">
        <f t="array" ref="B627">10000000+INDEX(编号表!$B$1:$B$112,MATCH(D627,编号表!$A$1:$A$112,0))*10000+I627</f>
        <v>10850005</v>
      </c>
      <c r="C627" s="29" t="s">
        <v>505</v>
      </c>
      <c r="D627" s="29" t="s">
        <v>505</v>
      </c>
      <c r="E627" s="29" t="s">
        <v>445</v>
      </c>
      <c r="F627" s="29" t="s">
        <v>442</v>
      </c>
      <c r="G627" s="29">
        <v>1</v>
      </c>
      <c r="H627" s="29" t="b">
        <v>0</v>
      </c>
      <c r="I627" s="29">
        <v>5</v>
      </c>
      <c r="J627" s="29">
        <v>108500</v>
      </c>
      <c r="K627" s="29" t="s">
        <v>324</v>
      </c>
      <c r="L627" s="29">
        <v>10850004</v>
      </c>
      <c r="M627" s="29">
        <v>10850006</v>
      </c>
      <c r="N627" s="29" t="s">
        <v>506</v>
      </c>
      <c r="O627" s="29">
        <v>10902028</v>
      </c>
      <c r="P627" s="29">
        <v>0</v>
      </c>
      <c r="Q627" s="29">
        <v>0</v>
      </c>
      <c r="R627" s="29">
        <v>1</v>
      </c>
      <c r="T627" s="29">
        <v>100</v>
      </c>
      <c r="AY627" s="29" t="s">
        <v>425</v>
      </c>
      <c r="AZ627" s="29">
        <v>0</v>
      </c>
      <c r="GR627" s="29">
        <v>0</v>
      </c>
      <c r="GS627" s="29">
        <v>0</v>
      </c>
      <c r="GT627" s="29" t="s">
        <v>425</v>
      </c>
      <c r="GU627" s="29">
        <v>0</v>
      </c>
      <c r="GX627" s="29">
        <v>0</v>
      </c>
      <c r="GZ627" s="29">
        <v>0</v>
      </c>
      <c r="HA627" s="29">
        <v>0</v>
      </c>
      <c r="HB627" s="29">
        <v>0</v>
      </c>
      <c r="HC627" s="29">
        <v>0</v>
      </c>
      <c r="HD627" s="29">
        <v>0</v>
      </c>
      <c r="HE627" s="29" t="b">
        <v>0</v>
      </c>
      <c r="HG627" s="29">
        <v>0</v>
      </c>
      <c r="HI627" s="29" t="s">
        <v>334</v>
      </c>
      <c r="HJ627" s="29">
        <v>0</v>
      </c>
      <c r="HK627" s="29">
        <v>0</v>
      </c>
      <c r="HL627" s="29">
        <v>0</v>
      </c>
    </row>
    <row r="628" spans="1:222">
      <c r="B628" s="29" cm="1">
        <f t="array" ref="B628">10000000+INDEX(编号表!$B$1:$B$112,MATCH(D628,编号表!$A$1:$A$112,0))*10000+I628</f>
        <v>10850006</v>
      </c>
      <c r="C628" s="29" t="s">
        <v>505</v>
      </c>
      <c r="D628" s="29" t="s">
        <v>505</v>
      </c>
      <c r="E628" s="29" t="s">
        <v>445</v>
      </c>
      <c r="F628" s="29" t="s">
        <v>442</v>
      </c>
      <c r="G628" s="29">
        <v>1</v>
      </c>
      <c r="H628" s="29" t="b">
        <v>0</v>
      </c>
      <c r="I628" s="29">
        <v>6</v>
      </c>
      <c r="J628" s="29">
        <v>108500</v>
      </c>
      <c r="K628" s="29" t="s">
        <v>324</v>
      </c>
      <c r="L628" s="29">
        <v>10850005</v>
      </c>
      <c r="M628" s="29">
        <v>10850007</v>
      </c>
      <c r="N628" s="29" t="s">
        <v>506</v>
      </c>
      <c r="O628" s="29">
        <v>10902028</v>
      </c>
      <c r="P628" s="29">
        <v>0</v>
      </c>
      <c r="Q628" s="29">
        <v>0</v>
      </c>
      <c r="R628" s="29">
        <v>1</v>
      </c>
      <c r="T628" s="29">
        <v>100</v>
      </c>
      <c r="AY628" s="29" t="s">
        <v>425</v>
      </c>
      <c r="AZ628" s="29">
        <v>0</v>
      </c>
      <c r="GR628" s="29">
        <v>0</v>
      </c>
      <c r="GS628" s="29">
        <v>0</v>
      </c>
      <c r="GT628" s="29" t="s">
        <v>425</v>
      </c>
      <c r="GU628" s="29">
        <v>0</v>
      </c>
      <c r="GX628" s="29">
        <v>0</v>
      </c>
      <c r="GZ628" s="29">
        <v>0</v>
      </c>
      <c r="HA628" s="29">
        <v>0</v>
      </c>
      <c r="HB628" s="29">
        <v>0</v>
      </c>
      <c r="HC628" s="29">
        <v>0</v>
      </c>
      <c r="HD628" s="29">
        <v>0</v>
      </c>
      <c r="HE628" s="29" t="b">
        <v>0</v>
      </c>
      <c r="HG628" s="29">
        <v>0</v>
      </c>
      <c r="HI628" s="29" t="s">
        <v>334</v>
      </c>
      <c r="HJ628" s="29">
        <v>0</v>
      </c>
      <c r="HK628" s="29">
        <v>0</v>
      </c>
      <c r="HL628" s="29">
        <v>0</v>
      </c>
    </row>
    <row r="629" spans="1:222">
      <c r="B629" s="29" cm="1">
        <f t="array" ref="B629">10000000+INDEX(编号表!$B$1:$B$112,MATCH(D629,编号表!$A$1:$A$112,0))*10000+I629</f>
        <v>10850007</v>
      </c>
      <c r="C629" s="29" t="s">
        <v>505</v>
      </c>
      <c r="D629" s="29" t="s">
        <v>505</v>
      </c>
      <c r="E629" s="29" t="s">
        <v>445</v>
      </c>
      <c r="F629" s="29" t="s">
        <v>442</v>
      </c>
      <c r="G629" s="29">
        <v>1</v>
      </c>
      <c r="H629" s="29" t="b">
        <v>0</v>
      </c>
      <c r="I629" s="29">
        <v>7</v>
      </c>
      <c r="J629" s="29">
        <v>108500</v>
      </c>
      <c r="K629" s="29" t="s">
        <v>324</v>
      </c>
      <c r="L629" s="29">
        <v>10850006</v>
      </c>
      <c r="M629" s="29">
        <v>10850008</v>
      </c>
      <c r="N629" s="29" t="s">
        <v>506</v>
      </c>
      <c r="O629" s="29">
        <v>10902028</v>
      </c>
      <c r="P629" s="29">
        <v>0</v>
      </c>
      <c r="Q629" s="29">
        <v>0</v>
      </c>
      <c r="R629" s="29">
        <v>1</v>
      </c>
      <c r="T629" s="29">
        <v>100</v>
      </c>
      <c r="AY629" s="29" t="s">
        <v>425</v>
      </c>
      <c r="AZ629" s="29">
        <v>0</v>
      </c>
      <c r="GR629" s="29">
        <v>0</v>
      </c>
      <c r="GS629" s="29">
        <v>0</v>
      </c>
      <c r="GT629" s="29" t="s">
        <v>425</v>
      </c>
      <c r="GU629" s="29">
        <v>0</v>
      </c>
      <c r="GX629" s="29">
        <v>0</v>
      </c>
      <c r="GZ629" s="29">
        <v>0</v>
      </c>
      <c r="HA629" s="29">
        <v>0</v>
      </c>
      <c r="HB629" s="29">
        <v>0</v>
      </c>
      <c r="HC629" s="29">
        <v>0</v>
      </c>
      <c r="HD629" s="29">
        <v>0</v>
      </c>
      <c r="HE629" s="29" t="b">
        <v>0</v>
      </c>
      <c r="HG629" s="29">
        <v>0</v>
      </c>
      <c r="HI629" s="29" t="s">
        <v>334</v>
      </c>
      <c r="HJ629" s="29">
        <v>0</v>
      </c>
      <c r="HK629" s="29">
        <v>0</v>
      </c>
      <c r="HL629" s="29">
        <v>0</v>
      </c>
    </row>
    <row r="630" spans="1:222">
      <c r="B630" s="29" cm="1">
        <f t="array" ref="B630">10000000+INDEX(编号表!$B$1:$B$112,MATCH(D630,编号表!$A$1:$A$112,0))*10000+I630</f>
        <v>10850008</v>
      </c>
      <c r="C630" s="29" t="s">
        <v>505</v>
      </c>
      <c r="D630" s="29" t="s">
        <v>505</v>
      </c>
      <c r="E630" s="29" t="s">
        <v>445</v>
      </c>
      <c r="F630" s="29" t="s">
        <v>442</v>
      </c>
      <c r="G630" s="29">
        <v>1</v>
      </c>
      <c r="H630" s="29" t="b">
        <v>0</v>
      </c>
      <c r="I630" s="29">
        <v>8</v>
      </c>
      <c r="J630" s="29">
        <v>108500</v>
      </c>
      <c r="K630" s="29" t="s">
        <v>324</v>
      </c>
      <c r="L630" s="29">
        <v>10850007</v>
      </c>
      <c r="M630" s="29">
        <v>10850009</v>
      </c>
      <c r="N630" s="29" t="s">
        <v>506</v>
      </c>
      <c r="O630" s="29">
        <v>10902028</v>
      </c>
      <c r="P630" s="29">
        <v>0</v>
      </c>
      <c r="Q630" s="29">
        <v>0</v>
      </c>
      <c r="R630" s="29">
        <v>1</v>
      </c>
      <c r="T630" s="29">
        <v>100</v>
      </c>
      <c r="AY630" s="29" t="s">
        <v>425</v>
      </c>
      <c r="AZ630" s="29">
        <v>0</v>
      </c>
      <c r="GR630" s="29">
        <v>0</v>
      </c>
      <c r="GS630" s="29">
        <v>0</v>
      </c>
      <c r="GT630" s="29" t="s">
        <v>425</v>
      </c>
      <c r="GU630" s="29">
        <v>0</v>
      </c>
      <c r="GX630" s="29">
        <v>0</v>
      </c>
      <c r="GZ630" s="29">
        <v>0</v>
      </c>
      <c r="HA630" s="29">
        <v>0</v>
      </c>
      <c r="HB630" s="29">
        <v>0</v>
      </c>
      <c r="HC630" s="29">
        <v>0</v>
      </c>
      <c r="HD630" s="29">
        <v>0</v>
      </c>
      <c r="HE630" s="29" t="b">
        <v>0</v>
      </c>
      <c r="HG630" s="29">
        <v>0</v>
      </c>
      <c r="HI630" s="29" t="s">
        <v>334</v>
      </c>
      <c r="HJ630" s="29">
        <v>0</v>
      </c>
      <c r="HK630" s="29">
        <v>0</v>
      </c>
      <c r="HL630" s="29">
        <v>0</v>
      </c>
    </row>
    <row r="631" spans="1:222">
      <c r="B631" s="29" cm="1">
        <f t="array" ref="B631">10000000+INDEX(编号表!$B$1:$B$112,MATCH(D631,编号表!$A$1:$A$112,0))*10000+I631</f>
        <v>10850009</v>
      </c>
      <c r="C631" s="29" t="s">
        <v>505</v>
      </c>
      <c r="D631" s="29" t="s">
        <v>505</v>
      </c>
      <c r="E631" s="29" t="s">
        <v>445</v>
      </c>
      <c r="F631" s="29" t="s">
        <v>442</v>
      </c>
      <c r="G631" s="29">
        <v>1</v>
      </c>
      <c r="H631" s="29" t="b">
        <v>0</v>
      </c>
      <c r="I631" s="29">
        <v>9</v>
      </c>
      <c r="J631" s="29">
        <v>108500</v>
      </c>
      <c r="K631" s="29" t="s">
        <v>324</v>
      </c>
      <c r="L631" s="29">
        <v>10850008</v>
      </c>
      <c r="M631" s="29">
        <v>10850010</v>
      </c>
      <c r="N631" s="29" t="s">
        <v>506</v>
      </c>
      <c r="O631" s="29">
        <v>10902028</v>
      </c>
      <c r="P631" s="29">
        <v>0</v>
      </c>
      <c r="Q631" s="29">
        <v>0</v>
      </c>
      <c r="R631" s="29">
        <v>1</v>
      </c>
      <c r="T631" s="29">
        <v>100</v>
      </c>
      <c r="AY631" s="29" t="s">
        <v>425</v>
      </c>
      <c r="AZ631" s="29">
        <v>0</v>
      </c>
      <c r="GR631" s="29">
        <v>0</v>
      </c>
      <c r="GS631" s="29">
        <v>0</v>
      </c>
      <c r="GT631" s="29" t="s">
        <v>425</v>
      </c>
      <c r="GU631" s="29">
        <v>0</v>
      </c>
      <c r="GX631" s="29">
        <v>0</v>
      </c>
      <c r="GZ631" s="29">
        <v>0</v>
      </c>
      <c r="HA631" s="29">
        <v>0</v>
      </c>
      <c r="HB631" s="29">
        <v>0</v>
      </c>
      <c r="HC631" s="29">
        <v>0</v>
      </c>
      <c r="HD631" s="29">
        <v>0</v>
      </c>
      <c r="HE631" s="29" t="b">
        <v>0</v>
      </c>
      <c r="HG631" s="29">
        <v>0</v>
      </c>
      <c r="HI631" s="29" t="s">
        <v>334</v>
      </c>
      <c r="HJ631" s="29">
        <v>0</v>
      </c>
      <c r="HK631" s="29">
        <v>0</v>
      </c>
      <c r="HL631" s="29">
        <v>0</v>
      </c>
    </row>
    <row r="632" spans="1:222">
      <c r="B632" s="29" cm="1">
        <f t="array" ref="B632">10000000+INDEX(编号表!$B$1:$B$112,MATCH(D632,编号表!$A$1:$A$112,0))*10000+I632</f>
        <v>10850010</v>
      </c>
      <c r="C632" s="29" t="s">
        <v>505</v>
      </c>
      <c r="D632" s="29" t="s">
        <v>505</v>
      </c>
      <c r="E632" s="29" t="s">
        <v>445</v>
      </c>
      <c r="F632" s="29" t="s">
        <v>442</v>
      </c>
      <c r="G632" s="29">
        <v>1</v>
      </c>
      <c r="H632" s="29" t="b">
        <v>0</v>
      </c>
      <c r="I632" s="29">
        <v>10</v>
      </c>
      <c r="J632" s="29">
        <v>108500</v>
      </c>
      <c r="K632" s="29" t="s">
        <v>324</v>
      </c>
      <c r="L632" s="29">
        <v>10850009</v>
      </c>
      <c r="N632" s="29" t="s">
        <v>506</v>
      </c>
      <c r="O632" s="29">
        <v>10902028</v>
      </c>
      <c r="P632" s="29">
        <v>0</v>
      </c>
      <c r="Q632" s="29">
        <v>0</v>
      </c>
      <c r="R632" s="29">
        <v>1</v>
      </c>
      <c r="T632" s="29">
        <v>100</v>
      </c>
      <c r="AY632" s="29" t="s">
        <v>425</v>
      </c>
      <c r="AZ632" s="29">
        <v>0</v>
      </c>
      <c r="GR632" s="29">
        <v>0</v>
      </c>
      <c r="GS632" s="29">
        <v>0</v>
      </c>
      <c r="GT632" s="29" t="s">
        <v>425</v>
      </c>
      <c r="GU632" s="29">
        <v>0</v>
      </c>
      <c r="GX632" s="29">
        <v>0</v>
      </c>
      <c r="GZ632" s="29">
        <v>0</v>
      </c>
      <c r="HA632" s="29">
        <v>0</v>
      </c>
      <c r="HB632" s="29">
        <v>0</v>
      </c>
      <c r="HC632" s="29">
        <v>0</v>
      </c>
      <c r="HD632" s="29">
        <v>0</v>
      </c>
      <c r="HE632" s="29" t="b">
        <v>0</v>
      </c>
      <c r="HG632" s="29">
        <v>0</v>
      </c>
      <c r="HI632" s="29" t="s">
        <v>334</v>
      </c>
      <c r="HJ632" s="29">
        <v>0</v>
      </c>
      <c r="HK632" s="29">
        <v>0</v>
      </c>
      <c r="HL632" s="29">
        <v>0</v>
      </c>
    </row>
    <row r="633" spans="1:222">
      <c r="B633" s="29" cm="1">
        <f t="array" ref="B633">10000000+INDEX(编号表!$B$1:$B$112,MATCH(D633,编号表!$A$1:$A$112,0))*10000+I633</f>
        <v>11000001</v>
      </c>
      <c r="C633" s="29" t="s">
        <v>507</v>
      </c>
      <c r="D633" s="29" t="s">
        <v>507</v>
      </c>
      <c r="E633" s="29" t="s">
        <v>334</v>
      </c>
      <c r="F633" s="29" t="s">
        <v>334</v>
      </c>
      <c r="G633" s="29">
        <v>0</v>
      </c>
      <c r="H633" s="29" t="b">
        <v>0</v>
      </c>
      <c r="I633" s="29">
        <v>1</v>
      </c>
      <c r="J633" s="29">
        <v>110000</v>
      </c>
      <c r="K633" s="29" t="s">
        <v>324</v>
      </c>
      <c r="M633" s="29">
        <v>0</v>
      </c>
      <c r="N633" s="29" t="s">
        <v>508</v>
      </c>
      <c r="O633" s="29">
        <v>0</v>
      </c>
      <c r="P633" s="29">
        <v>0</v>
      </c>
      <c r="Q633" s="29">
        <v>0</v>
      </c>
      <c r="R633" s="29">
        <v>0</v>
      </c>
      <c r="T633" s="29">
        <v>0</v>
      </c>
      <c r="V633" s="29">
        <v>0</v>
      </c>
      <c r="W633" s="29">
        <v>0</v>
      </c>
      <c r="X633" s="29" t="s">
        <v>326</v>
      </c>
      <c r="Y633" s="29" t="s">
        <v>327</v>
      </c>
      <c r="Z633" s="29" t="s">
        <v>328</v>
      </c>
      <c r="AA633" s="29">
        <v>0</v>
      </c>
      <c r="AB633" s="29">
        <v>1</v>
      </c>
      <c r="AC633" s="29">
        <v>0</v>
      </c>
      <c r="AD633" s="29" t="s">
        <v>329</v>
      </c>
      <c r="AY633" s="29" t="s">
        <v>330</v>
      </c>
      <c r="AZ633" s="29">
        <v>10000</v>
      </c>
      <c r="BA633" s="29" t="s">
        <v>331</v>
      </c>
      <c r="BB633" s="29" t="s">
        <v>328</v>
      </c>
      <c r="BC633" s="29">
        <v>10000</v>
      </c>
      <c r="BD633" s="29">
        <v>0</v>
      </c>
      <c r="BE633" s="29" t="s">
        <v>332</v>
      </c>
      <c r="BF633" s="29">
        <v>0</v>
      </c>
      <c r="BG633" s="29" t="s">
        <v>330</v>
      </c>
      <c r="BH633" s="29">
        <v>10000</v>
      </c>
      <c r="BI633" s="29">
        <v>0</v>
      </c>
      <c r="BJ633" s="29" t="b">
        <v>1</v>
      </c>
      <c r="BK633" s="29">
        <v>0</v>
      </c>
      <c r="BL633" s="29">
        <v>10000</v>
      </c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 s="29">
        <v>0</v>
      </c>
      <c r="GS633" s="29">
        <v>0</v>
      </c>
      <c r="GT633" s="29" t="s">
        <v>333</v>
      </c>
      <c r="GU633" s="29">
        <v>0</v>
      </c>
      <c r="GX633" s="29">
        <v>1</v>
      </c>
      <c r="GY633">
        <v>1500</v>
      </c>
      <c r="GZ633" s="29" t="b">
        <v>1</v>
      </c>
      <c r="HA633" s="29">
        <v>0</v>
      </c>
      <c r="HB633" s="29">
        <v>0</v>
      </c>
      <c r="HC633" s="29">
        <v>0</v>
      </c>
      <c r="HD633" s="29">
        <v>0</v>
      </c>
      <c r="HE633" s="29" t="b">
        <v>0</v>
      </c>
      <c r="HG633" s="29">
        <v>10001</v>
      </c>
      <c r="HI633" s="29" t="s">
        <v>334</v>
      </c>
      <c r="HJ633" s="29">
        <v>0</v>
      </c>
      <c r="HK633" s="29">
        <v>0</v>
      </c>
      <c r="HL633" s="29">
        <v>0</v>
      </c>
      <c r="HN633" t="b">
        <v>1</v>
      </c>
    </row>
    <row r="634" spans="1:222">
      <c r="A634"/>
      <c r="B634" s="29" cm="1">
        <f t="array" ref="B634">10000000+INDEX(编号表!$B$1:$B$112,MATCH(D634,编号表!$A$1:$A$112,0))*10000+I634</f>
        <v>10290001</v>
      </c>
      <c r="C634" s="18" t="s">
        <v>509</v>
      </c>
      <c r="D634" s="18" t="s">
        <v>509</v>
      </c>
      <c r="E634" s="18" t="s">
        <v>334</v>
      </c>
      <c r="F634" s="18" t="s">
        <v>364</v>
      </c>
      <c r="G634" s="18" t="b">
        <v>0</v>
      </c>
      <c r="H634" s="18" t="b">
        <v>1</v>
      </c>
      <c r="I634" s="18">
        <v>1</v>
      </c>
      <c r="J634" s="18">
        <v>102900</v>
      </c>
      <c r="K634" s="18" t="s">
        <v>324</v>
      </c>
      <c r="L634" s="18">
        <v>0</v>
      </c>
      <c r="M634" s="18">
        <v>0</v>
      </c>
      <c r="N634" s="18" t="s">
        <v>510</v>
      </c>
      <c r="O634" s="18">
        <v>0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/>
      <c r="V634" s="18">
        <v>0</v>
      </c>
      <c r="W634" s="18">
        <v>0</v>
      </c>
      <c r="X634" s="18" t="s">
        <v>326</v>
      </c>
      <c r="Y634" s="18" t="s">
        <v>327</v>
      </c>
      <c r="Z634" s="18" t="s">
        <v>328</v>
      </c>
      <c r="AA634" s="18">
        <v>0</v>
      </c>
      <c r="AB634" s="18">
        <v>1</v>
      </c>
      <c r="AC634" s="18" t="b">
        <v>0</v>
      </c>
      <c r="AD634" s="18" t="s">
        <v>329</v>
      </c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 t="s">
        <v>354</v>
      </c>
      <c r="AZ634" s="18">
        <v>10000</v>
      </c>
      <c r="BA634" s="18" t="s">
        <v>331</v>
      </c>
      <c r="BB634" s="18" t="s">
        <v>328</v>
      </c>
      <c r="BC634" s="18">
        <v>10000</v>
      </c>
      <c r="BD634" s="18">
        <v>0</v>
      </c>
      <c r="BE634" s="18" t="s">
        <v>332</v>
      </c>
      <c r="BF634" s="18">
        <v>0</v>
      </c>
      <c r="BG634" s="18" t="s">
        <v>355</v>
      </c>
      <c r="BH634" s="18">
        <v>10000</v>
      </c>
      <c r="BI634" s="18">
        <v>3</v>
      </c>
      <c r="BJ634" s="18" t="b">
        <v>1</v>
      </c>
      <c r="BK634" s="18">
        <v>0</v>
      </c>
      <c r="BL634" s="18">
        <v>10000</v>
      </c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  <c r="DG634" s="18"/>
      <c r="DH634" s="18"/>
      <c r="DI634" s="18"/>
      <c r="DJ634" s="18"/>
      <c r="DK634" s="18"/>
      <c r="DL634" s="18"/>
      <c r="DM634" s="18"/>
      <c r="DN634" s="18"/>
      <c r="DO634" s="18"/>
      <c r="DP634" s="18"/>
      <c r="DQ634" s="18"/>
      <c r="DR634" s="18"/>
      <c r="DS634" s="18"/>
      <c r="DT634" s="18"/>
      <c r="DU634" s="18"/>
      <c r="DV634" s="18"/>
      <c r="DW634" s="18"/>
      <c r="DX634" s="18"/>
      <c r="DY634" s="18"/>
      <c r="DZ634" s="18"/>
      <c r="EA634" s="18"/>
      <c r="EB634" s="18"/>
      <c r="EC634" s="18"/>
      <c r="ED634" s="18"/>
      <c r="EE634" s="18"/>
      <c r="EF634" s="18"/>
      <c r="EG634" s="18"/>
      <c r="EH634" s="18"/>
      <c r="EI634" s="18"/>
      <c r="EJ634" s="18"/>
      <c r="EK634" s="18"/>
      <c r="EL634" s="18"/>
      <c r="EM634" s="18"/>
      <c r="EN634" s="18"/>
      <c r="EO634" s="18"/>
      <c r="EP634" s="18"/>
      <c r="EQ634" s="18"/>
      <c r="ER634" s="18"/>
      <c r="ES634" s="18"/>
      <c r="ET634" s="18"/>
      <c r="EU634" s="18"/>
      <c r="EV634" s="18"/>
      <c r="EW634" s="18"/>
      <c r="EX634" s="18"/>
      <c r="EY634" s="18"/>
      <c r="EZ634" s="18"/>
      <c r="FA634" s="18"/>
      <c r="FB634" s="18"/>
      <c r="FC634" s="18"/>
      <c r="FD634" s="18"/>
      <c r="FE634" s="18"/>
      <c r="FF634" s="18"/>
      <c r="FG634" s="18"/>
      <c r="FH634" s="18"/>
      <c r="FI634" s="18"/>
      <c r="FJ634" s="18"/>
      <c r="FK634" s="18"/>
      <c r="FL634" s="18"/>
      <c r="FM634" s="18"/>
      <c r="FN634" s="18"/>
      <c r="FO634" s="18"/>
      <c r="FP634" s="18"/>
      <c r="FQ634" s="18"/>
      <c r="FR634" s="18"/>
      <c r="FS634" s="18"/>
      <c r="FT634" s="18"/>
      <c r="FU634" s="18"/>
      <c r="FV634" s="18"/>
      <c r="FW634" s="18"/>
      <c r="FX634" s="18"/>
      <c r="FY634" s="18"/>
      <c r="FZ634" s="18"/>
      <c r="GA634" s="18"/>
      <c r="GB634" s="18"/>
      <c r="GC634" s="18"/>
      <c r="GD634" s="18"/>
      <c r="GE634" s="18"/>
      <c r="GF634" s="18"/>
      <c r="GG634" s="18"/>
      <c r="GH634" s="18"/>
      <c r="GI634" s="18"/>
      <c r="GJ634" s="18"/>
      <c r="GK634" s="18"/>
      <c r="GL634" s="18"/>
      <c r="GM634" s="18"/>
      <c r="GN634" s="18"/>
      <c r="GO634" s="18"/>
      <c r="GP634" s="18"/>
      <c r="GQ634" s="18"/>
      <c r="GR634" s="18">
        <v>0</v>
      </c>
      <c r="GS634" s="18">
        <v>0</v>
      </c>
      <c r="GT634" s="18" t="s">
        <v>339</v>
      </c>
      <c r="GU634" s="18">
        <v>0</v>
      </c>
      <c r="GV634" s="18"/>
      <c r="GW634" s="18"/>
      <c r="GX634" s="18" t="b">
        <v>0</v>
      </c>
      <c r="GY634" s="18">
        <v>0</v>
      </c>
      <c r="GZ634" s="18" t="b">
        <v>1</v>
      </c>
      <c r="HA634" s="18">
        <v>0</v>
      </c>
      <c r="HB634" s="18">
        <v>0</v>
      </c>
      <c r="HC634" s="18">
        <v>0</v>
      </c>
      <c r="HD634" s="18">
        <v>0</v>
      </c>
      <c r="HE634" s="18" t="b">
        <v>0</v>
      </c>
      <c r="HF634" s="18">
        <v>0</v>
      </c>
      <c r="HG634" s="18">
        <v>0</v>
      </c>
      <c r="HH634" s="18" t="s">
        <v>339</v>
      </c>
      <c r="HI634" s="18" t="s">
        <v>334</v>
      </c>
      <c r="HJ634" s="18">
        <v>0</v>
      </c>
      <c r="HK634" s="18">
        <v>0</v>
      </c>
      <c r="HL634" s="18">
        <v>0</v>
      </c>
      <c r="HM634" s="18">
        <v>0</v>
      </c>
      <c r="HN634" s="18" t="b">
        <v>0</v>
      </c>
    </row>
    <row r="635" spans="1:222">
      <c r="A635"/>
      <c r="B635" s="29" cm="1">
        <f t="array" ref="B635">10000000+INDEX(编号表!$B$1:$B$112,MATCH(D635,编号表!$A$1:$A$112,0))*10000+I635</f>
        <v>10290002</v>
      </c>
      <c r="C635" s="18" t="s">
        <v>509</v>
      </c>
      <c r="D635" s="18" t="s">
        <v>509</v>
      </c>
      <c r="E635" s="18" t="s">
        <v>334</v>
      </c>
      <c r="F635" s="18" t="s">
        <v>364</v>
      </c>
      <c r="G635" s="18" t="b">
        <v>0</v>
      </c>
      <c r="H635" s="18" t="b">
        <v>1</v>
      </c>
      <c r="I635" s="18">
        <v>2</v>
      </c>
      <c r="J635" s="18">
        <v>102900</v>
      </c>
      <c r="K635" s="18" t="s">
        <v>324</v>
      </c>
      <c r="L635" s="18">
        <v>0</v>
      </c>
      <c r="M635" s="18">
        <v>0</v>
      </c>
      <c r="N635" s="18" t="s">
        <v>510</v>
      </c>
      <c r="O635" s="18">
        <v>0</v>
      </c>
      <c r="P635" s="18">
        <v>0</v>
      </c>
      <c r="Q635" s="18">
        <v>0</v>
      </c>
      <c r="R635" s="18">
        <v>0</v>
      </c>
      <c r="S635" s="18">
        <v>0</v>
      </c>
      <c r="T635" s="18">
        <v>0</v>
      </c>
      <c r="U635" s="18"/>
      <c r="V635" s="18">
        <v>0</v>
      </c>
      <c r="W635" s="18">
        <v>0</v>
      </c>
      <c r="X635" s="18" t="s">
        <v>326</v>
      </c>
      <c r="Y635" s="18" t="s">
        <v>327</v>
      </c>
      <c r="Z635" s="18" t="s">
        <v>328</v>
      </c>
      <c r="AA635" s="18">
        <v>0</v>
      </c>
      <c r="AB635" s="18">
        <v>1</v>
      </c>
      <c r="AC635" s="18" t="b">
        <v>0</v>
      </c>
      <c r="AD635" s="18" t="s">
        <v>329</v>
      </c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 t="s">
        <v>354</v>
      </c>
      <c r="AZ635" s="18">
        <v>10400</v>
      </c>
      <c r="BA635" s="18" t="s">
        <v>331</v>
      </c>
      <c r="BB635" s="18" t="s">
        <v>328</v>
      </c>
      <c r="BC635" s="18">
        <v>10000</v>
      </c>
      <c r="BD635" s="18">
        <v>0</v>
      </c>
      <c r="BE635" s="18" t="s">
        <v>332</v>
      </c>
      <c r="BF635" s="18">
        <v>0</v>
      </c>
      <c r="BG635" s="18" t="s">
        <v>355</v>
      </c>
      <c r="BH635" s="18">
        <v>10000</v>
      </c>
      <c r="BI635" s="18">
        <v>4</v>
      </c>
      <c r="BJ635" s="18" t="b">
        <v>1</v>
      </c>
      <c r="BK635" s="18">
        <v>0</v>
      </c>
      <c r="BL635" s="18">
        <v>10000</v>
      </c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18"/>
      <c r="DP635" s="18"/>
      <c r="DQ635" s="18"/>
      <c r="DR635" s="18"/>
      <c r="DS635" s="18"/>
      <c r="DT635" s="18"/>
      <c r="DU635" s="18"/>
      <c r="DV635" s="18"/>
      <c r="DW635" s="18"/>
      <c r="DX635" s="18"/>
      <c r="DY635" s="18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8"/>
      <c r="EM635" s="18"/>
      <c r="EN635" s="18"/>
      <c r="EO635" s="18"/>
      <c r="EP635" s="18"/>
      <c r="EQ635" s="18"/>
      <c r="ER635" s="18"/>
      <c r="ES635" s="18"/>
      <c r="ET635" s="18"/>
      <c r="EU635" s="18"/>
      <c r="EV635" s="18"/>
      <c r="EW635" s="18"/>
      <c r="EX635" s="18"/>
      <c r="EY635" s="18"/>
      <c r="EZ635" s="18"/>
      <c r="FA635" s="18"/>
      <c r="FB635" s="18"/>
      <c r="FC635" s="18"/>
      <c r="FD635" s="18"/>
      <c r="FE635" s="18"/>
      <c r="FF635" s="18"/>
      <c r="FG635" s="18"/>
      <c r="FH635" s="18"/>
      <c r="FI635" s="18"/>
      <c r="FJ635" s="18"/>
      <c r="FK635" s="18"/>
      <c r="FL635" s="18"/>
      <c r="FM635" s="18"/>
      <c r="FN635" s="18"/>
      <c r="FO635" s="18"/>
      <c r="FP635" s="18"/>
      <c r="FQ635" s="18"/>
      <c r="FR635" s="18"/>
      <c r="FS635" s="18"/>
      <c r="FT635" s="18"/>
      <c r="FU635" s="18"/>
      <c r="FV635" s="18"/>
      <c r="FW635" s="18"/>
      <c r="FX635" s="18"/>
      <c r="FY635" s="18"/>
      <c r="FZ635" s="18"/>
      <c r="GA635" s="18"/>
      <c r="GB635" s="18"/>
      <c r="GC635" s="18"/>
      <c r="GD635" s="18"/>
      <c r="GE635" s="18"/>
      <c r="GF635" s="18"/>
      <c r="GG635" s="18"/>
      <c r="GH635" s="18"/>
      <c r="GI635" s="18"/>
      <c r="GJ635" s="18"/>
      <c r="GK635" s="18"/>
      <c r="GL635" s="18"/>
      <c r="GM635" s="18"/>
      <c r="GN635" s="18"/>
      <c r="GO635" s="18"/>
      <c r="GP635" s="18"/>
      <c r="GQ635" s="18"/>
      <c r="GR635" s="18">
        <v>0</v>
      </c>
      <c r="GS635" s="18">
        <v>0</v>
      </c>
      <c r="GT635" s="18" t="s">
        <v>339</v>
      </c>
      <c r="GU635" s="18">
        <v>0</v>
      </c>
      <c r="GV635" s="18"/>
      <c r="GW635" s="18"/>
      <c r="GX635" s="18" t="b">
        <v>0</v>
      </c>
      <c r="GY635" s="18">
        <v>0</v>
      </c>
      <c r="GZ635" s="18" t="b">
        <v>1</v>
      </c>
      <c r="HA635" s="18">
        <v>0</v>
      </c>
      <c r="HB635" s="18">
        <v>0</v>
      </c>
      <c r="HC635" s="18">
        <v>0</v>
      </c>
      <c r="HD635" s="18">
        <v>0</v>
      </c>
      <c r="HE635" s="18" t="b">
        <v>0</v>
      </c>
      <c r="HF635" s="18">
        <v>0</v>
      </c>
      <c r="HG635" s="18">
        <v>0</v>
      </c>
      <c r="HH635" s="18" t="s">
        <v>339</v>
      </c>
      <c r="HI635" s="18" t="s">
        <v>334</v>
      </c>
      <c r="HJ635" s="18">
        <v>0</v>
      </c>
      <c r="HK635" s="18">
        <v>0</v>
      </c>
      <c r="HL635" s="18">
        <v>0</v>
      </c>
      <c r="HM635" s="18">
        <v>0</v>
      </c>
      <c r="HN635" s="18" t="b">
        <v>0</v>
      </c>
    </row>
    <row r="636" spans="1:222">
      <c r="A636"/>
      <c r="B636" s="29" cm="1">
        <f t="array" ref="B636">10000000+INDEX(编号表!$B$1:$B$112,MATCH(D636,编号表!$A$1:$A$112,0))*10000+I636</f>
        <v>10290003</v>
      </c>
      <c r="C636" s="18" t="s">
        <v>509</v>
      </c>
      <c r="D636" s="18" t="s">
        <v>509</v>
      </c>
      <c r="E636" s="18" t="s">
        <v>334</v>
      </c>
      <c r="F636" s="18" t="s">
        <v>364</v>
      </c>
      <c r="G636" s="18" t="b">
        <v>0</v>
      </c>
      <c r="H636" s="18" t="b">
        <v>1</v>
      </c>
      <c r="I636" s="18">
        <v>3</v>
      </c>
      <c r="J636" s="18">
        <v>102900</v>
      </c>
      <c r="K636" s="18" t="s">
        <v>324</v>
      </c>
      <c r="L636" s="18">
        <v>0</v>
      </c>
      <c r="M636" s="18">
        <v>0</v>
      </c>
      <c r="N636" s="18" t="s">
        <v>510</v>
      </c>
      <c r="O636" s="18">
        <v>0</v>
      </c>
      <c r="P636" s="18">
        <v>0</v>
      </c>
      <c r="Q636" s="18">
        <v>0</v>
      </c>
      <c r="R636" s="18">
        <v>0</v>
      </c>
      <c r="S636" s="18">
        <v>0</v>
      </c>
      <c r="T636" s="18">
        <v>0</v>
      </c>
      <c r="U636" s="18"/>
      <c r="V636" s="18">
        <v>0</v>
      </c>
      <c r="W636" s="18">
        <v>0</v>
      </c>
      <c r="X636" s="18" t="s">
        <v>326</v>
      </c>
      <c r="Y636" s="18" t="s">
        <v>327</v>
      </c>
      <c r="Z636" s="18" t="s">
        <v>328</v>
      </c>
      <c r="AA636" s="18">
        <v>0</v>
      </c>
      <c r="AB636" s="18">
        <v>1</v>
      </c>
      <c r="AC636" s="18" t="b">
        <v>0</v>
      </c>
      <c r="AD636" s="18" t="s">
        <v>329</v>
      </c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 t="s">
        <v>354</v>
      </c>
      <c r="AZ636" s="18">
        <v>10800</v>
      </c>
      <c r="BA636" s="18" t="s">
        <v>331</v>
      </c>
      <c r="BB636" s="18" t="s">
        <v>328</v>
      </c>
      <c r="BC636" s="18">
        <v>10000</v>
      </c>
      <c r="BD636" s="18">
        <v>0</v>
      </c>
      <c r="BE636" s="18" t="s">
        <v>332</v>
      </c>
      <c r="BF636" s="18">
        <v>0</v>
      </c>
      <c r="BG636" s="18" t="s">
        <v>355</v>
      </c>
      <c r="BH636" s="18">
        <v>10000</v>
      </c>
      <c r="BI636" s="18">
        <v>5</v>
      </c>
      <c r="BJ636" s="18" t="b">
        <v>1</v>
      </c>
      <c r="BK636" s="18">
        <v>0</v>
      </c>
      <c r="BL636" s="18">
        <v>10000</v>
      </c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  <c r="EM636" s="18"/>
      <c r="EN636" s="18"/>
      <c r="EO636" s="18"/>
      <c r="EP636" s="18"/>
      <c r="EQ636" s="18"/>
      <c r="ER636" s="18"/>
      <c r="ES636" s="18"/>
      <c r="ET636" s="18"/>
      <c r="EU636" s="18"/>
      <c r="EV636" s="18"/>
      <c r="EW636" s="18"/>
      <c r="EX636" s="18"/>
      <c r="EY636" s="18"/>
      <c r="EZ636" s="18"/>
      <c r="FA636" s="18"/>
      <c r="FB636" s="18"/>
      <c r="FC636" s="18"/>
      <c r="FD636" s="18"/>
      <c r="FE636" s="18"/>
      <c r="FF636" s="18"/>
      <c r="FG636" s="18"/>
      <c r="FH636" s="18"/>
      <c r="FI636" s="18"/>
      <c r="FJ636" s="18"/>
      <c r="FK636" s="18"/>
      <c r="FL636" s="18"/>
      <c r="FM636" s="18"/>
      <c r="FN636" s="18"/>
      <c r="FO636" s="18"/>
      <c r="FP636" s="18"/>
      <c r="FQ636" s="18"/>
      <c r="FR636" s="18"/>
      <c r="FS636" s="18"/>
      <c r="FT636" s="18"/>
      <c r="FU636" s="18"/>
      <c r="FV636" s="18"/>
      <c r="FW636" s="18"/>
      <c r="FX636" s="18"/>
      <c r="FY636" s="18"/>
      <c r="FZ636" s="18"/>
      <c r="GA636" s="18"/>
      <c r="GB636" s="18"/>
      <c r="GC636" s="18"/>
      <c r="GD636" s="18"/>
      <c r="GE636" s="18"/>
      <c r="GF636" s="18"/>
      <c r="GG636" s="18"/>
      <c r="GH636" s="18"/>
      <c r="GI636" s="18"/>
      <c r="GJ636" s="18"/>
      <c r="GK636" s="18"/>
      <c r="GL636" s="18"/>
      <c r="GM636" s="18"/>
      <c r="GN636" s="18"/>
      <c r="GO636" s="18"/>
      <c r="GP636" s="18"/>
      <c r="GQ636" s="18"/>
      <c r="GR636" s="18">
        <v>0</v>
      </c>
      <c r="GS636" s="18">
        <v>0</v>
      </c>
      <c r="GT636" s="18" t="s">
        <v>339</v>
      </c>
      <c r="GU636" s="18">
        <v>0</v>
      </c>
      <c r="GV636" s="18"/>
      <c r="GW636" s="18"/>
      <c r="GX636" s="18" t="b">
        <v>0</v>
      </c>
      <c r="GY636" s="18">
        <v>0</v>
      </c>
      <c r="GZ636" s="18" t="b">
        <v>1</v>
      </c>
      <c r="HA636" s="18">
        <v>0</v>
      </c>
      <c r="HB636" s="18">
        <v>0</v>
      </c>
      <c r="HC636" s="18">
        <v>0</v>
      </c>
      <c r="HD636" s="18">
        <v>0</v>
      </c>
      <c r="HE636" s="18" t="b">
        <v>0</v>
      </c>
      <c r="HF636" s="18">
        <v>0</v>
      </c>
      <c r="HG636" s="18">
        <v>0</v>
      </c>
      <c r="HH636" s="18" t="s">
        <v>339</v>
      </c>
      <c r="HI636" s="18" t="s">
        <v>334</v>
      </c>
      <c r="HJ636" s="18">
        <v>0</v>
      </c>
      <c r="HK636" s="18">
        <v>0</v>
      </c>
      <c r="HL636" s="18">
        <v>0</v>
      </c>
      <c r="HM636" s="18">
        <v>0</v>
      </c>
      <c r="HN636" s="18" t="b">
        <v>0</v>
      </c>
    </row>
    <row r="637" spans="1:222">
      <c r="A637"/>
      <c r="B637" s="29" cm="1">
        <f t="array" ref="B637">10000000+INDEX(编号表!$B$1:$B$112,MATCH(D637,编号表!$A$1:$A$112,0))*10000+I637</f>
        <v>10290004</v>
      </c>
      <c r="C637" s="18" t="s">
        <v>509</v>
      </c>
      <c r="D637" s="18" t="s">
        <v>509</v>
      </c>
      <c r="E637" s="18" t="s">
        <v>334</v>
      </c>
      <c r="F637" s="18" t="s">
        <v>364</v>
      </c>
      <c r="G637" s="18" t="b">
        <v>0</v>
      </c>
      <c r="H637" s="18" t="b">
        <v>1</v>
      </c>
      <c r="I637" s="18">
        <v>4</v>
      </c>
      <c r="J637" s="18">
        <v>102900</v>
      </c>
      <c r="K637" s="18" t="s">
        <v>324</v>
      </c>
      <c r="L637" s="18">
        <v>0</v>
      </c>
      <c r="M637" s="18">
        <v>0</v>
      </c>
      <c r="N637" s="18" t="s">
        <v>510</v>
      </c>
      <c r="O637" s="18">
        <v>0</v>
      </c>
      <c r="P637" s="18">
        <v>0</v>
      </c>
      <c r="Q637" s="18">
        <v>0</v>
      </c>
      <c r="R637" s="18">
        <v>0</v>
      </c>
      <c r="S637" s="18">
        <v>0</v>
      </c>
      <c r="T637" s="18">
        <v>0</v>
      </c>
      <c r="U637" s="18"/>
      <c r="V637" s="18">
        <v>0</v>
      </c>
      <c r="W637" s="18">
        <v>0</v>
      </c>
      <c r="X637" s="18" t="s">
        <v>326</v>
      </c>
      <c r="Y637" s="18" t="s">
        <v>327</v>
      </c>
      <c r="Z637" s="18" t="s">
        <v>328</v>
      </c>
      <c r="AA637" s="18">
        <v>0</v>
      </c>
      <c r="AB637" s="18">
        <v>1</v>
      </c>
      <c r="AC637" s="18" t="b">
        <v>0</v>
      </c>
      <c r="AD637" s="18" t="s">
        <v>329</v>
      </c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 t="s">
        <v>354</v>
      </c>
      <c r="AZ637" s="18">
        <v>11200</v>
      </c>
      <c r="BA637" s="18" t="s">
        <v>331</v>
      </c>
      <c r="BB637" s="18" t="s">
        <v>328</v>
      </c>
      <c r="BC637" s="18">
        <v>10000</v>
      </c>
      <c r="BD637" s="18">
        <v>0</v>
      </c>
      <c r="BE637" s="18" t="s">
        <v>332</v>
      </c>
      <c r="BF637" s="18">
        <v>0</v>
      </c>
      <c r="BG637" s="18" t="s">
        <v>355</v>
      </c>
      <c r="BH637" s="18">
        <v>10000</v>
      </c>
      <c r="BI637" s="18">
        <v>6</v>
      </c>
      <c r="BJ637" s="18" t="b">
        <v>1</v>
      </c>
      <c r="BK637" s="18">
        <v>0</v>
      </c>
      <c r="BL637" s="18">
        <v>10000</v>
      </c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  <c r="DU637" s="18"/>
      <c r="DV637" s="18"/>
      <c r="DW637" s="18"/>
      <c r="DX637" s="18"/>
      <c r="DY637" s="18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8"/>
      <c r="EM637" s="18"/>
      <c r="EN637" s="18"/>
      <c r="EO637" s="18"/>
      <c r="EP637" s="18"/>
      <c r="EQ637" s="18"/>
      <c r="ER637" s="18"/>
      <c r="ES637" s="18"/>
      <c r="ET637" s="18"/>
      <c r="EU637" s="18"/>
      <c r="EV637" s="18"/>
      <c r="EW637" s="18"/>
      <c r="EX637" s="18"/>
      <c r="EY637" s="18"/>
      <c r="EZ637" s="18"/>
      <c r="FA637" s="18"/>
      <c r="FB637" s="18"/>
      <c r="FC637" s="18"/>
      <c r="FD637" s="18"/>
      <c r="FE637" s="18"/>
      <c r="FF637" s="18"/>
      <c r="FG637" s="18"/>
      <c r="FH637" s="18"/>
      <c r="FI637" s="18"/>
      <c r="FJ637" s="18"/>
      <c r="FK637" s="18"/>
      <c r="FL637" s="18"/>
      <c r="FM637" s="18"/>
      <c r="FN637" s="18"/>
      <c r="FO637" s="18"/>
      <c r="FP637" s="18"/>
      <c r="FQ637" s="18"/>
      <c r="FR637" s="18"/>
      <c r="FS637" s="18"/>
      <c r="FT637" s="18"/>
      <c r="FU637" s="18"/>
      <c r="FV637" s="18"/>
      <c r="FW637" s="18"/>
      <c r="FX637" s="18"/>
      <c r="FY637" s="18"/>
      <c r="FZ637" s="18"/>
      <c r="GA637" s="18"/>
      <c r="GB637" s="18"/>
      <c r="GC637" s="18"/>
      <c r="GD637" s="18"/>
      <c r="GE637" s="18"/>
      <c r="GF637" s="18"/>
      <c r="GG637" s="18"/>
      <c r="GH637" s="18"/>
      <c r="GI637" s="18"/>
      <c r="GJ637" s="18"/>
      <c r="GK637" s="18"/>
      <c r="GL637" s="18"/>
      <c r="GM637" s="18"/>
      <c r="GN637" s="18"/>
      <c r="GO637" s="18"/>
      <c r="GP637" s="18"/>
      <c r="GQ637" s="18"/>
      <c r="GR637" s="18">
        <v>0</v>
      </c>
      <c r="GS637" s="18">
        <v>0</v>
      </c>
      <c r="GT637" s="18" t="s">
        <v>339</v>
      </c>
      <c r="GU637" s="18">
        <v>0</v>
      </c>
      <c r="GV637" s="18"/>
      <c r="GW637" s="18"/>
      <c r="GX637" s="18" t="b">
        <v>0</v>
      </c>
      <c r="GY637" s="18">
        <v>0</v>
      </c>
      <c r="GZ637" s="18" t="b">
        <v>1</v>
      </c>
      <c r="HA637" s="18">
        <v>0</v>
      </c>
      <c r="HB637" s="18">
        <v>0</v>
      </c>
      <c r="HC637" s="18">
        <v>0</v>
      </c>
      <c r="HD637" s="18">
        <v>0</v>
      </c>
      <c r="HE637" s="18" t="b">
        <v>0</v>
      </c>
      <c r="HF637" s="18">
        <v>0</v>
      </c>
      <c r="HG637" s="18">
        <v>0</v>
      </c>
      <c r="HH637" s="18" t="s">
        <v>339</v>
      </c>
      <c r="HI637" s="18" t="s">
        <v>334</v>
      </c>
      <c r="HJ637" s="18">
        <v>0</v>
      </c>
      <c r="HK637" s="18">
        <v>0</v>
      </c>
      <c r="HL637" s="18">
        <v>0</v>
      </c>
      <c r="HM637" s="18">
        <v>0</v>
      </c>
      <c r="HN637" s="18" t="b">
        <v>0</v>
      </c>
    </row>
    <row r="638" spans="1:222">
      <c r="A638"/>
      <c r="B638" s="29" cm="1">
        <f t="array" ref="B638">10000000+INDEX(编号表!$B$1:$B$112,MATCH(D638,编号表!$A$1:$A$112,0))*10000+I638</f>
        <v>10290005</v>
      </c>
      <c r="C638" s="18" t="s">
        <v>509</v>
      </c>
      <c r="D638" s="18" t="s">
        <v>509</v>
      </c>
      <c r="E638" s="18" t="s">
        <v>334</v>
      </c>
      <c r="F638" s="18" t="s">
        <v>364</v>
      </c>
      <c r="G638" s="18" t="b">
        <v>0</v>
      </c>
      <c r="H638" s="18" t="b">
        <v>1</v>
      </c>
      <c r="I638" s="18">
        <v>5</v>
      </c>
      <c r="J638" s="18">
        <v>102900</v>
      </c>
      <c r="K638" s="18" t="s">
        <v>324</v>
      </c>
      <c r="L638" s="18">
        <v>0</v>
      </c>
      <c r="M638" s="18">
        <v>0</v>
      </c>
      <c r="N638" s="18" t="s">
        <v>510</v>
      </c>
      <c r="O638" s="18">
        <v>0</v>
      </c>
      <c r="P638" s="18">
        <v>0</v>
      </c>
      <c r="Q638" s="18">
        <v>0</v>
      </c>
      <c r="R638" s="18">
        <v>0</v>
      </c>
      <c r="S638" s="18">
        <v>0</v>
      </c>
      <c r="T638" s="18">
        <v>0</v>
      </c>
      <c r="U638" s="18"/>
      <c r="V638" s="18">
        <v>0</v>
      </c>
      <c r="W638" s="18">
        <v>0</v>
      </c>
      <c r="X638" s="18" t="s">
        <v>326</v>
      </c>
      <c r="Y638" s="18" t="s">
        <v>327</v>
      </c>
      <c r="Z638" s="18" t="s">
        <v>328</v>
      </c>
      <c r="AA638" s="18">
        <v>0</v>
      </c>
      <c r="AB638" s="18">
        <v>1</v>
      </c>
      <c r="AC638" s="18" t="b">
        <v>0</v>
      </c>
      <c r="AD638" s="18" t="s">
        <v>329</v>
      </c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 t="s">
        <v>354</v>
      </c>
      <c r="AZ638" s="18">
        <v>11300</v>
      </c>
      <c r="BA638" s="18" t="s">
        <v>331</v>
      </c>
      <c r="BB638" s="18" t="s">
        <v>328</v>
      </c>
      <c r="BC638" s="18">
        <v>10000</v>
      </c>
      <c r="BD638" s="18">
        <v>0</v>
      </c>
      <c r="BE638" s="18" t="s">
        <v>332</v>
      </c>
      <c r="BF638" s="18">
        <v>0</v>
      </c>
      <c r="BG638" s="18" t="s">
        <v>355</v>
      </c>
      <c r="BH638" s="18">
        <v>10000</v>
      </c>
      <c r="BI638" s="18">
        <v>6</v>
      </c>
      <c r="BJ638" s="18" t="b">
        <v>1</v>
      </c>
      <c r="BK638" s="18">
        <v>0</v>
      </c>
      <c r="BL638" s="18">
        <v>10000</v>
      </c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  <c r="DU638" s="18"/>
      <c r="DV638" s="18"/>
      <c r="DW638" s="18"/>
      <c r="DX638" s="18"/>
      <c r="DY638" s="18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8"/>
      <c r="EM638" s="18"/>
      <c r="EN638" s="18"/>
      <c r="EO638" s="18"/>
      <c r="EP638" s="18"/>
      <c r="EQ638" s="18"/>
      <c r="ER638" s="18"/>
      <c r="ES638" s="18"/>
      <c r="ET638" s="18"/>
      <c r="EU638" s="18"/>
      <c r="EV638" s="18"/>
      <c r="EW638" s="18"/>
      <c r="EX638" s="18"/>
      <c r="EY638" s="18"/>
      <c r="EZ638" s="18"/>
      <c r="FA638" s="18"/>
      <c r="FB638" s="18"/>
      <c r="FC638" s="18"/>
      <c r="FD638" s="18"/>
      <c r="FE638" s="18"/>
      <c r="FF638" s="18"/>
      <c r="FG638" s="18"/>
      <c r="FH638" s="18"/>
      <c r="FI638" s="18"/>
      <c r="FJ638" s="18"/>
      <c r="FK638" s="18"/>
      <c r="FL638" s="18"/>
      <c r="FM638" s="18"/>
      <c r="FN638" s="18"/>
      <c r="FO638" s="18"/>
      <c r="FP638" s="18"/>
      <c r="FQ638" s="18"/>
      <c r="FR638" s="18"/>
      <c r="FS638" s="18"/>
      <c r="FT638" s="18"/>
      <c r="FU638" s="18"/>
      <c r="FV638" s="18"/>
      <c r="FW638" s="18"/>
      <c r="FX638" s="18"/>
      <c r="FY638" s="18"/>
      <c r="FZ638" s="18"/>
      <c r="GA638" s="18"/>
      <c r="GB638" s="18"/>
      <c r="GC638" s="18"/>
      <c r="GD638" s="18"/>
      <c r="GE638" s="18"/>
      <c r="GF638" s="18"/>
      <c r="GG638" s="18"/>
      <c r="GH638" s="18"/>
      <c r="GI638" s="18"/>
      <c r="GJ638" s="18"/>
      <c r="GK638" s="18"/>
      <c r="GL638" s="18"/>
      <c r="GM638" s="18"/>
      <c r="GN638" s="18"/>
      <c r="GO638" s="18"/>
      <c r="GP638" s="18"/>
      <c r="GQ638" s="18"/>
      <c r="GR638" s="18">
        <v>0</v>
      </c>
      <c r="GS638" s="18">
        <v>0</v>
      </c>
      <c r="GT638" s="18" t="s">
        <v>339</v>
      </c>
      <c r="GU638" s="18">
        <v>0</v>
      </c>
      <c r="GV638" s="18"/>
      <c r="GW638" s="18"/>
      <c r="GX638" s="18" t="b">
        <v>0</v>
      </c>
      <c r="GY638" s="18">
        <v>0</v>
      </c>
      <c r="GZ638" s="18" t="b">
        <v>1</v>
      </c>
      <c r="HA638" s="18">
        <v>0</v>
      </c>
      <c r="HB638" s="18">
        <v>0</v>
      </c>
      <c r="HC638" s="18">
        <v>0</v>
      </c>
      <c r="HD638" s="18">
        <v>0</v>
      </c>
      <c r="HE638" s="18" t="b">
        <v>0</v>
      </c>
      <c r="HF638" s="18">
        <v>0</v>
      </c>
      <c r="HG638" s="18">
        <v>0</v>
      </c>
      <c r="HH638" s="18" t="s">
        <v>339</v>
      </c>
      <c r="HI638" s="18" t="s">
        <v>334</v>
      </c>
      <c r="HJ638" s="18">
        <v>0</v>
      </c>
      <c r="HK638" s="18">
        <v>0</v>
      </c>
      <c r="HL638" s="18">
        <v>0</v>
      </c>
      <c r="HM638" s="18">
        <v>0</v>
      </c>
      <c r="HN638" s="18" t="b">
        <v>0</v>
      </c>
    </row>
    <row r="639" spans="1:222">
      <c r="A639"/>
      <c r="B639" s="29" cm="1">
        <f t="array" ref="B639">10000000+INDEX(编号表!$B$1:$B$112,MATCH(D639,编号表!$A$1:$A$112,0))*10000+I639</f>
        <v>10290006</v>
      </c>
      <c r="C639" s="18" t="s">
        <v>509</v>
      </c>
      <c r="D639" s="18" t="s">
        <v>509</v>
      </c>
      <c r="E639" s="18" t="s">
        <v>334</v>
      </c>
      <c r="F639" s="18" t="s">
        <v>364</v>
      </c>
      <c r="G639" s="18" t="b">
        <v>0</v>
      </c>
      <c r="H639" s="18" t="b">
        <v>1</v>
      </c>
      <c r="I639" s="18">
        <v>6</v>
      </c>
      <c r="J639" s="18">
        <v>102900</v>
      </c>
      <c r="K639" s="18" t="s">
        <v>324</v>
      </c>
      <c r="L639" s="18">
        <v>0</v>
      </c>
      <c r="M639" s="18">
        <v>0</v>
      </c>
      <c r="N639" s="18" t="s">
        <v>510</v>
      </c>
      <c r="O639" s="18">
        <v>0</v>
      </c>
      <c r="P639" s="18">
        <v>0</v>
      </c>
      <c r="Q639" s="18">
        <v>0</v>
      </c>
      <c r="R639" s="18">
        <v>0</v>
      </c>
      <c r="S639" s="18">
        <v>0</v>
      </c>
      <c r="T639" s="18">
        <v>0</v>
      </c>
      <c r="U639" s="18"/>
      <c r="V639" s="18">
        <v>0</v>
      </c>
      <c r="W639" s="18">
        <v>0</v>
      </c>
      <c r="X639" s="18" t="s">
        <v>326</v>
      </c>
      <c r="Y639" s="18" t="s">
        <v>327</v>
      </c>
      <c r="Z639" s="18" t="s">
        <v>328</v>
      </c>
      <c r="AA639" s="18">
        <v>0</v>
      </c>
      <c r="AB639" s="18">
        <v>1</v>
      </c>
      <c r="AC639" s="18" t="b">
        <v>0</v>
      </c>
      <c r="AD639" s="18" t="s">
        <v>329</v>
      </c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 t="s">
        <v>354</v>
      </c>
      <c r="AZ639" s="18">
        <v>11600</v>
      </c>
      <c r="BA639" s="18" t="s">
        <v>331</v>
      </c>
      <c r="BB639" s="18" t="s">
        <v>328</v>
      </c>
      <c r="BC639" s="18">
        <v>10000</v>
      </c>
      <c r="BD639" s="18">
        <v>0</v>
      </c>
      <c r="BE639" s="18" t="s">
        <v>332</v>
      </c>
      <c r="BF639" s="18">
        <v>0</v>
      </c>
      <c r="BG639" s="18" t="s">
        <v>355</v>
      </c>
      <c r="BH639" s="18">
        <v>10000</v>
      </c>
      <c r="BI639" s="18">
        <v>7</v>
      </c>
      <c r="BJ639" s="18" t="b">
        <v>1</v>
      </c>
      <c r="BK639" s="18">
        <v>0</v>
      </c>
      <c r="BL639" s="18">
        <v>10000</v>
      </c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  <c r="DU639" s="18"/>
      <c r="DV639" s="18"/>
      <c r="DW639" s="18"/>
      <c r="DX639" s="18"/>
      <c r="DY639" s="18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8"/>
      <c r="EM639" s="18"/>
      <c r="EN639" s="18"/>
      <c r="EO639" s="18"/>
      <c r="EP639" s="18"/>
      <c r="EQ639" s="18"/>
      <c r="ER639" s="18"/>
      <c r="ES639" s="18"/>
      <c r="ET639" s="18"/>
      <c r="EU639" s="18"/>
      <c r="EV639" s="18"/>
      <c r="EW639" s="18"/>
      <c r="EX639" s="18"/>
      <c r="EY639" s="18"/>
      <c r="EZ639" s="18"/>
      <c r="FA639" s="18"/>
      <c r="FB639" s="18"/>
      <c r="FC639" s="18"/>
      <c r="FD639" s="18"/>
      <c r="FE639" s="18"/>
      <c r="FF639" s="18"/>
      <c r="FG639" s="18"/>
      <c r="FH639" s="18"/>
      <c r="FI639" s="18"/>
      <c r="FJ639" s="18"/>
      <c r="FK639" s="18"/>
      <c r="FL639" s="18"/>
      <c r="FM639" s="18"/>
      <c r="FN639" s="18"/>
      <c r="FO639" s="18"/>
      <c r="FP639" s="18"/>
      <c r="FQ639" s="18"/>
      <c r="FR639" s="18"/>
      <c r="FS639" s="18"/>
      <c r="FT639" s="18"/>
      <c r="FU639" s="18"/>
      <c r="FV639" s="18"/>
      <c r="FW639" s="18"/>
      <c r="FX639" s="18"/>
      <c r="FY639" s="18"/>
      <c r="FZ639" s="18"/>
      <c r="GA639" s="18"/>
      <c r="GB639" s="18"/>
      <c r="GC639" s="18"/>
      <c r="GD639" s="18"/>
      <c r="GE639" s="18"/>
      <c r="GF639" s="18"/>
      <c r="GG639" s="18"/>
      <c r="GH639" s="18"/>
      <c r="GI639" s="18"/>
      <c r="GJ639" s="18"/>
      <c r="GK639" s="18"/>
      <c r="GL639" s="18"/>
      <c r="GM639" s="18"/>
      <c r="GN639" s="18"/>
      <c r="GO639" s="18"/>
      <c r="GP639" s="18"/>
      <c r="GQ639" s="18"/>
      <c r="GR639" s="18">
        <v>0</v>
      </c>
      <c r="GS639" s="18">
        <v>0</v>
      </c>
      <c r="GT639" s="18" t="s">
        <v>339</v>
      </c>
      <c r="GU639" s="18">
        <v>0</v>
      </c>
      <c r="GV639" s="18"/>
      <c r="GW639" s="18"/>
      <c r="GX639" s="18" t="b">
        <v>0</v>
      </c>
      <c r="GY639" s="18">
        <v>0</v>
      </c>
      <c r="GZ639" s="18" t="b">
        <v>1</v>
      </c>
      <c r="HA639" s="18">
        <v>0</v>
      </c>
      <c r="HB639" s="18">
        <v>0</v>
      </c>
      <c r="HC639" s="18">
        <v>0</v>
      </c>
      <c r="HD639" s="18">
        <v>0</v>
      </c>
      <c r="HE639" s="18" t="b">
        <v>0</v>
      </c>
      <c r="HF639" s="18">
        <v>0</v>
      </c>
      <c r="HG639" s="18">
        <v>0</v>
      </c>
      <c r="HH639" s="18" t="s">
        <v>339</v>
      </c>
      <c r="HI639" s="18" t="s">
        <v>334</v>
      </c>
      <c r="HJ639" s="18">
        <v>0</v>
      </c>
      <c r="HK639" s="18">
        <v>0</v>
      </c>
      <c r="HL639" s="18">
        <v>0</v>
      </c>
      <c r="HM639" s="18">
        <v>0</v>
      </c>
      <c r="HN639" s="18" t="b">
        <v>0</v>
      </c>
    </row>
    <row r="640" spans="1:222">
      <c r="A640"/>
      <c r="B640" s="29" cm="1">
        <f t="array" ref="B640">10000000+INDEX(编号表!$B$1:$B$112,MATCH(D640,编号表!$A$1:$A$112,0))*10000+I640</f>
        <v>10290007</v>
      </c>
      <c r="C640" s="18" t="s">
        <v>509</v>
      </c>
      <c r="D640" s="18" t="s">
        <v>509</v>
      </c>
      <c r="E640" s="18" t="s">
        <v>334</v>
      </c>
      <c r="F640" s="18" t="s">
        <v>364</v>
      </c>
      <c r="G640" s="18" t="b">
        <v>0</v>
      </c>
      <c r="H640" s="18" t="b">
        <v>1</v>
      </c>
      <c r="I640" s="18">
        <v>7</v>
      </c>
      <c r="J640" s="18">
        <v>102900</v>
      </c>
      <c r="K640" s="18" t="s">
        <v>324</v>
      </c>
      <c r="L640" s="18">
        <v>0</v>
      </c>
      <c r="M640" s="18">
        <v>0</v>
      </c>
      <c r="N640" s="18" t="s">
        <v>510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/>
      <c r="V640" s="18">
        <v>0</v>
      </c>
      <c r="W640" s="18">
        <v>0</v>
      </c>
      <c r="X640" s="18" t="s">
        <v>326</v>
      </c>
      <c r="Y640" s="18" t="s">
        <v>327</v>
      </c>
      <c r="Z640" s="18" t="s">
        <v>328</v>
      </c>
      <c r="AA640" s="18">
        <v>0</v>
      </c>
      <c r="AB640" s="18">
        <v>1</v>
      </c>
      <c r="AC640" s="18" t="b">
        <v>0</v>
      </c>
      <c r="AD640" s="18" t="s">
        <v>329</v>
      </c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 t="s">
        <v>354</v>
      </c>
      <c r="AZ640" s="18">
        <v>11700</v>
      </c>
      <c r="BA640" s="18" t="s">
        <v>331</v>
      </c>
      <c r="BB640" s="18" t="s">
        <v>328</v>
      </c>
      <c r="BC640" s="18">
        <v>10000</v>
      </c>
      <c r="BD640" s="18">
        <v>0</v>
      </c>
      <c r="BE640" s="18" t="s">
        <v>332</v>
      </c>
      <c r="BF640" s="18">
        <v>0</v>
      </c>
      <c r="BG640" s="18" t="s">
        <v>355</v>
      </c>
      <c r="BH640" s="18">
        <v>10000</v>
      </c>
      <c r="BI640" s="18">
        <v>9</v>
      </c>
      <c r="BJ640" s="18" t="b">
        <v>1</v>
      </c>
      <c r="BK640" s="18">
        <v>0</v>
      </c>
      <c r="BL640" s="18">
        <v>10000</v>
      </c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8"/>
      <c r="EM640" s="18"/>
      <c r="EN640" s="18"/>
      <c r="EO640" s="18"/>
      <c r="EP640" s="18"/>
      <c r="EQ640" s="18"/>
      <c r="ER640" s="18"/>
      <c r="ES640" s="18"/>
      <c r="ET640" s="18"/>
      <c r="EU640" s="18"/>
      <c r="EV640" s="18"/>
      <c r="EW640" s="18"/>
      <c r="EX640" s="18"/>
      <c r="EY640" s="18"/>
      <c r="EZ640" s="18"/>
      <c r="FA640" s="18"/>
      <c r="FB640" s="18"/>
      <c r="FC640" s="18"/>
      <c r="FD640" s="18"/>
      <c r="FE640" s="18"/>
      <c r="FF640" s="18"/>
      <c r="FG640" s="18"/>
      <c r="FH640" s="18"/>
      <c r="FI640" s="18"/>
      <c r="FJ640" s="18"/>
      <c r="FK640" s="18"/>
      <c r="FL640" s="18"/>
      <c r="FM640" s="18"/>
      <c r="FN640" s="18"/>
      <c r="FO640" s="18"/>
      <c r="FP640" s="18"/>
      <c r="FQ640" s="18"/>
      <c r="FR640" s="18"/>
      <c r="FS640" s="18"/>
      <c r="FT640" s="18"/>
      <c r="FU640" s="18"/>
      <c r="FV640" s="18"/>
      <c r="FW640" s="18"/>
      <c r="FX640" s="18"/>
      <c r="FY640" s="18"/>
      <c r="FZ640" s="18"/>
      <c r="GA640" s="18"/>
      <c r="GB640" s="18"/>
      <c r="GC640" s="18"/>
      <c r="GD640" s="18"/>
      <c r="GE640" s="18"/>
      <c r="GF640" s="18"/>
      <c r="GG640" s="18"/>
      <c r="GH640" s="18"/>
      <c r="GI640" s="18"/>
      <c r="GJ640" s="18"/>
      <c r="GK640" s="18"/>
      <c r="GL640" s="18"/>
      <c r="GM640" s="18"/>
      <c r="GN640" s="18"/>
      <c r="GO640" s="18"/>
      <c r="GP640" s="18"/>
      <c r="GQ640" s="18"/>
      <c r="GR640" s="18">
        <v>0</v>
      </c>
      <c r="GS640" s="18">
        <v>0</v>
      </c>
      <c r="GT640" s="18" t="s">
        <v>339</v>
      </c>
      <c r="GU640" s="18">
        <v>0</v>
      </c>
      <c r="GV640" s="18"/>
      <c r="GW640" s="18"/>
      <c r="GX640" s="18" t="b">
        <v>0</v>
      </c>
      <c r="GY640" s="18">
        <v>0</v>
      </c>
      <c r="GZ640" s="18" t="b">
        <v>1</v>
      </c>
      <c r="HA640" s="18">
        <v>0</v>
      </c>
      <c r="HB640" s="18">
        <v>0</v>
      </c>
      <c r="HC640" s="18">
        <v>0</v>
      </c>
      <c r="HD640" s="18">
        <v>0</v>
      </c>
      <c r="HE640" s="18" t="b">
        <v>0</v>
      </c>
      <c r="HF640" s="18">
        <v>0</v>
      </c>
      <c r="HG640" s="18">
        <v>0</v>
      </c>
      <c r="HH640" s="18" t="s">
        <v>339</v>
      </c>
      <c r="HI640" s="18" t="s">
        <v>334</v>
      </c>
      <c r="HJ640" s="18">
        <v>0</v>
      </c>
      <c r="HK640" s="18">
        <v>0</v>
      </c>
      <c r="HL640" s="18">
        <v>0</v>
      </c>
      <c r="HM640" s="18">
        <v>0</v>
      </c>
      <c r="HN640" s="18" t="b">
        <v>0</v>
      </c>
    </row>
    <row r="641" spans="1:222">
      <c r="A641"/>
      <c r="B641" s="29" cm="1">
        <f t="array" ref="B641">10000000+INDEX(编号表!$B$1:$B$112,MATCH(D641,编号表!$A$1:$A$112,0))*10000+I641</f>
        <v>10290008</v>
      </c>
      <c r="C641" s="18" t="s">
        <v>509</v>
      </c>
      <c r="D641" s="18" t="s">
        <v>509</v>
      </c>
      <c r="E641" s="18" t="s">
        <v>334</v>
      </c>
      <c r="F641" s="18" t="s">
        <v>364</v>
      </c>
      <c r="G641" s="18" t="b">
        <v>0</v>
      </c>
      <c r="H641" s="18" t="b">
        <v>1</v>
      </c>
      <c r="I641" s="18">
        <v>8</v>
      </c>
      <c r="J641" s="18">
        <v>102900</v>
      </c>
      <c r="K641" s="18" t="s">
        <v>324</v>
      </c>
      <c r="L641" s="18">
        <v>0</v>
      </c>
      <c r="M641" s="18">
        <v>0</v>
      </c>
      <c r="N641" s="18" t="s">
        <v>510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/>
      <c r="V641" s="18">
        <v>0</v>
      </c>
      <c r="W641" s="18">
        <v>0</v>
      </c>
      <c r="X641" s="18" t="s">
        <v>326</v>
      </c>
      <c r="Y641" s="18" t="s">
        <v>327</v>
      </c>
      <c r="Z641" s="18" t="s">
        <v>328</v>
      </c>
      <c r="AA641" s="18">
        <v>0</v>
      </c>
      <c r="AB641" s="18">
        <v>1</v>
      </c>
      <c r="AC641" s="18" t="b">
        <v>0</v>
      </c>
      <c r="AD641" s="18" t="s">
        <v>329</v>
      </c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 t="s">
        <v>354</v>
      </c>
      <c r="AZ641" s="18">
        <v>11800</v>
      </c>
      <c r="BA641" s="18" t="s">
        <v>331</v>
      </c>
      <c r="BB641" s="18" t="s">
        <v>328</v>
      </c>
      <c r="BC641" s="18">
        <v>10000</v>
      </c>
      <c r="BD641" s="18">
        <v>0</v>
      </c>
      <c r="BE641" s="18" t="s">
        <v>332</v>
      </c>
      <c r="BF641" s="18">
        <v>0</v>
      </c>
      <c r="BG641" s="18" t="s">
        <v>355</v>
      </c>
      <c r="BH641" s="18">
        <v>10000</v>
      </c>
      <c r="BI641" s="18">
        <v>10</v>
      </c>
      <c r="BJ641" s="18" t="b">
        <v>1</v>
      </c>
      <c r="BK641" s="18">
        <v>0</v>
      </c>
      <c r="BL641" s="18">
        <v>10000</v>
      </c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  <c r="EM641" s="18"/>
      <c r="EN641" s="18"/>
      <c r="EO641" s="18"/>
      <c r="EP641" s="18"/>
      <c r="EQ641" s="18"/>
      <c r="ER641" s="18"/>
      <c r="ES641" s="18"/>
      <c r="ET641" s="18"/>
      <c r="EU641" s="18"/>
      <c r="EV641" s="18"/>
      <c r="EW641" s="18"/>
      <c r="EX641" s="18"/>
      <c r="EY641" s="18"/>
      <c r="EZ641" s="18"/>
      <c r="FA641" s="18"/>
      <c r="FB641" s="18"/>
      <c r="FC641" s="18"/>
      <c r="FD641" s="18"/>
      <c r="FE641" s="18"/>
      <c r="FF641" s="18"/>
      <c r="FG641" s="18"/>
      <c r="FH641" s="18"/>
      <c r="FI641" s="18"/>
      <c r="FJ641" s="18"/>
      <c r="FK641" s="18"/>
      <c r="FL641" s="18"/>
      <c r="FM641" s="18"/>
      <c r="FN641" s="18"/>
      <c r="FO641" s="18"/>
      <c r="FP641" s="18"/>
      <c r="FQ641" s="18"/>
      <c r="FR641" s="18"/>
      <c r="FS641" s="18"/>
      <c r="FT641" s="18"/>
      <c r="FU641" s="18"/>
      <c r="FV641" s="18"/>
      <c r="FW641" s="18"/>
      <c r="FX641" s="18"/>
      <c r="FY641" s="18"/>
      <c r="FZ641" s="18"/>
      <c r="GA641" s="18"/>
      <c r="GB641" s="18"/>
      <c r="GC641" s="18"/>
      <c r="GD641" s="18"/>
      <c r="GE641" s="18"/>
      <c r="GF641" s="18"/>
      <c r="GG641" s="18"/>
      <c r="GH641" s="18"/>
      <c r="GI641" s="18"/>
      <c r="GJ641" s="18"/>
      <c r="GK641" s="18"/>
      <c r="GL641" s="18"/>
      <c r="GM641" s="18"/>
      <c r="GN641" s="18"/>
      <c r="GO641" s="18"/>
      <c r="GP641" s="18"/>
      <c r="GQ641" s="18"/>
      <c r="GR641" s="18">
        <v>0</v>
      </c>
      <c r="GS641" s="18">
        <v>0</v>
      </c>
      <c r="GT641" s="18" t="s">
        <v>339</v>
      </c>
      <c r="GU641" s="18">
        <v>0</v>
      </c>
      <c r="GV641" s="18"/>
      <c r="GW641" s="18"/>
      <c r="GX641" s="18" t="b">
        <v>0</v>
      </c>
      <c r="GY641" s="18">
        <v>0</v>
      </c>
      <c r="GZ641" s="18" t="b">
        <v>1</v>
      </c>
      <c r="HA641" s="18">
        <v>0</v>
      </c>
      <c r="HB641" s="18">
        <v>0</v>
      </c>
      <c r="HC641" s="18">
        <v>0</v>
      </c>
      <c r="HD641" s="18">
        <v>0</v>
      </c>
      <c r="HE641" s="18" t="b">
        <v>0</v>
      </c>
      <c r="HF641" s="18">
        <v>0</v>
      </c>
      <c r="HG641" s="18">
        <v>0</v>
      </c>
      <c r="HH641" s="18" t="s">
        <v>339</v>
      </c>
      <c r="HI641" s="18" t="s">
        <v>334</v>
      </c>
      <c r="HJ641" s="18">
        <v>0</v>
      </c>
      <c r="HK641" s="18">
        <v>0</v>
      </c>
      <c r="HL641" s="18">
        <v>0</v>
      </c>
      <c r="HM641" s="18">
        <v>0</v>
      </c>
      <c r="HN641" s="18" t="b">
        <v>0</v>
      </c>
    </row>
    <row r="642" spans="1:222">
      <c r="A642"/>
      <c r="B642" s="29" cm="1">
        <f t="array" ref="B642">10000000+INDEX(编号表!$B$1:$B$112,MATCH(D642,编号表!$A$1:$A$112,0))*10000+I642</f>
        <v>10290009</v>
      </c>
      <c r="C642" s="18" t="s">
        <v>509</v>
      </c>
      <c r="D642" s="18" t="s">
        <v>509</v>
      </c>
      <c r="E642" s="18" t="s">
        <v>334</v>
      </c>
      <c r="F642" s="18" t="s">
        <v>364</v>
      </c>
      <c r="G642" s="18" t="b">
        <v>0</v>
      </c>
      <c r="H642" s="18" t="b">
        <v>1</v>
      </c>
      <c r="I642" s="18">
        <v>9</v>
      </c>
      <c r="J642" s="18">
        <v>102900</v>
      </c>
      <c r="K642" s="18" t="s">
        <v>324</v>
      </c>
      <c r="L642" s="18">
        <v>0</v>
      </c>
      <c r="M642" s="18">
        <v>0</v>
      </c>
      <c r="N642" s="18" t="s">
        <v>510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/>
      <c r="V642" s="18">
        <v>0</v>
      </c>
      <c r="W642" s="18">
        <v>0</v>
      </c>
      <c r="X642" s="18" t="s">
        <v>326</v>
      </c>
      <c r="Y642" s="18" t="s">
        <v>327</v>
      </c>
      <c r="Z642" s="18" t="s">
        <v>328</v>
      </c>
      <c r="AA642" s="18">
        <v>0</v>
      </c>
      <c r="AB642" s="18">
        <v>1</v>
      </c>
      <c r="AC642" s="18" t="b">
        <v>0</v>
      </c>
      <c r="AD642" s="18" t="s">
        <v>329</v>
      </c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 t="s">
        <v>354</v>
      </c>
      <c r="AZ642" s="18">
        <v>11900</v>
      </c>
      <c r="BA642" s="18" t="s">
        <v>331</v>
      </c>
      <c r="BB642" s="18" t="s">
        <v>328</v>
      </c>
      <c r="BC642" s="18">
        <v>10000</v>
      </c>
      <c r="BD642" s="18">
        <v>0</v>
      </c>
      <c r="BE642" s="18" t="s">
        <v>332</v>
      </c>
      <c r="BF642" s="18">
        <v>0</v>
      </c>
      <c r="BG642" s="18" t="s">
        <v>355</v>
      </c>
      <c r="BH642" s="18">
        <v>10000</v>
      </c>
      <c r="BI642" s="18">
        <v>12</v>
      </c>
      <c r="BJ642" s="18" t="b">
        <v>1</v>
      </c>
      <c r="BK642" s="18">
        <v>0</v>
      </c>
      <c r="BL642" s="18">
        <v>10000</v>
      </c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18"/>
      <c r="DS642" s="18"/>
      <c r="DT642" s="18"/>
      <c r="DU642" s="18"/>
      <c r="DV642" s="18"/>
      <c r="DW642" s="18"/>
      <c r="DX642" s="18"/>
      <c r="DY642" s="18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8"/>
      <c r="EM642" s="18"/>
      <c r="EN642" s="18"/>
      <c r="EO642" s="18"/>
      <c r="EP642" s="18"/>
      <c r="EQ642" s="18"/>
      <c r="ER642" s="18"/>
      <c r="ES642" s="18"/>
      <c r="ET642" s="18"/>
      <c r="EU642" s="18"/>
      <c r="EV642" s="18"/>
      <c r="EW642" s="18"/>
      <c r="EX642" s="18"/>
      <c r="EY642" s="18"/>
      <c r="EZ642" s="18"/>
      <c r="FA642" s="18"/>
      <c r="FB642" s="18"/>
      <c r="FC642" s="18"/>
      <c r="FD642" s="18"/>
      <c r="FE642" s="18"/>
      <c r="FF642" s="18"/>
      <c r="FG642" s="18"/>
      <c r="FH642" s="18"/>
      <c r="FI642" s="18"/>
      <c r="FJ642" s="18"/>
      <c r="FK642" s="18"/>
      <c r="FL642" s="18"/>
      <c r="FM642" s="18"/>
      <c r="FN642" s="18"/>
      <c r="FO642" s="18"/>
      <c r="FP642" s="18"/>
      <c r="FQ642" s="18"/>
      <c r="FR642" s="18"/>
      <c r="FS642" s="18"/>
      <c r="FT642" s="18"/>
      <c r="FU642" s="18"/>
      <c r="FV642" s="18"/>
      <c r="FW642" s="18"/>
      <c r="FX642" s="18"/>
      <c r="FY642" s="18"/>
      <c r="FZ642" s="18"/>
      <c r="GA642" s="18"/>
      <c r="GB642" s="18"/>
      <c r="GC642" s="18"/>
      <c r="GD642" s="18"/>
      <c r="GE642" s="18"/>
      <c r="GF642" s="18"/>
      <c r="GG642" s="18"/>
      <c r="GH642" s="18"/>
      <c r="GI642" s="18"/>
      <c r="GJ642" s="18"/>
      <c r="GK642" s="18"/>
      <c r="GL642" s="18"/>
      <c r="GM642" s="18"/>
      <c r="GN642" s="18"/>
      <c r="GO642" s="18"/>
      <c r="GP642" s="18"/>
      <c r="GQ642" s="18"/>
      <c r="GR642" s="18">
        <v>0</v>
      </c>
      <c r="GS642" s="18">
        <v>0</v>
      </c>
      <c r="GT642" s="18" t="s">
        <v>339</v>
      </c>
      <c r="GU642" s="18">
        <v>0</v>
      </c>
      <c r="GV642" s="18"/>
      <c r="GW642" s="18"/>
      <c r="GX642" s="18" t="b">
        <v>0</v>
      </c>
      <c r="GY642" s="18">
        <v>0</v>
      </c>
      <c r="GZ642" s="18" t="b">
        <v>1</v>
      </c>
      <c r="HA642" s="18">
        <v>0</v>
      </c>
      <c r="HB642" s="18">
        <v>0</v>
      </c>
      <c r="HC642" s="18">
        <v>0</v>
      </c>
      <c r="HD642" s="18">
        <v>0</v>
      </c>
      <c r="HE642" s="18" t="b">
        <v>0</v>
      </c>
      <c r="HF642" s="18">
        <v>0</v>
      </c>
      <c r="HG642" s="18">
        <v>0</v>
      </c>
      <c r="HH642" s="18" t="s">
        <v>339</v>
      </c>
      <c r="HI642" s="18" t="s">
        <v>334</v>
      </c>
      <c r="HJ642" s="18">
        <v>0</v>
      </c>
      <c r="HK642" s="18">
        <v>0</v>
      </c>
      <c r="HL642" s="18">
        <v>0</v>
      </c>
      <c r="HM642" s="18">
        <v>0</v>
      </c>
      <c r="HN642" s="18" t="b">
        <v>0</v>
      </c>
    </row>
    <row r="643" spans="1:222">
      <c r="A643"/>
      <c r="B643" s="29" cm="1">
        <f t="array" ref="B643">10000000+INDEX(编号表!$B$1:$B$112,MATCH(D643,编号表!$A$1:$A$112,0))*10000+I643</f>
        <v>10290010</v>
      </c>
      <c r="C643" s="18" t="s">
        <v>509</v>
      </c>
      <c r="D643" s="18" t="s">
        <v>509</v>
      </c>
      <c r="E643" s="18" t="s">
        <v>334</v>
      </c>
      <c r="F643" s="18" t="s">
        <v>364</v>
      </c>
      <c r="G643" s="18" t="b">
        <v>0</v>
      </c>
      <c r="H643" s="18" t="b">
        <v>1</v>
      </c>
      <c r="I643" s="18">
        <v>10</v>
      </c>
      <c r="J643" s="18">
        <v>102900</v>
      </c>
      <c r="K643" s="18" t="s">
        <v>324</v>
      </c>
      <c r="L643" s="18">
        <v>0</v>
      </c>
      <c r="M643" s="18">
        <v>0</v>
      </c>
      <c r="N643" s="18" t="s">
        <v>510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0</v>
      </c>
      <c r="U643" s="18"/>
      <c r="V643" s="18">
        <v>0</v>
      </c>
      <c r="W643" s="18">
        <v>0</v>
      </c>
      <c r="X643" s="18" t="s">
        <v>326</v>
      </c>
      <c r="Y643" s="18" t="s">
        <v>327</v>
      </c>
      <c r="Z643" s="18" t="s">
        <v>328</v>
      </c>
      <c r="AA643" s="18">
        <v>0</v>
      </c>
      <c r="AB643" s="18">
        <v>1</v>
      </c>
      <c r="AC643" s="18" t="b">
        <v>0</v>
      </c>
      <c r="AD643" s="18" t="s">
        <v>329</v>
      </c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 t="s">
        <v>354</v>
      </c>
      <c r="AZ643" s="18">
        <v>12000</v>
      </c>
      <c r="BA643" s="18" t="s">
        <v>331</v>
      </c>
      <c r="BB643" s="18" t="s">
        <v>328</v>
      </c>
      <c r="BC643" s="18">
        <v>10000</v>
      </c>
      <c r="BD643" s="18">
        <v>0</v>
      </c>
      <c r="BE643" s="18" t="s">
        <v>332</v>
      </c>
      <c r="BF643" s="18">
        <v>0</v>
      </c>
      <c r="BG643" s="18" t="s">
        <v>355</v>
      </c>
      <c r="BH643" s="18">
        <v>10000</v>
      </c>
      <c r="BI643" s="18">
        <v>15</v>
      </c>
      <c r="BJ643" s="18" t="b">
        <v>1</v>
      </c>
      <c r="BK643" s="18">
        <v>0</v>
      </c>
      <c r="BL643" s="18">
        <v>10000</v>
      </c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  <c r="DU643" s="18"/>
      <c r="DV643" s="18"/>
      <c r="DW643" s="18"/>
      <c r="DX643" s="18"/>
      <c r="DY643" s="18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8"/>
      <c r="EM643" s="18"/>
      <c r="EN643" s="18"/>
      <c r="EO643" s="18"/>
      <c r="EP643" s="18"/>
      <c r="EQ643" s="18"/>
      <c r="ER643" s="18"/>
      <c r="ES643" s="18"/>
      <c r="ET643" s="18"/>
      <c r="EU643" s="18"/>
      <c r="EV643" s="18"/>
      <c r="EW643" s="18"/>
      <c r="EX643" s="18"/>
      <c r="EY643" s="18"/>
      <c r="EZ643" s="18"/>
      <c r="FA643" s="18"/>
      <c r="FB643" s="18"/>
      <c r="FC643" s="18"/>
      <c r="FD643" s="18"/>
      <c r="FE643" s="18"/>
      <c r="FF643" s="18"/>
      <c r="FG643" s="18"/>
      <c r="FH643" s="18"/>
      <c r="FI643" s="18"/>
      <c r="FJ643" s="18"/>
      <c r="FK643" s="18"/>
      <c r="FL643" s="18"/>
      <c r="FM643" s="18"/>
      <c r="FN643" s="18"/>
      <c r="FO643" s="18"/>
      <c r="FP643" s="18"/>
      <c r="FQ643" s="18"/>
      <c r="FR643" s="18"/>
      <c r="FS643" s="18"/>
      <c r="FT643" s="18"/>
      <c r="FU643" s="18"/>
      <c r="FV643" s="18"/>
      <c r="FW643" s="18"/>
      <c r="FX643" s="18"/>
      <c r="FY643" s="18"/>
      <c r="FZ643" s="18"/>
      <c r="GA643" s="18"/>
      <c r="GB643" s="18"/>
      <c r="GC643" s="18"/>
      <c r="GD643" s="18"/>
      <c r="GE643" s="18"/>
      <c r="GF643" s="18"/>
      <c r="GG643" s="18"/>
      <c r="GH643" s="18"/>
      <c r="GI643" s="18"/>
      <c r="GJ643" s="18"/>
      <c r="GK643" s="18"/>
      <c r="GL643" s="18"/>
      <c r="GM643" s="18"/>
      <c r="GN643" s="18"/>
      <c r="GO643" s="18"/>
      <c r="GP643" s="18"/>
      <c r="GQ643" s="18"/>
      <c r="GR643" s="18">
        <v>0</v>
      </c>
      <c r="GS643" s="18">
        <v>0</v>
      </c>
      <c r="GT643" s="18" t="s">
        <v>339</v>
      </c>
      <c r="GU643" s="18">
        <v>0</v>
      </c>
      <c r="GV643" s="18"/>
      <c r="GW643" s="18"/>
      <c r="GX643" s="18" t="b">
        <v>0</v>
      </c>
      <c r="GY643" s="18">
        <v>0</v>
      </c>
      <c r="GZ643" s="18" t="b">
        <v>1</v>
      </c>
      <c r="HA643" s="18">
        <v>0</v>
      </c>
      <c r="HB643" s="18">
        <v>0</v>
      </c>
      <c r="HC643" s="18">
        <v>0</v>
      </c>
      <c r="HD643" s="18">
        <v>0</v>
      </c>
      <c r="HE643" s="18" t="b">
        <v>0</v>
      </c>
      <c r="HF643" s="18">
        <v>0</v>
      </c>
      <c r="HG643" s="18">
        <v>0</v>
      </c>
      <c r="HH643" s="18" t="s">
        <v>339</v>
      </c>
      <c r="HI643" s="18" t="s">
        <v>334</v>
      </c>
      <c r="HJ643" s="18">
        <v>0</v>
      </c>
      <c r="HK643" s="18">
        <v>0</v>
      </c>
      <c r="HL643" s="18">
        <v>0</v>
      </c>
      <c r="HM643" s="18">
        <v>0</v>
      </c>
      <c r="HN643" s="18" t="b">
        <v>0</v>
      </c>
    </row>
    <row r="644" spans="1:222">
      <c r="A644"/>
      <c r="B644" s="29" cm="1">
        <f t="array" ref="B644">10000000+INDEX(编号表!$B$1:$B$112,MATCH(D644,编号表!$A$1:$A$112,0))*10000+I644</f>
        <v>10300001</v>
      </c>
      <c r="C644" s="18" t="s">
        <v>511</v>
      </c>
      <c r="D644" s="18" t="s">
        <v>511</v>
      </c>
      <c r="E644" s="18" t="s">
        <v>334</v>
      </c>
      <c r="F644" s="18" t="s">
        <v>323</v>
      </c>
      <c r="G644" s="18" t="b">
        <v>0</v>
      </c>
      <c r="H644" s="18" t="b">
        <v>1</v>
      </c>
      <c r="I644" s="18">
        <v>1</v>
      </c>
      <c r="J644" s="18">
        <v>103000</v>
      </c>
      <c r="K644" s="18" t="s">
        <v>324</v>
      </c>
      <c r="L644" s="18">
        <v>0</v>
      </c>
      <c r="M644" s="18">
        <v>0</v>
      </c>
      <c r="N644" s="18" t="s">
        <v>510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>
        <v>0</v>
      </c>
      <c r="U644" s="18"/>
      <c r="V644" s="18">
        <v>0</v>
      </c>
      <c r="W644" s="18">
        <v>0</v>
      </c>
      <c r="X644" s="18" t="s">
        <v>326</v>
      </c>
      <c r="Y644" s="18" t="s">
        <v>327</v>
      </c>
      <c r="Z644" s="18" t="s">
        <v>328</v>
      </c>
      <c r="AA644" s="18">
        <v>0</v>
      </c>
      <c r="AB644" s="18">
        <v>1</v>
      </c>
      <c r="AC644" s="18" t="b">
        <v>0</v>
      </c>
      <c r="AD644" s="18" t="s">
        <v>329</v>
      </c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 t="s">
        <v>330</v>
      </c>
      <c r="AZ644" s="18">
        <v>10000</v>
      </c>
      <c r="BA644" s="18" t="s">
        <v>331</v>
      </c>
      <c r="BB644" s="18" t="s">
        <v>328</v>
      </c>
      <c r="BC644" s="18">
        <v>10000</v>
      </c>
      <c r="BD644" s="18">
        <v>0</v>
      </c>
      <c r="BE644" s="18" t="s">
        <v>332</v>
      </c>
      <c r="BF644" s="18">
        <v>0</v>
      </c>
      <c r="BG644" s="18" t="s">
        <v>330</v>
      </c>
      <c r="BH644" s="18">
        <v>10000</v>
      </c>
      <c r="BI644" s="18">
        <v>3</v>
      </c>
      <c r="BJ644" s="18" t="b">
        <v>1</v>
      </c>
      <c r="BK644" s="18">
        <v>0</v>
      </c>
      <c r="BL644" s="18">
        <v>10000</v>
      </c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  <c r="DU644" s="18"/>
      <c r="DV644" s="18"/>
      <c r="DW644" s="18"/>
      <c r="DX644" s="18"/>
      <c r="DY644" s="18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8"/>
      <c r="EM644" s="18"/>
      <c r="EN644" s="18"/>
      <c r="EO644" s="18"/>
      <c r="EP644" s="18"/>
      <c r="EQ644" s="18"/>
      <c r="ER644" s="18"/>
      <c r="ES644" s="18"/>
      <c r="ET644" s="18"/>
      <c r="EU644" s="18"/>
      <c r="EV644" s="18"/>
      <c r="EW644" s="18"/>
      <c r="EX644" s="18"/>
      <c r="EY644" s="18"/>
      <c r="EZ644" s="18"/>
      <c r="FA644" s="18"/>
      <c r="FB644" s="18"/>
      <c r="FC644" s="18"/>
      <c r="FD644" s="18"/>
      <c r="FE644" s="18"/>
      <c r="FF644" s="18"/>
      <c r="FG644" s="18"/>
      <c r="FH644" s="18"/>
      <c r="FI644" s="18"/>
      <c r="FJ644" s="18"/>
      <c r="FK644" s="18"/>
      <c r="FL644" s="18"/>
      <c r="FM644" s="18"/>
      <c r="FN644" s="18"/>
      <c r="FO644" s="18"/>
      <c r="FP644" s="18"/>
      <c r="FQ644" s="18"/>
      <c r="FR644" s="18"/>
      <c r="FS644" s="18"/>
      <c r="FT644" s="18"/>
      <c r="FU644" s="18"/>
      <c r="FV644" s="18"/>
      <c r="FW644" s="18"/>
      <c r="FX644" s="18"/>
      <c r="FY644" s="18"/>
      <c r="FZ644" s="18"/>
      <c r="GA644" s="18"/>
      <c r="GB644" s="18"/>
      <c r="GC644" s="18"/>
      <c r="GD644" s="18"/>
      <c r="GE644" s="18"/>
      <c r="GF644" s="18"/>
      <c r="GG644" s="18"/>
      <c r="GH644" s="18"/>
      <c r="GI644" s="18"/>
      <c r="GJ644" s="18"/>
      <c r="GK644" s="18"/>
      <c r="GL644" s="18"/>
      <c r="GM644" s="18"/>
      <c r="GN644" s="18"/>
      <c r="GO644" s="18"/>
      <c r="GP644" s="18"/>
      <c r="GQ644" s="18"/>
      <c r="GR644" s="18">
        <v>0</v>
      </c>
      <c r="GS644" s="18">
        <v>0</v>
      </c>
      <c r="GT644" s="18" t="s">
        <v>339</v>
      </c>
      <c r="GU644" s="18">
        <v>0</v>
      </c>
      <c r="GV644" s="18"/>
      <c r="GW644" s="18"/>
      <c r="GX644" s="18" t="b">
        <v>0</v>
      </c>
      <c r="GY644" s="18">
        <v>0</v>
      </c>
      <c r="GZ644" s="18" t="b">
        <v>1</v>
      </c>
      <c r="HA644" s="18">
        <v>0</v>
      </c>
      <c r="HB644" s="18">
        <v>0</v>
      </c>
      <c r="HC644" s="18">
        <v>0</v>
      </c>
      <c r="HD644" s="18">
        <v>0</v>
      </c>
      <c r="HE644" s="18" t="b">
        <v>0</v>
      </c>
      <c r="HF644" s="18">
        <v>0</v>
      </c>
      <c r="HG644" s="18">
        <v>0</v>
      </c>
      <c r="HH644" s="18" t="s">
        <v>339</v>
      </c>
      <c r="HI644" s="18" t="s">
        <v>334</v>
      </c>
      <c r="HJ644" s="18">
        <v>0</v>
      </c>
      <c r="HK644" s="18">
        <v>0</v>
      </c>
      <c r="HL644" s="18">
        <v>0</v>
      </c>
      <c r="HM644" s="18">
        <v>0</v>
      </c>
      <c r="HN644" s="18" t="b">
        <v>0</v>
      </c>
    </row>
    <row r="645" spans="1:222">
      <c r="A645"/>
      <c r="B645" s="29" cm="1">
        <f t="array" ref="B645">10000000+INDEX(编号表!$B$1:$B$112,MATCH(D645,编号表!$A$1:$A$112,0))*10000+I645</f>
        <v>10300002</v>
      </c>
      <c r="C645" s="18" t="s">
        <v>511</v>
      </c>
      <c r="D645" s="18" t="s">
        <v>511</v>
      </c>
      <c r="E645" s="18" t="s">
        <v>334</v>
      </c>
      <c r="F645" s="18" t="s">
        <v>323</v>
      </c>
      <c r="G645" s="18" t="b">
        <v>0</v>
      </c>
      <c r="H645" s="18" t="b">
        <v>1</v>
      </c>
      <c r="I645" s="18">
        <v>2</v>
      </c>
      <c r="J645" s="18">
        <v>103000</v>
      </c>
      <c r="K645" s="18" t="s">
        <v>324</v>
      </c>
      <c r="L645" s="18">
        <v>0</v>
      </c>
      <c r="M645" s="18">
        <v>0</v>
      </c>
      <c r="N645" s="18" t="s">
        <v>510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>
        <v>0</v>
      </c>
      <c r="U645" s="18"/>
      <c r="V645" s="18">
        <v>0</v>
      </c>
      <c r="W645" s="18">
        <v>0</v>
      </c>
      <c r="X645" s="18" t="s">
        <v>326</v>
      </c>
      <c r="Y645" s="18" t="s">
        <v>327</v>
      </c>
      <c r="Z645" s="18" t="s">
        <v>328</v>
      </c>
      <c r="AA645" s="18">
        <v>0</v>
      </c>
      <c r="AB645" s="18">
        <v>1</v>
      </c>
      <c r="AC645" s="18" t="b">
        <v>0</v>
      </c>
      <c r="AD645" s="18" t="s">
        <v>329</v>
      </c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 t="s">
        <v>330</v>
      </c>
      <c r="AZ645" s="18">
        <v>10400</v>
      </c>
      <c r="BA645" s="18" t="s">
        <v>331</v>
      </c>
      <c r="BB645" s="18" t="s">
        <v>328</v>
      </c>
      <c r="BC645" s="18">
        <v>10000</v>
      </c>
      <c r="BD645" s="18">
        <v>0</v>
      </c>
      <c r="BE645" s="18" t="s">
        <v>332</v>
      </c>
      <c r="BF645" s="18">
        <v>0</v>
      </c>
      <c r="BG645" s="18" t="s">
        <v>330</v>
      </c>
      <c r="BH645" s="18">
        <v>10000</v>
      </c>
      <c r="BI645" s="18">
        <v>4</v>
      </c>
      <c r="BJ645" s="18" t="b">
        <v>1</v>
      </c>
      <c r="BK645" s="18">
        <v>0</v>
      </c>
      <c r="BL645" s="18">
        <v>10000</v>
      </c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  <c r="EM645" s="18"/>
      <c r="EN645" s="18"/>
      <c r="EO645" s="18"/>
      <c r="EP645" s="18"/>
      <c r="EQ645" s="18"/>
      <c r="ER645" s="18"/>
      <c r="ES645" s="18"/>
      <c r="ET645" s="18"/>
      <c r="EU645" s="18"/>
      <c r="EV645" s="18"/>
      <c r="EW645" s="18"/>
      <c r="EX645" s="18"/>
      <c r="EY645" s="18"/>
      <c r="EZ645" s="18"/>
      <c r="FA645" s="18"/>
      <c r="FB645" s="18"/>
      <c r="FC645" s="18"/>
      <c r="FD645" s="18"/>
      <c r="FE645" s="18"/>
      <c r="FF645" s="18"/>
      <c r="FG645" s="18"/>
      <c r="FH645" s="18"/>
      <c r="FI645" s="18"/>
      <c r="FJ645" s="18"/>
      <c r="FK645" s="18"/>
      <c r="FL645" s="18"/>
      <c r="FM645" s="18"/>
      <c r="FN645" s="18"/>
      <c r="FO645" s="18"/>
      <c r="FP645" s="18"/>
      <c r="FQ645" s="18"/>
      <c r="FR645" s="18"/>
      <c r="FS645" s="18"/>
      <c r="FT645" s="18"/>
      <c r="FU645" s="18"/>
      <c r="FV645" s="18"/>
      <c r="FW645" s="18"/>
      <c r="FX645" s="18"/>
      <c r="FY645" s="18"/>
      <c r="FZ645" s="18"/>
      <c r="GA645" s="18"/>
      <c r="GB645" s="18"/>
      <c r="GC645" s="18"/>
      <c r="GD645" s="18"/>
      <c r="GE645" s="18"/>
      <c r="GF645" s="18"/>
      <c r="GG645" s="18"/>
      <c r="GH645" s="18"/>
      <c r="GI645" s="18"/>
      <c r="GJ645" s="18"/>
      <c r="GK645" s="18"/>
      <c r="GL645" s="18"/>
      <c r="GM645" s="18"/>
      <c r="GN645" s="18"/>
      <c r="GO645" s="18"/>
      <c r="GP645" s="18"/>
      <c r="GQ645" s="18"/>
      <c r="GR645" s="18">
        <v>0</v>
      </c>
      <c r="GS645" s="18">
        <v>0</v>
      </c>
      <c r="GT645" s="18" t="s">
        <v>339</v>
      </c>
      <c r="GU645" s="18">
        <v>0</v>
      </c>
      <c r="GV645" s="18"/>
      <c r="GW645" s="18"/>
      <c r="GX645" s="18" t="b">
        <v>0</v>
      </c>
      <c r="GY645" s="18">
        <v>0</v>
      </c>
      <c r="GZ645" s="18" t="b">
        <v>1</v>
      </c>
      <c r="HA645" s="18">
        <v>0</v>
      </c>
      <c r="HB645" s="18">
        <v>0</v>
      </c>
      <c r="HC645" s="18">
        <v>0</v>
      </c>
      <c r="HD645" s="18">
        <v>0</v>
      </c>
      <c r="HE645" s="18" t="b">
        <v>0</v>
      </c>
      <c r="HF645" s="18">
        <v>0</v>
      </c>
      <c r="HG645" s="18">
        <v>0</v>
      </c>
      <c r="HH645" s="18" t="s">
        <v>339</v>
      </c>
      <c r="HI645" s="18" t="s">
        <v>334</v>
      </c>
      <c r="HJ645" s="18">
        <v>0</v>
      </c>
      <c r="HK645" s="18">
        <v>0</v>
      </c>
      <c r="HL645" s="18">
        <v>0</v>
      </c>
      <c r="HM645" s="18">
        <v>0</v>
      </c>
      <c r="HN645" s="18" t="b">
        <v>0</v>
      </c>
    </row>
    <row r="646" spans="1:222">
      <c r="A646"/>
      <c r="B646" s="29" cm="1">
        <f t="array" ref="B646">10000000+INDEX(编号表!$B$1:$B$112,MATCH(D646,编号表!$A$1:$A$112,0))*10000+I646</f>
        <v>10300003</v>
      </c>
      <c r="C646" s="18" t="s">
        <v>511</v>
      </c>
      <c r="D646" s="18" t="s">
        <v>511</v>
      </c>
      <c r="E646" s="18" t="s">
        <v>334</v>
      </c>
      <c r="F646" s="18" t="s">
        <v>323</v>
      </c>
      <c r="G646" s="18" t="b">
        <v>0</v>
      </c>
      <c r="H646" s="18" t="b">
        <v>1</v>
      </c>
      <c r="I646" s="18">
        <v>3</v>
      </c>
      <c r="J646" s="18">
        <v>103000</v>
      </c>
      <c r="K646" s="18" t="s">
        <v>324</v>
      </c>
      <c r="L646" s="18">
        <v>0</v>
      </c>
      <c r="M646" s="18">
        <v>0</v>
      </c>
      <c r="N646" s="18" t="s">
        <v>510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>
        <v>0</v>
      </c>
      <c r="U646" s="18"/>
      <c r="V646" s="18">
        <v>0</v>
      </c>
      <c r="W646" s="18">
        <v>0</v>
      </c>
      <c r="X646" s="18" t="s">
        <v>326</v>
      </c>
      <c r="Y646" s="18" t="s">
        <v>327</v>
      </c>
      <c r="Z646" s="18" t="s">
        <v>328</v>
      </c>
      <c r="AA646" s="18">
        <v>0</v>
      </c>
      <c r="AB646" s="18">
        <v>1</v>
      </c>
      <c r="AC646" s="18" t="b">
        <v>0</v>
      </c>
      <c r="AD646" s="18" t="s">
        <v>329</v>
      </c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 t="s">
        <v>330</v>
      </c>
      <c r="AZ646" s="18">
        <v>10800</v>
      </c>
      <c r="BA646" s="18" t="s">
        <v>331</v>
      </c>
      <c r="BB646" s="18" t="s">
        <v>328</v>
      </c>
      <c r="BC646" s="18">
        <v>10000</v>
      </c>
      <c r="BD646" s="18">
        <v>0</v>
      </c>
      <c r="BE646" s="18" t="s">
        <v>332</v>
      </c>
      <c r="BF646" s="18">
        <v>0</v>
      </c>
      <c r="BG646" s="18" t="s">
        <v>330</v>
      </c>
      <c r="BH646" s="18">
        <v>10000</v>
      </c>
      <c r="BI646" s="18">
        <v>5</v>
      </c>
      <c r="BJ646" s="18" t="b">
        <v>1</v>
      </c>
      <c r="BK646" s="18">
        <v>0</v>
      </c>
      <c r="BL646" s="18">
        <v>10000</v>
      </c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  <c r="DU646" s="18"/>
      <c r="DV646" s="18"/>
      <c r="DW646" s="18"/>
      <c r="DX646" s="18"/>
      <c r="DY646" s="18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8"/>
      <c r="EM646" s="18"/>
      <c r="EN646" s="18"/>
      <c r="EO646" s="18"/>
      <c r="EP646" s="18"/>
      <c r="EQ646" s="18"/>
      <c r="ER646" s="18"/>
      <c r="ES646" s="18"/>
      <c r="ET646" s="18"/>
      <c r="EU646" s="18"/>
      <c r="EV646" s="18"/>
      <c r="EW646" s="18"/>
      <c r="EX646" s="18"/>
      <c r="EY646" s="18"/>
      <c r="EZ646" s="18"/>
      <c r="FA646" s="18"/>
      <c r="FB646" s="18"/>
      <c r="FC646" s="18"/>
      <c r="FD646" s="18"/>
      <c r="FE646" s="18"/>
      <c r="FF646" s="18"/>
      <c r="FG646" s="18"/>
      <c r="FH646" s="18"/>
      <c r="FI646" s="18"/>
      <c r="FJ646" s="18"/>
      <c r="FK646" s="18"/>
      <c r="FL646" s="18"/>
      <c r="FM646" s="18"/>
      <c r="FN646" s="18"/>
      <c r="FO646" s="18"/>
      <c r="FP646" s="18"/>
      <c r="FQ646" s="18"/>
      <c r="FR646" s="18"/>
      <c r="FS646" s="18"/>
      <c r="FT646" s="18"/>
      <c r="FU646" s="18"/>
      <c r="FV646" s="18"/>
      <c r="FW646" s="18"/>
      <c r="FX646" s="18"/>
      <c r="FY646" s="18"/>
      <c r="FZ646" s="18"/>
      <c r="GA646" s="18"/>
      <c r="GB646" s="18"/>
      <c r="GC646" s="18"/>
      <c r="GD646" s="18"/>
      <c r="GE646" s="18"/>
      <c r="GF646" s="18"/>
      <c r="GG646" s="18"/>
      <c r="GH646" s="18"/>
      <c r="GI646" s="18"/>
      <c r="GJ646" s="18"/>
      <c r="GK646" s="18"/>
      <c r="GL646" s="18"/>
      <c r="GM646" s="18"/>
      <c r="GN646" s="18"/>
      <c r="GO646" s="18"/>
      <c r="GP646" s="18"/>
      <c r="GQ646" s="18"/>
      <c r="GR646" s="18">
        <v>0</v>
      </c>
      <c r="GS646" s="18">
        <v>0</v>
      </c>
      <c r="GT646" s="18" t="s">
        <v>339</v>
      </c>
      <c r="GU646" s="18">
        <v>0</v>
      </c>
      <c r="GV646" s="18"/>
      <c r="GW646" s="18"/>
      <c r="GX646" s="18" t="b">
        <v>0</v>
      </c>
      <c r="GY646" s="18">
        <v>0</v>
      </c>
      <c r="GZ646" s="18" t="b">
        <v>1</v>
      </c>
      <c r="HA646" s="18">
        <v>0</v>
      </c>
      <c r="HB646" s="18">
        <v>0</v>
      </c>
      <c r="HC646" s="18">
        <v>0</v>
      </c>
      <c r="HD646" s="18">
        <v>0</v>
      </c>
      <c r="HE646" s="18" t="b">
        <v>0</v>
      </c>
      <c r="HF646" s="18">
        <v>0</v>
      </c>
      <c r="HG646" s="18">
        <v>0</v>
      </c>
      <c r="HH646" s="18" t="s">
        <v>339</v>
      </c>
      <c r="HI646" s="18" t="s">
        <v>334</v>
      </c>
      <c r="HJ646" s="18">
        <v>0</v>
      </c>
      <c r="HK646" s="18">
        <v>0</v>
      </c>
      <c r="HL646" s="18">
        <v>0</v>
      </c>
      <c r="HM646" s="18">
        <v>0</v>
      </c>
      <c r="HN646" s="18" t="b">
        <v>0</v>
      </c>
    </row>
    <row r="647" spans="1:222">
      <c r="A647"/>
      <c r="B647" s="29" cm="1">
        <f t="array" ref="B647">10000000+INDEX(编号表!$B$1:$B$112,MATCH(D647,编号表!$A$1:$A$112,0))*10000+I647</f>
        <v>10300004</v>
      </c>
      <c r="C647" s="18" t="s">
        <v>511</v>
      </c>
      <c r="D647" s="18" t="s">
        <v>511</v>
      </c>
      <c r="E647" s="18" t="s">
        <v>334</v>
      </c>
      <c r="F647" s="18" t="s">
        <v>323</v>
      </c>
      <c r="G647" s="18" t="b">
        <v>0</v>
      </c>
      <c r="H647" s="18" t="b">
        <v>1</v>
      </c>
      <c r="I647" s="18">
        <v>4</v>
      </c>
      <c r="J647" s="18">
        <v>103000</v>
      </c>
      <c r="K647" s="18" t="s">
        <v>324</v>
      </c>
      <c r="L647" s="18">
        <v>0</v>
      </c>
      <c r="M647" s="18">
        <v>0</v>
      </c>
      <c r="N647" s="18" t="s">
        <v>510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0</v>
      </c>
      <c r="U647" s="18"/>
      <c r="V647" s="18">
        <v>0</v>
      </c>
      <c r="W647" s="18">
        <v>0</v>
      </c>
      <c r="X647" s="18" t="s">
        <v>326</v>
      </c>
      <c r="Y647" s="18" t="s">
        <v>327</v>
      </c>
      <c r="Z647" s="18" t="s">
        <v>328</v>
      </c>
      <c r="AA647" s="18">
        <v>0</v>
      </c>
      <c r="AB647" s="18">
        <v>1</v>
      </c>
      <c r="AC647" s="18" t="b">
        <v>0</v>
      </c>
      <c r="AD647" s="18" t="s">
        <v>329</v>
      </c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 t="s">
        <v>330</v>
      </c>
      <c r="AZ647" s="18">
        <v>11200</v>
      </c>
      <c r="BA647" s="18" t="s">
        <v>331</v>
      </c>
      <c r="BB647" s="18" t="s">
        <v>328</v>
      </c>
      <c r="BC647" s="18">
        <v>10000</v>
      </c>
      <c r="BD647" s="18">
        <v>0</v>
      </c>
      <c r="BE647" s="18" t="s">
        <v>332</v>
      </c>
      <c r="BF647" s="18">
        <v>0</v>
      </c>
      <c r="BG647" s="18" t="s">
        <v>330</v>
      </c>
      <c r="BH647" s="18">
        <v>10000</v>
      </c>
      <c r="BI647" s="18">
        <v>6</v>
      </c>
      <c r="BJ647" s="18" t="b">
        <v>1</v>
      </c>
      <c r="BK647" s="18">
        <v>0</v>
      </c>
      <c r="BL647" s="18">
        <v>10000</v>
      </c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  <c r="DU647" s="18"/>
      <c r="DV647" s="18"/>
      <c r="DW647" s="18"/>
      <c r="DX647" s="18"/>
      <c r="DY647" s="18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8"/>
      <c r="EM647" s="18"/>
      <c r="EN647" s="18"/>
      <c r="EO647" s="18"/>
      <c r="EP647" s="18"/>
      <c r="EQ647" s="18"/>
      <c r="ER647" s="18"/>
      <c r="ES647" s="18"/>
      <c r="ET647" s="18"/>
      <c r="EU647" s="18"/>
      <c r="EV647" s="18"/>
      <c r="EW647" s="18"/>
      <c r="EX647" s="18"/>
      <c r="EY647" s="18"/>
      <c r="EZ647" s="18"/>
      <c r="FA647" s="18"/>
      <c r="FB647" s="18"/>
      <c r="FC647" s="18"/>
      <c r="FD647" s="18"/>
      <c r="FE647" s="18"/>
      <c r="FF647" s="18"/>
      <c r="FG647" s="18"/>
      <c r="FH647" s="18"/>
      <c r="FI647" s="18"/>
      <c r="FJ647" s="18"/>
      <c r="FK647" s="18"/>
      <c r="FL647" s="18"/>
      <c r="FM647" s="18"/>
      <c r="FN647" s="18"/>
      <c r="FO647" s="18"/>
      <c r="FP647" s="18"/>
      <c r="FQ647" s="18"/>
      <c r="FR647" s="18"/>
      <c r="FS647" s="18"/>
      <c r="FT647" s="18"/>
      <c r="FU647" s="18"/>
      <c r="FV647" s="18"/>
      <c r="FW647" s="18"/>
      <c r="FX647" s="18"/>
      <c r="FY647" s="18"/>
      <c r="FZ647" s="18"/>
      <c r="GA647" s="18"/>
      <c r="GB647" s="18"/>
      <c r="GC647" s="18"/>
      <c r="GD647" s="18"/>
      <c r="GE647" s="18"/>
      <c r="GF647" s="18"/>
      <c r="GG647" s="18"/>
      <c r="GH647" s="18"/>
      <c r="GI647" s="18"/>
      <c r="GJ647" s="18"/>
      <c r="GK647" s="18"/>
      <c r="GL647" s="18"/>
      <c r="GM647" s="18"/>
      <c r="GN647" s="18"/>
      <c r="GO647" s="18"/>
      <c r="GP647" s="18"/>
      <c r="GQ647" s="18"/>
      <c r="GR647" s="18">
        <v>0</v>
      </c>
      <c r="GS647" s="18">
        <v>0</v>
      </c>
      <c r="GT647" s="18" t="s">
        <v>339</v>
      </c>
      <c r="GU647" s="18">
        <v>0</v>
      </c>
      <c r="GV647" s="18"/>
      <c r="GW647" s="18"/>
      <c r="GX647" s="18" t="b">
        <v>0</v>
      </c>
      <c r="GY647" s="18">
        <v>0</v>
      </c>
      <c r="GZ647" s="18" t="b">
        <v>1</v>
      </c>
      <c r="HA647" s="18">
        <v>0</v>
      </c>
      <c r="HB647" s="18">
        <v>0</v>
      </c>
      <c r="HC647" s="18">
        <v>0</v>
      </c>
      <c r="HD647" s="18">
        <v>0</v>
      </c>
      <c r="HE647" s="18" t="b">
        <v>0</v>
      </c>
      <c r="HF647" s="18">
        <v>0</v>
      </c>
      <c r="HG647" s="18">
        <v>0</v>
      </c>
      <c r="HH647" s="18" t="s">
        <v>339</v>
      </c>
      <c r="HI647" s="18" t="s">
        <v>334</v>
      </c>
      <c r="HJ647" s="18">
        <v>0</v>
      </c>
      <c r="HK647" s="18">
        <v>0</v>
      </c>
      <c r="HL647" s="18">
        <v>0</v>
      </c>
      <c r="HM647" s="18">
        <v>0</v>
      </c>
      <c r="HN647" s="18" t="b">
        <v>0</v>
      </c>
    </row>
    <row r="648" spans="1:222">
      <c r="A648"/>
      <c r="B648" s="29" cm="1">
        <f t="array" ref="B648">10000000+INDEX(编号表!$B$1:$B$112,MATCH(D648,编号表!$A$1:$A$112,0))*10000+I648</f>
        <v>10300005</v>
      </c>
      <c r="C648" s="18" t="s">
        <v>511</v>
      </c>
      <c r="D648" s="18" t="s">
        <v>511</v>
      </c>
      <c r="E648" s="18" t="s">
        <v>334</v>
      </c>
      <c r="F648" s="18" t="s">
        <v>323</v>
      </c>
      <c r="G648" s="18" t="b">
        <v>0</v>
      </c>
      <c r="H648" s="18" t="b">
        <v>1</v>
      </c>
      <c r="I648" s="18">
        <v>5</v>
      </c>
      <c r="J648" s="18">
        <v>103000</v>
      </c>
      <c r="K648" s="18" t="s">
        <v>324</v>
      </c>
      <c r="L648" s="18">
        <v>0</v>
      </c>
      <c r="M648" s="18">
        <v>0</v>
      </c>
      <c r="N648" s="18" t="s">
        <v>510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0</v>
      </c>
      <c r="U648" s="18"/>
      <c r="V648" s="18">
        <v>0</v>
      </c>
      <c r="W648" s="18">
        <v>0</v>
      </c>
      <c r="X648" s="18" t="s">
        <v>326</v>
      </c>
      <c r="Y648" s="18" t="s">
        <v>327</v>
      </c>
      <c r="Z648" s="18" t="s">
        <v>328</v>
      </c>
      <c r="AA648" s="18">
        <v>0</v>
      </c>
      <c r="AB648" s="18">
        <v>1</v>
      </c>
      <c r="AC648" s="18" t="b">
        <v>0</v>
      </c>
      <c r="AD648" s="18" t="s">
        <v>329</v>
      </c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 t="s">
        <v>330</v>
      </c>
      <c r="AZ648" s="18">
        <v>11300</v>
      </c>
      <c r="BA648" s="18" t="s">
        <v>331</v>
      </c>
      <c r="BB648" s="18" t="s">
        <v>328</v>
      </c>
      <c r="BC648" s="18">
        <v>10000</v>
      </c>
      <c r="BD648" s="18">
        <v>0</v>
      </c>
      <c r="BE648" s="18" t="s">
        <v>332</v>
      </c>
      <c r="BF648" s="18">
        <v>0</v>
      </c>
      <c r="BG648" s="18" t="s">
        <v>330</v>
      </c>
      <c r="BH648" s="18">
        <v>10000</v>
      </c>
      <c r="BI648" s="18">
        <v>6</v>
      </c>
      <c r="BJ648" s="18" t="b">
        <v>1</v>
      </c>
      <c r="BK648" s="18">
        <v>0</v>
      </c>
      <c r="BL648" s="18">
        <v>10000</v>
      </c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  <c r="DG648" s="18"/>
      <c r="DH648" s="18"/>
      <c r="DI648" s="18"/>
      <c r="DJ648" s="18"/>
      <c r="DK648" s="18"/>
      <c r="DL648" s="18"/>
      <c r="DM648" s="18"/>
      <c r="DN648" s="18"/>
      <c r="DO648" s="18"/>
      <c r="DP648" s="18"/>
      <c r="DQ648" s="18"/>
      <c r="DR648" s="18"/>
      <c r="DS648" s="18"/>
      <c r="DT648" s="18"/>
      <c r="DU648" s="18"/>
      <c r="DV648" s="18"/>
      <c r="DW648" s="18"/>
      <c r="DX648" s="18"/>
      <c r="DY648" s="18"/>
      <c r="DZ648" s="18"/>
      <c r="EA648" s="18"/>
      <c r="EB648" s="18"/>
      <c r="EC648" s="18"/>
      <c r="ED648" s="18"/>
      <c r="EE648" s="18"/>
      <c r="EF648" s="18"/>
      <c r="EG648" s="18"/>
      <c r="EH648" s="18"/>
      <c r="EI648" s="18"/>
      <c r="EJ648" s="18"/>
      <c r="EK648" s="18"/>
      <c r="EL648" s="18"/>
      <c r="EM648" s="18"/>
      <c r="EN648" s="18"/>
      <c r="EO648" s="18"/>
      <c r="EP648" s="18"/>
      <c r="EQ648" s="18"/>
      <c r="ER648" s="18"/>
      <c r="ES648" s="18"/>
      <c r="ET648" s="18"/>
      <c r="EU648" s="18"/>
      <c r="EV648" s="18"/>
      <c r="EW648" s="18"/>
      <c r="EX648" s="18"/>
      <c r="EY648" s="18"/>
      <c r="EZ648" s="18"/>
      <c r="FA648" s="18"/>
      <c r="FB648" s="18"/>
      <c r="FC648" s="18"/>
      <c r="FD648" s="18"/>
      <c r="FE648" s="18"/>
      <c r="FF648" s="18"/>
      <c r="FG648" s="18"/>
      <c r="FH648" s="18"/>
      <c r="FI648" s="18"/>
      <c r="FJ648" s="18"/>
      <c r="FK648" s="18"/>
      <c r="FL648" s="18"/>
      <c r="FM648" s="18"/>
      <c r="FN648" s="18"/>
      <c r="FO648" s="18"/>
      <c r="FP648" s="18"/>
      <c r="FQ648" s="18"/>
      <c r="FR648" s="18"/>
      <c r="FS648" s="18"/>
      <c r="FT648" s="18"/>
      <c r="FU648" s="18"/>
      <c r="FV648" s="18"/>
      <c r="FW648" s="18"/>
      <c r="FX648" s="18"/>
      <c r="FY648" s="18"/>
      <c r="FZ648" s="18"/>
      <c r="GA648" s="18"/>
      <c r="GB648" s="18"/>
      <c r="GC648" s="18"/>
      <c r="GD648" s="18"/>
      <c r="GE648" s="18"/>
      <c r="GF648" s="18"/>
      <c r="GG648" s="18"/>
      <c r="GH648" s="18"/>
      <c r="GI648" s="18"/>
      <c r="GJ648" s="18"/>
      <c r="GK648" s="18"/>
      <c r="GL648" s="18"/>
      <c r="GM648" s="18"/>
      <c r="GN648" s="18"/>
      <c r="GO648" s="18"/>
      <c r="GP648" s="18"/>
      <c r="GQ648" s="18"/>
      <c r="GR648" s="18">
        <v>0</v>
      </c>
      <c r="GS648" s="18">
        <v>0</v>
      </c>
      <c r="GT648" s="18" t="s">
        <v>339</v>
      </c>
      <c r="GU648" s="18">
        <v>0</v>
      </c>
      <c r="GV648" s="18"/>
      <c r="GW648" s="18"/>
      <c r="GX648" s="18" t="b">
        <v>0</v>
      </c>
      <c r="GY648" s="18">
        <v>0</v>
      </c>
      <c r="GZ648" s="18" t="b">
        <v>1</v>
      </c>
      <c r="HA648" s="18">
        <v>0</v>
      </c>
      <c r="HB648" s="18">
        <v>0</v>
      </c>
      <c r="HC648" s="18">
        <v>0</v>
      </c>
      <c r="HD648" s="18">
        <v>0</v>
      </c>
      <c r="HE648" s="18" t="b">
        <v>0</v>
      </c>
      <c r="HF648" s="18">
        <v>0</v>
      </c>
      <c r="HG648" s="18">
        <v>0</v>
      </c>
      <c r="HH648" s="18" t="s">
        <v>339</v>
      </c>
      <c r="HI648" s="18" t="s">
        <v>334</v>
      </c>
      <c r="HJ648" s="18">
        <v>0</v>
      </c>
      <c r="HK648" s="18">
        <v>0</v>
      </c>
      <c r="HL648" s="18">
        <v>0</v>
      </c>
      <c r="HM648" s="18">
        <v>0</v>
      </c>
      <c r="HN648" s="18" t="b">
        <v>0</v>
      </c>
    </row>
    <row r="649" spans="1:222">
      <c r="A649"/>
      <c r="B649" s="29" cm="1">
        <f t="array" ref="B649">10000000+INDEX(编号表!$B$1:$B$112,MATCH(D649,编号表!$A$1:$A$112,0))*10000+I649</f>
        <v>10300006</v>
      </c>
      <c r="C649" s="18" t="s">
        <v>511</v>
      </c>
      <c r="D649" s="18" t="s">
        <v>511</v>
      </c>
      <c r="E649" s="18" t="s">
        <v>334</v>
      </c>
      <c r="F649" s="18" t="s">
        <v>323</v>
      </c>
      <c r="G649" s="18" t="b">
        <v>0</v>
      </c>
      <c r="H649" s="18" t="b">
        <v>1</v>
      </c>
      <c r="I649" s="18">
        <v>6</v>
      </c>
      <c r="J649" s="18">
        <v>103000</v>
      </c>
      <c r="K649" s="18" t="s">
        <v>324</v>
      </c>
      <c r="L649" s="18">
        <v>0</v>
      </c>
      <c r="M649" s="18">
        <v>0</v>
      </c>
      <c r="N649" s="18" t="s">
        <v>510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>
        <v>0</v>
      </c>
      <c r="U649" s="18"/>
      <c r="V649" s="18">
        <v>0</v>
      </c>
      <c r="W649" s="18">
        <v>0</v>
      </c>
      <c r="X649" s="18" t="s">
        <v>326</v>
      </c>
      <c r="Y649" s="18" t="s">
        <v>327</v>
      </c>
      <c r="Z649" s="18" t="s">
        <v>328</v>
      </c>
      <c r="AA649" s="18">
        <v>0</v>
      </c>
      <c r="AB649" s="18">
        <v>1</v>
      </c>
      <c r="AC649" s="18" t="b">
        <v>0</v>
      </c>
      <c r="AD649" s="18" t="s">
        <v>329</v>
      </c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 t="s">
        <v>330</v>
      </c>
      <c r="AZ649" s="18">
        <v>11600</v>
      </c>
      <c r="BA649" s="18" t="s">
        <v>331</v>
      </c>
      <c r="BB649" s="18" t="s">
        <v>328</v>
      </c>
      <c r="BC649" s="18">
        <v>10000</v>
      </c>
      <c r="BD649" s="18">
        <v>0</v>
      </c>
      <c r="BE649" s="18" t="s">
        <v>332</v>
      </c>
      <c r="BF649" s="18">
        <v>0</v>
      </c>
      <c r="BG649" s="18" t="s">
        <v>330</v>
      </c>
      <c r="BH649" s="18">
        <v>10000</v>
      </c>
      <c r="BI649" s="18">
        <v>7</v>
      </c>
      <c r="BJ649" s="18" t="b">
        <v>1</v>
      </c>
      <c r="BK649" s="18">
        <v>0</v>
      </c>
      <c r="BL649" s="18">
        <v>10000</v>
      </c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  <c r="DG649" s="18"/>
      <c r="DH649" s="18"/>
      <c r="DI649" s="18"/>
      <c r="DJ649" s="18"/>
      <c r="DK649" s="18"/>
      <c r="DL649" s="18"/>
      <c r="DM649" s="18"/>
      <c r="DN649" s="18"/>
      <c r="DO649" s="18"/>
      <c r="DP649" s="18"/>
      <c r="DQ649" s="18"/>
      <c r="DR649" s="18"/>
      <c r="DS649" s="18"/>
      <c r="DT649" s="18"/>
      <c r="DU649" s="18"/>
      <c r="DV649" s="18"/>
      <c r="DW649" s="18"/>
      <c r="DX649" s="18"/>
      <c r="DY649" s="18"/>
      <c r="DZ649" s="18"/>
      <c r="EA649" s="18"/>
      <c r="EB649" s="18"/>
      <c r="EC649" s="18"/>
      <c r="ED649" s="18"/>
      <c r="EE649" s="18"/>
      <c r="EF649" s="18"/>
      <c r="EG649" s="18"/>
      <c r="EH649" s="18"/>
      <c r="EI649" s="18"/>
      <c r="EJ649" s="18"/>
      <c r="EK649" s="18"/>
      <c r="EL649" s="18"/>
      <c r="EM649" s="18"/>
      <c r="EN649" s="18"/>
      <c r="EO649" s="18"/>
      <c r="EP649" s="18"/>
      <c r="EQ649" s="18"/>
      <c r="ER649" s="18"/>
      <c r="ES649" s="18"/>
      <c r="ET649" s="18"/>
      <c r="EU649" s="18"/>
      <c r="EV649" s="18"/>
      <c r="EW649" s="18"/>
      <c r="EX649" s="18"/>
      <c r="EY649" s="18"/>
      <c r="EZ649" s="18"/>
      <c r="FA649" s="18"/>
      <c r="FB649" s="18"/>
      <c r="FC649" s="18"/>
      <c r="FD649" s="18"/>
      <c r="FE649" s="18"/>
      <c r="FF649" s="18"/>
      <c r="FG649" s="18"/>
      <c r="FH649" s="18"/>
      <c r="FI649" s="18"/>
      <c r="FJ649" s="18"/>
      <c r="FK649" s="18"/>
      <c r="FL649" s="18"/>
      <c r="FM649" s="18"/>
      <c r="FN649" s="18"/>
      <c r="FO649" s="18"/>
      <c r="FP649" s="18"/>
      <c r="FQ649" s="18"/>
      <c r="FR649" s="18"/>
      <c r="FS649" s="18"/>
      <c r="FT649" s="18"/>
      <c r="FU649" s="18"/>
      <c r="FV649" s="18"/>
      <c r="FW649" s="18"/>
      <c r="FX649" s="18"/>
      <c r="FY649" s="18"/>
      <c r="FZ649" s="18"/>
      <c r="GA649" s="18"/>
      <c r="GB649" s="18"/>
      <c r="GC649" s="18"/>
      <c r="GD649" s="18"/>
      <c r="GE649" s="18"/>
      <c r="GF649" s="18"/>
      <c r="GG649" s="18"/>
      <c r="GH649" s="18"/>
      <c r="GI649" s="18"/>
      <c r="GJ649" s="18"/>
      <c r="GK649" s="18"/>
      <c r="GL649" s="18"/>
      <c r="GM649" s="18"/>
      <c r="GN649" s="18"/>
      <c r="GO649" s="18"/>
      <c r="GP649" s="18"/>
      <c r="GQ649" s="18"/>
      <c r="GR649" s="18">
        <v>0</v>
      </c>
      <c r="GS649" s="18">
        <v>0</v>
      </c>
      <c r="GT649" s="18" t="s">
        <v>339</v>
      </c>
      <c r="GU649" s="18">
        <v>0</v>
      </c>
      <c r="GV649" s="18"/>
      <c r="GW649" s="18"/>
      <c r="GX649" s="18" t="b">
        <v>0</v>
      </c>
      <c r="GY649" s="18">
        <v>0</v>
      </c>
      <c r="GZ649" s="18" t="b">
        <v>1</v>
      </c>
      <c r="HA649" s="18">
        <v>0</v>
      </c>
      <c r="HB649" s="18">
        <v>0</v>
      </c>
      <c r="HC649" s="18">
        <v>0</v>
      </c>
      <c r="HD649" s="18">
        <v>0</v>
      </c>
      <c r="HE649" s="18" t="b">
        <v>0</v>
      </c>
      <c r="HF649" s="18">
        <v>0</v>
      </c>
      <c r="HG649" s="18">
        <v>0</v>
      </c>
      <c r="HH649" s="18" t="s">
        <v>339</v>
      </c>
      <c r="HI649" s="18" t="s">
        <v>334</v>
      </c>
      <c r="HJ649" s="18">
        <v>0</v>
      </c>
      <c r="HK649" s="18">
        <v>0</v>
      </c>
      <c r="HL649" s="18">
        <v>0</v>
      </c>
      <c r="HM649" s="18">
        <v>0</v>
      </c>
      <c r="HN649" s="18" t="b">
        <v>0</v>
      </c>
    </row>
    <row r="650" spans="1:222">
      <c r="A650"/>
      <c r="B650" s="29" cm="1">
        <f t="array" ref="B650">10000000+INDEX(编号表!$B$1:$B$112,MATCH(D650,编号表!$A$1:$A$112,0))*10000+I650</f>
        <v>10300007</v>
      </c>
      <c r="C650" s="18" t="s">
        <v>511</v>
      </c>
      <c r="D650" s="18" t="s">
        <v>511</v>
      </c>
      <c r="E650" s="18" t="s">
        <v>334</v>
      </c>
      <c r="F650" s="18" t="s">
        <v>323</v>
      </c>
      <c r="G650" s="18" t="b">
        <v>0</v>
      </c>
      <c r="H650" s="18" t="b">
        <v>1</v>
      </c>
      <c r="I650" s="18">
        <v>7</v>
      </c>
      <c r="J650" s="18">
        <v>103000</v>
      </c>
      <c r="K650" s="18" t="s">
        <v>324</v>
      </c>
      <c r="L650" s="18">
        <v>0</v>
      </c>
      <c r="M650" s="18">
        <v>0</v>
      </c>
      <c r="N650" s="18" t="s">
        <v>510</v>
      </c>
      <c r="O650" s="18">
        <v>0</v>
      </c>
      <c r="P650" s="18">
        <v>0</v>
      </c>
      <c r="Q650" s="18">
        <v>0</v>
      </c>
      <c r="R650" s="18">
        <v>0</v>
      </c>
      <c r="S650" s="18">
        <v>0</v>
      </c>
      <c r="T650" s="18">
        <v>0</v>
      </c>
      <c r="U650" s="18"/>
      <c r="V650" s="18">
        <v>0</v>
      </c>
      <c r="W650" s="18">
        <v>0</v>
      </c>
      <c r="X650" s="18" t="s">
        <v>326</v>
      </c>
      <c r="Y650" s="18" t="s">
        <v>327</v>
      </c>
      <c r="Z650" s="18" t="s">
        <v>328</v>
      </c>
      <c r="AA650" s="18">
        <v>0</v>
      </c>
      <c r="AB650" s="18">
        <v>1</v>
      </c>
      <c r="AC650" s="18" t="b">
        <v>0</v>
      </c>
      <c r="AD650" s="18" t="s">
        <v>329</v>
      </c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 t="s">
        <v>330</v>
      </c>
      <c r="AZ650" s="18">
        <v>11700</v>
      </c>
      <c r="BA650" s="18" t="s">
        <v>331</v>
      </c>
      <c r="BB650" s="18" t="s">
        <v>328</v>
      </c>
      <c r="BC650" s="18">
        <v>10000</v>
      </c>
      <c r="BD650" s="18">
        <v>0</v>
      </c>
      <c r="BE650" s="18" t="s">
        <v>332</v>
      </c>
      <c r="BF650" s="18">
        <v>0</v>
      </c>
      <c r="BG650" s="18" t="s">
        <v>330</v>
      </c>
      <c r="BH650" s="18">
        <v>10000</v>
      </c>
      <c r="BI650" s="18">
        <v>9</v>
      </c>
      <c r="BJ650" s="18" t="b">
        <v>1</v>
      </c>
      <c r="BK650" s="18">
        <v>0</v>
      </c>
      <c r="BL650" s="18">
        <v>10000</v>
      </c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  <c r="DG650" s="18"/>
      <c r="DH650" s="18"/>
      <c r="DI650" s="18"/>
      <c r="DJ650" s="18"/>
      <c r="DK650" s="18"/>
      <c r="DL650" s="18"/>
      <c r="DM650" s="18"/>
      <c r="DN650" s="18"/>
      <c r="DO650" s="18"/>
      <c r="DP650" s="18"/>
      <c r="DQ650" s="18"/>
      <c r="DR650" s="18"/>
      <c r="DS650" s="18"/>
      <c r="DT650" s="18"/>
      <c r="DU650" s="18"/>
      <c r="DV650" s="18"/>
      <c r="DW650" s="18"/>
      <c r="DX650" s="18"/>
      <c r="DY650" s="18"/>
      <c r="DZ650" s="18"/>
      <c r="EA650" s="18"/>
      <c r="EB650" s="18"/>
      <c r="EC650" s="18"/>
      <c r="ED650" s="18"/>
      <c r="EE650" s="18"/>
      <c r="EF650" s="18"/>
      <c r="EG650" s="18"/>
      <c r="EH650" s="18"/>
      <c r="EI650" s="18"/>
      <c r="EJ650" s="18"/>
      <c r="EK650" s="18"/>
      <c r="EL650" s="18"/>
      <c r="EM650" s="18"/>
      <c r="EN650" s="18"/>
      <c r="EO650" s="18"/>
      <c r="EP650" s="18"/>
      <c r="EQ650" s="18"/>
      <c r="ER650" s="18"/>
      <c r="ES650" s="18"/>
      <c r="ET650" s="18"/>
      <c r="EU650" s="18"/>
      <c r="EV650" s="18"/>
      <c r="EW650" s="18"/>
      <c r="EX650" s="18"/>
      <c r="EY650" s="18"/>
      <c r="EZ650" s="18"/>
      <c r="FA650" s="18"/>
      <c r="FB650" s="18"/>
      <c r="FC650" s="18"/>
      <c r="FD650" s="18"/>
      <c r="FE650" s="18"/>
      <c r="FF650" s="18"/>
      <c r="FG650" s="18"/>
      <c r="FH650" s="18"/>
      <c r="FI650" s="18"/>
      <c r="FJ650" s="18"/>
      <c r="FK650" s="18"/>
      <c r="FL650" s="18"/>
      <c r="FM650" s="18"/>
      <c r="FN650" s="18"/>
      <c r="FO650" s="18"/>
      <c r="FP650" s="18"/>
      <c r="FQ650" s="18"/>
      <c r="FR650" s="18"/>
      <c r="FS650" s="18"/>
      <c r="FT650" s="18"/>
      <c r="FU650" s="18"/>
      <c r="FV650" s="18"/>
      <c r="FW650" s="18"/>
      <c r="FX650" s="18"/>
      <c r="FY650" s="18"/>
      <c r="FZ650" s="18"/>
      <c r="GA650" s="18"/>
      <c r="GB650" s="18"/>
      <c r="GC650" s="18"/>
      <c r="GD650" s="18"/>
      <c r="GE650" s="18"/>
      <c r="GF650" s="18"/>
      <c r="GG650" s="18"/>
      <c r="GH650" s="18"/>
      <c r="GI650" s="18"/>
      <c r="GJ650" s="18"/>
      <c r="GK650" s="18"/>
      <c r="GL650" s="18"/>
      <c r="GM650" s="18"/>
      <c r="GN650" s="18"/>
      <c r="GO650" s="18"/>
      <c r="GP650" s="18"/>
      <c r="GQ650" s="18"/>
      <c r="GR650" s="18">
        <v>0</v>
      </c>
      <c r="GS650" s="18">
        <v>0</v>
      </c>
      <c r="GT650" s="18" t="s">
        <v>339</v>
      </c>
      <c r="GU650" s="18">
        <v>0</v>
      </c>
      <c r="GV650" s="18"/>
      <c r="GW650" s="18"/>
      <c r="GX650" s="18" t="b">
        <v>0</v>
      </c>
      <c r="GY650" s="18">
        <v>0</v>
      </c>
      <c r="GZ650" s="18" t="b">
        <v>1</v>
      </c>
      <c r="HA650" s="18">
        <v>0</v>
      </c>
      <c r="HB650" s="18">
        <v>0</v>
      </c>
      <c r="HC650" s="18">
        <v>0</v>
      </c>
      <c r="HD650" s="18">
        <v>0</v>
      </c>
      <c r="HE650" s="18" t="b">
        <v>0</v>
      </c>
      <c r="HF650" s="18">
        <v>0</v>
      </c>
      <c r="HG650" s="18">
        <v>0</v>
      </c>
      <c r="HH650" s="18" t="s">
        <v>339</v>
      </c>
      <c r="HI650" s="18" t="s">
        <v>334</v>
      </c>
      <c r="HJ650" s="18">
        <v>0</v>
      </c>
      <c r="HK650" s="18">
        <v>0</v>
      </c>
      <c r="HL650" s="18">
        <v>0</v>
      </c>
      <c r="HM650" s="18">
        <v>0</v>
      </c>
      <c r="HN650" s="18" t="b">
        <v>0</v>
      </c>
    </row>
    <row r="651" spans="1:222">
      <c r="A651"/>
      <c r="B651" s="29" cm="1">
        <f t="array" ref="B651">10000000+INDEX(编号表!$B$1:$B$112,MATCH(D651,编号表!$A$1:$A$112,0))*10000+I651</f>
        <v>10300008</v>
      </c>
      <c r="C651" s="18" t="s">
        <v>511</v>
      </c>
      <c r="D651" s="18" t="s">
        <v>511</v>
      </c>
      <c r="E651" s="18" t="s">
        <v>334</v>
      </c>
      <c r="F651" s="18" t="s">
        <v>323</v>
      </c>
      <c r="G651" s="18" t="b">
        <v>0</v>
      </c>
      <c r="H651" s="18" t="b">
        <v>1</v>
      </c>
      <c r="I651" s="18">
        <v>8</v>
      </c>
      <c r="J651" s="18">
        <v>103000</v>
      </c>
      <c r="K651" s="18" t="s">
        <v>324</v>
      </c>
      <c r="L651" s="18">
        <v>0</v>
      </c>
      <c r="M651" s="18">
        <v>0</v>
      </c>
      <c r="N651" s="18" t="s">
        <v>510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>
        <v>0</v>
      </c>
      <c r="U651" s="18"/>
      <c r="V651" s="18">
        <v>0</v>
      </c>
      <c r="W651" s="18">
        <v>0</v>
      </c>
      <c r="X651" s="18" t="s">
        <v>326</v>
      </c>
      <c r="Y651" s="18" t="s">
        <v>327</v>
      </c>
      <c r="Z651" s="18" t="s">
        <v>328</v>
      </c>
      <c r="AA651" s="18">
        <v>0</v>
      </c>
      <c r="AB651" s="18">
        <v>1</v>
      </c>
      <c r="AC651" s="18" t="b">
        <v>0</v>
      </c>
      <c r="AD651" s="18" t="s">
        <v>329</v>
      </c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 t="s">
        <v>330</v>
      </c>
      <c r="AZ651" s="18">
        <v>11800</v>
      </c>
      <c r="BA651" s="18" t="s">
        <v>331</v>
      </c>
      <c r="BB651" s="18" t="s">
        <v>328</v>
      </c>
      <c r="BC651" s="18">
        <v>10000</v>
      </c>
      <c r="BD651" s="18">
        <v>0</v>
      </c>
      <c r="BE651" s="18" t="s">
        <v>332</v>
      </c>
      <c r="BF651" s="18">
        <v>0</v>
      </c>
      <c r="BG651" s="18" t="s">
        <v>330</v>
      </c>
      <c r="BH651" s="18">
        <v>10000</v>
      </c>
      <c r="BI651" s="18">
        <v>10</v>
      </c>
      <c r="BJ651" s="18" t="b">
        <v>1</v>
      </c>
      <c r="BK651" s="18">
        <v>0</v>
      </c>
      <c r="BL651" s="18">
        <v>10000</v>
      </c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  <c r="DG651" s="18"/>
      <c r="DH651" s="18"/>
      <c r="DI651" s="18"/>
      <c r="DJ651" s="18"/>
      <c r="DK651" s="18"/>
      <c r="DL651" s="18"/>
      <c r="DM651" s="18"/>
      <c r="DN651" s="18"/>
      <c r="DO651" s="18"/>
      <c r="DP651" s="18"/>
      <c r="DQ651" s="18"/>
      <c r="DR651" s="18"/>
      <c r="DS651" s="18"/>
      <c r="DT651" s="18"/>
      <c r="DU651" s="18"/>
      <c r="DV651" s="18"/>
      <c r="DW651" s="18"/>
      <c r="DX651" s="18"/>
      <c r="DY651" s="18"/>
      <c r="DZ651" s="18"/>
      <c r="EA651" s="18"/>
      <c r="EB651" s="18"/>
      <c r="EC651" s="18"/>
      <c r="ED651" s="18"/>
      <c r="EE651" s="18"/>
      <c r="EF651" s="18"/>
      <c r="EG651" s="18"/>
      <c r="EH651" s="18"/>
      <c r="EI651" s="18"/>
      <c r="EJ651" s="18"/>
      <c r="EK651" s="18"/>
      <c r="EL651" s="18"/>
      <c r="EM651" s="18"/>
      <c r="EN651" s="18"/>
      <c r="EO651" s="18"/>
      <c r="EP651" s="18"/>
      <c r="EQ651" s="18"/>
      <c r="ER651" s="18"/>
      <c r="ES651" s="18"/>
      <c r="ET651" s="18"/>
      <c r="EU651" s="18"/>
      <c r="EV651" s="18"/>
      <c r="EW651" s="18"/>
      <c r="EX651" s="18"/>
      <c r="EY651" s="18"/>
      <c r="EZ651" s="18"/>
      <c r="FA651" s="18"/>
      <c r="FB651" s="18"/>
      <c r="FC651" s="18"/>
      <c r="FD651" s="18"/>
      <c r="FE651" s="18"/>
      <c r="FF651" s="18"/>
      <c r="FG651" s="18"/>
      <c r="FH651" s="18"/>
      <c r="FI651" s="18"/>
      <c r="FJ651" s="18"/>
      <c r="FK651" s="18"/>
      <c r="FL651" s="18"/>
      <c r="FM651" s="18"/>
      <c r="FN651" s="18"/>
      <c r="FO651" s="18"/>
      <c r="FP651" s="18"/>
      <c r="FQ651" s="18"/>
      <c r="FR651" s="18"/>
      <c r="FS651" s="18"/>
      <c r="FT651" s="18"/>
      <c r="FU651" s="18"/>
      <c r="FV651" s="18"/>
      <c r="FW651" s="18"/>
      <c r="FX651" s="18"/>
      <c r="FY651" s="18"/>
      <c r="FZ651" s="18"/>
      <c r="GA651" s="18"/>
      <c r="GB651" s="18"/>
      <c r="GC651" s="18"/>
      <c r="GD651" s="18"/>
      <c r="GE651" s="18"/>
      <c r="GF651" s="18"/>
      <c r="GG651" s="18"/>
      <c r="GH651" s="18"/>
      <c r="GI651" s="18"/>
      <c r="GJ651" s="18"/>
      <c r="GK651" s="18"/>
      <c r="GL651" s="18"/>
      <c r="GM651" s="18"/>
      <c r="GN651" s="18"/>
      <c r="GO651" s="18"/>
      <c r="GP651" s="18"/>
      <c r="GQ651" s="18"/>
      <c r="GR651" s="18">
        <v>0</v>
      </c>
      <c r="GS651" s="18">
        <v>0</v>
      </c>
      <c r="GT651" s="18" t="s">
        <v>339</v>
      </c>
      <c r="GU651" s="18">
        <v>0</v>
      </c>
      <c r="GV651" s="18"/>
      <c r="GW651" s="18"/>
      <c r="GX651" s="18" t="b">
        <v>0</v>
      </c>
      <c r="GY651" s="18">
        <v>0</v>
      </c>
      <c r="GZ651" s="18" t="b">
        <v>1</v>
      </c>
      <c r="HA651" s="18">
        <v>0</v>
      </c>
      <c r="HB651" s="18">
        <v>0</v>
      </c>
      <c r="HC651" s="18">
        <v>0</v>
      </c>
      <c r="HD651" s="18">
        <v>0</v>
      </c>
      <c r="HE651" s="18" t="b">
        <v>0</v>
      </c>
      <c r="HF651" s="18">
        <v>0</v>
      </c>
      <c r="HG651" s="18">
        <v>0</v>
      </c>
      <c r="HH651" s="18" t="s">
        <v>339</v>
      </c>
      <c r="HI651" s="18" t="s">
        <v>334</v>
      </c>
      <c r="HJ651" s="18">
        <v>0</v>
      </c>
      <c r="HK651" s="18">
        <v>0</v>
      </c>
      <c r="HL651" s="18">
        <v>0</v>
      </c>
      <c r="HM651" s="18">
        <v>0</v>
      </c>
      <c r="HN651" s="18" t="b">
        <v>0</v>
      </c>
    </row>
    <row r="652" spans="1:222">
      <c r="A652"/>
      <c r="B652" s="29" cm="1">
        <f t="array" ref="B652">10000000+INDEX(编号表!$B$1:$B$112,MATCH(D652,编号表!$A$1:$A$112,0))*10000+I652</f>
        <v>10300009</v>
      </c>
      <c r="C652" s="18" t="s">
        <v>511</v>
      </c>
      <c r="D652" s="18" t="s">
        <v>511</v>
      </c>
      <c r="E652" s="18" t="s">
        <v>334</v>
      </c>
      <c r="F652" s="18" t="s">
        <v>323</v>
      </c>
      <c r="G652" s="18" t="b">
        <v>0</v>
      </c>
      <c r="H652" s="18" t="b">
        <v>1</v>
      </c>
      <c r="I652" s="18">
        <v>9</v>
      </c>
      <c r="J652" s="18">
        <v>103000</v>
      </c>
      <c r="K652" s="18" t="s">
        <v>324</v>
      </c>
      <c r="L652" s="18">
        <v>0</v>
      </c>
      <c r="M652" s="18">
        <v>0</v>
      </c>
      <c r="N652" s="18" t="s">
        <v>510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0</v>
      </c>
      <c r="U652" s="18"/>
      <c r="V652" s="18">
        <v>0</v>
      </c>
      <c r="W652" s="18">
        <v>0</v>
      </c>
      <c r="X652" s="18" t="s">
        <v>326</v>
      </c>
      <c r="Y652" s="18" t="s">
        <v>327</v>
      </c>
      <c r="Z652" s="18" t="s">
        <v>328</v>
      </c>
      <c r="AA652" s="18">
        <v>0</v>
      </c>
      <c r="AB652" s="18">
        <v>1</v>
      </c>
      <c r="AC652" s="18" t="b">
        <v>0</v>
      </c>
      <c r="AD652" s="18" t="s">
        <v>329</v>
      </c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 t="s">
        <v>330</v>
      </c>
      <c r="AZ652" s="18">
        <v>11900</v>
      </c>
      <c r="BA652" s="18" t="s">
        <v>331</v>
      </c>
      <c r="BB652" s="18" t="s">
        <v>328</v>
      </c>
      <c r="BC652" s="18">
        <v>10000</v>
      </c>
      <c r="BD652" s="18">
        <v>0</v>
      </c>
      <c r="BE652" s="18" t="s">
        <v>332</v>
      </c>
      <c r="BF652" s="18">
        <v>0</v>
      </c>
      <c r="BG652" s="18" t="s">
        <v>330</v>
      </c>
      <c r="BH652" s="18">
        <v>10000</v>
      </c>
      <c r="BI652" s="18">
        <v>12</v>
      </c>
      <c r="BJ652" s="18" t="b">
        <v>1</v>
      </c>
      <c r="BK652" s="18">
        <v>0</v>
      </c>
      <c r="BL652" s="18">
        <v>10000</v>
      </c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  <c r="DG652" s="18"/>
      <c r="DH652" s="18"/>
      <c r="DI652" s="18"/>
      <c r="DJ652" s="18"/>
      <c r="DK652" s="18"/>
      <c r="DL652" s="18"/>
      <c r="DM652" s="18"/>
      <c r="DN652" s="18"/>
      <c r="DO652" s="18"/>
      <c r="DP652" s="18"/>
      <c r="DQ652" s="18"/>
      <c r="DR652" s="18"/>
      <c r="DS652" s="18"/>
      <c r="DT652" s="18"/>
      <c r="DU652" s="18"/>
      <c r="DV652" s="18"/>
      <c r="DW652" s="18"/>
      <c r="DX652" s="18"/>
      <c r="DY652" s="18"/>
      <c r="DZ652" s="18"/>
      <c r="EA652" s="18"/>
      <c r="EB652" s="18"/>
      <c r="EC652" s="18"/>
      <c r="ED652" s="18"/>
      <c r="EE652" s="18"/>
      <c r="EF652" s="18"/>
      <c r="EG652" s="18"/>
      <c r="EH652" s="18"/>
      <c r="EI652" s="18"/>
      <c r="EJ652" s="18"/>
      <c r="EK652" s="18"/>
      <c r="EL652" s="18"/>
      <c r="EM652" s="18"/>
      <c r="EN652" s="18"/>
      <c r="EO652" s="18"/>
      <c r="EP652" s="18"/>
      <c r="EQ652" s="18"/>
      <c r="ER652" s="18"/>
      <c r="ES652" s="18"/>
      <c r="ET652" s="18"/>
      <c r="EU652" s="18"/>
      <c r="EV652" s="18"/>
      <c r="EW652" s="18"/>
      <c r="EX652" s="18"/>
      <c r="EY652" s="18"/>
      <c r="EZ652" s="18"/>
      <c r="FA652" s="18"/>
      <c r="FB652" s="18"/>
      <c r="FC652" s="18"/>
      <c r="FD652" s="18"/>
      <c r="FE652" s="18"/>
      <c r="FF652" s="18"/>
      <c r="FG652" s="18"/>
      <c r="FH652" s="18"/>
      <c r="FI652" s="18"/>
      <c r="FJ652" s="18"/>
      <c r="FK652" s="18"/>
      <c r="FL652" s="18"/>
      <c r="FM652" s="18"/>
      <c r="FN652" s="18"/>
      <c r="FO652" s="18"/>
      <c r="FP652" s="18"/>
      <c r="FQ652" s="18"/>
      <c r="FR652" s="18"/>
      <c r="FS652" s="18"/>
      <c r="FT652" s="18"/>
      <c r="FU652" s="18"/>
      <c r="FV652" s="18"/>
      <c r="FW652" s="18"/>
      <c r="FX652" s="18"/>
      <c r="FY652" s="18"/>
      <c r="FZ652" s="18"/>
      <c r="GA652" s="18"/>
      <c r="GB652" s="18"/>
      <c r="GC652" s="18"/>
      <c r="GD652" s="18"/>
      <c r="GE652" s="18"/>
      <c r="GF652" s="18"/>
      <c r="GG652" s="18"/>
      <c r="GH652" s="18"/>
      <c r="GI652" s="18"/>
      <c r="GJ652" s="18"/>
      <c r="GK652" s="18"/>
      <c r="GL652" s="18"/>
      <c r="GM652" s="18"/>
      <c r="GN652" s="18"/>
      <c r="GO652" s="18"/>
      <c r="GP652" s="18"/>
      <c r="GQ652" s="18"/>
      <c r="GR652" s="18">
        <v>0</v>
      </c>
      <c r="GS652" s="18">
        <v>0</v>
      </c>
      <c r="GT652" s="18" t="s">
        <v>339</v>
      </c>
      <c r="GU652" s="18">
        <v>0</v>
      </c>
      <c r="GV652" s="18"/>
      <c r="GW652" s="18"/>
      <c r="GX652" s="18" t="b">
        <v>0</v>
      </c>
      <c r="GY652" s="18">
        <v>0</v>
      </c>
      <c r="GZ652" s="18" t="b">
        <v>1</v>
      </c>
      <c r="HA652" s="18">
        <v>0</v>
      </c>
      <c r="HB652" s="18">
        <v>0</v>
      </c>
      <c r="HC652" s="18">
        <v>0</v>
      </c>
      <c r="HD652" s="18">
        <v>0</v>
      </c>
      <c r="HE652" s="18" t="b">
        <v>0</v>
      </c>
      <c r="HF652" s="18">
        <v>0</v>
      </c>
      <c r="HG652" s="18">
        <v>0</v>
      </c>
      <c r="HH652" s="18" t="s">
        <v>339</v>
      </c>
      <c r="HI652" s="18" t="s">
        <v>334</v>
      </c>
      <c r="HJ652" s="18">
        <v>0</v>
      </c>
      <c r="HK652" s="18">
        <v>0</v>
      </c>
      <c r="HL652" s="18">
        <v>0</v>
      </c>
      <c r="HM652" s="18">
        <v>0</v>
      </c>
      <c r="HN652" s="18" t="b">
        <v>0</v>
      </c>
    </row>
    <row r="653" spans="1:222">
      <c r="A653"/>
      <c r="B653" s="29" cm="1">
        <f t="array" ref="B653">10000000+INDEX(编号表!$B$1:$B$112,MATCH(D653,编号表!$A$1:$A$112,0))*10000+I653</f>
        <v>10300010</v>
      </c>
      <c r="C653" s="18" t="s">
        <v>511</v>
      </c>
      <c r="D653" s="18" t="s">
        <v>511</v>
      </c>
      <c r="E653" s="18" t="s">
        <v>334</v>
      </c>
      <c r="F653" s="18" t="s">
        <v>323</v>
      </c>
      <c r="G653" s="18" t="b">
        <v>0</v>
      </c>
      <c r="H653" s="18" t="b">
        <v>1</v>
      </c>
      <c r="I653" s="18">
        <v>10</v>
      </c>
      <c r="J653" s="18">
        <v>103000</v>
      </c>
      <c r="K653" s="18" t="s">
        <v>324</v>
      </c>
      <c r="L653" s="18">
        <v>0</v>
      </c>
      <c r="M653" s="18">
        <v>0</v>
      </c>
      <c r="N653" s="18" t="s">
        <v>510</v>
      </c>
      <c r="O653" s="18">
        <v>0</v>
      </c>
      <c r="P653" s="18">
        <v>0</v>
      </c>
      <c r="Q653" s="18">
        <v>0</v>
      </c>
      <c r="R653" s="18">
        <v>0</v>
      </c>
      <c r="S653" s="18">
        <v>0</v>
      </c>
      <c r="T653" s="18">
        <v>0</v>
      </c>
      <c r="U653" s="18"/>
      <c r="V653" s="18">
        <v>0</v>
      </c>
      <c r="W653" s="18">
        <v>0</v>
      </c>
      <c r="X653" s="18" t="s">
        <v>326</v>
      </c>
      <c r="Y653" s="18" t="s">
        <v>327</v>
      </c>
      <c r="Z653" s="18" t="s">
        <v>328</v>
      </c>
      <c r="AA653" s="18">
        <v>0</v>
      </c>
      <c r="AB653" s="18">
        <v>1</v>
      </c>
      <c r="AC653" s="18" t="b">
        <v>0</v>
      </c>
      <c r="AD653" s="18" t="s">
        <v>329</v>
      </c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 t="s">
        <v>330</v>
      </c>
      <c r="AZ653" s="18">
        <v>12000</v>
      </c>
      <c r="BA653" s="18" t="s">
        <v>331</v>
      </c>
      <c r="BB653" s="18" t="s">
        <v>328</v>
      </c>
      <c r="BC653" s="18">
        <v>10000</v>
      </c>
      <c r="BD653" s="18">
        <v>0</v>
      </c>
      <c r="BE653" s="18" t="s">
        <v>332</v>
      </c>
      <c r="BF653" s="18">
        <v>0</v>
      </c>
      <c r="BG653" s="18" t="s">
        <v>330</v>
      </c>
      <c r="BH653" s="18">
        <v>10000</v>
      </c>
      <c r="BI653" s="18">
        <v>15</v>
      </c>
      <c r="BJ653" s="18" t="b">
        <v>1</v>
      </c>
      <c r="BK653" s="18">
        <v>0</v>
      </c>
      <c r="BL653" s="18">
        <v>10000</v>
      </c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18"/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  <c r="EM653" s="18"/>
      <c r="EN653" s="18"/>
      <c r="EO653" s="18"/>
      <c r="EP653" s="18"/>
      <c r="EQ653" s="18"/>
      <c r="ER653" s="18"/>
      <c r="ES653" s="18"/>
      <c r="ET653" s="18"/>
      <c r="EU653" s="18"/>
      <c r="EV653" s="18"/>
      <c r="EW653" s="18"/>
      <c r="EX653" s="18"/>
      <c r="EY653" s="18"/>
      <c r="EZ653" s="18"/>
      <c r="FA653" s="18"/>
      <c r="FB653" s="18"/>
      <c r="FC653" s="18"/>
      <c r="FD653" s="18"/>
      <c r="FE653" s="18"/>
      <c r="FF653" s="18"/>
      <c r="FG653" s="18"/>
      <c r="FH653" s="18"/>
      <c r="FI653" s="18"/>
      <c r="FJ653" s="18"/>
      <c r="FK653" s="18"/>
      <c r="FL653" s="18"/>
      <c r="FM653" s="18"/>
      <c r="FN653" s="18"/>
      <c r="FO653" s="18"/>
      <c r="FP653" s="18"/>
      <c r="FQ653" s="18"/>
      <c r="FR653" s="18"/>
      <c r="FS653" s="18"/>
      <c r="FT653" s="18"/>
      <c r="FU653" s="18"/>
      <c r="FV653" s="18"/>
      <c r="FW653" s="18"/>
      <c r="FX653" s="18"/>
      <c r="FY653" s="18"/>
      <c r="FZ653" s="18"/>
      <c r="GA653" s="18"/>
      <c r="GB653" s="18"/>
      <c r="GC653" s="18"/>
      <c r="GD653" s="18"/>
      <c r="GE653" s="18"/>
      <c r="GF653" s="18"/>
      <c r="GG653" s="18"/>
      <c r="GH653" s="18"/>
      <c r="GI653" s="18"/>
      <c r="GJ653" s="18"/>
      <c r="GK653" s="18"/>
      <c r="GL653" s="18"/>
      <c r="GM653" s="18"/>
      <c r="GN653" s="18"/>
      <c r="GO653" s="18"/>
      <c r="GP653" s="18"/>
      <c r="GQ653" s="18"/>
      <c r="GR653" s="18">
        <v>0</v>
      </c>
      <c r="GS653" s="18">
        <v>0</v>
      </c>
      <c r="GT653" s="18" t="s">
        <v>339</v>
      </c>
      <c r="GU653" s="18">
        <v>0</v>
      </c>
      <c r="GV653" s="18"/>
      <c r="GW653" s="18"/>
      <c r="GX653" s="18" t="b">
        <v>0</v>
      </c>
      <c r="GY653" s="18">
        <v>0</v>
      </c>
      <c r="GZ653" s="18" t="b">
        <v>1</v>
      </c>
      <c r="HA653" s="18">
        <v>0</v>
      </c>
      <c r="HB653" s="18">
        <v>0</v>
      </c>
      <c r="HC653" s="18">
        <v>0</v>
      </c>
      <c r="HD653" s="18">
        <v>0</v>
      </c>
      <c r="HE653" s="18" t="b">
        <v>0</v>
      </c>
      <c r="HF653" s="18">
        <v>0</v>
      </c>
      <c r="HG653" s="18">
        <v>0</v>
      </c>
      <c r="HH653" s="18" t="s">
        <v>339</v>
      </c>
      <c r="HI653" s="18" t="s">
        <v>334</v>
      </c>
      <c r="HJ653" s="18">
        <v>0</v>
      </c>
      <c r="HK653" s="18">
        <v>0</v>
      </c>
      <c r="HL653" s="18">
        <v>0</v>
      </c>
      <c r="HM653" s="18">
        <v>0</v>
      </c>
      <c r="HN653" s="18" t="b">
        <v>0</v>
      </c>
    </row>
    <row r="654" spans="1:222">
      <c r="A654"/>
      <c r="B654" s="29" cm="1">
        <f t="array" ref="B654">10000000+INDEX(编号表!$B$1:$B$112,MATCH(D654,编号表!$A$1:$A$112,0))*10000+I654</f>
        <v>10310001</v>
      </c>
      <c r="C654" s="18" t="s">
        <v>512</v>
      </c>
      <c r="D654" s="18" t="s">
        <v>512</v>
      </c>
      <c r="E654" s="18" t="s">
        <v>334</v>
      </c>
      <c r="F654" s="18" t="s">
        <v>323</v>
      </c>
      <c r="G654" s="18" t="b">
        <v>0</v>
      </c>
      <c r="H654" s="18" t="b">
        <v>1</v>
      </c>
      <c r="I654" s="18">
        <v>1</v>
      </c>
      <c r="J654" s="18">
        <v>103100</v>
      </c>
      <c r="K654" s="18" t="s">
        <v>324</v>
      </c>
      <c r="L654" s="18">
        <v>0</v>
      </c>
      <c r="M654" s="18">
        <v>0</v>
      </c>
      <c r="N654" s="18" t="s">
        <v>510</v>
      </c>
      <c r="O654" s="18">
        <v>0</v>
      </c>
      <c r="P654" s="18">
        <v>0</v>
      </c>
      <c r="Q654" s="18">
        <v>0</v>
      </c>
      <c r="R654" s="18">
        <v>0</v>
      </c>
      <c r="S654" s="18">
        <v>0</v>
      </c>
      <c r="T654" s="18">
        <v>0</v>
      </c>
      <c r="U654" s="18"/>
      <c r="V654" s="18">
        <v>0</v>
      </c>
      <c r="W654" s="18">
        <v>0</v>
      </c>
      <c r="X654" s="18" t="s">
        <v>326</v>
      </c>
      <c r="Y654" s="18" t="s">
        <v>327</v>
      </c>
      <c r="Z654" s="18" t="s">
        <v>328</v>
      </c>
      <c r="AA654" s="18">
        <v>0</v>
      </c>
      <c r="AB654" s="18">
        <v>1</v>
      </c>
      <c r="AC654" s="18" t="b">
        <v>0</v>
      </c>
      <c r="AD654" s="18" t="s">
        <v>329</v>
      </c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 t="s">
        <v>330</v>
      </c>
      <c r="AZ654" s="18">
        <v>10000</v>
      </c>
      <c r="BA654" s="18" t="s">
        <v>331</v>
      </c>
      <c r="BB654" s="18" t="s">
        <v>328</v>
      </c>
      <c r="BC654" s="18">
        <v>10000</v>
      </c>
      <c r="BD654" s="18">
        <v>0</v>
      </c>
      <c r="BE654" s="18" t="s">
        <v>332</v>
      </c>
      <c r="BF654" s="18">
        <v>0</v>
      </c>
      <c r="BG654" s="18" t="s">
        <v>330</v>
      </c>
      <c r="BH654" s="18">
        <v>8500</v>
      </c>
      <c r="BI654" s="18">
        <v>3</v>
      </c>
      <c r="BJ654" s="18" t="b">
        <v>1</v>
      </c>
      <c r="BK654" s="18">
        <v>0</v>
      </c>
      <c r="BL654" s="18">
        <v>10000</v>
      </c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 t="s">
        <v>331</v>
      </c>
      <c r="CY654" s="18" t="s">
        <v>328</v>
      </c>
      <c r="CZ654" s="18">
        <v>10000</v>
      </c>
      <c r="DA654" s="18">
        <v>250</v>
      </c>
      <c r="DB654" s="18" t="s">
        <v>332</v>
      </c>
      <c r="DC654" s="18">
        <v>0</v>
      </c>
      <c r="DD654" s="18" t="s">
        <v>330</v>
      </c>
      <c r="DE654" s="18">
        <v>5000</v>
      </c>
      <c r="DF654" s="18">
        <v>0</v>
      </c>
      <c r="DG654" s="18" t="b">
        <v>1</v>
      </c>
      <c r="DH654" s="18">
        <v>0</v>
      </c>
      <c r="DI654" s="18">
        <v>10000</v>
      </c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  <c r="DU654" s="18"/>
      <c r="DV654" s="18"/>
      <c r="DW654" s="18"/>
      <c r="DX654" s="18"/>
      <c r="DY654" s="18"/>
      <c r="DZ654" s="18"/>
      <c r="EA654" s="18"/>
      <c r="EB654" s="18"/>
      <c r="EC654" s="18"/>
      <c r="ED654" s="18"/>
      <c r="EE654" s="18"/>
      <c r="EF654" s="18"/>
      <c r="EG654" s="18"/>
      <c r="EH654" s="18"/>
      <c r="EI654" s="18"/>
      <c r="EJ654" s="18"/>
      <c r="EK654" s="18"/>
      <c r="EL654" s="18"/>
      <c r="EM654" s="18"/>
      <c r="EN654" s="18"/>
      <c r="EO654" s="18"/>
      <c r="EP654" s="18"/>
      <c r="EQ654" s="18"/>
      <c r="ER654" s="18"/>
      <c r="ES654" s="18"/>
      <c r="ET654" s="18"/>
      <c r="EU654" s="18"/>
      <c r="EV654" s="18"/>
      <c r="EW654" s="18"/>
      <c r="EX654" s="18"/>
      <c r="EY654" s="18"/>
      <c r="EZ654" s="18"/>
      <c r="FA654" s="18"/>
      <c r="FB654" s="18"/>
      <c r="FC654" s="18"/>
      <c r="FD654" s="18"/>
      <c r="FE654" s="18"/>
      <c r="FF654" s="18"/>
      <c r="FG654" s="18"/>
      <c r="FH654" s="18"/>
      <c r="FI654" s="18"/>
      <c r="FJ654" s="18"/>
      <c r="FK654" s="18"/>
      <c r="FL654" s="18"/>
      <c r="FM654" s="18"/>
      <c r="FN654" s="18"/>
      <c r="FO654" s="18"/>
      <c r="FP654" s="18"/>
      <c r="FQ654" s="18"/>
      <c r="FR654" s="18"/>
      <c r="FS654" s="18"/>
      <c r="FT654" s="18"/>
      <c r="FU654" s="18"/>
      <c r="FV654" s="18"/>
      <c r="FW654" s="18"/>
      <c r="FX654" s="18"/>
      <c r="FY654" s="18"/>
      <c r="FZ654" s="18"/>
      <c r="GA654" s="18"/>
      <c r="GB654" s="18"/>
      <c r="GC654" s="18"/>
      <c r="GD654" s="18"/>
      <c r="GE654" s="18"/>
      <c r="GF654" s="18"/>
      <c r="GG654" s="18"/>
      <c r="GH654" s="18"/>
      <c r="GI654" s="18"/>
      <c r="GJ654" s="18"/>
      <c r="GK654" s="18"/>
      <c r="GL654" s="18"/>
      <c r="GM654" s="18"/>
      <c r="GN654" s="18"/>
      <c r="GO654" s="18"/>
      <c r="GP654" s="18"/>
      <c r="GQ654" s="18"/>
      <c r="GR654" s="18">
        <v>0</v>
      </c>
      <c r="GS654" s="18">
        <v>0</v>
      </c>
      <c r="GT654" s="18" t="s">
        <v>339</v>
      </c>
      <c r="GU654" s="18">
        <v>0</v>
      </c>
      <c r="GV654" s="18"/>
      <c r="GW654" s="18"/>
      <c r="GX654" s="18" t="b">
        <v>0</v>
      </c>
      <c r="GY654" s="18">
        <v>0</v>
      </c>
      <c r="GZ654" s="18" t="b">
        <v>1</v>
      </c>
      <c r="HA654" s="18">
        <v>0</v>
      </c>
      <c r="HB654" s="18">
        <v>0</v>
      </c>
      <c r="HC654" s="18">
        <v>0</v>
      </c>
      <c r="HD654" s="18">
        <v>0</v>
      </c>
      <c r="HE654" s="18" t="b">
        <v>0</v>
      </c>
      <c r="HF654" s="18">
        <v>0</v>
      </c>
      <c r="HG654" s="18">
        <v>0</v>
      </c>
      <c r="HH654" s="18" t="s">
        <v>339</v>
      </c>
      <c r="HI654" s="18" t="s">
        <v>334</v>
      </c>
      <c r="HJ654" s="18">
        <v>0</v>
      </c>
      <c r="HK654" s="18">
        <v>0</v>
      </c>
      <c r="HL654" s="18">
        <v>0</v>
      </c>
      <c r="HM654" s="18">
        <v>0</v>
      </c>
      <c r="HN654" s="18" t="b">
        <v>0</v>
      </c>
    </row>
    <row r="655" spans="1:222">
      <c r="A655"/>
      <c r="B655" s="29" cm="1">
        <f t="array" ref="B655">10000000+INDEX(编号表!$B$1:$B$112,MATCH(D655,编号表!$A$1:$A$112,0))*10000+I655</f>
        <v>10310002</v>
      </c>
      <c r="C655" s="18" t="s">
        <v>512</v>
      </c>
      <c r="D655" s="18" t="s">
        <v>512</v>
      </c>
      <c r="E655" s="18" t="s">
        <v>334</v>
      </c>
      <c r="F655" s="18" t="s">
        <v>323</v>
      </c>
      <c r="G655" s="18" t="b">
        <v>0</v>
      </c>
      <c r="H655" s="18" t="b">
        <v>1</v>
      </c>
      <c r="I655" s="18">
        <v>2</v>
      </c>
      <c r="J655" s="18">
        <v>103100</v>
      </c>
      <c r="K655" s="18" t="s">
        <v>324</v>
      </c>
      <c r="L655" s="18">
        <v>0</v>
      </c>
      <c r="M655" s="18">
        <v>0</v>
      </c>
      <c r="N655" s="18" t="s">
        <v>510</v>
      </c>
      <c r="O655" s="18">
        <v>0</v>
      </c>
      <c r="P655" s="18">
        <v>0</v>
      </c>
      <c r="Q655" s="18">
        <v>0</v>
      </c>
      <c r="R655" s="18">
        <v>0</v>
      </c>
      <c r="S655" s="18">
        <v>0</v>
      </c>
      <c r="T655" s="18">
        <v>0</v>
      </c>
      <c r="U655" s="18"/>
      <c r="V655" s="18">
        <v>0</v>
      </c>
      <c r="W655" s="18">
        <v>0</v>
      </c>
      <c r="X655" s="18" t="s">
        <v>326</v>
      </c>
      <c r="Y655" s="18" t="s">
        <v>327</v>
      </c>
      <c r="Z655" s="18" t="s">
        <v>328</v>
      </c>
      <c r="AA655" s="18">
        <v>0</v>
      </c>
      <c r="AB655" s="18">
        <v>1</v>
      </c>
      <c r="AC655" s="18" t="b">
        <v>0</v>
      </c>
      <c r="AD655" s="18" t="s">
        <v>329</v>
      </c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 t="s">
        <v>330</v>
      </c>
      <c r="AZ655" s="18">
        <v>10400</v>
      </c>
      <c r="BA655" s="18" t="s">
        <v>331</v>
      </c>
      <c r="BB655" s="18" t="s">
        <v>328</v>
      </c>
      <c r="BC655" s="18">
        <v>10000</v>
      </c>
      <c r="BD655" s="18">
        <v>0</v>
      </c>
      <c r="BE655" s="18" t="s">
        <v>332</v>
      </c>
      <c r="BF655" s="18">
        <v>0</v>
      </c>
      <c r="BG655" s="18" t="s">
        <v>330</v>
      </c>
      <c r="BH655" s="18">
        <v>8500</v>
      </c>
      <c r="BI655" s="18">
        <v>4</v>
      </c>
      <c r="BJ655" s="18" t="b">
        <v>1</v>
      </c>
      <c r="BK655" s="18">
        <v>0</v>
      </c>
      <c r="BL655" s="18">
        <v>10000</v>
      </c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 t="s">
        <v>331</v>
      </c>
      <c r="CY655" s="18" t="s">
        <v>328</v>
      </c>
      <c r="CZ655" s="18">
        <v>10000</v>
      </c>
      <c r="DA655" s="18">
        <v>250</v>
      </c>
      <c r="DB655" s="18" t="s">
        <v>332</v>
      </c>
      <c r="DC655" s="18">
        <v>0</v>
      </c>
      <c r="DD655" s="18" t="s">
        <v>330</v>
      </c>
      <c r="DE655" s="18">
        <v>5000</v>
      </c>
      <c r="DF655" s="18">
        <v>0</v>
      </c>
      <c r="DG655" s="18" t="b">
        <v>1</v>
      </c>
      <c r="DH655" s="18">
        <v>0</v>
      </c>
      <c r="DI655" s="18">
        <v>10000</v>
      </c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  <c r="DU655" s="18"/>
      <c r="DV655" s="18"/>
      <c r="DW655" s="18"/>
      <c r="DX655" s="18"/>
      <c r="DY655" s="18"/>
      <c r="DZ655" s="18"/>
      <c r="EA655" s="18"/>
      <c r="EB655" s="18"/>
      <c r="EC655" s="18"/>
      <c r="ED655" s="18"/>
      <c r="EE655" s="18"/>
      <c r="EF655" s="18"/>
      <c r="EG655" s="18"/>
      <c r="EH655" s="18"/>
      <c r="EI655" s="18"/>
      <c r="EJ655" s="18"/>
      <c r="EK655" s="18"/>
      <c r="EL655" s="18"/>
      <c r="EM655" s="18"/>
      <c r="EN655" s="18"/>
      <c r="EO655" s="18"/>
      <c r="EP655" s="18"/>
      <c r="EQ655" s="18"/>
      <c r="ER655" s="18"/>
      <c r="ES655" s="18"/>
      <c r="ET655" s="18"/>
      <c r="EU655" s="18"/>
      <c r="EV655" s="18"/>
      <c r="EW655" s="18"/>
      <c r="EX655" s="18"/>
      <c r="EY655" s="18"/>
      <c r="EZ655" s="18"/>
      <c r="FA655" s="18"/>
      <c r="FB655" s="18"/>
      <c r="FC655" s="18"/>
      <c r="FD655" s="18"/>
      <c r="FE655" s="18"/>
      <c r="FF655" s="18"/>
      <c r="FG655" s="18"/>
      <c r="FH655" s="18"/>
      <c r="FI655" s="18"/>
      <c r="FJ655" s="18"/>
      <c r="FK655" s="18"/>
      <c r="FL655" s="18"/>
      <c r="FM655" s="18"/>
      <c r="FN655" s="18"/>
      <c r="FO655" s="18"/>
      <c r="FP655" s="18"/>
      <c r="FQ655" s="18"/>
      <c r="FR655" s="18"/>
      <c r="FS655" s="18"/>
      <c r="FT655" s="18"/>
      <c r="FU655" s="18"/>
      <c r="FV655" s="18"/>
      <c r="FW655" s="18"/>
      <c r="FX655" s="18"/>
      <c r="FY655" s="18"/>
      <c r="FZ655" s="18"/>
      <c r="GA655" s="18"/>
      <c r="GB655" s="18"/>
      <c r="GC655" s="18"/>
      <c r="GD655" s="18"/>
      <c r="GE655" s="18"/>
      <c r="GF655" s="18"/>
      <c r="GG655" s="18"/>
      <c r="GH655" s="18"/>
      <c r="GI655" s="18"/>
      <c r="GJ655" s="18"/>
      <c r="GK655" s="18"/>
      <c r="GL655" s="18"/>
      <c r="GM655" s="18"/>
      <c r="GN655" s="18"/>
      <c r="GO655" s="18"/>
      <c r="GP655" s="18"/>
      <c r="GQ655" s="18"/>
      <c r="GR655" s="18">
        <v>0</v>
      </c>
      <c r="GS655" s="18">
        <v>0</v>
      </c>
      <c r="GT655" s="18" t="s">
        <v>339</v>
      </c>
      <c r="GU655" s="18">
        <v>0</v>
      </c>
      <c r="GV655" s="18"/>
      <c r="GW655" s="18"/>
      <c r="GX655" s="18" t="b">
        <v>0</v>
      </c>
      <c r="GY655" s="18">
        <v>0</v>
      </c>
      <c r="GZ655" s="18" t="b">
        <v>1</v>
      </c>
      <c r="HA655" s="18">
        <v>0</v>
      </c>
      <c r="HB655" s="18">
        <v>0</v>
      </c>
      <c r="HC655" s="18">
        <v>0</v>
      </c>
      <c r="HD655" s="18">
        <v>0</v>
      </c>
      <c r="HE655" s="18" t="b">
        <v>0</v>
      </c>
      <c r="HF655" s="18">
        <v>0</v>
      </c>
      <c r="HG655" s="18">
        <v>0</v>
      </c>
      <c r="HH655" s="18" t="s">
        <v>339</v>
      </c>
      <c r="HI655" s="18" t="s">
        <v>334</v>
      </c>
      <c r="HJ655" s="18">
        <v>0</v>
      </c>
      <c r="HK655" s="18">
        <v>0</v>
      </c>
      <c r="HL655" s="18">
        <v>0</v>
      </c>
      <c r="HM655" s="18">
        <v>0</v>
      </c>
      <c r="HN655" s="18" t="b">
        <v>0</v>
      </c>
    </row>
    <row r="656" spans="1:222">
      <c r="A656"/>
      <c r="B656" s="29" cm="1">
        <f t="array" ref="B656">10000000+INDEX(编号表!$B$1:$B$112,MATCH(D656,编号表!$A$1:$A$112,0))*10000+I656</f>
        <v>10310003</v>
      </c>
      <c r="C656" s="18" t="s">
        <v>512</v>
      </c>
      <c r="D656" s="18" t="s">
        <v>512</v>
      </c>
      <c r="E656" s="18" t="s">
        <v>334</v>
      </c>
      <c r="F656" s="18" t="s">
        <v>323</v>
      </c>
      <c r="G656" s="18" t="b">
        <v>0</v>
      </c>
      <c r="H656" s="18" t="b">
        <v>1</v>
      </c>
      <c r="I656" s="18">
        <v>3</v>
      </c>
      <c r="J656" s="18">
        <v>103100</v>
      </c>
      <c r="K656" s="18" t="s">
        <v>324</v>
      </c>
      <c r="L656" s="18">
        <v>0</v>
      </c>
      <c r="M656" s="18">
        <v>0</v>
      </c>
      <c r="N656" s="18" t="s">
        <v>510</v>
      </c>
      <c r="O656" s="18">
        <v>0</v>
      </c>
      <c r="P656" s="18">
        <v>0</v>
      </c>
      <c r="Q656" s="18">
        <v>0</v>
      </c>
      <c r="R656" s="18">
        <v>0</v>
      </c>
      <c r="S656" s="18">
        <v>0</v>
      </c>
      <c r="T656" s="18">
        <v>0</v>
      </c>
      <c r="U656" s="18"/>
      <c r="V656" s="18">
        <v>0</v>
      </c>
      <c r="W656" s="18">
        <v>0</v>
      </c>
      <c r="X656" s="18" t="s">
        <v>326</v>
      </c>
      <c r="Y656" s="18" t="s">
        <v>327</v>
      </c>
      <c r="Z656" s="18" t="s">
        <v>328</v>
      </c>
      <c r="AA656" s="18">
        <v>0</v>
      </c>
      <c r="AB656" s="18">
        <v>1</v>
      </c>
      <c r="AC656" s="18" t="b">
        <v>0</v>
      </c>
      <c r="AD656" s="18" t="s">
        <v>329</v>
      </c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 t="s">
        <v>330</v>
      </c>
      <c r="AZ656" s="18">
        <v>10800</v>
      </c>
      <c r="BA656" s="18" t="s">
        <v>331</v>
      </c>
      <c r="BB656" s="18" t="s">
        <v>328</v>
      </c>
      <c r="BC656" s="18">
        <v>10000</v>
      </c>
      <c r="BD656" s="18">
        <v>0</v>
      </c>
      <c r="BE656" s="18" t="s">
        <v>332</v>
      </c>
      <c r="BF656" s="18">
        <v>0</v>
      </c>
      <c r="BG656" s="18" t="s">
        <v>330</v>
      </c>
      <c r="BH656" s="18">
        <v>8500</v>
      </c>
      <c r="BI656" s="18">
        <v>5</v>
      </c>
      <c r="BJ656" s="18" t="b">
        <v>1</v>
      </c>
      <c r="BK656" s="18">
        <v>0</v>
      </c>
      <c r="BL656" s="18">
        <v>10000</v>
      </c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 t="s">
        <v>331</v>
      </c>
      <c r="CY656" s="18" t="s">
        <v>328</v>
      </c>
      <c r="CZ656" s="18">
        <v>10000</v>
      </c>
      <c r="DA656" s="18">
        <v>250</v>
      </c>
      <c r="DB656" s="18" t="s">
        <v>332</v>
      </c>
      <c r="DC656" s="18">
        <v>0</v>
      </c>
      <c r="DD656" s="18" t="s">
        <v>330</v>
      </c>
      <c r="DE656" s="18">
        <v>5000</v>
      </c>
      <c r="DF656" s="18">
        <v>0</v>
      </c>
      <c r="DG656" s="18" t="b">
        <v>1</v>
      </c>
      <c r="DH656" s="18">
        <v>0</v>
      </c>
      <c r="DI656" s="18">
        <v>10000</v>
      </c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8"/>
      <c r="EM656" s="18"/>
      <c r="EN656" s="18"/>
      <c r="EO656" s="18"/>
      <c r="EP656" s="18"/>
      <c r="EQ656" s="18"/>
      <c r="ER656" s="18"/>
      <c r="ES656" s="18"/>
      <c r="ET656" s="18"/>
      <c r="EU656" s="18"/>
      <c r="EV656" s="18"/>
      <c r="EW656" s="18"/>
      <c r="EX656" s="18"/>
      <c r="EY656" s="18"/>
      <c r="EZ656" s="18"/>
      <c r="FA656" s="18"/>
      <c r="FB656" s="18"/>
      <c r="FC656" s="18"/>
      <c r="FD656" s="18"/>
      <c r="FE656" s="18"/>
      <c r="FF656" s="18"/>
      <c r="FG656" s="18"/>
      <c r="FH656" s="18"/>
      <c r="FI656" s="18"/>
      <c r="FJ656" s="18"/>
      <c r="FK656" s="18"/>
      <c r="FL656" s="18"/>
      <c r="FM656" s="18"/>
      <c r="FN656" s="18"/>
      <c r="FO656" s="18"/>
      <c r="FP656" s="18"/>
      <c r="FQ656" s="18"/>
      <c r="FR656" s="18"/>
      <c r="FS656" s="18"/>
      <c r="FT656" s="18"/>
      <c r="FU656" s="18"/>
      <c r="FV656" s="18"/>
      <c r="FW656" s="18"/>
      <c r="FX656" s="18"/>
      <c r="FY656" s="18"/>
      <c r="FZ656" s="18"/>
      <c r="GA656" s="18"/>
      <c r="GB656" s="18"/>
      <c r="GC656" s="18"/>
      <c r="GD656" s="18"/>
      <c r="GE656" s="18"/>
      <c r="GF656" s="18"/>
      <c r="GG656" s="18"/>
      <c r="GH656" s="18"/>
      <c r="GI656" s="18"/>
      <c r="GJ656" s="18"/>
      <c r="GK656" s="18"/>
      <c r="GL656" s="18"/>
      <c r="GM656" s="18"/>
      <c r="GN656" s="18"/>
      <c r="GO656" s="18"/>
      <c r="GP656" s="18"/>
      <c r="GQ656" s="18"/>
      <c r="GR656" s="18">
        <v>0</v>
      </c>
      <c r="GS656" s="18">
        <v>0</v>
      </c>
      <c r="GT656" s="18" t="s">
        <v>339</v>
      </c>
      <c r="GU656" s="18">
        <v>0</v>
      </c>
      <c r="GV656" s="18"/>
      <c r="GW656" s="18"/>
      <c r="GX656" s="18" t="b">
        <v>0</v>
      </c>
      <c r="GY656" s="18">
        <v>0</v>
      </c>
      <c r="GZ656" s="18" t="b">
        <v>1</v>
      </c>
      <c r="HA656" s="18">
        <v>0</v>
      </c>
      <c r="HB656" s="18">
        <v>0</v>
      </c>
      <c r="HC656" s="18">
        <v>0</v>
      </c>
      <c r="HD656" s="18">
        <v>0</v>
      </c>
      <c r="HE656" s="18" t="b">
        <v>0</v>
      </c>
      <c r="HF656" s="18">
        <v>0</v>
      </c>
      <c r="HG656" s="18">
        <v>0</v>
      </c>
      <c r="HH656" s="18" t="s">
        <v>339</v>
      </c>
      <c r="HI656" s="18" t="s">
        <v>334</v>
      </c>
      <c r="HJ656" s="18">
        <v>0</v>
      </c>
      <c r="HK656" s="18">
        <v>0</v>
      </c>
      <c r="HL656" s="18">
        <v>0</v>
      </c>
      <c r="HM656" s="18">
        <v>0</v>
      </c>
      <c r="HN656" s="18" t="b">
        <v>0</v>
      </c>
    </row>
    <row r="657" spans="1:222">
      <c r="A657"/>
      <c r="B657" s="29" cm="1">
        <f t="array" ref="B657">10000000+INDEX(编号表!$B$1:$B$112,MATCH(D657,编号表!$A$1:$A$112,0))*10000+I657</f>
        <v>10310004</v>
      </c>
      <c r="C657" s="18" t="s">
        <v>512</v>
      </c>
      <c r="D657" s="18" t="s">
        <v>512</v>
      </c>
      <c r="E657" s="18" t="s">
        <v>334</v>
      </c>
      <c r="F657" s="18" t="s">
        <v>323</v>
      </c>
      <c r="G657" s="18" t="b">
        <v>0</v>
      </c>
      <c r="H657" s="18" t="b">
        <v>1</v>
      </c>
      <c r="I657" s="18">
        <v>4</v>
      </c>
      <c r="J657" s="18">
        <v>103100</v>
      </c>
      <c r="K657" s="18" t="s">
        <v>324</v>
      </c>
      <c r="L657" s="18">
        <v>0</v>
      </c>
      <c r="M657" s="18">
        <v>0</v>
      </c>
      <c r="N657" s="18" t="s">
        <v>510</v>
      </c>
      <c r="O657" s="18">
        <v>0</v>
      </c>
      <c r="P657" s="18">
        <v>0</v>
      </c>
      <c r="Q657" s="18">
        <v>0</v>
      </c>
      <c r="R657" s="18">
        <v>0</v>
      </c>
      <c r="S657" s="18">
        <v>0</v>
      </c>
      <c r="T657" s="18">
        <v>0</v>
      </c>
      <c r="U657" s="18"/>
      <c r="V657" s="18">
        <v>0</v>
      </c>
      <c r="W657" s="18">
        <v>0</v>
      </c>
      <c r="X657" s="18" t="s">
        <v>326</v>
      </c>
      <c r="Y657" s="18" t="s">
        <v>327</v>
      </c>
      <c r="Z657" s="18" t="s">
        <v>328</v>
      </c>
      <c r="AA657" s="18">
        <v>0</v>
      </c>
      <c r="AB657" s="18">
        <v>1</v>
      </c>
      <c r="AC657" s="18" t="b">
        <v>0</v>
      </c>
      <c r="AD657" s="18" t="s">
        <v>329</v>
      </c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 t="s">
        <v>330</v>
      </c>
      <c r="AZ657" s="18">
        <v>11200</v>
      </c>
      <c r="BA657" s="18" t="s">
        <v>331</v>
      </c>
      <c r="BB657" s="18" t="s">
        <v>328</v>
      </c>
      <c r="BC657" s="18">
        <v>10000</v>
      </c>
      <c r="BD657" s="18">
        <v>0</v>
      </c>
      <c r="BE657" s="18" t="s">
        <v>332</v>
      </c>
      <c r="BF657" s="18">
        <v>0</v>
      </c>
      <c r="BG657" s="18" t="s">
        <v>330</v>
      </c>
      <c r="BH657" s="18">
        <v>8500</v>
      </c>
      <c r="BI657" s="18">
        <v>6</v>
      </c>
      <c r="BJ657" s="18" t="b">
        <v>1</v>
      </c>
      <c r="BK657" s="18">
        <v>0</v>
      </c>
      <c r="BL657" s="18">
        <v>10000</v>
      </c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 t="s">
        <v>331</v>
      </c>
      <c r="CY657" s="18" t="s">
        <v>328</v>
      </c>
      <c r="CZ657" s="18">
        <v>10000</v>
      </c>
      <c r="DA657" s="18">
        <v>250</v>
      </c>
      <c r="DB657" s="18" t="s">
        <v>332</v>
      </c>
      <c r="DC657" s="18">
        <v>0</v>
      </c>
      <c r="DD657" s="18" t="s">
        <v>330</v>
      </c>
      <c r="DE657" s="18">
        <v>5000</v>
      </c>
      <c r="DF657" s="18">
        <v>1</v>
      </c>
      <c r="DG657" s="18" t="b">
        <v>1</v>
      </c>
      <c r="DH657" s="18">
        <v>0</v>
      </c>
      <c r="DI657" s="18">
        <v>10000</v>
      </c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  <c r="EM657" s="18"/>
      <c r="EN657" s="18"/>
      <c r="EO657" s="18"/>
      <c r="EP657" s="18"/>
      <c r="EQ657" s="18"/>
      <c r="ER657" s="18"/>
      <c r="ES657" s="18"/>
      <c r="ET657" s="18"/>
      <c r="EU657" s="18"/>
      <c r="EV657" s="18"/>
      <c r="EW657" s="18"/>
      <c r="EX657" s="18"/>
      <c r="EY657" s="18"/>
      <c r="EZ657" s="18"/>
      <c r="FA657" s="18"/>
      <c r="FB657" s="18"/>
      <c r="FC657" s="18"/>
      <c r="FD657" s="18"/>
      <c r="FE657" s="18"/>
      <c r="FF657" s="18"/>
      <c r="FG657" s="18"/>
      <c r="FH657" s="18"/>
      <c r="FI657" s="18"/>
      <c r="FJ657" s="18"/>
      <c r="FK657" s="18"/>
      <c r="FL657" s="18"/>
      <c r="FM657" s="18"/>
      <c r="FN657" s="18"/>
      <c r="FO657" s="18"/>
      <c r="FP657" s="18"/>
      <c r="FQ657" s="18"/>
      <c r="FR657" s="18"/>
      <c r="FS657" s="18"/>
      <c r="FT657" s="18"/>
      <c r="FU657" s="18"/>
      <c r="FV657" s="18"/>
      <c r="FW657" s="18"/>
      <c r="FX657" s="18"/>
      <c r="FY657" s="18"/>
      <c r="FZ657" s="18"/>
      <c r="GA657" s="18"/>
      <c r="GB657" s="18"/>
      <c r="GC657" s="18"/>
      <c r="GD657" s="18"/>
      <c r="GE657" s="18"/>
      <c r="GF657" s="18"/>
      <c r="GG657" s="18"/>
      <c r="GH657" s="18"/>
      <c r="GI657" s="18"/>
      <c r="GJ657" s="18"/>
      <c r="GK657" s="18"/>
      <c r="GL657" s="18"/>
      <c r="GM657" s="18"/>
      <c r="GN657" s="18"/>
      <c r="GO657" s="18"/>
      <c r="GP657" s="18"/>
      <c r="GQ657" s="18"/>
      <c r="GR657" s="18">
        <v>0</v>
      </c>
      <c r="GS657" s="18">
        <v>0</v>
      </c>
      <c r="GT657" s="18" t="s">
        <v>339</v>
      </c>
      <c r="GU657" s="18">
        <v>0</v>
      </c>
      <c r="GV657" s="18"/>
      <c r="GW657" s="18"/>
      <c r="GX657" s="18" t="b">
        <v>0</v>
      </c>
      <c r="GY657" s="18">
        <v>0</v>
      </c>
      <c r="GZ657" s="18" t="b">
        <v>1</v>
      </c>
      <c r="HA657" s="18">
        <v>0</v>
      </c>
      <c r="HB657" s="18">
        <v>0</v>
      </c>
      <c r="HC657" s="18">
        <v>0</v>
      </c>
      <c r="HD657" s="18">
        <v>0</v>
      </c>
      <c r="HE657" s="18" t="b">
        <v>0</v>
      </c>
      <c r="HF657" s="18">
        <v>0</v>
      </c>
      <c r="HG657" s="18">
        <v>0</v>
      </c>
      <c r="HH657" s="18" t="s">
        <v>339</v>
      </c>
      <c r="HI657" s="18" t="s">
        <v>334</v>
      </c>
      <c r="HJ657" s="18">
        <v>0</v>
      </c>
      <c r="HK657" s="18">
        <v>0</v>
      </c>
      <c r="HL657" s="18">
        <v>0</v>
      </c>
      <c r="HM657" s="18">
        <v>0</v>
      </c>
      <c r="HN657" s="18" t="b">
        <v>0</v>
      </c>
    </row>
    <row r="658" spans="1:222">
      <c r="A658"/>
      <c r="B658" s="29" cm="1">
        <f t="array" ref="B658">10000000+INDEX(编号表!$B$1:$B$112,MATCH(D658,编号表!$A$1:$A$112,0))*10000+I658</f>
        <v>10310005</v>
      </c>
      <c r="C658" s="18" t="s">
        <v>512</v>
      </c>
      <c r="D658" s="18" t="s">
        <v>512</v>
      </c>
      <c r="E658" s="18" t="s">
        <v>334</v>
      </c>
      <c r="F658" s="18" t="s">
        <v>323</v>
      </c>
      <c r="G658" s="18" t="b">
        <v>0</v>
      </c>
      <c r="H658" s="18" t="b">
        <v>1</v>
      </c>
      <c r="I658" s="18">
        <v>5</v>
      </c>
      <c r="J658" s="18">
        <v>103100</v>
      </c>
      <c r="K658" s="18" t="s">
        <v>324</v>
      </c>
      <c r="L658" s="18">
        <v>0</v>
      </c>
      <c r="M658" s="18">
        <v>0</v>
      </c>
      <c r="N658" s="18" t="s">
        <v>510</v>
      </c>
      <c r="O658" s="18">
        <v>0</v>
      </c>
      <c r="P658" s="18">
        <v>0</v>
      </c>
      <c r="Q658" s="18">
        <v>0</v>
      </c>
      <c r="R658" s="18">
        <v>0</v>
      </c>
      <c r="S658" s="18">
        <v>0</v>
      </c>
      <c r="T658" s="18">
        <v>0</v>
      </c>
      <c r="U658" s="18"/>
      <c r="V658" s="18">
        <v>0</v>
      </c>
      <c r="W658" s="18">
        <v>0</v>
      </c>
      <c r="X658" s="18" t="s">
        <v>326</v>
      </c>
      <c r="Y658" s="18" t="s">
        <v>327</v>
      </c>
      <c r="Z658" s="18" t="s">
        <v>328</v>
      </c>
      <c r="AA658" s="18">
        <v>0</v>
      </c>
      <c r="AB658" s="18">
        <v>1</v>
      </c>
      <c r="AC658" s="18" t="b">
        <v>0</v>
      </c>
      <c r="AD658" s="18" t="s">
        <v>329</v>
      </c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 t="s">
        <v>330</v>
      </c>
      <c r="AZ658" s="18">
        <v>11300</v>
      </c>
      <c r="BA658" s="18" t="s">
        <v>331</v>
      </c>
      <c r="BB658" s="18" t="s">
        <v>328</v>
      </c>
      <c r="BC658" s="18">
        <v>10000</v>
      </c>
      <c r="BD658" s="18">
        <v>0</v>
      </c>
      <c r="BE658" s="18" t="s">
        <v>332</v>
      </c>
      <c r="BF658" s="18">
        <v>0</v>
      </c>
      <c r="BG658" s="18" t="s">
        <v>330</v>
      </c>
      <c r="BH658" s="18">
        <v>8500</v>
      </c>
      <c r="BI658" s="18">
        <v>6</v>
      </c>
      <c r="BJ658" s="18" t="b">
        <v>1</v>
      </c>
      <c r="BK658" s="18">
        <v>0</v>
      </c>
      <c r="BL658" s="18">
        <v>10000</v>
      </c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 t="s">
        <v>331</v>
      </c>
      <c r="CY658" s="18" t="s">
        <v>328</v>
      </c>
      <c r="CZ658" s="18">
        <v>10000</v>
      </c>
      <c r="DA658" s="18">
        <v>250</v>
      </c>
      <c r="DB658" s="18" t="s">
        <v>332</v>
      </c>
      <c r="DC658" s="18">
        <v>0</v>
      </c>
      <c r="DD658" s="18" t="s">
        <v>330</v>
      </c>
      <c r="DE658" s="18">
        <v>5000</v>
      </c>
      <c r="DF658" s="18">
        <v>1</v>
      </c>
      <c r="DG658" s="18" t="b">
        <v>1</v>
      </c>
      <c r="DH658" s="18">
        <v>0</v>
      </c>
      <c r="DI658" s="18">
        <v>10000</v>
      </c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8"/>
      <c r="EM658" s="18"/>
      <c r="EN658" s="18"/>
      <c r="EO658" s="18"/>
      <c r="EP658" s="18"/>
      <c r="EQ658" s="18"/>
      <c r="ER658" s="18"/>
      <c r="ES658" s="18"/>
      <c r="ET658" s="18"/>
      <c r="EU658" s="18"/>
      <c r="EV658" s="18"/>
      <c r="EW658" s="18"/>
      <c r="EX658" s="18"/>
      <c r="EY658" s="18"/>
      <c r="EZ658" s="18"/>
      <c r="FA658" s="18"/>
      <c r="FB658" s="18"/>
      <c r="FC658" s="18"/>
      <c r="FD658" s="18"/>
      <c r="FE658" s="18"/>
      <c r="FF658" s="18"/>
      <c r="FG658" s="18"/>
      <c r="FH658" s="18"/>
      <c r="FI658" s="18"/>
      <c r="FJ658" s="18"/>
      <c r="FK658" s="18"/>
      <c r="FL658" s="18"/>
      <c r="FM658" s="18"/>
      <c r="FN658" s="18"/>
      <c r="FO658" s="18"/>
      <c r="FP658" s="18"/>
      <c r="FQ658" s="18"/>
      <c r="FR658" s="18"/>
      <c r="FS658" s="18"/>
      <c r="FT658" s="18"/>
      <c r="FU658" s="18"/>
      <c r="FV658" s="18"/>
      <c r="FW658" s="18"/>
      <c r="FX658" s="18"/>
      <c r="FY658" s="18"/>
      <c r="FZ658" s="18"/>
      <c r="GA658" s="18"/>
      <c r="GB658" s="18"/>
      <c r="GC658" s="18"/>
      <c r="GD658" s="18"/>
      <c r="GE658" s="18"/>
      <c r="GF658" s="18"/>
      <c r="GG658" s="18"/>
      <c r="GH658" s="18"/>
      <c r="GI658" s="18"/>
      <c r="GJ658" s="18"/>
      <c r="GK658" s="18"/>
      <c r="GL658" s="18"/>
      <c r="GM658" s="18"/>
      <c r="GN658" s="18"/>
      <c r="GO658" s="18"/>
      <c r="GP658" s="18"/>
      <c r="GQ658" s="18"/>
      <c r="GR658" s="18">
        <v>0</v>
      </c>
      <c r="GS658" s="18">
        <v>0</v>
      </c>
      <c r="GT658" s="18" t="s">
        <v>339</v>
      </c>
      <c r="GU658" s="18">
        <v>0</v>
      </c>
      <c r="GV658" s="18"/>
      <c r="GW658" s="18"/>
      <c r="GX658" s="18" t="b">
        <v>0</v>
      </c>
      <c r="GY658" s="18">
        <v>0</v>
      </c>
      <c r="GZ658" s="18" t="b">
        <v>1</v>
      </c>
      <c r="HA658" s="18">
        <v>0</v>
      </c>
      <c r="HB658" s="18">
        <v>0</v>
      </c>
      <c r="HC658" s="18">
        <v>0</v>
      </c>
      <c r="HD658" s="18">
        <v>0</v>
      </c>
      <c r="HE658" s="18" t="b">
        <v>0</v>
      </c>
      <c r="HF658" s="18">
        <v>0</v>
      </c>
      <c r="HG658" s="18">
        <v>0</v>
      </c>
      <c r="HH658" s="18" t="s">
        <v>339</v>
      </c>
      <c r="HI658" s="18" t="s">
        <v>334</v>
      </c>
      <c r="HJ658" s="18">
        <v>0</v>
      </c>
      <c r="HK658" s="18">
        <v>0</v>
      </c>
      <c r="HL658" s="18">
        <v>0</v>
      </c>
      <c r="HM658" s="18">
        <v>0</v>
      </c>
      <c r="HN658" s="18" t="b">
        <v>0</v>
      </c>
    </row>
    <row r="659" spans="1:222">
      <c r="A659"/>
      <c r="B659" s="29" cm="1">
        <f t="array" ref="B659">10000000+INDEX(编号表!$B$1:$B$112,MATCH(D659,编号表!$A$1:$A$112,0))*10000+I659</f>
        <v>10310006</v>
      </c>
      <c r="C659" s="18" t="s">
        <v>512</v>
      </c>
      <c r="D659" s="18" t="s">
        <v>512</v>
      </c>
      <c r="E659" s="18" t="s">
        <v>334</v>
      </c>
      <c r="F659" s="18" t="s">
        <v>323</v>
      </c>
      <c r="G659" s="18" t="b">
        <v>0</v>
      </c>
      <c r="H659" s="18" t="b">
        <v>1</v>
      </c>
      <c r="I659" s="18">
        <v>6</v>
      </c>
      <c r="J659" s="18">
        <v>103100</v>
      </c>
      <c r="K659" s="18" t="s">
        <v>324</v>
      </c>
      <c r="L659" s="18">
        <v>0</v>
      </c>
      <c r="M659" s="18">
        <v>0</v>
      </c>
      <c r="N659" s="18" t="s">
        <v>510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/>
      <c r="V659" s="18">
        <v>0</v>
      </c>
      <c r="W659" s="18">
        <v>0</v>
      </c>
      <c r="X659" s="18" t="s">
        <v>326</v>
      </c>
      <c r="Y659" s="18" t="s">
        <v>327</v>
      </c>
      <c r="Z659" s="18" t="s">
        <v>328</v>
      </c>
      <c r="AA659" s="18">
        <v>0</v>
      </c>
      <c r="AB659" s="18">
        <v>1</v>
      </c>
      <c r="AC659" s="18" t="b">
        <v>0</v>
      </c>
      <c r="AD659" s="18" t="s">
        <v>329</v>
      </c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 t="s">
        <v>330</v>
      </c>
      <c r="AZ659" s="18">
        <v>11600</v>
      </c>
      <c r="BA659" s="18" t="s">
        <v>331</v>
      </c>
      <c r="BB659" s="18" t="s">
        <v>328</v>
      </c>
      <c r="BC659" s="18">
        <v>10000</v>
      </c>
      <c r="BD659" s="18">
        <v>0</v>
      </c>
      <c r="BE659" s="18" t="s">
        <v>332</v>
      </c>
      <c r="BF659" s="18">
        <v>0</v>
      </c>
      <c r="BG659" s="18" t="s">
        <v>330</v>
      </c>
      <c r="BH659" s="18">
        <v>8500</v>
      </c>
      <c r="BI659" s="18">
        <v>7</v>
      </c>
      <c r="BJ659" s="18" t="b">
        <v>1</v>
      </c>
      <c r="BK659" s="18">
        <v>0</v>
      </c>
      <c r="BL659" s="18">
        <v>10000</v>
      </c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 t="s">
        <v>331</v>
      </c>
      <c r="CY659" s="18" t="s">
        <v>328</v>
      </c>
      <c r="CZ659" s="18">
        <v>10000</v>
      </c>
      <c r="DA659" s="18">
        <v>250</v>
      </c>
      <c r="DB659" s="18" t="s">
        <v>332</v>
      </c>
      <c r="DC659" s="18">
        <v>0</v>
      </c>
      <c r="DD659" s="18" t="s">
        <v>330</v>
      </c>
      <c r="DE659" s="18">
        <v>5000</v>
      </c>
      <c r="DF659" s="18">
        <v>1</v>
      </c>
      <c r="DG659" s="18" t="b">
        <v>1</v>
      </c>
      <c r="DH659" s="18">
        <v>0</v>
      </c>
      <c r="DI659" s="18">
        <v>10000</v>
      </c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  <c r="DU659" s="18"/>
      <c r="DV659" s="18"/>
      <c r="DW659" s="18"/>
      <c r="DX659" s="18"/>
      <c r="DY659" s="18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8"/>
      <c r="EM659" s="18"/>
      <c r="EN659" s="18"/>
      <c r="EO659" s="18"/>
      <c r="EP659" s="18"/>
      <c r="EQ659" s="18"/>
      <c r="ER659" s="18"/>
      <c r="ES659" s="18"/>
      <c r="ET659" s="18"/>
      <c r="EU659" s="18"/>
      <c r="EV659" s="18"/>
      <c r="EW659" s="18"/>
      <c r="EX659" s="18"/>
      <c r="EY659" s="18"/>
      <c r="EZ659" s="18"/>
      <c r="FA659" s="18"/>
      <c r="FB659" s="18"/>
      <c r="FC659" s="18"/>
      <c r="FD659" s="18"/>
      <c r="FE659" s="18"/>
      <c r="FF659" s="18"/>
      <c r="FG659" s="18"/>
      <c r="FH659" s="18"/>
      <c r="FI659" s="18"/>
      <c r="FJ659" s="18"/>
      <c r="FK659" s="18"/>
      <c r="FL659" s="18"/>
      <c r="FM659" s="18"/>
      <c r="FN659" s="18"/>
      <c r="FO659" s="18"/>
      <c r="FP659" s="18"/>
      <c r="FQ659" s="18"/>
      <c r="FR659" s="18"/>
      <c r="FS659" s="18"/>
      <c r="FT659" s="18"/>
      <c r="FU659" s="18"/>
      <c r="FV659" s="18"/>
      <c r="FW659" s="18"/>
      <c r="FX659" s="18"/>
      <c r="FY659" s="18"/>
      <c r="FZ659" s="18"/>
      <c r="GA659" s="18"/>
      <c r="GB659" s="18"/>
      <c r="GC659" s="18"/>
      <c r="GD659" s="18"/>
      <c r="GE659" s="18"/>
      <c r="GF659" s="18"/>
      <c r="GG659" s="18"/>
      <c r="GH659" s="18"/>
      <c r="GI659" s="18"/>
      <c r="GJ659" s="18"/>
      <c r="GK659" s="18"/>
      <c r="GL659" s="18"/>
      <c r="GM659" s="18"/>
      <c r="GN659" s="18"/>
      <c r="GO659" s="18"/>
      <c r="GP659" s="18"/>
      <c r="GQ659" s="18"/>
      <c r="GR659" s="18">
        <v>0</v>
      </c>
      <c r="GS659" s="18">
        <v>0</v>
      </c>
      <c r="GT659" s="18" t="s">
        <v>339</v>
      </c>
      <c r="GU659" s="18">
        <v>0</v>
      </c>
      <c r="GV659" s="18"/>
      <c r="GW659" s="18"/>
      <c r="GX659" s="18" t="b">
        <v>0</v>
      </c>
      <c r="GY659" s="18">
        <v>0</v>
      </c>
      <c r="GZ659" s="18" t="b">
        <v>1</v>
      </c>
      <c r="HA659" s="18">
        <v>0</v>
      </c>
      <c r="HB659" s="18">
        <v>0</v>
      </c>
      <c r="HC659" s="18">
        <v>0</v>
      </c>
      <c r="HD659" s="18">
        <v>0</v>
      </c>
      <c r="HE659" s="18" t="b">
        <v>0</v>
      </c>
      <c r="HF659" s="18">
        <v>0</v>
      </c>
      <c r="HG659" s="18">
        <v>0</v>
      </c>
      <c r="HH659" s="18" t="s">
        <v>339</v>
      </c>
      <c r="HI659" s="18" t="s">
        <v>334</v>
      </c>
      <c r="HJ659" s="18">
        <v>0</v>
      </c>
      <c r="HK659" s="18">
        <v>0</v>
      </c>
      <c r="HL659" s="18">
        <v>0</v>
      </c>
      <c r="HM659" s="18">
        <v>0</v>
      </c>
      <c r="HN659" s="18" t="b">
        <v>0</v>
      </c>
    </row>
    <row r="660" spans="1:222">
      <c r="A660"/>
      <c r="B660" s="29" cm="1">
        <f t="array" ref="B660">10000000+INDEX(编号表!$B$1:$B$112,MATCH(D660,编号表!$A$1:$A$112,0))*10000+I660</f>
        <v>10310007</v>
      </c>
      <c r="C660" s="18" t="s">
        <v>512</v>
      </c>
      <c r="D660" s="18" t="s">
        <v>512</v>
      </c>
      <c r="E660" s="18" t="s">
        <v>334</v>
      </c>
      <c r="F660" s="18" t="s">
        <v>323</v>
      </c>
      <c r="G660" s="18" t="b">
        <v>0</v>
      </c>
      <c r="H660" s="18" t="b">
        <v>1</v>
      </c>
      <c r="I660" s="18">
        <v>7</v>
      </c>
      <c r="J660" s="18">
        <v>103100</v>
      </c>
      <c r="K660" s="18" t="s">
        <v>324</v>
      </c>
      <c r="L660" s="18">
        <v>0</v>
      </c>
      <c r="M660" s="18">
        <v>0</v>
      </c>
      <c r="N660" s="18" t="s">
        <v>510</v>
      </c>
      <c r="O660" s="18">
        <v>0</v>
      </c>
      <c r="P660" s="18">
        <v>0</v>
      </c>
      <c r="Q660" s="18">
        <v>0</v>
      </c>
      <c r="R660" s="18">
        <v>0</v>
      </c>
      <c r="S660" s="18">
        <v>0</v>
      </c>
      <c r="T660" s="18">
        <v>0</v>
      </c>
      <c r="U660" s="18"/>
      <c r="V660" s="18">
        <v>0</v>
      </c>
      <c r="W660" s="18">
        <v>0</v>
      </c>
      <c r="X660" s="18" t="s">
        <v>326</v>
      </c>
      <c r="Y660" s="18" t="s">
        <v>327</v>
      </c>
      <c r="Z660" s="18" t="s">
        <v>328</v>
      </c>
      <c r="AA660" s="18">
        <v>0</v>
      </c>
      <c r="AB660" s="18">
        <v>1</v>
      </c>
      <c r="AC660" s="18" t="b">
        <v>0</v>
      </c>
      <c r="AD660" s="18" t="s">
        <v>329</v>
      </c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 t="s">
        <v>330</v>
      </c>
      <c r="AZ660" s="18">
        <v>11700</v>
      </c>
      <c r="BA660" s="18" t="s">
        <v>331</v>
      </c>
      <c r="BB660" s="18" t="s">
        <v>328</v>
      </c>
      <c r="BC660" s="18">
        <v>10000</v>
      </c>
      <c r="BD660" s="18">
        <v>0</v>
      </c>
      <c r="BE660" s="18" t="s">
        <v>332</v>
      </c>
      <c r="BF660" s="18">
        <v>0</v>
      </c>
      <c r="BG660" s="18" t="s">
        <v>330</v>
      </c>
      <c r="BH660" s="18">
        <v>8500</v>
      </c>
      <c r="BI660" s="18">
        <v>9</v>
      </c>
      <c r="BJ660" s="18" t="b">
        <v>1</v>
      </c>
      <c r="BK660" s="18">
        <v>0</v>
      </c>
      <c r="BL660" s="18">
        <v>10000</v>
      </c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 t="s">
        <v>331</v>
      </c>
      <c r="CY660" s="18" t="s">
        <v>328</v>
      </c>
      <c r="CZ660" s="18">
        <v>10000</v>
      </c>
      <c r="DA660" s="18">
        <v>250</v>
      </c>
      <c r="DB660" s="18" t="s">
        <v>332</v>
      </c>
      <c r="DC660" s="18">
        <v>0</v>
      </c>
      <c r="DD660" s="18" t="s">
        <v>330</v>
      </c>
      <c r="DE660" s="18">
        <v>5000</v>
      </c>
      <c r="DF660" s="18">
        <v>1</v>
      </c>
      <c r="DG660" s="18" t="b">
        <v>1</v>
      </c>
      <c r="DH660" s="18">
        <v>0</v>
      </c>
      <c r="DI660" s="18">
        <v>10000</v>
      </c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  <c r="DU660" s="18"/>
      <c r="DV660" s="18"/>
      <c r="DW660" s="18"/>
      <c r="DX660" s="18"/>
      <c r="DY660" s="18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8"/>
      <c r="EM660" s="18"/>
      <c r="EN660" s="18"/>
      <c r="EO660" s="18"/>
      <c r="EP660" s="18"/>
      <c r="EQ660" s="18"/>
      <c r="ER660" s="18"/>
      <c r="ES660" s="18"/>
      <c r="ET660" s="18"/>
      <c r="EU660" s="18"/>
      <c r="EV660" s="18"/>
      <c r="EW660" s="18"/>
      <c r="EX660" s="18"/>
      <c r="EY660" s="18"/>
      <c r="EZ660" s="18"/>
      <c r="FA660" s="18"/>
      <c r="FB660" s="18"/>
      <c r="FC660" s="18"/>
      <c r="FD660" s="18"/>
      <c r="FE660" s="18"/>
      <c r="FF660" s="18"/>
      <c r="FG660" s="18"/>
      <c r="FH660" s="18"/>
      <c r="FI660" s="18"/>
      <c r="FJ660" s="18"/>
      <c r="FK660" s="18"/>
      <c r="FL660" s="18"/>
      <c r="FM660" s="18"/>
      <c r="FN660" s="18"/>
      <c r="FO660" s="18"/>
      <c r="FP660" s="18"/>
      <c r="FQ660" s="18"/>
      <c r="FR660" s="18"/>
      <c r="FS660" s="18"/>
      <c r="FT660" s="18"/>
      <c r="FU660" s="18"/>
      <c r="FV660" s="18"/>
      <c r="FW660" s="18"/>
      <c r="FX660" s="18"/>
      <c r="FY660" s="18"/>
      <c r="FZ660" s="18"/>
      <c r="GA660" s="18"/>
      <c r="GB660" s="18"/>
      <c r="GC660" s="18"/>
      <c r="GD660" s="18"/>
      <c r="GE660" s="18"/>
      <c r="GF660" s="18"/>
      <c r="GG660" s="18"/>
      <c r="GH660" s="18"/>
      <c r="GI660" s="18"/>
      <c r="GJ660" s="18"/>
      <c r="GK660" s="18"/>
      <c r="GL660" s="18"/>
      <c r="GM660" s="18"/>
      <c r="GN660" s="18"/>
      <c r="GO660" s="18"/>
      <c r="GP660" s="18"/>
      <c r="GQ660" s="18"/>
      <c r="GR660" s="18">
        <v>0</v>
      </c>
      <c r="GS660" s="18">
        <v>0</v>
      </c>
      <c r="GT660" s="18" t="s">
        <v>339</v>
      </c>
      <c r="GU660" s="18">
        <v>0</v>
      </c>
      <c r="GV660" s="18"/>
      <c r="GW660" s="18"/>
      <c r="GX660" s="18" t="b">
        <v>0</v>
      </c>
      <c r="GY660" s="18">
        <v>0</v>
      </c>
      <c r="GZ660" s="18" t="b">
        <v>1</v>
      </c>
      <c r="HA660" s="18">
        <v>0</v>
      </c>
      <c r="HB660" s="18">
        <v>0</v>
      </c>
      <c r="HC660" s="18">
        <v>0</v>
      </c>
      <c r="HD660" s="18">
        <v>0</v>
      </c>
      <c r="HE660" s="18" t="b">
        <v>0</v>
      </c>
      <c r="HF660" s="18">
        <v>0</v>
      </c>
      <c r="HG660" s="18">
        <v>0</v>
      </c>
      <c r="HH660" s="18" t="s">
        <v>339</v>
      </c>
      <c r="HI660" s="18" t="s">
        <v>334</v>
      </c>
      <c r="HJ660" s="18">
        <v>0</v>
      </c>
      <c r="HK660" s="18">
        <v>0</v>
      </c>
      <c r="HL660" s="18">
        <v>0</v>
      </c>
      <c r="HM660" s="18">
        <v>0</v>
      </c>
      <c r="HN660" s="18" t="b">
        <v>0</v>
      </c>
    </row>
    <row r="661" spans="1:222">
      <c r="A661"/>
      <c r="B661" s="29" cm="1">
        <f t="array" ref="B661">10000000+INDEX(编号表!$B$1:$B$112,MATCH(D661,编号表!$A$1:$A$112,0))*10000+I661</f>
        <v>10310008</v>
      </c>
      <c r="C661" s="18" t="s">
        <v>512</v>
      </c>
      <c r="D661" s="18" t="s">
        <v>512</v>
      </c>
      <c r="E661" s="18" t="s">
        <v>334</v>
      </c>
      <c r="F661" s="18" t="s">
        <v>323</v>
      </c>
      <c r="G661" s="18" t="b">
        <v>0</v>
      </c>
      <c r="H661" s="18" t="b">
        <v>1</v>
      </c>
      <c r="I661" s="18">
        <v>8</v>
      </c>
      <c r="J661" s="18">
        <v>103100</v>
      </c>
      <c r="K661" s="18" t="s">
        <v>324</v>
      </c>
      <c r="L661" s="18">
        <v>0</v>
      </c>
      <c r="M661" s="18">
        <v>0</v>
      </c>
      <c r="N661" s="18" t="s">
        <v>510</v>
      </c>
      <c r="O661" s="18">
        <v>0</v>
      </c>
      <c r="P661" s="18">
        <v>0</v>
      </c>
      <c r="Q661" s="18">
        <v>0</v>
      </c>
      <c r="R661" s="18">
        <v>0</v>
      </c>
      <c r="S661" s="18">
        <v>0</v>
      </c>
      <c r="T661" s="18">
        <v>0</v>
      </c>
      <c r="U661" s="18"/>
      <c r="V661" s="18">
        <v>0</v>
      </c>
      <c r="W661" s="18">
        <v>0</v>
      </c>
      <c r="X661" s="18" t="s">
        <v>326</v>
      </c>
      <c r="Y661" s="18" t="s">
        <v>327</v>
      </c>
      <c r="Z661" s="18" t="s">
        <v>328</v>
      </c>
      <c r="AA661" s="18">
        <v>0</v>
      </c>
      <c r="AB661" s="18">
        <v>1</v>
      </c>
      <c r="AC661" s="18" t="b">
        <v>0</v>
      </c>
      <c r="AD661" s="18" t="s">
        <v>329</v>
      </c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 t="s">
        <v>330</v>
      </c>
      <c r="AZ661" s="18">
        <v>11800</v>
      </c>
      <c r="BA661" s="18" t="s">
        <v>331</v>
      </c>
      <c r="BB661" s="18" t="s">
        <v>328</v>
      </c>
      <c r="BC661" s="18">
        <v>10000</v>
      </c>
      <c r="BD661" s="18">
        <v>0</v>
      </c>
      <c r="BE661" s="18" t="s">
        <v>332</v>
      </c>
      <c r="BF661" s="18">
        <v>0</v>
      </c>
      <c r="BG661" s="18" t="s">
        <v>330</v>
      </c>
      <c r="BH661" s="18">
        <v>8500</v>
      </c>
      <c r="BI661" s="18">
        <v>10</v>
      </c>
      <c r="BJ661" s="18" t="b">
        <v>1</v>
      </c>
      <c r="BK661" s="18">
        <v>0</v>
      </c>
      <c r="BL661" s="18">
        <v>10000</v>
      </c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 t="s">
        <v>331</v>
      </c>
      <c r="CY661" s="18" t="s">
        <v>328</v>
      </c>
      <c r="CZ661" s="18">
        <v>10000</v>
      </c>
      <c r="DA661" s="18">
        <v>250</v>
      </c>
      <c r="DB661" s="18" t="s">
        <v>332</v>
      </c>
      <c r="DC661" s="18">
        <v>0</v>
      </c>
      <c r="DD661" s="18" t="s">
        <v>330</v>
      </c>
      <c r="DE661" s="18">
        <v>5000</v>
      </c>
      <c r="DF661" s="18">
        <v>2</v>
      </c>
      <c r="DG661" s="18" t="b">
        <v>1</v>
      </c>
      <c r="DH661" s="18">
        <v>0</v>
      </c>
      <c r="DI661" s="18">
        <v>10000</v>
      </c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  <c r="EM661" s="18"/>
      <c r="EN661" s="18"/>
      <c r="EO661" s="18"/>
      <c r="EP661" s="18"/>
      <c r="EQ661" s="18"/>
      <c r="ER661" s="18"/>
      <c r="ES661" s="18"/>
      <c r="ET661" s="18"/>
      <c r="EU661" s="18"/>
      <c r="EV661" s="18"/>
      <c r="EW661" s="18"/>
      <c r="EX661" s="18"/>
      <c r="EY661" s="18"/>
      <c r="EZ661" s="18"/>
      <c r="FA661" s="18"/>
      <c r="FB661" s="18"/>
      <c r="FC661" s="18"/>
      <c r="FD661" s="18"/>
      <c r="FE661" s="18"/>
      <c r="FF661" s="18"/>
      <c r="FG661" s="18"/>
      <c r="FH661" s="18"/>
      <c r="FI661" s="18"/>
      <c r="FJ661" s="18"/>
      <c r="FK661" s="18"/>
      <c r="FL661" s="18"/>
      <c r="FM661" s="18"/>
      <c r="FN661" s="18"/>
      <c r="FO661" s="18"/>
      <c r="FP661" s="18"/>
      <c r="FQ661" s="18"/>
      <c r="FR661" s="18"/>
      <c r="FS661" s="18"/>
      <c r="FT661" s="18"/>
      <c r="FU661" s="18"/>
      <c r="FV661" s="18"/>
      <c r="FW661" s="18"/>
      <c r="FX661" s="18"/>
      <c r="FY661" s="18"/>
      <c r="FZ661" s="18"/>
      <c r="GA661" s="18"/>
      <c r="GB661" s="18"/>
      <c r="GC661" s="18"/>
      <c r="GD661" s="18"/>
      <c r="GE661" s="18"/>
      <c r="GF661" s="18"/>
      <c r="GG661" s="18"/>
      <c r="GH661" s="18"/>
      <c r="GI661" s="18"/>
      <c r="GJ661" s="18"/>
      <c r="GK661" s="18"/>
      <c r="GL661" s="18"/>
      <c r="GM661" s="18"/>
      <c r="GN661" s="18"/>
      <c r="GO661" s="18"/>
      <c r="GP661" s="18"/>
      <c r="GQ661" s="18"/>
      <c r="GR661" s="18">
        <v>0</v>
      </c>
      <c r="GS661" s="18">
        <v>0</v>
      </c>
      <c r="GT661" s="18" t="s">
        <v>339</v>
      </c>
      <c r="GU661" s="18">
        <v>0</v>
      </c>
      <c r="GV661" s="18"/>
      <c r="GW661" s="18"/>
      <c r="GX661" s="18" t="b">
        <v>0</v>
      </c>
      <c r="GY661" s="18">
        <v>0</v>
      </c>
      <c r="GZ661" s="18" t="b">
        <v>1</v>
      </c>
      <c r="HA661" s="18">
        <v>0</v>
      </c>
      <c r="HB661" s="18">
        <v>0</v>
      </c>
      <c r="HC661" s="18">
        <v>0</v>
      </c>
      <c r="HD661" s="18">
        <v>0</v>
      </c>
      <c r="HE661" s="18" t="b">
        <v>0</v>
      </c>
      <c r="HF661" s="18">
        <v>0</v>
      </c>
      <c r="HG661" s="18">
        <v>0</v>
      </c>
      <c r="HH661" s="18" t="s">
        <v>339</v>
      </c>
      <c r="HI661" s="18" t="s">
        <v>334</v>
      </c>
      <c r="HJ661" s="18">
        <v>0</v>
      </c>
      <c r="HK661" s="18">
        <v>0</v>
      </c>
      <c r="HL661" s="18">
        <v>0</v>
      </c>
      <c r="HM661" s="18">
        <v>0</v>
      </c>
      <c r="HN661" s="18" t="b">
        <v>0</v>
      </c>
    </row>
    <row r="662" spans="1:222">
      <c r="A662"/>
      <c r="B662" s="29" cm="1">
        <f t="array" ref="B662">10000000+INDEX(编号表!$B$1:$B$112,MATCH(D662,编号表!$A$1:$A$112,0))*10000+I662</f>
        <v>10310009</v>
      </c>
      <c r="C662" s="18" t="s">
        <v>512</v>
      </c>
      <c r="D662" s="18" t="s">
        <v>512</v>
      </c>
      <c r="E662" s="18" t="s">
        <v>334</v>
      </c>
      <c r="F662" s="18" t="s">
        <v>323</v>
      </c>
      <c r="G662" s="18" t="b">
        <v>0</v>
      </c>
      <c r="H662" s="18" t="b">
        <v>1</v>
      </c>
      <c r="I662" s="18">
        <v>9</v>
      </c>
      <c r="J662" s="18">
        <v>103100</v>
      </c>
      <c r="K662" s="18" t="s">
        <v>324</v>
      </c>
      <c r="L662" s="18">
        <v>0</v>
      </c>
      <c r="M662" s="18">
        <v>0</v>
      </c>
      <c r="N662" s="18" t="s">
        <v>510</v>
      </c>
      <c r="O662" s="18">
        <v>0</v>
      </c>
      <c r="P662" s="18">
        <v>0</v>
      </c>
      <c r="Q662" s="18">
        <v>0</v>
      </c>
      <c r="R662" s="18">
        <v>0</v>
      </c>
      <c r="S662" s="18">
        <v>0</v>
      </c>
      <c r="T662" s="18">
        <v>0</v>
      </c>
      <c r="U662" s="18"/>
      <c r="V662" s="18">
        <v>0</v>
      </c>
      <c r="W662" s="18">
        <v>0</v>
      </c>
      <c r="X662" s="18" t="s">
        <v>326</v>
      </c>
      <c r="Y662" s="18" t="s">
        <v>327</v>
      </c>
      <c r="Z662" s="18" t="s">
        <v>328</v>
      </c>
      <c r="AA662" s="18">
        <v>0</v>
      </c>
      <c r="AB662" s="18">
        <v>1</v>
      </c>
      <c r="AC662" s="18" t="b">
        <v>0</v>
      </c>
      <c r="AD662" s="18" t="s">
        <v>329</v>
      </c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 t="s">
        <v>330</v>
      </c>
      <c r="AZ662" s="18">
        <v>11900</v>
      </c>
      <c r="BA662" s="18" t="s">
        <v>331</v>
      </c>
      <c r="BB662" s="18" t="s">
        <v>328</v>
      </c>
      <c r="BC662" s="18">
        <v>10000</v>
      </c>
      <c r="BD662" s="18">
        <v>0</v>
      </c>
      <c r="BE662" s="18" t="s">
        <v>332</v>
      </c>
      <c r="BF662" s="18">
        <v>0</v>
      </c>
      <c r="BG662" s="18" t="s">
        <v>330</v>
      </c>
      <c r="BH662" s="18">
        <v>8500</v>
      </c>
      <c r="BI662" s="18">
        <v>12</v>
      </c>
      <c r="BJ662" s="18" t="b">
        <v>1</v>
      </c>
      <c r="BK662" s="18">
        <v>0</v>
      </c>
      <c r="BL662" s="18">
        <v>10000</v>
      </c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 t="s">
        <v>331</v>
      </c>
      <c r="CY662" s="18" t="s">
        <v>328</v>
      </c>
      <c r="CZ662" s="18">
        <v>10000</v>
      </c>
      <c r="DA662" s="18">
        <v>250</v>
      </c>
      <c r="DB662" s="18" t="s">
        <v>332</v>
      </c>
      <c r="DC662" s="18">
        <v>0</v>
      </c>
      <c r="DD662" s="18" t="s">
        <v>330</v>
      </c>
      <c r="DE662" s="18">
        <v>5000</v>
      </c>
      <c r="DF662" s="18">
        <v>2</v>
      </c>
      <c r="DG662" s="18" t="b">
        <v>1</v>
      </c>
      <c r="DH662" s="18">
        <v>0</v>
      </c>
      <c r="DI662" s="18">
        <v>10000</v>
      </c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  <c r="DU662" s="18"/>
      <c r="DV662" s="18"/>
      <c r="DW662" s="18"/>
      <c r="DX662" s="18"/>
      <c r="DY662" s="18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8"/>
      <c r="EM662" s="18"/>
      <c r="EN662" s="18"/>
      <c r="EO662" s="18"/>
      <c r="EP662" s="18"/>
      <c r="EQ662" s="18"/>
      <c r="ER662" s="18"/>
      <c r="ES662" s="18"/>
      <c r="ET662" s="18"/>
      <c r="EU662" s="18"/>
      <c r="EV662" s="18"/>
      <c r="EW662" s="18"/>
      <c r="EX662" s="18"/>
      <c r="EY662" s="18"/>
      <c r="EZ662" s="18"/>
      <c r="FA662" s="18"/>
      <c r="FB662" s="18"/>
      <c r="FC662" s="18"/>
      <c r="FD662" s="18"/>
      <c r="FE662" s="18"/>
      <c r="FF662" s="18"/>
      <c r="FG662" s="18"/>
      <c r="FH662" s="18"/>
      <c r="FI662" s="18"/>
      <c r="FJ662" s="18"/>
      <c r="FK662" s="18"/>
      <c r="FL662" s="18"/>
      <c r="FM662" s="18"/>
      <c r="FN662" s="18"/>
      <c r="FO662" s="18"/>
      <c r="FP662" s="18"/>
      <c r="FQ662" s="18"/>
      <c r="FR662" s="18"/>
      <c r="FS662" s="18"/>
      <c r="FT662" s="18"/>
      <c r="FU662" s="18"/>
      <c r="FV662" s="18"/>
      <c r="FW662" s="18"/>
      <c r="FX662" s="18"/>
      <c r="FY662" s="18"/>
      <c r="FZ662" s="18"/>
      <c r="GA662" s="18"/>
      <c r="GB662" s="18"/>
      <c r="GC662" s="18"/>
      <c r="GD662" s="18"/>
      <c r="GE662" s="18"/>
      <c r="GF662" s="18"/>
      <c r="GG662" s="18"/>
      <c r="GH662" s="18"/>
      <c r="GI662" s="18"/>
      <c r="GJ662" s="18"/>
      <c r="GK662" s="18"/>
      <c r="GL662" s="18"/>
      <c r="GM662" s="18"/>
      <c r="GN662" s="18"/>
      <c r="GO662" s="18"/>
      <c r="GP662" s="18"/>
      <c r="GQ662" s="18"/>
      <c r="GR662" s="18">
        <v>0</v>
      </c>
      <c r="GS662" s="18">
        <v>0</v>
      </c>
      <c r="GT662" s="18" t="s">
        <v>339</v>
      </c>
      <c r="GU662" s="18">
        <v>0</v>
      </c>
      <c r="GV662" s="18"/>
      <c r="GW662" s="18"/>
      <c r="GX662" s="18" t="b">
        <v>0</v>
      </c>
      <c r="GY662" s="18">
        <v>0</v>
      </c>
      <c r="GZ662" s="18" t="b">
        <v>1</v>
      </c>
      <c r="HA662" s="18">
        <v>0</v>
      </c>
      <c r="HB662" s="18">
        <v>0</v>
      </c>
      <c r="HC662" s="18">
        <v>0</v>
      </c>
      <c r="HD662" s="18">
        <v>0</v>
      </c>
      <c r="HE662" s="18" t="b">
        <v>0</v>
      </c>
      <c r="HF662" s="18">
        <v>0</v>
      </c>
      <c r="HG662" s="18">
        <v>0</v>
      </c>
      <c r="HH662" s="18" t="s">
        <v>339</v>
      </c>
      <c r="HI662" s="18" t="s">
        <v>334</v>
      </c>
      <c r="HJ662" s="18">
        <v>0</v>
      </c>
      <c r="HK662" s="18">
        <v>0</v>
      </c>
      <c r="HL662" s="18">
        <v>0</v>
      </c>
      <c r="HM662" s="18">
        <v>0</v>
      </c>
      <c r="HN662" s="18" t="b">
        <v>0</v>
      </c>
    </row>
    <row r="663" spans="1:222">
      <c r="A663"/>
      <c r="B663" s="29" cm="1">
        <f t="array" ref="B663">10000000+INDEX(编号表!$B$1:$B$112,MATCH(D663,编号表!$A$1:$A$112,0))*10000+I663</f>
        <v>10310010</v>
      </c>
      <c r="C663" s="18" t="s">
        <v>512</v>
      </c>
      <c r="D663" s="18" t="s">
        <v>512</v>
      </c>
      <c r="E663" s="18" t="s">
        <v>334</v>
      </c>
      <c r="F663" s="18" t="s">
        <v>323</v>
      </c>
      <c r="G663" s="18" t="b">
        <v>0</v>
      </c>
      <c r="H663" s="18" t="b">
        <v>1</v>
      </c>
      <c r="I663" s="18">
        <v>10</v>
      </c>
      <c r="J663" s="18">
        <v>103100</v>
      </c>
      <c r="K663" s="18" t="s">
        <v>324</v>
      </c>
      <c r="L663" s="18">
        <v>0</v>
      </c>
      <c r="M663" s="18">
        <v>0</v>
      </c>
      <c r="N663" s="18" t="s">
        <v>510</v>
      </c>
      <c r="O663" s="18">
        <v>0</v>
      </c>
      <c r="P663" s="18">
        <v>0</v>
      </c>
      <c r="Q663" s="18">
        <v>0</v>
      </c>
      <c r="R663" s="18">
        <v>0</v>
      </c>
      <c r="S663" s="18">
        <v>0</v>
      </c>
      <c r="T663" s="18">
        <v>0</v>
      </c>
      <c r="U663" s="18"/>
      <c r="V663" s="18">
        <v>0</v>
      </c>
      <c r="W663" s="18">
        <v>0</v>
      </c>
      <c r="X663" s="18" t="s">
        <v>326</v>
      </c>
      <c r="Y663" s="18" t="s">
        <v>327</v>
      </c>
      <c r="Z663" s="18" t="s">
        <v>328</v>
      </c>
      <c r="AA663" s="18">
        <v>0</v>
      </c>
      <c r="AB663" s="18">
        <v>1</v>
      </c>
      <c r="AC663" s="18" t="b">
        <v>0</v>
      </c>
      <c r="AD663" s="18" t="s">
        <v>329</v>
      </c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 t="s">
        <v>330</v>
      </c>
      <c r="AZ663" s="18">
        <v>12000</v>
      </c>
      <c r="BA663" s="18" t="s">
        <v>331</v>
      </c>
      <c r="BB663" s="18" t="s">
        <v>328</v>
      </c>
      <c r="BC663" s="18">
        <v>10000</v>
      </c>
      <c r="BD663" s="18">
        <v>0</v>
      </c>
      <c r="BE663" s="18" t="s">
        <v>332</v>
      </c>
      <c r="BF663" s="18">
        <v>0</v>
      </c>
      <c r="BG663" s="18" t="s">
        <v>330</v>
      </c>
      <c r="BH663" s="18">
        <v>8500</v>
      </c>
      <c r="BI663" s="18">
        <v>15</v>
      </c>
      <c r="BJ663" s="18" t="b">
        <v>1</v>
      </c>
      <c r="BK663" s="18">
        <v>0</v>
      </c>
      <c r="BL663" s="18">
        <v>10000</v>
      </c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 t="s">
        <v>331</v>
      </c>
      <c r="CY663" s="18" t="s">
        <v>328</v>
      </c>
      <c r="CZ663" s="18">
        <v>10000</v>
      </c>
      <c r="DA663" s="18">
        <v>250</v>
      </c>
      <c r="DB663" s="18" t="s">
        <v>332</v>
      </c>
      <c r="DC663" s="18">
        <v>0</v>
      </c>
      <c r="DD663" s="18" t="s">
        <v>330</v>
      </c>
      <c r="DE663" s="18">
        <v>5000</v>
      </c>
      <c r="DF663" s="18">
        <v>2</v>
      </c>
      <c r="DG663" s="18" t="b">
        <v>1</v>
      </c>
      <c r="DH663" s="18">
        <v>0</v>
      </c>
      <c r="DI663" s="18">
        <v>10000</v>
      </c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  <c r="DU663" s="18"/>
      <c r="DV663" s="18"/>
      <c r="DW663" s="18"/>
      <c r="DX663" s="18"/>
      <c r="DY663" s="18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8"/>
      <c r="EM663" s="18"/>
      <c r="EN663" s="18"/>
      <c r="EO663" s="18"/>
      <c r="EP663" s="18"/>
      <c r="EQ663" s="18"/>
      <c r="ER663" s="18"/>
      <c r="ES663" s="18"/>
      <c r="ET663" s="18"/>
      <c r="EU663" s="18"/>
      <c r="EV663" s="18"/>
      <c r="EW663" s="18"/>
      <c r="EX663" s="18"/>
      <c r="EY663" s="18"/>
      <c r="EZ663" s="18"/>
      <c r="FA663" s="18"/>
      <c r="FB663" s="18"/>
      <c r="FC663" s="18"/>
      <c r="FD663" s="18"/>
      <c r="FE663" s="18"/>
      <c r="FF663" s="18"/>
      <c r="FG663" s="18"/>
      <c r="FH663" s="18"/>
      <c r="FI663" s="18"/>
      <c r="FJ663" s="18"/>
      <c r="FK663" s="18"/>
      <c r="FL663" s="18"/>
      <c r="FM663" s="18"/>
      <c r="FN663" s="18"/>
      <c r="FO663" s="18"/>
      <c r="FP663" s="18"/>
      <c r="FQ663" s="18"/>
      <c r="FR663" s="18"/>
      <c r="FS663" s="18"/>
      <c r="FT663" s="18"/>
      <c r="FU663" s="18"/>
      <c r="FV663" s="18"/>
      <c r="FW663" s="18"/>
      <c r="FX663" s="18"/>
      <c r="FY663" s="18"/>
      <c r="FZ663" s="18"/>
      <c r="GA663" s="18"/>
      <c r="GB663" s="18"/>
      <c r="GC663" s="18"/>
      <c r="GD663" s="18"/>
      <c r="GE663" s="18"/>
      <c r="GF663" s="18"/>
      <c r="GG663" s="18"/>
      <c r="GH663" s="18"/>
      <c r="GI663" s="18"/>
      <c r="GJ663" s="18"/>
      <c r="GK663" s="18"/>
      <c r="GL663" s="18"/>
      <c r="GM663" s="18"/>
      <c r="GN663" s="18"/>
      <c r="GO663" s="18"/>
      <c r="GP663" s="18"/>
      <c r="GQ663" s="18"/>
      <c r="GR663" s="18">
        <v>0</v>
      </c>
      <c r="GS663" s="18">
        <v>0</v>
      </c>
      <c r="GT663" s="18" t="s">
        <v>339</v>
      </c>
      <c r="GU663" s="18">
        <v>0</v>
      </c>
      <c r="GV663" s="18"/>
      <c r="GW663" s="18"/>
      <c r="GX663" s="18" t="b">
        <v>0</v>
      </c>
      <c r="GY663" s="18">
        <v>0</v>
      </c>
      <c r="GZ663" s="18" t="b">
        <v>1</v>
      </c>
      <c r="HA663" s="18">
        <v>0</v>
      </c>
      <c r="HB663" s="18">
        <v>0</v>
      </c>
      <c r="HC663" s="18">
        <v>0</v>
      </c>
      <c r="HD663" s="18">
        <v>0</v>
      </c>
      <c r="HE663" s="18" t="b">
        <v>0</v>
      </c>
      <c r="HF663" s="18">
        <v>0</v>
      </c>
      <c r="HG663" s="18">
        <v>0</v>
      </c>
      <c r="HH663" s="18" t="s">
        <v>339</v>
      </c>
      <c r="HI663" s="18" t="s">
        <v>334</v>
      </c>
      <c r="HJ663" s="18">
        <v>0</v>
      </c>
      <c r="HK663" s="18">
        <v>0</v>
      </c>
      <c r="HL663" s="18">
        <v>0</v>
      </c>
      <c r="HM663" s="18">
        <v>0</v>
      </c>
      <c r="HN663" s="18" t="b">
        <v>0</v>
      </c>
    </row>
    <row r="664" spans="1:222">
      <c r="A664"/>
      <c r="B664" s="29" cm="1">
        <f t="array" ref="B664">10000000+INDEX(编号表!$B$1:$B$112,MATCH(D664,编号表!$A$1:$A$112,0))*10000+I664</f>
        <v>10320001</v>
      </c>
      <c r="C664" s="18" t="s">
        <v>513</v>
      </c>
      <c r="D664" s="18" t="s">
        <v>513</v>
      </c>
      <c r="E664" s="18" t="s">
        <v>334</v>
      </c>
      <c r="F664" s="18" t="s">
        <v>323</v>
      </c>
      <c r="G664" s="18" t="b">
        <v>0</v>
      </c>
      <c r="H664" s="18" t="b">
        <v>1</v>
      </c>
      <c r="I664" s="18">
        <v>1</v>
      </c>
      <c r="J664" s="18">
        <v>103200</v>
      </c>
      <c r="K664" s="18" t="s">
        <v>324</v>
      </c>
      <c r="L664" s="18">
        <v>0</v>
      </c>
      <c r="M664" s="18">
        <v>0</v>
      </c>
      <c r="N664" s="18" t="s">
        <v>510</v>
      </c>
      <c r="O664" s="18">
        <v>0</v>
      </c>
      <c r="P664" s="18">
        <v>0</v>
      </c>
      <c r="Q664" s="18">
        <v>0</v>
      </c>
      <c r="R664" s="18">
        <v>0</v>
      </c>
      <c r="S664" s="18">
        <v>0</v>
      </c>
      <c r="T664" s="18">
        <v>0</v>
      </c>
      <c r="U664" s="18"/>
      <c r="V664" s="18">
        <v>0</v>
      </c>
      <c r="W664" s="18">
        <v>0</v>
      </c>
      <c r="X664" s="18" t="s">
        <v>326</v>
      </c>
      <c r="Y664" s="18" t="s">
        <v>327</v>
      </c>
      <c r="Z664" s="18" t="s">
        <v>328</v>
      </c>
      <c r="AA664" s="18">
        <v>0</v>
      </c>
      <c r="AB664" s="18">
        <v>1</v>
      </c>
      <c r="AC664" s="18" t="b">
        <v>0</v>
      </c>
      <c r="AD664" s="18" t="s">
        <v>329</v>
      </c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 t="s">
        <v>330</v>
      </c>
      <c r="AZ664" s="18">
        <v>10000</v>
      </c>
      <c r="BA664" s="18" t="s">
        <v>331</v>
      </c>
      <c r="BB664" s="18" t="s">
        <v>328</v>
      </c>
      <c r="BC664" s="18">
        <v>10000</v>
      </c>
      <c r="BD664" s="18">
        <v>0</v>
      </c>
      <c r="BE664" s="18" t="s">
        <v>332</v>
      </c>
      <c r="BF664" s="18">
        <v>0</v>
      </c>
      <c r="BG664" s="18" t="s">
        <v>330</v>
      </c>
      <c r="BH664" s="18">
        <v>800</v>
      </c>
      <c r="BI664" s="18">
        <v>0</v>
      </c>
      <c r="BJ664" s="18" t="b">
        <v>1</v>
      </c>
      <c r="BK664" s="18">
        <v>0</v>
      </c>
      <c r="BL664" s="18">
        <v>10000</v>
      </c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  <c r="DU664" s="18"/>
      <c r="DV664" s="18"/>
      <c r="DW664" s="18"/>
      <c r="DX664" s="18"/>
      <c r="DY664" s="18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8"/>
      <c r="EM664" s="18"/>
      <c r="EN664" s="18"/>
      <c r="EO664" s="18"/>
      <c r="EP664" s="18"/>
      <c r="EQ664" s="18"/>
      <c r="ER664" s="18"/>
      <c r="ES664" s="18"/>
      <c r="ET664" s="18"/>
      <c r="EU664" s="18"/>
      <c r="EV664" s="18"/>
      <c r="EW664" s="18"/>
      <c r="EX664" s="18"/>
      <c r="EY664" s="18"/>
      <c r="EZ664" s="18"/>
      <c r="FA664" s="18"/>
      <c r="FB664" s="18"/>
      <c r="FC664" s="18"/>
      <c r="FD664" s="18"/>
      <c r="FE664" s="18"/>
      <c r="FF664" s="18"/>
      <c r="FG664" s="18"/>
      <c r="FH664" s="18"/>
      <c r="FI664" s="18"/>
      <c r="FJ664" s="18"/>
      <c r="FK664" s="18"/>
      <c r="FL664" s="18"/>
      <c r="FM664" s="18"/>
      <c r="FN664" s="18"/>
      <c r="FO664" s="18"/>
      <c r="FP664" s="18"/>
      <c r="FQ664" s="18"/>
      <c r="FR664" s="18"/>
      <c r="FS664" s="18"/>
      <c r="FT664" s="18"/>
      <c r="FU664" s="18"/>
      <c r="FV664" s="18"/>
      <c r="FW664" s="18"/>
      <c r="FX664" s="18"/>
      <c r="FY664" s="18"/>
      <c r="FZ664" s="18"/>
      <c r="GA664" s="18"/>
      <c r="GB664" s="18"/>
      <c r="GC664" s="18"/>
      <c r="GD664" s="18"/>
      <c r="GE664" s="18"/>
      <c r="GF664" s="18"/>
      <c r="GG664" s="18"/>
      <c r="GH664" s="18"/>
      <c r="GI664" s="18"/>
      <c r="GJ664" s="18"/>
      <c r="GK664" s="18"/>
      <c r="GL664" s="18"/>
      <c r="GM664" s="18"/>
      <c r="GN664" s="18"/>
      <c r="GO664" s="18"/>
      <c r="GP664" s="18"/>
      <c r="GQ664" s="18"/>
      <c r="GR664" s="18">
        <v>0</v>
      </c>
      <c r="GS664" s="18">
        <v>0</v>
      </c>
      <c r="GT664" s="18" t="s">
        <v>339</v>
      </c>
      <c r="GU664" s="18">
        <v>0</v>
      </c>
      <c r="GV664" s="18"/>
      <c r="GW664" s="18"/>
      <c r="GX664" s="18" t="b">
        <v>0</v>
      </c>
      <c r="GY664" s="18">
        <v>0</v>
      </c>
      <c r="GZ664" s="18" t="b">
        <v>1</v>
      </c>
      <c r="HA664" s="18">
        <v>0</v>
      </c>
      <c r="HB664" s="18">
        <v>0</v>
      </c>
      <c r="HC664" s="18">
        <v>0</v>
      </c>
      <c r="HD664" s="18">
        <v>0</v>
      </c>
      <c r="HE664" s="18" t="b">
        <v>0</v>
      </c>
      <c r="HF664" s="18">
        <v>0</v>
      </c>
      <c r="HG664" s="18">
        <v>0</v>
      </c>
      <c r="HH664" s="18" t="s">
        <v>339</v>
      </c>
      <c r="HI664" s="18" t="s">
        <v>334</v>
      </c>
      <c r="HJ664" s="18">
        <v>0</v>
      </c>
      <c r="HK664" s="18">
        <v>0</v>
      </c>
      <c r="HL664" s="18">
        <v>0</v>
      </c>
      <c r="HM664" s="18">
        <v>0</v>
      </c>
      <c r="HN664" s="18" t="b">
        <v>0</v>
      </c>
    </row>
    <row r="665" spans="1:222">
      <c r="A665"/>
      <c r="B665" s="29" cm="1">
        <f t="array" ref="B665">10000000+INDEX(编号表!$B$1:$B$112,MATCH(D665,编号表!$A$1:$A$112,0))*10000+I665</f>
        <v>10320002</v>
      </c>
      <c r="C665" s="18" t="s">
        <v>513</v>
      </c>
      <c r="D665" s="18" t="s">
        <v>513</v>
      </c>
      <c r="E665" s="18" t="s">
        <v>334</v>
      </c>
      <c r="F665" s="18" t="s">
        <v>323</v>
      </c>
      <c r="G665" s="18" t="b">
        <v>0</v>
      </c>
      <c r="H665" s="18" t="b">
        <v>1</v>
      </c>
      <c r="I665" s="18">
        <v>2</v>
      </c>
      <c r="J665" s="18">
        <v>103200</v>
      </c>
      <c r="K665" s="18" t="s">
        <v>324</v>
      </c>
      <c r="L665" s="18">
        <v>0</v>
      </c>
      <c r="M665" s="18">
        <v>0</v>
      </c>
      <c r="N665" s="18" t="s">
        <v>510</v>
      </c>
      <c r="O665" s="18">
        <v>0</v>
      </c>
      <c r="P665" s="18">
        <v>0</v>
      </c>
      <c r="Q665" s="18">
        <v>0</v>
      </c>
      <c r="R665" s="18">
        <v>0</v>
      </c>
      <c r="S665" s="18">
        <v>0</v>
      </c>
      <c r="T665" s="18">
        <v>0</v>
      </c>
      <c r="U665" s="18"/>
      <c r="V665" s="18">
        <v>0</v>
      </c>
      <c r="W665" s="18">
        <v>0</v>
      </c>
      <c r="X665" s="18" t="s">
        <v>326</v>
      </c>
      <c r="Y665" s="18" t="s">
        <v>327</v>
      </c>
      <c r="Z665" s="18" t="s">
        <v>328</v>
      </c>
      <c r="AA665" s="18">
        <v>0</v>
      </c>
      <c r="AB665" s="18">
        <v>1</v>
      </c>
      <c r="AC665" s="18" t="b">
        <v>0</v>
      </c>
      <c r="AD665" s="18" t="s">
        <v>329</v>
      </c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 t="s">
        <v>330</v>
      </c>
      <c r="AZ665" s="18">
        <v>10400</v>
      </c>
      <c r="BA665" s="18" t="s">
        <v>331</v>
      </c>
      <c r="BB665" s="18" t="s">
        <v>328</v>
      </c>
      <c r="BC665" s="18">
        <v>10000</v>
      </c>
      <c r="BD665" s="18">
        <v>0</v>
      </c>
      <c r="BE665" s="18" t="s">
        <v>332</v>
      </c>
      <c r="BF665" s="18">
        <v>0</v>
      </c>
      <c r="BG665" s="18" t="s">
        <v>330</v>
      </c>
      <c r="BH665" s="18">
        <v>800</v>
      </c>
      <c r="BI665" s="18">
        <v>0</v>
      </c>
      <c r="BJ665" s="18" t="b">
        <v>1</v>
      </c>
      <c r="BK665" s="18">
        <v>0</v>
      </c>
      <c r="BL665" s="18">
        <v>10000</v>
      </c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  <c r="DU665" s="18"/>
      <c r="DV665" s="18"/>
      <c r="DW665" s="18"/>
      <c r="DX665" s="18"/>
      <c r="DY665" s="18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8"/>
      <c r="EM665" s="18"/>
      <c r="EN665" s="18"/>
      <c r="EO665" s="18"/>
      <c r="EP665" s="18"/>
      <c r="EQ665" s="18"/>
      <c r="ER665" s="18"/>
      <c r="ES665" s="18"/>
      <c r="ET665" s="18"/>
      <c r="EU665" s="18"/>
      <c r="EV665" s="18"/>
      <c r="EW665" s="18"/>
      <c r="EX665" s="18"/>
      <c r="EY665" s="18"/>
      <c r="EZ665" s="18"/>
      <c r="FA665" s="18"/>
      <c r="FB665" s="18"/>
      <c r="FC665" s="18"/>
      <c r="FD665" s="18"/>
      <c r="FE665" s="18"/>
      <c r="FF665" s="18"/>
      <c r="FG665" s="18"/>
      <c r="FH665" s="18"/>
      <c r="FI665" s="18"/>
      <c r="FJ665" s="18"/>
      <c r="FK665" s="18"/>
      <c r="FL665" s="18"/>
      <c r="FM665" s="18"/>
      <c r="FN665" s="18"/>
      <c r="FO665" s="18"/>
      <c r="FP665" s="18"/>
      <c r="FQ665" s="18"/>
      <c r="FR665" s="18"/>
      <c r="FS665" s="18"/>
      <c r="FT665" s="18"/>
      <c r="FU665" s="18"/>
      <c r="FV665" s="18"/>
      <c r="FW665" s="18"/>
      <c r="FX665" s="18"/>
      <c r="FY665" s="18"/>
      <c r="FZ665" s="18"/>
      <c r="GA665" s="18"/>
      <c r="GB665" s="18"/>
      <c r="GC665" s="18"/>
      <c r="GD665" s="18"/>
      <c r="GE665" s="18"/>
      <c r="GF665" s="18"/>
      <c r="GG665" s="18"/>
      <c r="GH665" s="18"/>
      <c r="GI665" s="18"/>
      <c r="GJ665" s="18"/>
      <c r="GK665" s="18"/>
      <c r="GL665" s="18"/>
      <c r="GM665" s="18"/>
      <c r="GN665" s="18"/>
      <c r="GO665" s="18"/>
      <c r="GP665" s="18"/>
      <c r="GQ665" s="18"/>
      <c r="GR665" s="18">
        <v>0</v>
      </c>
      <c r="GS665" s="18">
        <v>0</v>
      </c>
      <c r="GT665" s="18" t="s">
        <v>339</v>
      </c>
      <c r="GU665" s="18">
        <v>0</v>
      </c>
      <c r="GV665" s="18"/>
      <c r="GW665" s="18"/>
      <c r="GX665" s="18" t="b">
        <v>0</v>
      </c>
      <c r="GY665" s="18">
        <v>0</v>
      </c>
      <c r="GZ665" s="18" t="b">
        <v>1</v>
      </c>
      <c r="HA665" s="18">
        <v>0</v>
      </c>
      <c r="HB665" s="18">
        <v>0</v>
      </c>
      <c r="HC665" s="18">
        <v>0</v>
      </c>
      <c r="HD665" s="18">
        <v>0</v>
      </c>
      <c r="HE665" s="18" t="b">
        <v>0</v>
      </c>
      <c r="HF665" s="18">
        <v>0</v>
      </c>
      <c r="HG665" s="18">
        <v>0</v>
      </c>
      <c r="HH665" s="18" t="s">
        <v>339</v>
      </c>
      <c r="HI665" s="18" t="s">
        <v>334</v>
      </c>
      <c r="HJ665" s="18">
        <v>0</v>
      </c>
      <c r="HK665" s="18">
        <v>0</v>
      </c>
      <c r="HL665" s="18">
        <v>0</v>
      </c>
      <c r="HM665" s="18">
        <v>0</v>
      </c>
      <c r="HN665" s="18" t="b">
        <v>0</v>
      </c>
    </row>
    <row r="666" spans="1:222">
      <c r="A666"/>
      <c r="B666" s="29" cm="1">
        <f t="array" ref="B666">10000000+INDEX(编号表!$B$1:$B$112,MATCH(D666,编号表!$A$1:$A$112,0))*10000+I666</f>
        <v>10320003</v>
      </c>
      <c r="C666" s="18" t="s">
        <v>513</v>
      </c>
      <c r="D666" s="18" t="s">
        <v>513</v>
      </c>
      <c r="E666" s="18" t="s">
        <v>334</v>
      </c>
      <c r="F666" s="18" t="s">
        <v>323</v>
      </c>
      <c r="G666" s="18" t="b">
        <v>0</v>
      </c>
      <c r="H666" s="18" t="b">
        <v>1</v>
      </c>
      <c r="I666" s="18">
        <v>3</v>
      </c>
      <c r="J666" s="18">
        <v>103200</v>
      </c>
      <c r="K666" s="18" t="s">
        <v>324</v>
      </c>
      <c r="L666" s="18">
        <v>0</v>
      </c>
      <c r="M666" s="18">
        <v>0</v>
      </c>
      <c r="N666" s="18" t="s">
        <v>510</v>
      </c>
      <c r="O666" s="18">
        <v>0</v>
      </c>
      <c r="P666" s="18">
        <v>0</v>
      </c>
      <c r="Q666" s="18">
        <v>0</v>
      </c>
      <c r="R666" s="18">
        <v>0</v>
      </c>
      <c r="S666" s="18">
        <v>0</v>
      </c>
      <c r="T666" s="18">
        <v>0</v>
      </c>
      <c r="U666" s="18"/>
      <c r="V666" s="18">
        <v>0</v>
      </c>
      <c r="W666" s="18">
        <v>0</v>
      </c>
      <c r="X666" s="18" t="s">
        <v>326</v>
      </c>
      <c r="Y666" s="18" t="s">
        <v>327</v>
      </c>
      <c r="Z666" s="18" t="s">
        <v>328</v>
      </c>
      <c r="AA666" s="18">
        <v>0</v>
      </c>
      <c r="AB666" s="18">
        <v>1</v>
      </c>
      <c r="AC666" s="18" t="b">
        <v>0</v>
      </c>
      <c r="AD666" s="18" t="s">
        <v>329</v>
      </c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 t="s">
        <v>330</v>
      </c>
      <c r="AZ666" s="18">
        <v>10800</v>
      </c>
      <c r="BA666" s="18" t="s">
        <v>331</v>
      </c>
      <c r="BB666" s="18" t="s">
        <v>328</v>
      </c>
      <c r="BC666" s="18">
        <v>10000</v>
      </c>
      <c r="BD666" s="18">
        <v>0</v>
      </c>
      <c r="BE666" s="18" t="s">
        <v>332</v>
      </c>
      <c r="BF666" s="18">
        <v>0</v>
      </c>
      <c r="BG666" s="18" t="s">
        <v>330</v>
      </c>
      <c r="BH666" s="18">
        <v>800</v>
      </c>
      <c r="BI666" s="18">
        <v>0</v>
      </c>
      <c r="BJ666" s="18" t="b">
        <v>1</v>
      </c>
      <c r="BK666" s="18">
        <v>0</v>
      </c>
      <c r="BL666" s="18">
        <v>10000</v>
      </c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  <c r="DU666" s="18"/>
      <c r="DV666" s="18"/>
      <c r="DW666" s="18"/>
      <c r="DX666" s="18"/>
      <c r="DY666" s="18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8"/>
      <c r="EM666" s="18"/>
      <c r="EN666" s="18"/>
      <c r="EO666" s="18"/>
      <c r="EP666" s="18"/>
      <c r="EQ666" s="18"/>
      <c r="ER666" s="18"/>
      <c r="ES666" s="18"/>
      <c r="ET666" s="18"/>
      <c r="EU666" s="18"/>
      <c r="EV666" s="18"/>
      <c r="EW666" s="18"/>
      <c r="EX666" s="18"/>
      <c r="EY666" s="18"/>
      <c r="EZ666" s="18"/>
      <c r="FA666" s="18"/>
      <c r="FB666" s="18"/>
      <c r="FC666" s="18"/>
      <c r="FD666" s="18"/>
      <c r="FE666" s="18"/>
      <c r="FF666" s="18"/>
      <c r="FG666" s="18"/>
      <c r="FH666" s="18"/>
      <c r="FI666" s="18"/>
      <c r="FJ666" s="18"/>
      <c r="FK666" s="18"/>
      <c r="FL666" s="18"/>
      <c r="FM666" s="18"/>
      <c r="FN666" s="18"/>
      <c r="FO666" s="18"/>
      <c r="FP666" s="18"/>
      <c r="FQ666" s="18"/>
      <c r="FR666" s="18"/>
      <c r="FS666" s="18"/>
      <c r="FT666" s="18"/>
      <c r="FU666" s="18"/>
      <c r="FV666" s="18"/>
      <c r="FW666" s="18"/>
      <c r="FX666" s="18"/>
      <c r="FY666" s="18"/>
      <c r="FZ666" s="18"/>
      <c r="GA666" s="18"/>
      <c r="GB666" s="18"/>
      <c r="GC666" s="18"/>
      <c r="GD666" s="18"/>
      <c r="GE666" s="18"/>
      <c r="GF666" s="18"/>
      <c r="GG666" s="18"/>
      <c r="GH666" s="18"/>
      <c r="GI666" s="18"/>
      <c r="GJ666" s="18"/>
      <c r="GK666" s="18"/>
      <c r="GL666" s="18"/>
      <c r="GM666" s="18"/>
      <c r="GN666" s="18"/>
      <c r="GO666" s="18"/>
      <c r="GP666" s="18"/>
      <c r="GQ666" s="18"/>
      <c r="GR666" s="18">
        <v>0</v>
      </c>
      <c r="GS666" s="18">
        <v>0</v>
      </c>
      <c r="GT666" s="18" t="s">
        <v>339</v>
      </c>
      <c r="GU666" s="18">
        <v>0</v>
      </c>
      <c r="GV666" s="18"/>
      <c r="GW666" s="18"/>
      <c r="GX666" s="18" t="b">
        <v>0</v>
      </c>
      <c r="GY666" s="18">
        <v>0</v>
      </c>
      <c r="GZ666" s="18" t="b">
        <v>1</v>
      </c>
      <c r="HA666" s="18">
        <v>0</v>
      </c>
      <c r="HB666" s="18">
        <v>0</v>
      </c>
      <c r="HC666" s="18">
        <v>0</v>
      </c>
      <c r="HD666" s="18">
        <v>0</v>
      </c>
      <c r="HE666" s="18" t="b">
        <v>0</v>
      </c>
      <c r="HF666" s="18">
        <v>0</v>
      </c>
      <c r="HG666" s="18">
        <v>0</v>
      </c>
      <c r="HH666" s="18" t="s">
        <v>339</v>
      </c>
      <c r="HI666" s="18" t="s">
        <v>334</v>
      </c>
      <c r="HJ666" s="18">
        <v>0</v>
      </c>
      <c r="HK666" s="18">
        <v>0</v>
      </c>
      <c r="HL666" s="18">
        <v>0</v>
      </c>
      <c r="HM666" s="18">
        <v>0</v>
      </c>
      <c r="HN666" s="18" t="b">
        <v>0</v>
      </c>
    </row>
    <row r="667" spans="1:222">
      <c r="A667"/>
      <c r="B667" s="29" cm="1">
        <f t="array" ref="B667">10000000+INDEX(编号表!$B$1:$B$112,MATCH(D667,编号表!$A$1:$A$112,0))*10000+I667</f>
        <v>10320004</v>
      </c>
      <c r="C667" s="18" t="s">
        <v>513</v>
      </c>
      <c r="D667" s="18" t="s">
        <v>513</v>
      </c>
      <c r="E667" s="18" t="s">
        <v>334</v>
      </c>
      <c r="F667" s="18" t="s">
        <v>323</v>
      </c>
      <c r="G667" s="18" t="b">
        <v>0</v>
      </c>
      <c r="H667" s="18" t="b">
        <v>1</v>
      </c>
      <c r="I667" s="18">
        <v>4</v>
      </c>
      <c r="J667" s="18">
        <v>103200</v>
      </c>
      <c r="K667" s="18" t="s">
        <v>324</v>
      </c>
      <c r="L667" s="18">
        <v>0</v>
      </c>
      <c r="M667" s="18">
        <v>0</v>
      </c>
      <c r="N667" s="18" t="s">
        <v>510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/>
      <c r="V667" s="18">
        <v>0</v>
      </c>
      <c r="W667" s="18">
        <v>0</v>
      </c>
      <c r="X667" s="18" t="s">
        <v>326</v>
      </c>
      <c r="Y667" s="18" t="s">
        <v>327</v>
      </c>
      <c r="Z667" s="18" t="s">
        <v>328</v>
      </c>
      <c r="AA667" s="18">
        <v>0</v>
      </c>
      <c r="AB667" s="18">
        <v>1</v>
      </c>
      <c r="AC667" s="18" t="b">
        <v>0</v>
      </c>
      <c r="AD667" s="18" t="s">
        <v>329</v>
      </c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 t="s">
        <v>330</v>
      </c>
      <c r="AZ667" s="18">
        <v>11200</v>
      </c>
      <c r="BA667" s="18" t="s">
        <v>331</v>
      </c>
      <c r="BB667" s="18" t="s">
        <v>328</v>
      </c>
      <c r="BC667" s="18">
        <v>10000</v>
      </c>
      <c r="BD667" s="18">
        <v>0</v>
      </c>
      <c r="BE667" s="18" t="s">
        <v>332</v>
      </c>
      <c r="BF667" s="18">
        <v>0</v>
      </c>
      <c r="BG667" s="18" t="s">
        <v>330</v>
      </c>
      <c r="BH667" s="18">
        <v>800</v>
      </c>
      <c r="BI667" s="18">
        <v>1</v>
      </c>
      <c r="BJ667" s="18" t="b">
        <v>1</v>
      </c>
      <c r="BK667" s="18">
        <v>0</v>
      </c>
      <c r="BL667" s="18">
        <v>10000</v>
      </c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  <c r="DU667" s="18"/>
      <c r="DV667" s="18"/>
      <c r="DW667" s="18"/>
      <c r="DX667" s="18"/>
      <c r="DY667" s="18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8"/>
      <c r="EM667" s="18"/>
      <c r="EN667" s="18"/>
      <c r="EO667" s="18"/>
      <c r="EP667" s="18"/>
      <c r="EQ667" s="18"/>
      <c r="ER667" s="18"/>
      <c r="ES667" s="18"/>
      <c r="ET667" s="18"/>
      <c r="EU667" s="18"/>
      <c r="EV667" s="18"/>
      <c r="EW667" s="18"/>
      <c r="EX667" s="18"/>
      <c r="EY667" s="18"/>
      <c r="EZ667" s="18"/>
      <c r="FA667" s="18"/>
      <c r="FB667" s="18"/>
      <c r="FC667" s="18"/>
      <c r="FD667" s="18"/>
      <c r="FE667" s="18"/>
      <c r="FF667" s="18"/>
      <c r="FG667" s="18"/>
      <c r="FH667" s="18"/>
      <c r="FI667" s="18"/>
      <c r="FJ667" s="18"/>
      <c r="FK667" s="18"/>
      <c r="FL667" s="18"/>
      <c r="FM667" s="18"/>
      <c r="FN667" s="18"/>
      <c r="FO667" s="18"/>
      <c r="FP667" s="18"/>
      <c r="FQ667" s="18"/>
      <c r="FR667" s="18"/>
      <c r="FS667" s="18"/>
      <c r="FT667" s="18"/>
      <c r="FU667" s="18"/>
      <c r="FV667" s="18"/>
      <c r="FW667" s="18"/>
      <c r="FX667" s="18"/>
      <c r="FY667" s="18"/>
      <c r="FZ667" s="18"/>
      <c r="GA667" s="18"/>
      <c r="GB667" s="18"/>
      <c r="GC667" s="18"/>
      <c r="GD667" s="18"/>
      <c r="GE667" s="18"/>
      <c r="GF667" s="18"/>
      <c r="GG667" s="18"/>
      <c r="GH667" s="18"/>
      <c r="GI667" s="18"/>
      <c r="GJ667" s="18"/>
      <c r="GK667" s="18"/>
      <c r="GL667" s="18"/>
      <c r="GM667" s="18"/>
      <c r="GN667" s="18"/>
      <c r="GO667" s="18"/>
      <c r="GP667" s="18"/>
      <c r="GQ667" s="18"/>
      <c r="GR667" s="18">
        <v>0</v>
      </c>
      <c r="GS667" s="18">
        <v>0</v>
      </c>
      <c r="GT667" s="18" t="s">
        <v>339</v>
      </c>
      <c r="GU667" s="18">
        <v>0</v>
      </c>
      <c r="GV667" s="18"/>
      <c r="GW667" s="18"/>
      <c r="GX667" s="18" t="b">
        <v>0</v>
      </c>
      <c r="GY667" s="18">
        <v>0</v>
      </c>
      <c r="GZ667" s="18" t="b">
        <v>1</v>
      </c>
      <c r="HA667" s="18">
        <v>0</v>
      </c>
      <c r="HB667" s="18">
        <v>0</v>
      </c>
      <c r="HC667" s="18">
        <v>0</v>
      </c>
      <c r="HD667" s="18">
        <v>0</v>
      </c>
      <c r="HE667" s="18" t="b">
        <v>0</v>
      </c>
      <c r="HF667" s="18">
        <v>0</v>
      </c>
      <c r="HG667" s="18">
        <v>0</v>
      </c>
      <c r="HH667" s="18" t="s">
        <v>339</v>
      </c>
      <c r="HI667" s="18" t="s">
        <v>334</v>
      </c>
      <c r="HJ667" s="18">
        <v>0</v>
      </c>
      <c r="HK667" s="18">
        <v>0</v>
      </c>
      <c r="HL667" s="18">
        <v>0</v>
      </c>
      <c r="HM667" s="18">
        <v>0</v>
      </c>
      <c r="HN667" s="18" t="b">
        <v>0</v>
      </c>
    </row>
    <row r="668" spans="1:222">
      <c r="A668"/>
      <c r="B668" s="29" cm="1">
        <f t="array" ref="B668">10000000+INDEX(编号表!$B$1:$B$112,MATCH(D668,编号表!$A$1:$A$112,0))*10000+I668</f>
        <v>10320005</v>
      </c>
      <c r="C668" s="18" t="s">
        <v>513</v>
      </c>
      <c r="D668" s="18" t="s">
        <v>513</v>
      </c>
      <c r="E668" s="18" t="s">
        <v>334</v>
      </c>
      <c r="F668" s="18" t="s">
        <v>323</v>
      </c>
      <c r="G668" s="18" t="b">
        <v>0</v>
      </c>
      <c r="H668" s="18" t="b">
        <v>1</v>
      </c>
      <c r="I668" s="18">
        <v>5</v>
      </c>
      <c r="J668" s="18">
        <v>103200</v>
      </c>
      <c r="K668" s="18" t="s">
        <v>324</v>
      </c>
      <c r="L668" s="18">
        <v>0</v>
      </c>
      <c r="M668" s="18">
        <v>0</v>
      </c>
      <c r="N668" s="18" t="s">
        <v>510</v>
      </c>
      <c r="O668" s="18">
        <v>0</v>
      </c>
      <c r="P668" s="18">
        <v>0</v>
      </c>
      <c r="Q668" s="18">
        <v>0</v>
      </c>
      <c r="R668" s="18">
        <v>0</v>
      </c>
      <c r="S668" s="18">
        <v>0</v>
      </c>
      <c r="T668" s="18">
        <v>0</v>
      </c>
      <c r="U668" s="18"/>
      <c r="V668" s="18">
        <v>0</v>
      </c>
      <c r="W668" s="18">
        <v>0</v>
      </c>
      <c r="X668" s="18" t="s">
        <v>326</v>
      </c>
      <c r="Y668" s="18" t="s">
        <v>327</v>
      </c>
      <c r="Z668" s="18" t="s">
        <v>328</v>
      </c>
      <c r="AA668" s="18">
        <v>0</v>
      </c>
      <c r="AB668" s="18">
        <v>1</v>
      </c>
      <c r="AC668" s="18" t="b">
        <v>0</v>
      </c>
      <c r="AD668" s="18" t="s">
        <v>329</v>
      </c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 t="s">
        <v>330</v>
      </c>
      <c r="AZ668" s="18">
        <v>11300</v>
      </c>
      <c r="BA668" s="18" t="s">
        <v>331</v>
      </c>
      <c r="BB668" s="18" t="s">
        <v>328</v>
      </c>
      <c r="BC668" s="18">
        <v>10000</v>
      </c>
      <c r="BD668" s="18">
        <v>0</v>
      </c>
      <c r="BE668" s="18" t="s">
        <v>332</v>
      </c>
      <c r="BF668" s="18">
        <v>0</v>
      </c>
      <c r="BG668" s="18" t="s">
        <v>330</v>
      </c>
      <c r="BH668" s="18">
        <v>800</v>
      </c>
      <c r="BI668" s="18">
        <v>1</v>
      </c>
      <c r="BJ668" s="18" t="b">
        <v>1</v>
      </c>
      <c r="BK668" s="18">
        <v>0</v>
      </c>
      <c r="BL668" s="18">
        <v>10000</v>
      </c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  <c r="DU668" s="18"/>
      <c r="DV668" s="18"/>
      <c r="DW668" s="18"/>
      <c r="DX668" s="18"/>
      <c r="DY668" s="18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8"/>
      <c r="EM668" s="18"/>
      <c r="EN668" s="18"/>
      <c r="EO668" s="18"/>
      <c r="EP668" s="18"/>
      <c r="EQ668" s="18"/>
      <c r="ER668" s="18"/>
      <c r="ES668" s="18"/>
      <c r="ET668" s="18"/>
      <c r="EU668" s="18"/>
      <c r="EV668" s="18"/>
      <c r="EW668" s="18"/>
      <c r="EX668" s="18"/>
      <c r="EY668" s="18"/>
      <c r="EZ668" s="18"/>
      <c r="FA668" s="18"/>
      <c r="FB668" s="18"/>
      <c r="FC668" s="18"/>
      <c r="FD668" s="18"/>
      <c r="FE668" s="18"/>
      <c r="FF668" s="18"/>
      <c r="FG668" s="18"/>
      <c r="FH668" s="18"/>
      <c r="FI668" s="18"/>
      <c r="FJ668" s="18"/>
      <c r="FK668" s="18"/>
      <c r="FL668" s="18"/>
      <c r="FM668" s="18"/>
      <c r="FN668" s="18"/>
      <c r="FO668" s="18"/>
      <c r="FP668" s="18"/>
      <c r="FQ668" s="18"/>
      <c r="FR668" s="18"/>
      <c r="FS668" s="18"/>
      <c r="FT668" s="18"/>
      <c r="FU668" s="18"/>
      <c r="FV668" s="18"/>
      <c r="FW668" s="18"/>
      <c r="FX668" s="18"/>
      <c r="FY668" s="18"/>
      <c r="FZ668" s="18"/>
      <c r="GA668" s="18"/>
      <c r="GB668" s="18"/>
      <c r="GC668" s="18"/>
      <c r="GD668" s="18"/>
      <c r="GE668" s="18"/>
      <c r="GF668" s="18"/>
      <c r="GG668" s="18"/>
      <c r="GH668" s="18"/>
      <c r="GI668" s="18"/>
      <c r="GJ668" s="18"/>
      <c r="GK668" s="18"/>
      <c r="GL668" s="18"/>
      <c r="GM668" s="18"/>
      <c r="GN668" s="18"/>
      <c r="GO668" s="18"/>
      <c r="GP668" s="18"/>
      <c r="GQ668" s="18"/>
      <c r="GR668" s="18">
        <v>0</v>
      </c>
      <c r="GS668" s="18">
        <v>0</v>
      </c>
      <c r="GT668" s="18" t="s">
        <v>339</v>
      </c>
      <c r="GU668" s="18">
        <v>0</v>
      </c>
      <c r="GV668" s="18"/>
      <c r="GW668" s="18"/>
      <c r="GX668" s="18" t="b">
        <v>0</v>
      </c>
      <c r="GY668" s="18">
        <v>0</v>
      </c>
      <c r="GZ668" s="18" t="b">
        <v>1</v>
      </c>
      <c r="HA668" s="18">
        <v>0</v>
      </c>
      <c r="HB668" s="18">
        <v>0</v>
      </c>
      <c r="HC668" s="18">
        <v>0</v>
      </c>
      <c r="HD668" s="18">
        <v>0</v>
      </c>
      <c r="HE668" s="18" t="b">
        <v>0</v>
      </c>
      <c r="HF668" s="18">
        <v>0</v>
      </c>
      <c r="HG668" s="18">
        <v>0</v>
      </c>
      <c r="HH668" s="18" t="s">
        <v>339</v>
      </c>
      <c r="HI668" s="18" t="s">
        <v>334</v>
      </c>
      <c r="HJ668" s="18">
        <v>0</v>
      </c>
      <c r="HK668" s="18">
        <v>0</v>
      </c>
      <c r="HL668" s="18">
        <v>0</v>
      </c>
      <c r="HM668" s="18">
        <v>0</v>
      </c>
      <c r="HN668" s="18" t="b">
        <v>0</v>
      </c>
    </row>
    <row r="669" spans="1:222">
      <c r="A669"/>
      <c r="B669" s="29" cm="1">
        <f t="array" ref="B669">10000000+INDEX(编号表!$B$1:$B$112,MATCH(D669,编号表!$A$1:$A$112,0))*10000+I669</f>
        <v>10320006</v>
      </c>
      <c r="C669" s="18" t="s">
        <v>513</v>
      </c>
      <c r="D669" s="18" t="s">
        <v>513</v>
      </c>
      <c r="E669" s="18" t="s">
        <v>334</v>
      </c>
      <c r="F669" s="18" t="s">
        <v>323</v>
      </c>
      <c r="G669" s="18" t="b">
        <v>0</v>
      </c>
      <c r="H669" s="18" t="b">
        <v>1</v>
      </c>
      <c r="I669" s="18">
        <v>6</v>
      </c>
      <c r="J669" s="18">
        <v>103200</v>
      </c>
      <c r="K669" s="18" t="s">
        <v>324</v>
      </c>
      <c r="L669" s="18">
        <v>0</v>
      </c>
      <c r="M669" s="18">
        <v>0</v>
      </c>
      <c r="N669" s="18" t="s">
        <v>510</v>
      </c>
      <c r="O669" s="18">
        <v>0</v>
      </c>
      <c r="P669" s="18">
        <v>0</v>
      </c>
      <c r="Q669" s="18">
        <v>0</v>
      </c>
      <c r="R669" s="18">
        <v>0</v>
      </c>
      <c r="S669" s="18">
        <v>0</v>
      </c>
      <c r="T669" s="18">
        <v>0</v>
      </c>
      <c r="U669" s="18"/>
      <c r="V669" s="18">
        <v>0</v>
      </c>
      <c r="W669" s="18">
        <v>0</v>
      </c>
      <c r="X669" s="18" t="s">
        <v>326</v>
      </c>
      <c r="Y669" s="18" t="s">
        <v>327</v>
      </c>
      <c r="Z669" s="18" t="s">
        <v>328</v>
      </c>
      <c r="AA669" s="18">
        <v>0</v>
      </c>
      <c r="AB669" s="18">
        <v>1</v>
      </c>
      <c r="AC669" s="18" t="b">
        <v>0</v>
      </c>
      <c r="AD669" s="18" t="s">
        <v>329</v>
      </c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 t="s">
        <v>330</v>
      </c>
      <c r="AZ669" s="18">
        <v>11600</v>
      </c>
      <c r="BA669" s="18" t="s">
        <v>331</v>
      </c>
      <c r="BB669" s="18" t="s">
        <v>328</v>
      </c>
      <c r="BC669" s="18">
        <v>10000</v>
      </c>
      <c r="BD669" s="18">
        <v>0</v>
      </c>
      <c r="BE669" s="18" t="s">
        <v>332</v>
      </c>
      <c r="BF669" s="18">
        <v>0</v>
      </c>
      <c r="BG669" s="18" t="s">
        <v>330</v>
      </c>
      <c r="BH669" s="18">
        <v>800</v>
      </c>
      <c r="BI669" s="18">
        <v>1</v>
      </c>
      <c r="BJ669" s="18" t="b">
        <v>1</v>
      </c>
      <c r="BK669" s="18">
        <v>0</v>
      </c>
      <c r="BL669" s="18">
        <v>10000</v>
      </c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  <c r="DU669" s="18"/>
      <c r="DV669" s="18"/>
      <c r="DW669" s="18"/>
      <c r="DX669" s="18"/>
      <c r="DY669" s="18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8"/>
      <c r="EM669" s="18"/>
      <c r="EN669" s="18"/>
      <c r="EO669" s="18"/>
      <c r="EP669" s="18"/>
      <c r="EQ669" s="18"/>
      <c r="ER669" s="18"/>
      <c r="ES669" s="18"/>
      <c r="ET669" s="18"/>
      <c r="EU669" s="18"/>
      <c r="EV669" s="18"/>
      <c r="EW669" s="18"/>
      <c r="EX669" s="18"/>
      <c r="EY669" s="18"/>
      <c r="EZ669" s="18"/>
      <c r="FA669" s="18"/>
      <c r="FB669" s="18"/>
      <c r="FC669" s="18"/>
      <c r="FD669" s="18"/>
      <c r="FE669" s="18"/>
      <c r="FF669" s="18"/>
      <c r="FG669" s="18"/>
      <c r="FH669" s="18"/>
      <c r="FI669" s="18"/>
      <c r="FJ669" s="18"/>
      <c r="FK669" s="18"/>
      <c r="FL669" s="18"/>
      <c r="FM669" s="18"/>
      <c r="FN669" s="18"/>
      <c r="FO669" s="18"/>
      <c r="FP669" s="18"/>
      <c r="FQ669" s="18"/>
      <c r="FR669" s="18"/>
      <c r="FS669" s="18"/>
      <c r="FT669" s="18"/>
      <c r="FU669" s="18"/>
      <c r="FV669" s="18"/>
      <c r="FW669" s="18"/>
      <c r="FX669" s="18"/>
      <c r="FY669" s="18"/>
      <c r="FZ669" s="18"/>
      <c r="GA669" s="18"/>
      <c r="GB669" s="18"/>
      <c r="GC669" s="18"/>
      <c r="GD669" s="18"/>
      <c r="GE669" s="18"/>
      <c r="GF669" s="18"/>
      <c r="GG669" s="18"/>
      <c r="GH669" s="18"/>
      <c r="GI669" s="18"/>
      <c r="GJ669" s="18"/>
      <c r="GK669" s="18"/>
      <c r="GL669" s="18"/>
      <c r="GM669" s="18"/>
      <c r="GN669" s="18"/>
      <c r="GO669" s="18"/>
      <c r="GP669" s="18"/>
      <c r="GQ669" s="18"/>
      <c r="GR669" s="18">
        <v>0</v>
      </c>
      <c r="GS669" s="18">
        <v>0</v>
      </c>
      <c r="GT669" s="18" t="s">
        <v>339</v>
      </c>
      <c r="GU669" s="18">
        <v>0</v>
      </c>
      <c r="GV669" s="18"/>
      <c r="GW669" s="18"/>
      <c r="GX669" s="18" t="b">
        <v>0</v>
      </c>
      <c r="GY669" s="18">
        <v>0</v>
      </c>
      <c r="GZ669" s="18" t="b">
        <v>1</v>
      </c>
      <c r="HA669" s="18">
        <v>0</v>
      </c>
      <c r="HB669" s="18">
        <v>0</v>
      </c>
      <c r="HC669" s="18">
        <v>0</v>
      </c>
      <c r="HD669" s="18">
        <v>0</v>
      </c>
      <c r="HE669" s="18" t="b">
        <v>0</v>
      </c>
      <c r="HF669" s="18">
        <v>0</v>
      </c>
      <c r="HG669" s="18">
        <v>0</v>
      </c>
      <c r="HH669" s="18" t="s">
        <v>339</v>
      </c>
      <c r="HI669" s="18" t="s">
        <v>334</v>
      </c>
      <c r="HJ669" s="18">
        <v>0</v>
      </c>
      <c r="HK669" s="18">
        <v>0</v>
      </c>
      <c r="HL669" s="18">
        <v>0</v>
      </c>
      <c r="HM669" s="18">
        <v>0</v>
      </c>
      <c r="HN669" s="18" t="b">
        <v>0</v>
      </c>
    </row>
    <row r="670" spans="1:222">
      <c r="A670"/>
      <c r="B670" s="29" cm="1">
        <f t="array" ref="B670">10000000+INDEX(编号表!$B$1:$B$112,MATCH(D670,编号表!$A$1:$A$112,0))*10000+I670</f>
        <v>10320007</v>
      </c>
      <c r="C670" s="18" t="s">
        <v>513</v>
      </c>
      <c r="D670" s="18" t="s">
        <v>513</v>
      </c>
      <c r="E670" s="18" t="s">
        <v>334</v>
      </c>
      <c r="F670" s="18" t="s">
        <v>323</v>
      </c>
      <c r="G670" s="18" t="b">
        <v>0</v>
      </c>
      <c r="H670" s="18" t="b">
        <v>1</v>
      </c>
      <c r="I670" s="18">
        <v>7</v>
      </c>
      <c r="J670" s="18">
        <v>103200</v>
      </c>
      <c r="K670" s="18" t="s">
        <v>324</v>
      </c>
      <c r="L670" s="18">
        <v>0</v>
      </c>
      <c r="M670" s="18">
        <v>0</v>
      </c>
      <c r="N670" s="18" t="s">
        <v>510</v>
      </c>
      <c r="O670" s="18">
        <v>0</v>
      </c>
      <c r="P670" s="18">
        <v>0</v>
      </c>
      <c r="Q670" s="18">
        <v>0</v>
      </c>
      <c r="R670" s="18">
        <v>0</v>
      </c>
      <c r="S670" s="18">
        <v>0</v>
      </c>
      <c r="T670" s="18">
        <v>0</v>
      </c>
      <c r="U670" s="18"/>
      <c r="V670" s="18">
        <v>0</v>
      </c>
      <c r="W670" s="18">
        <v>0</v>
      </c>
      <c r="X670" s="18" t="s">
        <v>326</v>
      </c>
      <c r="Y670" s="18" t="s">
        <v>327</v>
      </c>
      <c r="Z670" s="18" t="s">
        <v>328</v>
      </c>
      <c r="AA670" s="18">
        <v>0</v>
      </c>
      <c r="AB670" s="18">
        <v>1</v>
      </c>
      <c r="AC670" s="18" t="b">
        <v>0</v>
      </c>
      <c r="AD670" s="18" t="s">
        <v>329</v>
      </c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 t="s">
        <v>330</v>
      </c>
      <c r="AZ670" s="18">
        <v>11700</v>
      </c>
      <c r="BA670" s="18" t="s">
        <v>331</v>
      </c>
      <c r="BB670" s="18" t="s">
        <v>328</v>
      </c>
      <c r="BC670" s="18">
        <v>10000</v>
      </c>
      <c r="BD670" s="18">
        <v>0</v>
      </c>
      <c r="BE670" s="18" t="s">
        <v>332</v>
      </c>
      <c r="BF670" s="18">
        <v>0</v>
      </c>
      <c r="BG670" s="18" t="s">
        <v>330</v>
      </c>
      <c r="BH670" s="18">
        <v>800</v>
      </c>
      <c r="BI670" s="18">
        <v>1</v>
      </c>
      <c r="BJ670" s="18" t="b">
        <v>1</v>
      </c>
      <c r="BK670" s="18">
        <v>0</v>
      </c>
      <c r="BL670" s="18">
        <v>10000</v>
      </c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  <c r="DU670" s="18"/>
      <c r="DV670" s="18"/>
      <c r="DW670" s="18"/>
      <c r="DX670" s="18"/>
      <c r="DY670" s="18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8"/>
      <c r="EM670" s="18"/>
      <c r="EN670" s="18"/>
      <c r="EO670" s="18"/>
      <c r="EP670" s="18"/>
      <c r="EQ670" s="18"/>
      <c r="ER670" s="18"/>
      <c r="ES670" s="18"/>
      <c r="ET670" s="18"/>
      <c r="EU670" s="18"/>
      <c r="EV670" s="18"/>
      <c r="EW670" s="18"/>
      <c r="EX670" s="18"/>
      <c r="EY670" s="18"/>
      <c r="EZ670" s="18"/>
      <c r="FA670" s="18"/>
      <c r="FB670" s="18"/>
      <c r="FC670" s="18"/>
      <c r="FD670" s="18"/>
      <c r="FE670" s="18"/>
      <c r="FF670" s="18"/>
      <c r="FG670" s="18"/>
      <c r="FH670" s="18"/>
      <c r="FI670" s="18"/>
      <c r="FJ670" s="18"/>
      <c r="FK670" s="18"/>
      <c r="FL670" s="18"/>
      <c r="FM670" s="18"/>
      <c r="FN670" s="18"/>
      <c r="FO670" s="18"/>
      <c r="FP670" s="18"/>
      <c r="FQ670" s="18"/>
      <c r="FR670" s="18"/>
      <c r="FS670" s="18"/>
      <c r="FT670" s="18"/>
      <c r="FU670" s="18"/>
      <c r="FV670" s="18"/>
      <c r="FW670" s="18"/>
      <c r="FX670" s="18"/>
      <c r="FY670" s="18"/>
      <c r="FZ670" s="18"/>
      <c r="GA670" s="18"/>
      <c r="GB670" s="18"/>
      <c r="GC670" s="18"/>
      <c r="GD670" s="18"/>
      <c r="GE670" s="18"/>
      <c r="GF670" s="18"/>
      <c r="GG670" s="18"/>
      <c r="GH670" s="18"/>
      <c r="GI670" s="18"/>
      <c r="GJ670" s="18"/>
      <c r="GK670" s="18"/>
      <c r="GL670" s="18"/>
      <c r="GM670" s="18"/>
      <c r="GN670" s="18"/>
      <c r="GO670" s="18"/>
      <c r="GP670" s="18"/>
      <c r="GQ670" s="18"/>
      <c r="GR670" s="18">
        <v>0</v>
      </c>
      <c r="GS670" s="18">
        <v>0</v>
      </c>
      <c r="GT670" s="18" t="s">
        <v>339</v>
      </c>
      <c r="GU670" s="18">
        <v>0</v>
      </c>
      <c r="GV670" s="18"/>
      <c r="GW670" s="18"/>
      <c r="GX670" s="18" t="b">
        <v>0</v>
      </c>
      <c r="GY670" s="18">
        <v>0</v>
      </c>
      <c r="GZ670" s="18" t="b">
        <v>1</v>
      </c>
      <c r="HA670" s="18">
        <v>0</v>
      </c>
      <c r="HB670" s="18">
        <v>0</v>
      </c>
      <c r="HC670" s="18">
        <v>0</v>
      </c>
      <c r="HD670" s="18">
        <v>0</v>
      </c>
      <c r="HE670" s="18" t="b">
        <v>0</v>
      </c>
      <c r="HF670" s="18">
        <v>0</v>
      </c>
      <c r="HG670" s="18">
        <v>0</v>
      </c>
      <c r="HH670" s="18" t="s">
        <v>339</v>
      </c>
      <c r="HI670" s="18" t="s">
        <v>334</v>
      </c>
      <c r="HJ670" s="18">
        <v>0</v>
      </c>
      <c r="HK670" s="18">
        <v>0</v>
      </c>
      <c r="HL670" s="18">
        <v>0</v>
      </c>
      <c r="HM670" s="18">
        <v>0</v>
      </c>
      <c r="HN670" s="18" t="b">
        <v>0</v>
      </c>
    </row>
    <row r="671" spans="1:222">
      <c r="A671"/>
      <c r="B671" s="29" cm="1">
        <f t="array" ref="B671">10000000+INDEX(编号表!$B$1:$B$112,MATCH(D671,编号表!$A$1:$A$112,0))*10000+I671</f>
        <v>10320008</v>
      </c>
      <c r="C671" s="18" t="s">
        <v>513</v>
      </c>
      <c r="D671" s="18" t="s">
        <v>513</v>
      </c>
      <c r="E671" s="18" t="s">
        <v>334</v>
      </c>
      <c r="F671" s="18" t="s">
        <v>323</v>
      </c>
      <c r="G671" s="18" t="b">
        <v>0</v>
      </c>
      <c r="H671" s="18" t="b">
        <v>1</v>
      </c>
      <c r="I671" s="18">
        <v>8</v>
      </c>
      <c r="J671" s="18">
        <v>103200</v>
      </c>
      <c r="K671" s="18" t="s">
        <v>324</v>
      </c>
      <c r="L671" s="18">
        <v>0</v>
      </c>
      <c r="M671" s="18">
        <v>0</v>
      </c>
      <c r="N671" s="18" t="s">
        <v>510</v>
      </c>
      <c r="O671" s="18">
        <v>0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/>
      <c r="V671" s="18">
        <v>0</v>
      </c>
      <c r="W671" s="18">
        <v>0</v>
      </c>
      <c r="X671" s="18" t="s">
        <v>326</v>
      </c>
      <c r="Y671" s="18" t="s">
        <v>327</v>
      </c>
      <c r="Z671" s="18" t="s">
        <v>328</v>
      </c>
      <c r="AA671" s="18">
        <v>0</v>
      </c>
      <c r="AB671" s="18">
        <v>1</v>
      </c>
      <c r="AC671" s="18" t="b">
        <v>0</v>
      </c>
      <c r="AD671" s="18" t="s">
        <v>329</v>
      </c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 t="s">
        <v>330</v>
      </c>
      <c r="AZ671" s="18">
        <v>11800</v>
      </c>
      <c r="BA671" s="18" t="s">
        <v>331</v>
      </c>
      <c r="BB671" s="18" t="s">
        <v>328</v>
      </c>
      <c r="BC671" s="18">
        <v>10000</v>
      </c>
      <c r="BD671" s="18">
        <v>0</v>
      </c>
      <c r="BE671" s="18" t="s">
        <v>332</v>
      </c>
      <c r="BF671" s="18">
        <v>0</v>
      </c>
      <c r="BG671" s="18" t="s">
        <v>330</v>
      </c>
      <c r="BH671" s="18">
        <v>800</v>
      </c>
      <c r="BI671" s="18">
        <v>2</v>
      </c>
      <c r="BJ671" s="18" t="b">
        <v>1</v>
      </c>
      <c r="BK671" s="18">
        <v>0</v>
      </c>
      <c r="BL671" s="18">
        <v>10000</v>
      </c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  <c r="DU671" s="18"/>
      <c r="DV671" s="18"/>
      <c r="DW671" s="18"/>
      <c r="DX671" s="18"/>
      <c r="DY671" s="18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8"/>
      <c r="EM671" s="18"/>
      <c r="EN671" s="18"/>
      <c r="EO671" s="18"/>
      <c r="EP671" s="18"/>
      <c r="EQ671" s="18"/>
      <c r="ER671" s="18"/>
      <c r="ES671" s="18"/>
      <c r="ET671" s="18"/>
      <c r="EU671" s="18"/>
      <c r="EV671" s="18"/>
      <c r="EW671" s="18"/>
      <c r="EX671" s="18"/>
      <c r="EY671" s="18"/>
      <c r="EZ671" s="18"/>
      <c r="FA671" s="18"/>
      <c r="FB671" s="18"/>
      <c r="FC671" s="18"/>
      <c r="FD671" s="18"/>
      <c r="FE671" s="18"/>
      <c r="FF671" s="18"/>
      <c r="FG671" s="18"/>
      <c r="FH671" s="18"/>
      <c r="FI671" s="18"/>
      <c r="FJ671" s="18"/>
      <c r="FK671" s="18"/>
      <c r="FL671" s="18"/>
      <c r="FM671" s="18"/>
      <c r="FN671" s="18"/>
      <c r="FO671" s="18"/>
      <c r="FP671" s="18"/>
      <c r="FQ671" s="18"/>
      <c r="FR671" s="18"/>
      <c r="FS671" s="18"/>
      <c r="FT671" s="18"/>
      <c r="FU671" s="18"/>
      <c r="FV671" s="18"/>
      <c r="FW671" s="18"/>
      <c r="FX671" s="18"/>
      <c r="FY671" s="18"/>
      <c r="FZ671" s="18"/>
      <c r="GA671" s="18"/>
      <c r="GB671" s="18"/>
      <c r="GC671" s="18"/>
      <c r="GD671" s="18"/>
      <c r="GE671" s="18"/>
      <c r="GF671" s="18"/>
      <c r="GG671" s="18"/>
      <c r="GH671" s="18"/>
      <c r="GI671" s="18"/>
      <c r="GJ671" s="18"/>
      <c r="GK671" s="18"/>
      <c r="GL671" s="18"/>
      <c r="GM671" s="18"/>
      <c r="GN671" s="18"/>
      <c r="GO671" s="18"/>
      <c r="GP671" s="18"/>
      <c r="GQ671" s="18"/>
      <c r="GR671" s="18">
        <v>0</v>
      </c>
      <c r="GS671" s="18">
        <v>0</v>
      </c>
      <c r="GT671" s="18" t="s">
        <v>339</v>
      </c>
      <c r="GU671" s="18">
        <v>0</v>
      </c>
      <c r="GV671" s="18"/>
      <c r="GW671" s="18"/>
      <c r="GX671" s="18" t="b">
        <v>0</v>
      </c>
      <c r="GY671" s="18">
        <v>0</v>
      </c>
      <c r="GZ671" s="18" t="b">
        <v>1</v>
      </c>
      <c r="HA671" s="18">
        <v>0</v>
      </c>
      <c r="HB671" s="18">
        <v>0</v>
      </c>
      <c r="HC671" s="18">
        <v>0</v>
      </c>
      <c r="HD671" s="18">
        <v>0</v>
      </c>
      <c r="HE671" s="18" t="b">
        <v>0</v>
      </c>
      <c r="HF671" s="18">
        <v>0</v>
      </c>
      <c r="HG671" s="18">
        <v>0</v>
      </c>
      <c r="HH671" s="18" t="s">
        <v>339</v>
      </c>
      <c r="HI671" s="18" t="s">
        <v>334</v>
      </c>
      <c r="HJ671" s="18">
        <v>0</v>
      </c>
      <c r="HK671" s="18">
        <v>0</v>
      </c>
      <c r="HL671" s="18">
        <v>0</v>
      </c>
      <c r="HM671" s="18">
        <v>0</v>
      </c>
      <c r="HN671" s="18" t="b">
        <v>0</v>
      </c>
    </row>
    <row r="672" spans="1:222">
      <c r="A672"/>
      <c r="B672" s="29" cm="1">
        <f t="array" ref="B672">10000000+INDEX(编号表!$B$1:$B$112,MATCH(D672,编号表!$A$1:$A$112,0))*10000+I672</f>
        <v>10320009</v>
      </c>
      <c r="C672" s="18" t="s">
        <v>513</v>
      </c>
      <c r="D672" s="18" t="s">
        <v>513</v>
      </c>
      <c r="E672" s="18" t="s">
        <v>334</v>
      </c>
      <c r="F672" s="18" t="s">
        <v>323</v>
      </c>
      <c r="G672" s="18" t="b">
        <v>0</v>
      </c>
      <c r="H672" s="18" t="b">
        <v>1</v>
      </c>
      <c r="I672" s="18">
        <v>9</v>
      </c>
      <c r="J672" s="18">
        <v>103200</v>
      </c>
      <c r="K672" s="18" t="s">
        <v>324</v>
      </c>
      <c r="L672" s="18">
        <v>0</v>
      </c>
      <c r="M672" s="18">
        <v>0</v>
      </c>
      <c r="N672" s="18" t="s">
        <v>510</v>
      </c>
      <c r="O672" s="18">
        <v>0</v>
      </c>
      <c r="P672" s="18">
        <v>0</v>
      </c>
      <c r="Q672" s="18">
        <v>0</v>
      </c>
      <c r="R672" s="18">
        <v>0</v>
      </c>
      <c r="S672" s="18">
        <v>0</v>
      </c>
      <c r="T672" s="18">
        <v>0</v>
      </c>
      <c r="U672" s="18"/>
      <c r="V672" s="18">
        <v>0</v>
      </c>
      <c r="W672" s="18">
        <v>0</v>
      </c>
      <c r="X672" s="18" t="s">
        <v>326</v>
      </c>
      <c r="Y672" s="18" t="s">
        <v>327</v>
      </c>
      <c r="Z672" s="18" t="s">
        <v>328</v>
      </c>
      <c r="AA672" s="18">
        <v>0</v>
      </c>
      <c r="AB672" s="18">
        <v>1</v>
      </c>
      <c r="AC672" s="18" t="b">
        <v>0</v>
      </c>
      <c r="AD672" s="18" t="s">
        <v>329</v>
      </c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 t="s">
        <v>330</v>
      </c>
      <c r="AZ672" s="18">
        <v>11900</v>
      </c>
      <c r="BA672" s="18" t="s">
        <v>331</v>
      </c>
      <c r="BB672" s="18" t="s">
        <v>328</v>
      </c>
      <c r="BC672" s="18">
        <v>10000</v>
      </c>
      <c r="BD672" s="18">
        <v>0</v>
      </c>
      <c r="BE672" s="18" t="s">
        <v>332</v>
      </c>
      <c r="BF672" s="18">
        <v>0</v>
      </c>
      <c r="BG672" s="18" t="s">
        <v>330</v>
      </c>
      <c r="BH672" s="18">
        <v>800</v>
      </c>
      <c r="BI672" s="18">
        <v>2</v>
      </c>
      <c r="BJ672" s="18" t="b">
        <v>1</v>
      </c>
      <c r="BK672" s="18">
        <v>0</v>
      </c>
      <c r="BL672" s="18">
        <v>10000</v>
      </c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  <c r="DU672" s="18"/>
      <c r="DV672" s="18"/>
      <c r="DW672" s="18"/>
      <c r="DX672" s="18"/>
      <c r="DY672" s="18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8"/>
      <c r="EM672" s="18"/>
      <c r="EN672" s="18"/>
      <c r="EO672" s="18"/>
      <c r="EP672" s="18"/>
      <c r="EQ672" s="18"/>
      <c r="ER672" s="18"/>
      <c r="ES672" s="18"/>
      <c r="ET672" s="18"/>
      <c r="EU672" s="18"/>
      <c r="EV672" s="18"/>
      <c r="EW672" s="18"/>
      <c r="EX672" s="18"/>
      <c r="EY672" s="18"/>
      <c r="EZ672" s="18"/>
      <c r="FA672" s="18"/>
      <c r="FB672" s="18"/>
      <c r="FC672" s="18"/>
      <c r="FD672" s="18"/>
      <c r="FE672" s="18"/>
      <c r="FF672" s="18"/>
      <c r="FG672" s="18"/>
      <c r="FH672" s="18"/>
      <c r="FI672" s="18"/>
      <c r="FJ672" s="18"/>
      <c r="FK672" s="18"/>
      <c r="FL672" s="18"/>
      <c r="FM672" s="18"/>
      <c r="FN672" s="18"/>
      <c r="FO672" s="18"/>
      <c r="FP672" s="18"/>
      <c r="FQ672" s="18"/>
      <c r="FR672" s="18"/>
      <c r="FS672" s="18"/>
      <c r="FT672" s="18"/>
      <c r="FU672" s="18"/>
      <c r="FV672" s="18"/>
      <c r="FW672" s="18"/>
      <c r="FX672" s="18"/>
      <c r="FY672" s="18"/>
      <c r="FZ672" s="18"/>
      <c r="GA672" s="18"/>
      <c r="GB672" s="18"/>
      <c r="GC672" s="18"/>
      <c r="GD672" s="18"/>
      <c r="GE672" s="18"/>
      <c r="GF672" s="18"/>
      <c r="GG672" s="18"/>
      <c r="GH672" s="18"/>
      <c r="GI672" s="18"/>
      <c r="GJ672" s="18"/>
      <c r="GK672" s="18"/>
      <c r="GL672" s="18"/>
      <c r="GM672" s="18"/>
      <c r="GN672" s="18"/>
      <c r="GO672" s="18"/>
      <c r="GP672" s="18"/>
      <c r="GQ672" s="18"/>
      <c r="GR672" s="18">
        <v>0</v>
      </c>
      <c r="GS672" s="18">
        <v>0</v>
      </c>
      <c r="GT672" s="18" t="s">
        <v>339</v>
      </c>
      <c r="GU672" s="18">
        <v>0</v>
      </c>
      <c r="GV672" s="18"/>
      <c r="GW672" s="18"/>
      <c r="GX672" s="18" t="b">
        <v>0</v>
      </c>
      <c r="GY672" s="18">
        <v>0</v>
      </c>
      <c r="GZ672" s="18" t="b">
        <v>1</v>
      </c>
      <c r="HA672" s="18">
        <v>0</v>
      </c>
      <c r="HB672" s="18">
        <v>0</v>
      </c>
      <c r="HC672" s="18">
        <v>0</v>
      </c>
      <c r="HD672" s="18">
        <v>0</v>
      </c>
      <c r="HE672" s="18" t="b">
        <v>0</v>
      </c>
      <c r="HF672" s="18">
        <v>0</v>
      </c>
      <c r="HG672" s="18">
        <v>0</v>
      </c>
      <c r="HH672" s="18" t="s">
        <v>339</v>
      </c>
      <c r="HI672" s="18" t="s">
        <v>334</v>
      </c>
      <c r="HJ672" s="18">
        <v>0</v>
      </c>
      <c r="HK672" s="18">
        <v>0</v>
      </c>
      <c r="HL672" s="18">
        <v>0</v>
      </c>
      <c r="HM672" s="18">
        <v>0</v>
      </c>
      <c r="HN672" s="18" t="b">
        <v>0</v>
      </c>
    </row>
    <row r="673" spans="1:222">
      <c r="A673"/>
      <c r="B673" s="29" cm="1">
        <f t="array" ref="B673">10000000+INDEX(编号表!$B$1:$B$112,MATCH(D673,编号表!$A$1:$A$112,0))*10000+I673</f>
        <v>10320010</v>
      </c>
      <c r="C673" s="18" t="s">
        <v>513</v>
      </c>
      <c r="D673" s="18" t="s">
        <v>513</v>
      </c>
      <c r="E673" s="18" t="s">
        <v>334</v>
      </c>
      <c r="F673" s="18" t="s">
        <v>323</v>
      </c>
      <c r="G673" s="18" t="b">
        <v>0</v>
      </c>
      <c r="H673" s="18" t="b">
        <v>1</v>
      </c>
      <c r="I673" s="18">
        <v>10</v>
      </c>
      <c r="J673" s="18">
        <v>103200</v>
      </c>
      <c r="K673" s="18" t="s">
        <v>324</v>
      </c>
      <c r="L673" s="18">
        <v>0</v>
      </c>
      <c r="M673" s="18">
        <v>0</v>
      </c>
      <c r="N673" s="18" t="s">
        <v>510</v>
      </c>
      <c r="O673" s="18">
        <v>0</v>
      </c>
      <c r="P673" s="18">
        <v>0</v>
      </c>
      <c r="Q673" s="18">
        <v>0</v>
      </c>
      <c r="R673" s="18">
        <v>0</v>
      </c>
      <c r="S673" s="18">
        <v>0</v>
      </c>
      <c r="T673" s="18">
        <v>0</v>
      </c>
      <c r="U673" s="18"/>
      <c r="V673" s="18">
        <v>0</v>
      </c>
      <c r="W673" s="18">
        <v>0</v>
      </c>
      <c r="X673" s="18" t="s">
        <v>326</v>
      </c>
      <c r="Y673" s="18" t="s">
        <v>327</v>
      </c>
      <c r="Z673" s="18" t="s">
        <v>328</v>
      </c>
      <c r="AA673" s="18">
        <v>0</v>
      </c>
      <c r="AB673" s="18">
        <v>1</v>
      </c>
      <c r="AC673" s="18" t="b">
        <v>0</v>
      </c>
      <c r="AD673" s="18" t="s">
        <v>329</v>
      </c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 t="s">
        <v>330</v>
      </c>
      <c r="AZ673" s="18">
        <v>12000</v>
      </c>
      <c r="BA673" s="18" t="s">
        <v>331</v>
      </c>
      <c r="BB673" s="18" t="s">
        <v>328</v>
      </c>
      <c r="BC673" s="18">
        <v>10000</v>
      </c>
      <c r="BD673" s="18">
        <v>0</v>
      </c>
      <c r="BE673" s="18" t="s">
        <v>332</v>
      </c>
      <c r="BF673" s="18">
        <v>0</v>
      </c>
      <c r="BG673" s="18" t="s">
        <v>330</v>
      </c>
      <c r="BH673" s="18">
        <v>800</v>
      </c>
      <c r="BI673" s="18">
        <v>2</v>
      </c>
      <c r="BJ673" s="18" t="b">
        <v>1</v>
      </c>
      <c r="BK673" s="18">
        <v>0</v>
      </c>
      <c r="BL673" s="18">
        <v>10000</v>
      </c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  <c r="DU673" s="18"/>
      <c r="DV673" s="18"/>
      <c r="DW673" s="18"/>
      <c r="DX673" s="18"/>
      <c r="DY673" s="18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8"/>
      <c r="EM673" s="18"/>
      <c r="EN673" s="18"/>
      <c r="EO673" s="18"/>
      <c r="EP673" s="18"/>
      <c r="EQ673" s="18"/>
      <c r="ER673" s="18"/>
      <c r="ES673" s="18"/>
      <c r="ET673" s="18"/>
      <c r="EU673" s="18"/>
      <c r="EV673" s="18"/>
      <c r="EW673" s="18"/>
      <c r="EX673" s="18"/>
      <c r="EY673" s="18"/>
      <c r="EZ673" s="18"/>
      <c r="FA673" s="18"/>
      <c r="FB673" s="18"/>
      <c r="FC673" s="18"/>
      <c r="FD673" s="18"/>
      <c r="FE673" s="18"/>
      <c r="FF673" s="18"/>
      <c r="FG673" s="18"/>
      <c r="FH673" s="18"/>
      <c r="FI673" s="18"/>
      <c r="FJ673" s="18"/>
      <c r="FK673" s="18"/>
      <c r="FL673" s="18"/>
      <c r="FM673" s="18"/>
      <c r="FN673" s="18"/>
      <c r="FO673" s="18"/>
      <c r="FP673" s="18"/>
      <c r="FQ673" s="18"/>
      <c r="FR673" s="18"/>
      <c r="FS673" s="18"/>
      <c r="FT673" s="18"/>
      <c r="FU673" s="18"/>
      <c r="FV673" s="18"/>
      <c r="FW673" s="18"/>
      <c r="FX673" s="18"/>
      <c r="FY673" s="18"/>
      <c r="FZ673" s="18"/>
      <c r="GA673" s="18"/>
      <c r="GB673" s="18"/>
      <c r="GC673" s="18"/>
      <c r="GD673" s="18"/>
      <c r="GE673" s="18"/>
      <c r="GF673" s="18"/>
      <c r="GG673" s="18"/>
      <c r="GH673" s="18"/>
      <c r="GI673" s="18"/>
      <c r="GJ673" s="18"/>
      <c r="GK673" s="18"/>
      <c r="GL673" s="18"/>
      <c r="GM673" s="18"/>
      <c r="GN673" s="18"/>
      <c r="GO673" s="18"/>
      <c r="GP673" s="18"/>
      <c r="GQ673" s="18"/>
      <c r="GR673" s="18">
        <v>0</v>
      </c>
      <c r="GS673" s="18">
        <v>0</v>
      </c>
      <c r="GT673" s="18" t="s">
        <v>339</v>
      </c>
      <c r="GU673" s="18">
        <v>0</v>
      </c>
      <c r="GV673" s="18"/>
      <c r="GW673" s="18"/>
      <c r="GX673" s="18" t="b">
        <v>0</v>
      </c>
      <c r="GY673" s="18">
        <v>0</v>
      </c>
      <c r="GZ673" s="18" t="b">
        <v>1</v>
      </c>
      <c r="HA673" s="18">
        <v>0</v>
      </c>
      <c r="HB673" s="18">
        <v>0</v>
      </c>
      <c r="HC673" s="18">
        <v>0</v>
      </c>
      <c r="HD673" s="18">
        <v>0</v>
      </c>
      <c r="HE673" s="18" t="b">
        <v>0</v>
      </c>
      <c r="HF673" s="18">
        <v>0</v>
      </c>
      <c r="HG673" s="18">
        <v>0</v>
      </c>
      <c r="HH673" s="18" t="s">
        <v>339</v>
      </c>
      <c r="HI673" s="18" t="s">
        <v>334</v>
      </c>
      <c r="HJ673" s="18">
        <v>0</v>
      </c>
      <c r="HK673" s="18">
        <v>0</v>
      </c>
      <c r="HL673" s="18">
        <v>0</v>
      </c>
      <c r="HM673" s="18">
        <v>0</v>
      </c>
      <c r="HN673" s="18" t="b">
        <v>0</v>
      </c>
    </row>
    <row r="674" spans="1:222">
      <c r="A674"/>
      <c r="B674" s="29" cm="1">
        <f t="array" ref="B674">10000000+INDEX(编号表!$B$1:$B$112,MATCH(D674,编号表!$A$1:$A$112,0))*10000+I674</f>
        <v>10330001</v>
      </c>
      <c r="C674" s="18" t="s">
        <v>514</v>
      </c>
      <c r="D674" s="18" t="s">
        <v>514</v>
      </c>
      <c r="E674" s="18" t="s">
        <v>334</v>
      </c>
      <c r="F674" s="18" t="s">
        <v>323</v>
      </c>
      <c r="G674" s="18" t="b">
        <v>0</v>
      </c>
      <c r="H674" s="18" t="b">
        <v>1</v>
      </c>
      <c r="I674" s="18">
        <v>1</v>
      </c>
      <c r="J674" s="18">
        <v>103300</v>
      </c>
      <c r="K674" s="18" t="s">
        <v>324</v>
      </c>
      <c r="L674" s="18">
        <v>0</v>
      </c>
      <c r="M674" s="18">
        <v>0</v>
      </c>
      <c r="N674" s="18" t="s">
        <v>510</v>
      </c>
      <c r="O674" s="18">
        <v>0</v>
      </c>
      <c r="P674" s="18">
        <v>0</v>
      </c>
      <c r="Q674" s="18">
        <v>0</v>
      </c>
      <c r="R674" s="18">
        <v>0</v>
      </c>
      <c r="S674" s="18">
        <v>0</v>
      </c>
      <c r="T674" s="18">
        <v>0</v>
      </c>
      <c r="U674" s="18"/>
      <c r="V674" s="18">
        <v>0</v>
      </c>
      <c r="W674" s="18">
        <v>0</v>
      </c>
      <c r="X674" s="18" t="s">
        <v>326</v>
      </c>
      <c r="Y674" s="18" t="s">
        <v>327</v>
      </c>
      <c r="Z674" s="18" t="s">
        <v>328</v>
      </c>
      <c r="AA674" s="18">
        <v>0</v>
      </c>
      <c r="AB674" s="18">
        <v>1</v>
      </c>
      <c r="AC674" s="18" t="b">
        <v>0</v>
      </c>
      <c r="AD674" s="18" t="s">
        <v>329</v>
      </c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 t="s">
        <v>330</v>
      </c>
      <c r="AZ674" s="18">
        <v>10000</v>
      </c>
      <c r="BA674" s="18" t="s">
        <v>331</v>
      </c>
      <c r="BB674" s="18" t="s">
        <v>328</v>
      </c>
      <c r="BC674" s="18">
        <v>10000</v>
      </c>
      <c r="BD674" s="18">
        <v>0</v>
      </c>
      <c r="BE674" s="18" t="s">
        <v>332</v>
      </c>
      <c r="BF674" s="18">
        <v>0</v>
      </c>
      <c r="BG674" s="18" t="s">
        <v>330</v>
      </c>
      <c r="BH674" s="18">
        <v>900</v>
      </c>
      <c r="BI674" s="18">
        <v>0</v>
      </c>
      <c r="BJ674" s="18" t="b">
        <v>1</v>
      </c>
      <c r="BK674" s="18">
        <v>0</v>
      </c>
      <c r="BL674" s="18">
        <v>10000</v>
      </c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  <c r="DU674" s="18"/>
      <c r="DV674" s="18"/>
      <c r="DW674" s="18"/>
      <c r="DX674" s="18"/>
      <c r="DY674" s="18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8"/>
      <c r="EM674" s="18"/>
      <c r="EN674" s="18"/>
      <c r="EO674" s="18"/>
      <c r="EP674" s="18"/>
      <c r="EQ674" s="18"/>
      <c r="ER674" s="18"/>
      <c r="ES674" s="18"/>
      <c r="ET674" s="18"/>
      <c r="EU674" s="18"/>
      <c r="EV674" s="18"/>
      <c r="EW674" s="18"/>
      <c r="EX674" s="18"/>
      <c r="EY674" s="18"/>
      <c r="EZ674" s="18"/>
      <c r="FA674" s="18"/>
      <c r="FB674" s="18"/>
      <c r="FC674" s="18"/>
      <c r="FD674" s="18"/>
      <c r="FE674" s="18"/>
      <c r="FF674" s="18"/>
      <c r="FG674" s="18"/>
      <c r="FH674" s="18"/>
      <c r="FI674" s="18"/>
      <c r="FJ674" s="18"/>
      <c r="FK674" s="18"/>
      <c r="FL674" s="18"/>
      <c r="FM674" s="18"/>
      <c r="FN674" s="18"/>
      <c r="FO674" s="18"/>
      <c r="FP674" s="18"/>
      <c r="FQ674" s="18"/>
      <c r="FR674" s="18"/>
      <c r="FS674" s="18"/>
      <c r="FT674" s="18"/>
      <c r="FU674" s="18"/>
      <c r="FV674" s="18"/>
      <c r="FW674" s="18"/>
      <c r="FX674" s="18"/>
      <c r="FY674" s="18"/>
      <c r="FZ674" s="18"/>
      <c r="GA674" s="18"/>
      <c r="GB674" s="18"/>
      <c r="GC674" s="18"/>
      <c r="GD674" s="18"/>
      <c r="GE674" s="18"/>
      <c r="GF674" s="18"/>
      <c r="GG674" s="18"/>
      <c r="GH674" s="18"/>
      <c r="GI674" s="18"/>
      <c r="GJ674" s="18"/>
      <c r="GK674" s="18"/>
      <c r="GL674" s="18"/>
      <c r="GM674" s="18"/>
      <c r="GN674" s="18"/>
      <c r="GO674" s="18"/>
      <c r="GP674" s="18"/>
      <c r="GQ674" s="18"/>
      <c r="GR674" s="18">
        <v>0</v>
      </c>
      <c r="GS674" s="18">
        <v>0</v>
      </c>
      <c r="GT674" s="18" t="s">
        <v>339</v>
      </c>
      <c r="GU674" s="18">
        <v>0</v>
      </c>
      <c r="GV674" s="18"/>
      <c r="GW674" s="18"/>
      <c r="GX674" s="18" t="b">
        <v>0</v>
      </c>
      <c r="GY674" s="18">
        <v>0</v>
      </c>
      <c r="GZ674" s="18" t="b">
        <v>1</v>
      </c>
      <c r="HA674" s="18">
        <v>0</v>
      </c>
      <c r="HB674" s="18">
        <v>0</v>
      </c>
      <c r="HC674" s="18">
        <v>0</v>
      </c>
      <c r="HD674" s="18">
        <v>0</v>
      </c>
      <c r="HE674" s="18" t="b">
        <v>0</v>
      </c>
      <c r="HF674" s="18">
        <v>0</v>
      </c>
      <c r="HG674" s="18">
        <v>0</v>
      </c>
      <c r="HH674" s="18" t="s">
        <v>339</v>
      </c>
      <c r="HI674" s="18" t="s">
        <v>334</v>
      </c>
      <c r="HJ674" s="18">
        <v>0</v>
      </c>
      <c r="HK674" s="18">
        <v>0</v>
      </c>
      <c r="HL674" s="18">
        <v>0</v>
      </c>
      <c r="HM674" s="18">
        <v>0</v>
      </c>
      <c r="HN674" s="18" t="b">
        <v>0</v>
      </c>
    </row>
    <row r="675" spans="1:222">
      <c r="A675"/>
      <c r="B675" s="29" cm="1">
        <f t="array" ref="B675">10000000+INDEX(编号表!$B$1:$B$112,MATCH(D675,编号表!$A$1:$A$112,0))*10000+I675</f>
        <v>10330002</v>
      </c>
      <c r="C675" s="18" t="s">
        <v>514</v>
      </c>
      <c r="D675" s="18" t="s">
        <v>514</v>
      </c>
      <c r="E675" s="18" t="s">
        <v>334</v>
      </c>
      <c r="F675" s="18" t="s">
        <v>323</v>
      </c>
      <c r="G675" s="18" t="b">
        <v>0</v>
      </c>
      <c r="H675" s="18" t="b">
        <v>1</v>
      </c>
      <c r="I675" s="18">
        <v>2</v>
      </c>
      <c r="J675" s="18">
        <v>103300</v>
      </c>
      <c r="K675" s="18" t="s">
        <v>324</v>
      </c>
      <c r="L675" s="18">
        <v>0</v>
      </c>
      <c r="M675" s="18">
        <v>0</v>
      </c>
      <c r="N675" s="18" t="s">
        <v>510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/>
      <c r="V675" s="18">
        <v>0</v>
      </c>
      <c r="W675" s="18">
        <v>0</v>
      </c>
      <c r="X675" s="18" t="s">
        <v>326</v>
      </c>
      <c r="Y675" s="18" t="s">
        <v>327</v>
      </c>
      <c r="Z675" s="18" t="s">
        <v>328</v>
      </c>
      <c r="AA675" s="18">
        <v>0</v>
      </c>
      <c r="AB675" s="18">
        <v>1</v>
      </c>
      <c r="AC675" s="18" t="b">
        <v>0</v>
      </c>
      <c r="AD675" s="18" t="s">
        <v>329</v>
      </c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 t="s">
        <v>330</v>
      </c>
      <c r="AZ675" s="18">
        <v>10400</v>
      </c>
      <c r="BA675" s="18" t="s">
        <v>331</v>
      </c>
      <c r="BB675" s="18" t="s">
        <v>328</v>
      </c>
      <c r="BC675" s="18">
        <v>10000</v>
      </c>
      <c r="BD675" s="18">
        <v>0</v>
      </c>
      <c r="BE675" s="18" t="s">
        <v>332</v>
      </c>
      <c r="BF675" s="18">
        <v>0</v>
      </c>
      <c r="BG675" s="18" t="s">
        <v>330</v>
      </c>
      <c r="BH675" s="18">
        <v>900</v>
      </c>
      <c r="BI675" s="18">
        <v>0</v>
      </c>
      <c r="BJ675" s="18" t="b">
        <v>1</v>
      </c>
      <c r="BK675" s="18">
        <v>0</v>
      </c>
      <c r="BL675" s="18">
        <v>10000</v>
      </c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  <c r="DU675" s="18"/>
      <c r="DV675" s="18"/>
      <c r="DW675" s="18"/>
      <c r="DX675" s="18"/>
      <c r="DY675" s="18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8"/>
      <c r="EM675" s="18"/>
      <c r="EN675" s="18"/>
      <c r="EO675" s="18"/>
      <c r="EP675" s="18"/>
      <c r="EQ675" s="18"/>
      <c r="ER675" s="18"/>
      <c r="ES675" s="18"/>
      <c r="ET675" s="18"/>
      <c r="EU675" s="18"/>
      <c r="EV675" s="18"/>
      <c r="EW675" s="18"/>
      <c r="EX675" s="18"/>
      <c r="EY675" s="18"/>
      <c r="EZ675" s="18"/>
      <c r="FA675" s="18"/>
      <c r="FB675" s="18"/>
      <c r="FC675" s="18"/>
      <c r="FD675" s="18"/>
      <c r="FE675" s="18"/>
      <c r="FF675" s="18"/>
      <c r="FG675" s="18"/>
      <c r="FH675" s="18"/>
      <c r="FI675" s="18"/>
      <c r="FJ675" s="18"/>
      <c r="FK675" s="18"/>
      <c r="FL675" s="18"/>
      <c r="FM675" s="18"/>
      <c r="FN675" s="18"/>
      <c r="FO675" s="18"/>
      <c r="FP675" s="18"/>
      <c r="FQ675" s="18"/>
      <c r="FR675" s="18"/>
      <c r="FS675" s="18"/>
      <c r="FT675" s="18"/>
      <c r="FU675" s="18"/>
      <c r="FV675" s="18"/>
      <c r="FW675" s="18"/>
      <c r="FX675" s="18"/>
      <c r="FY675" s="18"/>
      <c r="FZ675" s="18"/>
      <c r="GA675" s="18"/>
      <c r="GB675" s="18"/>
      <c r="GC675" s="18"/>
      <c r="GD675" s="18"/>
      <c r="GE675" s="18"/>
      <c r="GF675" s="18"/>
      <c r="GG675" s="18"/>
      <c r="GH675" s="18"/>
      <c r="GI675" s="18"/>
      <c r="GJ675" s="18"/>
      <c r="GK675" s="18"/>
      <c r="GL675" s="18"/>
      <c r="GM675" s="18"/>
      <c r="GN675" s="18"/>
      <c r="GO675" s="18"/>
      <c r="GP675" s="18"/>
      <c r="GQ675" s="18"/>
      <c r="GR675" s="18">
        <v>0</v>
      </c>
      <c r="GS675" s="18">
        <v>0</v>
      </c>
      <c r="GT675" s="18" t="s">
        <v>339</v>
      </c>
      <c r="GU675" s="18">
        <v>0</v>
      </c>
      <c r="GV675" s="18"/>
      <c r="GW675" s="18"/>
      <c r="GX675" s="18" t="b">
        <v>0</v>
      </c>
      <c r="GY675" s="18">
        <v>0</v>
      </c>
      <c r="GZ675" s="18" t="b">
        <v>1</v>
      </c>
      <c r="HA675" s="18">
        <v>0</v>
      </c>
      <c r="HB675" s="18">
        <v>0</v>
      </c>
      <c r="HC675" s="18">
        <v>0</v>
      </c>
      <c r="HD675" s="18">
        <v>0</v>
      </c>
      <c r="HE675" s="18" t="b">
        <v>0</v>
      </c>
      <c r="HF675" s="18">
        <v>0</v>
      </c>
      <c r="HG675" s="18">
        <v>0</v>
      </c>
      <c r="HH675" s="18" t="s">
        <v>339</v>
      </c>
      <c r="HI675" s="18" t="s">
        <v>334</v>
      </c>
      <c r="HJ675" s="18">
        <v>0</v>
      </c>
      <c r="HK675" s="18">
        <v>0</v>
      </c>
      <c r="HL675" s="18">
        <v>0</v>
      </c>
      <c r="HM675" s="18">
        <v>0</v>
      </c>
      <c r="HN675" s="18" t="b">
        <v>0</v>
      </c>
    </row>
    <row r="676" spans="1:222">
      <c r="A676"/>
      <c r="B676" s="29" cm="1">
        <f t="array" ref="B676">10000000+INDEX(编号表!$B$1:$B$112,MATCH(D676,编号表!$A$1:$A$112,0))*10000+I676</f>
        <v>10330003</v>
      </c>
      <c r="C676" s="18" t="s">
        <v>514</v>
      </c>
      <c r="D676" s="18" t="s">
        <v>514</v>
      </c>
      <c r="E676" s="18" t="s">
        <v>334</v>
      </c>
      <c r="F676" s="18" t="s">
        <v>323</v>
      </c>
      <c r="G676" s="18" t="b">
        <v>0</v>
      </c>
      <c r="H676" s="18" t="b">
        <v>1</v>
      </c>
      <c r="I676" s="18">
        <v>3</v>
      </c>
      <c r="J676" s="18">
        <v>103300</v>
      </c>
      <c r="K676" s="18" t="s">
        <v>324</v>
      </c>
      <c r="L676" s="18">
        <v>0</v>
      </c>
      <c r="M676" s="18">
        <v>0</v>
      </c>
      <c r="N676" s="18" t="s">
        <v>510</v>
      </c>
      <c r="O676" s="18">
        <v>0</v>
      </c>
      <c r="P676" s="18">
        <v>0</v>
      </c>
      <c r="Q676" s="18">
        <v>0</v>
      </c>
      <c r="R676" s="18">
        <v>0</v>
      </c>
      <c r="S676" s="18">
        <v>0</v>
      </c>
      <c r="T676" s="18">
        <v>0</v>
      </c>
      <c r="U676" s="18"/>
      <c r="V676" s="18">
        <v>0</v>
      </c>
      <c r="W676" s="18">
        <v>0</v>
      </c>
      <c r="X676" s="18" t="s">
        <v>326</v>
      </c>
      <c r="Y676" s="18" t="s">
        <v>327</v>
      </c>
      <c r="Z676" s="18" t="s">
        <v>328</v>
      </c>
      <c r="AA676" s="18">
        <v>0</v>
      </c>
      <c r="AB676" s="18">
        <v>1</v>
      </c>
      <c r="AC676" s="18" t="b">
        <v>0</v>
      </c>
      <c r="AD676" s="18" t="s">
        <v>329</v>
      </c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 t="s">
        <v>330</v>
      </c>
      <c r="AZ676" s="18">
        <v>10800</v>
      </c>
      <c r="BA676" s="18" t="s">
        <v>331</v>
      </c>
      <c r="BB676" s="18" t="s">
        <v>328</v>
      </c>
      <c r="BC676" s="18">
        <v>10000</v>
      </c>
      <c r="BD676" s="18">
        <v>0</v>
      </c>
      <c r="BE676" s="18" t="s">
        <v>332</v>
      </c>
      <c r="BF676" s="18">
        <v>0</v>
      </c>
      <c r="BG676" s="18" t="s">
        <v>330</v>
      </c>
      <c r="BH676" s="18">
        <v>900</v>
      </c>
      <c r="BI676" s="18">
        <v>0</v>
      </c>
      <c r="BJ676" s="18" t="b">
        <v>1</v>
      </c>
      <c r="BK676" s="18">
        <v>0</v>
      </c>
      <c r="BL676" s="18">
        <v>10000</v>
      </c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  <c r="DU676" s="18"/>
      <c r="DV676" s="18"/>
      <c r="DW676" s="18"/>
      <c r="DX676" s="18"/>
      <c r="DY676" s="18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8"/>
      <c r="EM676" s="18"/>
      <c r="EN676" s="18"/>
      <c r="EO676" s="18"/>
      <c r="EP676" s="18"/>
      <c r="EQ676" s="18"/>
      <c r="ER676" s="18"/>
      <c r="ES676" s="18"/>
      <c r="ET676" s="18"/>
      <c r="EU676" s="18"/>
      <c r="EV676" s="18"/>
      <c r="EW676" s="18"/>
      <c r="EX676" s="18"/>
      <c r="EY676" s="18"/>
      <c r="EZ676" s="18"/>
      <c r="FA676" s="18"/>
      <c r="FB676" s="18"/>
      <c r="FC676" s="18"/>
      <c r="FD676" s="18"/>
      <c r="FE676" s="18"/>
      <c r="FF676" s="18"/>
      <c r="FG676" s="18"/>
      <c r="FH676" s="18"/>
      <c r="FI676" s="18"/>
      <c r="FJ676" s="18"/>
      <c r="FK676" s="18"/>
      <c r="FL676" s="18"/>
      <c r="FM676" s="18"/>
      <c r="FN676" s="18"/>
      <c r="FO676" s="18"/>
      <c r="FP676" s="18"/>
      <c r="FQ676" s="18"/>
      <c r="FR676" s="18"/>
      <c r="FS676" s="18"/>
      <c r="FT676" s="18"/>
      <c r="FU676" s="18"/>
      <c r="FV676" s="18"/>
      <c r="FW676" s="18"/>
      <c r="FX676" s="18"/>
      <c r="FY676" s="18"/>
      <c r="FZ676" s="18"/>
      <c r="GA676" s="18"/>
      <c r="GB676" s="18"/>
      <c r="GC676" s="18"/>
      <c r="GD676" s="18"/>
      <c r="GE676" s="18"/>
      <c r="GF676" s="18"/>
      <c r="GG676" s="18"/>
      <c r="GH676" s="18"/>
      <c r="GI676" s="18"/>
      <c r="GJ676" s="18"/>
      <c r="GK676" s="18"/>
      <c r="GL676" s="18"/>
      <c r="GM676" s="18"/>
      <c r="GN676" s="18"/>
      <c r="GO676" s="18"/>
      <c r="GP676" s="18"/>
      <c r="GQ676" s="18"/>
      <c r="GR676" s="18">
        <v>0</v>
      </c>
      <c r="GS676" s="18">
        <v>0</v>
      </c>
      <c r="GT676" s="18" t="s">
        <v>339</v>
      </c>
      <c r="GU676" s="18">
        <v>0</v>
      </c>
      <c r="GV676" s="18"/>
      <c r="GW676" s="18"/>
      <c r="GX676" s="18" t="b">
        <v>0</v>
      </c>
      <c r="GY676" s="18">
        <v>0</v>
      </c>
      <c r="GZ676" s="18" t="b">
        <v>1</v>
      </c>
      <c r="HA676" s="18">
        <v>0</v>
      </c>
      <c r="HB676" s="18">
        <v>0</v>
      </c>
      <c r="HC676" s="18">
        <v>0</v>
      </c>
      <c r="HD676" s="18">
        <v>0</v>
      </c>
      <c r="HE676" s="18" t="b">
        <v>0</v>
      </c>
      <c r="HF676" s="18">
        <v>0</v>
      </c>
      <c r="HG676" s="18">
        <v>0</v>
      </c>
      <c r="HH676" s="18" t="s">
        <v>339</v>
      </c>
      <c r="HI676" s="18" t="s">
        <v>334</v>
      </c>
      <c r="HJ676" s="18">
        <v>0</v>
      </c>
      <c r="HK676" s="18">
        <v>0</v>
      </c>
      <c r="HL676" s="18">
        <v>0</v>
      </c>
      <c r="HM676" s="18">
        <v>0</v>
      </c>
      <c r="HN676" s="18" t="b">
        <v>0</v>
      </c>
    </row>
    <row r="677" spans="1:222">
      <c r="A677"/>
      <c r="B677" s="29" cm="1">
        <f t="array" ref="B677">10000000+INDEX(编号表!$B$1:$B$112,MATCH(D677,编号表!$A$1:$A$112,0))*10000+I677</f>
        <v>10330004</v>
      </c>
      <c r="C677" s="18" t="s">
        <v>514</v>
      </c>
      <c r="D677" s="18" t="s">
        <v>514</v>
      </c>
      <c r="E677" s="18" t="s">
        <v>334</v>
      </c>
      <c r="F677" s="18" t="s">
        <v>323</v>
      </c>
      <c r="G677" s="18" t="b">
        <v>0</v>
      </c>
      <c r="H677" s="18" t="b">
        <v>1</v>
      </c>
      <c r="I677" s="18">
        <v>4</v>
      </c>
      <c r="J677" s="18">
        <v>103300</v>
      </c>
      <c r="K677" s="18" t="s">
        <v>324</v>
      </c>
      <c r="L677" s="18">
        <v>0</v>
      </c>
      <c r="M677" s="18">
        <v>0</v>
      </c>
      <c r="N677" s="18" t="s">
        <v>510</v>
      </c>
      <c r="O677" s="18">
        <v>0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/>
      <c r="V677" s="18">
        <v>0</v>
      </c>
      <c r="W677" s="18">
        <v>0</v>
      </c>
      <c r="X677" s="18" t="s">
        <v>326</v>
      </c>
      <c r="Y677" s="18" t="s">
        <v>327</v>
      </c>
      <c r="Z677" s="18" t="s">
        <v>328</v>
      </c>
      <c r="AA677" s="18">
        <v>0</v>
      </c>
      <c r="AB677" s="18">
        <v>1</v>
      </c>
      <c r="AC677" s="18" t="b">
        <v>0</v>
      </c>
      <c r="AD677" s="18" t="s">
        <v>329</v>
      </c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 t="s">
        <v>330</v>
      </c>
      <c r="AZ677" s="18">
        <v>11200</v>
      </c>
      <c r="BA677" s="18" t="s">
        <v>331</v>
      </c>
      <c r="BB677" s="18" t="s">
        <v>328</v>
      </c>
      <c r="BC677" s="18">
        <v>10000</v>
      </c>
      <c r="BD677" s="18">
        <v>0</v>
      </c>
      <c r="BE677" s="18" t="s">
        <v>332</v>
      </c>
      <c r="BF677" s="18">
        <v>0</v>
      </c>
      <c r="BG677" s="18" t="s">
        <v>330</v>
      </c>
      <c r="BH677" s="18">
        <v>900</v>
      </c>
      <c r="BI677" s="18">
        <v>1</v>
      </c>
      <c r="BJ677" s="18" t="b">
        <v>1</v>
      </c>
      <c r="BK677" s="18">
        <v>0</v>
      </c>
      <c r="BL677" s="18">
        <v>10000</v>
      </c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  <c r="DU677" s="18"/>
      <c r="DV677" s="18"/>
      <c r="DW677" s="18"/>
      <c r="DX677" s="18"/>
      <c r="DY677" s="18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8"/>
      <c r="EM677" s="18"/>
      <c r="EN677" s="18"/>
      <c r="EO677" s="18"/>
      <c r="EP677" s="18"/>
      <c r="EQ677" s="18"/>
      <c r="ER677" s="18"/>
      <c r="ES677" s="18"/>
      <c r="ET677" s="18"/>
      <c r="EU677" s="18"/>
      <c r="EV677" s="18"/>
      <c r="EW677" s="18"/>
      <c r="EX677" s="18"/>
      <c r="EY677" s="18"/>
      <c r="EZ677" s="18"/>
      <c r="FA677" s="18"/>
      <c r="FB677" s="18"/>
      <c r="FC677" s="18"/>
      <c r="FD677" s="18"/>
      <c r="FE677" s="18"/>
      <c r="FF677" s="18"/>
      <c r="FG677" s="18"/>
      <c r="FH677" s="18"/>
      <c r="FI677" s="18"/>
      <c r="FJ677" s="18"/>
      <c r="FK677" s="18"/>
      <c r="FL677" s="18"/>
      <c r="FM677" s="18"/>
      <c r="FN677" s="18"/>
      <c r="FO677" s="18"/>
      <c r="FP677" s="18"/>
      <c r="FQ677" s="18"/>
      <c r="FR677" s="18"/>
      <c r="FS677" s="18"/>
      <c r="FT677" s="18"/>
      <c r="FU677" s="18"/>
      <c r="FV677" s="18"/>
      <c r="FW677" s="18"/>
      <c r="FX677" s="18"/>
      <c r="FY677" s="18"/>
      <c r="FZ677" s="18"/>
      <c r="GA677" s="18"/>
      <c r="GB677" s="18"/>
      <c r="GC677" s="18"/>
      <c r="GD677" s="18"/>
      <c r="GE677" s="18"/>
      <c r="GF677" s="18"/>
      <c r="GG677" s="18"/>
      <c r="GH677" s="18"/>
      <c r="GI677" s="18"/>
      <c r="GJ677" s="18"/>
      <c r="GK677" s="18"/>
      <c r="GL677" s="18"/>
      <c r="GM677" s="18"/>
      <c r="GN677" s="18"/>
      <c r="GO677" s="18"/>
      <c r="GP677" s="18"/>
      <c r="GQ677" s="18"/>
      <c r="GR677" s="18">
        <v>0</v>
      </c>
      <c r="GS677" s="18">
        <v>0</v>
      </c>
      <c r="GT677" s="18" t="s">
        <v>339</v>
      </c>
      <c r="GU677" s="18">
        <v>0</v>
      </c>
      <c r="GV677" s="18"/>
      <c r="GW677" s="18"/>
      <c r="GX677" s="18" t="b">
        <v>0</v>
      </c>
      <c r="GY677" s="18">
        <v>0</v>
      </c>
      <c r="GZ677" s="18" t="b">
        <v>1</v>
      </c>
      <c r="HA677" s="18">
        <v>0</v>
      </c>
      <c r="HB677" s="18">
        <v>0</v>
      </c>
      <c r="HC677" s="18">
        <v>0</v>
      </c>
      <c r="HD677" s="18">
        <v>0</v>
      </c>
      <c r="HE677" s="18" t="b">
        <v>0</v>
      </c>
      <c r="HF677" s="18">
        <v>0</v>
      </c>
      <c r="HG677" s="18">
        <v>0</v>
      </c>
      <c r="HH677" s="18" t="s">
        <v>339</v>
      </c>
      <c r="HI677" s="18" t="s">
        <v>334</v>
      </c>
      <c r="HJ677" s="18">
        <v>0</v>
      </c>
      <c r="HK677" s="18">
        <v>0</v>
      </c>
      <c r="HL677" s="18">
        <v>0</v>
      </c>
      <c r="HM677" s="18">
        <v>0</v>
      </c>
      <c r="HN677" s="18" t="b">
        <v>0</v>
      </c>
    </row>
    <row r="678" spans="1:222">
      <c r="A678"/>
      <c r="B678" s="29" cm="1">
        <f t="array" ref="B678">10000000+INDEX(编号表!$B$1:$B$112,MATCH(D678,编号表!$A$1:$A$112,0))*10000+I678</f>
        <v>10330005</v>
      </c>
      <c r="C678" s="18" t="s">
        <v>514</v>
      </c>
      <c r="D678" s="18" t="s">
        <v>514</v>
      </c>
      <c r="E678" s="18" t="s">
        <v>334</v>
      </c>
      <c r="F678" s="18" t="s">
        <v>323</v>
      </c>
      <c r="G678" s="18" t="b">
        <v>0</v>
      </c>
      <c r="H678" s="18" t="b">
        <v>1</v>
      </c>
      <c r="I678" s="18">
        <v>5</v>
      </c>
      <c r="J678" s="18">
        <v>103300</v>
      </c>
      <c r="K678" s="18" t="s">
        <v>324</v>
      </c>
      <c r="L678" s="18">
        <v>0</v>
      </c>
      <c r="M678" s="18">
        <v>0</v>
      </c>
      <c r="N678" s="18" t="s">
        <v>510</v>
      </c>
      <c r="O678" s="18">
        <v>0</v>
      </c>
      <c r="P678" s="18">
        <v>0</v>
      </c>
      <c r="Q678" s="18">
        <v>0</v>
      </c>
      <c r="R678" s="18">
        <v>0</v>
      </c>
      <c r="S678" s="18">
        <v>0</v>
      </c>
      <c r="T678" s="18">
        <v>0</v>
      </c>
      <c r="U678" s="18"/>
      <c r="V678" s="18">
        <v>0</v>
      </c>
      <c r="W678" s="18">
        <v>0</v>
      </c>
      <c r="X678" s="18" t="s">
        <v>326</v>
      </c>
      <c r="Y678" s="18" t="s">
        <v>327</v>
      </c>
      <c r="Z678" s="18" t="s">
        <v>328</v>
      </c>
      <c r="AA678" s="18">
        <v>0</v>
      </c>
      <c r="AB678" s="18">
        <v>1</v>
      </c>
      <c r="AC678" s="18" t="b">
        <v>0</v>
      </c>
      <c r="AD678" s="18" t="s">
        <v>329</v>
      </c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 t="s">
        <v>330</v>
      </c>
      <c r="AZ678" s="18">
        <v>11300</v>
      </c>
      <c r="BA678" s="18" t="s">
        <v>331</v>
      </c>
      <c r="BB678" s="18" t="s">
        <v>328</v>
      </c>
      <c r="BC678" s="18">
        <v>10000</v>
      </c>
      <c r="BD678" s="18">
        <v>0</v>
      </c>
      <c r="BE678" s="18" t="s">
        <v>332</v>
      </c>
      <c r="BF678" s="18">
        <v>0</v>
      </c>
      <c r="BG678" s="18" t="s">
        <v>330</v>
      </c>
      <c r="BH678" s="18">
        <v>900</v>
      </c>
      <c r="BI678" s="18">
        <v>1</v>
      </c>
      <c r="BJ678" s="18" t="b">
        <v>1</v>
      </c>
      <c r="BK678" s="18">
        <v>0</v>
      </c>
      <c r="BL678" s="18">
        <v>10000</v>
      </c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  <c r="DU678" s="18"/>
      <c r="DV678" s="18"/>
      <c r="DW678" s="18"/>
      <c r="DX678" s="18"/>
      <c r="DY678" s="18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8"/>
      <c r="EM678" s="18"/>
      <c r="EN678" s="18"/>
      <c r="EO678" s="18"/>
      <c r="EP678" s="18"/>
      <c r="EQ678" s="18"/>
      <c r="ER678" s="18"/>
      <c r="ES678" s="18"/>
      <c r="ET678" s="18"/>
      <c r="EU678" s="18"/>
      <c r="EV678" s="18"/>
      <c r="EW678" s="18"/>
      <c r="EX678" s="18"/>
      <c r="EY678" s="18"/>
      <c r="EZ678" s="18"/>
      <c r="FA678" s="18"/>
      <c r="FB678" s="18"/>
      <c r="FC678" s="18"/>
      <c r="FD678" s="18"/>
      <c r="FE678" s="18"/>
      <c r="FF678" s="18"/>
      <c r="FG678" s="18"/>
      <c r="FH678" s="18"/>
      <c r="FI678" s="18"/>
      <c r="FJ678" s="18"/>
      <c r="FK678" s="18"/>
      <c r="FL678" s="18"/>
      <c r="FM678" s="18"/>
      <c r="FN678" s="18"/>
      <c r="FO678" s="18"/>
      <c r="FP678" s="18"/>
      <c r="FQ678" s="18"/>
      <c r="FR678" s="18"/>
      <c r="FS678" s="18"/>
      <c r="FT678" s="18"/>
      <c r="FU678" s="18"/>
      <c r="FV678" s="18"/>
      <c r="FW678" s="18"/>
      <c r="FX678" s="18"/>
      <c r="FY678" s="18"/>
      <c r="FZ678" s="18"/>
      <c r="GA678" s="18"/>
      <c r="GB678" s="18"/>
      <c r="GC678" s="18"/>
      <c r="GD678" s="18"/>
      <c r="GE678" s="18"/>
      <c r="GF678" s="18"/>
      <c r="GG678" s="18"/>
      <c r="GH678" s="18"/>
      <c r="GI678" s="18"/>
      <c r="GJ678" s="18"/>
      <c r="GK678" s="18"/>
      <c r="GL678" s="18"/>
      <c r="GM678" s="18"/>
      <c r="GN678" s="18"/>
      <c r="GO678" s="18"/>
      <c r="GP678" s="18"/>
      <c r="GQ678" s="18"/>
      <c r="GR678" s="18">
        <v>0</v>
      </c>
      <c r="GS678" s="18">
        <v>0</v>
      </c>
      <c r="GT678" s="18" t="s">
        <v>339</v>
      </c>
      <c r="GU678" s="18">
        <v>0</v>
      </c>
      <c r="GV678" s="18"/>
      <c r="GW678" s="18"/>
      <c r="GX678" s="18" t="b">
        <v>0</v>
      </c>
      <c r="GY678" s="18">
        <v>0</v>
      </c>
      <c r="GZ678" s="18" t="b">
        <v>1</v>
      </c>
      <c r="HA678" s="18">
        <v>0</v>
      </c>
      <c r="HB678" s="18">
        <v>0</v>
      </c>
      <c r="HC678" s="18">
        <v>0</v>
      </c>
      <c r="HD678" s="18">
        <v>0</v>
      </c>
      <c r="HE678" s="18" t="b">
        <v>0</v>
      </c>
      <c r="HF678" s="18">
        <v>0</v>
      </c>
      <c r="HG678" s="18">
        <v>0</v>
      </c>
      <c r="HH678" s="18" t="s">
        <v>339</v>
      </c>
      <c r="HI678" s="18" t="s">
        <v>334</v>
      </c>
      <c r="HJ678" s="18">
        <v>0</v>
      </c>
      <c r="HK678" s="18">
        <v>0</v>
      </c>
      <c r="HL678" s="18">
        <v>0</v>
      </c>
      <c r="HM678" s="18">
        <v>0</v>
      </c>
      <c r="HN678" s="18" t="b">
        <v>0</v>
      </c>
    </row>
    <row r="679" spans="1:222">
      <c r="A679"/>
      <c r="B679" s="29" cm="1">
        <f t="array" ref="B679">10000000+INDEX(编号表!$B$1:$B$112,MATCH(D679,编号表!$A$1:$A$112,0))*10000+I679</f>
        <v>10330006</v>
      </c>
      <c r="C679" s="18" t="s">
        <v>514</v>
      </c>
      <c r="D679" s="18" t="s">
        <v>514</v>
      </c>
      <c r="E679" s="18" t="s">
        <v>334</v>
      </c>
      <c r="F679" s="18" t="s">
        <v>323</v>
      </c>
      <c r="G679" s="18" t="b">
        <v>0</v>
      </c>
      <c r="H679" s="18" t="b">
        <v>1</v>
      </c>
      <c r="I679" s="18">
        <v>6</v>
      </c>
      <c r="J679" s="18">
        <v>103300</v>
      </c>
      <c r="K679" s="18" t="s">
        <v>324</v>
      </c>
      <c r="L679" s="18">
        <v>0</v>
      </c>
      <c r="M679" s="18">
        <v>0</v>
      </c>
      <c r="N679" s="18" t="s">
        <v>510</v>
      </c>
      <c r="O679" s="18">
        <v>0</v>
      </c>
      <c r="P679" s="18">
        <v>0</v>
      </c>
      <c r="Q679" s="18">
        <v>0</v>
      </c>
      <c r="R679" s="18">
        <v>0</v>
      </c>
      <c r="S679" s="18">
        <v>0</v>
      </c>
      <c r="T679" s="18">
        <v>0</v>
      </c>
      <c r="U679" s="18"/>
      <c r="V679" s="18">
        <v>0</v>
      </c>
      <c r="W679" s="18">
        <v>0</v>
      </c>
      <c r="X679" s="18" t="s">
        <v>326</v>
      </c>
      <c r="Y679" s="18" t="s">
        <v>327</v>
      </c>
      <c r="Z679" s="18" t="s">
        <v>328</v>
      </c>
      <c r="AA679" s="18">
        <v>0</v>
      </c>
      <c r="AB679" s="18">
        <v>1</v>
      </c>
      <c r="AC679" s="18" t="b">
        <v>0</v>
      </c>
      <c r="AD679" s="18" t="s">
        <v>329</v>
      </c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 t="s">
        <v>330</v>
      </c>
      <c r="AZ679" s="18">
        <v>11600</v>
      </c>
      <c r="BA679" s="18" t="s">
        <v>331</v>
      </c>
      <c r="BB679" s="18" t="s">
        <v>328</v>
      </c>
      <c r="BC679" s="18">
        <v>10000</v>
      </c>
      <c r="BD679" s="18">
        <v>0</v>
      </c>
      <c r="BE679" s="18" t="s">
        <v>332</v>
      </c>
      <c r="BF679" s="18">
        <v>0</v>
      </c>
      <c r="BG679" s="18" t="s">
        <v>330</v>
      </c>
      <c r="BH679" s="18">
        <v>900</v>
      </c>
      <c r="BI679" s="18">
        <v>1</v>
      </c>
      <c r="BJ679" s="18" t="b">
        <v>1</v>
      </c>
      <c r="BK679" s="18">
        <v>0</v>
      </c>
      <c r="BL679" s="18">
        <v>10000</v>
      </c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  <c r="EM679" s="18"/>
      <c r="EN679" s="18"/>
      <c r="EO679" s="18"/>
      <c r="EP679" s="18"/>
      <c r="EQ679" s="18"/>
      <c r="ER679" s="18"/>
      <c r="ES679" s="18"/>
      <c r="ET679" s="18"/>
      <c r="EU679" s="18"/>
      <c r="EV679" s="18"/>
      <c r="EW679" s="18"/>
      <c r="EX679" s="18"/>
      <c r="EY679" s="18"/>
      <c r="EZ679" s="18"/>
      <c r="FA679" s="18"/>
      <c r="FB679" s="18"/>
      <c r="FC679" s="18"/>
      <c r="FD679" s="18"/>
      <c r="FE679" s="18"/>
      <c r="FF679" s="18"/>
      <c r="FG679" s="18"/>
      <c r="FH679" s="18"/>
      <c r="FI679" s="18"/>
      <c r="FJ679" s="18"/>
      <c r="FK679" s="18"/>
      <c r="FL679" s="18"/>
      <c r="FM679" s="18"/>
      <c r="FN679" s="18"/>
      <c r="FO679" s="18"/>
      <c r="FP679" s="18"/>
      <c r="FQ679" s="18"/>
      <c r="FR679" s="18"/>
      <c r="FS679" s="18"/>
      <c r="FT679" s="18"/>
      <c r="FU679" s="18"/>
      <c r="FV679" s="18"/>
      <c r="FW679" s="18"/>
      <c r="FX679" s="18"/>
      <c r="FY679" s="18"/>
      <c r="FZ679" s="18"/>
      <c r="GA679" s="18"/>
      <c r="GB679" s="18"/>
      <c r="GC679" s="18"/>
      <c r="GD679" s="18"/>
      <c r="GE679" s="18"/>
      <c r="GF679" s="18"/>
      <c r="GG679" s="18"/>
      <c r="GH679" s="18"/>
      <c r="GI679" s="18"/>
      <c r="GJ679" s="18"/>
      <c r="GK679" s="18"/>
      <c r="GL679" s="18"/>
      <c r="GM679" s="18"/>
      <c r="GN679" s="18"/>
      <c r="GO679" s="18"/>
      <c r="GP679" s="18"/>
      <c r="GQ679" s="18"/>
      <c r="GR679" s="18">
        <v>0</v>
      </c>
      <c r="GS679" s="18">
        <v>0</v>
      </c>
      <c r="GT679" s="18" t="s">
        <v>339</v>
      </c>
      <c r="GU679" s="18">
        <v>0</v>
      </c>
      <c r="GV679" s="18"/>
      <c r="GW679" s="18"/>
      <c r="GX679" s="18" t="b">
        <v>0</v>
      </c>
      <c r="GY679" s="18">
        <v>0</v>
      </c>
      <c r="GZ679" s="18" t="b">
        <v>1</v>
      </c>
      <c r="HA679" s="18">
        <v>0</v>
      </c>
      <c r="HB679" s="18">
        <v>0</v>
      </c>
      <c r="HC679" s="18">
        <v>0</v>
      </c>
      <c r="HD679" s="18">
        <v>0</v>
      </c>
      <c r="HE679" s="18" t="b">
        <v>0</v>
      </c>
      <c r="HF679" s="18">
        <v>0</v>
      </c>
      <c r="HG679" s="18">
        <v>0</v>
      </c>
      <c r="HH679" s="18" t="s">
        <v>339</v>
      </c>
      <c r="HI679" s="18" t="s">
        <v>334</v>
      </c>
      <c r="HJ679" s="18">
        <v>0</v>
      </c>
      <c r="HK679" s="18">
        <v>0</v>
      </c>
      <c r="HL679" s="18">
        <v>0</v>
      </c>
      <c r="HM679" s="18">
        <v>0</v>
      </c>
      <c r="HN679" s="18" t="b">
        <v>0</v>
      </c>
    </row>
    <row r="680" spans="1:222">
      <c r="A680"/>
      <c r="B680" s="29" cm="1">
        <f t="array" ref="B680">10000000+INDEX(编号表!$B$1:$B$112,MATCH(D680,编号表!$A$1:$A$112,0))*10000+I680</f>
        <v>10330007</v>
      </c>
      <c r="C680" s="18" t="s">
        <v>514</v>
      </c>
      <c r="D680" s="18" t="s">
        <v>514</v>
      </c>
      <c r="E680" s="18" t="s">
        <v>334</v>
      </c>
      <c r="F680" s="18" t="s">
        <v>323</v>
      </c>
      <c r="G680" s="18" t="b">
        <v>0</v>
      </c>
      <c r="H680" s="18" t="b">
        <v>1</v>
      </c>
      <c r="I680" s="18">
        <v>7</v>
      </c>
      <c r="J680" s="18">
        <v>103300</v>
      </c>
      <c r="K680" s="18" t="s">
        <v>324</v>
      </c>
      <c r="L680" s="18">
        <v>0</v>
      </c>
      <c r="M680" s="18">
        <v>0</v>
      </c>
      <c r="N680" s="18" t="s">
        <v>510</v>
      </c>
      <c r="O680" s="18">
        <v>0</v>
      </c>
      <c r="P680" s="18">
        <v>0</v>
      </c>
      <c r="Q680" s="18">
        <v>0</v>
      </c>
      <c r="R680" s="18">
        <v>0</v>
      </c>
      <c r="S680" s="18">
        <v>0</v>
      </c>
      <c r="T680" s="18">
        <v>0</v>
      </c>
      <c r="U680" s="18"/>
      <c r="V680" s="18">
        <v>0</v>
      </c>
      <c r="W680" s="18">
        <v>0</v>
      </c>
      <c r="X680" s="18" t="s">
        <v>326</v>
      </c>
      <c r="Y680" s="18" t="s">
        <v>327</v>
      </c>
      <c r="Z680" s="18" t="s">
        <v>328</v>
      </c>
      <c r="AA680" s="18">
        <v>0</v>
      </c>
      <c r="AB680" s="18">
        <v>1</v>
      </c>
      <c r="AC680" s="18" t="b">
        <v>0</v>
      </c>
      <c r="AD680" s="18" t="s">
        <v>329</v>
      </c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 t="s">
        <v>330</v>
      </c>
      <c r="AZ680" s="18">
        <v>11700</v>
      </c>
      <c r="BA680" s="18" t="s">
        <v>331</v>
      </c>
      <c r="BB680" s="18" t="s">
        <v>328</v>
      </c>
      <c r="BC680" s="18">
        <v>10000</v>
      </c>
      <c r="BD680" s="18">
        <v>0</v>
      </c>
      <c r="BE680" s="18" t="s">
        <v>332</v>
      </c>
      <c r="BF680" s="18">
        <v>0</v>
      </c>
      <c r="BG680" s="18" t="s">
        <v>330</v>
      </c>
      <c r="BH680" s="18">
        <v>900</v>
      </c>
      <c r="BI680" s="18">
        <v>1</v>
      </c>
      <c r="BJ680" s="18" t="b">
        <v>1</v>
      </c>
      <c r="BK680" s="18">
        <v>0</v>
      </c>
      <c r="BL680" s="18">
        <v>10000</v>
      </c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  <c r="DU680" s="18"/>
      <c r="DV680" s="18"/>
      <c r="DW680" s="18"/>
      <c r="DX680" s="18"/>
      <c r="DY680" s="18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8"/>
      <c r="EM680" s="18"/>
      <c r="EN680" s="18"/>
      <c r="EO680" s="18"/>
      <c r="EP680" s="18"/>
      <c r="EQ680" s="18"/>
      <c r="ER680" s="18"/>
      <c r="ES680" s="18"/>
      <c r="ET680" s="18"/>
      <c r="EU680" s="18"/>
      <c r="EV680" s="18"/>
      <c r="EW680" s="18"/>
      <c r="EX680" s="18"/>
      <c r="EY680" s="18"/>
      <c r="EZ680" s="18"/>
      <c r="FA680" s="18"/>
      <c r="FB680" s="18"/>
      <c r="FC680" s="18"/>
      <c r="FD680" s="18"/>
      <c r="FE680" s="18"/>
      <c r="FF680" s="18"/>
      <c r="FG680" s="18"/>
      <c r="FH680" s="18"/>
      <c r="FI680" s="18"/>
      <c r="FJ680" s="18"/>
      <c r="FK680" s="18"/>
      <c r="FL680" s="18"/>
      <c r="FM680" s="18"/>
      <c r="FN680" s="18"/>
      <c r="FO680" s="18"/>
      <c r="FP680" s="18"/>
      <c r="FQ680" s="18"/>
      <c r="FR680" s="18"/>
      <c r="FS680" s="18"/>
      <c r="FT680" s="18"/>
      <c r="FU680" s="18"/>
      <c r="FV680" s="18"/>
      <c r="FW680" s="18"/>
      <c r="FX680" s="18"/>
      <c r="FY680" s="18"/>
      <c r="FZ680" s="18"/>
      <c r="GA680" s="18"/>
      <c r="GB680" s="18"/>
      <c r="GC680" s="18"/>
      <c r="GD680" s="18"/>
      <c r="GE680" s="18"/>
      <c r="GF680" s="18"/>
      <c r="GG680" s="18"/>
      <c r="GH680" s="18"/>
      <c r="GI680" s="18"/>
      <c r="GJ680" s="18"/>
      <c r="GK680" s="18"/>
      <c r="GL680" s="18"/>
      <c r="GM680" s="18"/>
      <c r="GN680" s="18"/>
      <c r="GO680" s="18"/>
      <c r="GP680" s="18"/>
      <c r="GQ680" s="18"/>
      <c r="GR680" s="18">
        <v>0</v>
      </c>
      <c r="GS680" s="18">
        <v>0</v>
      </c>
      <c r="GT680" s="18" t="s">
        <v>339</v>
      </c>
      <c r="GU680" s="18">
        <v>0</v>
      </c>
      <c r="GV680" s="18"/>
      <c r="GW680" s="18"/>
      <c r="GX680" s="18" t="b">
        <v>0</v>
      </c>
      <c r="GY680" s="18">
        <v>0</v>
      </c>
      <c r="GZ680" s="18" t="b">
        <v>1</v>
      </c>
      <c r="HA680" s="18">
        <v>0</v>
      </c>
      <c r="HB680" s="18">
        <v>0</v>
      </c>
      <c r="HC680" s="18">
        <v>0</v>
      </c>
      <c r="HD680" s="18">
        <v>0</v>
      </c>
      <c r="HE680" s="18" t="b">
        <v>0</v>
      </c>
      <c r="HF680" s="18">
        <v>0</v>
      </c>
      <c r="HG680" s="18">
        <v>0</v>
      </c>
      <c r="HH680" s="18" t="s">
        <v>339</v>
      </c>
      <c r="HI680" s="18" t="s">
        <v>334</v>
      </c>
      <c r="HJ680" s="18">
        <v>0</v>
      </c>
      <c r="HK680" s="18">
        <v>0</v>
      </c>
      <c r="HL680" s="18">
        <v>0</v>
      </c>
      <c r="HM680" s="18">
        <v>0</v>
      </c>
      <c r="HN680" s="18" t="b">
        <v>0</v>
      </c>
    </row>
    <row r="681" spans="1:222">
      <c r="A681"/>
      <c r="B681" s="29" cm="1">
        <f t="array" ref="B681">10000000+INDEX(编号表!$B$1:$B$112,MATCH(D681,编号表!$A$1:$A$112,0))*10000+I681</f>
        <v>10330008</v>
      </c>
      <c r="C681" s="18" t="s">
        <v>514</v>
      </c>
      <c r="D681" s="18" t="s">
        <v>514</v>
      </c>
      <c r="E681" s="18" t="s">
        <v>334</v>
      </c>
      <c r="F681" s="18" t="s">
        <v>323</v>
      </c>
      <c r="G681" s="18" t="b">
        <v>0</v>
      </c>
      <c r="H681" s="18" t="b">
        <v>1</v>
      </c>
      <c r="I681" s="18">
        <v>8</v>
      </c>
      <c r="J681" s="18">
        <v>103300</v>
      </c>
      <c r="K681" s="18" t="s">
        <v>324</v>
      </c>
      <c r="L681" s="18">
        <v>0</v>
      </c>
      <c r="M681" s="18">
        <v>0</v>
      </c>
      <c r="N681" s="18" t="s">
        <v>510</v>
      </c>
      <c r="O681" s="18">
        <v>0</v>
      </c>
      <c r="P681" s="18">
        <v>0</v>
      </c>
      <c r="Q681" s="18">
        <v>0</v>
      </c>
      <c r="R681" s="18">
        <v>0</v>
      </c>
      <c r="S681" s="18">
        <v>0</v>
      </c>
      <c r="T681" s="18">
        <v>0</v>
      </c>
      <c r="U681" s="18"/>
      <c r="V681" s="18">
        <v>0</v>
      </c>
      <c r="W681" s="18">
        <v>0</v>
      </c>
      <c r="X681" s="18" t="s">
        <v>326</v>
      </c>
      <c r="Y681" s="18" t="s">
        <v>327</v>
      </c>
      <c r="Z681" s="18" t="s">
        <v>328</v>
      </c>
      <c r="AA681" s="18">
        <v>0</v>
      </c>
      <c r="AB681" s="18">
        <v>1</v>
      </c>
      <c r="AC681" s="18" t="b">
        <v>0</v>
      </c>
      <c r="AD681" s="18" t="s">
        <v>329</v>
      </c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 t="s">
        <v>330</v>
      </c>
      <c r="AZ681" s="18">
        <v>11800</v>
      </c>
      <c r="BA681" s="18" t="s">
        <v>331</v>
      </c>
      <c r="BB681" s="18" t="s">
        <v>328</v>
      </c>
      <c r="BC681" s="18">
        <v>10000</v>
      </c>
      <c r="BD681" s="18">
        <v>0</v>
      </c>
      <c r="BE681" s="18" t="s">
        <v>332</v>
      </c>
      <c r="BF681" s="18">
        <v>0</v>
      </c>
      <c r="BG681" s="18" t="s">
        <v>330</v>
      </c>
      <c r="BH681" s="18">
        <v>900</v>
      </c>
      <c r="BI681" s="18">
        <v>2</v>
      </c>
      <c r="BJ681" s="18" t="b">
        <v>1</v>
      </c>
      <c r="BK681" s="18">
        <v>0</v>
      </c>
      <c r="BL681" s="18">
        <v>10000</v>
      </c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  <c r="DU681" s="18"/>
      <c r="DV681" s="18"/>
      <c r="DW681" s="18"/>
      <c r="DX681" s="18"/>
      <c r="DY681" s="18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8"/>
      <c r="EM681" s="18"/>
      <c r="EN681" s="18"/>
      <c r="EO681" s="18"/>
      <c r="EP681" s="18"/>
      <c r="EQ681" s="18"/>
      <c r="ER681" s="18"/>
      <c r="ES681" s="18"/>
      <c r="ET681" s="18"/>
      <c r="EU681" s="18"/>
      <c r="EV681" s="18"/>
      <c r="EW681" s="18"/>
      <c r="EX681" s="18"/>
      <c r="EY681" s="18"/>
      <c r="EZ681" s="18"/>
      <c r="FA681" s="18"/>
      <c r="FB681" s="18"/>
      <c r="FC681" s="18"/>
      <c r="FD681" s="18"/>
      <c r="FE681" s="18"/>
      <c r="FF681" s="18"/>
      <c r="FG681" s="18"/>
      <c r="FH681" s="18"/>
      <c r="FI681" s="18"/>
      <c r="FJ681" s="18"/>
      <c r="FK681" s="18"/>
      <c r="FL681" s="18"/>
      <c r="FM681" s="18"/>
      <c r="FN681" s="18"/>
      <c r="FO681" s="18"/>
      <c r="FP681" s="18"/>
      <c r="FQ681" s="18"/>
      <c r="FR681" s="18"/>
      <c r="FS681" s="18"/>
      <c r="FT681" s="18"/>
      <c r="FU681" s="18"/>
      <c r="FV681" s="18"/>
      <c r="FW681" s="18"/>
      <c r="FX681" s="18"/>
      <c r="FY681" s="18"/>
      <c r="FZ681" s="18"/>
      <c r="GA681" s="18"/>
      <c r="GB681" s="18"/>
      <c r="GC681" s="18"/>
      <c r="GD681" s="18"/>
      <c r="GE681" s="18"/>
      <c r="GF681" s="18"/>
      <c r="GG681" s="18"/>
      <c r="GH681" s="18"/>
      <c r="GI681" s="18"/>
      <c r="GJ681" s="18"/>
      <c r="GK681" s="18"/>
      <c r="GL681" s="18"/>
      <c r="GM681" s="18"/>
      <c r="GN681" s="18"/>
      <c r="GO681" s="18"/>
      <c r="GP681" s="18"/>
      <c r="GQ681" s="18"/>
      <c r="GR681" s="18">
        <v>0</v>
      </c>
      <c r="GS681" s="18">
        <v>0</v>
      </c>
      <c r="GT681" s="18" t="s">
        <v>339</v>
      </c>
      <c r="GU681" s="18">
        <v>0</v>
      </c>
      <c r="GV681" s="18"/>
      <c r="GW681" s="18"/>
      <c r="GX681" s="18" t="b">
        <v>0</v>
      </c>
      <c r="GY681" s="18">
        <v>0</v>
      </c>
      <c r="GZ681" s="18" t="b">
        <v>1</v>
      </c>
      <c r="HA681" s="18">
        <v>0</v>
      </c>
      <c r="HB681" s="18">
        <v>0</v>
      </c>
      <c r="HC681" s="18">
        <v>0</v>
      </c>
      <c r="HD681" s="18">
        <v>0</v>
      </c>
      <c r="HE681" s="18" t="b">
        <v>0</v>
      </c>
      <c r="HF681" s="18">
        <v>0</v>
      </c>
      <c r="HG681" s="18">
        <v>0</v>
      </c>
      <c r="HH681" s="18" t="s">
        <v>339</v>
      </c>
      <c r="HI681" s="18" t="s">
        <v>334</v>
      </c>
      <c r="HJ681" s="18">
        <v>0</v>
      </c>
      <c r="HK681" s="18">
        <v>0</v>
      </c>
      <c r="HL681" s="18">
        <v>0</v>
      </c>
      <c r="HM681" s="18">
        <v>0</v>
      </c>
      <c r="HN681" s="18" t="b">
        <v>0</v>
      </c>
    </row>
    <row r="682" spans="1:222">
      <c r="A682"/>
      <c r="B682" s="29" cm="1">
        <f t="array" ref="B682">10000000+INDEX(编号表!$B$1:$B$112,MATCH(D682,编号表!$A$1:$A$112,0))*10000+I682</f>
        <v>10330009</v>
      </c>
      <c r="C682" s="18" t="s">
        <v>514</v>
      </c>
      <c r="D682" s="18" t="s">
        <v>514</v>
      </c>
      <c r="E682" s="18" t="s">
        <v>334</v>
      </c>
      <c r="F682" s="18" t="s">
        <v>323</v>
      </c>
      <c r="G682" s="18" t="b">
        <v>0</v>
      </c>
      <c r="H682" s="18" t="b">
        <v>1</v>
      </c>
      <c r="I682" s="18">
        <v>9</v>
      </c>
      <c r="J682" s="18">
        <v>103300</v>
      </c>
      <c r="K682" s="18" t="s">
        <v>324</v>
      </c>
      <c r="L682" s="18">
        <v>0</v>
      </c>
      <c r="M682" s="18">
        <v>0</v>
      </c>
      <c r="N682" s="18" t="s">
        <v>510</v>
      </c>
      <c r="O682" s="18">
        <v>0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8"/>
      <c r="V682" s="18">
        <v>0</v>
      </c>
      <c r="W682" s="18">
        <v>0</v>
      </c>
      <c r="X682" s="18" t="s">
        <v>326</v>
      </c>
      <c r="Y682" s="18" t="s">
        <v>327</v>
      </c>
      <c r="Z682" s="18" t="s">
        <v>328</v>
      </c>
      <c r="AA682" s="18">
        <v>0</v>
      </c>
      <c r="AB682" s="18">
        <v>1</v>
      </c>
      <c r="AC682" s="18" t="b">
        <v>0</v>
      </c>
      <c r="AD682" s="18" t="s">
        <v>329</v>
      </c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 t="s">
        <v>330</v>
      </c>
      <c r="AZ682" s="18">
        <v>11900</v>
      </c>
      <c r="BA682" s="18" t="s">
        <v>331</v>
      </c>
      <c r="BB682" s="18" t="s">
        <v>328</v>
      </c>
      <c r="BC682" s="18">
        <v>10000</v>
      </c>
      <c r="BD682" s="18">
        <v>0</v>
      </c>
      <c r="BE682" s="18" t="s">
        <v>332</v>
      </c>
      <c r="BF682" s="18">
        <v>0</v>
      </c>
      <c r="BG682" s="18" t="s">
        <v>330</v>
      </c>
      <c r="BH682" s="18">
        <v>900</v>
      </c>
      <c r="BI682" s="18">
        <v>2</v>
      </c>
      <c r="BJ682" s="18" t="b">
        <v>1</v>
      </c>
      <c r="BK682" s="18">
        <v>0</v>
      </c>
      <c r="BL682" s="18">
        <v>10000</v>
      </c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  <c r="DU682" s="18"/>
      <c r="DV682" s="18"/>
      <c r="DW682" s="18"/>
      <c r="DX682" s="18"/>
      <c r="DY682" s="18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8"/>
      <c r="EM682" s="18"/>
      <c r="EN682" s="18"/>
      <c r="EO682" s="18"/>
      <c r="EP682" s="18"/>
      <c r="EQ682" s="18"/>
      <c r="ER682" s="18"/>
      <c r="ES682" s="18"/>
      <c r="ET682" s="18"/>
      <c r="EU682" s="18"/>
      <c r="EV682" s="18"/>
      <c r="EW682" s="18"/>
      <c r="EX682" s="18"/>
      <c r="EY682" s="18"/>
      <c r="EZ682" s="18"/>
      <c r="FA682" s="18"/>
      <c r="FB682" s="18"/>
      <c r="FC682" s="18"/>
      <c r="FD682" s="18"/>
      <c r="FE682" s="18"/>
      <c r="FF682" s="18"/>
      <c r="FG682" s="18"/>
      <c r="FH682" s="18"/>
      <c r="FI682" s="18"/>
      <c r="FJ682" s="18"/>
      <c r="FK682" s="18"/>
      <c r="FL682" s="18"/>
      <c r="FM682" s="18"/>
      <c r="FN682" s="18"/>
      <c r="FO682" s="18"/>
      <c r="FP682" s="18"/>
      <c r="FQ682" s="18"/>
      <c r="FR682" s="18"/>
      <c r="FS682" s="18"/>
      <c r="FT682" s="18"/>
      <c r="FU682" s="18"/>
      <c r="FV682" s="18"/>
      <c r="FW682" s="18"/>
      <c r="FX682" s="18"/>
      <c r="FY682" s="18"/>
      <c r="FZ682" s="18"/>
      <c r="GA682" s="18"/>
      <c r="GB682" s="18"/>
      <c r="GC682" s="18"/>
      <c r="GD682" s="18"/>
      <c r="GE682" s="18"/>
      <c r="GF682" s="18"/>
      <c r="GG682" s="18"/>
      <c r="GH682" s="18"/>
      <c r="GI682" s="18"/>
      <c r="GJ682" s="18"/>
      <c r="GK682" s="18"/>
      <c r="GL682" s="18"/>
      <c r="GM682" s="18"/>
      <c r="GN682" s="18"/>
      <c r="GO682" s="18"/>
      <c r="GP682" s="18"/>
      <c r="GQ682" s="18"/>
      <c r="GR682" s="18">
        <v>0</v>
      </c>
      <c r="GS682" s="18">
        <v>0</v>
      </c>
      <c r="GT682" s="18" t="s">
        <v>339</v>
      </c>
      <c r="GU682" s="18">
        <v>0</v>
      </c>
      <c r="GV682" s="18"/>
      <c r="GW682" s="18"/>
      <c r="GX682" s="18" t="b">
        <v>0</v>
      </c>
      <c r="GY682" s="18">
        <v>0</v>
      </c>
      <c r="GZ682" s="18" t="b">
        <v>1</v>
      </c>
      <c r="HA682" s="18">
        <v>0</v>
      </c>
      <c r="HB682" s="18">
        <v>0</v>
      </c>
      <c r="HC682" s="18">
        <v>0</v>
      </c>
      <c r="HD682" s="18">
        <v>0</v>
      </c>
      <c r="HE682" s="18" t="b">
        <v>0</v>
      </c>
      <c r="HF682" s="18">
        <v>0</v>
      </c>
      <c r="HG682" s="18">
        <v>0</v>
      </c>
      <c r="HH682" s="18" t="s">
        <v>339</v>
      </c>
      <c r="HI682" s="18" t="s">
        <v>334</v>
      </c>
      <c r="HJ682" s="18">
        <v>0</v>
      </c>
      <c r="HK682" s="18">
        <v>0</v>
      </c>
      <c r="HL682" s="18">
        <v>0</v>
      </c>
      <c r="HM682" s="18">
        <v>0</v>
      </c>
      <c r="HN682" s="18" t="b">
        <v>0</v>
      </c>
    </row>
    <row r="683" spans="1:222">
      <c r="A683"/>
      <c r="B683" s="29" cm="1">
        <f t="array" ref="B683">10000000+INDEX(编号表!$B$1:$B$112,MATCH(D683,编号表!$A$1:$A$112,0))*10000+I683</f>
        <v>10330010</v>
      </c>
      <c r="C683" s="18" t="s">
        <v>514</v>
      </c>
      <c r="D683" s="18" t="s">
        <v>514</v>
      </c>
      <c r="E683" s="18" t="s">
        <v>334</v>
      </c>
      <c r="F683" s="18" t="s">
        <v>323</v>
      </c>
      <c r="G683" s="18" t="b">
        <v>0</v>
      </c>
      <c r="H683" s="18" t="b">
        <v>1</v>
      </c>
      <c r="I683" s="18">
        <v>10</v>
      </c>
      <c r="J683" s="18">
        <v>103300</v>
      </c>
      <c r="K683" s="18" t="s">
        <v>324</v>
      </c>
      <c r="L683" s="18">
        <v>0</v>
      </c>
      <c r="M683" s="18">
        <v>0</v>
      </c>
      <c r="N683" s="18" t="s">
        <v>510</v>
      </c>
      <c r="O683" s="18">
        <v>0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/>
      <c r="V683" s="18">
        <v>0</v>
      </c>
      <c r="W683" s="18">
        <v>0</v>
      </c>
      <c r="X683" s="18" t="s">
        <v>326</v>
      </c>
      <c r="Y683" s="18" t="s">
        <v>327</v>
      </c>
      <c r="Z683" s="18" t="s">
        <v>328</v>
      </c>
      <c r="AA683" s="18">
        <v>0</v>
      </c>
      <c r="AB683" s="18">
        <v>1</v>
      </c>
      <c r="AC683" s="18" t="b">
        <v>0</v>
      </c>
      <c r="AD683" s="18" t="s">
        <v>329</v>
      </c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 t="s">
        <v>330</v>
      </c>
      <c r="AZ683" s="18">
        <v>12000</v>
      </c>
      <c r="BA683" s="18" t="s">
        <v>331</v>
      </c>
      <c r="BB683" s="18" t="s">
        <v>328</v>
      </c>
      <c r="BC683" s="18">
        <v>10000</v>
      </c>
      <c r="BD683" s="18">
        <v>0</v>
      </c>
      <c r="BE683" s="18" t="s">
        <v>332</v>
      </c>
      <c r="BF683" s="18">
        <v>0</v>
      </c>
      <c r="BG683" s="18" t="s">
        <v>330</v>
      </c>
      <c r="BH683" s="18">
        <v>900</v>
      </c>
      <c r="BI683" s="18">
        <v>2</v>
      </c>
      <c r="BJ683" s="18" t="b">
        <v>1</v>
      </c>
      <c r="BK683" s="18">
        <v>0</v>
      </c>
      <c r="BL683" s="18">
        <v>10000</v>
      </c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  <c r="DU683" s="18"/>
      <c r="DV683" s="18"/>
      <c r="DW683" s="18"/>
      <c r="DX683" s="18"/>
      <c r="DY683" s="18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8"/>
      <c r="EM683" s="18"/>
      <c r="EN683" s="18"/>
      <c r="EO683" s="18"/>
      <c r="EP683" s="18"/>
      <c r="EQ683" s="18"/>
      <c r="ER683" s="18"/>
      <c r="ES683" s="18"/>
      <c r="ET683" s="18"/>
      <c r="EU683" s="18"/>
      <c r="EV683" s="18"/>
      <c r="EW683" s="18"/>
      <c r="EX683" s="18"/>
      <c r="EY683" s="18"/>
      <c r="EZ683" s="18"/>
      <c r="FA683" s="18"/>
      <c r="FB683" s="18"/>
      <c r="FC683" s="18"/>
      <c r="FD683" s="18"/>
      <c r="FE683" s="18"/>
      <c r="FF683" s="18"/>
      <c r="FG683" s="18"/>
      <c r="FH683" s="18"/>
      <c r="FI683" s="18"/>
      <c r="FJ683" s="18"/>
      <c r="FK683" s="18"/>
      <c r="FL683" s="18"/>
      <c r="FM683" s="18"/>
      <c r="FN683" s="18"/>
      <c r="FO683" s="18"/>
      <c r="FP683" s="18"/>
      <c r="FQ683" s="18"/>
      <c r="FR683" s="18"/>
      <c r="FS683" s="18"/>
      <c r="FT683" s="18"/>
      <c r="FU683" s="18"/>
      <c r="FV683" s="18"/>
      <c r="FW683" s="18"/>
      <c r="FX683" s="18"/>
      <c r="FY683" s="18"/>
      <c r="FZ683" s="18"/>
      <c r="GA683" s="18"/>
      <c r="GB683" s="18"/>
      <c r="GC683" s="18"/>
      <c r="GD683" s="18"/>
      <c r="GE683" s="18"/>
      <c r="GF683" s="18"/>
      <c r="GG683" s="18"/>
      <c r="GH683" s="18"/>
      <c r="GI683" s="18"/>
      <c r="GJ683" s="18"/>
      <c r="GK683" s="18"/>
      <c r="GL683" s="18"/>
      <c r="GM683" s="18"/>
      <c r="GN683" s="18"/>
      <c r="GO683" s="18"/>
      <c r="GP683" s="18"/>
      <c r="GQ683" s="18"/>
      <c r="GR683" s="18">
        <v>0</v>
      </c>
      <c r="GS683" s="18">
        <v>0</v>
      </c>
      <c r="GT683" s="18" t="s">
        <v>339</v>
      </c>
      <c r="GU683" s="18">
        <v>0</v>
      </c>
      <c r="GV683" s="18"/>
      <c r="GW683" s="18"/>
      <c r="GX683" s="18" t="b">
        <v>0</v>
      </c>
      <c r="GY683" s="18">
        <v>0</v>
      </c>
      <c r="GZ683" s="18" t="b">
        <v>1</v>
      </c>
      <c r="HA683" s="18">
        <v>0</v>
      </c>
      <c r="HB683" s="18">
        <v>0</v>
      </c>
      <c r="HC683" s="18">
        <v>0</v>
      </c>
      <c r="HD683" s="18">
        <v>0</v>
      </c>
      <c r="HE683" s="18" t="b">
        <v>0</v>
      </c>
      <c r="HF683" s="18">
        <v>0</v>
      </c>
      <c r="HG683" s="18">
        <v>0</v>
      </c>
      <c r="HH683" s="18" t="s">
        <v>339</v>
      </c>
      <c r="HI683" s="18" t="s">
        <v>334</v>
      </c>
      <c r="HJ683" s="18">
        <v>0</v>
      </c>
      <c r="HK683" s="18">
        <v>0</v>
      </c>
      <c r="HL683" s="18">
        <v>0</v>
      </c>
      <c r="HM683" s="18">
        <v>0</v>
      </c>
      <c r="HN683" s="18" t="b">
        <v>0</v>
      </c>
    </row>
    <row r="684" spans="1:222">
      <c r="A684"/>
      <c r="B684" s="29" cm="1">
        <f t="array" ref="B684">10000000+INDEX(编号表!$B$1:$B$112,MATCH(D684,编号表!$A$1:$A$112,0))*10000+I684</f>
        <v>10340001</v>
      </c>
      <c r="C684" s="18" t="s">
        <v>515</v>
      </c>
      <c r="D684" s="18" t="s">
        <v>515</v>
      </c>
      <c r="E684" s="18" t="s">
        <v>334</v>
      </c>
      <c r="F684" s="18" t="s">
        <v>364</v>
      </c>
      <c r="G684" s="18" t="b">
        <v>0</v>
      </c>
      <c r="H684" s="18" t="b">
        <v>1</v>
      </c>
      <c r="I684" s="18">
        <v>1</v>
      </c>
      <c r="J684" s="18">
        <v>103400</v>
      </c>
      <c r="K684" s="18" t="s">
        <v>324</v>
      </c>
      <c r="L684" s="18">
        <v>0</v>
      </c>
      <c r="M684" s="18">
        <v>0</v>
      </c>
      <c r="N684" s="18" t="s">
        <v>510</v>
      </c>
      <c r="O684" s="18">
        <v>0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8"/>
      <c r="V684" s="18">
        <v>0</v>
      </c>
      <c r="W684" s="18">
        <v>0</v>
      </c>
      <c r="X684" s="18" t="s">
        <v>334</v>
      </c>
      <c r="Y684" s="18" t="s">
        <v>378</v>
      </c>
      <c r="Z684" s="18" t="s">
        <v>328</v>
      </c>
      <c r="AA684" s="18">
        <v>0</v>
      </c>
      <c r="AB684" s="18">
        <v>12</v>
      </c>
      <c r="AC684" s="18" t="b">
        <v>0</v>
      </c>
      <c r="AD684" s="18" t="s">
        <v>329</v>
      </c>
      <c r="AE684" s="18">
        <v>280</v>
      </c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 t="s">
        <v>354</v>
      </c>
      <c r="AZ684" s="18">
        <v>10000</v>
      </c>
      <c r="BA684" s="18" t="s">
        <v>331</v>
      </c>
      <c r="BB684" s="18" t="s">
        <v>328</v>
      </c>
      <c r="BC684" s="18">
        <v>10000</v>
      </c>
      <c r="BD684" s="18">
        <v>0</v>
      </c>
      <c r="BE684" s="18" t="s">
        <v>332</v>
      </c>
      <c r="BF684" s="18">
        <v>0</v>
      </c>
      <c r="BG684" s="18" t="s">
        <v>355</v>
      </c>
      <c r="BH684" s="18">
        <v>2500</v>
      </c>
      <c r="BI684" s="18">
        <v>0</v>
      </c>
      <c r="BJ684" s="18" t="b">
        <v>1</v>
      </c>
      <c r="BK684" s="18">
        <v>0</v>
      </c>
      <c r="BL684" s="18">
        <v>10000</v>
      </c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  <c r="DU684" s="18"/>
      <c r="DV684" s="18"/>
      <c r="DW684" s="18"/>
      <c r="DX684" s="18"/>
      <c r="DY684" s="18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8"/>
      <c r="EM684" s="18"/>
      <c r="EN684" s="18"/>
      <c r="EO684" s="18"/>
      <c r="EP684" s="18"/>
      <c r="EQ684" s="18"/>
      <c r="ER684" s="18"/>
      <c r="ES684" s="18"/>
      <c r="ET684" s="18"/>
      <c r="EU684" s="18"/>
      <c r="EV684" s="18"/>
      <c r="EW684" s="18"/>
      <c r="EX684" s="18"/>
      <c r="EY684" s="18"/>
      <c r="EZ684" s="18"/>
      <c r="FA684" s="18"/>
      <c r="FB684" s="18"/>
      <c r="FC684" s="18"/>
      <c r="FD684" s="18"/>
      <c r="FE684" s="18"/>
      <c r="FF684" s="18"/>
      <c r="FG684" s="18"/>
      <c r="FH684" s="18"/>
      <c r="FI684" s="18"/>
      <c r="FJ684" s="18"/>
      <c r="FK684" s="18"/>
      <c r="FL684" s="18"/>
      <c r="FM684" s="18"/>
      <c r="FN684" s="18"/>
      <c r="FO684" s="18"/>
      <c r="FP684" s="18"/>
      <c r="FQ684" s="18"/>
      <c r="FR684" s="18"/>
      <c r="FS684" s="18"/>
      <c r="FT684" s="18"/>
      <c r="FU684" s="18"/>
      <c r="FV684" s="18"/>
      <c r="FW684" s="18"/>
      <c r="FX684" s="18"/>
      <c r="FY684" s="18"/>
      <c r="FZ684" s="18"/>
      <c r="GA684" s="18"/>
      <c r="GB684" s="18"/>
      <c r="GC684" s="18"/>
      <c r="GD684" s="18"/>
      <c r="GE684" s="18"/>
      <c r="GF684" s="18"/>
      <c r="GG684" s="18"/>
      <c r="GH684" s="18"/>
      <c r="GI684" s="18"/>
      <c r="GJ684" s="18"/>
      <c r="GK684" s="18"/>
      <c r="GL684" s="18"/>
      <c r="GM684" s="18"/>
      <c r="GN684" s="18"/>
      <c r="GO684" s="18"/>
      <c r="GP684" s="18"/>
      <c r="GQ684" s="18"/>
      <c r="GR684" s="18">
        <v>0</v>
      </c>
      <c r="GS684" s="18">
        <v>0</v>
      </c>
      <c r="GT684" s="18" t="s">
        <v>339</v>
      </c>
      <c r="GU684" s="18">
        <v>0</v>
      </c>
      <c r="GV684" s="18"/>
      <c r="GW684" s="18"/>
      <c r="GX684" s="18" t="b">
        <v>0</v>
      </c>
      <c r="GY684" s="18">
        <v>0</v>
      </c>
      <c r="GZ684" s="18" t="b">
        <v>1</v>
      </c>
      <c r="HA684" s="18">
        <v>0</v>
      </c>
      <c r="HB684" s="18">
        <v>0</v>
      </c>
      <c r="HC684" s="18">
        <v>0</v>
      </c>
      <c r="HD684" s="18">
        <v>0</v>
      </c>
      <c r="HE684" s="18" t="b">
        <v>0</v>
      </c>
      <c r="HF684" s="18">
        <v>0</v>
      </c>
      <c r="HG684" s="18">
        <v>0</v>
      </c>
      <c r="HH684" s="18" t="s">
        <v>339</v>
      </c>
      <c r="HI684" s="18" t="s">
        <v>334</v>
      </c>
      <c r="HJ684" s="18">
        <v>0</v>
      </c>
      <c r="HK684" s="18">
        <v>0</v>
      </c>
      <c r="HL684" s="18">
        <v>0</v>
      </c>
      <c r="HM684" s="18">
        <v>0</v>
      </c>
      <c r="HN684" s="18" t="b">
        <v>0</v>
      </c>
    </row>
    <row r="685" spans="1:222">
      <c r="A685"/>
      <c r="B685" s="29" cm="1">
        <f t="array" ref="B685">10000000+INDEX(编号表!$B$1:$B$112,MATCH(D685,编号表!$A$1:$A$112,0))*10000+I685</f>
        <v>10340002</v>
      </c>
      <c r="C685" s="18" t="s">
        <v>515</v>
      </c>
      <c r="D685" s="18" t="s">
        <v>515</v>
      </c>
      <c r="E685" s="18" t="s">
        <v>334</v>
      </c>
      <c r="F685" s="18" t="s">
        <v>364</v>
      </c>
      <c r="G685" s="18" t="b">
        <v>0</v>
      </c>
      <c r="H685" s="18" t="b">
        <v>1</v>
      </c>
      <c r="I685" s="18">
        <v>2</v>
      </c>
      <c r="J685" s="18">
        <v>103400</v>
      </c>
      <c r="K685" s="18" t="s">
        <v>324</v>
      </c>
      <c r="L685" s="18">
        <v>0</v>
      </c>
      <c r="M685" s="18">
        <v>0</v>
      </c>
      <c r="N685" s="18" t="s">
        <v>510</v>
      </c>
      <c r="O685" s="18">
        <v>0</v>
      </c>
      <c r="P685" s="18">
        <v>0</v>
      </c>
      <c r="Q685" s="18">
        <v>0</v>
      </c>
      <c r="R685" s="18">
        <v>0</v>
      </c>
      <c r="S685" s="18">
        <v>0</v>
      </c>
      <c r="T685" s="18">
        <v>0</v>
      </c>
      <c r="U685" s="18"/>
      <c r="V685" s="18">
        <v>0</v>
      </c>
      <c r="W685" s="18">
        <v>0</v>
      </c>
      <c r="X685" s="18" t="s">
        <v>334</v>
      </c>
      <c r="Y685" s="18" t="s">
        <v>378</v>
      </c>
      <c r="Z685" s="18" t="s">
        <v>328</v>
      </c>
      <c r="AA685" s="18">
        <v>0</v>
      </c>
      <c r="AB685" s="18">
        <v>12</v>
      </c>
      <c r="AC685" s="18" t="b">
        <v>0</v>
      </c>
      <c r="AD685" s="18" t="s">
        <v>329</v>
      </c>
      <c r="AE685" s="18">
        <v>280</v>
      </c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 t="s">
        <v>354</v>
      </c>
      <c r="AZ685" s="18">
        <v>10400</v>
      </c>
      <c r="BA685" s="18" t="s">
        <v>331</v>
      </c>
      <c r="BB685" s="18" t="s">
        <v>328</v>
      </c>
      <c r="BC685" s="18">
        <v>10000</v>
      </c>
      <c r="BD685" s="18">
        <v>0</v>
      </c>
      <c r="BE685" s="18" t="s">
        <v>332</v>
      </c>
      <c r="BF685" s="18">
        <v>0</v>
      </c>
      <c r="BG685" s="18" t="s">
        <v>355</v>
      </c>
      <c r="BH685" s="18">
        <v>2500</v>
      </c>
      <c r="BI685" s="18">
        <v>0</v>
      </c>
      <c r="BJ685" s="18" t="b">
        <v>1</v>
      </c>
      <c r="BK685" s="18">
        <v>0</v>
      </c>
      <c r="BL685" s="18">
        <v>10000</v>
      </c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  <c r="EM685" s="18"/>
      <c r="EN685" s="18"/>
      <c r="EO685" s="18"/>
      <c r="EP685" s="18"/>
      <c r="EQ685" s="18"/>
      <c r="ER685" s="18"/>
      <c r="ES685" s="18"/>
      <c r="ET685" s="18"/>
      <c r="EU685" s="18"/>
      <c r="EV685" s="18"/>
      <c r="EW685" s="18"/>
      <c r="EX685" s="18"/>
      <c r="EY685" s="18"/>
      <c r="EZ685" s="18"/>
      <c r="FA685" s="18"/>
      <c r="FB685" s="18"/>
      <c r="FC685" s="18"/>
      <c r="FD685" s="18"/>
      <c r="FE685" s="18"/>
      <c r="FF685" s="18"/>
      <c r="FG685" s="18"/>
      <c r="FH685" s="18"/>
      <c r="FI685" s="18"/>
      <c r="FJ685" s="18"/>
      <c r="FK685" s="18"/>
      <c r="FL685" s="18"/>
      <c r="FM685" s="18"/>
      <c r="FN685" s="18"/>
      <c r="FO685" s="18"/>
      <c r="FP685" s="18"/>
      <c r="FQ685" s="18"/>
      <c r="FR685" s="18"/>
      <c r="FS685" s="18"/>
      <c r="FT685" s="18"/>
      <c r="FU685" s="18"/>
      <c r="FV685" s="18"/>
      <c r="FW685" s="18"/>
      <c r="FX685" s="18"/>
      <c r="FY685" s="18"/>
      <c r="FZ685" s="18"/>
      <c r="GA685" s="18"/>
      <c r="GB685" s="18"/>
      <c r="GC685" s="18"/>
      <c r="GD685" s="18"/>
      <c r="GE685" s="18"/>
      <c r="GF685" s="18"/>
      <c r="GG685" s="18"/>
      <c r="GH685" s="18"/>
      <c r="GI685" s="18"/>
      <c r="GJ685" s="18"/>
      <c r="GK685" s="18"/>
      <c r="GL685" s="18"/>
      <c r="GM685" s="18"/>
      <c r="GN685" s="18"/>
      <c r="GO685" s="18"/>
      <c r="GP685" s="18"/>
      <c r="GQ685" s="18"/>
      <c r="GR685" s="18">
        <v>0</v>
      </c>
      <c r="GS685" s="18">
        <v>0</v>
      </c>
      <c r="GT685" s="18" t="s">
        <v>339</v>
      </c>
      <c r="GU685" s="18">
        <v>0</v>
      </c>
      <c r="GV685" s="18"/>
      <c r="GW685" s="18"/>
      <c r="GX685" s="18" t="b">
        <v>0</v>
      </c>
      <c r="GY685" s="18">
        <v>0</v>
      </c>
      <c r="GZ685" s="18" t="b">
        <v>1</v>
      </c>
      <c r="HA685" s="18">
        <v>0</v>
      </c>
      <c r="HB685" s="18">
        <v>0</v>
      </c>
      <c r="HC685" s="18">
        <v>0</v>
      </c>
      <c r="HD685" s="18">
        <v>0</v>
      </c>
      <c r="HE685" s="18" t="b">
        <v>0</v>
      </c>
      <c r="HF685" s="18">
        <v>0</v>
      </c>
      <c r="HG685" s="18">
        <v>0</v>
      </c>
      <c r="HH685" s="18" t="s">
        <v>339</v>
      </c>
      <c r="HI685" s="18" t="s">
        <v>334</v>
      </c>
      <c r="HJ685" s="18">
        <v>0</v>
      </c>
      <c r="HK685" s="18">
        <v>0</v>
      </c>
      <c r="HL685" s="18">
        <v>0</v>
      </c>
      <c r="HM685" s="18">
        <v>0</v>
      </c>
      <c r="HN685" s="18" t="b">
        <v>0</v>
      </c>
    </row>
    <row r="686" spans="1:222">
      <c r="A686"/>
      <c r="B686" s="29" cm="1">
        <f t="array" ref="B686">10000000+INDEX(编号表!$B$1:$B$112,MATCH(D686,编号表!$A$1:$A$112,0))*10000+I686</f>
        <v>10340003</v>
      </c>
      <c r="C686" s="18" t="s">
        <v>515</v>
      </c>
      <c r="D686" s="18" t="s">
        <v>515</v>
      </c>
      <c r="E686" s="18" t="s">
        <v>334</v>
      </c>
      <c r="F686" s="18" t="s">
        <v>364</v>
      </c>
      <c r="G686" s="18" t="b">
        <v>0</v>
      </c>
      <c r="H686" s="18" t="b">
        <v>1</v>
      </c>
      <c r="I686" s="18">
        <v>3</v>
      </c>
      <c r="J686" s="18">
        <v>103400</v>
      </c>
      <c r="K686" s="18" t="s">
        <v>324</v>
      </c>
      <c r="L686" s="18">
        <v>0</v>
      </c>
      <c r="M686" s="18">
        <v>0</v>
      </c>
      <c r="N686" s="18" t="s">
        <v>510</v>
      </c>
      <c r="O686" s="18">
        <v>0</v>
      </c>
      <c r="P686" s="18">
        <v>0</v>
      </c>
      <c r="Q686" s="18">
        <v>0</v>
      </c>
      <c r="R686" s="18">
        <v>0</v>
      </c>
      <c r="S686" s="18">
        <v>0</v>
      </c>
      <c r="T686" s="18">
        <v>0</v>
      </c>
      <c r="U686" s="18"/>
      <c r="V686" s="18">
        <v>0</v>
      </c>
      <c r="W686" s="18">
        <v>0</v>
      </c>
      <c r="X686" s="18" t="s">
        <v>334</v>
      </c>
      <c r="Y686" s="18" t="s">
        <v>378</v>
      </c>
      <c r="Z686" s="18" t="s">
        <v>328</v>
      </c>
      <c r="AA686" s="18">
        <v>0</v>
      </c>
      <c r="AB686" s="18">
        <v>12</v>
      </c>
      <c r="AC686" s="18" t="b">
        <v>0</v>
      </c>
      <c r="AD686" s="18" t="s">
        <v>329</v>
      </c>
      <c r="AE686" s="18">
        <v>280</v>
      </c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 t="s">
        <v>354</v>
      </c>
      <c r="AZ686" s="18">
        <v>10800</v>
      </c>
      <c r="BA686" s="18" t="s">
        <v>331</v>
      </c>
      <c r="BB686" s="18" t="s">
        <v>328</v>
      </c>
      <c r="BC686" s="18">
        <v>10000</v>
      </c>
      <c r="BD686" s="18">
        <v>0</v>
      </c>
      <c r="BE686" s="18" t="s">
        <v>332</v>
      </c>
      <c r="BF686" s="18">
        <v>0</v>
      </c>
      <c r="BG686" s="18" t="s">
        <v>355</v>
      </c>
      <c r="BH686" s="18">
        <v>2500</v>
      </c>
      <c r="BI686" s="18">
        <v>0</v>
      </c>
      <c r="BJ686" s="18" t="b">
        <v>1</v>
      </c>
      <c r="BK686" s="18">
        <v>0</v>
      </c>
      <c r="BL686" s="18">
        <v>10000</v>
      </c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  <c r="DU686" s="18"/>
      <c r="DV686" s="18"/>
      <c r="DW686" s="18"/>
      <c r="DX686" s="18"/>
      <c r="DY686" s="18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8"/>
      <c r="EM686" s="18"/>
      <c r="EN686" s="18"/>
      <c r="EO686" s="18"/>
      <c r="EP686" s="18"/>
      <c r="EQ686" s="18"/>
      <c r="ER686" s="18"/>
      <c r="ES686" s="18"/>
      <c r="ET686" s="18"/>
      <c r="EU686" s="18"/>
      <c r="EV686" s="18"/>
      <c r="EW686" s="18"/>
      <c r="EX686" s="18"/>
      <c r="EY686" s="18"/>
      <c r="EZ686" s="18"/>
      <c r="FA686" s="18"/>
      <c r="FB686" s="18"/>
      <c r="FC686" s="18"/>
      <c r="FD686" s="18"/>
      <c r="FE686" s="18"/>
      <c r="FF686" s="18"/>
      <c r="FG686" s="18"/>
      <c r="FH686" s="18"/>
      <c r="FI686" s="18"/>
      <c r="FJ686" s="18"/>
      <c r="FK686" s="18"/>
      <c r="FL686" s="18"/>
      <c r="FM686" s="18"/>
      <c r="FN686" s="18"/>
      <c r="FO686" s="18"/>
      <c r="FP686" s="18"/>
      <c r="FQ686" s="18"/>
      <c r="FR686" s="18"/>
      <c r="FS686" s="18"/>
      <c r="FT686" s="18"/>
      <c r="FU686" s="18"/>
      <c r="FV686" s="18"/>
      <c r="FW686" s="18"/>
      <c r="FX686" s="18"/>
      <c r="FY686" s="18"/>
      <c r="FZ686" s="18"/>
      <c r="GA686" s="18"/>
      <c r="GB686" s="18"/>
      <c r="GC686" s="18"/>
      <c r="GD686" s="18"/>
      <c r="GE686" s="18"/>
      <c r="GF686" s="18"/>
      <c r="GG686" s="18"/>
      <c r="GH686" s="18"/>
      <c r="GI686" s="18"/>
      <c r="GJ686" s="18"/>
      <c r="GK686" s="18"/>
      <c r="GL686" s="18"/>
      <c r="GM686" s="18"/>
      <c r="GN686" s="18"/>
      <c r="GO686" s="18"/>
      <c r="GP686" s="18"/>
      <c r="GQ686" s="18"/>
      <c r="GR686" s="18">
        <v>0</v>
      </c>
      <c r="GS686" s="18">
        <v>0</v>
      </c>
      <c r="GT686" s="18" t="s">
        <v>339</v>
      </c>
      <c r="GU686" s="18">
        <v>0</v>
      </c>
      <c r="GV686" s="18"/>
      <c r="GW686" s="18"/>
      <c r="GX686" s="18" t="b">
        <v>0</v>
      </c>
      <c r="GY686" s="18">
        <v>0</v>
      </c>
      <c r="GZ686" s="18" t="b">
        <v>1</v>
      </c>
      <c r="HA686" s="18">
        <v>0</v>
      </c>
      <c r="HB686" s="18">
        <v>0</v>
      </c>
      <c r="HC686" s="18">
        <v>0</v>
      </c>
      <c r="HD686" s="18">
        <v>0</v>
      </c>
      <c r="HE686" s="18" t="b">
        <v>0</v>
      </c>
      <c r="HF686" s="18">
        <v>0</v>
      </c>
      <c r="HG686" s="18">
        <v>0</v>
      </c>
      <c r="HH686" s="18" t="s">
        <v>339</v>
      </c>
      <c r="HI686" s="18" t="s">
        <v>334</v>
      </c>
      <c r="HJ686" s="18">
        <v>0</v>
      </c>
      <c r="HK686" s="18">
        <v>0</v>
      </c>
      <c r="HL686" s="18">
        <v>0</v>
      </c>
      <c r="HM686" s="18">
        <v>0</v>
      </c>
      <c r="HN686" s="18" t="b">
        <v>0</v>
      </c>
    </row>
    <row r="687" spans="1:222">
      <c r="A687"/>
      <c r="B687" s="29" cm="1">
        <f t="array" ref="B687">10000000+INDEX(编号表!$B$1:$B$112,MATCH(D687,编号表!$A$1:$A$112,0))*10000+I687</f>
        <v>10340004</v>
      </c>
      <c r="C687" s="18" t="s">
        <v>515</v>
      </c>
      <c r="D687" s="18" t="s">
        <v>515</v>
      </c>
      <c r="E687" s="18" t="s">
        <v>334</v>
      </c>
      <c r="F687" s="18" t="s">
        <v>364</v>
      </c>
      <c r="G687" s="18" t="b">
        <v>0</v>
      </c>
      <c r="H687" s="18" t="b">
        <v>1</v>
      </c>
      <c r="I687" s="18">
        <v>4</v>
      </c>
      <c r="J687" s="18">
        <v>103400</v>
      </c>
      <c r="K687" s="18" t="s">
        <v>324</v>
      </c>
      <c r="L687" s="18">
        <v>0</v>
      </c>
      <c r="M687" s="18">
        <v>0</v>
      </c>
      <c r="N687" s="18" t="s">
        <v>510</v>
      </c>
      <c r="O687" s="18">
        <v>0</v>
      </c>
      <c r="P687" s="18">
        <v>0</v>
      </c>
      <c r="Q687" s="18">
        <v>0</v>
      </c>
      <c r="R687" s="18">
        <v>0</v>
      </c>
      <c r="S687" s="18">
        <v>0</v>
      </c>
      <c r="T687" s="18">
        <v>0</v>
      </c>
      <c r="U687" s="18"/>
      <c r="V687" s="18">
        <v>0</v>
      </c>
      <c r="W687" s="18">
        <v>0</v>
      </c>
      <c r="X687" s="18" t="s">
        <v>334</v>
      </c>
      <c r="Y687" s="18" t="s">
        <v>378</v>
      </c>
      <c r="Z687" s="18" t="s">
        <v>328</v>
      </c>
      <c r="AA687" s="18">
        <v>0</v>
      </c>
      <c r="AB687" s="18">
        <v>12</v>
      </c>
      <c r="AC687" s="18" t="b">
        <v>0</v>
      </c>
      <c r="AD687" s="18" t="s">
        <v>329</v>
      </c>
      <c r="AE687" s="18">
        <v>280</v>
      </c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 t="s">
        <v>354</v>
      </c>
      <c r="AZ687" s="18">
        <v>11200</v>
      </c>
      <c r="BA687" s="18" t="s">
        <v>331</v>
      </c>
      <c r="BB687" s="18" t="s">
        <v>328</v>
      </c>
      <c r="BC687" s="18">
        <v>10000</v>
      </c>
      <c r="BD687" s="18">
        <v>0</v>
      </c>
      <c r="BE687" s="18" t="s">
        <v>332</v>
      </c>
      <c r="BF687" s="18">
        <v>0</v>
      </c>
      <c r="BG687" s="18" t="s">
        <v>355</v>
      </c>
      <c r="BH687" s="18">
        <v>2500</v>
      </c>
      <c r="BI687" s="18">
        <v>1</v>
      </c>
      <c r="BJ687" s="18" t="b">
        <v>1</v>
      </c>
      <c r="BK687" s="18">
        <v>0</v>
      </c>
      <c r="BL687" s="18">
        <v>10000</v>
      </c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18"/>
      <c r="DU687" s="18"/>
      <c r="DV687" s="18"/>
      <c r="DW687" s="18"/>
      <c r="DX687" s="18"/>
      <c r="DY687" s="18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8"/>
      <c r="EM687" s="18"/>
      <c r="EN687" s="18"/>
      <c r="EO687" s="18"/>
      <c r="EP687" s="18"/>
      <c r="EQ687" s="18"/>
      <c r="ER687" s="18"/>
      <c r="ES687" s="18"/>
      <c r="ET687" s="18"/>
      <c r="EU687" s="18"/>
      <c r="EV687" s="18"/>
      <c r="EW687" s="18"/>
      <c r="EX687" s="18"/>
      <c r="EY687" s="18"/>
      <c r="EZ687" s="18"/>
      <c r="FA687" s="18"/>
      <c r="FB687" s="18"/>
      <c r="FC687" s="18"/>
      <c r="FD687" s="18"/>
      <c r="FE687" s="18"/>
      <c r="FF687" s="18"/>
      <c r="FG687" s="18"/>
      <c r="FH687" s="18"/>
      <c r="FI687" s="18"/>
      <c r="FJ687" s="18"/>
      <c r="FK687" s="18"/>
      <c r="FL687" s="18"/>
      <c r="FM687" s="18"/>
      <c r="FN687" s="18"/>
      <c r="FO687" s="18"/>
      <c r="FP687" s="18"/>
      <c r="FQ687" s="18"/>
      <c r="FR687" s="18"/>
      <c r="FS687" s="18"/>
      <c r="FT687" s="18"/>
      <c r="FU687" s="18"/>
      <c r="FV687" s="18"/>
      <c r="FW687" s="18"/>
      <c r="FX687" s="18"/>
      <c r="FY687" s="18"/>
      <c r="FZ687" s="18"/>
      <c r="GA687" s="18"/>
      <c r="GB687" s="18"/>
      <c r="GC687" s="18"/>
      <c r="GD687" s="18"/>
      <c r="GE687" s="18"/>
      <c r="GF687" s="18"/>
      <c r="GG687" s="18"/>
      <c r="GH687" s="18"/>
      <c r="GI687" s="18"/>
      <c r="GJ687" s="18"/>
      <c r="GK687" s="18"/>
      <c r="GL687" s="18"/>
      <c r="GM687" s="18"/>
      <c r="GN687" s="18"/>
      <c r="GO687" s="18"/>
      <c r="GP687" s="18"/>
      <c r="GQ687" s="18"/>
      <c r="GR687" s="18">
        <v>0</v>
      </c>
      <c r="GS687" s="18">
        <v>0</v>
      </c>
      <c r="GT687" s="18" t="s">
        <v>339</v>
      </c>
      <c r="GU687" s="18">
        <v>0</v>
      </c>
      <c r="GV687" s="18"/>
      <c r="GW687" s="18"/>
      <c r="GX687" s="18" t="b">
        <v>0</v>
      </c>
      <c r="GY687" s="18">
        <v>0</v>
      </c>
      <c r="GZ687" s="18" t="b">
        <v>1</v>
      </c>
      <c r="HA687" s="18">
        <v>0</v>
      </c>
      <c r="HB687" s="18">
        <v>0</v>
      </c>
      <c r="HC687" s="18">
        <v>0</v>
      </c>
      <c r="HD687" s="18">
        <v>0</v>
      </c>
      <c r="HE687" s="18" t="b">
        <v>0</v>
      </c>
      <c r="HF687" s="18">
        <v>0</v>
      </c>
      <c r="HG687" s="18">
        <v>0</v>
      </c>
      <c r="HH687" s="18" t="s">
        <v>339</v>
      </c>
      <c r="HI687" s="18" t="s">
        <v>334</v>
      </c>
      <c r="HJ687" s="18">
        <v>0</v>
      </c>
      <c r="HK687" s="18">
        <v>0</v>
      </c>
      <c r="HL687" s="18">
        <v>0</v>
      </c>
      <c r="HM687" s="18">
        <v>0</v>
      </c>
      <c r="HN687" s="18" t="b">
        <v>0</v>
      </c>
    </row>
    <row r="688" spans="1:222">
      <c r="A688"/>
      <c r="B688" s="29" cm="1">
        <f t="array" ref="B688">10000000+INDEX(编号表!$B$1:$B$112,MATCH(D688,编号表!$A$1:$A$112,0))*10000+I688</f>
        <v>10340005</v>
      </c>
      <c r="C688" s="18" t="s">
        <v>515</v>
      </c>
      <c r="D688" s="18" t="s">
        <v>515</v>
      </c>
      <c r="E688" s="18" t="s">
        <v>334</v>
      </c>
      <c r="F688" s="18" t="s">
        <v>364</v>
      </c>
      <c r="G688" s="18" t="b">
        <v>0</v>
      </c>
      <c r="H688" s="18" t="b">
        <v>1</v>
      </c>
      <c r="I688" s="18">
        <v>5</v>
      </c>
      <c r="J688" s="18">
        <v>103400</v>
      </c>
      <c r="K688" s="18" t="s">
        <v>324</v>
      </c>
      <c r="L688" s="18">
        <v>0</v>
      </c>
      <c r="M688" s="18">
        <v>0</v>
      </c>
      <c r="N688" s="18" t="s">
        <v>510</v>
      </c>
      <c r="O688" s="18">
        <v>0</v>
      </c>
      <c r="P688" s="18">
        <v>0</v>
      </c>
      <c r="Q688" s="18">
        <v>0</v>
      </c>
      <c r="R688" s="18">
        <v>0</v>
      </c>
      <c r="S688" s="18">
        <v>0</v>
      </c>
      <c r="T688" s="18">
        <v>0</v>
      </c>
      <c r="U688" s="18"/>
      <c r="V688" s="18">
        <v>0</v>
      </c>
      <c r="W688" s="18">
        <v>0</v>
      </c>
      <c r="X688" s="18" t="s">
        <v>334</v>
      </c>
      <c r="Y688" s="18" t="s">
        <v>378</v>
      </c>
      <c r="Z688" s="18" t="s">
        <v>328</v>
      </c>
      <c r="AA688" s="18">
        <v>0</v>
      </c>
      <c r="AB688" s="18">
        <v>12</v>
      </c>
      <c r="AC688" s="18" t="b">
        <v>0</v>
      </c>
      <c r="AD688" s="18" t="s">
        <v>329</v>
      </c>
      <c r="AE688" s="18">
        <v>280</v>
      </c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 t="s">
        <v>354</v>
      </c>
      <c r="AZ688" s="18">
        <v>11300</v>
      </c>
      <c r="BA688" s="18" t="s">
        <v>331</v>
      </c>
      <c r="BB688" s="18" t="s">
        <v>328</v>
      </c>
      <c r="BC688" s="18">
        <v>10000</v>
      </c>
      <c r="BD688" s="18">
        <v>0</v>
      </c>
      <c r="BE688" s="18" t="s">
        <v>332</v>
      </c>
      <c r="BF688" s="18">
        <v>0</v>
      </c>
      <c r="BG688" s="18" t="s">
        <v>355</v>
      </c>
      <c r="BH688" s="18">
        <v>2500</v>
      </c>
      <c r="BI688" s="18">
        <v>1</v>
      </c>
      <c r="BJ688" s="18" t="b">
        <v>1</v>
      </c>
      <c r="BK688" s="18">
        <v>0</v>
      </c>
      <c r="BL688" s="18">
        <v>10000</v>
      </c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  <c r="DU688" s="18"/>
      <c r="DV688" s="18"/>
      <c r="DW688" s="18"/>
      <c r="DX688" s="18"/>
      <c r="DY688" s="18"/>
      <c r="DZ688" s="18"/>
      <c r="EA688" s="18"/>
      <c r="EB688" s="18"/>
      <c r="EC688" s="18"/>
      <c r="ED688" s="18"/>
      <c r="EE688" s="18"/>
      <c r="EF688" s="18"/>
      <c r="EG688" s="18"/>
      <c r="EH688" s="18"/>
      <c r="EI688" s="18"/>
      <c r="EJ688" s="18"/>
      <c r="EK688" s="18"/>
      <c r="EL688" s="18"/>
      <c r="EM688" s="18"/>
      <c r="EN688" s="18"/>
      <c r="EO688" s="18"/>
      <c r="EP688" s="18"/>
      <c r="EQ688" s="18"/>
      <c r="ER688" s="18"/>
      <c r="ES688" s="18"/>
      <c r="ET688" s="18"/>
      <c r="EU688" s="18"/>
      <c r="EV688" s="18"/>
      <c r="EW688" s="18"/>
      <c r="EX688" s="18"/>
      <c r="EY688" s="18"/>
      <c r="EZ688" s="18"/>
      <c r="FA688" s="18"/>
      <c r="FB688" s="18"/>
      <c r="FC688" s="18"/>
      <c r="FD688" s="18"/>
      <c r="FE688" s="18"/>
      <c r="FF688" s="18"/>
      <c r="FG688" s="18"/>
      <c r="FH688" s="18"/>
      <c r="FI688" s="18"/>
      <c r="FJ688" s="18"/>
      <c r="FK688" s="18"/>
      <c r="FL688" s="18"/>
      <c r="FM688" s="18"/>
      <c r="FN688" s="18"/>
      <c r="FO688" s="18"/>
      <c r="FP688" s="18"/>
      <c r="FQ688" s="18"/>
      <c r="FR688" s="18"/>
      <c r="FS688" s="18"/>
      <c r="FT688" s="18"/>
      <c r="FU688" s="18"/>
      <c r="FV688" s="18"/>
      <c r="FW688" s="18"/>
      <c r="FX688" s="18"/>
      <c r="FY688" s="18"/>
      <c r="FZ688" s="18"/>
      <c r="GA688" s="18"/>
      <c r="GB688" s="18"/>
      <c r="GC688" s="18"/>
      <c r="GD688" s="18"/>
      <c r="GE688" s="18"/>
      <c r="GF688" s="18"/>
      <c r="GG688" s="18"/>
      <c r="GH688" s="18"/>
      <c r="GI688" s="18"/>
      <c r="GJ688" s="18"/>
      <c r="GK688" s="18"/>
      <c r="GL688" s="18"/>
      <c r="GM688" s="18"/>
      <c r="GN688" s="18"/>
      <c r="GO688" s="18"/>
      <c r="GP688" s="18"/>
      <c r="GQ688" s="18"/>
      <c r="GR688" s="18">
        <v>0</v>
      </c>
      <c r="GS688" s="18">
        <v>0</v>
      </c>
      <c r="GT688" s="18" t="s">
        <v>339</v>
      </c>
      <c r="GU688" s="18">
        <v>0</v>
      </c>
      <c r="GV688" s="18"/>
      <c r="GW688" s="18"/>
      <c r="GX688" s="18" t="b">
        <v>0</v>
      </c>
      <c r="GY688" s="18">
        <v>0</v>
      </c>
      <c r="GZ688" s="18" t="b">
        <v>1</v>
      </c>
      <c r="HA688" s="18">
        <v>0</v>
      </c>
      <c r="HB688" s="18">
        <v>0</v>
      </c>
      <c r="HC688" s="18">
        <v>0</v>
      </c>
      <c r="HD688" s="18">
        <v>0</v>
      </c>
      <c r="HE688" s="18" t="b">
        <v>0</v>
      </c>
      <c r="HF688" s="18">
        <v>0</v>
      </c>
      <c r="HG688" s="18">
        <v>0</v>
      </c>
      <c r="HH688" s="18" t="s">
        <v>339</v>
      </c>
      <c r="HI688" s="18" t="s">
        <v>334</v>
      </c>
      <c r="HJ688" s="18">
        <v>0</v>
      </c>
      <c r="HK688" s="18">
        <v>0</v>
      </c>
      <c r="HL688" s="18">
        <v>0</v>
      </c>
      <c r="HM688" s="18">
        <v>0</v>
      </c>
      <c r="HN688" s="18" t="b">
        <v>0</v>
      </c>
    </row>
    <row r="689" spans="1:222">
      <c r="A689"/>
      <c r="B689" s="29" cm="1">
        <f t="array" ref="B689">10000000+INDEX(编号表!$B$1:$B$112,MATCH(D689,编号表!$A$1:$A$112,0))*10000+I689</f>
        <v>10340006</v>
      </c>
      <c r="C689" s="18" t="s">
        <v>515</v>
      </c>
      <c r="D689" s="18" t="s">
        <v>515</v>
      </c>
      <c r="E689" s="18" t="s">
        <v>334</v>
      </c>
      <c r="F689" s="18" t="s">
        <v>364</v>
      </c>
      <c r="G689" s="18" t="b">
        <v>0</v>
      </c>
      <c r="H689" s="18" t="b">
        <v>1</v>
      </c>
      <c r="I689" s="18">
        <v>6</v>
      </c>
      <c r="J689" s="18">
        <v>103400</v>
      </c>
      <c r="K689" s="18" t="s">
        <v>324</v>
      </c>
      <c r="L689" s="18">
        <v>0</v>
      </c>
      <c r="M689" s="18">
        <v>0</v>
      </c>
      <c r="N689" s="18" t="s">
        <v>510</v>
      </c>
      <c r="O689" s="18">
        <v>0</v>
      </c>
      <c r="P689" s="18">
        <v>0</v>
      </c>
      <c r="Q689" s="18">
        <v>0</v>
      </c>
      <c r="R689" s="18">
        <v>0</v>
      </c>
      <c r="S689" s="18">
        <v>0</v>
      </c>
      <c r="T689" s="18">
        <v>0</v>
      </c>
      <c r="U689" s="18"/>
      <c r="V689" s="18">
        <v>0</v>
      </c>
      <c r="W689" s="18">
        <v>0</v>
      </c>
      <c r="X689" s="18" t="s">
        <v>334</v>
      </c>
      <c r="Y689" s="18" t="s">
        <v>378</v>
      </c>
      <c r="Z689" s="18" t="s">
        <v>328</v>
      </c>
      <c r="AA689" s="18">
        <v>0</v>
      </c>
      <c r="AB689" s="18">
        <v>12</v>
      </c>
      <c r="AC689" s="18" t="b">
        <v>0</v>
      </c>
      <c r="AD689" s="18" t="s">
        <v>329</v>
      </c>
      <c r="AE689" s="18">
        <v>280</v>
      </c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 t="s">
        <v>354</v>
      </c>
      <c r="AZ689" s="18">
        <v>11600</v>
      </c>
      <c r="BA689" s="18" t="s">
        <v>331</v>
      </c>
      <c r="BB689" s="18" t="s">
        <v>328</v>
      </c>
      <c r="BC689" s="18">
        <v>10000</v>
      </c>
      <c r="BD689" s="18">
        <v>0</v>
      </c>
      <c r="BE689" s="18" t="s">
        <v>332</v>
      </c>
      <c r="BF689" s="18">
        <v>0</v>
      </c>
      <c r="BG689" s="18" t="s">
        <v>355</v>
      </c>
      <c r="BH689" s="18">
        <v>2500</v>
      </c>
      <c r="BI689" s="18">
        <v>1</v>
      </c>
      <c r="BJ689" s="18" t="b">
        <v>1</v>
      </c>
      <c r="BK689" s="18">
        <v>0</v>
      </c>
      <c r="BL689" s="18">
        <v>10000</v>
      </c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  <c r="DU689" s="18"/>
      <c r="DV689" s="18"/>
      <c r="DW689" s="18"/>
      <c r="DX689" s="18"/>
      <c r="DY689" s="18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8"/>
      <c r="EM689" s="18"/>
      <c r="EN689" s="18"/>
      <c r="EO689" s="18"/>
      <c r="EP689" s="18"/>
      <c r="EQ689" s="18"/>
      <c r="ER689" s="18"/>
      <c r="ES689" s="18"/>
      <c r="ET689" s="18"/>
      <c r="EU689" s="18"/>
      <c r="EV689" s="18"/>
      <c r="EW689" s="18"/>
      <c r="EX689" s="18"/>
      <c r="EY689" s="18"/>
      <c r="EZ689" s="18"/>
      <c r="FA689" s="18"/>
      <c r="FB689" s="18"/>
      <c r="FC689" s="18"/>
      <c r="FD689" s="18"/>
      <c r="FE689" s="18"/>
      <c r="FF689" s="18"/>
      <c r="FG689" s="18"/>
      <c r="FH689" s="18"/>
      <c r="FI689" s="18"/>
      <c r="FJ689" s="18"/>
      <c r="FK689" s="18"/>
      <c r="FL689" s="18"/>
      <c r="FM689" s="18"/>
      <c r="FN689" s="18"/>
      <c r="FO689" s="18"/>
      <c r="FP689" s="18"/>
      <c r="FQ689" s="18"/>
      <c r="FR689" s="18"/>
      <c r="FS689" s="18"/>
      <c r="FT689" s="18"/>
      <c r="FU689" s="18"/>
      <c r="FV689" s="18"/>
      <c r="FW689" s="18"/>
      <c r="FX689" s="18"/>
      <c r="FY689" s="18"/>
      <c r="FZ689" s="18"/>
      <c r="GA689" s="18"/>
      <c r="GB689" s="18"/>
      <c r="GC689" s="18"/>
      <c r="GD689" s="18"/>
      <c r="GE689" s="18"/>
      <c r="GF689" s="18"/>
      <c r="GG689" s="18"/>
      <c r="GH689" s="18"/>
      <c r="GI689" s="18"/>
      <c r="GJ689" s="18"/>
      <c r="GK689" s="18"/>
      <c r="GL689" s="18"/>
      <c r="GM689" s="18"/>
      <c r="GN689" s="18"/>
      <c r="GO689" s="18"/>
      <c r="GP689" s="18"/>
      <c r="GQ689" s="18"/>
      <c r="GR689" s="18">
        <v>0</v>
      </c>
      <c r="GS689" s="18">
        <v>0</v>
      </c>
      <c r="GT689" s="18" t="s">
        <v>339</v>
      </c>
      <c r="GU689" s="18">
        <v>0</v>
      </c>
      <c r="GV689" s="18"/>
      <c r="GW689" s="18"/>
      <c r="GX689" s="18" t="b">
        <v>0</v>
      </c>
      <c r="GY689" s="18">
        <v>0</v>
      </c>
      <c r="GZ689" s="18" t="b">
        <v>1</v>
      </c>
      <c r="HA689" s="18">
        <v>0</v>
      </c>
      <c r="HB689" s="18">
        <v>0</v>
      </c>
      <c r="HC689" s="18">
        <v>0</v>
      </c>
      <c r="HD689" s="18">
        <v>0</v>
      </c>
      <c r="HE689" s="18" t="b">
        <v>0</v>
      </c>
      <c r="HF689" s="18">
        <v>0</v>
      </c>
      <c r="HG689" s="18">
        <v>0</v>
      </c>
      <c r="HH689" s="18" t="s">
        <v>339</v>
      </c>
      <c r="HI689" s="18" t="s">
        <v>334</v>
      </c>
      <c r="HJ689" s="18">
        <v>0</v>
      </c>
      <c r="HK689" s="18">
        <v>0</v>
      </c>
      <c r="HL689" s="18">
        <v>0</v>
      </c>
      <c r="HM689" s="18">
        <v>0</v>
      </c>
      <c r="HN689" s="18" t="b">
        <v>0</v>
      </c>
    </row>
    <row r="690" spans="1:222">
      <c r="A690"/>
      <c r="B690" s="29" cm="1">
        <f t="array" ref="B690">10000000+INDEX(编号表!$B$1:$B$112,MATCH(D690,编号表!$A$1:$A$112,0))*10000+I690</f>
        <v>10340007</v>
      </c>
      <c r="C690" s="18" t="s">
        <v>515</v>
      </c>
      <c r="D690" s="18" t="s">
        <v>515</v>
      </c>
      <c r="E690" s="18" t="s">
        <v>334</v>
      </c>
      <c r="F690" s="18" t="s">
        <v>364</v>
      </c>
      <c r="G690" s="18" t="b">
        <v>0</v>
      </c>
      <c r="H690" s="18" t="b">
        <v>1</v>
      </c>
      <c r="I690" s="18">
        <v>7</v>
      </c>
      <c r="J690" s="18">
        <v>103400</v>
      </c>
      <c r="K690" s="18" t="s">
        <v>324</v>
      </c>
      <c r="L690" s="18">
        <v>0</v>
      </c>
      <c r="M690" s="18">
        <v>0</v>
      </c>
      <c r="N690" s="18" t="s">
        <v>510</v>
      </c>
      <c r="O690" s="18">
        <v>0</v>
      </c>
      <c r="P690" s="18">
        <v>0</v>
      </c>
      <c r="Q690" s="18">
        <v>0</v>
      </c>
      <c r="R690" s="18">
        <v>0</v>
      </c>
      <c r="S690" s="18">
        <v>0</v>
      </c>
      <c r="T690" s="18">
        <v>0</v>
      </c>
      <c r="U690" s="18"/>
      <c r="V690" s="18">
        <v>0</v>
      </c>
      <c r="W690" s="18">
        <v>0</v>
      </c>
      <c r="X690" s="18" t="s">
        <v>334</v>
      </c>
      <c r="Y690" s="18" t="s">
        <v>378</v>
      </c>
      <c r="Z690" s="18" t="s">
        <v>328</v>
      </c>
      <c r="AA690" s="18">
        <v>0</v>
      </c>
      <c r="AB690" s="18">
        <v>12</v>
      </c>
      <c r="AC690" s="18" t="b">
        <v>0</v>
      </c>
      <c r="AD690" s="18" t="s">
        <v>329</v>
      </c>
      <c r="AE690" s="18">
        <v>280</v>
      </c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 t="s">
        <v>354</v>
      </c>
      <c r="AZ690" s="18">
        <v>11700</v>
      </c>
      <c r="BA690" s="18" t="s">
        <v>331</v>
      </c>
      <c r="BB690" s="18" t="s">
        <v>328</v>
      </c>
      <c r="BC690" s="18">
        <v>10000</v>
      </c>
      <c r="BD690" s="18">
        <v>0</v>
      </c>
      <c r="BE690" s="18" t="s">
        <v>332</v>
      </c>
      <c r="BF690" s="18">
        <v>0</v>
      </c>
      <c r="BG690" s="18" t="s">
        <v>355</v>
      </c>
      <c r="BH690" s="18">
        <v>2500</v>
      </c>
      <c r="BI690" s="18">
        <v>1</v>
      </c>
      <c r="BJ690" s="18" t="b">
        <v>1</v>
      </c>
      <c r="BK690" s="18">
        <v>0</v>
      </c>
      <c r="BL690" s="18">
        <v>10000</v>
      </c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8"/>
      <c r="EM690" s="18"/>
      <c r="EN690" s="18"/>
      <c r="EO690" s="18"/>
      <c r="EP690" s="18"/>
      <c r="EQ690" s="18"/>
      <c r="ER690" s="18"/>
      <c r="ES690" s="18"/>
      <c r="ET690" s="18"/>
      <c r="EU690" s="18"/>
      <c r="EV690" s="18"/>
      <c r="EW690" s="18"/>
      <c r="EX690" s="18"/>
      <c r="EY690" s="18"/>
      <c r="EZ690" s="18"/>
      <c r="FA690" s="18"/>
      <c r="FB690" s="18"/>
      <c r="FC690" s="18"/>
      <c r="FD690" s="18"/>
      <c r="FE690" s="18"/>
      <c r="FF690" s="18"/>
      <c r="FG690" s="18"/>
      <c r="FH690" s="18"/>
      <c r="FI690" s="18"/>
      <c r="FJ690" s="18"/>
      <c r="FK690" s="18"/>
      <c r="FL690" s="18"/>
      <c r="FM690" s="18"/>
      <c r="FN690" s="18"/>
      <c r="FO690" s="18"/>
      <c r="FP690" s="18"/>
      <c r="FQ690" s="18"/>
      <c r="FR690" s="18"/>
      <c r="FS690" s="18"/>
      <c r="FT690" s="18"/>
      <c r="FU690" s="18"/>
      <c r="FV690" s="18"/>
      <c r="FW690" s="18"/>
      <c r="FX690" s="18"/>
      <c r="FY690" s="18"/>
      <c r="FZ690" s="18"/>
      <c r="GA690" s="18"/>
      <c r="GB690" s="18"/>
      <c r="GC690" s="18"/>
      <c r="GD690" s="18"/>
      <c r="GE690" s="18"/>
      <c r="GF690" s="18"/>
      <c r="GG690" s="18"/>
      <c r="GH690" s="18"/>
      <c r="GI690" s="18"/>
      <c r="GJ690" s="18"/>
      <c r="GK690" s="18"/>
      <c r="GL690" s="18"/>
      <c r="GM690" s="18"/>
      <c r="GN690" s="18"/>
      <c r="GO690" s="18"/>
      <c r="GP690" s="18"/>
      <c r="GQ690" s="18"/>
      <c r="GR690" s="18">
        <v>0</v>
      </c>
      <c r="GS690" s="18">
        <v>0</v>
      </c>
      <c r="GT690" s="18" t="s">
        <v>339</v>
      </c>
      <c r="GU690" s="18">
        <v>0</v>
      </c>
      <c r="GV690" s="18"/>
      <c r="GW690" s="18"/>
      <c r="GX690" s="18" t="b">
        <v>0</v>
      </c>
      <c r="GY690" s="18">
        <v>0</v>
      </c>
      <c r="GZ690" s="18" t="b">
        <v>1</v>
      </c>
      <c r="HA690" s="18">
        <v>0</v>
      </c>
      <c r="HB690" s="18">
        <v>0</v>
      </c>
      <c r="HC690" s="18">
        <v>0</v>
      </c>
      <c r="HD690" s="18">
        <v>0</v>
      </c>
      <c r="HE690" s="18" t="b">
        <v>0</v>
      </c>
      <c r="HF690" s="18">
        <v>0</v>
      </c>
      <c r="HG690" s="18">
        <v>0</v>
      </c>
      <c r="HH690" s="18" t="s">
        <v>339</v>
      </c>
      <c r="HI690" s="18" t="s">
        <v>334</v>
      </c>
      <c r="HJ690" s="18">
        <v>0</v>
      </c>
      <c r="HK690" s="18">
        <v>0</v>
      </c>
      <c r="HL690" s="18">
        <v>0</v>
      </c>
      <c r="HM690" s="18">
        <v>0</v>
      </c>
      <c r="HN690" s="18" t="b">
        <v>0</v>
      </c>
    </row>
    <row r="691" spans="1:222">
      <c r="A691"/>
      <c r="B691" s="29" cm="1">
        <f t="array" ref="B691">10000000+INDEX(编号表!$B$1:$B$112,MATCH(D691,编号表!$A$1:$A$112,0))*10000+I691</f>
        <v>10340008</v>
      </c>
      <c r="C691" s="18" t="s">
        <v>515</v>
      </c>
      <c r="D691" s="18" t="s">
        <v>515</v>
      </c>
      <c r="E691" s="18" t="s">
        <v>334</v>
      </c>
      <c r="F691" s="18" t="s">
        <v>364</v>
      </c>
      <c r="G691" s="18" t="b">
        <v>0</v>
      </c>
      <c r="H691" s="18" t="b">
        <v>1</v>
      </c>
      <c r="I691" s="18">
        <v>8</v>
      </c>
      <c r="J691" s="18">
        <v>103400</v>
      </c>
      <c r="K691" s="18" t="s">
        <v>324</v>
      </c>
      <c r="L691" s="18">
        <v>0</v>
      </c>
      <c r="M691" s="18">
        <v>0</v>
      </c>
      <c r="N691" s="18" t="s">
        <v>510</v>
      </c>
      <c r="O691" s="18">
        <v>0</v>
      </c>
      <c r="P691" s="18">
        <v>0</v>
      </c>
      <c r="Q691" s="18">
        <v>0</v>
      </c>
      <c r="R691" s="18">
        <v>0</v>
      </c>
      <c r="S691" s="18">
        <v>0</v>
      </c>
      <c r="T691" s="18">
        <v>0</v>
      </c>
      <c r="U691" s="18"/>
      <c r="V691" s="18">
        <v>0</v>
      </c>
      <c r="W691" s="18">
        <v>0</v>
      </c>
      <c r="X691" s="18" t="s">
        <v>334</v>
      </c>
      <c r="Y691" s="18" t="s">
        <v>378</v>
      </c>
      <c r="Z691" s="18" t="s">
        <v>328</v>
      </c>
      <c r="AA691" s="18">
        <v>0</v>
      </c>
      <c r="AB691" s="18">
        <v>12</v>
      </c>
      <c r="AC691" s="18" t="b">
        <v>0</v>
      </c>
      <c r="AD691" s="18" t="s">
        <v>329</v>
      </c>
      <c r="AE691" s="18">
        <v>280</v>
      </c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 t="s">
        <v>354</v>
      </c>
      <c r="AZ691" s="18">
        <v>11800</v>
      </c>
      <c r="BA691" s="18" t="s">
        <v>331</v>
      </c>
      <c r="BB691" s="18" t="s">
        <v>328</v>
      </c>
      <c r="BC691" s="18">
        <v>10000</v>
      </c>
      <c r="BD691" s="18">
        <v>0</v>
      </c>
      <c r="BE691" s="18" t="s">
        <v>332</v>
      </c>
      <c r="BF691" s="18">
        <v>0</v>
      </c>
      <c r="BG691" s="18" t="s">
        <v>355</v>
      </c>
      <c r="BH691" s="18">
        <v>2500</v>
      </c>
      <c r="BI691" s="18">
        <v>2</v>
      </c>
      <c r="BJ691" s="18" t="b">
        <v>1</v>
      </c>
      <c r="BK691" s="18">
        <v>0</v>
      </c>
      <c r="BL691" s="18">
        <v>10000</v>
      </c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  <c r="EM691" s="18"/>
      <c r="EN691" s="18"/>
      <c r="EO691" s="18"/>
      <c r="EP691" s="18"/>
      <c r="EQ691" s="18"/>
      <c r="ER691" s="18"/>
      <c r="ES691" s="18"/>
      <c r="ET691" s="18"/>
      <c r="EU691" s="18"/>
      <c r="EV691" s="18"/>
      <c r="EW691" s="18"/>
      <c r="EX691" s="18"/>
      <c r="EY691" s="18"/>
      <c r="EZ691" s="18"/>
      <c r="FA691" s="18"/>
      <c r="FB691" s="18"/>
      <c r="FC691" s="18"/>
      <c r="FD691" s="18"/>
      <c r="FE691" s="18"/>
      <c r="FF691" s="18"/>
      <c r="FG691" s="18"/>
      <c r="FH691" s="18"/>
      <c r="FI691" s="18"/>
      <c r="FJ691" s="18"/>
      <c r="FK691" s="18"/>
      <c r="FL691" s="18"/>
      <c r="FM691" s="18"/>
      <c r="FN691" s="18"/>
      <c r="FO691" s="18"/>
      <c r="FP691" s="18"/>
      <c r="FQ691" s="18"/>
      <c r="FR691" s="18"/>
      <c r="FS691" s="18"/>
      <c r="FT691" s="18"/>
      <c r="FU691" s="18"/>
      <c r="FV691" s="18"/>
      <c r="FW691" s="18"/>
      <c r="FX691" s="18"/>
      <c r="FY691" s="18"/>
      <c r="FZ691" s="18"/>
      <c r="GA691" s="18"/>
      <c r="GB691" s="18"/>
      <c r="GC691" s="18"/>
      <c r="GD691" s="18"/>
      <c r="GE691" s="18"/>
      <c r="GF691" s="18"/>
      <c r="GG691" s="18"/>
      <c r="GH691" s="18"/>
      <c r="GI691" s="18"/>
      <c r="GJ691" s="18"/>
      <c r="GK691" s="18"/>
      <c r="GL691" s="18"/>
      <c r="GM691" s="18"/>
      <c r="GN691" s="18"/>
      <c r="GO691" s="18"/>
      <c r="GP691" s="18"/>
      <c r="GQ691" s="18"/>
      <c r="GR691" s="18">
        <v>0</v>
      </c>
      <c r="GS691" s="18">
        <v>0</v>
      </c>
      <c r="GT691" s="18" t="s">
        <v>339</v>
      </c>
      <c r="GU691" s="18">
        <v>0</v>
      </c>
      <c r="GV691" s="18"/>
      <c r="GW691" s="18"/>
      <c r="GX691" s="18" t="b">
        <v>0</v>
      </c>
      <c r="GY691" s="18">
        <v>0</v>
      </c>
      <c r="GZ691" s="18" t="b">
        <v>1</v>
      </c>
      <c r="HA691" s="18">
        <v>0</v>
      </c>
      <c r="HB691" s="18">
        <v>0</v>
      </c>
      <c r="HC691" s="18">
        <v>0</v>
      </c>
      <c r="HD691" s="18">
        <v>0</v>
      </c>
      <c r="HE691" s="18" t="b">
        <v>0</v>
      </c>
      <c r="HF691" s="18">
        <v>0</v>
      </c>
      <c r="HG691" s="18">
        <v>0</v>
      </c>
      <c r="HH691" s="18" t="s">
        <v>339</v>
      </c>
      <c r="HI691" s="18" t="s">
        <v>334</v>
      </c>
      <c r="HJ691" s="18">
        <v>0</v>
      </c>
      <c r="HK691" s="18">
        <v>0</v>
      </c>
      <c r="HL691" s="18">
        <v>0</v>
      </c>
      <c r="HM691" s="18">
        <v>0</v>
      </c>
      <c r="HN691" s="18" t="b">
        <v>0</v>
      </c>
    </row>
    <row r="692" spans="1:222">
      <c r="A692"/>
      <c r="B692" s="29" cm="1">
        <f t="array" ref="B692">10000000+INDEX(编号表!$B$1:$B$112,MATCH(D692,编号表!$A$1:$A$112,0))*10000+I692</f>
        <v>10340009</v>
      </c>
      <c r="C692" s="18" t="s">
        <v>515</v>
      </c>
      <c r="D692" s="18" t="s">
        <v>515</v>
      </c>
      <c r="E692" s="18" t="s">
        <v>334</v>
      </c>
      <c r="F692" s="18" t="s">
        <v>364</v>
      </c>
      <c r="G692" s="18" t="b">
        <v>0</v>
      </c>
      <c r="H692" s="18" t="b">
        <v>1</v>
      </c>
      <c r="I692" s="18">
        <v>9</v>
      </c>
      <c r="J692" s="18">
        <v>103400</v>
      </c>
      <c r="K692" s="18" t="s">
        <v>324</v>
      </c>
      <c r="L692" s="18">
        <v>0</v>
      </c>
      <c r="M692" s="18">
        <v>0</v>
      </c>
      <c r="N692" s="18" t="s">
        <v>510</v>
      </c>
      <c r="O692" s="18">
        <v>0</v>
      </c>
      <c r="P692" s="18">
        <v>0</v>
      </c>
      <c r="Q692" s="18">
        <v>0</v>
      </c>
      <c r="R692" s="18">
        <v>0</v>
      </c>
      <c r="S692" s="18">
        <v>0</v>
      </c>
      <c r="T692" s="18">
        <v>0</v>
      </c>
      <c r="U692" s="18"/>
      <c r="V692" s="18">
        <v>0</v>
      </c>
      <c r="W692" s="18">
        <v>0</v>
      </c>
      <c r="X692" s="18" t="s">
        <v>334</v>
      </c>
      <c r="Y692" s="18" t="s">
        <v>378</v>
      </c>
      <c r="Z692" s="18" t="s">
        <v>328</v>
      </c>
      <c r="AA692" s="18">
        <v>0</v>
      </c>
      <c r="AB692" s="18">
        <v>12</v>
      </c>
      <c r="AC692" s="18" t="b">
        <v>0</v>
      </c>
      <c r="AD692" s="18" t="s">
        <v>329</v>
      </c>
      <c r="AE692" s="18">
        <v>280</v>
      </c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 t="s">
        <v>354</v>
      </c>
      <c r="AZ692" s="18">
        <v>11900</v>
      </c>
      <c r="BA692" s="18" t="s">
        <v>331</v>
      </c>
      <c r="BB692" s="18" t="s">
        <v>328</v>
      </c>
      <c r="BC692" s="18">
        <v>10000</v>
      </c>
      <c r="BD692" s="18">
        <v>0</v>
      </c>
      <c r="BE692" s="18" t="s">
        <v>332</v>
      </c>
      <c r="BF692" s="18">
        <v>0</v>
      </c>
      <c r="BG692" s="18" t="s">
        <v>355</v>
      </c>
      <c r="BH692" s="18">
        <v>2500</v>
      </c>
      <c r="BI692" s="18">
        <v>2</v>
      </c>
      <c r="BJ692" s="18" t="b">
        <v>1</v>
      </c>
      <c r="BK692" s="18">
        <v>0</v>
      </c>
      <c r="BL692" s="18">
        <v>10000</v>
      </c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  <c r="EM692" s="18"/>
      <c r="EN692" s="18"/>
      <c r="EO692" s="18"/>
      <c r="EP692" s="18"/>
      <c r="EQ692" s="18"/>
      <c r="ER692" s="18"/>
      <c r="ES692" s="18"/>
      <c r="ET692" s="18"/>
      <c r="EU692" s="18"/>
      <c r="EV692" s="18"/>
      <c r="EW692" s="18"/>
      <c r="EX692" s="18"/>
      <c r="EY692" s="18"/>
      <c r="EZ692" s="18"/>
      <c r="FA692" s="18"/>
      <c r="FB692" s="18"/>
      <c r="FC692" s="18"/>
      <c r="FD692" s="18"/>
      <c r="FE692" s="18"/>
      <c r="FF692" s="18"/>
      <c r="FG692" s="18"/>
      <c r="FH692" s="18"/>
      <c r="FI692" s="18"/>
      <c r="FJ692" s="18"/>
      <c r="FK692" s="18"/>
      <c r="FL692" s="18"/>
      <c r="FM692" s="18"/>
      <c r="FN692" s="18"/>
      <c r="FO692" s="18"/>
      <c r="FP692" s="18"/>
      <c r="FQ692" s="18"/>
      <c r="FR692" s="18"/>
      <c r="FS692" s="18"/>
      <c r="FT692" s="18"/>
      <c r="FU692" s="18"/>
      <c r="FV692" s="18"/>
      <c r="FW692" s="18"/>
      <c r="FX692" s="18"/>
      <c r="FY692" s="18"/>
      <c r="FZ692" s="18"/>
      <c r="GA692" s="18"/>
      <c r="GB692" s="18"/>
      <c r="GC692" s="18"/>
      <c r="GD692" s="18"/>
      <c r="GE692" s="18"/>
      <c r="GF692" s="18"/>
      <c r="GG692" s="18"/>
      <c r="GH692" s="18"/>
      <c r="GI692" s="18"/>
      <c r="GJ692" s="18"/>
      <c r="GK692" s="18"/>
      <c r="GL692" s="18"/>
      <c r="GM692" s="18"/>
      <c r="GN692" s="18"/>
      <c r="GO692" s="18"/>
      <c r="GP692" s="18"/>
      <c r="GQ692" s="18"/>
      <c r="GR692" s="18">
        <v>0</v>
      </c>
      <c r="GS692" s="18">
        <v>0</v>
      </c>
      <c r="GT692" s="18" t="s">
        <v>339</v>
      </c>
      <c r="GU692" s="18">
        <v>0</v>
      </c>
      <c r="GV692" s="18"/>
      <c r="GW692" s="18"/>
      <c r="GX692" s="18" t="b">
        <v>0</v>
      </c>
      <c r="GY692" s="18">
        <v>0</v>
      </c>
      <c r="GZ692" s="18" t="b">
        <v>1</v>
      </c>
      <c r="HA692" s="18">
        <v>0</v>
      </c>
      <c r="HB692" s="18">
        <v>0</v>
      </c>
      <c r="HC692" s="18">
        <v>0</v>
      </c>
      <c r="HD692" s="18">
        <v>0</v>
      </c>
      <c r="HE692" s="18" t="b">
        <v>0</v>
      </c>
      <c r="HF692" s="18">
        <v>0</v>
      </c>
      <c r="HG692" s="18">
        <v>0</v>
      </c>
      <c r="HH692" s="18" t="s">
        <v>339</v>
      </c>
      <c r="HI692" s="18" t="s">
        <v>334</v>
      </c>
      <c r="HJ692" s="18">
        <v>0</v>
      </c>
      <c r="HK692" s="18">
        <v>0</v>
      </c>
      <c r="HL692" s="18">
        <v>0</v>
      </c>
      <c r="HM692" s="18">
        <v>0</v>
      </c>
      <c r="HN692" s="18" t="b">
        <v>0</v>
      </c>
    </row>
    <row r="693" spans="1:222">
      <c r="A693"/>
      <c r="B693" s="29" cm="1">
        <f t="array" ref="B693">10000000+INDEX(编号表!$B$1:$B$112,MATCH(D693,编号表!$A$1:$A$112,0))*10000+I693</f>
        <v>10340010</v>
      </c>
      <c r="C693" s="18" t="s">
        <v>515</v>
      </c>
      <c r="D693" s="18" t="s">
        <v>515</v>
      </c>
      <c r="E693" s="18" t="s">
        <v>334</v>
      </c>
      <c r="F693" s="18" t="s">
        <v>364</v>
      </c>
      <c r="G693" s="18" t="b">
        <v>0</v>
      </c>
      <c r="H693" s="18" t="b">
        <v>1</v>
      </c>
      <c r="I693" s="18">
        <v>10</v>
      </c>
      <c r="J693" s="18">
        <v>103400</v>
      </c>
      <c r="K693" s="18" t="s">
        <v>324</v>
      </c>
      <c r="L693" s="18">
        <v>0</v>
      </c>
      <c r="M693" s="18">
        <v>0</v>
      </c>
      <c r="N693" s="18" t="s">
        <v>510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/>
      <c r="V693" s="18">
        <v>0</v>
      </c>
      <c r="W693" s="18">
        <v>0</v>
      </c>
      <c r="X693" s="18" t="s">
        <v>334</v>
      </c>
      <c r="Y693" s="18" t="s">
        <v>378</v>
      </c>
      <c r="Z693" s="18" t="s">
        <v>328</v>
      </c>
      <c r="AA693" s="18">
        <v>0</v>
      </c>
      <c r="AB693" s="18">
        <v>12</v>
      </c>
      <c r="AC693" s="18" t="b">
        <v>0</v>
      </c>
      <c r="AD693" s="18" t="s">
        <v>329</v>
      </c>
      <c r="AE693" s="18">
        <v>280</v>
      </c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 t="s">
        <v>354</v>
      </c>
      <c r="AZ693" s="18">
        <v>12000</v>
      </c>
      <c r="BA693" s="18" t="s">
        <v>331</v>
      </c>
      <c r="BB693" s="18" t="s">
        <v>328</v>
      </c>
      <c r="BC693" s="18">
        <v>10000</v>
      </c>
      <c r="BD693" s="18">
        <v>0</v>
      </c>
      <c r="BE693" s="18" t="s">
        <v>332</v>
      </c>
      <c r="BF693" s="18">
        <v>0</v>
      </c>
      <c r="BG693" s="18" t="s">
        <v>355</v>
      </c>
      <c r="BH693" s="18">
        <v>2500</v>
      </c>
      <c r="BI693" s="18">
        <v>2</v>
      </c>
      <c r="BJ693" s="18" t="b">
        <v>1</v>
      </c>
      <c r="BK693" s="18">
        <v>0</v>
      </c>
      <c r="BL693" s="18">
        <v>10000</v>
      </c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  <c r="DU693" s="18"/>
      <c r="DV693" s="18"/>
      <c r="DW693" s="18"/>
      <c r="DX693" s="18"/>
      <c r="DY693" s="18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8"/>
      <c r="EM693" s="18"/>
      <c r="EN693" s="18"/>
      <c r="EO693" s="18"/>
      <c r="EP693" s="18"/>
      <c r="EQ693" s="18"/>
      <c r="ER693" s="18"/>
      <c r="ES693" s="18"/>
      <c r="ET693" s="18"/>
      <c r="EU693" s="18"/>
      <c r="EV693" s="18"/>
      <c r="EW693" s="18"/>
      <c r="EX693" s="18"/>
      <c r="EY693" s="18"/>
      <c r="EZ693" s="18"/>
      <c r="FA693" s="18"/>
      <c r="FB693" s="18"/>
      <c r="FC693" s="18"/>
      <c r="FD693" s="18"/>
      <c r="FE693" s="18"/>
      <c r="FF693" s="18"/>
      <c r="FG693" s="18"/>
      <c r="FH693" s="18"/>
      <c r="FI693" s="18"/>
      <c r="FJ693" s="18"/>
      <c r="FK693" s="18"/>
      <c r="FL693" s="18"/>
      <c r="FM693" s="18"/>
      <c r="FN693" s="18"/>
      <c r="FO693" s="18"/>
      <c r="FP693" s="18"/>
      <c r="FQ693" s="18"/>
      <c r="FR693" s="18"/>
      <c r="FS693" s="18"/>
      <c r="FT693" s="18"/>
      <c r="FU693" s="18"/>
      <c r="FV693" s="18"/>
      <c r="FW693" s="18"/>
      <c r="FX693" s="18"/>
      <c r="FY693" s="18"/>
      <c r="FZ693" s="18"/>
      <c r="GA693" s="18"/>
      <c r="GB693" s="18"/>
      <c r="GC693" s="18"/>
      <c r="GD693" s="18"/>
      <c r="GE693" s="18"/>
      <c r="GF693" s="18"/>
      <c r="GG693" s="18"/>
      <c r="GH693" s="18"/>
      <c r="GI693" s="18"/>
      <c r="GJ693" s="18"/>
      <c r="GK693" s="18"/>
      <c r="GL693" s="18"/>
      <c r="GM693" s="18"/>
      <c r="GN693" s="18"/>
      <c r="GO693" s="18"/>
      <c r="GP693" s="18"/>
      <c r="GQ693" s="18"/>
      <c r="GR693" s="18">
        <v>0</v>
      </c>
      <c r="GS693" s="18">
        <v>0</v>
      </c>
      <c r="GT693" s="18" t="s">
        <v>339</v>
      </c>
      <c r="GU693" s="18">
        <v>0</v>
      </c>
      <c r="GV693" s="18"/>
      <c r="GW693" s="18"/>
      <c r="GX693" s="18" t="b">
        <v>0</v>
      </c>
      <c r="GY693" s="18">
        <v>0</v>
      </c>
      <c r="GZ693" s="18" t="b">
        <v>1</v>
      </c>
      <c r="HA693" s="18">
        <v>0</v>
      </c>
      <c r="HB693" s="18">
        <v>0</v>
      </c>
      <c r="HC693" s="18">
        <v>0</v>
      </c>
      <c r="HD693" s="18">
        <v>0</v>
      </c>
      <c r="HE693" s="18" t="b">
        <v>0</v>
      </c>
      <c r="HF693" s="18">
        <v>0</v>
      </c>
      <c r="HG693" s="18">
        <v>0</v>
      </c>
      <c r="HH693" s="18" t="s">
        <v>339</v>
      </c>
      <c r="HI693" s="18" t="s">
        <v>334</v>
      </c>
      <c r="HJ693" s="18">
        <v>0</v>
      </c>
      <c r="HK693" s="18">
        <v>0</v>
      </c>
      <c r="HL693" s="18">
        <v>0</v>
      </c>
      <c r="HM693" s="18">
        <v>0</v>
      </c>
      <c r="HN693" s="18" t="b">
        <v>0</v>
      </c>
    </row>
    <row r="694" spans="1:222">
      <c r="A694"/>
      <c r="B694" s="29" cm="1">
        <f t="array" ref="B694">10000000+INDEX(编号表!$B$1:$B$112,MATCH(D694,编号表!$A$1:$A$112,0))*10000+I694</f>
        <v>10350001</v>
      </c>
      <c r="C694" s="18" t="s">
        <v>516</v>
      </c>
      <c r="D694" s="18" t="s">
        <v>516</v>
      </c>
      <c r="E694" s="18" t="s">
        <v>334</v>
      </c>
      <c r="F694" s="18" t="s">
        <v>361</v>
      </c>
      <c r="G694" s="18" t="b">
        <v>0</v>
      </c>
      <c r="H694" s="18" t="b">
        <v>1</v>
      </c>
      <c r="I694" s="18">
        <v>1</v>
      </c>
      <c r="J694" s="18">
        <v>103500</v>
      </c>
      <c r="K694" s="18" t="s">
        <v>324</v>
      </c>
      <c r="L694" s="18">
        <v>0</v>
      </c>
      <c r="M694" s="18">
        <v>0</v>
      </c>
      <c r="N694" s="18" t="s">
        <v>510</v>
      </c>
      <c r="O694" s="18">
        <v>0</v>
      </c>
      <c r="P694" s="18">
        <v>0</v>
      </c>
      <c r="Q694" s="18">
        <v>0</v>
      </c>
      <c r="R694" s="18">
        <v>0</v>
      </c>
      <c r="S694" s="18">
        <v>0</v>
      </c>
      <c r="T694" s="18">
        <v>0</v>
      </c>
      <c r="U694" s="18"/>
      <c r="V694" s="18">
        <v>0</v>
      </c>
      <c r="W694" s="18">
        <v>0</v>
      </c>
      <c r="X694" s="18" t="s">
        <v>334</v>
      </c>
      <c r="Y694" s="18" t="s">
        <v>378</v>
      </c>
      <c r="Z694" s="18" t="s">
        <v>328</v>
      </c>
      <c r="AA694" s="18">
        <v>0</v>
      </c>
      <c r="AB694" s="18">
        <v>12</v>
      </c>
      <c r="AC694" s="18" t="b">
        <v>0</v>
      </c>
      <c r="AD694" s="18" t="s">
        <v>329</v>
      </c>
      <c r="AE694" s="18">
        <v>320</v>
      </c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 t="s">
        <v>339</v>
      </c>
      <c r="AZ694" s="18">
        <v>10000</v>
      </c>
      <c r="BA694" s="18" t="s">
        <v>395</v>
      </c>
      <c r="BB694" s="18" t="s">
        <v>328</v>
      </c>
      <c r="BC694" s="18">
        <v>10000</v>
      </c>
      <c r="BD694" s="18">
        <v>0</v>
      </c>
      <c r="BE694" s="18" t="s">
        <v>332</v>
      </c>
      <c r="BF694" s="18">
        <v>0</v>
      </c>
      <c r="BG694" s="18"/>
      <c r="BH694" s="18"/>
      <c r="BI694" s="18"/>
      <c r="BJ694" s="18"/>
      <c r="BK694" s="18"/>
      <c r="BL694" s="18"/>
      <c r="BM694" s="18">
        <v>21002101</v>
      </c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  <c r="DU694" s="18"/>
      <c r="DV694" s="18"/>
      <c r="DW694" s="18"/>
      <c r="DX694" s="18"/>
      <c r="DY694" s="18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8"/>
      <c r="EM694" s="18"/>
      <c r="EN694" s="18"/>
      <c r="EO694" s="18"/>
      <c r="EP694" s="18"/>
      <c r="EQ694" s="18"/>
      <c r="ER694" s="18"/>
      <c r="ES694" s="18"/>
      <c r="ET694" s="18"/>
      <c r="EU694" s="18"/>
      <c r="EV694" s="18"/>
      <c r="EW694" s="18"/>
      <c r="EX694" s="18"/>
      <c r="EY694" s="18"/>
      <c r="EZ694" s="18"/>
      <c r="FA694" s="18"/>
      <c r="FB694" s="18"/>
      <c r="FC694" s="18"/>
      <c r="FD694" s="18"/>
      <c r="FE694" s="18"/>
      <c r="FF694" s="18"/>
      <c r="FG694" s="18"/>
      <c r="FH694" s="18"/>
      <c r="FI694" s="18"/>
      <c r="FJ694" s="18"/>
      <c r="FK694" s="18"/>
      <c r="FL694" s="18"/>
      <c r="FM694" s="18"/>
      <c r="FN694" s="18"/>
      <c r="FO694" s="18"/>
      <c r="FP694" s="18"/>
      <c r="FQ694" s="18"/>
      <c r="FR694" s="18"/>
      <c r="FS694" s="18"/>
      <c r="FT694" s="18"/>
      <c r="FU694" s="18"/>
      <c r="FV694" s="18"/>
      <c r="FW694" s="18"/>
      <c r="FX694" s="18"/>
      <c r="FY694" s="18"/>
      <c r="FZ694" s="18"/>
      <c r="GA694" s="18"/>
      <c r="GB694" s="18"/>
      <c r="GC694" s="18"/>
      <c r="GD694" s="18"/>
      <c r="GE694" s="18"/>
      <c r="GF694" s="18"/>
      <c r="GG694" s="18"/>
      <c r="GH694" s="18"/>
      <c r="GI694" s="18"/>
      <c r="GJ694" s="18"/>
      <c r="GK694" s="18"/>
      <c r="GL694" s="18"/>
      <c r="GM694" s="18"/>
      <c r="GN694" s="18"/>
      <c r="GO694" s="18"/>
      <c r="GP694" s="18"/>
      <c r="GQ694" s="18"/>
      <c r="GR694" s="18">
        <v>0</v>
      </c>
      <c r="GS694" s="18">
        <v>0</v>
      </c>
      <c r="GT694" s="18" t="s">
        <v>339</v>
      </c>
      <c r="GU694" s="18">
        <v>0</v>
      </c>
      <c r="GV694" s="18"/>
      <c r="GW694" s="18"/>
      <c r="GX694" s="18" t="b">
        <v>0</v>
      </c>
      <c r="GY694" s="18">
        <v>0</v>
      </c>
      <c r="GZ694" s="18" t="b">
        <v>1</v>
      </c>
      <c r="HA694" s="18">
        <v>0</v>
      </c>
      <c r="HB694" s="18">
        <v>0</v>
      </c>
      <c r="HC694" s="18">
        <v>0</v>
      </c>
      <c r="HD694" s="18">
        <v>0</v>
      </c>
      <c r="HE694" s="18" t="b">
        <v>0</v>
      </c>
      <c r="HF694" s="18">
        <v>0</v>
      </c>
      <c r="HG694" s="18">
        <v>0</v>
      </c>
      <c r="HH694" s="18" t="s">
        <v>339</v>
      </c>
      <c r="HI694" s="18" t="s">
        <v>334</v>
      </c>
      <c r="HJ694" s="18">
        <v>0</v>
      </c>
      <c r="HK694" s="18">
        <v>0</v>
      </c>
      <c r="HL694" s="18">
        <v>0</v>
      </c>
      <c r="HM694" s="18">
        <v>0</v>
      </c>
      <c r="HN694" s="18" t="b">
        <v>0</v>
      </c>
    </row>
    <row r="695" spans="1:222">
      <c r="A695"/>
      <c r="B695" s="29" cm="1">
        <f t="array" ref="B695">10000000+INDEX(编号表!$B$1:$B$112,MATCH(D695,编号表!$A$1:$A$112,0))*10000+I695</f>
        <v>10350002</v>
      </c>
      <c r="C695" s="18" t="s">
        <v>516</v>
      </c>
      <c r="D695" s="18" t="s">
        <v>516</v>
      </c>
      <c r="E695" s="18" t="s">
        <v>334</v>
      </c>
      <c r="F695" s="18" t="s">
        <v>361</v>
      </c>
      <c r="G695" s="18" t="b">
        <v>0</v>
      </c>
      <c r="H695" s="18" t="b">
        <v>1</v>
      </c>
      <c r="I695" s="18">
        <v>2</v>
      </c>
      <c r="J695" s="18">
        <v>103500</v>
      </c>
      <c r="K695" s="18" t="s">
        <v>324</v>
      </c>
      <c r="L695" s="18">
        <v>0</v>
      </c>
      <c r="M695" s="18">
        <v>0</v>
      </c>
      <c r="N695" s="18" t="s">
        <v>510</v>
      </c>
      <c r="O695" s="18">
        <v>0</v>
      </c>
      <c r="P695" s="18">
        <v>0</v>
      </c>
      <c r="Q695" s="18">
        <v>0</v>
      </c>
      <c r="R695" s="18">
        <v>0</v>
      </c>
      <c r="S695" s="18">
        <v>0</v>
      </c>
      <c r="T695" s="18">
        <v>0</v>
      </c>
      <c r="U695" s="18"/>
      <c r="V695" s="18">
        <v>0</v>
      </c>
      <c r="W695" s="18">
        <v>0</v>
      </c>
      <c r="X695" s="18" t="s">
        <v>334</v>
      </c>
      <c r="Y695" s="18" t="s">
        <v>378</v>
      </c>
      <c r="Z695" s="18" t="s">
        <v>328</v>
      </c>
      <c r="AA695" s="18">
        <v>0</v>
      </c>
      <c r="AB695" s="18">
        <v>12</v>
      </c>
      <c r="AC695" s="18" t="b">
        <v>0</v>
      </c>
      <c r="AD695" s="18" t="s">
        <v>329</v>
      </c>
      <c r="AE695" s="18">
        <v>320</v>
      </c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 t="s">
        <v>339</v>
      </c>
      <c r="AZ695" s="18">
        <v>10400</v>
      </c>
      <c r="BA695" s="18" t="s">
        <v>395</v>
      </c>
      <c r="BB695" s="18" t="s">
        <v>328</v>
      </c>
      <c r="BC695" s="18">
        <v>10000</v>
      </c>
      <c r="BD695" s="18">
        <v>0</v>
      </c>
      <c r="BE695" s="18" t="s">
        <v>332</v>
      </c>
      <c r="BF695" s="18">
        <v>0</v>
      </c>
      <c r="BG695" s="18"/>
      <c r="BH695" s="18"/>
      <c r="BI695" s="18"/>
      <c r="BJ695" s="18"/>
      <c r="BK695" s="18"/>
      <c r="BL695" s="18"/>
      <c r="BM695" s="18">
        <v>21002102</v>
      </c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  <c r="EM695" s="18"/>
      <c r="EN695" s="18"/>
      <c r="EO695" s="18"/>
      <c r="EP695" s="18"/>
      <c r="EQ695" s="18"/>
      <c r="ER695" s="18"/>
      <c r="ES695" s="18"/>
      <c r="ET695" s="18"/>
      <c r="EU695" s="18"/>
      <c r="EV695" s="18"/>
      <c r="EW695" s="18"/>
      <c r="EX695" s="18"/>
      <c r="EY695" s="18"/>
      <c r="EZ695" s="18"/>
      <c r="FA695" s="18"/>
      <c r="FB695" s="18"/>
      <c r="FC695" s="18"/>
      <c r="FD695" s="18"/>
      <c r="FE695" s="18"/>
      <c r="FF695" s="18"/>
      <c r="FG695" s="18"/>
      <c r="FH695" s="18"/>
      <c r="FI695" s="18"/>
      <c r="FJ695" s="18"/>
      <c r="FK695" s="18"/>
      <c r="FL695" s="18"/>
      <c r="FM695" s="18"/>
      <c r="FN695" s="18"/>
      <c r="FO695" s="18"/>
      <c r="FP695" s="18"/>
      <c r="FQ695" s="18"/>
      <c r="FR695" s="18"/>
      <c r="FS695" s="18"/>
      <c r="FT695" s="18"/>
      <c r="FU695" s="18"/>
      <c r="FV695" s="18"/>
      <c r="FW695" s="18"/>
      <c r="FX695" s="18"/>
      <c r="FY695" s="18"/>
      <c r="FZ695" s="18"/>
      <c r="GA695" s="18"/>
      <c r="GB695" s="18"/>
      <c r="GC695" s="18"/>
      <c r="GD695" s="18"/>
      <c r="GE695" s="18"/>
      <c r="GF695" s="18"/>
      <c r="GG695" s="18"/>
      <c r="GH695" s="18"/>
      <c r="GI695" s="18"/>
      <c r="GJ695" s="18"/>
      <c r="GK695" s="18"/>
      <c r="GL695" s="18"/>
      <c r="GM695" s="18"/>
      <c r="GN695" s="18"/>
      <c r="GO695" s="18"/>
      <c r="GP695" s="18"/>
      <c r="GQ695" s="18"/>
      <c r="GR695" s="18">
        <v>0</v>
      </c>
      <c r="GS695" s="18">
        <v>0</v>
      </c>
      <c r="GT695" s="18" t="s">
        <v>339</v>
      </c>
      <c r="GU695" s="18">
        <v>0</v>
      </c>
      <c r="GV695" s="18"/>
      <c r="GW695" s="18"/>
      <c r="GX695" s="18" t="b">
        <v>0</v>
      </c>
      <c r="GY695" s="18">
        <v>0</v>
      </c>
      <c r="GZ695" s="18" t="b">
        <v>1</v>
      </c>
      <c r="HA695" s="18">
        <v>0</v>
      </c>
      <c r="HB695" s="18">
        <v>0</v>
      </c>
      <c r="HC695" s="18">
        <v>0</v>
      </c>
      <c r="HD695" s="18">
        <v>0</v>
      </c>
      <c r="HE695" s="18" t="b">
        <v>0</v>
      </c>
      <c r="HF695" s="18">
        <v>0</v>
      </c>
      <c r="HG695" s="18">
        <v>0</v>
      </c>
      <c r="HH695" s="18" t="s">
        <v>339</v>
      </c>
      <c r="HI695" s="18" t="s">
        <v>334</v>
      </c>
      <c r="HJ695" s="18">
        <v>0</v>
      </c>
      <c r="HK695" s="18">
        <v>0</v>
      </c>
      <c r="HL695" s="18">
        <v>0</v>
      </c>
      <c r="HM695" s="18">
        <v>0</v>
      </c>
      <c r="HN695" s="18" t="b">
        <v>0</v>
      </c>
    </row>
    <row r="696" spans="1:222">
      <c r="A696"/>
      <c r="B696" s="29" cm="1">
        <f t="array" ref="B696">10000000+INDEX(编号表!$B$1:$B$112,MATCH(D696,编号表!$A$1:$A$112,0))*10000+I696</f>
        <v>10350003</v>
      </c>
      <c r="C696" s="18" t="s">
        <v>516</v>
      </c>
      <c r="D696" s="18" t="s">
        <v>516</v>
      </c>
      <c r="E696" s="18" t="s">
        <v>334</v>
      </c>
      <c r="F696" s="18" t="s">
        <v>361</v>
      </c>
      <c r="G696" s="18" t="b">
        <v>0</v>
      </c>
      <c r="H696" s="18" t="b">
        <v>1</v>
      </c>
      <c r="I696" s="18">
        <v>3</v>
      </c>
      <c r="J696" s="18">
        <v>103500</v>
      </c>
      <c r="K696" s="18" t="s">
        <v>324</v>
      </c>
      <c r="L696" s="18">
        <v>0</v>
      </c>
      <c r="M696" s="18">
        <v>0</v>
      </c>
      <c r="N696" s="18" t="s">
        <v>510</v>
      </c>
      <c r="O696" s="18">
        <v>0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8"/>
      <c r="V696" s="18">
        <v>0</v>
      </c>
      <c r="W696" s="18">
        <v>0</v>
      </c>
      <c r="X696" s="18" t="s">
        <v>334</v>
      </c>
      <c r="Y696" s="18" t="s">
        <v>378</v>
      </c>
      <c r="Z696" s="18" t="s">
        <v>328</v>
      </c>
      <c r="AA696" s="18">
        <v>0</v>
      </c>
      <c r="AB696" s="18">
        <v>12</v>
      </c>
      <c r="AC696" s="18" t="b">
        <v>0</v>
      </c>
      <c r="AD696" s="18" t="s">
        <v>329</v>
      </c>
      <c r="AE696" s="18">
        <v>320</v>
      </c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 t="s">
        <v>339</v>
      </c>
      <c r="AZ696" s="18">
        <v>10800</v>
      </c>
      <c r="BA696" s="18" t="s">
        <v>395</v>
      </c>
      <c r="BB696" s="18" t="s">
        <v>328</v>
      </c>
      <c r="BC696" s="18">
        <v>10000</v>
      </c>
      <c r="BD696" s="18">
        <v>0</v>
      </c>
      <c r="BE696" s="18" t="s">
        <v>332</v>
      </c>
      <c r="BF696" s="18">
        <v>0</v>
      </c>
      <c r="BG696" s="18"/>
      <c r="BH696" s="18"/>
      <c r="BI696" s="18"/>
      <c r="BJ696" s="18"/>
      <c r="BK696" s="18"/>
      <c r="BL696" s="18"/>
      <c r="BM696" s="18">
        <v>21002103</v>
      </c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  <c r="DU696" s="18"/>
      <c r="DV696" s="18"/>
      <c r="DW696" s="18"/>
      <c r="DX696" s="18"/>
      <c r="DY696" s="18"/>
      <c r="DZ696" s="18"/>
      <c r="EA696" s="18"/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8"/>
      <c r="EM696" s="18"/>
      <c r="EN696" s="18"/>
      <c r="EO696" s="18"/>
      <c r="EP696" s="18"/>
      <c r="EQ696" s="18"/>
      <c r="ER696" s="18"/>
      <c r="ES696" s="18"/>
      <c r="ET696" s="18"/>
      <c r="EU696" s="18"/>
      <c r="EV696" s="18"/>
      <c r="EW696" s="18"/>
      <c r="EX696" s="18"/>
      <c r="EY696" s="18"/>
      <c r="EZ696" s="18"/>
      <c r="FA696" s="18"/>
      <c r="FB696" s="18"/>
      <c r="FC696" s="18"/>
      <c r="FD696" s="18"/>
      <c r="FE696" s="18"/>
      <c r="FF696" s="18"/>
      <c r="FG696" s="18"/>
      <c r="FH696" s="18"/>
      <c r="FI696" s="18"/>
      <c r="FJ696" s="18"/>
      <c r="FK696" s="18"/>
      <c r="FL696" s="18"/>
      <c r="FM696" s="18"/>
      <c r="FN696" s="18"/>
      <c r="FO696" s="18"/>
      <c r="FP696" s="18"/>
      <c r="FQ696" s="18"/>
      <c r="FR696" s="18"/>
      <c r="FS696" s="18"/>
      <c r="FT696" s="18"/>
      <c r="FU696" s="18"/>
      <c r="FV696" s="18"/>
      <c r="FW696" s="18"/>
      <c r="FX696" s="18"/>
      <c r="FY696" s="18"/>
      <c r="FZ696" s="18"/>
      <c r="GA696" s="18"/>
      <c r="GB696" s="18"/>
      <c r="GC696" s="18"/>
      <c r="GD696" s="18"/>
      <c r="GE696" s="18"/>
      <c r="GF696" s="18"/>
      <c r="GG696" s="18"/>
      <c r="GH696" s="18"/>
      <c r="GI696" s="18"/>
      <c r="GJ696" s="18"/>
      <c r="GK696" s="18"/>
      <c r="GL696" s="18"/>
      <c r="GM696" s="18"/>
      <c r="GN696" s="18"/>
      <c r="GO696" s="18"/>
      <c r="GP696" s="18"/>
      <c r="GQ696" s="18"/>
      <c r="GR696" s="18">
        <v>0</v>
      </c>
      <c r="GS696" s="18">
        <v>0</v>
      </c>
      <c r="GT696" s="18" t="s">
        <v>339</v>
      </c>
      <c r="GU696" s="18">
        <v>0</v>
      </c>
      <c r="GV696" s="18"/>
      <c r="GW696" s="18"/>
      <c r="GX696" s="18" t="b">
        <v>0</v>
      </c>
      <c r="GY696" s="18">
        <v>0</v>
      </c>
      <c r="GZ696" s="18" t="b">
        <v>1</v>
      </c>
      <c r="HA696" s="18">
        <v>0</v>
      </c>
      <c r="HB696" s="18">
        <v>0</v>
      </c>
      <c r="HC696" s="18">
        <v>0</v>
      </c>
      <c r="HD696" s="18">
        <v>0</v>
      </c>
      <c r="HE696" s="18" t="b">
        <v>0</v>
      </c>
      <c r="HF696" s="18">
        <v>0</v>
      </c>
      <c r="HG696" s="18">
        <v>0</v>
      </c>
      <c r="HH696" s="18" t="s">
        <v>339</v>
      </c>
      <c r="HI696" s="18" t="s">
        <v>334</v>
      </c>
      <c r="HJ696" s="18">
        <v>0</v>
      </c>
      <c r="HK696" s="18">
        <v>0</v>
      </c>
      <c r="HL696" s="18">
        <v>0</v>
      </c>
      <c r="HM696" s="18">
        <v>0</v>
      </c>
      <c r="HN696" s="18" t="b">
        <v>0</v>
      </c>
    </row>
    <row r="697" spans="1:222">
      <c r="A697"/>
      <c r="B697" s="29" cm="1">
        <f t="array" ref="B697">10000000+INDEX(编号表!$B$1:$B$112,MATCH(D697,编号表!$A$1:$A$112,0))*10000+I697</f>
        <v>10350004</v>
      </c>
      <c r="C697" s="18" t="s">
        <v>516</v>
      </c>
      <c r="D697" s="18" t="s">
        <v>516</v>
      </c>
      <c r="E697" s="18" t="s">
        <v>334</v>
      </c>
      <c r="F697" s="18" t="s">
        <v>361</v>
      </c>
      <c r="G697" s="18" t="b">
        <v>0</v>
      </c>
      <c r="H697" s="18" t="b">
        <v>1</v>
      </c>
      <c r="I697" s="18">
        <v>4</v>
      </c>
      <c r="J697" s="18">
        <v>103500</v>
      </c>
      <c r="K697" s="18" t="s">
        <v>324</v>
      </c>
      <c r="L697" s="18">
        <v>0</v>
      </c>
      <c r="M697" s="18">
        <v>0</v>
      </c>
      <c r="N697" s="18" t="s">
        <v>510</v>
      </c>
      <c r="O697" s="18">
        <v>0</v>
      </c>
      <c r="P697" s="18">
        <v>0</v>
      </c>
      <c r="Q697" s="18">
        <v>0</v>
      </c>
      <c r="R697" s="18">
        <v>0</v>
      </c>
      <c r="S697" s="18">
        <v>0</v>
      </c>
      <c r="T697" s="18">
        <v>0</v>
      </c>
      <c r="U697" s="18"/>
      <c r="V697" s="18">
        <v>0</v>
      </c>
      <c r="W697" s="18">
        <v>0</v>
      </c>
      <c r="X697" s="18" t="s">
        <v>334</v>
      </c>
      <c r="Y697" s="18" t="s">
        <v>378</v>
      </c>
      <c r="Z697" s="18" t="s">
        <v>328</v>
      </c>
      <c r="AA697" s="18">
        <v>0</v>
      </c>
      <c r="AB697" s="18">
        <v>12</v>
      </c>
      <c r="AC697" s="18" t="b">
        <v>0</v>
      </c>
      <c r="AD697" s="18" t="s">
        <v>329</v>
      </c>
      <c r="AE697" s="18">
        <v>320</v>
      </c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 t="s">
        <v>339</v>
      </c>
      <c r="AZ697" s="18">
        <v>11200</v>
      </c>
      <c r="BA697" s="18" t="s">
        <v>395</v>
      </c>
      <c r="BB697" s="18" t="s">
        <v>328</v>
      </c>
      <c r="BC697" s="18">
        <v>10000</v>
      </c>
      <c r="BD697" s="18">
        <v>0</v>
      </c>
      <c r="BE697" s="18" t="s">
        <v>332</v>
      </c>
      <c r="BF697" s="18">
        <v>0</v>
      </c>
      <c r="BG697" s="18"/>
      <c r="BH697" s="18"/>
      <c r="BI697" s="18"/>
      <c r="BJ697" s="18"/>
      <c r="BK697" s="18"/>
      <c r="BL697" s="18"/>
      <c r="BM697" s="18">
        <v>21002104</v>
      </c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  <c r="EM697" s="18"/>
      <c r="EN697" s="18"/>
      <c r="EO697" s="18"/>
      <c r="EP697" s="18"/>
      <c r="EQ697" s="18"/>
      <c r="ER697" s="18"/>
      <c r="ES697" s="18"/>
      <c r="ET697" s="18"/>
      <c r="EU697" s="18"/>
      <c r="EV697" s="18"/>
      <c r="EW697" s="18"/>
      <c r="EX697" s="18"/>
      <c r="EY697" s="18"/>
      <c r="EZ697" s="18"/>
      <c r="FA697" s="18"/>
      <c r="FB697" s="18"/>
      <c r="FC697" s="18"/>
      <c r="FD697" s="18"/>
      <c r="FE697" s="18"/>
      <c r="FF697" s="18"/>
      <c r="FG697" s="18"/>
      <c r="FH697" s="18"/>
      <c r="FI697" s="18"/>
      <c r="FJ697" s="18"/>
      <c r="FK697" s="18"/>
      <c r="FL697" s="18"/>
      <c r="FM697" s="18"/>
      <c r="FN697" s="18"/>
      <c r="FO697" s="18"/>
      <c r="FP697" s="18"/>
      <c r="FQ697" s="18"/>
      <c r="FR697" s="18"/>
      <c r="FS697" s="18"/>
      <c r="FT697" s="18"/>
      <c r="FU697" s="18"/>
      <c r="FV697" s="18"/>
      <c r="FW697" s="18"/>
      <c r="FX697" s="18"/>
      <c r="FY697" s="18"/>
      <c r="FZ697" s="18"/>
      <c r="GA697" s="18"/>
      <c r="GB697" s="18"/>
      <c r="GC697" s="18"/>
      <c r="GD697" s="18"/>
      <c r="GE697" s="18"/>
      <c r="GF697" s="18"/>
      <c r="GG697" s="18"/>
      <c r="GH697" s="18"/>
      <c r="GI697" s="18"/>
      <c r="GJ697" s="18"/>
      <c r="GK697" s="18"/>
      <c r="GL697" s="18"/>
      <c r="GM697" s="18"/>
      <c r="GN697" s="18"/>
      <c r="GO697" s="18"/>
      <c r="GP697" s="18"/>
      <c r="GQ697" s="18"/>
      <c r="GR697" s="18">
        <v>0</v>
      </c>
      <c r="GS697" s="18">
        <v>0</v>
      </c>
      <c r="GT697" s="18" t="s">
        <v>339</v>
      </c>
      <c r="GU697" s="18">
        <v>0</v>
      </c>
      <c r="GV697" s="18"/>
      <c r="GW697" s="18"/>
      <c r="GX697" s="18" t="b">
        <v>0</v>
      </c>
      <c r="GY697" s="18">
        <v>0</v>
      </c>
      <c r="GZ697" s="18" t="b">
        <v>1</v>
      </c>
      <c r="HA697" s="18">
        <v>0</v>
      </c>
      <c r="HB697" s="18">
        <v>0</v>
      </c>
      <c r="HC697" s="18">
        <v>0</v>
      </c>
      <c r="HD697" s="18">
        <v>0</v>
      </c>
      <c r="HE697" s="18" t="b">
        <v>0</v>
      </c>
      <c r="HF697" s="18">
        <v>0</v>
      </c>
      <c r="HG697" s="18">
        <v>0</v>
      </c>
      <c r="HH697" s="18" t="s">
        <v>339</v>
      </c>
      <c r="HI697" s="18" t="s">
        <v>334</v>
      </c>
      <c r="HJ697" s="18">
        <v>0</v>
      </c>
      <c r="HK697" s="18">
        <v>0</v>
      </c>
      <c r="HL697" s="18">
        <v>0</v>
      </c>
      <c r="HM697" s="18">
        <v>0</v>
      </c>
      <c r="HN697" s="18" t="b">
        <v>0</v>
      </c>
    </row>
    <row r="698" spans="1:222">
      <c r="A698"/>
      <c r="B698" s="29" cm="1">
        <f t="array" ref="B698">10000000+INDEX(编号表!$B$1:$B$112,MATCH(D698,编号表!$A$1:$A$112,0))*10000+I698</f>
        <v>10350005</v>
      </c>
      <c r="C698" s="18" t="s">
        <v>516</v>
      </c>
      <c r="D698" s="18" t="s">
        <v>516</v>
      </c>
      <c r="E698" s="18" t="s">
        <v>334</v>
      </c>
      <c r="F698" s="18" t="s">
        <v>361</v>
      </c>
      <c r="G698" s="18" t="b">
        <v>0</v>
      </c>
      <c r="H698" s="18" t="b">
        <v>1</v>
      </c>
      <c r="I698" s="18">
        <v>5</v>
      </c>
      <c r="J698" s="18">
        <v>103500</v>
      </c>
      <c r="K698" s="18" t="s">
        <v>324</v>
      </c>
      <c r="L698" s="18">
        <v>0</v>
      </c>
      <c r="M698" s="18">
        <v>0</v>
      </c>
      <c r="N698" s="18" t="s">
        <v>510</v>
      </c>
      <c r="O698" s="18">
        <v>0</v>
      </c>
      <c r="P698" s="18">
        <v>0</v>
      </c>
      <c r="Q698" s="18">
        <v>0</v>
      </c>
      <c r="R698" s="18">
        <v>0</v>
      </c>
      <c r="S698" s="18">
        <v>0</v>
      </c>
      <c r="T698" s="18">
        <v>0</v>
      </c>
      <c r="U698" s="18"/>
      <c r="V698" s="18">
        <v>0</v>
      </c>
      <c r="W698" s="18">
        <v>0</v>
      </c>
      <c r="X698" s="18" t="s">
        <v>334</v>
      </c>
      <c r="Y698" s="18" t="s">
        <v>378</v>
      </c>
      <c r="Z698" s="18" t="s">
        <v>328</v>
      </c>
      <c r="AA698" s="18">
        <v>0</v>
      </c>
      <c r="AB698" s="18">
        <v>12</v>
      </c>
      <c r="AC698" s="18" t="b">
        <v>0</v>
      </c>
      <c r="AD698" s="18" t="s">
        <v>329</v>
      </c>
      <c r="AE698" s="18">
        <v>320</v>
      </c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 t="s">
        <v>339</v>
      </c>
      <c r="AZ698" s="18">
        <v>11300</v>
      </c>
      <c r="BA698" s="18" t="s">
        <v>395</v>
      </c>
      <c r="BB698" s="18" t="s">
        <v>328</v>
      </c>
      <c r="BC698" s="18">
        <v>10000</v>
      </c>
      <c r="BD698" s="18">
        <v>0</v>
      </c>
      <c r="BE698" s="18" t="s">
        <v>332</v>
      </c>
      <c r="BF698" s="18">
        <v>0</v>
      </c>
      <c r="BG698" s="18"/>
      <c r="BH698" s="18"/>
      <c r="BI698" s="18"/>
      <c r="BJ698" s="18"/>
      <c r="BK698" s="18"/>
      <c r="BL698" s="18"/>
      <c r="BM698" s="18">
        <v>21002105</v>
      </c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  <c r="EM698" s="18"/>
      <c r="EN698" s="18"/>
      <c r="EO698" s="18"/>
      <c r="EP698" s="18"/>
      <c r="EQ698" s="18"/>
      <c r="ER698" s="18"/>
      <c r="ES698" s="18"/>
      <c r="ET698" s="18"/>
      <c r="EU698" s="18"/>
      <c r="EV698" s="18"/>
      <c r="EW698" s="18"/>
      <c r="EX698" s="18"/>
      <c r="EY698" s="18"/>
      <c r="EZ698" s="18"/>
      <c r="FA698" s="18"/>
      <c r="FB698" s="18"/>
      <c r="FC698" s="18"/>
      <c r="FD698" s="18"/>
      <c r="FE698" s="18"/>
      <c r="FF698" s="18"/>
      <c r="FG698" s="18"/>
      <c r="FH698" s="18"/>
      <c r="FI698" s="18"/>
      <c r="FJ698" s="18"/>
      <c r="FK698" s="18"/>
      <c r="FL698" s="18"/>
      <c r="FM698" s="18"/>
      <c r="FN698" s="18"/>
      <c r="FO698" s="18"/>
      <c r="FP698" s="18"/>
      <c r="FQ698" s="18"/>
      <c r="FR698" s="18"/>
      <c r="FS698" s="18"/>
      <c r="FT698" s="18"/>
      <c r="FU698" s="18"/>
      <c r="FV698" s="18"/>
      <c r="FW698" s="18"/>
      <c r="FX698" s="18"/>
      <c r="FY698" s="18"/>
      <c r="FZ698" s="18"/>
      <c r="GA698" s="18"/>
      <c r="GB698" s="18"/>
      <c r="GC698" s="18"/>
      <c r="GD698" s="18"/>
      <c r="GE698" s="18"/>
      <c r="GF698" s="18"/>
      <c r="GG698" s="18"/>
      <c r="GH698" s="18"/>
      <c r="GI698" s="18"/>
      <c r="GJ698" s="18"/>
      <c r="GK698" s="18"/>
      <c r="GL698" s="18"/>
      <c r="GM698" s="18"/>
      <c r="GN698" s="18"/>
      <c r="GO698" s="18"/>
      <c r="GP698" s="18"/>
      <c r="GQ698" s="18"/>
      <c r="GR698" s="18">
        <v>0</v>
      </c>
      <c r="GS698" s="18">
        <v>0</v>
      </c>
      <c r="GT698" s="18" t="s">
        <v>339</v>
      </c>
      <c r="GU698" s="18">
        <v>0</v>
      </c>
      <c r="GV698" s="18"/>
      <c r="GW698" s="18"/>
      <c r="GX698" s="18" t="b">
        <v>0</v>
      </c>
      <c r="GY698" s="18">
        <v>0</v>
      </c>
      <c r="GZ698" s="18" t="b">
        <v>1</v>
      </c>
      <c r="HA698" s="18">
        <v>0</v>
      </c>
      <c r="HB698" s="18">
        <v>0</v>
      </c>
      <c r="HC698" s="18">
        <v>0</v>
      </c>
      <c r="HD698" s="18">
        <v>0</v>
      </c>
      <c r="HE698" s="18" t="b">
        <v>0</v>
      </c>
      <c r="HF698" s="18">
        <v>0</v>
      </c>
      <c r="HG698" s="18">
        <v>0</v>
      </c>
      <c r="HH698" s="18" t="s">
        <v>339</v>
      </c>
      <c r="HI698" s="18" t="s">
        <v>334</v>
      </c>
      <c r="HJ698" s="18">
        <v>0</v>
      </c>
      <c r="HK698" s="18">
        <v>0</v>
      </c>
      <c r="HL698" s="18">
        <v>0</v>
      </c>
      <c r="HM698" s="18">
        <v>0</v>
      </c>
      <c r="HN698" s="18" t="b">
        <v>0</v>
      </c>
    </row>
    <row r="699" spans="1:222">
      <c r="A699"/>
      <c r="B699" s="29" cm="1">
        <f t="array" ref="B699">10000000+INDEX(编号表!$B$1:$B$112,MATCH(D699,编号表!$A$1:$A$112,0))*10000+I699</f>
        <v>10350006</v>
      </c>
      <c r="C699" s="18" t="s">
        <v>516</v>
      </c>
      <c r="D699" s="18" t="s">
        <v>516</v>
      </c>
      <c r="E699" s="18" t="s">
        <v>334</v>
      </c>
      <c r="F699" s="18" t="s">
        <v>361</v>
      </c>
      <c r="G699" s="18" t="b">
        <v>0</v>
      </c>
      <c r="H699" s="18" t="b">
        <v>1</v>
      </c>
      <c r="I699" s="18">
        <v>6</v>
      </c>
      <c r="J699" s="18">
        <v>103500</v>
      </c>
      <c r="K699" s="18" t="s">
        <v>324</v>
      </c>
      <c r="L699" s="18">
        <v>0</v>
      </c>
      <c r="M699" s="18">
        <v>0</v>
      </c>
      <c r="N699" s="18" t="s">
        <v>510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>
        <v>0</v>
      </c>
      <c r="U699" s="18"/>
      <c r="V699" s="18">
        <v>0</v>
      </c>
      <c r="W699" s="18">
        <v>0</v>
      </c>
      <c r="X699" s="18" t="s">
        <v>334</v>
      </c>
      <c r="Y699" s="18" t="s">
        <v>378</v>
      </c>
      <c r="Z699" s="18" t="s">
        <v>328</v>
      </c>
      <c r="AA699" s="18">
        <v>0</v>
      </c>
      <c r="AB699" s="18">
        <v>12</v>
      </c>
      <c r="AC699" s="18" t="b">
        <v>0</v>
      </c>
      <c r="AD699" s="18" t="s">
        <v>329</v>
      </c>
      <c r="AE699" s="18">
        <v>320</v>
      </c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 t="s">
        <v>339</v>
      </c>
      <c r="AZ699" s="18">
        <v>11600</v>
      </c>
      <c r="BA699" s="18" t="s">
        <v>395</v>
      </c>
      <c r="BB699" s="18" t="s">
        <v>328</v>
      </c>
      <c r="BC699" s="18">
        <v>10000</v>
      </c>
      <c r="BD699" s="18">
        <v>0</v>
      </c>
      <c r="BE699" s="18" t="s">
        <v>332</v>
      </c>
      <c r="BF699" s="18">
        <v>0</v>
      </c>
      <c r="BG699" s="18"/>
      <c r="BH699" s="18"/>
      <c r="BI699" s="18"/>
      <c r="BJ699" s="18"/>
      <c r="BK699" s="18"/>
      <c r="BL699" s="18"/>
      <c r="BM699" s="18">
        <v>21002106</v>
      </c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  <c r="DU699" s="18"/>
      <c r="DV699" s="18"/>
      <c r="DW699" s="18"/>
      <c r="DX699" s="18"/>
      <c r="DY699" s="18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8"/>
      <c r="EM699" s="18"/>
      <c r="EN699" s="18"/>
      <c r="EO699" s="18"/>
      <c r="EP699" s="18"/>
      <c r="EQ699" s="18"/>
      <c r="ER699" s="18"/>
      <c r="ES699" s="18"/>
      <c r="ET699" s="18"/>
      <c r="EU699" s="18"/>
      <c r="EV699" s="18"/>
      <c r="EW699" s="18"/>
      <c r="EX699" s="18"/>
      <c r="EY699" s="18"/>
      <c r="EZ699" s="18"/>
      <c r="FA699" s="18"/>
      <c r="FB699" s="18"/>
      <c r="FC699" s="18"/>
      <c r="FD699" s="18"/>
      <c r="FE699" s="18"/>
      <c r="FF699" s="18"/>
      <c r="FG699" s="18"/>
      <c r="FH699" s="18"/>
      <c r="FI699" s="18"/>
      <c r="FJ699" s="18"/>
      <c r="FK699" s="18"/>
      <c r="FL699" s="18"/>
      <c r="FM699" s="18"/>
      <c r="FN699" s="18"/>
      <c r="FO699" s="18"/>
      <c r="FP699" s="18"/>
      <c r="FQ699" s="18"/>
      <c r="FR699" s="18"/>
      <c r="FS699" s="18"/>
      <c r="FT699" s="18"/>
      <c r="FU699" s="18"/>
      <c r="FV699" s="18"/>
      <c r="FW699" s="18"/>
      <c r="FX699" s="18"/>
      <c r="FY699" s="18"/>
      <c r="FZ699" s="18"/>
      <c r="GA699" s="18"/>
      <c r="GB699" s="18"/>
      <c r="GC699" s="18"/>
      <c r="GD699" s="18"/>
      <c r="GE699" s="18"/>
      <c r="GF699" s="18"/>
      <c r="GG699" s="18"/>
      <c r="GH699" s="18"/>
      <c r="GI699" s="18"/>
      <c r="GJ699" s="18"/>
      <c r="GK699" s="18"/>
      <c r="GL699" s="18"/>
      <c r="GM699" s="18"/>
      <c r="GN699" s="18"/>
      <c r="GO699" s="18"/>
      <c r="GP699" s="18"/>
      <c r="GQ699" s="18"/>
      <c r="GR699" s="18">
        <v>0</v>
      </c>
      <c r="GS699" s="18">
        <v>0</v>
      </c>
      <c r="GT699" s="18" t="s">
        <v>339</v>
      </c>
      <c r="GU699" s="18">
        <v>0</v>
      </c>
      <c r="GV699" s="18"/>
      <c r="GW699" s="18"/>
      <c r="GX699" s="18" t="b">
        <v>0</v>
      </c>
      <c r="GY699" s="18">
        <v>0</v>
      </c>
      <c r="GZ699" s="18" t="b">
        <v>1</v>
      </c>
      <c r="HA699" s="18">
        <v>0</v>
      </c>
      <c r="HB699" s="18">
        <v>0</v>
      </c>
      <c r="HC699" s="18">
        <v>0</v>
      </c>
      <c r="HD699" s="18">
        <v>0</v>
      </c>
      <c r="HE699" s="18" t="b">
        <v>0</v>
      </c>
      <c r="HF699" s="18">
        <v>0</v>
      </c>
      <c r="HG699" s="18">
        <v>0</v>
      </c>
      <c r="HH699" s="18" t="s">
        <v>339</v>
      </c>
      <c r="HI699" s="18" t="s">
        <v>334</v>
      </c>
      <c r="HJ699" s="18">
        <v>0</v>
      </c>
      <c r="HK699" s="18">
        <v>0</v>
      </c>
      <c r="HL699" s="18">
        <v>0</v>
      </c>
      <c r="HM699" s="18">
        <v>0</v>
      </c>
      <c r="HN699" s="18" t="b">
        <v>0</v>
      </c>
    </row>
    <row r="700" spans="1:222">
      <c r="A700"/>
      <c r="B700" s="29" cm="1">
        <f t="array" ref="B700">10000000+INDEX(编号表!$B$1:$B$112,MATCH(D700,编号表!$A$1:$A$112,0))*10000+I700</f>
        <v>10350007</v>
      </c>
      <c r="C700" s="18" t="s">
        <v>516</v>
      </c>
      <c r="D700" s="18" t="s">
        <v>516</v>
      </c>
      <c r="E700" s="18" t="s">
        <v>334</v>
      </c>
      <c r="F700" s="18" t="s">
        <v>361</v>
      </c>
      <c r="G700" s="18" t="b">
        <v>0</v>
      </c>
      <c r="H700" s="18" t="b">
        <v>1</v>
      </c>
      <c r="I700" s="18">
        <v>7</v>
      </c>
      <c r="J700" s="18">
        <v>103500</v>
      </c>
      <c r="K700" s="18" t="s">
        <v>324</v>
      </c>
      <c r="L700" s="18">
        <v>0</v>
      </c>
      <c r="M700" s="18">
        <v>0</v>
      </c>
      <c r="N700" s="18" t="s">
        <v>510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>
        <v>0</v>
      </c>
      <c r="U700" s="18"/>
      <c r="V700" s="18">
        <v>0</v>
      </c>
      <c r="W700" s="18">
        <v>0</v>
      </c>
      <c r="X700" s="18" t="s">
        <v>334</v>
      </c>
      <c r="Y700" s="18" t="s">
        <v>378</v>
      </c>
      <c r="Z700" s="18" t="s">
        <v>328</v>
      </c>
      <c r="AA700" s="18">
        <v>0</v>
      </c>
      <c r="AB700" s="18">
        <v>12</v>
      </c>
      <c r="AC700" s="18" t="b">
        <v>0</v>
      </c>
      <c r="AD700" s="18" t="s">
        <v>329</v>
      </c>
      <c r="AE700" s="18">
        <v>320</v>
      </c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 t="s">
        <v>339</v>
      </c>
      <c r="AZ700" s="18">
        <v>11700</v>
      </c>
      <c r="BA700" s="18" t="s">
        <v>395</v>
      </c>
      <c r="BB700" s="18" t="s">
        <v>328</v>
      </c>
      <c r="BC700" s="18">
        <v>10000</v>
      </c>
      <c r="BD700" s="18">
        <v>0</v>
      </c>
      <c r="BE700" s="18" t="s">
        <v>332</v>
      </c>
      <c r="BF700" s="18">
        <v>0</v>
      </c>
      <c r="BG700" s="18"/>
      <c r="BH700" s="18"/>
      <c r="BI700" s="18"/>
      <c r="BJ700" s="18"/>
      <c r="BK700" s="18"/>
      <c r="BL700" s="18"/>
      <c r="BM700" s="18">
        <v>21002107</v>
      </c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  <c r="DU700" s="18"/>
      <c r="DV700" s="18"/>
      <c r="DW700" s="18"/>
      <c r="DX700" s="18"/>
      <c r="DY700" s="18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8"/>
      <c r="EM700" s="18"/>
      <c r="EN700" s="18"/>
      <c r="EO700" s="18"/>
      <c r="EP700" s="18"/>
      <c r="EQ700" s="18"/>
      <c r="ER700" s="18"/>
      <c r="ES700" s="18"/>
      <c r="ET700" s="18"/>
      <c r="EU700" s="18"/>
      <c r="EV700" s="18"/>
      <c r="EW700" s="18"/>
      <c r="EX700" s="18"/>
      <c r="EY700" s="18"/>
      <c r="EZ700" s="18"/>
      <c r="FA700" s="18"/>
      <c r="FB700" s="18"/>
      <c r="FC700" s="18"/>
      <c r="FD700" s="18"/>
      <c r="FE700" s="18"/>
      <c r="FF700" s="18"/>
      <c r="FG700" s="18"/>
      <c r="FH700" s="18"/>
      <c r="FI700" s="18"/>
      <c r="FJ700" s="18"/>
      <c r="FK700" s="18"/>
      <c r="FL700" s="18"/>
      <c r="FM700" s="18"/>
      <c r="FN700" s="18"/>
      <c r="FO700" s="18"/>
      <c r="FP700" s="18"/>
      <c r="FQ700" s="18"/>
      <c r="FR700" s="18"/>
      <c r="FS700" s="18"/>
      <c r="FT700" s="18"/>
      <c r="FU700" s="18"/>
      <c r="FV700" s="18"/>
      <c r="FW700" s="18"/>
      <c r="FX700" s="18"/>
      <c r="FY700" s="18"/>
      <c r="FZ700" s="18"/>
      <c r="GA700" s="18"/>
      <c r="GB700" s="18"/>
      <c r="GC700" s="18"/>
      <c r="GD700" s="18"/>
      <c r="GE700" s="18"/>
      <c r="GF700" s="18"/>
      <c r="GG700" s="18"/>
      <c r="GH700" s="18"/>
      <c r="GI700" s="18"/>
      <c r="GJ700" s="18"/>
      <c r="GK700" s="18"/>
      <c r="GL700" s="18"/>
      <c r="GM700" s="18"/>
      <c r="GN700" s="18"/>
      <c r="GO700" s="18"/>
      <c r="GP700" s="18"/>
      <c r="GQ700" s="18"/>
      <c r="GR700" s="18">
        <v>0</v>
      </c>
      <c r="GS700" s="18">
        <v>0</v>
      </c>
      <c r="GT700" s="18" t="s">
        <v>339</v>
      </c>
      <c r="GU700" s="18">
        <v>0</v>
      </c>
      <c r="GV700" s="18"/>
      <c r="GW700" s="18"/>
      <c r="GX700" s="18" t="b">
        <v>0</v>
      </c>
      <c r="GY700" s="18">
        <v>0</v>
      </c>
      <c r="GZ700" s="18" t="b">
        <v>1</v>
      </c>
      <c r="HA700" s="18">
        <v>0</v>
      </c>
      <c r="HB700" s="18">
        <v>0</v>
      </c>
      <c r="HC700" s="18">
        <v>0</v>
      </c>
      <c r="HD700" s="18">
        <v>0</v>
      </c>
      <c r="HE700" s="18" t="b">
        <v>0</v>
      </c>
      <c r="HF700" s="18">
        <v>0</v>
      </c>
      <c r="HG700" s="18">
        <v>0</v>
      </c>
      <c r="HH700" s="18" t="s">
        <v>339</v>
      </c>
      <c r="HI700" s="18" t="s">
        <v>334</v>
      </c>
      <c r="HJ700" s="18">
        <v>0</v>
      </c>
      <c r="HK700" s="18">
        <v>0</v>
      </c>
      <c r="HL700" s="18">
        <v>0</v>
      </c>
      <c r="HM700" s="18">
        <v>0</v>
      </c>
      <c r="HN700" s="18" t="b">
        <v>0</v>
      </c>
    </row>
    <row r="701" spans="1:222">
      <c r="A701"/>
      <c r="B701" s="29" cm="1">
        <f t="array" ref="B701">10000000+INDEX(编号表!$B$1:$B$112,MATCH(D701,编号表!$A$1:$A$112,0))*10000+I701</f>
        <v>10350008</v>
      </c>
      <c r="C701" s="18" t="s">
        <v>516</v>
      </c>
      <c r="D701" s="18" t="s">
        <v>516</v>
      </c>
      <c r="E701" s="18" t="s">
        <v>334</v>
      </c>
      <c r="F701" s="18" t="s">
        <v>361</v>
      </c>
      <c r="G701" s="18" t="b">
        <v>0</v>
      </c>
      <c r="H701" s="18" t="b">
        <v>1</v>
      </c>
      <c r="I701" s="18">
        <v>8</v>
      </c>
      <c r="J701" s="18">
        <v>103500</v>
      </c>
      <c r="K701" s="18" t="s">
        <v>324</v>
      </c>
      <c r="L701" s="18">
        <v>0</v>
      </c>
      <c r="M701" s="18">
        <v>0</v>
      </c>
      <c r="N701" s="18" t="s">
        <v>510</v>
      </c>
      <c r="O701" s="18">
        <v>0</v>
      </c>
      <c r="P701" s="18">
        <v>0</v>
      </c>
      <c r="Q701" s="18">
        <v>0</v>
      </c>
      <c r="R701" s="18">
        <v>0</v>
      </c>
      <c r="S701" s="18">
        <v>0</v>
      </c>
      <c r="T701" s="18">
        <v>0</v>
      </c>
      <c r="U701" s="18"/>
      <c r="V701" s="18">
        <v>0</v>
      </c>
      <c r="W701" s="18">
        <v>0</v>
      </c>
      <c r="X701" s="18" t="s">
        <v>334</v>
      </c>
      <c r="Y701" s="18" t="s">
        <v>378</v>
      </c>
      <c r="Z701" s="18" t="s">
        <v>328</v>
      </c>
      <c r="AA701" s="18">
        <v>0</v>
      </c>
      <c r="AB701" s="18">
        <v>12</v>
      </c>
      <c r="AC701" s="18" t="b">
        <v>0</v>
      </c>
      <c r="AD701" s="18" t="s">
        <v>329</v>
      </c>
      <c r="AE701" s="18">
        <v>320</v>
      </c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 t="s">
        <v>339</v>
      </c>
      <c r="AZ701" s="18">
        <v>11800</v>
      </c>
      <c r="BA701" s="18" t="s">
        <v>395</v>
      </c>
      <c r="BB701" s="18" t="s">
        <v>328</v>
      </c>
      <c r="BC701" s="18">
        <v>10000</v>
      </c>
      <c r="BD701" s="18">
        <v>0</v>
      </c>
      <c r="BE701" s="18" t="s">
        <v>332</v>
      </c>
      <c r="BF701" s="18">
        <v>0</v>
      </c>
      <c r="BG701" s="18"/>
      <c r="BH701" s="18"/>
      <c r="BI701" s="18"/>
      <c r="BJ701" s="18"/>
      <c r="BK701" s="18"/>
      <c r="BL701" s="18"/>
      <c r="BM701" s="18">
        <v>21002108</v>
      </c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8"/>
      <c r="EM701" s="18"/>
      <c r="EN701" s="18"/>
      <c r="EO701" s="18"/>
      <c r="EP701" s="18"/>
      <c r="EQ701" s="18"/>
      <c r="ER701" s="18"/>
      <c r="ES701" s="18"/>
      <c r="ET701" s="18"/>
      <c r="EU701" s="18"/>
      <c r="EV701" s="18"/>
      <c r="EW701" s="18"/>
      <c r="EX701" s="18"/>
      <c r="EY701" s="18"/>
      <c r="EZ701" s="18"/>
      <c r="FA701" s="18"/>
      <c r="FB701" s="18"/>
      <c r="FC701" s="18"/>
      <c r="FD701" s="18"/>
      <c r="FE701" s="18"/>
      <c r="FF701" s="18"/>
      <c r="FG701" s="18"/>
      <c r="FH701" s="18"/>
      <c r="FI701" s="18"/>
      <c r="FJ701" s="18"/>
      <c r="FK701" s="18"/>
      <c r="FL701" s="18"/>
      <c r="FM701" s="18"/>
      <c r="FN701" s="18"/>
      <c r="FO701" s="18"/>
      <c r="FP701" s="18"/>
      <c r="FQ701" s="18"/>
      <c r="FR701" s="18"/>
      <c r="FS701" s="18"/>
      <c r="FT701" s="18"/>
      <c r="FU701" s="18"/>
      <c r="FV701" s="18"/>
      <c r="FW701" s="18"/>
      <c r="FX701" s="18"/>
      <c r="FY701" s="18"/>
      <c r="FZ701" s="18"/>
      <c r="GA701" s="18"/>
      <c r="GB701" s="18"/>
      <c r="GC701" s="18"/>
      <c r="GD701" s="18"/>
      <c r="GE701" s="18"/>
      <c r="GF701" s="18"/>
      <c r="GG701" s="18"/>
      <c r="GH701" s="18"/>
      <c r="GI701" s="18"/>
      <c r="GJ701" s="18"/>
      <c r="GK701" s="18"/>
      <c r="GL701" s="18"/>
      <c r="GM701" s="18"/>
      <c r="GN701" s="18"/>
      <c r="GO701" s="18"/>
      <c r="GP701" s="18"/>
      <c r="GQ701" s="18"/>
      <c r="GR701" s="18">
        <v>0</v>
      </c>
      <c r="GS701" s="18">
        <v>0</v>
      </c>
      <c r="GT701" s="18" t="s">
        <v>339</v>
      </c>
      <c r="GU701" s="18">
        <v>0</v>
      </c>
      <c r="GV701" s="18"/>
      <c r="GW701" s="18"/>
      <c r="GX701" s="18" t="b">
        <v>0</v>
      </c>
      <c r="GY701" s="18">
        <v>0</v>
      </c>
      <c r="GZ701" s="18" t="b">
        <v>1</v>
      </c>
      <c r="HA701" s="18">
        <v>0</v>
      </c>
      <c r="HB701" s="18">
        <v>0</v>
      </c>
      <c r="HC701" s="18">
        <v>0</v>
      </c>
      <c r="HD701" s="18">
        <v>0</v>
      </c>
      <c r="HE701" s="18" t="b">
        <v>0</v>
      </c>
      <c r="HF701" s="18">
        <v>0</v>
      </c>
      <c r="HG701" s="18">
        <v>0</v>
      </c>
      <c r="HH701" s="18" t="s">
        <v>339</v>
      </c>
      <c r="HI701" s="18" t="s">
        <v>334</v>
      </c>
      <c r="HJ701" s="18">
        <v>0</v>
      </c>
      <c r="HK701" s="18">
        <v>0</v>
      </c>
      <c r="HL701" s="18">
        <v>0</v>
      </c>
      <c r="HM701" s="18">
        <v>0</v>
      </c>
      <c r="HN701" s="18" t="b">
        <v>0</v>
      </c>
    </row>
    <row r="702" spans="1:222">
      <c r="A702"/>
      <c r="B702" s="29" cm="1">
        <f t="array" ref="B702">10000000+INDEX(编号表!$B$1:$B$112,MATCH(D702,编号表!$A$1:$A$112,0))*10000+I702</f>
        <v>10350009</v>
      </c>
      <c r="C702" s="18" t="s">
        <v>516</v>
      </c>
      <c r="D702" s="18" t="s">
        <v>516</v>
      </c>
      <c r="E702" s="18" t="s">
        <v>334</v>
      </c>
      <c r="F702" s="18" t="s">
        <v>361</v>
      </c>
      <c r="G702" s="18" t="b">
        <v>0</v>
      </c>
      <c r="H702" s="18" t="b">
        <v>1</v>
      </c>
      <c r="I702" s="18">
        <v>9</v>
      </c>
      <c r="J702" s="18">
        <v>103500</v>
      </c>
      <c r="K702" s="18" t="s">
        <v>324</v>
      </c>
      <c r="L702" s="18">
        <v>0</v>
      </c>
      <c r="M702" s="18">
        <v>0</v>
      </c>
      <c r="N702" s="18" t="s">
        <v>510</v>
      </c>
      <c r="O702" s="18">
        <v>0</v>
      </c>
      <c r="P702" s="18">
        <v>0</v>
      </c>
      <c r="Q702" s="18">
        <v>0</v>
      </c>
      <c r="R702" s="18">
        <v>0</v>
      </c>
      <c r="S702" s="18">
        <v>0</v>
      </c>
      <c r="T702" s="18">
        <v>0</v>
      </c>
      <c r="U702" s="18"/>
      <c r="V702" s="18">
        <v>0</v>
      </c>
      <c r="W702" s="18">
        <v>0</v>
      </c>
      <c r="X702" s="18" t="s">
        <v>334</v>
      </c>
      <c r="Y702" s="18" t="s">
        <v>378</v>
      </c>
      <c r="Z702" s="18" t="s">
        <v>328</v>
      </c>
      <c r="AA702" s="18">
        <v>0</v>
      </c>
      <c r="AB702" s="18">
        <v>12</v>
      </c>
      <c r="AC702" s="18" t="b">
        <v>0</v>
      </c>
      <c r="AD702" s="18" t="s">
        <v>329</v>
      </c>
      <c r="AE702" s="18">
        <v>320</v>
      </c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 t="s">
        <v>339</v>
      </c>
      <c r="AZ702" s="18">
        <v>11900</v>
      </c>
      <c r="BA702" s="18" t="s">
        <v>395</v>
      </c>
      <c r="BB702" s="18" t="s">
        <v>328</v>
      </c>
      <c r="BC702" s="18">
        <v>10000</v>
      </c>
      <c r="BD702" s="18">
        <v>0</v>
      </c>
      <c r="BE702" s="18" t="s">
        <v>332</v>
      </c>
      <c r="BF702" s="18">
        <v>0</v>
      </c>
      <c r="BG702" s="18"/>
      <c r="BH702" s="18"/>
      <c r="BI702" s="18"/>
      <c r="BJ702" s="18"/>
      <c r="BK702" s="18"/>
      <c r="BL702" s="18"/>
      <c r="BM702" s="18">
        <v>21002109</v>
      </c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8"/>
      <c r="EM702" s="18"/>
      <c r="EN702" s="18"/>
      <c r="EO702" s="18"/>
      <c r="EP702" s="18"/>
      <c r="EQ702" s="18"/>
      <c r="ER702" s="18"/>
      <c r="ES702" s="18"/>
      <c r="ET702" s="18"/>
      <c r="EU702" s="18"/>
      <c r="EV702" s="18"/>
      <c r="EW702" s="18"/>
      <c r="EX702" s="18"/>
      <c r="EY702" s="18"/>
      <c r="EZ702" s="18"/>
      <c r="FA702" s="18"/>
      <c r="FB702" s="18"/>
      <c r="FC702" s="18"/>
      <c r="FD702" s="18"/>
      <c r="FE702" s="18"/>
      <c r="FF702" s="18"/>
      <c r="FG702" s="18"/>
      <c r="FH702" s="18"/>
      <c r="FI702" s="18"/>
      <c r="FJ702" s="18"/>
      <c r="FK702" s="18"/>
      <c r="FL702" s="18"/>
      <c r="FM702" s="18"/>
      <c r="FN702" s="18"/>
      <c r="FO702" s="18"/>
      <c r="FP702" s="18"/>
      <c r="FQ702" s="18"/>
      <c r="FR702" s="18"/>
      <c r="FS702" s="18"/>
      <c r="FT702" s="18"/>
      <c r="FU702" s="18"/>
      <c r="FV702" s="18"/>
      <c r="FW702" s="18"/>
      <c r="FX702" s="18"/>
      <c r="FY702" s="18"/>
      <c r="FZ702" s="18"/>
      <c r="GA702" s="18"/>
      <c r="GB702" s="18"/>
      <c r="GC702" s="18"/>
      <c r="GD702" s="18"/>
      <c r="GE702" s="18"/>
      <c r="GF702" s="18"/>
      <c r="GG702" s="18"/>
      <c r="GH702" s="18"/>
      <c r="GI702" s="18"/>
      <c r="GJ702" s="18"/>
      <c r="GK702" s="18"/>
      <c r="GL702" s="18"/>
      <c r="GM702" s="18"/>
      <c r="GN702" s="18"/>
      <c r="GO702" s="18"/>
      <c r="GP702" s="18"/>
      <c r="GQ702" s="18"/>
      <c r="GR702" s="18">
        <v>0</v>
      </c>
      <c r="GS702" s="18">
        <v>0</v>
      </c>
      <c r="GT702" s="18" t="s">
        <v>339</v>
      </c>
      <c r="GU702" s="18">
        <v>0</v>
      </c>
      <c r="GV702" s="18"/>
      <c r="GW702" s="18"/>
      <c r="GX702" s="18" t="b">
        <v>0</v>
      </c>
      <c r="GY702" s="18">
        <v>0</v>
      </c>
      <c r="GZ702" s="18" t="b">
        <v>1</v>
      </c>
      <c r="HA702" s="18">
        <v>0</v>
      </c>
      <c r="HB702" s="18">
        <v>0</v>
      </c>
      <c r="HC702" s="18">
        <v>0</v>
      </c>
      <c r="HD702" s="18">
        <v>0</v>
      </c>
      <c r="HE702" s="18" t="b">
        <v>0</v>
      </c>
      <c r="HF702" s="18">
        <v>0</v>
      </c>
      <c r="HG702" s="18">
        <v>0</v>
      </c>
      <c r="HH702" s="18" t="s">
        <v>339</v>
      </c>
      <c r="HI702" s="18" t="s">
        <v>334</v>
      </c>
      <c r="HJ702" s="18">
        <v>0</v>
      </c>
      <c r="HK702" s="18">
        <v>0</v>
      </c>
      <c r="HL702" s="18">
        <v>0</v>
      </c>
      <c r="HM702" s="18">
        <v>0</v>
      </c>
      <c r="HN702" s="18" t="b">
        <v>0</v>
      </c>
    </row>
    <row r="703" spans="1:222">
      <c r="A703"/>
      <c r="B703" s="29" cm="1">
        <f t="array" ref="B703">10000000+INDEX(编号表!$B$1:$B$112,MATCH(D703,编号表!$A$1:$A$112,0))*10000+I703</f>
        <v>10350010</v>
      </c>
      <c r="C703" s="18" t="s">
        <v>516</v>
      </c>
      <c r="D703" s="18" t="s">
        <v>516</v>
      </c>
      <c r="E703" s="18" t="s">
        <v>334</v>
      </c>
      <c r="F703" s="18" t="s">
        <v>361</v>
      </c>
      <c r="G703" s="18" t="b">
        <v>0</v>
      </c>
      <c r="H703" s="18" t="b">
        <v>1</v>
      </c>
      <c r="I703" s="18">
        <v>10</v>
      </c>
      <c r="J703" s="18">
        <v>103500</v>
      </c>
      <c r="K703" s="18" t="s">
        <v>324</v>
      </c>
      <c r="L703" s="18">
        <v>0</v>
      </c>
      <c r="M703" s="18">
        <v>0</v>
      </c>
      <c r="N703" s="18" t="s">
        <v>510</v>
      </c>
      <c r="O703" s="18">
        <v>0</v>
      </c>
      <c r="P703" s="18">
        <v>0</v>
      </c>
      <c r="Q703" s="18">
        <v>0</v>
      </c>
      <c r="R703" s="18">
        <v>0</v>
      </c>
      <c r="S703" s="18">
        <v>0</v>
      </c>
      <c r="T703" s="18">
        <v>0</v>
      </c>
      <c r="U703" s="18"/>
      <c r="V703" s="18">
        <v>0</v>
      </c>
      <c r="W703" s="18">
        <v>0</v>
      </c>
      <c r="X703" s="18" t="s">
        <v>334</v>
      </c>
      <c r="Y703" s="18" t="s">
        <v>378</v>
      </c>
      <c r="Z703" s="18" t="s">
        <v>328</v>
      </c>
      <c r="AA703" s="18">
        <v>0</v>
      </c>
      <c r="AB703" s="18">
        <v>12</v>
      </c>
      <c r="AC703" s="18" t="b">
        <v>0</v>
      </c>
      <c r="AD703" s="18" t="s">
        <v>329</v>
      </c>
      <c r="AE703" s="18">
        <v>320</v>
      </c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 t="s">
        <v>339</v>
      </c>
      <c r="AZ703" s="18">
        <v>12000</v>
      </c>
      <c r="BA703" s="18" t="s">
        <v>395</v>
      </c>
      <c r="BB703" s="18" t="s">
        <v>328</v>
      </c>
      <c r="BC703" s="18">
        <v>10000</v>
      </c>
      <c r="BD703" s="18">
        <v>0</v>
      </c>
      <c r="BE703" s="18" t="s">
        <v>332</v>
      </c>
      <c r="BF703" s="18">
        <v>0</v>
      </c>
      <c r="BG703" s="18"/>
      <c r="BH703" s="18"/>
      <c r="BI703" s="18"/>
      <c r="BJ703" s="18"/>
      <c r="BK703" s="18"/>
      <c r="BL703" s="18"/>
      <c r="BM703" s="18">
        <v>21002110</v>
      </c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  <c r="DU703" s="18"/>
      <c r="DV703" s="18"/>
      <c r="DW703" s="18"/>
      <c r="DX703" s="18"/>
      <c r="DY703" s="18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18"/>
      <c r="EM703" s="18"/>
      <c r="EN703" s="18"/>
      <c r="EO703" s="18"/>
      <c r="EP703" s="18"/>
      <c r="EQ703" s="18"/>
      <c r="ER703" s="18"/>
      <c r="ES703" s="18"/>
      <c r="ET703" s="18"/>
      <c r="EU703" s="18"/>
      <c r="EV703" s="18"/>
      <c r="EW703" s="18"/>
      <c r="EX703" s="18"/>
      <c r="EY703" s="18"/>
      <c r="EZ703" s="18"/>
      <c r="FA703" s="18"/>
      <c r="FB703" s="18"/>
      <c r="FC703" s="18"/>
      <c r="FD703" s="18"/>
      <c r="FE703" s="18"/>
      <c r="FF703" s="18"/>
      <c r="FG703" s="18"/>
      <c r="FH703" s="18"/>
      <c r="FI703" s="18"/>
      <c r="FJ703" s="18"/>
      <c r="FK703" s="18"/>
      <c r="FL703" s="18"/>
      <c r="FM703" s="18"/>
      <c r="FN703" s="18"/>
      <c r="FO703" s="18"/>
      <c r="FP703" s="18"/>
      <c r="FQ703" s="18"/>
      <c r="FR703" s="18"/>
      <c r="FS703" s="18"/>
      <c r="FT703" s="18"/>
      <c r="FU703" s="18"/>
      <c r="FV703" s="18"/>
      <c r="FW703" s="18"/>
      <c r="FX703" s="18"/>
      <c r="FY703" s="18"/>
      <c r="FZ703" s="18"/>
      <c r="GA703" s="18"/>
      <c r="GB703" s="18"/>
      <c r="GC703" s="18"/>
      <c r="GD703" s="18"/>
      <c r="GE703" s="18"/>
      <c r="GF703" s="18"/>
      <c r="GG703" s="18"/>
      <c r="GH703" s="18"/>
      <c r="GI703" s="18"/>
      <c r="GJ703" s="18"/>
      <c r="GK703" s="18"/>
      <c r="GL703" s="18"/>
      <c r="GM703" s="18"/>
      <c r="GN703" s="18"/>
      <c r="GO703" s="18"/>
      <c r="GP703" s="18"/>
      <c r="GQ703" s="18"/>
      <c r="GR703" s="18">
        <v>0</v>
      </c>
      <c r="GS703" s="18">
        <v>0</v>
      </c>
      <c r="GT703" s="18" t="s">
        <v>339</v>
      </c>
      <c r="GU703" s="18">
        <v>0</v>
      </c>
      <c r="GV703" s="18"/>
      <c r="GW703" s="18"/>
      <c r="GX703" s="18" t="b">
        <v>0</v>
      </c>
      <c r="GY703" s="18">
        <v>0</v>
      </c>
      <c r="GZ703" s="18" t="b">
        <v>1</v>
      </c>
      <c r="HA703" s="18">
        <v>0</v>
      </c>
      <c r="HB703" s="18">
        <v>0</v>
      </c>
      <c r="HC703" s="18">
        <v>0</v>
      </c>
      <c r="HD703" s="18">
        <v>0</v>
      </c>
      <c r="HE703" s="18" t="b">
        <v>0</v>
      </c>
      <c r="HF703" s="18">
        <v>0</v>
      </c>
      <c r="HG703" s="18">
        <v>0</v>
      </c>
      <c r="HH703" s="18" t="s">
        <v>339</v>
      </c>
      <c r="HI703" s="18" t="s">
        <v>334</v>
      </c>
      <c r="HJ703" s="18">
        <v>0</v>
      </c>
      <c r="HK703" s="18">
        <v>0</v>
      </c>
      <c r="HL703" s="18">
        <v>0</v>
      </c>
      <c r="HM703" s="18">
        <v>0</v>
      </c>
      <c r="HN703" s="18" t="b">
        <v>0</v>
      </c>
    </row>
    <row r="704" spans="1:222">
      <c r="A704"/>
      <c r="B704" s="29" cm="1">
        <f t="array" ref="B704">10000000+INDEX(编号表!$B$1:$B$112,MATCH(D704,编号表!$A$1:$A$112,0))*10000+I704</f>
        <v>10360001</v>
      </c>
      <c r="C704" s="18" t="s">
        <v>517</v>
      </c>
      <c r="D704" s="18" t="s">
        <v>517</v>
      </c>
      <c r="E704" s="18" t="s">
        <v>334</v>
      </c>
      <c r="F704" s="18" t="s">
        <v>370</v>
      </c>
      <c r="G704" s="18" t="b">
        <v>0</v>
      </c>
      <c r="H704" s="18" t="b">
        <v>1</v>
      </c>
      <c r="I704" s="18">
        <v>1</v>
      </c>
      <c r="J704" s="18">
        <v>103600</v>
      </c>
      <c r="K704" s="18" t="s">
        <v>324</v>
      </c>
      <c r="L704" s="18">
        <v>0</v>
      </c>
      <c r="M704" s="18">
        <v>0</v>
      </c>
      <c r="N704" s="18" t="s">
        <v>510</v>
      </c>
      <c r="O704" s="18">
        <v>0</v>
      </c>
      <c r="P704" s="18">
        <v>0</v>
      </c>
      <c r="Q704" s="18">
        <v>0</v>
      </c>
      <c r="R704" s="18">
        <v>0</v>
      </c>
      <c r="S704" s="18">
        <v>0</v>
      </c>
      <c r="T704" s="18">
        <v>0</v>
      </c>
      <c r="U704" s="18"/>
      <c r="V704" s="18">
        <v>0</v>
      </c>
      <c r="W704" s="18">
        <v>0</v>
      </c>
      <c r="X704" s="18" t="s">
        <v>334</v>
      </c>
      <c r="Y704" s="18" t="s">
        <v>378</v>
      </c>
      <c r="Z704" s="18" t="s">
        <v>328</v>
      </c>
      <c r="AA704" s="18">
        <v>0</v>
      </c>
      <c r="AB704" s="18">
        <v>12</v>
      </c>
      <c r="AC704" s="18" t="b">
        <v>0</v>
      </c>
      <c r="AD704" s="18" t="s">
        <v>329</v>
      </c>
      <c r="AE704" s="18">
        <v>300</v>
      </c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 t="s">
        <v>339</v>
      </c>
      <c r="AZ704" s="18">
        <v>10000</v>
      </c>
      <c r="BA704" s="18" t="s">
        <v>346</v>
      </c>
      <c r="BB704" s="18" t="s">
        <v>328</v>
      </c>
      <c r="BC704" s="18">
        <v>10000</v>
      </c>
      <c r="BD704" s="18">
        <v>0</v>
      </c>
      <c r="BE704" s="18" t="s">
        <v>332</v>
      </c>
      <c r="BF704" s="18">
        <v>0</v>
      </c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 t="s">
        <v>347</v>
      </c>
      <c r="CA704" s="18">
        <v>110</v>
      </c>
      <c r="CB704" s="18" t="s">
        <v>348</v>
      </c>
      <c r="CC704" s="18" t="s">
        <v>349</v>
      </c>
      <c r="CD704" s="18" t="b">
        <v>0</v>
      </c>
      <c r="CE704" s="18">
        <v>650</v>
      </c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  <c r="DK704" s="18"/>
      <c r="DL704" s="18"/>
      <c r="DM704" s="18"/>
      <c r="DN704" s="18"/>
      <c r="DO704" s="18"/>
      <c r="DP704" s="18"/>
      <c r="DQ704" s="18"/>
      <c r="DR704" s="18"/>
      <c r="DS704" s="18"/>
      <c r="DT704" s="18"/>
      <c r="DU704" s="18"/>
      <c r="DV704" s="18"/>
      <c r="DW704" s="18"/>
      <c r="DX704" s="18"/>
      <c r="DY704" s="18"/>
      <c r="DZ704" s="18"/>
      <c r="EA704" s="18"/>
      <c r="EB704" s="18"/>
      <c r="EC704" s="18"/>
      <c r="ED704" s="18"/>
      <c r="EE704" s="18"/>
      <c r="EF704" s="18"/>
      <c r="EG704" s="18"/>
      <c r="EH704" s="18"/>
      <c r="EI704" s="18"/>
      <c r="EJ704" s="18"/>
      <c r="EK704" s="18"/>
      <c r="EL704" s="18"/>
      <c r="EM704" s="18"/>
      <c r="EN704" s="18"/>
      <c r="EO704" s="18"/>
      <c r="EP704" s="18"/>
      <c r="EQ704" s="18"/>
      <c r="ER704" s="18"/>
      <c r="ES704" s="18"/>
      <c r="ET704" s="18"/>
      <c r="EU704" s="18"/>
      <c r="EV704" s="18"/>
      <c r="EW704" s="18"/>
      <c r="EX704" s="18"/>
      <c r="EY704" s="18"/>
      <c r="EZ704" s="18"/>
      <c r="FA704" s="18"/>
      <c r="FB704" s="18"/>
      <c r="FC704" s="18"/>
      <c r="FD704" s="18"/>
      <c r="FE704" s="18"/>
      <c r="FF704" s="18"/>
      <c r="FG704" s="18"/>
      <c r="FH704" s="18"/>
      <c r="FI704" s="18"/>
      <c r="FJ704" s="18"/>
      <c r="FK704" s="18"/>
      <c r="FL704" s="18"/>
      <c r="FM704" s="18"/>
      <c r="FN704" s="18"/>
      <c r="FO704" s="18"/>
      <c r="FP704" s="18"/>
      <c r="FQ704" s="18"/>
      <c r="FR704" s="18"/>
      <c r="FS704" s="18"/>
      <c r="FT704" s="18"/>
      <c r="FU704" s="18"/>
      <c r="FV704" s="18"/>
      <c r="FW704" s="18"/>
      <c r="FX704" s="18"/>
      <c r="FY704" s="18"/>
      <c r="FZ704" s="18"/>
      <c r="GA704" s="18"/>
      <c r="GB704" s="18"/>
      <c r="GC704" s="18"/>
      <c r="GD704" s="18"/>
      <c r="GE704" s="18"/>
      <c r="GF704" s="18"/>
      <c r="GG704" s="18"/>
      <c r="GH704" s="18"/>
      <c r="GI704" s="18"/>
      <c r="GJ704" s="18"/>
      <c r="GK704" s="18"/>
      <c r="GL704" s="18"/>
      <c r="GM704" s="18"/>
      <c r="GN704" s="18"/>
      <c r="GO704" s="18"/>
      <c r="GP704" s="18"/>
      <c r="GQ704" s="18"/>
      <c r="GR704" s="18">
        <v>0</v>
      </c>
      <c r="GS704" s="18">
        <v>0</v>
      </c>
      <c r="GT704" s="18" t="s">
        <v>339</v>
      </c>
      <c r="GU704" s="18">
        <v>0</v>
      </c>
      <c r="GV704" s="18"/>
      <c r="GW704" s="18"/>
      <c r="GX704" s="18" t="b">
        <v>0</v>
      </c>
      <c r="GY704" s="18">
        <v>0</v>
      </c>
      <c r="GZ704" s="18" t="b">
        <v>1</v>
      </c>
      <c r="HA704" s="18">
        <v>0</v>
      </c>
      <c r="HB704" s="18">
        <v>0</v>
      </c>
      <c r="HC704" s="18">
        <v>0</v>
      </c>
      <c r="HD704" s="18">
        <v>0</v>
      </c>
      <c r="HE704" s="18" t="b">
        <v>0</v>
      </c>
      <c r="HF704" s="18">
        <v>0</v>
      </c>
      <c r="HG704" s="18">
        <v>0</v>
      </c>
      <c r="HH704" s="18" t="s">
        <v>339</v>
      </c>
      <c r="HI704" s="18" t="s">
        <v>334</v>
      </c>
      <c r="HJ704" s="18">
        <v>0</v>
      </c>
      <c r="HK704" s="18">
        <v>0</v>
      </c>
      <c r="HL704" s="18">
        <v>0</v>
      </c>
      <c r="HM704" s="18">
        <v>0</v>
      </c>
      <c r="HN704" s="18" t="b">
        <v>0</v>
      </c>
    </row>
    <row r="705" spans="1:222">
      <c r="A705"/>
      <c r="B705" s="29" cm="1">
        <f t="array" ref="B705">10000000+INDEX(编号表!$B$1:$B$112,MATCH(D705,编号表!$A$1:$A$112,0))*10000+I705</f>
        <v>10360002</v>
      </c>
      <c r="C705" s="18" t="s">
        <v>517</v>
      </c>
      <c r="D705" s="18" t="s">
        <v>517</v>
      </c>
      <c r="E705" s="18" t="s">
        <v>334</v>
      </c>
      <c r="F705" s="18" t="s">
        <v>370</v>
      </c>
      <c r="G705" s="18" t="b">
        <v>0</v>
      </c>
      <c r="H705" s="18" t="b">
        <v>1</v>
      </c>
      <c r="I705" s="18">
        <v>2</v>
      </c>
      <c r="J705" s="18">
        <v>103600</v>
      </c>
      <c r="K705" s="18" t="s">
        <v>324</v>
      </c>
      <c r="L705" s="18">
        <v>0</v>
      </c>
      <c r="M705" s="18">
        <v>0</v>
      </c>
      <c r="N705" s="18" t="s">
        <v>510</v>
      </c>
      <c r="O705" s="18">
        <v>0</v>
      </c>
      <c r="P705" s="18">
        <v>0</v>
      </c>
      <c r="Q705" s="18">
        <v>0</v>
      </c>
      <c r="R705" s="18">
        <v>0</v>
      </c>
      <c r="S705" s="18">
        <v>0</v>
      </c>
      <c r="T705" s="18">
        <v>0</v>
      </c>
      <c r="U705" s="18"/>
      <c r="V705" s="18">
        <v>0</v>
      </c>
      <c r="W705" s="18">
        <v>0</v>
      </c>
      <c r="X705" s="18" t="s">
        <v>334</v>
      </c>
      <c r="Y705" s="18" t="s">
        <v>378</v>
      </c>
      <c r="Z705" s="18" t="s">
        <v>328</v>
      </c>
      <c r="AA705" s="18">
        <v>0</v>
      </c>
      <c r="AB705" s="18">
        <v>12</v>
      </c>
      <c r="AC705" s="18" t="b">
        <v>0</v>
      </c>
      <c r="AD705" s="18" t="s">
        <v>329</v>
      </c>
      <c r="AE705" s="18">
        <v>300</v>
      </c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 t="s">
        <v>339</v>
      </c>
      <c r="AZ705" s="18">
        <v>10400</v>
      </c>
      <c r="BA705" s="18" t="s">
        <v>346</v>
      </c>
      <c r="BB705" s="18" t="s">
        <v>328</v>
      </c>
      <c r="BC705" s="18">
        <v>10000</v>
      </c>
      <c r="BD705" s="18">
        <v>0</v>
      </c>
      <c r="BE705" s="18" t="s">
        <v>332</v>
      </c>
      <c r="BF705" s="18">
        <v>0</v>
      </c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 t="s">
        <v>347</v>
      </c>
      <c r="CA705" s="18">
        <v>110</v>
      </c>
      <c r="CB705" s="18" t="s">
        <v>348</v>
      </c>
      <c r="CC705" s="18" t="s">
        <v>349</v>
      </c>
      <c r="CD705" s="18" t="b">
        <v>0</v>
      </c>
      <c r="CE705" s="18">
        <v>650</v>
      </c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  <c r="DK705" s="18"/>
      <c r="DL705" s="18"/>
      <c r="DM705" s="18"/>
      <c r="DN705" s="18"/>
      <c r="DO705" s="18"/>
      <c r="DP705" s="18"/>
      <c r="DQ705" s="18"/>
      <c r="DR705" s="18"/>
      <c r="DS705" s="18"/>
      <c r="DT705" s="18"/>
      <c r="DU705" s="18"/>
      <c r="DV705" s="18"/>
      <c r="DW705" s="18"/>
      <c r="DX705" s="18"/>
      <c r="DY705" s="18"/>
      <c r="DZ705" s="18"/>
      <c r="EA705" s="18"/>
      <c r="EB705" s="18"/>
      <c r="EC705" s="18"/>
      <c r="ED705" s="18"/>
      <c r="EE705" s="18"/>
      <c r="EF705" s="18"/>
      <c r="EG705" s="18"/>
      <c r="EH705" s="18"/>
      <c r="EI705" s="18"/>
      <c r="EJ705" s="18"/>
      <c r="EK705" s="18"/>
      <c r="EL705" s="18"/>
      <c r="EM705" s="18"/>
      <c r="EN705" s="18"/>
      <c r="EO705" s="18"/>
      <c r="EP705" s="18"/>
      <c r="EQ705" s="18"/>
      <c r="ER705" s="18"/>
      <c r="ES705" s="18"/>
      <c r="ET705" s="18"/>
      <c r="EU705" s="18"/>
      <c r="EV705" s="18"/>
      <c r="EW705" s="18"/>
      <c r="EX705" s="18"/>
      <c r="EY705" s="18"/>
      <c r="EZ705" s="18"/>
      <c r="FA705" s="18"/>
      <c r="FB705" s="18"/>
      <c r="FC705" s="18"/>
      <c r="FD705" s="18"/>
      <c r="FE705" s="18"/>
      <c r="FF705" s="18"/>
      <c r="FG705" s="18"/>
      <c r="FH705" s="18"/>
      <c r="FI705" s="18"/>
      <c r="FJ705" s="18"/>
      <c r="FK705" s="18"/>
      <c r="FL705" s="18"/>
      <c r="FM705" s="18"/>
      <c r="FN705" s="18"/>
      <c r="FO705" s="18"/>
      <c r="FP705" s="18"/>
      <c r="FQ705" s="18"/>
      <c r="FR705" s="18"/>
      <c r="FS705" s="18"/>
      <c r="FT705" s="18"/>
      <c r="FU705" s="18"/>
      <c r="FV705" s="18"/>
      <c r="FW705" s="18"/>
      <c r="FX705" s="18"/>
      <c r="FY705" s="18"/>
      <c r="FZ705" s="18"/>
      <c r="GA705" s="18"/>
      <c r="GB705" s="18"/>
      <c r="GC705" s="18"/>
      <c r="GD705" s="18"/>
      <c r="GE705" s="18"/>
      <c r="GF705" s="18"/>
      <c r="GG705" s="18"/>
      <c r="GH705" s="18"/>
      <c r="GI705" s="18"/>
      <c r="GJ705" s="18"/>
      <c r="GK705" s="18"/>
      <c r="GL705" s="18"/>
      <c r="GM705" s="18"/>
      <c r="GN705" s="18"/>
      <c r="GO705" s="18"/>
      <c r="GP705" s="18"/>
      <c r="GQ705" s="18"/>
      <c r="GR705" s="18">
        <v>0</v>
      </c>
      <c r="GS705" s="18">
        <v>0</v>
      </c>
      <c r="GT705" s="18" t="s">
        <v>339</v>
      </c>
      <c r="GU705" s="18">
        <v>0</v>
      </c>
      <c r="GV705" s="18"/>
      <c r="GW705" s="18"/>
      <c r="GX705" s="18" t="b">
        <v>0</v>
      </c>
      <c r="GY705" s="18">
        <v>0</v>
      </c>
      <c r="GZ705" s="18" t="b">
        <v>1</v>
      </c>
      <c r="HA705" s="18">
        <v>0</v>
      </c>
      <c r="HB705" s="18">
        <v>0</v>
      </c>
      <c r="HC705" s="18">
        <v>0</v>
      </c>
      <c r="HD705" s="18">
        <v>0</v>
      </c>
      <c r="HE705" s="18" t="b">
        <v>0</v>
      </c>
      <c r="HF705" s="18">
        <v>0</v>
      </c>
      <c r="HG705" s="18">
        <v>0</v>
      </c>
      <c r="HH705" s="18" t="s">
        <v>339</v>
      </c>
      <c r="HI705" s="18" t="s">
        <v>334</v>
      </c>
      <c r="HJ705" s="18">
        <v>0</v>
      </c>
      <c r="HK705" s="18">
        <v>0</v>
      </c>
      <c r="HL705" s="18">
        <v>0</v>
      </c>
      <c r="HM705" s="18">
        <v>0</v>
      </c>
      <c r="HN705" s="18" t="b">
        <v>0</v>
      </c>
    </row>
    <row r="706" spans="1:222">
      <c r="A706"/>
      <c r="B706" s="29" cm="1">
        <f t="array" ref="B706">10000000+INDEX(编号表!$B$1:$B$112,MATCH(D706,编号表!$A$1:$A$112,0))*10000+I706</f>
        <v>10360003</v>
      </c>
      <c r="C706" s="18" t="s">
        <v>517</v>
      </c>
      <c r="D706" s="18" t="s">
        <v>517</v>
      </c>
      <c r="E706" s="18" t="s">
        <v>334</v>
      </c>
      <c r="F706" s="18" t="s">
        <v>370</v>
      </c>
      <c r="G706" s="18" t="b">
        <v>0</v>
      </c>
      <c r="H706" s="18" t="b">
        <v>1</v>
      </c>
      <c r="I706" s="18">
        <v>3</v>
      </c>
      <c r="J706" s="18">
        <v>103600</v>
      </c>
      <c r="K706" s="18" t="s">
        <v>324</v>
      </c>
      <c r="L706" s="18">
        <v>0</v>
      </c>
      <c r="M706" s="18">
        <v>0</v>
      </c>
      <c r="N706" s="18" t="s">
        <v>510</v>
      </c>
      <c r="O706" s="18">
        <v>0</v>
      </c>
      <c r="P706" s="18">
        <v>0</v>
      </c>
      <c r="Q706" s="18">
        <v>0</v>
      </c>
      <c r="R706" s="18">
        <v>0</v>
      </c>
      <c r="S706" s="18">
        <v>0</v>
      </c>
      <c r="T706" s="18">
        <v>0</v>
      </c>
      <c r="U706" s="18"/>
      <c r="V706" s="18">
        <v>0</v>
      </c>
      <c r="W706" s="18">
        <v>0</v>
      </c>
      <c r="X706" s="18" t="s">
        <v>334</v>
      </c>
      <c r="Y706" s="18" t="s">
        <v>378</v>
      </c>
      <c r="Z706" s="18" t="s">
        <v>328</v>
      </c>
      <c r="AA706" s="18">
        <v>0</v>
      </c>
      <c r="AB706" s="18">
        <v>12</v>
      </c>
      <c r="AC706" s="18" t="b">
        <v>0</v>
      </c>
      <c r="AD706" s="18" t="s">
        <v>329</v>
      </c>
      <c r="AE706" s="18">
        <v>300</v>
      </c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 t="s">
        <v>339</v>
      </c>
      <c r="AZ706" s="18">
        <v>10800</v>
      </c>
      <c r="BA706" s="18" t="s">
        <v>346</v>
      </c>
      <c r="BB706" s="18" t="s">
        <v>328</v>
      </c>
      <c r="BC706" s="18">
        <v>10000</v>
      </c>
      <c r="BD706" s="18">
        <v>0</v>
      </c>
      <c r="BE706" s="18" t="s">
        <v>332</v>
      </c>
      <c r="BF706" s="18">
        <v>0</v>
      </c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 t="s">
        <v>347</v>
      </c>
      <c r="CA706" s="18">
        <v>110</v>
      </c>
      <c r="CB706" s="18" t="s">
        <v>348</v>
      </c>
      <c r="CC706" s="18" t="s">
        <v>349</v>
      </c>
      <c r="CD706" s="18" t="b">
        <v>0</v>
      </c>
      <c r="CE706" s="18">
        <v>650</v>
      </c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  <c r="DK706" s="18"/>
      <c r="DL706" s="18"/>
      <c r="DM706" s="18"/>
      <c r="DN706" s="18"/>
      <c r="DO706" s="18"/>
      <c r="DP706" s="18"/>
      <c r="DQ706" s="18"/>
      <c r="DR706" s="18"/>
      <c r="DS706" s="18"/>
      <c r="DT706" s="18"/>
      <c r="DU706" s="18"/>
      <c r="DV706" s="18"/>
      <c r="DW706" s="18"/>
      <c r="DX706" s="18"/>
      <c r="DY706" s="18"/>
      <c r="DZ706" s="18"/>
      <c r="EA706" s="18"/>
      <c r="EB706" s="18"/>
      <c r="EC706" s="18"/>
      <c r="ED706" s="18"/>
      <c r="EE706" s="18"/>
      <c r="EF706" s="18"/>
      <c r="EG706" s="18"/>
      <c r="EH706" s="18"/>
      <c r="EI706" s="18"/>
      <c r="EJ706" s="18"/>
      <c r="EK706" s="18"/>
      <c r="EL706" s="18"/>
      <c r="EM706" s="18"/>
      <c r="EN706" s="18"/>
      <c r="EO706" s="18"/>
      <c r="EP706" s="18"/>
      <c r="EQ706" s="18"/>
      <c r="ER706" s="18"/>
      <c r="ES706" s="18"/>
      <c r="ET706" s="18"/>
      <c r="EU706" s="18"/>
      <c r="EV706" s="18"/>
      <c r="EW706" s="18"/>
      <c r="EX706" s="18"/>
      <c r="EY706" s="18"/>
      <c r="EZ706" s="18"/>
      <c r="FA706" s="18"/>
      <c r="FB706" s="18"/>
      <c r="FC706" s="18"/>
      <c r="FD706" s="18"/>
      <c r="FE706" s="18"/>
      <c r="FF706" s="18"/>
      <c r="FG706" s="18"/>
      <c r="FH706" s="18"/>
      <c r="FI706" s="18"/>
      <c r="FJ706" s="18"/>
      <c r="FK706" s="18"/>
      <c r="FL706" s="18"/>
      <c r="FM706" s="18"/>
      <c r="FN706" s="18"/>
      <c r="FO706" s="18"/>
      <c r="FP706" s="18"/>
      <c r="FQ706" s="18"/>
      <c r="FR706" s="18"/>
      <c r="FS706" s="18"/>
      <c r="FT706" s="18"/>
      <c r="FU706" s="18"/>
      <c r="FV706" s="18"/>
      <c r="FW706" s="18"/>
      <c r="FX706" s="18"/>
      <c r="FY706" s="18"/>
      <c r="FZ706" s="18"/>
      <c r="GA706" s="18"/>
      <c r="GB706" s="18"/>
      <c r="GC706" s="18"/>
      <c r="GD706" s="18"/>
      <c r="GE706" s="18"/>
      <c r="GF706" s="18"/>
      <c r="GG706" s="18"/>
      <c r="GH706" s="18"/>
      <c r="GI706" s="18"/>
      <c r="GJ706" s="18"/>
      <c r="GK706" s="18"/>
      <c r="GL706" s="18"/>
      <c r="GM706" s="18"/>
      <c r="GN706" s="18"/>
      <c r="GO706" s="18"/>
      <c r="GP706" s="18"/>
      <c r="GQ706" s="18"/>
      <c r="GR706" s="18">
        <v>0</v>
      </c>
      <c r="GS706" s="18">
        <v>0</v>
      </c>
      <c r="GT706" s="18" t="s">
        <v>339</v>
      </c>
      <c r="GU706" s="18">
        <v>0</v>
      </c>
      <c r="GV706" s="18"/>
      <c r="GW706" s="18"/>
      <c r="GX706" s="18" t="b">
        <v>0</v>
      </c>
      <c r="GY706" s="18">
        <v>0</v>
      </c>
      <c r="GZ706" s="18" t="b">
        <v>1</v>
      </c>
      <c r="HA706" s="18">
        <v>0</v>
      </c>
      <c r="HB706" s="18">
        <v>0</v>
      </c>
      <c r="HC706" s="18">
        <v>0</v>
      </c>
      <c r="HD706" s="18">
        <v>0</v>
      </c>
      <c r="HE706" s="18" t="b">
        <v>0</v>
      </c>
      <c r="HF706" s="18">
        <v>0</v>
      </c>
      <c r="HG706" s="18">
        <v>0</v>
      </c>
      <c r="HH706" s="18" t="s">
        <v>339</v>
      </c>
      <c r="HI706" s="18" t="s">
        <v>334</v>
      </c>
      <c r="HJ706" s="18">
        <v>0</v>
      </c>
      <c r="HK706" s="18">
        <v>0</v>
      </c>
      <c r="HL706" s="18">
        <v>0</v>
      </c>
      <c r="HM706" s="18">
        <v>0</v>
      </c>
      <c r="HN706" s="18" t="b">
        <v>0</v>
      </c>
    </row>
    <row r="707" spans="1:222">
      <c r="A707"/>
      <c r="B707" s="29" cm="1">
        <f t="array" ref="B707">10000000+INDEX(编号表!$B$1:$B$112,MATCH(D707,编号表!$A$1:$A$112,0))*10000+I707</f>
        <v>10360004</v>
      </c>
      <c r="C707" s="18" t="s">
        <v>517</v>
      </c>
      <c r="D707" s="18" t="s">
        <v>517</v>
      </c>
      <c r="E707" s="18" t="s">
        <v>334</v>
      </c>
      <c r="F707" s="18" t="s">
        <v>370</v>
      </c>
      <c r="G707" s="18" t="b">
        <v>0</v>
      </c>
      <c r="H707" s="18" t="b">
        <v>1</v>
      </c>
      <c r="I707" s="18">
        <v>4</v>
      </c>
      <c r="J707" s="18">
        <v>103600</v>
      </c>
      <c r="K707" s="18" t="s">
        <v>324</v>
      </c>
      <c r="L707" s="18">
        <v>0</v>
      </c>
      <c r="M707" s="18">
        <v>0</v>
      </c>
      <c r="N707" s="18" t="s">
        <v>510</v>
      </c>
      <c r="O707" s="18">
        <v>0</v>
      </c>
      <c r="P707" s="18">
        <v>0</v>
      </c>
      <c r="Q707" s="18">
        <v>0</v>
      </c>
      <c r="R707" s="18">
        <v>0</v>
      </c>
      <c r="S707" s="18">
        <v>0</v>
      </c>
      <c r="T707" s="18">
        <v>0</v>
      </c>
      <c r="U707" s="18"/>
      <c r="V707" s="18">
        <v>0</v>
      </c>
      <c r="W707" s="18">
        <v>0</v>
      </c>
      <c r="X707" s="18" t="s">
        <v>334</v>
      </c>
      <c r="Y707" s="18" t="s">
        <v>378</v>
      </c>
      <c r="Z707" s="18" t="s">
        <v>328</v>
      </c>
      <c r="AA707" s="18">
        <v>0</v>
      </c>
      <c r="AB707" s="18">
        <v>12</v>
      </c>
      <c r="AC707" s="18" t="b">
        <v>0</v>
      </c>
      <c r="AD707" s="18" t="s">
        <v>329</v>
      </c>
      <c r="AE707" s="18">
        <v>300</v>
      </c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 t="s">
        <v>339</v>
      </c>
      <c r="AZ707" s="18">
        <v>11200</v>
      </c>
      <c r="BA707" s="18" t="s">
        <v>346</v>
      </c>
      <c r="BB707" s="18" t="s">
        <v>328</v>
      </c>
      <c r="BC707" s="18">
        <v>10000</v>
      </c>
      <c r="BD707" s="18">
        <v>0</v>
      </c>
      <c r="BE707" s="18" t="s">
        <v>332</v>
      </c>
      <c r="BF707" s="18">
        <v>0</v>
      </c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 t="s">
        <v>347</v>
      </c>
      <c r="CA707" s="18">
        <v>110</v>
      </c>
      <c r="CB707" s="18" t="s">
        <v>348</v>
      </c>
      <c r="CC707" s="18" t="s">
        <v>349</v>
      </c>
      <c r="CD707" s="18" t="b">
        <v>0</v>
      </c>
      <c r="CE707" s="18">
        <v>650</v>
      </c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  <c r="DK707" s="18"/>
      <c r="DL707" s="18"/>
      <c r="DM707" s="18"/>
      <c r="DN707" s="18"/>
      <c r="DO707" s="18"/>
      <c r="DP707" s="18"/>
      <c r="DQ707" s="18"/>
      <c r="DR707" s="18"/>
      <c r="DS707" s="18"/>
      <c r="DT707" s="18"/>
      <c r="DU707" s="18"/>
      <c r="DV707" s="18"/>
      <c r="DW707" s="18"/>
      <c r="DX707" s="18"/>
      <c r="DY707" s="18"/>
      <c r="DZ707" s="18"/>
      <c r="EA707" s="18"/>
      <c r="EB707" s="18"/>
      <c r="EC707" s="18"/>
      <c r="ED707" s="18"/>
      <c r="EE707" s="18"/>
      <c r="EF707" s="18"/>
      <c r="EG707" s="18"/>
      <c r="EH707" s="18"/>
      <c r="EI707" s="18"/>
      <c r="EJ707" s="18"/>
      <c r="EK707" s="18"/>
      <c r="EL707" s="18"/>
      <c r="EM707" s="18"/>
      <c r="EN707" s="18"/>
      <c r="EO707" s="18"/>
      <c r="EP707" s="18"/>
      <c r="EQ707" s="18"/>
      <c r="ER707" s="18"/>
      <c r="ES707" s="18"/>
      <c r="ET707" s="18"/>
      <c r="EU707" s="18"/>
      <c r="EV707" s="18"/>
      <c r="EW707" s="18"/>
      <c r="EX707" s="18"/>
      <c r="EY707" s="18"/>
      <c r="EZ707" s="18"/>
      <c r="FA707" s="18"/>
      <c r="FB707" s="18"/>
      <c r="FC707" s="18"/>
      <c r="FD707" s="18"/>
      <c r="FE707" s="18"/>
      <c r="FF707" s="18"/>
      <c r="FG707" s="18"/>
      <c r="FH707" s="18"/>
      <c r="FI707" s="18"/>
      <c r="FJ707" s="18"/>
      <c r="FK707" s="18"/>
      <c r="FL707" s="18"/>
      <c r="FM707" s="18"/>
      <c r="FN707" s="18"/>
      <c r="FO707" s="18"/>
      <c r="FP707" s="18"/>
      <c r="FQ707" s="18"/>
      <c r="FR707" s="18"/>
      <c r="FS707" s="18"/>
      <c r="FT707" s="18"/>
      <c r="FU707" s="18"/>
      <c r="FV707" s="18"/>
      <c r="FW707" s="18"/>
      <c r="FX707" s="18"/>
      <c r="FY707" s="18"/>
      <c r="FZ707" s="18"/>
      <c r="GA707" s="18"/>
      <c r="GB707" s="18"/>
      <c r="GC707" s="18"/>
      <c r="GD707" s="18"/>
      <c r="GE707" s="18"/>
      <c r="GF707" s="18"/>
      <c r="GG707" s="18"/>
      <c r="GH707" s="18"/>
      <c r="GI707" s="18"/>
      <c r="GJ707" s="18"/>
      <c r="GK707" s="18"/>
      <c r="GL707" s="18"/>
      <c r="GM707" s="18"/>
      <c r="GN707" s="18"/>
      <c r="GO707" s="18"/>
      <c r="GP707" s="18"/>
      <c r="GQ707" s="18"/>
      <c r="GR707" s="18">
        <v>0</v>
      </c>
      <c r="GS707" s="18">
        <v>0</v>
      </c>
      <c r="GT707" s="18" t="s">
        <v>339</v>
      </c>
      <c r="GU707" s="18">
        <v>0</v>
      </c>
      <c r="GV707" s="18"/>
      <c r="GW707" s="18"/>
      <c r="GX707" s="18" t="b">
        <v>0</v>
      </c>
      <c r="GY707" s="18">
        <v>0</v>
      </c>
      <c r="GZ707" s="18" t="b">
        <v>1</v>
      </c>
      <c r="HA707" s="18">
        <v>0</v>
      </c>
      <c r="HB707" s="18">
        <v>0</v>
      </c>
      <c r="HC707" s="18">
        <v>0</v>
      </c>
      <c r="HD707" s="18">
        <v>0</v>
      </c>
      <c r="HE707" s="18" t="b">
        <v>0</v>
      </c>
      <c r="HF707" s="18">
        <v>0</v>
      </c>
      <c r="HG707" s="18">
        <v>0</v>
      </c>
      <c r="HH707" s="18" t="s">
        <v>339</v>
      </c>
      <c r="HI707" s="18" t="s">
        <v>334</v>
      </c>
      <c r="HJ707" s="18">
        <v>0</v>
      </c>
      <c r="HK707" s="18">
        <v>0</v>
      </c>
      <c r="HL707" s="18">
        <v>0</v>
      </c>
      <c r="HM707" s="18">
        <v>0</v>
      </c>
      <c r="HN707" s="18" t="b">
        <v>0</v>
      </c>
    </row>
    <row r="708" spans="1:222">
      <c r="A708"/>
      <c r="B708" s="29" cm="1">
        <f t="array" ref="B708">10000000+INDEX(编号表!$B$1:$B$112,MATCH(D708,编号表!$A$1:$A$112,0))*10000+I708</f>
        <v>10360005</v>
      </c>
      <c r="C708" s="18" t="s">
        <v>517</v>
      </c>
      <c r="D708" s="18" t="s">
        <v>517</v>
      </c>
      <c r="E708" s="18" t="s">
        <v>334</v>
      </c>
      <c r="F708" s="18" t="s">
        <v>370</v>
      </c>
      <c r="G708" s="18" t="b">
        <v>0</v>
      </c>
      <c r="H708" s="18" t="b">
        <v>1</v>
      </c>
      <c r="I708" s="18">
        <v>5</v>
      </c>
      <c r="J708" s="18">
        <v>103600</v>
      </c>
      <c r="K708" s="18" t="s">
        <v>324</v>
      </c>
      <c r="L708" s="18">
        <v>0</v>
      </c>
      <c r="M708" s="18">
        <v>0</v>
      </c>
      <c r="N708" s="18" t="s">
        <v>510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/>
      <c r="V708" s="18">
        <v>0</v>
      </c>
      <c r="W708" s="18">
        <v>0</v>
      </c>
      <c r="X708" s="18" t="s">
        <v>334</v>
      </c>
      <c r="Y708" s="18" t="s">
        <v>378</v>
      </c>
      <c r="Z708" s="18" t="s">
        <v>328</v>
      </c>
      <c r="AA708" s="18">
        <v>0</v>
      </c>
      <c r="AB708" s="18">
        <v>12</v>
      </c>
      <c r="AC708" s="18" t="b">
        <v>0</v>
      </c>
      <c r="AD708" s="18" t="s">
        <v>329</v>
      </c>
      <c r="AE708" s="18">
        <v>300</v>
      </c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 t="s">
        <v>339</v>
      </c>
      <c r="AZ708" s="18">
        <v>11300</v>
      </c>
      <c r="BA708" s="18" t="s">
        <v>346</v>
      </c>
      <c r="BB708" s="18" t="s">
        <v>328</v>
      </c>
      <c r="BC708" s="18">
        <v>10000</v>
      </c>
      <c r="BD708" s="18">
        <v>0</v>
      </c>
      <c r="BE708" s="18" t="s">
        <v>332</v>
      </c>
      <c r="BF708" s="18">
        <v>0</v>
      </c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 t="s">
        <v>347</v>
      </c>
      <c r="CA708" s="18">
        <v>110</v>
      </c>
      <c r="CB708" s="18" t="s">
        <v>348</v>
      </c>
      <c r="CC708" s="18" t="s">
        <v>349</v>
      </c>
      <c r="CD708" s="18" t="b">
        <v>0</v>
      </c>
      <c r="CE708" s="18">
        <v>650</v>
      </c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  <c r="DU708" s="18"/>
      <c r="DV708" s="18"/>
      <c r="DW708" s="18"/>
      <c r="DX708" s="18"/>
      <c r="DY708" s="18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8"/>
      <c r="EM708" s="18"/>
      <c r="EN708" s="18"/>
      <c r="EO708" s="18"/>
      <c r="EP708" s="18"/>
      <c r="EQ708" s="18"/>
      <c r="ER708" s="18"/>
      <c r="ES708" s="18"/>
      <c r="ET708" s="18"/>
      <c r="EU708" s="18"/>
      <c r="EV708" s="18"/>
      <c r="EW708" s="18"/>
      <c r="EX708" s="18"/>
      <c r="EY708" s="18"/>
      <c r="EZ708" s="18"/>
      <c r="FA708" s="18"/>
      <c r="FB708" s="18"/>
      <c r="FC708" s="18"/>
      <c r="FD708" s="18"/>
      <c r="FE708" s="18"/>
      <c r="FF708" s="18"/>
      <c r="FG708" s="18"/>
      <c r="FH708" s="18"/>
      <c r="FI708" s="18"/>
      <c r="FJ708" s="18"/>
      <c r="FK708" s="18"/>
      <c r="FL708" s="18"/>
      <c r="FM708" s="18"/>
      <c r="FN708" s="18"/>
      <c r="FO708" s="18"/>
      <c r="FP708" s="18"/>
      <c r="FQ708" s="18"/>
      <c r="FR708" s="18"/>
      <c r="FS708" s="18"/>
      <c r="FT708" s="18"/>
      <c r="FU708" s="18"/>
      <c r="FV708" s="18"/>
      <c r="FW708" s="18"/>
      <c r="FX708" s="18"/>
      <c r="FY708" s="18"/>
      <c r="FZ708" s="18"/>
      <c r="GA708" s="18"/>
      <c r="GB708" s="18"/>
      <c r="GC708" s="18"/>
      <c r="GD708" s="18"/>
      <c r="GE708" s="18"/>
      <c r="GF708" s="18"/>
      <c r="GG708" s="18"/>
      <c r="GH708" s="18"/>
      <c r="GI708" s="18"/>
      <c r="GJ708" s="18"/>
      <c r="GK708" s="18"/>
      <c r="GL708" s="18"/>
      <c r="GM708" s="18"/>
      <c r="GN708" s="18"/>
      <c r="GO708" s="18"/>
      <c r="GP708" s="18"/>
      <c r="GQ708" s="18"/>
      <c r="GR708" s="18">
        <v>0</v>
      </c>
      <c r="GS708" s="18">
        <v>0</v>
      </c>
      <c r="GT708" s="18" t="s">
        <v>339</v>
      </c>
      <c r="GU708" s="18">
        <v>0</v>
      </c>
      <c r="GV708" s="18"/>
      <c r="GW708" s="18"/>
      <c r="GX708" s="18" t="b">
        <v>0</v>
      </c>
      <c r="GY708" s="18">
        <v>0</v>
      </c>
      <c r="GZ708" s="18" t="b">
        <v>1</v>
      </c>
      <c r="HA708" s="18">
        <v>0</v>
      </c>
      <c r="HB708" s="18">
        <v>0</v>
      </c>
      <c r="HC708" s="18">
        <v>0</v>
      </c>
      <c r="HD708" s="18">
        <v>0</v>
      </c>
      <c r="HE708" s="18" t="b">
        <v>0</v>
      </c>
      <c r="HF708" s="18">
        <v>0</v>
      </c>
      <c r="HG708" s="18">
        <v>0</v>
      </c>
      <c r="HH708" s="18" t="s">
        <v>339</v>
      </c>
      <c r="HI708" s="18" t="s">
        <v>334</v>
      </c>
      <c r="HJ708" s="18">
        <v>0</v>
      </c>
      <c r="HK708" s="18">
        <v>0</v>
      </c>
      <c r="HL708" s="18">
        <v>0</v>
      </c>
      <c r="HM708" s="18">
        <v>0</v>
      </c>
      <c r="HN708" s="18" t="b">
        <v>0</v>
      </c>
    </row>
    <row r="709" spans="1:222">
      <c r="A709"/>
      <c r="B709" s="29" cm="1">
        <f t="array" ref="B709">10000000+INDEX(编号表!$B$1:$B$112,MATCH(D709,编号表!$A$1:$A$112,0))*10000+I709</f>
        <v>10360006</v>
      </c>
      <c r="C709" s="18" t="s">
        <v>517</v>
      </c>
      <c r="D709" s="18" t="s">
        <v>517</v>
      </c>
      <c r="E709" s="18" t="s">
        <v>334</v>
      </c>
      <c r="F709" s="18" t="s">
        <v>370</v>
      </c>
      <c r="G709" s="18" t="b">
        <v>0</v>
      </c>
      <c r="H709" s="18" t="b">
        <v>1</v>
      </c>
      <c r="I709" s="18">
        <v>6</v>
      </c>
      <c r="J709" s="18">
        <v>103600</v>
      </c>
      <c r="K709" s="18" t="s">
        <v>324</v>
      </c>
      <c r="L709" s="18">
        <v>0</v>
      </c>
      <c r="M709" s="18">
        <v>0</v>
      </c>
      <c r="N709" s="18" t="s">
        <v>510</v>
      </c>
      <c r="O709" s="18">
        <v>0</v>
      </c>
      <c r="P709" s="18">
        <v>0</v>
      </c>
      <c r="Q709" s="18">
        <v>0</v>
      </c>
      <c r="R709" s="18">
        <v>0</v>
      </c>
      <c r="S709" s="18">
        <v>0</v>
      </c>
      <c r="T709" s="18">
        <v>0</v>
      </c>
      <c r="U709" s="18"/>
      <c r="V709" s="18">
        <v>0</v>
      </c>
      <c r="W709" s="18">
        <v>0</v>
      </c>
      <c r="X709" s="18" t="s">
        <v>334</v>
      </c>
      <c r="Y709" s="18" t="s">
        <v>378</v>
      </c>
      <c r="Z709" s="18" t="s">
        <v>328</v>
      </c>
      <c r="AA709" s="18">
        <v>0</v>
      </c>
      <c r="AB709" s="18">
        <v>12</v>
      </c>
      <c r="AC709" s="18" t="b">
        <v>0</v>
      </c>
      <c r="AD709" s="18" t="s">
        <v>329</v>
      </c>
      <c r="AE709" s="18">
        <v>300</v>
      </c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 t="s">
        <v>339</v>
      </c>
      <c r="AZ709" s="18">
        <v>11600</v>
      </c>
      <c r="BA709" s="18" t="s">
        <v>346</v>
      </c>
      <c r="BB709" s="18" t="s">
        <v>328</v>
      </c>
      <c r="BC709" s="18">
        <v>10000</v>
      </c>
      <c r="BD709" s="18">
        <v>0</v>
      </c>
      <c r="BE709" s="18" t="s">
        <v>332</v>
      </c>
      <c r="BF709" s="18">
        <v>0</v>
      </c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 t="s">
        <v>347</v>
      </c>
      <c r="CA709" s="18">
        <v>110</v>
      </c>
      <c r="CB709" s="18" t="s">
        <v>348</v>
      </c>
      <c r="CC709" s="18" t="s">
        <v>349</v>
      </c>
      <c r="CD709" s="18" t="b">
        <v>0</v>
      </c>
      <c r="CE709" s="18">
        <v>650</v>
      </c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  <c r="DU709" s="18"/>
      <c r="DV709" s="18"/>
      <c r="DW709" s="18"/>
      <c r="DX709" s="18"/>
      <c r="DY709" s="18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8"/>
      <c r="EM709" s="18"/>
      <c r="EN709" s="18"/>
      <c r="EO709" s="18"/>
      <c r="EP709" s="18"/>
      <c r="EQ709" s="18"/>
      <c r="ER709" s="18"/>
      <c r="ES709" s="18"/>
      <c r="ET709" s="18"/>
      <c r="EU709" s="18"/>
      <c r="EV709" s="18"/>
      <c r="EW709" s="18"/>
      <c r="EX709" s="18"/>
      <c r="EY709" s="18"/>
      <c r="EZ709" s="18"/>
      <c r="FA709" s="18"/>
      <c r="FB709" s="18"/>
      <c r="FC709" s="18"/>
      <c r="FD709" s="18"/>
      <c r="FE709" s="18"/>
      <c r="FF709" s="18"/>
      <c r="FG709" s="18"/>
      <c r="FH709" s="18"/>
      <c r="FI709" s="18"/>
      <c r="FJ709" s="18"/>
      <c r="FK709" s="18"/>
      <c r="FL709" s="18"/>
      <c r="FM709" s="18"/>
      <c r="FN709" s="18"/>
      <c r="FO709" s="18"/>
      <c r="FP709" s="18"/>
      <c r="FQ709" s="18"/>
      <c r="FR709" s="18"/>
      <c r="FS709" s="18"/>
      <c r="FT709" s="18"/>
      <c r="FU709" s="18"/>
      <c r="FV709" s="18"/>
      <c r="FW709" s="18"/>
      <c r="FX709" s="18"/>
      <c r="FY709" s="18"/>
      <c r="FZ709" s="18"/>
      <c r="GA709" s="18"/>
      <c r="GB709" s="18"/>
      <c r="GC709" s="18"/>
      <c r="GD709" s="18"/>
      <c r="GE709" s="18"/>
      <c r="GF709" s="18"/>
      <c r="GG709" s="18"/>
      <c r="GH709" s="18"/>
      <c r="GI709" s="18"/>
      <c r="GJ709" s="18"/>
      <c r="GK709" s="18"/>
      <c r="GL709" s="18"/>
      <c r="GM709" s="18"/>
      <c r="GN709" s="18"/>
      <c r="GO709" s="18"/>
      <c r="GP709" s="18"/>
      <c r="GQ709" s="18"/>
      <c r="GR709" s="18">
        <v>0</v>
      </c>
      <c r="GS709" s="18">
        <v>0</v>
      </c>
      <c r="GT709" s="18" t="s">
        <v>339</v>
      </c>
      <c r="GU709" s="18">
        <v>0</v>
      </c>
      <c r="GV709" s="18"/>
      <c r="GW709" s="18"/>
      <c r="GX709" s="18" t="b">
        <v>0</v>
      </c>
      <c r="GY709" s="18">
        <v>0</v>
      </c>
      <c r="GZ709" s="18" t="b">
        <v>1</v>
      </c>
      <c r="HA709" s="18">
        <v>0</v>
      </c>
      <c r="HB709" s="18">
        <v>0</v>
      </c>
      <c r="HC709" s="18">
        <v>0</v>
      </c>
      <c r="HD709" s="18">
        <v>0</v>
      </c>
      <c r="HE709" s="18" t="b">
        <v>0</v>
      </c>
      <c r="HF709" s="18">
        <v>0</v>
      </c>
      <c r="HG709" s="18">
        <v>0</v>
      </c>
      <c r="HH709" s="18" t="s">
        <v>339</v>
      </c>
      <c r="HI709" s="18" t="s">
        <v>334</v>
      </c>
      <c r="HJ709" s="18">
        <v>0</v>
      </c>
      <c r="HK709" s="18">
        <v>0</v>
      </c>
      <c r="HL709" s="18">
        <v>0</v>
      </c>
      <c r="HM709" s="18">
        <v>0</v>
      </c>
      <c r="HN709" s="18" t="b">
        <v>0</v>
      </c>
    </row>
    <row r="710" spans="1:222">
      <c r="A710"/>
      <c r="B710" s="29" cm="1">
        <f t="array" ref="B710">10000000+INDEX(编号表!$B$1:$B$112,MATCH(D710,编号表!$A$1:$A$112,0))*10000+I710</f>
        <v>10360007</v>
      </c>
      <c r="C710" s="18" t="s">
        <v>517</v>
      </c>
      <c r="D710" s="18" t="s">
        <v>517</v>
      </c>
      <c r="E710" s="18" t="s">
        <v>334</v>
      </c>
      <c r="F710" s="18" t="s">
        <v>370</v>
      </c>
      <c r="G710" s="18" t="b">
        <v>0</v>
      </c>
      <c r="H710" s="18" t="b">
        <v>1</v>
      </c>
      <c r="I710" s="18">
        <v>7</v>
      </c>
      <c r="J710" s="18">
        <v>103600</v>
      </c>
      <c r="K710" s="18" t="s">
        <v>324</v>
      </c>
      <c r="L710" s="18">
        <v>0</v>
      </c>
      <c r="M710" s="18">
        <v>0</v>
      </c>
      <c r="N710" s="18" t="s">
        <v>510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/>
      <c r="V710" s="18">
        <v>0</v>
      </c>
      <c r="W710" s="18">
        <v>0</v>
      </c>
      <c r="X710" s="18" t="s">
        <v>334</v>
      </c>
      <c r="Y710" s="18" t="s">
        <v>378</v>
      </c>
      <c r="Z710" s="18" t="s">
        <v>328</v>
      </c>
      <c r="AA710" s="18">
        <v>0</v>
      </c>
      <c r="AB710" s="18">
        <v>12</v>
      </c>
      <c r="AC710" s="18" t="b">
        <v>0</v>
      </c>
      <c r="AD710" s="18" t="s">
        <v>329</v>
      </c>
      <c r="AE710" s="18">
        <v>300</v>
      </c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 t="s">
        <v>339</v>
      </c>
      <c r="AZ710" s="18">
        <v>11700</v>
      </c>
      <c r="BA710" s="18" t="s">
        <v>346</v>
      </c>
      <c r="BB710" s="18" t="s">
        <v>328</v>
      </c>
      <c r="BC710" s="18">
        <v>10000</v>
      </c>
      <c r="BD710" s="18">
        <v>0</v>
      </c>
      <c r="BE710" s="18" t="s">
        <v>332</v>
      </c>
      <c r="BF710" s="18">
        <v>0</v>
      </c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 t="s">
        <v>347</v>
      </c>
      <c r="CA710" s="18">
        <v>110</v>
      </c>
      <c r="CB710" s="18" t="s">
        <v>348</v>
      </c>
      <c r="CC710" s="18" t="s">
        <v>349</v>
      </c>
      <c r="CD710" s="18" t="b">
        <v>0</v>
      </c>
      <c r="CE710" s="18">
        <v>650</v>
      </c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  <c r="DK710" s="18"/>
      <c r="DL710" s="18"/>
      <c r="DM710" s="18"/>
      <c r="DN710" s="18"/>
      <c r="DO710" s="18"/>
      <c r="DP710" s="18"/>
      <c r="DQ710" s="18"/>
      <c r="DR710" s="18"/>
      <c r="DS710" s="18"/>
      <c r="DT710" s="18"/>
      <c r="DU710" s="18"/>
      <c r="DV710" s="18"/>
      <c r="DW710" s="18"/>
      <c r="DX710" s="18"/>
      <c r="DY710" s="18"/>
      <c r="DZ710" s="18"/>
      <c r="EA710" s="18"/>
      <c r="EB710" s="18"/>
      <c r="EC710" s="18"/>
      <c r="ED710" s="18"/>
      <c r="EE710" s="18"/>
      <c r="EF710" s="18"/>
      <c r="EG710" s="18"/>
      <c r="EH710" s="18"/>
      <c r="EI710" s="18"/>
      <c r="EJ710" s="18"/>
      <c r="EK710" s="18"/>
      <c r="EL710" s="18"/>
      <c r="EM710" s="18"/>
      <c r="EN710" s="18"/>
      <c r="EO710" s="18"/>
      <c r="EP710" s="18"/>
      <c r="EQ710" s="18"/>
      <c r="ER710" s="18"/>
      <c r="ES710" s="18"/>
      <c r="ET710" s="18"/>
      <c r="EU710" s="18"/>
      <c r="EV710" s="18"/>
      <c r="EW710" s="18"/>
      <c r="EX710" s="18"/>
      <c r="EY710" s="18"/>
      <c r="EZ710" s="18"/>
      <c r="FA710" s="18"/>
      <c r="FB710" s="18"/>
      <c r="FC710" s="18"/>
      <c r="FD710" s="18"/>
      <c r="FE710" s="18"/>
      <c r="FF710" s="18"/>
      <c r="FG710" s="18"/>
      <c r="FH710" s="18"/>
      <c r="FI710" s="18"/>
      <c r="FJ710" s="18"/>
      <c r="FK710" s="18"/>
      <c r="FL710" s="18"/>
      <c r="FM710" s="18"/>
      <c r="FN710" s="18"/>
      <c r="FO710" s="18"/>
      <c r="FP710" s="18"/>
      <c r="FQ710" s="18"/>
      <c r="FR710" s="18"/>
      <c r="FS710" s="18"/>
      <c r="FT710" s="18"/>
      <c r="FU710" s="18"/>
      <c r="FV710" s="18"/>
      <c r="FW710" s="18"/>
      <c r="FX710" s="18"/>
      <c r="FY710" s="18"/>
      <c r="FZ710" s="18"/>
      <c r="GA710" s="18"/>
      <c r="GB710" s="18"/>
      <c r="GC710" s="18"/>
      <c r="GD710" s="18"/>
      <c r="GE710" s="18"/>
      <c r="GF710" s="18"/>
      <c r="GG710" s="18"/>
      <c r="GH710" s="18"/>
      <c r="GI710" s="18"/>
      <c r="GJ710" s="18"/>
      <c r="GK710" s="18"/>
      <c r="GL710" s="18"/>
      <c r="GM710" s="18"/>
      <c r="GN710" s="18"/>
      <c r="GO710" s="18"/>
      <c r="GP710" s="18"/>
      <c r="GQ710" s="18"/>
      <c r="GR710" s="18">
        <v>0</v>
      </c>
      <c r="GS710" s="18">
        <v>0</v>
      </c>
      <c r="GT710" s="18" t="s">
        <v>339</v>
      </c>
      <c r="GU710" s="18">
        <v>0</v>
      </c>
      <c r="GV710" s="18"/>
      <c r="GW710" s="18"/>
      <c r="GX710" s="18" t="b">
        <v>0</v>
      </c>
      <c r="GY710" s="18">
        <v>0</v>
      </c>
      <c r="GZ710" s="18" t="b">
        <v>1</v>
      </c>
      <c r="HA710" s="18">
        <v>0</v>
      </c>
      <c r="HB710" s="18">
        <v>0</v>
      </c>
      <c r="HC710" s="18">
        <v>0</v>
      </c>
      <c r="HD710" s="18">
        <v>0</v>
      </c>
      <c r="HE710" s="18" t="b">
        <v>0</v>
      </c>
      <c r="HF710" s="18">
        <v>0</v>
      </c>
      <c r="HG710" s="18">
        <v>0</v>
      </c>
      <c r="HH710" s="18" t="s">
        <v>339</v>
      </c>
      <c r="HI710" s="18" t="s">
        <v>334</v>
      </c>
      <c r="HJ710" s="18">
        <v>0</v>
      </c>
      <c r="HK710" s="18">
        <v>0</v>
      </c>
      <c r="HL710" s="18">
        <v>0</v>
      </c>
      <c r="HM710" s="18">
        <v>0</v>
      </c>
      <c r="HN710" s="18" t="b">
        <v>0</v>
      </c>
    </row>
    <row r="711" spans="1:222">
      <c r="A711"/>
      <c r="B711" s="29" cm="1">
        <f t="array" ref="B711">10000000+INDEX(编号表!$B$1:$B$112,MATCH(D711,编号表!$A$1:$A$112,0))*10000+I711</f>
        <v>10360008</v>
      </c>
      <c r="C711" s="18" t="s">
        <v>517</v>
      </c>
      <c r="D711" s="18" t="s">
        <v>517</v>
      </c>
      <c r="E711" s="18" t="s">
        <v>334</v>
      </c>
      <c r="F711" s="18" t="s">
        <v>370</v>
      </c>
      <c r="G711" s="18" t="b">
        <v>0</v>
      </c>
      <c r="H711" s="18" t="b">
        <v>1</v>
      </c>
      <c r="I711" s="18">
        <v>8</v>
      </c>
      <c r="J711" s="18">
        <v>103600</v>
      </c>
      <c r="K711" s="18" t="s">
        <v>324</v>
      </c>
      <c r="L711" s="18">
        <v>0</v>
      </c>
      <c r="M711" s="18">
        <v>0</v>
      </c>
      <c r="N711" s="18" t="s">
        <v>510</v>
      </c>
      <c r="O711" s="18">
        <v>0</v>
      </c>
      <c r="P711" s="18">
        <v>0</v>
      </c>
      <c r="Q711" s="18">
        <v>0</v>
      </c>
      <c r="R711" s="18">
        <v>0</v>
      </c>
      <c r="S711" s="18">
        <v>0</v>
      </c>
      <c r="T711" s="18">
        <v>0</v>
      </c>
      <c r="U711" s="18"/>
      <c r="V711" s="18">
        <v>0</v>
      </c>
      <c r="W711" s="18">
        <v>0</v>
      </c>
      <c r="X711" s="18" t="s">
        <v>334</v>
      </c>
      <c r="Y711" s="18" t="s">
        <v>378</v>
      </c>
      <c r="Z711" s="18" t="s">
        <v>328</v>
      </c>
      <c r="AA711" s="18">
        <v>0</v>
      </c>
      <c r="AB711" s="18">
        <v>12</v>
      </c>
      <c r="AC711" s="18" t="b">
        <v>0</v>
      </c>
      <c r="AD711" s="18" t="s">
        <v>329</v>
      </c>
      <c r="AE711" s="18">
        <v>300</v>
      </c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 t="s">
        <v>339</v>
      </c>
      <c r="AZ711" s="18">
        <v>11800</v>
      </c>
      <c r="BA711" s="18" t="s">
        <v>346</v>
      </c>
      <c r="BB711" s="18" t="s">
        <v>328</v>
      </c>
      <c r="BC711" s="18">
        <v>10000</v>
      </c>
      <c r="BD711" s="18">
        <v>0</v>
      </c>
      <c r="BE711" s="18" t="s">
        <v>332</v>
      </c>
      <c r="BF711" s="18">
        <v>0</v>
      </c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 t="s">
        <v>347</v>
      </c>
      <c r="CA711" s="18">
        <v>110</v>
      </c>
      <c r="CB711" s="18" t="s">
        <v>348</v>
      </c>
      <c r="CC711" s="18" t="s">
        <v>349</v>
      </c>
      <c r="CD711" s="18" t="b">
        <v>0</v>
      </c>
      <c r="CE711" s="18">
        <v>650</v>
      </c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  <c r="DK711" s="18"/>
      <c r="DL711" s="18"/>
      <c r="DM711" s="18"/>
      <c r="DN711" s="18"/>
      <c r="DO711" s="18"/>
      <c r="DP711" s="18"/>
      <c r="DQ711" s="18"/>
      <c r="DR711" s="18"/>
      <c r="DS711" s="18"/>
      <c r="DT711" s="18"/>
      <c r="DU711" s="18"/>
      <c r="DV711" s="18"/>
      <c r="DW711" s="18"/>
      <c r="DX711" s="18"/>
      <c r="DY711" s="18"/>
      <c r="DZ711" s="18"/>
      <c r="EA711" s="18"/>
      <c r="EB711" s="18"/>
      <c r="EC711" s="18"/>
      <c r="ED711" s="18"/>
      <c r="EE711" s="18"/>
      <c r="EF711" s="18"/>
      <c r="EG711" s="18"/>
      <c r="EH711" s="18"/>
      <c r="EI711" s="18"/>
      <c r="EJ711" s="18"/>
      <c r="EK711" s="18"/>
      <c r="EL711" s="18"/>
      <c r="EM711" s="18"/>
      <c r="EN711" s="18"/>
      <c r="EO711" s="18"/>
      <c r="EP711" s="18"/>
      <c r="EQ711" s="18"/>
      <c r="ER711" s="18"/>
      <c r="ES711" s="18"/>
      <c r="ET711" s="18"/>
      <c r="EU711" s="18"/>
      <c r="EV711" s="18"/>
      <c r="EW711" s="18"/>
      <c r="EX711" s="18"/>
      <c r="EY711" s="18"/>
      <c r="EZ711" s="18"/>
      <c r="FA711" s="18"/>
      <c r="FB711" s="18"/>
      <c r="FC711" s="18"/>
      <c r="FD711" s="18"/>
      <c r="FE711" s="18"/>
      <c r="FF711" s="18"/>
      <c r="FG711" s="18"/>
      <c r="FH711" s="18"/>
      <c r="FI711" s="18"/>
      <c r="FJ711" s="18"/>
      <c r="FK711" s="18"/>
      <c r="FL711" s="18"/>
      <c r="FM711" s="18"/>
      <c r="FN711" s="18"/>
      <c r="FO711" s="18"/>
      <c r="FP711" s="18"/>
      <c r="FQ711" s="18"/>
      <c r="FR711" s="18"/>
      <c r="FS711" s="18"/>
      <c r="FT711" s="18"/>
      <c r="FU711" s="18"/>
      <c r="FV711" s="18"/>
      <c r="FW711" s="18"/>
      <c r="FX711" s="18"/>
      <c r="FY711" s="18"/>
      <c r="FZ711" s="18"/>
      <c r="GA711" s="18"/>
      <c r="GB711" s="18"/>
      <c r="GC711" s="18"/>
      <c r="GD711" s="18"/>
      <c r="GE711" s="18"/>
      <c r="GF711" s="18"/>
      <c r="GG711" s="18"/>
      <c r="GH711" s="18"/>
      <c r="GI711" s="18"/>
      <c r="GJ711" s="18"/>
      <c r="GK711" s="18"/>
      <c r="GL711" s="18"/>
      <c r="GM711" s="18"/>
      <c r="GN711" s="18"/>
      <c r="GO711" s="18"/>
      <c r="GP711" s="18"/>
      <c r="GQ711" s="18"/>
      <c r="GR711" s="18">
        <v>0</v>
      </c>
      <c r="GS711" s="18">
        <v>0</v>
      </c>
      <c r="GT711" s="18" t="s">
        <v>339</v>
      </c>
      <c r="GU711" s="18">
        <v>0</v>
      </c>
      <c r="GV711" s="18"/>
      <c r="GW711" s="18"/>
      <c r="GX711" s="18" t="b">
        <v>0</v>
      </c>
      <c r="GY711" s="18">
        <v>0</v>
      </c>
      <c r="GZ711" s="18" t="b">
        <v>1</v>
      </c>
      <c r="HA711" s="18">
        <v>0</v>
      </c>
      <c r="HB711" s="18">
        <v>0</v>
      </c>
      <c r="HC711" s="18">
        <v>0</v>
      </c>
      <c r="HD711" s="18">
        <v>0</v>
      </c>
      <c r="HE711" s="18" t="b">
        <v>0</v>
      </c>
      <c r="HF711" s="18">
        <v>0</v>
      </c>
      <c r="HG711" s="18">
        <v>0</v>
      </c>
      <c r="HH711" s="18" t="s">
        <v>339</v>
      </c>
      <c r="HI711" s="18" t="s">
        <v>334</v>
      </c>
      <c r="HJ711" s="18">
        <v>0</v>
      </c>
      <c r="HK711" s="18">
        <v>0</v>
      </c>
      <c r="HL711" s="18">
        <v>0</v>
      </c>
      <c r="HM711" s="18">
        <v>0</v>
      </c>
      <c r="HN711" s="18" t="b">
        <v>0</v>
      </c>
    </row>
    <row r="712" spans="1:222">
      <c r="A712"/>
      <c r="B712" s="29" cm="1">
        <f t="array" ref="B712">10000000+INDEX(编号表!$B$1:$B$112,MATCH(D712,编号表!$A$1:$A$112,0))*10000+I712</f>
        <v>10360009</v>
      </c>
      <c r="C712" s="18" t="s">
        <v>517</v>
      </c>
      <c r="D712" s="18" t="s">
        <v>517</v>
      </c>
      <c r="E712" s="18" t="s">
        <v>334</v>
      </c>
      <c r="F712" s="18" t="s">
        <v>370</v>
      </c>
      <c r="G712" s="18" t="b">
        <v>0</v>
      </c>
      <c r="H712" s="18" t="b">
        <v>1</v>
      </c>
      <c r="I712" s="18">
        <v>9</v>
      </c>
      <c r="J712" s="18">
        <v>103600</v>
      </c>
      <c r="K712" s="18" t="s">
        <v>324</v>
      </c>
      <c r="L712" s="18">
        <v>0</v>
      </c>
      <c r="M712" s="18">
        <v>0</v>
      </c>
      <c r="N712" s="18" t="s">
        <v>510</v>
      </c>
      <c r="O712" s="18">
        <v>0</v>
      </c>
      <c r="P712" s="18">
        <v>0</v>
      </c>
      <c r="Q712" s="18">
        <v>0</v>
      </c>
      <c r="R712" s="18">
        <v>0</v>
      </c>
      <c r="S712" s="18">
        <v>0</v>
      </c>
      <c r="T712" s="18">
        <v>0</v>
      </c>
      <c r="U712" s="18"/>
      <c r="V712" s="18">
        <v>0</v>
      </c>
      <c r="W712" s="18">
        <v>0</v>
      </c>
      <c r="X712" s="18" t="s">
        <v>334</v>
      </c>
      <c r="Y712" s="18" t="s">
        <v>378</v>
      </c>
      <c r="Z712" s="18" t="s">
        <v>328</v>
      </c>
      <c r="AA712" s="18">
        <v>0</v>
      </c>
      <c r="AB712" s="18">
        <v>12</v>
      </c>
      <c r="AC712" s="18" t="b">
        <v>0</v>
      </c>
      <c r="AD712" s="18" t="s">
        <v>329</v>
      </c>
      <c r="AE712" s="18">
        <v>300</v>
      </c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 t="s">
        <v>339</v>
      </c>
      <c r="AZ712" s="18">
        <v>11900</v>
      </c>
      <c r="BA712" s="18" t="s">
        <v>346</v>
      </c>
      <c r="BB712" s="18" t="s">
        <v>328</v>
      </c>
      <c r="BC712" s="18">
        <v>10000</v>
      </c>
      <c r="BD712" s="18">
        <v>0</v>
      </c>
      <c r="BE712" s="18" t="s">
        <v>332</v>
      </c>
      <c r="BF712" s="18">
        <v>0</v>
      </c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 t="s">
        <v>347</v>
      </c>
      <c r="CA712" s="18">
        <v>110</v>
      </c>
      <c r="CB712" s="18" t="s">
        <v>348</v>
      </c>
      <c r="CC712" s="18" t="s">
        <v>349</v>
      </c>
      <c r="CD712" s="18" t="b">
        <v>0</v>
      </c>
      <c r="CE712" s="18">
        <v>650</v>
      </c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  <c r="DK712" s="18"/>
      <c r="DL712" s="18"/>
      <c r="DM712" s="18"/>
      <c r="DN712" s="18"/>
      <c r="DO712" s="18"/>
      <c r="DP712" s="18"/>
      <c r="DQ712" s="18"/>
      <c r="DR712" s="18"/>
      <c r="DS712" s="18"/>
      <c r="DT712" s="18"/>
      <c r="DU712" s="18"/>
      <c r="DV712" s="18"/>
      <c r="DW712" s="18"/>
      <c r="DX712" s="18"/>
      <c r="DY712" s="18"/>
      <c r="DZ712" s="18"/>
      <c r="EA712" s="18"/>
      <c r="EB712" s="18"/>
      <c r="EC712" s="18"/>
      <c r="ED712" s="18"/>
      <c r="EE712" s="18"/>
      <c r="EF712" s="18"/>
      <c r="EG712" s="18"/>
      <c r="EH712" s="18"/>
      <c r="EI712" s="18"/>
      <c r="EJ712" s="18"/>
      <c r="EK712" s="18"/>
      <c r="EL712" s="18"/>
      <c r="EM712" s="18"/>
      <c r="EN712" s="18"/>
      <c r="EO712" s="18"/>
      <c r="EP712" s="18"/>
      <c r="EQ712" s="18"/>
      <c r="ER712" s="18"/>
      <c r="ES712" s="18"/>
      <c r="ET712" s="18"/>
      <c r="EU712" s="18"/>
      <c r="EV712" s="18"/>
      <c r="EW712" s="18"/>
      <c r="EX712" s="18"/>
      <c r="EY712" s="18"/>
      <c r="EZ712" s="18"/>
      <c r="FA712" s="18"/>
      <c r="FB712" s="18"/>
      <c r="FC712" s="18"/>
      <c r="FD712" s="18"/>
      <c r="FE712" s="18"/>
      <c r="FF712" s="18"/>
      <c r="FG712" s="18"/>
      <c r="FH712" s="18"/>
      <c r="FI712" s="18"/>
      <c r="FJ712" s="18"/>
      <c r="FK712" s="18"/>
      <c r="FL712" s="18"/>
      <c r="FM712" s="18"/>
      <c r="FN712" s="18"/>
      <c r="FO712" s="18"/>
      <c r="FP712" s="18"/>
      <c r="FQ712" s="18"/>
      <c r="FR712" s="18"/>
      <c r="FS712" s="18"/>
      <c r="FT712" s="18"/>
      <c r="FU712" s="18"/>
      <c r="FV712" s="18"/>
      <c r="FW712" s="18"/>
      <c r="FX712" s="18"/>
      <c r="FY712" s="18"/>
      <c r="FZ712" s="18"/>
      <c r="GA712" s="18"/>
      <c r="GB712" s="18"/>
      <c r="GC712" s="18"/>
      <c r="GD712" s="18"/>
      <c r="GE712" s="18"/>
      <c r="GF712" s="18"/>
      <c r="GG712" s="18"/>
      <c r="GH712" s="18"/>
      <c r="GI712" s="18"/>
      <c r="GJ712" s="18"/>
      <c r="GK712" s="18"/>
      <c r="GL712" s="18"/>
      <c r="GM712" s="18"/>
      <c r="GN712" s="18"/>
      <c r="GO712" s="18"/>
      <c r="GP712" s="18"/>
      <c r="GQ712" s="18"/>
      <c r="GR712" s="18">
        <v>0</v>
      </c>
      <c r="GS712" s="18">
        <v>0</v>
      </c>
      <c r="GT712" s="18" t="s">
        <v>339</v>
      </c>
      <c r="GU712" s="18">
        <v>0</v>
      </c>
      <c r="GV712" s="18"/>
      <c r="GW712" s="18"/>
      <c r="GX712" s="18" t="b">
        <v>0</v>
      </c>
      <c r="GY712" s="18">
        <v>0</v>
      </c>
      <c r="GZ712" s="18" t="b">
        <v>1</v>
      </c>
      <c r="HA712" s="18">
        <v>0</v>
      </c>
      <c r="HB712" s="18">
        <v>0</v>
      </c>
      <c r="HC712" s="18">
        <v>0</v>
      </c>
      <c r="HD712" s="18">
        <v>0</v>
      </c>
      <c r="HE712" s="18" t="b">
        <v>0</v>
      </c>
      <c r="HF712" s="18">
        <v>0</v>
      </c>
      <c r="HG712" s="18">
        <v>0</v>
      </c>
      <c r="HH712" s="18" t="s">
        <v>339</v>
      </c>
      <c r="HI712" s="18" t="s">
        <v>334</v>
      </c>
      <c r="HJ712" s="18">
        <v>0</v>
      </c>
      <c r="HK712" s="18">
        <v>0</v>
      </c>
      <c r="HL712" s="18">
        <v>0</v>
      </c>
      <c r="HM712" s="18">
        <v>0</v>
      </c>
      <c r="HN712" s="18" t="b">
        <v>0</v>
      </c>
    </row>
    <row r="713" spans="1:222">
      <c r="A713"/>
      <c r="B713" s="29" cm="1">
        <f t="array" ref="B713">10000000+INDEX(编号表!$B$1:$B$112,MATCH(D713,编号表!$A$1:$A$112,0))*10000+I713</f>
        <v>10360010</v>
      </c>
      <c r="C713" s="18" t="s">
        <v>517</v>
      </c>
      <c r="D713" s="18" t="s">
        <v>517</v>
      </c>
      <c r="E713" s="18" t="s">
        <v>334</v>
      </c>
      <c r="F713" s="18" t="s">
        <v>370</v>
      </c>
      <c r="G713" s="18" t="b">
        <v>0</v>
      </c>
      <c r="H713" s="18" t="b">
        <v>1</v>
      </c>
      <c r="I713" s="18">
        <v>10</v>
      </c>
      <c r="J713" s="18">
        <v>103600</v>
      </c>
      <c r="K713" s="18" t="s">
        <v>324</v>
      </c>
      <c r="L713" s="18">
        <v>0</v>
      </c>
      <c r="M713" s="18">
        <v>0</v>
      </c>
      <c r="N713" s="18" t="s">
        <v>510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/>
      <c r="V713" s="18">
        <v>0</v>
      </c>
      <c r="W713" s="18">
        <v>0</v>
      </c>
      <c r="X713" s="18" t="s">
        <v>334</v>
      </c>
      <c r="Y713" s="18" t="s">
        <v>378</v>
      </c>
      <c r="Z713" s="18" t="s">
        <v>328</v>
      </c>
      <c r="AA713" s="18">
        <v>0</v>
      </c>
      <c r="AB713" s="18">
        <v>12</v>
      </c>
      <c r="AC713" s="18" t="b">
        <v>0</v>
      </c>
      <c r="AD713" s="18" t="s">
        <v>329</v>
      </c>
      <c r="AE713" s="18">
        <v>300</v>
      </c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 t="s">
        <v>339</v>
      </c>
      <c r="AZ713" s="18">
        <v>12000</v>
      </c>
      <c r="BA713" s="18" t="s">
        <v>346</v>
      </c>
      <c r="BB713" s="18" t="s">
        <v>328</v>
      </c>
      <c r="BC713" s="18">
        <v>10000</v>
      </c>
      <c r="BD713" s="18">
        <v>0</v>
      </c>
      <c r="BE713" s="18" t="s">
        <v>332</v>
      </c>
      <c r="BF713" s="18">
        <v>0</v>
      </c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 t="s">
        <v>347</v>
      </c>
      <c r="CA713" s="18">
        <v>110</v>
      </c>
      <c r="CB713" s="18" t="s">
        <v>348</v>
      </c>
      <c r="CC713" s="18" t="s">
        <v>349</v>
      </c>
      <c r="CD713" s="18" t="b">
        <v>0</v>
      </c>
      <c r="CE713" s="18">
        <v>650</v>
      </c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  <c r="DK713" s="18"/>
      <c r="DL713" s="18"/>
      <c r="DM713" s="18"/>
      <c r="DN713" s="18"/>
      <c r="DO713" s="18"/>
      <c r="DP713" s="18"/>
      <c r="DQ713" s="18"/>
      <c r="DR713" s="18"/>
      <c r="DS713" s="18"/>
      <c r="DT713" s="18"/>
      <c r="DU713" s="18"/>
      <c r="DV713" s="18"/>
      <c r="DW713" s="18"/>
      <c r="DX713" s="18"/>
      <c r="DY713" s="18"/>
      <c r="DZ713" s="18"/>
      <c r="EA713" s="18"/>
      <c r="EB713" s="18"/>
      <c r="EC713" s="18"/>
      <c r="ED713" s="18"/>
      <c r="EE713" s="18"/>
      <c r="EF713" s="18"/>
      <c r="EG713" s="18"/>
      <c r="EH713" s="18"/>
      <c r="EI713" s="18"/>
      <c r="EJ713" s="18"/>
      <c r="EK713" s="18"/>
      <c r="EL713" s="18"/>
      <c r="EM713" s="18"/>
      <c r="EN713" s="18"/>
      <c r="EO713" s="18"/>
      <c r="EP713" s="18"/>
      <c r="EQ713" s="18"/>
      <c r="ER713" s="18"/>
      <c r="ES713" s="18"/>
      <c r="ET713" s="18"/>
      <c r="EU713" s="18"/>
      <c r="EV713" s="18"/>
      <c r="EW713" s="18"/>
      <c r="EX713" s="18"/>
      <c r="EY713" s="18"/>
      <c r="EZ713" s="18"/>
      <c r="FA713" s="18"/>
      <c r="FB713" s="18"/>
      <c r="FC713" s="18"/>
      <c r="FD713" s="18"/>
      <c r="FE713" s="18"/>
      <c r="FF713" s="18"/>
      <c r="FG713" s="18"/>
      <c r="FH713" s="18"/>
      <c r="FI713" s="18"/>
      <c r="FJ713" s="18"/>
      <c r="FK713" s="18"/>
      <c r="FL713" s="18"/>
      <c r="FM713" s="18"/>
      <c r="FN713" s="18"/>
      <c r="FO713" s="18"/>
      <c r="FP713" s="18"/>
      <c r="FQ713" s="18"/>
      <c r="FR713" s="18"/>
      <c r="FS713" s="18"/>
      <c r="FT713" s="18"/>
      <c r="FU713" s="18"/>
      <c r="FV713" s="18"/>
      <c r="FW713" s="18"/>
      <c r="FX713" s="18"/>
      <c r="FY713" s="18"/>
      <c r="FZ713" s="18"/>
      <c r="GA713" s="18"/>
      <c r="GB713" s="18"/>
      <c r="GC713" s="18"/>
      <c r="GD713" s="18"/>
      <c r="GE713" s="18"/>
      <c r="GF713" s="18"/>
      <c r="GG713" s="18"/>
      <c r="GH713" s="18"/>
      <c r="GI713" s="18"/>
      <c r="GJ713" s="18"/>
      <c r="GK713" s="18"/>
      <c r="GL713" s="18"/>
      <c r="GM713" s="18"/>
      <c r="GN713" s="18"/>
      <c r="GO713" s="18"/>
      <c r="GP713" s="18"/>
      <c r="GQ713" s="18"/>
      <c r="GR713" s="18">
        <v>0</v>
      </c>
      <c r="GS713" s="18">
        <v>0</v>
      </c>
      <c r="GT713" s="18" t="s">
        <v>339</v>
      </c>
      <c r="GU713" s="18">
        <v>0</v>
      </c>
      <c r="GV713" s="18"/>
      <c r="GW713" s="18"/>
      <c r="GX713" s="18" t="b">
        <v>0</v>
      </c>
      <c r="GY713" s="18">
        <v>0</v>
      </c>
      <c r="GZ713" s="18" t="b">
        <v>1</v>
      </c>
      <c r="HA713" s="18">
        <v>0</v>
      </c>
      <c r="HB713" s="18">
        <v>0</v>
      </c>
      <c r="HC713" s="18">
        <v>0</v>
      </c>
      <c r="HD713" s="18">
        <v>0</v>
      </c>
      <c r="HE713" s="18" t="b">
        <v>0</v>
      </c>
      <c r="HF713" s="18">
        <v>0</v>
      </c>
      <c r="HG713" s="18">
        <v>0</v>
      </c>
      <c r="HH713" s="18" t="s">
        <v>339</v>
      </c>
      <c r="HI713" s="18" t="s">
        <v>334</v>
      </c>
      <c r="HJ713" s="18">
        <v>0</v>
      </c>
      <c r="HK713" s="18">
        <v>0</v>
      </c>
      <c r="HL713" s="18">
        <v>0</v>
      </c>
      <c r="HM713" s="18">
        <v>0</v>
      </c>
      <c r="HN713" s="18" t="b">
        <v>0</v>
      </c>
    </row>
  </sheetData>
  <mergeCells count="12">
    <mergeCell ref="Y1:AK1"/>
    <mergeCell ref="AL1:AX1"/>
    <mergeCell ref="BA1:GQ1"/>
    <mergeCell ref="BA2:CW2"/>
    <mergeCell ref="CX2:ET2"/>
    <mergeCell ref="EU2:GQ2"/>
    <mergeCell ref="Y4:AK4"/>
    <mergeCell ref="AL4:AX4"/>
    <mergeCell ref="BA4:GQ4"/>
    <mergeCell ref="Y5:AK5"/>
    <mergeCell ref="AL5:AX5"/>
    <mergeCell ref="BA5:GQ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A1:BR134"/>
  <sheetViews>
    <sheetView workbookViewId="0">
      <selection activeCell="A1" sqref="A1"/>
    </sheetView>
  </sheetViews>
  <sheetFormatPr defaultColWidth="9" defaultRowHeight="16.5"/>
  <cols>
    <col min="1" max="1" width="9" style="13"/>
    <col min="2" max="2" width="10.3333333333333" style="13"/>
    <col min="3" max="4" width="9" style="13"/>
    <col min="5" max="5" width="10.0833333333333" style="13" customWidth="1"/>
    <col min="6" max="16" width="9" style="13"/>
    <col min="17" max="17" width="29.5" style="13" customWidth="1"/>
    <col min="18" max="20" width="9" style="13"/>
    <col min="21" max="21" width="12.8333333333333" style="13" customWidth="1"/>
    <col min="22" max="23" width="13.4166666666667" style="13" customWidth="1"/>
    <col min="24" max="27" width="9" style="13"/>
    <col min="28" max="28" width="12.8333333333333" style="13" customWidth="1"/>
    <col min="29" max="30" width="13.4166666666667" style="13" customWidth="1"/>
    <col min="31" max="34" width="9" style="13"/>
    <col min="35" max="35" width="12.8333333333333" style="13" customWidth="1"/>
    <col min="36" max="38" width="13.4166666666667" style="13" customWidth="1"/>
    <col min="39" max="16387" width="9" style="13"/>
  </cols>
  <sheetData>
    <row r="1" spans="1:68">
      <c r="A1" s="5" t="s">
        <v>0</v>
      </c>
      <c r="B1" s="5" t="s">
        <v>1</v>
      </c>
      <c r="C1" s="5" t="s">
        <v>518</v>
      </c>
      <c r="D1" s="5" t="s">
        <v>2</v>
      </c>
      <c r="E1" s="5"/>
      <c r="F1" s="5" t="s">
        <v>520</v>
      </c>
      <c r="G1" s="5" t="s">
        <v>13</v>
      </c>
      <c r="H1" s="5" t="s">
        <v>9</v>
      </c>
      <c r="I1" s="5" t="s">
        <v>521</v>
      </c>
      <c r="J1" s="5" t="s">
        <v>522</v>
      </c>
      <c r="K1" s="5" t="s">
        <v>523</v>
      </c>
      <c r="L1" s="5" t="s">
        <v>524</v>
      </c>
      <c r="M1" s="5" t="s">
        <v>83</v>
      </c>
      <c r="N1" s="5" t="s">
        <v>100</v>
      </c>
      <c r="O1" s="5" t="s">
        <v>525</v>
      </c>
      <c r="P1" s="5" t="s">
        <v>14</v>
      </c>
      <c r="Q1" s="5" t="s">
        <v>526</v>
      </c>
      <c r="R1" s="5" t="s">
        <v>527</v>
      </c>
      <c r="S1" s="5" t="s">
        <v>528</v>
      </c>
      <c r="T1" s="5" t="s">
        <v>529</v>
      </c>
      <c r="U1" s="20" t="s">
        <v>530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</row>
    <row r="2" spans="1:68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2">
        <v>0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24"/>
      <c r="AL2" s="25">
        <v>1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>
        <v>2</v>
      </c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</row>
    <row r="3" spans="1:68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7" t="s">
        <v>52</v>
      </c>
      <c r="V3" s="5" t="s">
        <v>65</v>
      </c>
      <c r="W3" s="5" t="s">
        <v>531</v>
      </c>
      <c r="X3" s="5" t="s">
        <v>26</v>
      </c>
      <c r="Y3" s="5" t="s">
        <v>532</v>
      </c>
      <c r="Z3" s="5" t="s">
        <v>533</v>
      </c>
      <c r="AA3" s="5" t="s">
        <v>534</v>
      </c>
      <c r="AB3" s="5" t="s">
        <v>535</v>
      </c>
      <c r="AC3" s="5" t="s">
        <v>76</v>
      </c>
      <c r="AD3" s="5" t="s">
        <v>536</v>
      </c>
      <c r="AE3" s="5" t="s">
        <v>537</v>
      </c>
      <c r="AF3" s="5" t="s">
        <v>538</v>
      </c>
      <c r="AG3" s="5" t="s">
        <v>539</v>
      </c>
      <c r="AH3" s="5" t="s">
        <v>540</v>
      </c>
      <c r="AI3" s="5" t="s">
        <v>541</v>
      </c>
      <c r="AJ3" s="5" t="s">
        <v>542</v>
      </c>
      <c r="AK3" s="5" t="inlineStr">
        <is>
          <t xml:space="preserve">per_target_interval_ms</t>
        </is>
      </c>
      <c r="AL3" s="5" t="s">
        <v>52</v>
      </c>
      <c r="AM3" s="5" t="s">
        <v>65</v>
      </c>
      <c r="AN3" s="5" t="s">
        <v>531</v>
      </c>
      <c r="AO3" s="5" t="s">
        <v>26</v>
      </c>
      <c r="AP3" s="5" t="s">
        <v>532</v>
      </c>
      <c r="AQ3" s="26" t="s">
        <v>533</v>
      </c>
      <c r="AR3" s="26" t="s">
        <v>534</v>
      </c>
      <c r="AS3" s="26" t="s">
        <v>535</v>
      </c>
      <c r="AT3" s="26" t="s">
        <v>76</v>
      </c>
      <c r="AU3" s="26" t="s">
        <v>536</v>
      </c>
      <c r="AV3" s="26" t="s">
        <v>537</v>
      </c>
      <c r="AW3" s="26" t="s">
        <v>538</v>
      </c>
      <c r="AX3" s="26" t="s">
        <v>539</v>
      </c>
      <c r="AY3" s="26" t="s">
        <v>540</v>
      </c>
      <c r="AZ3" s="26" t="s">
        <v>541</v>
      </c>
      <c r="BA3" s="26" t="s">
        <v>542</v>
      </c>
      <c r="BB3" s="26" t="inlineStr">
        <is>
          <t xml:space="preserve">per_target_interval_ms</t>
        </is>
      </c>
      <c r="BC3" s="26" t="s">
        <v>52</v>
      </c>
      <c r="BD3" s="26" t="s">
        <v>65</v>
      </c>
      <c r="BE3" s="26" t="s">
        <v>531</v>
      </c>
      <c r="BF3" s="26" t="s">
        <v>26</v>
      </c>
      <c r="BG3" s="26" t="s">
        <v>532</v>
      </c>
      <c r="BH3" s="26" t="s">
        <v>533</v>
      </c>
      <c r="BI3" s="26" t="s">
        <v>534</v>
      </c>
      <c r="BJ3" s="26" t="s">
        <v>535</v>
      </c>
      <c r="BK3" s="26" t="s">
        <v>76</v>
      </c>
      <c r="BL3" s="26" t="s">
        <v>536</v>
      </c>
      <c r="BM3" s="26" t="s">
        <v>537</v>
      </c>
      <c r="BN3" s="26" t="s">
        <v>538</v>
      </c>
      <c r="BO3" s="26" t="s">
        <v>539</v>
      </c>
      <c r="BP3" s="26" t="s">
        <v>540</v>
      </c>
      <c r="BQ3" s="26" t="s">
        <v>541</v>
      </c>
      <c r="BR3" s="26" t="s">
        <v>542</v>
      </c>
      <c r="BS3" s="26" t="inlineStr">
        <is>
          <t xml:space="preserve">per_target_interval_ms</t>
        </is>
      </c>
    </row>
    <row r="4" spans="1:68">
      <c r="A4" s="5" t="s">
        <v>108</v>
      </c>
      <c r="B4" s="5" t="s">
        <v>109</v>
      </c>
      <c r="C4" s="5" t="s">
        <v>110</v>
      </c>
      <c r="D4" s="5" t="s">
        <v>110</v>
      </c>
      <c r="E4" s="5" t="s">
        <v>543</v>
      </c>
      <c r="F4" s="5" t="s">
        <v>109</v>
      </c>
      <c r="G4" s="5" t="s">
        <v>110</v>
      </c>
      <c r="H4" s="5" t="s">
        <v>110</v>
      </c>
      <c r="I4" s="5" t="s">
        <v>113</v>
      </c>
      <c r="J4" s="5" t="s">
        <v>544</v>
      </c>
      <c r="K4" s="5" t="s">
        <v>545</v>
      </c>
      <c r="L4" s="5" t="s">
        <v>109</v>
      </c>
      <c r="M4" s="5" t="s">
        <v>109</v>
      </c>
      <c r="N4" s="5" t="s">
        <v>109</v>
      </c>
      <c r="O4" s="5" t="s">
        <v>110</v>
      </c>
      <c r="P4" s="5" t="s">
        <v>109</v>
      </c>
      <c r="Q4" s="5" t="s">
        <v>110</v>
      </c>
      <c r="R4" s="5" t="s">
        <v>546</v>
      </c>
      <c r="S4" s="5" t="s">
        <v>547</v>
      </c>
      <c r="T4" s="5" t="s">
        <v>109</v>
      </c>
      <c r="U4" s="20" t="s">
        <v>548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</row>
    <row r="5" spans="1:68">
      <c r="A5" s="5" t="s">
        <v>121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5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</row>
    <row r="6" spans="1:68">
      <c r="A6" s="5" t="s">
        <v>124</v>
      </c>
      <c r="B6" s="5" t="s">
        <v>549</v>
      </c>
      <c r="C6" s="5" t="s">
        <v>550</v>
      </c>
      <c r="D6" s="5" t="s">
        <v>551</v>
      </c>
      <c r="E6" s="5" t="inlineStr">
        <is>
          <t xml:space="preserve">状态适用目标类型（不导出：程序不读，只供策划分类）
记录所属对象类别：角色身上填 角色状态，怪物、宠物等填 怪物状态；不限制施加对象</t>
        </is>
      </c>
      <c r="F6" s="5" t="s">
        <v>553</v>
      </c>
      <c r="G6" s="5" t="s">
        <v>554</v>
      </c>
      <c r="H6" s="5" t="s">
        <v>555</v>
      </c>
      <c r="I6" s="5" t="s">
        <v>556</v>
      </c>
      <c r="J6" s="5" t="s">
        <v>557</v>
      </c>
      <c r="K6" s="5" t="s">
        <v>558</v>
      </c>
      <c r="L6" s="5" t="s">
        <v>559</v>
      </c>
      <c r="M6" s="5" t="s">
        <v>560</v>
      </c>
      <c r="N6" s="5" t="s">
        <v>561</v>
      </c>
      <c r="O6" s="5" t="s">
        <v>562</v>
      </c>
      <c r="P6" s="5" t="s">
        <v>563</v>
      </c>
      <c r="Q6" s="5" t="s">
        <v>564</v>
      </c>
      <c r="R6" s="5" t="s">
        <v>565</v>
      </c>
      <c r="S6" s="5" t="s">
        <v>566</v>
      </c>
      <c r="T6" s="5" t="inlineStr">
        <is>
          <t xml:space="preserve">驱散级别
0=不可驱散（剧情、BOSS 机制状态），1=普通驱散可驱，2=需强驱散；驱散强度≥本值才驱得掉</t>
        </is>
      </c>
      <c r="U6" s="5" t="s">
        <v>163</v>
      </c>
      <c r="V6" s="5" t="s">
        <v>165</v>
      </c>
      <c r="W6" s="5" t="s">
        <v>568</v>
      </c>
      <c r="X6" s="5" t="s">
        <v>569</v>
      </c>
      <c r="Y6" s="5" t="s">
        <v>570</v>
      </c>
      <c r="Z6" s="5" t="s">
        <v>571</v>
      </c>
      <c r="AA6" s="5" t="inlineStr">
        <is>
          <t>效果1·【持续伤害】是否允许暴击：持续伤害不暴击，填 FALSE</t>
        </is>
      </c>
      <c r="AB6" s="5" t="inlineStr">
        <is>
          <t>效果1·【持续伤害】暴击参数：填 0</t>
        </is>
      </c>
      <c r="AC6" s="5" t="s">
        <v>574</v>
      </c>
      <c r="AD6" s="5" t="s">
        <v>575</v>
      </c>
      <c r="AE6" s="5" t="s">
        <v>576</v>
      </c>
      <c r="AF6" s="5" t="inlineStr">
        <is>
          <t>效果1·【持续治疗】是否允许暴击：持续治疗不暴击，填 FALSE</t>
        </is>
      </c>
      <c r="AG6" s="5" t="inlineStr">
        <is>
          <t>效果1·【持续治疗】暴击参数：填 0</t>
        </is>
      </c>
      <c r="AH6" s="5" t="s">
        <v>579</v>
      </c>
      <c r="AI6" s="5" t="s">
        <v>580</v>
      </c>
      <c r="AJ6" s="5" t="s">
        <v>581</v>
      </c>
      <c r="AK6" s="5" t="inlineStr">
        <is>
          <t xml:space="preserve">效果1·【光环】同一目标再触发间隔(毫秒)：0=每跳都打；正数=同一目标至少隔这么久再打；-1=同一目标只生效一次（火蛇/火墙/地刺填 -1）</t>
        </is>
      </c>
      <c r="AL6" s="5" t="s">
        <v>208</v>
      </c>
      <c r="AM6" s="5" t="s">
        <v>210</v>
      </c>
      <c r="AN6" s="5" t="s">
        <v>582</v>
      </c>
      <c r="AO6" s="5" t="s">
        <v>583</v>
      </c>
      <c r="AP6" s="5" t="s">
        <v>584</v>
      </c>
      <c r="AQ6" s="26" t="s">
        <v>585</v>
      </c>
      <c r="AR6" s="26" t="inlineStr">
        <is>
          <t>效果2·【持续伤害】是否允许暴击：持续伤害不暴击，填 FALSE</t>
        </is>
      </c>
      <c r="AS6" s="26" t="inlineStr">
        <is>
          <t>效果2·【持续伤害】暴击参数：填 0</t>
        </is>
      </c>
      <c r="AT6" s="26" t="s">
        <v>588</v>
      </c>
      <c r="AU6" s="26" t="s">
        <v>589</v>
      </c>
      <c r="AV6" s="26" t="s">
        <v>590</v>
      </c>
      <c r="AW6" s="26" t="inlineStr">
        <is>
          <t>效果2·【持续治疗】是否允许暴击：持续治疗不暴击，填 FALSE</t>
        </is>
      </c>
      <c r="AX6" s="26" t="inlineStr">
        <is>
          <t>效果2·【持续治疗】暴击参数：填 0</t>
        </is>
      </c>
      <c r="AY6" s="26" t="s">
        <v>593</v>
      </c>
      <c r="AZ6" s="26" t="s">
        <v>594</v>
      </c>
      <c r="BA6" s="26" t="s">
        <v>595</v>
      </c>
      <c r="BB6" s="26" t="inlineStr">
        <is>
          <t xml:space="preserve">效果2·【光环】同一目标再触发间隔(毫秒)：0=每跳都打；正数=同一目标至少隔这么久再打；-1=同一目标只生效一次（火蛇/火墙/地刺填 -1）</t>
        </is>
      </c>
      <c r="BC6" s="26" t="s">
        <v>253</v>
      </c>
      <c r="BD6" s="26" t="s">
        <v>255</v>
      </c>
      <c r="BE6" s="26" t="s">
        <v>596</v>
      </c>
      <c r="BF6" s="26" t="s">
        <v>597</v>
      </c>
      <c r="BG6" s="26" t="s">
        <v>598</v>
      </c>
      <c r="BH6" s="26" t="s">
        <v>599</v>
      </c>
      <c r="BI6" s="26" t="inlineStr">
        <is>
          <t>效果3·【持续伤害】是否允许暴击：持续伤害不暴击，填 FALSE</t>
        </is>
      </c>
      <c r="BJ6" s="26" t="inlineStr">
        <is>
          <t>效果3·【持续伤害】暴击参数：填 0</t>
        </is>
      </c>
      <c r="BK6" s="26" t="s">
        <v>602</v>
      </c>
      <c r="BL6" s="26" t="s">
        <v>603</v>
      </c>
      <c r="BM6" s="26" t="s">
        <v>604</v>
      </c>
      <c r="BN6" s="26" t="inlineStr">
        <is>
          <t>效果3·【持续治疗】是否允许暴击：持续治疗不暴击，填 FALSE</t>
        </is>
      </c>
      <c r="BO6" s="26" t="inlineStr">
        <is>
          <t>效果3·【持续治疗】暴击参数：填 0</t>
        </is>
      </c>
      <c r="BP6" s="26" t="s">
        <v>607</v>
      </c>
      <c r="BQ6" s="26" t="s">
        <v>608</v>
      </c>
      <c r="BR6" s="26" t="s">
        <v>609</v>
      </c>
      <c r="BS6" s="26" t="inlineStr">
        <is>
          <t xml:space="preserve">效果3·【光环】同一目标再触发间隔(毫秒)：0=每跳都打；正数=同一目标至少隔这么久再打；-1=同一目标只生效一次（火蛇/火墙/地刺填 -1）</t>
        </is>
      </c>
    </row>
    <row r="7">
      <c r="B7" s="13">
        <v>21000301</v>
      </c>
      <c r="C7" s="13" t="s">
        <v>610</v>
      </c>
      <c r="D7" s="13" t="s">
        <v>610</v>
      </c>
      <c r="E7" s="13" t="s">
        <v>611</v>
      </c>
      <c r="F7" s="13">
        <v>1</v>
      </c>
      <c r="G7" s="13" t="s">
        <v>612</v>
      </c>
      <c r="H7" s="13" t="s">
        <v>613</v>
      </c>
      <c r="I7" s="13">
        <v>1</v>
      </c>
      <c r="J7" s="13" t="s">
        <v>614</v>
      </c>
      <c r="L7" s="13">
        <v>1</v>
      </c>
      <c r="M7" s="13">
        <v>2000</v>
      </c>
      <c r="N7" s="13">
        <v>0</v>
      </c>
      <c r="Q7" s="5">
        <v>30058</v>
      </c>
      <c r="S7" s="13" t="s">
        <v>615</v>
      </c>
      <c r="U7" s="13" t="s">
        <v>616</v>
      </c>
      <c r="V7" s="13">
        <v>10000</v>
      </c>
      <c r="W7" s="13" t="s">
        <v>610</v>
      </c>
    </row>
    <row r="8">
      <c r="B8" s="13">
        <v>21000401</v>
      </c>
      <c r="C8" s="13" t="s">
        <v>617</v>
      </c>
      <c r="D8" s="13" t="s">
        <v>617</v>
      </c>
      <c r="E8" s="13" t="s">
        <v>611</v>
      </c>
      <c r="F8" s="13">
        <v>1</v>
      </c>
      <c r="G8" s="13" t="s">
        <v>618</v>
      </c>
      <c r="H8" s="13" t="s">
        <v>619</v>
      </c>
      <c r="I8" s="13">
        <v>1</v>
      </c>
      <c r="J8" s="13" t="s">
        <v>614</v>
      </c>
      <c r="L8" s="13">
        <v>1</v>
      </c>
      <c r="M8" s="13">
        <v>2000</v>
      </c>
      <c r="N8" s="13">
        <v>0</v>
      </c>
      <c r="Q8" s="5">
        <v>30058</v>
      </c>
      <c r="S8" s="13" t="s">
        <v>615</v>
      </c>
      <c r="U8" s="13" t="s">
        <v>616</v>
      </c>
      <c r="V8" s="13">
        <v>10000</v>
      </c>
      <c r="W8" s="13" t="s">
        <v>617</v>
      </c>
    </row>
    <row r="9">
      <c r="B9" s="13">
        <v>21000601</v>
      </c>
      <c r="C9" s="13" t="s">
        <v>620</v>
      </c>
      <c r="D9" s="13" t="s">
        <v>620</v>
      </c>
      <c r="E9" s="13" t="s">
        <v>611</v>
      </c>
      <c r="F9" s="13">
        <v>1</v>
      </c>
      <c r="G9" s="13" t="s">
        <v>621</v>
      </c>
      <c r="H9" s="13" t="s">
        <v>622</v>
      </c>
      <c r="I9" s="13">
        <v>1</v>
      </c>
      <c r="J9" s="13" t="s">
        <v>614</v>
      </c>
      <c r="L9" s="13">
        <v>1</v>
      </c>
      <c r="M9" s="13">
        <v>2000</v>
      </c>
      <c r="Q9" s="13">
        <v>30060</v>
      </c>
      <c r="S9" s="13" t="s">
        <v>615</v>
      </c>
      <c r="U9" s="13" t="s">
        <v>616</v>
      </c>
      <c r="V9" s="13">
        <v>10000</v>
      </c>
      <c r="W9" s="13" t="s">
        <v>620</v>
      </c>
    </row>
    <row r="10" spans="1:68">
      <c r="B10" s="13">
        <v>21001001</v>
      </c>
      <c r="C10" s="13" t="s">
        <v>623</v>
      </c>
      <c r="D10" s="13" t="s">
        <v>623</v>
      </c>
      <c r="E10" s="13" t="s">
        <v>611</v>
      </c>
      <c r="F10" s="13">
        <v>1</v>
      </c>
      <c r="G10" s="13" t="s">
        <v>624</v>
      </c>
      <c r="H10" s="13" t="s">
        <v>625</v>
      </c>
      <c r="I10" s="13">
        <v>1</v>
      </c>
      <c r="J10" s="13" t="s">
        <v>614</v>
      </c>
      <c r="L10" s="13">
        <v>1</v>
      </c>
      <c r="M10" s="13">
        <v>10000</v>
      </c>
      <c r="N10" s="13">
        <v>0</v>
      </c>
      <c r="S10" s="13" t="s">
        <v>615</v>
      </c>
      <c r="U10" s="13" t="s">
        <v>626</v>
      </c>
      <c r="V10" s="13">
        <v>10000</v>
      </c>
      <c r="AH10" s="13" t="s">
        <v>627</v>
      </c>
      <c r="AI10" s="13">
        <v>-2000</v>
      </c>
    </row>
    <row r="11" spans="1:68">
      <c r="B11" s="13">
        <v>21000201</v>
      </c>
      <c r="C11" s="13" t="s">
        <v>628</v>
      </c>
      <c r="D11" s="13" t="s">
        <v>628</v>
      </c>
      <c r="E11" s="13" t="s">
        <v>611</v>
      </c>
      <c r="F11" s="13">
        <v>1</v>
      </c>
      <c r="G11" s="13" t="s">
        <v>629</v>
      </c>
      <c r="H11" s="13" t="s">
        <v>630</v>
      </c>
      <c r="I11" s="13">
        <v>1</v>
      </c>
      <c r="J11" s="13" t="s">
        <v>614</v>
      </c>
      <c r="L11" s="13">
        <v>1</v>
      </c>
      <c r="M11" s="13">
        <v>12000</v>
      </c>
      <c r="N11" s="13">
        <v>3000</v>
      </c>
      <c r="Q11" s="13">
        <v>30059</v>
      </c>
      <c r="R11" s="13" t="s">
        <v>632</v>
      </c>
      <c r="S11" s="13" t="s">
        <v>615</v>
      </c>
      <c r="U11" s="13" t="s">
        <v>633</v>
      </c>
      <c r="V11" s="13">
        <v>10000</v>
      </c>
      <c r="X11" s="13" t="s">
        <v>355</v>
      </c>
      <c r="Y11" s="13">
        <v>2200</v>
      </c>
      <c r="Z11" s="13">
        <v>2</v>
      </c>
      <c r="AA11" s="13">
        <v>0</v>
      </c>
      <c r="AB11" s="13">
        <v>0</v>
      </c>
    </row>
    <row r="12" spans="1:68">
      <c r="B12" s="13">
        <v>21000202</v>
      </c>
      <c r="C12" s="13" t="s">
        <v>628</v>
      </c>
      <c r="D12" s="13" t="s">
        <v>628</v>
      </c>
      <c r="E12" s="13" t="s">
        <v>611</v>
      </c>
      <c r="F12" s="13">
        <v>2</v>
      </c>
      <c r="G12" s="13" t="s">
        <v>629</v>
      </c>
      <c r="H12" s="13" t="s">
        <v>630</v>
      </c>
      <c r="I12" s="13">
        <v>1</v>
      </c>
      <c r="J12" s="13" t="s">
        <v>614</v>
      </c>
      <c r="L12" s="13">
        <v>1</v>
      </c>
      <c r="M12" s="13">
        <v>12000</v>
      </c>
      <c r="N12" s="13">
        <v>3000</v>
      </c>
      <c r="Q12" s="13">
        <v>30059</v>
      </c>
      <c r="R12" s="13" t="s">
        <v>632</v>
      </c>
      <c r="S12" s="13" t="s">
        <v>615</v>
      </c>
      <c r="U12" s="13" t="s">
        <v>633</v>
      </c>
      <c r="V12" s="13">
        <v>10000</v>
      </c>
      <c r="X12" s="13" t="s">
        <v>355</v>
      </c>
      <c r="Y12" s="13">
        <v>2600</v>
      </c>
      <c r="Z12" s="13">
        <v>3</v>
      </c>
      <c r="AA12" s="13">
        <v>0</v>
      </c>
      <c r="AB12" s="13">
        <v>0</v>
      </c>
    </row>
    <row r="13" spans="1:68">
      <c r="B13" s="13">
        <v>21000203</v>
      </c>
      <c r="C13" s="13" t="s">
        <v>628</v>
      </c>
      <c r="D13" s="13" t="s">
        <v>628</v>
      </c>
      <c r="E13" s="13" t="s">
        <v>611</v>
      </c>
      <c r="F13" s="13">
        <v>3</v>
      </c>
      <c r="G13" s="13" t="s">
        <v>629</v>
      </c>
      <c r="H13" s="13" t="s">
        <v>630</v>
      </c>
      <c r="I13" s="13">
        <v>1</v>
      </c>
      <c r="J13" s="13" t="s">
        <v>614</v>
      </c>
      <c r="L13" s="13">
        <v>1</v>
      </c>
      <c r="M13" s="13">
        <v>12000</v>
      </c>
      <c r="N13" s="13">
        <v>3000</v>
      </c>
      <c r="Q13" s="13">
        <v>30059</v>
      </c>
      <c r="R13" s="13" t="s">
        <v>632</v>
      </c>
      <c r="S13" s="13" t="s">
        <v>615</v>
      </c>
      <c r="U13" s="13" t="s">
        <v>633</v>
      </c>
      <c r="V13" s="13">
        <v>10000</v>
      </c>
      <c r="X13" s="13" t="s">
        <v>355</v>
      </c>
      <c r="Y13" s="13">
        <v>3000</v>
      </c>
      <c r="Z13" s="13">
        <v>4</v>
      </c>
      <c r="AA13" s="13">
        <v>0</v>
      </c>
      <c r="AB13" s="13">
        <v>0</v>
      </c>
    </row>
    <row r="14" spans="1:68">
      <c r="B14" s="13">
        <v>21000204</v>
      </c>
      <c r="C14" s="13" t="s">
        <v>628</v>
      </c>
      <c r="D14" s="13" t="s">
        <v>628</v>
      </c>
      <c r="E14" s="13" t="s">
        <v>611</v>
      </c>
      <c r="F14" s="13">
        <v>4</v>
      </c>
      <c r="G14" s="13" t="s">
        <v>629</v>
      </c>
      <c r="H14" s="13" t="s">
        <v>630</v>
      </c>
      <c r="I14" s="13">
        <v>1</v>
      </c>
      <c r="J14" s="13" t="s">
        <v>614</v>
      </c>
      <c r="L14" s="13">
        <v>1</v>
      </c>
      <c r="M14" s="13">
        <v>12000</v>
      </c>
      <c r="N14" s="13">
        <v>3000</v>
      </c>
      <c r="Q14" s="13">
        <v>30059</v>
      </c>
      <c r="R14" s="13" t="s">
        <v>632</v>
      </c>
      <c r="S14" s="13" t="s">
        <v>615</v>
      </c>
      <c r="U14" s="13" t="s">
        <v>633</v>
      </c>
      <c r="V14" s="13">
        <v>10000</v>
      </c>
      <c r="X14" s="13" t="s">
        <v>355</v>
      </c>
      <c r="Y14" s="13">
        <v>3600</v>
      </c>
      <c r="Z14" s="13">
        <v>6</v>
      </c>
      <c r="AA14" s="13">
        <v>0</v>
      </c>
      <c r="AB14" s="13">
        <v>0</v>
      </c>
    </row>
    <row r="15" spans="1:68">
      <c r="A15"/>
      <c r="B15" s="28">
        <v>21001101</v>
      </c>
      <c r="C15" s="28" t="s">
        <v>393</v>
      </c>
      <c r="D15" s="28" t="s">
        <v>393</v>
      </c>
      <c r="E15" s="28" t="s">
        <v>611</v>
      </c>
      <c r="F15" s="28">
        <v>1</v>
      </c>
      <c r="G15" s="28" t="s">
        <v>634</v>
      </c>
      <c r="H15" s="28" t="s">
        <v>635</v>
      </c>
      <c r="I15" s="28" t="b">
        <v>1</v>
      </c>
      <c r="J15" s="28" t="s">
        <v>614</v>
      </c>
      <c r="K15" s="28" t="s">
        <v>334</v>
      </c>
      <c r="L15" s="28">
        <v>1</v>
      </c>
      <c r="M15" s="28">
        <v>9000</v>
      </c>
      <c r="N15" s="28">
        <v>3000</v>
      </c>
      <c r="O15" s="28" t="s">
        <v>339</v>
      </c>
      <c r="P15" s="28">
        <v>0</v>
      </c>
      <c r="Q15" s="28">
        <v>30044</v>
      </c>
      <c r="R15" s="28" t="s">
        <v>334</v>
      </c>
      <c r="S15" s="28" t="s">
        <v>636</v>
      </c>
      <c r="T15" s="28">
        <v>1</v>
      </c>
      <c r="U15" s="28" t="s">
        <v>637</v>
      </c>
      <c r="V15" s="28">
        <v>10000</v>
      </c>
      <c r="W15" s="28"/>
      <c r="X15" s="28"/>
      <c r="Y15" s="28"/>
      <c r="Z15" s="28"/>
      <c r="AA15" s="28"/>
      <c r="AB15" s="28"/>
      <c r="AC15" s="28" t="s">
        <v>355</v>
      </c>
      <c r="AD15" s="28">
        <v>1600</v>
      </c>
      <c r="AE15" s="28">
        <v>1</v>
      </c>
      <c r="AF15" s="28" t="b">
        <v>0</v>
      </c>
      <c r="AG15" s="28">
        <v>0</v>
      </c>
      <c r="AH15" s="28"/>
      <c r="AI15" s="28"/>
      <c r="AJ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</row>
    <row r="16" spans="1:68">
      <c r="A16"/>
      <c r="B16" s="28">
        <v>21001102</v>
      </c>
      <c r="C16" s="28" t="s">
        <v>393</v>
      </c>
      <c r="D16" s="28" t="s">
        <v>393</v>
      </c>
      <c r="E16" s="28" t="s">
        <v>611</v>
      </c>
      <c r="F16" s="28">
        <v>2</v>
      </c>
      <c r="G16" s="28" t="s">
        <v>634</v>
      </c>
      <c r="H16" s="28" t="s">
        <v>635</v>
      </c>
      <c r="I16" s="28" t="b">
        <v>1</v>
      </c>
      <c r="J16" s="28" t="s">
        <v>614</v>
      </c>
      <c r="K16" s="28" t="s">
        <v>334</v>
      </c>
      <c r="L16" s="28">
        <v>1</v>
      </c>
      <c r="M16" s="28">
        <v>9000</v>
      </c>
      <c r="N16" s="28">
        <v>3000</v>
      </c>
      <c r="O16" s="28" t="s">
        <v>339</v>
      </c>
      <c r="P16" s="28">
        <v>0</v>
      </c>
      <c r="Q16" s="28">
        <v>30044</v>
      </c>
      <c r="R16" s="28" t="s">
        <v>334</v>
      </c>
      <c r="S16" s="28" t="s">
        <v>636</v>
      </c>
      <c r="T16" s="28">
        <v>1</v>
      </c>
      <c r="U16" s="28" t="s">
        <v>637</v>
      </c>
      <c r="V16" s="28">
        <v>10000</v>
      </c>
      <c r="W16" s="28"/>
      <c r="X16" s="28"/>
      <c r="Y16" s="28"/>
      <c r="Z16" s="28"/>
      <c r="AA16" s="28"/>
      <c r="AB16" s="28"/>
      <c r="AC16" s="28" t="s">
        <v>355</v>
      </c>
      <c r="AD16" s="28">
        <v>1800</v>
      </c>
      <c r="AE16" s="28">
        <v>1</v>
      </c>
      <c r="AF16" s="28" t="b">
        <v>0</v>
      </c>
      <c r="AG16" s="28">
        <v>0</v>
      </c>
      <c r="AH16" s="28"/>
      <c r="AI16" s="28"/>
      <c r="AJ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</row>
    <row r="17" spans="1:68">
      <c r="A17"/>
      <c r="B17" s="28">
        <v>21001103</v>
      </c>
      <c r="C17" s="28" t="s">
        <v>393</v>
      </c>
      <c r="D17" s="28" t="s">
        <v>393</v>
      </c>
      <c r="E17" s="28" t="s">
        <v>611</v>
      </c>
      <c r="F17" s="28">
        <v>3</v>
      </c>
      <c r="G17" s="28" t="s">
        <v>634</v>
      </c>
      <c r="H17" s="28" t="s">
        <v>635</v>
      </c>
      <c r="I17" s="28" t="b">
        <v>1</v>
      </c>
      <c r="J17" s="28" t="s">
        <v>614</v>
      </c>
      <c r="K17" s="28" t="s">
        <v>334</v>
      </c>
      <c r="L17" s="28">
        <v>1</v>
      </c>
      <c r="M17" s="28">
        <v>9000</v>
      </c>
      <c r="N17" s="28">
        <v>3000</v>
      </c>
      <c r="O17" s="28" t="s">
        <v>339</v>
      </c>
      <c r="P17" s="28">
        <v>0</v>
      </c>
      <c r="Q17" s="28">
        <v>30044</v>
      </c>
      <c r="R17" s="28" t="s">
        <v>334</v>
      </c>
      <c r="S17" s="28" t="s">
        <v>636</v>
      </c>
      <c r="T17" s="28">
        <v>1</v>
      </c>
      <c r="U17" s="28" t="s">
        <v>637</v>
      </c>
      <c r="V17" s="28">
        <v>10000</v>
      </c>
      <c r="W17" s="28"/>
      <c r="X17" s="28"/>
      <c r="Y17" s="28"/>
      <c r="Z17" s="28"/>
      <c r="AA17" s="28"/>
      <c r="AB17" s="28"/>
      <c r="AC17" s="28" t="s">
        <v>355</v>
      </c>
      <c r="AD17" s="28">
        <v>2000</v>
      </c>
      <c r="AE17" s="28">
        <v>1</v>
      </c>
      <c r="AF17" s="28" t="b">
        <v>0</v>
      </c>
      <c r="AG17" s="28">
        <v>0</v>
      </c>
      <c r="AH17" s="28"/>
      <c r="AI17" s="28"/>
      <c r="AJ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</row>
    <row r="18" spans="1:68">
      <c r="A18"/>
      <c r="B18" s="28">
        <v>21001104</v>
      </c>
      <c r="C18" s="28" t="s">
        <v>393</v>
      </c>
      <c r="D18" s="28" t="s">
        <v>393</v>
      </c>
      <c r="E18" s="28" t="s">
        <v>611</v>
      </c>
      <c r="F18" s="28">
        <v>4</v>
      </c>
      <c r="G18" s="28" t="s">
        <v>634</v>
      </c>
      <c r="H18" s="28" t="s">
        <v>635</v>
      </c>
      <c r="I18" s="28" t="b">
        <v>1</v>
      </c>
      <c r="J18" s="28" t="s">
        <v>614</v>
      </c>
      <c r="K18" s="28" t="s">
        <v>334</v>
      </c>
      <c r="L18" s="28">
        <v>1</v>
      </c>
      <c r="M18" s="28">
        <v>9000</v>
      </c>
      <c r="N18" s="28">
        <v>3000</v>
      </c>
      <c r="O18" s="28" t="s">
        <v>339</v>
      </c>
      <c r="P18" s="28">
        <v>0</v>
      </c>
      <c r="Q18" s="28">
        <v>30044</v>
      </c>
      <c r="R18" s="28" t="s">
        <v>334</v>
      </c>
      <c r="S18" s="28" t="s">
        <v>636</v>
      </c>
      <c r="T18" s="28">
        <v>1</v>
      </c>
      <c r="U18" s="28" t="s">
        <v>637</v>
      </c>
      <c r="V18" s="28">
        <v>10000</v>
      </c>
      <c r="W18" s="28"/>
      <c r="X18" s="28"/>
      <c r="Y18" s="28"/>
      <c r="Z18" s="28"/>
      <c r="AA18" s="28"/>
      <c r="AB18" s="28"/>
      <c r="AC18" s="28" t="s">
        <v>355</v>
      </c>
      <c r="AD18" s="28">
        <v>2200</v>
      </c>
      <c r="AE18" s="28">
        <v>2</v>
      </c>
      <c r="AF18" s="28" t="b">
        <v>0</v>
      </c>
      <c r="AG18" s="28">
        <v>0</v>
      </c>
      <c r="AH18" s="28"/>
      <c r="AI18" s="28"/>
      <c r="AJ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</row>
    <row r="19" spans="1:68">
      <c r="A19"/>
      <c r="B19" s="28">
        <v>21001105</v>
      </c>
      <c r="C19" s="28" t="s">
        <v>393</v>
      </c>
      <c r="D19" s="28" t="s">
        <v>393</v>
      </c>
      <c r="E19" s="28" t="s">
        <v>611</v>
      </c>
      <c r="F19" s="28">
        <v>5</v>
      </c>
      <c r="G19" s="28" t="s">
        <v>634</v>
      </c>
      <c r="H19" s="28" t="s">
        <v>635</v>
      </c>
      <c r="I19" s="28" t="b">
        <v>1</v>
      </c>
      <c r="J19" s="28" t="s">
        <v>614</v>
      </c>
      <c r="K19" s="28" t="s">
        <v>334</v>
      </c>
      <c r="L19" s="28">
        <v>1</v>
      </c>
      <c r="M19" s="28">
        <v>9000</v>
      </c>
      <c r="N19" s="28">
        <v>3000</v>
      </c>
      <c r="O19" s="28" t="s">
        <v>339</v>
      </c>
      <c r="P19" s="28">
        <v>0</v>
      </c>
      <c r="Q19" s="28">
        <v>30044</v>
      </c>
      <c r="R19" s="28" t="s">
        <v>334</v>
      </c>
      <c r="S19" s="28" t="s">
        <v>636</v>
      </c>
      <c r="T19" s="28">
        <v>1</v>
      </c>
      <c r="U19" s="28" t="s">
        <v>637</v>
      </c>
      <c r="V19" s="28">
        <v>10000</v>
      </c>
      <c r="W19" s="28"/>
      <c r="X19" s="28"/>
      <c r="Y19" s="28"/>
      <c r="Z19" s="28"/>
      <c r="AA19" s="28"/>
      <c r="AB19" s="28"/>
      <c r="AC19" s="28" t="s">
        <v>355</v>
      </c>
      <c r="AD19" s="28">
        <v>2400</v>
      </c>
      <c r="AE19" s="28">
        <v>2</v>
      </c>
      <c r="AF19" s="28" t="b">
        <v>0</v>
      </c>
      <c r="AG19" s="28">
        <v>0</v>
      </c>
      <c r="AH19" s="28"/>
      <c r="AI19" s="28"/>
      <c r="AJ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</row>
    <row r="20" spans="1:68">
      <c r="A20"/>
      <c r="B20" s="28">
        <v>21001106</v>
      </c>
      <c r="C20" s="28" t="s">
        <v>393</v>
      </c>
      <c r="D20" s="28" t="s">
        <v>393</v>
      </c>
      <c r="E20" s="28" t="s">
        <v>611</v>
      </c>
      <c r="F20" s="28">
        <v>6</v>
      </c>
      <c r="G20" s="28" t="s">
        <v>634</v>
      </c>
      <c r="H20" s="28" t="s">
        <v>635</v>
      </c>
      <c r="I20" s="28" t="b">
        <v>1</v>
      </c>
      <c r="J20" s="28" t="s">
        <v>614</v>
      </c>
      <c r="K20" s="28" t="s">
        <v>334</v>
      </c>
      <c r="L20" s="28">
        <v>1</v>
      </c>
      <c r="M20" s="28">
        <v>9000</v>
      </c>
      <c r="N20" s="28">
        <v>3000</v>
      </c>
      <c r="O20" s="28" t="s">
        <v>339</v>
      </c>
      <c r="P20" s="28">
        <v>0</v>
      </c>
      <c r="Q20" s="28">
        <v>30044</v>
      </c>
      <c r="R20" s="28" t="s">
        <v>334</v>
      </c>
      <c r="S20" s="28" t="s">
        <v>636</v>
      </c>
      <c r="T20" s="28">
        <v>1</v>
      </c>
      <c r="U20" s="28" t="s">
        <v>637</v>
      </c>
      <c r="V20" s="28">
        <v>10000</v>
      </c>
      <c r="W20" s="28"/>
      <c r="X20" s="28"/>
      <c r="Y20" s="28"/>
      <c r="Z20" s="28"/>
      <c r="AA20" s="28"/>
      <c r="AB20" s="28"/>
      <c r="AC20" s="28" t="s">
        <v>355</v>
      </c>
      <c r="AD20" s="28">
        <v>2600</v>
      </c>
      <c r="AE20" s="28">
        <v>2</v>
      </c>
      <c r="AF20" s="28" t="b">
        <v>0</v>
      </c>
      <c r="AG20" s="28">
        <v>0</v>
      </c>
      <c r="AH20" s="28"/>
      <c r="AI20" s="28"/>
      <c r="AJ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</row>
    <row r="21" spans="1:68">
      <c r="A21"/>
      <c r="B21" s="28">
        <v>21001107</v>
      </c>
      <c r="C21" s="28" t="s">
        <v>393</v>
      </c>
      <c r="D21" s="28" t="s">
        <v>393</v>
      </c>
      <c r="E21" s="28" t="s">
        <v>611</v>
      </c>
      <c r="F21" s="28">
        <v>7</v>
      </c>
      <c r="G21" s="28" t="s">
        <v>634</v>
      </c>
      <c r="H21" s="28" t="s">
        <v>635</v>
      </c>
      <c r="I21" s="28" t="b">
        <v>1</v>
      </c>
      <c r="J21" s="28" t="s">
        <v>614</v>
      </c>
      <c r="K21" s="28" t="s">
        <v>334</v>
      </c>
      <c r="L21" s="28">
        <v>1</v>
      </c>
      <c r="M21" s="28">
        <v>9000</v>
      </c>
      <c r="N21" s="28">
        <v>3000</v>
      </c>
      <c r="O21" s="28" t="s">
        <v>339</v>
      </c>
      <c r="P21" s="28">
        <v>0</v>
      </c>
      <c r="Q21" s="28">
        <v>30044</v>
      </c>
      <c r="R21" s="28" t="s">
        <v>334</v>
      </c>
      <c r="S21" s="28" t="s">
        <v>636</v>
      </c>
      <c r="T21" s="28">
        <v>1</v>
      </c>
      <c r="U21" s="28" t="s">
        <v>637</v>
      </c>
      <c r="V21" s="28">
        <v>10000</v>
      </c>
      <c r="W21" s="28"/>
      <c r="X21" s="28"/>
      <c r="Y21" s="28"/>
      <c r="Z21" s="28"/>
      <c r="AA21" s="28"/>
      <c r="AB21" s="28"/>
      <c r="AC21" s="28" t="s">
        <v>355</v>
      </c>
      <c r="AD21" s="28">
        <v>2800</v>
      </c>
      <c r="AE21" s="28">
        <v>2</v>
      </c>
      <c r="AF21" s="28" t="b">
        <v>0</v>
      </c>
      <c r="AG21" s="28">
        <v>0</v>
      </c>
      <c r="AH21" s="28"/>
      <c r="AI21" s="28"/>
      <c r="AJ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</row>
    <row r="22" spans="1:68">
      <c r="A22"/>
      <c r="B22" s="28">
        <v>21001108</v>
      </c>
      <c r="C22" s="28" t="s">
        <v>393</v>
      </c>
      <c r="D22" s="28" t="s">
        <v>393</v>
      </c>
      <c r="E22" s="28" t="s">
        <v>611</v>
      </c>
      <c r="F22" s="28">
        <v>8</v>
      </c>
      <c r="G22" s="28" t="s">
        <v>634</v>
      </c>
      <c r="H22" s="28" t="s">
        <v>635</v>
      </c>
      <c r="I22" s="28" t="b">
        <v>1</v>
      </c>
      <c r="J22" s="28" t="s">
        <v>614</v>
      </c>
      <c r="K22" s="28" t="s">
        <v>334</v>
      </c>
      <c r="L22" s="28">
        <v>1</v>
      </c>
      <c r="M22" s="28">
        <v>9000</v>
      </c>
      <c r="N22" s="28">
        <v>3000</v>
      </c>
      <c r="O22" s="28" t="s">
        <v>339</v>
      </c>
      <c r="P22" s="28">
        <v>0</v>
      </c>
      <c r="Q22" s="28">
        <v>30044</v>
      </c>
      <c r="R22" s="28" t="s">
        <v>334</v>
      </c>
      <c r="S22" s="28" t="s">
        <v>636</v>
      </c>
      <c r="T22" s="28">
        <v>1</v>
      </c>
      <c r="U22" s="28" t="s">
        <v>637</v>
      </c>
      <c r="V22" s="28">
        <v>10000</v>
      </c>
      <c r="W22" s="28"/>
      <c r="X22" s="28"/>
      <c r="Y22" s="28"/>
      <c r="Z22" s="28"/>
      <c r="AA22" s="28"/>
      <c r="AB22" s="28"/>
      <c r="AC22" s="28" t="s">
        <v>355</v>
      </c>
      <c r="AD22" s="28">
        <v>3000</v>
      </c>
      <c r="AE22" s="28">
        <v>3</v>
      </c>
      <c r="AF22" s="28" t="b">
        <v>0</v>
      </c>
      <c r="AG22" s="28">
        <v>0</v>
      </c>
      <c r="AH22" s="28"/>
      <c r="AI22" s="28"/>
      <c r="AJ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</row>
    <row r="23" spans="1:68">
      <c r="A23"/>
      <c r="B23" s="28">
        <v>21001109</v>
      </c>
      <c r="C23" s="28" t="s">
        <v>393</v>
      </c>
      <c r="D23" s="28" t="s">
        <v>393</v>
      </c>
      <c r="E23" s="28" t="s">
        <v>611</v>
      </c>
      <c r="F23" s="28">
        <v>9</v>
      </c>
      <c r="G23" s="28" t="s">
        <v>634</v>
      </c>
      <c r="H23" s="28" t="s">
        <v>635</v>
      </c>
      <c r="I23" s="28" t="b">
        <v>1</v>
      </c>
      <c r="J23" s="28" t="s">
        <v>614</v>
      </c>
      <c r="K23" s="28" t="s">
        <v>334</v>
      </c>
      <c r="L23" s="28">
        <v>1</v>
      </c>
      <c r="M23" s="28">
        <v>9000</v>
      </c>
      <c r="N23" s="28">
        <v>3000</v>
      </c>
      <c r="O23" s="28" t="s">
        <v>339</v>
      </c>
      <c r="P23" s="28">
        <v>0</v>
      </c>
      <c r="Q23" s="28">
        <v>30044</v>
      </c>
      <c r="R23" s="28" t="s">
        <v>334</v>
      </c>
      <c r="S23" s="28" t="s">
        <v>636</v>
      </c>
      <c r="T23" s="28">
        <v>1</v>
      </c>
      <c r="U23" s="28" t="s">
        <v>637</v>
      </c>
      <c r="V23" s="28">
        <v>10000</v>
      </c>
      <c r="W23" s="28"/>
      <c r="X23" s="28"/>
      <c r="Y23" s="28"/>
      <c r="Z23" s="28"/>
      <c r="AA23" s="28"/>
      <c r="AB23" s="28"/>
      <c r="AC23" s="28" t="s">
        <v>355</v>
      </c>
      <c r="AD23" s="28">
        <v>3200</v>
      </c>
      <c r="AE23" s="28">
        <v>3</v>
      </c>
      <c r="AF23" s="28" t="b">
        <v>0</v>
      </c>
      <c r="AG23" s="28">
        <v>0</v>
      </c>
      <c r="AH23" s="28"/>
      <c r="AI23" s="28"/>
      <c r="AJ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</row>
    <row r="24" spans="1:68">
      <c r="A24"/>
      <c r="B24" s="28">
        <v>21001110</v>
      </c>
      <c r="C24" s="28" t="s">
        <v>393</v>
      </c>
      <c r="D24" s="28" t="s">
        <v>393</v>
      </c>
      <c r="E24" s="28" t="s">
        <v>611</v>
      </c>
      <c r="F24" s="28">
        <v>10</v>
      </c>
      <c r="G24" s="28" t="s">
        <v>634</v>
      </c>
      <c r="H24" s="28" t="s">
        <v>635</v>
      </c>
      <c r="I24" s="28" t="b">
        <v>1</v>
      </c>
      <c r="J24" s="28" t="s">
        <v>614</v>
      </c>
      <c r="K24" s="28" t="s">
        <v>334</v>
      </c>
      <c r="L24" s="28">
        <v>1</v>
      </c>
      <c r="M24" s="28">
        <v>9000</v>
      </c>
      <c r="N24" s="28">
        <v>3000</v>
      </c>
      <c r="O24" s="28" t="s">
        <v>339</v>
      </c>
      <c r="P24" s="28">
        <v>0</v>
      </c>
      <c r="Q24" s="28">
        <v>30044</v>
      </c>
      <c r="R24" s="28" t="s">
        <v>334</v>
      </c>
      <c r="S24" s="28" t="s">
        <v>636</v>
      </c>
      <c r="T24" s="28">
        <v>1</v>
      </c>
      <c r="U24" s="28" t="s">
        <v>637</v>
      </c>
      <c r="V24" s="28">
        <v>10000</v>
      </c>
      <c r="W24" s="28"/>
      <c r="X24" s="28"/>
      <c r="Y24" s="28"/>
      <c r="Z24" s="28"/>
      <c r="AA24" s="28"/>
      <c r="AB24" s="28"/>
      <c r="AC24" s="28" t="s">
        <v>355</v>
      </c>
      <c r="AD24" s="28">
        <v>3500</v>
      </c>
      <c r="AE24" s="28">
        <v>3</v>
      </c>
      <c r="AF24" s="28" t="b">
        <v>0</v>
      </c>
      <c r="AG24" s="28">
        <v>0</v>
      </c>
      <c r="AH24" s="28"/>
      <c r="AI24" s="28"/>
      <c r="AJ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</row>
    <row r="25" spans="1:68">
      <c r="A25"/>
      <c r="B25" s="28">
        <v>21001201</v>
      </c>
      <c r="C25" s="28" t="s">
        <v>396</v>
      </c>
      <c r="D25" s="28" t="s">
        <v>396</v>
      </c>
      <c r="E25" s="28" t="s">
        <v>611</v>
      </c>
      <c r="F25" s="28">
        <v>1</v>
      </c>
      <c r="G25" s="28" t="s">
        <v>638</v>
      </c>
      <c r="H25" s="28" t="s">
        <v>639</v>
      </c>
      <c r="I25" s="28" t="b">
        <v>1</v>
      </c>
      <c r="J25" s="28" t="s">
        <v>614</v>
      </c>
      <c r="K25" s="28" t="s">
        <v>334</v>
      </c>
      <c r="L25" s="28">
        <v>1</v>
      </c>
      <c r="M25" s="28">
        <v>1200</v>
      </c>
      <c r="N25" s="28">
        <v>0</v>
      </c>
      <c r="O25" s="28" t="s">
        <v>339</v>
      </c>
      <c r="P25" s="28">
        <v>0</v>
      </c>
      <c r="Q25" s="28">
        <v>30058</v>
      </c>
      <c r="R25" s="28" t="s">
        <v>334</v>
      </c>
      <c r="S25" s="28" t="s">
        <v>615</v>
      </c>
      <c r="T25" s="28">
        <v>1</v>
      </c>
      <c r="U25" s="28" t="s">
        <v>616</v>
      </c>
      <c r="V25" s="28">
        <v>10000</v>
      </c>
      <c r="W25" s="28" t="s">
        <v>610</v>
      </c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</row>
    <row r="26" spans="1:68">
      <c r="A26"/>
      <c r="B26" s="28">
        <v>21001202</v>
      </c>
      <c r="C26" s="28" t="s">
        <v>396</v>
      </c>
      <c r="D26" s="28" t="s">
        <v>396</v>
      </c>
      <c r="E26" s="28" t="s">
        <v>611</v>
      </c>
      <c r="F26" s="28">
        <v>2</v>
      </c>
      <c r="G26" s="28" t="s">
        <v>638</v>
      </c>
      <c r="H26" s="28" t="s">
        <v>639</v>
      </c>
      <c r="I26" s="28" t="b">
        <v>1</v>
      </c>
      <c r="J26" s="28" t="s">
        <v>614</v>
      </c>
      <c r="K26" s="28" t="s">
        <v>334</v>
      </c>
      <c r="L26" s="28">
        <v>1</v>
      </c>
      <c r="M26" s="28">
        <v>1300</v>
      </c>
      <c r="N26" s="28">
        <v>0</v>
      </c>
      <c r="O26" s="28" t="s">
        <v>339</v>
      </c>
      <c r="P26" s="28">
        <v>0</v>
      </c>
      <c r="Q26" s="28">
        <v>30058</v>
      </c>
      <c r="R26" s="28" t="s">
        <v>334</v>
      </c>
      <c r="S26" s="28" t="s">
        <v>615</v>
      </c>
      <c r="T26" s="28">
        <v>1</v>
      </c>
      <c r="U26" s="28" t="s">
        <v>616</v>
      </c>
      <c r="V26" s="28">
        <v>10000</v>
      </c>
      <c r="W26" s="28" t="s">
        <v>610</v>
      </c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</row>
    <row r="27" spans="1:68">
      <c r="A27"/>
      <c r="B27" s="28">
        <v>21001203</v>
      </c>
      <c r="C27" s="28" t="s">
        <v>396</v>
      </c>
      <c r="D27" s="28" t="s">
        <v>396</v>
      </c>
      <c r="E27" s="28" t="s">
        <v>611</v>
      </c>
      <c r="F27" s="28">
        <v>3</v>
      </c>
      <c r="G27" s="28" t="s">
        <v>638</v>
      </c>
      <c r="H27" s="28" t="s">
        <v>639</v>
      </c>
      <c r="I27" s="28" t="b">
        <v>1</v>
      </c>
      <c r="J27" s="28" t="s">
        <v>614</v>
      </c>
      <c r="K27" s="28" t="s">
        <v>334</v>
      </c>
      <c r="L27" s="28">
        <v>1</v>
      </c>
      <c r="M27" s="28">
        <v>1400</v>
      </c>
      <c r="N27" s="28">
        <v>0</v>
      </c>
      <c r="O27" s="28" t="s">
        <v>339</v>
      </c>
      <c r="P27" s="28">
        <v>0</v>
      </c>
      <c r="Q27" s="28">
        <v>30058</v>
      </c>
      <c r="R27" s="28" t="s">
        <v>334</v>
      </c>
      <c r="S27" s="28" t="s">
        <v>615</v>
      </c>
      <c r="T27" s="28">
        <v>1</v>
      </c>
      <c r="U27" s="28" t="s">
        <v>616</v>
      </c>
      <c r="V27" s="28">
        <v>10000</v>
      </c>
      <c r="W27" s="28" t="s">
        <v>610</v>
      </c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</row>
    <row r="28" spans="1:68">
      <c r="A28"/>
      <c r="B28" s="28">
        <v>21001204</v>
      </c>
      <c r="C28" s="28" t="s">
        <v>396</v>
      </c>
      <c r="D28" s="28" t="s">
        <v>396</v>
      </c>
      <c r="E28" s="28" t="s">
        <v>611</v>
      </c>
      <c r="F28" s="28">
        <v>4</v>
      </c>
      <c r="G28" s="28" t="s">
        <v>638</v>
      </c>
      <c r="H28" s="28" t="s">
        <v>639</v>
      </c>
      <c r="I28" s="28" t="b">
        <v>1</v>
      </c>
      <c r="J28" s="28" t="s">
        <v>614</v>
      </c>
      <c r="K28" s="28" t="s">
        <v>334</v>
      </c>
      <c r="L28" s="28">
        <v>1</v>
      </c>
      <c r="M28" s="28">
        <v>1500</v>
      </c>
      <c r="N28" s="28">
        <v>0</v>
      </c>
      <c r="O28" s="28" t="s">
        <v>339</v>
      </c>
      <c r="P28" s="28">
        <v>0</v>
      </c>
      <c r="Q28" s="28">
        <v>30058</v>
      </c>
      <c r="R28" s="28" t="s">
        <v>334</v>
      </c>
      <c r="S28" s="28" t="s">
        <v>615</v>
      </c>
      <c r="T28" s="28">
        <v>1</v>
      </c>
      <c r="U28" s="28" t="s">
        <v>616</v>
      </c>
      <c r="V28" s="28">
        <v>10000</v>
      </c>
      <c r="W28" s="28" t="s">
        <v>610</v>
      </c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</row>
    <row r="29" spans="1:68">
      <c r="A29"/>
      <c r="B29" s="28">
        <v>21001205</v>
      </c>
      <c r="C29" s="28" t="s">
        <v>396</v>
      </c>
      <c r="D29" s="28" t="s">
        <v>396</v>
      </c>
      <c r="E29" s="28" t="s">
        <v>611</v>
      </c>
      <c r="F29" s="28">
        <v>5</v>
      </c>
      <c r="G29" s="28" t="s">
        <v>638</v>
      </c>
      <c r="H29" s="28" t="s">
        <v>639</v>
      </c>
      <c r="I29" s="28" t="b">
        <v>1</v>
      </c>
      <c r="J29" s="28" t="s">
        <v>614</v>
      </c>
      <c r="K29" s="28" t="s">
        <v>334</v>
      </c>
      <c r="L29" s="28">
        <v>1</v>
      </c>
      <c r="M29" s="28">
        <v>1600</v>
      </c>
      <c r="N29" s="28">
        <v>0</v>
      </c>
      <c r="O29" s="28" t="s">
        <v>339</v>
      </c>
      <c r="P29" s="28">
        <v>0</v>
      </c>
      <c r="Q29" s="28">
        <v>30058</v>
      </c>
      <c r="R29" s="28" t="s">
        <v>334</v>
      </c>
      <c r="S29" s="28" t="s">
        <v>615</v>
      </c>
      <c r="T29" s="28">
        <v>1</v>
      </c>
      <c r="U29" s="28" t="s">
        <v>616</v>
      </c>
      <c r="V29" s="28">
        <v>10000</v>
      </c>
      <c r="W29" s="28" t="s">
        <v>610</v>
      </c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</row>
    <row r="30" spans="1:68">
      <c r="A30"/>
      <c r="B30" s="28">
        <v>21001206</v>
      </c>
      <c r="C30" s="28" t="s">
        <v>396</v>
      </c>
      <c r="D30" s="28" t="s">
        <v>396</v>
      </c>
      <c r="E30" s="28" t="s">
        <v>611</v>
      </c>
      <c r="F30" s="28">
        <v>6</v>
      </c>
      <c r="G30" s="28" t="s">
        <v>638</v>
      </c>
      <c r="H30" s="28" t="s">
        <v>639</v>
      </c>
      <c r="I30" s="28" t="b">
        <v>1</v>
      </c>
      <c r="J30" s="28" t="s">
        <v>614</v>
      </c>
      <c r="K30" s="28" t="s">
        <v>334</v>
      </c>
      <c r="L30" s="28">
        <v>1</v>
      </c>
      <c r="M30" s="28">
        <v>1700</v>
      </c>
      <c r="N30" s="28">
        <v>0</v>
      </c>
      <c r="O30" s="28" t="s">
        <v>339</v>
      </c>
      <c r="P30" s="28">
        <v>0</v>
      </c>
      <c r="Q30" s="28">
        <v>30058</v>
      </c>
      <c r="R30" s="28" t="s">
        <v>334</v>
      </c>
      <c r="S30" s="28" t="s">
        <v>615</v>
      </c>
      <c r="T30" s="28">
        <v>1</v>
      </c>
      <c r="U30" s="28" t="s">
        <v>616</v>
      </c>
      <c r="V30" s="28">
        <v>10000</v>
      </c>
      <c r="W30" s="28" t="s">
        <v>610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</row>
    <row r="31" spans="1:68">
      <c r="A31"/>
      <c r="B31" s="28">
        <v>21001207</v>
      </c>
      <c r="C31" s="28" t="s">
        <v>396</v>
      </c>
      <c r="D31" s="28" t="s">
        <v>396</v>
      </c>
      <c r="E31" s="28" t="s">
        <v>611</v>
      </c>
      <c r="F31" s="28">
        <v>7</v>
      </c>
      <c r="G31" s="28" t="s">
        <v>638</v>
      </c>
      <c r="H31" s="28" t="s">
        <v>639</v>
      </c>
      <c r="I31" s="28" t="b">
        <v>1</v>
      </c>
      <c r="J31" s="28" t="s">
        <v>614</v>
      </c>
      <c r="K31" s="28" t="s">
        <v>334</v>
      </c>
      <c r="L31" s="28">
        <v>1</v>
      </c>
      <c r="M31" s="28">
        <v>1800</v>
      </c>
      <c r="N31" s="28">
        <v>0</v>
      </c>
      <c r="O31" s="28" t="s">
        <v>339</v>
      </c>
      <c r="P31" s="28">
        <v>0</v>
      </c>
      <c r="Q31" s="28">
        <v>30058</v>
      </c>
      <c r="R31" s="28" t="s">
        <v>334</v>
      </c>
      <c r="S31" s="28" t="s">
        <v>615</v>
      </c>
      <c r="T31" s="28">
        <v>1</v>
      </c>
      <c r="U31" s="28" t="s">
        <v>616</v>
      </c>
      <c r="V31" s="28">
        <v>10000</v>
      </c>
      <c r="W31" s="28" t="s">
        <v>610</v>
      </c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</row>
    <row r="32" spans="1:68">
      <c r="A32"/>
      <c r="B32" s="28">
        <v>21001208</v>
      </c>
      <c r="C32" s="28" t="s">
        <v>396</v>
      </c>
      <c r="D32" s="28" t="s">
        <v>396</v>
      </c>
      <c r="E32" s="28" t="s">
        <v>611</v>
      </c>
      <c r="F32" s="28">
        <v>8</v>
      </c>
      <c r="G32" s="28" t="s">
        <v>638</v>
      </c>
      <c r="H32" s="28" t="s">
        <v>639</v>
      </c>
      <c r="I32" s="28" t="b">
        <v>1</v>
      </c>
      <c r="J32" s="28" t="s">
        <v>614</v>
      </c>
      <c r="K32" s="28" t="s">
        <v>334</v>
      </c>
      <c r="L32" s="28">
        <v>1</v>
      </c>
      <c r="M32" s="28">
        <v>1900</v>
      </c>
      <c r="N32" s="28">
        <v>0</v>
      </c>
      <c r="O32" s="28" t="s">
        <v>339</v>
      </c>
      <c r="P32" s="28">
        <v>0</v>
      </c>
      <c r="Q32" s="28">
        <v>30058</v>
      </c>
      <c r="R32" s="28" t="s">
        <v>334</v>
      </c>
      <c r="S32" s="28" t="s">
        <v>615</v>
      </c>
      <c r="T32" s="28">
        <v>1</v>
      </c>
      <c r="U32" s="28" t="s">
        <v>616</v>
      </c>
      <c r="V32" s="28">
        <v>10000</v>
      </c>
      <c r="W32" s="28" t="s">
        <v>610</v>
      </c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</row>
    <row r="33" spans="1:68">
      <c r="A33"/>
      <c r="B33" s="28">
        <v>21001209</v>
      </c>
      <c r="C33" s="28" t="s">
        <v>396</v>
      </c>
      <c r="D33" s="28" t="s">
        <v>396</v>
      </c>
      <c r="E33" s="28" t="s">
        <v>611</v>
      </c>
      <c r="F33" s="28">
        <v>9</v>
      </c>
      <c r="G33" s="28" t="s">
        <v>638</v>
      </c>
      <c r="H33" s="28" t="s">
        <v>639</v>
      </c>
      <c r="I33" s="28" t="b">
        <v>1</v>
      </c>
      <c r="J33" s="28" t="s">
        <v>614</v>
      </c>
      <c r="K33" s="28" t="s">
        <v>334</v>
      </c>
      <c r="L33" s="28">
        <v>1</v>
      </c>
      <c r="M33" s="28">
        <v>2000</v>
      </c>
      <c r="N33" s="28">
        <v>0</v>
      </c>
      <c r="O33" s="28" t="s">
        <v>339</v>
      </c>
      <c r="P33" s="28">
        <v>0</v>
      </c>
      <c r="Q33" s="28">
        <v>30058</v>
      </c>
      <c r="R33" s="28" t="s">
        <v>334</v>
      </c>
      <c r="S33" s="28" t="s">
        <v>615</v>
      </c>
      <c r="T33" s="28">
        <v>1</v>
      </c>
      <c r="U33" s="28" t="s">
        <v>616</v>
      </c>
      <c r="V33" s="28">
        <v>10000</v>
      </c>
      <c r="W33" s="28" t="s">
        <v>610</v>
      </c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</row>
    <row r="34" spans="1:68">
      <c r="A34"/>
      <c r="B34" s="28">
        <v>21001210</v>
      </c>
      <c r="C34" s="28" t="s">
        <v>396</v>
      </c>
      <c r="D34" s="28" t="s">
        <v>396</v>
      </c>
      <c r="E34" s="28" t="s">
        <v>611</v>
      </c>
      <c r="F34" s="28">
        <v>10</v>
      </c>
      <c r="G34" s="28" t="s">
        <v>638</v>
      </c>
      <c r="H34" s="28" t="s">
        <v>639</v>
      </c>
      <c r="I34" s="28" t="b">
        <v>1</v>
      </c>
      <c r="J34" s="28" t="s">
        <v>614</v>
      </c>
      <c r="K34" s="28" t="s">
        <v>334</v>
      </c>
      <c r="L34" s="28">
        <v>1</v>
      </c>
      <c r="M34" s="28">
        <v>2200</v>
      </c>
      <c r="N34" s="28">
        <v>0</v>
      </c>
      <c r="O34" s="28" t="s">
        <v>339</v>
      </c>
      <c r="P34" s="28">
        <v>0</v>
      </c>
      <c r="Q34" s="28">
        <v>30058</v>
      </c>
      <c r="R34" s="28" t="s">
        <v>334</v>
      </c>
      <c r="S34" s="28" t="s">
        <v>615</v>
      </c>
      <c r="T34" s="28">
        <v>1</v>
      </c>
      <c r="U34" s="28" t="s">
        <v>616</v>
      </c>
      <c r="V34" s="28">
        <v>10000</v>
      </c>
      <c r="W34" s="28" t="s">
        <v>610</v>
      </c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</row>
    <row r="35" spans="1:68">
      <c r="A35"/>
      <c r="B35" s="28">
        <v>21001301</v>
      </c>
      <c r="C35" s="28" t="s">
        <v>398</v>
      </c>
      <c r="D35" s="28" t="s">
        <v>398</v>
      </c>
      <c r="E35" s="28" t="s">
        <v>611</v>
      </c>
      <c r="F35" s="28">
        <v>1</v>
      </c>
      <c r="G35" s="28" t="s">
        <v>640</v>
      </c>
      <c r="H35" s="28" t="s">
        <v>641</v>
      </c>
      <c r="I35" s="28" t="b">
        <v>1</v>
      </c>
      <c r="J35" s="28" t="s">
        <v>614</v>
      </c>
      <c r="K35" s="28" t="s">
        <v>334</v>
      </c>
      <c r="L35" s="28">
        <v>1</v>
      </c>
      <c r="M35" s="28">
        <v>1500</v>
      </c>
      <c r="N35" s="28">
        <v>0</v>
      </c>
      <c r="O35" s="28" t="s">
        <v>339</v>
      </c>
      <c r="P35" s="28">
        <v>0</v>
      </c>
      <c r="Q35" s="28">
        <v>30060</v>
      </c>
      <c r="R35" s="28" t="s">
        <v>334</v>
      </c>
      <c r="S35" s="28" t="s">
        <v>615</v>
      </c>
      <c r="T35" s="28">
        <v>1</v>
      </c>
      <c r="U35" s="28" t="s">
        <v>616</v>
      </c>
      <c r="V35" s="28">
        <v>10000</v>
      </c>
      <c r="W35" s="28" t="s">
        <v>620</v>
      </c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</row>
    <row r="36" spans="1:68">
      <c r="A36"/>
      <c r="B36" s="28">
        <v>21001302</v>
      </c>
      <c r="C36" s="28" t="s">
        <v>398</v>
      </c>
      <c r="D36" s="28" t="s">
        <v>398</v>
      </c>
      <c r="E36" s="28" t="s">
        <v>611</v>
      </c>
      <c r="F36" s="28">
        <v>2</v>
      </c>
      <c r="G36" s="28" t="s">
        <v>640</v>
      </c>
      <c r="H36" s="28" t="s">
        <v>641</v>
      </c>
      <c r="I36" s="28" t="b">
        <v>1</v>
      </c>
      <c r="J36" s="28" t="s">
        <v>614</v>
      </c>
      <c r="K36" s="28" t="s">
        <v>334</v>
      </c>
      <c r="L36" s="28">
        <v>1</v>
      </c>
      <c r="M36" s="28">
        <v>1600</v>
      </c>
      <c r="N36" s="28">
        <v>0</v>
      </c>
      <c r="O36" s="28" t="s">
        <v>339</v>
      </c>
      <c r="P36" s="28">
        <v>0</v>
      </c>
      <c r="Q36" s="28">
        <v>30060</v>
      </c>
      <c r="R36" s="28" t="s">
        <v>334</v>
      </c>
      <c r="S36" s="28" t="s">
        <v>615</v>
      </c>
      <c r="T36" s="28">
        <v>1</v>
      </c>
      <c r="U36" s="28" t="s">
        <v>616</v>
      </c>
      <c r="V36" s="28">
        <v>10000</v>
      </c>
      <c r="W36" s="28" t="s">
        <v>620</v>
      </c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</row>
    <row r="37" spans="1:68">
      <c r="A37"/>
      <c r="B37" s="28">
        <v>21001303</v>
      </c>
      <c r="C37" s="28" t="s">
        <v>398</v>
      </c>
      <c r="D37" s="28" t="s">
        <v>398</v>
      </c>
      <c r="E37" s="28" t="s">
        <v>611</v>
      </c>
      <c r="F37" s="28">
        <v>3</v>
      </c>
      <c r="G37" s="28" t="s">
        <v>640</v>
      </c>
      <c r="H37" s="28" t="s">
        <v>641</v>
      </c>
      <c r="I37" s="28" t="b">
        <v>1</v>
      </c>
      <c r="J37" s="28" t="s">
        <v>614</v>
      </c>
      <c r="K37" s="28" t="s">
        <v>334</v>
      </c>
      <c r="L37" s="28">
        <v>1</v>
      </c>
      <c r="M37" s="28">
        <v>1700</v>
      </c>
      <c r="N37" s="28">
        <v>0</v>
      </c>
      <c r="O37" s="28" t="s">
        <v>339</v>
      </c>
      <c r="P37" s="28">
        <v>0</v>
      </c>
      <c r="Q37" s="28">
        <v>30060</v>
      </c>
      <c r="R37" s="28" t="s">
        <v>334</v>
      </c>
      <c r="S37" s="28" t="s">
        <v>615</v>
      </c>
      <c r="T37" s="28">
        <v>1</v>
      </c>
      <c r="U37" s="28" t="s">
        <v>616</v>
      </c>
      <c r="V37" s="28">
        <v>10000</v>
      </c>
      <c r="W37" s="28" t="s">
        <v>620</v>
      </c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</row>
    <row r="38" spans="1:68">
      <c r="A38"/>
      <c r="B38" s="28">
        <v>21001304</v>
      </c>
      <c r="C38" s="28" t="s">
        <v>398</v>
      </c>
      <c r="D38" s="28" t="s">
        <v>398</v>
      </c>
      <c r="E38" s="28" t="s">
        <v>611</v>
      </c>
      <c r="F38" s="28">
        <v>4</v>
      </c>
      <c r="G38" s="28" t="s">
        <v>640</v>
      </c>
      <c r="H38" s="28" t="s">
        <v>641</v>
      </c>
      <c r="I38" s="28" t="b">
        <v>1</v>
      </c>
      <c r="J38" s="28" t="s">
        <v>614</v>
      </c>
      <c r="K38" s="28" t="s">
        <v>334</v>
      </c>
      <c r="L38" s="28">
        <v>1</v>
      </c>
      <c r="M38" s="28">
        <v>1800</v>
      </c>
      <c r="N38" s="28">
        <v>0</v>
      </c>
      <c r="O38" s="28" t="s">
        <v>339</v>
      </c>
      <c r="P38" s="28">
        <v>0</v>
      </c>
      <c r="Q38" s="28">
        <v>30060</v>
      </c>
      <c r="R38" s="28" t="s">
        <v>334</v>
      </c>
      <c r="S38" s="28" t="s">
        <v>615</v>
      </c>
      <c r="T38" s="28">
        <v>1</v>
      </c>
      <c r="U38" s="28" t="s">
        <v>616</v>
      </c>
      <c r="V38" s="28">
        <v>10000</v>
      </c>
      <c r="W38" s="28" t="s">
        <v>620</v>
      </c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</row>
    <row r="39" spans="1:68">
      <c r="A39"/>
      <c r="B39" s="28">
        <v>21001305</v>
      </c>
      <c r="C39" s="28" t="s">
        <v>398</v>
      </c>
      <c r="D39" s="28" t="s">
        <v>398</v>
      </c>
      <c r="E39" s="28" t="s">
        <v>611</v>
      </c>
      <c r="F39" s="28">
        <v>5</v>
      </c>
      <c r="G39" s="28" t="s">
        <v>640</v>
      </c>
      <c r="H39" s="28" t="s">
        <v>641</v>
      </c>
      <c r="I39" s="28" t="b">
        <v>1</v>
      </c>
      <c r="J39" s="28" t="s">
        <v>614</v>
      </c>
      <c r="K39" s="28" t="s">
        <v>334</v>
      </c>
      <c r="L39" s="28">
        <v>1</v>
      </c>
      <c r="M39" s="28">
        <v>1900</v>
      </c>
      <c r="N39" s="28">
        <v>0</v>
      </c>
      <c r="O39" s="28" t="s">
        <v>339</v>
      </c>
      <c r="P39" s="28">
        <v>0</v>
      </c>
      <c r="Q39" s="28">
        <v>30060</v>
      </c>
      <c r="R39" s="28" t="s">
        <v>334</v>
      </c>
      <c r="S39" s="28" t="s">
        <v>615</v>
      </c>
      <c r="T39" s="28">
        <v>1</v>
      </c>
      <c r="U39" s="28" t="s">
        <v>616</v>
      </c>
      <c r="V39" s="28">
        <v>10000</v>
      </c>
      <c r="W39" s="28" t="s">
        <v>620</v>
      </c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</row>
    <row r="40" spans="1:68">
      <c r="A40"/>
      <c r="B40" s="28">
        <v>21001306</v>
      </c>
      <c r="C40" s="28" t="s">
        <v>398</v>
      </c>
      <c r="D40" s="28" t="s">
        <v>398</v>
      </c>
      <c r="E40" s="28" t="s">
        <v>611</v>
      </c>
      <c r="F40" s="28">
        <v>6</v>
      </c>
      <c r="G40" s="28" t="s">
        <v>640</v>
      </c>
      <c r="H40" s="28" t="s">
        <v>641</v>
      </c>
      <c r="I40" s="28" t="b">
        <v>1</v>
      </c>
      <c r="J40" s="28" t="s">
        <v>614</v>
      </c>
      <c r="K40" s="28" t="s">
        <v>334</v>
      </c>
      <c r="L40" s="28">
        <v>1</v>
      </c>
      <c r="M40" s="28">
        <v>2000</v>
      </c>
      <c r="N40" s="28">
        <v>0</v>
      </c>
      <c r="O40" s="28" t="s">
        <v>339</v>
      </c>
      <c r="P40" s="28">
        <v>0</v>
      </c>
      <c r="Q40" s="28">
        <v>30060</v>
      </c>
      <c r="R40" s="28" t="s">
        <v>334</v>
      </c>
      <c r="S40" s="28" t="s">
        <v>615</v>
      </c>
      <c r="T40" s="28">
        <v>1</v>
      </c>
      <c r="U40" s="28" t="s">
        <v>616</v>
      </c>
      <c r="V40" s="28">
        <v>10000</v>
      </c>
      <c r="W40" s="28" t="s">
        <v>620</v>
      </c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</row>
    <row r="41" spans="1:68">
      <c r="A41"/>
      <c r="B41" s="28">
        <v>21001307</v>
      </c>
      <c r="C41" s="28" t="s">
        <v>398</v>
      </c>
      <c r="D41" s="28" t="s">
        <v>398</v>
      </c>
      <c r="E41" s="28" t="s">
        <v>611</v>
      </c>
      <c r="F41" s="28">
        <v>7</v>
      </c>
      <c r="G41" s="28" t="s">
        <v>640</v>
      </c>
      <c r="H41" s="28" t="s">
        <v>641</v>
      </c>
      <c r="I41" s="28" t="b">
        <v>1</v>
      </c>
      <c r="J41" s="28" t="s">
        <v>614</v>
      </c>
      <c r="K41" s="28" t="s">
        <v>334</v>
      </c>
      <c r="L41" s="28">
        <v>1</v>
      </c>
      <c r="M41" s="28">
        <v>2100</v>
      </c>
      <c r="N41" s="28">
        <v>0</v>
      </c>
      <c r="O41" s="28" t="s">
        <v>339</v>
      </c>
      <c r="P41" s="28">
        <v>0</v>
      </c>
      <c r="Q41" s="28">
        <v>30060</v>
      </c>
      <c r="R41" s="28" t="s">
        <v>334</v>
      </c>
      <c r="S41" s="28" t="s">
        <v>615</v>
      </c>
      <c r="T41" s="28">
        <v>1</v>
      </c>
      <c r="U41" s="28" t="s">
        <v>616</v>
      </c>
      <c r="V41" s="28">
        <v>10000</v>
      </c>
      <c r="W41" s="28" t="s">
        <v>620</v>
      </c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</row>
    <row r="42" spans="1:68">
      <c r="A42"/>
      <c r="B42" s="28">
        <v>21001308</v>
      </c>
      <c r="C42" s="28" t="s">
        <v>398</v>
      </c>
      <c r="D42" s="28" t="s">
        <v>398</v>
      </c>
      <c r="E42" s="28" t="s">
        <v>611</v>
      </c>
      <c r="F42" s="28">
        <v>8</v>
      </c>
      <c r="G42" s="28" t="s">
        <v>640</v>
      </c>
      <c r="H42" s="28" t="s">
        <v>641</v>
      </c>
      <c r="I42" s="28" t="b">
        <v>1</v>
      </c>
      <c r="J42" s="28" t="s">
        <v>614</v>
      </c>
      <c r="K42" s="28" t="s">
        <v>334</v>
      </c>
      <c r="L42" s="28">
        <v>1</v>
      </c>
      <c r="M42" s="28">
        <v>2200</v>
      </c>
      <c r="N42" s="28">
        <v>0</v>
      </c>
      <c r="O42" s="28" t="s">
        <v>339</v>
      </c>
      <c r="P42" s="28">
        <v>0</v>
      </c>
      <c r="Q42" s="28">
        <v>30060</v>
      </c>
      <c r="R42" s="28" t="s">
        <v>334</v>
      </c>
      <c r="S42" s="28" t="s">
        <v>615</v>
      </c>
      <c r="T42" s="28">
        <v>1</v>
      </c>
      <c r="U42" s="28" t="s">
        <v>616</v>
      </c>
      <c r="V42" s="28">
        <v>10000</v>
      </c>
      <c r="W42" s="28" t="s">
        <v>620</v>
      </c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</row>
    <row r="43" spans="1:68">
      <c r="A43"/>
      <c r="B43" s="28">
        <v>21001309</v>
      </c>
      <c r="C43" s="28" t="s">
        <v>398</v>
      </c>
      <c r="D43" s="28" t="s">
        <v>398</v>
      </c>
      <c r="E43" s="28" t="s">
        <v>611</v>
      </c>
      <c r="F43" s="28">
        <v>9</v>
      </c>
      <c r="G43" s="28" t="s">
        <v>640</v>
      </c>
      <c r="H43" s="28" t="s">
        <v>641</v>
      </c>
      <c r="I43" s="28" t="b">
        <v>1</v>
      </c>
      <c r="J43" s="28" t="s">
        <v>614</v>
      </c>
      <c r="K43" s="28" t="s">
        <v>334</v>
      </c>
      <c r="L43" s="28">
        <v>1</v>
      </c>
      <c r="M43" s="28">
        <v>2300</v>
      </c>
      <c r="N43" s="28">
        <v>0</v>
      </c>
      <c r="O43" s="28" t="s">
        <v>339</v>
      </c>
      <c r="P43" s="28">
        <v>0</v>
      </c>
      <c r="Q43" s="28">
        <v>30060</v>
      </c>
      <c r="R43" s="28" t="s">
        <v>334</v>
      </c>
      <c r="S43" s="28" t="s">
        <v>615</v>
      </c>
      <c r="T43" s="28">
        <v>1</v>
      </c>
      <c r="U43" s="28" t="s">
        <v>616</v>
      </c>
      <c r="V43" s="28">
        <v>10000</v>
      </c>
      <c r="W43" s="28" t="s">
        <v>620</v>
      </c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</row>
    <row r="44" spans="1:68">
      <c r="A44"/>
      <c r="B44" s="28">
        <v>21001310</v>
      </c>
      <c r="C44" s="28" t="s">
        <v>398</v>
      </c>
      <c r="D44" s="28" t="s">
        <v>398</v>
      </c>
      <c r="E44" s="28" t="s">
        <v>611</v>
      </c>
      <c r="F44" s="28">
        <v>10</v>
      </c>
      <c r="G44" s="28" t="s">
        <v>640</v>
      </c>
      <c r="H44" s="28" t="s">
        <v>641</v>
      </c>
      <c r="I44" s="28" t="b">
        <v>1</v>
      </c>
      <c r="J44" s="28" t="s">
        <v>614</v>
      </c>
      <c r="K44" s="28" t="s">
        <v>334</v>
      </c>
      <c r="L44" s="28">
        <v>1</v>
      </c>
      <c r="M44" s="28">
        <v>2500</v>
      </c>
      <c r="N44" s="28">
        <v>0</v>
      </c>
      <c r="O44" s="28" t="s">
        <v>339</v>
      </c>
      <c r="P44" s="28">
        <v>0</v>
      </c>
      <c r="Q44" s="28">
        <v>30060</v>
      </c>
      <c r="R44" s="28" t="s">
        <v>334</v>
      </c>
      <c r="S44" s="28" t="s">
        <v>615</v>
      </c>
      <c r="T44" s="28">
        <v>1</v>
      </c>
      <c r="U44" s="28" t="s">
        <v>616</v>
      </c>
      <c r="V44" s="28">
        <v>10000</v>
      </c>
      <c r="W44" s="28" t="s">
        <v>620</v>
      </c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</row>
    <row r="45" spans="1:68">
      <c r="A45"/>
      <c r="B45" s="28">
        <v>21001401</v>
      </c>
      <c r="C45" s="28" t="s">
        <v>400</v>
      </c>
      <c r="D45" s="28" t="s">
        <v>400</v>
      </c>
      <c r="E45" s="28" t="s">
        <v>611</v>
      </c>
      <c r="F45" s="28">
        <v>1</v>
      </c>
      <c r="G45" s="28" t="s">
        <v>642</v>
      </c>
      <c r="H45" s="28" t="s">
        <v>643</v>
      </c>
      <c r="I45" s="28" t="b">
        <v>1</v>
      </c>
      <c r="J45" s="28" t="s">
        <v>614</v>
      </c>
      <c r="K45" s="28" t="s">
        <v>334</v>
      </c>
      <c r="L45" s="28">
        <v>1</v>
      </c>
      <c r="M45" s="28">
        <v>12000</v>
      </c>
      <c r="N45" s="28">
        <v>0</v>
      </c>
      <c r="O45" s="28" t="s">
        <v>339</v>
      </c>
      <c r="P45" s="28">
        <v>0</v>
      </c>
      <c r="Q45" s="28">
        <v>30009</v>
      </c>
      <c r="R45" s="28" t="s">
        <v>334</v>
      </c>
      <c r="S45" s="28" t="s">
        <v>636</v>
      </c>
      <c r="T45" s="28">
        <v>1</v>
      </c>
      <c r="U45" s="28" t="s">
        <v>626</v>
      </c>
      <c r="V45" s="28">
        <v>10000</v>
      </c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 t="s">
        <v>644</v>
      </c>
      <c r="AI45" s="28">
        <v>800</v>
      </c>
      <c r="AJ45" s="28"/>
      <c r="AL45" s="28" t="s">
        <v>626</v>
      </c>
      <c r="AM45" s="28">
        <v>10000</v>
      </c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 t="s">
        <v>645</v>
      </c>
      <c r="AZ45" s="28">
        <v>800</v>
      </c>
      <c r="BA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</row>
    <row r="46" spans="1:68">
      <c r="A46"/>
      <c r="B46" s="28">
        <v>21001402</v>
      </c>
      <c r="C46" s="28" t="s">
        <v>400</v>
      </c>
      <c r="D46" s="28" t="s">
        <v>400</v>
      </c>
      <c r="E46" s="28" t="s">
        <v>611</v>
      </c>
      <c r="F46" s="28">
        <v>2</v>
      </c>
      <c r="G46" s="28" t="s">
        <v>642</v>
      </c>
      <c r="H46" s="28" t="s">
        <v>643</v>
      </c>
      <c r="I46" s="28" t="b">
        <v>1</v>
      </c>
      <c r="J46" s="28" t="s">
        <v>614</v>
      </c>
      <c r="K46" s="28" t="s">
        <v>334</v>
      </c>
      <c r="L46" s="28">
        <v>1</v>
      </c>
      <c r="M46" s="28">
        <v>12000</v>
      </c>
      <c r="N46" s="28">
        <v>0</v>
      </c>
      <c r="O46" s="28" t="s">
        <v>339</v>
      </c>
      <c r="P46" s="28">
        <v>0</v>
      </c>
      <c r="Q46" s="28">
        <v>30009</v>
      </c>
      <c r="R46" s="28" t="s">
        <v>334</v>
      </c>
      <c r="S46" s="28" t="s">
        <v>636</v>
      </c>
      <c r="T46" s="28">
        <v>1</v>
      </c>
      <c r="U46" s="28" t="s">
        <v>626</v>
      </c>
      <c r="V46" s="28">
        <v>10000</v>
      </c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 t="s">
        <v>644</v>
      </c>
      <c r="AI46" s="28">
        <v>1000</v>
      </c>
      <c r="AJ46" s="28"/>
      <c r="AL46" s="28" t="s">
        <v>626</v>
      </c>
      <c r="AM46" s="28">
        <v>10000</v>
      </c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 t="s">
        <v>645</v>
      </c>
      <c r="AZ46" s="28">
        <v>1000</v>
      </c>
      <c r="BA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</row>
    <row r="47" spans="1:68">
      <c r="A47"/>
      <c r="B47" s="28">
        <v>21001403</v>
      </c>
      <c r="C47" s="28" t="s">
        <v>400</v>
      </c>
      <c r="D47" s="28" t="s">
        <v>400</v>
      </c>
      <c r="E47" s="28" t="s">
        <v>611</v>
      </c>
      <c r="F47" s="28">
        <v>3</v>
      </c>
      <c r="G47" s="28" t="s">
        <v>642</v>
      </c>
      <c r="H47" s="28" t="s">
        <v>643</v>
      </c>
      <c r="I47" s="28" t="b">
        <v>1</v>
      </c>
      <c r="J47" s="28" t="s">
        <v>614</v>
      </c>
      <c r="K47" s="28" t="s">
        <v>334</v>
      </c>
      <c r="L47" s="28">
        <v>1</v>
      </c>
      <c r="M47" s="28">
        <v>12000</v>
      </c>
      <c r="N47" s="28">
        <v>0</v>
      </c>
      <c r="O47" s="28" t="s">
        <v>339</v>
      </c>
      <c r="P47" s="28">
        <v>0</v>
      </c>
      <c r="Q47" s="28">
        <v>30009</v>
      </c>
      <c r="R47" s="28" t="s">
        <v>334</v>
      </c>
      <c r="S47" s="28" t="s">
        <v>636</v>
      </c>
      <c r="T47" s="28">
        <v>1</v>
      </c>
      <c r="U47" s="28" t="s">
        <v>626</v>
      </c>
      <c r="V47" s="28">
        <v>10000</v>
      </c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 t="s">
        <v>644</v>
      </c>
      <c r="AI47" s="28">
        <v>1200</v>
      </c>
      <c r="AJ47" s="28"/>
      <c r="AL47" s="28" t="s">
        <v>626</v>
      </c>
      <c r="AM47" s="28">
        <v>10000</v>
      </c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 t="s">
        <v>645</v>
      </c>
      <c r="AZ47" s="28">
        <v>1200</v>
      </c>
      <c r="BA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</row>
    <row r="48" spans="1:68">
      <c r="A48"/>
      <c r="B48" s="28">
        <v>21001404</v>
      </c>
      <c r="C48" s="28" t="s">
        <v>400</v>
      </c>
      <c r="D48" s="28" t="s">
        <v>400</v>
      </c>
      <c r="E48" s="28" t="s">
        <v>611</v>
      </c>
      <c r="F48" s="28">
        <v>4</v>
      </c>
      <c r="G48" s="28" t="s">
        <v>642</v>
      </c>
      <c r="H48" s="28" t="s">
        <v>643</v>
      </c>
      <c r="I48" s="28" t="b">
        <v>1</v>
      </c>
      <c r="J48" s="28" t="s">
        <v>614</v>
      </c>
      <c r="K48" s="28" t="s">
        <v>334</v>
      </c>
      <c r="L48" s="28">
        <v>1</v>
      </c>
      <c r="M48" s="28">
        <v>12000</v>
      </c>
      <c r="N48" s="28">
        <v>0</v>
      </c>
      <c r="O48" s="28" t="s">
        <v>339</v>
      </c>
      <c r="P48" s="28">
        <v>0</v>
      </c>
      <c r="Q48" s="28">
        <v>30009</v>
      </c>
      <c r="R48" s="28" t="s">
        <v>334</v>
      </c>
      <c r="S48" s="28" t="s">
        <v>636</v>
      </c>
      <c r="T48" s="28">
        <v>1</v>
      </c>
      <c r="U48" s="28" t="s">
        <v>626</v>
      </c>
      <c r="V48" s="28">
        <v>10000</v>
      </c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 t="s">
        <v>644</v>
      </c>
      <c r="AI48" s="28">
        <v>1400</v>
      </c>
      <c r="AJ48" s="28"/>
      <c r="AL48" s="28" t="s">
        <v>626</v>
      </c>
      <c r="AM48" s="28">
        <v>10000</v>
      </c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 t="s">
        <v>645</v>
      </c>
      <c r="AZ48" s="28">
        <v>1400</v>
      </c>
      <c r="BA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</row>
    <row r="49" spans="1:68">
      <c r="A49"/>
      <c r="B49" s="28">
        <v>21001405</v>
      </c>
      <c r="C49" s="28" t="s">
        <v>400</v>
      </c>
      <c r="D49" s="28" t="s">
        <v>400</v>
      </c>
      <c r="E49" s="28" t="s">
        <v>611</v>
      </c>
      <c r="F49" s="28">
        <v>5</v>
      </c>
      <c r="G49" s="28" t="s">
        <v>642</v>
      </c>
      <c r="H49" s="28" t="s">
        <v>643</v>
      </c>
      <c r="I49" s="28" t="b">
        <v>1</v>
      </c>
      <c r="J49" s="28" t="s">
        <v>614</v>
      </c>
      <c r="K49" s="28" t="s">
        <v>334</v>
      </c>
      <c r="L49" s="28">
        <v>1</v>
      </c>
      <c r="M49" s="28">
        <v>12000</v>
      </c>
      <c r="N49" s="28">
        <v>0</v>
      </c>
      <c r="O49" s="28" t="s">
        <v>339</v>
      </c>
      <c r="P49" s="28">
        <v>0</v>
      </c>
      <c r="Q49" s="28">
        <v>30009</v>
      </c>
      <c r="R49" s="28" t="s">
        <v>334</v>
      </c>
      <c r="S49" s="28" t="s">
        <v>636</v>
      </c>
      <c r="T49" s="28">
        <v>1</v>
      </c>
      <c r="U49" s="28" t="s">
        <v>626</v>
      </c>
      <c r="V49" s="28">
        <v>10000</v>
      </c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 t="s">
        <v>644</v>
      </c>
      <c r="AI49" s="28">
        <v>1600</v>
      </c>
      <c r="AJ49" s="28"/>
      <c r="AL49" s="28" t="s">
        <v>626</v>
      </c>
      <c r="AM49" s="28">
        <v>10000</v>
      </c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 t="s">
        <v>645</v>
      </c>
      <c r="AZ49" s="28">
        <v>1600</v>
      </c>
      <c r="BA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</row>
    <row r="50" spans="1:68">
      <c r="A50"/>
      <c r="B50" s="28">
        <v>21001406</v>
      </c>
      <c r="C50" s="28" t="s">
        <v>400</v>
      </c>
      <c r="D50" s="28" t="s">
        <v>400</v>
      </c>
      <c r="E50" s="28" t="s">
        <v>611</v>
      </c>
      <c r="F50" s="28">
        <v>6</v>
      </c>
      <c r="G50" s="28" t="s">
        <v>642</v>
      </c>
      <c r="H50" s="28" t="s">
        <v>643</v>
      </c>
      <c r="I50" s="28" t="b">
        <v>1</v>
      </c>
      <c r="J50" s="28" t="s">
        <v>614</v>
      </c>
      <c r="K50" s="28" t="s">
        <v>334</v>
      </c>
      <c r="L50" s="28">
        <v>1</v>
      </c>
      <c r="M50" s="28">
        <v>12000</v>
      </c>
      <c r="N50" s="28">
        <v>0</v>
      </c>
      <c r="O50" s="28" t="s">
        <v>339</v>
      </c>
      <c r="P50" s="28">
        <v>0</v>
      </c>
      <c r="Q50" s="28">
        <v>30009</v>
      </c>
      <c r="R50" s="28" t="s">
        <v>334</v>
      </c>
      <c r="S50" s="28" t="s">
        <v>636</v>
      </c>
      <c r="T50" s="28">
        <v>1</v>
      </c>
      <c r="U50" s="28" t="s">
        <v>626</v>
      </c>
      <c r="V50" s="28">
        <v>10000</v>
      </c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 t="s">
        <v>644</v>
      </c>
      <c r="AI50" s="28">
        <v>1800</v>
      </c>
      <c r="AJ50" s="28"/>
      <c r="AL50" s="28" t="s">
        <v>626</v>
      </c>
      <c r="AM50" s="28">
        <v>10000</v>
      </c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 t="s">
        <v>645</v>
      </c>
      <c r="AZ50" s="28">
        <v>1800</v>
      </c>
      <c r="BA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</row>
    <row r="51" spans="1:68">
      <c r="A51"/>
      <c r="B51" s="28">
        <v>21001407</v>
      </c>
      <c r="C51" s="28" t="s">
        <v>400</v>
      </c>
      <c r="D51" s="28" t="s">
        <v>400</v>
      </c>
      <c r="E51" s="28" t="s">
        <v>611</v>
      </c>
      <c r="F51" s="28">
        <v>7</v>
      </c>
      <c r="G51" s="28" t="s">
        <v>642</v>
      </c>
      <c r="H51" s="28" t="s">
        <v>643</v>
      </c>
      <c r="I51" s="28" t="b">
        <v>1</v>
      </c>
      <c r="J51" s="28" t="s">
        <v>614</v>
      </c>
      <c r="K51" s="28" t="s">
        <v>334</v>
      </c>
      <c r="L51" s="28">
        <v>1</v>
      </c>
      <c r="M51" s="28">
        <v>12000</v>
      </c>
      <c r="N51" s="28">
        <v>0</v>
      </c>
      <c r="O51" s="28" t="s">
        <v>339</v>
      </c>
      <c r="P51" s="28">
        <v>0</v>
      </c>
      <c r="Q51" s="28">
        <v>30009</v>
      </c>
      <c r="R51" s="28" t="s">
        <v>334</v>
      </c>
      <c r="S51" s="28" t="s">
        <v>636</v>
      </c>
      <c r="T51" s="28">
        <v>1</v>
      </c>
      <c r="U51" s="28" t="s">
        <v>626</v>
      </c>
      <c r="V51" s="28">
        <v>10000</v>
      </c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 t="s">
        <v>644</v>
      </c>
      <c r="AI51" s="28">
        <v>2000</v>
      </c>
      <c r="AJ51" s="28"/>
      <c r="AL51" s="28" t="s">
        <v>626</v>
      </c>
      <c r="AM51" s="28">
        <v>10000</v>
      </c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 t="s">
        <v>645</v>
      </c>
      <c r="AZ51" s="28">
        <v>2000</v>
      </c>
      <c r="BA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</row>
    <row r="52" spans="1:68">
      <c r="A52"/>
      <c r="B52" s="28">
        <v>21001408</v>
      </c>
      <c r="C52" s="28" t="s">
        <v>400</v>
      </c>
      <c r="D52" s="28" t="s">
        <v>400</v>
      </c>
      <c r="E52" s="28" t="s">
        <v>611</v>
      </c>
      <c r="F52" s="28">
        <v>8</v>
      </c>
      <c r="G52" s="28" t="s">
        <v>642</v>
      </c>
      <c r="H52" s="28" t="s">
        <v>643</v>
      </c>
      <c r="I52" s="28" t="b">
        <v>1</v>
      </c>
      <c r="J52" s="28" t="s">
        <v>614</v>
      </c>
      <c r="K52" s="28" t="s">
        <v>334</v>
      </c>
      <c r="L52" s="28">
        <v>1</v>
      </c>
      <c r="M52" s="28">
        <v>12000</v>
      </c>
      <c r="N52" s="28">
        <v>0</v>
      </c>
      <c r="O52" s="28" t="s">
        <v>339</v>
      </c>
      <c r="P52" s="28">
        <v>0</v>
      </c>
      <c r="Q52" s="28">
        <v>30009</v>
      </c>
      <c r="R52" s="28" t="s">
        <v>334</v>
      </c>
      <c r="S52" s="28" t="s">
        <v>636</v>
      </c>
      <c r="T52" s="28">
        <v>1</v>
      </c>
      <c r="U52" s="28" t="s">
        <v>626</v>
      </c>
      <c r="V52" s="28">
        <v>10000</v>
      </c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 t="s">
        <v>644</v>
      </c>
      <c r="AI52" s="28">
        <v>2200</v>
      </c>
      <c r="AJ52" s="28"/>
      <c r="AL52" s="28" t="s">
        <v>626</v>
      </c>
      <c r="AM52" s="28">
        <v>10000</v>
      </c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 t="s">
        <v>645</v>
      </c>
      <c r="AZ52" s="28">
        <v>2200</v>
      </c>
      <c r="BA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</row>
    <row r="53" spans="1:68">
      <c r="A53"/>
      <c r="B53" s="28">
        <v>21001409</v>
      </c>
      <c r="C53" s="28" t="s">
        <v>400</v>
      </c>
      <c r="D53" s="28" t="s">
        <v>400</v>
      </c>
      <c r="E53" s="28" t="s">
        <v>611</v>
      </c>
      <c r="F53" s="28">
        <v>9</v>
      </c>
      <c r="G53" s="28" t="s">
        <v>642</v>
      </c>
      <c r="H53" s="28" t="s">
        <v>643</v>
      </c>
      <c r="I53" s="28" t="b">
        <v>1</v>
      </c>
      <c r="J53" s="28" t="s">
        <v>614</v>
      </c>
      <c r="K53" s="28" t="s">
        <v>334</v>
      </c>
      <c r="L53" s="28">
        <v>1</v>
      </c>
      <c r="M53" s="28">
        <v>12000</v>
      </c>
      <c r="N53" s="28">
        <v>0</v>
      </c>
      <c r="O53" s="28" t="s">
        <v>339</v>
      </c>
      <c r="P53" s="28">
        <v>0</v>
      </c>
      <c r="Q53" s="28">
        <v>30009</v>
      </c>
      <c r="R53" s="28" t="s">
        <v>334</v>
      </c>
      <c r="S53" s="28" t="s">
        <v>636</v>
      </c>
      <c r="T53" s="28">
        <v>1</v>
      </c>
      <c r="U53" s="28" t="s">
        <v>626</v>
      </c>
      <c r="V53" s="28">
        <v>10000</v>
      </c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 t="s">
        <v>644</v>
      </c>
      <c r="AI53" s="28">
        <v>2400</v>
      </c>
      <c r="AJ53" s="28"/>
      <c r="AL53" s="28" t="s">
        <v>626</v>
      </c>
      <c r="AM53" s="28">
        <v>10000</v>
      </c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 t="s">
        <v>645</v>
      </c>
      <c r="AZ53" s="28">
        <v>2400</v>
      </c>
      <c r="BA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</row>
    <row r="54" spans="1:68">
      <c r="A54"/>
      <c r="B54" s="28">
        <v>21001410</v>
      </c>
      <c r="C54" s="28" t="s">
        <v>400</v>
      </c>
      <c r="D54" s="28" t="s">
        <v>400</v>
      </c>
      <c r="E54" s="28" t="s">
        <v>611</v>
      </c>
      <c r="F54" s="28">
        <v>10</v>
      </c>
      <c r="G54" s="28" t="s">
        <v>642</v>
      </c>
      <c r="H54" s="28" t="s">
        <v>643</v>
      </c>
      <c r="I54" s="28" t="b">
        <v>1</v>
      </c>
      <c r="J54" s="28" t="s">
        <v>614</v>
      </c>
      <c r="K54" s="28" t="s">
        <v>334</v>
      </c>
      <c r="L54" s="28">
        <v>1</v>
      </c>
      <c r="M54" s="28">
        <v>12000</v>
      </c>
      <c r="N54" s="28">
        <v>0</v>
      </c>
      <c r="O54" s="28" t="s">
        <v>339</v>
      </c>
      <c r="P54" s="28">
        <v>0</v>
      </c>
      <c r="Q54" s="28">
        <v>30009</v>
      </c>
      <c r="R54" s="28" t="s">
        <v>334</v>
      </c>
      <c r="S54" s="28" t="s">
        <v>636</v>
      </c>
      <c r="T54" s="28">
        <v>1</v>
      </c>
      <c r="U54" s="28" t="s">
        <v>626</v>
      </c>
      <c r="V54" s="28">
        <v>10000</v>
      </c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 t="s">
        <v>644</v>
      </c>
      <c r="AI54" s="28">
        <v>2600</v>
      </c>
      <c r="AJ54" s="28"/>
      <c r="AL54" s="28" t="s">
        <v>626</v>
      </c>
      <c r="AM54" s="28">
        <v>10000</v>
      </c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 t="s">
        <v>645</v>
      </c>
      <c r="AZ54" s="28">
        <v>2600</v>
      </c>
      <c r="BA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</row>
    <row r="55" spans="1:68">
      <c r="A55"/>
      <c r="B55" s="28">
        <v>21001501</v>
      </c>
      <c r="C55" s="28" t="s">
        <v>403</v>
      </c>
      <c r="D55" s="28" t="s">
        <v>403</v>
      </c>
      <c r="E55" s="28" t="s">
        <v>611</v>
      </c>
      <c r="F55" s="28">
        <v>1</v>
      </c>
      <c r="G55" s="28" t="s">
        <v>646</v>
      </c>
      <c r="H55" s="28" t="s">
        <v>647</v>
      </c>
      <c r="I55" s="28" t="b">
        <v>1</v>
      </c>
      <c r="J55" s="28" t="s">
        <v>614</v>
      </c>
      <c r="K55" s="28" t="s">
        <v>334</v>
      </c>
      <c r="L55" s="28">
        <v>1</v>
      </c>
      <c r="M55" s="28">
        <v>12000</v>
      </c>
      <c r="N55" s="28">
        <v>0</v>
      </c>
      <c r="O55" s="28" t="s">
        <v>339</v>
      </c>
      <c r="P55" s="28">
        <v>0</v>
      </c>
      <c r="Q55" s="28">
        <v>30008</v>
      </c>
      <c r="R55" s="28" t="s">
        <v>334</v>
      </c>
      <c r="S55" s="28" t="s">
        <v>636</v>
      </c>
      <c r="T55" s="28">
        <v>1</v>
      </c>
      <c r="U55" s="28" t="s">
        <v>626</v>
      </c>
      <c r="V55" s="28">
        <v>10000</v>
      </c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 t="s">
        <v>648</v>
      </c>
      <c r="AI55" s="28">
        <v>800</v>
      </c>
      <c r="AJ55" s="28"/>
      <c r="AL55" s="28" t="s">
        <v>626</v>
      </c>
      <c r="AM55" s="28">
        <v>10000</v>
      </c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 t="s">
        <v>649</v>
      </c>
      <c r="AZ55" s="28">
        <v>800</v>
      </c>
      <c r="BA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</row>
    <row r="56" spans="1:68">
      <c r="A56"/>
      <c r="B56" s="28">
        <v>21001502</v>
      </c>
      <c r="C56" s="28" t="s">
        <v>403</v>
      </c>
      <c r="D56" s="28" t="s">
        <v>403</v>
      </c>
      <c r="E56" s="28" t="s">
        <v>611</v>
      </c>
      <c r="F56" s="28">
        <v>2</v>
      </c>
      <c r="G56" s="28" t="s">
        <v>646</v>
      </c>
      <c r="H56" s="28" t="s">
        <v>647</v>
      </c>
      <c r="I56" s="28" t="b">
        <v>1</v>
      </c>
      <c r="J56" s="28" t="s">
        <v>614</v>
      </c>
      <c r="K56" s="28" t="s">
        <v>334</v>
      </c>
      <c r="L56" s="28">
        <v>1</v>
      </c>
      <c r="M56" s="28">
        <v>12000</v>
      </c>
      <c r="N56" s="28">
        <v>0</v>
      </c>
      <c r="O56" s="28" t="s">
        <v>339</v>
      </c>
      <c r="P56" s="28">
        <v>0</v>
      </c>
      <c r="Q56" s="28">
        <v>30008</v>
      </c>
      <c r="R56" s="28" t="s">
        <v>334</v>
      </c>
      <c r="S56" s="28" t="s">
        <v>636</v>
      </c>
      <c r="T56" s="28">
        <v>1</v>
      </c>
      <c r="U56" s="28" t="s">
        <v>626</v>
      </c>
      <c r="V56" s="28">
        <v>10000</v>
      </c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 t="s">
        <v>648</v>
      </c>
      <c r="AI56" s="28">
        <v>1000</v>
      </c>
      <c r="AJ56" s="28"/>
      <c r="AL56" s="28" t="s">
        <v>626</v>
      </c>
      <c r="AM56" s="28">
        <v>10000</v>
      </c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 t="s">
        <v>649</v>
      </c>
      <c r="AZ56" s="28">
        <v>1000</v>
      </c>
      <c r="BA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</row>
    <row r="57" spans="1:68">
      <c r="A57"/>
      <c r="B57" s="28">
        <v>21001503</v>
      </c>
      <c r="C57" s="28" t="s">
        <v>403</v>
      </c>
      <c r="D57" s="28" t="s">
        <v>403</v>
      </c>
      <c r="E57" s="28" t="s">
        <v>611</v>
      </c>
      <c r="F57" s="28">
        <v>3</v>
      </c>
      <c r="G57" s="28" t="s">
        <v>646</v>
      </c>
      <c r="H57" s="28" t="s">
        <v>647</v>
      </c>
      <c r="I57" s="28" t="b">
        <v>1</v>
      </c>
      <c r="J57" s="28" t="s">
        <v>614</v>
      </c>
      <c r="K57" s="28" t="s">
        <v>334</v>
      </c>
      <c r="L57" s="28">
        <v>1</v>
      </c>
      <c r="M57" s="28">
        <v>12000</v>
      </c>
      <c r="N57" s="28">
        <v>0</v>
      </c>
      <c r="O57" s="28" t="s">
        <v>339</v>
      </c>
      <c r="P57" s="28">
        <v>0</v>
      </c>
      <c r="Q57" s="28">
        <v>30008</v>
      </c>
      <c r="R57" s="28" t="s">
        <v>334</v>
      </c>
      <c r="S57" s="28" t="s">
        <v>636</v>
      </c>
      <c r="T57" s="28">
        <v>1</v>
      </c>
      <c r="U57" s="28" t="s">
        <v>626</v>
      </c>
      <c r="V57" s="28">
        <v>10000</v>
      </c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 t="s">
        <v>648</v>
      </c>
      <c r="AI57" s="28">
        <v>1200</v>
      </c>
      <c r="AJ57" s="28"/>
      <c r="AL57" s="28" t="s">
        <v>626</v>
      </c>
      <c r="AM57" s="28">
        <v>10000</v>
      </c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 t="s">
        <v>649</v>
      </c>
      <c r="AZ57" s="28">
        <v>1200</v>
      </c>
      <c r="BA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</row>
    <row r="58" spans="1:68">
      <c r="A58"/>
      <c r="B58" s="28">
        <v>21001504</v>
      </c>
      <c r="C58" s="28" t="s">
        <v>403</v>
      </c>
      <c r="D58" s="28" t="s">
        <v>403</v>
      </c>
      <c r="E58" s="28" t="s">
        <v>611</v>
      </c>
      <c r="F58" s="28">
        <v>4</v>
      </c>
      <c r="G58" s="28" t="s">
        <v>646</v>
      </c>
      <c r="H58" s="28" t="s">
        <v>647</v>
      </c>
      <c r="I58" s="28" t="b">
        <v>1</v>
      </c>
      <c r="J58" s="28" t="s">
        <v>614</v>
      </c>
      <c r="K58" s="28" t="s">
        <v>334</v>
      </c>
      <c r="L58" s="28">
        <v>1</v>
      </c>
      <c r="M58" s="28">
        <v>12000</v>
      </c>
      <c r="N58" s="28">
        <v>0</v>
      </c>
      <c r="O58" s="28" t="s">
        <v>339</v>
      </c>
      <c r="P58" s="28">
        <v>0</v>
      </c>
      <c r="Q58" s="28">
        <v>30008</v>
      </c>
      <c r="R58" s="28" t="s">
        <v>334</v>
      </c>
      <c r="S58" s="28" t="s">
        <v>636</v>
      </c>
      <c r="T58" s="28">
        <v>1</v>
      </c>
      <c r="U58" s="28" t="s">
        <v>626</v>
      </c>
      <c r="V58" s="28">
        <v>10000</v>
      </c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 t="s">
        <v>648</v>
      </c>
      <c r="AI58" s="28">
        <v>1400</v>
      </c>
      <c r="AJ58" s="28"/>
      <c r="AL58" s="28" t="s">
        <v>626</v>
      </c>
      <c r="AM58" s="28">
        <v>10000</v>
      </c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 t="s">
        <v>649</v>
      </c>
      <c r="AZ58" s="28">
        <v>1400</v>
      </c>
      <c r="BA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</row>
    <row r="59" spans="1:68">
      <c r="A59"/>
      <c r="B59" s="28">
        <v>21001505</v>
      </c>
      <c r="C59" s="28" t="s">
        <v>403</v>
      </c>
      <c r="D59" s="28" t="s">
        <v>403</v>
      </c>
      <c r="E59" s="28" t="s">
        <v>611</v>
      </c>
      <c r="F59" s="28">
        <v>5</v>
      </c>
      <c r="G59" s="28" t="s">
        <v>646</v>
      </c>
      <c r="H59" s="28" t="s">
        <v>647</v>
      </c>
      <c r="I59" s="28" t="b">
        <v>1</v>
      </c>
      <c r="J59" s="28" t="s">
        <v>614</v>
      </c>
      <c r="K59" s="28" t="s">
        <v>334</v>
      </c>
      <c r="L59" s="28">
        <v>1</v>
      </c>
      <c r="M59" s="28">
        <v>12000</v>
      </c>
      <c r="N59" s="28">
        <v>0</v>
      </c>
      <c r="O59" s="28" t="s">
        <v>339</v>
      </c>
      <c r="P59" s="28">
        <v>0</v>
      </c>
      <c r="Q59" s="28">
        <v>30008</v>
      </c>
      <c r="R59" s="28" t="s">
        <v>334</v>
      </c>
      <c r="S59" s="28" t="s">
        <v>636</v>
      </c>
      <c r="T59" s="28">
        <v>1</v>
      </c>
      <c r="U59" s="28" t="s">
        <v>626</v>
      </c>
      <c r="V59" s="28">
        <v>10000</v>
      </c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 t="s">
        <v>648</v>
      </c>
      <c r="AI59" s="28">
        <v>1600</v>
      </c>
      <c r="AJ59" s="28"/>
      <c r="AL59" s="28" t="s">
        <v>626</v>
      </c>
      <c r="AM59" s="28">
        <v>10000</v>
      </c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 t="s">
        <v>649</v>
      </c>
      <c r="AZ59" s="28">
        <v>1600</v>
      </c>
      <c r="BA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</row>
    <row r="60" spans="1:68">
      <c r="A60"/>
      <c r="B60" s="28">
        <v>21001506</v>
      </c>
      <c r="C60" s="28" t="s">
        <v>403</v>
      </c>
      <c r="D60" s="28" t="s">
        <v>403</v>
      </c>
      <c r="E60" s="28" t="s">
        <v>611</v>
      </c>
      <c r="F60" s="28">
        <v>6</v>
      </c>
      <c r="G60" s="28" t="s">
        <v>646</v>
      </c>
      <c r="H60" s="28" t="s">
        <v>647</v>
      </c>
      <c r="I60" s="28" t="b">
        <v>1</v>
      </c>
      <c r="J60" s="28" t="s">
        <v>614</v>
      </c>
      <c r="K60" s="28" t="s">
        <v>334</v>
      </c>
      <c r="L60" s="28">
        <v>1</v>
      </c>
      <c r="M60" s="28">
        <v>12000</v>
      </c>
      <c r="N60" s="28">
        <v>0</v>
      </c>
      <c r="O60" s="28" t="s">
        <v>339</v>
      </c>
      <c r="P60" s="28">
        <v>0</v>
      </c>
      <c r="Q60" s="28">
        <v>30008</v>
      </c>
      <c r="R60" s="28" t="s">
        <v>334</v>
      </c>
      <c r="S60" s="28" t="s">
        <v>636</v>
      </c>
      <c r="T60" s="28">
        <v>1</v>
      </c>
      <c r="U60" s="28" t="s">
        <v>626</v>
      </c>
      <c r="V60" s="28">
        <v>10000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 t="s">
        <v>648</v>
      </c>
      <c r="AI60" s="28">
        <v>1800</v>
      </c>
      <c r="AJ60" s="28"/>
      <c r="AL60" s="28" t="s">
        <v>626</v>
      </c>
      <c r="AM60" s="28">
        <v>10000</v>
      </c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 t="s">
        <v>649</v>
      </c>
      <c r="AZ60" s="28">
        <v>1800</v>
      </c>
      <c r="BA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</row>
    <row r="61" spans="1:68">
      <c r="A61"/>
      <c r="B61" s="28">
        <v>21001507</v>
      </c>
      <c r="C61" s="28" t="s">
        <v>403</v>
      </c>
      <c r="D61" s="28" t="s">
        <v>403</v>
      </c>
      <c r="E61" s="28" t="s">
        <v>611</v>
      </c>
      <c r="F61" s="28">
        <v>7</v>
      </c>
      <c r="G61" s="28" t="s">
        <v>646</v>
      </c>
      <c r="H61" s="28" t="s">
        <v>647</v>
      </c>
      <c r="I61" s="28" t="b">
        <v>1</v>
      </c>
      <c r="J61" s="28" t="s">
        <v>614</v>
      </c>
      <c r="K61" s="28" t="s">
        <v>334</v>
      </c>
      <c r="L61" s="28">
        <v>1</v>
      </c>
      <c r="M61" s="28">
        <v>12000</v>
      </c>
      <c r="N61" s="28">
        <v>0</v>
      </c>
      <c r="O61" s="28" t="s">
        <v>339</v>
      </c>
      <c r="P61" s="28">
        <v>0</v>
      </c>
      <c r="Q61" s="28">
        <v>30008</v>
      </c>
      <c r="R61" s="28" t="s">
        <v>334</v>
      </c>
      <c r="S61" s="28" t="s">
        <v>636</v>
      </c>
      <c r="T61" s="28">
        <v>1</v>
      </c>
      <c r="U61" s="28" t="s">
        <v>626</v>
      </c>
      <c r="V61" s="28">
        <v>10000</v>
      </c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 t="s">
        <v>648</v>
      </c>
      <c r="AI61" s="28">
        <v>2000</v>
      </c>
      <c r="AJ61" s="28"/>
      <c r="AL61" s="28" t="s">
        <v>626</v>
      </c>
      <c r="AM61" s="28">
        <v>10000</v>
      </c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 t="s">
        <v>649</v>
      </c>
      <c r="AZ61" s="28">
        <v>2000</v>
      </c>
      <c r="BA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</row>
    <row r="62" spans="1:68">
      <c r="A62"/>
      <c r="B62" s="28">
        <v>21001508</v>
      </c>
      <c r="C62" s="28" t="s">
        <v>403</v>
      </c>
      <c r="D62" s="28" t="s">
        <v>403</v>
      </c>
      <c r="E62" s="28" t="s">
        <v>611</v>
      </c>
      <c r="F62" s="28">
        <v>8</v>
      </c>
      <c r="G62" s="28" t="s">
        <v>646</v>
      </c>
      <c r="H62" s="28" t="s">
        <v>647</v>
      </c>
      <c r="I62" s="28" t="b">
        <v>1</v>
      </c>
      <c r="J62" s="28" t="s">
        <v>614</v>
      </c>
      <c r="K62" s="28" t="s">
        <v>334</v>
      </c>
      <c r="L62" s="28">
        <v>1</v>
      </c>
      <c r="M62" s="28">
        <v>12000</v>
      </c>
      <c r="N62" s="28">
        <v>0</v>
      </c>
      <c r="O62" s="28" t="s">
        <v>339</v>
      </c>
      <c r="P62" s="28">
        <v>0</v>
      </c>
      <c r="Q62" s="28">
        <v>30008</v>
      </c>
      <c r="R62" s="28" t="s">
        <v>334</v>
      </c>
      <c r="S62" s="28" t="s">
        <v>636</v>
      </c>
      <c r="T62" s="28">
        <v>1</v>
      </c>
      <c r="U62" s="28" t="s">
        <v>626</v>
      </c>
      <c r="V62" s="28">
        <v>10000</v>
      </c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 t="s">
        <v>648</v>
      </c>
      <c r="AI62" s="28">
        <v>2200</v>
      </c>
      <c r="AJ62" s="28"/>
      <c r="AL62" s="28" t="s">
        <v>626</v>
      </c>
      <c r="AM62" s="28">
        <v>10000</v>
      </c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 t="s">
        <v>649</v>
      </c>
      <c r="AZ62" s="28">
        <v>2200</v>
      </c>
      <c r="BA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</row>
    <row r="63" spans="1:68">
      <c r="A63"/>
      <c r="B63" s="28">
        <v>21001509</v>
      </c>
      <c r="C63" s="28" t="s">
        <v>403</v>
      </c>
      <c r="D63" s="28" t="s">
        <v>403</v>
      </c>
      <c r="E63" s="28" t="s">
        <v>611</v>
      </c>
      <c r="F63" s="28">
        <v>9</v>
      </c>
      <c r="G63" s="28" t="s">
        <v>646</v>
      </c>
      <c r="H63" s="28" t="s">
        <v>647</v>
      </c>
      <c r="I63" s="28" t="b">
        <v>1</v>
      </c>
      <c r="J63" s="28" t="s">
        <v>614</v>
      </c>
      <c r="K63" s="28" t="s">
        <v>334</v>
      </c>
      <c r="L63" s="28">
        <v>1</v>
      </c>
      <c r="M63" s="28">
        <v>12000</v>
      </c>
      <c r="N63" s="28">
        <v>0</v>
      </c>
      <c r="O63" s="28" t="s">
        <v>339</v>
      </c>
      <c r="P63" s="28">
        <v>0</v>
      </c>
      <c r="Q63" s="28">
        <v>30008</v>
      </c>
      <c r="R63" s="28" t="s">
        <v>334</v>
      </c>
      <c r="S63" s="28" t="s">
        <v>636</v>
      </c>
      <c r="T63" s="28">
        <v>1</v>
      </c>
      <c r="U63" s="28" t="s">
        <v>626</v>
      </c>
      <c r="V63" s="28">
        <v>10000</v>
      </c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 t="s">
        <v>648</v>
      </c>
      <c r="AI63" s="28">
        <v>2400</v>
      </c>
      <c r="AJ63" s="28"/>
      <c r="AL63" s="28" t="s">
        <v>626</v>
      </c>
      <c r="AM63" s="28">
        <v>10000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 t="s">
        <v>649</v>
      </c>
      <c r="AZ63" s="28">
        <v>2400</v>
      </c>
      <c r="BA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</row>
    <row r="64" spans="1:68">
      <c r="A64"/>
      <c r="B64" s="28">
        <v>21001510</v>
      </c>
      <c r="C64" s="28" t="s">
        <v>403</v>
      </c>
      <c r="D64" s="28" t="s">
        <v>403</v>
      </c>
      <c r="E64" s="28" t="s">
        <v>611</v>
      </c>
      <c r="F64" s="28">
        <v>10</v>
      </c>
      <c r="G64" s="28" t="s">
        <v>646</v>
      </c>
      <c r="H64" s="28" t="s">
        <v>647</v>
      </c>
      <c r="I64" s="28" t="b">
        <v>1</v>
      </c>
      <c r="J64" s="28" t="s">
        <v>614</v>
      </c>
      <c r="K64" s="28" t="s">
        <v>334</v>
      </c>
      <c r="L64" s="28">
        <v>1</v>
      </c>
      <c r="M64" s="28">
        <v>12000</v>
      </c>
      <c r="N64" s="28">
        <v>0</v>
      </c>
      <c r="O64" s="28" t="s">
        <v>339</v>
      </c>
      <c r="P64" s="28">
        <v>0</v>
      </c>
      <c r="Q64" s="28">
        <v>30008</v>
      </c>
      <c r="R64" s="28" t="s">
        <v>334</v>
      </c>
      <c r="S64" s="28" t="s">
        <v>636</v>
      </c>
      <c r="T64" s="28">
        <v>1</v>
      </c>
      <c r="U64" s="28" t="s">
        <v>626</v>
      </c>
      <c r="V64" s="28">
        <v>10000</v>
      </c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 t="s">
        <v>648</v>
      </c>
      <c r="AI64" s="28">
        <v>2600</v>
      </c>
      <c r="AJ64" s="28"/>
      <c r="AL64" s="28" t="s">
        <v>626</v>
      </c>
      <c r="AM64" s="28">
        <v>10000</v>
      </c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 t="s">
        <v>649</v>
      </c>
      <c r="AZ64" s="28">
        <v>2600</v>
      </c>
      <c r="BA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</row>
    <row r="65" spans="1:68">
      <c r="A65"/>
      <c r="B65" s="28">
        <v>21001601</v>
      </c>
      <c r="C65" s="28" t="s">
        <v>405</v>
      </c>
      <c r="D65" s="28" t="s">
        <v>405</v>
      </c>
      <c r="E65" s="28" t="s">
        <v>611</v>
      </c>
      <c r="F65" s="28">
        <v>1</v>
      </c>
      <c r="G65" s="28" t="s">
        <v>650</v>
      </c>
      <c r="H65" s="28" t="s">
        <v>651</v>
      </c>
      <c r="I65" s="28" t="b">
        <v>1</v>
      </c>
      <c r="J65" s="28" t="s">
        <v>614</v>
      </c>
      <c r="K65" s="28" t="s">
        <v>334</v>
      </c>
      <c r="L65" s="28">
        <v>1</v>
      </c>
      <c r="M65" s="28">
        <v>12000</v>
      </c>
      <c r="N65" s="28">
        <v>0</v>
      </c>
      <c r="O65" s="28" t="s">
        <v>339</v>
      </c>
      <c r="P65" s="28">
        <v>0</v>
      </c>
      <c r="Q65" s="28">
        <v>30056</v>
      </c>
      <c r="R65" s="28" t="s">
        <v>334</v>
      </c>
      <c r="S65" s="28" t="s">
        <v>615</v>
      </c>
      <c r="T65" s="28">
        <v>1</v>
      </c>
      <c r="U65" s="28" t="s">
        <v>626</v>
      </c>
      <c r="V65" s="28">
        <v>10000</v>
      </c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 t="s">
        <v>652</v>
      </c>
      <c r="AI65" s="28">
        <v>-600</v>
      </c>
      <c r="AJ65" s="28"/>
      <c r="AL65" s="28" t="s">
        <v>626</v>
      </c>
      <c r="AM65" s="28">
        <v>10000</v>
      </c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 t="s">
        <v>653</v>
      </c>
      <c r="AZ65" s="28">
        <v>-600</v>
      </c>
      <c r="BA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</row>
    <row r="66" spans="1:68">
      <c r="A66"/>
      <c r="B66" s="28">
        <v>21001602</v>
      </c>
      <c r="C66" s="28" t="s">
        <v>405</v>
      </c>
      <c r="D66" s="28" t="s">
        <v>405</v>
      </c>
      <c r="E66" s="28" t="s">
        <v>611</v>
      </c>
      <c r="F66" s="28">
        <v>2</v>
      </c>
      <c r="G66" s="28" t="s">
        <v>650</v>
      </c>
      <c r="H66" s="28" t="s">
        <v>651</v>
      </c>
      <c r="I66" s="28" t="b">
        <v>1</v>
      </c>
      <c r="J66" s="28" t="s">
        <v>614</v>
      </c>
      <c r="K66" s="28" t="s">
        <v>334</v>
      </c>
      <c r="L66" s="28">
        <v>1</v>
      </c>
      <c r="M66" s="28">
        <v>12000</v>
      </c>
      <c r="N66" s="28">
        <v>0</v>
      </c>
      <c r="O66" s="28" t="s">
        <v>339</v>
      </c>
      <c r="P66" s="28">
        <v>0</v>
      </c>
      <c r="Q66" s="28">
        <v>30056</v>
      </c>
      <c r="R66" s="28" t="s">
        <v>334</v>
      </c>
      <c r="S66" s="28" t="s">
        <v>615</v>
      </c>
      <c r="T66" s="28">
        <v>1</v>
      </c>
      <c r="U66" s="28" t="s">
        <v>626</v>
      </c>
      <c r="V66" s="28">
        <v>10000</v>
      </c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 t="s">
        <v>652</v>
      </c>
      <c r="AI66" s="28">
        <v>-800</v>
      </c>
      <c r="AJ66" s="28"/>
      <c r="AL66" s="28" t="s">
        <v>626</v>
      </c>
      <c r="AM66" s="28">
        <v>10000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 t="s">
        <v>653</v>
      </c>
      <c r="AZ66" s="28">
        <v>-800</v>
      </c>
      <c r="BA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</row>
    <row r="67" spans="1:68">
      <c r="A67"/>
      <c r="B67" s="28">
        <v>21001603</v>
      </c>
      <c r="C67" s="28" t="s">
        <v>405</v>
      </c>
      <c r="D67" s="28" t="s">
        <v>405</v>
      </c>
      <c r="E67" s="28" t="s">
        <v>611</v>
      </c>
      <c r="F67" s="28">
        <v>3</v>
      </c>
      <c r="G67" s="28" t="s">
        <v>650</v>
      </c>
      <c r="H67" s="28" t="s">
        <v>651</v>
      </c>
      <c r="I67" s="28" t="b">
        <v>1</v>
      </c>
      <c r="J67" s="28" t="s">
        <v>614</v>
      </c>
      <c r="K67" s="28" t="s">
        <v>334</v>
      </c>
      <c r="L67" s="28">
        <v>1</v>
      </c>
      <c r="M67" s="28">
        <v>12000</v>
      </c>
      <c r="N67" s="28">
        <v>0</v>
      </c>
      <c r="O67" s="28" t="s">
        <v>339</v>
      </c>
      <c r="P67" s="28">
        <v>0</v>
      </c>
      <c r="Q67" s="28">
        <v>30056</v>
      </c>
      <c r="R67" s="28" t="s">
        <v>334</v>
      </c>
      <c r="S67" s="28" t="s">
        <v>615</v>
      </c>
      <c r="T67" s="28">
        <v>1</v>
      </c>
      <c r="U67" s="28" t="s">
        <v>626</v>
      </c>
      <c r="V67" s="28">
        <v>10000</v>
      </c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 t="s">
        <v>652</v>
      </c>
      <c r="AI67" s="28">
        <v>-1000</v>
      </c>
      <c r="AJ67" s="28"/>
      <c r="AL67" s="28" t="s">
        <v>626</v>
      </c>
      <c r="AM67" s="28">
        <v>10000</v>
      </c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 t="s">
        <v>653</v>
      </c>
      <c r="AZ67" s="28">
        <v>-1000</v>
      </c>
      <c r="BA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</row>
    <row r="68" spans="1:68">
      <c r="A68"/>
      <c r="B68" s="28">
        <v>21001604</v>
      </c>
      <c r="C68" s="28" t="s">
        <v>405</v>
      </c>
      <c r="D68" s="28" t="s">
        <v>405</v>
      </c>
      <c r="E68" s="28" t="s">
        <v>611</v>
      </c>
      <c r="F68" s="28">
        <v>4</v>
      </c>
      <c r="G68" s="28" t="s">
        <v>650</v>
      </c>
      <c r="H68" s="28" t="s">
        <v>651</v>
      </c>
      <c r="I68" s="28" t="b">
        <v>1</v>
      </c>
      <c r="J68" s="28" t="s">
        <v>614</v>
      </c>
      <c r="K68" s="28" t="s">
        <v>334</v>
      </c>
      <c r="L68" s="28">
        <v>1</v>
      </c>
      <c r="M68" s="28">
        <v>12000</v>
      </c>
      <c r="N68" s="28">
        <v>0</v>
      </c>
      <c r="O68" s="28" t="s">
        <v>339</v>
      </c>
      <c r="P68" s="28">
        <v>0</v>
      </c>
      <c r="Q68" s="28">
        <v>30056</v>
      </c>
      <c r="R68" s="28" t="s">
        <v>334</v>
      </c>
      <c r="S68" s="28" t="s">
        <v>615</v>
      </c>
      <c r="T68" s="28">
        <v>1</v>
      </c>
      <c r="U68" s="28" t="s">
        <v>626</v>
      </c>
      <c r="V68" s="28">
        <v>10000</v>
      </c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 t="s">
        <v>652</v>
      </c>
      <c r="AI68" s="28">
        <v>-1200</v>
      </c>
      <c r="AJ68" s="28"/>
      <c r="AL68" s="28" t="s">
        <v>626</v>
      </c>
      <c r="AM68" s="28">
        <v>10000</v>
      </c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 t="s">
        <v>653</v>
      </c>
      <c r="AZ68" s="28">
        <v>-1200</v>
      </c>
      <c r="BA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</row>
    <row r="69" spans="1:68">
      <c r="A69"/>
      <c r="B69" s="28">
        <v>21001605</v>
      </c>
      <c r="C69" s="28" t="s">
        <v>405</v>
      </c>
      <c r="D69" s="28" t="s">
        <v>405</v>
      </c>
      <c r="E69" s="28" t="s">
        <v>611</v>
      </c>
      <c r="F69" s="28">
        <v>5</v>
      </c>
      <c r="G69" s="28" t="s">
        <v>650</v>
      </c>
      <c r="H69" s="28" t="s">
        <v>651</v>
      </c>
      <c r="I69" s="28" t="b">
        <v>1</v>
      </c>
      <c r="J69" s="28" t="s">
        <v>614</v>
      </c>
      <c r="K69" s="28" t="s">
        <v>334</v>
      </c>
      <c r="L69" s="28">
        <v>1</v>
      </c>
      <c r="M69" s="28">
        <v>12000</v>
      </c>
      <c r="N69" s="28">
        <v>0</v>
      </c>
      <c r="O69" s="28" t="s">
        <v>339</v>
      </c>
      <c r="P69" s="28">
        <v>0</v>
      </c>
      <c r="Q69" s="28">
        <v>30056</v>
      </c>
      <c r="R69" s="28" t="s">
        <v>334</v>
      </c>
      <c r="S69" s="28" t="s">
        <v>615</v>
      </c>
      <c r="T69" s="28">
        <v>1</v>
      </c>
      <c r="U69" s="28" t="s">
        <v>626</v>
      </c>
      <c r="V69" s="28">
        <v>10000</v>
      </c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 t="s">
        <v>652</v>
      </c>
      <c r="AI69" s="28">
        <v>-1400</v>
      </c>
      <c r="AJ69" s="28"/>
      <c r="AL69" s="28" t="s">
        <v>626</v>
      </c>
      <c r="AM69" s="28">
        <v>10000</v>
      </c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 t="s">
        <v>653</v>
      </c>
      <c r="AZ69" s="28">
        <v>-1400</v>
      </c>
      <c r="BA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</row>
    <row r="70" spans="1:68">
      <c r="A70"/>
      <c r="B70" s="28">
        <v>21001606</v>
      </c>
      <c r="C70" s="28" t="s">
        <v>405</v>
      </c>
      <c r="D70" s="28" t="s">
        <v>405</v>
      </c>
      <c r="E70" s="28" t="s">
        <v>611</v>
      </c>
      <c r="F70" s="28">
        <v>6</v>
      </c>
      <c r="G70" s="28" t="s">
        <v>650</v>
      </c>
      <c r="H70" s="28" t="s">
        <v>651</v>
      </c>
      <c r="I70" s="28" t="b">
        <v>1</v>
      </c>
      <c r="J70" s="28" t="s">
        <v>614</v>
      </c>
      <c r="K70" s="28" t="s">
        <v>334</v>
      </c>
      <c r="L70" s="28">
        <v>1</v>
      </c>
      <c r="M70" s="28">
        <v>12000</v>
      </c>
      <c r="N70" s="28">
        <v>0</v>
      </c>
      <c r="O70" s="28" t="s">
        <v>339</v>
      </c>
      <c r="P70" s="28">
        <v>0</v>
      </c>
      <c r="Q70" s="28">
        <v>30056</v>
      </c>
      <c r="R70" s="28" t="s">
        <v>334</v>
      </c>
      <c r="S70" s="28" t="s">
        <v>615</v>
      </c>
      <c r="T70" s="28">
        <v>1</v>
      </c>
      <c r="U70" s="28" t="s">
        <v>626</v>
      </c>
      <c r="V70" s="28">
        <v>10000</v>
      </c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 t="s">
        <v>652</v>
      </c>
      <c r="AI70" s="28">
        <v>-1600</v>
      </c>
      <c r="AJ70" s="28"/>
      <c r="AL70" s="28" t="s">
        <v>626</v>
      </c>
      <c r="AM70" s="28">
        <v>10000</v>
      </c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 t="s">
        <v>653</v>
      </c>
      <c r="AZ70" s="28">
        <v>-1600</v>
      </c>
      <c r="BA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</row>
    <row r="71" spans="1:68">
      <c r="A71"/>
      <c r="B71" s="28">
        <v>21001607</v>
      </c>
      <c r="C71" s="28" t="s">
        <v>405</v>
      </c>
      <c r="D71" s="28" t="s">
        <v>405</v>
      </c>
      <c r="E71" s="28" t="s">
        <v>611</v>
      </c>
      <c r="F71" s="28">
        <v>7</v>
      </c>
      <c r="G71" s="28" t="s">
        <v>650</v>
      </c>
      <c r="H71" s="28" t="s">
        <v>651</v>
      </c>
      <c r="I71" s="28" t="b">
        <v>1</v>
      </c>
      <c r="J71" s="28" t="s">
        <v>614</v>
      </c>
      <c r="K71" s="28" t="s">
        <v>334</v>
      </c>
      <c r="L71" s="28">
        <v>1</v>
      </c>
      <c r="M71" s="28">
        <v>12000</v>
      </c>
      <c r="N71" s="28">
        <v>0</v>
      </c>
      <c r="O71" s="28" t="s">
        <v>339</v>
      </c>
      <c r="P71" s="28">
        <v>0</v>
      </c>
      <c r="Q71" s="28">
        <v>30056</v>
      </c>
      <c r="R71" s="28" t="s">
        <v>334</v>
      </c>
      <c r="S71" s="28" t="s">
        <v>615</v>
      </c>
      <c r="T71" s="28">
        <v>1</v>
      </c>
      <c r="U71" s="28" t="s">
        <v>626</v>
      </c>
      <c r="V71" s="28">
        <v>10000</v>
      </c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 t="s">
        <v>652</v>
      </c>
      <c r="AI71" s="28">
        <v>-1800</v>
      </c>
      <c r="AJ71" s="28"/>
      <c r="AL71" s="28" t="s">
        <v>626</v>
      </c>
      <c r="AM71" s="28">
        <v>10000</v>
      </c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 t="s">
        <v>653</v>
      </c>
      <c r="AZ71" s="28">
        <v>-1800</v>
      </c>
      <c r="BA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</row>
    <row r="72" spans="1:68">
      <c r="A72"/>
      <c r="B72" s="28">
        <v>21001608</v>
      </c>
      <c r="C72" s="28" t="s">
        <v>405</v>
      </c>
      <c r="D72" s="28" t="s">
        <v>405</v>
      </c>
      <c r="E72" s="28" t="s">
        <v>611</v>
      </c>
      <c r="F72" s="28">
        <v>8</v>
      </c>
      <c r="G72" s="28" t="s">
        <v>650</v>
      </c>
      <c r="H72" s="28" t="s">
        <v>651</v>
      </c>
      <c r="I72" s="28" t="b">
        <v>1</v>
      </c>
      <c r="J72" s="28" t="s">
        <v>614</v>
      </c>
      <c r="K72" s="28" t="s">
        <v>334</v>
      </c>
      <c r="L72" s="28">
        <v>1</v>
      </c>
      <c r="M72" s="28">
        <v>12000</v>
      </c>
      <c r="N72" s="28">
        <v>0</v>
      </c>
      <c r="O72" s="28" t="s">
        <v>339</v>
      </c>
      <c r="P72" s="28">
        <v>0</v>
      </c>
      <c r="Q72" s="28">
        <v>30056</v>
      </c>
      <c r="R72" s="28" t="s">
        <v>334</v>
      </c>
      <c r="S72" s="28" t="s">
        <v>615</v>
      </c>
      <c r="T72" s="28">
        <v>1</v>
      </c>
      <c r="U72" s="28" t="s">
        <v>626</v>
      </c>
      <c r="V72" s="28">
        <v>10000</v>
      </c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 t="s">
        <v>652</v>
      </c>
      <c r="AI72" s="28">
        <v>-2000</v>
      </c>
      <c r="AJ72" s="28"/>
      <c r="AL72" s="28" t="s">
        <v>626</v>
      </c>
      <c r="AM72" s="28">
        <v>10000</v>
      </c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 t="s">
        <v>653</v>
      </c>
      <c r="AZ72" s="28">
        <v>-2000</v>
      </c>
      <c r="BA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</row>
    <row r="73" spans="1:68">
      <c r="A73"/>
      <c r="B73" s="28">
        <v>21001609</v>
      </c>
      <c r="C73" s="28" t="s">
        <v>405</v>
      </c>
      <c r="D73" s="28" t="s">
        <v>405</v>
      </c>
      <c r="E73" s="28" t="s">
        <v>611</v>
      </c>
      <c r="F73" s="28">
        <v>9</v>
      </c>
      <c r="G73" s="28" t="s">
        <v>650</v>
      </c>
      <c r="H73" s="28" t="s">
        <v>651</v>
      </c>
      <c r="I73" s="28" t="b">
        <v>1</v>
      </c>
      <c r="J73" s="28" t="s">
        <v>614</v>
      </c>
      <c r="K73" s="28" t="s">
        <v>334</v>
      </c>
      <c r="L73" s="28">
        <v>1</v>
      </c>
      <c r="M73" s="28">
        <v>12000</v>
      </c>
      <c r="N73" s="28">
        <v>0</v>
      </c>
      <c r="O73" s="28" t="s">
        <v>339</v>
      </c>
      <c r="P73" s="28">
        <v>0</v>
      </c>
      <c r="Q73" s="28">
        <v>30056</v>
      </c>
      <c r="R73" s="28" t="s">
        <v>334</v>
      </c>
      <c r="S73" s="28" t="s">
        <v>615</v>
      </c>
      <c r="T73" s="28">
        <v>1</v>
      </c>
      <c r="U73" s="28" t="s">
        <v>626</v>
      </c>
      <c r="V73" s="28">
        <v>10000</v>
      </c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 t="s">
        <v>652</v>
      </c>
      <c r="AI73" s="28">
        <v>-2200</v>
      </c>
      <c r="AJ73" s="28"/>
      <c r="AL73" s="28" t="s">
        <v>626</v>
      </c>
      <c r="AM73" s="28">
        <v>10000</v>
      </c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 t="s">
        <v>653</v>
      </c>
      <c r="AZ73" s="28">
        <v>-2200</v>
      </c>
      <c r="BA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</row>
    <row r="74" spans="1:68">
      <c r="A74"/>
      <c r="B74" s="28">
        <v>21001610</v>
      </c>
      <c r="C74" s="28" t="s">
        <v>405</v>
      </c>
      <c r="D74" s="28" t="s">
        <v>405</v>
      </c>
      <c r="E74" s="28" t="s">
        <v>611</v>
      </c>
      <c r="F74" s="28">
        <v>10</v>
      </c>
      <c r="G74" s="28" t="s">
        <v>650</v>
      </c>
      <c r="H74" s="28" t="s">
        <v>651</v>
      </c>
      <c r="I74" s="28" t="b">
        <v>1</v>
      </c>
      <c r="J74" s="28" t="s">
        <v>614</v>
      </c>
      <c r="K74" s="28" t="s">
        <v>334</v>
      </c>
      <c r="L74" s="28">
        <v>1</v>
      </c>
      <c r="M74" s="28">
        <v>12000</v>
      </c>
      <c r="N74" s="28">
        <v>0</v>
      </c>
      <c r="O74" s="28" t="s">
        <v>339</v>
      </c>
      <c r="P74" s="28">
        <v>0</v>
      </c>
      <c r="Q74" s="28">
        <v>30056</v>
      </c>
      <c r="R74" s="28" t="s">
        <v>334</v>
      </c>
      <c r="S74" s="28" t="s">
        <v>615</v>
      </c>
      <c r="T74" s="28">
        <v>1</v>
      </c>
      <c r="U74" s="28" t="s">
        <v>626</v>
      </c>
      <c r="V74" s="28">
        <v>10000</v>
      </c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 t="s">
        <v>652</v>
      </c>
      <c r="AI74" s="28">
        <v>-2500</v>
      </c>
      <c r="AJ74" s="28"/>
      <c r="AL74" s="28" t="s">
        <v>626</v>
      </c>
      <c r="AM74" s="28">
        <v>10000</v>
      </c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 t="s">
        <v>653</v>
      </c>
      <c r="AZ74" s="28">
        <v>-2500</v>
      </c>
      <c r="BA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</row>
    <row r="75" spans="1:68">
      <c r="A75"/>
      <c r="B75" s="28">
        <v>21001701</v>
      </c>
      <c r="C75" s="28" t="s">
        <v>407</v>
      </c>
      <c r="D75" s="28" t="s">
        <v>407</v>
      </c>
      <c r="E75" s="28" t="s">
        <v>611</v>
      </c>
      <c r="F75" s="28">
        <v>1</v>
      </c>
      <c r="G75" s="28" t="s">
        <v>654</v>
      </c>
      <c r="H75" s="28" t="s">
        <v>655</v>
      </c>
      <c r="I75" s="28" t="b">
        <v>1</v>
      </c>
      <c r="J75" s="28" t="s">
        <v>614</v>
      </c>
      <c r="K75" s="28" t="s">
        <v>334</v>
      </c>
      <c r="L75" s="28">
        <v>1</v>
      </c>
      <c r="M75" s="28">
        <v>12000</v>
      </c>
      <c r="N75" s="28">
        <v>0</v>
      </c>
      <c r="O75" s="28" t="s">
        <v>339</v>
      </c>
      <c r="P75" s="28">
        <v>0</v>
      </c>
      <c r="Q75" s="28">
        <v>30054</v>
      </c>
      <c r="R75" s="28" t="s">
        <v>334</v>
      </c>
      <c r="S75" s="28" t="s">
        <v>615</v>
      </c>
      <c r="T75" s="28">
        <v>1</v>
      </c>
      <c r="U75" s="28" t="s">
        <v>626</v>
      </c>
      <c r="V75" s="28">
        <v>10000</v>
      </c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 t="s">
        <v>656</v>
      </c>
      <c r="AI75" s="28">
        <v>-600</v>
      </c>
      <c r="AJ75" s="28"/>
      <c r="AL75" s="28" t="s">
        <v>626</v>
      </c>
      <c r="AM75" s="28">
        <v>10000</v>
      </c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 t="s">
        <v>657</v>
      </c>
      <c r="AZ75" s="28">
        <v>-600</v>
      </c>
      <c r="BA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</row>
    <row r="76" spans="1:68">
      <c r="A76"/>
      <c r="B76" s="28">
        <v>21001702</v>
      </c>
      <c r="C76" s="28" t="s">
        <v>407</v>
      </c>
      <c r="D76" s="28" t="s">
        <v>407</v>
      </c>
      <c r="E76" s="28" t="s">
        <v>611</v>
      </c>
      <c r="F76" s="28">
        <v>2</v>
      </c>
      <c r="G76" s="28" t="s">
        <v>654</v>
      </c>
      <c r="H76" s="28" t="s">
        <v>655</v>
      </c>
      <c r="I76" s="28" t="b">
        <v>1</v>
      </c>
      <c r="J76" s="28" t="s">
        <v>614</v>
      </c>
      <c r="K76" s="28" t="s">
        <v>334</v>
      </c>
      <c r="L76" s="28">
        <v>1</v>
      </c>
      <c r="M76" s="28">
        <v>12000</v>
      </c>
      <c r="N76" s="28">
        <v>0</v>
      </c>
      <c r="O76" s="28" t="s">
        <v>339</v>
      </c>
      <c r="P76" s="28">
        <v>0</v>
      </c>
      <c r="Q76" s="28">
        <v>30054</v>
      </c>
      <c r="R76" s="28" t="s">
        <v>334</v>
      </c>
      <c r="S76" s="28" t="s">
        <v>615</v>
      </c>
      <c r="T76" s="28">
        <v>1</v>
      </c>
      <c r="U76" s="28" t="s">
        <v>626</v>
      </c>
      <c r="V76" s="28">
        <v>10000</v>
      </c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 t="s">
        <v>656</v>
      </c>
      <c r="AI76" s="28">
        <v>-800</v>
      </c>
      <c r="AJ76" s="28"/>
      <c r="AL76" s="28" t="s">
        <v>626</v>
      </c>
      <c r="AM76" s="28">
        <v>10000</v>
      </c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 t="s">
        <v>657</v>
      </c>
      <c r="AZ76" s="28">
        <v>-800</v>
      </c>
      <c r="BA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</row>
    <row r="77" spans="1:68">
      <c r="A77"/>
      <c r="B77" s="28">
        <v>21001703</v>
      </c>
      <c r="C77" s="28" t="s">
        <v>407</v>
      </c>
      <c r="D77" s="28" t="s">
        <v>407</v>
      </c>
      <c r="E77" s="28" t="s">
        <v>611</v>
      </c>
      <c r="F77" s="28">
        <v>3</v>
      </c>
      <c r="G77" s="28" t="s">
        <v>654</v>
      </c>
      <c r="H77" s="28" t="s">
        <v>655</v>
      </c>
      <c r="I77" s="28" t="b">
        <v>1</v>
      </c>
      <c r="J77" s="28" t="s">
        <v>614</v>
      </c>
      <c r="K77" s="28" t="s">
        <v>334</v>
      </c>
      <c r="L77" s="28">
        <v>1</v>
      </c>
      <c r="M77" s="28">
        <v>12000</v>
      </c>
      <c r="N77" s="28">
        <v>0</v>
      </c>
      <c r="O77" s="28" t="s">
        <v>339</v>
      </c>
      <c r="P77" s="28">
        <v>0</v>
      </c>
      <c r="Q77" s="28">
        <v>30054</v>
      </c>
      <c r="R77" s="28" t="s">
        <v>334</v>
      </c>
      <c r="S77" s="28" t="s">
        <v>615</v>
      </c>
      <c r="T77" s="28">
        <v>1</v>
      </c>
      <c r="U77" s="28" t="s">
        <v>626</v>
      </c>
      <c r="V77" s="28">
        <v>10000</v>
      </c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 t="s">
        <v>656</v>
      </c>
      <c r="AI77" s="28">
        <v>-1000</v>
      </c>
      <c r="AJ77" s="28"/>
      <c r="AL77" s="28" t="s">
        <v>626</v>
      </c>
      <c r="AM77" s="28">
        <v>10000</v>
      </c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 t="s">
        <v>657</v>
      </c>
      <c r="AZ77" s="28">
        <v>-1000</v>
      </c>
      <c r="BA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</row>
    <row r="78" spans="1:68">
      <c r="A78"/>
      <c r="B78" s="28">
        <v>21001704</v>
      </c>
      <c r="C78" s="28" t="s">
        <v>407</v>
      </c>
      <c r="D78" s="28" t="s">
        <v>407</v>
      </c>
      <c r="E78" s="28" t="s">
        <v>611</v>
      </c>
      <c r="F78" s="28">
        <v>4</v>
      </c>
      <c r="G78" s="28" t="s">
        <v>654</v>
      </c>
      <c r="H78" s="28" t="s">
        <v>655</v>
      </c>
      <c r="I78" s="28" t="b">
        <v>1</v>
      </c>
      <c r="J78" s="28" t="s">
        <v>614</v>
      </c>
      <c r="K78" s="28" t="s">
        <v>334</v>
      </c>
      <c r="L78" s="28">
        <v>1</v>
      </c>
      <c r="M78" s="28">
        <v>12000</v>
      </c>
      <c r="N78" s="28">
        <v>0</v>
      </c>
      <c r="O78" s="28" t="s">
        <v>339</v>
      </c>
      <c r="P78" s="28">
        <v>0</v>
      </c>
      <c r="Q78" s="28">
        <v>30054</v>
      </c>
      <c r="R78" s="28" t="s">
        <v>334</v>
      </c>
      <c r="S78" s="28" t="s">
        <v>615</v>
      </c>
      <c r="T78" s="28">
        <v>1</v>
      </c>
      <c r="U78" s="28" t="s">
        <v>626</v>
      </c>
      <c r="V78" s="28">
        <v>10000</v>
      </c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 t="s">
        <v>656</v>
      </c>
      <c r="AI78" s="28">
        <v>-1200</v>
      </c>
      <c r="AJ78" s="28"/>
      <c r="AL78" s="28" t="s">
        <v>626</v>
      </c>
      <c r="AM78" s="28">
        <v>10000</v>
      </c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 t="s">
        <v>657</v>
      </c>
      <c r="AZ78" s="28">
        <v>-1200</v>
      </c>
      <c r="BA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</row>
    <row r="79" spans="1:68">
      <c r="A79"/>
      <c r="B79" s="28">
        <v>21001705</v>
      </c>
      <c r="C79" s="28" t="s">
        <v>407</v>
      </c>
      <c r="D79" s="28" t="s">
        <v>407</v>
      </c>
      <c r="E79" s="28" t="s">
        <v>611</v>
      </c>
      <c r="F79" s="28">
        <v>5</v>
      </c>
      <c r="G79" s="28" t="s">
        <v>654</v>
      </c>
      <c r="H79" s="28" t="s">
        <v>655</v>
      </c>
      <c r="I79" s="28" t="b">
        <v>1</v>
      </c>
      <c r="J79" s="28" t="s">
        <v>614</v>
      </c>
      <c r="K79" s="28" t="s">
        <v>334</v>
      </c>
      <c r="L79" s="28">
        <v>1</v>
      </c>
      <c r="M79" s="28">
        <v>12000</v>
      </c>
      <c r="N79" s="28">
        <v>0</v>
      </c>
      <c r="O79" s="28" t="s">
        <v>339</v>
      </c>
      <c r="P79" s="28">
        <v>0</v>
      </c>
      <c r="Q79" s="28">
        <v>30054</v>
      </c>
      <c r="R79" s="28" t="s">
        <v>334</v>
      </c>
      <c r="S79" s="28" t="s">
        <v>615</v>
      </c>
      <c r="T79" s="28">
        <v>1</v>
      </c>
      <c r="U79" s="28" t="s">
        <v>626</v>
      </c>
      <c r="V79" s="28">
        <v>10000</v>
      </c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 t="s">
        <v>656</v>
      </c>
      <c r="AI79" s="28">
        <v>-1400</v>
      </c>
      <c r="AJ79" s="28"/>
      <c r="AL79" s="28" t="s">
        <v>626</v>
      </c>
      <c r="AM79" s="28">
        <v>10000</v>
      </c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 t="s">
        <v>657</v>
      </c>
      <c r="AZ79" s="28">
        <v>-1400</v>
      </c>
      <c r="BA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</row>
    <row r="80" spans="1:68">
      <c r="A80"/>
      <c r="B80" s="28">
        <v>21001706</v>
      </c>
      <c r="C80" s="28" t="s">
        <v>407</v>
      </c>
      <c r="D80" s="28" t="s">
        <v>407</v>
      </c>
      <c r="E80" s="28" t="s">
        <v>611</v>
      </c>
      <c r="F80" s="28">
        <v>6</v>
      </c>
      <c r="G80" s="28" t="s">
        <v>654</v>
      </c>
      <c r="H80" s="28" t="s">
        <v>655</v>
      </c>
      <c r="I80" s="28" t="b">
        <v>1</v>
      </c>
      <c r="J80" s="28" t="s">
        <v>614</v>
      </c>
      <c r="K80" s="28" t="s">
        <v>334</v>
      </c>
      <c r="L80" s="28">
        <v>1</v>
      </c>
      <c r="M80" s="28">
        <v>12000</v>
      </c>
      <c r="N80" s="28">
        <v>0</v>
      </c>
      <c r="O80" s="28" t="s">
        <v>339</v>
      </c>
      <c r="P80" s="28">
        <v>0</v>
      </c>
      <c r="Q80" s="28">
        <v>30054</v>
      </c>
      <c r="R80" s="28" t="s">
        <v>334</v>
      </c>
      <c r="S80" s="28" t="s">
        <v>615</v>
      </c>
      <c r="T80" s="28">
        <v>1</v>
      </c>
      <c r="U80" s="28" t="s">
        <v>626</v>
      </c>
      <c r="V80" s="28">
        <v>10000</v>
      </c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 t="s">
        <v>656</v>
      </c>
      <c r="AI80" s="28">
        <v>-1600</v>
      </c>
      <c r="AJ80" s="28"/>
      <c r="AL80" s="28" t="s">
        <v>626</v>
      </c>
      <c r="AM80" s="28">
        <v>10000</v>
      </c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 t="s">
        <v>657</v>
      </c>
      <c r="AZ80" s="28">
        <v>-1600</v>
      </c>
      <c r="BA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</row>
    <row r="81" spans="1:68">
      <c r="A81"/>
      <c r="B81" s="28">
        <v>21001707</v>
      </c>
      <c r="C81" s="28" t="s">
        <v>407</v>
      </c>
      <c r="D81" s="28" t="s">
        <v>407</v>
      </c>
      <c r="E81" s="28" t="s">
        <v>611</v>
      </c>
      <c r="F81" s="28">
        <v>7</v>
      </c>
      <c r="G81" s="28" t="s">
        <v>654</v>
      </c>
      <c r="H81" s="28" t="s">
        <v>655</v>
      </c>
      <c r="I81" s="28" t="b">
        <v>1</v>
      </c>
      <c r="J81" s="28" t="s">
        <v>614</v>
      </c>
      <c r="K81" s="28" t="s">
        <v>334</v>
      </c>
      <c r="L81" s="28">
        <v>1</v>
      </c>
      <c r="M81" s="28">
        <v>12000</v>
      </c>
      <c r="N81" s="28">
        <v>0</v>
      </c>
      <c r="O81" s="28" t="s">
        <v>339</v>
      </c>
      <c r="P81" s="28">
        <v>0</v>
      </c>
      <c r="Q81" s="28">
        <v>30054</v>
      </c>
      <c r="R81" s="28" t="s">
        <v>334</v>
      </c>
      <c r="S81" s="28" t="s">
        <v>615</v>
      </c>
      <c r="T81" s="28">
        <v>1</v>
      </c>
      <c r="U81" s="28" t="s">
        <v>626</v>
      </c>
      <c r="V81" s="28">
        <v>10000</v>
      </c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 t="s">
        <v>656</v>
      </c>
      <c r="AI81" s="28">
        <v>-1800</v>
      </c>
      <c r="AJ81" s="28"/>
      <c r="AL81" s="28" t="s">
        <v>626</v>
      </c>
      <c r="AM81" s="28">
        <v>10000</v>
      </c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 t="s">
        <v>657</v>
      </c>
      <c r="AZ81" s="28">
        <v>-1800</v>
      </c>
      <c r="BA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</row>
    <row r="82" spans="1:68">
      <c r="A82"/>
      <c r="B82" s="28">
        <v>21001708</v>
      </c>
      <c r="C82" s="28" t="s">
        <v>407</v>
      </c>
      <c r="D82" s="28" t="s">
        <v>407</v>
      </c>
      <c r="E82" s="28" t="s">
        <v>611</v>
      </c>
      <c r="F82" s="28">
        <v>8</v>
      </c>
      <c r="G82" s="28" t="s">
        <v>654</v>
      </c>
      <c r="H82" s="28" t="s">
        <v>655</v>
      </c>
      <c r="I82" s="28" t="b">
        <v>1</v>
      </c>
      <c r="J82" s="28" t="s">
        <v>614</v>
      </c>
      <c r="K82" s="28" t="s">
        <v>334</v>
      </c>
      <c r="L82" s="28">
        <v>1</v>
      </c>
      <c r="M82" s="28">
        <v>12000</v>
      </c>
      <c r="N82" s="28">
        <v>0</v>
      </c>
      <c r="O82" s="28" t="s">
        <v>339</v>
      </c>
      <c r="P82" s="28">
        <v>0</v>
      </c>
      <c r="Q82" s="28">
        <v>30054</v>
      </c>
      <c r="R82" s="28" t="s">
        <v>334</v>
      </c>
      <c r="S82" s="28" t="s">
        <v>615</v>
      </c>
      <c r="T82" s="28">
        <v>1</v>
      </c>
      <c r="U82" s="28" t="s">
        <v>626</v>
      </c>
      <c r="V82" s="28">
        <v>10000</v>
      </c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 t="s">
        <v>656</v>
      </c>
      <c r="AI82" s="28">
        <v>-2000</v>
      </c>
      <c r="AJ82" s="28"/>
      <c r="AL82" s="28" t="s">
        <v>626</v>
      </c>
      <c r="AM82" s="28">
        <v>10000</v>
      </c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 t="s">
        <v>657</v>
      </c>
      <c r="AZ82" s="28">
        <v>-2000</v>
      </c>
      <c r="BA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</row>
    <row r="83" spans="1:68">
      <c r="A83"/>
      <c r="B83" s="28">
        <v>21001709</v>
      </c>
      <c r="C83" s="28" t="s">
        <v>407</v>
      </c>
      <c r="D83" s="28" t="s">
        <v>407</v>
      </c>
      <c r="E83" s="28" t="s">
        <v>611</v>
      </c>
      <c r="F83" s="28">
        <v>9</v>
      </c>
      <c r="G83" s="28" t="s">
        <v>654</v>
      </c>
      <c r="H83" s="28" t="s">
        <v>655</v>
      </c>
      <c r="I83" s="28" t="b">
        <v>1</v>
      </c>
      <c r="J83" s="28" t="s">
        <v>614</v>
      </c>
      <c r="K83" s="28" t="s">
        <v>334</v>
      </c>
      <c r="L83" s="28">
        <v>1</v>
      </c>
      <c r="M83" s="28">
        <v>12000</v>
      </c>
      <c r="N83" s="28">
        <v>0</v>
      </c>
      <c r="O83" s="28" t="s">
        <v>339</v>
      </c>
      <c r="P83" s="28">
        <v>0</v>
      </c>
      <c r="Q83" s="28">
        <v>30054</v>
      </c>
      <c r="R83" s="28" t="s">
        <v>334</v>
      </c>
      <c r="S83" s="28" t="s">
        <v>615</v>
      </c>
      <c r="T83" s="28">
        <v>1</v>
      </c>
      <c r="U83" s="28" t="s">
        <v>626</v>
      </c>
      <c r="V83" s="28">
        <v>10000</v>
      </c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 t="s">
        <v>656</v>
      </c>
      <c r="AI83" s="28">
        <v>-2200</v>
      </c>
      <c r="AJ83" s="28"/>
      <c r="AL83" s="28" t="s">
        <v>626</v>
      </c>
      <c r="AM83" s="28">
        <v>10000</v>
      </c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 t="s">
        <v>657</v>
      </c>
      <c r="AZ83" s="28">
        <v>-2200</v>
      </c>
      <c r="BA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</row>
    <row r="84" spans="1:68">
      <c r="A84"/>
      <c r="B84" s="28">
        <v>21001710</v>
      </c>
      <c r="C84" s="28" t="s">
        <v>407</v>
      </c>
      <c r="D84" s="28" t="s">
        <v>407</v>
      </c>
      <c r="E84" s="28" t="s">
        <v>611</v>
      </c>
      <c r="F84" s="28">
        <v>10</v>
      </c>
      <c r="G84" s="28" t="s">
        <v>654</v>
      </c>
      <c r="H84" s="28" t="s">
        <v>655</v>
      </c>
      <c r="I84" s="28" t="b">
        <v>1</v>
      </c>
      <c r="J84" s="28" t="s">
        <v>614</v>
      </c>
      <c r="K84" s="28" t="s">
        <v>334</v>
      </c>
      <c r="L84" s="28">
        <v>1</v>
      </c>
      <c r="M84" s="28">
        <v>12000</v>
      </c>
      <c r="N84" s="28">
        <v>0</v>
      </c>
      <c r="O84" s="28" t="s">
        <v>339</v>
      </c>
      <c r="P84" s="28">
        <v>0</v>
      </c>
      <c r="Q84" s="28">
        <v>30054</v>
      </c>
      <c r="R84" s="28" t="s">
        <v>334</v>
      </c>
      <c r="S84" s="28" t="s">
        <v>615</v>
      </c>
      <c r="T84" s="28">
        <v>1</v>
      </c>
      <c r="U84" s="28" t="s">
        <v>626</v>
      </c>
      <c r="V84" s="28">
        <v>10000</v>
      </c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 t="s">
        <v>656</v>
      </c>
      <c r="AI84" s="28">
        <v>-2500</v>
      </c>
      <c r="AJ84" s="28"/>
      <c r="AL84" s="28" t="s">
        <v>626</v>
      </c>
      <c r="AM84" s="28">
        <v>10000</v>
      </c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 t="s">
        <v>657</v>
      </c>
      <c r="AZ84" s="28">
        <v>-2500</v>
      </c>
      <c r="BA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</row>
    <row r="85" spans="1:68">
      <c r="A85"/>
      <c r="B85" s="28">
        <v>21001801</v>
      </c>
      <c r="C85" s="28" t="s">
        <v>409</v>
      </c>
      <c r="D85" s="28" t="s">
        <v>409</v>
      </c>
      <c r="E85" s="28" t="s">
        <v>611</v>
      </c>
      <c r="F85" s="28">
        <v>1</v>
      </c>
      <c r="G85" s="28" t="s">
        <v>658</v>
      </c>
      <c r="H85" s="28" t="s">
        <v>659</v>
      </c>
      <c r="I85" s="28" t="b">
        <v>1</v>
      </c>
      <c r="J85" s="28" t="s">
        <v>614</v>
      </c>
      <c r="K85" s="28" t="s">
        <v>334</v>
      </c>
      <c r="L85" s="28">
        <v>1</v>
      </c>
      <c r="M85" s="28">
        <v>12000</v>
      </c>
      <c r="N85" s="28">
        <v>3000</v>
      </c>
      <c r="O85" s="28" t="s">
        <v>339</v>
      </c>
      <c r="P85" s="28">
        <v>0</v>
      </c>
      <c r="Q85" s="28">
        <v>30049</v>
      </c>
      <c r="R85" s="28" t="s">
        <v>334</v>
      </c>
      <c r="S85" s="28" t="s">
        <v>615</v>
      </c>
      <c r="T85" s="28">
        <v>1</v>
      </c>
      <c r="U85" s="28" t="s">
        <v>633</v>
      </c>
      <c r="V85" s="28">
        <v>10000</v>
      </c>
      <c r="W85" s="28"/>
      <c r="X85" s="28" t="s">
        <v>355</v>
      </c>
      <c r="Y85" s="28">
        <v>1800</v>
      </c>
      <c r="Z85" s="28">
        <v>1</v>
      </c>
      <c r="AA85" s="28" t="b">
        <v>0</v>
      </c>
      <c r="AB85" s="28">
        <v>0</v>
      </c>
      <c r="AC85" s="28"/>
      <c r="AD85" s="28"/>
      <c r="AE85" s="28"/>
      <c r="AF85" s="28"/>
      <c r="AG85" s="28"/>
      <c r="AH85" s="28"/>
      <c r="AI85" s="28"/>
      <c r="AJ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</row>
    <row r="86" spans="1:68">
      <c r="A86"/>
      <c r="B86" s="28">
        <v>21001802</v>
      </c>
      <c r="C86" s="28" t="s">
        <v>409</v>
      </c>
      <c r="D86" s="28" t="s">
        <v>409</v>
      </c>
      <c r="E86" s="28" t="s">
        <v>611</v>
      </c>
      <c r="F86" s="28">
        <v>2</v>
      </c>
      <c r="G86" s="28" t="s">
        <v>658</v>
      </c>
      <c r="H86" s="28" t="s">
        <v>659</v>
      </c>
      <c r="I86" s="28" t="b">
        <v>1</v>
      </c>
      <c r="J86" s="28" t="s">
        <v>614</v>
      </c>
      <c r="K86" s="28" t="s">
        <v>334</v>
      </c>
      <c r="L86" s="28">
        <v>1</v>
      </c>
      <c r="M86" s="28">
        <v>12000</v>
      </c>
      <c r="N86" s="28">
        <v>3000</v>
      </c>
      <c r="O86" s="28" t="s">
        <v>339</v>
      </c>
      <c r="P86" s="28">
        <v>0</v>
      </c>
      <c r="Q86" s="28">
        <v>30049</v>
      </c>
      <c r="R86" s="28" t="s">
        <v>334</v>
      </c>
      <c r="S86" s="28" t="s">
        <v>615</v>
      </c>
      <c r="T86" s="28">
        <v>1</v>
      </c>
      <c r="U86" s="28" t="s">
        <v>633</v>
      </c>
      <c r="V86" s="28">
        <v>10000</v>
      </c>
      <c r="W86" s="28"/>
      <c r="X86" s="28" t="s">
        <v>355</v>
      </c>
      <c r="Y86" s="28">
        <v>2000</v>
      </c>
      <c r="Z86" s="28">
        <v>1</v>
      </c>
      <c r="AA86" s="28" t="b">
        <v>0</v>
      </c>
      <c r="AB86" s="28">
        <v>0</v>
      </c>
      <c r="AC86" s="28"/>
      <c r="AD86" s="28"/>
      <c r="AE86" s="28"/>
      <c r="AF86" s="28"/>
      <c r="AG86" s="28"/>
      <c r="AH86" s="28"/>
      <c r="AI86" s="28"/>
      <c r="AJ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</row>
    <row r="87" spans="1:68">
      <c r="A87"/>
      <c r="B87" s="28">
        <v>21001803</v>
      </c>
      <c r="C87" s="28" t="s">
        <v>409</v>
      </c>
      <c r="D87" s="28" t="s">
        <v>409</v>
      </c>
      <c r="E87" s="28" t="s">
        <v>611</v>
      </c>
      <c r="F87" s="28">
        <v>3</v>
      </c>
      <c r="G87" s="28" t="s">
        <v>658</v>
      </c>
      <c r="H87" s="28" t="s">
        <v>659</v>
      </c>
      <c r="I87" s="28" t="b">
        <v>1</v>
      </c>
      <c r="J87" s="28" t="s">
        <v>614</v>
      </c>
      <c r="K87" s="28" t="s">
        <v>334</v>
      </c>
      <c r="L87" s="28">
        <v>1</v>
      </c>
      <c r="M87" s="28">
        <v>12000</v>
      </c>
      <c r="N87" s="28">
        <v>3000</v>
      </c>
      <c r="O87" s="28" t="s">
        <v>339</v>
      </c>
      <c r="P87" s="28">
        <v>0</v>
      </c>
      <c r="Q87" s="28">
        <v>30049</v>
      </c>
      <c r="R87" s="28" t="s">
        <v>334</v>
      </c>
      <c r="S87" s="28" t="s">
        <v>615</v>
      </c>
      <c r="T87" s="28">
        <v>1</v>
      </c>
      <c r="U87" s="28" t="s">
        <v>633</v>
      </c>
      <c r="V87" s="28">
        <v>10000</v>
      </c>
      <c r="W87" s="28"/>
      <c r="X87" s="28" t="s">
        <v>355</v>
      </c>
      <c r="Y87" s="28">
        <v>2200</v>
      </c>
      <c r="Z87" s="28">
        <v>1</v>
      </c>
      <c r="AA87" s="28" t="b">
        <v>0</v>
      </c>
      <c r="AB87" s="28">
        <v>0</v>
      </c>
      <c r="AC87" s="28"/>
      <c r="AD87" s="28"/>
      <c r="AE87" s="28"/>
      <c r="AF87" s="28"/>
      <c r="AG87" s="28"/>
      <c r="AH87" s="28"/>
      <c r="AI87" s="28"/>
      <c r="AJ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</row>
    <row r="88" spans="1:68">
      <c r="A88"/>
      <c r="B88" s="28">
        <v>21001804</v>
      </c>
      <c r="C88" s="28" t="s">
        <v>409</v>
      </c>
      <c r="D88" s="28" t="s">
        <v>409</v>
      </c>
      <c r="E88" s="28" t="s">
        <v>611</v>
      </c>
      <c r="F88" s="28">
        <v>4</v>
      </c>
      <c r="G88" s="28" t="s">
        <v>658</v>
      </c>
      <c r="H88" s="28" t="s">
        <v>659</v>
      </c>
      <c r="I88" s="28" t="b">
        <v>1</v>
      </c>
      <c r="J88" s="28" t="s">
        <v>614</v>
      </c>
      <c r="K88" s="28" t="s">
        <v>334</v>
      </c>
      <c r="L88" s="28">
        <v>1</v>
      </c>
      <c r="M88" s="28">
        <v>12000</v>
      </c>
      <c r="N88" s="28">
        <v>3000</v>
      </c>
      <c r="O88" s="28" t="s">
        <v>339</v>
      </c>
      <c r="P88" s="28">
        <v>0</v>
      </c>
      <c r="Q88" s="28">
        <v>30049</v>
      </c>
      <c r="R88" s="28" t="s">
        <v>334</v>
      </c>
      <c r="S88" s="28" t="s">
        <v>615</v>
      </c>
      <c r="T88" s="28">
        <v>1</v>
      </c>
      <c r="U88" s="28" t="s">
        <v>633</v>
      </c>
      <c r="V88" s="28">
        <v>10000</v>
      </c>
      <c r="W88" s="28"/>
      <c r="X88" s="28" t="s">
        <v>355</v>
      </c>
      <c r="Y88" s="28">
        <v>2400</v>
      </c>
      <c r="Z88" s="28">
        <v>2</v>
      </c>
      <c r="AA88" s="28" t="b">
        <v>0</v>
      </c>
      <c r="AB88" s="28">
        <v>0</v>
      </c>
      <c r="AC88" s="28"/>
      <c r="AD88" s="28"/>
      <c r="AE88" s="28"/>
      <c r="AF88" s="28"/>
      <c r="AG88" s="28"/>
      <c r="AH88" s="28"/>
      <c r="AI88" s="28"/>
      <c r="AJ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</row>
    <row r="89" spans="1:68">
      <c r="A89"/>
      <c r="B89" s="28">
        <v>21001805</v>
      </c>
      <c r="C89" s="28" t="s">
        <v>409</v>
      </c>
      <c r="D89" s="28" t="s">
        <v>409</v>
      </c>
      <c r="E89" s="28" t="s">
        <v>611</v>
      </c>
      <c r="F89" s="28">
        <v>5</v>
      </c>
      <c r="G89" s="28" t="s">
        <v>658</v>
      </c>
      <c r="H89" s="28" t="s">
        <v>659</v>
      </c>
      <c r="I89" s="28" t="b">
        <v>1</v>
      </c>
      <c r="J89" s="28" t="s">
        <v>614</v>
      </c>
      <c r="K89" s="28" t="s">
        <v>334</v>
      </c>
      <c r="L89" s="28">
        <v>1</v>
      </c>
      <c r="M89" s="28">
        <v>12000</v>
      </c>
      <c r="N89" s="28">
        <v>3000</v>
      </c>
      <c r="O89" s="28" t="s">
        <v>339</v>
      </c>
      <c r="P89" s="28">
        <v>0</v>
      </c>
      <c r="Q89" s="28">
        <v>30049</v>
      </c>
      <c r="R89" s="28" t="s">
        <v>334</v>
      </c>
      <c r="S89" s="28" t="s">
        <v>615</v>
      </c>
      <c r="T89" s="28">
        <v>1</v>
      </c>
      <c r="U89" s="28" t="s">
        <v>633</v>
      </c>
      <c r="V89" s="28">
        <v>10000</v>
      </c>
      <c r="W89" s="28"/>
      <c r="X89" s="28" t="s">
        <v>355</v>
      </c>
      <c r="Y89" s="28">
        <v>2600</v>
      </c>
      <c r="Z89" s="28">
        <v>2</v>
      </c>
      <c r="AA89" s="28" t="b">
        <v>0</v>
      </c>
      <c r="AB89" s="28">
        <v>0</v>
      </c>
      <c r="AC89" s="28"/>
      <c r="AD89" s="28"/>
      <c r="AE89" s="28"/>
      <c r="AF89" s="28"/>
      <c r="AG89" s="28"/>
      <c r="AH89" s="28"/>
      <c r="AI89" s="28"/>
      <c r="AJ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</row>
    <row r="90" spans="1:68">
      <c r="A90"/>
      <c r="B90" s="28">
        <v>21001806</v>
      </c>
      <c r="C90" s="28" t="s">
        <v>409</v>
      </c>
      <c r="D90" s="28" t="s">
        <v>409</v>
      </c>
      <c r="E90" s="28" t="s">
        <v>611</v>
      </c>
      <c r="F90" s="28">
        <v>6</v>
      </c>
      <c r="G90" s="28" t="s">
        <v>658</v>
      </c>
      <c r="H90" s="28" t="s">
        <v>659</v>
      </c>
      <c r="I90" s="28" t="b">
        <v>1</v>
      </c>
      <c r="J90" s="28" t="s">
        <v>614</v>
      </c>
      <c r="K90" s="28" t="s">
        <v>334</v>
      </c>
      <c r="L90" s="28">
        <v>1</v>
      </c>
      <c r="M90" s="28">
        <v>12000</v>
      </c>
      <c r="N90" s="28">
        <v>3000</v>
      </c>
      <c r="O90" s="28" t="s">
        <v>339</v>
      </c>
      <c r="P90" s="28">
        <v>0</v>
      </c>
      <c r="Q90" s="28">
        <v>30049</v>
      </c>
      <c r="R90" s="28" t="s">
        <v>334</v>
      </c>
      <c r="S90" s="28" t="s">
        <v>615</v>
      </c>
      <c r="T90" s="28">
        <v>1</v>
      </c>
      <c r="U90" s="28" t="s">
        <v>633</v>
      </c>
      <c r="V90" s="28">
        <v>10000</v>
      </c>
      <c r="W90" s="28"/>
      <c r="X90" s="28" t="s">
        <v>355</v>
      </c>
      <c r="Y90" s="28">
        <v>2800</v>
      </c>
      <c r="Z90" s="28">
        <v>2</v>
      </c>
      <c r="AA90" s="28" t="b">
        <v>0</v>
      </c>
      <c r="AB90" s="28">
        <v>0</v>
      </c>
      <c r="AC90" s="28"/>
      <c r="AD90" s="28"/>
      <c r="AE90" s="28"/>
      <c r="AF90" s="28"/>
      <c r="AG90" s="28"/>
      <c r="AH90" s="28"/>
      <c r="AI90" s="28"/>
      <c r="AJ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</row>
    <row r="91" spans="1:68">
      <c r="A91"/>
      <c r="B91" s="28">
        <v>21001807</v>
      </c>
      <c r="C91" s="28" t="s">
        <v>409</v>
      </c>
      <c r="D91" s="28" t="s">
        <v>409</v>
      </c>
      <c r="E91" s="28" t="s">
        <v>611</v>
      </c>
      <c r="F91" s="28">
        <v>7</v>
      </c>
      <c r="G91" s="28" t="s">
        <v>658</v>
      </c>
      <c r="H91" s="28" t="s">
        <v>659</v>
      </c>
      <c r="I91" s="28" t="b">
        <v>1</v>
      </c>
      <c r="J91" s="28" t="s">
        <v>614</v>
      </c>
      <c r="K91" s="28" t="s">
        <v>334</v>
      </c>
      <c r="L91" s="28">
        <v>1</v>
      </c>
      <c r="M91" s="28">
        <v>12000</v>
      </c>
      <c r="N91" s="28">
        <v>3000</v>
      </c>
      <c r="O91" s="28" t="s">
        <v>339</v>
      </c>
      <c r="P91" s="28">
        <v>0</v>
      </c>
      <c r="Q91" s="28">
        <v>30049</v>
      </c>
      <c r="R91" s="28" t="s">
        <v>334</v>
      </c>
      <c r="S91" s="28" t="s">
        <v>615</v>
      </c>
      <c r="T91" s="28">
        <v>1</v>
      </c>
      <c r="U91" s="28" t="s">
        <v>633</v>
      </c>
      <c r="V91" s="28">
        <v>10000</v>
      </c>
      <c r="W91" s="28"/>
      <c r="X91" s="28" t="s">
        <v>355</v>
      </c>
      <c r="Y91" s="28">
        <v>3000</v>
      </c>
      <c r="Z91" s="28">
        <v>2</v>
      </c>
      <c r="AA91" s="28" t="b">
        <v>0</v>
      </c>
      <c r="AB91" s="28">
        <v>0</v>
      </c>
      <c r="AC91" s="28"/>
      <c r="AD91" s="28"/>
      <c r="AE91" s="28"/>
      <c r="AF91" s="28"/>
      <c r="AG91" s="28"/>
      <c r="AH91" s="28"/>
      <c r="AI91" s="28"/>
      <c r="AJ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</row>
    <row r="92" spans="1:68">
      <c r="A92"/>
      <c r="B92" s="28">
        <v>21001808</v>
      </c>
      <c r="C92" s="28" t="s">
        <v>409</v>
      </c>
      <c r="D92" s="28" t="s">
        <v>409</v>
      </c>
      <c r="E92" s="28" t="s">
        <v>611</v>
      </c>
      <c r="F92" s="28">
        <v>8</v>
      </c>
      <c r="G92" s="28" t="s">
        <v>658</v>
      </c>
      <c r="H92" s="28" t="s">
        <v>659</v>
      </c>
      <c r="I92" s="28" t="b">
        <v>1</v>
      </c>
      <c r="J92" s="28" t="s">
        <v>614</v>
      </c>
      <c r="K92" s="28" t="s">
        <v>334</v>
      </c>
      <c r="L92" s="28">
        <v>1</v>
      </c>
      <c r="M92" s="28">
        <v>12000</v>
      </c>
      <c r="N92" s="28">
        <v>3000</v>
      </c>
      <c r="O92" s="28" t="s">
        <v>339</v>
      </c>
      <c r="P92" s="28">
        <v>0</v>
      </c>
      <c r="Q92" s="28">
        <v>30049</v>
      </c>
      <c r="R92" s="28" t="s">
        <v>334</v>
      </c>
      <c r="S92" s="28" t="s">
        <v>615</v>
      </c>
      <c r="T92" s="28">
        <v>1</v>
      </c>
      <c r="U92" s="28" t="s">
        <v>633</v>
      </c>
      <c r="V92" s="28">
        <v>10000</v>
      </c>
      <c r="W92" s="28"/>
      <c r="X92" s="28" t="s">
        <v>355</v>
      </c>
      <c r="Y92" s="28">
        <v>3200</v>
      </c>
      <c r="Z92" s="28">
        <v>3</v>
      </c>
      <c r="AA92" s="28" t="b">
        <v>0</v>
      </c>
      <c r="AB92" s="28">
        <v>0</v>
      </c>
      <c r="AC92" s="28"/>
      <c r="AD92" s="28"/>
      <c r="AE92" s="28"/>
      <c r="AF92" s="28"/>
      <c r="AG92" s="28"/>
      <c r="AH92" s="28"/>
      <c r="AI92" s="28"/>
      <c r="AJ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</row>
    <row r="93" spans="1:68">
      <c r="A93"/>
      <c r="B93" s="28">
        <v>21001809</v>
      </c>
      <c r="C93" s="28" t="s">
        <v>409</v>
      </c>
      <c r="D93" s="28" t="s">
        <v>409</v>
      </c>
      <c r="E93" s="28" t="s">
        <v>611</v>
      </c>
      <c r="F93" s="28">
        <v>9</v>
      </c>
      <c r="G93" s="28" t="s">
        <v>658</v>
      </c>
      <c r="H93" s="28" t="s">
        <v>659</v>
      </c>
      <c r="I93" s="28" t="b">
        <v>1</v>
      </c>
      <c r="J93" s="28" t="s">
        <v>614</v>
      </c>
      <c r="K93" s="28" t="s">
        <v>334</v>
      </c>
      <c r="L93" s="28">
        <v>1</v>
      </c>
      <c r="M93" s="28">
        <v>12000</v>
      </c>
      <c r="N93" s="28">
        <v>3000</v>
      </c>
      <c r="O93" s="28" t="s">
        <v>339</v>
      </c>
      <c r="P93" s="28">
        <v>0</v>
      </c>
      <c r="Q93" s="28">
        <v>30049</v>
      </c>
      <c r="R93" s="28" t="s">
        <v>334</v>
      </c>
      <c r="S93" s="28" t="s">
        <v>615</v>
      </c>
      <c r="T93" s="28">
        <v>1</v>
      </c>
      <c r="U93" s="28" t="s">
        <v>633</v>
      </c>
      <c r="V93" s="28">
        <v>10000</v>
      </c>
      <c r="W93" s="28"/>
      <c r="X93" s="28" t="s">
        <v>355</v>
      </c>
      <c r="Y93" s="28">
        <v>3400</v>
      </c>
      <c r="Z93" s="28">
        <v>3</v>
      </c>
      <c r="AA93" s="28" t="b">
        <v>0</v>
      </c>
      <c r="AB93" s="28">
        <v>0</v>
      </c>
      <c r="AC93" s="28"/>
      <c r="AD93" s="28"/>
      <c r="AE93" s="28"/>
      <c r="AF93" s="28"/>
      <c r="AG93" s="28"/>
      <c r="AH93" s="28"/>
      <c r="AI93" s="28"/>
      <c r="AJ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</row>
    <row r="94" spans="1:68">
      <c r="A94"/>
      <c r="B94" s="28">
        <v>21001810</v>
      </c>
      <c r="C94" s="28" t="s">
        <v>409</v>
      </c>
      <c r="D94" s="28" t="s">
        <v>409</v>
      </c>
      <c r="E94" s="28" t="s">
        <v>611</v>
      </c>
      <c r="F94" s="28">
        <v>10</v>
      </c>
      <c r="G94" s="28" t="s">
        <v>658</v>
      </c>
      <c r="H94" s="28" t="s">
        <v>659</v>
      </c>
      <c r="I94" s="28" t="b">
        <v>1</v>
      </c>
      <c r="J94" s="28" t="s">
        <v>614</v>
      </c>
      <c r="K94" s="28" t="s">
        <v>334</v>
      </c>
      <c r="L94" s="28">
        <v>1</v>
      </c>
      <c r="M94" s="28">
        <v>12000</v>
      </c>
      <c r="N94" s="28">
        <v>3000</v>
      </c>
      <c r="O94" s="28" t="s">
        <v>339</v>
      </c>
      <c r="P94" s="28">
        <v>0</v>
      </c>
      <c r="Q94" s="28">
        <v>30049</v>
      </c>
      <c r="R94" s="28" t="s">
        <v>334</v>
      </c>
      <c r="S94" s="28" t="s">
        <v>615</v>
      </c>
      <c r="T94" s="28">
        <v>1</v>
      </c>
      <c r="U94" s="28" t="s">
        <v>633</v>
      </c>
      <c r="V94" s="28">
        <v>10000</v>
      </c>
      <c r="W94" s="28"/>
      <c r="X94" s="28" t="s">
        <v>355</v>
      </c>
      <c r="Y94" s="28">
        <v>3800</v>
      </c>
      <c r="Z94" s="28">
        <v>3</v>
      </c>
      <c r="AA94" s="28" t="b">
        <v>0</v>
      </c>
      <c r="AB94" s="28">
        <v>0</v>
      </c>
      <c r="AC94" s="28"/>
      <c r="AD94" s="28"/>
      <c r="AE94" s="28"/>
      <c r="AF94" s="28"/>
      <c r="AG94" s="28"/>
      <c r="AH94" s="28"/>
      <c r="AI94" s="28"/>
      <c r="AJ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</row>
    <row r="95" spans="1:68">
      <c r="A95"/>
      <c r="B95" s="28">
        <v>21001901</v>
      </c>
      <c r="C95" s="28" t="s">
        <v>411</v>
      </c>
      <c r="D95" s="28" t="s">
        <v>411</v>
      </c>
      <c r="E95" s="28" t="s">
        <v>611</v>
      </c>
      <c r="F95" s="28">
        <v>1</v>
      </c>
      <c r="G95" s="28" t="s">
        <v>660</v>
      </c>
      <c r="H95" s="28" t="s">
        <v>661</v>
      </c>
      <c r="I95" s="28" t="b">
        <v>1</v>
      </c>
      <c r="J95" s="28" t="s">
        <v>614</v>
      </c>
      <c r="K95" s="28" t="s">
        <v>334</v>
      </c>
      <c r="L95" s="28">
        <v>1</v>
      </c>
      <c r="M95" s="28">
        <v>12000</v>
      </c>
      <c r="N95" s="28">
        <v>2000</v>
      </c>
      <c r="O95" s="28" t="s">
        <v>339</v>
      </c>
      <c r="P95" s="28">
        <v>0</v>
      </c>
      <c r="Q95" s="28">
        <v>30052</v>
      </c>
      <c r="R95" s="28" t="s">
        <v>334</v>
      </c>
      <c r="S95" s="28" t="s">
        <v>636</v>
      </c>
      <c r="T95" s="28">
        <v>1</v>
      </c>
      <c r="U95" s="28" t="s">
        <v>662</v>
      </c>
      <c r="V95" s="28">
        <v>10000</v>
      </c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>
        <v>10340001</v>
      </c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</row>
    <row r="96" spans="1:68">
      <c r="A96"/>
      <c r="B96" s="28">
        <v>21001902</v>
      </c>
      <c r="C96" s="28" t="s">
        <v>411</v>
      </c>
      <c r="D96" s="28" t="s">
        <v>411</v>
      </c>
      <c r="E96" s="28" t="s">
        <v>611</v>
      </c>
      <c r="F96" s="28">
        <v>2</v>
      </c>
      <c r="G96" s="28" t="s">
        <v>660</v>
      </c>
      <c r="H96" s="28" t="s">
        <v>661</v>
      </c>
      <c r="I96" s="28" t="b">
        <v>1</v>
      </c>
      <c r="J96" s="28" t="s">
        <v>614</v>
      </c>
      <c r="K96" s="28" t="s">
        <v>334</v>
      </c>
      <c r="L96" s="28">
        <v>1</v>
      </c>
      <c r="M96" s="28">
        <v>12000</v>
      </c>
      <c r="N96" s="28">
        <v>2000</v>
      </c>
      <c r="O96" s="28" t="s">
        <v>339</v>
      </c>
      <c r="P96" s="28">
        <v>0</v>
      </c>
      <c r="Q96" s="28">
        <v>30052</v>
      </c>
      <c r="R96" s="28" t="s">
        <v>334</v>
      </c>
      <c r="S96" s="28" t="s">
        <v>636</v>
      </c>
      <c r="T96" s="28">
        <v>1</v>
      </c>
      <c r="U96" s="28" t="s">
        <v>662</v>
      </c>
      <c r="V96" s="28">
        <v>10000</v>
      </c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>
        <v>10340002</v>
      </c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</row>
    <row r="97" spans="1:68">
      <c r="A97"/>
      <c r="B97" s="28">
        <v>21001903</v>
      </c>
      <c r="C97" s="28" t="s">
        <v>411</v>
      </c>
      <c r="D97" s="28" t="s">
        <v>411</v>
      </c>
      <c r="E97" s="28" t="s">
        <v>611</v>
      </c>
      <c r="F97" s="28">
        <v>3</v>
      </c>
      <c r="G97" s="28" t="s">
        <v>660</v>
      </c>
      <c r="H97" s="28" t="s">
        <v>661</v>
      </c>
      <c r="I97" s="28" t="b">
        <v>1</v>
      </c>
      <c r="J97" s="28" t="s">
        <v>614</v>
      </c>
      <c r="K97" s="28" t="s">
        <v>334</v>
      </c>
      <c r="L97" s="28">
        <v>1</v>
      </c>
      <c r="M97" s="28">
        <v>12000</v>
      </c>
      <c r="N97" s="28">
        <v>2000</v>
      </c>
      <c r="O97" s="28" t="s">
        <v>339</v>
      </c>
      <c r="P97" s="28">
        <v>0</v>
      </c>
      <c r="Q97" s="28">
        <v>30052</v>
      </c>
      <c r="R97" s="28" t="s">
        <v>334</v>
      </c>
      <c r="S97" s="28" t="s">
        <v>636</v>
      </c>
      <c r="T97" s="28">
        <v>1</v>
      </c>
      <c r="U97" s="28" t="s">
        <v>662</v>
      </c>
      <c r="V97" s="28">
        <v>10000</v>
      </c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>
        <v>10340003</v>
      </c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</row>
    <row r="98" spans="1:68">
      <c r="A98"/>
      <c r="B98" s="28">
        <v>21001904</v>
      </c>
      <c r="C98" s="28" t="s">
        <v>411</v>
      </c>
      <c r="D98" s="28" t="s">
        <v>411</v>
      </c>
      <c r="E98" s="28" t="s">
        <v>611</v>
      </c>
      <c r="F98" s="28">
        <v>4</v>
      </c>
      <c r="G98" s="28" t="s">
        <v>660</v>
      </c>
      <c r="H98" s="28" t="s">
        <v>661</v>
      </c>
      <c r="I98" s="28" t="b">
        <v>1</v>
      </c>
      <c r="J98" s="28" t="s">
        <v>614</v>
      </c>
      <c r="K98" s="28" t="s">
        <v>334</v>
      </c>
      <c r="L98" s="28">
        <v>1</v>
      </c>
      <c r="M98" s="28">
        <v>12000</v>
      </c>
      <c r="N98" s="28">
        <v>2000</v>
      </c>
      <c r="O98" s="28" t="s">
        <v>339</v>
      </c>
      <c r="P98" s="28">
        <v>0</v>
      </c>
      <c r="Q98" s="28">
        <v>30052</v>
      </c>
      <c r="R98" s="28" t="s">
        <v>334</v>
      </c>
      <c r="S98" s="28" t="s">
        <v>636</v>
      </c>
      <c r="T98" s="28">
        <v>1</v>
      </c>
      <c r="U98" s="28" t="s">
        <v>662</v>
      </c>
      <c r="V98" s="28">
        <v>10000</v>
      </c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>
        <v>10340004</v>
      </c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</row>
    <row r="99" spans="1:68">
      <c r="A99"/>
      <c r="B99" s="28">
        <v>21001905</v>
      </c>
      <c r="C99" s="28" t="s">
        <v>411</v>
      </c>
      <c r="D99" s="28" t="s">
        <v>411</v>
      </c>
      <c r="E99" s="28" t="s">
        <v>611</v>
      </c>
      <c r="F99" s="28">
        <v>5</v>
      </c>
      <c r="G99" s="28" t="s">
        <v>660</v>
      </c>
      <c r="H99" s="28" t="s">
        <v>661</v>
      </c>
      <c r="I99" s="28" t="b">
        <v>1</v>
      </c>
      <c r="J99" s="28" t="s">
        <v>614</v>
      </c>
      <c r="K99" s="28" t="s">
        <v>334</v>
      </c>
      <c r="L99" s="28">
        <v>1</v>
      </c>
      <c r="M99" s="28">
        <v>12000</v>
      </c>
      <c r="N99" s="28">
        <v>2000</v>
      </c>
      <c r="O99" s="28" t="s">
        <v>339</v>
      </c>
      <c r="P99" s="28">
        <v>0</v>
      </c>
      <c r="Q99" s="28">
        <v>30052</v>
      </c>
      <c r="R99" s="28" t="s">
        <v>334</v>
      </c>
      <c r="S99" s="28" t="s">
        <v>636</v>
      </c>
      <c r="T99" s="28">
        <v>1</v>
      </c>
      <c r="U99" s="28" t="s">
        <v>662</v>
      </c>
      <c r="V99" s="28">
        <v>10000</v>
      </c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>
        <v>10340005</v>
      </c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</row>
    <row r="100" spans="1:68">
      <c r="A100"/>
      <c r="B100" s="28">
        <v>21001906</v>
      </c>
      <c r="C100" s="28" t="s">
        <v>411</v>
      </c>
      <c r="D100" s="28" t="s">
        <v>411</v>
      </c>
      <c r="E100" s="28" t="s">
        <v>611</v>
      </c>
      <c r="F100" s="28">
        <v>6</v>
      </c>
      <c r="G100" s="28" t="s">
        <v>660</v>
      </c>
      <c r="H100" s="28" t="s">
        <v>661</v>
      </c>
      <c r="I100" s="28" t="b">
        <v>1</v>
      </c>
      <c r="J100" s="28" t="s">
        <v>614</v>
      </c>
      <c r="K100" s="28" t="s">
        <v>334</v>
      </c>
      <c r="L100" s="28">
        <v>1</v>
      </c>
      <c r="M100" s="28">
        <v>12000</v>
      </c>
      <c r="N100" s="28">
        <v>2000</v>
      </c>
      <c r="O100" s="28" t="s">
        <v>339</v>
      </c>
      <c r="P100" s="28">
        <v>0</v>
      </c>
      <c r="Q100" s="28">
        <v>30052</v>
      </c>
      <c r="R100" s="28" t="s">
        <v>334</v>
      </c>
      <c r="S100" s="28" t="s">
        <v>636</v>
      </c>
      <c r="T100" s="28">
        <v>1</v>
      </c>
      <c r="U100" s="28" t="s">
        <v>662</v>
      </c>
      <c r="V100" s="28">
        <v>10000</v>
      </c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>
        <v>10340006</v>
      </c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</row>
    <row r="101" spans="1:68">
      <c r="A101"/>
      <c r="B101" s="28">
        <v>21001907</v>
      </c>
      <c r="C101" s="28" t="s">
        <v>411</v>
      </c>
      <c r="D101" s="28" t="s">
        <v>411</v>
      </c>
      <c r="E101" s="28" t="s">
        <v>611</v>
      </c>
      <c r="F101" s="28">
        <v>7</v>
      </c>
      <c r="G101" s="28" t="s">
        <v>660</v>
      </c>
      <c r="H101" s="28" t="s">
        <v>661</v>
      </c>
      <c r="I101" s="28" t="b">
        <v>1</v>
      </c>
      <c r="J101" s="28" t="s">
        <v>614</v>
      </c>
      <c r="K101" s="28" t="s">
        <v>334</v>
      </c>
      <c r="L101" s="28">
        <v>1</v>
      </c>
      <c r="M101" s="28">
        <v>12000</v>
      </c>
      <c r="N101" s="28">
        <v>2000</v>
      </c>
      <c r="O101" s="28" t="s">
        <v>339</v>
      </c>
      <c r="P101" s="28">
        <v>0</v>
      </c>
      <c r="Q101" s="28">
        <v>30052</v>
      </c>
      <c r="R101" s="28" t="s">
        <v>334</v>
      </c>
      <c r="S101" s="28" t="s">
        <v>636</v>
      </c>
      <c r="T101" s="28">
        <v>1</v>
      </c>
      <c r="U101" s="28" t="s">
        <v>662</v>
      </c>
      <c r="V101" s="28">
        <v>10000</v>
      </c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>
        <v>10340007</v>
      </c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</row>
    <row r="102" spans="1:68">
      <c r="A102"/>
      <c r="B102" s="28">
        <v>21001908</v>
      </c>
      <c r="C102" s="28" t="s">
        <v>411</v>
      </c>
      <c r="D102" s="28" t="s">
        <v>411</v>
      </c>
      <c r="E102" s="28" t="s">
        <v>611</v>
      </c>
      <c r="F102" s="28">
        <v>8</v>
      </c>
      <c r="G102" s="28" t="s">
        <v>660</v>
      </c>
      <c r="H102" s="28" t="s">
        <v>661</v>
      </c>
      <c r="I102" s="28" t="b">
        <v>1</v>
      </c>
      <c r="J102" s="28" t="s">
        <v>614</v>
      </c>
      <c r="K102" s="28" t="s">
        <v>334</v>
      </c>
      <c r="L102" s="28">
        <v>1</v>
      </c>
      <c r="M102" s="28">
        <v>12000</v>
      </c>
      <c r="N102" s="28">
        <v>2000</v>
      </c>
      <c r="O102" s="28" t="s">
        <v>339</v>
      </c>
      <c r="P102" s="28">
        <v>0</v>
      </c>
      <c r="Q102" s="28">
        <v>30052</v>
      </c>
      <c r="R102" s="28" t="s">
        <v>334</v>
      </c>
      <c r="S102" s="28" t="s">
        <v>636</v>
      </c>
      <c r="T102" s="28">
        <v>1</v>
      </c>
      <c r="U102" s="28" t="s">
        <v>662</v>
      </c>
      <c r="V102" s="28">
        <v>10000</v>
      </c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>
        <v>10340008</v>
      </c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</row>
    <row r="103" spans="1:68">
      <c r="A103"/>
      <c r="B103" s="28">
        <v>21001909</v>
      </c>
      <c r="C103" s="28" t="s">
        <v>411</v>
      </c>
      <c r="D103" s="28" t="s">
        <v>411</v>
      </c>
      <c r="E103" s="28" t="s">
        <v>611</v>
      </c>
      <c r="F103" s="28">
        <v>9</v>
      </c>
      <c r="G103" s="28" t="s">
        <v>660</v>
      </c>
      <c r="H103" s="28" t="s">
        <v>661</v>
      </c>
      <c r="I103" s="28" t="b">
        <v>1</v>
      </c>
      <c r="J103" s="28" t="s">
        <v>614</v>
      </c>
      <c r="K103" s="28" t="s">
        <v>334</v>
      </c>
      <c r="L103" s="28">
        <v>1</v>
      </c>
      <c r="M103" s="28">
        <v>12000</v>
      </c>
      <c r="N103" s="28">
        <v>2000</v>
      </c>
      <c r="O103" s="28" t="s">
        <v>339</v>
      </c>
      <c r="P103" s="28">
        <v>0</v>
      </c>
      <c r="Q103" s="28">
        <v>30052</v>
      </c>
      <c r="R103" s="28" t="s">
        <v>334</v>
      </c>
      <c r="S103" s="28" t="s">
        <v>636</v>
      </c>
      <c r="T103" s="28">
        <v>1</v>
      </c>
      <c r="U103" s="28" t="s">
        <v>662</v>
      </c>
      <c r="V103" s="28">
        <v>10000</v>
      </c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>
        <v>10340009</v>
      </c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</row>
    <row r="104" spans="1:68">
      <c r="A104"/>
      <c r="B104" s="28">
        <v>21001910</v>
      </c>
      <c r="C104" s="28" t="s">
        <v>411</v>
      </c>
      <c r="D104" s="28" t="s">
        <v>411</v>
      </c>
      <c r="E104" s="28" t="s">
        <v>611</v>
      </c>
      <c r="F104" s="28">
        <v>10</v>
      </c>
      <c r="G104" s="28" t="s">
        <v>660</v>
      </c>
      <c r="H104" s="28" t="s">
        <v>661</v>
      </c>
      <c r="I104" s="28" t="b">
        <v>1</v>
      </c>
      <c r="J104" s="28" t="s">
        <v>614</v>
      </c>
      <c r="K104" s="28" t="s">
        <v>334</v>
      </c>
      <c r="L104" s="28">
        <v>1</v>
      </c>
      <c r="M104" s="28">
        <v>12000</v>
      </c>
      <c r="N104" s="28">
        <v>2000</v>
      </c>
      <c r="O104" s="28" t="s">
        <v>339</v>
      </c>
      <c r="P104" s="28">
        <v>0</v>
      </c>
      <c r="Q104" s="28">
        <v>30052</v>
      </c>
      <c r="R104" s="28" t="s">
        <v>334</v>
      </c>
      <c r="S104" s="28" t="s">
        <v>636</v>
      </c>
      <c r="T104" s="28">
        <v>1</v>
      </c>
      <c r="U104" s="28" t="s">
        <v>662</v>
      </c>
      <c r="V104" s="28">
        <v>10000</v>
      </c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>
        <v>10340010</v>
      </c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</row>
    <row r="105" spans="1:68">
      <c r="A105"/>
      <c r="B105" s="28">
        <v>21002001</v>
      </c>
      <c r="C105" s="28" t="s">
        <v>663</v>
      </c>
      <c r="D105" s="28" t="s">
        <v>663</v>
      </c>
      <c r="E105" s="28" t="s">
        <v>611</v>
      </c>
      <c r="F105" s="28">
        <v>1</v>
      </c>
      <c r="G105" s="28" t="s">
        <v>664</v>
      </c>
      <c r="H105" s="28" t="s">
        <v>665</v>
      </c>
      <c r="I105" s="28" t="b">
        <v>1</v>
      </c>
      <c r="J105" s="28" t="s">
        <v>614</v>
      </c>
      <c r="K105" s="28" t="s">
        <v>334</v>
      </c>
      <c r="L105" s="28">
        <v>1</v>
      </c>
      <c r="M105" s="28">
        <v>12000</v>
      </c>
      <c r="N105" s="28">
        <v>2000</v>
      </c>
      <c r="O105" s="28" t="s">
        <v>339</v>
      </c>
      <c r="P105" s="28">
        <v>0</v>
      </c>
      <c r="Q105" s="28">
        <v>30053</v>
      </c>
      <c r="R105" s="28" t="s">
        <v>334</v>
      </c>
      <c r="S105" s="28" t="s">
        <v>636</v>
      </c>
      <c r="T105" s="28">
        <v>1</v>
      </c>
      <c r="U105" s="28" t="s">
        <v>662</v>
      </c>
      <c r="V105" s="28">
        <v>10000</v>
      </c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>
        <v>10350001</v>
      </c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</row>
    <row r="106" spans="1:68">
      <c r="A106"/>
      <c r="B106" s="28">
        <v>21002002</v>
      </c>
      <c r="C106" s="28" t="s">
        <v>663</v>
      </c>
      <c r="D106" s="28" t="s">
        <v>663</v>
      </c>
      <c r="E106" s="28" t="s">
        <v>611</v>
      </c>
      <c r="F106" s="28">
        <v>2</v>
      </c>
      <c r="G106" s="28" t="s">
        <v>664</v>
      </c>
      <c r="H106" s="28" t="s">
        <v>665</v>
      </c>
      <c r="I106" s="28" t="b">
        <v>1</v>
      </c>
      <c r="J106" s="28" t="s">
        <v>614</v>
      </c>
      <c r="K106" s="28" t="s">
        <v>334</v>
      </c>
      <c r="L106" s="28">
        <v>1</v>
      </c>
      <c r="M106" s="28">
        <v>12000</v>
      </c>
      <c r="N106" s="28">
        <v>2000</v>
      </c>
      <c r="O106" s="28" t="s">
        <v>339</v>
      </c>
      <c r="P106" s="28">
        <v>0</v>
      </c>
      <c r="Q106" s="28">
        <v>30053</v>
      </c>
      <c r="R106" s="28" t="s">
        <v>334</v>
      </c>
      <c r="S106" s="28" t="s">
        <v>636</v>
      </c>
      <c r="T106" s="28">
        <v>1</v>
      </c>
      <c r="U106" s="28" t="s">
        <v>662</v>
      </c>
      <c r="V106" s="28">
        <v>10000</v>
      </c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>
        <v>10350002</v>
      </c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</row>
    <row r="107" spans="1:68">
      <c r="A107"/>
      <c r="B107" s="28">
        <v>21002003</v>
      </c>
      <c r="C107" s="28" t="s">
        <v>663</v>
      </c>
      <c r="D107" s="28" t="s">
        <v>663</v>
      </c>
      <c r="E107" s="28" t="s">
        <v>611</v>
      </c>
      <c r="F107" s="28">
        <v>3</v>
      </c>
      <c r="G107" s="28" t="s">
        <v>664</v>
      </c>
      <c r="H107" s="28" t="s">
        <v>665</v>
      </c>
      <c r="I107" s="28" t="b">
        <v>1</v>
      </c>
      <c r="J107" s="28" t="s">
        <v>614</v>
      </c>
      <c r="K107" s="28" t="s">
        <v>334</v>
      </c>
      <c r="L107" s="28">
        <v>1</v>
      </c>
      <c r="M107" s="28">
        <v>12000</v>
      </c>
      <c r="N107" s="28">
        <v>2000</v>
      </c>
      <c r="O107" s="28" t="s">
        <v>339</v>
      </c>
      <c r="P107" s="28">
        <v>0</v>
      </c>
      <c r="Q107" s="28">
        <v>30053</v>
      </c>
      <c r="R107" s="28" t="s">
        <v>334</v>
      </c>
      <c r="S107" s="28" t="s">
        <v>636</v>
      </c>
      <c r="T107" s="28">
        <v>1</v>
      </c>
      <c r="U107" s="28" t="s">
        <v>662</v>
      </c>
      <c r="V107" s="28">
        <v>10000</v>
      </c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>
        <v>10350003</v>
      </c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</row>
    <row r="108" spans="1:68">
      <c r="A108"/>
      <c r="B108" s="28">
        <v>21002004</v>
      </c>
      <c r="C108" s="28" t="s">
        <v>663</v>
      </c>
      <c r="D108" s="28" t="s">
        <v>663</v>
      </c>
      <c r="E108" s="28" t="s">
        <v>611</v>
      </c>
      <c r="F108" s="28">
        <v>4</v>
      </c>
      <c r="G108" s="28" t="s">
        <v>664</v>
      </c>
      <c r="H108" s="28" t="s">
        <v>665</v>
      </c>
      <c r="I108" s="28" t="b">
        <v>1</v>
      </c>
      <c r="J108" s="28" t="s">
        <v>614</v>
      </c>
      <c r="K108" s="28" t="s">
        <v>334</v>
      </c>
      <c r="L108" s="28">
        <v>1</v>
      </c>
      <c r="M108" s="28">
        <v>12000</v>
      </c>
      <c r="N108" s="28">
        <v>2000</v>
      </c>
      <c r="O108" s="28" t="s">
        <v>339</v>
      </c>
      <c r="P108" s="28">
        <v>0</v>
      </c>
      <c r="Q108" s="28">
        <v>30053</v>
      </c>
      <c r="R108" s="28" t="s">
        <v>334</v>
      </c>
      <c r="S108" s="28" t="s">
        <v>636</v>
      </c>
      <c r="T108" s="28">
        <v>1</v>
      </c>
      <c r="U108" s="28" t="s">
        <v>662</v>
      </c>
      <c r="V108" s="28">
        <v>10000</v>
      </c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>
        <v>10350004</v>
      </c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</row>
    <row r="109" spans="1:68">
      <c r="A109"/>
      <c r="B109" s="28">
        <v>21002005</v>
      </c>
      <c r="C109" s="28" t="s">
        <v>663</v>
      </c>
      <c r="D109" s="28" t="s">
        <v>663</v>
      </c>
      <c r="E109" s="28" t="s">
        <v>611</v>
      </c>
      <c r="F109" s="28">
        <v>5</v>
      </c>
      <c r="G109" s="28" t="s">
        <v>664</v>
      </c>
      <c r="H109" s="28" t="s">
        <v>665</v>
      </c>
      <c r="I109" s="28" t="b">
        <v>1</v>
      </c>
      <c r="J109" s="28" t="s">
        <v>614</v>
      </c>
      <c r="K109" s="28" t="s">
        <v>334</v>
      </c>
      <c r="L109" s="28">
        <v>1</v>
      </c>
      <c r="M109" s="28">
        <v>12000</v>
      </c>
      <c r="N109" s="28">
        <v>2000</v>
      </c>
      <c r="O109" s="28" t="s">
        <v>339</v>
      </c>
      <c r="P109" s="28">
        <v>0</v>
      </c>
      <c r="Q109" s="28">
        <v>30053</v>
      </c>
      <c r="R109" s="28" t="s">
        <v>334</v>
      </c>
      <c r="S109" s="28" t="s">
        <v>636</v>
      </c>
      <c r="T109" s="28">
        <v>1</v>
      </c>
      <c r="U109" s="28" t="s">
        <v>662</v>
      </c>
      <c r="V109" s="28">
        <v>10000</v>
      </c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>
        <v>10350005</v>
      </c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</row>
    <row r="110" spans="1:68">
      <c r="A110"/>
      <c r="B110" s="28">
        <v>21002006</v>
      </c>
      <c r="C110" s="28" t="s">
        <v>663</v>
      </c>
      <c r="D110" s="28" t="s">
        <v>663</v>
      </c>
      <c r="E110" s="28" t="s">
        <v>611</v>
      </c>
      <c r="F110" s="28">
        <v>6</v>
      </c>
      <c r="G110" s="28" t="s">
        <v>664</v>
      </c>
      <c r="H110" s="28" t="s">
        <v>665</v>
      </c>
      <c r="I110" s="28" t="b">
        <v>1</v>
      </c>
      <c r="J110" s="28" t="s">
        <v>614</v>
      </c>
      <c r="K110" s="28" t="s">
        <v>334</v>
      </c>
      <c r="L110" s="28">
        <v>1</v>
      </c>
      <c r="M110" s="28">
        <v>12000</v>
      </c>
      <c r="N110" s="28">
        <v>2000</v>
      </c>
      <c r="O110" s="28" t="s">
        <v>339</v>
      </c>
      <c r="P110" s="28">
        <v>0</v>
      </c>
      <c r="Q110" s="28">
        <v>30053</v>
      </c>
      <c r="R110" s="28" t="s">
        <v>334</v>
      </c>
      <c r="S110" s="28" t="s">
        <v>636</v>
      </c>
      <c r="T110" s="28">
        <v>1</v>
      </c>
      <c r="U110" s="28" t="s">
        <v>662</v>
      </c>
      <c r="V110" s="28">
        <v>10000</v>
      </c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>
        <v>10350006</v>
      </c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</row>
    <row r="111" spans="1:68">
      <c r="A111"/>
      <c r="B111" s="28">
        <v>21002007</v>
      </c>
      <c r="C111" s="28" t="s">
        <v>663</v>
      </c>
      <c r="D111" s="28" t="s">
        <v>663</v>
      </c>
      <c r="E111" s="28" t="s">
        <v>611</v>
      </c>
      <c r="F111" s="28">
        <v>7</v>
      </c>
      <c r="G111" s="28" t="s">
        <v>664</v>
      </c>
      <c r="H111" s="28" t="s">
        <v>665</v>
      </c>
      <c r="I111" s="28" t="b">
        <v>1</v>
      </c>
      <c r="J111" s="28" t="s">
        <v>614</v>
      </c>
      <c r="K111" s="28" t="s">
        <v>334</v>
      </c>
      <c r="L111" s="28">
        <v>1</v>
      </c>
      <c r="M111" s="28">
        <v>12000</v>
      </c>
      <c r="N111" s="28">
        <v>2000</v>
      </c>
      <c r="O111" s="28" t="s">
        <v>339</v>
      </c>
      <c r="P111" s="28">
        <v>0</v>
      </c>
      <c r="Q111" s="28">
        <v>30053</v>
      </c>
      <c r="R111" s="28" t="s">
        <v>334</v>
      </c>
      <c r="S111" s="28" t="s">
        <v>636</v>
      </c>
      <c r="T111" s="28">
        <v>1</v>
      </c>
      <c r="U111" s="28" t="s">
        <v>662</v>
      </c>
      <c r="V111" s="28">
        <v>10000</v>
      </c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>
        <v>10350007</v>
      </c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</row>
    <row r="112" spans="1:68">
      <c r="A112"/>
      <c r="B112" s="28">
        <v>21002008</v>
      </c>
      <c r="C112" s="28" t="s">
        <v>663</v>
      </c>
      <c r="D112" s="28" t="s">
        <v>663</v>
      </c>
      <c r="E112" s="28" t="s">
        <v>611</v>
      </c>
      <c r="F112" s="28">
        <v>8</v>
      </c>
      <c r="G112" s="28" t="s">
        <v>664</v>
      </c>
      <c r="H112" s="28" t="s">
        <v>665</v>
      </c>
      <c r="I112" s="28" t="b">
        <v>1</v>
      </c>
      <c r="J112" s="28" t="s">
        <v>614</v>
      </c>
      <c r="K112" s="28" t="s">
        <v>334</v>
      </c>
      <c r="L112" s="28">
        <v>1</v>
      </c>
      <c r="M112" s="28">
        <v>12000</v>
      </c>
      <c r="N112" s="28">
        <v>2000</v>
      </c>
      <c r="O112" s="28" t="s">
        <v>339</v>
      </c>
      <c r="P112" s="28">
        <v>0</v>
      </c>
      <c r="Q112" s="28">
        <v>30053</v>
      </c>
      <c r="R112" s="28" t="s">
        <v>334</v>
      </c>
      <c r="S112" s="28" t="s">
        <v>636</v>
      </c>
      <c r="T112" s="28">
        <v>1</v>
      </c>
      <c r="U112" s="28" t="s">
        <v>662</v>
      </c>
      <c r="V112" s="28">
        <v>10000</v>
      </c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>
        <v>10350008</v>
      </c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</row>
    <row r="113" spans="1:68">
      <c r="A113"/>
      <c r="B113" s="28">
        <v>21002009</v>
      </c>
      <c r="C113" s="28" t="s">
        <v>663</v>
      </c>
      <c r="D113" s="28" t="s">
        <v>663</v>
      </c>
      <c r="E113" s="28" t="s">
        <v>611</v>
      </c>
      <c r="F113" s="28">
        <v>9</v>
      </c>
      <c r="G113" s="28" t="s">
        <v>664</v>
      </c>
      <c r="H113" s="28" t="s">
        <v>665</v>
      </c>
      <c r="I113" s="28" t="b">
        <v>1</v>
      </c>
      <c r="J113" s="28" t="s">
        <v>614</v>
      </c>
      <c r="K113" s="28" t="s">
        <v>334</v>
      </c>
      <c r="L113" s="28">
        <v>1</v>
      </c>
      <c r="M113" s="28">
        <v>12000</v>
      </c>
      <c r="N113" s="28">
        <v>2000</v>
      </c>
      <c r="O113" s="28" t="s">
        <v>339</v>
      </c>
      <c r="P113" s="28">
        <v>0</v>
      </c>
      <c r="Q113" s="28">
        <v>30053</v>
      </c>
      <c r="R113" s="28" t="s">
        <v>334</v>
      </c>
      <c r="S113" s="28" t="s">
        <v>636</v>
      </c>
      <c r="T113" s="28">
        <v>1</v>
      </c>
      <c r="U113" s="28" t="s">
        <v>662</v>
      </c>
      <c r="V113" s="28">
        <v>10000</v>
      </c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>
        <v>10350009</v>
      </c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</row>
    <row r="114" spans="1:68">
      <c r="A114"/>
      <c r="B114" s="28">
        <v>21002010</v>
      </c>
      <c r="C114" s="28" t="s">
        <v>663</v>
      </c>
      <c r="D114" s="28" t="s">
        <v>663</v>
      </c>
      <c r="E114" s="28" t="s">
        <v>611</v>
      </c>
      <c r="F114" s="28">
        <v>10</v>
      </c>
      <c r="G114" s="28" t="s">
        <v>664</v>
      </c>
      <c r="H114" s="28" t="s">
        <v>665</v>
      </c>
      <c r="I114" s="28" t="b">
        <v>1</v>
      </c>
      <c r="J114" s="28" t="s">
        <v>614</v>
      </c>
      <c r="K114" s="28" t="s">
        <v>334</v>
      </c>
      <c r="L114" s="28">
        <v>1</v>
      </c>
      <c r="M114" s="28">
        <v>12000</v>
      </c>
      <c r="N114" s="28">
        <v>2000</v>
      </c>
      <c r="O114" s="28" t="s">
        <v>339</v>
      </c>
      <c r="P114" s="28">
        <v>0</v>
      </c>
      <c r="Q114" s="28">
        <v>30053</v>
      </c>
      <c r="R114" s="28" t="s">
        <v>334</v>
      </c>
      <c r="S114" s="28" t="s">
        <v>636</v>
      </c>
      <c r="T114" s="28">
        <v>1</v>
      </c>
      <c r="U114" s="28" t="s">
        <v>662</v>
      </c>
      <c r="V114" s="28">
        <v>10000</v>
      </c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>
        <v>10350010</v>
      </c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</row>
    <row r="115" spans="1:68">
      <c r="A115"/>
      <c r="B115" s="28">
        <v>21002101</v>
      </c>
      <c r="C115" s="28" t="s">
        <v>666</v>
      </c>
      <c r="D115" s="28" t="s">
        <v>666</v>
      </c>
      <c r="E115" s="28" t="s">
        <v>611</v>
      </c>
      <c r="F115" s="28">
        <v>1</v>
      </c>
      <c r="G115" s="28" t="s">
        <v>654</v>
      </c>
      <c r="H115" s="28" t="s">
        <v>667</v>
      </c>
      <c r="I115" s="28" t="b">
        <v>1</v>
      </c>
      <c r="J115" s="28" t="s">
        <v>614</v>
      </c>
      <c r="K115" s="28" t="s">
        <v>334</v>
      </c>
      <c r="L115" s="28">
        <v>1</v>
      </c>
      <c r="M115" s="28">
        <v>2500</v>
      </c>
      <c r="N115" s="28">
        <v>0</v>
      </c>
      <c r="O115" s="28" t="s">
        <v>339</v>
      </c>
      <c r="P115" s="28">
        <v>0</v>
      </c>
      <c r="Q115" s="28">
        <v>30054</v>
      </c>
      <c r="R115" s="28" t="s">
        <v>334</v>
      </c>
      <c r="S115" s="28" t="s">
        <v>615</v>
      </c>
      <c r="T115" s="28">
        <v>1</v>
      </c>
      <c r="U115" s="28" t="s">
        <v>626</v>
      </c>
      <c r="V115" s="28">
        <v>10000</v>
      </c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 t="s">
        <v>656</v>
      </c>
      <c r="AI115" s="28">
        <v>-600</v>
      </c>
      <c r="AJ115" s="28"/>
      <c r="AL115" s="28" t="s">
        <v>626</v>
      </c>
      <c r="AM115" s="28">
        <v>10000</v>
      </c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 t="s">
        <v>657</v>
      </c>
      <c r="AZ115" s="28">
        <v>-600</v>
      </c>
      <c r="BA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</row>
    <row r="116" spans="1:68">
      <c r="A116"/>
      <c r="B116" s="28">
        <v>21002102</v>
      </c>
      <c r="C116" s="28" t="s">
        <v>666</v>
      </c>
      <c r="D116" s="28" t="s">
        <v>666</v>
      </c>
      <c r="E116" s="28" t="s">
        <v>611</v>
      </c>
      <c r="F116" s="28">
        <v>2</v>
      </c>
      <c r="G116" s="28" t="s">
        <v>654</v>
      </c>
      <c r="H116" s="28" t="s">
        <v>667</v>
      </c>
      <c r="I116" s="28" t="b">
        <v>1</v>
      </c>
      <c r="J116" s="28" t="s">
        <v>614</v>
      </c>
      <c r="K116" s="28" t="s">
        <v>334</v>
      </c>
      <c r="L116" s="28">
        <v>1</v>
      </c>
      <c r="M116" s="28">
        <v>2500</v>
      </c>
      <c r="N116" s="28">
        <v>0</v>
      </c>
      <c r="O116" s="28" t="s">
        <v>339</v>
      </c>
      <c r="P116" s="28">
        <v>0</v>
      </c>
      <c r="Q116" s="28">
        <v>30054</v>
      </c>
      <c r="R116" s="28" t="s">
        <v>334</v>
      </c>
      <c r="S116" s="28" t="s">
        <v>615</v>
      </c>
      <c r="T116" s="28">
        <v>1</v>
      </c>
      <c r="U116" s="28" t="s">
        <v>626</v>
      </c>
      <c r="V116" s="28">
        <v>10000</v>
      </c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 t="s">
        <v>656</v>
      </c>
      <c r="AI116" s="28">
        <v>-800</v>
      </c>
      <c r="AJ116" s="28"/>
      <c r="AL116" s="28" t="s">
        <v>626</v>
      </c>
      <c r="AM116" s="28">
        <v>10000</v>
      </c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 t="s">
        <v>657</v>
      </c>
      <c r="AZ116" s="28">
        <v>-800</v>
      </c>
      <c r="BA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</row>
    <row r="117" spans="1:68">
      <c r="A117"/>
      <c r="B117" s="28">
        <v>21002103</v>
      </c>
      <c r="C117" s="28" t="s">
        <v>666</v>
      </c>
      <c r="D117" s="28" t="s">
        <v>666</v>
      </c>
      <c r="E117" s="28" t="s">
        <v>611</v>
      </c>
      <c r="F117" s="28">
        <v>3</v>
      </c>
      <c r="G117" s="28" t="s">
        <v>654</v>
      </c>
      <c r="H117" s="28" t="s">
        <v>667</v>
      </c>
      <c r="I117" s="28" t="b">
        <v>1</v>
      </c>
      <c r="J117" s="28" t="s">
        <v>614</v>
      </c>
      <c r="K117" s="28" t="s">
        <v>334</v>
      </c>
      <c r="L117" s="28">
        <v>1</v>
      </c>
      <c r="M117" s="28">
        <v>2500</v>
      </c>
      <c r="N117" s="28">
        <v>0</v>
      </c>
      <c r="O117" s="28" t="s">
        <v>339</v>
      </c>
      <c r="P117" s="28">
        <v>0</v>
      </c>
      <c r="Q117" s="28">
        <v>30054</v>
      </c>
      <c r="R117" s="28" t="s">
        <v>334</v>
      </c>
      <c r="S117" s="28" t="s">
        <v>615</v>
      </c>
      <c r="T117" s="28">
        <v>1</v>
      </c>
      <c r="U117" s="28" t="s">
        <v>626</v>
      </c>
      <c r="V117" s="28">
        <v>10000</v>
      </c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 t="s">
        <v>656</v>
      </c>
      <c r="AI117" s="28">
        <v>-1000</v>
      </c>
      <c r="AJ117" s="28"/>
      <c r="AL117" s="28" t="s">
        <v>626</v>
      </c>
      <c r="AM117" s="28">
        <v>10000</v>
      </c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 t="s">
        <v>657</v>
      </c>
      <c r="AZ117" s="28">
        <v>-1000</v>
      </c>
      <c r="BA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</row>
    <row r="118" spans="1:68">
      <c r="A118"/>
      <c r="B118" s="28">
        <v>21002104</v>
      </c>
      <c r="C118" s="28" t="s">
        <v>666</v>
      </c>
      <c r="D118" s="28" t="s">
        <v>666</v>
      </c>
      <c r="E118" s="28" t="s">
        <v>611</v>
      </c>
      <c r="F118" s="28">
        <v>4</v>
      </c>
      <c r="G118" s="28" t="s">
        <v>654</v>
      </c>
      <c r="H118" s="28" t="s">
        <v>667</v>
      </c>
      <c r="I118" s="28" t="b">
        <v>1</v>
      </c>
      <c r="J118" s="28" t="s">
        <v>614</v>
      </c>
      <c r="K118" s="28" t="s">
        <v>334</v>
      </c>
      <c r="L118" s="28">
        <v>1</v>
      </c>
      <c r="M118" s="28">
        <v>2500</v>
      </c>
      <c r="N118" s="28">
        <v>0</v>
      </c>
      <c r="O118" s="28" t="s">
        <v>339</v>
      </c>
      <c r="P118" s="28">
        <v>0</v>
      </c>
      <c r="Q118" s="28">
        <v>30054</v>
      </c>
      <c r="R118" s="28" t="s">
        <v>334</v>
      </c>
      <c r="S118" s="28" t="s">
        <v>615</v>
      </c>
      <c r="T118" s="28">
        <v>1</v>
      </c>
      <c r="U118" s="28" t="s">
        <v>626</v>
      </c>
      <c r="V118" s="28">
        <v>10000</v>
      </c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 t="s">
        <v>656</v>
      </c>
      <c r="AI118" s="28">
        <v>-1200</v>
      </c>
      <c r="AJ118" s="28"/>
      <c r="AL118" s="28" t="s">
        <v>626</v>
      </c>
      <c r="AM118" s="28">
        <v>10000</v>
      </c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 t="s">
        <v>657</v>
      </c>
      <c r="AZ118" s="28">
        <v>-1200</v>
      </c>
      <c r="BA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</row>
    <row r="119" spans="1:68">
      <c r="A119"/>
      <c r="B119" s="28">
        <v>21002105</v>
      </c>
      <c r="C119" s="28" t="s">
        <v>666</v>
      </c>
      <c r="D119" s="28" t="s">
        <v>666</v>
      </c>
      <c r="E119" s="28" t="s">
        <v>611</v>
      </c>
      <c r="F119" s="28">
        <v>5</v>
      </c>
      <c r="G119" s="28" t="s">
        <v>654</v>
      </c>
      <c r="H119" s="28" t="s">
        <v>667</v>
      </c>
      <c r="I119" s="28" t="b">
        <v>1</v>
      </c>
      <c r="J119" s="28" t="s">
        <v>614</v>
      </c>
      <c r="K119" s="28" t="s">
        <v>334</v>
      </c>
      <c r="L119" s="28">
        <v>1</v>
      </c>
      <c r="M119" s="28">
        <v>2500</v>
      </c>
      <c r="N119" s="28">
        <v>0</v>
      </c>
      <c r="O119" s="28" t="s">
        <v>339</v>
      </c>
      <c r="P119" s="28">
        <v>0</v>
      </c>
      <c r="Q119" s="28">
        <v>30054</v>
      </c>
      <c r="R119" s="28" t="s">
        <v>334</v>
      </c>
      <c r="S119" s="28" t="s">
        <v>615</v>
      </c>
      <c r="T119" s="28">
        <v>1</v>
      </c>
      <c r="U119" s="28" t="s">
        <v>626</v>
      </c>
      <c r="V119" s="28">
        <v>10000</v>
      </c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 t="s">
        <v>656</v>
      </c>
      <c r="AI119" s="28">
        <v>-1400</v>
      </c>
      <c r="AJ119" s="28"/>
      <c r="AL119" s="28" t="s">
        <v>626</v>
      </c>
      <c r="AM119" s="28">
        <v>10000</v>
      </c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 t="s">
        <v>657</v>
      </c>
      <c r="AZ119" s="28">
        <v>-1400</v>
      </c>
      <c r="BA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</row>
    <row r="120" spans="1:68">
      <c r="A120"/>
      <c r="B120" s="28">
        <v>21002106</v>
      </c>
      <c r="C120" s="28" t="s">
        <v>666</v>
      </c>
      <c r="D120" s="28" t="s">
        <v>666</v>
      </c>
      <c r="E120" s="28" t="s">
        <v>611</v>
      </c>
      <c r="F120" s="28">
        <v>6</v>
      </c>
      <c r="G120" s="28" t="s">
        <v>654</v>
      </c>
      <c r="H120" s="28" t="s">
        <v>667</v>
      </c>
      <c r="I120" s="28" t="b">
        <v>1</v>
      </c>
      <c r="J120" s="28" t="s">
        <v>614</v>
      </c>
      <c r="K120" s="28" t="s">
        <v>334</v>
      </c>
      <c r="L120" s="28">
        <v>1</v>
      </c>
      <c r="M120" s="28">
        <v>2500</v>
      </c>
      <c r="N120" s="28">
        <v>0</v>
      </c>
      <c r="O120" s="28" t="s">
        <v>339</v>
      </c>
      <c r="P120" s="28">
        <v>0</v>
      </c>
      <c r="Q120" s="28">
        <v>30054</v>
      </c>
      <c r="R120" s="28" t="s">
        <v>334</v>
      </c>
      <c r="S120" s="28" t="s">
        <v>615</v>
      </c>
      <c r="T120" s="28">
        <v>1</v>
      </c>
      <c r="U120" s="28" t="s">
        <v>626</v>
      </c>
      <c r="V120" s="28">
        <v>10000</v>
      </c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 t="s">
        <v>656</v>
      </c>
      <c r="AI120" s="28">
        <v>-1600</v>
      </c>
      <c r="AJ120" s="28"/>
      <c r="AL120" s="28" t="s">
        <v>626</v>
      </c>
      <c r="AM120" s="28">
        <v>10000</v>
      </c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 t="s">
        <v>657</v>
      </c>
      <c r="AZ120" s="28">
        <v>-1600</v>
      </c>
      <c r="BA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</row>
    <row r="121" spans="1:68">
      <c r="A121"/>
      <c r="B121" s="28">
        <v>21002107</v>
      </c>
      <c r="C121" s="28" t="s">
        <v>666</v>
      </c>
      <c r="D121" s="28" t="s">
        <v>666</v>
      </c>
      <c r="E121" s="28" t="s">
        <v>611</v>
      </c>
      <c r="F121" s="28">
        <v>7</v>
      </c>
      <c r="G121" s="28" t="s">
        <v>654</v>
      </c>
      <c r="H121" s="28" t="s">
        <v>667</v>
      </c>
      <c r="I121" s="28" t="b">
        <v>1</v>
      </c>
      <c r="J121" s="28" t="s">
        <v>614</v>
      </c>
      <c r="K121" s="28" t="s">
        <v>334</v>
      </c>
      <c r="L121" s="28">
        <v>1</v>
      </c>
      <c r="M121" s="28">
        <v>2500</v>
      </c>
      <c r="N121" s="28">
        <v>0</v>
      </c>
      <c r="O121" s="28" t="s">
        <v>339</v>
      </c>
      <c r="P121" s="28">
        <v>0</v>
      </c>
      <c r="Q121" s="28">
        <v>30054</v>
      </c>
      <c r="R121" s="28" t="s">
        <v>334</v>
      </c>
      <c r="S121" s="28" t="s">
        <v>615</v>
      </c>
      <c r="T121" s="28">
        <v>1</v>
      </c>
      <c r="U121" s="28" t="s">
        <v>626</v>
      </c>
      <c r="V121" s="28">
        <v>10000</v>
      </c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 t="s">
        <v>656</v>
      </c>
      <c r="AI121" s="28">
        <v>-1800</v>
      </c>
      <c r="AJ121" s="28"/>
      <c r="AL121" s="28" t="s">
        <v>626</v>
      </c>
      <c r="AM121" s="28">
        <v>10000</v>
      </c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 t="s">
        <v>657</v>
      </c>
      <c r="AZ121" s="28">
        <v>-1800</v>
      </c>
      <c r="BA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</row>
    <row r="122" spans="1:68">
      <c r="A122"/>
      <c r="B122" s="28">
        <v>21002108</v>
      </c>
      <c r="C122" s="28" t="s">
        <v>666</v>
      </c>
      <c r="D122" s="28" t="s">
        <v>666</v>
      </c>
      <c r="E122" s="28" t="s">
        <v>611</v>
      </c>
      <c r="F122" s="28">
        <v>8</v>
      </c>
      <c r="G122" s="28" t="s">
        <v>654</v>
      </c>
      <c r="H122" s="28" t="s">
        <v>667</v>
      </c>
      <c r="I122" s="28" t="b">
        <v>1</v>
      </c>
      <c r="J122" s="28" t="s">
        <v>614</v>
      </c>
      <c r="K122" s="28" t="s">
        <v>334</v>
      </c>
      <c r="L122" s="28">
        <v>1</v>
      </c>
      <c r="M122" s="28">
        <v>2500</v>
      </c>
      <c r="N122" s="28">
        <v>0</v>
      </c>
      <c r="O122" s="28" t="s">
        <v>339</v>
      </c>
      <c r="P122" s="28">
        <v>0</v>
      </c>
      <c r="Q122" s="28">
        <v>30054</v>
      </c>
      <c r="R122" s="28" t="s">
        <v>334</v>
      </c>
      <c r="S122" s="28" t="s">
        <v>615</v>
      </c>
      <c r="T122" s="28">
        <v>1</v>
      </c>
      <c r="U122" s="28" t="s">
        <v>626</v>
      </c>
      <c r="V122" s="28">
        <v>10000</v>
      </c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 t="s">
        <v>656</v>
      </c>
      <c r="AI122" s="28">
        <v>-2000</v>
      </c>
      <c r="AJ122" s="28"/>
      <c r="AL122" s="28" t="s">
        <v>626</v>
      </c>
      <c r="AM122" s="28">
        <v>10000</v>
      </c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 t="s">
        <v>657</v>
      </c>
      <c r="AZ122" s="28">
        <v>-2000</v>
      </c>
      <c r="BA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</row>
    <row r="123" spans="1:68">
      <c r="A123"/>
      <c r="B123" s="28">
        <v>21002109</v>
      </c>
      <c r="C123" s="28" t="s">
        <v>666</v>
      </c>
      <c r="D123" s="28" t="s">
        <v>666</v>
      </c>
      <c r="E123" s="28" t="s">
        <v>611</v>
      </c>
      <c r="F123" s="28">
        <v>9</v>
      </c>
      <c r="G123" s="28" t="s">
        <v>654</v>
      </c>
      <c r="H123" s="28" t="s">
        <v>667</v>
      </c>
      <c r="I123" s="28" t="b">
        <v>1</v>
      </c>
      <c r="J123" s="28" t="s">
        <v>614</v>
      </c>
      <c r="K123" s="28" t="s">
        <v>334</v>
      </c>
      <c r="L123" s="28">
        <v>1</v>
      </c>
      <c r="M123" s="28">
        <v>2500</v>
      </c>
      <c r="N123" s="28">
        <v>0</v>
      </c>
      <c r="O123" s="28" t="s">
        <v>339</v>
      </c>
      <c r="P123" s="28">
        <v>0</v>
      </c>
      <c r="Q123" s="28">
        <v>30054</v>
      </c>
      <c r="R123" s="28" t="s">
        <v>334</v>
      </c>
      <c r="S123" s="28" t="s">
        <v>615</v>
      </c>
      <c r="T123" s="28">
        <v>1</v>
      </c>
      <c r="U123" s="28" t="s">
        <v>626</v>
      </c>
      <c r="V123" s="28">
        <v>10000</v>
      </c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 t="s">
        <v>656</v>
      </c>
      <c r="AI123" s="28">
        <v>-2200</v>
      </c>
      <c r="AJ123" s="28"/>
      <c r="AL123" s="28" t="s">
        <v>626</v>
      </c>
      <c r="AM123" s="28">
        <v>10000</v>
      </c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 t="s">
        <v>657</v>
      </c>
      <c r="AZ123" s="28">
        <v>-2200</v>
      </c>
      <c r="BA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</row>
    <row r="124" spans="1:68">
      <c r="A124"/>
      <c r="B124" s="28">
        <v>21002110</v>
      </c>
      <c r="C124" s="28" t="s">
        <v>666</v>
      </c>
      <c r="D124" s="28" t="s">
        <v>666</v>
      </c>
      <c r="E124" s="28" t="s">
        <v>611</v>
      </c>
      <c r="F124" s="28">
        <v>10</v>
      </c>
      <c r="G124" s="28" t="s">
        <v>654</v>
      </c>
      <c r="H124" s="28" t="s">
        <v>667</v>
      </c>
      <c r="I124" s="28" t="b">
        <v>1</v>
      </c>
      <c r="J124" s="28" t="s">
        <v>614</v>
      </c>
      <c r="K124" s="28" t="s">
        <v>334</v>
      </c>
      <c r="L124" s="28">
        <v>1</v>
      </c>
      <c r="M124" s="28">
        <v>2500</v>
      </c>
      <c r="N124" s="28">
        <v>0</v>
      </c>
      <c r="O124" s="28" t="s">
        <v>339</v>
      </c>
      <c r="P124" s="28">
        <v>0</v>
      </c>
      <c r="Q124" s="28">
        <v>30054</v>
      </c>
      <c r="R124" s="28" t="s">
        <v>334</v>
      </c>
      <c r="S124" s="28" t="s">
        <v>615</v>
      </c>
      <c r="T124" s="28">
        <v>1</v>
      </c>
      <c r="U124" s="28" t="s">
        <v>626</v>
      </c>
      <c r="V124" s="28">
        <v>10000</v>
      </c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 t="s">
        <v>656</v>
      </c>
      <c r="AI124" s="28">
        <v>-2500</v>
      </c>
      <c r="AJ124" s="28"/>
      <c r="AL124" s="28" t="s">
        <v>626</v>
      </c>
      <c r="AM124" s="28">
        <v>10000</v>
      </c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 t="s">
        <v>657</v>
      </c>
      <c r="AZ124" s="28">
        <v>-2500</v>
      </c>
      <c r="BA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</row>
    <row r="125" spans="1:68">
      <c r="A125"/>
      <c r="B125" s="28">
        <v>21002201</v>
      </c>
      <c r="C125" s="28" t="s">
        <v>415</v>
      </c>
      <c r="D125" s="28" t="s">
        <v>415</v>
      </c>
      <c r="E125" s="28" t="s">
        <v>611</v>
      </c>
      <c r="F125" s="28">
        <v>1</v>
      </c>
      <c r="G125" s="28" t="s">
        <v>668</v>
      </c>
      <c r="H125" s="28" t="s">
        <v>669</v>
      </c>
      <c r="I125" s="28" t="b">
        <v>1</v>
      </c>
      <c r="J125" s="28" t="s">
        <v>614</v>
      </c>
      <c r="K125" s="28" t="s">
        <v>334</v>
      </c>
      <c r="L125" s="28">
        <v>1</v>
      </c>
      <c r="M125" s="28">
        <v>12000</v>
      </c>
      <c r="N125" s="28">
        <v>2000</v>
      </c>
      <c r="O125" s="28" t="s">
        <v>339</v>
      </c>
      <c r="P125" s="28">
        <v>0</v>
      </c>
      <c r="Q125" s="28">
        <v>30055</v>
      </c>
      <c r="R125" s="28" t="s">
        <v>334</v>
      </c>
      <c r="S125" s="28" t="s">
        <v>636</v>
      </c>
      <c r="T125" s="28">
        <v>1</v>
      </c>
      <c r="U125" s="28" t="s">
        <v>662</v>
      </c>
      <c r="V125" s="28">
        <v>10000</v>
      </c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>
        <v>10360001</v>
      </c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</row>
    <row r="126" spans="1:68">
      <c r="A126"/>
      <c r="B126" s="28">
        <v>21002202</v>
      </c>
      <c r="C126" s="28" t="s">
        <v>415</v>
      </c>
      <c r="D126" s="28" t="s">
        <v>415</v>
      </c>
      <c r="E126" s="28" t="s">
        <v>611</v>
      </c>
      <c r="F126" s="28">
        <v>2</v>
      </c>
      <c r="G126" s="28" t="s">
        <v>668</v>
      </c>
      <c r="H126" s="28" t="s">
        <v>669</v>
      </c>
      <c r="I126" s="28" t="b">
        <v>1</v>
      </c>
      <c r="J126" s="28" t="s">
        <v>614</v>
      </c>
      <c r="K126" s="28" t="s">
        <v>334</v>
      </c>
      <c r="L126" s="28">
        <v>1</v>
      </c>
      <c r="M126" s="28">
        <v>12000</v>
      </c>
      <c r="N126" s="28">
        <v>2000</v>
      </c>
      <c r="O126" s="28" t="s">
        <v>339</v>
      </c>
      <c r="P126" s="28">
        <v>0</v>
      </c>
      <c r="Q126" s="28">
        <v>30055</v>
      </c>
      <c r="R126" s="28" t="s">
        <v>334</v>
      </c>
      <c r="S126" s="28" t="s">
        <v>636</v>
      </c>
      <c r="T126" s="28">
        <v>1</v>
      </c>
      <c r="U126" s="28" t="s">
        <v>662</v>
      </c>
      <c r="V126" s="28">
        <v>10000</v>
      </c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>
        <v>10360002</v>
      </c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</row>
    <row r="127" spans="1:68">
      <c r="A127"/>
      <c r="B127" s="28">
        <v>21002203</v>
      </c>
      <c r="C127" s="28" t="s">
        <v>415</v>
      </c>
      <c r="D127" s="28" t="s">
        <v>415</v>
      </c>
      <c r="E127" s="28" t="s">
        <v>611</v>
      </c>
      <c r="F127" s="28">
        <v>3</v>
      </c>
      <c r="G127" s="28" t="s">
        <v>668</v>
      </c>
      <c r="H127" s="28" t="s">
        <v>669</v>
      </c>
      <c r="I127" s="28" t="b">
        <v>1</v>
      </c>
      <c r="J127" s="28" t="s">
        <v>614</v>
      </c>
      <c r="K127" s="28" t="s">
        <v>334</v>
      </c>
      <c r="L127" s="28">
        <v>1</v>
      </c>
      <c r="M127" s="28">
        <v>12000</v>
      </c>
      <c r="N127" s="28">
        <v>2000</v>
      </c>
      <c r="O127" s="28" t="s">
        <v>339</v>
      </c>
      <c r="P127" s="28">
        <v>0</v>
      </c>
      <c r="Q127" s="28">
        <v>30055</v>
      </c>
      <c r="R127" s="28" t="s">
        <v>334</v>
      </c>
      <c r="S127" s="28" t="s">
        <v>636</v>
      </c>
      <c r="T127" s="28">
        <v>1</v>
      </c>
      <c r="U127" s="28" t="s">
        <v>662</v>
      </c>
      <c r="V127" s="28">
        <v>10000</v>
      </c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>
        <v>10360003</v>
      </c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</row>
    <row r="128" spans="1:68">
      <c r="A128"/>
      <c r="B128" s="28">
        <v>21002204</v>
      </c>
      <c r="C128" s="28" t="s">
        <v>415</v>
      </c>
      <c r="D128" s="28" t="s">
        <v>415</v>
      </c>
      <c r="E128" s="28" t="s">
        <v>611</v>
      </c>
      <c r="F128" s="28">
        <v>4</v>
      </c>
      <c r="G128" s="28" t="s">
        <v>668</v>
      </c>
      <c r="H128" s="28" t="s">
        <v>669</v>
      </c>
      <c r="I128" s="28" t="b">
        <v>1</v>
      </c>
      <c r="J128" s="28" t="s">
        <v>614</v>
      </c>
      <c r="K128" s="28" t="s">
        <v>334</v>
      </c>
      <c r="L128" s="28">
        <v>1</v>
      </c>
      <c r="M128" s="28">
        <v>12000</v>
      </c>
      <c r="N128" s="28">
        <v>2000</v>
      </c>
      <c r="O128" s="28" t="s">
        <v>339</v>
      </c>
      <c r="P128" s="28">
        <v>0</v>
      </c>
      <c r="Q128" s="28">
        <v>30055</v>
      </c>
      <c r="R128" s="28" t="s">
        <v>334</v>
      </c>
      <c r="S128" s="28" t="s">
        <v>636</v>
      </c>
      <c r="T128" s="28">
        <v>1</v>
      </c>
      <c r="U128" s="28" t="s">
        <v>662</v>
      </c>
      <c r="V128" s="28">
        <v>10000</v>
      </c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>
        <v>10360004</v>
      </c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</row>
    <row r="129" spans="1:68">
      <c r="A129"/>
      <c r="B129" s="28">
        <v>21002205</v>
      </c>
      <c r="C129" s="28" t="s">
        <v>415</v>
      </c>
      <c r="D129" s="28" t="s">
        <v>415</v>
      </c>
      <c r="E129" s="28" t="s">
        <v>611</v>
      </c>
      <c r="F129" s="28">
        <v>5</v>
      </c>
      <c r="G129" s="28" t="s">
        <v>668</v>
      </c>
      <c r="H129" s="28" t="s">
        <v>669</v>
      </c>
      <c r="I129" s="28" t="b">
        <v>1</v>
      </c>
      <c r="J129" s="28" t="s">
        <v>614</v>
      </c>
      <c r="K129" s="28" t="s">
        <v>334</v>
      </c>
      <c r="L129" s="28">
        <v>1</v>
      </c>
      <c r="M129" s="28">
        <v>12000</v>
      </c>
      <c r="N129" s="28">
        <v>2000</v>
      </c>
      <c r="O129" s="28" t="s">
        <v>339</v>
      </c>
      <c r="P129" s="28">
        <v>0</v>
      </c>
      <c r="Q129" s="28">
        <v>30055</v>
      </c>
      <c r="R129" s="28" t="s">
        <v>334</v>
      </c>
      <c r="S129" s="28" t="s">
        <v>636</v>
      </c>
      <c r="T129" s="28">
        <v>1</v>
      </c>
      <c r="U129" s="28" t="s">
        <v>662</v>
      </c>
      <c r="V129" s="28">
        <v>10000</v>
      </c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>
        <v>10360005</v>
      </c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</row>
    <row r="130" spans="1:68">
      <c r="A130"/>
      <c r="B130" s="28">
        <v>21002206</v>
      </c>
      <c r="C130" s="28" t="s">
        <v>415</v>
      </c>
      <c r="D130" s="28" t="s">
        <v>415</v>
      </c>
      <c r="E130" s="28" t="s">
        <v>611</v>
      </c>
      <c r="F130" s="28">
        <v>6</v>
      </c>
      <c r="G130" s="28" t="s">
        <v>668</v>
      </c>
      <c r="H130" s="28" t="s">
        <v>669</v>
      </c>
      <c r="I130" s="28" t="b">
        <v>1</v>
      </c>
      <c r="J130" s="28" t="s">
        <v>614</v>
      </c>
      <c r="K130" s="28" t="s">
        <v>334</v>
      </c>
      <c r="L130" s="28">
        <v>1</v>
      </c>
      <c r="M130" s="28">
        <v>12000</v>
      </c>
      <c r="N130" s="28">
        <v>2000</v>
      </c>
      <c r="O130" s="28" t="s">
        <v>339</v>
      </c>
      <c r="P130" s="28">
        <v>0</v>
      </c>
      <c r="Q130" s="28">
        <v>30055</v>
      </c>
      <c r="R130" s="28" t="s">
        <v>334</v>
      </c>
      <c r="S130" s="28" t="s">
        <v>636</v>
      </c>
      <c r="T130" s="28">
        <v>1</v>
      </c>
      <c r="U130" s="28" t="s">
        <v>662</v>
      </c>
      <c r="V130" s="28">
        <v>10000</v>
      </c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>
        <v>10360006</v>
      </c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</row>
    <row r="131" spans="1:68">
      <c r="A131"/>
      <c r="B131" s="28">
        <v>21002207</v>
      </c>
      <c r="C131" s="28" t="s">
        <v>415</v>
      </c>
      <c r="D131" s="28" t="s">
        <v>415</v>
      </c>
      <c r="E131" s="28" t="s">
        <v>611</v>
      </c>
      <c r="F131" s="28">
        <v>7</v>
      </c>
      <c r="G131" s="28" t="s">
        <v>668</v>
      </c>
      <c r="H131" s="28" t="s">
        <v>669</v>
      </c>
      <c r="I131" s="28" t="b">
        <v>1</v>
      </c>
      <c r="J131" s="28" t="s">
        <v>614</v>
      </c>
      <c r="K131" s="28" t="s">
        <v>334</v>
      </c>
      <c r="L131" s="28">
        <v>1</v>
      </c>
      <c r="M131" s="28">
        <v>12000</v>
      </c>
      <c r="N131" s="28">
        <v>2000</v>
      </c>
      <c r="O131" s="28" t="s">
        <v>339</v>
      </c>
      <c r="P131" s="28">
        <v>0</v>
      </c>
      <c r="Q131" s="28">
        <v>30055</v>
      </c>
      <c r="R131" s="28" t="s">
        <v>334</v>
      </c>
      <c r="S131" s="28" t="s">
        <v>636</v>
      </c>
      <c r="T131" s="28">
        <v>1</v>
      </c>
      <c r="U131" s="28" t="s">
        <v>662</v>
      </c>
      <c r="V131" s="28">
        <v>10000</v>
      </c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>
        <v>10360007</v>
      </c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</row>
    <row r="132" spans="1:68">
      <c r="A132"/>
      <c r="B132" s="28">
        <v>21002208</v>
      </c>
      <c r="C132" s="28" t="s">
        <v>415</v>
      </c>
      <c r="D132" s="28" t="s">
        <v>415</v>
      </c>
      <c r="E132" s="28" t="s">
        <v>611</v>
      </c>
      <c r="F132" s="28">
        <v>8</v>
      </c>
      <c r="G132" s="28" t="s">
        <v>668</v>
      </c>
      <c r="H132" s="28" t="s">
        <v>669</v>
      </c>
      <c r="I132" s="28" t="b">
        <v>1</v>
      </c>
      <c r="J132" s="28" t="s">
        <v>614</v>
      </c>
      <c r="K132" s="28" t="s">
        <v>334</v>
      </c>
      <c r="L132" s="28">
        <v>1</v>
      </c>
      <c r="M132" s="28">
        <v>12000</v>
      </c>
      <c r="N132" s="28">
        <v>2000</v>
      </c>
      <c r="O132" s="28" t="s">
        <v>339</v>
      </c>
      <c r="P132" s="28">
        <v>0</v>
      </c>
      <c r="Q132" s="28">
        <v>30055</v>
      </c>
      <c r="R132" s="28" t="s">
        <v>334</v>
      </c>
      <c r="S132" s="28" t="s">
        <v>636</v>
      </c>
      <c r="T132" s="28">
        <v>1</v>
      </c>
      <c r="U132" s="28" t="s">
        <v>662</v>
      </c>
      <c r="V132" s="28">
        <v>10000</v>
      </c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>
        <v>10360008</v>
      </c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</row>
    <row r="133" spans="1:68">
      <c r="A133"/>
      <c r="B133" s="28">
        <v>21002209</v>
      </c>
      <c r="C133" s="28" t="s">
        <v>415</v>
      </c>
      <c r="D133" s="28" t="s">
        <v>415</v>
      </c>
      <c r="E133" s="28" t="s">
        <v>611</v>
      </c>
      <c r="F133" s="28">
        <v>9</v>
      </c>
      <c r="G133" s="28" t="s">
        <v>668</v>
      </c>
      <c r="H133" s="28" t="s">
        <v>669</v>
      </c>
      <c r="I133" s="28" t="b">
        <v>1</v>
      </c>
      <c r="J133" s="28" t="s">
        <v>614</v>
      </c>
      <c r="K133" s="28" t="s">
        <v>334</v>
      </c>
      <c r="L133" s="28">
        <v>1</v>
      </c>
      <c r="M133" s="28">
        <v>12000</v>
      </c>
      <c r="N133" s="28">
        <v>2000</v>
      </c>
      <c r="O133" s="28" t="s">
        <v>339</v>
      </c>
      <c r="P133" s="28">
        <v>0</v>
      </c>
      <c r="Q133" s="28">
        <v>30055</v>
      </c>
      <c r="R133" s="28" t="s">
        <v>334</v>
      </c>
      <c r="S133" s="28" t="s">
        <v>636</v>
      </c>
      <c r="T133" s="28">
        <v>1</v>
      </c>
      <c r="U133" s="28" t="s">
        <v>662</v>
      </c>
      <c r="V133" s="28">
        <v>10000</v>
      </c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>
        <v>10360009</v>
      </c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</row>
    <row r="134" spans="1:68">
      <c r="A134"/>
      <c r="B134" s="28">
        <v>21002210</v>
      </c>
      <c r="C134" s="28" t="s">
        <v>415</v>
      </c>
      <c r="D134" s="28" t="s">
        <v>415</v>
      </c>
      <c r="E134" s="28" t="s">
        <v>611</v>
      </c>
      <c r="F134" s="28">
        <v>10</v>
      </c>
      <c r="G134" s="28" t="s">
        <v>668</v>
      </c>
      <c r="H134" s="28" t="s">
        <v>669</v>
      </c>
      <c r="I134" s="28" t="b">
        <v>1</v>
      </c>
      <c r="J134" s="28" t="s">
        <v>614</v>
      </c>
      <c r="K134" s="28" t="s">
        <v>334</v>
      </c>
      <c r="L134" s="28">
        <v>1</v>
      </c>
      <c r="M134" s="28">
        <v>12000</v>
      </c>
      <c r="N134" s="28">
        <v>2000</v>
      </c>
      <c r="O134" s="28" t="s">
        <v>339</v>
      </c>
      <c r="P134" s="28">
        <v>0</v>
      </c>
      <c r="Q134" s="28">
        <v>30055</v>
      </c>
      <c r="R134" s="28" t="s">
        <v>334</v>
      </c>
      <c r="S134" s="28" t="s">
        <v>636</v>
      </c>
      <c r="T134" s="28">
        <v>1</v>
      </c>
      <c r="U134" s="28" t="s">
        <v>662</v>
      </c>
      <c r="V134" s="28">
        <v>10000</v>
      </c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>
        <v>10360010</v>
      </c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</row>
  </sheetData>
  <mergeCells count="6">
    <mergeCell ref="U1:BS1"/>
    <mergeCell ref="U4:BS4"/>
    <mergeCell ref="U5:BS5"/>
    <mergeCell ref="U2:AK2"/>
    <mergeCell ref="AL2:BB2"/>
    <mergeCell ref="BC2:BS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workbookViewId="0">
      <selection activeCell="A29" sqref="A3:A29"/>
    </sheetView>
  </sheetViews>
  <sheetFormatPr defaultColWidth="8.25" defaultRowHeight="14.25" outlineLevelCol="5"/>
  <cols>
    <col min="1" max="1" width="15.125" style="16" customWidth="1"/>
    <col min="2" max="2" width="8" style="16" customWidth="1"/>
    <col min="3" max="3" width="6.83333333333333" style="17" customWidth="1"/>
    <col min="4" max="4" width="8.25" style="17" customWidth="1"/>
    <col min="5" max="5" width="23.3333333333333" style="17" customWidth="1"/>
    <col min="6" max="6" width="4.58333333333333" style="17" customWidth="1"/>
    <col min="7" max="7" width="13.75" style="16" customWidth="1"/>
    <col min="8" max="8" width="8.25" style="16" customWidth="1"/>
    <col min="9" max="16384" width="8.25" style="16"/>
  </cols>
  <sheetData>
    <row r="1" spans="1:6">
      <c r="A1" s="16" t="s">
        <v>670</v>
      </c>
      <c r="B1" s="16" t="s">
        <v>671</v>
      </c>
      <c r="E1" s="17" t="s">
        <v>672</v>
      </c>
      <c r="F1" s="17" t="s">
        <v>673</v>
      </c>
    </row>
    <row r="2" spans="1:6">
      <c r="A2" s="16" t="s">
        <v>321</v>
      </c>
      <c r="B2" s="16">
        <v>1</v>
      </c>
      <c r="E2" s="17" t="s">
        <v>610</v>
      </c>
      <c r="F2" s="17">
        <v>1</v>
      </c>
    </row>
    <row r="3" spans="1:6">
      <c r="A3" s="16" t="s">
        <v>335</v>
      </c>
      <c r="B3" s="16">
        <v>2</v>
      </c>
      <c r="E3" s="17" t="s">
        <v>617</v>
      </c>
      <c r="F3" s="17">
        <v>2</v>
      </c>
    </row>
    <row r="4" spans="1:6">
      <c r="A4" s="16" t="s">
        <v>340</v>
      </c>
      <c r="B4" s="16">
        <v>3</v>
      </c>
      <c r="E4" s="17" t="s">
        <v>620</v>
      </c>
      <c r="F4" s="17">
        <v>3</v>
      </c>
    </row>
    <row r="5" spans="1:6">
      <c r="A5" s="16" t="s">
        <v>344</v>
      </c>
      <c r="B5" s="16">
        <v>4</v>
      </c>
      <c r="E5" s="17" t="s">
        <v>623</v>
      </c>
      <c r="F5" s="17">
        <v>4</v>
      </c>
    </row>
    <row r="6" spans="1:6">
      <c r="A6" s="16" t="s">
        <v>350</v>
      </c>
      <c r="B6" s="16">
        <v>5</v>
      </c>
      <c r="E6" s="17" t="s">
        <v>628</v>
      </c>
      <c r="F6" s="17">
        <v>5</v>
      </c>
    </row>
    <row r="7" spans="1:6">
      <c r="A7" s="16" t="s">
        <v>357</v>
      </c>
      <c r="B7" s="16">
        <v>6</v>
      </c>
      <c r="E7" s="17" t="s">
        <v>393</v>
      </c>
      <c r="F7" s="17">
        <v>6</v>
      </c>
    </row>
    <row r="8" spans="1:6">
      <c r="A8" s="16" t="s">
        <v>360</v>
      </c>
      <c r="B8" s="16">
        <v>7</v>
      </c>
      <c r="E8" s="17" t="s">
        <v>396</v>
      </c>
      <c r="F8" s="17">
        <v>7</v>
      </c>
    </row>
    <row r="9" spans="1:6">
      <c r="A9" s="16" t="s">
        <v>363</v>
      </c>
      <c r="B9" s="16">
        <v>8</v>
      </c>
      <c r="E9" s="17" t="s">
        <v>398</v>
      </c>
      <c r="F9" s="17">
        <v>8</v>
      </c>
    </row>
    <row r="10" spans="1:6">
      <c r="A10" s="16" t="s">
        <v>369</v>
      </c>
      <c r="B10" s="16">
        <v>9</v>
      </c>
      <c r="E10" s="17" t="s">
        <v>400</v>
      </c>
      <c r="F10" s="17">
        <v>9</v>
      </c>
    </row>
    <row r="11" spans="1:6">
      <c r="A11" s="16" t="s">
        <v>372</v>
      </c>
      <c r="B11" s="16">
        <v>10</v>
      </c>
      <c r="E11" s="17" t="s">
        <v>403</v>
      </c>
      <c r="F11" s="17">
        <v>10</v>
      </c>
    </row>
    <row r="12" ht="17.25" spans="1:6">
      <c r="A12" s="16" t="s">
        <v>375</v>
      </c>
      <c r="B12" s="16">
        <v>11</v>
      </c>
      <c r="E12" s="18" t="s">
        <v>405</v>
      </c>
      <c r="F12" s="17">
        <v>11</v>
      </c>
    </row>
    <row r="13" ht="17.25" spans="1:6">
      <c r="A13" s="16" t="s">
        <v>379</v>
      </c>
      <c r="B13" s="16">
        <v>12</v>
      </c>
      <c r="E13" s="18" t="s">
        <v>407</v>
      </c>
      <c r="F13" s="17">
        <v>12</v>
      </c>
    </row>
    <row r="14" ht="17.25" spans="1:6">
      <c r="A14" s="16" t="s">
        <v>382</v>
      </c>
      <c r="B14" s="16">
        <v>13</v>
      </c>
      <c r="E14" s="18" t="s">
        <v>409</v>
      </c>
      <c r="F14" s="17">
        <v>13</v>
      </c>
    </row>
    <row r="15" ht="17.25" spans="1:6">
      <c r="A15" s="16" t="s">
        <v>384</v>
      </c>
      <c r="B15" s="16">
        <v>14</v>
      </c>
      <c r="E15" s="18" t="s">
        <v>411</v>
      </c>
      <c r="F15" s="17">
        <v>14</v>
      </c>
    </row>
    <row r="16" ht="17.25" spans="1:6">
      <c r="A16" s="16" t="s">
        <v>386</v>
      </c>
      <c r="B16" s="16">
        <v>15</v>
      </c>
      <c r="E16" s="18" t="s">
        <v>663</v>
      </c>
      <c r="F16" s="17">
        <v>15</v>
      </c>
    </row>
    <row r="17" ht="17.25" spans="1:6">
      <c r="A17" s="16" t="s">
        <v>388</v>
      </c>
      <c r="B17" s="16">
        <v>16</v>
      </c>
      <c r="E17" s="18" t="s">
        <v>666</v>
      </c>
      <c r="F17" s="17">
        <v>16</v>
      </c>
    </row>
    <row r="18" ht="17.25" spans="1:6">
      <c r="A18" s="16" t="s">
        <v>393</v>
      </c>
      <c r="B18" s="16">
        <v>17</v>
      </c>
      <c r="E18" s="18" t="s">
        <v>415</v>
      </c>
      <c r="F18" s="17">
        <v>17</v>
      </c>
    </row>
    <row r="19" ht="17.25" spans="1:6">
      <c r="A19" s="16" t="s">
        <v>396</v>
      </c>
      <c r="B19" s="16">
        <v>18</v>
      </c>
      <c r="E19" s="18"/>
      <c r="F19" s="17">
        <v>18</v>
      </c>
    </row>
    <row r="20" ht="17.25" spans="1:6">
      <c r="A20" s="16" t="s">
        <v>398</v>
      </c>
      <c r="B20" s="16">
        <v>19</v>
      </c>
      <c r="E20" s="18"/>
      <c r="F20" s="17">
        <v>19</v>
      </c>
    </row>
    <row r="21" ht="17.25" spans="1:6">
      <c r="A21" s="16" t="s">
        <v>400</v>
      </c>
      <c r="B21" s="16">
        <v>20</v>
      </c>
      <c r="E21" s="18"/>
      <c r="F21" s="17">
        <v>20</v>
      </c>
    </row>
    <row r="22" ht="17.25" spans="1:6">
      <c r="A22" s="16" t="s">
        <v>403</v>
      </c>
      <c r="B22" s="16">
        <v>21</v>
      </c>
      <c r="E22" s="18"/>
      <c r="F22" s="17">
        <v>21</v>
      </c>
    </row>
    <row r="23" ht="17.25" spans="1:6">
      <c r="A23" s="16" t="s">
        <v>405</v>
      </c>
      <c r="B23" s="16">
        <v>22</v>
      </c>
      <c r="E23" s="18"/>
      <c r="F23" s="17">
        <v>22</v>
      </c>
    </row>
    <row r="24" spans="1:6">
      <c r="A24" s="16" t="s">
        <v>407</v>
      </c>
      <c r="B24" s="16">
        <v>23</v>
      </c>
      <c r="F24" s="17">
        <v>23</v>
      </c>
    </row>
    <row r="25" spans="1:6">
      <c r="A25" s="16" t="s">
        <v>409</v>
      </c>
      <c r="B25" s="16">
        <v>24</v>
      </c>
      <c r="F25" s="17">
        <v>24</v>
      </c>
    </row>
    <row r="26" spans="1:6">
      <c r="A26" s="16" t="s">
        <v>411</v>
      </c>
      <c r="B26" s="16">
        <v>25</v>
      </c>
      <c r="F26" s="17">
        <v>25</v>
      </c>
    </row>
    <row r="27" spans="1:6">
      <c r="A27" s="16" t="s">
        <v>413</v>
      </c>
      <c r="B27" s="16">
        <v>26</v>
      </c>
      <c r="F27" s="17">
        <v>26</v>
      </c>
    </row>
    <row r="28" spans="1:6">
      <c r="A28" s="16" t="s">
        <v>415</v>
      </c>
      <c r="B28" s="16">
        <v>27</v>
      </c>
      <c r="F28" s="17">
        <v>27</v>
      </c>
    </row>
    <row r="29" spans="1:6">
      <c r="A29" s="16" t="s">
        <v>417</v>
      </c>
      <c r="B29" s="16">
        <v>28</v>
      </c>
      <c r="F29" s="17">
        <v>28</v>
      </c>
    </row>
    <row r="30" ht="17.25" spans="1:6">
      <c r="A30" s="18" t="s">
        <v>509</v>
      </c>
      <c r="B30" s="16">
        <v>29</v>
      </c>
      <c r="F30" s="17">
        <v>29</v>
      </c>
    </row>
    <row r="31" ht="17.25" spans="1:6">
      <c r="A31" s="18" t="s">
        <v>511</v>
      </c>
      <c r="B31" s="16">
        <v>30</v>
      </c>
      <c r="F31" s="17">
        <v>30</v>
      </c>
    </row>
    <row r="32" ht="17.25" spans="1:6">
      <c r="A32" s="18" t="s">
        <v>512</v>
      </c>
      <c r="B32" s="16">
        <v>31</v>
      </c>
      <c r="F32" s="17">
        <v>31</v>
      </c>
    </row>
    <row r="33" ht="17.25" spans="1:6">
      <c r="A33" s="18" t="s">
        <v>513</v>
      </c>
      <c r="B33" s="16">
        <v>32</v>
      </c>
      <c r="F33" s="17">
        <v>32</v>
      </c>
    </row>
    <row r="34" ht="17.25" spans="1:6">
      <c r="A34" s="18" t="s">
        <v>514</v>
      </c>
      <c r="B34" s="16">
        <v>33</v>
      </c>
      <c r="F34" s="17">
        <v>33</v>
      </c>
    </row>
    <row r="35" ht="17.25" spans="1:6">
      <c r="A35" s="18" t="s">
        <v>515</v>
      </c>
      <c r="B35" s="16">
        <v>34</v>
      </c>
      <c r="F35" s="17">
        <v>34</v>
      </c>
    </row>
    <row r="36" ht="17.25" spans="1:6">
      <c r="A36" s="18" t="s">
        <v>516</v>
      </c>
      <c r="B36" s="16">
        <v>35</v>
      </c>
      <c r="F36" s="17">
        <v>35</v>
      </c>
    </row>
    <row r="37" ht="17.25" spans="1:6">
      <c r="A37" s="18" t="s">
        <v>517</v>
      </c>
      <c r="B37" s="16">
        <v>36</v>
      </c>
      <c r="F37" s="17">
        <v>36</v>
      </c>
    </row>
    <row r="38" spans="1:6">
      <c r="B38" s="16">
        <v>37</v>
      </c>
      <c r="F38" s="17">
        <v>37</v>
      </c>
    </row>
    <row r="39" spans="1:6">
      <c r="B39" s="16">
        <v>38</v>
      </c>
      <c r="F39" s="17">
        <v>38</v>
      </c>
    </row>
    <row r="40" spans="1:6">
      <c r="B40" s="16">
        <v>39</v>
      </c>
    </row>
    <row r="41" spans="1:6">
      <c r="B41" s="16">
        <v>40</v>
      </c>
    </row>
    <row r="42" spans="1:6">
      <c r="B42" s="16">
        <v>41</v>
      </c>
    </row>
    <row r="43" spans="1:6">
      <c r="B43" s="16">
        <v>42</v>
      </c>
    </row>
    <row r="44" spans="1:6">
      <c r="B44" s="16">
        <v>43</v>
      </c>
    </row>
    <row r="45" spans="1:6">
      <c r="B45" s="16">
        <v>44</v>
      </c>
    </row>
    <row r="46" spans="1:6">
      <c r="B46" s="16">
        <v>45</v>
      </c>
    </row>
    <row r="47" spans="1:6">
      <c r="B47" s="16">
        <v>46</v>
      </c>
    </row>
    <row r="48" spans="1:6">
      <c r="B48" s="16">
        <v>47</v>
      </c>
    </row>
    <row r="49" spans="1:2">
      <c r="B49" s="16">
        <v>48</v>
      </c>
    </row>
    <row r="50" spans="1:2">
      <c r="B50" s="16">
        <v>49</v>
      </c>
    </row>
    <row r="51" spans="1:2">
      <c r="A51" s="16" t="s">
        <v>422</v>
      </c>
      <c r="B51" s="16">
        <v>50</v>
      </c>
    </row>
    <row r="52" spans="1:2">
      <c r="A52" s="16" t="s">
        <v>427</v>
      </c>
      <c r="B52" s="16">
        <v>51</v>
      </c>
    </row>
    <row r="53" spans="1:2">
      <c r="A53" s="19" t="s">
        <v>430</v>
      </c>
      <c r="B53" s="16">
        <v>52</v>
      </c>
    </row>
    <row r="54" spans="1:2">
      <c r="A54" s="19" t="s">
        <v>433</v>
      </c>
      <c r="B54" s="16">
        <v>53</v>
      </c>
    </row>
    <row r="55" spans="1:2">
      <c r="A55" s="16" t="s">
        <v>436</v>
      </c>
      <c r="B55" s="16">
        <v>54</v>
      </c>
    </row>
    <row r="56" spans="1:2">
      <c r="A56" s="16" t="s">
        <v>439</v>
      </c>
      <c r="B56" s="16">
        <v>55</v>
      </c>
    </row>
    <row r="57" spans="1:2">
      <c r="A57" s="16" t="s">
        <v>442</v>
      </c>
      <c r="B57" s="16">
        <v>56</v>
      </c>
    </row>
    <row r="58" spans="1:2">
      <c r="A58" s="16" t="s">
        <v>444</v>
      </c>
      <c r="B58" s="16">
        <v>57</v>
      </c>
    </row>
    <row r="59" spans="1:2">
      <c r="A59" s="16" t="s">
        <v>448</v>
      </c>
      <c r="B59" s="16">
        <v>58</v>
      </c>
    </row>
    <row r="60" spans="1:2">
      <c r="A60" s="16" t="s">
        <v>450</v>
      </c>
      <c r="B60" s="16">
        <v>59</v>
      </c>
    </row>
    <row r="61" spans="1:2">
      <c r="A61" s="16" t="s">
        <v>452</v>
      </c>
      <c r="B61" s="16">
        <v>60</v>
      </c>
    </row>
    <row r="62" spans="1:2">
      <c r="A62" s="16" t="s">
        <v>454</v>
      </c>
      <c r="B62" s="16">
        <v>61</v>
      </c>
    </row>
    <row r="63" spans="1:2">
      <c r="A63" s="16" t="s">
        <v>456</v>
      </c>
      <c r="B63" s="16">
        <v>62</v>
      </c>
    </row>
    <row r="64" spans="1:2">
      <c r="A64" s="16" t="s">
        <v>458</v>
      </c>
      <c r="B64" s="16">
        <v>63</v>
      </c>
    </row>
    <row r="65" spans="1:2">
      <c r="A65" s="16" t="s">
        <v>460</v>
      </c>
      <c r="B65" s="16">
        <v>64</v>
      </c>
    </row>
    <row r="66" spans="1:2">
      <c r="A66" s="16" t="s">
        <v>462</v>
      </c>
      <c r="B66" s="16">
        <v>65</v>
      </c>
    </row>
    <row r="67" spans="1:2">
      <c r="A67" s="16" t="s">
        <v>464</v>
      </c>
      <c r="B67" s="16">
        <v>66</v>
      </c>
    </row>
    <row r="68" spans="1:2">
      <c r="A68" s="16" t="s">
        <v>467</v>
      </c>
      <c r="B68" s="16">
        <v>67</v>
      </c>
    </row>
    <row r="69" spans="1:2">
      <c r="A69" s="16" t="s">
        <v>470</v>
      </c>
      <c r="B69" s="16">
        <v>68</v>
      </c>
    </row>
    <row r="70" spans="1:2">
      <c r="A70" s="16" t="s">
        <v>472</v>
      </c>
      <c r="B70" s="16">
        <v>69</v>
      </c>
    </row>
    <row r="71" spans="1:2">
      <c r="A71" s="16" t="s">
        <v>474</v>
      </c>
      <c r="B71" s="16">
        <v>70</v>
      </c>
    </row>
    <row r="72" spans="1:2">
      <c r="A72" s="16" t="s">
        <v>476</v>
      </c>
      <c r="B72" s="16">
        <v>71</v>
      </c>
    </row>
    <row r="73" spans="1:2">
      <c r="A73" s="16" t="s">
        <v>478</v>
      </c>
      <c r="B73" s="16">
        <v>72</v>
      </c>
    </row>
    <row r="74" spans="1:2">
      <c r="A74" s="16" t="s">
        <v>480</v>
      </c>
      <c r="B74" s="16">
        <v>73</v>
      </c>
    </row>
    <row r="75" spans="1:2">
      <c r="A75" s="16" t="s">
        <v>482</v>
      </c>
      <c r="B75" s="16">
        <v>74</v>
      </c>
    </row>
    <row r="76" spans="1:2">
      <c r="A76" s="16" t="s">
        <v>484</v>
      </c>
      <c r="B76" s="16">
        <v>75</v>
      </c>
    </row>
    <row r="77" spans="1:2">
      <c r="A77" s="16" t="s">
        <v>486</v>
      </c>
      <c r="B77" s="16">
        <v>76</v>
      </c>
    </row>
    <row r="78" spans="1:2">
      <c r="A78" s="16" t="s">
        <v>488</v>
      </c>
      <c r="B78" s="16">
        <v>77</v>
      </c>
    </row>
    <row r="79" spans="1:2">
      <c r="A79" s="16" t="s">
        <v>490</v>
      </c>
      <c r="B79" s="16">
        <v>78</v>
      </c>
    </row>
    <row r="80" spans="1:2">
      <c r="A80" s="16" t="s">
        <v>493</v>
      </c>
      <c r="B80" s="16">
        <v>79</v>
      </c>
    </row>
    <row r="81" spans="1:2">
      <c r="A81" s="16" t="s">
        <v>495</v>
      </c>
      <c r="B81" s="16">
        <v>80</v>
      </c>
    </row>
    <row r="82" spans="1:2">
      <c r="A82" s="16" t="s">
        <v>497</v>
      </c>
      <c r="B82" s="16">
        <v>81</v>
      </c>
    </row>
    <row r="83" spans="1:2">
      <c r="A83" s="16" t="s">
        <v>499</v>
      </c>
      <c r="B83" s="16">
        <v>82</v>
      </c>
    </row>
    <row r="84" spans="1:2">
      <c r="A84" s="16" t="s">
        <v>501</v>
      </c>
      <c r="B84" s="16">
        <v>83</v>
      </c>
    </row>
    <row r="85" spans="1:2">
      <c r="A85" s="16" t="s">
        <v>503</v>
      </c>
      <c r="B85" s="16">
        <v>84</v>
      </c>
    </row>
    <row r="86" spans="1:2">
      <c r="A86" s="16" t="s">
        <v>505</v>
      </c>
      <c r="B86" s="16">
        <v>85</v>
      </c>
    </row>
    <row r="87" spans="1:2">
      <c r="B87" s="16">
        <v>86</v>
      </c>
    </row>
    <row r="88" spans="1:2">
      <c r="B88" s="16">
        <v>87</v>
      </c>
    </row>
    <row r="89" spans="1:2">
      <c r="B89" s="16">
        <v>88</v>
      </c>
    </row>
    <row r="90" spans="1:2">
      <c r="B90" s="16">
        <v>89</v>
      </c>
    </row>
    <row r="91" spans="1:2">
      <c r="B91" s="16">
        <v>90</v>
      </c>
    </row>
    <row r="92" spans="1:2">
      <c r="B92" s="16">
        <v>91</v>
      </c>
    </row>
    <row r="93" spans="1:2">
      <c r="B93" s="16">
        <v>92</v>
      </c>
    </row>
    <row r="94" spans="1:2">
      <c r="B94" s="16">
        <v>93</v>
      </c>
    </row>
    <row r="95" spans="1:2">
      <c r="B95" s="16">
        <v>94</v>
      </c>
    </row>
    <row r="96" spans="1:2">
      <c r="B96" s="16">
        <v>95</v>
      </c>
    </row>
    <row r="97" spans="1:2">
      <c r="B97" s="16">
        <v>96</v>
      </c>
    </row>
    <row r="98" spans="1:2">
      <c r="B98" s="16">
        <v>97</v>
      </c>
    </row>
    <row r="99" spans="1:2">
      <c r="B99" s="16">
        <v>98</v>
      </c>
    </row>
    <row r="100" spans="1:2">
      <c r="B100" s="16">
        <v>99</v>
      </c>
    </row>
    <row r="101" spans="1:2">
      <c r="A101" t="s">
        <v>507</v>
      </c>
      <c r="B101" s="16">
        <v>100</v>
      </c>
    </row>
    <row r="102" spans="1:2">
      <c r="B102" s="16">
        <v>101</v>
      </c>
    </row>
    <row r="103" spans="1:2">
      <c r="B103" s="16">
        <v>102</v>
      </c>
    </row>
    <row r="104" spans="1:2">
      <c r="B104" s="16">
        <v>103</v>
      </c>
    </row>
    <row r="105" spans="1:2">
      <c r="B105" s="16">
        <v>104</v>
      </c>
    </row>
    <row r="106" ht="16.5" customHeight="1" spans="1:2">
      <c r="A106" s="13"/>
      <c r="B106" s="16">
        <v>105</v>
      </c>
    </row>
    <row r="107" spans="1:2">
      <c r="B107" s="16">
        <v>106</v>
      </c>
    </row>
    <row r="108" spans="1:2">
      <c r="B108" s="16">
        <v>107</v>
      </c>
    </row>
    <row r="109" spans="1:2">
      <c r="B109" s="16">
        <v>108</v>
      </c>
    </row>
    <row r="110" spans="1:2">
      <c r="B110" s="16">
        <v>109</v>
      </c>
    </row>
    <row r="111" spans="1:2">
      <c r="B111" s="16">
        <v>110</v>
      </c>
    </row>
    <row r="112" spans="1:2">
      <c r="B112" s="16">
        <v>111</v>
      </c>
    </row>
  </sheetData>
  <conditionalFormatting sqref="E2:E37">
    <cfRule type="duplicateValues" dxfId="0" priority="1"/>
  </conditionalFormatting>
  <conditionalFormatting sqref="E1 E38:E1048576">
    <cfRule type="duplicateValues" dxfId="0" priority="2"/>
  </conditionalFormatting>
  <dataValidations count="1">
    <dataValidation type="whole" operator="between" allowBlank="1" showInputMessage="1" showErrorMessage="1" sqref="F$1:F$1048576">
      <formula1>1</formula1>
      <formula2>999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workbookViewId="0">
      <selection activeCell="A1" sqref="A1"/>
    </sheetView>
  </sheetViews>
  <sheetFormatPr defaultColWidth="8.25" defaultRowHeight="14.25"/>
  <cols>
    <col min="1" max="2" width="14.0833333333333" style="1" customWidth="1"/>
    <col min="3" max="3" width="18.25" style="1" customWidth="1"/>
    <col min="4" max="4" width="9.5" style="1" customWidth="1"/>
    <col min="5" max="5" width="8.25" style="1" customWidth="1"/>
    <col min="6" max="6" width="18.5" style="1" customWidth="1"/>
    <col min="7" max="7" width="16.5833333333333" style="1" customWidth="1"/>
    <col min="8" max="8" width="13.0833333333333" style="1" customWidth="1"/>
    <col min="9" max="9" width="12.6666666666667" style="1" customWidth="1"/>
    <col min="10" max="10" width="20.8333333333333" style="1" customWidth="1"/>
    <col min="11" max="11" width="8.25" style="2" customWidth="1"/>
    <col min="12" max="12" width="27.5" style="1" customWidth="1"/>
    <col min="13" max="13" width="22.9166666666667" style="1" customWidth="1"/>
    <col min="14" max="14" width="17.8333333333333" style="1" customWidth="1"/>
    <col min="15" max="15" width="98.9166666666667" style="1" customWidth="1"/>
    <col min="16" max="16" width="10.8333333333333" style="1" customWidth="1"/>
    <col min="17" max="17" width="1.83333333333333" style="1" customWidth="1"/>
    <col min="18" max="18" width="11.3333333333333" style="1" customWidth="1"/>
    <col min="19" max="19" width="8.25" style="1" customWidth="1"/>
    <col min="20" max="16384" width="8.25" style="1"/>
  </cols>
  <sheetData>
    <row r="1" ht="16.5" customHeight="1" spans="1:15">
      <c r="A1" s="3" t="s">
        <v>674</v>
      </c>
      <c r="B1" s="3"/>
      <c r="C1" s="4" t="s">
        <v>675</v>
      </c>
      <c r="E1" s="3"/>
      <c r="F1" s="3" t="s">
        <v>676</v>
      </c>
      <c r="H1" s="5" t="s">
        <v>565</v>
      </c>
      <c r="J1" s="3" t="s">
        <v>677</v>
      </c>
      <c r="K1" s="3" t="s">
        <v>678</v>
      </c>
      <c r="L1" s="1" t="s">
        <v>679</v>
      </c>
      <c r="M1" s="3" t="s">
        <v>680</v>
      </c>
      <c r="N1" s="3" t="s">
        <v>678</v>
      </c>
      <c r="O1" s="3" t="s">
        <v>679</v>
      </c>
    </row>
    <row r="2" ht="16.5" customHeight="1" spans="1:15">
      <c r="A2" s="6" t="s">
        <v>681</v>
      </c>
      <c r="B2" s="6"/>
      <c r="C2" s="6" t="s">
        <v>682</v>
      </c>
      <c r="D2" s="1" t="s">
        <v>327</v>
      </c>
      <c r="F2" s="1" t="s">
        <v>683</v>
      </c>
      <c r="G2" s="1" t="s">
        <v>684</v>
      </c>
      <c r="H2" s="5" t="s">
        <v>685</v>
      </c>
      <c r="J2" s="7" t="s">
        <v>686</v>
      </c>
      <c r="M2" s="7" t="s">
        <v>687</v>
      </c>
      <c r="N2" s="1" t="s">
        <v>688</v>
      </c>
      <c r="O2" s="7" t="s">
        <v>689</v>
      </c>
    </row>
    <row r="3" spans="1:15">
      <c r="A3" s="6" t="s">
        <v>690</v>
      </c>
      <c r="B3" s="6"/>
      <c r="C3" s="6" t="s">
        <v>691</v>
      </c>
      <c r="D3" s="1" t="s">
        <v>692</v>
      </c>
      <c r="F3" s="1" t="s">
        <v>693</v>
      </c>
      <c r="G3" s="3" t="s">
        <v>694</v>
      </c>
      <c r="H3" s="7" t="s">
        <v>695</v>
      </c>
      <c r="I3" s="7" t="s">
        <v>696</v>
      </c>
      <c r="J3" s="7" t="s">
        <v>697</v>
      </c>
      <c r="K3" s="2" t="s">
        <v>698</v>
      </c>
      <c r="M3" s="7" t="s">
        <v>699</v>
      </c>
      <c r="N3" s="1" t="s">
        <v>688</v>
      </c>
      <c r="O3" s="7" t="s">
        <v>700</v>
      </c>
    </row>
    <row r="4" spans="1:15">
      <c r="A4" s="4" t="s">
        <v>701</v>
      </c>
      <c r="B4" s="6"/>
      <c r="C4" s="6" t="s">
        <v>702</v>
      </c>
      <c r="F4" s="6" t="s">
        <v>703</v>
      </c>
      <c r="G4" s="1" t="s">
        <v>704</v>
      </c>
      <c r="H4" s="7" t="s">
        <v>705</v>
      </c>
      <c r="I4" s="7" t="s">
        <v>706</v>
      </c>
      <c r="J4" s="7" t="s">
        <v>707</v>
      </c>
      <c r="M4" s="7" t="s">
        <v>708</v>
      </c>
      <c r="N4" s="1" t="s">
        <v>688</v>
      </c>
      <c r="O4" s="7" t="s">
        <v>700</v>
      </c>
    </row>
    <row r="5" spans="1:15">
      <c r="A5" s="6" t="s">
        <v>709</v>
      </c>
      <c r="C5" s="6" t="s">
        <v>710</v>
      </c>
      <c r="F5" s="6" t="s">
        <v>711</v>
      </c>
      <c r="G5" s="1" t="s">
        <v>712</v>
      </c>
      <c r="H5" s="7" t="s">
        <v>713</v>
      </c>
      <c r="I5" s="7" t="s">
        <v>714</v>
      </c>
      <c r="J5" s="7" t="s">
        <v>395</v>
      </c>
      <c r="M5" s="7" t="s">
        <v>715</v>
      </c>
      <c r="O5" s="7" t="s">
        <v>716</v>
      </c>
    </row>
    <row r="6" spans="1:15">
      <c r="A6" s="8" t="s">
        <v>717</v>
      </c>
      <c r="C6" s="9" t="s">
        <v>718</v>
      </c>
      <c r="F6" s="6" t="s">
        <v>719</v>
      </c>
      <c r="H6" s="7" t="s">
        <v>720</v>
      </c>
      <c r="I6" s="7" t="s">
        <v>721</v>
      </c>
      <c r="J6" s="7" t="s">
        <v>722</v>
      </c>
      <c r="M6" s="7" t="s">
        <v>723</v>
      </c>
      <c r="O6" s="7" t="s">
        <v>724</v>
      </c>
    </row>
    <row r="7" spans="1:15">
      <c r="B7" s="8"/>
      <c r="C7" s="9" t="s">
        <v>725</v>
      </c>
      <c r="F7" s="9" t="s">
        <v>726</v>
      </c>
      <c r="G7" s="10"/>
      <c r="H7" s="7" t="s">
        <v>727</v>
      </c>
      <c r="I7" s="7" t="s">
        <v>728</v>
      </c>
      <c r="J7" s="1" t="s">
        <v>366</v>
      </c>
      <c r="K7" s="7"/>
      <c r="L7" s="2"/>
      <c r="M7" s="7" t="s">
        <v>729</v>
      </c>
      <c r="O7" s="7" t="s">
        <v>724</v>
      </c>
    </row>
    <row r="8" spans="1:15">
      <c r="F8" s="9" t="s">
        <v>730</v>
      </c>
      <c r="G8" s="10"/>
      <c r="H8" s="11" t="s">
        <v>731</v>
      </c>
      <c r="I8" s="11" t="s">
        <v>732</v>
      </c>
      <c r="J8" s="7" t="s">
        <v>733</v>
      </c>
      <c r="M8" s="7" t="s">
        <v>734</v>
      </c>
      <c r="N8" s="1" t="s">
        <v>698</v>
      </c>
      <c r="O8" s="7" t="s">
        <v>735</v>
      </c>
    </row>
    <row r="9" spans="1:15">
      <c r="F9" s="9" t="s">
        <v>736</v>
      </c>
      <c r="G9" s="10"/>
      <c r="H9" s="11" t="s">
        <v>737</v>
      </c>
      <c r="I9" s="11" t="s">
        <v>738</v>
      </c>
      <c r="J9" s="7" t="s">
        <v>739</v>
      </c>
      <c r="M9" s="7" t="s">
        <v>740</v>
      </c>
      <c r="N9" s="1" t="s">
        <v>698</v>
      </c>
      <c r="O9" s="7" t="s">
        <v>741</v>
      </c>
    </row>
    <row r="10" spans="1:15">
      <c r="F10" s="9" t="s">
        <v>742</v>
      </c>
      <c r="G10" s="10"/>
      <c r="H10" s="11" t="s">
        <v>743</v>
      </c>
      <c r="I10" s="11" t="s">
        <v>744</v>
      </c>
      <c r="J10" s="7" t="s">
        <v>745</v>
      </c>
      <c r="M10" s="7" t="s">
        <v>746</v>
      </c>
      <c r="N10" s="1" t="s">
        <v>747</v>
      </c>
      <c r="O10" s="7" t="s">
        <v>748</v>
      </c>
    </row>
    <row r="11" spans="1:15">
      <c r="F11" s="9" t="s">
        <v>749</v>
      </c>
      <c r="G11" s="10"/>
      <c r="H11" s="11" t="s">
        <v>750</v>
      </c>
      <c r="I11" s="11" t="s">
        <v>751</v>
      </c>
      <c r="J11" s="7" t="s">
        <v>752</v>
      </c>
      <c r="M11" s="7" t="s">
        <v>753</v>
      </c>
      <c r="N11" s="1" t="s">
        <v>747</v>
      </c>
      <c r="O11" s="7" t="s">
        <v>754</v>
      </c>
    </row>
    <row r="12" spans="1:15">
      <c r="F12" s="12" t="s">
        <v>755</v>
      </c>
      <c r="G12" s="10"/>
      <c r="H12" s="11" t="s">
        <v>756</v>
      </c>
      <c r="I12" s="11" t="s">
        <v>757</v>
      </c>
      <c r="J12" s="7" t="s">
        <v>758</v>
      </c>
      <c r="L12" s="1" t="s">
        <v>759</v>
      </c>
      <c r="M12" s="7" t="s">
        <v>760</v>
      </c>
      <c r="N12" s="1" t="s">
        <v>698</v>
      </c>
      <c r="O12" s="7" t="s">
        <v>761</v>
      </c>
    </row>
    <row r="13" spans="1:15">
      <c r="F13" s="6"/>
      <c r="H13" s="11" t="s">
        <v>762</v>
      </c>
      <c r="I13" s="11" t="s">
        <v>763</v>
      </c>
      <c r="J13" s="7" t="s">
        <v>764</v>
      </c>
      <c r="L13" s="1" t="s">
        <v>765</v>
      </c>
      <c r="M13" s="7" t="s">
        <v>766</v>
      </c>
      <c r="N13" s="1" t="s">
        <v>698</v>
      </c>
      <c r="O13" s="7" t="s">
        <v>767</v>
      </c>
    </row>
    <row r="14" spans="1:15">
      <c r="A14" s="1" t="s">
        <v>768</v>
      </c>
      <c r="F14" s="6"/>
      <c r="H14" s="11" t="s">
        <v>769</v>
      </c>
      <c r="I14" s="11" t="s">
        <v>770</v>
      </c>
      <c r="J14" s="7" t="s">
        <v>771</v>
      </c>
      <c r="M14" s="7" t="s">
        <v>772</v>
      </c>
      <c r="N14" s="1" t="s">
        <v>747</v>
      </c>
      <c r="O14" s="7" t="s">
        <v>773</v>
      </c>
    </row>
    <row r="15" spans="1:15">
      <c r="A15" s="1" t="s">
        <v>774</v>
      </c>
      <c r="F15" s="6"/>
      <c r="H15" s="11" t="s">
        <v>775</v>
      </c>
      <c r="I15" s="11" t="s">
        <v>776</v>
      </c>
      <c r="J15" s="7" t="s">
        <v>777</v>
      </c>
      <c r="K15" s="1"/>
      <c r="M15" s="7" t="s">
        <v>778</v>
      </c>
      <c r="N15" s="1" t="s">
        <v>747</v>
      </c>
      <c r="O15" s="7" t="s">
        <v>779</v>
      </c>
    </row>
    <row r="16" ht="16.5" customHeight="1" spans="1:15">
      <c r="A16" s="1" t="s">
        <v>780</v>
      </c>
      <c r="F16" s="6"/>
      <c r="H16" s="11" t="s">
        <v>781</v>
      </c>
      <c r="I16" s="11" t="s">
        <v>782</v>
      </c>
      <c r="J16" s="13" t="s">
        <v>783</v>
      </c>
      <c r="K16" s="1"/>
      <c r="L16" s="1" t="s">
        <v>784</v>
      </c>
      <c r="M16" s="7" t="s">
        <v>785</v>
      </c>
      <c r="N16" s="1" t="s">
        <v>698</v>
      </c>
      <c r="O16" s="7" t="s">
        <v>786</v>
      </c>
    </row>
    <row r="17" spans="1:17">
      <c r="A17" s="1" t="s">
        <v>787</v>
      </c>
      <c r="F17" s="6"/>
      <c r="H17" s="11" t="s">
        <v>788</v>
      </c>
      <c r="I17" s="11" t="s">
        <v>789</v>
      </c>
      <c r="K17" s="1"/>
      <c r="M17" s="7" t="s">
        <v>790</v>
      </c>
      <c r="N17" s="1" t="s">
        <v>698</v>
      </c>
      <c r="O17" s="7" t="s">
        <v>791</v>
      </c>
    </row>
    <row r="18" spans="1:17">
      <c r="A18" s="1" t="s">
        <v>792</v>
      </c>
      <c r="F18" s="6"/>
      <c r="I18" s="1" t="s">
        <v>793</v>
      </c>
      <c r="K18" s="1"/>
      <c r="M18" s="7" t="s">
        <v>794</v>
      </c>
      <c r="N18" s="1" t="s">
        <v>747</v>
      </c>
      <c r="O18" s="7" t="s">
        <v>795</v>
      </c>
    </row>
    <row r="19" spans="1:17">
      <c r="A19" s="1" t="s">
        <v>796</v>
      </c>
      <c r="F19" s="6"/>
      <c r="K19" s="1"/>
      <c r="M19" s="7" t="s">
        <v>797</v>
      </c>
      <c r="N19" s="1" t="s">
        <v>688</v>
      </c>
      <c r="O19" s="7" t="s">
        <v>798</v>
      </c>
    </row>
    <row r="20" spans="1:17">
      <c r="A20" s="1" t="s">
        <v>799</v>
      </c>
      <c r="F20" s="6"/>
      <c r="K20" s="1"/>
      <c r="M20" s="7" t="s">
        <v>800</v>
      </c>
      <c r="N20" s="1" t="s">
        <v>747</v>
      </c>
      <c r="O20" s="7" t="s">
        <v>801</v>
      </c>
    </row>
    <row r="21" spans="1:17">
      <c r="A21" s="3" t="s">
        <v>802</v>
      </c>
      <c r="F21" s="6"/>
      <c r="K21" s="1"/>
      <c r="M21" s="7" t="s">
        <v>803</v>
      </c>
      <c r="N21" s="1" t="s">
        <v>747</v>
      </c>
      <c r="O21" s="7" t="s">
        <v>804</v>
      </c>
    </row>
    <row r="22" spans="1:17">
      <c r="A22" s="1" t="s">
        <v>805</v>
      </c>
      <c r="G22" s="6"/>
      <c r="K22" s="1"/>
      <c r="M22" s="7" t="s">
        <v>806</v>
      </c>
      <c r="N22" s="1" t="s">
        <v>747</v>
      </c>
      <c r="O22" s="7" t="s">
        <v>807</v>
      </c>
    </row>
    <row r="23" spans="1:17">
      <c r="G23" s="6"/>
      <c r="M23" s="7" t="s">
        <v>808</v>
      </c>
      <c r="N23" s="1" t="s">
        <v>747</v>
      </c>
      <c r="O23" s="7" t="s">
        <v>809</v>
      </c>
    </row>
    <row r="24" spans="1:17">
      <c r="G24" s="6"/>
      <c r="M24" s="7" t="s">
        <v>810</v>
      </c>
      <c r="N24" s="1" t="s">
        <v>747</v>
      </c>
      <c r="O24" s="7" t="s">
        <v>811</v>
      </c>
    </row>
    <row r="25" ht="16.5" customHeight="1" spans="1:17">
      <c r="F25" s="6"/>
      <c r="G25" s="6"/>
      <c r="M25" s="13" t="s">
        <v>715</v>
      </c>
      <c r="N25" s="13" t="s">
        <v>812</v>
      </c>
      <c r="O25" s="13"/>
      <c r="P25" s="13"/>
      <c r="Q25" s="13"/>
    </row>
    <row r="26" ht="16.5" customHeight="1" spans="1:17">
      <c r="F26" s="6"/>
      <c r="G26" s="6"/>
      <c r="M26" s="13" t="s">
        <v>813</v>
      </c>
      <c r="N26" s="13" t="s">
        <v>814</v>
      </c>
      <c r="O26" s="13"/>
      <c r="P26" s="13"/>
      <c r="Q26" s="13"/>
    </row>
    <row r="27" ht="16.5" customHeight="1" spans="1:17">
      <c r="M27" s="13" t="s">
        <v>815</v>
      </c>
      <c r="N27" s="13" t="s">
        <v>816</v>
      </c>
      <c r="O27" s="13"/>
      <c r="P27" s="13"/>
      <c r="Q27" s="13"/>
    </row>
    <row r="28" ht="16.5" customHeight="1" spans="1:17">
      <c r="M28" s="13" t="s">
        <v>817</v>
      </c>
      <c r="N28" s="13"/>
      <c r="O28" s="13"/>
      <c r="P28" s="13"/>
      <c r="Q28" s="13"/>
    </row>
    <row r="29" ht="16.5" customHeight="1" spans="1:17">
      <c r="M29" s="13" t="s">
        <v>818</v>
      </c>
      <c r="N29" s="13"/>
      <c r="O29" s="13"/>
      <c r="P29" s="13"/>
      <c r="Q29" s="13"/>
    </row>
    <row r="30" ht="16.5" customHeight="1" spans="1:17">
      <c r="M30" s="13" t="s">
        <v>819</v>
      </c>
      <c r="N30" s="13"/>
      <c r="O30" s="13"/>
      <c r="P30" s="13"/>
      <c r="Q30" s="13"/>
    </row>
    <row r="31" ht="16.5" customHeight="1" spans="1:17">
      <c r="M31" s="14" t="s">
        <v>820</v>
      </c>
      <c r="N31" s="13"/>
      <c r="O31" s="13" t="s">
        <v>821</v>
      </c>
      <c r="P31" s="13"/>
      <c r="Q31" s="13"/>
    </row>
    <row r="32" ht="16.5" customHeight="1" spans="1:17">
      <c r="M32" s="14" t="s">
        <v>822</v>
      </c>
      <c r="N32" s="13"/>
      <c r="O32" s="13" t="s">
        <v>821</v>
      </c>
      <c r="P32" s="13"/>
      <c r="Q32" s="13"/>
    </row>
    <row r="33" ht="16.5" customHeight="1" spans="11:17">
      <c r="M33" s="14" t="s">
        <v>822</v>
      </c>
      <c r="N33" s="13"/>
      <c r="O33" s="13" t="s">
        <v>821</v>
      </c>
      <c r="P33" s="13"/>
      <c r="Q33" s="13"/>
    </row>
    <row r="34" ht="16.5" customHeight="1" spans="11:17">
      <c r="M34" s="7" t="s">
        <v>823</v>
      </c>
      <c r="N34" s="13"/>
      <c r="O34" s="13"/>
      <c r="P34" s="13"/>
      <c r="Q34" s="13"/>
    </row>
    <row r="35" ht="16.5" customHeight="1" spans="11:17">
      <c r="M35" s="7" t="s">
        <v>824</v>
      </c>
      <c r="N35" s="13"/>
      <c r="O35" s="13"/>
      <c r="P35" s="13"/>
      <c r="Q35" s="13"/>
    </row>
    <row r="36" ht="16.5" customHeight="1" spans="11:17">
      <c r="M36" s="7" t="s">
        <v>825</v>
      </c>
      <c r="N36" s="13"/>
      <c r="O36" s="13"/>
      <c r="P36" s="13"/>
      <c r="Q36" s="13"/>
    </row>
    <row r="37" ht="16.5" customHeight="1" spans="11:17">
      <c r="M37" s="7" t="s">
        <v>826</v>
      </c>
      <c r="N37" s="13"/>
      <c r="O37" s="13"/>
      <c r="P37" s="13"/>
      <c r="Q37" s="13"/>
    </row>
    <row r="38" ht="16.5" customHeight="1" spans="11:17">
      <c r="M38" s="13" t="s">
        <v>827</v>
      </c>
      <c r="N38" s="13"/>
      <c r="O38" s="13"/>
      <c r="P38" s="13"/>
      <c r="Q38" s="13"/>
    </row>
    <row r="39" ht="16.5" customHeight="1" spans="11:17">
      <c r="M39" s="13" t="s">
        <v>828</v>
      </c>
      <c r="N39" s="13" t="s">
        <v>829</v>
      </c>
      <c r="O39" s="13"/>
      <c r="P39" s="13"/>
      <c r="Q39" s="13"/>
    </row>
    <row r="40" ht="16.5" customHeight="1" spans="11:17">
      <c r="M40" s="13" t="s">
        <v>830</v>
      </c>
      <c r="N40" s="13" t="s">
        <v>831</v>
      </c>
      <c r="O40" s="13"/>
      <c r="P40" s="13"/>
      <c r="Q40" s="13"/>
    </row>
    <row r="41" ht="16.5" customHeight="1" spans="11:17">
      <c r="K41" s="1"/>
      <c r="M41" s="13" t="s">
        <v>832</v>
      </c>
      <c r="N41" s="13" t="s">
        <v>833</v>
      </c>
      <c r="O41" s="13"/>
      <c r="P41" s="13"/>
      <c r="Q41" s="13"/>
    </row>
    <row r="42" ht="16.5" customHeight="1" spans="11:17">
      <c r="K42" s="1"/>
      <c r="M42" s="7" t="s">
        <v>834</v>
      </c>
      <c r="N42" s="13" t="s">
        <v>835</v>
      </c>
      <c r="O42" s="13"/>
      <c r="P42" s="13"/>
      <c r="Q42" s="13"/>
    </row>
    <row r="43" ht="16.5" customHeight="1" spans="11:17">
      <c r="K43" s="1"/>
      <c r="M43" s="7" t="s">
        <v>836</v>
      </c>
      <c r="N43" s="13" t="s">
        <v>837</v>
      </c>
      <c r="O43" s="13"/>
      <c r="P43" s="13"/>
      <c r="Q43" s="13"/>
    </row>
    <row r="44" ht="16.5" customHeight="1" spans="11:17">
      <c r="K44" s="1"/>
      <c r="M44" s="7" t="s">
        <v>838</v>
      </c>
      <c r="N44" s="13" t="s">
        <v>839</v>
      </c>
      <c r="O44" s="13"/>
      <c r="P44" s="13"/>
      <c r="Q44" s="13"/>
    </row>
    <row r="45" ht="16.5" customHeight="1" spans="11:17">
      <c r="K45" s="1"/>
      <c r="M45" s="7" t="s">
        <v>840</v>
      </c>
      <c r="N45" s="13" t="s">
        <v>841</v>
      </c>
      <c r="O45" s="13"/>
      <c r="P45" s="13"/>
      <c r="Q45" s="13"/>
    </row>
    <row r="46" ht="16.5" customHeight="1" spans="11:17">
      <c r="K46" s="1"/>
      <c r="M46" s="7" t="s">
        <v>842</v>
      </c>
      <c r="N46" s="13" t="s">
        <v>843</v>
      </c>
      <c r="O46" s="13"/>
      <c r="P46" s="13"/>
      <c r="Q46" s="13"/>
    </row>
    <row r="47" ht="16.5" customHeight="1" spans="11:17">
      <c r="K47" s="1"/>
      <c r="M47" s="7" t="s">
        <v>844</v>
      </c>
      <c r="N47" s="13" t="s">
        <v>845</v>
      </c>
      <c r="O47" s="13"/>
      <c r="P47" s="13"/>
      <c r="Q47" s="13"/>
    </row>
    <row r="48" ht="16.5" customHeight="1" spans="11:17">
      <c r="K48" s="1"/>
      <c r="M48" s="7" t="s">
        <v>846</v>
      </c>
      <c r="N48" s="13" t="s">
        <v>847</v>
      </c>
      <c r="O48" s="13"/>
      <c r="P48" s="13"/>
      <c r="Q48" s="13"/>
    </row>
    <row r="49" ht="16.5" customHeight="1" spans="6:17">
      <c r="K49" s="1"/>
      <c r="M49" s="7" t="s">
        <v>848</v>
      </c>
      <c r="N49" s="13" t="s">
        <v>849</v>
      </c>
      <c r="O49" s="13"/>
      <c r="P49" s="13"/>
      <c r="Q49" s="13"/>
    </row>
    <row r="50" ht="16.5" customHeight="1" spans="6:17">
      <c r="K50" s="1"/>
      <c r="M50" s="7" t="s">
        <v>850</v>
      </c>
      <c r="N50" s="13" t="s">
        <v>851</v>
      </c>
      <c r="O50" s="13"/>
      <c r="P50" s="13"/>
      <c r="Q50" s="13"/>
    </row>
    <row r="51" ht="16.5" customHeight="1" spans="6:17">
      <c r="K51" s="1"/>
      <c r="M51" s="7" t="s">
        <v>852</v>
      </c>
      <c r="N51" s="13" t="s">
        <v>853</v>
      </c>
      <c r="O51" s="13"/>
      <c r="P51" s="13"/>
      <c r="Q51" s="13"/>
    </row>
    <row r="52" ht="16.5" customHeight="1" spans="6:17">
      <c r="K52" s="1"/>
      <c r="M52" s="7" t="s">
        <v>854</v>
      </c>
      <c r="N52" s="13" t="s">
        <v>855</v>
      </c>
      <c r="O52" s="13"/>
      <c r="P52" s="13"/>
      <c r="Q52" s="13"/>
    </row>
    <row r="53" ht="16.5" customHeight="1" spans="6:17">
      <c r="K53" s="1"/>
      <c r="M53" s="7" t="s">
        <v>856</v>
      </c>
      <c r="N53" s="13" t="s">
        <v>857</v>
      </c>
      <c r="O53" s="13"/>
      <c r="P53" s="13"/>
      <c r="Q53" s="13"/>
    </row>
    <row r="54" spans="6:17">
      <c r="K54" s="1"/>
      <c r="M54" s="15"/>
    </row>
    <row r="55" spans="6:17">
      <c r="K55" s="1"/>
      <c r="M55" s="15"/>
    </row>
    <row r="56" spans="6:17">
      <c r="K56" s="1"/>
    </row>
    <row r="57" ht="16.5" customHeight="1" spans="6:17">
      <c r="F57" s="13" t="s">
        <v>858</v>
      </c>
      <c r="G57" s="13"/>
      <c r="H57" s="13"/>
      <c r="I57" s="13"/>
      <c r="J57" s="13"/>
      <c r="K57" s="13"/>
      <c r="L57" s="13"/>
      <c r="M57" s="13"/>
      <c r="N57" s="13"/>
    </row>
    <row r="58" ht="16.5" customHeight="1" spans="6:17">
      <c r="F58" s="13" t="s">
        <v>859</v>
      </c>
      <c r="G58" s="13"/>
      <c r="H58" s="13"/>
      <c r="I58" s="13"/>
      <c r="J58" s="13"/>
      <c r="K58" s="13"/>
      <c r="L58" s="13"/>
      <c r="M58" s="13"/>
      <c r="N58" s="13"/>
    </row>
    <row r="59" ht="16.5" customHeight="1" spans="6:17">
      <c r="F59" s="13" t="s">
        <v>860</v>
      </c>
      <c r="G59" s="13"/>
      <c r="H59" s="13"/>
      <c r="I59" s="13"/>
      <c r="J59" s="13"/>
      <c r="K59" s="13"/>
      <c r="L59" s="13"/>
      <c r="M59" s="13"/>
      <c r="N59" s="13"/>
    </row>
    <row r="60" ht="16.5" customHeight="1" spans="6:17">
      <c r="F60" s="13" t="s">
        <v>861</v>
      </c>
      <c r="G60" s="13"/>
      <c r="H60" s="13"/>
      <c r="I60" s="13"/>
      <c r="J60" s="13"/>
      <c r="K60" s="13"/>
      <c r="L60" s="13"/>
      <c r="M60" s="13"/>
      <c r="N60" s="13"/>
    </row>
    <row r="61" ht="16.5" customHeight="1" spans="6:17">
      <c r="F61" s="13" t="s">
        <v>862</v>
      </c>
      <c r="G61" s="13"/>
      <c r="H61" s="13"/>
      <c r="I61" s="13"/>
      <c r="J61" s="13"/>
      <c r="K61" s="13"/>
      <c r="L61" s="13"/>
      <c r="M61" s="13"/>
      <c r="N61" s="13"/>
    </row>
    <row r="62" ht="16.5" customHeight="1" spans="6:17">
      <c r="F62" s="13" t="s">
        <v>863</v>
      </c>
      <c r="G62" s="13"/>
      <c r="H62" s="13"/>
      <c r="I62" s="13"/>
      <c r="J62" s="13"/>
      <c r="K62" s="13"/>
      <c r="L62" s="13"/>
      <c r="M62" s="13"/>
      <c r="N62" s="13"/>
    </row>
    <row r="63" ht="16.5" customHeight="1" spans="6:17">
      <c r="F63" s="13" t="s">
        <v>864</v>
      </c>
      <c r="G63" s="13"/>
      <c r="H63" s="13"/>
      <c r="I63" s="13"/>
      <c r="J63" s="13"/>
      <c r="K63" s="13"/>
      <c r="L63" s="13"/>
      <c r="M63" s="13"/>
      <c r="N63" s="13"/>
    </row>
    <row r="64" ht="16.5" customHeight="1" spans="6:17">
      <c r="F64" s="13" t="s">
        <v>865</v>
      </c>
      <c r="G64" s="13"/>
      <c r="H64" s="13"/>
      <c r="I64" s="13"/>
      <c r="J64" s="13"/>
      <c r="K64" s="13"/>
      <c r="L64" s="13"/>
      <c r="M64" s="13"/>
      <c r="N64" s="13"/>
    </row>
    <row r="65" ht="16.5" customHeight="1" spans="6:14">
      <c r="F65" s="13" t="s">
        <v>866</v>
      </c>
      <c r="G65" s="13"/>
      <c r="H65" s="13"/>
      <c r="I65" s="13"/>
      <c r="J65" s="13"/>
      <c r="K65" s="13"/>
      <c r="L65" s="13"/>
      <c r="M65" s="13"/>
      <c r="N65" s="13"/>
    </row>
    <row r="66" ht="16.5" customHeight="1" spans="6:14">
      <c r="F66" s="13" t="s">
        <v>867</v>
      </c>
      <c r="G66" s="13"/>
      <c r="H66" s="13"/>
      <c r="I66" s="13"/>
      <c r="J66" s="13"/>
      <c r="K66" s="13"/>
      <c r="L66" s="13"/>
      <c r="M66" s="13"/>
      <c r="N66" s="13"/>
    </row>
    <row r="67" ht="16.5" customHeight="1" spans="6:14">
      <c r="F67" s="13" t="s">
        <v>868</v>
      </c>
      <c r="G67" s="13"/>
      <c r="H67" s="13"/>
      <c r="I67" s="13"/>
      <c r="J67" s="13"/>
      <c r="K67" s="13"/>
      <c r="L67" s="13"/>
      <c r="M67" s="13"/>
      <c r="N67" s="13"/>
    </row>
    <row r="68" ht="16.5" customHeight="1" spans="6:14">
      <c r="F68" s="13" t="s">
        <v>866</v>
      </c>
      <c r="G68" s="13"/>
      <c r="H68" s="13"/>
      <c r="I68" s="13"/>
      <c r="J68" s="13"/>
      <c r="K68" s="13"/>
      <c r="L68" s="13"/>
      <c r="M68" s="13"/>
      <c r="N68" s="13"/>
    </row>
    <row r="69" ht="16.5" customHeight="1" spans="6:14">
      <c r="F69" s="13" t="s">
        <v>869</v>
      </c>
      <c r="G69" s="13"/>
      <c r="H69" s="13"/>
      <c r="I69" s="13"/>
      <c r="J69" s="13"/>
      <c r="K69" s="13"/>
      <c r="L69" s="13"/>
      <c r="M69" s="13"/>
      <c r="N69" s="13"/>
    </row>
    <row r="70" ht="16.5" customHeight="1" spans="6:14">
      <c r="F70" s="13"/>
      <c r="G70" s="13"/>
      <c r="H70" s="13"/>
      <c r="I70" s="13"/>
      <c r="J70" s="13"/>
      <c r="K70" s="13"/>
      <c r="L70" s="13"/>
      <c r="M70" s="13"/>
      <c r="N70" s="13"/>
    </row>
    <row r="71" ht="16.5" customHeight="1" spans="6:14">
      <c r="F71" s="13" t="s">
        <v>715</v>
      </c>
      <c r="G71" s="13" t="s">
        <v>870</v>
      </c>
      <c r="H71" s="13"/>
      <c r="I71" s="13"/>
      <c r="J71" s="13"/>
      <c r="K71" s="13"/>
      <c r="L71" s="13"/>
      <c r="M71" s="13"/>
      <c r="N71" s="13"/>
    </row>
    <row r="72" ht="16.5" customHeight="1" spans="6:14">
      <c r="F72" s="13" t="s">
        <v>813</v>
      </c>
      <c r="G72" s="13" t="s">
        <v>871</v>
      </c>
      <c r="H72" s="13"/>
      <c r="I72" s="13"/>
      <c r="J72" s="13"/>
      <c r="K72" s="13"/>
      <c r="L72" s="13"/>
      <c r="M72" s="13"/>
      <c r="N72" s="13"/>
    </row>
    <row r="73" ht="16.5" customHeight="1" spans="6:14">
      <c r="F73" s="13" t="s">
        <v>815</v>
      </c>
      <c r="G73" s="13" t="s">
        <v>872</v>
      </c>
      <c r="H73" s="13"/>
      <c r="I73" s="13"/>
      <c r="J73" s="13"/>
      <c r="K73" s="13"/>
      <c r="L73" s="13"/>
      <c r="M73" s="13"/>
      <c r="N73" s="13"/>
    </row>
    <row r="74" ht="16.5" customHeight="1" spans="6:14">
      <c r="F74" s="13" t="s">
        <v>817</v>
      </c>
      <c r="G74" s="13"/>
      <c r="H74" s="13"/>
      <c r="I74" s="13"/>
      <c r="J74" s="13"/>
      <c r="K74" s="13"/>
      <c r="L74" s="13"/>
      <c r="M74" s="13"/>
      <c r="N74" s="13"/>
    </row>
    <row r="75" ht="16.5" customHeight="1" spans="6:14">
      <c r="F75" s="13" t="s">
        <v>818</v>
      </c>
      <c r="G75" s="13"/>
      <c r="H75" s="13"/>
      <c r="I75" s="13"/>
      <c r="J75" s="13"/>
      <c r="K75" s="13"/>
      <c r="L75" s="13"/>
      <c r="M75" s="13"/>
      <c r="N75" s="13"/>
    </row>
    <row r="76" ht="16.5" customHeight="1" spans="6:14">
      <c r="F76" s="13" t="s">
        <v>819</v>
      </c>
      <c r="G76" s="13"/>
      <c r="H76" s="13"/>
      <c r="I76" s="13"/>
      <c r="J76" s="13"/>
      <c r="K76" s="13"/>
      <c r="L76" s="13"/>
      <c r="M76" s="13"/>
      <c r="N76" s="13"/>
    </row>
    <row r="77" ht="16.5" customHeight="1" spans="6:14">
      <c r="F77" s="13" t="s">
        <v>820</v>
      </c>
      <c r="G77" s="13"/>
      <c r="H77" s="13"/>
      <c r="I77" s="13"/>
      <c r="J77" s="13"/>
      <c r="K77" s="13"/>
      <c r="L77" s="13"/>
      <c r="M77" s="13"/>
      <c r="N77" s="13"/>
    </row>
    <row r="78" ht="16.5" customHeight="1" spans="6:14">
      <c r="F78" s="13" t="s">
        <v>822</v>
      </c>
      <c r="G78" s="13"/>
      <c r="H78" s="13"/>
      <c r="I78" s="13"/>
      <c r="J78" s="13"/>
      <c r="K78" s="13"/>
      <c r="L78" s="13"/>
      <c r="M78" s="13"/>
      <c r="N78" s="13"/>
    </row>
    <row r="79" ht="16.5" customHeight="1" spans="6:14">
      <c r="F79" s="13" t="s">
        <v>822</v>
      </c>
      <c r="G79" s="13"/>
      <c r="H79" s="13"/>
      <c r="I79" s="13"/>
      <c r="J79" s="13"/>
      <c r="K79" s="13"/>
      <c r="L79" s="13"/>
      <c r="M79" s="13"/>
      <c r="N79" s="13"/>
    </row>
    <row r="80" ht="16.5" customHeight="1" spans="6:14">
      <c r="F80" s="7" t="s">
        <v>823</v>
      </c>
      <c r="G80" s="13"/>
      <c r="H80" s="13"/>
      <c r="I80" s="13"/>
      <c r="J80" s="13"/>
      <c r="K80" s="13"/>
      <c r="L80" s="13"/>
      <c r="M80" s="13"/>
      <c r="N80" s="13"/>
    </row>
    <row r="81" ht="16.5" customHeight="1" spans="6:14">
      <c r="F81" s="7" t="s">
        <v>824</v>
      </c>
      <c r="G81" s="13"/>
      <c r="H81" s="13"/>
      <c r="I81" s="13"/>
      <c r="J81" s="13"/>
      <c r="K81" s="13"/>
      <c r="L81" s="13"/>
      <c r="M81" s="13"/>
      <c r="N81" s="13"/>
    </row>
    <row r="82" ht="16.5" customHeight="1" spans="6:14">
      <c r="F82" s="7" t="s">
        <v>825</v>
      </c>
      <c r="G82" s="13"/>
      <c r="H82" s="13"/>
      <c r="I82" s="13"/>
      <c r="J82" s="13"/>
      <c r="K82" s="13"/>
      <c r="L82" s="13"/>
      <c r="M82" s="13"/>
      <c r="N82" s="13"/>
    </row>
    <row r="83" ht="16.5" customHeight="1" spans="6:14">
      <c r="F83" s="7" t="s">
        <v>826</v>
      </c>
      <c r="G83" s="13"/>
      <c r="H83" s="13"/>
      <c r="I83" s="13"/>
      <c r="J83" s="13"/>
      <c r="K83" s="13"/>
      <c r="L83" s="13"/>
      <c r="M83" s="13"/>
      <c r="N83" s="13"/>
    </row>
    <row r="84" ht="16.5" customHeight="1" spans="6:14">
      <c r="F84" s="13" t="s">
        <v>827</v>
      </c>
      <c r="G84" s="13"/>
      <c r="H84" s="13"/>
      <c r="I84" s="13"/>
      <c r="J84" s="13"/>
      <c r="K84" s="13"/>
      <c r="L84" s="13"/>
      <c r="M84" s="13"/>
      <c r="N84" s="13"/>
    </row>
    <row r="85" ht="16.5" customHeight="1" spans="6:14">
      <c r="F85" s="13" t="s">
        <v>828</v>
      </c>
      <c r="G85" s="13" t="s">
        <v>829</v>
      </c>
      <c r="H85" s="13"/>
      <c r="I85" s="13"/>
      <c r="J85" s="13"/>
      <c r="K85" s="13"/>
      <c r="L85" s="13"/>
      <c r="M85" s="13"/>
      <c r="N85" s="13"/>
    </row>
    <row r="86" ht="16.5" customHeight="1" spans="6:14">
      <c r="F86" s="13" t="s">
        <v>830</v>
      </c>
      <c r="G86" s="13" t="s">
        <v>831</v>
      </c>
      <c r="H86" s="13"/>
      <c r="I86" s="13"/>
      <c r="J86" s="13"/>
      <c r="K86" s="13"/>
      <c r="L86" s="13"/>
      <c r="M86" s="13"/>
      <c r="N86" s="13"/>
    </row>
    <row r="87" ht="16.5" customHeight="1" spans="6:14">
      <c r="F87" s="13" t="s">
        <v>832</v>
      </c>
      <c r="G87" s="13" t="s">
        <v>833</v>
      </c>
      <c r="H87" s="13"/>
      <c r="I87" s="13"/>
      <c r="J87" s="13"/>
      <c r="K87" s="13"/>
      <c r="L87" s="13"/>
      <c r="M87" s="13"/>
      <c r="N87" s="13"/>
    </row>
    <row r="88" ht="16.5" customHeight="1" spans="6:14">
      <c r="F88" s="7" t="s">
        <v>834</v>
      </c>
      <c r="G88" s="13" t="s">
        <v>835</v>
      </c>
      <c r="H88" s="13"/>
      <c r="I88" s="13"/>
      <c r="J88" s="13"/>
      <c r="K88" s="13"/>
      <c r="L88" s="13"/>
      <c r="M88" s="13"/>
      <c r="N88" s="13"/>
    </row>
    <row r="89" ht="16.5" customHeight="1" spans="6:14">
      <c r="F89" s="7" t="s">
        <v>836</v>
      </c>
      <c r="G89" s="13" t="s">
        <v>837</v>
      </c>
      <c r="H89" s="13"/>
      <c r="I89" s="13"/>
      <c r="J89" s="13"/>
      <c r="K89" s="13"/>
      <c r="L89" s="13"/>
      <c r="M89" s="13"/>
      <c r="N89" s="13"/>
    </row>
    <row r="90" ht="16.5" customHeight="1" spans="6:14">
      <c r="F90" s="7" t="s">
        <v>838</v>
      </c>
      <c r="G90" s="13" t="s">
        <v>839</v>
      </c>
      <c r="H90" s="13"/>
      <c r="I90" s="13"/>
      <c r="J90" s="13"/>
      <c r="K90" s="13"/>
      <c r="L90" s="13"/>
      <c r="M90" s="13"/>
      <c r="N90" s="13"/>
    </row>
    <row r="91" ht="16.5" customHeight="1" spans="6:14">
      <c r="F91" s="7" t="s">
        <v>840</v>
      </c>
      <c r="G91" s="13" t="s">
        <v>841</v>
      </c>
      <c r="H91" s="13"/>
      <c r="I91" s="13"/>
      <c r="J91" s="13"/>
      <c r="K91" s="13"/>
      <c r="L91" s="13"/>
      <c r="M91" s="13"/>
      <c r="N91" s="13"/>
    </row>
    <row r="92" ht="16.5" customHeight="1" spans="6:14">
      <c r="F92" s="7" t="s">
        <v>842</v>
      </c>
      <c r="G92" s="13" t="s">
        <v>843</v>
      </c>
      <c r="H92" s="13"/>
      <c r="I92" s="13"/>
      <c r="J92" s="13"/>
      <c r="K92" s="13"/>
      <c r="L92" s="13"/>
      <c r="M92" s="13"/>
      <c r="N92" s="13"/>
    </row>
    <row r="93" ht="16.5" customHeight="1" spans="6:14">
      <c r="F93" s="7" t="s">
        <v>844</v>
      </c>
      <c r="G93" s="13" t="s">
        <v>845</v>
      </c>
      <c r="H93" s="13"/>
      <c r="I93" s="13"/>
      <c r="J93" s="13"/>
      <c r="K93" s="13"/>
      <c r="L93" s="13"/>
      <c r="M93" s="13"/>
      <c r="N93" s="13"/>
    </row>
    <row r="94" ht="16.5" customHeight="1" spans="6:14">
      <c r="F94" s="7" t="s">
        <v>846</v>
      </c>
      <c r="G94" s="13" t="s">
        <v>847</v>
      </c>
      <c r="H94" s="13"/>
      <c r="I94" s="13"/>
      <c r="J94" s="13"/>
      <c r="K94" s="13"/>
      <c r="L94" s="13"/>
      <c r="M94" s="13"/>
      <c r="N94" s="13"/>
    </row>
    <row r="95" ht="16.5" customHeight="1" spans="6:14">
      <c r="F95" s="7" t="s">
        <v>848</v>
      </c>
      <c r="G95" s="13" t="s">
        <v>849</v>
      </c>
      <c r="H95" s="13"/>
      <c r="I95" s="13"/>
      <c r="J95" s="13"/>
      <c r="K95" s="13"/>
      <c r="L95" s="13"/>
      <c r="M95" s="13"/>
      <c r="N95" s="13"/>
    </row>
    <row r="96" ht="16.5" customHeight="1" spans="6:14">
      <c r="F96" s="7" t="s">
        <v>850</v>
      </c>
      <c r="G96" s="13" t="s">
        <v>851</v>
      </c>
      <c r="H96" s="13"/>
      <c r="I96" s="13"/>
      <c r="J96" s="13"/>
      <c r="K96" s="13"/>
      <c r="L96" s="13"/>
      <c r="M96" s="13"/>
      <c r="N96" s="13"/>
    </row>
    <row r="97" ht="16.5" customHeight="1" spans="6:14">
      <c r="F97" s="7" t="s">
        <v>852</v>
      </c>
      <c r="G97" s="13" t="s">
        <v>853</v>
      </c>
      <c r="H97" s="13"/>
      <c r="I97" s="13"/>
      <c r="J97" s="13"/>
      <c r="K97" s="13"/>
      <c r="L97" s="13"/>
      <c r="M97" s="13"/>
      <c r="N97" s="13"/>
    </row>
    <row r="98" ht="16.5" customHeight="1" spans="6:14">
      <c r="F98" s="7" t="s">
        <v>854</v>
      </c>
      <c r="G98" s="13" t="s">
        <v>855</v>
      </c>
      <c r="H98" s="13"/>
      <c r="I98" s="13"/>
      <c r="J98" s="13"/>
      <c r="K98" s="13"/>
      <c r="L98" s="13"/>
      <c r="M98" s="13"/>
      <c r="N98" s="13"/>
    </row>
    <row r="99" ht="16.5" customHeight="1" spans="6:14">
      <c r="F99" s="7" t="s">
        <v>856</v>
      </c>
      <c r="G99" s="13" t="s">
        <v>857</v>
      </c>
      <c r="H99" s="13"/>
      <c r="I99" s="13"/>
      <c r="J99" s="13"/>
      <c r="K99" s="13"/>
      <c r="L99" s="13"/>
      <c r="M99" s="13"/>
      <c r="N99" s="13"/>
    </row>
    <row r="100" ht="16.5" customHeight="1" spans="6:14">
      <c r="F100" s="13"/>
      <c r="G100" s="13"/>
      <c r="H100" s="13"/>
      <c r="I100" s="13"/>
      <c r="J100" s="13"/>
      <c r="K100" s="13"/>
      <c r="L100" s="13"/>
      <c r="M100" s="13"/>
      <c r="N100" s="13"/>
    </row>
  </sheetData>
  <conditionalFormatting sqref="J5">
    <cfRule type="duplicateValues" dxfId="0" priority="7"/>
  </conditionalFormatting>
  <conditionalFormatting sqref="L5">
    <cfRule type="duplicateValues" dxfId="0" priority="23"/>
  </conditionalFormatting>
  <conditionalFormatting sqref="O5">
    <cfRule type="duplicateValues" dxfId="0" priority="18"/>
  </conditionalFormatting>
  <conditionalFormatting sqref="J6">
    <cfRule type="duplicateValues" dxfId="0" priority="8"/>
  </conditionalFormatting>
  <conditionalFormatting sqref="L6">
    <cfRule type="duplicateValues" dxfId="0" priority="26"/>
  </conditionalFormatting>
  <conditionalFormatting sqref="O6">
    <cfRule type="duplicateValues" dxfId="0" priority="19"/>
  </conditionalFormatting>
  <conditionalFormatting sqref="O7">
    <cfRule type="duplicateValues" dxfId="0" priority="17"/>
  </conditionalFormatting>
  <conditionalFormatting sqref="O8">
    <cfRule type="duplicateValues" dxfId="0" priority="15"/>
  </conditionalFormatting>
  <conditionalFormatting sqref="J9">
    <cfRule type="duplicateValues" dxfId="0" priority="4"/>
  </conditionalFormatting>
  <conditionalFormatting sqref="L10">
    <cfRule type="duplicateValues" dxfId="0" priority="21"/>
  </conditionalFormatting>
  <conditionalFormatting sqref="L15">
    <cfRule type="duplicateValues" dxfId="0" priority="24"/>
  </conditionalFormatting>
  <conditionalFormatting sqref="O18">
    <cfRule type="duplicateValues" dxfId="0" priority="12"/>
  </conditionalFormatting>
  <conditionalFormatting sqref="O19">
    <cfRule type="duplicateValues" dxfId="0" priority="13"/>
  </conditionalFormatting>
  <conditionalFormatting sqref="J2:J4">
    <cfRule type="duplicateValues" dxfId="0" priority="9"/>
  </conditionalFormatting>
  <conditionalFormatting sqref="L2:L4">
    <cfRule type="duplicateValues" dxfId="0" priority="27"/>
  </conditionalFormatting>
  <conditionalFormatting sqref="L7:L9">
    <cfRule type="duplicateValues" dxfId="0" priority="22"/>
  </conditionalFormatting>
  <conditionalFormatting sqref="O2:O4">
    <cfRule type="duplicateValues" dxfId="0" priority="20"/>
  </conditionalFormatting>
  <conditionalFormatting sqref="O9:O12">
    <cfRule type="duplicateValues" dxfId="0" priority="14"/>
  </conditionalFormatting>
  <conditionalFormatting sqref="O13:O17">
    <cfRule type="duplicateValues" dxfId="0" priority="16"/>
  </conditionalFormatting>
  <conditionalFormatting sqref="O20:O22">
    <cfRule type="duplicateValues" dxfId="0" priority="11"/>
  </conditionalFormatting>
  <conditionalFormatting sqref="O23:O24">
    <cfRule type="duplicateValues" dxfId="0" priority="1"/>
  </conditionalFormatting>
  <conditionalFormatting sqref="H3:I17">
    <cfRule type="duplicateValues" dxfId="0" priority="3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S713"/>
  <sheetViews>
    <sheetView workbookViewId="0">
      <selection activeCell="N24" sqref="N5:O24"/>
    </sheetView>
  </sheetViews>
  <sheetFormatPr defaultColWidth="9" defaultRowHeight="17.4"/>
  <cols>
    <col min="12" max="12" width="17.5" customWidth="1"/>
    <col min="13" max="13" width="10.8333333333333" style="29" customWidth="1"/>
    <col min="14" max="14" width="17.125" customWidth="1"/>
  </cols>
  <sheetData>
    <row r="1" spans="12:19">
      <c r="M1" s="30" t="inlineStr">
        <is>
          <t xml:space="preserve">skill_class</t>
        </is>
      </c>
    </row>
    <row r="2" spans="12:19">
      <c r="M2" s="30"/>
    </row>
    <row r="3" spans="12:19">
      <c r="M3" s="30" t="inlineStr">
        <is>
          <t xml:space="preserve">ClassType</t>
        </is>
      </c>
    </row>
    <row r="4" spans="12:19">
      <c r="M4" s="30" t="inlineStr">
        <is>
          <t xml:space="preserve">技能系别</t>
        </is>
      </c>
    </row>
    <row r="5" spans="12:19">
      <c r="L5" s="33" t="inlineStr">
        <is>
          <t xml:space="preserve">参数_系别</t>
        </is>
      </c>
      <c r="M5" s="29" t="inlineStr">
        <is>
          <t xml:space="preserve">剑道</t>
        </is>
      </c>
      <c r="N5" t="str">
        <f>L5&amp;M5</f>
        <v>参数_系别剑道</v>
      </c>
      <c r="O5" s="34" t="inlineStr">
        <is>
          <t xml:space="preserve">1.png = 剑道</t>
        </is>
      </c>
      <c r="S5" s="34" t="inlineStr">
        <is>
          <t xml:space="preserve">1.png = 剑道</t>
        </is>
      </c>
    </row>
    <row r="6" spans="12:19">
      <c r="L6" s="33" t="inlineStr">
        <is>
          <t xml:space="preserve">参数_系别</t>
        </is>
      </c>
      <c r="M6" s="29" t="inlineStr">
        <is>
          <t xml:space="preserve">炼体</t>
        </is>
      </c>
      <c r="N6" t="str">
        <f t="shared" ref="N6:N24" si="0">L6&amp;M6</f>
        <v>参数_系别炼体</v>
      </c>
      <c r="O6" s="34" t="inlineStr">
        <is>
          <t xml:space="preserve">14.png = 炼体</t>
        </is>
      </c>
      <c r="S6" s="34" t="inlineStr">
        <is>
          <t xml:space="preserve">2.png = 灵植</t>
        </is>
      </c>
    </row>
    <row r="7" spans="12:19">
      <c r="L7" s="33" t="inlineStr">
        <is>
          <t xml:space="preserve">参数_系别</t>
        </is>
      </c>
      <c r="M7" s="18" t="inlineStr">
        <is>
          <t xml:space="preserve">金行</t>
        </is>
      </c>
      <c r="N7" t="str">
        <f t="shared" si="0"/>
        <v>参数_系别金行</v>
      </c>
      <c r="O7" s="34" t="inlineStr">
        <is>
          <t xml:space="preserve">8.png = 五行</t>
        </is>
      </c>
      <c r="S7" s="34" t="inlineStr">
        <is>
          <t xml:space="preserve">3.png = 灵材</t>
        </is>
      </c>
    </row>
    <row r="8" spans="12:19">
      <c r="L8" s="33" t="inlineStr">
        <is>
          <t xml:space="preserve">参数_系别</t>
        </is>
      </c>
      <c r="M8" s="18" t="inlineStr">
        <is>
          <t xml:space="preserve">木行</t>
        </is>
      </c>
      <c r="N8" t="str">
        <f t="shared" si="0"/>
        <v>参数_系别木行</v>
      </c>
      <c r="O8" s="34" t="inlineStr">
        <is>
          <t xml:space="preserve">8.png = 五行</t>
        </is>
      </c>
      <c r="S8" s="34" t="inlineStr">
        <is>
          <t xml:space="preserve">4.png = 炼丹</t>
        </is>
      </c>
    </row>
    <row r="9" spans="12:19">
      <c r="L9" s="33" t="inlineStr">
        <is>
          <t xml:space="preserve">参数_系别</t>
        </is>
      </c>
      <c r="M9" s="18" t="inlineStr">
        <is>
          <t xml:space="preserve">水行</t>
        </is>
      </c>
      <c r="N9" t="str">
        <f t="shared" si="0"/>
        <v>参数_系别水行</v>
      </c>
      <c r="O9" s="34" t="inlineStr">
        <is>
          <t xml:space="preserve">8.png = 五行</t>
        </is>
      </c>
      <c r="S9" s="34" t="inlineStr">
        <is>
          <t xml:space="preserve">5.png = 炼器</t>
        </is>
      </c>
    </row>
    <row r="10" spans="12:19">
      <c r="L10" s="33" t="inlineStr">
        <is>
          <t xml:space="preserve">参数_系别</t>
        </is>
      </c>
      <c r="M10" s="18" t="inlineStr">
        <is>
          <t xml:space="preserve">火行</t>
        </is>
      </c>
      <c r="N10" t="str">
        <f t="shared" si="0"/>
        <v>参数_系别火行</v>
      </c>
      <c r="O10" s="34" t="inlineStr">
        <is>
          <t xml:space="preserve">8.png = 五行</t>
        </is>
      </c>
      <c r="S10" s="34" t="inlineStr">
        <is>
          <t xml:space="preserve">6.png = 符箓</t>
        </is>
      </c>
    </row>
    <row r="11" spans="12:19">
      <c r="L11" s="33" t="inlineStr">
        <is>
          <t xml:space="preserve">参数_系别</t>
        </is>
      </c>
      <c r="M11" s="18" t="inlineStr">
        <is>
          <t xml:space="preserve">土行</t>
        </is>
      </c>
      <c r="N11" t="str">
        <f t="shared" si="0"/>
        <v>参数_系别土行</v>
      </c>
      <c r="O11" s="34" t="inlineStr">
        <is>
          <t xml:space="preserve">8.png = 五行</t>
        </is>
      </c>
      <c r="S11" s="34" t="inlineStr">
        <is>
          <t xml:space="preserve">7.png = 阵法</t>
        </is>
      </c>
    </row>
    <row r="12" spans="12:19">
      <c r="L12" s="33" t="inlineStr">
        <is>
          <t xml:space="preserve">参数_系别</t>
        </is>
      </c>
      <c r="M12" s="18" t="inlineStr">
        <is>
          <t xml:space="preserve">术法</t>
        </is>
      </c>
      <c r="N12" t="str">
        <f t="shared" si="0"/>
        <v>参数_系别术法</v>
      </c>
      <c r="O12" s="34" t="inlineStr">
        <is>
          <t xml:space="preserve">13.png = 术法</t>
        </is>
      </c>
      <c r="S12" s="34" t="inlineStr">
        <is>
          <t xml:space="preserve">8.png = 五行</t>
        </is>
      </c>
    </row>
    <row r="13" spans="12:19">
      <c r="L13" s="33" t="inlineStr">
        <is>
          <t xml:space="preserve">参数_系别</t>
        </is>
      </c>
      <c r="M13" s="29" t="inlineStr">
        <is>
          <t xml:space="preserve">灵植</t>
        </is>
      </c>
      <c r="N13" t="str">
        <f t="shared" si="0"/>
        <v>参数_系别灵植</v>
      </c>
      <c r="O13" s="34" t="inlineStr">
        <is>
          <t xml:space="preserve">2.png = 灵植</t>
        </is>
      </c>
      <c r="S13" s="34" t="inlineStr">
        <is>
          <t xml:space="preserve">9.png = 御兽</t>
        </is>
      </c>
    </row>
    <row r="14" spans="12:19">
      <c r="L14" s="33" t="inlineStr">
        <is>
          <t xml:space="preserve">参数_系别</t>
        </is>
      </c>
      <c r="M14" s="29" t="inlineStr">
        <is>
          <t xml:space="preserve">灵材</t>
        </is>
      </c>
      <c r="N14" t="str">
        <f t="shared" si="0"/>
        <v>参数_系别灵材</v>
      </c>
      <c r="O14" s="34" t="inlineStr">
        <is>
          <t xml:space="preserve">3.png = 灵材</t>
        </is>
      </c>
      <c r="S14" s="34" t="inlineStr">
        <is>
          <t xml:space="preserve">10.png = 修炼</t>
        </is>
      </c>
    </row>
    <row r="15" spans="12:19">
      <c r="L15" s="33" t="inlineStr">
        <is>
          <t xml:space="preserve">参数_系别</t>
        </is>
      </c>
      <c r="M15" s="29" t="inlineStr">
        <is>
          <t xml:space="preserve">炼丹</t>
        </is>
      </c>
      <c r="N15" t="str">
        <f t="shared" si="0"/>
        <v>参数_系别炼丹</v>
      </c>
      <c r="O15" s="34" t="inlineStr">
        <is>
          <t xml:space="preserve">4.png = 炼丹</t>
        </is>
      </c>
      <c r="S15" s="34" t="inlineStr">
        <is>
          <t xml:space="preserve">11.png = 破境</t>
        </is>
      </c>
    </row>
    <row r="16" spans="12:19">
      <c r="L16" s="33" t="inlineStr">
        <is>
          <t xml:space="preserve">参数_系别</t>
        </is>
      </c>
      <c r="M16" s="29" t="inlineStr">
        <is>
          <t xml:space="preserve">炼器</t>
        </is>
      </c>
      <c r="N16" t="str">
        <f t="shared" si="0"/>
        <v>参数_系别炼器</v>
      </c>
      <c r="O16" s="34" t="inlineStr">
        <is>
          <t xml:space="preserve">5.png = 炼器</t>
        </is>
      </c>
      <c r="S16" s="34" t="inlineStr">
        <is>
          <t xml:space="preserve">12.png = 神识</t>
        </is>
      </c>
    </row>
    <row r="17" spans="12:19">
      <c r="L17" s="33" t="inlineStr">
        <is>
          <t xml:space="preserve">参数_系别</t>
        </is>
      </c>
      <c r="M17" s="29" t="inlineStr">
        <is>
          <t xml:space="preserve">符箓</t>
        </is>
      </c>
      <c r="N17" t="str">
        <f t="shared" si="0"/>
        <v>参数_系别符箓</v>
      </c>
      <c r="O17" s="34" t="inlineStr">
        <is>
          <t xml:space="preserve">6.png = 符箓</t>
        </is>
      </c>
      <c r="S17" s="34" t="inlineStr">
        <is>
          <t xml:space="preserve">13.png = 术法</t>
        </is>
      </c>
    </row>
    <row r="18" spans="12:19">
      <c r="L18" s="33" t="inlineStr">
        <is>
          <t xml:space="preserve">参数_系别</t>
        </is>
      </c>
      <c r="M18" s="29" t="inlineStr">
        <is>
          <t xml:space="preserve">阵法</t>
        </is>
      </c>
      <c r="N18" t="str">
        <f t="shared" si="0"/>
        <v>参数_系别阵法</v>
      </c>
      <c r="O18" s="34" t="inlineStr">
        <is>
          <t xml:space="preserve">7.png = 阵法</t>
        </is>
      </c>
      <c r="S18" s="34" t="inlineStr">
        <is>
          <t xml:space="preserve">14.png = 炼体</t>
        </is>
      </c>
    </row>
    <row r="19" spans="12:19">
      <c r="L19" s="33" t="inlineStr">
        <is>
          <t xml:space="preserve">参数_系别</t>
        </is>
      </c>
      <c r="M19" s="29" t="inlineStr">
        <is>
          <t xml:space="preserve">御兽</t>
        </is>
      </c>
      <c r="N19" t="str">
        <f t="shared" si="0"/>
        <v>参数_系别御兽</v>
      </c>
      <c r="O19" s="34" t="inlineStr">
        <is>
          <t xml:space="preserve">9.png = 御兽</t>
        </is>
      </c>
    </row>
    <row r="20" spans="12:19">
      <c r="L20" s="33" t="inlineStr">
        <is>
          <t xml:space="preserve">参数_系别</t>
        </is>
      </c>
      <c r="M20" s="29" t="inlineStr">
        <is>
          <t xml:space="preserve">修炼</t>
        </is>
      </c>
      <c r="N20" t="str">
        <f t="shared" si="0"/>
        <v>参数_系别修炼</v>
      </c>
      <c r="O20" s="34" t="inlineStr">
        <is>
          <t xml:space="preserve">10.png = 修炼</t>
        </is>
      </c>
    </row>
    <row r="21" spans="12:19">
      <c r="L21" s="33" t="inlineStr">
        <is>
          <t xml:space="preserve">参数_系别</t>
        </is>
      </c>
      <c r="M21" s="29" t="inlineStr">
        <is>
          <t xml:space="preserve">破境</t>
        </is>
      </c>
      <c r="N21" t="str">
        <f t="shared" si="0"/>
        <v>参数_系别破境</v>
      </c>
      <c r="O21" s="34" t="inlineStr">
        <is>
          <t xml:space="preserve">11.png = 破境</t>
        </is>
      </c>
    </row>
    <row r="22" spans="12:19">
      <c r="L22" s="33" t="inlineStr">
        <is>
          <t xml:space="preserve">参数_系别</t>
        </is>
      </c>
      <c r="M22" s="29" t="inlineStr">
        <is>
          <t xml:space="preserve">神识</t>
        </is>
      </c>
      <c r="N22" t="str">
        <f t="shared" si="0"/>
        <v>参数_系别神识</v>
      </c>
      <c r="O22" s="34" t="inlineStr">
        <is>
          <t xml:space="preserve">12.png = 神识</t>
        </is>
      </c>
    </row>
    <row r="23" spans="12:19">
      <c r="L23" s="33" t="inlineStr">
        <is>
          <t xml:space="preserve">参数_系别</t>
        </is>
      </c>
      <c r="M23" s="29" t="inlineStr">
        <is>
          <t xml:space="preserve">五行</t>
        </is>
      </c>
      <c r="N23" t="str">
        <f t="shared" si="0"/>
        <v>参数_系别五行</v>
      </c>
      <c r="O23" s="34" t="inlineStr">
        <is>
          <t xml:space="preserve">8.png = 五行</t>
        </is>
      </c>
    </row>
    <row r="24" spans="12:19">
      <c r="L24" s="33" t="inlineStr">
        <is>
          <t xml:space="preserve">参数_系别</t>
        </is>
      </c>
      <c r="M24" s="29" t="inlineStr">
        <is>
          <t xml:space="preserve">神通</t>
        </is>
      </c>
      <c r="N24" t="str">
        <f t="shared" si="0"/>
        <v>参数_系别神通</v>
      </c>
      <c r="O24">
        <v>19</v>
      </c>
    </row>
    <row r="25" ht="15.6" spans="12:19">
      <c r="M25"/>
    </row>
    <row r="26" ht="15.6" spans="12:19">
      <c r="M26"/>
    </row>
    <row r="27" ht="15.6" spans="12:19">
      <c r="M27"/>
    </row>
    <row r="28" ht="15.6" spans="12:19">
      <c r="M28"/>
    </row>
    <row r="29" ht="15.6" spans="12:19">
      <c r="M29"/>
    </row>
    <row r="30" ht="15.6" spans="12:19">
      <c r="M30"/>
    </row>
    <row r="31" ht="15.6" spans="12:19">
      <c r="M31"/>
    </row>
    <row r="32" ht="15.6" spans="12:19">
      <c r="M32"/>
    </row>
    <row r="33" ht="15.6" spans="13:13">
      <c r="M33"/>
    </row>
    <row r="34" ht="15.6" spans="13:13">
      <c r="M34"/>
    </row>
    <row r="35" ht="15.6" spans="13:13">
      <c r="M35"/>
    </row>
    <row r="36" ht="15.6" spans="13:13">
      <c r="M36"/>
    </row>
    <row r="37" ht="15.6" spans="13:13">
      <c r="M37"/>
    </row>
    <row r="38" ht="15.6" spans="13:13">
      <c r="M38"/>
    </row>
    <row r="39" ht="15.6" spans="13:13">
      <c r="M39"/>
    </row>
    <row r="40" ht="15.6" spans="13:13">
      <c r="M40"/>
    </row>
    <row r="41" ht="15.6" spans="13:13">
      <c r="M41"/>
    </row>
    <row r="42" ht="15.6" spans="13:13">
      <c r="M42"/>
    </row>
    <row r="43" ht="15.6" spans="13:13">
      <c r="M43"/>
    </row>
    <row r="44" ht="15.6" spans="13:13">
      <c r="M44"/>
    </row>
    <row r="45" ht="15.6" spans="13:13">
      <c r="M45"/>
    </row>
    <row r="46" ht="15.6" spans="13:13">
      <c r="M46"/>
    </row>
    <row r="47" ht="15.6" spans="13:13">
      <c r="M47"/>
    </row>
    <row r="48" ht="15.6" spans="13:13">
      <c r="M48"/>
    </row>
    <row r="49" ht="15.6" spans="13:13">
      <c r="M49"/>
    </row>
    <row r="50" ht="15.6" spans="13:13">
      <c r="M50"/>
    </row>
    <row r="51" ht="15.6" spans="13:13">
      <c r="M51"/>
    </row>
    <row r="52" ht="15.6" spans="13:13">
      <c r="M52"/>
    </row>
    <row r="53" ht="15.6" spans="13:13">
      <c r="M53"/>
    </row>
    <row r="54" ht="15.6" spans="13:13">
      <c r="M54"/>
    </row>
    <row r="55" ht="15.6" spans="13:13">
      <c r="M55"/>
    </row>
    <row r="56" ht="15.6" spans="13:13">
      <c r="M56"/>
    </row>
    <row r="57" ht="15.6" spans="13:13">
      <c r="M57"/>
    </row>
    <row r="58" ht="15.6" spans="13:13">
      <c r="M58"/>
    </row>
    <row r="59" ht="15.6" spans="13:13">
      <c r="M59"/>
    </row>
    <row r="60" ht="15.6" spans="13:13">
      <c r="M60"/>
    </row>
    <row r="61" ht="15.6" spans="13:13">
      <c r="M61"/>
    </row>
    <row r="62" ht="15.6" spans="13:13">
      <c r="M62"/>
    </row>
    <row r="63" ht="15.6" spans="13:13">
      <c r="M63"/>
    </row>
    <row r="64" ht="15.6" spans="13:13">
      <c r="M64"/>
    </row>
    <row r="65" ht="15.6" spans="13:13">
      <c r="M65"/>
    </row>
    <row r="66" ht="15.6" spans="13:13">
      <c r="M66"/>
    </row>
    <row r="67" ht="15.6" spans="13:13">
      <c r="M67"/>
    </row>
    <row r="68" ht="15.6" spans="13:13">
      <c r="M68"/>
    </row>
    <row r="69" ht="15.6" spans="13:13">
      <c r="M69"/>
    </row>
    <row r="70" ht="15.6" spans="13:13">
      <c r="M70"/>
    </row>
    <row r="71" ht="15.6" spans="13:13">
      <c r="M71"/>
    </row>
    <row r="72" ht="15.6" spans="13:13">
      <c r="M72"/>
    </row>
    <row r="73" ht="15.6" spans="13:13">
      <c r="M73"/>
    </row>
    <row r="74" ht="15.6" spans="13:13">
      <c r="M74"/>
    </row>
    <row r="75" ht="15.6" spans="13:13">
      <c r="M75"/>
    </row>
    <row r="76" ht="15.6" spans="13:13">
      <c r="M76"/>
    </row>
    <row r="77" ht="15.6" spans="13:13">
      <c r="M77"/>
    </row>
    <row r="78" ht="15.6" spans="13:13">
      <c r="M78"/>
    </row>
    <row r="79" ht="15.6" spans="13:13">
      <c r="M79"/>
    </row>
    <row r="80" ht="15.6" spans="13:13">
      <c r="M80"/>
    </row>
    <row r="81" ht="15.6" spans="13:13">
      <c r="M81"/>
    </row>
    <row r="82" ht="15.6" spans="13:13">
      <c r="M82"/>
    </row>
    <row r="83" ht="15.6" spans="13:13">
      <c r="M83"/>
    </row>
    <row r="84" ht="15.6" spans="13:13">
      <c r="M84"/>
    </row>
    <row r="85" ht="15.6" spans="13:13">
      <c r="M85"/>
    </row>
    <row r="86" ht="15.6" spans="13:13">
      <c r="M86"/>
    </row>
    <row r="87" ht="15.6" spans="13:13">
      <c r="M87"/>
    </row>
    <row r="88" ht="15.6" spans="13:13">
      <c r="M88"/>
    </row>
    <row r="89" ht="15.6" spans="13:13">
      <c r="M89"/>
    </row>
    <row r="90" ht="15.6" spans="13:13">
      <c r="M90"/>
    </row>
    <row r="91" ht="15.6" spans="13:13">
      <c r="M91"/>
    </row>
    <row r="92" ht="15.6" spans="13:13">
      <c r="M92"/>
    </row>
    <row r="93" ht="15.6" spans="13:13">
      <c r="M93"/>
    </row>
    <row r="94" ht="15.6" spans="13:13">
      <c r="M94"/>
    </row>
    <row r="95" ht="15.6" spans="13:13">
      <c r="M95"/>
    </row>
    <row r="96" ht="15.6" spans="13:13">
      <c r="M96"/>
    </row>
    <row r="97" ht="15.6" spans="13:13">
      <c r="M97"/>
    </row>
    <row r="98" ht="15.6" spans="13:13">
      <c r="M98"/>
    </row>
    <row r="99" ht="15.6" spans="13:13">
      <c r="M99"/>
    </row>
    <row r="100" ht="15.6" spans="13:13">
      <c r="M100"/>
    </row>
    <row r="101" ht="15.6" spans="13:13">
      <c r="M101"/>
    </row>
    <row r="102" ht="15.6" spans="13:13">
      <c r="M102"/>
    </row>
    <row r="103" ht="15.6" spans="13:13">
      <c r="M103"/>
    </row>
    <row r="104" ht="15.6" spans="13:13">
      <c r="M104"/>
    </row>
    <row r="105" ht="15.6" spans="13:13">
      <c r="M105"/>
    </row>
    <row r="106" ht="15.6" spans="13:13">
      <c r="M106"/>
    </row>
    <row r="107" ht="15.6" spans="13:13">
      <c r="M107"/>
    </row>
    <row r="108" ht="15.6" spans="13:13">
      <c r="M108"/>
    </row>
    <row r="109" ht="15.6" spans="13:13">
      <c r="M109"/>
    </row>
    <row r="110" ht="15.6" spans="13:13">
      <c r="M110"/>
    </row>
    <row r="111" ht="15.6" spans="13:13">
      <c r="M111"/>
    </row>
    <row r="112" ht="15.6" spans="13:13">
      <c r="M112"/>
    </row>
    <row r="113" ht="15.6" spans="13:13">
      <c r="M113"/>
    </row>
    <row r="114" ht="15.6" spans="13:13">
      <c r="M114"/>
    </row>
    <row r="115" ht="15.6" spans="13:13">
      <c r="M115"/>
    </row>
    <row r="116" ht="15.6" spans="13:13">
      <c r="M116"/>
    </row>
    <row r="117" ht="15.6" spans="13:13">
      <c r="M117"/>
    </row>
    <row r="118" ht="15.6" spans="13:13">
      <c r="M118"/>
    </row>
    <row r="119" ht="15.6" spans="13:13">
      <c r="M119"/>
    </row>
    <row r="120" ht="15.6" spans="13:13">
      <c r="M120"/>
    </row>
    <row r="121" ht="15.6" spans="13:13">
      <c r="M121"/>
    </row>
    <row r="122" ht="15.6" spans="13:13">
      <c r="M122"/>
    </row>
    <row r="123" ht="15.6" spans="13:13">
      <c r="M123"/>
    </row>
    <row r="124" ht="15.6" spans="13:13">
      <c r="M124"/>
    </row>
    <row r="125" ht="15.6" spans="13:13">
      <c r="M125"/>
    </row>
    <row r="126" ht="15.6" spans="13:13">
      <c r="M126"/>
    </row>
    <row r="127" ht="15.6" spans="13:13">
      <c r="M127"/>
    </row>
    <row r="128" ht="15.6" spans="13:13">
      <c r="M128"/>
    </row>
    <row r="129" ht="15.6" spans="13:13">
      <c r="M129"/>
    </row>
    <row r="130" ht="15.6" spans="13:13">
      <c r="M130"/>
    </row>
    <row r="131" ht="15.6" spans="13:13">
      <c r="M131"/>
    </row>
    <row r="132" ht="15.6" spans="13:13">
      <c r="M132"/>
    </row>
    <row r="133" ht="15.6" spans="13:13">
      <c r="M133"/>
    </row>
    <row r="134" ht="15.6" spans="13:13">
      <c r="M134"/>
    </row>
    <row r="135" ht="15.6" spans="13:13">
      <c r="M135"/>
    </row>
    <row r="136" ht="15.6" spans="13:13">
      <c r="M136"/>
    </row>
    <row r="137" ht="15.6" spans="13:13">
      <c r="M137"/>
    </row>
    <row r="138" ht="15.6" spans="13:13">
      <c r="M138"/>
    </row>
    <row r="139" ht="15.6" spans="13:13">
      <c r="M139"/>
    </row>
    <row r="140" ht="15.6" spans="13:13">
      <c r="M140"/>
    </row>
    <row r="141" ht="15.6" spans="13:13">
      <c r="M141"/>
    </row>
    <row r="142" ht="15.6" spans="13:13">
      <c r="M142"/>
    </row>
    <row r="143" ht="15.6" spans="13:13">
      <c r="M143"/>
    </row>
    <row r="144" ht="15.6" spans="13:13">
      <c r="M144"/>
    </row>
    <row r="145" ht="15.6" spans="13:13">
      <c r="M145"/>
    </row>
    <row r="146" ht="15.6" spans="13:13">
      <c r="M146"/>
    </row>
    <row r="147" ht="15.6" spans="13:13">
      <c r="M147"/>
    </row>
    <row r="148" ht="15.6" spans="13:13">
      <c r="M148"/>
    </row>
    <row r="149" ht="15.6" spans="13:13">
      <c r="M149"/>
    </row>
    <row r="150" ht="15.6" spans="13:13">
      <c r="M150"/>
    </row>
    <row r="151" ht="15.6" spans="13:13">
      <c r="M151"/>
    </row>
    <row r="152" ht="15.6" spans="13:13">
      <c r="M152"/>
    </row>
    <row r="153" ht="15.6" spans="13:13">
      <c r="M153"/>
    </row>
    <row r="154" ht="15.6" spans="13:13">
      <c r="M154"/>
    </row>
    <row r="155" ht="15.6" spans="13:13">
      <c r="M155"/>
    </row>
    <row r="156" ht="15.6" spans="13:13">
      <c r="M156"/>
    </row>
    <row r="157" ht="15.6" spans="13:13">
      <c r="M157"/>
    </row>
    <row r="158" ht="15.6" spans="13:13">
      <c r="M158"/>
    </row>
    <row r="159" ht="15.6" spans="13:13">
      <c r="M159"/>
    </row>
    <row r="160" ht="15.6" spans="13:13">
      <c r="M160"/>
    </row>
    <row r="161" ht="15.6" spans="13:13">
      <c r="M161"/>
    </row>
    <row r="162" ht="15.6" spans="13:13">
      <c r="M162"/>
    </row>
    <row r="163" ht="15.6" spans="13:13">
      <c r="M163"/>
    </row>
    <row r="164" ht="15.6" spans="13:13">
      <c r="M164"/>
    </row>
    <row r="165" ht="15.6" spans="13:13">
      <c r="M165"/>
    </row>
    <row r="166" ht="15.6" spans="13:13">
      <c r="M166"/>
    </row>
    <row r="167" ht="15.6" spans="13:13">
      <c r="M167"/>
    </row>
    <row r="168" ht="15.6" spans="13:13">
      <c r="M168"/>
    </row>
    <row r="169" ht="15.6" spans="13:13">
      <c r="M169"/>
    </row>
    <row r="170" ht="15.6" spans="13:13">
      <c r="M170"/>
    </row>
    <row r="171" ht="15.6" spans="13:13">
      <c r="M171"/>
    </row>
    <row r="172" ht="15.6" spans="13:13">
      <c r="M172"/>
    </row>
    <row r="173" ht="15.6" spans="13:13">
      <c r="M173"/>
    </row>
    <row r="174" ht="15.6" spans="13:13">
      <c r="M174"/>
    </row>
    <row r="175" ht="15.6" spans="13:13">
      <c r="M175"/>
    </row>
    <row r="176" ht="15.6" spans="13:13">
      <c r="M176"/>
    </row>
    <row r="177" ht="15.6" spans="13:13">
      <c r="M177"/>
    </row>
    <row r="178" ht="15.6" spans="13:13">
      <c r="M178"/>
    </row>
    <row r="179" ht="15.6" spans="13:13">
      <c r="M179"/>
    </row>
    <row r="180" ht="15.6" spans="13:13">
      <c r="M180"/>
    </row>
    <row r="181" ht="15.6" spans="13:13">
      <c r="M181"/>
    </row>
    <row r="182" ht="15.6" spans="13:13">
      <c r="M182"/>
    </row>
    <row r="183" ht="15.6" spans="13:13">
      <c r="M183"/>
    </row>
    <row r="184" ht="15.6" spans="13:13">
      <c r="M184"/>
    </row>
    <row r="185" ht="15.6" spans="13:13">
      <c r="M185"/>
    </row>
    <row r="186" ht="15.6" spans="13:13">
      <c r="M186"/>
    </row>
    <row r="187" ht="15.6" spans="13:13">
      <c r="M187"/>
    </row>
    <row r="188" ht="15.6" spans="13:13">
      <c r="M188"/>
    </row>
    <row r="189" ht="15.6" spans="13:13">
      <c r="M189"/>
    </row>
    <row r="190" ht="15.6" spans="13:13">
      <c r="M190"/>
    </row>
    <row r="191" ht="15.6" spans="13:13">
      <c r="M191"/>
    </row>
    <row r="192" ht="15.6" spans="13:13">
      <c r="M192"/>
    </row>
    <row r="193" ht="15.6" spans="13:13">
      <c r="M193"/>
    </row>
    <row r="194" ht="15.6" spans="13:13">
      <c r="M194"/>
    </row>
    <row r="195" ht="15.6" spans="13:13">
      <c r="M195"/>
    </row>
    <row r="196" ht="15.6" spans="13:13">
      <c r="M196"/>
    </row>
    <row r="197" ht="15.6" spans="13:13">
      <c r="M197"/>
    </row>
    <row r="198" ht="15.6" spans="13:13">
      <c r="M198"/>
    </row>
    <row r="199" ht="15.6" spans="13:13">
      <c r="M199"/>
    </row>
    <row r="200" ht="15.6" spans="13:13">
      <c r="M200"/>
    </row>
    <row r="201" ht="15.6" spans="13:13">
      <c r="M201"/>
    </row>
    <row r="202" ht="15.6" spans="13:13">
      <c r="M202"/>
    </row>
    <row r="203" ht="15.6" spans="13:13">
      <c r="M203"/>
    </row>
    <row r="204" ht="15.6" spans="13:13">
      <c r="M204"/>
    </row>
    <row r="205" ht="15.6" spans="13:13">
      <c r="M205"/>
    </row>
    <row r="206" ht="15.6" spans="13:13">
      <c r="M206"/>
    </row>
    <row r="207" ht="15.6" spans="13:13">
      <c r="M207"/>
    </row>
    <row r="208" ht="15.6" spans="13:13">
      <c r="M208"/>
    </row>
    <row r="209" ht="15.6" spans="13:13">
      <c r="M209"/>
    </row>
    <row r="210" ht="15.6" spans="13:13">
      <c r="M210"/>
    </row>
    <row r="211" ht="15.6" spans="13:13">
      <c r="M211"/>
    </row>
    <row r="212" ht="15.6" spans="13:13">
      <c r="M212"/>
    </row>
    <row r="213" ht="15.6" spans="13:13">
      <c r="M213"/>
    </row>
    <row r="214" ht="15.6" spans="13:13">
      <c r="M214"/>
    </row>
    <row r="215" ht="15.6" spans="13:13">
      <c r="M215"/>
    </row>
    <row r="216" ht="15.6" spans="13:13">
      <c r="M216"/>
    </row>
    <row r="217" ht="15.6" spans="13:13">
      <c r="M217"/>
    </row>
    <row r="218" ht="15.6" spans="13:13">
      <c r="M218"/>
    </row>
    <row r="219" ht="15.6" spans="13:13">
      <c r="M219"/>
    </row>
    <row r="220" ht="15.6" spans="13:13">
      <c r="M220"/>
    </row>
    <row r="221" ht="15.6" spans="13:13">
      <c r="M221"/>
    </row>
    <row r="222" ht="15.6" spans="13:13">
      <c r="M222"/>
    </row>
    <row r="223" ht="15.6" spans="13:13">
      <c r="M223"/>
    </row>
    <row r="224" ht="15.6" spans="13:13">
      <c r="M224"/>
    </row>
    <row r="225" ht="15.6" spans="13:13">
      <c r="M225"/>
    </row>
    <row r="226" ht="15.6" spans="13:13">
      <c r="M226"/>
    </row>
    <row r="227" ht="15.6" spans="13:13">
      <c r="M227"/>
    </row>
    <row r="228" ht="15.6" spans="13:13">
      <c r="M228"/>
    </row>
    <row r="229" ht="15.6" spans="13:13">
      <c r="M229"/>
    </row>
    <row r="230" ht="15.6" spans="13:13">
      <c r="M230"/>
    </row>
    <row r="231" ht="15.6" spans="13:13">
      <c r="M231"/>
    </row>
    <row r="232" ht="15.6" spans="13:13">
      <c r="M232"/>
    </row>
    <row r="233" ht="15.6" spans="13:13">
      <c r="M233"/>
    </row>
    <row r="234" ht="15.6" spans="13:13">
      <c r="M234"/>
    </row>
    <row r="235" ht="15.6" spans="13:13">
      <c r="M235"/>
    </row>
    <row r="236" ht="15.6" spans="13:13">
      <c r="M236"/>
    </row>
    <row r="237" ht="15.6" spans="13:13">
      <c r="M237"/>
    </row>
    <row r="238" ht="15.6" spans="13:13">
      <c r="M238"/>
    </row>
    <row r="239" ht="15.6" spans="13:13">
      <c r="M239"/>
    </row>
    <row r="240" ht="15.6" spans="13:13">
      <c r="M240"/>
    </row>
    <row r="241" ht="15.6" spans="13:13">
      <c r="M241"/>
    </row>
    <row r="242" ht="15.6" spans="13:13">
      <c r="M242"/>
    </row>
    <row r="243" ht="15.6" spans="13:13">
      <c r="M243"/>
    </row>
    <row r="244" ht="15.6" spans="13:13">
      <c r="M244"/>
    </row>
    <row r="245" ht="15.6" spans="13:13">
      <c r="M245"/>
    </row>
    <row r="246" ht="15.6" spans="13:13">
      <c r="M246"/>
    </row>
    <row r="247" ht="15.6" spans="13:13">
      <c r="M247"/>
    </row>
    <row r="248" ht="15.6" spans="13:13">
      <c r="M248"/>
    </row>
    <row r="249" ht="15.6" spans="13:13">
      <c r="M249"/>
    </row>
    <row r="250" ht="15.6" spans="13:13">
      <c r="M250"/>
    </row>
    <row r="251" ht="15.6" spans="13:13">
      <c r="M251"/>
    </row>
    <row r="252" ht="15.6" spans="13:13">
      <c r="M252"/>
    </row>
    <row r="253" ht="15.6" spans="13:13">
      <c r="M253"/>
    </row>
    <row r="254" ht="15.6" spans="13:13">
      <c r="M254"/>
    </row>
    <row r="255" ht="15.6" spans="13:13">
      <c r="M255"/>
    </row>
    <row r="256" ht="15.6" spans="13:13">
      <c r="M256"/>
    </row>
    <row r="257" ht="15.6" spans="13:13">
      <c r="M257"/>
    </row>
    <row r="258" ht="15.6" spans="13:13">
      <c r="M258"/>
    </row>
    <row r="259" ht="15.6" spans="13:13">
      <c r="M259"/>
    </row>
    <row r="260" ht="15.6" spans="13:13">
      <c r="M260"/>
    </row>
    <row r="261" ht="15.6" spans="13:13">
      <c r="M261"/>
    </row>
    <row r="262" ht="15.6" spans="13:13">
      <c r="M262"/>
    </row>
    <row r="263" ht="15.6" spans="13:13">
      <c r="M263"/>
    </row>
    <row r="264" ht="15.6" spans="13:13">
      <c r="M264"/>
    </row>
    <row r="265" ht="15.6" spans="13:13">
      <c r="M265"/>
    </row>
    <row r="266" ht="15.6" spans="13:13">
      <c r="M266"/>
    </row>
    <row r="267" ht="15.6" spans="13:13">
      <c r="M267"/>
    </row>
    <row r="268" ht="15.6" spans="13:13">
      <c r="M268"/>
    </row>
    <row r="269" ht="15.6" spans="13:13">
      <c r="M269"/>
    </row>
    <row r="270" ht="15.6" spans="13:13">
      <c r="M270"/>
    </row>
    <row r="271" ht="15.6" spans="13:13">
      <c r="M271"/>
    </row>
    <row r="272" ht="15.6" spans="13:13">
      <c r="M272"/>
    </row>
    <row r="273" ht="15.6" spans="13:13">
      <c r="M273"/>
    </row>
    <row r="274" ht="15.6" spans="13:13">
      <c r="M274"/>
    </row>
    <row r="275" ht="15.6" spans="13:13">
      <c r="M275"/>
    </row>
    <row r="276" ht="15.6" spans="13:13">
      <c r="M276"/>
    </row>
    <row r="277" ht="15.6" spans="13:13">
      <c r="M277"/>
    </row>
    <row r="278" ht="15.6" spans="13:13">
      <c r="M278"/>
    </row>
    <row r="279" ht="15.6" spans="13:13">
      <c r="M279"/>
    </row>
    <row r="280" ht="15.6" spans="13:13">
      <c r="M280"/>
    </row>
    <row r="281" ht="15.6" spans="13:13">
      <c r="M281"/>
    </row>
    <row r="282" ht="15.6" spans="13:13">
      <c r="M282"/>
    </row>
    <row r="283" ht="15.6" spans="13:13">
      <c r="M283"/>
    </row>
    <row r="284" ht="15.6" spans="13:13">
      <c r="M284"/>
    </row>
    <row r="285" ht="15.6" spans="13:13">
      <c r="M285"/>
    </row>
    <row r="286" ht="15.6" spans="13:13">
      <c r="M286"/>
    </row>
    <row r="287" ht="15.6" spans="13:13">
      <c r="M287"/>
    </row>
    <row r="288" ht="15.6" spans="13:13">
      <c r="M288"/>
    </row>
    <row r="289" ht="15.6" spans="13:13">
      <c r="M289"/>
    </row>
    <row r="290" ht="15.6" spans="13:13">
      <c r="M290"/>
    </row>
    <row r="291" ht="15.6" spans="13:13">
      <c r="M291"/>
    </row>
    <row r="292" ht="15.6" spans="13:13">
      <c r="M292"/>
    </row>
    <row r="293" ht="15.6" spans="13:13">
      <c r="M293"/>
    </row>
    <row r="294" ht="15.6" spans="13:13">
      <c r="M294"/>
    </row>
    <row r="295" ht="15.6" spans="13:13">
      <c r="M295"/>
    </row>
    <row r="296" ht="15.6" spans="13:13">
      <c r="M296"/>
    </row>
    <row r="297" ht="15.6" spans="13:13">
      <c r="M297"/>
    </row>
    <row r="298" ht="15.6" spans="13:13">
      <c r="M298"/>
    </row>
    <row r="299" ht="15.6" spans="13:13">
      <c r="M299"/>
    </row>
    <row r="300" ht="15.6" spans="13:13">
      <c r="M300"/>
    </row>
    <row r="301" ht="15.6" spans="13:13">
      <c r="M301"/>
    </row>
    <row r="302" ht="15.6" spans="13:13">
      <c r="M302"/>
    </row>
    <row r="303" ht="15.6" spans="13:13">
      <c r="M303"/>
    </row>
    <row r="304" ht="15.6" spans="13:13">
      <c r="M304"/>
    </row>
    <row r="305" ht="15.6" spans="13:13">
      <c r="M305"/>
    </row>
    <row r="306" ht="15.6" spans="13:13">
      <c r="M306"/>
    </row>
    <row r="307" ht="15.6" spans="13:13">
      <c r="M307"/>
    </row>
    <row r="308" ht="15.6" spans="13:13">
      <c r="M308"/>
    </row>
    <row r="309" ht="15.6" spans="13:13">
      <c r="M309"/>
    </row>
    <row r="310" ht="15.6" spans="13:13">
      <c r="M310"/>
    </row>
    <row r="311" ht="15.6" spans="13:13">
      <c r="M311"/>
    </row>
    <row r="312" ht="15.6" spans="13:13">
      <c r="M312"/>
    </row>
    <row r="313" ht="15.6" spans="13:13">
      <c r="M313"/>
    </row>
    <row r="314" ht="15.6" spans="13:13">
      <c r="M314"/>
    </row>
    <row r="315" ht="15.6" spans="13:13">
      <c r="M315"/>
    </row>
    <row r="316" ht="15.6" spans="13:13">
      <c r="M316"/>
    </row>
    <row r="317" ht="15.6" spans="13:13">
      <c r="M317"/>
    </row>
    <row r="318" ht="15.6" spans="13:13">
      <c r="M318"/>
    </row>
    <row r="319" ht="15.6" spans="13:13">
      <c r="M319"/>
    </row>
    <row r="320" ht="15.6" spans="13:13">
      <c r="M320"/>
    </row>
    <row r="321" ht="15.6" spans="13:13">
      <c r="M321"/>
    </row>
    <row r="322" ht="15.6" spans="13:13">
      <c r="M322"/>
    </row>
    <row r="323" ht="15.6" spans="13:13">
      <c r="M323"/>
    </row>
    <row r="324" ht="15.6" spans="13:13">
      <c r="M324"/>
    </row>
    <row r="325" ht="15.6" spans="13:13">
      <c r="M325"/>
    </row>
    <row r="326" ht="15.6" spans="13:13">
      <c r="M326"/>
    </row>
    <row r="327" ht="15.6" spans="13:13">
      <c r="M327"/>
    </row>
    <row r="328" ht="15.6" spans="13:13">
      <c r="M328"/>
    </row>
    <row r="329" ht="15.6" spans="13:13">
      <c r="M329"/>
    </row>
    <row r="330" ht="15.6" spans="13:13">
      <c r="M330"/>
    </row>
    <row r="331" ht="15.6" spans="13:13">
      <c r="M331"/>
    </row>
    <row r="332" ht="15.6" spans="13:13">
      <c r="M332"/>
    </row>
    <row r="333" ht="15.6" spans="13:13">
      <c r="M333"/>
    </row>
    <row r="334" ht="15.6" spans="13:13">
      <c r="M334"/>
    </row>
    <row r="335" ht="15.6" spans="13:13">
      <c r="M335"/>
    </row>
    <row r="336" ht="15.6" spans="13:13">
      <c r="M336"/>
    </row>
    <row r="337" ht="15.6" spans="13:13">
      <c r="M337"/>
    </row>
    <row r="338" ht="15.6" spans="13:13">
      <c r="M338"/>
    </row>
    <row r="339" ht="15.6" spans="13:13">
      <c r="M339"/>
    </row>
    <row r="340" ht="15.6" spans="13:13">
      <c r="M340"/>
    </row>
    <row r="341" ht="15.6" spans="13:13">
      <c r="M341"/>
    </row>
    <row r="342" ht="15.6" spans="13:13">
      <c r="M342"/>
    </row>
    <row r="343" ht="15.6" spans="13:13">
      <c r="M343"/>
    </row>
    <row r="344" ht="15.6" spans="13:13">
      <c r="M344"/>
    </row>
    <row r="345" ht="15.6" spans="13:13">
      <c r="M345"/>
    </row>
    <row r="346" ht="15.6" spans="13:13">
      <c r="M346"/>
    </row>
    <row r="347" ht="15.6" spans="13:13">
      <c r="M347"/>
    </row>
    <row r="348" ht="15.6" spans="13:13">
      <c r="M348"/>
    </row>
    <row r="349" ht="15.6" spans="13:13">
      <c r="M349"/>
    </row>
    <row r="350" ht="15.6" spans="13:13">
      <c r="M350"/>
    </row>
    <row r="351" ht="15.6" spans="13:13">
      <c r="M351"/>
    </row>
    <row r="352" ht="15.6" spans="13:13">
      <c r="M352"/>
    </row>
    <row r="353" ht="15.6" spans="13:13">
      <c r="M353"/>
    </row>
    <row r="354" ht="15.6" spans="13:13">
      <c r="M354"/>
    </row>
    <row r="355" ht="15.6" spans="13:13">
      <c r="M355"/>
    </row>
    <row r="356" ht="15.6" spans="13:13">
      <c r="M356"/>
    </row>
    <row r="357" ht="15.6" spans="13:13">
      <c r="M357"/>
    </row>
    <row r="358" ht="15.6" spans="13:13">
      <c r="M358"/>
    </row>
    <row r="359" ht="15.6" spans="13:13">
      <c r="M359"/>
    </row>
    <row r="360" ht="15.6" spans="13:13">
      <c r="M360"/>
    </row>
    <row r="361" ht="15.6" spans="13:13">
      <c r="M361"/>
    </row>
    <row r="362" ht="15.6" spans="13:13">
      <c r="M362"/>
    </row>
    <row r="363" ht="15.6" spans="13:13">
      <c r="M363"/>
    </row>
    <row r="364" ht="15.6" spans="13:13">
      <c r="M364"/>
    </row>
    <row r="365" ht="15.6" spans="13:13">
      <c r="M365"/>
    </row>
    <row r="366" ht="15.6" spans="13:13">
      <c r="M366"/>
    </row>
    <row r="367" ht="15.6" spans="13:13">
      <c r="M367"/>
    </row>
    <row r="368" ht="15.6" spans="13:13">
      <c r="M368"/>
    </row>
    <row r="369" ht="15.6" spans="13:13">
      <c r="M369"/>
    </row>
    <row r="370" ht="15.6" spans="13:13">
      <c r="M370"/>
    </row>
    <row r="371" ht="15.6" spans="13:13">
      <c r="M371"/>
    </row>
    <row r="372" ht="15.6" spans="13:13">
      <c r="M372"/>
    </row>
    <row r="373" ht="15.6" spans="13:13">
      <c r="M373"/>
    </row>
    <row r="374" ht="15.6" spans="13:13">
      <c r="M374"/>
    </row>
    <row r="375" ht="15.6" spans="13:13">
      <c r="M375"/>
    </row>
    <row r="376" ht="15.6" spans="13:13">
      <c r="M376"/>
    </row>
    <row r="377" ht="15.6" spans="13:13">
      <c r="M377"/>
    </row>
    <row r="378" ht="15.6" spans="13:13">
      <c r="M378"/>
    </row>
    <row r="379" ht="15.6" spans="13:13">
      <c r="M379"/>
    </row>
    <row r="380" ht="15.6" spans="13:13">
      <c r="M380"/>
    </row>
    <row r="381" ht="15.6" spans="13:13">
      <c r="M381"/>
    </row>
    <row r="382" ht="15.6" spans="13:13">
      <c r="M382"/>
    </row>
    <row r="383" ht="15.6" spans="13:13">
      <c r="M383"/>
    </row>
    <row r="384" ht="15.6" spans="13:13">
      <c r="M384"/>
    </row>
    <row r="385" ht="15.6" spans="13:13">
      <c r="M385"/>
    </row>
    <row r="386" ht="15.6" spans="13:13">
      <c r="M386"/>
    </row>
    <row r="387" ht="15.6" spans="13:13">
      <c r="M387"/>
    </row>
    <row r="388" ht="15.6" spans="13:13">
      <c r="M388"/>
    </row>
    <row r="389" ht="15.6" spans="13:13">
      <c r="M389"/>
    </row>
    <row r="390" ht="15.6" spans="13:13">
      <c r="M390"/>
    </row>
    <row r="391" ht="15.6" spans="13:13">
      <c r="M391"/>
    </row>
    <row r="392" ht="15.6" spans="13:13">
      <c r="M392"/>
    </row>
    <row r="393" ht="15.6" spans="13:13">
      <c r="M393"/>
    </row>
    <row r="394" ht="15.6" spans="13:13">
      <c r="M394"/>
    </row>
    <row r="395" ht="15.6" spans="13:13">
      <c r="M395"/>
    </row>
    <row r="396" ht="15.6" spans="13:13">
      <c r="M396"/>
    </row>
    <row r="397" ht="15.6" spans="13:13">
      <c r="M397"/>
    </row>
    <row r="398" ht="15.6" spans="13:13">
      <c r="M398"/>
    </row>
    <row r="399" ht="15.6" spans="13:13">
      <c r="M399"/>
    </row>
    <row r="400" ht="15.6" spans="13:13">
      <c r="M400"/>
    </row>
    <row r="401" ht="15.6" spans="13:13">
      <c r="M401"/>
    </row>
    <row r="402" ht="15.6" spans="13:13">
      <c r="M402"/>
    </row>
    <row r="403" ht="15.6" spans="13:13">
      <c r="M403"/>
    </row>
    <row r="404" ht="15.6" spans="13:13">
      <c r="M404"/>
    </row>
    <row r="405" ht="15.6" spans="13:13">
      <c r="M405"/>
    </row>
    <row r="406" ht="15.6" spans="13:13">
      <c r="M406"/>
    </row>
    <row r="407" ht="15.6" spans="13:13">
      <c r="M407"/>
    </row>
    <row r="408" ht="15.6" spans="13:13">
      <c r="M408"/>
    </row>
    <row r="409" ht="15.6" spans="13:13">
      <c r="M409"/>
    </row>
    <row r="410" ht="15.6" spans="13:13">
      <c r="M410"/>
    </row>
    <row r="411" ht="15.6" spans="13:13">
      <c r="M411"/>
    </row>
    <row r="412" ht="15.6" spans="13:13">
      <c r="M412"/>
    </row>
    <row r="413" ht="15.6" spans="13:13">
      <c r="M413"/>
    </row>
    <row r="414" ht="15.6" spans="13:13">
      <c r="M414"/>
    </row>
    <row r="415" ht="15.6" spans="13:13">
      <c r="M415"/>
    </row>
    <row r="416" ht="15.6" spans="13:13">
      <c r="M416"/>
    </row>
    <row r="417" ht="15.6" spans="13:13">
      <c r="M417"/>
    </row>
    <row r="418" ht="15.6" spans="13:13">
      <c r="M418"/>
    </row>
    <row r="419" ht="15.6" spans="13:13">
      <c r="M419"/>
    </row>
    <row r="420" ht="15.6" spans="13:13">
      <c r="M420"/>
    </row>
    <row r="421" ht="15.6" spans="13:13">
      <c r="M421"/>
    </row>
    <row r="422" ht="15.6" spans="13:13">
      <c r="M422"/>
    </row>
    <row r="423" ht="15.6" spans="13:13">
      <c r="M423"/>
    </row>
    <row r="424" ht="15.6" spans="13:13">
      <c r="M424"/>
    </row>
    <row r="425" ht="15.6" spans="13:13">
      <c r="M425"/>
    </row>
    <row r="426" ht="15.6" spans="13:13">
      <c r="M426"/>
    </row>
    <row r="427" ht="15.6" spans="13:13">
      <c r="M427"/>
    </row>
    <row r="428" ht="15.6" spans="13:13">
      <c r="M428"/>
    </row>
    <row r="429" ht="15.6" spans="13:13">
      <c r="M429"/>
    </row>
    <row r="430" ht="15.6" spans="13:13">
      <c r="M430"/>
    </row>
    <row r="431" ht="15.6" spans="13:13">
      <c r="M431"/>
    </row>
    <row r="432" ht="15.6" spans="13:13">
      <c r="M432"/>
    </row>
    <row r="433" ht="15.6" spans="13:13">
      <c r="M433"/>
    </row>
    <row r="434" ht="15.6" spans="13:13">
      <c r="M434"/>
    </row>
    <row r="435" ht="15.6" spans="13:13">
      <c r="M435"/>
    </row>
    <row r="436" ht="15.6" spans="13:13">
      <c r="M436"/>
    </row>
    <row r="437" ht="15.6" spans="13:13">
      <c r="M437"/>
    </row>
    <row r="438" ht="15.6" spans="13:13">
      <c r="M438"/>
    </row>
    <row r="439" ht="15.6" spans="13:13">
      <c r="M439"/>
    </row>
    <row r="440" ht="15.6" spans="13:13">
      <c r="M440"/>
    </row>
    <row r="441" ht="15.6" spans="13:13">
      <c r="M441"/>
    </row>
    <row r="442" ht="15.6" spans="13:13">
      <c r="M442"/>
    </row>
    <row r="443" ht="15.6" spans="13:13">
      <c r="M443"/>
    </row>
    <row r="444" ht="15.6" spans="13:13">
      <c r="M444"/>
    </row>
    <row r="445" ht="15.6" spans="13:13">
      <c r="M445"/>
    </row>
    <row r="446" ht="15.6" spans="13:13">
      <c r="M446"/>
    </row>
    <row r="447" ht="15.6" spans="13:13">
      <c r="M447"/>
    </row>
    <row r="448" ht="15.6" spans="13:13">
      <c r="M448"/>
    </row>
    <row r="449" ht="15.6" spans="13:13">
      <c r="M449"/>
    </row>
    <row r="450" ht="15.6" spans="13:13">
      <c r="M450"/>
    </row>
    <row r="451" ht="15.6" spans="13:13">
      <c r="M451"/>
    </row>
    <row r="452" ht="15.6" spans="13:13">
      <c r="M452"/>
    </row>
    <row r="453" ht="15.6" spans="13:13">
      <c r="M453"/>
    </row>
    <row r="454" ht="15.6" spans="13:13">
      <c r="M454"/>
    </row>
    <row r="455" ht="15.6" spans="13:13">
      <c r="M455"/>
    </row>
    <row r="456" ht="15.6" spans="13:13">
      <c r="M456"/>
    </row>
    <row r="457" ht="15.6" spans="13:13">
      <c r="M457"/>
    </row>
    <row r="458" ht="15.6" spans="13:13">
      <c r="M458"/>
    </row>
    <row r="459" ht="15.6" spans="13:13">
      <c r="M459"/>
    </row>
    <row r="460" ht="15.6" spans="13:13">
      <c r="M460"/>
    </row>
    <row r="461" ht="15.6" spans="13:13">
      <c r="M461"/>
    </row>
    <row r="462" ht="15.6" spans="13:13">
      <c r="M462"/>
    </row>
    <row r="463" ht="15.6" spans="13:13">
      <c r="M463"/>
    </row>
    <row r="464" ht="15.6" spans="13:13">
      <c r="M464"/>
    </row>
    <row r="465" ht="15.6" spans="13:13">
      <c r="M465"/>
    </row>
    <row r="466" ht="15.6" spans="13:13">
      <c r="M466"/>
    </row>
    <row r="467" ht="15.6" spans="13:13">
      <c r="M467"/>
    </row>
    <row r="468" ht="15.6" spans="13:13">
      <c r="M468"/>
    </row>
    <row r="469" ht="15.6" spans="13:13">
      <c r="M469"/>
    </row>
    <row r="470" ht="15.6" spans="13:13">
      <c r="M470"/>
    </row>
    <row r="471" ht="15.6" spans="13:13">
      <c r="M471"/>
    </row>
    <row r="472" ht="15.6" spans="13:13">
      <c r="M472"/>
    </row>
    <row r="473" ht="15.6" spans="13:13">
      <c r="M473"/>
    </row>
    <row r="474" ht="15.6" spans="13:13">
      <c r="M474"/>
    </row>
    <row r="475" ht="15.6" spans="13:13">
      <c r="M475"/>
    </row>
    <row r="476" ht="15.6" spans="13:13">
      <c r="M476"/>
    </row>
    <row r="477" ht="15.6" spans="13:13">
      <c r="M477"/>
    </row>
    <row r="478" ht="15.6" spans="13:13">
      <c r="M478"/>
    </row>
    <row r="479" ht="15.6" spans="13:13">
      <c r="M479"/>
    </row>
    <row r="480" ht="15.6" spans="13:13">
      <c r="M480"/>
    </row>
    <row r="481" ht="15.6" spans="13:13">
      <c r="M481"/>
    </row>
    <row r="482" ht="15.6" spans="13:13">
      <c r="M482"/>
    </row>
    <row r="483" ht="15.6" spans="13:13">
      <c r="M483"/>
    </row>
    <row r="484" ht="15.6" spans="13:13">
      <c r="M484"/>
    </row>
    <row r="485" ht="15.6" spans="13:13">
      <c r="M485"/>
    </row>
    <row r="486" ht="15.6" spans="13:13">
      <c r="M486"/>
    </row>
    <row r="487" ht="15.6" spans="13:13">
      <c r="M487"/>
    </row>
    <row r="488" ht="15.6" spans="13:13">
      <c r="M488"/>
    </row>
    <row r="489" ht="15.6" spans="13:13">
      <c r="M489"/>
    </row>
    <row r="490" ht="15.6" spans="13:13">
      <c r="M490"/>
    </row>
    <row r="491" ht="15.6" spans="13:13">
      <c r="M491"/>
    </row>
    <row r="492" ht="15.6" spans="13:13">
      <c r="M492"/>
    </row>
    <row r="493" ht="15.6" spans="13:13">
      <c r="M493"/>
    </row>
    <row r="494" ht="15.6" spans="13:13">
      <c r="M494"/>
    </row>
    <row r="495" ht="15.6" spans="13:13">
      <c r="M495"/>
    </row>
    <row r="496" ht="15.6" spans="13:13">
      <c r="M496"/>
    </row>
    <row r="497" ht="15.6" spans="13:13">
      <c r="M497"/>
    </row>
    <row r="498" ht="15.6" spans="13:13">
      <c r="M498"/>
    </row>
    <row r="499" ht="15.6" spans="13:13">
      <c r="M499"/>
    </row>
    <row r="500" ht="15.6" spans="13:13">
      <c r="M500"/>
    </row>
    <row r="501" ht="15.6" spans="13:13">
      <c r="M501"/>
    </row>
    <row r="502" ht="15.6" spans="13:13">
      <c r="M502"/>
    </row>
    <row r="503" ht="15.6" spans="13:13">
      <c r="M503"/>
    </row>
    <row r="504" ht="15.6" spans="13:13">
      <c r="M504"/>
    </row>
    <row r="505" ht="15.6" spans="13:13">
      <c r="M505"/>
    </row>
    <row r="506" ht="15.6" spans="13:13">
      <c r="M506"/>
    </row>
    <row r="507" ht="15.6" spans="13:13">
      <c r="M507"/>
    </row>
    <row r="508" ht="15.6" spans="13:13">
      <c r="M508"/>
    </row>
    <row r="509" ht="15.6" spans="13:13">
      <c r="M509"/>
    </row>
    <row r="510" ht="15.6" spans="13:13">
      <c r="M510"/>
    </row>
    <row r="511" ht="15.6" spans="13:13">
      <c r="M511"/>
    </row>
    <row r="512" ht="15.6" spans="13:13">
      <c r="M512"/>
    </row>
    <row r="513" ht="15.6" spans="13:13">
      <c r="M513"/>
    </row>
    <row r="514" ht="15.6" spans="13:13">
      <c r="M514"/>
    </row>
    <row r="515" ht="15.6" spans="13:13">
      <c r="M515"/>
    </row>
    <row r="516" ht="15.6" spans="13:13">
      <c r="M516"/>
    </row>
    <row r="517" ht="15.6" spans="13:13">
      <c r="M517"/>
    </row>
    <row r="518" ht="15.6" spans="13:13">
      <c r="M518"/>
    </row>
    <row r="519" ht="15.6" spans="13:13">
      <c r="M519"/>
    </row>
    <row r="520" ht="15.6" spans="13:13">
      <c r="M520"/>
    </row>
    <row r="521" ht="15.6" spans="13:13">
      <c r="M521"/>
    </row>
    <row r="522" ht="15.6" spans="13:13">
      <c r="M522"/>
    </row>
    <row r="523" ht="15.6" spans="13:13">
      <c r="M523"/>
    </row>
    <row r="524" ht="15.6" spans="13:13">
      <c r="M524"/>
    </row>
    <row r="525" ht="15.6" spans="13:13">
      <c r="M525"/>
    </row>
    <row r="526" ht="15.6" spans="13:13">
      <c r="M526"/>
    </row>
    <row r="527" ht="15.6" spans="13:13">
      <c r="M527"/>
    </row>
    <row r="528" ht="15.6" spans="13:13">
      <c r="M528"/>
    </row>
    <row r="529" ht="15.6" spans="13:13">
      <c r="M529"/>
    </row>
    <row r="530" ht="15.6" spans="13:13">
      <c r="M530"/>
    </row>
    <row r="531" ht="15.6" spans="13:13">
      <c r="M531"/>
    </row>
    <row r="532" ht="15.6" spans="13:13">
      <c r="M532"/>
    </row>
    <row r="533" ht="15.6" spans="13:13">
      <c r="M533"/>
    </row>
    <row r="534" ht="15.6" spans="13:13">
      <c r="M534"/>
    </row>
    <row r="535" ht="15.6" spans="13:13">
      <c r="M535"/>
    </row>
    <row r="536" ht="15.6" spans="13:13">
      <c r="M536"/>
    </row>
    <row r="537" ht="15.6" spans="13:13">
      <c r="M537"/>
    </row>
    <row r="538" ht="15.6" spans="13:13">
      <c r="M538"/>
    </row>
    <row r="539" ht="15.6" spans="13:13">
      <c r="M539"/>
    </row>
    <row r="540" ht="15.6" spans="13:13">
      <c r="M540"/>
    </row>
    <row r="541" ht="15.6" spans="13:13">
      <c r="M541"/>
    </row>
    <row r="542" ht="15.6" spans="13:13">
      <c r="M542"/>
    </row>
    <row r="543" ht="15.6" spans="13:13">
      <c r="M543"/>
    </row>
    <row r="544" ht="15.6" spans="13:13">
      <c r="M544"/>
    </row>
    <row r="545" ht="15.6" spans="13:13">
      <c r="M545"/>
    </row>
    <row r="546" ht="15.6" spans="13:13">
      <c r="M546"/>
    </row>
    <row r="547" ht="15.6" spans="13:13">
      <c r="M547"/>
    </row>
    <row r="548" ht="15.6" spans="13:13">
      <c r="M548"/>
    </row>
    <row r="549" ht="15.6" spans="13:13">
      <c r="M549"/>
    </row>
    <row r="550" ht="15.6" spans="13:13">
      <c r="M550"/>
    </row>
    <row r="551" ht="15.6" spans="13:13">
      <c r="M551"/>
    </row>
    <row r="552" ht="15.6" spans="13:13">
      <c r="M552"/>
    </row>
    <row r="553" ht="15.6" spans="13:13">
      <c r="M553"/>
    </row>
    <row r="554" ht="15.6" spans="13:13">
      <c r="M554"/>
    </row>
    <row r="555" ht="15.6" spans="13:13">
      <c r="M555"/>
    </row>
    <row r="556" ht="15.6" spans="13:13">
      <c r="M556"/>
    </row>
    <row r="557" ht="15.6" spans="13:13">
      <c r="M557"/>
    </row>
    <row r="558" ht="15.6" spans="13:13">
      <c r="M558"/>
    </row>
    <row r="559" ht="15.6" spans="13:13">
      <c r="M559"/>
    </row>
    <row r="560" ht="15.6" spans="13:13">
      <c r="M560"/>
    </row>
    <row r="561" ht="15.6" spans="13:13">
      <c r="M561"/>
    </row>
    <row r="562" ht="15.6" spans="13:13">
      <c r="M562"/>
    </row>
    <row r="563" ht="15.6" spans="13:13">
      <c r="M563"/>
    </row>
    <row r="564" ht="15.6" spans="13:13">
      <c r="M564"/>
    </row>
    <row r="565" ht="15.6" spans="13:13">
      <c r="M565"/>
    </row>
    <row r="566" ht="15.6" spans="13:13">
      <c r="M566"/>
    </row>
    <row r="567" ht="15.6" spans="13:13">
      <c r="M567"/>
    </row>
    <row r="568" ht="15.6" spans="13:13">
      <c r="M568"/>
    </row>
    <row r="569" ht="15.6" spans="13:13">
      <c r="M569"/>
    </row>
    <row r="570" ht="15.6" spans="13:13">
      <c r="M570"/>
    </row>
    <row r="571" ht="15.6" spans="13:13">
      <c r="M571"/>
    </row>
    <row r="572" ht="15.6" spans="13:13">
      <c r="M572"/>
    </row>
    <row r="573" ht="15.6" spans="13:13">
      <c r="M573"/>
    </row>
    <row r="574" ht="15.6" spans="13:13">
      <c r="M574"/>
    </row>
    <row r="575" ht="15.6" spans="13:13">
      <c r="M575"/>
    </row>
    <row r="576" ht="15.6" spans="13:13">
      <c r="M576"/>
    </row>
    <row r="577" ht="15.6" spans="13:13">
      <c r="M577"/>
    </row>
    <row r="578" ht="15.6" spans="13:13">
      <c r="M578"/>
    </row>
    <row r="579" ht="15.6" spans="13:13">
      <c r="M579"/>
    </row>
    <row r="580" ht="15.6" spans="13:13">
      <c r="M580"/>
    </row>
    <row r="581" ht="15.6" spans="13:13">
      <c r="M581"/>
    </row>
    <row r="582" ht="15.6" spans="13:13">
      <c r="M582"/>
    </row>
    <row r="583" ht="15.6" spans="13:13">
      <c r="M583"/>
    </row>
    <row r="584" ht="15.6" spans="13:13">
      <c r="M584"/>
    </row>
    <row r="585" ht="15.6" spans="13:13">
      <c r="M585"/>
    </row>
    <row r="586" ht="15.6" spans="13:13">
      <c r="M586"/>
    </row>
    <row r="587" ht="15.6" spans="13:13">
      <c r="M587"/>
    </row>
    <row r="588" ht="15.6" spans="13:13">
      <c r="M588"/>
    </row>
    <row r="589" ht="15.6" spans="13:13">
      <c r="M589"/>
    </row>
    <row r="590" ht="15.6" spans="13:13">
      <c r="M590"/>
    </row>
    <row r="591" ht="15.6" spans="13:13">
      <c r="M591"/>
    </row>
    <row r="592" ht="15.6" spans="13:13">
      <c r="M592"/>
    </row>
    <row r="593" ht="15.6" spans="13:13">
      <c r="M593"/>
    </row>
    <row r="594" ht="15.6" spans="13:13">
      <c r="M594"/>
    </row>
    <row r="595" ht="15.6" spans="13:13">
      <c r="M595"/>
    </row>
    <row r="596" ht="15.6" spans="13:13">
      <c r="M596"/>
    </row>
    <row r="597" ht="15.6" spans="13:13">
      <c r="M597"/>
    </row>
    <row r="598" ht="15.6" spans="13:13">
      <c r="M598"/>
    </row>
    <row r="599" ht="15.6" spans="13:13">
      <c r="M599"/>
    </row>
    <row r="600" ht="15.6" spans="13:13">
      <c r="M600"/>
    </row>
    <row r="601" ht="15.6" spans="13:13">
      <c r="M601"/>
    </row>
    <row r="602" ht="15.6" spans="13:13">
      <c r="M602"/>
    </row>
    <row r="603" ht="15.6" spans="13:13">
      <c r="M603"/>
    </row>
    <row r="604" ht="15.6" spans="13:13">
      <c r="M604"/>
    </row>
    <row r="605" ht="15.6" spans="13:13">
      <c r="M605"/>
    </row>
    <row r="606" ht="15.6" spans="13:13">
      <c r="M606"/>
    </row>
    <row r="607" ht="15.6" spans="13:13">
      <c r="M607"/>
    </row>
    <row r="608" ht="15.6" spans="13:13">
      <c r="M608"/>
    </row>
    <row r="609" ht="15.6" spans="13:13">
      <c r="M609"/>
    </row>
    <row r="610" ht="15.6" spans="13:13">
      <c r="M610"/>
    </row>
    <row r="611" ht="15.6" spans="13:13">
      <c r="M611"/>
    </row>
    <row r="612" ht="15.6" spans="13:13">
      <c r="M612"/>
    </row>
    <row r="613" ht="15.6" spans="13:13">
      <c r="M613"/>
    </row>
    <row r="614" ht="15.6" spans="13:13">
      <c r="M614"/>
    </row>
    <row r="615" ht="15.6" spans="13:13">
      <c r="M615"/>
    </row>
    <row r="616" ht="15.6" spans="13:13">
      <c r="M616"/>
    </row>
    <row r="617" ht="15.6" spans="13:13">
      <c r="M617"/>
    </row>
    <row r="618" ht="15.6" spans="13:13">
      <c r="M618"/>
    </row>
    <row r="619" ht="15.6" spans="13:13">
      <c r="M619"/>
    </row>
    <row r="620" ht="15.6" spans="13:13">
      <c r="M620"/>
    </row>
    <row r="621" ht="15.6" spans="13:13">
      <c r="M621"/>
    </row>
    <row r="622" ht="15.6" spans="13:13">
      <c r="M622"/>
    </row>
    <row r="623" ht="15.6" spans="13:13">
      <c r="M623"/>
    </row>
    <row r="624" ht="15.6" spans="13:13">
      <c r="M624"/>
    </row>
    <row r="625" ht="15.6" spans="13:13">
      <c r="M625"/>
    </row>
    <row r="626" ht="15.6" spans="13:13">
      <c r="M626"/>
    </row>
    <row r="627" ht="15.6" spans="13:13">
      <c r="M627"/>
    </row>
    <row r="628" ht="15.6" spans="13:13">
      <c r="M628"/>
    </row>
    <row r="629" ht="15.6" spans="13:13">
      <c r="M629"/>
    </row>
    <row r="630" ht="15.6" spans="13:13">
      <c r="M630"/>
    </row>
    <row r="631" ht="15.6" spans="13:13">
      <c r="M631"/>
    </row>
    <row r="632" ht="15.6" spans="13:13">
      <c r="M632"/>
    </row>
    <row r="633" ht="15.6" spans="13:13">
      <c r="M633"/>
    </row>
    <row r="634" ht="15.6" spans="13:13">
      <c r="M634"/>
    </row>
    <row r="635" ht="15.6" spans="13:13">
      <c r="M635"/>
    </row>
    <row r="636" ht="15.6" spans="13:13">
      <c r="M636"/>
    </row>
    <row r="637" ht="15.6" spans="13:13">
      <c r="M637"/>
    </row>
    <row r="638" ht="15.6" spans="13:13">
      <c r="M638"/>
    </row>
    <row r="639" ht="15.6" spans="13:13">
      <c r="M639"/>
    </row>
    <row r="640" ht="15.6" spans="13:13">
      <c r="M640"/>
    </row>
    <row r="641" ht="15.6" spans="13:13">
      <c r="M641"/>
    </row>
    <row r="642" ht="15.6" spans="13:13">
      <c r="M642"/>
    </row>
    <row r="643" ht="15.6" spans="13:13">
      <c r="M643"/>
    </row>
    <row r="644" ht="15.6" spans="13:13">
      <c r="M644"/>
    </row>
    <row r="645" ht="15.6" spans="13:13">
      <c r="M645"/>
    </row>
    <row r="646" ht="15.6" spans="13:13">
      <c r="M646"/>
    </row>
    <row r="647" ht="15.6" spans="13:13">
      <c r="M647"/>
    </row>
    <row r="648" ht="15.6" spans="13:13">
      <c r="M648"/>
    </row>
    <row r="649" ht="15.6" spans="13:13">
      <c r="M649"/>
    </row>
    <row r="650" ht="15.6" spans="13:13">
      <c r="M650"/>
    </row>
    <row r="651" ht="15.6" spans="13:13">
      <c r="M651"/>
    </row>
    <row r="652" ht="15.6" spans="13:13">
      <c r="M652"/>
    </row>
    <row r="653" ht="15.6" spans="13:13">
      <c r="M653"/>
    </row>
    <row r="654" ht="15.6" spans="13:13">
      <c r="M654"/>
    </row>
    <row r="655" ht="15.6" spans="13:13">
      <c r="M655"/>
    </row>
    <row r="656" ht="15.6" spans="13:13">
      <c r="M656"/>
    </row>
    <row r="657" ht="15.6" spans="13:13">
      <c r="M657"/>
    </row>
    <row r="658" ht="15.6" spans="13:13">
      <c r="M658"/>
    </row>
    <row r="659" ht="15.6" spans="13:13">
      <c r="M659"/>
    </row>
    <row r="660" ht="15.6" spans="13:13">
      <c r="M660"/>
    </row>
    <row r="661" ht="15.6" spans="13:13">
      <c r="M661"/>
    </row>
    <row r="662" ht="15.6" spans="13:13">
      <c r="M662"/>
    </row>
    <row r="663" ht="15.6" spans="13:13">
      <c r="M663"/>
    </row>
    <row r="664" ht="15.6" spans="13:13">
      <c r="M664"/>
    </row>
    <row r="665" ht="15.6" spans="13:13">
      <c r="M665"/>
    </row>
    <row r="666" ht="15.6" spans="13:13">
      <c r="M666"/>
    </row>
    <row r="667" ht="15.6" spans="13:13">
      <c r="M667"/>
    </row>
    <row r="668" ht="15.6" spans="13:13">
      <c r="M668"/>
    </row>
    <row r="669" ht="15.6" spans="13:13">
      <c r="M669"/>
    </row>
    <row r="670" ht="15.6" spans="13:13">
      <c r="M670"/>
    </row>
    <row r="671" ht="15.6" spans="13:13">
      <c r="M671"/>
    </row>
    <row r="672" ht="15.6" spans="13:13">
      <c r="M672"/>
    </row>
    <row r="673" ht="15.6" spans="13:13">
      <c r="M673"/>
    </row>
    <row r="674" ht="15.6" spans="13:13">
      <c r="M674"/>
    </row>
    <row r="675" ht="15.6" spans="13:13">
      <c r="M675"/>
    </row>
    <row r="676" ht="15.6" spans="13:13">
      <c r="M676"/>
    </row>
    <row r="677" ht="15.6" spans="13:13">
      <c r="M677"/>
    </row>
    <row r="678" ht="15.6" spans="13:13">
      <c r="M678"/>
    </row>
    <row r="679" ht="15.6" spans="13:13">
      <c r="M679"/>
    </row>
    <row r="680" ht="15.6" spans="13:13">
      <c r="M680"/>
    </row>
    <row r="681" ht="15.6" spans="13:13">
      <c r="M681"/>
    </row>
    <row r="682" ht="15.6" spans="13:13">
      <c r="M682"/>
    </row>
    <row r="683" ht="15.6" spans="13:13">
      <c r="M683"/>
    </row>
    <row r="684" ht="15.6" spans="13:13">
      <c r="M684"/>
    </row>
    <row r="685" ht="15.6" spans="13:13">
      <c r="M685"/>
    </row>
    <row r="686" ht="15.6" spans="13:13">
      <c r="M686"/>
    </row>
    <row r="687" ht="15.6" spans="13:13">
      <c r="M687"/>
    </row>
    <row r="688" ht="15.6" spans="13:13">
      <c r="M688"/>
    </row>
    <row r="689" ht="15.6" spans="13:13">
      <c r="M689"/>
    </row>
    <row r="690" ht="15.6" spans="13:13">
      <c r="M690"/>
    </row>
    <row r="691" ht="15.6" spans="13:13">
      <c r="M691"/>
    </row>
    <row r="692" ht="15.6" spans="13:13">
      <c r="M692"/>
    </row>
    <row r="693" ht="15.6" spans="13:13">
      <c r="M693"/>
    </row>
    <row r="694" ht="15.6" spans="13:13">
      <c r="M694"/>
    </row>
    <row r="695" ht="15.6" spans="13:13">
      <c r="M695"/>
    </row>
    <row r="696" ht="15.6" spans="13:13">
      <c r="M696"/>
    </row>
    <row r="697" ht="15.6" spans="13:13">
      <c r="M697"/>
    </row>
    <row r="698" ht="15.6" spans="13:13">
      <c r="M698"/>
    </row>
    <row r="699" ht="15.6" spans="13:13">
      <c r="M699"/>
    </row>
    <row r="700" ht="15.6" spans="13:13">
      <c r="M700"/>
    </row>
    <row r="701" ht="15.6" spans="13:13">
      <c r="M701"/>
    </row>
    <row r="702" ht="15.6" spans="13:13">
      <c r="M702"/>
    </row>
    <row r="703" ht="15.6" spans="13:13">
      <c r="M703"/>
    </row>
    <row r="704" ht="15.6" spans="13:13">
      <c r="M704"/>
    </row>
    <row r="705" ht="15.6" spans="13:13">
      <c r="M705"/>
    </row>
    <row r="706" ht="15.6" spans="13:13">
      <c r="M706"/>
    </row>
    <row r="707" ht="15.6" spans="13:13">
      <c r="M707"/>
    </row>
    <row r="708" ht="15.6" spans="13:13">
      <c r="M708"/>
    </row>
    <row r="709" ht="15.6" spans="13:13">
      <c r="M709"/>
    </row>
    <row r="710" ht="15.6" spans="13:13">
      <c r="M710"/>
    </row>
    <row r="711" ht="15.6" spans="13:13">
      <c r="M711"/>
    </row>
    <row r="712" ht="15.6" spans="13:13">
      <c r="M712"/>
    </row>
    <row r="713" ht="15.6" spans="13:13">
      <c r="M7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skill_config</vt:lpstr>
      <vt:lpstr>buff_config</vt:lpstr>
      <vt:lpstr>编号表</vt:lpstr>
      <vt:lpstr>名称表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2026-09-24T12:37:00Z</dcterms:created>
  <dcterms:modified xsi:type="dcterms:W3CDTF">2026-09-24T18:51:56Z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FAE7F8065D7A43E5A9264804CBA12E2F_13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