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kill_config" sheetId="1" r:id="rId1"/>
    <sheet name="buff_config" sheetId="2" r:id="rId2"/>
    <sheet name="编号表" sheetId="3" r:id="rId3"/>
    <sheet name="名称表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<sst xmlns="http://schemas.openxmlformats.org/spreadsheetml/2006/main" count="14163" uniqueCount="982">
  <si>
    <t>##var</t>
  </si>
  <si>
    <t>id</t>
  </si>
  <si>
    <t>name</t>
  </si>
  <si>
    <t>internal_name</t>
  </si>
  <si>
    <t>skill_type</t>
  </si>
  <si>
    <t>skill_class</t>
  </si>
  <si>
    <t>is_passive_skill</t>
  </si>
  <si>
    <t>is_invoked</t>
  </si>
  <si>
    <t>skill_level</t>
  </si>
  <si>
    <t>identify_id</t>
  </si>
  <si>
    <t>color</t>
  </si>
  <si>
    <t>required_skill_id</t>
  </si>
  <si>
    <t>next_level_id</t>
  </si>
  <si>
    <t>description</t>
  </si>
  <si>
    <t>icon_id</t>
  </si>
  <si>
    <t>consumable_id</t>
  </si>
  <si>
    <t>lingli_cost</t>
  </si>
  <si>
    <t>required_level</t>
  </si>
  <si>
    <t>required_wupin</t>
  </si>
  <si>
    <t>exp_to_next</t>
  </si>
  <si>
    <t>exp_trigger</t>
  </si>
  <si>
    <t>cast_distance</t>
  </si>
  <si>
    <t>acquire_range</t>
  </si>
  <si>
    <t>aim_kind</t>
  </si>
  <si>
    <t>skill_selector</t>
  </si>
  <si>
    <t>sub_selector</t>
  </si>
  <si>
    <t>damage_type</t>
  </si>
  <si>
    <t>base_power</t>
  </si>
  <si>
    <t>skill_effects</t>
  </si>
  <si>
    <t>cast_time</t>
  </si>
  <si>
    <t>recovery_time</t>
  </si>
  <si>
    <t>cast_action</t>
  </si>
  <si>
    <t>cast_effect</t>
  </si>
  <si>
    <t>cast_point_effect</t>
  </si>
  <si>
    <t>hurt_effect</t>
  </si>
  <si>
    <t>stop_move</t>
  </si>
  <si>
    <t>cooldown</t>
  </si>
  <si>
    <t>cooldown_reduction_disabled</t>
  </si>
  <si>
    <t>max_charges</t>
  </si>
  <si>
    <t>charge_recover_time</t>
  </si>
  <si>
    <t>channel_time</t>
  </si>
  <si>
    <t>channel_interval</t>
  </si>
  <si>
    <t>channel_move_cancel</t>
  </si>
  <si>
    <t>hit_stun</t>
  </si>
  <si>
    <t>cast_sound_id</t>
  </si>
  <si>
    <t>hit_sound_id</t>
  </si>
  <si>
    <t>passive_trigger</t>
  </si>
  <si>
    <t>passive_skill_id</t>
  </si>
  <si>
    <t>passive_icd</t>
  </si>
  <si>
    <t>base_realm</t>
  </si>
  <si>
    <t>passive_hp_threshold</t>
  </si>
  <si>
    <t>is_basic_attack</t>
  </si>
  <si>
    <t>cast_origin_effect</t>
  </si>
  <si>
    <t>use_attack_target</t>
  </si>
  <si>
    <t>selector_at_caster</t>
  </si>
  <si>
    <t>$type</t>
  </si>
  <si>
    <t>target_faction</t>
  </si>
  <si>
    <t>max_target_ally</t>
  </si>
  <si>
    <t>max_target_enemy</t>
  </si>
  <si>
    <t>include_caster</t>
  </si>
  <si>
    <t>priority</t>
  </si>
  <si>
    <t>circle_radius</t>
  </si>
  <si>
    <t>sector_radius</t>
  </si>
  <si>
    <t>angle</t>
  </si>
  <si>
    <t>length</t>
  </si>
  <si>
    <t>width</t>
  </si>
  <si>
    <t>inner_radius</t>
  </si>
  <si>
    <t>outer_radius</t>
  </si>
  <si>
    <t>rate</t>
  </si>
  <si>
    <t>delay</t>
  </si>
  <si>
    <t>effect_range</t>
  </si>
  <si>
    <t>require_target_hp_below</t>
  </si>
  <si>
    <t>dmg_type</t>
  </si>
  <si>
    <t>dmg_coefficient</t>
  </si>
  <si>
    <t>dmg_flat</t>
  </si>
  <si>
    <t>dmg_can_crit</t>
  </si>
  <si>
    <t>dmg_crit</t>
  </si>
  <si>
    <t>falloff_edge_ratio</t>
  </si>
  <si>
    <t>buff_id</t>
  </si>
  <si>
    <t>heal_type</t>
  </si>
  <si>
    <t>heal_coefficient</t>
  </si>
  <si>
    <t>heal_flat</t>
  </si>
  <si>
    <t>heal_can_crit</t>
  </si>
  <si>
    <t>heal_crit</t>
  </si>
  <si>
    <t>summon_id</t>
  </si>
  <si>
    <t>position</t>
  </si>
  <si>
    <t>duration</t>
  </si>
  <si>
    <t>summon_count</t>
  </si>
  <si>
    <t>max_count</t>
  </si>
  <si>
    <t>init_lv</t>
  </si>
  <si>
    <t>max_lv</t>
  </si>
  <si>
    <t>subject</t>
  </si>
  <si>
    <t>distance</t>
  </si>
  <si>
    <t>mode</t>
  </si>
  <si>
    <t>direction</t>
  </si>
  <si>
    <t>pass_through</t>
  </si>
  <si>
    <t>move_speed</t>
  </si>
  <si>
    <t>effect</t>
  </si>
  <si>
    <t>sound</t>
  </si>
  <si>
    <t>proj_speed</t>
  </si>
  <si>
    <t>height</t>
  </si>
  <si>
    <t>path</t>
  </si>
  <si>
    <t>proj_count</t>
  </si>
  <si>
    <t>interval</t>
  </si>
  <si>
    <t>portion</t>
  </si>
  <si>
    <t>range</t>
  </si>
  <si>
    <t>hit_radius</t>
  </si>
  <si>
    <t>spread_angle</t>
  </si>
  <si>
    <t>pierce</t>
  </si>
  <si>
    <t>proj_sub_skill_id</t>
  </si>
  <si>
    <t>seek_distance</t>
  </si>
  <si>
    <t>seek_radius</t>
  </si>
  <si>
    <t>turn_rate</t>
  </si>
  <si>
    <t>seek_mode</t>
  </si>
  <si>
    <t>call_skill_id</t>
  </si>
  <si>
    <t>dispel_category</t>
  </si>
  <si>
    <t>dispel_strength</t>
  </si>
  <si>
    <t>##type</t>
  </si>
  <si>
    <t>int</t>
  </si>
  <si>
    <t>string</t>
  </si>
  <si>
    <t>SkillType</t>
  </si>
  <si>
    <t>ClassType</t>
  </si>
  <si>
    <t>bool</t>
  </si>
  <si>
    <t>ItemQuality</t>
  </si>
  <si>
    <t>(list#sep=|),ExpTriggerType</t>
  </si>
  <si>
    <t>AimKind</t>
  </si>
  <si>
    <t>SkillSelector?</t>
  </si>
  <si>
    <t>array,SkillEffect</t>
  </si>
  <si>
    <t>PassiveSkillTriggerType</t>
  </si>
  <si>
    <t>MajorRealm</t>
  </si>
  <si>
    <t>##group</t>
  </si>
  <si>
    <t>c</t>
  </si>
  <si>
    <t>c,s</t>
  </si>
  <si>
    <t>##</t>
  </si>
  <si>
    <t>技能ID</t>
  </si>
  <si>
    <t>技能显示名称</t>
  </si>
  <si>
    <t>内部名称</t>
  </si>
  <si>
    <t>技能分类</t>
  </si>
  <si>
    <t>技能系别</t>
  </si>
  <si>
    <t>是否被动类型技能</t>
  </si>
  <si>
    <t>是否为被调用技能</t>
  </si>
  <si>
    <t>技能等级</t>
  </si>
  <si>
    <t>技能识别ID</t>
  </si>
  <si>
    <t>颜色标签</t>
  </si>
  <si>
    <t>前置技能ID</t>
  </si>
  <si>
    <t>下一级技能ID</t>
  </si>
  <si>
    <t>技能描述文本</t>
  </si>
  <si>
    <t>技能图标ID</t>
  </si>
  <si>
    <t>施法消耗道具ID</t>
  </si>
  <si>
    <t>灵力消耗</t>
  </si>
  <si>
    <t>学习技能所需等级</t>
  </si>
  <si>
    <t>升级消耗道具</t>
  </si>
  <si>
    <t>熟练度上限</t>
  </si>
  <si>
    <t>熟练度触发行为</t>
  </si>
  <si>
    <t>施法距离</t>
  </si>
  <si>
    <t>智能施法查询半径</t>
  </si>
  <si>
    <t>施法瞄准类型</t>
  </si>
  <si>
    <t>形状：单体 / 圆形 / 扇形 / 线形 / 环形 选一个；单体没有专属列，其余只填该形状那一段列</t>
  </si>
  <si>
    <t>【公共】目标阵营</t>
  </si>
  <si>
    <t>【公共】友方最大目标数，0=不限</t>
  </si>
  <si>
    <t>【公共】敌对最大目标数，0=不限</t>
  </si>
  <si>
    <t>【公共】是否包含施法者自身</t>
  </si>
  <si>
    <t>【公共】目标选取优先级</t>
  </si>
  <si>
    <t>【圆形】半径</t>
  </si>
  <si>
    <t>【扇形】半径</t>
  </si>
  <si>
    <t>【扇形】角度（上限180）</t>
  </si>
  <si>
    <t>【线形】长度</t>
  </si>
  <si>
    <t>【线形】宽度</t>
  </si>
  <si>
    <t>【环形】内圈半径</t>
  </si>
  <si>
    <t>【环形】外圈半径</t>
  </si>
  <si>
    <t>伤害类型（仅用于展示，实际伤害类型由效果自身决定）</t>
  </si>
  <si>
    <t>技能威力基础值</t>
  </si>
  <si>
    <t>效果1·效果类型：选定后只填带同名前缀【…】的那一段列，其余留空</t>
  </si>
  <si>
    <t>效果1·【公共】应用目标阵营</t>
  </si>
  <si>
    <t>效果1·【公共】触发概率（万分比）</t>
  </si>
  <si>
    <t>效果1·【公共】延迟触发(毫秒)</t>
  </si>
  <si>
    <t>效果1·【公共】作用范围：全部候选 / 仅子范围内 / 子范围外，需配子选择器</t>
  </si>
  <si>
    <t>效果1·【公共】生效血量阈值（万分比）：目标生命低于此值才生效，0=无条件</t>
  </si>
  <si>
    <t>效果1·【伤害】伤害类型</t>
  </si>
  <si>
    <t>效果1·【伤害】万分比伤害系数</t>
  </si>
  <si>
    <t>效果1·【伤害】固定伤害数值</t>
  </si>
  <si>
    <t>效果1·【伤害】是否允许暴击：FALSE=按普通伤害结算，不判暴击</t>
  </si>
  <si>
    <t>效果1·【伤害】暴击率加成（万分比）：最终暴击率=施法者暴击率+本值−目标免暴击率，限 0～100%；0=不加成</t>
  </si>
  <si>
    <t>效果1·【伤害】边缘伤害系数（万分比）：10000=不衰减，5000=边缘半伤</t>
  </si>
  <si>
    <t>效果1·【调用状态】状态ID（buff_config.id）</t>
  </si>
  <si>
    <t>效果1·【治疗】治疗类型</t>
  </si>
  <si>
    <t>效果1·【治疗】治疗万分比系数</t>
  </si>
  <si>
    <t>效果1·【治疗】固定治疗值</t>
  </si>
  <si>
    <t>效果1·【治疗】是否允许暴击：治疗不暴击，填 FALSE</t>
  </si>
  <si>
    <t>效果1·【治疗】暴击参数：填 0</t>
  </si>
  <si>
    <t>效果1·【召唤】从属实体ID（owned_entity_config.config_id）</t>
  </si>
  <si>
    <t>效果1·【召唤】出生点</t>
  </si>
  <si>
    <t>效果1·【召唤】持续时间(毫秒)，0=不限</t>
  </si>
  <si>
    <t>效果1·【召唤】召唤数量</t>
  </si>
  <si>
    <t>效果1·【召唤】同类召唤物上限</t>
  </si>
  <si>
    <t>效果1·【召唤】初始等级</t>
  </si>
  <si>
    <t>效果1·【召唤】等级上限，0=不限</t>
  </si>
  <si>
    <t>效果1·【位移】位移目标单位</t>
  </si>
  <si>
    <t>效果1·【位移】位移距离</t>
  </si>
  <si>
    <t>效果1·【位移】位移模式</t>
  </si>
  <si>
    <t>效果1·【位移】位移方向</t>
  </si>
  <si>
    <t>效果1·【位移】能否穿越地形</t>
  </si>
  <si>
    <t>效果1·【位移】位移速度</t>
  </si>
  <si>
    <t>效果1·【弹道】投射物特效</t>
  </si>
  <si>
    <t>效果1·【弹道】投射物释放音效</t>
  </si>
  <si>
    <t>效果1·【弹道】投射物速度</t>
  </si>
  <si>
    <t>效果1·【弹道】投射物高度</t>
  </si>
  <si>
    <t>效果1·【弹道】运行轨迹</t>
  </si>
  <si>
    <t>效果1·【弹道】投射物总数量</t>
  </si>
  <si>
    <t>效果1·【弹道】发射波次间隔(毫秒)</t>
  </si>
  <si>
    <t>效果1·【弹道】每次发射数量</t>
  </si>
  <si>
    <t>效果1·【弹道】射程</t>
  </si>
  <si>
    <t>效果1·【弹道】命中半径</t>
  </si>
  <si>
    <t>效果1·【弹道】散布角</t>
  </si>
  <si>
    <t>效果1·【弹道】穿透目标数量</t>
  </si>
  <si>
    <t>效果1·【弹道】命中调用的子技能ID（弹道自身不带伤害）</t>
  </si>
  <si>
    <t>效果1·【弹道】追踪·外飞距离（码）：先直飞多远才开始索敌，0=出膛即索敌</t>
  </si>
  <si>
    <t>效果1·【弹道】追踪·索敌半径（码）：追踪轨迹必须 &gt;0</t>
  </si>
  <si>
    <t>效果1·【弹道】追踪·最大转向速度（度/秒）：0=不限</t>
  </si>
  <si>
    <t>效果1·【弹道】追踪·目标分配：最近 / 分散 / 集火，留空=最近</t>
  </si>
  <si>
    <t>效果1·【调用技能】被调用神通等级行ID</t>
  </si>
  <si>
    <t>【驱散】分类：减益净化自身/增益驱敌</t>
  </si>
  <si>
    <t>【驱散】强度：1普通/2强驱散（必填）</t>
  </si>
  <si>
    <t>效果2·效果类型：选定后只填带同名前缀【…】的那一段列，其余留空</t>
  </si>
  <si>
    <t>效果2·【公共】应用目标阵营</t>
  </si>
  <si>
    <t>效果2·【公共】触发概率（万分比）</t>
  </si>
  <si>
    <t>效果2·【公共】延迟触发(毫秒)</t>
  </si>
  <si>
    <t>效果2·【公共】作用范围：全部候选 / 仅子范围内 / 子范围外，需配子选择器</t>
  </si>
  <si>
    <t>效果2·【公共】生效血量阈值（万分比）：目标生命低于此值才生效，0=无条件</t>
  </si>
  <si>
    <t>效果2·【伤害】伤害类型</t>
  </si>
  <si>
    <t>效果2·【伤害】万分比伤害系数</t>
  </si>
  <si>
    <t>效果2·【伤害】固定伤害数值</t>
  </si>
  <si>
    <t>效果2·【伤害】是否允许暴击：FALSE=按普通伤害结算，不判暴击</t>
  </si>
  <si>
    <t>效果2·【伤害】暴击率加成（万分比）：最终暴击率=施法者暴击率+本值−目标免暴击率，限 0～100%；0=不加成</t>
  </si>
  <si>
    <t>效果2·【伤害】边缘伤害系数（万分比）：10000=不衰减，5000=边缘半伤</t>
  </si>
  <si>
    <t>效果2·【调用状态】状态ID（buff_config.id）</t>
  </si>
  <si>
    <t>效果2·【治疗】治疗类型</t>
  </si>
  <si>
    <t>效果2·【治疗】治疗万分比系数</t>
  </si>
  <si>
    <t>效果2·【治疗】固定治疗值</t>
  </si>
  <si>
    <t>效果2·【治疗】是否允许暴击：治疗不暴击，填 FALSE</t>
  </si>
  <si>
    <t>效果2·【治疗】暴击参数：填 0</t>
  </si>
  <si>
    <t>效果2·【召唤】从属实体ID（owned_entity_config.config_id）</t>
  </si>
  <si>
    <t>效果2·【召唤】出生点</t>
  </si>
  <si>
    <t>效果2·【召唤】持续时间(毫秒)，0=不限</t>
  </si>
  <si>
    <t>效果2·【召唤】召唤数量</t>
  </si>
  <si>
    <t>效果2·【召唤】同类召唤物上限</t>
  </si>
  <si>
    <t>效果2·【召唤】初始等级</t>
  </si>
  <si>
    <t>效果2·【召唤】等级上限，0=不限</t>
  </si>
  <si>
    <t>效果2·【位移】位移目标单位</t>
  </si>
  <si>
    <t>效果2·【位移】位移距离</t>
  </si>
  <si>
    <t>效果2·【位移】位移模式</t>
  </si>
  <si>
    <t>效果2·【位移】位移方向</t>
  </si>
  <si>
    <t>效果2·【位移】能否穿越地形</t>
  </si>
  <si>
    <t>效果2·【位移】位移速度</t>
  </si>
  <si>
    <t>效果2·【弹道】投射物特效</t>
  </si>
  <si>
    <t>效果2·【弹道】投射物释放音效</t>
  </si>
  <si>
    <t>效果2·【弹道】投射物速度</t>
  </si>
  <si>
    <t>效果2·【弹道】投射物高度</t>
  </si>
  <si>
    <t>效果2·【弹道】运行轨迹</t>
  </si>
  <si>
    <t>效果2·【弹道】投射物总数量</t>
  </si>
  <si>
    <t>效果2·【弹道】发射波次间隔(毫秒)</t>
  </si>
  <si>
    <t>效果2·【弹道】每次发射数量</t>
  </si>
  <si>
    <t>效果2·【弹道】射程</t>
  </si>
  <si>
    <t>效果2·【弹道】命中半径</t>
  </si>
  <si>
    <t>效果2·【弹道】散布角</t>
  </si>
  <si>
    <t>效果2·【弹道】穿透目标数量</t>
  </si>
  <si>
    <t>效果2·【弹道】命中调用的子技能ID（弹道自身不带伤害）</t>
  </si>
  <si>
    <t>效果2·【弹道】追踪·外飞距离（码）：先直飞多远才开始索敌，0=出膛即索敌</t>
  </si>
  <si>
    <t>效果2·【弹道】追踪·索敌半径（码）：追踪轨迹必须 &gt;0</t>
  </si>
  <si>
    <t>效果2·【弹道】追踪·最大转向速度（度/秒）：0=不限</t>
  </si>
  <si>
    <t>效果2·【弹道】追踪·目标分配：最近 / 分散 / 集火，留空=最近</t>
  </si>
  <si>
    <t>效果2·【调用技能】被调用神通等级行ID</t>
  </si>
  <si>
    <t>效果3·效果类型：选定后只填带同名前缀【…】的那一段列，其余留空</t>
  </si>
  <si>
    <t>效果3·【公共】应用目标阵营</t>
  </si>
  <si>
    <t>效果3·【公共】触发概率（万分比）</t>
  </si>
  <si>
    <t>效果3·【公共】延迟触发(毫秒)</t>
  </si>
  <si>
    <t>效果3·【公共】作用范围：全部候选 / 仅子范围内 / 子范围外，需配子选择器</t>
  </si>
  <si>
    <t>效果3·【公共】生效血量阈值（万分比）：目标生命低于此值才生效，0=无条件</t>
  </si>
  <si>
    <t>效果3·【伤害】伤害类型</t>
  </si>
  <si>
    <t>效果3·【伤害】万分比伤害系数</t>
  </si>
  <si>
    <t>效果3·【伤害】固定伤害数值</t>
  </si>
  <si>
    <t>效果3·【伤害】是否允许暴击：FALSE=按普通伤害结算，不判暴击</t>
  </si>
  <si>
    <t>效果3·【伤害】暴击率加成（万分比）：最终暴击率=施法者暴击率+本值−目标免暴击率，限 0～100%；0=不加成</t>
  </si>
  <si>
    <t>效果3·【伤害】边缘伤害系数（万分比）：10000=不衰减，5000=边缘半伤</t>
  </si>
  <si>
    <t>效果3·【调用状态】状态ID（buff_config.id）</t>
  </si>
  <si>
    <t>效果3·【治疗】治疗类型</t>
  </si>
  <si>
    <t>效果3·【治疗】治疗万分比系数</t>
  </si>
  <si>
    <t>效果3·【治疗】固定治疗值</t>
  </si>
  <si>
    <t>效果3·【治疗】是否允许暴击：治疗不暴击，填 FALSE</t>
  </si>
  <si>
    <t>效果3·【治疗】暴击参数：填 0</t>
  </si>
  <si>
    <t>效果3·【召唤】从属实体ID（owned_entity_config.config_id）</t>
  </si>
  <si>
    <t>效果3·【召唤】出生点</t>
  </si>
  <si>
    <t>效果3·【召唤】持续时间(毫秒)，0=不限</t>
  </si>
  <si>
    <t>效果3·【召唤】召唤数量</t>
  </si>
  <si>
    <t>效果3·【召唤】同类召唤物上限</t>
  </si>
  <si>
    <t>效果3·【召唤】初始等级</t>
  </si>
  <si>
    <t>效果3·【召唤】等级上限，0=不限</t>
  </si>
  <si>
    <t>效果3·【位移】位移目标单位</t>
  </si>
  <si>
    <t>效果3·【位移】位移距离</t>
  </si>
  <si>
    <t>效果3·【位移】位移模式</t>
  </si>
  <si>
    <t>效果3·【位移】位移方向</t>
  </si>
  <si>
    <t>效果3·【位移】能否穿越地形</t>
  </si>
  <si>
    <t>效果3·【位移】位移速度</t>
  </si>
  <si>
    <t>效果3·【弹道】投射物特效</t>
  </si>
  <si>
    <t>效果3·【弹道】投射物释放音效</t>
  </si>
  <si>
    <t>效果3·【弹道】投射物速度</t>
  </si>
  <si>
    <t>效果3·【弹道】投射物高度</t>
  </si>
  <si>
    <t>效果3·【弹道】运行轨迹</t>
  </si>
  <si>
    <t>效果3·【弹道】投射物总数量</t>
  </si>
  <si>
    <t>效果3·【弹道】发射波次间隔(毫秒)</t>
  </si>
  <si>
    <t>效果3·【弹道】每次发射数量</t>
  </si>
  <si>
    <t>效果3·【弹道】射程</t>
  </si>
  <si>
    <t>效果3·【弹道】命中半径</t>
  </si>
  <si>
    <t>效果3·【弹道】散布角</t>
  </si>
  <si>
    <t>效果3·【弹道】穿透目标数量</t>
  </si>
  <si>
    <t>效果3·【弹道】命中调用的子技能ID（弹道自身不带伤害）</t>
  </si>
  <si>
    <t>效果3·【弹道】追踪·外飞距离（码）：先直飞多远才开始索敌，0=出膛即索敌</t>
  </si>
  <si>
    <t>效果3·【弹道】追踪·索敌半径（码）：追踪轨迹必须 &gt;0</t>
  </si>
  <si>
    <t>效果3·【弹道】追踪·最大转向速度（度/秒）：0=不限</t>
  </si>
  <si>
    <t>效果3·【弹道】追踪·目标分配：最近 / 分散 / 集火，留空=最近</t>
  </si>
  <si>
    <t>效果3·【调用技能】被调用神通等级行ID</t>
  </si>
  <si>
    <t>前摇时长(毫秒)</t>
  </si>
  <si>
    <t>后摇时长(毫秒)</t>
  </si>
  <si>
    <t>施法动作名称</t>
  </si>
  <si>
    <t>施法特效ID（effect_config.id，0=不播）</t>
  </si>
  <si>
    <t>施法点特效ID（模型表ID；0=不播）</t>
  </si>
  <si>
    <t>受击特效ID（模型表ID；0=不播）</t>
  </si>
  <si>
    <t>是否停止移动</t>
  </si>
  <si>
    <t>冷却时间(毫秒)</t>
  </si>
  <si>
    <t>禁止冷却缩减</t>
  </si>
  <si>
    <t>最大充能层数</t>
  </si>
  <si>
    <t>单层充能恢复时间(毫秒)</t>
  </si>
  <si>
    <t>引导时长(毫秒)</t>
  </si>
  <si>
    <t>引导结算间隔(毫秒)</t>
  </si>
  <si>
    <t>引导时移动是否中断</t>
  </si>
  <si>
    <t>受击硬直时间(毫秒)</t>
  </si>
  <si>
    <t>施法音效ID（sound_config.id，0=不播）</t>
  </si>
  <si>
    <t>命中音效路径（命中帧在施法者身上播放）</t>
  </si>
  <si>
    <t>被动触发事件类型</t>
  </si>
  <si>
    <t>被动触发条件技能ID</t>
  </si>
  <si>
    <t>被动内置冷却(毫秒)</t>
  </si>
  <si>
    <t>基准境界</t>
  </si>
  <si>
    <t>被动血量阈值(万分比)</t>
  </si>
  <si>
    <t>是否普攻</t>
  </si>
  <si>
    <t>出手时施法者原点特效（模型配置ID，跟随施法者位置和朝向，0=不播）</t>
  </si>
  <si>
    <t>使用当前普攻锁定目标（默认=false；无目标不施放，不按鼠标索敌）</t>
  </si>
  <si>
    <t>范围中心取施法者（默认=false；方向指向瞄准目标，用于自身原点攻击特效）</t>
  </si>
  <si>
    <t>青萍剑诀</t>
  </si>
  <si>
    <t>人道</t>
  </si>
  <si>
    <t>剑道</t>
  </si>
  <si>
    <t>凡品</t>
  </si>
  <si>
    <t>剑出青萍，疾刺目标，造成物理伤害。剑道诸式皆由此起。</t>
  </si>
  <si>
    <t>单位</t>
  </si>
  <si>
    <t>扇形</t>
  </si>
  <si>
    <t>敌对</t>
  </si>
  <si>
    <t>最近</t>
  </si>
  <si>
    <t>物理</t>
  </si>
  <si>
    <t>技能效果_伤害</t>
  </si>
  <si>
    <t>全部</t>
  </si>
  <si>
    <t>Attack One</t>
  </si>
  <si>
    <t>无</t>
  </si>
  <si>
    <t>玄门伏虎击</t>
  </si>
  <si>
    <t>炼体</t>
  </si>
  <si>
    <t>凝聚近身劲力向目标发动一击，造成物理伤害。</t>
  </si>
  <si>
    <t>施放本神通</t>
  </si>
  <si>
    <t>圆形</t>
  </si>
  <si>
    <t/>
  </si>
  <si>
    <t>340</t>
  </si>
  <si>
    <t>太白藏锋斩</t>
  </si>
  <si>
    <t>藏锋蓄势，拔刃横扫前方扇形范围，对敌人造成物理伤害。</t>
  </si>
  <si>
    <t>目标方向</t>
  </si>
  <si>
    <t>技能效果_弹道</t>
  </si>
  <si>
    <t>Sound\Zs_Gongji1</t>
  </si>
  <si>
    <t>直线</t>
  </si>
  <si>
    <t>玄罡撼岳劲</t>
  </si>
  <si>
    <t>以玄罡重击目标，造成物理伤害并将其击退。</t>
  </si>
  <si>
    <t>单体</t>
  </si>
  <si>
    <t>庚芒诀</t>
  </si>
  <si>
    <t>金行</t>
  </si>
  <si>
    <t>向前方贯出一线金芒，对路径上的敌人造成法术伤害。</t>
  </si>
  <si>
    <t>线形</t>
  </si>
  <si>
    <t>法术</t>
  </si>
  <si>
    <t>魔法</t>
  </si>
  <si>
    <t>Spell One</t>
  </si>
  <si>
    <t>青萝引</t>
  </si>
  <si>
    <t>木行</t>
  </si>
  <si>
    <t>引动藤刺穿击目标，造成法术伤害。</t>
  </si>
  <si>
    <t>听潮印</t>
  </si>
  <si>
    <t>水行</t>
  </si>
  <si>
    <t>在目标身侧合拢潮纹，造成法术伤害。</t>
  </si>
  <si>
    <t>离火星</t>
  </si>
  <si>
    <t>火行</t>
  </si>
  <si>
    <t>凝成火球飞向目标，命中后造成法术伤害。</t>
  </si>
  <si>
    <t>凝岳印</t>
  </si>
  <si>
    <t>土行</t>
  </si>
  <si>
    <t>在目标上方凝成土印砸落，造成法术伤害。</t>
  </si>
  <si>
    <t>惊蛰落霆</t>
  </si>
  <si>
    <t>术法</t>
  </si>
  <si>
    <t>召下一道雷光轰击目标，造成法术伤害。</t>
  </si>
  <si>
    <t>赤霄焚野</t>
  </si>
  <si>
    <t>在目标区域铺开火纹，对范围内敌人造成法术伤害。</t>
  </si>
  <si>
    <t>目标点</t>
  </si>
  <si>
    <t>御锋诀</t>
  </si>
  <si>
    <t>御使飞剑射向目标，命中后造成物理伤害。</t>
  </si>
  <si>
    <t>分光剑诀</t>
  </si>
  <si>
    <t>飞剑命中后分出剑影，短暂延迟后追加一次物理伤害。</t>
  </si>
  <si>
    <t>周天游刃</t>
  </si>
  <si>
    <t>同时御使十六柄飞剑集火目标并逐枚结算伤害。</t>
  </si>
  <si>
    <t>星罗分锋</t>
  </si>
  <si>
    <t>同时御使十六柄飞剑向前方散开，分别命中路径上的敌人。</t>
  </si>
  <si>
    <t>青息回元</t>
  </si>
  <si>
    <t>以青色灵息为自己或友方立即恢复生命。</t>
  </si>
  <si>
    <t>友方</t>
  </si>
  <si>
    <t>血量最低</t>
  </si>
  <si>
    <t>技能效果_治疗</t>
  </si>
  <si>
    <t>春脉绵生</t>
  </si>
  <si>
    <t>为自己或友方施加持续恢复生命的状态。</t>
  </si>
  <si>
    <t>技能效果_调用状态</t>
  </si>
  <si>
    <t>定魄符</t>
  </si>
  <si>
    <t>以定魄符封住目标行动，使其短时间眩晕。</t>
  </si>
  <si>
    <t>霜锁九脉</t>
  </si>
  <si>
    <t>以寒霜锁住目标，使其短时间冰冻。</t>
  </si>
  <si>
    <t>砺锋诀</t>
  </si>
  <si>
    <t>强化自身锋芒，暂时提升物理攻击上下限。</t>
  </si>
  <si>
    <t>自己</t>
  </si>
  <si>
    <t>玄炁贯灵</t>
  </si>
  <si>
    <t>引玄炁贯入经脉，暂时提升法术攻击上下限。</t>
  </si>
  <si>
    <t>破甲印</t>
  </si>
  <si>
    <t>使目标护身结构松动，暂时降低物理防御上下限。</t>
  </si>
  <si>
    <t>蚀法咒</t>
  </si>
  <si>
    <t>扰乱目标护法灵气，暂时降低法术防御上下限。</t>
  </si>
  <si>
    <t>余烬侵脉</t>
  </si>
  <si>
    <t>将余烬附着目标经脉，持续造成法术伤害。</t>
  </si>
  <si>
    <t>离焰周身</t>
  </si>
  <si>
    <t>在自身周围维持焰轮，周期性灼伤附近敌人。</t>
  </si>
  <si>
    <t>玄霜蚀法</t>
  </si>
  <si>
    <t>在自身周围维持霜环，周期性降低附近敌人的法术防御。</t>
  </si>
  <si>
    <t>坤岳辟界阵</t>
  </si>
  <si>
    <t>在自身周围维持坤岳阵纹，周期性将附近敌人向外推开。</t>
  </si>
  <si>
    <t>游身九转</t>
  </si>
  <si>
    <t>沿瞄准方向快速掠出一段距离。</t>
  </si>
  <si>
    <t>技能效果_位移</t>
  </si>
  <si>
    <t>施法者</t>
  </si>
  <si>
    <t>技能瞄准处</t>
  </si>
  <si>
    <t>Walk</t>
  </si>
  <si>
    <t>灵植术</t>
  </si>
  <si>
    <t>灵植</t>
  </si>
  <si>
    <t>地道</t>
  </si>
  <si>
    <t>提高对灵植灵性、药性与杂质的辨析和处理能力，并提高相关炼制的成功率。|n|cff00FF00“草木之用，不独在其形色；识其灵序、留其真性，方能去芜存精。”——《草木蕴生功》|r</t>
  </si>
  <si>
    <t>191</t>
  </si>
  <si>
    <t>灵材术</t>
  </si>
  <si>
    <t>灵材</t>
  </si>
  <si>
    <t>提高对灵材结构、材性与杂质的辨析和处理能力，并提高相关炼制的成功率。|n|cff00FF00“石有纹，金有性；灵材虽默，其内秩序自有迹可循。”——《万材辨性篇》|r</t>
  </si>
  <si>
    <t>炼丹术</t>
  </si>
  <si>
    <t>炼丹</t>
  </si>
  <si>
    <t>高炼丹时调和药性、掌控火候和去除药滓的能力，增加炼丹成功率。|n|cff00FF00“丹成非独赖火，须使四性五味各安其位，清浊自分。”——《九转合丹经》|r</t>
  </si>
  <si>
    <t>炼器术</t>
  </si>
  <si>
    <t>炼器</t>
  </si>
  <si>
    <t>提高炼器时调和材性、贯通灵路和去除杂质的能力，增加炼器成功率。|n|cff00FF00“器成于材，灵生于序；材性不合，百炼亦为空。”——《天工铸灵经》|r</t>
  </si>
  <si>
    <t>符箓术</t>
  </si>
  <si>
    <t>符箓</t>
  </si>
  <si>
    <t>提高制符时控制灵力、绘制符纹和维持符中结构的能力，增加制符成功率。|n|cff00FF00“符者，以灵力为墨、符材为载，外写一段可自行运转之序。”——《云篆通玄诀》|r</t>
  </si>
  <si>
    <t>阵法术</t>
  </si>
  <si>
    <t>阵法</t>
  </si>
  <si>
    <t>提高布阵时推演阵眼、连接灵路和维持阵势的能力，增加布阵成功率。|n|cff00FF00“阵不在纹多，而在诸点相引、诸路成环，能借天地之势而自持。”——《河洛演阵篇》|r</t>
  </si>
  <si>
    <t>御兽术</t>
  </si>
  <si>
    <t>御兽</t>
  </si>
  <si>
    <t>提高感知灵兽状态、传递意念和建立稳定联系的能力，增加驯服与御使成功率。|n|cff00FF00“御兽先通其心，后御其力；强压只得一时，感应方能同行长久。”——《万灵御心诀》|r</t>
  </si>
  <si>
    <t>天序化元经</t>
  </si>
  <si>
    <t>天道</t>
  </si>
  <si>
    <t>修炼</t>
  </si>
  <si>
    <t>提高每点灵气转化出的修为。|n|cff00FF00“灵气先成其序，而后方可炼化；序愈分明，所化愈厚。”——《上古灵序经》|r</t>
  </si>
  <si>
    <t>周天转灵功</t>
  </si>
  <si>
    <t>加快修炼速度，提高单位时间获得的修为。|n|cff00FF00“气行一周，则浊减一分；周天不息，则真修自长。”——《周天行气录》|r</t>
  </si>
  <si>
    <t>九息纳灵功</t>
  </si>
  <si>
    <t>提高每时辰吸收的灵气数量。|n|cff00FF00“一息引气，九息成环；环成之时，四方灵气自来。”——《九息纳真章》|r</t>
  </si>
  <si>
    <t>归元锁基篇</t>
  </si>
  <si>
    <t>回收炼化时散逸的灵气，额外获得修为。|n|cff00FF00“余气不可轻弃，涓流亦当归基；积微累久，自可成道。”——《道基归元论》|r</t>
  </si>
  <si>
    <t>太虚演化篇</t>
  </si>
  <si>
    <t>按比例提高最终获得的修为。|n|cff00FF00“丹田非器，虚则能容；所容愈广，演化愈深。”——《太虚内景说》|r</t>
  </si>
  <si>
    <t>抱一守真经</t>
  </si>
  <si>
    <t>灵气不足时，仍能稳定获得少量基础修为。|n|cff00FF00“外气有穷，自真不绝；三元抱一，虽寂亦修。”——《守真抱一录》|r</t>
  </si>
  <si>
    <t>日月顺时篇</t>
  </si>
  <si>
    <t>白昼提高灵气吸收，夜间提高灵气转化。|n|cff00FF00“日气升而宜引，月气沉而宜藏；顺时而修，事半功倍。”——《日月灵气考》|r</t>
  </si>
  <si>
    <t>一气朝元诀</t>
  </si>
  <si>
    <t>清晨修炼时，同时提高灵气吸收与修为转化。|n|cff00FF00“朝阳未盛，夜阴将退，一气最清，万流朝元。”——《朝元清气篇》|r</t>
  </si>
  <si>
    <t>元海藏真篇</t>
  </si>
  <si>
    <t>提高灵气储存上限，减少未炼化灵气的流失。|n|cff00FF00“海纳百川，丹田藏气；未化之灵，亦不可归散。”——《元海藏灵录》|r</t>
  </si>
  <si>
    <t>开玄破障诀</t>
  </si>
  <si>
    <t>破境</t>
  </si>
  <si>
    <t>提高突破成功率，并减轻突破失败的反噬。|n|cff00FF00“关隘非墙，乃旧序之极；稳其根本，方可开玄。”——《破境玄关论》|r</t>
  </si>
  <si>
    <t>破妄观微篇</t>
  </si>
  <si>
    <t>神识</t>
  </si>
  <si>
    <t>提高神识探查能力，并增加神通命中要害的概率。|n|cff00FF00“神识至微，可见气隙；既见其隙，则虚妄自破。”——《观微破妄录》|r</t>
  </si>
  <si>
    <t>百战砺真功</t>
  </si>
  <si>
    <t>神通</t>
  </si>
  <si>
    <t>提高所有主动神通的最终威力。|n|cff00FF00“法无常强，战可砺真；每正一误，神通便进一分。”——《百战灵机考》|r</t>
  </si>
  <si>
    <t>万象本命诀</t>
  </si>
  <si>
    <t>指定一门本命神通，大幅提高其威力；同时只能指定一门。|n|cff00FF00“万法皆可习，本命只存一；神意相合，则法如己身。”——《本命神通录》|r</t>
  </si>
  <si>
    <t>观剑养锋篇</t>
  </si>
  <si>
    <t>提高所有剑道系神通的伤害与破防效果。|n|cff00FF00“剑锋养于未出之时，剑意成于久观之中。”——《剑堂养锋札》|r</t>
  </si>
  <si>
    <t>万法归流经</t>
  </si>
  <si>
    <t>提高所有术法系神通的效果。|n|cff00FF00“术有万象，气归一流；灵流无滞，则诸法尽显。”——《万法运灵总纲》|r</t>
  </si>
  <si>
    <t>百炼淬元功</t>
  </si>
  <si>
    <t>提高所有炼体系神通的近身伤害与护体效果。|n|cff00FF00“以身为炉，以气为火；百炼之后，血肉亦可承道。”——《古修身炉经》|r</t>
  </si>
  <si>
    <t>太白庚金经</t>
  </si>
  <si>
    <t>提高所有金行神通的伤害、破甲与穿透效果。|n|cff00FF00“庚金贵收不贵散，聚锋于一点，自可断万护。”——《庚金断法录》|r</t>
  </si>
  <si>
    <t>青木荣枯经</t>
  </si>
  <si>
    <t>提高所有木行神通的伤害、治疗与持续恢复效果。|n|cff00FF00“木之一道，生中有谢，枯中藏荣，轮转而不绝。”——《青木荣枯志》|r</t>
  </si>
  <si>
    <t>沧溟叠浪篇</t>
  </si>
  <si>
    <t>提高所有水行神通的效果，连续命中时威力逐渐增加。|n|cff00FF00“水势不争一击，前潮尚未尽，后浪已经生。”——《沧溟潮生篇》|r</t>
  </si>
  <si>
    <t>离火升频诀</t>
  </si>
  <si>
    <t>提高所有火行神通的伤害、爆发与灼烧效果。|n|cff00FF00“火主动，动则升频；频至其极，一念便可燎原。”——《离火动法论》|r</t>
  </si>
  <si>
    <t>玄岳镇元功</t>
  </si>
  <si>
    <t>提高所有土行神通以及护盾、减伤和镇压效果。|n|cff00FF00“土承万物而不移，气沉如岳，则攻守皆稳。”——《玄土承载经》|r</t>
  </si>
  <si>
    <t>五行生克经</t>
  </si>
  <si>
    <t>五行</t>
  </si>
  <si>
    <t>提高所有五行神通的效果，对受克制目标效果更强。|n|cff00FF00“生者开其路，克者裁其形；五行得位，万法乃成。”——《五行生克论》|r</t>
  </si>
  <si>
    <t>草木蕴生功</t>
  </si>
  <si>
    <t>提高所有灵植类技能的效果。|n|cff00FF00“草木各有其序，顺序而养，则生机自盛。”——《草木灵序考》|r</t>
  </si>
  <si>
    <t>万材辨性篇</t>
  </si>
  <si>
    <t>提高所有灵材类技能的效果。|n|cff00FF00“万材形异而理可察，辨其灵序，方能尽其本性。”——《万材性理谱》|r</t>
  </si>
  <si>
    <t>九转合丹经</t>
  </si>
  <si>
    <t>提高所有炼丹类技能的效果。|n|cff00FF00“火不可一味求烈，九转徐急，四性五味方可归和。”——《丹火九转论》|r</t>
  </si>
  <si>
    <t>天工铸灵经</t>
  </si>
  <si>
    <t>提高所有炼器类技能的效果。|n|cff00FF00“器之贵不独在形，材性相合、灵路成环，方可长久。”——《天工器理录》|r</t>
  </si>
  <si>
    <t>云篆通玄诀</t>
  </si>
  <si>
    <t>提高所有符箓类技能的效果。|n|cff00FF00“符者，以有限之笔，外写完整之序。”——《云篆外写法》|r</t>
  </si>
  <si>
    <t>河洛演阵篇</t>
  </si>
  <si>
    <t>提高所有阵法类技能的效果。|n|cff00FF00“阵非纹多而强，贵在诸点相引、诸路成环。”——《河洛阵枢考》|r</t>
  </si>
  <si>
    <t>万灵御心诀</t>
  </si>
  <si>
    <t>提高所有御兽类技能的效果。|n|cff00FF00“御兽先通其心，后御其力；强压得用一时，感应方可同行久远。”——《万灵感应录》|r</t>
  </si>
  <si>
    <t>普攻</t>
  </si>
  <si>
    <t>普通攻击。</t>
  </si>
  <si>
    <t>离火星·命中</t>
  </si>
  <si>
    <t>被调用结算技能，不进入技能面板。</t>
  </si>
  <si>
    <t>御锋诀·命中</t>
  </si>
  <si>
    <t>分光剑诀·命中</t>
  </si>
  <si>
    <t>周天游刃·命中</t>
  </si>
  <si>
    <t>星罗分锋·命中</t>
  </si>
  <si>
    <t>离焰周身·光环结算</t>
  </si>
  <si>
    <t>玄霜蚀法·光环结算</t>
  </si>
  <si>
    <t>坤岳辟界阵·光环结算</t>
  </si>
  <si>
    <t>命中者</t>
  </si>
  <si>
    <t>远离施法者</t>
  </si>
  <si>
    <t>远程普攻命中</t>
  </si>
  <si>
    <t>远程普攻_31</t>
  </si>
  <si>
    <t>远程普攻_142</t>
  </si>
  <si>
    <t>远程普攻_143</t>
  </si>
  <si>
    <t>远程普攻_144</t>
  </si>
  <si>
    <t>远程普攻_145</t>
  </si>
  <si>
    <t>远程普攻_146</t>
  </si>
  <si>
    <t>远程普攻_147</t>
  </si>
  <si>
    <t>远程普攻_148</t>
  </si>
  <si>
    <t>远程普攻_149</t>
  </si>
  <si>
    <t>远程普攻_150</t>
  </si>
  <si>
    <t>远程普攻_151</t>
  </si>
  <si>
    <t>远程普攻_152</t>
  </si>
  <si>
    <t>远程普攻_153</t>
  </si>
  <si>
    <t>远程普攻_154</t>
  </si>
  <si>
    <t>远程普攻_155</t>
  </si>
  <si>
    <t>远程普攻_156</t>
  </si>
  <si>
    <t>远程普攻_157</t>
  </si>
  <si>
    <t>远程普攻_158</t>
  </si>
  <si>
    <t>远程普攻_159</t>
  </si>
  <si>
    <t>远程普攻_160</t>
  </si>
  <si>
    <t>远程普攻_161</t>
  </si>
  <si>
    <t>定魄符·命中</t>
  </si>
  <si>
    <t>太白藏锋斩·命中</t>
  </si>
  <si>
    <t>skill_103800_1</t>
  </si>
  <si>
    <t>skill_103800_2</t>
  </si>
  <si>
    <t>skill_103800_3</t>
  </si>
  <si>
    <t>skill_103800_4</t>
  </si>
  <si>
    <t>skill_103800_5</t>
  </si>
  <si>
    <t>skill_103800_6</t>
  </si>
  <si>
    <t>skill_103800_7</t>
  </si>
  <si>
    <t>skill_103800_8</t>
  </si>
  <si>
    <t>skill_103800_9</t>
  </si>
  <si>
    <t>skill_103800_10</t>
  </si>
  <si>
    <t>玄罡撼岳劲·命中</t>
  </si>
  <si>
    <t>skill_103900_1</t>
  </si>
  <si>
    <t>skill_103900_2</t>
  </si>
  <si>
    <t>skill_103900_3</t>
  </si>
  <si>
    <t>skill_103900_4</t>
  </si>
  <si>
    <t>skill_103900_5</t>
  </si>
  <si>
    <t>skill_103900_6</t>
  </si>
  <si>
    <t>skill_103900_7</t>
  </si>
  <si>
    <t>skill_103900_8</t>
  </si>
  <si>
    <t>skill_103900_9</t>
  </si>
  <si>
    <t>skill_103900_10</t>
  </si>
  <si>
    <t>icon_name</t>
  </si>
  <si>
    <t>level</t>
  </si>
  <si>
    <t>show_time</t>
  </si>
  <si>
    <t>time_override</t>
  </si>
  <si>
    <t>pile_type</t>
  </si>
  <si>
    <t>pile_max</t>
  </si>
  <si>
    <t>display_position</t>
  </si>
  <si>
    <t>effect_path</t>
  </si>
  <si>
    <t>binding_position</t>
  </si>
  <si>
    <t>category</t>
  </si>
  <si>
    <t>dispel_level</t>
  </si>
  <si>
    <t>effects</t>
  </si>
  <si>
    <t>tag</t>
  </si>
  <si>
    <t>dot_coefficient</t>
  </si>
  <si>
    <t>dot_flat</t>
  </si>
  <si>
    <t>dot_can_crit</t>
  </si>
  <si>
    <t>dot_crit</t>
  </si>
  <si>
    <t>hot_coefficient</t>
  </si>
  <si>
    <t>hot_flat</t>
  </si>
  <si>
    <t>hot_can_crit</t>
  </si>
  <si>
    <t>hot_crit</t>
  </si>
  <si>
    <t>attr_key</t>
  </si>
  <si>
    <t>attr_value</t>
  </si>
  <si>
    <t>sub_skill_id</t>
  </si>
  <si>
    <t>per_target_interval_ms</t>
  </si>
  <si>
    <t>shield_coefficient</t>
  </si>
  <si>
    <t>shield_flat</t>
  </si>
  <si>
    <t>trigger_condition</t>
  </si>
  <si>
    <t>trigger_param</t>
  </si>
  <si>
    <t>trigger_sub_skill_id</t>
  </si>
  <si>
    <t>BuffTarget</t>
  </si>
  <si>
    <t>BuffTimeOverrideType</t>
  </si>
  <si>
    <t>BuffOverrideType</t>
  </si>
  <si>
    <t>BuffBindPosition</t>
  </si>
  <si>
    <t>BuffCategory</t>
  </si>
  <si>
    <t>array,BuffEffect</t>
  </si>
  <si>
    <t>状态ID</t>
  </si>
  <si>
    <t>状态图标资源名称</t>
  </si>
  <si>
    <t>状态显示名称</t>
  </si>
  <si>
    <t>状态适用目标类型（不导出：程序不读，只供策划分类）
记录所属对象类别：角色身上填 角色状态，怪物、宠物等填 怪物状态；不限制施加对象</t>
  </si>
  <si>
    <t>状态等级</t>
  </si>
  <si>
    <t>状态描述文本</t>
  </si>
  <si>
    <t>识别ID</t>
  </si>
  <si>
    <t>显示剩余时间</t>
  </si>
  <si>
    <t>时间覆盖类型</t>
  </si>
  <si>
    <t>层数叠加类型</t>
  </si>
  <si>
    <t>最大叠加层数</t>
  </si>
  <si>
    <t>持续时间(毫秒)</t>
  </si>
  <si>
    <t>作用间隔(毫秒)</t>
  </si>
  <si>
    <t>图标显示位置</t>
  </si>
  <si>
    <t>状态图标ID</t>
  </si>
  <si>
    <t>状态特效路径</t>
  </si>
  <si>
    <t>特效绑定位置</t>
  </si>
  <si>
    <t>Buff分类</t>
  </si>
  <si>
    <t>驱散级别
0=不可驱散（剧情、BOSS 机制状态），1=普通驱散可驱，2=需强驱散；驱散强度≥本值才驱得掉</t>
  </si>
  <si>
    <t>效果1·【控制】控制类型</t>
  </si>
  <si>
    <t>效果1·【持续伤害】伤害类型</t>
  </si>
  <si>
    <t>效果1·【持续伤害】万分比伤害系数</t>
  </si>
  <si>
    <t>效果1·【持续伤害】固定伤害数值</t>
  </si>
  <si>
    <t>效果1·【持续伤害】是否允许暴击：持续伤害不暴击，填 FALSE</t>
  </si>
  <si>
    <t>效果1·【持续伤害】暴击参数：填 0</t>
  </si>
  <si>
    <t>效果1·【持续治疗】治疗类型</t>
  </si>
  <si>
    <t>效果1·【持续治疗】治疗万分比系数</t>
  </si>
  <si>
    <t>效果1·【持续治疗】固定治疗值</t>
  </si>
  <si>
    <t>效果1·【持续治疗】是否允许暴击：持续治疗不暴击，填 FALSE</t>
  </si>
  <si>
    <t>效果1·【持续治疗】暴击参数：填 0</t>
  </si>
  <si>
    <t>效果1·【属性修正】修正属性类型</t>
  </si>
  <si>
    <t>效果1·【属性修正】修正属性值</t>
  </si>
  <si>
    <t>效果1·【光环】光环释放的技能ID（按状态作用间隔释放）</t>
  </si>
  <si>
    <t>效果1·【光环】同一目标再触发间隔(毫秒)：0=每跳都打；正数=同一目标至少隔这么久再打；-1=同一目标只生效一次（火蛇/火墙/地刺填 -1）</t>
  </si>
  <si>
    <t>效果1·【护盾】万分比系数：基数取携带者的生命上限</t>
  </si>
  <si>
    <t>效果1·【护盾】固定护盾值</t>
  </si>
  <si>
    <t>效果1·【触发器】触发条件</t>
  </si>
  <si>
    <t>效果1·【触发器】条件参数（万分比）：只有生命低于阈值这一档读它，其余填 0</t>
  </si>
  <si>
    <t>效果1·【触发器】条件满足后施放的子技能ID（效果列表全在子技能里）</t>
  </si>
  <si>
    <t>效果2·【控制】控制类型</t>
  </si>
  <si>
    <t>效果2·【持续伤害】伤害类型</t>
  </si>
  <si>
    <t>效果2·【持续伤害】万分比伤害系数</t>
  </si>
  <si>
    <t>效果2·【持续伤害】固定伤害数值</t>
  </si>
  <si>
    <t>效果2·【持续伤害】是否允许暴击：持续伤害不暴击，填 FALSE</t>
  </si>
  <si>
    <t>效果2·【持续伤害】暴击参数：填 0</t>
  </si>
  <si>
    <t>效果2·【持续治疗】治疗类型</t>
  </si>
  <si>
    <t>效果2·【持续治疗】治疗万分比系数</t>
  </si>
  <si>
    <t>效果2·【持续治疗】固定治疗值</t>
  </si>
  <si>
    <t>效果2·【持续治疗】是否允许暴击：持续治疗不暴击，填 FALSE</t>
  </si>
  <si>
    <t>效果2·【持续治疗】暴击参数：填 0</t>
  </si>
  <si>
    <t>效果2·【属性修正】修正属性类型</t>
  </si>
  <si>
    <t>效果2·【属性修正】修正属性值</t>
  </si>
  <si>
    <t>效果2·【光环】光环释放的技能ID（按状态作用间隔释放）</t>
  </si>
  <si>
    <t>效果2·【光环】同一目标再触发间隔(毫秒)：0=每跳都打；正数=同一目标至少隔这么久再打；-1=同一目标只生效一次（火蛇/火墙/地刺填 -1）</t>
  </si>
  <si>
    <t>效果2·【护盾】万分比系数：基数取携带者的生命上限</t>
  </si>
  <si>
    <t>效果2·【护盾】固定护盾值</t>
  </si>
  <si>
    <t>效果2·【触发器】触发条件</t>
  </si>
  <si>
    <t>效果2·【触发器】条件参数（万分比）：只有生命低于阈值这一档读它，其余填 0</t>
  </si>
  <si>
    <t>效果2·【触发器】条件满足后施放的子技能ID（效果列表全在子技能里）</t>
  </si>
  <si>
    <t>效果3·【控制】控制类型</t>
  </si>
  <si>
    <t>效果3·【持续伤害】伤害类型</t>
  </si>
  <si>
    <t>效果3·【持续伤害】万分比伤害系数</t>
  </si>
  <si>
    <t>效果3·【持续伤害】固定伤害数值</t>
  </si>
  <si>
    <t>效果3·【持续伤害】是否允许暴击：持续伤害不暴击，填 FALSE</t>
  </si>
  <si>
    <t>效果3·【持续伤害】暴击参数：填 0</t>
  </si>
  <si>
    <t>效果3·【持续治疗】治疗类型</t>
  </si>
  <si>
    <t>效果3·【持续治疗】治疗万分比系数</t>
  </si>
  <si>
    <t>效果3·【持续治疗】固定治疗值</t>
  </si>
  <si>
    <t>效果3·【持续治疗】是否允许暴击：持续治疗不暴击，填 FALSE</t>
  </si>
  <si>
    <t>效果3·【持续治疗】暴击参数：填 0</t>
  </si>
  <si>
    <t>效果3·【属性修正】修正属性类型</t>
  </si>
  <si>
    <t>效果3·【属性修正】修正属性值</t>
  </si>
  <si>
    <t>效果3·【光环】光环释放的技能ID（按状态作用间隔释放）</t>
  </si>
  <si>
    <t>效果3·【光环】同一目标再触发间隔(毫秒)：0=每跳都打；正数=同一目标至少隔这么久再打；-1=同一目标只生效一次（火蛇/火墙/地刺填 -1）</t>
  </si>
  <si>
    <t>效果3·【护盾】万分比系数：基数取携带者的生命上限</t>
  </si>
  <si>
    <t>效果3·【护盾】固定护盾值</t>
  </si>
  <si>
    <t>效果3·【触发器】触发条件</t>
  </si>
  <si>
    <t>效果3·【触发器】条件参数（万分比）：只有生命低于阈值这一档读它，其余填 0</t>
  </si>
  <si>
    <t>效果3·【触发器】条件满足后施放的子技能ID（效果列表全在子技能里）</t>
  </si>
  <si>
    <t>眩晕</t>
  </si>
  <si>
    <t>角色状态</t>
  </si>
  <si>
    <t>眩晕(无法行动)2秒</t>
  </si>
  <si>
    <t>210003</t>
  </si>
  <si>
    <t>覆盖</t>
  </si>
  <si>
    <t>原点</t>
  </si>
  <si>
    <t>减益</t>
  </si>
  <si>
    <t>状态效果_控制</t>
  </si>
  <si>
    <t>石化</t>
  </si>
  <si>
    <t>石化(无法行动)2秒</t>
  </si>
  <si>
    <t>210004</t>
  </si>
  <si>
    <t>冰冻</t>
  </si>
  <si>
    <t>目标被冰冻定身</t>
  </si>
  <si>
    <t>210006</t>
  </si>
  <si>
    <t>虚弱</t>
  </si>
  <si>
    <t>敌方伤害减免减20%，持续10秒</t>
  </si>
  <si>
    <t>210010</t>
  </si>
  <si>
    <t>状态效果_属性修正</t>
  </si>
  <si>
    <t>伤害减免增幅</t>
  </si>
  <si>
    <t>中毒</t>
  </si>
  <si>
    <t>中毒状态，持续减少血量</t>
  </si>
  <si>
    <t>210002</t>
  </si>
  <si>
    <t>状态效果_持续伤害</t>
  </si>
  <si>
    <t>周期性恢复生命。</t>
  </si>
  <si>
    <t>210011</t>
  </si>
  <si>
    <t>增益</t>
  </si>
  <si>
    <t>状态效果_持续治疗</t>
  </si>
  <si>
    <t>受到定魄符约束，暂时无法行动。</t>
  </si>
  <si>
    <t>210012</t>
  </si>
  <si>
    <t>经脉被寒霜封锁，暂时陷入冰冻。</t>
  </si>
  <si>
    <t>210013</t>
  </si>
  <si>
    <t>物理攻击上下限提高。</t>
  </si>
  <si>
    <t>210014</t>
  </si>
  <si>
    <t>攻击下限增幅</t>
  </si>
  <si>
    <t>攻击上限增幅</t>
  </si>
  <si>
    <t>法术攻击上下限提高。</t>
  </si>
  <si>
    <t>210015</t>
  </si>
  <si>
    <t>法力下限增幅</t>
  </si>
  <si>
    <t>法力上限增幅</t>
  </si>
  <si>
    <t>物理防御上下限降低。</t>
  </si>
  <si>
    <t>210016</t>
  </si>
  <si>
    <t>物防下限增幅</t>
  </si>
  <si>
    <t>物防上限增幅</t>
  </si>
  <si>
    <t>法术防御上下限降低。</t>
  </si>
  <si>
    <t>210017</t>
  </si>
  <si>
    <t>法防下限增幅</t>
  </si>
  <si>
    <t>法防上限增幅</t>
  </si>
  <si>
    <t>余烬侵入经脉，周期性受到法术伤害。</t>
  </si>
  <si>
    <t>210018</t>
  </si>
  <si>
    <t>维持离焰光环，周期性灼伤附近敌人。</t>
  </si>
  <si>
    <t>210019</t>
  </si>
  <si>
    <t>状态效果_光环</t>
  </si>
  <si>
    <t>玄霜蚀法·光环</t>
  </si>
  <si>
    <t>维持玄霜光环，周期性向附近敌人施加法防减益。</t>
  </si>
  <si>
    <t>210020</t>
  </si>
  <si>
    <t>玄霜蚀法·法防减益</t>
  </si>
  <si>
    <t>210021</t>
  </si>
  <si>
    <t>维持坤岳辟界阵纹，周期性推开附近敌人。</t>
  </si>
  <si>
    <t>210022</t>
  </si>
  <si>
    <t>技能内部名</t>
  </si>
  <si>
    <t>内部名编号</t>
  </si>
  <si>
    <t>状态内部名</t>
  </si>
  <si>
    <t>编号</t>
  </si>
  <si>
    <t>施法目标</t>
  </si>
  <si>
    <t>范围类型</t>
  </si>
  <si>
    <t>效果目标</t>
  </si>
  <si>
    <t>技能效果</t>
  </si>
  <si>
    <t>数据类型</t>
  </si>
  <si>
    <t>介绍</t>
  </si>
  <si>
    <t>状态效果</t>
  </si>
  <si>
    <t>施法目标_自身</t>
  </si>
  <si>
    <t>范围类型_所选目标</t>
  </si>
  <si>
    <t>效果目标_所选</t>
  </si>
  <si>
    <t>筛选的所有目标</t>
  </si>
  <si>
    <t>BindingPosition</t>
  </si>
  <si>
    <t>技能效果_技能增伤</t>
  </si>
  <si>
    <t>状态效果_眩晕</t>
  </si>
  <si>
    <t>不配数据</t>
  </si>
  <si>
    <t>引擎内置（BuffModuleswitch-case，War3未使用（持续时间走配置）</t>
  </si>
  <si>
    <t>施法目标_敌对</t>
  </si>
  <si>
    <t>范围类型_目标圆形范围</t>
  </si>
  <si>
    <t>圆形范围</t>
  </si>
  <si>
    <t>效果目标_自身</t>
  </si>
  <si>
    <t>无视筛选，对自身施放</t>
  </si>
  <si>
    <t>脚底</t>
  </si>
  <si>
    <t>origin</t>
  </si>
  <si>
    <t>技能效果_忽视防御</t>
  </si>
  <si>
    <t>万分比</t>
  </si>
  <si>
    <t>状态效果_石化</t>
  </si>
  <si>
    <t>引擎内置（同上）未使用</t>
  </si>
  <si>
    <t>施法目标_友方</t>
  </si>
  <si>
    <t>范围类型_目标矩形范围</t>
  </si>
  <si>
    <t>效果目标_范围内的敌对</t>
  </si>
  <si>
    <t>筛选的所有敌方目标</t>
  </si>
  <si>
    <t>胸部</t>
  </si>
  <si>
    <t>chest</t>
  </si>
  <si>
    <t>技能效果_调用技能</t>
  </si>
  <si>
    <t>状态效果_封印</t>
  </si>
  <si>
    <t>施法目标_目标点</t>
  </si>
  <si>
    <t>范围类型_目标扇形范围</t>
  </si>
  <si>
    <t>效果目标_范围内的友方</t>
  </si>
  <si>
    <t>筛选的所有友方目标</t>
  </si>
  <si>
    <t>背部</t>
  </si>
  <si>
    <t>rear</t>
  </si>
  <si>
    <t>状态效果_中毒</t>
  </si>
  <si>
    <t>game层PoisonHandler每DOT</t>
  </si>
  <si>
    <t>施法目标_主人</t>
  </si>
  <si>
    <t>范围类型_自身为中心矩形</t>
  </si>
  <si>
    <t>效果目标_目标点</t>
  </si>
  <si>
    <t>头顶上方</t>
  </si>
  <si>
    <t>overhead</t>
  </si>
  <si>
    <t>技能效果_召唤单位</t>
  </si>
  <si>
    <t>状态效果_火墙</t>
  </si>
  <si>
    <t>game层PoisonHandler同上</t>
  </si>
  <si>
    <t>范围类型_自身为圆心</t>
  </si>
  <si>
    <t>效果目标_主人</t>
  </si>
  <si>
    <t>头部</t>
  </si>
  <si>
    <t>head</t>
  </si>
  <si>
    <t>状态效果_火墙整数</t>
  </si>
  <si>
    <t>效果目标_范围内的全部</t>
  </si>
  <si>
    <t>手</t>
  </si>
  <si>
    <t>hand</t>
  </si>
  <si>
    <t>技能效果_冲撞位移</t>
  </si>
  <si>
    <t>状态效果_虚弱</t>
  </si>
  <si>
    <t>game层AttrModHandler伤害减少的万分比</t>
  </si>
  <si>
    <t>效果目标_范围内的队友</t>
  </si>
  <si>
    <t>左手</t>
  </si>
  <si>
    <t>hand left</t>
  </si>
  <si>
    <t>技能效果_火环位移</t>
  </si>
  <si>
    <t>状态效果_易伤</t>
  </si>
  <si>
    <t>game层AttrModHandler受伤增幅值</t>
  </si>
  <si>
    <t>效果目标_范围内的中立</t>
  </si>
  <si>
    <t>右手</t>
  </si>
  <si>
    <t>hand right</t>
  </si>
  <si>
    <t>技能效果_隔位刺杀</t>
  </si>
  <si>
    <t>状态效果_物防上限整数增加</t>
  </si>
  <si>
    <t>整数</t>
  </si>
  <si>
    <t>game层AttrModHandler平坦物防变化量（乘层数）</t>
  </si>
  <si>
    <t>效果目标_范围内的敌对怪</t>
  </si>
  <si>
    <t>脚</t>
  </si>
  <si>
    <t>foot</t>
  </si>
  <si>
    <t>技能效果_被触发</t>
  </si>
  <si>
    <t>状态效果_魔防上限整数增加</t>
  </si>
  <si>
    <t>game层AttrModHandler平坦魔防变化量（乘层数）</t>
  </si>
  <si>
    <t>效果目标_友方生命值最低</t>
  </si>
  <si>
    <t>左脚</t>
  </si>
  <si>
    <t>foot left</t>
  </si>
  <si>
    <t>技能效果_被动增加准确</t>
  </si>
  <si>
    <t>未实现</t>
  </si>
  <si>
    <t>状态效果_物防上限万分比增加</t>
  </si>
  <si>
    <t>game层AttrModHandler基于施法者法术强度的万分比</t>
  </si>
  <si>
    <t>右脚</t>
  </si>
  <si>
    <t>foot right</t>
  </si>
  <si>
    <t>技能效果_无</t>
  </si>
  <si>
    <t>枚举占位，无逻辑—</t>
  </si>
  <si>
    <t>状态效果_魔防上限万分比增加</t>
  </si>
  <si>
    <t>game层AttrModHandler同上</t>
  </si>
  <si>
    <t>施法逻辑</t>
  </si>
  <si>
    <t>武器</t>
  </si>
  <si>
    <t>weapon</t>
  </si>
  <si>
    <t>技能效果_刺杀近身</t>
  </si>
  <si>
    <t>状态效果_回血</t>
  </si>
  <si>
    <t>game层HealHandler（瞬时）回复HP量（整数）</t>
  </si>
  <si>
    <t>1、通过【施法目标】确定施法目标点(单位)</t>
  </si>
  <si>
    <t>精灵绑定点</t>
  </si>
  <si>
    <t>sprite</t>
  </si>
  <si>
    <t>技能效果_刺杀隔位</t>
  </si>
  <si>
    <t>状态效果_回蓝</t>
  </si>
  <si>
    <t>game层HealHandler（瞬时）回复MP量（整数）</t>
  </si>
  <si>
    <t>2、在目标点以【范围类型】再次进行筛选</t>
  </si>
  <si>
    <t>模型中部</t>
  </si>
  <si>
    <t>medium</t>
  </si>
  <si>
    <t>技能效果_传送</t>
  </si>
  <si>
    <t>1，2，3分别是回城，随机，指定传送</t>
  </si>
  <si>
    <t>状态效果_治愈术</t>
  </si>
  <si>
    <t>game层HealHandler（DOT）施法者法术强度的万分比（每跳）</t>
  </si>
  <si>
    <t>3、筛选的所有目标里，对符合【效果目标】的单位确定具体对谁施加（包括数量）</t>
  </si>
  <si>
    <t>坐骑</t>
  </si>
  <si>
    <t>mount</t>
  </si>
  <si>
    <t>状态效果_治愈术整数</t>
  </si>
  <si>
    <t>game层HealHandler（DOT）每跳回血量（整数，乘层数）</t>
  </si>
  <si>
    <t>3、对符合【效果目标】的单位施加技能效果</t>
  </si>
  <si>
    <t>只配置中文部分，英文是引擎使用，我们只要上面5个挂点，下面黄底色先不管，需要动作全部做一下挂点，这一点上我们具体跟动作同学聊。</t>
  </si>
  <si>
    <t>状态效果_魔法盾系数</t>
  </si>
  <si>
    <t>game层MagicShieldHandler盾值系数（万分比，基于法力值）</t>
  </si>
  <si>
    <t>4、如果【技能效果】是【调用技能B】，则技能B以【每个效果目标】作为【施法目标】(多个效果目标时，技能B会执行多次)</t>
  </si>
  <si>
    <t>状态效果_魔法盾吸收伤害</t>
  </si>
  <si>
    <t>game层MagicShieldHandler伤害吸收百分比（万分比）</t>
  </si>
  <si>
    <t>5、技能B【跳过逻辑1】【执行逻辑2】</t>
  </si>
  <si>
    <t>状态效果_隐身</t>
  </si>
  <si>
    <t>game层InvisibleHandler未使用</t>
  </si>
  <si>
    <t>6.效果目标选择 效果目标_自身 时，无视前面说的，只对自己施放</t>
  </si>
  <si>
    <t>状态效果_隐身术</t>
  </si>
  <si>
    <t>game层InvisibleHandler（别名）未使用</t>
  </si>
  <si>
    <t>7.被调用的技能一般不需要配置施法目标。</t>
  </si>
  <si>
    <t>状态效果_盾破CD</t>
  </si>
  <si>
    <t>game层ShieldBreakCDHandler未使用（持续时间走配置）</t>
  </si>
  <si>
    <t>状态效果_缓慢回血</t>
  </si>
  <si>
    <t>game层HealHandler（BUFF按配置缓慢回）回复HP量（整数）</t>
  </si>
  <si>
    <t>状态效果_缓慢回蓝</t>
  </si>
  <si>
    <t>game层HealHandler（BUFF按配置缓慢回）回复MP量（整数）</t>
  </si>
  <si>
    <t>计算自己道术属性，效果值相当于取值以后X万分比，是一个系数。算出来是整数DOT掉血（上面已有）</t>
  </si>
  <si>
    <t>状态效果_战士DOT</t>
  </si>
  <si>
    <t>计算自己攻击属性，效果值相当于取值以后X万分比，是一个系数。算出来是整数DOT掉血</t>
  </si>
  <si>
    <t>状态效果_法师DOT</t>
  </si>
  <si>
    <t>计算自己魔法属性，效果值相当于取值以后X万分比，是一个系数。算出来是整数DOT掉血（相当于火墙技能）</t>
  </si>
  <si>
    <t>状态效果_攻击万分比</t>
  </si>
  <si>
    <t>状态效果_魔法万分比</t>
  </si>
  <si>
    <t>状态效果_道术万分比</t>
  </si>
  <si>
    <t>状态效果_攻击速度</t>
  </si>
  <si>
    <t>？？</t>
  </si>
  <si>
    <t>状态效果_施法速度</t>
  </si>
  <si>
    <t>状态效果_物防上限整数降低</t>
  </si>
  <si>
    <t>状态效果_魔防上限整数降低</t>
  </si>
  <si>
    <t>状态效果_物防上限万分比降低</t>
  </si>
  <si>
    <t>状态效果_魔防上限万分比降低</t>
  </si>
  <si>
    <t>状态效果_暴击增加</t>
  </si>
  <si>
    <t>状态效果_流血战</t>
  </si>
  <si>
    <t>每秒损失攻击力*X%的生命，每秒这个事情通过间隔配置，伤害计算上和前面不一样，攻击力单独算一次，考虑幸运值的情况，从上下限取值</t>
  </si>
  <si>
    <t>状态效果_流血法</t>
  </si>
  <si>
    <t>每秒损失魔法*X%的生命，每秒这个事情通过间隔配置，伤害计算上和前面不一样，攻击力单独算一次，考虑幸运值的情况，从上下限取值</t>
  </si>
  <si>
    <t>状态效果_流血道</t>
  </si>
  <si>
    <t>每秒损失道术*X%的生命，每秒这个事情通过间隔配置，伤害计算上和前面不一样，攻击力单独算一次，考虑幸运值的情况，从上下限取值</t>
  </si>
  <si>
    <t>状态效果_加攻击下限整数</t>
  </si>
  <si>
    <t>增加攻击下限X值</t>
  </si>
  <si>
    <t>状态效果_加攻击上限整数</t>
  </si>
  <si>
    <t>增加攻击上限X值</t>
  </si>
  <si>
    <t>状态效果_加攻击下限万分比</t>
  </si>
  <si>
    <t>增加攻击下限万分比</t>
  </si>
  <si>
    <t>状态效果_加攻击上限万分比</t>
  </si>
  <si>
    <t>增加攻击上限万分比</t>
  </si>
  <si>
    <t>状态效果_加魔法下限整数</t>
  </si>
  <si>
    <t>增加魔法下限X值</t>
  </si>
  <si>
    <t>状态效果_加魔法上限整数</t>
  </si>
  <si>
    <t>增加魔法上限X值</t>
  </si>
  <si>
    <t>状态效果_加魔法下限万分比</t>
  </si>
  <si>
    <t>增加魔法下限万分比</t>
  </si>
  <si>
    <t>状态效果_加魔法上限万分比</t>
  </si>
  <si>
    <t>增加魔法上限万分比</t>
  </si>
  <si>
    <t>状态效果_加道术下限整数</t>
  </si>
  <si>
    <t>增加道术下限X值</t>
  </si>
  <si>
    <t>状态效果_加道术上限整数</t>
  </si>
  <si>
    <t>增加道术上限X值</t>
  </si>
  <si>
    <t>状态效果_加道术下限万分比</t>
  </si>
  <si>
    <t>增加道术下限万分比</t>
  </si>
  <si>
    <t>状态效果_加道术上限万分比</t>
  </si>
  <si>
    <t>增加道术上限万分比</t>
  </si>
  <si>
    <t>状态效果_流血</t>
  </si>
  <si>
    <t>状态效果_物攻百分比增加</t>
  </si>
  <si>
    <t>状态效果_移动百分比增加</t>
  </si>
  <si>
    <t>状态效果_攻速百分比增加</t>
  </si>
  <si>
    <t>状态效果_双防百分比增加</t>
  </si>
  <si>
    <t>状态效果_目标双防百分比减少</t>
  </si>
  <si>
    <t>状态效果_暴击百分比增加</t>
  </si>
  <si>
    <t>状态效果_召唤大技能</t>
  </si>
  <si>
    <t>状态效果_目标按攻击百分比扣血</t>
  </si>
  <si>
    <t>状态效果_施法速度百分比增加</t>
  </si>
  <si>
    <t>状态效果_物攻麻痹定身</t>
  </si>
  <si>
    <t>状态效果_道术百分比增加</t>
  </si>
  <si>
    <t>计算自己道术属性，算出来是整数DOT掉血</t>
  </si>
  <si>
    <t>计算自己攻击属性，算出来是整数DOT掉血</t>
  </si>
  <si>
    <t>计算自己魔法属性，算出来是整数DOT掉血</t>
  </si>
  <si>
    <t>参数_系别</t>
  </si>
  <si>
    <t>1.png = 剑道</t>
  </si>
  <si>
    <t>14.png = 炼体</t>
  </si>
  <si>
    <t>2.png = 灵植</t>
  </si>
  <si>
    <t>8.png = 五行</t>
  </si>
  <si>
    <t>3.png = 灵材</t>
  </si>
  <si>
    <t>4.png = 炼丹</t>
  </si>
  <si>
    <t>5.png = 炼器</t>
  </si>
  <si>
    <t>6.png = 符箓</t>
  </si>
  <si>
    <t>7.png = 阵法</t>
  </si>
  <si>
    <t>13.png = 术法</t>
  </si>
  <si>
    <t>9.png = 御兽</t>
  </si>
  <si>
    <t>10.png = 修炼</t>
  </si>
  <si>
    <t>11.png = 破境</t>
  </si>
  <si>
    <t>12.png = 神识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</si>
</sst>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2"/>
      <color theme="1"/>
      <name val="宋体"/>
      <charset val="134"/>
    </font>
    <font>
      <sz val="12"/>
      <color theme="1"/>
      <name val="微软雅黑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sz val="12"/>
      <color rgb="FF000000"/>
      <name val="微软雅黑"/>
      <charset val="134"/>
    </font>
    <font>
      <sz val="9"/>
      <color indexed="8"/>
      <name val="微软雅黑"/>
      <charset val="134"/>
    </font>
    <font>
      <sz val="11"/>
      <color indexed="8"/>
      <name val="宋体"/>
      <charset val="134"/>
    </font>
    <font>
      <sz val="9"/>
      <color rgb="FFFF0000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宋体"/>
      <charset val="134"/>
    </font>
    <font>
      <sz val="10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name val="Carlito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10" applyNumberFormat="0" applyAlignment="0" applyProtection="0">
      <alignment vertical="center"/>
    </xf>
    <xf numFmtId="0" fontId="22" fillId="6" borderId="11" applyNumberFormat="0" applyAlignment="0" applyProtection="0">
      <alignment vertical="center"/>
    </xf>
    <xf numFmtId="0" fontId="23" fillId="6" borderId="10" applyNumberFormat="0" applyAlignment="0" applyProtection="0">
      <alignment vertical="center"/>
    </xf>
    <xf numFmtId="0" fontId="24" fillId="7" borderId="12" applyNumberFormat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0" borderId="0"/>
  </cellStyleXfs>
  <cellXfs count="3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NumberFormat="1" applyFont="1" applyFill="1" applyBorder="1"/>
    <xf numFmtId="0" fontId="5" fillId="0" borderId="0" xfId="0" applyFont="1" applyAlignment="1">
      <alignment horizontal="left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top"/>
    </xf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9" fillId="0" borderId="0" xfId="0" applyFont="1" applyAlignment="1">
      <alignment vertical="center"/>
    </xf>
    <xf numFmtId="0" fontId="7" fillId="3" borderId="0" xfId="0" applyFont="1" applyFill="1"/>
    <xf numFmtId="0" fontId="9" fillId="3" borderId="0" xfId="0" applyFont="1" applyFill="1"/>
    <xf numFmtId="0" fontId="7" fillId="3" borderId="0" xfId="0" applyFont="1" applyFill="1" applyAlignment="1">
      <alignment horizontal="left" vertical="top"/>
    </xf>
    <xf numFmtId="0" fontId="9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top"/>
    </xf>
    <xf numFmtId="0" fontId="8" fillId="0" borderId="0" xfId="0" applyFont="1"/>
    <xf numFmtId="0" fontId="8" fillId="3" borderId="0" xfId="0" applyFont="1" applyFill="1"/>
    <xf numFmtId="0" fontId="7" fillId="0" borderId="2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2" borderId="3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left"/>
    </xf>
    <xf numFmtId="0" fontId="8" fillId="2" borderId="4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left"/>
    </xf>
    <xf numFmtId="0" fontId="8" fillId="2" borderId="6" xfId="0" applyFont="1" applyFill="1" applyBorder="1" applyAlignment="1">
      <alignment horizontal="left"/>
    </xf>
    <xf numFmtId="0" fontId="8" fillId="2" borderId="3" xfId="0" applyFont="1" applyFill="1" applyBorder="1"/>
    <xf numFmtId="0" fontId="8" fillId="2" borderId="0" xfId="0" applyFont="1" applyFill="1" applyBorder="1"/>
    <xf numFmtId="0" fontId="8" fillId="2" borderId="1" xfId="0" applyFont="1" applyFill="1" applyBorder="1" applyAlignment="1">
      <alignment horizontal="left"/>
    </xf>
    <xf numFmtId="0" fontId="11" fillId="0" borderId="0" xfId="0" applyNumberFormat="1" applyFont="1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W825"/>
  <sheetViews>
    <sheetView tabSelected="1" workbookViewId="0">
      <pane xSplit="6" ySplit="6" topLeftCell="GV43" activePane="bottomRight" state="frozen"/>
      <selection/>
      <selection pane="topRight"/>
      <selection pane="bottomLeft"/>
      <selection pane="bottomRight" activeCell="GZ10" sqref="GZ10"/>
    </sheetView>
  </sheetViews>
  <sheetFormatPr defaultColWidth="9" defaultRowHeight="17.4"/>
  <cols>
    <col min="1" max="1" width="9" style="1" customWidth="1"/>
    <col min="2" max="2" width="10.3333333333333" style="1" customWidth="1"/>
    <col min="3" max="3" width="22.125" style="1" customWidth="1"/>
    <col min="4" max="4" width="15.9166666666667" style="1" customWidth="1"/>
    <col min="5" max="5" width="10.6666666666667" style="1" customWidth="1"/>
    <col min="6" max="6" width="10.8333333333333" style="1" customWidth="1"/>
    <col min="7" max="8" width="18.4166666666667" style="1" customWidth="1"/>
    <col min="9" max="9" width="9" style="1" customWidth="1"/>
    <col min="10" max="10" width="11.8333333333333" style="1" customWidth="1"/>
    <col min="11" max="11" width="12.8333333333333" style="1" customWidth="1"/>
    <col min="12" max="12" width="10.3333333333333" style="1" customWidth="1"/>
    <col min="13" max="13" width="12.5833333333333" style="1" customWidth="1"/>
    <col min="14" max="14" width="48.3333333333333" style="1" customWidth="1"/>
    <col min="15" max="15" width="11.8333333333333" style="1" customWidth="1"/>
    <col min="16" max="17" width="9" style="1" customWidth="1"/>
    <col min="18" max="18" width="16.8333333333333" style="1" customWidth="1"/>
    <col min="19" max="19" width="15.75" style="1" customWidth="1"/>
    <col min="20" max="20" width="11.6666666666667" style="1" customWidth="1"/>
    <col min="21" max="21" width="24" style="1" customWidth="1"/>
    <col min="22" max="22" width="9" style="1" customWidth="1"/>
    <col min="23" max="23" width="18.4166666666667" style="1" customWidth="1"/>
    <col min="24" max="24" width="17.5833333333333" style="1" customWidth="1"/>
    <col min="25" max="25" width="11.4166666666667" style="1" customWidth="1"/>
    <col min="26" max="26" width="9.83333333333333" style="1" customWidth="1"/>
    <col min="27" max="28" width="15.5" style="1" customWidth="1"/>
    <col min="29" max="29" width="13.5833333333333" style="1" customWidth="1"/>
    <col min="30" max="30" width="25.0833333333333" style="1" customWidth="1"/>
    <col min="31" max="31" width="8.33333333333333" style="1" customWidth="1"/>
    <col min="32" max="37" width="8.25" style="1" customWidth="1"/>
    <col min="38" max="38" width="9" style="1" customWidth="1"/>
    <col min="39" max="39" width="19.4166666666667" style="1" customWidth="1"/>
    <col min="40" max="41" width="35.8333333333333" style="1" customWidth="1"/>
    <col min="42" max="42" width="30.5" style="1" customWidth="1"/>
    <col min="43" max="43" width="9.25" style="1" customWidth="1"/>
    <col min="44" max="52" width="16.0833333333333" style="1" customWidth="1"/>
    <col min="53" max="53" width="19.6666666666667" style="1" customWidth="1"/>
    <col min="54" max="54" width="24.1666666666667" style="1" customWidth="1"/>
    <col min="55" max="56" width="19.6666666666667" style="1" customWidth="1"/>
    <col min="57" max="95" width="16.0833333333333" style="1" customWidth="1"/>
    <col min="96" max="101" width="9" style="1" customWidth="1"/>
    <col min="104" max="104" width="12.75" style="1" customWidth="1"/>
    <col min="105" max="105" width="16.25" style="1" customWidth="1"/>
    <col min="106" max="106" width="18.1666666666667" style="1" customWidth="1"/>
    <col min="107" max="107" width="18.4166666666667" style="1" customWidth="1"/>
    <col min="108" max="207" width="9" style="1" customWidth="1"/>
    <col min="208" max="208" width="13.9166666666667" style="1" customWidth="1"/>
    <col min="209" max="209" width="14.0833333333333" style="1" customWidth="1"/>
    <col min="210" max="210" width="18.1666666666667" style="1" customWidth="1"/>
    <col min="211" max="211" width="18.4166666666667" style="1" customWidth="1"/>
    <col min="212" max="212" width="13.9166666666667" style="1" customWidth="1"/>
    <col min="213" max="217" width="9" style="1" customWidth="1"/>
    <col min="218" max="218" width="19.9166666666667" style="1" customWidth="1"/>
    <col min="219" max="219" width="23.3333333333333" style="1" customWidth="1"/>
    <col min="220" max="220" width="9" style="1" customWidth="1"/>
    <col min="221" max="222" width="16.1666666666667" style="1" customWidth="1"/>
    <col min="223" max="223" width="14.25" style="1" customWidth="1"/>
    <col min="224" max="224" width="21.0833333333333" style="1" customWidth="1"/>
    <col min="225" max="225" width="9" style="1" customWidth="1"/>
    <col min="226" max="16384" width="9" style="1"/>
  </cols>
  <sheetData>
    <row r="1" spans="1:23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3" t="s">
        <v>24</v>
      </c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2" t="s">
        <v>25</v>
      </c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 t="s">
        <v>26</v>
      </c>
      <c r="AZ1" s="2" t="s">
        <v>27</v>
      </c>
      <c r="BA1" s="34" t="s">
        <v>28</v>
      </c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34"/>
      <c r="GM1" s="34"/>
      <c r="GN1" s="34"/>
      <c r="GO1" s="34"/>
      <c r="GP1" s="34"/>
      <c r="GQ1" s="34"/>
      <c r="GR1" s="34"/>
      <c r="GS1" s="34"/>
      <c r="GT1" s="34"/>
      <c r="GU1" s="34"/>
      <c r="GX1" s="2" t="s">
        <v>29</v>
      </c>
      <c r="GY1" s="2" t="s">
        <v>30</v>
      </c>
      <c r="GZ1" s="2" t="s">
        <v>31</v>
      </c>
      <c r="HA1" s="2" t="s">
        <v>32</v>
      </c>
      <c r="HB1" s="2" t="s">
        <v>33</v>
      </c>
      <c r="HC1" s="2" t="s">
        <v>34</v>
      </c>
      <c r="HD1" s="2" t="s">
        <v>35</v>
      </c>
      <c r="HE1" s="2" t="s">
        <v>36</v>
      </c>
      <c r="HF1" s="2" t="s">
        <v>37</v>
      </c>
      <c r="HG1" s="2" t="s">
        <v>38</v>
      </c>
      <c r="HH1" s="2" t="s">
        <v>39</v>
      </c>
      <c r="HI1" s="2" t="s">
        <v>40</v>
      </c>
      <c r="HJ1" s="2" t="s">
        <v>41</v>
      </c>
      <c r="HK1" s="2" t="s">
        <v>42</v>
      </c>
      <c r="HL1" s="2" t="s">
        <v>43</v>
      </c>
      <c r="HM1" s="2" t="s">
        <v>44</v>
      </c>
      <c r="HN1" s="2" t="s">
        <v>45</v>
      </c>
      <c r="HO1" s="2" t="s">
        <v>46</v>
      </c>
      <c r="HP1" s="2" t="s">
        <v>47</v>
      </c>
      <c r="HQ1" s="2" t="s">
        <v>48</v>
      </c>
      <c r="HR1" s="2" t="s">
        <v>49</v>
      </c>
      <c r="HS1" s="2" t="s">
        <v>50</v>
      </c>
      <c r="HT1" s="2" t="s">
        <v>51</v>
      </c>
      <c r="HU1" t="s">
        <v>52</v>
      </c>
      <c r="HV1" t="s">
        <v>53</v>
      </c>
      <c r="HW1" t="s">
        <v>54</v>
      </c>
    </row>
    <row r="2" spans="1:23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34">
        <v>0</v>
      </c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Z2" s="2">
        <v>1</v>
      </c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Y2" s="2">
        <v>2</v>
      </c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</row>
    <row r="3" spans="1:231">
      <c r="A3" s="2" t="s">
        <v>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33" t="s">
        <v>55</v>
      </c>
      <c r="Z3" s="2" t="s">
        <v>56</v>
      </c>
      <c r="AA3" s="2" t="s">
        <v>57</v>
      </c>
      <c r="AB3" s="2" t="s">
        <v>58</v>
      </c>
      <c r="AC3" s="2" t="s">
        <v>59</v>
      </c>
      <c r="AD3" s="2" t="s">
        <v>60</v>
      </c>
      <c r="AE3" s="2" t="s">
        <v>61</v>
      </c>
      <c r="AF3" s="2" t="s">
        <v>62</v>
      </c>
      <c r="AG3" s="2" t="s">
        <v>63</v>
      </c>
      <c r="AH3" s="2" t="s">
        <v>64</v>
      </c>
      <c r="AI3" s="2" t="s">
        <v>65</v>
      </c>
      <c r="AJ3" s="2" t="s">
        <v>66</v>
      </c>
      <c r="AK3" s="2" t="s">
        <v>67</v>
      </c>
      <c r="AL3" s="2" t="s">
        <v>55</v>
      </c>
      <c r="AM3" s="2" t="s">
        <v>56</v>
      </c>
      <c r="AN3" s="2" t="s">
        <v>57</v>
      </c>
      <c r="AO3" s="2" t="s">
        <v>58</v>
      </c>
      <c r="AP3" s="2" t="s">
        <v>59</v>
      </c>
      <c r="AQ3" s="2" t="s">
        <v>60</v>
      </c>
      <c r="AR3" s="2" t="s">
        <v>61</v>
      </c>
      <c r="AS3" s="2" t="s">
        <v>62</v>
      </c>
      <c r="AT3" s="2" t="s">
        <v>63</v>
      </c>
      <c r="AU3" s="2" t="s">
        <v>64</v>
      </c>
      <c r="AV3" s="2" t="s">
        <v>65</v>
      </c>
      <c r="AW3" s="2" t="s">
        <v>66</v>
      </c>
      <c r="AX3" s="2" t="s">
        <v>67</v>
      </c>
      <c r="AY3" s="2"/>
      <c r="AZ3" s="2"/>
      <c r="BA3" s="34" t="s">
        <v>55</v>
      </c>
      <c r="BB3" s="2" t="s">
        <v>56</v>
      </c>
      <c r="BC3" s="2" t="s">
        <v>68</v>
      </c>
      <c r="BD3" s="2" t="s">
        <v>69</v>
      </c>
      <c r="BE3" s="2" t="s">
        <v>70</v>
      </c>
      <c r="BF3" s="2" t="s">
        <v>71</v>
      </c>
      <c r="BG3" s="2" t="s">
        <v>72</v>
      </c>
      <c r="BH3" s="2" t="s">
        <v>73</v>
      </c>
      <c r="BI3" s="2" t="s">
        <v>74</v>
      </c>
      <c r="BJ3" s="2" t="s">
        <v>75</v>
      </c>
      <c r="BK3" s="2" t="s">
        <v>76</v>
      </c>
      <c r="BL3" s="2" t="s">
        <v>77</v>
      </c>
      <c r="BM3" s="2" t="s">
        <v>78</v>
      </c>
      <c r="BN3" s="2" t="s">
        <v>79</v>
      </c>
      <c r="BO3" s="2" t="s">
        <v>80</v>
      </c>
      <c r="BP3" s="2" t="s">
        <v>81</v>
      </c>
      <c r="BQ3" s="2" t="s">
        <v>82</v>
      </c>
      <c r="BR3" s="2" t="s">
        <v>83</v>
      </c>
      <c r="BS3" s="2" t="s">
        <v>84</v>
      </c>
      <c r="BT3" s="2" t="s">
        <v>85</v>
      </c>
      <c r="BU3" s="2" t="s">
        <v>86</v>
      </c>
      <c r="BV3" s="2" t="s">
        <v>87</v>
      </c>
      <c r="BW3" s="2" t="s">
        <v>88</v>
      </c>
      <c r="BX3" s="2" t="s">
        <v>89</v>
      </c>
      <c r="BY3" s="2" t="s">
        <v>90</v>
      </c>
      <c r="BZ3" s="2" t="s">
        <v>91</v>
      </c>
      <c r="CA3" s="2" t="s">
        <v>92</v>
      </c>
      <c r="CB3" s="2" t="s">
        <v>93</v>
      </c>
      <c r="CC3" s="2" t="s">
        <v>94</v>
      </c>
      <c r="CD3" s="2" t="s">
        <v>95</v>
      </c>
      <c r="CE3" s="2" t="s">
        <v>96</v>
      </c>
      <c r="CF3" s="2" t="s">
        <v>97</v>
      </c>
      <c r="CG3" s="2" t="s">
        <v>98</v>
      </c>
      <c r="CH3" s="2" t="s">
        <v>99</v>
      </c>
      <c r="CI3" s="2" t="s">
        <v>100</v>
      </c>
      <c r="CJ3" s="2" t="s">
        <v>101</v>
      </c>
      <c r="CK3" s="2" t="s">
        <v>102</v>
      </c>
      <c r="CL3" s="2" t="s">
        <v>103</v>
      </c>
      <c r="CM3" s="2" t="s">
        <v>104</v>
      </c>
      <c r="CN3" s="2" t="s">
        <v>105</v>
      </c>
      <c r="CO3" s="2" t="s">
        <v>106</v>
      </c>
      <c r="CP3" s="2" t="s">
        <v>107</v>
      </c>
      <c r="CQ3" s="2" t="s">
        <v>108</v>
      </c>
      <c r="CR3" s="2" t="s">
        <v>109</v>
      </c>
      <c r="CS3" s="2" t="s">
        <v>110</v>
      </c>
      <c r="CT3" s="2" t="s">
        <v>111</v>
      </c>
      <c r="CU3" s="2" t="s">
        <v>112</v>
      </c>
      <c r="CV3" s="2" t="s">
        <v>113</v>
      </c>
      <c r="CW3" s="2" t="s">
        <v>114</v>
      </c>
      <c r="CX3" t="s">
        <v>115</v>
      </c>
      <c r="CY3" t="s">
        <v>116</v>
      </c>
      <c r="CZ3" s="2" t="s">
        <v>55</v>
      </c>
      <c r="DA3" s="2" t="s">
        <v>56</v>
      </c>
      <c r="DB3" s="2" t="s">
        <v>68</v>
      </c>
      <c r="DC3" s="2" t="s">
        <v>69</v>
      </c>
      <c r="DD3" s="2" t="s">
        <v>70</v>
      </c>
      <c r="DE3" s="2" t="s">
        <v>71</v>
      </c>
      <c r="DF3" s="2" t="s">
        <v>72</v>
      </c>
      <c r="DG3" s="2" t="s">
        <v>73</v>
      </c>
      <c r="DH3" s="2" t="s">
        <v>74</v>
      </c>
      <c r="DI3" s="2" t="s">
        <v>75</v>
      </c>
      <c r="DJ3" s="2" t="s">
        <v>76</v>
      </c>
      <c r="DK3" s="2" t="s">
        <v>77</v>
      </c>
      <c r="DL3" s="2" t="s">
        <v>78</v>
      </c>
      <c r="DM3" s="2" t="s">
        <v>79</v>
      </c>
      <c r="DN3" s="2" t="s">
        <v>80</v>
      </c>
      <c r="DO3" s="2" t="s">
        <v>81</v>
      </c>
      <c r="DP3" s="2" t="s">
        <v>82</v>
      </c>
      <c r="DQ3" s="2" t="s">
        <v>83</v>
      </c>
      <c r="DR3" s="2" t="s">
        <v>84</v>
      </c>
      <c r="DS3" s="2" t="s">
        <v>85</v>
      </c>
      <c r="DT3" s="2" t="s">
        <v>86</v>
      </c>
      <c r="DU3" s="2" t="s">
        <v>87</v>
      </c>
      <c r="DV3" s="2" t="s">
        <v>88</v>
      </c>
      <c r="DW3" s="2" t="s">
        <v>89</v>
      </c>
      <c r="DX3" s="2" t="s">
        <v>90</v>
      </c>
      <c r="DY3" s="2" t="s">
        <v>91</v>
      </c>
      <c r="DZ3" s="2" t="s">
        <v>92</v>
      </c>
      <c r="EA3" s="2" t="s">
        <v>93</v>
      </c>
      <c r="EB3" s="2" t="s">
        <v>94</v>
      </c>
      <c r="EC3" s="2" t="s">
        <v>95</v>
      </c>
      <c r="ED3" s="2" t="s">
        <v>96</v>
      </c>
      <c r="EE3" s="2" t="s">
        <v>97</v>
      </c>
      <c r="EF3" s="2" t="s">
        <v>98</v>
      </c>
      <c r="EG3" s="2" t="s">
        <v>99</v>
      </c>
      <c r="EH3" s="2" t="s">
        <v>100</v>
      </c>
      <c r="EI3" s="2" t="s">
        <v>101</v>
      </c>
      <c r="EJ3" s="2" t="s">
        <v>102</v>
      </c>
      <c r="EK3" s="2" t="s">
        <v>103</v>
      </c>
      <c r="EL3" s="2" t="s">
        <v>104</v>
      </c>
      <c r="EM3" s="2" t="s">
        <v>105</v>
      </c>
      <c r="EN3" s="2" t="s">
        <v>106</v>
      </c>
      <c r="EO3" s="2" t="s">
        <v>107</v>
      </c>
      <c r="EP3" s="2" t="s">
        <v>108</v>
      </c>
      <c r="EQ3" s="2" t="s">
        <v>109</v>
      </c>
      <c r="ER3" s="2" t="s">
        <v>110</v>
      </c>
      <c r="ES3" s="2" t="s">
        <v>111</v>
      </c>
      <c r="ET3" s="2" t="s">
        <v>112</v>
      </c>
      <c r="EU3" s="2" t="s">
        <v>113</v>
      </c>
      <c r="EV3" s="2" t="s">
        <v>114</v>
      </c>
      <c r="EW3" t="s">
        <v>115</v>
      </c>
      <c r="EX3" t="s">
        <v>116</v>
      </c>
      <c r="EY3" s="2" t="s">
        <v>55</v>
      </c>
      <c r="EZ3" s="2" t="s">
        <v>56</v>
      </c>
      <c r="FA3" s="2" t="s">
        <v>68</v>
      </c>
      <c r="FB3" s="2" t="s">
        <v>69</v>
      </c>
      <c r="FC3" s="2" t="s">
        <v>70</v>
      </c>
      <c r="FD3" s="2" t="s">
        <v>71</v>
      </c>
      <c r="FE3" s="2" t="s">
        <v>72</v>
      </c>
      <c r="FF3" s="2" t="s">
        <v>73</v>
      </c>
      <c r="FG3" s="2" t="s">
        <v>74</v>
      </c>
      <c r="FH3" s="2" t="s">
        <v>75</v>
      </c>
      <c r="FI3" s="2" t="s">
        <v>76</v>
      </c>
      <c r="FJ3" s="2" t="s">
        <v>77</v>
      </c>
      <c r="FK3" s="2" t="s">
        <v>78</v>
      </c>
      <c r="FL3" s="2" t="s">
        <v>79</v>
      </c>
      <c r="FM3" s="2" t="s">
        <v>80</v>
      </c>
      <c r="FN3" s="2" t="s">
        <v>81</v>
      </c>
      <c r="FO3" s="2" t="s">
        <v>82</v>
      </c>
      <c r="FP3" s="2" t="s">
        <v>83</v>
      </c>
      <c r="FQ3" s="2" t="s">
        <v>84</v>
      </c>
      <c r="FR3" s="2" t="s">
        <v>85</v>
      </c>
      <c r="FS3" s="2" t="s">
        <v>86</v>
      </c>
      <c r="FT3" s="2" t="s">
        <v>87</v>
      </c>
      <c r="FU3" s="2" t="s">
        <v>88</v>
      </c>
      <c r="FV3" s="2" t="s">
        <v>89</v>
      </c>
      <c r="FW3" s="2" t="s">
        <v>90</v>
      </c>
      <c r="FX3" s="2" t="s">
        <v>91</v>
      </c>
      <c r="FY3" s="2" t="s">
        <v>92</v>
      </c>
      <c r="FZ3" s="2" t="s">
        <v>93</v>
      </c>
      <c r="GA3" s="2" t="s">
        <v>94</v>
      </c>
      <c r="GB3" s="2" t="s">
        <v>95</v>
      </c>
      <c r="GC3" s="2" t="s">
        <v>96</v>
      </c>
      <c r="GD3" s="2" t="s">
        <v>97</v>
      </c>
      <c r="GE3" s="2" t="s">
        <v>98</v>
      </c>
      <c r="GF3" s="2" t="s">
        <v>99</v>
      </c>
      <c r="GG3" s="2" t="s">
        <v>100</v>
      </c>
      <c r="GH3" s="2" t="s">
        <v>101</v>
      </c>
      <c r="GI3" s="2" t="s">
        <v>102</v>
      </c>
      <c r="GJ3" s="2" t="s">
        <v>103</v>
      </c>
      <c r="GK3" s="2" t="s">
        <v>104</v>
      </c>
      <c r="GL3" s="2" t="s">
        <v>105</v>
      </c>
      <c r="GM3" s="2" t="s">
        <v>106</v>
      </c>
      <c r="GN3" s="2" t="s">
        <v>107</v>
      </c>
      <c r="GO3" s="2" t="s">
        <v>108</v>
      </c>
      <c r="GP3" s="2" t="s">
        <v>109</v>
      </c>
      <c r="GQ3" s="2" t="s">
        <v>110</v>
      </c>
      <c r="GR3" s="2" t="s">
        <v>111</v>
      </c>
      <c r="GS3" s="2" t="s">
        <v>112</v>
      </c>
      <c r="GT3" s="2" t="s">
        <v>113</v>
      </c>
      <c r="GU3" s="2" t="s">
        <v>114</v>
      </c>
      <c r="GV3" t="s">
        <v>115</v>
      </c>
      <c r="GW3" t="s">
        <v>116</v>
      </c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</row>
    <row r="4" spans="1:231">
      <c r="A4" s="2" t="s">
        <v>117</v>
      </c>
      <c r="B4" s="2" t="s">
        <v>118</v>
      </c>
      <c r="C4" s="2" t="s">
        <v>119</v>
      </c>
      <c r="D4" s="2" t="s">
        <v>119</v>
      </c>
      <c r="E4" s="2" t="s">
        <v>120</v>
      </c>
      <c r="F4" s="2" t="s">
        <v>121</v>
      </c>
      <c r="G4" s="2" t="s">
        <v>122</v>
      </c>
      <c r="H4" s="2" t="s">
        <v>122</v>
      </c>
      <c r="I4" s="2" t="s">
        <v>118</v>
      </c>
      <c r="J4" s="2" t="s">
        <v>118</v>
      </c>
      <c r="K4" s="2" t="s">
        <v>123</v>
      </c>
      <c r="L4" s="2" t="s">
        <v>118</v>
      </c>
      <c r="M4" s="2" t="s">
        <v>118</v>
      </c>
      <c r="N4" s="2" t="s">
        <v>119</v>
      </c>
      <c r="O4" s="2" t="s">
        <v>118</v>
      </c>
      <c r="P4" s="2" t="s">
        <v>118</v>
      </c>
      <c r="Q4" s="2" t="s">
        <v>118</v>
      </c>
      <c r="R4" s="2" t="s">
        <v>118</v>
      </c>
      <c r="S4" s="2" t="s">
        <v>118</v>
      </c>
      <c r="T4" s="2" t="s">
        <v>118</v>
      </c>
      <c r="U4" s="2" t="s">
        <v>124</v>
      </c>
      <c r="V4" s="2" t="s">
        <v>118</v>
      </c>
      <c r="W4" s="2" t="s">
        <v>118</v>
      </c>
      <c r="X4" s="2" t="s">
        <v>125</v>
      </c>
      <c r="Y4" s="33" t="s">
        <v>126</v>
      </c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2" t="s">
        <v>126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 t="s">
        <v>119</v>
      </c>
      <c r="AZ4" s="2" t="s">
        <v>118</v>
      </c>
      <c r="BA4" s="34" t="s">
        <v>127</v>
      </c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X4" s="2" t="s">
        <v>118</v>
      </c>
      <c r="GY4" s="2" t="s">
        <v>118</v>
      </c>
      <c r="GZ4" s="2" t="s">
        <v>119</v>
      </c>
      <c r="HA4" s="2" t="s">
        <v>118</v>
      </c>
      <c r="HB4" s="2" t="s">
        <v>118</v>
      </c>
      <c r="HC4" s="2" t="s">
        <v>118</v>
      </c>
      <c r="HD4" s="2" t="s">
        <v>122</v>
      </c>
      <c r="HE4" s="2" t="s">
        <v>118</v>
      </c>
      <c r="HF4" s="2" t="s">
        <v>122</v>
      </c>
      <c r="HG4" s="2" t="s">
        <v>118</v>
      </c>
      <c r="HH4" s="2" t="s">
        <v>118</v>
      </c>
      <c r="HI4" s="2" t="s">
        <v>118</v>
      </c>
      <c r="HJ4" s="2" t="s">
        <v>118</v>
      </c>
      <c r="HK4" s="2" t="s">
        <v>122</v>
      </c>
      <c r="HL4" s="2" t="s">
        <v>118</v>
      </c>
      <c r="HM4" s="2" t="s">
        <v>118</v>
      </c>
      <c r="HN4" s="2" t="s">
        <v>119</v>
      </c>
      <c r="HO4" s="2" t="s">
        <v>128</v>
      </c>
      <c r="HP4" s="2" t="s">
        <v>118</v>
      </c>
      <c r="HQ4" s="2" t="s">
        <v>118</v>
      </c>
      <c r="HR4" s="2" t="s">
        <v>129</v>
      </c>
      <c r="HS4" s="2" t="s">
        <v>118</v>
      </c>
      <c r="HT4" s="2" t="s">
        <v>122</v>
      </c>
      <c r="HU4" t="s">
        <v>118</v>
      </c>
      <c r="HV4" t="s">
        <v>122</v>
      </c>
      <c r="HW4" t="s">
        <v>122</v>
      </c>
    </row>
    <row r="5" spans="1:231">
      <c r="A5" s="2" t="s">
        <v>130</v>
      </c>
      <c r="B5" s="2"/>
      <c r="C5" s="2" t="s">
        <v>131</v>
      </c>
      <c r="D5" s="2" t="s">
        <v>131</v>
      </c>
      <c r="E5" s="2"/>
      <c r="F5" s="2"/>
      <c r="G5" s="2" t="s">
        <v>132</v>
      </c>
      <c r="H5" s="2" t="s">
        <v>132</v>
      </c>
      <c r="I5" s="2"/>
      <c r="J5" s="2"/>
      <c r="K5" s="2"/>
      <c r="L5" s="2"/>
      <c r="M5" s="2"/>
      <c r="N5" s="2" t="s">
        <v>131</v>
      </c>
      <c r="O5" s="2" t="s">
        <v>131</v>
      </c>
      <c r="P5" s="2"/>
      <c r="Q5" s="2" t="s">
        <v>131</v>
      </c>
      <c r="R5" s="2"/>
      <c r="S5" s="2"/>
      <c r="T5" s="2"/>
      <c r="U5" s="2" t="s">
        <v>132</v>
      </c>
      <c r="V5" s="2" t="s">
        <v>131</v>
      </c>
      <c r="W5" s="2" t="s">
        <v>131</v>
      </c>
      <c r="X5" s="2" t="s">
        <v>131</v>
      </c>
      <c r="Y5" s="33" t="s">
        <v>131</v>
      </c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2" t="s">
        <v>131</v>
      </c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 t="s">
        <v>131</v>
      </c>
      <c r="AZ5" s="2" t="s">
        <v>131</v>
      </c>
      <c r="BA5" s="34" t="s">
        <v>132</v>
      </c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X5" s="2" t="s">
        <v>131</v>
      </c>
      <c r="GY5" s="2" t="s">
        <v>131</v>
      </c>
      <c r="GZ5" s="2" t="s">
        <v>131</v>
      </c>
      <c r="HA5" s="2" t="s">
        <v>131</v>
      </c>
      <c r="HB5" s="2" t="s">
        <v>131</v>
      </c>
      <c r="HC5" s="2" t="s">
        <v>131</v>
      </c>
      <c r="HD5" s="2" t="s">
        <v>131</v>
      </c>
      <c r="HE5" s="2" t="s">
        <v>131</v>
      </c>
      <c r="HF5" s="2" t="s">
        <v>131</v>
      </c>
      <c r="HG5" s="2" t="s">
        <v>131</v>
      </c>
      <c r="HH5" s="2" t="s">
        <v>131</v>
      </c>
      <c r="HI5" s="2" t="s">
        <v>131</v>
      </c>
      <c r="HJ5" s="2" t="s">
        <v>131</v>
      </c>
      <c r="HK5" s="2" t="s">
        <v>131</v>
      </c>
      <c r="HL5" s="2" t="s">
        <v>131</v>
      </c>
      <c r="HM5" s="2" t="s">
        <v>131</v>
      </c>
      <c r="HN5" s="2" t="s">
        <v>131</v>
      </c>
      <c r="HO5" s="2" t="s">
        <v>132</v>
      </c>
      <c r="HP5" s="2" t="s">
        <v>131</v>
      </c>
      <c r="HQ5" s="2" t="s">
        <v>131</v>
      </c>
      <c r="HR5" s="2"/>
      <c r="HS5" s="2" t="s">
        <v>131</v>
      </c>
      <c r="HT5" s="2" t="s">
        <v>132</v>
      </c>
      <c r="HU5" t="s">
        <v>131</v>
      </c>
      <c r="HV5" t="s">
        <v>132</v>
      </c>
      <c r="HW5" t="s">
        <v>132</v>
      </c>
    </row>
    <row r="6" spans="1:231">
      <c r="A6" s="2" t="s">
        <v>133</v>
      </c>
      <c r="B6" s="2" t="s">
        <v>134</v>
      </c>
      <c r="C6" s="2" t="s">
        <v>135</v>
      </c>
      <c r="D6" s="2" t="s">
        <v>136</v>
      </c>
      <c r="E6" s="2" t="s">
        <v>137</v>
      </c>
      <c r="F6" s="2" t="s">
        <v>138</v>
      </c>
      <c r="G6" s="2" t="s">
        <v>139</v>
      </c>
      <c r="H6" s="2" t="s">
        <v>140</v>
      </c>
      <c r="I6" s="2" t="s">
        <v>141</v>
      </c>
      <c r="J6" s="2" t="s">
        <v>142</v>
      </c>
      <c r="K6" s="2" t="s">
        <v>143</v>
      </c>
      <c r="L6" s="2" t="s">
        <v>144</v>
      </c>
      <c r="M6" s="2" t="s">
        <v>145</v>
      </c>
      <c r="N6" s="2" t="s">
        <v>146</v>
      </c>
      <c r="O6" s="2" t="s">
        <v>147</v>
      </c>
      <c r="P6" s="2" t="s">
        <v>148</v>
      </c>
      <c r="Q6" s="2" t="s">
        <v>149</v>
      </c>
      <c r="R6" s="2" t="s">
        <v>150</v>
      </c>
      <c r="S6" s="2" t="s">
        <v>151</v>
      </c>
      <c r="T6" s="2" t="s">
        <v>152</v>
      </c>
      <c r="U6" s="2" t="s">
        <v>153</v>
      </c>
      <c r="V6" s="2" t="s">
        <v>154</v>
      </c>
      <c r="W6" s="2" t="s">
        <v>155</v>
      </c>
      <c r="X6" s="2" t="s">
        <v>156</v>
      </c>
      <c r="Y6" s="2" t="s">
        <v>157</v>
      </c>
      <c r="Z6" s="2" t="s">
        <v>158</v>
      </c>
      <c r="AA6" s="2" t="s">
        <v>159</v>
      </c>
      <c r="AB6" s="2" t="s">
        <v>160</v>
      </c>
      <c r="AC6" s="2" t="s">
        <v>161</v>
      </c>
      <c r="AD6" s="2" t="s">
        <v>162</v>
      </c>
      <c r="AE6" s="2" t="s">
        <v>163</v>
      </c>
      <c r="AF6" s="2" t="s">
        <v>164</v>
      </c>
      <c r="AG6" s="2" t="s">
        <v>165</v>
      </c>
      <c r="AH6" s="2" t="s">
        <v>166</v>
      </c>
      <c r="AI6" s="2" t="s">
        <v>167</v>
      </c>
      <c r="AJ6" s="2" t="s">
        <v>168</v>
      </c>
      <c r="AK6" s="2" t="s">
        <v>169</v>
      </c>
      <c r="AL6" s="2" t="s">
        <v>157</v>
      </c>
      <c r="AM6" s="2" t="s">
        <v>158</v>
      </c>
      <c r="AN6" s="2" t="s">
        <v>159</v>
      </c>
      <c r="AO6" s="2" t="s">
        <v>160</v>
      </c>
      <c r="AP6" s="2" t="s">
        <v>161</v>
      </c>
      <c r="AQ6" s="2" t="s">
        <v>162</v>
      </c>
      <c r="AR6" s="2" t="s">
        <v>163</v>
      </c>
      <c r="AS6" s="2" t="s">
        <v>164</v>
      </c>
      <c r="AT6" s="2" t="s">
        <v>165</v>
      </c>
      <c r="AU6" s="2" t="s">
        <v>166</v>
      </c>
      <c r="AV6" s="2" t="s">
        <v>167</v>
      </c>
      <c r="AW6" s="2" t="s">
        <v>168</v>
      </c>
      <c r="AX6" s="2" t="s">
        <v>169</v>
      </c>
      <c r="AY6" s="2" t="s">
        <v>170</v>
      </c>
      <c r="AZ6" s="2" t="s">
        <v>171</v>
      </c>
      <c r="BA6" s="2" t="s">
        <v>172</v>
      </c>
      <c r="BB6" s="2" t="s">
        <v>173</v>
      </c>
      <c r="BC6" s="2" t="s">
        <v>174</v>
      </c>
      <c r="BD6" s="2" t="s">
        <v>175</v>
      </c>
      <c r="BE6" s="2" t="s">
        <v>176</v>
      </c>
      <c r="BF6" s="2" t="s">
        <v>177</v>
      </c>
      <c r="BG6" s="2" t="s">
        <v>178</v>
      </c>
      <c r="BH6" s="2" t="s">
        <v>179</v>
      </c>
      <c r="BI6" s="2" t="s">
        <v>180</v>
      </c>
      <c r="BJ6" s="2" t="s">
        <v>181</v>
      </c>
      <c r="BK6" s="2" t="s">
        <v>182</v>
      </c>
      <c r="BL6" s="2" t="s">
        <v>183</v>
      </c>
      <c r="BM6" s="2" t="s">
        <v>184</v>
      </c>
      <c r="BN6" s="2" t="s">
        <v>185</v>
      </c>
      <c r="BO6" s="2" t="s">
        <v>186</v>
      </c>
      <c r="BP6" s="2" t="s">
        <v>187</v>
      </c>
      <c r="BQ6" s="2" t="s">
        <v>188</v>
      </c>
      <c r="BR6" s="2" t="s">
        <v>189</v>
      </c>
      <c r="BS6" s="2" t="s">
        <v>190</v>
      </c>
      <c r="BT6" s="2" t="s">
        <v>191</v>
      </c>
      <c r="BU6" s="2" t="s">
        <v>192</v>
      </c>
      <c r="BV6" s="2" t="s">
        <v>193</v>
      </c>
      <c r="BW6" s="2" t="s">
        <v>194</v>
      </c>
      <c r="BX6" s="2" t="s">
        <v>195</v>
      </c>
      <c r="BY6" s="2" t="s">
        <v>196</v>
      </c>
      <c r="BZ6" s="2" t="s">
        <v>197</v>
      </c>
      <c r="CA6" s="2" t="s">
        <v>198</v>
      </c>
      <c r="CB6" s="2" t="s">
        <v>199</v>
      </c>
      <c r="CC6" s="2" t="s">
        <v>200</v>
      </c>
      <c r="CD6" s="2" t="s">
        <v>201</v>
      </c>
      <c r="CE6" s="2" t="s">
        <v>202</v>
      </c>
      <c r="CF6" s="2" t="s">
        <v>203</v>
      </c>
      <c r="CG6" s="2" t="s">
        <v>204</v>
      </c>
      <c r="CH6" s="2" t="s">
        <v>205</v>
      </c>
      <c r="CI6" s="2" t="s">
        <v>206</v>
      </c>
      <c r="CJ6" s="2" t="s">
        <v>207</v>
      </c>
      <c r="CK6" s="2" t="s">
        <v>208</v>
      </c>
      <c r="CL6" s="2" t="s">
        <v>209</v>
      </c>
      <c r="CM6" s="2" t="s">
        <v>210</v>
      </c>
      <c r="CN6" s="2" t="s">
        <v>211</v>
      </c>
      <c r="CO6" s="2" t="s">
        <v>212</v>
      </c>
      <c r="CP6" s="2" t="s">
        <v>213</v>
      </c>
      <c r="CQ6" s="2" t="s">
        <v>214</v>
      </c>
      <c r="CR6" s="2" t="s">
        <v>215</v>
      </c>
      <c r="CS6" s="2" t="s">
        <v>216</v>
      </c>
      <c r="CT6" s="2" t="s">
        <v>217</v>
      </c>
      <c r="CU6" s="2" t="s">
        <v>218</v>
      </c>
      <c r="CV6" s="2" t="s">
        <v>219</v>
      </c>
      <c r="CW6" s="2" t="s">
        <v>220</v>
      </c>
      <c r="CX6" t="s">
        <v>221</v>
      </c>
      <c r="CY6" t="s">
        <v>222</v>
      </c>
      <c r="CZ6" s="2" t="s">
        <v>223</v>
      </c>
      <c r="DA6" s="2" t="s">
        <v>224</v>
      </c>
      <c r="DB6" s="2" t="s">
        <v>225</v>
      </c>
      <c r="DC6" s="2" t="s">
        <v>226</v>
      </c>
      <c r="DD6" s="2" t="s">
        <v>227</v>
      </c>
      <c r="DE6" s="2" t="s">
        <v>228</v>
      </c>
      <c r="DF6" s="2" t="s">
        <v>229</v>
      </c>
      <c r="DG6" s="2" t="s">
        <v>230</v>
      </c>
      <c r="DH6" s="2" t="s">
        <v>231</v>
      </c>
      <c r="DI6" s="2" t="s">
        <v>232</v>
      </c>
      <c r="DJ6" s="2" t="s">
        <v>233</v>
      </c>
      <c r="DK6" s="2" t="s">
        <v>234</v>
      </c>
      <c r="DL6" s="2" t="s">
        <v>235</v>
      </c>
      <c r="DM6" s="2" t="s">
        <v>236</v>
      </c>
      <c r="DN6" s="2" t="s">
        <v>237</v>
      </c>
      <c r="DO6" s="2" t="s">
        <v>238</v>
      </c>
      <c r="DP6" s="2" t="s">
        <v>239</v>
      </c>
      <c r="DQ6" s="2" t="s">
        <v>240</v>
      </c>
      <c r="DR6" s="2" t="s">
        <v>241</v>
      </c>
      <c r="DS6" s="2" t="s">
        <v>242</v>
      </c>
      <c r="DT6" s="2" t="s">
        <v>243</v>
      </c>
      <c r="DU6" s="2" t="s">
        <v>244</v>
      </c>
      <c r="DV6" s="2" t="s">
        <v>245</v>
      </c>
      <c r="DW6" s="2" t="s">
        <v>246</v>
      </c>
      <c r="DX6" s="2" t="s">
        <v>247</v>
      </c>
      <c r="DY6" s="2" t="s">
        <v>248</v>
      </c>
      <c r="DZ6" s="2" t="s">
        <v>249</v>
      </c>
      <c r="EA6" s="2" t="s">
        <v>250</v>
      </c>
      <c r="EB6" s="2" t="s">
        <v>251</v>
      </c>
      <c r="EC6" s="2" t="s">
        <v>252</v>
      </c>
      <c r="ED6" s="2" t="s">
        <v>253</v>
      </c>
      <c r="EE6" s="2" t="s">
        <v>254</v>
      </c>
      <c r="EF6" s="2" t="s">
        <v>255</v>
      </c>
      <c r="EG6" s="2" t="s">
        <v>256</v>
      </c>
      <c r="EH6" s="2" t="s">
        <v>257</v>
      </c>
      <c r="EI6" s="2" t="s">
        <v>258</v>
      </c>
      <c r="EJ6" s="2" t="s">
        <v>259</v>
      </c>
      <c r="EK6" s="2" t="s">
        <v>260</v>
      </c>
      <c r="EL6" s="2" t="s">
        <v>261</v>
      </c>
      <c r="EM6" s="2" t="s">
        <v>262</v>
      </c>
      <c r="EN6" s="2" t="s">
        <v>263</v>
      </c>
      <c r="EO6" s="2" t="s">
        <v>264</v>
      </c>
      <c r="EP6" s="2" t="s">
        <v>265</v>
      </c>
      <c r="EQ6" s="2" t="s">
        <v>266</v>
      </c>
      <c r="ER6" s="2" t="s">
        <v>267</v>
      </c>
      <c r="ES6" s="2" t="s">
        <v>268</v>
      </c>
      <c r="ET6" s="2" t="s">
        <v>269</v>
      </c>
      <c r="EU6" s="2" t="s">
        <v>270</v>
      </c>
      <c r="EV6" s="2" t="s">
        <v>271</v>
      </c>
      <c r="EW6" t="s">
        <v>221</v>
      </c>
      <c r="EX6" t="s">
        <v>222</v>
      </c>
      <c r="EY6" s="2" t="s">
        <v>272</v>
      </c>
      <c r="EZ6" s="2" t="s">
        <v>273</v>
      </c>
      <c r="FA6" s="2" t="s">
        <v>274</v>
      </c>
      <c r="FB6" s="2" t="s">
        <v>275</v>
      </c>
      <c r="FC6" s="2" t="s">
        <v>276</v>
      </c>
      <c r="FD6" s="2" t="s">
        <v>277</v>
      </c>
      <c r="FE6" s="2" t="s">
        <v>278</v>
      </c>
      <c r="FF6" s="2" t="s">
        <v>279</v>
      </c>
      <c r="FG6" s="2" t="s">
        <v>280</v>
      </c>
      <c r="FH6" s="2" t="s">
        <v>281</v>
      </c>
      <c r="FI6" s="2" t="s">
        <v>282</v>
      </c>
      <c r="FJ6" s="2" t="s">
        <v>283</v>
      </c>
      <c r="FK6" s="2" t="s">
        <v>284</v>
      </c>
      <c r="FL6" s="2" t="s">
        <v>285</v>
      </c>
      <c r="FM6" s="2" t="s">
        <v>286</v>
      </c>
      <c r="FN6" s="2" t="s">
        <v>287</v>
      </c>
      <c r="FO6" s="2" t="s">
        <v>288</v>
      </c>
      <c r="FP6" s="2" t="s">
        <v>289</v>
      </c>
      <c r="FQ6" s="2" t="s">
        <v>290</v>
      </c>
      <c r="FR6" s="2" t="s">
        <v>291</v>
      </c>
      <c r="FS6" s="2" t="s">
        <v>292</v>
      </c>
      <c r="FT6" s="2" t="s">
        <v>293</v>
      </c>
      <c r="FU6" s="2" t="s">
        <v>294</v>
      </c>
      <c r="FV6" s="2" t="s">
        <v>295</v>
      </c>
      <c r="FW6" s="2" t="s">
        <v>296</v>
      </c>
      <c r="FX6" s="2" t="s">
        <v>297</v>
      </c>
      <c r="FY6" s="2" t="s">
        <v>298</v>
      </c>
      <c r="FZ6" s="2" t="s">
        <v>299</v>
      </c>
      <c r="GA6" s="2" t="s">
        <v>300</v>
      </c>
      <c r="GB6" s="2" t="s">
        <v>301</v>
      </c>
      <c r="GC6" s="2" t="s">
        <v>302</v>
      </c>
      <c r="GD6" s="2" t="s">
        <v>303</v>
      </c>
      <c r="GE6" s="2" t="s">
        <v>304</v>
      </c>
      <c r="GF6" s="2" t="s">
        <v>305</v>
      </c>
      <c r="GG6" s="2" t="s">
        <v>306</v>
      </c>
      <c r="GH6" s="2" t="s">
        <v>307</v>
      </c>
      <c r="GI6" s="2" t="s">
        <v>308</v>
      </c>
      <c r="GJ6" s="2" t="s">
        <v>309</v>
      </c>
      <c r="GK6" s="2" t="s">
        <v>310</v>
      </c>
      <c r="GL6" s="2" t="s">
        <v>311</v>
      </c>
      <c r="GM6" s="2" t="s">
        <v>312</v>
      </c>
      <c r="GN6" s="2" t="s">
        <v>313</v>
      </c>
      <c r="GO6" s="2" t="s">
        <v>314</v>
      </c>
      <c r="GP6" s="2" t="s">
        <v>315</v>
      </c>
      <c r="GQ6" s="2" t="s">
        <v>316</v>
      </c>
      <c r="GR6" s="2" t="s">
        <v>317</v>
      </c>
      <c r="GS6" s="2" t="s">
        <v>318</v>
      </c>
      <c r="GT6" s="2" t="s">
        <v>319</v>
      </c>
      <c r="GU6" s="2" t="s">
        <v>320</v>
      </c>
      <c r="GV6" t="s">
        <v>221</v>
      </c>
      <c r="GW6" t="s">
        <v>222</v>
      </c>
      <c r="GX6" s="2" t="s">
        <v>321</v>
      </c>
      <c r="GY6" s="2" t="s">
        <v>322</v>
      </c>
      <c r="GZ6" s="2" t="s">
        <v>323</v>
      </c>
      <c r="HA6" s="2" t="s">
        <v>324</v>
      </c>
      <c r="HB6" s="2" t="s">
        <v>325</v>
      </c>
      <c r="HC6" s="2" t="s">
        <v>326</v>
      </c>
      <c r="HD6" s="2" t="s">
        <v>327</v>
      </c>
      <c r="HE6" s="2" t="s">
        <v>328</v>
      </c>
      <c r="HF6" s="2" t="s">
        <v>329</v>
      </c>
      <c r="HG6" s="2" t="s">
        <v>330</v>
      </c>
      <c r="HH6" s="2" t="s">
        <v>331</v>
      </c>
      <c r="HI6" s="2" t="s">
        <v>332</v>
      </c>
      <c r="HJ6" s="2" t="s">
        <v>333</v>
      </c>
      <c r="HK6" s="2" t="s">
        <v>334</v>
      </c>
      <c r="HL6" s="2" t="s">
        <v>335</v>
      </c>
      <c r="HM6" s="2" t="s">
        <v>336</v>
      </c>
      <c r="HN6" s="2" t="s">
        <v>337</v>
      </c>
      <c r="HO6" s="2" t="s">
        <v>338</v>
      </c>
      <c r="HP6" s="2" t="s">
        <v>339</v>
      </c>
      <c r="HQ6" s="2" t="s">
        <v>340</v>
      </c>
      <c r="HR6" s="2" t="s">
        <v>341</v>
      </c>
      <c r="HS6" s="2" t="s">
        <v>342</v>
      </c>
      <c r="HT6" s="2" t="s">
        <v>343</v>
      </c>
      <c r="HU6" t="s">
        <v>344</v>
      </c>
      <c r="HV6" t="s">
        <v>345</v>
      </c>
      <c r="HW6" t="s">
        <v>346</v>
      </c>
    </row>
    <row r="7" spans="1:231">
      <c r="B7" s="1">
        <f>10000000+INDEX(编号表!$B$1:$B$112,MATCH(D7,编号表!$A$1:$A$112,0))*10000+I7</f>
        <v>10010001</v>
      </c>
      <c r="C7" s="1" t="s">
        <v>347</v>
      </c>
      <c r="D7" s="1" t="s">
        <v>347</v>
      </c>
      <c r="E7" s="1" t="s">
        <v>348</v>
      </c>
      <c r="F7" s="1" t="s">
        <v>349</v>
      </c>
      <c r="G7" s="1" t="b">
        <v>0</v>
      </c>
      <c r="H7" s="1" t="b">
        <v>0</v>
      </c>
      <c r="I7" s="1">
        <v>1</v>
      </c>
      <c r="J7" s="1" t="str">
        <f t="shared" ref="J7:J36" si="0">LEFT(B7,6)</f>
        <v>100100</v>
      </c>
      <c r="K7" s="1" t="s">
        <v>350</v>
      </c>
      <c r="M7" s="1">
        <f t="shared" ref="M7:M15" si="1">B8</f>
        <v>10010002</v>
      </c>
      <c r="N7" s="1" t="s">
        <v>351</v>
      </c>
      <c r="O7" s="1">
        <v>10202000</v>
      </c>
      <c r="P7" s="1">
        <v>0</v>
      </c>
      <c r="Q7" s="1">
        <v>0</v>
      </c>
      <c r="R7" s="1">
        <v>1</v>
      </c>
      <c r="T7" s="1">
        <v>100</v>
      </c>
      <c r="V7" s="1">
        <v>500</v>
      </c>
      <c r="W7" s="1">
        <v>0</v>
      </c>
      <c r="X7" s="1" t="inlineStr">
        <is>
          <t xml:space="preserve">目标方向</t>
        </is>
      </c>
      <c r="Y7" s="1" t="inlineStr">
        <is>
          <t xml:space="preserve">扇形</t>
        </is>
      </c>
      <c r="Z7" s="1" t="inlineStr">
        <is>
          <t xml:space="preserve">敌对</t>
        </is>
      </c>
      <c r="AA7" s="1">
        <v>0</v>
      </c>
      <c r="AB7" s="1">
        <v>0</v>
      </c>
      <c r="AC7" s="1" t="b">
        <v>0</v>
      </c>
      <c r="AD7" s="1" t="inlineStr">
        <is>
          <t xml:space="preserve">最近</t>
        </is>
      </c>
      <c r="AE7"/>
      <c r="AF7">
        <v>320</v>
      </c>
      <c r="AG7">
        <v>180</v>
      </c>
      <c r="AH7"/>
      <c r="AI7"/>
      <c r="AJ7"/>
      <c r="AK7"/>
      <c r="AY7" s="1" t="s">
        <v>356</v>
      </c>
      <c r="AZ7" s="1">
        <v>10000</v>
      </c>
      <c r="BA7" s="1" t="s">
        <v>357</v>
      </c>
      <c r="BB7" s="1" t="s">
        <v>354</v>
      </c>
      <c r="BC7" s="1">
        <v>10000</v>
      </c>
      <c r="BD7" s="1">
        <v>0</v>
      </c>
      <c r="BE7" s="1" t="s">
        <v>358</v>
      </c>
      <c r="BF7" s="1">
        <v>0</v>
      </c>
      <c r="BG7" s="1">
        <v>0</v>
      </c>
      <c r="BH7" s="1">
        <v>10000</v>
      </c>
      <c r="BI7" s="1">
        <v>3</v>
      </c>
      <c r="BJ7" s="1" t="b">
        <v>1</v>
      </c>
      <c r="BK7" s="1">
        <v>0</v>
      </c>
      <c r="BL7" s="1">
        <v>10000</v>
      </c>
      <c r="GX7" s="1">
        <v>200</v>
      </c>
      <c r="GY7" s="1">
        <v>400</v>
      </c>
      <c r="GZ7" s="1" t="s">
        <v>359</v>
      </c>
      <c r="HA7" s="1">
        <v>0</v>
      </c>
      <c r="HB7">
        <v>0</v>
      </c>
      <c r="HD7" s="1">
        <v>1</v>
      </c>
      <c r="HF7" s="1">
        <v>0</v>
      </c>
      <c r="HG7" s="1">
        <v>0</v>
      </c>
      <c r="HH7" s="1">
        <v>0</v>
      </c>
      <c r="HI7" s="1">
        <v>0</v>
      </c>
      <c r="HJ7" s="1">
        <v>0</v>
      </c>
      <c r="HK7" s="1" t="b">
        <v>0</v>
      </c>
      <c r="HM7" s="1">
        <v>10001</v>
      </c>
      <c r="HO7" s="1" t="s">
        <v>360</v>
      </c>
      <c r="HP7" s="1">
        <v>0</v>
      </c>
      <c r="HQ7" s="1">
        <v>0</v>
      </c>
      <c r="HR7" s="1">
        <v>0</v>
      </c>
      <c r="HU7">
        <v>30046</v>
      </c>
      <c r="HV7" t="b">
        <v>0</v>
      </c>
      <c r="HW7" t="b">
        <v>1</v>
      </c>
    </row>
    <row r="8" spans="1:231">
      <c r="B8" s="1">
        <f>10000000+INDEX(编号表!$B$1:$B$112,MATCH(D8,编号表!$A$1:$A$112,0))*10000+I8</f>
        <v>10010002</v>
      </c>
      <c r="C8" s="1" t="s">
        <v>347</v>
      </c>
      <c r="D8" s="1" t="s">
        <v>347</v>
      </c>
      <c r="E8" s="1" t="s">
        <v>348</v>
      </c>
      <c r="F8" s="1" t="s">
        <v>349</v>
      </c>
      <c r="G8" s="1" t="b">
        <v>0</v>
      </c>
      <c r="H8" s="1" t="b">
        <v>0</v>
      </c>
      <c r="I8" s="1">
        <v>2</v>
      </c>
      <c r="J8" s="1" t="str">
        <f t="shared" si="0"/>
        <v>100100</v>
      </c>
      <c r="K8" s="1" t="s">
        <v>350</v>
      </c>
      <c r="L8" s="1">
        <f t="shared" ref="L8:L16" si="2">B7</f>
        <v>10010001</v>
      </c>
      <c r="M8" s="1">
        <f t="shared" si="1"/>
        <v>10010003</v>
      </c>
      <c r="N8" s="1" t="s">
        <v>351</v>
      </c>
      <c r="O8" s="1">
        <v>10202000</v>
      </c>
      <c r="P8" s="1">
        <v>0</v>
      </c>
      <c r="Q8" s="1">
        <v>1</v>
      </c>
      <c r="R8" s="1">
        <v>7</v>
      </c>
      <c r="T8" s="1">
        <v>100</v>
      </c>
      <c r="V8" s="1">
        <v>500</v>
      </c>
      <c r="W8" s="1">
        <v>0</v>
      </c>
      <c r="X8" s="1" t="inlineStr">
        <is>
          <t xml:space="preserve">目标方向</t>
        </is>
      </c>
      <c r="Y8" s="1" t="inlineStr">
        <is>
          <t xml:space="preserve">扇形</t>
        </is>
      </c>
      <c r="Z8" s="1" t="inlineStr">
        <is>
          <t xml:space="preserve">敌对</t>
        </is>
      </c>
      <c r="AA8" s="1">
        <v>0</v>
      </c>
      <c r="AB8" s="1">
        <v>0</v>
      </c>
      <c r="AC8" s="1" t="b">
        <v>0</v>
      </c>
      <c r="AD8" s="1" t="inlineStr">
        <is>
          <t xml:space="preserve">最近</t>
        </is>
      </c>
      <c r="AE8"/>
      <c r="AF8">
        <v>320</v>
      </c>
      <c r="AG8">
        <v>180</v>
      </c>
      <c r="AH8"/>
      <c r="AI8"/>
      <c r="AJ8"/>
      <c r="AK8"/>
      <c r="AY8" s="1" t="s">
        <v>356</v>
      </c>
      <c r="AZ8" s="1">
        <v>10400</v>
      </c>
      <c r="BA8" s="1" t="s">
        <v>357</v>
      </c>
      <c r="BB8" s="1" t="s">
        <v>354</v>
      </c>
      <c r="BC8" s="1">
        <v>10000</v>
      </c>
      <c r="BD8" s="1">
        <v>0</v>
      </c>
      <c r="BE8" s="1" t="s">
        <v>358</v>
      </c>
      <c r="BF8" s="1">
        <v>0</v>
      </c>
      <c r="BG8" s="1">
        <v>0</v>
      </c>
      <c r="BH8" s="1">
        <v>10000</v>
      </c>
      <c r="BI8" s="1">
        <v>4</v>
      </c>
      <c r="BJ8" s="1" t="b">
        <v>1</v>
      </c>
      <c r="BK8" s="1">
        <v>0</v>
      </c>
      <c r="BL8" s="1">
        <v>10000</v>
      </c>
      <c r="GX8" s="1">
        <v>200</v>
      </c>
      <c r="GY8" s="1">
        <v>400</v>
      </c>
      <c r="GZ8" s="1" t="s">
        <v>359</v>
      </c>
      <c r="HA8" s="1">
        <v>0</v>
      </c>
      <c r="HB8">
        <v>0</v>
      </c>
      <c r="HD8" s="1">
        <v>1</v>
      </c>
      <c r="HF8" s="1">
        <v>0</v>
      </c>
      <c r="HG8" s="1">
        <v>0</v>
      </c>
      <c r="HH8" s="1">
        <v>0</v>
      </c>
      <c r="HI8" s="1">
        <v>0</v>
      </c>
      <c r="HJ8" s="1">
        <v>0</v>
      </c>
      <c r="HK8" s="1" t="b">
        <v>0</v>
      </c>
      <c r="HM8" s="1">
        <v>10001</v>
      </c>
      <c r="HO8" s="1" t="s">
        <v>360</v>
      </c>
      <c r="HP8" s="1">
        <v>0</v>
      </c>
      <c r="HQ8" s="1">
        <v>0</v>
      </c>
      <c r="HR8" s="1">
        <v>0</v>
      </c>
      <c r="HU8">
        <v>30046</v>
      </c>
      <c r="HV8" t="b">
        <v>0</v>
      </c>
      <c r="HW8" t="b">
        <v>1</v>
      </c>
    </row>
    <row r="9" spans="1:231">
      <c r="B9" s="1">
        <f>10000000+INDEX(编号表!$B$1:$B$112,MATCH(D9,编号表!$A$1:$A$112,0))*10000+I9</f>
        <v>10010003</v>
      </c>
      <c r="C9" s="1" t="s">
        <v>347</v>
      </c>
      <c r="D9" s="1" t="s">
        <v>347</v>
      </c>
      <c r="E9" s="1" t="s">
        <v>348</v>
      </c>
      <c r="F9" s="1" t="s">
        <v>349</v>
      </c>
      <c r="G9" s="1" t="b">
        <v>0</v>
      </c>
      <c r="H9" s="1" t="b">
        <v>0</v>
      </c>
      <c r="I9" s="1">
        <v>3</v>
      </c>
      <c r="J9" s="1" t="str">
        <f t="shared" si="0"/>
        <v>100100</v>
      </c>
      <c r="K9" s="1" t="s">
        <v>350</v>
      </c>
      <c r="L9" s="1">
        <f t="shared" si="2"/>
        <v>10010002</v>
      </c>
      <c r="M9" s="1">
        <f t="shared" si="1"/>
        <v>10010004</v>
      </c>
      <c r="N9" s="1" t="s">
        <v>351</v>
      </c>
      <c r="O9" s="1">
        <v>10202000</v>
      </c>
      <c r="P9" s="1">
        <v>0</v>
      </c>
      <c r="Q9" s="1">
        <v>2</v>
      </c>
      <c r="R9" s="1">
        <v>11</v>
      </c>
      <c r="T9" s="1">
        <v>100</v>
      </c>
      <c r="V9" s="1">
        <v>500</v>
      </c>
      <c r="W9" s="1">
        <v>0</v>
      </c>
      <c r="X9" s="1" t="inlineStr">
        <is>
          <t xml:space="preserve">目标方向</t>
        </is>
      </c>
      <c r="Y9" s="1" t="inlineStr">
        <is>
          <t xml:space="preserve">扇形</t>
        </is>
      </c>
      <c r="Z9" s="1" t="inlineStr">
        <is>
          <t xml:space="preserve">敌对</t>
        </is>
      </c>
      <c r="AA9" s="1">
        <v>0</v>
      </c>
      <c r="AB9" s="1">
        <v>0</v>
      </c>
      <c r="AC9" s="1" t="b">
        <v>0</v>
      </c>
      <c r="AD9" s="1" t="inlineStr">
        <is>
          <t xml:space="preserve">最近</t>
        </is>
      </c>
      <c r="AE9"/>
      <c r="AF9">
        <v>320</v>
      </c>
      <c r="AG9">
        <v>180</v>
      </c>
      <c r="AH9"/>
      <c r="AI9"/>
      <c r="AJ9"/>
      <c r="AK9"/>
      <c r="AY9" s="1" t="s">
        <v>356</v>
      </c>
      <c r="AZ9" s="1">
        <v>10800</v>
      </c>
      <c r="BA9" s="1" t="s">
        <v>357</v>
      </c>
      <c r="BB9" s="1" t="s">
        <v>354</v>
      </c>
      <c r="BC9" s="1">
        <v>10000</v>
      </c>
      <c r="BD9" s="1">
        <v>0</v>
      </c>
      <c r="BE9" s="1" t="s">
        <v>358</v>
      </c>
      <c r="BF9" s="1">
        <v>0</v>
      </c>
      <c r="BG9" s="1">
        <v>0</v>
      </c>
      <c r="BH9" s="1">
        <v>10000</v>
      </c>
      <c r="BI9" s="1">
        <v>5</v>
      </c>
      <c r="BJ9" s="1" t="b">
        <v>1</v>
      </c>
      <c r="BK9" s="1">
        <v>0</v>
      </c>
      <c r="BL9" s="1">
        <v>10000</v>
      </c>
      <c r="GX9" s="1">
        <v>200</v>
      </c>
      <c r="GY9" s="1">
        <v>400</v>
      </c>
      <c r="GZ9" s="1" t="s">
        <v>359</v>
      </c>
      <c r="HA9" s="1">
        <v>0</v>
      </c>
      <c r="HB9">
        <v>0</v>
      </c>
      <c r="HD9" s="1">
        <v>1</v>
      </c>
      <c r="HF9" s="1">
        <v>0</v>
      </c>
      <c r="HG9" s="1">
        <v>0</v>
      </c>
      <c r="HH9" s="1">
        <v>0</v>
      </c>
      <c r="HI9" s="1">
        <v>0</v>
      </c>
      <c r="HJ9" s="1">
        <v>0</v>
      </c>
      <c r="HK9" s="1" t="b">
        <v>0</v>
      </c>
      <c r="HM9" s="1">
        <v>10001</v>
      </c>
      <c r="HO9" s="1" t="s">
        <v>360</v>
      </c>
      <c r="HP9" s="1">
        <v>0</v>
      </c>
      <c r="HQ9" s="1">
        <v>0</v>
      </c>
      <c r="HR9" s="1">
        <v>0</v>
      </c>
      <c r="HU9">
        <v>30046</v>
      </c>
      <c r="HV9" t="b">
        <v>0</v>
      </c>
      <c r="HW9" t="b">
        <v>1</v>
      </c>
    </row>
    <row r="10" spans="1:231">
      <c r="B10" s="1">
        <f>10000000+INDEX(编号表!$B$1:$B$112,MATCH(D10,编号表!$A$1:$A$112,0))*10000+I10</f>
        <v>10010004</v>
      </c>
      <c r="C10" s="1" t="s">
        <v>347</v>
      </c>
      <c r="D10" s="1" t="s">
        <v>347</v>
      </c>
      <c r="E10" s="1" t="s">
        <v>348</v>
      </c>
      <c r="F10" s="1" t="s">
        <v>349</v>
      </c>
      <c r="G10" s="1" t="b">
        <v>0</v>
      </c>
      <c r="H10" s="1" t="b">
        <v>0</v>
      </c>
      <c r="I10" s="1">
        <v>4</v>
      </c>
      <c r="J10" s="1" t="str">
        <f t="shared" si="0"/>
        <v>100100</v>
      </c>
      <c r="K10" s="1" t="s">
        <v>350</v>
      </c>
      <c r="L10" s="1">
        <f t="shared" si="2"/>
        <v>10010003</v>
      </c>
      <c r="M10" s="1">
        <f t="shared" si="1"/>
        <v>10010005</v>
      </c>
      <c r="N10" s="1" t="s">
        <v>351</v>
      </c>
      <c r="O10" s="1">
        <v>10202000</v>
      </c>
      <c r="P10" s="1">
        <v>0</v>
      </c>
      <c r="Q10" s="1">
        <v>3</v>
      </c>
      <c r="R10" s="1">
        <v>16</v>
      </c>
      <c r="T10" s="1">
        <v>100</v>
      </c>
      <c r="V10" s="1">
        <v>500</v>
      </c>
      <c r="W10" s="1">
        <v>0</v>
      </c>
      <c r="X10" s="1" t="inlineStr">
        <is>
          <t xml:space="preserve">目标方向</t>
        </is>
      </c>
      <c r="Y10" s="1" t="inlineStr">
        <is>
          <t xml:space="preserve">扇形</t>
        </is>
      </c>
      <c r="Z10" s="1" t="inlineStr">
        <is>
          <t xml:space="preserve">敌对</t>
        </is>
      </c>
      <c r="AA10" s="1">
        <v>0</v>
      </c>
      <c r="AB10" s="1">
        <v>0</v>
      </c>
      <c r="AC10" s="1" t="b">
        <v>0</v>
      </c>
      <c r="AD10" s="1" t="inlineStr">
        <is>
          <t xml:space="preserve">最近</t>
        </is>
      </c>
      <c r="AE10"/>
      <c r="AF10">
        <v>320</v>
      </c>
      <c r="AG10">
        <v>180</v>
      </c>
      <c r="AH10"/>
      <c r="AI10"/>
      <c r="AJ10"/>
      <c r="AK10"/>
      <c r="AY10" s="1" t="s">
        <v>356</v>
      </c>
      <c r="AZ10" s="1">
        <v>11200</v>
      </c>
      <c r="BA10" s="1" t="s">
        <v>357</v>
      </c>
      <c r="BB10" s="1" t="s">
        <v>354</v>
      </c>
      <c r="BC10" s="1">
        <v>10000</v>
      </c>
      <c r="BD10" s="1">
        <v>0</v>
      </c>
      <c r="BE10" s="1" t="s">
        <v>358</v>
      </c>
      <c r="BF10" s="1">
        <v>0</v>
      </c>
      <c r="BG10" s="1">
        <v>0</v>
      </c>
      <c r="BH10" s="1">
        <v>10000</v>
      </c>
      <c r="BI10" s="1">
        <v>6</v>
      </c>
      <c r="BJ10" s="1" t="b">
        <v>1</v>
      </c>
      <c r="BK10" s="1">
        <v>0</v>
      </c>
      <c r="BL10" s="1">
        <v>10000</v>
      </c>
      <c r="GX10" s="1">
        <v>200</v>
      </c>
      <c r="GY10" s="1">
        <v>400</v>
      </c>
      <c r="GZ10" s="1" t="s">
        <v>359</v>
      </c>
      <c r="HA10" s="1">
        <v>0</v>
      </c>
      <c r="HB10">
        <v>0</v>
      </c>
      <c r="HD10" s="1">
        <v>1</v>
      </c>
      <c r="HF10" s="1">
        <v>0</v>
      </c>
      <c r="HG10" s="1">
        <v>0</v>
      </c>
      <c r="HH10" s="1">
        <v>0</v>
      </c>
      <c r="HI10" s="1">
        <v>0</v>
      </c>
      <c r="HJ10" s="1">
        <v>0</v>
      </c>
      <c r="HK10" s="1" t="b">
        <v>0</v>
      </c>
      <c r="HM10" s="1">
        <v>10001</v>
      </c>
      <c r="HO10" s="1" t="s">
        <v>360</v>
      </c>
      <c r="HP10" s="1">
        <v>0</v>
      </c>
      <c r="HQ10" s="1">
        <v>0</v>
      </c>
      <c r="HR10" s="1">
        <v>0</v>
      </c>
      <c r="HU10">
        <v>30046</v>
      </c>
      <c r="HV10" t="b">
        <v>0</v>
      </c>
      <c r="HW10" t="b">
        <v>1</v>
      </c>
    </row>
    <row r="11" spans="1:231">
      <c r="B11" s="1">
        <f>10000000+INDEX(编号表!$B$1:$B$112,MATCH(D11,编号表!$A$1:$A$112,0))*10000+I11</f>
        <v>10010005</v>
      </c>
      <c r="C11" s="1" t="s">
        <v>347</v>
      </c>
      <c r="D11" s="1" t="s">
        <v>347</v>
      </c>
      <c r="E11" s="1" t="s">
        <v>348</v>
      </c>
      <c r="F11" s="1" t="s">
        <v>349</v>
      </c>
      <c r="G11" s="1" t="b">
        <v>0</v>
      </c>
      <c r="H11" s="1" t="b">
        <v>0</v>
      </c>
      <c r="I11" s="1">
        <v>5</v>
      </c>
      <c r="J11" s="1" t="str">
        <f t="shared" si="0"/>
        <v>100100</v>
      </c>
      <c r="K11" s="1" t="s">
        <v>350</v>
      </c>
      <c r="L11" s="1">
        <f t="shared" si="2"/>
        <v>10010004</v>
      </c>
      <c r="M11" s="1">
        <f t="shared" si="1"/>
        <v>10010006</v>
      </c>
      <c r="N11" s="1" t="s">
        <v>351</v>
      </c>
      <c r="O11" s="1">
        <v>10202000</v>
      </c>
      <c r="P11" s="1">
        <v>0</v>
      </c>
      <c r="Q11" s="1">
        <v>3</v>
      </c>
      <c r="R11" s="1">
        <v>25</v>
      </c>
      <c r="T11" s="1">
        <v>100</v>
      </c>
      <c r="V11" s="1">
        <v>500</v>
      </c>
      <c r="W11" s="1">
        <v>0</v>
      </c>
      <c r="X11" s="1" t="inlineStr">
        <is>
          <t xml:space="preserve">目标方向</t>
        </is>
      </c>
      <c r="Y11" s="1" t="inlineStr">
        <is>
          <t xml:space="preserve">扇形</t>
        </is>
      </c>
      <c r="Z11" s="1" t="inlineStr">
        <is>
          <t xml:space="preserve">敌对</t>
        </is>
      </c>
      <c r="AA11" s="1">
        <v>0</v>
      </c>
      <c r="AB11" s="1">
        <v>0</v>
      </c>
      <c r="AC11" s="1" t="b">
        <v>0</v>
      </c>
      <c r="AD11" s="1" t="inlineStr">
        <is>
          <t xml:space="preserve">最近</t>
        </is>
      </c>
      <c r="AE11"/>
      <c r="AF11">
        <v>320</v>
      </c>
      <c r="AG11">
        <v>180</v>
      </c>
      <c r="AH11"/>
      <c r="AI11"/>
      <c r="AJ11"/>
      <c r="AK11"/>
      <c r="AY11" s="1" t="s">
        <v>356</v>
      </c>
      <c r="AZ11" s="1">
        <v>11300</v>
      </c>
      <c r="BA11" s="1" t="s">
        <v>357</v>
      </c>
      <c r="BB11" s="1" t="s">
        <v>354</v>
      </c>
      <c r="BC11" s="1">
        <v>10000</v>
      </c>
      <c r="BD11" s="1">
        <v>0</v>
      </c>
      <c r="BE11" s="1" t="s">
        <v>358</v>
      </c>
      <c r="BF11" s="1">
        <v>0</v>
      </c>
      <c r="BG11" s="1">
        <v>0</v>
      </c>
      <c r="BH11" s="1">
        <v>10000</v>
      </c>
      <c r="BI11" s="1">
        <v>6</v>
      </c>
      <c r="BJ11" s="1" t="b">
        <v>1</v>
      </c>
      <c r="BK11" s="1">
        <v>0</v>
      </c>
      <c r="BL11" s="1">
        <v>10000</v>
      </c>
      <c r="GX11" s="1">
        <v>200</v>
      </c>
      <c r="GY11" s="1">
        <v>400</v>
      </c>
      <c r="GZ11" s="1" t="s">
        <v>359</v>
      </c>
      <c r="HA11" s="1">
        <v>0</v>
      </c>
      <c r="HB11">
        <v>0</v>
      </c>
      <c r="HD11" s="1">
        <v>1</v>
      </c>
      <c r="HF11" s="1">
        <v>0</v>
      </c>
      <c r="HG11" s="1">
        <v>0</v>
      </c>
      <c r="HH11" s="1">
        <v>0</v>
      </c>
      <c r="HI11" s="1">
        <v>0</v>
      </c>
      <c r="HJ11" s="1">
        <v>0</v>
      </c>
      <c r="HK11" s="1" t="b">
        <v>0</v>
      </c>
      <c r="HM11" s="1">
        <v>10001</v>
      </c>
      <c r="HO11" s="1" t="s">
        <v>360</v>
      </c>
      <c r="HP11" s="1">
        <v>0</v>
      </c>
      <c r="HQ11" s="1">
        <v>0</v>
      </c>
      <c r="HR11" s="1">
        <v>0</v>
      </c>
      <c r="HU11">
        <v>30046</v>
      </c>
      <c r="HV11" t="b">
        <v>0</v>
      </c>
      <c r="HW11" t="b">
        <v>1</v>
      </c>
    </row>
    <row r="12" spans="1:231">
      <c r="B12" s="1">
        <f>10000000+INDEX(编号表!$B$1:$B$112,MATCH(D12,编号表!$A$1:$A$112,0))*10000+I12</f>
        <v>10010006</v>
      </c>
      <c r="C12" s="1" t="s">
        <v>347</v>
      </c>
      <c r="D12" s="1" t="s">
        <v>347</v>
      </c>
      <c r="E12" s="1" t="s">
        <v>348</v>
      </c>
      <c r="F12" s="1" t="s">
        <v>349</v>
      </c>
      <c r="G12" s="1" t="b">
        <v>0</v>
      </c>
      <c r="H12" s="1" t="b">
        <v>0</v>
      </c>
      <c r="I12" s="1">
        <v>6</v>
      </c>
      <c r="J12" s="1" t="str">
        <f t="shared" si="0"/>
        <v>100100</v>
      </c>
      <c r="K12" s="1" t="s">
        <v>350</v>
      </c>
      <c r="L12" s="1">
        <f t="shared" si="2"/>
        <v>10010005</v>
      </c>
      <c r="M12" s="1">
        <f t="shared" si="1"/>
        <v>10010007</v>
      </c>
      <c r="N12" s="1" t="s">
        <v>351</v>
      </c>
      <c r="O12" s="1">
        <v>10202000</v>
      </c>
      <c r="P12" s="1">
        <v>0</v>
      </c>
      <c r="Q12" s="1">
        <v>3</v>
      </c>
      <c r="R12" s="1">
        <v>30</v>
      </c>
      <c r="T12" s="1">
        <v>100</v>
      </c>
      <c r="V12" s="1">
        <v>500</v>
      </c>
      <c r="W12" s="1">
        <v>0</v>
      </c>
      <c r="X12" s="1" t="inlineStr">
        <is>
          <t xml:space="preserve">目标方向</t>
        </is>
      </c>
      <c r="Y12" s="1" t="inlineStr">
        <is>
          <t xml:space="preserve">扇形</t>
        </is>
      </c>
      <c r="Z12" s="1" t="inlineStr">
        <is>
          <t xml:space="preserve">敌对</t>
        </is>
      </c>
      <c r="AA12" s="1">
        <v>0</v>
      </c>
      <c r="AB12" s="1">
        <v>0</v>
      </c>
      <c r="AC12" s="1" t="b">
        <v>0</v>
      </c>
      <c r="AD12" s="1" t="inlineStr">
        <is>
          <t xml:space="preserve">最近</t>
        </is>
      </c>
      <c r="AE12"/>
      <c r="AF12">
        <v>320</v>
      </c>
      <c r="AG12">
        <v>180</v>
      </c>
      <c r="AH12"/>
      <c r="AI12"/>
      <c r="AJ12"/>
      <c r="AK12"/>
      <c r="AY12" s="1" t="s">
        <v>356</v>
      </c>
      <c r="AZ12" s="1">
        <v>11600</v>
      </c>
      <c r="BA12" s="1" t="s">
        <v>357</v>
      </c>
      <c r="BB12" s="1" t="s">
        <v>354</v>
      </c>
      <c r="BC12" s="1">
        <v>10000</v>
      </c>
      <c r="BD12" s="1">
        <v>0</v>
      </c>
      <c r="BE12" s="1" t="s">
        <v>358</v>
      </c>
      <c r="BF12" s="1">
        <v>0</v>
      </c>
      <c r="BG12" s="1">
        <v>0</v>
      </c>
      <c r="BH12" s="1">
        <v>10000</v>
      </c>
      <c r="BI12" s="1">
        <v>7</v>
      </c>
      <c r="BJ12" s="1" t="b">
        <v>1</v>
      </c>
      <c r="BK12" s="1">
        <v>0</v>
      </c>
      <c r="BL12" s="1">
        <v>10000</v>
      </c>
      <c r="GX12" s="1">
        <v>200</v>
      </c>
      <c r="GY12" s="1">
        <v>400</v>
      </c>
      <c r="GZ12" s="1" t="s">
        <v>359</v>
      </c>
      <c r="HA12" s="1">
        <v>0</v>
      </c>
      <c r="HB12">
        <v>0</v>
      </c>
      <c r="HD12" s="1">
        <v>1</v>
      </c>
      <c r="HF12" s="1">
        <v>0</v>
      </c>
      <c r="HG12" s="1">
        <v>0</v>
      </c>
      <c r="HH12" s="1">
        <v>0</v>
      </c>
      <c r="HI12" s="1">
        <v>0</v>
      </c>
      <c r="HJ12" s="1">
        <v>0</v>
      </c>
      <c r="HK12" s="1" t="b">
        <v>0</v>
      </c>
      <c r="HM12" s="1">
        <v>10001</v>
      </c>
      <c r="HO12" s="1" t="s">
        <v>360</v>
      </c>
      <c r="HP12" s="1">
        <v>0</v>
      </c>
      <c r="HQ12" s="1">
        <v>0</v>
      </c>
      <c r="HR12" s="1">
        <v>0</v>
      </c>
      <c r="HU12">
        <v>30046</v>
      </c>
      <c r="HV12" t="b">
        <v>0</v>
      </c>
      <c r="HW12" t="b">
        <v>1</v>
      </c>
    </row>
    <row r="13" spans="1:231">
      <c r="B13" s="1">
        <f>10000000+INDEX(编号表!$B$1:$B$112,MATCH(D13,编号表!$A$1:$A$112,0))*10000+I13</f>
        <v>10010007</v>
      </c>
      <c r="C13" s="1" t="s">
        <v>347</v>
      </c>
      <c r="D13" s="1" t="s">
        <v>347</v>
      </c>
      <c r="E13" s="1" t="s">
        <v>348</v>
      </c>
      <c r="F13" s="1" t="s">
        <v>349</v>
      </c>
      <c r="G13" s="1" t="b">
        <v>0</v>
      </c>
      <c r="H13" s="1" t="b">
        <v>0</v>
      </c>
      <c r="I13" s="1">
        <v>7</v>
      </c>
      <c r="J13" s="1" t="str">
        <f t="shared" si="0"/>
        <v>100100</v>
      </c>
      <c r="K13" s="1" t="s">
        <v>350</v>
      </c>
      <c r="L13" s="1">
        <f t="shared" si="2"/>
        <v>10010006</v>
      </c>
      <c r="M13" s="1">
        <f t="shared" si="1"/>
        <v>10010008</v>
      </c>
      <c r="N13" s="1" t="s">
        <v>351</v>
      </c>
      <c r="O13" s="1">
        <v>10202000</v>
      </c>
      <c r="P13" s="1">
        <v>0</v>
      </c>
      <c r="Q13" s="1">
        <v>3</v>
      </c>
      <c r="R13" s="1">
        <v>35</v>
      </c>
      <c r="T13" s="1">
        <v>100</v>
      </c>
      <c r="V13" s="1">
        <v>500</v>
      </c>
      <c r="W13" s="1">
        <v>0</v>
      </c>
      <c r="X13" s="1" t="inlineStr">
        <is>
          <t xml:space="preserve">目标方向</t>
        </is>
      </c>
      <c r="Y13" s="1" t="inlineStr">
        <is>
          <t xml:space="preserve">扇形</t>
        </is>
      </c>
      <c r="Z13" s="1" t="inlineStr">
        <is>
          <t xml:space="preserve">敌对</t>
        </is>
      </c>
      <c r="AA13" s="1">
        <v>0</v>
      </c>
      <c r="AB13" s="1">
        <v>0</v>
      </c>
      <c r="AC13" s="1" t="b">
        <v>0</v>
      </c>
      <c r="AD13" s="1" t="inlineStr">
        <is>
          <t xml:space="preserve">最近</t>
        </is>
      </c>
      <c r="AE13"/>
      <c r="AF13">
        <v>320</v>
      </c>
      <c r="AG13">
        <v>180</v>
      </c>
      <c r="AH13"/>
      <c r="AI13"/>
      <c r="AJ13"/>
      <c r="AK13"/>
      <c r="AY13" s="1" t="s">
        <v>356</v>
      </c>
      <c r="AZ13" s="1">
        <v>11700</v>
      </c>
      <c r="BA13" s="1" t="s">
        <v>357</v>
      </c>
      <c r="BB13" s="1" t="s">
        <v>354</v>
      </c>
      <c r="BC13" s="1">
        <v>10000</v>
      </c>
      <c r="BD13" s="1">
        <v>0</v>
      </c>
      <c r="BE13" s="1" t="s">
        <v>358</v>
      </c>
      <c r="BF13" s="1">
        <v>0</v>
      </c>
      <c r="BG13" s="1">
        <v>0</v>
      </c>
      <c r="BH13" s="1">
        <v>10000</v>
      </c>
      <c r="BI13" s="1">
        <v>9</v>
      </c>
      <c r="BJ13" s="1" t="b">
        <v>1</v>
      </c>
      <c r="BK13" s="1">
        <v>0</v>
      </c>
      <c r="BL13" s="1">
        <v>10000</v>
      </c>
      <c r="GX13" s="1">
        <v>200</v>
      </c>
      <c r="GY13" s="1">
        <v>400</v>
      </c>
      <c r="GZ13" s="1" t="s">
        <v>359</v>
      </c>
      <c r="HA13" s="1">
        <v>0</v>
      </c>
      <c r="HB13">
        <v>0</v>
      </c>
      <c r="HD13" s="1">
        <v>1</v>
      </c>
      <c r="HF13" s="1">
        <v>0</v>
      </c>
      <c r="HG13" s="1">
        <v>0</v>
      </c>
      <c r="HH13" s="1">
        <v>0</v>
      </c>
      <c r="HI13" s="1">
        <v>0</v>
      </c>
      <c r="HJ13" s="1">
        <v>0</v>
      </c>
      <c r="HK13" s="1" t="b">
        <v>0</v>
      </c>
      <c r="HM13" s="1">
        <v>10001</v>
      </c>
      <c r="HO13" s="1" t="s">
        <v>360</v>
      </c>
      <c r="HP13" s="1">
        <v>0</v>
      </c>
      <c r="HQ13" s="1">
        <v>0</v>
      </c>
      <c r="HR13" s="1">
        <v>0</v>
      </c>
      <c r="HU13">
        <v>30046</v>
      </c>
      <c r="HV13" t="b">
        <v>0</v>
      </c>
      <c r="HW13" t="b">
        <v>1</v>
      </c>
    </row>
    <row r="14" spans="1:231">
      <c r="B14" s="1">
        <f>10000000+INDEX(编号表!$B$1:$B$112,MATCH(D14,编号表!$A$1:$A$112,0))*10000+I14</f>
        <v>10010008</v>
      </c>
      <c r="C14" s="1" t="s">
        <v>347</v>
      </c>
      <c r="D14" s="1" t="s">
        <v>347</v>
      </c>
      <c r="E14" s="1" t="s">
        <v>348</v>
      </c>
      <c r="F14" s="1" t="s">
        <v>349</v>
      </c>
      <c r="G14" s="1" t="b">
        <v>0</v>
      </c>
      <c r="H14" s="1" t="b">
        <v>0</v>
      </c>
      <c r="I14" s="1">
        <v>8</v>
      </c>
      <c r="J14" s="1" t="str">
        <f t="shared" si="0"/>
        <v>100100</v>
      </c>
      <c r="K14" s="1" t="s">
        <v>350</v>
      </c>
      <c r="L14" s="1">
        <f t="shared" si="2"/>
        <v>10010007</v>
      </c>
      <c r="M14" s="1">
        <f t="shared" si="1"/>
        <v>10010009</v>
      </c>
      <c r="N14" s="1" t="s">
        <v>351</v>
      </c>
      <c r="O14" s="1">
        <v>10202000</v>
      </c>
      <c r="P14" s="1">
        <v>0</v>
      </c>
      <c r="Q14" s="1">
        <v>3</v>
      </c>
      <c r="R14" s="1">
        <v>35</v>
      </c>
      <c r="T14" s="1">
        <v>100</v>
      </c>
      <c r="V14" s="1">
        <v>500</v>
      </c>
      <c r="W14" s="1">
        <v>0</v>
      </c>
      <c r="X14" s="1" t="inlineStr">
        <is>
          <t xml:space="preserve">目标方向</t>
        </is>
      </c>
      <c r="Y14" s="1" t="inlineStr">
        <is>
          <t xml:space="preserve">扇形</t>
        </is>
      </c>
      <c r="Z14" s="1" t="inlineStr">
        <is>
          <t xml:space="preserve">敌对</t>
        </is>
      </c>
      <c r="AA14" s="1">
        <v>0</v>
      </c>
      <c r="AB14" s="1">
        <v>0</v>
      </c>
      <c r="AC14" s="1" t="b">
        <v>0</v>
      </c>
      <c r="AD14" s="1" t="inlineStr">
        <is>
          <t xml:space="preserve">最近</t>
        </is>
      </c>
      <c r="AE14"/>
      <c r="AF14">
        <v>320</v>
      </c>
      <c r="AG14">
        <v>180</v>
      </c>
      <c r="AH14"/>
      <c r="AI14"/>
      <c r="AJ14"/>
      <c r="AK14"/>
      <c r="AY14" s="1" t="s">
        <v>356</v>
      </c>
      <c r="AZ14" s="1">
        <v>11800</v>
      </c>
      <c r="BA14" s="1" t="s">
        <v>357</v>
      </c>
      <c r="BB14" s="1" t="s">
        <v>354</v>
      </c>
      <c r="BC14" s="1">
        <v>10000</v>
      </c>
      <c r="BD14" s="1">
        <v>0</v>
      </c>
      <c r="BE14" s="1" t="s">
        <v>358</v>
      </c>
      <c r="BF14" s="1">
        <v>0</v>
      </c>
      <c r="BG14" s="1">
        <v>0</v>
      </c>
      <c r="BH14" s="1">
        <v>10000</v>
      </c>
      <c r="BI14" s="1">
        <v>10</v>
      </c>
      <c r="BJ14" s="1" t="b">
        <v>1</v>
      </c>
      <c r="BK14" s="1">
        <v>0</v>
      </c>
      <c r="BL14" s="1">
        <v>10000</v>
      </c>
      <c r="GX14" s="1">
        <v>200</v>
      </c>
      <c r="GY14" s="1">
        <v>400</v>
      </c>
      <c r="GZ14" s="1" t="s">
        <v>359</v>
      </c>
      <c r="HA14" s="1">
        <v>0</v>
      </c>
      <c r="HB14">
        <v>0</v>
      </c>
      <c r="HD14" s="1">
        <v>1</v>
      </c>
      <c r="HF14" s="1">
        <v>0</v>
      </c>
      <c r="HG14" s="1">
        <v>0</v>
      </c>
      <c r="HH14" s="1">
        <v>0</v>
      </c>
      <c r="HI14" s="1">
        <v>0</v>
      </c>
      <c r="HJ14" s="1">
        <v>0</v>
      </c>
      <c r="HK14" s="1" t="b">
        <v>0</v>
      </c>
      <c r="HM14" s="1">
        <v>10001</v>
      </c>
      <c r="HO14" s="1" t="s">
        <v>360</v>
      </c>
      <c r="HP14" s="1">
        <v>0</v>
      </c>
      <c r="HQ14" s="1">
        <v>0</v>
      </c>
      <c r="HR14" s="1">
        <v>0</v>
      </c>
      <c r="HU14">
        <v>30046</v>
      </c>
      <c r="HV14" t="b">
        <v>0</v>
      </c>
      <c r="HW14" t="b">
        <v>1</v>
      </c>
    </row>
    <row r="15" spans="1:231">
      <c r="B15" s="1">
        <f>10000000+INDEX(编号表!$B$1:$B$112,MATCH(D15,编号表!$A$1:$A$112,0))*10000+I15</f>
        <v>10010009</v>
      </c>
      <c r="C15" s="1" t="s">
        <v>347</v>
      </c>
      <c r="D15" s="1" t="s">
        <v>347</v>
      </c>
      <c r="E15" s="1" t="s">
        <v>348</v>
      </c>
      <c r="F15" s="1" t="s">
        <v>349</v>
      </c>
      <c r="G15" s="1" t="b">
        <v>0</v>
      </c>
      <c r="H15" s="1" t="b">
        <v>0</v>
      </c>
      <c r="I15" s="1">
        <v>9</v>
      </c>
      <c r="J15" s="1" t="str">
        <f t="shared" si="0"/>
        <v>100100</v>
      </c>
      <c r="K15" s="1" t="s">
        <v>350</v>
      </c>
      <c r="L15" s="1">
        <f t="shared" si="2"/>
        <v>10010008</v>
      </c>
      <c r="M15" s="1">
        <f t="shared" si="1"/>
        <v>10010010</v>
      </c>
      <c r="N15" s="1" t="s">
        <v>351</v>
      </c>
      <c r="O15" s="1">
        <v>10202000</v>
      </c>
      <c r="P15" s="1">
        <v>0</v>
      </c>
      <c r="Q15" s="1">
        <v>3</v>
      </c>
      <c r="R15" s="1">
        <v>40</v>
      </c>
      <c r="T15" s="1">
        <v>100</v>
      </c>
      <c r="V15" s="1">
        <v>500</v>
      </c>
      <c r="W15" s="1">
        <v>0</v>
      </c>
      <c r="X15" s="1" t="inlineStr">
        <is>
          <t xml:space="preserve">目标方向</t>
        </is>
      </c>
      <c r="Y15" s="1" t="inlineStr">
        <is>
          <t xml:space="preserve">扇形</t>
        </is>
      </c>
      <c r="Z15" s="1" t="inlineStr">
        <is>
          <t xml:space="preserve">敌对</t>
        </is>
      </c>
      <c r="AA15" s="1">
        <v>0</v>
      </c>
      <c r="AB15" s="1">
        <v>0</v>
      </c>
      <c r="AC15" s="1" t="b">
        <v>0</v>
      </c>
      <c r="AD15" s="1" t="inlineStr">
        <is>
          <t xml:space="preserve">最近</t>
        </is>
      </c>
      <c r="AE15"/>
      <c r="AF15">
        <v>320</v>
      </c>
      <c r="AG15">
        <v>180</v>
      </c>
      <c r="AH15"/>
      <c r="AI15"/>
      <c r="AJ15"/>
      <c r="AK15"/>
      <c r="AY15" s="1" t="s">
        <v>356</v>
      </c>
      <c r="AZ15" s="1">
        <v>11900</v>
      </c>
      <c r="BA15" s="1" t="s">
        <v>357</v>
      </c>
      <c r="BB15" s="1" t="s">
        <v>354</v>
      </c>
      <c r="BC15" s="1">
        <v>10000</v>
      </c>
      <c r="BD15" s="1">
        <v>0</v>
      </c>
      <c r="BE15" s="1" t="s">
        <v>358</v>
      </c>
      <c r="BF15" s="1">
        <v>0</v>
      </c>
      <c r="BG15" s="1">
        <v>0</v>
      </c>
      <c r="BH15" s="1">
        <v>10000</v>
      </c>
      <c r="BI15" s="1">
        <v>12</v>
      </c>
      <c r="BJ15" s="1" t="b">
        <v>1</v>
      </c>
      <c r="BK15" s="1">
        <v>0</v>
      </c>
      <c r="BL15" s="1">
        <v>10000</v>
      </c>
      <c r="GX15" s="1">
        <v>200</v>
      </c>
      <c r="GY15" s="1">
        <v>400</v>
      </c>
      <c r="GZ15" s="1" t="s">
        <v>359</v>
      </c>
      <c r="HA15" s="1">
        <v>0</v>
      </c>
      <c r="HB15">
        <v>0</v>
      </c>
      <c r="HD15" s="1">
        <v>1</v>
      </c>
      <c r="HF15" s="1">
        <v>0</v>
      </c>
      <c r="HG15" s="1">
        <v>0</v>
      </c>
      <c r="HH15" s="1">
        <v>0</v>
      </c>
      <c r="HI15" s="1">
        <v>0</v>
      </c>
      <c r="HJ15" s="1">
        <v>0</v>
      </c>
      <c r="HK15" s="1" t="b">
        <v>0</v>
      </c>
      <c r="HM15" s="1">
        <v>10001</v>
      </c>
      <c r="HO15" s="1" t="s">
        <v>360</v>
      </c>
      <c r="HP15" s="1">
        <v>0</v>
      </c>
      <c r="HQ15" s="1">
        <v>0</v>
      </c>
      <c r="HR15" s="1">
        <v>0</v>
      </c>
      <c r="HU15">
        <v>30046</v>
      </c>
      <c r="HV15" t="b">
        <v>0</v>
      </c>
      <c r="HW15" t="b">
        <v>1</v>
      </c>
    </row>
    <row r="16" spans="1:231">
      <c r="B16" s="1">
        <f>10000000+INDEX(编号表!$B$1:$B$112,MATCH(D16,编号表!$A$1:$A$112,0))*10000+I16</f>
        <v>10010010</v>
      </c>
      <c r="C16" s="1" t="s">
        <v>347</v>
      </c>
      <c r="D16" s="1" t="s">
        <v>347</v>
      </c>
      <c r="E16" s="1" t="s">
        <v>348</v>
      </c>
      <c r="F16" s="1" t="s">
        <v>349</v>
      </c>
      <c r="G16" s="1" t="b">
        <v>0</v>
      </c>
      <c r="H16" s="1" t="b">
        <v>0</v>
      </c>
      <c r="I16" s="1">
        <v>10</v>
      </c>
      <c r="J16" s="1" t="str">
        <f t="shared" si="0"/>
        <v>100100</v>
      </c>
      <c r="K16" s="1" t="s">
        <v>350</v>
      </c>
      <c r="L16" s="1">
        <f t="shared" si="2"/>
        <v>10010009</v>
      </c>
      <c r="N16" s="1" t="s">
        <v>351</v>
      </c>
      <c r="O16" s="1">
        <v>10202000</v>
      </c>
      <c r="P16" s="1">
        <v>0</v>
      </c>
      <c r="Q16" s="1">
        <v>3</v>
      </c>
      <c r="R16" s="1">
        <v>40</v>
      </c>
      <c r="T16" s="1">
        <v>100</v>
      </c>
      <c r="V16" s="1">
        <v>500</v>
      </c>
      <c r="W16" s="1">
        <v>0</v>
      </c>
      <c r="X16" s="1" t="inlineStr">
        <is>
          <t xml:space="preserve">目标方向</t>
        </is>
      </c>
      <c r="Y16" s="1" t="inlineStr">
        <is>
          <t xml:space="preserve">扇形</t>
        </is>
      </c>
      <c r="Z16" s="1" t="inlineStr">
        <is>
          <t xml:space="preserve">敌对</t>
        </is>
      </c>
      <c r="AA16" s="1">
        <v>0</v>
      </c>
      <c r="AB16" s="1">
        <v>0</v>
      </c>
      <c r="AC16" s="1" t="b">
        <v>0</v>
      </c>
      <c r="AD16" s="1" t="inlineStr">
        <is>
          <t xml:space="preserve">最近</t>
        </is>
      </c>
      <c r="AE16"/>
      <c r="AF16">
        <v>320</v>
      </c>
      <c r="AG16">
        <v>180</v>
      </c>
      <c r="AH16"/>
      <c r="AI16"/>
      <c r="AJ16"/>
      <c r="AK16"/>
      <c r="AY16" s="1" t="s">
        <v>356</v>
      </c>
      <c r="AZ16" s="1">
        <v>12000</v>
      </c>
      <c r="BA16" s="1" t="s">
        <v>357</v>
      </c>
      <c r="BB16" s="1" t="s">
        <v>354</v>
      </c>
      <c r="BC16" s="1">
        <v>10000</v>
      </c>
      <c r="BD16" s="1">
        <v>0</v>
      </c>
      <c r="BE16" s="1" t="s">
        <v>358</v>
      </c>
      <c r="BF16" s="1">
        <v>0</v>
      </c>
      <c r="BG16" s="1">
        <v>0</v>
      </c>
      <c r="BH16" s="1">
        <v>10000</v>
      </c>
      <c r="BI16" s="1">
        <v>15</v>
      </c>
      <c r="BJ16" s="1" t="b">
        <v>1</v>
      </c>
      <c r="BK16" s="1">
        <v>0</v>
      </c>
      <c r="BL16" s="1">
        <v>10000</v>
      </c>
      <c r="GX16" s="1">
        <v>200</v>
      </c>
      <c r="GY16" s="1">
        <v>400</v>
      </c>
      <c r="GZ16" s="1" t="s">
        <v>359</v>
      </c>
      <c r="HA16" s="1">
        <v>0</v>
      </c>
      <c r="HB16">
        <v>0</v>
      </c>
      <c r="HD16" s="1">
        <v>1</v>
      </c>
      <c r="HF16" s="1">
        <v>0</v>
      </c>
      <c r="HG16" s="1">
        <v>0</v>
      </c>
      <c r="HH16" s="1">
        <v>0</v>
      </c>
      <c r="HI16" s="1">
        <v>0</v>
      </c>
      <c r="HJ16" s="1">
        <v>0</v>
      </c>
      <c r="HK16" s="1" t="b">
        <v>0</v>
      </c>
      <c r="HM16" s="1">
        <v>10001</v>
      </c>
      <c r="HO16" s="1" t="s">
        <v>360</v>
      </c>
      <c r="HP16" s="1">
        <v>0</v>
      </c>
      <c r="HQ16" s="1">
        <v>0</v>
      </c>
      <c r="HR16" s="1">
        <v>0</v>
      </c>
      <c r="HU16">
        <v>30046</v>
      </c>
      <c r="HV16" t="b">
        <v>0</v>
      </c>
      <c r="HW16" t="b">
        <v>1</v>
      </c>
    </row>
    <row r="17" spans="1:229">
      <c r="A17"/>
      <c r="B17" s="1">
        <f>10000000+INDEX(编号表!$B$1:$B$112,MATCH(D17,编号表!$A$1:$A$112,0))*10000+I17</f>
        <v>10020001</v>
      </c>
      <c r="C17" s="1" t="s">
        <v>361</v>
      </c>
      <c r="D17" s="1" t="s">
        <v>361</v>
      </c>
      <c r="E17" s="1" t="s">
        <v>348</v>
      </c>
      <c r="F17" s="1" t="s">
        <v>362</v>
      </c>
      <c r="G17" s="1" t="b">
        <v>0</v>
      </c>
      <c r="H17" s="1" t="b">
        <v>0</v>
      </c>
      <c r="I17" s="1">
        <v>1</v>
      </c>
      <c r="J17" s="1" t="str">
        <f t="shared" si="0"/>
        <v>100200</v>
      </c>
      <c r="K17" s="1" t="s">
        <v>350</v>
      </c>
      <c r="L17">
        <v>0</v>
      </c>
      <c r="M17" s="1">
        <v>10020002</v>
      </c>
      <c r="N17" s="1" t="s">
        <v>363</v>
      </c>
      <c r="O17" s="1">
        <v>10202001</v>
      </c>
      <c r="P17" s="1">
        <v>0</v>
      </c>
      <c r="Q17" s="1">
        <v>0</v>
      </c>
      <c r="R17" s="1">
        <v>1</v>
      </c>
      <c r="S17">
        <v>0</v>
      </c>
      <c r="T17" s="1">
        <v>100</v>
      </c>
      <c r="U17" t="s">
        <v>364</v>
      </c>
      <c r="V17" s="1">
        <v>500</v>
      </c>
      <c r="W17" s="1">
        <v>0</v>
      </c>
      <c r="X17" s="1" t="inlineStr">
        <is>
          <t xml:space="preserve">目标点</t>
        </is>
      </c>
      <c r="Y17" s="1" t="s">
        <v>365</v>
      </c>
      <c r="Z17" s="1" t="s">
        <v>354</v>
      </c>
      <c r="AA17" s="1">
        <v>0</v>
      </c>
      <c r="AB17" s="1">
        <v>0</v>
      </c>
      <c r="AC17" s="1" t="b">
        <v>0</v>
      </c>
      <c r="AD17" s="1" t="s">
        <v>355</v>
      </c>
      <c r="AE17">
        <v>200</v>
      </c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 s="1" t="s">
        <v>356</v>
      </c>
      <c r="AZ17" s="1">
        <v>10000</v>
      </c>
      <c r="BA17" s="1" t="s">
        <v>357</v>
      </c>
      <c r="BB17" s="1" t="s">
        <v>354</v>
      </c>
      <c r="BC17" s="1">
        <v>10000</v>
      </c>
      <c r="BD17" s="1">
        <v>0</v>
      </c>
      <c r="BE17" s="1" t="s">
        <v>358</v>
      </c>
      <c r="BF17" s="1">
        <v>0</v>
      </c>
      <c r="BG17" s="1" t="s">
        <v>356</v>
      </c>
      <c r="BH17" s="1">
        <v>10000</v>
      </c>
      <c r="BI17" s="1">
        <v>3</v>
      </c>
      <c r="BJ17" s="1" t="b">
        <v>1</v>
      </c>
      <c r="BK17" s="1">
        <v>0</v>
      </c>
      <c r="BL17" s="1">
        <v>10000</v>
      </c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X17" s="1">
        <v>200</v>
      </c>
      <c r="GY17" s="1">
        <v>400</v>
      </c>
      <c r="GZ17" s="1" t="s">
        <v>359</v>
      </c>
      <c r="HA17" s="1">
        <v>0</v>
      </c>
      <c r="HB17">
        <v>30043</v>
      </c>
      <c r="HC17" t="s">
        <v>366</v>
      </c>
      <c r="HD17" s="1" t="b">
        <v>1</v>
      </c>
      <c r="HE17">
        <v>1200</v>
      </c>
      <c r="HF17" s="1" t="b">
        <v>0</v>
      </c>
      <c r="HG17" s="1">
        <v>0</v>
      </c>
      <c r="HH17" s="1">
        <v>0</v>
      </c>
      <c r="HI17" s="1">
        <v>0</v>
      </c>
      <c r="HJ17" s="1">
        <v>0</v>
      </c>
      <c r="HK17" s="1" t="b">
        <v>0</v>
      </c>
      <c r="HL17">
        <v>0</v>
      </c>
      <c r="HM17" s="1">
        <v>10001</v>
      </c>
      <c r="HN17" t="s">
        <v>367</v>
      </c>
      <c r="HO17" s="1" t="s">
        <v>360</v>
      </c>
      <c r="HP17" s="1">
        <v>0</v>
      </c>
      <c r="HQ17" s="1">
        <v>0</v>
      </c>
      <c r="HR17" s="1">
        <v>0</v>
      </c>
      <c r="HS17">
        <v>0</v>
      </c>
      <c r="HT17" t="b">
        <v>0</v>
      </c>
    </row>
    <row r="18" spans="1:229">
      <c r="A18"/>
      <c r="B18" s="1">
        <f>10000000+INDEX(编号表!$B$1:$B$112,MATCH(D18,编号表!$A$1:$A$112,0))*10000+I18</f>
        <v>10020002</v>
      </c>
      <c r="C18" s="1" t="s">
        <v>361</v>
      </c>
      <c r="D18" s="1" t="s">
        <v>361</v>
      </c>
      <c r="E18" s="1" t="s">
        <v>348</v>
      </c>
      <c r="F18" s="1" t="s">
        <v>362</v>
      </c>
      <c r="G18" s="1" t="b">
        <v>0</v>
      </c>
      <c r="H18" s="1" t="b">
        <v>0</v>
      </c>
      <c r="I18" s="1">
        <v>2</v>
      </c>
      <c r="J18" s="1" t="str">
        <f t="shared" si="0"/>
        <v>100200</v>
      </c>
      <c r="K18" s="1" t="s">
        <v>350</v>
      </c>
      <c r="L18" s="1">
        <f t="shared" ref="L18:L26" si="3">B17</f>
        <v>10020001</v>
      </c>
      <c r="M18" s="1">
        <f t="shared" ref="M18:M25" si="4">B19</f>
        <v>10020003</v>
      </c>
      <c r="N18" s="1" t="s">
        <v>363</v>
      </c>
      <c r="O18" s="1">
        <v>10202001</v>
      </c>
      <c r="P18" s="1">
        <v>0</v>
      </c>
      <c r="Q18" s="1">
        <v>1</v>
      </c>
      <c r="R18" s="1">
        <v>7</v>
      </c>
      <c r="S18">
        <v>0</v>
      </c>
      <c r="T18" s="1">
        <v>100</v>
      </c>
      <c r="U18" t="s">
        <v>364</v>
      </c>
      <c r="V18" s="1">
        <v>500</v>
      </c>
      <c r="W18" s="1">
        <v>0</v>
      </c>
      <c r="X18" s="1" t="inlineStr">
        <is>
          <t xml:space="preserve">目标点</t>
        </is>
      </c>
      <c r="Y18" s="1" t="s">
        <v>365</v>
      </c>
      <c r="Z18" s="1" t="s">
        <v>354</v>
      </c>
      <c r="AA18" s="1">
        <v>0</v>
      </c>
      <c r="AB18" s="1">
        <v>0</v>
      </c>
      <c r="AC18" s="1" t="b">
        <v>0</v>
      </c>
      <c r="AD18" s="1" t="s">
        <v>355</v>
      </c>
      <c r="AE18">
        <v>200</v>
      </c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 s="1" t="s">
        <v>356</v>
      </c>
      <c r="AZ18" s="1">
        <v>10400</v>
      </c>
      <c r="BA18" s="1" t="s">
        <v>357</v>
      </c>
      <c r="BB18" s="1" t="s">
        <v>354</v>
      </c>
      <c r="BC18" s="1">
        <v>10000</v>
      </c>
      <c r="BD18" s="1">
        <v>0</v>
      </c>
      <c r="BE18" s="1" t="s">
        <v>358</v>
      </c>
      <c r="BF18" s="1">
        <v>0</v>
      </c>
      <c r="BG18" s="1" t="s">
        <v>356</v>
      </c>
      <c r="BH18" s="1">
        <v>10000</v>
      </c>
      <c r="BI18" s="1">
        <v>4</v>
      </c>
      <c r="BJ18" s="1" t="b">
        <v>1</v>
      </c>
      <c r="BK18" s="1">
        <v>0</v>
      </c>
      <c r="BL18" s="1">
        <v>10000</v>
      </c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X18" s="1">
        <v>200</v>
      </c>
      <c r="GY18" s="1">
        <v>400</v>
      </c>
      <c r="GZ18" s="1" t="s">
        <v>359</v>
      </c>
      <c r="HA18" s="1">
        <v>0</v>
      </c>
      <c r="HB18">
        <v>30043</v>
      </c>
      <c r="HC18" t="s">
        <v>366</v>
      </c>
      <c r="HD18" s="1" t="b">
        <v>1</v>
      </c>
      <c r="HE18">
        <v>1200</v>
      </c>
      <c r="HF18" s="1" t="b">
        <v>0</v>
      </c>
      <c r="HG18" s="1">
        <v>0</v>
      </c>
      <c r="HH18" s="1">
        <v>0</v>
      </c>
      <c r="HI18" s="1">
        <v>0</v>
      </c>
      <c r="HJ18" s="1">
        <v>0</v>
      </c>
      <c r="HK18" s="1" t="b">
        <v>0</v>
      </c>
      <c r="HL18">
        <v>0</v>
      </c>
      <c r="HM18" s="1">
        <v>10001</v>
      </c>
      <c r="HN18" t="s">
        <v>367</v>
      </c>
      <c r="HO18" s="1" t="s">
        <v>360</v>
      </c>
      <c r="HP18" s="1">
        <v>0</v>
      </c>
      <c r="HQ18" s="1">
        <v>0</v>
      </c>
      <c r="HR18" s="1">
        <v>0</v>
      </c>
      <c r="HS18">
        <v>0</v>
      </c>
      <c r="HT18" t="b">
        <v>0</v>
      </c>
    </row>
    <row r="19" spans="1:229">
      <c r="A19"/>
      <c r="B19" s="1">
        <f>10000000+INDEX(编号表!$B$1:$B$112,MATCH(D19,编号表!$A$1:$A$112,0))*10000+I19</f>
        <v>10020003</v>
      </c>
      <c r="C19" s="1" t="s">
        <v>361</v>
      </c>
      <c r="D19" s="1" t="s">
        <v>361</v>
      </c>
      <c r="E19" s="1" t="s">
        <v>348</v>
      </c>
      <c r="F19" s="1" t="s">
        <v>362</v>
      </c>
      <c r="G19" s="1" t="b">
        <v>0</v>
      </c>
      <c r="H19" s="1" t="b">
        <v>0</v>
      </c>
      <c r="I19" s="1">
        <v>3</v>
      </c>
      <c r="J19" s="1" t="str">
        <f t="shared" si="0"/>
        <v>100200</v>
      </c>
      <c r="K19" s="1" t="s">
        <v>350</v>
      </c>
      <c r="L19" s="1">
        <f t="shared" si="3"/>
        <v>10020002</v>
      </c>
      <c r="M19" s="1">
        <f t="shared" si="4"/>
        <v>10020004</v>
      </c>
      <c r="N19" s="1" t="s">
        <v>363</v>
      </c>
      <c r="O19" s="1">
        <v>10202001</v>
      </c>
      <c r="P19" s="1">
        <v>0</v>
      </c>
      <c r="Q19" s="1">
        <v>2</v>
      </c>
      <c r="R19" s="1">
        <v>11</v>
      </c>
      <c r="S19">
        <v>0</v>
      </c>
      <c r="T19" s="1">
        <v>100</v>
      </c>
      <c r="U19" t="s">
        <v>364</v>
      </c>
      <c r="V19" s="1">
        <v>500</v>
      </c>
      <c r="W19" s="1">
        <v>0</v>
      </c>
      <c r="X19" s="1" t="inlineStr">
        <is>
          <t xml:space="preserve">目标点</t>
        </is>
      </c>
      <c r="Y19" s="1" t="s">
        <v>365</v>
      </c>
      <c r="Z19" s="1" t="s">
        <v>354</v>
      </c>
      <c r="AA19" s="1">
        <v>0</v>
      </c>
      <c r="AB19" s="1">
        <v>0</v>
      </c>
      <c r="AC19" s="1" t="b">
        <v>0</v>
      </c>
      <c r="AD19" s="1" t="s">
        <v>355</v>
      </c>
      <c r="AE19">
        <v>200</v>
      </c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 s="1" t="s">
        <v>356</v>
      </c>
      <c r="AZ19" s="1">
        <v>10800</v>
      </c>
      <c r="BA19" s="1" t="s">
        <v>357</v>
      </c>
      <c r="BB19" s="1" t="s">
        <v>354</v>
      </c>
      <c r="BC19" s="1">
        <v>10000</v>
      </c>
      <c r="BD19" s="1">
        <v>0</v>
      </c>
      <c r="BE19" s="1" t="s">
        <v>358</v>
      </c>
      <c r="BF19" s="1">
        <v>0</v>
      </c>
      <c r="BG19" s="1" t="s">
        <v>356</v>
      </c>
      <c r="BH19" s="1">
        <v>10000</v>
      </c>
      <c r="BI19" s="1">
        <v>5</v>
      </c>
      <c r="BJ19" s="1" t="b">
        <v>1</v>
      </c>
      <c r="BK19" s="1">
        <v>0</v>
      </c>
      <c r="BL19" s="1">
        <v>10000</v>
      </c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X19" s="1">
        <v>200</v>
      </c>
      <c r="GY19" s="1">
        <v>400</v>
      </c>
      <c r="GZ19" s="1" t="s">
        <v>359</v>
      </c>
      <c r="HA19" s="1">
        <v>0</v>
      </c>
      <c r="HB19">
        <v>30043</v>
      </c>
      <c r="HC19" t="s">
        <v>366</v>
      </c>
      <c r="HD19" s="1" t="b">
        <v>1</v>
      </c>
      <c r="HE19">
        <v>1200</v>
      </c>
      <c r="HF19" s="1" t="b">
        <v>0</v>
      </c>
      <c r="HG19" s="1">
        <v>0</v>
      </c>
      <c r="HH19" s="1">
        <v>0</v>
      </c>
      <c r="HI19" s="1">
        <v>0</v>
      </c>
      <c r="HJ19" s="1">
        <v>0</v>
      </c>
      <c r="HK19" s="1" t="b">
        <v>0</v>
      </c>
      <c r="HL19">
        <v>0</v>
      </c>
      <c r="HM19" s="1">
        <v>10001</v>
      </c>
      <c r="HN19" t="s">
        <v>367</v>
      </c>
      <c r="HO19" s="1" t="s">
        <v>360</v>
      </c>
      <c r="HP19" s="1">
        <v>0</v>
      </c>
      <c r="HQ19" s="1">
        <v>0</v>
      </c>
      <c r="HR19" s="1">
        <v>0</v>
      </c>
      <c r="HS19">
        <v>0</v>
      </c>
      <c r="HT19" t="b">
        <v>0</v>
      </c>
    </row>
    <row r="20" spans="1:229">
      <c r="A20"/>
      <c r="B20" s="1">
        <f>10000000+INDEX(编号表!$B$1:$B$112,MATCH(D20,编号表!$A$1:$A$112,0))*10000+I20</f>
        <v>10020004</v>
      </c>
      <c r="C20" s="1" t="s">
        <v>361</v>
      </c>
      <c r="D20" s="1" t="s">
        <v>361</v>
      </c>
      <c r="E20" s="1" t="s">
        <v>348</v>
      </c>
      <c r="F20" s="1" t="s">
        <v>362</v>
      </c>
      <c r="G20" s="1" t="b">
        <v>0</v>
      </c>
      <c r="H20" s="1" t="b">
        <v>0</v>
      </c>
      <c r="I20" s="1">
        <v>4</v>
      </c>
      <c r="J20" s="1" t="str">
        <f t="shared" si="0"/>
        <v>100200</v>
      </c>
      <c r="K20" s="1" t="s">
        <v>350</v>
      </c>
      <c r="L20" s="1">
        <f t="shared" si="3"/>
        <v>10020003</v>
      </c>
      <c r="M20" s="1">
        <f t="shared" si="4"/>
        <v>10020005</v>
      </c>
      <c r="N20" s="1" t="s">
        <v>363</v>
      </c>
      <c r="O20" s="1">
        <v>10202001</v>
      </c>
      <c r="P20" s="1">
        <v>0</v>
      </c>
      <c r="Q20" s="1">
        <v>3</v>
      </c>
      <c r="R20" s="1">
        <v>16</v>
      </c>
      <c r="S20">
        <v>0</v>
      </c>
      <c r="T20" s="1">
        <v>100</v>
      </c>
      <c r="U20" t="s">
        <v>364</v>
      </c>
      <c r="V20" s="1">
        <v>500</v>
      </c>
      <c r="W20" s="1">
        <v>0</v>
      </c>
      <c r="X20" s="1" t="inlineStr">
        <is>
          <t xml:space="preserve">目标点</t>
        </is>
      </c>
      <c r="Y20" s="1" t="s">
        <v>365</v>
      </c>
      <c r="Z20" s="1" t="s">
        <v>354</v>
      </c>
      <c r="AA20" s="1">
        <v>0</v>
      </c>
      <c r="AB20" s="1">
        <v>0</v>
      </c>
      <c r="AC20" s="1" t="b">
        <v>0</v>
      </c>
      <c r="AD20" s="1" t="s">
        <v>355</v>
      </c>
      <c r="AE20">
        <v>200</v>
      </c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 s="1" t="s">
        <v>356</v>
      </c>
      <c r="AZ20" s="1">
        <v>11200</v>
      </c>
      <c r="BA20" s="1" t="s">
        <v>357</v>
      </c>
      <c r="BB20" s="1" t="s">
        <v>354</v>
      </c>
      <c r="BC20" s="1">
        <v>10000</v>
      </c>
      <c r="BD20" s="1">
        <v>0</v>
      </c>
      <c r="BE20" s="1" t="s">
        <v>358</v>
      </c>
      <c r="BF20" s="1">
        <v>0</v>
      </c>
      <c r="BG20" s="1" t="s">
        <v>356</v>
      </c>
      <c r="BH20" s="1">
        <v>10000</v>
      </c>
      <c r="BI20" s="1">
        <v>6</v>
      </c>
      <c r="BJ20" s="1" t="b">
        <v>1</v>
      </c>
      <c r="BK20" s="1">
        <v>0</v>
      </c>
      <c r="BL20" s="1">
        <v>10000</v>
      </c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X20" s="1">
        <v>200</v>
      </c>
      <c r="GY20" s="1">
        <v>400</v>
      </c>
      <c r="GZ20" s="1" t="s">
        <v>359</v>
      </c>
      <c r="HA20" s="1">
        <v>0</v>
      </c>
      <c r="HB20">
        <v>30043</v>
      </c>
      <c r="HC20" t="s">
        <v>366</v>
      </c>
      <c r="HD20" s="1" t="b">
        <v>1</v>
      </c>
      <c r="HE20">
        <v>1200</v>
      </c>
      <c r="HF20" s="1" t="b">
        <v>0</v>
      </c>
      <c r="HG20" s="1">
        <v>0</v>
      </c>
      <c r="HH20" s="1">
        <v>0</v>
      </c>
      <c r="HI20" s="1">
        <v>0</v>
      </c>
      <c r="HJ20" s="1">
        <v>0</v>
      </c>
      <c r="HK20" s="1" t="b">
        <v>0</v>
      </c>
      <c r="HL20">
        <v>0</v>
      </c>
      <c r="HM20" s="1">
        <v>10001</v>
      </c>
      <c r="HN20" t="s">
        <v>367</v>
      </c>
      <c r="HO20" s="1" t="s">
        <v>360</v>
      </c>
      <c r="HP20" s="1">
        <v>0</v>
      </c>
      <c r="HQ20" s="1">
        <v>0</v>
      </c>
      <c r="HR20" s="1">
        <v>0</v>
      </c>
      <c r="HS20">
        <v>0</v>
      </c>
      <c r="HT20" t="b">
        <v>0</v>
      </c>
    </row>
    <row r="21" spans="1:229">
      <c r="A21"/>
      <c r="B21" s="1">
        <f>10000000+INDEX(编号表!$B$1:$B$112,MATCH(D21,编号表!$A$1:$A$112,0))*10000+I21</f>
        <v>10020005</v>
      </c>
      <c r="C21" s="1" t="s">
        <v>361</v>
      </c>
      <c r="D21" s="1" t="s">
        <v>361</v>
      </c>
      <c r="E21" s="1" t="s">
        <v>348</v>
      </c>
      <c r="F21" s="1" t="s">
        <v>362</v>
      </c>
      <c r="G21" s="1" t="b">
        <v>0</v>
      </c>
      <c r="H21" s="1" t="b">
        <v>0</v>
      </c>
      <c r="I21" s="1">
        <v>5</v>
      </c>
      <c r="J21" s="1" t="str">
        <f t="shared" si="0"/>
        <v>100200</v>
      </c>
      <c r="K21" s="1" t="s">
        <v>350</v>
      </c>
      <c r="L21" s="1">
        <f t="shared" si="3"/>
        <v>10020004</v>
      </c>
      <c r="M21" s="1">
        <f t="shared" si="4"/>
        <v>10020006</v>
      </c>
      <c r="N21" s="1" t="s">
        <v>363</v>
      </c>
      <c r="O21" s="1">
        <v>10202001</v>
      </c>
      <c r="P21" s="1">
        <v>0</v>
      </c>
      <c r="Q21" s="1">
        <v>3</v>
      </c>
      <c r="R21" s="1">
        <v>25</v>
      </c>
      <c r="S21">
        <v>0</v>
      </c>
      <c r="T21" s="1">
        <v>100</v>
      </c>
      <c r="U21" t="s">
        <v>364</v>
      </c>
      <c r="V21" s="1">
        <v>500</v>
      </c>
      <c r="W21" s="1">
        <v>0</v>
      </c>
      <c r="X21" s="1" t="inlineStr">
        <is>
          <t xml:space="preserve">目标点</t>
        </is>
      </c>
      <c r="Y21" s="1" t="s">
        <v>365</v>
      </c>
      <c r="Z21" s="1" t="s">
        <v>354</v>
      </c>
      <c r="AA21" s="1">
        <v>0</v>
      </c>
      <c r="AB21" s="1">
        <v>0</v>
      </c>
      <c r="AC21" s="1" t="b">
        <v>0</v>
      </c>
      <c r="AD21" s="1" t="s">
        <v>355</v>
      </c>
      <c r="AE21">
        <v>200</v>
      </c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 s="1" t="s">
        <v>356</v>
      </c>
      <c r="AZ21" s="1">
        <v>11300</v>
      </c>
      <c r="BA21" s="1" t="s">
        <v>357</v>
      </c>
      <c r="BB21" s="1" t="s">
        <v>354</v>
      </c>
      <c r="BC21" s="1">
        <v>10000</v>
      </c>
      <c r="BD21" s="1">
        <v>0</v>
      </c>
      <c r="BE21" s="1" t="s">
        <v>358</v>
      </c>
      <c r="BF21" s="1">
        <v>0</v>
      </c>
      <c r="BG21" s="1" t="s">
        <v>356</v>
      </c>
      <c r="BH21" s="1">
        <v>10000</v>
      </c>
      <c r="BI21" s="1">
        <v>6</v>
      </c>
      <c r="BJ21" s="1" t="b">
        <v>1</v>
      </c>
      <c r="BK21" s="1">
        <v>0</v>
      </c>
      <c r="BL21" s="1">
        <v>10000</v>
      </c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X21" s="1">
        <v>200</v>
      </c>
      <c r="GY21" s="1">
        <v>400</v>
      </c>
      <c r="GZ21" s="1" t="s">
        <v>359</v>
      </c>
      <c r="HA21" s="1">
        <v>0</v>
      </c>
      <c r="HB21">
        <v>30043</v>
      </c>
      <c r="HC21" t="s">
        <v>366</v>
      </c>
      <c r="HD21" s="1" t="b">
        <v>1</v>
      </c>
      <c r="HE21">
        <v>1200</v>
      </c>
      <c r="HF21" s="1" t="b">
        <v>0</v>
      </c>
      <c r="HG21" s="1">
        <v>0</v>
      </c>
      <c r="HH21" s="1">
        <v>0</v>
      </c>
      <c r="HI21" s="1">
        <v>0</v>
      </c>
      <c r="HJ21" s="1">
        <v>0</v>
      </c>
      <c r="HK21" s="1" t="b">
        <v>0</v>
      </c>
      <c r="HL21">
        <v>0</v>
      </c>
      <c r="HM21" s="1">
        <v>10001</v>
      </c>
      <c r="HN21" t="s">
        <v>367</v>
      </c>
      <c r="HO21" s="1" t="s">
        <v>360</v>
      </c>
      <c r="HP21" s="1">
        <v>0</v>
      </c>
      <c r="HQ21" s="1">
        <v>0</v>
      </c>
      <c r="HR21" s="1">
        <v>0</v>
      </c>
      <c r="HS21">
        <v>0</v>
      </c>
      <c r="HT21" t="b">
        <v>0</v>
      </c>
    </row>
    <row r="22" spans="1:229">
      <c r="A22"/>
      <c r="B22" s="1">
        <f>10000000+INDEX(编号表!$B$1:$B$112,MATCH(D22,编号表!$A$1:$A$112,0))*10000+I22</f>
        <v>10020006</v>
      </c>
      <c r="C22" s="1" t="s">
        <v>361</v>
      </c>
      <c r="D22" s="1" t="s">
        <v>361</v>
      </c>
      <c r="E22" s="1" t="s">
        <v>348</v>
      </c>
      <c r="F22" s="1" t="s">
        <v>362</v>
      </c>
      <c r="G22" s="1" t="b">
        <v>0</v>
      </c>
      <c r="H22" s="1" t="b">
        <v>0</v>
      </c>
      <c r="I22" s="1">
        <v>6</v>
      </c>
      <c r="J22" s="1" t="str">
        <f t="shared" si="0"/>
        <v>100200</v>
      </c>
      <c r="K22" s="1" t="s">
        <v>350</v>
      </c>
      <c r="L22" s="1">
        <f t="shared" si="3"/>
        <v>10020005</v>
      </c>
      <c r="M22" s="1">
        <f t="shared" si="4"/>
        <v>10020007</v>
      </c>
      <c r="N22" s="1" t="s">
        <v>363</v>
      </c>
      <c r="O22" s="1">
        <v>10202001</v>
      </c>
      <c r="P22" s="1">
        <v>0</v>
      </c>
      <c r="Q22" s="1">
        <v>3</v>
      </c>
      <c r="R22" s="1">
        <v>30</v>
      </c>
      <c r="S22">
        <v>0</v>
      </c>
      <c r="T22" s="1">
        <v>100</v>
      </c>
      <c r="U22" t="s">
        <v>364</v>
      </c>
      <c r="V22" s="1">
        <v>500</v>
      </c>
      <c r="W22" s="1">
        <v>0</v>
      </c>
      <c r="X22" s="1" t="inlineStr">
        <is>
          <t xml:space="preserve">目标点</t>
        </is>
      </c>
      <c r="Y22" s="1" t="s">
        <v>365</v>
      </c>
      <c r="Z22" s="1" t="s">
        <v>354</v>
      </c>
      <c r="AA22" s="1">
        <v>0</v>
      </c>
      <c r="AB22" s="1">
        <v>0</v>
      </c>
      <c r="AC22" s="1" t="b">
        <v>0</v>
      </c>
      <c r="AD22" s="1" t="s">
        <v>355</v>
      </c>
      <c r="AE22">
        <v>200</v>
      </c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 s="1" t="s">
        <v>356</v>
      </c>
      <c r="AZ22" s="1">
        <v>11600</v>
      </c>
      <c r="BA22" s="1" t="s">
        <v>357</v>
      </c>
      <c r="BB22" s="1" t="s">
        <v>354</v>
      </c>
      <c r="BC22" s="1">
        <v>10000</v>
      </c>
      <c r="BD22" s="1">
        <v>0</v>
      </c>
      <c r="BE22" s="1" t="s">
        <v>358</v>
      </c>
      <c r="BF22" s="1">
        <v>0</v>
      </c>
      <c r="BG22" s="1" t="s">
        <v>356</v>
      </c>
      <c r="BH22" s="1">
        <v>10000</v>
      </c>
      <c r="BI22" s="1">
        <v>7</v>
      </c>
      <c r="BJ22" s="1" t="b">
        <v>1</v>
      </c>
      <c r="BK22" s="1">
        <v>0</v>
      </c>
      <c r="BL22" s="1">
        <v>10000</v>
      </c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X22" s="1">
        <v>200</v>
      </c>
      <c r="GY22" s="1">
        <v>400</v>
      </c>
      <c r="GZ22" s="1" t="s">
        <v>359</v>
      </c>
      <c r="HA22" s="1">
        <v>0</v>
      </c>
      <c r="HB22">
        <v>30043</v>
      </c>
      <c r="HC22" t="s">
        <v>366</v>
      </c>
      <c r="HD22" s="1" t="b">
        <v>1</v>
      </c>
      <c r="HE22">
        <v>1200</v>
      </c>
      <c r="HF22" s="1" t="b">
        <v>0</v>
      </c>
      <c r="HG22" s="1">
        <v>0</v>
      </c>
      <c r="HH22" s="1">
        <v>0</v>
      </c>
      <c r="HI22" s="1">
        <v>0</v>
      </c>
      <c r="HJ22" s="1">
        <v>0</v>
      </c>
      <c r="HK22" s="1" t="b">
        <v>0</v>
      </c>
      <c r="HL22">
        <v>0</v>
      </c>
      <c r="HM22" s="1">
        <v>10001</v>
      </c>
      <c r="HN22" t="s">
        <v>367</v>
      </c>
      <c r="HO22" s="1" t="s">
        <v>360</v>
      </c>
      <c r="HP22" s="1">
        <v>0</v>
      </c>
      <c r="HQ22" s="1">
        <v>0</v>
      </c>
      <c r="HR22" s="1">
        <v>0</v>
      </c>
      <c r="HS22">
        <v>0</v>
      </c>
      <c r="HT22" t="b">
        <v>0</v>
      </c>
    </row>
    <row r="23" spans="1:229">
      <c r="A23"/>
      <c r="B23" s="1">
        <f>10000000+INDEX(编号表!$B$1:$B$112,MATCH(D23,编号表!$A$1:$A$112,0))*10000+I23</f>
        <v>10020007</v>
      </c>
      <c r="C23" s="1" t="s">
        <v>361</v>
      </c>
      <c r="D23" s="1" t="s">
        <v>361</v>
      </c>
      <c r="E23" s="1" t="s">
        <v>348</v>
      </c>
      <c r="F23" s="1" t="s">
        <v>362</v>
      </c>
      <c r="G23" s="1" t="b">
        <v>0</v>
      </c>
      <c r="H23" s="1" t="b">
        <v>0</v>
      </c>
      <c r="I23" s="1">
        <v>7</v>
      </c>
      <c r="J23" s="1" t="str">
        <f t="shared" si="0"/>
        <v>100200</v>
      </c>
      <c r="K23" s="1" t="s">
        <v>350</v>
      </c>
      <c r="L23" s="1">
        <f t="shared" si="3"/>
        <v>10020006</v>
      </c>
      <c r="M23" s="1">
        <f t="shared" si="4"/>
        <v>10020008</v>
      </c>
      <c r="N23" s="1" t="s">
        <v>363</v>
      </c>
      <c r="O23" s="1">
        <v>10202001</v>
      </c>
      <c r="P23" s="1">
        <v>0</v>
      </c>
      <c r="Q23" s="1">
        <v>3</v>
      </c>
      <c r="R23" s="1">
        <v>35</v>
      </c>
      <c r="S23">
        <v>0</v>
      </c>
      <c r="T23" s="1">
        <v>100</v>
      </c>
      <c r="U23" t="s">
        <v>364</v>
      </c>
      <c r="V23" s="1">
        <v>500</v>
      </c>
      <c r="W23" s="1">
        <v>0</v>
      </c>
      <c r="X23" s="1" t="inlineStr">
        <is>
          <t xml:space="preserve">目标点</t>
        </is>
      </c>
      <c r="Y23" s="1" t="s">
        <v>365</v>
      </c>
      <c r="Z23" s="1" t="s">
        <v>354</v>
      </c>
      <c r="AA23" s="1">
        <v>0</v>
      </c>
      <c r="AB23" s="1">
        <v>0</v>
      </c>
      <c r="AC23" s="1" t="b">
        <v>0</v>
      </c>
      <c r="AD23" s="1" t="s">
        <v>355</v>
      </c>
      <c r="AE23">
        <v>200</v>
      </c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 s="1" t="s">
        <v>356</v>
      </c>
      <c r="AZ23" s="1">
        <v>11700</v>
      </c>
      <c r="BA23" s="1" t="s">
        <v>357</v>
      </c>
      <c r="BB23" s="1" t="s">
        <v>354</v>
      </c>
      <c r="BC23" s="1">
        <v>10000</v>
      </c>
      <c r="BD23" s="1">
        <v>0</v>
      </c>
      <c r="BE23" s="1" t="s">
        <v>358</v>
      </c>
      <c r="BF23" s="1">
        <v>0</v>
      </c>
      <c r="BG23" s="1" t="s">
        <v>356</v>
      </c>
      <c r="BH23" s="1">
        <v>10000</v>
      </c>
      <c r="BI23" s="1">
        <v>9</v>
      </c>
      <c r="BJ23" s="1" t="b">
        <v>1</v>
      </c>
      <c r="BK23" s="1">
        <v>0</v>
      </c>
      <c r="BL23" s="1">
        <v>10000</v>
      </c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X23" s="1">
        <v>200</v>
      </c>
      <c r="GY23" s="1">
        <v>400</v>
      </c>
      <c r="GZ23" s="1" t="s">
        <v>359</v>
      </c>
      <c r="HA23" s="1">
        <v>0</v>
      </c>
      <c r="HB23">
        <v>30043</v>
      </c>
      <c r="HC23" t="s">
        <v>366</v>
      </c>
      <c r="HD23" s="1" t="b">
        <v>1</v>
      </c>
      <c r="HE23">
        <v>1200</v>
      </c>
      <c r="HF23" s="1" t="b">
        <v>0</v>
      </c>
      <c r="HG23" s="1">
        <v>0</v>
      </c>
      <c r="HH23" s="1">
        <v>0</v>
      </c>
      <c r="HI23" s="1">
        <v>0</v>
      </c>
      <c r="HJ23" s="1">
        <v>0</v>
      </c>
      <c r="HK23" s="1" t="b">
        <v>0</v>
      </c>
      <c r="HL23">
        <v>0</v>
      </c>
      <c r="HM23" s="1">
        <v>10001</v>
      </c>
      <c r="HN23" t="s">
        <v>367</v>
      </c>
      <c r="HO23" s="1" t="s">
        <v>360</v>
      </c>
      <c r="HP23" s="1">
        <v>0</v>
      </c>
      <c r="HQ23" s="1">
        <v>0</v>
      </c>
      <c r="HR23" s="1">
        <v>0</v>
      </c>
      <c r="HS23">
        <v>0</v>
      </c>
      <c r="HT23" t="b">
        <v>0</v>
      </c>
    </row>
    <row r="24" spans="1:229">
      <c r="A24"/>
      <c r="B24" s="1">
        <f>10000000+INDEX(编号表!$B$1:$B$112,MATCH(D24,编号表!$A$1:$A$112,0))*10000+I24</f>
        <v>10020008</v>
      </c>
      <c r="C24" s="1" t="s">
        <v>361</v>
      </c>
      <c r="D24" s="1" t="s">
        <v>361</v>
      </c>
      <c r="E24" s="1" t="s">
        <v>348</v>
      </c>
      <c r="F24" s="1" t="s">
        <v>362</v>
      </c>
      <c r="G24" s="1" t="b">
        <v>0</v>
      </c>
      <c r="H24" s="1" t="b">
        <v>0</v>
      </c>
      <c r="I24" s="1">
        <v>8</v>
      </c>
      <c r="J24" s="1" t="str">
        <f t="shared" si="0"/>
        <v>100200</v>
      </c>
      <c r="K24" s="1" t="s">
        <v>350</v>
      </c>
      <c r="L24" s="1">
        <f t="shared" si="3"/>
        <v>10020007</v>
      </c>
      <c r="M24" s="1">
        <f t="shared" si="4"/>
        <v>10020009</v>
      </c>
      <c r="N24" s="1" t="s">
        <v>363</v>
      </c>
      <c r="O24" s="1">
        <v>10202001</v>
      </c>
      <c r="P24" s="1">
        <v>0</v>
      </c>
      <c r="Q24" s="1">
        <v>3</v>
      </c>
      <c r="R24" s="1">
        <v>35</v>
      </c>
      <c r="S24">
        <v>0</v>
      </c>
      <c r="T24" s="1">
        <v>100</v>
      </c>
      <c r="U24" t="s">
        <v>364</v>
      </c>
      <c r="V24" s="1">
        <v>500</v>
      </c>
      <c r="W24" s="1">
        <v>0</v>
      </c>
      <c r="X24" s="1" t="inlineStr">
        <is>
          <t xml:space="preserve">目标点</t>
        </is>
      </c>
      <c r="Y24" s="1" t="s">
        <v>365</v>
      </c>
      <c r="Z24" s="1" t="s">
        <v>354</v>
      </c>
      <c r="AA24" s="1">
        <v>0</v>
      </c>
      <c r="AB24" s="1">
        <v>0</v>
      </c>
      <c r="AC24" s="1" t="b">
        <v>0</v>
      </c>
      <c r="AD24" s="1" t="s">
        <v>355</v>
      </c>
      <c r="AE24">
        <v>200</v>
      </c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 s="1" t="s">
        <v>356</v>
      </c>
      <c r="AZ24" s="1">
        <v>11800</v>
      </c>
      <c r="BA24" s="1" t="s">
        <v>357</v>
      </c>
      <c r="BB24" s="1" t="s">
        <v>354</v>
      </c>
      <c r="BC24" s="1">
        <v>10000</v>
      </c>
      <c r="BD24" s="1">
        <v>0</v>
      </c>
      <c r="BE24" s="1" t="s">
        <v>358</v>
      </c>
      <c r="BF24" s="1">
        <v>0</v>
      </c>
      <c r="BG24" s="1" t="s">
        <v>356</v>
      </c>
      <c r="BH24" s="1">
        <v>10000</v>
      </c>
      <c r="BI24" s="1">
        <v>10</v>
      </c>
      <c r="BJ24" s="1" t="b">
        <v>1</v>
      </c>
      <c r="BK24" s="1">
        <v>0</v>
      </c>
      <c r="BL24" s="1">
        <v>10000</v>
      </c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X24" s="1">
        <v>200</v>
      </c>
      <c r="GY24" s="1">
        <v>400</v>
      </c>
      <c r="GZ24" s="1" t="s">
        <v>359</v>
      </c>
      <c r="HA24" s="1">
        <v>0</v>
      </c>
      <c r="HB24">
        <v>30043</v>
      </c>
      <c r="HC24" t="s">
        <v>366</v>
      </c>
      <c r="HD24" s="1" t="b">
        <v>1</v>
      </c>
      <c r="HE24">
        <v>1200</v>
      </c>
      <c r="HF24" s="1" t="b">
        <v>0</v>
      </c>
      <c r="HG24" s="1">
        <v>0</v>
      </c>
      <c r="HH24" s="1">
        <v>0</v>
      </c>
      <c r="HI24" s="1">
        <v>0</v>
      </c>
      <c r="HJ24" s="1">
        <v>0</v>
      </c>
      <c r="HK24" s="1" t="b">
        <v>0</v>
      </c>
      <c r="HL24">
        <v>0</v>
      </c>
      <c r="HM24" s="1">
        <v>10001</v>
      </c>
      <c r="HN24" t="s">
        <v>367</v>
      </c>
      <c r="HO24" s="1" t="s">
        <v>360</v>
      </c>
      <c r="HP24" s="1">
        <v>0</v>
      </c>
      <c r="HQ24" s="1">
        <v>0</v>
      </c>
      <c r="HR24" s="1">
        <v>0</v>
      </c>
      <c r="HS24">
        <v>0</v>
      </c>
      <c r="HT24" t="b">
        <v>0</v>
      </c>
    </row>
    <row r="25" spans="1:229">
      <c r="A25"/>
      <c r="B25" s="1">
        <f>10000000+INDEX(编号表!$B$1:$B$112,MATCH(D25,编号表!$A$1:$A$112,0))*10000+I25</f>
        <v>10020009</v>
      </c>
      <c r="C25" s="1" t="s">
        <v>361</v>
      </c>
      <c r="D25" s="1" t="s">
        <v>361</v>
      </c>
      <c r="E25" s="1" t="s">
        <v>348</v>
      </c>
      <c r="F25" s="1" t="s">
        <v>362</v>
      </c>
      <c r="G25" s="1" t="b">
        <v>0</v>
      </c>
      <c r="H25" s="1" t="b">
        <v>0</v>
      </c>
      <c r="I25" s="1">
        <v>9</v>
      </c>
      <c r="J25" s="1" t="str">
        <f t="shared" si="0"/>
        <v>100200</v>
      </c>
      <c r="K25" s="1" t="s">
        <v>350</v>
      </c>
      <c r="L25" s="1">
        <f t="shared" si="3"/>
        <v>10020008</v>
      </c>
      <c r="M25" s="1">
        <f t="shared" si="4"/>
        <v>10020010</v>
      </c>
      <c r="N25" s="1" t="s">
        <v>363</v>
      </c>
      <c r="O25" s="1">
        <v>10202001</v>
      </c>
      <c r="P25" s="1">
        <v>0</v>
      </c>
      <c r="Q25" s="1">
        <v>3</v>
      </c>
      <c r="R25" s="1">
        <v>40</v>
      </c>
      <c r="S25">
        <v>0</v>
      </c>
      <c r="T25" s="1">
        <v>100</v>
      </c>
      <c r="U25" t="s">
        <v>364</v>
      </c>
      <c r="V25" s="1">
        <v>500</v>
      </c>
      <c r="W25" s="1">
        <v>0</v>
      </c>
      <c r="X25" s="1" t="inlineStr">
        <is>
          <t xml:space="preserve">目标点</t>
        </is>
      </c>
      <c r="Y25" s="1" t="s">
        <v>365</v>
      </c>
      <c r="Z25" s="1" t="s">
        <v>354</v>
      </c>
      <c r="AA25" s="1">
        <v>0</v>
      </c>
      <c r="AB25" s="1">
        <v>0</v>
      </c>
      <c r="AC25" s="1" t="b">
        <v>0</v>
      </c>
      <c r="AD25" s="1" t="s">
        <v>355</v>
      </c>
      <c r="AE25">
        <v>200</v>
      </c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 s="1" t="s">
        <v>356</v>
      </c>
      <c r="AZ25" s="1">
        <v>11900</v>
      </c>
      <c r="BA25" s="1" t="s">
        <v>357</v>
      </c>
      <c r="BB25" s="1" t="s">
        <v>354</v>
      </c>
      <c r="BC25" s="1">
        <v>10000</v>
      </c>
      <c r="BD25" s="1">
        <v>0</v>
      </c>
      <c r="BE25" s="1" t="s">
        <v>358</v>
      </c>
      <c r="BF25" s="1">
        <v>0</v>
      </c>
      <c r="BG25" s="1" t="s">
        <v>356</v>
      </c>
      <c r="BH25" s="1">
        <v>10000</v>
      </c>
      <c r="BI25" s="1">
        <v>12</v>
      </c>
      <c r="BJ25" s="1" t="b">
        <v>1</v>
      </c>
      <c r="BK25" s="1">
        <v>0</v>
      </c>
      <c r="BL25" s="1">
        <v>10000</v>
      </c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X25" s="1">
        <v>200</v>
      </c>
      <c r="GY25" s="1">
        <v>400</v>
      </c>
      <c r="GZ25" s="1" t="s">
        <v>359</v>
      </c>
      <c r="HA25" s="1">
        <v>0</v>
      </c>
      <c r="HB25">
        <v>30043</v>
      </c>
      <c r="HC25" t="s">
        <v>366</v>
      </c>
      <c r="HD25" s="1" t="b">
        <v>1</v>
      </c>
      <c r="HE25">
        <v>1200</v>
      </c>
      <c r="HF25" s="1" t="b">
        <v>0</v>
      </c>
      <c r="HG25" s="1">
        <v>0</v>
      </c>
      <c r="HH25" s="1">
        <v>0</v>
      </c>
      <c r="HI25" s="1">
        <v>0</v>
      </c>
      <c r="HJ25" s="1">
        <v>0</v>
      </c>
      <c r="HK25" s="1" t="b">
        <v>0</v>
      </c>
      <c r="HL25">
        <v>0</v>
      </c>
      <c r="HM25" s="1">
        <v>10001</v>
      </c>
      <c r="HN25" t="s">
        <v>367</v>
      </c>
      <c r="HO25" s="1" t="s">
        <v>360</v>
      </c>
      <c r="HP25" s="1">
        <v>0</v>
      </c>
      <c r="HQ25" s="1">
        <v>0</v>
      </c>
      <c r="HR25" s="1">
        <v>0</v>
      </c>
      <c r="HS25">
        <v>0</v>
      </c>
      <c r="HT25" t="b">
        <v>0</v>
      </c>
    </row>
    <row r="26" spans="1:229">
      <c r="A26"/>
      <c r="B26" s="1">
        <f>10000000+INDEX(编号表!$B$1:$B$112,MATCH(D26,编号表!$A$1:$A$112,0))*10000+I26</f>
        <v>10020010</v>
      </c>
      <c r="C26" s="1" t="s">
        <v>361</v>
      </c>
      <c r="D26" s="1" t="s">
        <v>361</v>
      </c>
      <c r="E26" s="1" t="s">
        <v>348</v>
      </c>
      <c r="F26" s="1" t="s">
        <v>362</v>
      </c>
      <c r="G26" s="1" t="b">
        <v>0</v>
      </c>
      <c r="H26" s="1" t="b">
        <v>0</v>
      </c>
      <c r="I26" s="1">
        <v>10</v>
      </c>
      <c r="J26" s="1" t="str">
        <f t="shared" si="0"/>
        <v>100200</v>
      </c>
      <c r="K26" s="1" t="s">
        <v>350</v>
      </c>
      <c r="L26" s="1">
        <f t="shared" si="3"/>
        <v>10020009</v>
      </c>
      <c r="M26">
        <v>0</v>
      </c>
      <c r="N26" s="1" t="s">
        <v>363</v>
      </c>
      <c r="O26" s="1">
        <v>10202001</v>
      </c>
      <c r="P26" s="1">
        <v>0</v>
      </c>
      <c r="Q26" s="1">
        <v>3</v>
      </c>
      <c r="R26" s="1">
        <v>40</v>
      </c>
      <c r="S26">
        <v>0</v>
      </c>
      <c r="T26" s="1">
        <v>0</v>
      </c>
      <c r="U26" t="s">
        <v>364</v>
      </c>
      <c r="V26" s="1">
        <v>500</v>
      </c>
      <c r="W26" s="1">
        <v>0</v>
      </c>
      <c r="X26" s="1" t="inlineStr">
        <is>
          <t xml:space="preserve">目标点</t>
        </is>
      </c>
      <c r="Y26" s="1" t="s">
        <v>365</v>
      </c>
      <c r="Z26" s="1" t="s">
        <v>354</v>
      </c>
      <c r="AA26" s="1">
        <v>0</v>
      </c>
      <c r="AB26" s="1">
        <v>0</v>
      </c>
      <c r="AC26" s="1" t="b">
        <v>0</v>
      </c>
      <c r="AD26" s="1" t="s">
        <v>355</v>
      </c>
      <c r="AE26">
        <v>200</v>
      </c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 s="1" t="s">
        <v>356</v>
      </c>
      <c r="AZ26" s="1">
        <v>12000</v>
      </c>
      <c r="BA26" s="1" t="s">
        <v>357</v>
      </c>
      <c r="BB26" s="1" t="s">
        <v>354</v>
      </c>
      <c r="BC26" s="1">
        <v>10000</v>
      </c>
      <c r="BD26" s="1">
        <v>0</v>
      </c>
      <c r="BE26" s="1" t="s">
        <v>358</v>
      </c>
      <c r="BF26" s="1">
        <v>0</v>
      </c>
      <c r="BG26" s="1" t="s">
        <v>356</v>
      </c>
      <c r="BH26" s="1">
        <v>10000</v>
      </c>
      <c r="BI26" s="1">
        <v>15</v>
      </c>
      <c r="BJ26" s="1" t="b">
        <v>1</v>
      </c>
      <c r="BK26" s="1">
        <v>0</v>
      </c>
      <c r="BL26" s="1">
        <v>10000</v>
      </c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X26" s="1">
        <v>200</v>
      </c>
      <c r="GY26" s="1">
        <v>400</v>
      </c>
      <c r="GZ26" s="1" t="s">
        <v>359</v>
      </c>
      <c r="HA26" s="1">
        <v>0</v>
      </c>
      <c r="HB26">
        <v>30043</v>
      </c>
      <c r="HC26" t="s">
        <v>366</v>
      </c>
      <c r="HD26" s="1" t="b">
        <v>1</v>
      </c>
      <c r="HE26">
        <v>1200</v>
      </c>
      <c r="HF26" s="1" t="b">
        <v>0</v>
      </c>
      <c r="HG26" s="1">
        <v>0</v>
      </c>
      <c r="HH26" s="1">
        <v>0</v>
      </c>
      <c r="HI26" s="1">
        <v>0</v>
      </c>
      <c r="HJ26" s="1">
        <v>0</v>
      </c>
      <c r="HK26" s="1" t="b">
        <v>0</v>
      </c>
      <c r="HL26">
        <v>0</v>
      </c>
      <c r="HM26" s="1">
        <v>10001</v>
      </c>
      <c r="HN26" t="s">
        <v>367</v>
      </c>
      <c r="HO26" s="1" t="s">
        <v>360</v>
      </c>
      <c r="HP26" s="1">
        <v>0</v>
      </c>
      <c r="HQ26" s="1">
        <v>0</v>
      </c>
      <c r="HR26" s="1">
        <v>0</v>
      </c>
      <c r="HS26">
        <v>0</v>
      </c>
      <c r="HT26" t="b">
        <v>0</v>
      </c>
    </row>
    <row r="27" spans="1:229">
      <c r="A27"/>
      <c r="B27" s="1">
        <f>10000000+INDEX(编号表!$B$1:$B$112,MATCH(D27,编号表!$A$1:$A$112,0))*10000+I27</f>
        <v>10030001</v>
      </c>
      <c r="C27" s="1" t="s">
        <v>368</v>
      </c>
      <c r="D27" s="1" t="s">
        <v>368</v>
      </c>
      <c r="E27" s="1" t="s">
        <v>348</v>
      </c>
      <c r="F27" s="1" t="s">
        <v>362</v>
      </c>
      <c r="G27" s="1" t="b">
        <v>0</v>
      </c>
      <c r="H27" s="1" t="b">
        <v>0</v>
      </c>
      <c r="I27" s="1">
        <v>1</v>
      </c>
      <c r="J27" s="1" t="str">
        <f t="shared" si="0"/>
        <v>100300</v>
      </c>
      <c r="K27" s="1" t="s">
        <v>350</v>
      </c>
      <c r="L27">
        <v>0</v>
      </c>
      <c r="M27" s="1">
        <f t="shared" ref="M27:M35" si="5">B28</f>
        <v>10030002</v>
      </c>
      <c r="N27" s="1" t="s">
        <v>369</v>
      </c>
      <c r="O27" s="1">
        <v>10202002</v>
      </c>
      <c r="P27" s="1">
        <v>0</v>
      </c>
      <c r="Q27" s="1">
        <v>0</v>
      </c>
      <c r="R27" s="1">
        <v>1</v>
      </c>
      <c r="S27">
        <v>0</v>
      </c>
      <c r="T27" s="1">
        <v>100</v>
      </c>
      <c r="U27" t="s">
        <v>364</v>
      </c>
      <c r="V27" s="1">
        <v>0</v>
      </c>
      <c r="W27" s="1">
        <v>0</v>
      </c>
      <c r="X27" s="1" t="s">
        <v>370</v>
      </c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 s="1" t="s">
        <v>356</v>
      </c>
      <c r="AZ27" s="1">
        <v>10000</v>
      </c>
      <c r="BA27" s="1" t="s">
        <v>371</v>
      </c>
      <c r="BB27" s="1" t="s">
        <v>354</v>
      </c>
      <c r="BC27" s="1">
        <v>10000</v>
      </c>
      <c r="BD27" s="1">
        <v>0</v>
      </c>
      <c r="BE27" s="1" t="s">
        <v>358</v>
      </c>
      <c r="BF27" s="1">
        <v>0</v>
      </c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>
        <v>30057</v>
      </c>
      <c r="CG27" t="s">
        <v>372</v>
      </c>
      <c r="CH27">
        <v>900</v>
      </c>
      <c r="CI27">
        <v>80</v>
      </c>
      <c r="CJ27" t="s">
        <v>373</v>
      </c>
      <c r="CK27">
        <v>1</v>
      </c>
      <c r="CL27">
        <v>0</v>
      </c>
      <c r="CM27">
        <v>1</v>
      </c>
      <c r="CN27">
        <v>320</v>
      </c>
      <c r="CO27">
        <v>65</v>
      </c>
      <c r="CP27">
        <v>0</v>
      </c>
      <c r="CQ27">
        <v>0</v>
      </c>
      <c r="CR27">
        <v>10380001</v>
      </c>
      <c r="CS27">
        <v>0</v>
      </c>
      <c r="CT27">
        <v>0</v>
      </c>
      <c r="CU27">
        <v>0</v>
      </c>
      <c r="CV27" t="s">
        <v>355</v>
      </c>
      <c r="CW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 s="1">
        <v>200</v>
      </c>
      <c r="GY27" s="1">
        <v>400</v>
      </c>
      <c r="GZ27" s="1" t="s">
        <v>359</v>
      </c>
      <c r="HA27" s="1">
        <v>0</v>
      </c>
      <c r="HB27" t="s">
        <v>366</v>
      </c>
      <c r="HC27" t="s">
        <v>366</v>
      </c>
      <c r="HD27" s="1" t="b">
        <v>1</v>
      </c>
      <c r="HE27">
        <v>2500</v>
      </c>
      <c r="HF27" s="1" t="b">
        <v>0</v>
      </c>
      <c r="HG27" s="1">
        <v>0</v>
      </c>
      <c r="HH27" s="1">
        <v>0</v>
      </c>
      <c r="HI27" s="1">
        <v>0</v>
      </c>
      <c r="HJ27" s="1">
        <v>0</v>
      </c>
      <c r="HK27" s="1" t="b">
        <v>0</v>
      </c>
      <c r="HL27">
        <v>0</v>
      </c>
      <c r="HM27" s="1">
        <v>10001</v>
      </c>
      <c r="HN27" t="s">
        <v>367</v>
      </c>
      <c r="HO27" s="1" t="s">
        <v>360</v>
      </c>
      <c r="HP27" s="1">
        <v>0</v>
      </c>
      <c r="HQ27" s="1">
        <v>0</v>
      </c>
      <c r="HR27" s="1">
        <v>0</v>
      </c>
      <c r="HS27">
        <v>0</v>
      </c>
      <c r="HT27" t="b">
        <v>0</v>
      </c>
      <c r="HU27">
        <v>0</v>
      </c>
    </row>
    <row r="28" spans="1:229">
      <c r="A28"/>
      <c r="B28" s="1">
        <f>10000000+INDEX(编号表!$B$1:$B$112,MATCH(D28,编号表!$A$1:$A$112,0))*10000+I28</f>
        <v>10030002</v>
      </c>
      <c r="C28" s="1" t="s">
        <v>368</v>
      </c>
      <c r="D28" s="1" t="s">
        <v>368</v>
      </c>
      <c r="E28" s="1" t="s">
        <v>348</v>
      </c>
      <c r="F28" s="1" t="s">
        <v>362</v>
      </c>
      <c r="G28" s="1" t="b">
        <v>0</v>
      </c>
      <c r="H28" s="1" t="b">
        <v>0</v>
      </c>
      <c r="I28" s="1">
        <v>2</v>
      </c>
      <c r="J28" s="1" t="str">
        <f t="shared" si="0"/>
        <v>100300</v>
      </c>
      <c r="K28" s="1" t="s">
        <v>350</v>
      </c>
      <c r="L28" s="1">
        <f t="shared" ref="L28:L36" si="6">B27</f>
        <v>10030001</v>
      </c>
      <c r="M28" s="1">
        <f t="shared" si="5"/>
        <v>10030003</v>
      </c>
      <c r="N28" s="1" t="s">
        <v>369</v>
      </c>
      <c r="O28" s="1">
        <v>10202002</v>
      </c>
      <c r="P28" s="1">
        <v>0</v>
      </c>
      <c r="Q28" s="1">
        <v>1</v>
      </c>
      <c r="R28" s="1">
        <v>7</v>
      </c>
      <c r="S28">
        <v>0</v>
      </c>
      <c r="T28" s="1">
        <v>100</v>
      </c>
      <c r="U28" t="s">
        <v>364</v>
      </c>
      <c r="V28" s="1">
        <v>0</v>
      </c>
      <c r="W28" s="1">
        <v>0</v>
      </c>
      <c r="X28" s="1" t="s">
        <v>370</v>
      </c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 s="1" t="s">
        <v>356</v>
      </c>
      <c r="AZ28" s="1">
        <v>10400</v>
      </c>
      <c r="BA28" s="1" t="s">
        <v>371</v>
      </c>
      <c r="BB28" s="1" t="s">
        <v>354</v>
      </c>
      <c r="BC28" s="1">
        <v>10000</v>
      </c>
      <c r="BD28" s="1">
        <v>0</v>
      </c>
      <c r="BE28" s="1" t="s">
        <v>358</v>
      </c>
      <c r="BF28" s="1">
        <v>0</v>
      </c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>
        <v>30057</v>
      </c>
      <c r="CG28" t="s">
        <v>372</v>
      </c>
      <c r="CH28">
        <v>900</v>
      </c>
      <c r="CI28">
        <v>80</v>
      </c>
      <c r="CJ28" t="s">
        <v>373</v>
      </c>
      <c r="CK28">
        <v>1</v>
      </c>
      <c r="CL28">
        <v>0</v>
      </c>
      <c r="CM28">
        <v>1</v>
      </c>
      <c r="CN28">
        <v>320</v>
      </c>
      <c r="CO28">
        <v>65</v>
      </c>
      <c r="CP28">
        <v>0</v>
      </c>
      <c r="CQ28">
        <v>0</v>
      </c>
      <c r="CR28">
        <v>10380002</v>
      </c>
      <c r="CS28">
        <v>0</v>
      </c>
      <c r="CT28">
        <v>0</v>
      </c>
      <c r="CU28">
        <v>0</v>
      </c>
      <c r="CV28" t="s">
        <v>355</v>
      </c>
      <c r="CW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 s="1">
        <v>200</v>
      </c>
      <c r="GY28" s="1">
        <v>400</v>
      </c>
      <c r="GZ28" s="1" t="s">
        <v>359</v>
      </c>
      <c r="HA28" s="1">
        <v>0</v>
      </c>
      <c r="HB28" t="s">
        <v>366</v>
      </c>
      <c r="HC28" t="s">
        <v>366</v>
      </c>
      <c r="HD28" s="1" t="b">
        <v>1</v>
      </c>
      <c r="HE28">
        <v>2500</v>
      </c>
      <c r="HF28" s="1" t="b">
        <v>0</v>
      </c>
      <c r="HG28" s="1">
        <v>0</v>
      </c>
      <c r="HH28" s="1">
        <v>0</v>
      </c>
      <c r="HI28" s="1">
        <v>0</v>
      </c>
      <c r="HJ28" s="1">
        <v>0</v>
      </c>
      <c r="HK28" s="1" t="b">
        <v>0</v>
      </c>
      <c r="HL28">
        <v>0</v>
      </c>
      <c r="HM28" s="1">
        <v>10001</v>
      </c>
      <c r="HN28" t="s">
        <v>367</v>
      </c>
      <c r="HO28" s="1" t="s">
        <v>360</v>
      </c>
      <c r="HP28" s="1">
        <v>0</v>
      </c>
      <c r="HQ28" s="1">
        <v>0</v>
      </c>
      <c r="HR28" s="1">
        <v>0</v>
      </c>
      <c r="HS28">
        <v>0</v>
      </c>
      <c r="HT28" t="b">
        <v>0</v>
      </c>
      <c r="HU28">
        <v>0</v>
      </c>
    </row>
    <row r="29" spans="1:229">
      <c r="A29"/>
      <c r="B29" s="1">
        <f>10000000+INDEX(编号表!$B$1:$B$112,MATCH(D29,编号表!$A$1:$A$112,0))*10000+I29</f>
        <v>10030003</v>
      </c>
      <c r="C29" s="1" t="s">
        <v>368</v>
      </c>
      <c r="D29" s="1" t="s">
        <v>368</v>
      </c>
      <c r="E29" s="1" t="s">
        <v>348</v>
      </c>
      <c r="F29" s="1" t="s">
        <v>362</v>
      </c>
      <c r="G29" s="1" t="b">
        <v>0</v>
      </c>
      <c r="H29" s="1" t="b">
        <v>0</v>
      </c>
      <c r="I29" s="1">
        <v>3</v>
      </c>
      <c r="J29" s="1" t="str">
        <f t="shared" si="0"/>
        <v>100300</v>
      </c>
      <c r="K29" s="1" t="s">
        <v>350</v>
      </c>
      <c r="L29" s="1">
        <f t="shared" si="6"/>
        <v>10030002</v>
      </c>
      <c r="M29" s="1">
        <f t="shared" si="5"/>
        <v>10030004</v>
      </c>
      <c r="N29" s="1" t="s">
        <v>369</v>
      </c>
      <c r="O29" s="1">
        <v>10202002</v>
      </c>
      <c r="P29" s="1">
        <v>0</v>
      </c>
      <c r="Q29" s="1">
        <v>2</v>
      </c>
      <c r="R29" s="1">
        <v>11</v>
      </c>
      <c r="S29">
        <v>0</v>
      </c>
      <c r="T29" s="1">
        <v>100</v>
      </c>
      <c r="U29" t="s">
        <v>364</v>
      </c>
      <c r="V29" s="1">
        <v>0</v>
      </c>
      <c r="W29" s="1">
        <v>0</v>
      </c>
      <c r="X29" s="1" t="s">
        <v>370</v>
      </c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 s="1" t="s">
        <v>356</v>
      </c>
      <c r="AZ29" s="1">
        <v>10800</v>
      </c>
      <c r="BA29" s="1" t="s">
        <v>371</v>
      </c>
      <c r="BB29" s="1" t="s">
        <v>354</v>
      </c>
      <c r="BC29" s="1">
        <v>10000</v>
      </c>
      <c r="BD29" s="1">
        <v>0</v>
      </c>
      <c r="BE29" s="1" t="s">
        <v>358</v>
      </c>
      <c r="BF29" s="1">
        <v>0</v>
      </c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>
        <v>30057</v>
      </c>
      <c r="CG29" t="s">
        <v>372</v>
      </c>
      <c r="CH29">
        <v>900</v>
      </c>
      <c r="CI29">
        <v>80</v>
      </c>
      <c r="CJ29" t="s">
        <v>373</v>
      </c>
      <c r="CK29">
        <v>1</v>
      </c>
      <c r="CL29">
        <v>0</v>
      </c>
      <c r="CM29">
        <v>1</v>
      </c>
      <c r="CN29">
        <v>320</v>
      </c>
      <c r="CO29">
        <v>65</v>
      </c>
      <c r="CP29">
        <v>0</v>
      </c>
      <c r="CQ29">
        <v>0</v>
      </c>
      <c r="CR29">
        <v>10380003</v>
      </c>
      <c r="CS29">
        <v>0</v>
      </c>
      <c r="CT29">
        <v>0</v>
      </c>
      <c r="CU29">
        <v>0</v>
      </c>
      <c r="CV29" t="s">
        <v>355</v>
      </c>
      <c r="CW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 s="1">
        <v>200</v>
      </c>
      <c r="GY29" s="1">
        <v>400</v>
      </c>
      <c r="GZ29" s="1" t="s">
        <v>359</v>
      </c>
      <c r="HA29" s="1">
        <v>0</v>
      </c>
      <c r="HB29" t="s">
        <v>366</v>
      </c>
      <c r="HC29" t="s">
        <v>366</v>
      </c>
      <c r="HD29" s="1" t="b">
        <v>1</v>
      </c>
      <c r="HE29">
        <v>2500</v>
      </c>
      <c r="HF29" s="1" t="b">
        <v>0</v>
      </c>
      <c r="HG29" s="1">
        <v>0</v>
      </c>
      <c r="HH29" s="1">
        <v>0</v>
      </c>
      <c r="HI29" s="1">
        <v>0</v>
      </c>
      <c r="HJ29" s="1">
        <v>0</v>
      </c>
      <c r="HK29" s="1" t="b">
        <v>0</v>
      </c>
      <c r="HL29">
        <v>0</v>
      </c>
      <c r="HM29" s="1">
        <v>10001</v>
      </c>
      <c r="HN29" t="s">
        <v>367</v>
      </c>
      <c r="HO29" s="1" t="s">
        <v>360</v>
      </c>
      <c r="HP29" s="1">
        <v>0</v>
      </c>
      <c r="HQ29" s="1">
        <v>0</v>
      </c>
      <c r="HR29" s="1">
        <v>0</v>
      </c>
      <c r="HS29">
        <v>0</v>
      </c>
      <c r="HT29" t="b">
        <v>0</v>
      </c>
      <c r="HU29">
        <v>0</v>
      </c>
    </row>
    <row r="30" spans="1:229">
      <c r="A30"/>
      <c r="B30" s="1">
        <f>10000000+INDEX(编号表!$B$1:$B$112,MATCH(D30,编号表!$A$1:$A$112,0))*10000+I30</f>
        <v>10030004</v>
      </c>
      <c r="C30" s="1" t="s">
        <v>368</v>
      </c>
      <c r="D30" s="1" t="s">
        <v>368</v>
      </c>
      <c r="E30" s="1" t="s">
        <v>348</v>
      </c>
      <c r="F30" s="1" t="s">
        <v>362</v>
      </c>
      <c r="G30" s="1" t="b">
        <v>0</v>
      </c>
      <c r="H30" s="1" t="b">
        <v>0</v>
      </c>
      <c r="I30" s="1">
        <v>4</v>
      </c>
      <c r="J30" s="1" t="str">
        <f t="shared" si="0"/>
        <v>100300</v>
      </c>
      <c r="K30" s="1" t="s">
        <v>350</v>
      </c>
      <c r="L30" s="1">
        <f t="shared" si="6"/>
        <v>10030003</v>
      </c>
      <c r="M30" s="1">
        <f t="shared" si="5"/>
        <v>10030005</v>
      </c>
      <c r="N30" s="1" t="s">
        <v>369</v>
      </c>
      <c r="O30" s="1">
        <v>10202002</v>
      </c>
      <c r="P30" s="1">
        <v>0</v>
      </c>
      <c r="Q30" s="1">
        <v>3</v>
      </c>
      <c r="R30" s="1">
        <v>16</v>
      </c>
      <c r="S30">
        <v>0</v>
      </c>
      <c r="T30" s="1">
        <v>100</v>
      </c>
      <c r="U30" t="s">
        <v>364</v>
      </c>
      <c r="V30" s="1">
        <v>0</v>
      </c>
      <c r="W30" s="1">
        <v>0</v>
      </c>
      <c r="X30" s="1" t="s">
        <v>370</v>
      </c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 s="1" t="s">
        <v>356</v>
      </c>
      <c r="AZ30" s="1">
        <v>11200</v>
      </c>
      <c r="BA30" s="1" t="s">
        <v>371</v>
      </c>
      <c r="BB30" s="1" t="s">
        <v>354</v>
      </c>
      <c r="BC30" s="1">
        <v>10000</v>
      </c>
      <c r="BD30" s="1">
        <v>0</v>
      </c>
      <c r="BE30" s="1" t="s">
        <v>358</v>
      </c>
      <c r="BF30" s="1">
        <v>0</v>
      </c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>
        <v>30057</v>
      </c>
      <c r="CG30" t="s">
        <v>372</v>
      </c>
      <c r="CH30">
        <v>900</v>
      </c>
      <c r="CI30">
        <v>80</v>
      </c>
      <c r="CJ30" t="s">
        <v>373</v>
      </c>
      <c r="CK30">
        <v>1</v>
      </c>
      <c r="CL30">
        <v>0</v>
      </c>
      <c r="CM30">
        <v>1</v>
      </c>
      <c r="CN30">
        <v>320</v>
      </c>
      <c r="CO30">
        <v>65</v>
      </c>
      <c r="CP30">
        <v>0</v>
      </c>
      <c r="CQ30">
        <v>0</v>
      </c>
      <c r="CR30">
        <v>10380004</v>
      </c>
      <c r="CS30">
        <v>0</v>
      </c>
      <c r="CT30">
        <v>0</v>
      </c>
      <c r="CU30">
        <v>0</v>
      </c>
      <c r="CV30" t="s">
        <v>355</v>
      </c>
      <c r="CW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 s="1">
        <v>200</v>
      </c>
      <c r="GY30" s="1">
        <v>400</v>
      </c>
      <c r="GZ30" s="1" t="s">
        <v>359</v>
      </c>
      <c r="HA30" s="1">
        <v>0</v>
      </c>
      <c r="HB30" t="s">
        <v>366</v>
      </c>
      <c r="HC30" t="s">
        <v>366</v>
      </c>
      <c r="HD30" s="1" t="b">
        <v>1</v>
      </c>
      <c r="HE30">
        <v>2500</v>
      </c>
      <c r="HF30" s="1" t="b">
        <v>0</v>
      </c>
      <c r="HG30" s="1">
        <v>0</v>
      </c>
      <c r="HH30" s="1">
        <v>0</v>
      </c>
      <c r="HI30" s="1">
        <v>0</v>
      </c>
      <c r="HJ30" s="1">
        <v>0</v>
      </c>
      <c r="HK30" s="1" t="b">
        <v>0</v>
      </c>
      <c r="HL30">
        <v>0</v>
      </c>
      <c r="HM30" s="1">
        <v>10001</v>
      </c>
      <c r="HN30" t="s">
        <v>367</v>
      </c>
      <c r="HO30" s="1" t="s">
        <v>360</v>
      </c>
      <c r="HP30" s="1">
        <v>0</v>
      </c>
      <c r="HQ30" s="1">
        <v>0</v>
      </c>
      <c r="HR30" s="1">
        <v>0</v>
      </c>
      <c r="HS30">
        <v>0</v>
      </c>
      <c r="HT30" t="b">
        <v>0</v>
      </c>
      <c r="HU30">
        <v>0</v>
      </c>
    </row>
    <row r="31" spans="1:229">
      <c r="A31"/>
      <c r="B31" s="1">
        <f>10000000+INDEX(编号表!$B$1:$B$112,MATCH(D31,编号表!$A$1:$A$112,0))*10000+I31</f>
        <v>10030005</v>
      </c>
      <c r="C31" s="1" t="s">
        <v>368</v>
      </c>
      <c r="D31" s="1" t="s">
        <v>368</v>
      </c>
      <c r="E31" s="1" t="s">
        <v>348</v>
      </c>
      <c r="F31" s="1" t="s">
        <v>362</v>
      </c>
      <c r="G31" s="1" t="b">
        <v>0</v>
      </c>
      <c r="H31" s="1" t="b">
        <v>0</v>
      </c>
      <c r="I31" s="1">
        <v>5</v>
      </c>
      <c r="J31" s="1" t="str">
        <f t="shared" si="0"/>
        <v>100300</v>
      </c>
      <c r="K31" s="1" t="s">
        <v>350</v>
      </c>
      <c r="L31" s="1">
        <f t="shared" si="6"/>
        <v>10030004</v>
      </c>
      <c r="M31" s="1">
        <f t="shared" si="5"/>
        <v>10030006</v>
      </c>
      <c r="N31" s="1" t="s">
        <v>369</v>
      </c>
      <c r="O31" s="1">
        <v>10202002</v>
      </c>
      <c r="P31" s="1">
        <v>0</v>
      </c>
      <c r="Q31" s="1">
        <v>3</v>
      </c>
      <c r="R31" s="1">
        <v>25</v>
      </c>
      <c r="S31">
        <v>0</v>
      </c>
      <c r="T31" s="1">
        <v>100</v>
      </c>
      <c r="U31" t="s">
        <v>364</v>
      </c>
      <c r="V31" s="1">
        <v>0</v>
      </c>
      <c r="W31" s="1">
        <v>0</v>
      </c>
      <c r="X31" s="1" t="s">
        <v>370</v>
      </c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 s="1" t="s">
        <v>356</v>
      </c>
      <c r="AZ31" s="1">
        <v>11300</v>
      </c>
      <c r="BA31" s="1" t="s">
        <v>371</v>
      </c>
      <c r="BB31" s="1" t="s">
        <v>354</v>
      </c>
      <c r="BC31" s="1">
        <v>10000</v>
      </c>
      <c r="BD31" s="1">
        <v>0</v>
      </c>
      <c r="BE31" s="1" t="s">
        <v>358</v>
      </c>
      <c r="BF31" s="1">
        <v>0</v>
      </c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>
        <v>30057</v>
      </c>
      <c r="CG31" t="s">
        <v>372</v>
      </c>
      <c r="CH31">
        <v>900</v>
      </c>
      <c r="CI31">
        <v>80</v>
      </c>
      <c r="CJ31" t="s">
        <v>373</v>
      </c>
      <c r="CK31">
        <v>1</v>
      </c>
      <c r="CL31">
        <v>0</v>
      </c>
      <c r="CM31">
        <v>1</v>
      </c>
      <c r="CN31">
        <v>320</v>
      </c>
      <c r="CO31">
        <v>65</v>
      </c>
      <c r="CP31">
        <v>0</v>
      </c>
      <c r="CQ31">
        <v>0</v>
      </c>
      <c r="CR31">
        <v>10380005</v>
      </c>
      <c r="CS31">
        <v>0</v>
      </c>
      <c r="CT31">
        <v>0</v>
      </c>
      <c r="CU31">
        <v>0</v>
      </c>
      <c r="CV31" t="s">
        <v>355</v>
      </c>
      <c r="CW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 s="1">
        <v>200</v>
      </c>
      <c r="GY31" s="1">
        <v>400</v>
      </c>
      <c r="GZ31" s="1" t="s">
        <v>359</v>
      </c>
      <c r="HA31" s="1">
        <v>0</v>
      </c>
      <c r="HB31" t="s">
        <v>366</v>
      </c>
      <c r="HC31" t="s">
        <v>366</v>
      </c>
      <c r="HD31" s="1" t="b">
        <v>1</v>
      </c>
      <c r="HE31">
        <v>2500</v>
      </c>
      <c r="HF31" s="1" t="b">
        <v>0</v>
      </c>
      <c r="HG31" s="1">
        <v>0</v>
      </c>
      <c r="HH31" s="1">
        <v>0</v>
      </c>
      <c r="HI31" s="1">
        <v>0</v>
      </c>
      <c r="HJ31" s="1">
        <v>0</v>
      </c>
      <c r="HK31" s="1" t="b">
        <v>0</v>
      </c>
      <c r="HL31">
        <v>0</v>
      </c>
      <c r="HM31" s="1">
        <v>10001</v>
      </c>
      <c r="HN31" t="s">
        <v>367</v>
      </c>
      <c r="HO31" s="1" t="s">
        <v>360</v>
      </c>
      <c r="HP31" s="1">
        <v>0</v>
      </c>
      <c r="HQ31" s="1">
        <v>0</v>
      </c>
      <c r="HR31" s="1">
        <v>0</v>
      </c>
      <c r="HS31">
        <v>0</v>
      </c>
      <c r="HT31" t="b">
        <v>0</v>
      </c>
      <c r="HU31">
        <v>0</v>
      </c>
    </row>
    <row r="32" spans="1:229">
      <c r="A32"/>
      <c r="B32" s="1">
        <f>10000000+INDEX(编号表!$B$1:$B$112,MATCH(D32,编号表!$A$1:$A$112,0))*10000+I32</f>
        <v>10030006</v>
      </c>
      <c r="C32" s="1" t="s">
        <v>368</v>
      </c>
      <c r="D32" s="1" t="s">
        <v>368</v>
      </c>
      <c r="E32" s="1" t="s">
        <v>348</v>
      </c>
      <c r="F32" s="1" t="s">
        <v>362</v>
      </c>
      <c r="G32" s="1" t="b">
        <v>0</v>
      </c>
      <c r="H32" s="1" t="b">
        <v>0</v>
      </c>
      <c r="I32" s="1">
        <v>6</v>
      </c>
      <c r="J32" s="1" t="str">
        <f t="shared" si="0"/>
        <v>100300</v>
      </c>
      <c r="K32" s="1" t="s">
        <v>350</v>
      </c>
      <c r="L32" s="1">
        <f t="shared" si="6"/>
        <v>10030005</v>
      </c>
      <c r="M32" s="1">
        <f t="shared" si="5"/>
        <v>10030007</v>
      </c>
      <c r="N32" s="1" t="s">
        <v>369</v>
      </c>
      <c r="O32" s="1">
        <v>10202002</v>
      </c>
      <c r="P32" s="1">
        <v>0</v>
      </c>
      <c r="Q32" s="1">
        <v>3</v>
      </c>
      <c r="R32" s="1">
        <v>30</v>
      </c>
      <c r="S32">
        <v>0</v>
      </c>
      <c r="T32" s="1">
        <v>100</v>
      </c>
      <c r="U32" t="s">
        <v>364</v>
      </c>
      <c r="V32" s="1">
        <v>0</v>
      </c>
      <c r="W32" s="1">
        <v>0</v>
      </c>
      <c r="X32" s="1" t="s">
        <v>370</v>
      </c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 s="1" t="s">
        <v>356</v>
      </c>
      <c r="AZ32" s="1">
        <v>11600</v>
      </c>
      <c r="BA32" s="1" t="s">
        <v>371</v>
      </c>
      <c r="BB32" s="1" t="s">
        <v>354</v>
      </c>
      <c r="BC32" s="1">
        <v>10000</v>
      </c>
      <c r="BD32" s="1">
        <v>0</v>
      </c>
      <c r="BE32" s="1" t="s">
        <v>358</v>
      </c>
      <c r="BF32" s="1">
        <v>0</v>
      </c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>
        <v>30057</v>
      </c>
      <c r="CG32" t="s">
        <v>372</v>
      </c>
      <c r="CH32">
        <v>900</v>
      </c>
      <c r="CI32">
        <v>80</v>
      </c>
      <c r="CJ32" t="s">
        <v>373</v>
      </c>
      <c r="CK32">
        <v>1</v>
      </c>
      <c r="CL32">
        <v>0</v>
      </c>
      <c r="CM32">
        <v>1</v>
      </c>
      <c r="CN32">
        <v>320</v>
      </c>
      <c r="CO32">
        <v>65</v>
      </c>
      <c r="CP32">
        <v>0</v>
      </c>
      <c r="CQ32">
        <v>0</v>
      </c>
      <c r="CR32">
        <v>10380006</v>
      </c>
      <c r="CS32">
        <v>0</v>
      </c>
      <c r="CT32">
        <v>0</v>
      </c>
      <c r="CU32">
        <v>0</v>
      </c>
      <c r="CV32" t="s">
        <v>355</v>
      </c>
      <c r="CW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 s="1">
        <v>200</v>
      </c>
      <c r="GY32" s="1">
        <v>400</v>
      </c>
      <c r="GZ32" s="1" t="s">
        <v>359</v>
      </c>
      <c r="HA32" s="1">
        <v>0</v>
      </c>
      <c r="HB32" t="s">
        <v>366</v>
      </c>
      <c r="HC32" t="s">
        <v>366</v>
      </c>
      <c r="HD32" s="1" t="b">
        <v>1</v>
      </c>
      <c r="HE32">
        <v>2500</v>
      </c>
      <c r="HF32" s="1" t="b">
        <v>0</v>
      </c>
      <c r="HG32" s="1">
        <v>0</v>
      </c>
      <c r="HH32" s="1">
        <v>0</v>
      </c>
      <c r="HI32" s="1">
        <v>0</v>
      </c>
      <c r="HJ32" s="1">
        <v>0</v>
      </c>
      <c r="HK32" s="1" t="b">
        <v>0</v>
      </c>
      <c r="HL32">
        <v>0</v>
      </c>
      <c r="HM32" s="1">
        <v>10001</v>
      </c>
      <c r="HN32" t="s">
        <v>367</v>
      </c>
      <c r="HO32" s="1" t="s">
        <v>360</v>
      </c>
      <c r="HP32" s="1">
        <v>0</v>
      </c>
      <c r="HQ32" s="1">
        <v>0</v>
      </c>
      <c r="HR32" s="1">
        <v>0</v>
      </c>
      <c r="HS32">
        <v>0</v>
      </c>
      <c r="HT32" t="b">
        <v>0</v>
      </c>
      <c r="HU32">
        <v>0</v>
      </c>
    </row>
    <row r="33" spans="1:229">
      <c r="A33"/>
      <c r="B33" s="1">
        <f>10000000+INDEX(编号表!$B$1:$B$112,MATCH(D33,编号表!$A$1:$A$112,0))*10000+I33</f>
        <v>10030007</v>
      </c>
      <c r="C33" s="1" t="s">
        <v>368</v>
      </c>
      <c r="D33" s="1" t="s">
        <v>368</v>
      </c>
      <c r="E33" s="1" t="s">
        <v>348</v>
      </c>
      <c r="F33" s="1" t="s">
        <v>362</v>
      </c>
      <c r="G33" s="1" t="b">
        <v>0</v>
      </c>
      <c r="H33" s="1" t="b">
        <v>0</v>
      </c>
      <c r="I33" s="1">
        <v>7</v>
      </c>
      <c r="J33" s="1" t="str">
        <f t="shared" si="0"/>
        <v>100300</v>
      </c>
      <c r="K33" s="1" t="s">
        <v>350</v>
      </c>
      <c r="L33" s="1">
        <f t="shared" si="6"/>
        <v>10030006</v>
      </c>
      <c r="M33" s="1">
        <f t="shared" si="5"/>
        <v>10030008</v>
      </c>
      <c r="N33" s="1" t="s">
        <v>369</v>
      </c>
      <c r="O33" s="1">
        <v>10202002</v>
      </c>
      <c r="P33" s="1">
        <v>0</v>
      </c>
      <c r="Q33" s="1">
        <v>3</v>
      </c>
      <c r="R33" s="1">
        <v>35</v>
      </c>
      <c r="S33">
        <v>0</v>
      </c>
      <c r="T33" s="1">
        <v>100</v>
      </c>
      <c r="U33" t="s">
        <v>364</v>
      </c>
      <c r="V33" s="1">
        <v>0</v>
      </c>
      <c r="W33" s="1">
        <v>0</v>
      </c>
      <c r="X33" s="1" t="s">
        <v>370</v>
      </c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 s="1" t="s">
        <v>356</v>
      </c>
      <c r="AZ33" s="1">
        <v>11700</v>
      </c>
      <c r="BA33" s="1" t="s">
        <v>371</v>
      </c>
      <c r="BB33" s="1" t="s">
        <v>354</v>
      </c>
      <c r="BC33" s="1">
        <v>10000</v>
      </c>
      <c r="BD33" s="1">
        <v>0</v>
      </c>
      <c r="BE33" s="1" t="s">
        <v>358</v>
      </c>
      <c r="BF33" s="1">
        <v>0</v>
      </c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>
        <v>30057</v>
      </c>
      <c r="CG33" t="s">
        <v>372</v>
      </c>
      <c r="CH33">
        <v>900</v>
      </c>
      <c r="CI33">
        <v>80</v>
      </c>
      <c r="CJ33" t="s">
        <v>373</v>
      </c>
      <c r="CK33">
        <v>1</v>
      </c>
      <c r="CL33">
        <v>0</v>
      </c>
      <c r="CM33">
        <v>1</v>
      </c>
      <c r="CN33">
        <v>320</v>
      </c>
      <c r="CO33">
        <v>65</v>
      </c>
      <c r="CP33">
        <v>0</v>
      </c>
      <c r="CQ33">
        <v>0</v>
      </c>
      <c r="CR33">
        <v>10380007</v>
      </c>
      <c r="CS33">
        <v>0</v>
      </c>
      <c r="CT33">
        <v>0</v>
      </c>
      <c r="CU33">
        <v>0</v>
      </c>
      <c r="CV33" t="s">
        <v>355</v>
      </c>
      <c r="CW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 s="1">
        <v>200</v>
      </c>
      <c r="GY33" s="1">
        <v>400</v>
      </c>
      <c r="GZ33" s="1" t="s">
        <v>359</v>
      </c>
      <c r="HA33" s="1">
        <v>0</v>
      </c>
      <c r="HB33" t="s">
        <v>366</v>
      </c>
      <c r="HC33" t="s">
        <v>366</v>
      </c>
      <c r="HD33" s="1" t="b">
        <v>1</v>
      </c>
      <c r="HE33">
        <v>2500</v>
      </c>
      <c r="HF33" s="1" t="b">
        <v>0</v>
      </c>
      <c r="HG33" s="1">
        <v>0</v>
      </c>
      <c r="HH33" s="1">
        <v>0</v>
      </c>
      <c r="HI33" s="1">
        <v>0</v>
      </c>
      <c r="HJ33" s="1">
        <v>0</v>
      </c>
      <c r="HK33" s="1" t="b">
        <v>0</v>
      </c>
      <c r="HL33">
        <v>0</v>
      </c>
      <c r="HM33" s="1">
        <v>10001</v>
      </c>
      <c r="HN33" t="s">
        <v>367</v>
      </c>
      <c r="HO33" s="1" t="s">
        <v>360</v>
      </c>
      <c r="HP33" s="1">
        <v>0</v>
      </c>
      <c r="HQ33" s="1">
        <v>0</v>
      </c>
      <c r="HR33" s="1">
        <v>0</v>
      </c>
      <c r="HS33">
        <v>0</v>
      </c>
      <c r="HT33" t="b">
        <v>0</v>
      </c>
      <c r="HU33">
        <v>0</v>
      </c>
    </row>
    <row r="34" spans="1:229">
      <c r="A34"/>
      <c r="B34" s="1">
        <f>10000000+INDEX(编号表!$B$1:$B$112,MATCH(D34,编号表!$A$1:$A$112,0))*10000+I34</f>
        <v>10030008</v>
      </c>
      <c r="C34" s="1" t="s">
        <v>368</v>
      </c>
      <c r="D34" s="1" t="s">
        <v>368</v>
      </c>
      <c r="E34" s="1" t="s">
        <v>348</v>
      </c>
      <c r="F34" s="1" t="s">
        <v>362</v>
      </c>
      <c r="G34" s="1" t="b">
        <v>0</v>
      </c>
      <c r="H34" s="1" t="b">
        <v>0</v>
      </c>
      <c r="I34" s="1">
        <v>8</v>
      </c>
      <c r="J34" s="1" t="str">
        <f t="shared" si="0"/>
        <v>100300</v>
      </c>
      <c r="K34" s="1" t="s">
        <v>350</v>
      </c>
      <c r="L34" s="1">
        <f t="shared" si="6"/>
        <v>10030007</v>
      </c>
      <c r="M34" s="1">
        <f t="shared" si="5"/>
        <v>10030009</v>
      </c>
      <c r="N34" s="1" t="s">
        <v>369</v>
      </c>
      <c r="O34" s="1">
        <v>10202002</v>
      </c>
      <c r="P34" s="1">
        <v>0</v>
      </c>
      <c r="Q34" s="1">
        <v>3</v>
      </c>
      <c r="R34" s="1">
        <v>35</v>
      </c>
      <c r="S34">
        <v>0</v>
      </c>
      <c r="T34" s="1">
        <v>100</v>
      </c>
      <c r="U34" t="s">
        <v>364</v>
      </c>
      <c r="V34" s="1">
        <v>0</v>
      </c>
      <c r="W34" s="1">
        <v>0</v>
      </c>
      <c r="X34" s="1" t="s">
        <v>370</v>
      </c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 s="1" t="s">
        <v>356</v>
      </c>
      <c r="AZ34" s="1">
        <v>11800</v>
      </c>
      <c r="BA34" s="1" t="s">
        <v>371</v>
      </c>
      <c r="BB34" s="1" t="s">
        <v>354</v>
      </c>
      <c r="BC34" s="1">
        <v>10000</v>
      </c>
      <c r="BD34" s="1">
        <v>0</v>
      </c>
      <c r="BE34" s="1" t="s">
        <v>358</v>
      </c>
      <c r="BF34" s="1">
        <v>0</v>
      </c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>
        <v>30057</v>
      </c>
      <c r="CG34" t="s">
        <v>372</v>
      </c>
      <c r="CH34">
        <v>900</v>
      </c>
      <c r="CI34">
        <v>80</v>
      </c>
      <c r="CJ34" t="s">
        <v>373</v>
      </c>
      <c r="CK34">
        <v>1</v>
      </c>
      <c r="CL34">
        <v>0</v>
      </c>
      <c r="CM34">
        <v>1</v>
      </c>
      <c r="CN34">
        <v>320</v>
      </c>
      <c r="CO34">
        <v>65</v>
      </c>
      <c r="CP34">
        <v>0</v>
      </c>
      <c r="CQ34">
        <v>0</v>
      </c>
      <c r="CR34">
        <v>10380008</v>
      </c>
      <c r="CS34">
        <v>0</v>
      </c>
      <c r="CT34">
        <v>0</v>
      </c>
      <c r="CU34">
        <v>0</v>
      </c>
      <c r="CV34" t="s">
        <v>355</v>
      </c>
      <c r="CW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 s="1">
        <v>200</v>
      </c>
      <c r="GY34" s="1">
        <v>400</v>
      </c>
      <c r="GZ34" s="1" t="s">
        <v>359</v>
      </c>
      <c r="HA34" s="1">
        <v>0</v>
      </c>
      <c r="HB34" t="s">
        <v>366</v>
      </c>
      <c r="HC34" t="s">
        <v>366</v>
      </c>
      <c r="HD34" s="1" t="b">
        <v>1</v>
      </c>
      <c r="HE34">
        <v>2500</v>
      </c>
      <c r="HF34" s="1" t="b">
        <v>0</v>
      </c>
      <c r="HG34" s="1">
        <v>0</v>
      </c>
      <c r="HH34" s="1">
        <v>0</v>
      </c>
      <c r="HI34" s="1">
        <v>0</v>
      </c>
      <c r="HJ34" s="1">
        <v>0</v>
      </c>
      <c r="HK34" s="1" t="b">
        <v>0</v>
      </c>
      <c r="HL34">
        <v>0</v>
      </c>
      <c r="HM34" s="1">
        <v>10001</v>
      </c>
      <c r="HN34" t="s">
        <v>367</v>
      </c>
      <c r="HO34" s="1" t="s">
        <v>360</v>
      </c>
      <c r="HP34" s="1">
        <v>0</v>
      </c>
      <c r="HQ34" s="1">
        <v>0</v>
      </c>
      <c r="HR34" s="1">
        <v>0</v>
      </c>
      <c r="HS34">
        <v>0</v>
      </c>
      <c r="HT34" t="b">
        <v>0</v>
      </c>
      <c r="HU34">
        <v>0</v>
      </c>
    </row>
    <row r="35" spans="1:229">
      <c r="A35"/>
      <c r="B35" s="1">
        <f>10000000+INDEX(编号表!$B$1:$B$112,MATCH(D35,编号表!$A$1:$A$112,0))*10000+I35</f>
        <v>10030009</v>
      </c>
      <c r="C35" s="1" t="s">
        <v>368</v>
      </c>
      <c r="D35" s="1" t="s">
        <v>368</v>
      </c>
      <c r="E35" s="1" t="s">
        <v>348</v>
      </c>
      <c r="F35" s="1" t="s">
        <v>362</v>
      </c>
      <c r="G35" s="1" t="b">
        <v>0</v>
      </c>
      <c r="H35" s="1" t="b">
        <v>0</v>
      </c>
      <c r="I35" s="1">
        <v>9</v>
      </c>
      <c r="J35" s="1" t="str">
        <f t="shared" si="0"/>
        <v>100300</v>
      </c>
      <c r="K35" s="1" t="s">
        <v>350</v>
      </c>
      <c r="L35" s="1">
        <f t="shared" si="6"/>
        <v>10030008</v>
      </c>
      <c r="M35" s="1">
        <f t="shared" si="5"/>
        <v>10030010</v>
      </c>
      <c r="N35" s="1" t="s">
        <v>369</v>
      </c>
      <c r="O35" s="1">
        <v>10202002</v>
      </c>
      <c r="P35" s="1">
        <v>0</v>
      </c>
      <c r="Q35" s="1">
        <v>3</v>
      </c>
      <c r="R35" s="1">
        <v>40</v>
      </c>
      <c r="S35">
        <v>0</v>
      </c>
      <c r="T35" s="1">
        <v>100</v>
      </c>
      <c r="U35" t="s">
        <v>364</v>
      </c>
      <c r="V35" s="1">
        <v>0</v>
      </c>
      <c r="W35" s="1">
        <v>0</v>
      </c>
      <c r="X35" s="1" t="s">
        <v>370</v>
      </c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 s="1" t="s">
        <v>356</v>
      </c>
      <c r="AZ35" s="1">
        <v>11900</v>
      </c>
      <c r="BA35" s="1" t="s">
        <v>371</v>
      </c>
      <c r="BB35" s="1" t="s">
        <v>354</v>
      </c>
      <c r="BC35" s="1">
        <v>10000</v>
      </c>
      <c r="BD35" s="1">
        <v>0</v>
      </c>
      <c r="BE35" s="1" t="s">
        <v>358</v>
      </c>
      <c r="BF35" s="1">
        <v>0</v>
      </c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>
        <v>30057</v>
      </c>
      <c r="CG35" t="s">
        <v>372</v>
      </c>
      <c r="CH35">
        <v>900</v>
      </c>
      <c r="CI35">
        <v>80</v>
      </c>
      <c r="CJ35" t="s">
        <v>373</v>
      </c>
      <c r="CK35">
        <v>1</v>
      </c>
      <c r="CL35">
        <v>0</v>
      </c>
      <c r="CM35">
        <v>1</v>
      </c>
      <c r="CN35">
        <v>320</v>
      </c>
      <c r="CO35">
        <v>65</v>
      </c>
      <c r="CP35">
        <v>0</v>
      </c>
      <c r="CQ35">
        <v>0</v>
      </c>
      <c r="CR35">
        <v>10380009</v>
      </c>
      <c r="CS35">
        <v>0</v>
      </c>
      <c r="CT35">
        <v>0</v>
      </c>
      <c r="CU35">
        <v>0</v>
      </c>
      <c r="CV35" t="s">
        <v>355</v>
      </c>
      <c r="CW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 s="1">
        <v>200</v>
      </c>
      <c r="GY35" s="1">
        <v>400</v>
      </c>
      <c r="GZ35" s="1" t="s">
        <v>359</v>
      </c>
      <c r="HA35" s="1">
        <v>0</v>
      </c>
      <c r="HB35" t="s">
        <v>366</v>
      </c>
      <c r="HC35" t="s">
        <v>366</v>
      </c>
      <c r="HD35" s="1" t="b">
        <v>1</v>
      </c>
      <c r="HE35">
        <v>2500</v>
      </c>
      <c r="HF35" s="1" t="b">
        <v>0</v>
      </c>
      <c r="HG35" s="1">
        <v>0</v>
      </c>
      <c r="HH35" s="1">
        <v>0</v>
      </c>
      <c r="HI35" s="1">
        <v>0</v>
      </c>
      <c r="HJ35" s="1">
        <v>0</v>
      </c>
      <c r="HK35" s="1" t="b">
        <v>0</v>
      </c>
      <c r="HL35">
        <v>0</v>
      </c>
      <c r="HM35" s="1">
        <v>10001</v>
      </c>
      <c r="HN35" t="s">
        <v>367</v>
      </c>
      <c r="HO35" s="1" t="s">
        <v>360</v>
      </c>
      <c r="HP35" s="1">
        <v>0</v>
      </c>
      <c r="HQ35" s="1">
        <v>0</v>
      </c>
      <c r="HR35" s="1">
        <v>0</v>
      </c>
      <c r="HS35">
        <v>0</v>
      </c>
      <c r="HT35" t="b">
        <v>0</v>
      </c>
      <c r="HU35">
        <v>0</v>
      </c>
    </row>
    <row r="36" spans="1:229">
      <c r="A36"/>
      <c r="B36" s="1">
        <f>10000000+INDEX(编号表!$B$1:$B$112,MATCH(D36,编号表!$A$1:$A$112,0))*10000+I36</f>
        <v>10030010</v>
      </c>
      <c r="C36" s="1" t="s">
        <v>368</v>
      </c>
      <c r="D36" s="1" t="s">
        <v>368</v>
      </c>
      <c r="E36" s="1" t="s">
        <v>348</v>
      </c>
      <c r="F36" s="1" t="s">
        <v>362</v>
      </c>
      <c r="G36" s="1" t="b">
        <v>0</v>
      </c>
      <c r="H36" s="1" t="b">
        <v>0</v>
      </c>
      <c r="I36" s="1">
        <v>10</v>
      </c>
      <c r="J36" s="1" t="str">
        <f t="shared" si="0"/>
        <v>100300</v>
      </c>
      <c r="K36" s="1" t="s">
        <v>350</v>
      </c>
      <c r="L36" s="1">
        <f t="shared" si="6"/>
        <v>10030009</v>
      </c>
      <c r="M36">
        <v>0</v>
      </c>
      <c r="N36" s="1" t="s">
        <v>369</v>
      </c>
      <c r="O36" s="1">
        <v>10202002</v>
      </c>
      <c r="P36" s="1">
        <v>0</v>
      </c>
      <c r="Q36" s="1">
        <v>3</v>
      </c>
      <c r="R36" s="1">
        <v>40</v>
      </c>
      <c r="S36">
        <v>0</v>
      </c>
      <c r="T36" s="1">
        <v>0</v>
      </c>
      <c r="U36" t="s">
        <v>364</v>
      </c>
      <c r="V36" s="1">
        <v>0</v>
      </c>
      <c r="W36" s="1">
        <v>0</v>
      </c>
      <c r="X36" s="1" t="s">
        <v>370</v>
      </c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 s="1" t="s">
        <v>356</v>
      </c>
      <c r="AZ36" s="1">
        <v>12000</v>
      </c>
      <c r="BA36" s="1" t="s">
        <v>371</v>
      </c>
      <c r="BB36" s="1" t="s">
        <v>354</v>
      </c>
      <c r="BC36" s="1">
        <v>10000</v>
      </c>
      <c r="BD36" s="1">
        <v>0</v>
      </c>
      <c r="BE36" s="1" t="s">
        <v>358</v>
      </c>
      <c r="BF36" s="1">
        <v>0</v>
      </c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>
        <v>30057</v>
      </c>
      <c r="CG36" t="s">
        <v>372</v>
      </c>
      <c r="CH36">
        <v>900</v>
      </c>
      <c r="CI36">
        <v>80</v>
      </c>
      <c r="CJ36" t="s">
        <v>373</v>
      </c>
      <c r="CK36">
        <v>1</v>
      </c>
      <c r="CL36">
        <v>0</v>
      </c>
      <c r="CM36">
        <v>1</v>
      </c>
      <c r="CN36">
        <v>320</v>
      </c>
      <c r="CO36">
        <v>65</v>
      </c>
      <c r="CP36">
        <v>0</v>
      </c>
      <c r="CQ36">
        <v>0</v>
      </c>
      <c r="CR36">
        <v>10380010</v>
      </c>
      <c r="CS36">
        <v>0</v>
      </c>
      <c r="CT36">
        <v>0</v>
      </c>
      <c r="CU36">
        <v>0</v>
      </c>
      <c r="CV36" t="s">
        <v>355</v>
      </c>
      <c r="CW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 s="1">
        <v>200</v>
      </c>
      <c r="GY36" s="1">
        <v>400</v>
      </c>
      <c r="GZ36" s="1" t="s">
        <v>359</v>
      </c>
      <c r="HA36" s="1">
        <v>0</v>
      </c>
      <c r="HB36" t="s">
        <v>366</v>
      </c>
      <c r="HC36" t="s">
        <v>366</v>
      </c>
      <c r="HD36" s="1" t="b">
        <v>1</v>
      </c>
      <c r="HE36">
        <v>2500</v>
      </c>
      <c r="HF36" s="1" t="b">
        <v>0</v>
      </c>
      <c r="HG36" s="1">
        <v>0</v>
      </c>
      <c r="HH36" s="1">
        <v>0</v>
      </c>
      <c r="HI36" s="1">
        <v>0</v>
      </c>
      <c r="HJ36" s="1">
        <v>0</v>
      </c>
      <c r="HK36" s="1" t="b">
        <v>0</v>
      </c>
      <c r="HL36">
        <v>0</v>
      </c>
      <c r="HM36" s="1">
        <v>10001</v>
      </c>
      <c r="HN36" t="s">
        <v>367</v>
      </c>
      <c r="HO36" s="1" t="s">
        <v>360</v>
      </c>
      <c r="HP36" s="1">
        <v>0</v>
      </c>
      <c r="HQ36" s="1">
        <v>0</v>
      </c>
      <c r="HR36" s="1">
        <v>0</v>
      </c>
      <c r="HS36">
        <v>0</v>
      </c>
      <c r="HT36" t="b">
        <v>0</v>
      </c>
      <c r="HU36">
        <v>0</v>
      </c>
    </row>
    <row r="37" spans="1:229">
      <c r="A37"/>
      <c r="B37" s="1">
        <f>10000000+INDEX(编号表!$B$1:$B$112,MATCH(D37,编号表!$A$1:$A$112,0))*10000+I37</f>
        <v>10040001</v>
      </c>
      <c r="C37" s="5" t="s">
        <v>374</v>
      </c>
      <c r="D37" s="5" t="s">
        <v>374</v>
      </c>
      <c r="E37" s="5" t="s">
        <v>348</v>
      </c>
      <c r="F37" s="5" t="s">
        <v>362</v>
      </c>
      <c r="G37" s="5" t="b">
        <v>0</v>
      </c>
      <c r="H37" s="5" t="b">
        <v>0</v>
      </c>
      <c r="I37" s="5">
        <v>1</v>
      </c>
      <c r="J37" s="5">
        <v>100400</v>
      </c>
      <c r="K37" s="5" t="s">
        <v>350</v>
      </c>
      <c r="L37" s="5">
        <v>0</v>
      </c>
      <c r="M37" s="5">
        <v>10040002</v>
      </c>
      <c r="N37" s="5" t="s">
        <v>375</v>
      </c>
      <c r="O37" s="5">
        <v>10202003</v>
      </c>
      <c r="P37" s="5">
        <v>0</v>
      </c>
      <c r="Q37" s="5">
        <v>0</v>
      </c>
      <c r="R37" s="5">
        <v>1</v>
      </c>
      <c r="S37" s="5">
        <v>0</v>
      </c>
      <c r="T37" s="5">
        <v>100</v>
      </c>
      <c r="U37" s="5" t="s">
        <v>364</v>
      </c>
      <c r="V37" s="5">
        <v>220</v>
      </c>
      <c r="W37" s="5">
        <v>0</v>
      </c>
      <c r="X37" s="5" t="inlineStr">
        <is>
          <t xml:space="preserve">目标点</t>
        </is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 t="s">
        <v>356</v>
      </c>
      <c r="AZ37" s="5">
        <v>10000</v>
      </c>
      <c r="BA37" s="5" t="inlineStr">
        <is>
          <t xml:space="preserve">技能效果_弹道</t>
        </is>
      </c>
      <c r="BB37" s="5" t="inlineStr">
        <is>
          <t xml:space="preserve">敌对</t>
        </is>
      </c>
      <c r="BC37" s="5">
        <v>10000</v>
      </c>
      <c r="BD37" s="5">
        <v>0</v>
      </c>
      <c r="BE37" s="5" t="inlineStr">
        <is>
          <t xml:space="preserve">全部</t>
        </is>
      </c>
      <c r="BF37" s="5">
        <v>0</v>
      </c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>
        <v>30047</v>
      </c>
      <c r="CG37" s="5" t="inlineStr">
        <is>
          <t xml:space="preserve">Sound\Zs_Gongji1</t>
        </is>
      </c>
      <c r="CH37" s="5">
        <v>900</v>
      </c>
      <c r="CI37" s="5">
        <v>80</v>
      </c>
      <c r="CJ37" s="5" t="inlineStr">
        <is>
          <t xml:space="preserve">直线</t>
        </is>
      </c>
      <c r="CK37" s="5">
        <v>1</v>
      </c>
      <c r="CL37" s="5">
        <v>0</v>
      </c>
      <c r="CM37" s="5">
        <v>1</v>
      </c>
      <c r="CN37" s="5">
        <v>400</v>
      </c>
      <c r="CO37" s="5">
        <v>65</v>
      </c>
      <c r="CP37" s="5">
        <v>0</v>
      </c>
      <c r="CQ37" s="5">
        <v>-1</v>
      </c>
      <c r="CR37" s="5">
        <v>10390001</v>
      </c>
      <c r="CS37" s="5">
        <v>0</v>
      </c>
      <c r="CT37" s="5">
        <v>0</v>
      </c>
      <c r="CU37" s="5">
        <v>0</v>
      </c>
      <c r="CV37" s="5" t="inlineStr">
        <is>
          <t xml:space="preserve">最近</t>
        </is>
      </c>
      <c r="CW37" s="5"/>
      <c r="CX37"/>
      <c r="CY37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/>
      <c r="EX37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/>
      <c r="GW37"/>
      <c r="GX37" s="5">
        <v>200</v>
      </c>
      <c r="GY37" s="5">
        <v>400</v>
      </c>
      <c r="GZ37" s="5" t="s">
        <v>359</v>
      </c>
      <c r="HA37" s="5">
        <v>0</v>
      </c>
      <c r="HB37" s="5">
        <v>0</v>
      </c>
      <c r="HC37" s="5" t="s">
        <v>366</v>
      </c>
      <c r="HD37" s="5" t="b">
        <v>1</v>
      </c>
      <c r="HE37" s="5">
        <v>3500</v>
      </c>
      <c r="HF37" s="5" t="b">
        <v>0</v>
      </c>
      <c r="HG37" s="5">
        <v>0</v>
      </c>
      <c r="HH37" s="5">
        <v>0</v>
      </c>
      <c r="HI37" s="5">
        <v>0</v>
      </c>
      <c r="HJ37" s="5">
        <v>0</v>
      </c>
      <c r="HK37" s="5" t="b">
        <v>0</v>
      </c>
      <c r="HL37" s="5">
        <v>0</v>
      </c>
      <c r="HM37" s="5">
        <v>10001</v>
      </c>
      <c r="HN37" s="5" t="s">
        <v>367</v>
      </c>
      <c r="HO37" s="5" t="s">
        <v>360</v>
      </c>
      <c r="HP37" s="5">
        <v>0</v>
      </c>
      <c r="HQ37" s="5">
        <v>0</v>
      </c>
      <c r="HR37" s="5">
        <v>0</v>
      </c>
      <c r="HS37" s="5">
        <v>0</v>
      </c>
      <c r="HT37" s="5" t="b">
        <v>0</v>
      </c>
    </row>
    <row r="38" spans="1:229">
      <c r="A38"/>
      <c r="B38" s="1">
        <f>10000000+INDEX(编号表!$B$1:$B$112,MATCH(D38,编号表!$A$1:$A$112,0))*10000+I38</f>
        <v>10040002</v>
      </c>
      <c r="C38" s="5" t="s">
        <v>374</v>
      </c>
      <c r="D38" s="5" t="s">
        <v>374</v>
      </c>
      <c r="E38" s="5" t="s">
        <v>348</v>
      </c>
      <c r="F38" s="5" t="s">
        <v>362</v>
      </c>
      <c r="G38" s="5" t="b">
        <v>0</v>
      </c>
      <c r="H38" s="5" t="b">
        <v>0</v>
      </c>
      <c r="I38" s="5">
        <v>2</v>
      </c>
      <c r="J38" s="5">
        <v>100400</v>
      </c>
      <c r="K38" s="5" t="s">
        <v>350</v>
      </c>
      <c r="L38" s="5">
        <v>10040001</v>
      </c>
      <c r="M38" s="5">
        <v>10040003</v>
      </c>
      <c r="N38" s="5" t="s">
        <v>375</v>
      </c>
      <c r="O38" s="5">
        <v>10202003</v>
      </c>
      <c r="P38" s="5">
        <v>0</v>
      </c>
      <c r="Q38" s="5">
        <v>1</v>
      </c>
      <c r="R38" s="5">
        <v>7</v>
      </c>
      <c r="S38" s="5">
        <v>0</v>
      </c>
      <c r="T38" s="5">
        <v>100</v>
      </c>
      <c r="U38" s="5" t="s">
        <v>364</v>
      </c>
      <c r="V38" s="5">
        <v>220</v>
      </c>
      <c r="W38" s="5">
        <v>0</v>
      </c>
      <c r="X38" s="5" t="inlineStr">
        <is>
          <t xml:space="preserve">目标点</t>
        </is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 t="s">
        <v>356</v>
      </c>
      <c r="AZ38" s="5">
        <v>10400</v>
      </c>
      <c r="BA38" s="5" t="inlineStr">
        <is>
          <t xml:space="preserve">技能效果_弹道</t>
        </is>
      </c>
      <c r="BB38" s="5" t="inlineStr">
        <is>
          <t xml:space="preserve">敌对</t>
        </is>
      </c>
      <c r="BC38" s="5">
        <v>10000</v>
      </c>
      <c r="BD38" s="5">
        <v>0</v>
      </c>
      <c r="BE38" s="5" t="inlineStr">
        <is>
          <t xml:space="preserve">全部</t>
        </is>
      </c>
      <c r="BF38" s="5">
        <v>0</v>
      </c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>
        <v>30047</v>
      </c>
      <c r="CG38" s="5" t="inlineStr">
        <is>
          <t xml:space="preserve">Sound\Zs_Gongji1</t>
        </is>
      </c>
      <c r="CH38" s="5">
        <v>900</v>
      </c>
      <c r="CI38" s="5">
        <v>80</v>
      </c>
      <c r="CJ38" s="5" t="inlineStr">
        <is>
          <t xml:space="preserve">直线</t>
        </is>
      </c>
      <c r="CK38" s="5">
        <v>1</v>
      </c>
      <c r="CL38" s="5">
        <v>0</v>
      </c>
      <c r="CM38" s="5">
        <v>1</v>
      </c>
      <c r="CN38" s="5">
        <v>400</v>
      </c>
      <c r="CO38" s="5">
        <v>65</v>
      </c>
      <c r="CP38" s="5">
        <v>0</v>
      </c>
      <c r="CQ38" s="5">
        <v>-1</v>
      </c>
      <c r="CR38" s="5">
        <v>10390002</v>
      </c>
      <c r="CS38" s="5">
        <v>0</v>
      </c>
      <c r="CT38" s="5">
        <v>0</v>
      </c>
      <c r="CU38" s="5">
        <v>0</v>
      </c>
      <c r="CV38" s="5" t="inlineStr">
        <is>
          <t xml:space="preserve">最近</t>
        </is>
      </c>
      <c r="CW38" s="5"/>
      <c r="CX38"/>
      <c r="CY38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/>
      <c r="EX38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/>
      <c r="GW38"/>
      <c r="GX38" s="5">
        <v>200</v>
      </c>
      <c r="GY38" s="5">
        <v>400</v>
      </c>
      <c r="GZ38" s="5" t="s">
        <v>359</v>
      </c>
      <c r="HA38" s="5">
        <v>0</v>
      </c>
      <c r="HB38" s="5">
        <v>0</v>
      </c>
      <c r="HC38" s="5" t="s">
        <v>366</v>
      </c>
      <c r="HD38" s="5" t="b">
        <v>1</v>
      </c>
      <c r="HE38" s="5">
        <v>3500</v>
      </c>
      <c r="HF38" s="5" t="b">
        <v>0</v>
      </c>
      <c r="HG38" s="5">
        <v>0</v>
      </c>
      <c r="HH38" s="5">
        <v>0</v>
      </c>
      <c r="HI38" s="5">
        <v>0</v>
      </c>
      <c r="HJ38" s="5">
        <v>0</v>
      </c>
      <c r="HK38" s="5" t="b">
        <v>0</v>
      </c>
      <c r="HL38" s="5">
        <v>0</v>
      </c>
      <c r="HM38" s="5">
        <v>10001</v>
      </c>
      <c r="HN38" s="5" t="s">
        <v>367</v>
      </c>
      <c r="HO38" s="5" t="s">
        <v>360</v>
      </c>
      <c r="HP38" s="5">
        <v>0</v>
      </c>
      <c r="HQ38" s="5">
        <v>0</v>
      </c>
      <c r="HR38" s="5">
        <v>0</v>
      </c>
      <c r="HS38" s="5">
        <v>0</v>
      </c>
      <c r="HT38" s="5" t="b">
        <v>0</v>
      </c>
    </row>
    <row r="39" spans="1:229">
      <c r="A39"/>
      <c r="B39" s="1">
        <f>10000000+INDEX(编号表!$B$1:$B$112,MATCH(D39,编号表!$A$1:$A$112,0))*10000+I39</f>
        <v>10040003</v>
      </c>
      <c r="C39" s="5" t="s">
        <v>374</v>
      </c>
      <c r="D39" s="5" t="s">
        <v>374</v>
      </c>
      <c r="E39" s="5" t="s">
        <v>348</v>
      </c>
      <c r="F39" s="5" t="s">
        <v>362</v>
      </c>
      <c r="G39" s="5" t="b">
        <v>0</v>
      </c>
      <c r="H39" s="5" t="b">
        <v>0</v>
      </c>
      <c r="I39" s="5">
        <v>3</v>
      </c>
      <c r="J39" s="5">
        <v>100400</v>
      </c>
      <c r="K39" s="5" t="s">
        <v>350</v>
      </c>
      <c r="L39" s="5">
        <v>10040002</v>
      </c>
      <c r="M39" s="5">
        <v>10040004</v>
      </c>
      <c r="N39" s="5" t="s">
        <v>375</v>
      </c>
      <c r="O39" s="5">
        <v>10202003</v>
      </c>
      <c r="P39" s="5">
        <v>0</v>
      </c>
      <c r="Q39" s="5">
        <v>2</v>
      </c>
      <c r="R39" s="5">
        <v>11</v>
      </c>
      <c r="S39" s="5">
        <v>0</v>
      </c>
      <c r="T39" s="5">
        <v>100</v>
      </c>
      <c r="U39" s="5" t="s">
        <v>364</v>
      </c>
      <c r="V39" s="5">
        <v>220</v>
      </c>
      <c r="W39" s="5">
        <v>0</v>
      </c>
      <c r="X39" s="5" t="inlineStr">
        <is>
          <t xml:space="preserve">目标点</t>
        </is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 t="s">
        <v>356</v>
      </c>
      <c r="AZ39" s="5">
        <v>10800</v>
      </c>
      <c r="BA39" s="5" t="inlineStr">
        <is>
          <t xml:space="preserve">技能效果_弹道</t>
        </is>
      </c>
      <c r="BB39" s="5" t="inlineStr">
        <is>
          <t xml:space="preserve">敌对</t>
        </is>
      </c>
      <c r="BC39" s="5">
        <v>10000</v>
      </c>
      <c r="BD39" s="5">
        <v>0</v>
      </c>
      <c r="BE39" s="5" t="inlineStr">
        <is>
          <t xml:space="preserve">全部</t>
        </is>
      </c>
      <c r="BF39" s="5">
        <v>0</v>
      </c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>
        <v>30047</v>
      </c>
      <c r="CG39" s="5" t="inlineStr">
        <is>
          <t xml:space="preserve">Sound\Zs_Gongji1</t>
        </is>
      </c>
      <c r="CH39" s="5">
        <v>900</v>
      </c>
      <c r="CI39" s="5">
        <v>80</v>
      </c>
      <c r="CJ39" s="5" t="inlineStr">
        <is>
          <t xml:space="preserve">直线</t>
        </is>
      </c>
      <c r="CK39" s="5">
        <v>1</v>
      </c>
      <c r="CL39" s="5">
        <v>0</v>
      </c>
      <c r="CM39" s="5">
        <v>1</v>
      </c>
      <c r="CN39" s="5">
        <v>400</v>
      </c>
      <c r="CO39" s="5">
        <v>65</v>
      </c>
      <c r="CP39" s="5">
        <v>0</v>
      </c>
      <c r="CQ39" s="5">
        <v>-1</v>
      </c>
      <c r="CR39" s="5">
        <v>10390003</v>
      </c>
      <c r="CS39" s="5">
        <v>0</v>
      </c>
      <c r="CT39" s="5">
        <v>0</v>
      </c>
      <c r="CU39" s="5">
        <v>0</v>
      </c>
      <c r="CV39" s="5" t="inlineStr">
        <is>
          <t xml:space="preserve">最近</t>
        </is>
      </c>
      <c r="CW39" s="5"/>
      <c r="CX39"/>
      <c r="CY39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/>
      <c r="EX39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/>
      <c r="GW39"/>
      <c r="GX39" s="5">
        <v>200</v>
      </c>
      <c r="GY39" s="5">
        <v>400</v>
      </c>
      <c r="GZ39" s="5" t="s">
        <v>359</v>
      </c>
      <c r="HA39" s="5">
        <v>0</v>
      </c>
      <c r="HB39" s="5">
        <v>0</v>
      </c>
      <c r="HC39" s="5" t="s">
        <v>366</v>
      </c>
      <c r="HD39" s="5" t="b">
        <v>1</v>
      </c>
      <c r="HE39" s="5">
        <v>3500</v>
      </c>
      <c r="HF39" s="5" t="b">
        <v>0</v>
      </c>
      <c r="HG39" s="5">
        <v>0</v>
      </c>
      <c r="HH39" s="5">
        <v>0</v>
      </c>
      <c r="HI39" s="5">
        <v>0</v>
      </c>
      <c r="HJ39" s="5">
        <v>0</v>
      </c>
      <c r="HK39" s="5" t="b">
        <v>0</v>
      </c>
      <c r="HL39" s="5">
        <v>0</v>
      </c>
      <c r="HM39" s="5">
        <v>10001</v>
      </c>
      <c r="HN39" s="5" t="s">
        <v>367</v>
      </c>
      <c r="HO39" s="5" t="s">
        <v>360</v>
      </c>
      <c r="HP39" s="5">
        <v>0</v>
      </c>
      <c r="HQ39" s="5">
        <v>0</v>
      </c>
      <c r="HR39" s="5">
        <v>0</v>
      </c>
      <c r="HS39" s="5">
        <v>0</v>
      </c>
      <c r="HT39" s="5" t="b">
        <v>0</v>
      </c>
    </row>
    <row r="40" spans="1:229">
      <c r="A40"/>
      <c r="B40" s="1">
        <f>10000000+INDEX(编号表!$B$1:$B$112,MATCH(D40,编号表!$A$1:$A$112,0))*10000+I40</f>
        <v>10040004</v>
      </c>
      <c r="C40" s="5" t="s">
        <v>374</v>
      </c>
      <c r="D40" s="5" t="s">
        <v>374</v>
      </c>
      <c r="E40" s="5" t="s">
        <v>348</v>
      </c>
      <c r="F40" s="5" t="s">
        <v>362</v>
      </c>
      <c r="G40" s="5" t="b">
        <v>0</v>
      </c>
      <c r="H40" s="5" t="b">
        <v>0</v>
      </c>
      <c r="I40" s="5">
        <v>4</v>
      </c>
      <c r="J40" s="5">
        <v>100400</v>
      </c>
      <c r="K40" s="5" t="s">
        <v>350</v>
      </c>
      <c r="L40" s="5">
        <v>10040003</v>
      </c>
      <c r="M40" s="5">
        <v>10040005</v>
      </c>
      <c r="N40" s="5" t="s">
        <v>375</v>
      </c>
      <c r="O40" s="5">
        <v>10202003</v>
      </c>
      <c r="P40" s="5">
        <v>0</v>
      </c>
      <c r="Q40" s="5">
        <v>3</v>
      </c>
      <c r="R40" s="5">
        <v>16</v>
      </c>
      <c r="S40" s="5">
        <v>0</v>
      </c>
      <c r="T40" s="5">
        <v>100</v>
      </c>
      <c r="U40" s="5" t="s">
        <v>364</v>
      </c>
      <c r="V40" s="5">
        <v>220</v>
      </c>
      <c r="W40" s="5">
        <v>0</v>
      </c>
      <c r="X40" s="5" t="inlineStr">
        <is>
          <t xml:space="preserve">目标点</t>
        </is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 t="s">
        <v>356</v>
      </c>
      <c r="AZ40" s="5">
        <v>11200</v>
      </c>
      <c r="BA40" s="5" t="inlineStr">
        <is>
          <t xml:space="preserve">技能效果_弹道</t>
        </is>
      </c>
      <c r="BB40" s="5" t="inlineStr">
        <is>
          <t xml:space="preserve">敌对</t>
        </is>
      </c>
      <c r="BC40" s="5">
        <v>10000</v>
      </c>
      <c r="BD40" s="5">
        <v>0</v>
      </c>
      <c r="BE40" s="5" t="inlineStr">
        <is>
          <t xml:space="preserve">全部</t>
        </is>
      </c>
      <c r="BF40" s="5">
        <v>0</v>
      </c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>
        <v>30047</v>
      </c>
      <c r="CG40" s="5" t="inlineStr">
        <is>
          <t xml:space="preserve">Sound\Zs_Gongji1</t>
        </is>
      </c>
      <c r="CH40" s="5">
        <v>900</v>
      </c>
      <c r="CI40" s="5">
        <v>80</v>
      </c>
      <c r="CJ40" s="5" t="inlineStr">
        <is>
          <t xml:space="preserve">直线</t>
        </is>
      </c>
      <c r="CK40" s="5">
        <v>1</v>
      </c>
      <c r="CL40" s="5">
        <v>0</v>
      </c>
      <c r="CM40" s="5">
        <v>1</v>
      </c>
      <c r="CN40" s="5">
        <v>400</v>
      </c>
      <c r="CO40" s="5">
        <v>65</v>
      </c>
      <c r="CP40" s="5">
        <v>0</v>
      </c>
      <c r="CQ40" s="5">
        <v>-1</v>
      </c>
      <c r="CR40" s="5">
        <v>10390004</v>
      </c>
      <c r="CS40" s="5">
        <v>0</v>
      </c>
      <c r="CT40" s="5">
        <v>0</v>
      </c>
      <c r="CU40" s="5">
        <v>0</v>
      </c>
      <c r="CV40" s="5" t="inlineStr">
        <is>
          <t xml:space="preserve">最近</t>
        </is>
      </c>
      <c r="CW40" s="5"/>
      <c r="CX40"/>
      <c r="CY40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/>
      <c r="EX40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/>
      <c r="GW40"/>
      <c r="GX40" s="5">
        <v>200</v>
      </c>
      <c r="GY40" s="5">
        <v>400</v>
      </c>
      <c r="GZ40" s="5" t="s">
        <v>359</v>
      </c>
      <c r="HA40" s="5">
        <v>0</v>
      </c>
      <c r="HB40" s="5">
        <v>0</v>
      </c>
      <c r="HC40" s="5" t="s">
        <v>366</v>
      </c>
      <c r="HD40" s="5" t="b">
        <v>1</v>
      </c>
      <c r="HE40" s="5">
        <v>3500</v>
      </c>
      <c r="HF40" s="5" t="b">
        <v>0</v>
      </c>
      <c r="HG40" s="5">
        <v>0</v>
      </c>
      <c r="HH40" s="5">
        <v>0</v>
      </c>
      <c r="HI40" s="5">
        <v>0</v>
      </c>
      <c r="HJ40" s="5">
        <v>0</v>
      </c>
      <c r="HK40" s="5" t="b">
        <v>0</v>
      </c>
      <c r="HL40" s="5">
        <v>0</v>
      </c>
      <c r="HM40" s="5">
        <v>10001</v>
      </c>
      <c r="HN40" s="5" t="s">
        <v>367</v>
      </c>
      <c r="HO40" s="5" t="s">
        <v>360</v>
      </c>
      <c r="HP40" s="5">
        <v>0</v>
      </c>
      <c r="HQ40" s="5">
        <v>0</v>
      </c>
      <c r="HR40" s="5">
        <v>0</v>
      </c>
      <c r="HS40" s="5">
        <v>0</v>
      </c>
      <c r="HT40" s="5" t="b">
        <v>0</v>
      </c>
    </row>
    <row r="41" spans="1:229">
      <c r="A41"/>
      <c r="B41" s="1">
        <f>10000000+INDEX(编号表!$B$1:$B$112,MATCH(D41,编号表!$A$1:$A$112,0))*10000+I41</f>
        <v>10040005</v>
      </c>
      <c r="C41" s="5" t="s">
        <v>374</v>
      </c>
      <c r="D41" s="5" t="s">
        <v>374</v>
      </c>
      <c r="E41" s="5" t="s">
        <v>348</v>
      </c>
      <c r="F41" s="5" t="s">
        <v>362</v>
      </c>
      <c r="G41" s="5" t="b">
        <v>0</v>
      </c>
      <c r="H41" s="5" t="b">
        <v>0</v>
      </c>
      <c r="I41" s="5">
        <v>5</v>
      </c>
      <c r="J41" s="5">
        <v>100400</v>
      </c>
      <c r="K41" s="5" t="s">
        <v>350</v>
      </c>
      <c r="L41" s="5">
        <v>10040004</v>
      </c>
      <c r="M41" s="5">
        <v>10040006</v>
      </c>
      <c r="N41" s="5" t="s">
        <v>375</v>
      </c>
      <c r="O41" s="5">
        <v>10202003</v>
      </c>
      <c r="P41" s="5">
        <v>0</v>
      </c>
      <c r="Q41" s="5">
        <v>3</v>
      </c>
      <c r="R41" s="5">
        <v>25</v>
      </c>
      <c r="S41" s="5">
        <v>0</v>
      </c>
      <c r="T41" s="5">
        <v>100</v>
      </c>
      <c r="U41" s="5" t="s">
        <v>364</v>
      </c>
      <c r="V41" s="5">
        <v>220</v>
      </c>
      <c r="W41" s="5">
        <v>0</v>
      </c>
      <c r="X41" s="5" t="inlineStr">
        <is>
          <t xml:space="preserve">目标点</t>
        </is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 t="s">
        <v>356</v>
      </c>
      <c r="AZ41" s="5">
        <v>11300</v>
      </c>
      <c r="BA41" s="5" t="inlineStr">
        <is>
          <t xml:space="preserve">技能效果_弹道</t>
        </is>
      </c>
      <c r="BB41" s="5" t="inlineStr">
        <is>
          <t xml:space="preserve">敌对</t>
        </is>
      </c>
      <c r="BC41" s="5">
        <v>10000</v>
      </c>
      <c r="BD41" s="5">
        <v>0</v>
      </c>
      <c r="BE41" s="5" t="inlineStr">
        <is>
          <t xml:space="preserve">全部</t>
        </is>
      </c>
      <c r="BF41" s="5">
        <v>0</v>
      </c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>
        <v>30047</v>
      </c>
      <c r="CG41" s="5" t="inlineStr">
        <is>
          <t xml:space="preserve">Sound\Zs_Gongji1</t>
        </is>
      </c>
      <c r="CH41" s="5">
        <v>900</v>
      </c>
      <c r="CI41" s="5">
        <v>80</v>
      </c>
      <c r="CJ41" s="5" t="inlineStr">
        <is>
          <t xml:space="preserve">直线</t>
        </is>
      </c>
      <c r="CK41" s="5">
        <v>1</v>
      </c>
      <c r="CL41" s="5">
        <v>0</v>
      </c>
      <c r="CM41" s="5">
        <v>1</v>
      </c>
      <c r="CN41" s="5">
        <v>400</v>
      </c>
      <c r="CO41" s="5">
        <v>65</v>
      </c>
      <c r="CP41" s="5">
        <v>0</v>
      </c>
      <c r="CQ41" s="5">
        <v>-1</v>
      </c>
      <c r="CR41" s="5">
        <v>10390005</v>
      </c>
      <c r="CS41" s="5">
        <v>0</v>
      </c>
      <c r="CT41" s="5">
        <v>0</v>
      </c>
      <c r="CU41" s="5">
        <v>0</v>
      </c>
      <c r="CV41" s="5" t="inlineStr">
        <is>
          <t xml:space="preserve">最近</t>
        </is>
      </c>
      <c r="CW41" s="5"/>
      <c r="CX41"/>
      <c r="CY41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/>
      <c r="EX41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/>
      <c r="GW41"/>
      <c r="GX41" s="5">
        <v>200</v>
      </c>
      <c r="GY41" s="5">
        <v>400</v>
      </c>
      <c r="GZ41" s="5" t="s">
        <v>359</v>
      </c>
      <c r="HA41" s="5">
        <v>0</v>
      </c>
      <c r="HB41" s="5">
        <v>0</v>
      </c>
      <c r="HC41" s="5" t="s">
        <v>366</v>
      </c>
      <c r="HD41" s="5" t="b">
        <v>1</v>
      </c>
      <c r="HE41" s="5">
        <v>3500</v>
      </c>
      <c r="HF41" s="5" t="b">
        <v>0</v>
      </c>
      <c r="HG41" s="5">
        <v>0</v>
      </c>
      <c r="HH41" s="5">
        <v>0</v>
      </c>
      <c r="HI41" s="5">
        <v>0</v>
      </c>
      <c r="HJ41" s="5">
        <v>0</v>
      </c>
      <c r="HK41" s="5" t="b">
        <v>0</v>
      </c>
      <c r="HL41" s="5">
        <v>0</v>
      </c>
      <c r="HM41" s="5">
        <v>10001</v>
      </c>
      <c r="HN41" s="5" t="s">
        <v>367</v>
      </c>
      <c r="HO41" s="5" t="s">
        <v>360</v>
      </c>
      <c r="HP41" s="5">
        <v>0</v>
      </c>
      <c r="HQ41" s="5">
        <v>0</v>
      </c>
      <c r="HR41" s="5">
        <v>0</v>
      </c>
      <c r="HS41" s="5">
        <v>0</v>
      </c>
      <c r="HT41" s="5" t="b">
        <v>0</v>
      </c>
    </row>
    <row r="42" spans="1:229">
      <c r="A42"/>
      <c r="B42" s="1">
        <f>10000000+INDEX(编号表!$B$1:$B$112,MATCH(D42,编号表!$A$1:$A$112,0))*10000+I42</f>
        <v>10040006</v>
      </c>
      <c r="C42" s="5" t="s">
        <v>374</v>
      </c>
      <c r="D42" s="5" t="s">
        <v>374</v>
      </c>
      <c r="E42" s="5" t="s">
        <v>348</v>
      </c>
      <c r="F42" s="5" t="s">
        <v>362</v>
      </c>
      <c r="G42" s="5" t="b">
        <v>0</v>
      </c>
      <c r="H42" s="5" t="b">
        <v>0</v>
      </c>
      <c r="I42" s="5">
        <v>6</v>
      </c>
      <c r="J42" s="5">
        <v>100400</v>
      </c>
      <c r="K42" s="5" t="s">
        <v>350</v>
      </c>
      <c r="L42" s="5">
        <v>10040005</v>
      </c>
      <c r="M42" s="5">
        <v>10040007</v>
      </c>
      <c r="N42" s="5" t="s">
        <v>375</v>
      </c>
      <c r="O42" s="5">
        <v>10202003</v>
      </c>
      <c r="P42" s="5">
        <v>0</v>
      </c>
      <c r="Q42" s="5">
        <v>3</v>
      </c>
      <c r="R42" s="5">
        <v>30</v>
      </c>
      <c r="S42" s="5">
        <v>0</v>
      </c>
      <c r="T42" s="5">
        <v>100</v>
      </c>
      <c r="U42" s="5" t="s">
        <v>364</v>
      </c>
      <c r="V42" s="5">
        <v>220</v>
      </c>
      <c r="W42" s="5">
        <v>0</v>
      </c>
      <c r="X42" s="5" t="inlineStr">
        <is>
          <t xml:space="preserve">目标点</t>
        </is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 t="s">
        <v>356</v>
      </c>
      <c r="AZ42" s="5">
        <v>11600</v>
      </c>
      <c r="BA42" s="5" t="inlineStr">
        <is>
          <t xml:space="preserve">技能效果_弹道</t>
        </is>
      </c>
      <c r="BB42" s="5" t="inlineStr">
        <is>
          <t xml:space="preserve">敌对</t>
        </is>
      </c>
      <c r="BC42" s="5">
        <v>10000</v>
      </c>
      <c r="BD42" s="5">
        <v>0</v>
      </c>
      <c r="BE42" s="5" t="inlineStr">
        <is>
          <t xml:space="preserve">全部</t>
        </is>
      </c>
      <c r="BF42" s="5">
        <v>0</v>
      </c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>
        <v>30047</v>
      </c>
      <c r="CG42" s="5" t="inlineStr">
        <is>
          <t xml:space="preserve">Sound\Zs_Gongji1</t>
        </is>
      </c>
      <c r="CH42" s="5">
        <v>900</v>
      </c>
      <c r="CI42" s="5">
        <v>80</v>
      </c>
      <c r="CJ42" s="5" t="inlineStr">
        <is>
          <t xml:space="preserve">直线</t>
        </is>
      </c>
      <c r="CK42" s="5">
        <v>1</v>
      </c>
      <c r="CL42" s="5">
        <v>0</v>
      </c>
      <c r="CM42" s="5">
        <v>1</v>
      </c>
      <c r="CN42" s="5">
        <v>400</v>
      </c>
      <c r="CO42" s="5">
        <v>65</v>
      </c>
      <c r="CP42" s="5">
        <v>0</v>
      </c>
      <c r="CQ42" s="5">
        <v>-1</v>
      </c>
      <c r="CR42" s="5">
        <v>10390006</v>
      </c>
      <c r="CS42" s="5">
        <v>0</v>
      </c>
      <c r="CT42" s="5">
        <v>0</v>
      </c>
      <c r="CU42" s="5">
        <v>0</v>
      </c>
      <c r="CV42" s="5" t="inlineStr">
        <is>
          <t xml:space="preserve">最近</t>
        </is>
      </c>
      <c r="CW42" s="5"/>
      <c r="CX42"/>
      <c r="CY42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/>
      <c r="EX42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/>
      <c r="GW42"/>
      <c r="GX42" s="5">
        <v>200</v>
      </c>
      <c r="GY42" s="5">
        <v>400</v>
      </c>
      <c r="GZ42" s="5" t="s">
        <v>359</v>
      </c>
      <c r="HA42" s="5">
        <v>0</v>
      </c>
      <c r="HB42" s="5">
        <v>0</v>
      </c>
      <c r="HC42" s="5" t="s">
        <v>366</v>
      </c>
      <c r="HD42" s="5" t="b">
        <v>1</v>
      </c>
      <c r="HE42" s="5">
        <v>3500</v>
      </c>
      <c r="HF42" s="5" t="b">
        <v>0</v>
      </c>
      <c r="HG42" s="5">
        <v>0</v>
      </c>
      <c r="HH42" s="5">
        <v>0</v>
      </c>
      <c r="HI42" s="5">
        <v>0</v>
      </c>
      <c r="HJ42" s="5">
        <v>0</v>
      </c>
      <c r="HK42" s="5" t="b">
        <v>0</v>
      </c>
      <c r="HL42" s="5">
        <v>0</v>
      </c>
      <c r="HM42" s="5">
        <v>10001</v>
      </c>
      <c r="HN42" s="5" t="s">
        <v>367</v>
      </c>
      <c r="HO42" s="5" t="s">
        <v>360</v>
      </c>
      <c r="HP42" s="5">
        <v>0</v>
      </c>
      <c r="HQ42" s="5">
        <v>0</v>
      </c>
      <c r="HR42" s="5">
        <v>0</v>
      </c>
      <c r="HS42" s="5">
        <v>0</v>
      </c>
      <c r="HT42" s="5" t="b">
        <v>0</v>
      </c>
    </row>
    <row r="43" spans="1:229">
      <c r="A43"/>
      <c r="B43" s="1">
        <f>10000000+INDEX(编号表!$B$1:$B$112,MATCH(D43,编号表!$A$1:$A$112,0))*10000+I43</f>
        <v>10040007</v>
      </c>
      <c r="C43" s="5" t="s">
        <v>374</v>
      </c>
      <c r="D43" s="5" t="s">
        <v>374</v>
      </c>
      <c r="E43" s="5" t="s">
        <v>348</v>
      </c>
      <c r="F43" s="5" t="s">
        <v>362</v>
      </c>
      <c r="G43" s="5" t="b">
        <v>0</v>
      </c>
      <c r="H43" s="5" t="b">
        <v>0</v>
      </c>
      <c r="I43" s="5">
        <v>7</v>
      </c>
      <c r="J43" s="5">
        <v>100400</v>
      </c>
      <c r="K43" s="5" t="s">
        <v>350</v>
      </c>
      <c r="L43" s="5">
        <v>10040006</v>
      </c>
      <c r="M43" s="5">
        <v>10040008</v>
      </c>
      <c r="N43" s="5" t="s">
        <v>375</v>
      </c>
      <c r="O43" s="5">
        <v>10202003</v>
      </c>
      <c r="P43" s="5">
        <v>0</v>
      </c>
      <c r="Q43" s="5">
        <v>3</v>
      </c>
      <c r="R43" s="5">
        <v>35</v>
      </c>
      <c r="S43" s="5">
        <v>0</v>
      </c>
      <c r="T43" s="5">
        <v>100</v>
      </c>
      <c r="U43" s="5" t="s">
        <v>364</v>
      </c>
      <c r="V43" s="5">
        <v>220</v>
      </c>
      <c r="W43" s="5">
        <v>0</v>
      </c>
      <c r="X43" s="5" t="inlineStr">
        <is>
          <t xml:space="preserve">目标点</t>
        </is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 t="s">
        <v>356</v>
      </c>
      <c r="AZ43" s="5">
        <v>11700</v>
      </c>
      <c r="BA43" s="5" t="inlineStr">
        <is>
          <t xml:space="preserve">技能效果_弹道</t>
        </is>
      </c>
      <c r="BB43" s="5" t="inlineStr">
        <is>
          <t xml:space="preserve">敌对</t>
        </is>
      </c>
      <c r="BC43" s="5">
        <v>10000</v>
      </c>
      <c r="BD43" s="5">
        <v>0</v>
      </c>
      <c r="BE43" s="5" t="inlineStr">
        <is>
          <t xml:space="preserve">全部</t>
        </is>
      </c>
      <c r="BF43" s="5">
        <v>0</v>
      </c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>
        <v>30047</v>
      </c>
      <c r="CG43" s="5" t="inlineStr">
        <is>
          <t xml:space="preserve">Sound\Zs_Gongji1</t>
        </is>
      </c>
      <c r="CH43" s="5">
        <v>900</v>
      </c>
      <c r="CI43" s="5">
        <v>80</v>
      </c>
      <c r="CJ43" s="5" t="inlineStr">
        <is>
          <t xml:space="preserve">直线</t>
        </is>
      </c>
      <c r="CK43" s="5">
        <v>1</v>
      </c>
      <c r="CL43" s="5">
        <v>0</v>
      </c>
      <c r="CM43" s="5">
        <v>1</v>
      </c>
      <c r="CN43" s="5">
        <v>400</v>
      </c>
      <c r="CO43" s="5">
        <v>65</v>
      </c>
      <c r="CP43" s="5">
        <v>0</v>
      </c>
      <c r="CQ43" s="5">
        <v>-1</v>
      </c>
      <c r="CR43" s="5">
        <v>10390007</v>
      </c>
      <c r="CS43" s="5">
        <v>0</v>
      </c>
      <c r="CT43" s="5">
        <v>0</v>
      </c>
      <c r="CU43" s="5">
        <v>0</v>
      </c>
      <c r="CV43" s="5" t="inlineStr">
        <is>
          <t xml:space="preserve">最近</t>
        </is>
      </c>
      <c r="CW43" s="5"/>
      <c r="CX43"/>
      <c r="CY43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/>
      <c r="EX43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/>
      <c r="GW43"/>
      <c r="GX43" s="5">
        <v>200</v>
      </c>
      <c r="GY43" s="5">
        <v>400</v>
      </c>
      <c r="GZ43" s="5" t="s">
        <v>359</v>
      </c>
      <c r="HA43" s="5">
        <v>0</v>
      </c>
      <c r="HB43" s="5">
        <v>0</v>
      </c>
      <c r="HC43" s="5" t="s">
        <v>366</v>
      </c>
      <c r="HD43" s="5" t="b">
        <v>1</v>
      </c>
      <c r="HE43" s="5">
        <v>3500</v>
      </c>
      <c r="HF43" s="5" t="b">
        <v>0</v>
      </c>
      <c r="HG43" s="5">
        <v>0</v>
      </c>
      <c r="HH43" s="5">
        <v>0</v>
      </c>
      <c r="HI43" s="5">
        <v>0</v>
      </c>
      <c r="HJ43" s="5">
        <v>0</v>
      </c>
      <c r="HK43" s="5" t="b">
        <v>0</v>
      </c>
      <c r="HL43" s="5">
        <v>0</v>
      </c>
      <c r="HM43" s="5">
        <v>10001</v>
      </c>
      <c r="HN43" s="5" t="s">
        <v>367</v>
      </c>
      <c r="HO43" s="5" t="s">
        <v>360</v>
      </c>
      <c r="HP43" s="5">
        <v>0</v>
      </c>
      <c r="HQ43" s="5">
        <v>0</v>
      </c>
      <c r="HR43" s="5">
        <v>0</v>
      </c>
      <c r="HS43" s="5">
        <v>0</v>
      </c>
      <c r="HT43" s="5" t="b">
        <v>0</v>
      </c>
    </row>
    <row r="44" spans="1:229">
      <c r="A44"/>
      <c r="B44" s="1">
        <f>10000000+INDEX(编号表!$B$1:$B$112,MATCH(D44,编号表!$A$1:$A$112,0))*10000+I44</f>
        <v>10040008</v>
      </c>
      <c r="C44" s="5" t="s">
        <v>374</v>
      </c>
      <c r="D44" s="5" t="s">
        <v>374</v>
      </c>
      <c r="E44" s="5" t="s">
        <v>348</v>
      </c>
      <c r="F44" s="5" t="s">
        <v>362</v>
      </c>
      <c r="G44" s="5" t="b">
        <v>0</v>
      </c>
      <c r="H44" s="5" t="b">
        <v>0</v>
      </c>
      <c r="I44" s="5">
        <v>8</v>
      </c>
      <c r="J44" s="5">
        <v>100400</v>
      </c>
      <c r="K44" s="5" t="s">
        <v>350</v>
      </c>
      <c r="L44" s="5">
        <v>10040007</v>
      </c>
      <c r="M44" s="5">
        <v>10040009</v>
      </c>
      <c r="N44" s="5" t="s">
        <v>375</v>
      </c>
      <c r="O44" s="5">
        <v>10202003</v>
      </c>
      <c r="P44" s="5">
        <v>0</v>
      </c>
      <c r="Q44" s="5">
        <v>3</v>
      </c>
      <c r="R44" s="5">
        <v>35</v>
      </c>
      <c r="S44" s="5">
        <v>0</v>
      </c>
      <c r="T44" s="5">
        <v>100</v>
      </c>
      <c r="U44" s="5" t="s">
        <v>364</v>
      </c>
      <c r="V44" s="5">
        <v>220</v>
      </c>
      <c r="W44" s="5">
        <v>0</v>
      </c>
      <c r="X44" s="5" t="inlineStr">
        <is>
          <t xml:space="preserve">目标点</t>
        </is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 t="s">
        <v>356</v>
      </c>
      <c r="AZ44" s="5">
        <v>11800</v>
      </c>
      <c r="BA44" s="5" t="inlineStr">
        <is>
          <t xml:space="preserve">技能效果_弹道</t>
        </is>
      </c>
      <c r="BB44" s="5" t="inlineStr">
        <is>
          <t xml:space="preserve">敌对</t>
        </is>
      </c>
      <c r="BC44" s="5">
        <v>10000</v>
      </c>
      <c r="BD44" s="5">
        <v>0</v>
      </c>
      <c r="BE44" s="5" t="inlineStr">
        <is>
          <t xml:space="preserve">全部</t>
        </is>
      </c>
      <c r="BF44" s="5">
        <v>0</v>
      </c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>
        <v>30047</v>
      </c>
      <c r="CG44" s="5" t="inlineStr">
        <is>
          <t xml:space="preserve">Sound\Zs_Gongji1</t>
        </is>
      </c>
      <c r="CH44" s="5">
        <v>900</v>
      </c>
      <c r="CI44" s="5">
        <v>80</v>
      </c>
      <c r="CJ44" s="5" t="inlineStr">
        <is>
          <t xml:space="preserve">直线</t>
        </is>
      </c>
      <c r="CK44" s="5">
        <v>1</v>
      </c>
      <c r="CL44" s="5">
        <v>0</v>
      </c>
      <c r="CM44" s="5">
        <v>1</v>
      </c>
      <c r="CN44" s="5">
        <v>400</v>
      </c>
      <c r="CO44" s="5">
        <v>65</v>
      </c>
      <c r="CP44" s="5">
        <v>0</v>
      </c>
      <c r="CQ44" s="5">
        <v>-1</v>
      </c>
      <c r="CR44" s="5">
        <v>10390008</v>
      </c>
      <c r="CS44" s="5">
        <v>0</v>
      </c>
      <c r="CT44" s="5">
        <v>0</v>
      </c>
      <c r="CU44" s="5">
        <v>0</v>
      </c>
      <c r="CV44" s="5" t="inlineStr">
        <is>
          <t xml:space="preserve">最近</t>
        </is>
      </c>
      <c r="CW44" s="5"/>
      <c r="CX44"/>
      <c r="CY44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/>
      <c r="EX44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/>
      <c r="GW44"/>
      <c r="GX44" s="5">
        <v>200</v>
      </c>
      <c r="GY44" s="5">
        <v>400</v>
      </c>
      <c r="GZ44" s="5" t="s">
        <v>359</v>
      </c>
      <c r="HA44" s="5">
        <v>0</v>
      </c>
      <c r="HB44" s="5">
        <v>0</v>
      </c>
      <c r="HC44" s="5" t="s">
        <v>366</v>
      </c>
      <c r="HD44" s="5" t="b">
        <v>1</v>
      </c>
      <c r="HE44" s="5">
        <v>3500</v>
      </c>
      <c r="HF44" s="5" t="b">
        <v>0</v>
      </c>
      <c r="HG44" s="5">
        <v>0</v>
      </c>
      <c r="HH44" s="5">
        <v>0</v>
      </c>
      <c r="HI44" s="5">
        <v>0</v>
      </c>
      <c r="HJ44" s="5">
        <v>0</v>
      </c>
      <c r="HK44" s="5" t="b">
        <v>0</v>
      </c>
      <c r="HL44" s="5">
        <v>0</v>
      </c>
      <c r="HM44" s="5">
        <v>10001</v>
      </c>
      <c r="HN44" s="5" t="s">
        <v>367</v>
      </c>
      <c r="HO44" s="5" t="s">
        <v>360</v>
      </c>
      <c r="HP44" s="5">
        <v>0</v>
      </c>
      <c r="HQ44" s="5">
        <v>0</v>
      </c>
      <c r="HR44" s="5">
        <v>0</v>
      </c>
      <c r="HS44" s="5">
        <v>0</v>
      </c>
      <c r="HT44" s="5" t="b">
        <v>0</v>
      </c>
    </row>
    <row r="45" spans="1:229">
      <c r="A45"/>
      <c r="B45" s="1">
        <f>10000000+INDEX(编号表!$B$1:$B$112,MATCH(D45,编号表!$A$1:$A$112,0))*10000+I45</f>
        <v>10040009</v>
      </c>
      <c r="C45" s="5" t="s">
        <v>374</v>
      </c>
      <c r="D45" s="5" t="s">
        <v>374</v>
      </c>
      <c r="E45" s="5" t="s">
        <v>348</v>
      </c>
      <c r="F45" s="5" t="s">
        <v>362</v>
      </c>
      <c r="G45" s="5" t="b">
        <v>0</v>
      </c>
      <c r="H45" s="5" t="b">
        <v>0</v>
      </c>
      <c r="I45" s="5">
        <v>9</v>
      </c>
      <c r="J45" s="5">
        <v>100400</v>
      </c>
      <c r="K45" s="5" t="s">
        <v>350</v>
      </c>
      <c r="L45" s="5">
        <v>10040008</v>
      </c>
      <c r="M45" s="5">
        <v>10040010</v>
      </c>
      <c r="N45" s="5" t="s">
        <v>375</v>
      </c>
      <c r="O45" s="5">
        <v>10202003</v>
      </c>
      <c r="P45" s="5">
        <v>0</v>
      </c>
      <c r="Q45" s="5">
        <v>3</v>
      </c>
      <c r="R45" s="5">
        <v>40</v>
      </c>
      <c r="S45" s="5">
        <v>0</v>
      </c>
      <c r="T45" s="5">
        <v>100</v>
      </c>
      <c r="U45" s="5" t="s">
        <v>364</v>
      </c>
      <c r="V45" s="5">
        <v>220</v>
      </c>
      <c r="W45" s="5">
        <v>0</v>
      </c>
      <c r="X45" s="5" t="inlineStr">
        <is>
          <t xml:space="preserve">目标点</t>
        </is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 t="s">
        <v>356</v>
      </c>
      <c r="AZ45" s="5">
        <v>11900</v>
      </c>
      <c r="BA45" s="5" t="inlineStr">
        <is>
          <t xml:space="preserve">技能效果_弹道</t>
        </is>
      </c>
      <c r="BB45" s="5" t="inlineStr">
        <is>
          <t xml:space="preserve">敌对</t>
        </is>
      </c>
      <c r="BC45" s="5">
        <v>10000</v>
      </c>
      <c r="BD45" s="5">
        <v>0</v>
      </c>
      <c r="BE45" s="5" t="inlineStr">
        <is>
          <t xml:space="preserve">全部</t>
        </is>
      </c>
      <c r="BF45" s="5">
        <v>0</v>
      </c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>
        <v>30047</v>
      </c>
      <c r="CG45" s="5" t="inlineStr">
        <is>
          <t xml:space="preserve">Sound\Zs_Gongji1</t>
        </is>
      </c>
      <c r="CH45" s="5">
        <v>900</v>
      </c>
      <c r="CI45" s="5">
        <v>80</v>
      </c>
      <c r="CJ45" s="5" t="inlineStr">
        <is>
          <t xml:space="preserve">直线</t>
        </is>
      </c>
      <c r="CK45" s="5">
        <v>1</v>
      </c>
      <c r="CL45" s="5">
        <v>0</v>
      </c>
      <c r="CM45" s="5">
        <v>1</v>
      </c>
      <c r="CN45" s="5">
        <v>400</v>
      </c>
      <c r="CO45" s="5">
        <v>65</v>
      </c>
      <c r="CP45" s="5">
        <v>0</v>
      </c>
      <c r="CQ45" s="5">
        <v>-1</v>
      </c>
      <c r="CR45" s="5">
        <v>10390009</v>
      </c>
      <c r="CS45" s="5">
        <v>0</v>
      </c>
      <c r="CT45" s="5">
        <v>0</v>
      </c>
      <c r="CU45" s="5">
        <v>0</v>
      </c>
      <c r="CV45" s="5" t="inlineStr">
        <is>
          <t xml:space="preserve">最近</t>
        </is>
      </c>
      <c r="CW45" s="5"/>
      <c r="CX45"/>
      <c r="CY4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/>
      <c r="EX4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/>
      <c r="GW45"/>
      <c r="GX45" s="5">
        <v>200</v>
      </c>
      <c r="GY45" s="5">
        <v>400</v>
      </c>
      <c r="GZ45" s="5" t="s">
        <v>359</v>
      </c>
      <c r="HA45" s="5">
        <v>0</v>
      </c>
      <c r="HB45" s="5">
        <v>0</v>
      </c>
      <c r="HC45" s="5" t="s">
        <v>366</v>
      </c>
      <c r="HD45" s="5" t="b">
        <v>1</v>
      </c>
      <c r="HE45" s="5">
        <v>3500</v>
      </c>
      <c r="HF45" s="5" t="b">
        <v>0</v>
      </c>
      <c r="HG45" s="5">
        <v>0</v>
      </c>
      <c r="HH45" s="5">
        <v>0</v>
      </c>
      <c r="HI45" s="5">
        <v>0</v>
      </c>
      <c r="HJ45" s="5">
        <v>0</v>
      </c>
      <c r="HK45" s="5" t="b">
        <v>0</v>
      </c>
      <c r="HL45" s="5">
        <v>0</v>
      </c>
      <c r="HM45" s="5">
        <v>10001</v>
      </c>
      <c r="HN45" s="5" t="s">
        <v>367</v>
      </c>
      <c r="HO45" s="5" t="s">
        <v>360</v>
      </c>
      <c r="HP45" s="5">
        <v>0</v>
      </c>
      <c r="HQ45" s="5">
        <v>0</v>
      </c>
      <c r="HR45" s="5">
        <v>0</v>
      </c>
      <c r="HS45" s="5">
        <v>0</v>
      </c>
      <c r="HT45" s="5" t="b">
        <v>0</v>
      </c>
    </row>
    <row r="46" spans="1:229">
      <c r="A46"/>
      <c r="B46" s="1">
        <f>10000000+INDEX(编号表!$B$1:$B$112,MATCH(D46,编号表!$A$1:$A$112,0))*10000+I46</f>
        <v>10040010</v>
      </c>
      <c r="C46" s="5" t="s">
        <v>374</v>
      </c>
      <c r="D46" s="5" t="s">
        <v>374</v>
      </c>
      <c r="E46" s="5" t="s">
        <v>348</v>
      </c>
      <c r="F46" s="5" t="s">
        <v>362</v>
      </c>
      <c r="G46" s="5" t="b">
        <v>0</v>
      </c>
      <c r="H46" s="5" t="b">
        <v>0</v>
      </c>
      <c r="I46" s="5">
        <v>10</v>
      </c>
      <c r="J46" s="5">
        <v>100400</v>
      </c>
      <c r="K46" s="5" t="s">
        <v>350</v>
      </c>
      <c r="L46" s="5">
        <v>10040009</v>
      </c>
      <c r="M46" s="5">
        <v>0</v>
      </c>
      <c r="N46" s="5" t="s">
        <v>375</v>
      </c>
      <c r="O46" s="5">
        <v>10202003</v>
      </c>
      <c r="P46" s="5">
        <v>0</v>
      </c>
      <c r="Q46" s="5">
        <v>3</v>
      </c>
      <c r="R46" s="5">
        <v>40</v>
      </c>
      <c r="S46" s="5">
        <v>0</v>
      </c>
      <c r="T46" s="5">
        <v>0</v>
      </c>
      <c r="U46" s="5" t="s">
        <v>364</v>
      </c>
      <c r="V46" s="5">
        <v>220</v>
      </c>
      <c r="W46" s="5">
        <v>0</v>
      </c>
      <c r="X46" s="5" t="inlineStr">
        <is>
          <t xml:space="preserve">目标点</t>
        </is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 t="s">
        <v>356</v>
      </c>
      <c r="AZ46" s="5">
        <v>12000</v>
      </c>
      <c r="BA46" s="5" t="inlineStr">
        <is>
          <t xml:space="preserve">技能效果_弹道</t>
        </is>
      </c>
      <c r="BB46" s="5" t="inlineStr">
        <is>
          <t xml:space="preserve">敌对</t>
        </is>
      </c>
      <c r="BC46" s="5">
        <v>10000</v>
      </c>
      <c r="BD46" s="5">
        <v>0</v>
      </c>
      <c r="BE46" s="5" t="inlineStr">
        <is>
          <t xml:space="preserve">全部</t>
        </is>
      </c>
      <c r="BF46" s="5">
        <v>0</v>
      </c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>
        <v>30047</v>
      </c>
      <c r="CG46" s="5" t="inlineStr">
        <is>
          <t xml:space="preserve">Sound\Zs_Gongji1</t>
        </is>
      </c>
      <c r="CH46" s="5">
        <v>900</v>
      </c>
      <c r="CI46" s="5">
        <v>80</v>
      </c>
      <c r="CJ46" s="5" t="inlineStr">
        <is>
          <t xml:space="preserve">直线</t>
        </is>
      </c>
      <c r="CK46" s="5">
        <v>1</v>
      </c>
      <c r="CL46" s="5">
        <v>0</v>
      </c>
      <c r="CM46" s="5">
        <v>1</v>
      </c>
      <c r="CN46" s="5">
        <v>400</v>
      </c>
      <c r="CO46" s="5">
        <v>65</v>
      </c>
      <c r="CP46" s="5">
        <v>0</v>
      </c>
      <c r="CQ46" s="5">
        <v>-1</v>
      </c>
      <c r="CR46" s="5">
        <v>10390010</v>
      </c>
      <c r="CS46" s="5">
        <v>0</v>
      </c>
      <c r="CT46" s="5">
        <v>0</v>
      </c>
      <c r="CU46" s="5">
        <v>0</v>
      </c>
      <c r="CV46" s="5" t="inlineStr">
        <is>
          <t xml:space="preserve">最近</t>
        </is>
      </c>
      <c r="CW46" s="5"/>
      <c r="CX46"/>
      <c r="CY46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/>
      <c r="EX46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/>
      <c r="GW46"/>
      <c r="GX46" s="5">
        <v>200</v>
      </c>
      <c r="GY46" s="5">
        <v>400</v>
      </c>
      <c r="GZ46" s="5" t="s">
        <v>359</v>
      </c>
      <c r="HA46" s="5">
        <v>0</v>
      </c>
      <c r="HB46" s="5">
        <v>0</v>
      </c>
      <c r="HC46" s="5" t="s">
        <v>366</v>
      </c>
      <c r="HD46" s="5" t="b">
        <v>1</v>
      </c>
      <c r="HE46" s="5">
        <v>3500</v>
      </c>
      <c r="HF46" s="5" t="b">
        <v>0</v>
      </c>
      <c r="HG46" s="5">
        <v>0</v>
      </c>
      <c r="HH46" s="5">
        <v>0</v>
      </c>
      <c r="HI46" s="5">
        <v>0</v>
      </c>
      <c r="HJ46" s="5">
        <v>0</v>
      </c>
      <c r="HK46" s="5" t="b">
        <v>0</v>
      </c>
      <c r="HL46" s="5">
        <v>0</v>
      </c>
      <c r="HM46" s="5">
        <v>10001</v>
      </c>
      <c r="HN46" s="5" t="s">
        <v>367</v>
      </c>
      <c r="HO46" s="5" t="s">
        <v>360</v>
      </c>
      <c r="HP46" s="5">
        <v>0</v>
      </c>
      <c r="HQ46" s="5">
        <v>0</v>
      </c>
      <c r="HR46" s="5">
        <v>0</v>
      </c>
      <c r="HS46" s="5">
        <v>0</v>
      </c>
      <c r="HT46" s="5" t="b">
        <v>0</v>
      </c>
    </row>
    <row r="47" spans="1:229">
      <c r="A47"/>
      <c r="B47" s="1">
        <f>10000000+INDEX(编号表!$B$1:$B$112,MATCH(D47,编号表!$A$1:$A$112,0))*10000+I47</f>
        <v>10050001</v>
      </c>
      <c r="C47" s="5" t="s">
        <v>377</v>
      </c>
      <c r="D47" s="5" t="s">
        <v>377</v>
      </c>
      <c r="E47" s="5" t="s">
        <v>348</v>
      </c>
      <c r="F47" s="5" t="s">
        <v>378</v>
      </c>
      <c r="G47" s="5" t="b">
        <v>0</v>
      </c>
      <c r="H47" s="5" t="b">
        <v>0</v>
      </c>
      <c r="I47" s="5">
        <v>1</v>
      </c>
      <c r="J47" s="5">
        <v>100500</v>
      </c>
      <c r="K47" s="5" t="s">
        <v>350</v>
      </c>
      <c r="L47" s="5">
        <v>0</v>
      </c>
      <c r="M47" s="5">
        <v>10050002</v>
      </c>
      <c r="N47" s="5" t="s">
        <v>379</v>
      </c>
      <c r="O47" s="5">
        <v>10202004</v>
      </c>
      <c r="P47" s="5">
        <v>0</v>
      </c>
      <c r="Q47" s="5">
        <v>0</v>
      </c>
      <c r="R47" s="5">
        <v>1</v>
      </c>
      <c r="S47" s="5">
        <v>0</v>
      </c>
      <c r="T47" s="5">
        <v>100</v>
      </c>
      <c r="U47" s="5" t="s">
        <v>364</v>
      </c>
      <c r="V47" s="5">
        <v>0</v>
      </c>
      <c r="W47" s="5">
        <v>0</v>
      </c>
      <c r="X47" s="5" t="s">
        <v>370</v>
      </c>
      <c r="Y47" s="5" t="s">
        <v>380</v>
      </c>
      <c r="Z47" s="5" t="s">
        <v>354</v>
      </c>
      <c r="AA47" s="5">
        <v>0</v>
      </c>
      <c r="AB47" s="5">
        <v>0</v>
      </c>
      <c r="AC47" s="5" t="b">
        <v>0</v>
      </c>
      <c r="AD47" s="5" t="s">
        <v>355</v>
      </c>
      <c r="AE47" s="5"/>
      <c r="AF47" s="5"/>
      <c r="AG47" s="5"/>
      <c r="AH47" s="5">
        <v>700</v>
      </c>
      <c r="AI47" s="5">
        <v>200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 t="s">
        <v>381</v>
      </c>
      <c r="AZ47" s="5">
        <v>10000</v>
      </c>
      <c r="BA47" s="5" t="s">
        <v>357</v>
      </c>
      <c r="BB47" s="5" t="s">
        <v>354</v>
      </c>
      <c r="BC47" s="5">
        <v>10000</v>
      </c>
      <c r="BD47" s="5">
        <v>0</v>
      </c>
      <c r="BE47" s="5" t="s">
        <v>358</v>
      </c>
      <c r="BF47" s="5">
        <v>0</v>
      </c>
      <c r="BG47" s="5" t="s">
        <v>382</v>
      </c>
      <c r="BH47" s="5">
        <v>9500</v>
      </c>
      <c r="BI47" s="5">
        <v>3</v>
      </c>
      <c r="BJ47" s="5" t="b">
        <v>1</v>
      </c>
      <c r="BK47" s="5">
        <v>0</v>
      </c>
      <c r="BL47" s="5">
        <v>9000</v>
      </c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X47" s="5">
        <v>200</v>
      </c>
      <c r="GY47" s="5">
        <v>400</v>
      </c>
      <c r="GZ47" s="5" t="s">
        <v>383</v>
      </c>
      <c r="HA47" s="5">
        <v>0</v>
      </c>
      <c r="HB47" s="5" t="s">
        <v>366</v>
      </c>
      <c r="HC47" s="5" t="s">
        <v>366</v>
      </c>
      <c r="HD47" s="5" t="b">
        <v>1</v>
      </c>
      <c r="HE47" s="5">
        <v>2200</v>
      </c>
      <c r="HF47" s="5" t="b">
        <v>0</v>
      </c>
      <c r="HG47" s="5">
        <v>0</v>
      </c>
      <c r="HH47" s="5">
        <v>0</v>
      </c>
      <c r="HI47" s="5">
        <v>0</v>
      </c>
      <c r="HJ47" s="5">
        <v>0</v>
      </c>
      <c r="HK47" s="5" t="b">
        <v>0</v>
      </c>
      <c r="HL47" s="5">
        <v>0</v>
      </c>
      <c r="HM47" s="5">
        <v>10001</v>
      </c>
      <c r="HN47" s="5" t="s">
        <v>367</v>
      </c>
      <c r="HO47" s="5" t="s">
        <v>360</v>
      </c>
      <c r="HP47" s="5">
        <v>0</v>
      </c>
      <c r="HQ47" s="5">
        <v>0</v>
      </c>
      <c r="HR47" s="5">
        <v>0</v>
      </c>
      <c r="HS47" s="5">
        <v>0</v>
      </c>
      <c r="HT47" s="5" t="b">
        <v>0</v>
      </c>
      <c r="HU47">
        <v>30051</v>
      </c>
    </row>
    <row r="48" spans="1:229">
      <c r="A48"/>
      <c r="B48" s="1">
        <f>10000000+INDEX(编号表!$B$1:$B$112,MATCH(D48,编号表!$A$1:$A$112,0))*10000+I48</f>
        <v>10050002</v>
      </c>
      <c r="C48" s="5" t="s">
        <v>377</v>
      </c>
      <c r="D48" s="5" t="s">
        <v>377</v>
      </c>
      <c r="E48" s="5" t="s">
        <v>348</v>
      </c>
      <c r="F48" s="5" t="s">
        <v>378</v>
      </c>
      <c r="G48" s="5" t="b">
        <v>0</v>
      </c>
      <c r="H48" s="5" t="b">
        <v>0</v>
      </c>
      <c r="I48" s="5">
        <v>2</v>
      </c>
      <c r="J48" s="5">
        <v>100500</v>
      </c>
      <c r="K48" s="5" t="s">
        <v>350</v>
      </c>
      <c r="L48" s="5">
        <v>10050001</v>
      </c>
      <c r="M48" s="5">
        <v>10050003</v>
      </c>
      <c r="N48" s="5" t="s">
        <v>379</v>
      </c>
      <c r="O48" s="5">
        <v>10202004</v>
      </c>
      <c r="P48" s="5">
        <v>0</v>
      </c>
      <c r="Q48" s="5">
        <v>1</v>
      </c>
      <c r="R48" s="5">
        <v>7</v>
      </c>
      <c r="S48" s="5">
        <v>0</v>
      </c>
      <c r="T48" s="5">
        <v>100</v>
      </c>
      <c r="U48" s="5" t="s">
        <v>364</v>
      </c>
      <c r="V48" s="5">
        <v>0</v>
      </c>
      <c r="W48" s="5">
        <v>0</v>
      </c>
      <c r="X48" s="5" t="s">
        <v>370</v>
      </c>
      <c r="Y48" s="5" t="s">
        <v>380</v>
      </c>
      <c r="Z48" s="5" t="s">
        <v>354</v>
      </c>
      <c r="AA48" s="5">
        <v>0</v>
      </c>
      <c r="AB48" s="5">
        <v>0</v>
      </c>
      <c r="AC48" s="5" t="b">
        <v>0</v>
      </c>
      <c r="AD48" s="5" t="s">
        <v>355</v>
      </c>
      <c r="AE48" s="5"/>
      <c r="AF48" s="5"/>
      <c r="AG48" s="5"/>
      <c r="AH48" s="5">
        <v>700</v>
      </c>
      <c r="AI48" s="5">
        <v>200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 t="s">
        <v>381</v>
      </c>
      <c r="AZ48" s="5">
        <v>10400</v>
      </c>
      <c r="BA48" s="5" t="s">
        <v>357</v>
      </c>
      <c r="BB48" s="5" t="s">
        <v>354</v>
      </c>
      <c r="BC48" s="5">
        <v>10000</v>
      </c>
      <c r="BD48" s="5">
        <v>0</v>
      </c>
      <c r="BE48" s="5" t="s">
        <v>358</v>
      </c>
      <c r="BF48" s="5">
        <v>0</v>
      </c>
      <c r="BG48" s="5" t="s">
        <v>382</v>
      </c>
      <c r="BH48" s="5">
        <v>9500</v>
      </c>
      <c r="BI48" s="5">
        <v>4</v>
      </c>
      <c r="BJ48" s="5" t="b">
        <v>1</v>
      </c>
      <c r="BK48" s="5">
        <v>0</v>
      </c>
      <c r="BL48" s="5">
        <v>9000</v>
      </c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X48" s="5">
        <v>200</v>
      </c>
      <c r="GY48" s="5">
        <v>400</v>
      </c>
      <c r="GZ48" s="5" t="s">
        <v>383</v>
      </c>
      <c r="HA48" s="5">
        <v>0</v>
      </c>
      <c r="HB48" s="5" t="s">
        <v>366</v>
      </c>
      <c r="HC48" s="5" t="s">
        <v>366</v>
      </c>
      <c r="HD48" s="5" t="b">
        <v>1</v>
      </c>
      <c r="HE48" s="5">
        <v>2200</v>
      </c>
      <c r="HF48" s="5" t="b">
        <v>0</v>
      </c>
      <c r="HG48" s="5">
        <v>0</v>
      </c>
      <c r="HH48" s="5">
        <v>0</v>
      </c>
      <c r="HI48" s="5">
        <v>0</v>
      </c>
      <c r="HJ48" s="5">
        <v>0</v>
      </c>
      <c r="HK48" s="5" t="b">
        <v>0</v>
      </c>
      <c r="HL48" s="5">
        <v>0</v>
      </c>
      <c r="HM48" s="5">
        <v>10001</v>
      </c>
      <c r="HN48" s="5" t="s">
        <v>367</v>
      </c>
      <c r="HO48" s="5" t="s">
        <v>360</v>
      </c>
      <c r="HP48" s="5">
        <v>0</v>
      </c>
      <c r="HQ48" s="5">
        <v>0</v>
      </c>
      <c r="HR48" s="5">
        <v>0</v>
      </c>
      <c r="HS48" s="5">
        <v>0</v>
      </c>
      <c r="HT48" s="5" t="b">
        <v>0</v>
      </c>
      <c r="HU48">
        <v>30051</v>
      </c>
    </row>
    <row r="49" spans="1:229">
      <c r="A49"/>
      <c r="B49" s="1">
        <f>10000000+INDEX(编号表!$B$1:$B$112,MATCH(D49,编号表!$A$1:$A$112,0))*10000+I49</f>
        <v>10050003</v>
      </c>
      <c r="C49" s="5" t="s">
        <v>377</v>
      </c>
      <c r="D49" s="5" t="s">
        <v>377</v>
      </c>
      <c r="E49" s="5" t="s">
        <v>348</v>
      </c>
      <c r="F49" s="5" t="s">
        <v>378</v>
      </c>
      <c r="G49" s="5" t="b">
        <v>0</v>
      </c>
      <c r="H49" s="5" t="b">
        <v>0</v>
      </c>
      <c r="I49" s="5">
        <v>3</v>
      </c>
      <c r="J49" s="5">
        <v>100500</v>
      </c>
      <c r="K49" s="5" t="s">
        <v>350</v>
      </c>
      <c r="L49" s="5">
        <v>10050002</v>
      </c>
      <c r="M49" s="5">
        <v>10050004</v>
      </c>
      <c r="N49" s="5" t="s">
        <v>379</v>
      </c>
      <c r="O49" s="5">
        <v>10202004</v>
      </c>
      <c r="P49" s="5">
        <v>0</v>
      </c>
      <c r="Q49" s="5">
        <v>2</v>
      </c>
      <c r="R49" s="5">
        <v>11</v>
      </c>
      <c r="S49" s="5">
        <v>0</v>
      </c>
      <c r="T49" s="5">
        <v>100</v>
      </c>
      <c r="U49" s="5" t="s">
        <v>364</v>
      </c>
      <c r="V49" s="5">
        <v>0</v>
      </c>
      <c r="W49" s="5">
        <v>0</v>
      </c>
      <c r="X49" s="5" t="s">
        <v>370</v>
      </c>
      <c r="Y49" s="5" t="s">
        <v>380</v>
      </c>
      <c r="Z49" s="5" t="s">
        <v>354</v>
      </c>
      <c r="AA49" s="5">
        <v>0</v>
      </c>
      <c r="AB49" s="5">
        <v>0</v>
      </c>
      <c r="AC49" s="5" t="b">
        <v>0</v>
      </c>
      <c r="AD49" s="5" t="s">
        <v>355</v>
      </c>
      <c r="AE49" s="5"/>
      <c r="AF49" s="5"/>
      <c r="AG49" s="5"/>
      <c r="AH49" s="5">
        <v>700</v>
      </c>
      <c r="AI49" s="5">
        <v>200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 t="s">
        <v>381</v>
      </c>
      <c r="AZ49" s="5">
        <v>10800</v>
      </c>
      <c r="BA49" s="5" t="s">
        <v>357</v>
      </c>
      <c r="BB49" s="5" t="s">
        <v>354</v>
      </c>
      <c r="BC49" s="5">
        <v>10000</v>
      </c>
      <c r="BD49" s="5">
        <v>0</v>
      </c>
      <c r="BE49" s="5" t="s">
        <v>358</v>
      </c>
      <c r="BF49" s="5">
        <v>0</v>
      </c>
      <c r="BG49" s="5" t="s">
        <v>382</v>
      </c>
      <c r="BH49" s="5">
        <v>9500</v>
      </c>
      <c r="BI49" s="5">
        <v>5</v>
      </c>
      <c r="BJ49" s="5" t="b">
        <v>1</v>
      </c>
      <c r="BK49" s="5">
        <v>0</v>
      </c>
      <c r="BL49" s="5">
        <v>9000</v>
      </c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X49" s="5">
        <v>200</v>
      </c>
      <c r="GY49" s="5">
        <v>400</v>
      </c>
      <c r="GZ49" s="5" t="s">
        <v>383</v>
      </c>
      <c r="HA49" s="5">
        <v>0</v>
      </c>
      <c r="HB49" s="5" t="s">
        <v>366</v>
      </c>
      <c r="HC49" s="5" t="s">
        <v>366</v>
      </c>
      <c r="HD49" s="5" t="b">
        <v>1</v>
      </c>
      <c r="HE49" s="5">
        <v>2200</v>
      </c>
      <c r="HF49" s="5" t="b">
        <v>0</v>
      </c>
      <c r="HG49" s="5">
        <v>0</v>
      </c>
      <c r="HH49" s="5">
        <v>0</v>
      </c>
      <c r="HI49" s="5">
        <v>0</v>
      </c>
      <c r="HJ49" s="5">
        <v>0</v>
      </c>
      <c r="HK49" s="5" t="b">
        <v>0</v>
      </c>
      <c r="HL49" s="5">
        <v>0</v>
      </c>
      <c r="HM49" s="5">
        <v>10001</v>
      </c>
      <c r="HN49" s="5" t="s">
        <v>367</v>
      </c>
      <c r="HO49" s="5" t="s">
        <v>360</v>
      </c>
      <c r="HP49" s="5">
        <v>0</v>
      </c>
      <c r="HQ49" s="5">
        <v>0</v>
      </c>
      <c r="HR49" s="5">
        <v>0</v>
      </c>
      <c r="HS49" s="5">
        <v>0</v>
      </c>
      <c r="HT49" s="5" t="b">
        <v>0</v>
      </c>
      <c r="HU49">
        <v>30051</v>
      </c>
    </row>
    <row r="50" spans="1:229">
      <c r="A50"/>
      <c r="B50" s="1">
        <f>10000000+INDEX(编号表!$B$1:$B$112,MATCH(D50,编号表!$A$1:$A$112,0))*10000+I50</f>
        <v>10050004</v>
      </c>
      <c r="C50" s="5" t="s">
        <v>377</v>
      </c>
      <c r="D50" s="5" t="s">
        <v>377</v>
      </c>
      <c r="E50" s="5" t="s">
        <v>348</v>
      </c>
      <c r="F50" s="5" t="s">
        <v>378</v>
      </c>
      <c r="G50" s="5" t="b">
        <v>0</v>
      </c>
      <c r="H50" s="5" t="b">
        <v>0</v>
      </c>
      <c r="I50" s="5">
        <v>4</v>
      </c>
      <c r="J50" s="5">
        <v>100500</v>
      </c>
      <c r="K50" s="5" t="s">
        <v>350</v>
      </c>
      <c r="L50" s="5">
        <v>10050003</v>
      </c>
      <c r="M50" s="5">
        <v>10050005</v>
      </c>
      <c r="N50" s="5" t="s">
        <v>379</v>
      </c>
      <c r="O50" s="5">
        <v>10202004</v>
      </c>
      <c r="P50" s="5">
        <v>0</v>
      </c>
      <c r="Q50" s="5">
        <v>3</v>
      </c>
      <c r="R50" s="5">
        <v>16</v>
      </c>
      <c r="S50" s="5">
        <v>0</v>
      </c>
      <c r="T50" s="5">
        <v>100</v>
      </c>
      <c r="U50" s="5" t="s">
        <v>364</v>
      </c>
      <c r="V50" s="5">
        <v>0</v>
      </c>
      <c r="W50" s="5">
        <v>0</v>
      </c>
      <c r="X50" s="5" t="s">
        <v>370</v>
      </c>
      <c r="Y50" s="5" t="s">
        <v>380</v>
      </c>
      <c r="Z50" s="5" t="s">
        <v>354</v>
      </c>
      <c r="AA50" s="5">
        <v>0</v>
      </c>
      <c r="AB50" s="5">
        <v>0</v>
      </c>
      <c r="AC50" s="5" t="b">
        <v>0</v>
      </c>
      <c r="AD50" s="5" t="s">
        <v>355</v>
      </c>
      <c r="AE50" s="5"/>
      <c r="AF50" s="5"/>
      <c r="AG50" s="5"/>
      <c r="AH50" s="5">
        <v>700</v>
      </c>
      <c r="AI50" s="5">
        <v>200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 t="s">
        <v>381</v>
      </c>
      <c r="AZ50" s="5">
        <v>11200</v>
      </c>
      <c r="BA50" s="5" t="s">
        <v>357</v>
      </c>
      <c r="BB50" s="5" t="s">
        <v>354</v>
      </c>
      <c r="BC50" s="5">
        <v>10000</v>
      </c>
      <c r="BD50" s="5">
        <v>0</v>
      </c>
      <c r="BE50" s="5" t="s">
        <v>358</v>
      </c>
      <c r="BF50" s="5">
        <v>0</v>
      </c>
      <c r="BG50" s="5" t="s">
        <v>382</v>
      </c>
      <c r="BH50" s="5">
        <v>9500</v>
      </c>
      <c r="BI50" s="5">
        <v>6</v>
      </c>
      <c r="BJ50" s="5" t="b">
        <v>1</v>
      </c>
      <c r="BK50" s="5">
        <v>0</v>
      </c>
      <c r="BL50" s="5">
        <v>9000</v>
      </c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X50" s="5">
        <v>200</v>
      </c>
      <c r="GY50" s="5">
        <v>400</v>
      </c>
      <c r="GZ50" s="5" t="s">
        <v>383</v>
      </c>
      <c r="HA50" s="5">
        <v>0</v>
      </c>
      <c r="HB50" s="5" t="s">
        <v>366</v>
      </c>
      <c r="HC50" s="5" t="s">
        <v>366</v>
      </c>
      <c r="HD50" s="5" t="b">
        <v>1</v>
      </c>
      <c r="HE50" s="5">
        <v>2200</v>
      </c>
      <c r="HF50" s="5" t="b">
        <v>0</v>
      </c>
      <c r="HG50" s="5">
        <v>0</v>
      </c>
      <c r="HH50" s="5">
        <v>0</v>
      </c>
      <c r="HI50" s="5">
        <v>0</v>
      </c>
      <c r="HJ50" s="5">
        <v>0</v>
      </c>
      <c r="HK50" s="5" t="b">
        <v>0</v>
      </c>
      <c r="HL50" s="5">
        <v>0</v>
      </c>
      <c r="HM50" s="5">
        <v>10001</v>
      </c>
      <c r="HN50" s="5" t="s">
        <v>367</v>
      </c>
      <c r="HO50" s="5" t="s">
        <v>360</v>
      </c>
      <c r="HP50" s="5">
        <v>0</v>
      </c>
      <c r="HQ50" s="5">
        <v>0</v>
      </c>
      <c r="HR50" s="5">
        <v>0</v>
      </c>
      <c r="HS50" s="5">
        <v>0</v>
      </c>
      <c r="HT50" s="5" t="b">
        <v>0</v>
      </c>
      <c r="HU50">
        <v>30051</v>
      </c>
    </row>
    <row r="51" spans="1:229">
      <c r="A51"/>
      <c r="B51" s="1">
        <f>10000000+INDEX(编号表!$B$1:$B$112,MATCH(D51,编号表!$A$1:$A$112,0))*10000+I51</f>
        <v>10050005</v>
      </c>
      <c r="C51" s="5" t="s">
        <v>377</v>
      </c>
      <c r="D51" s="5" t="s">
        <v>377</v>
      </c>
      <c r="E51" s="5" t="s">
        <v>348</v>
      </c>
      <c r="F51" s="5" t="s">
        <v>378</v>
      </c>
      <c r="G51" s="5" t="b">
        <v>0</v>
      </c>
      <c r="H51" s="5" t="b">
        <v>0</v>
      </c>
      <c r="I51" s="5">
        <v>5</v>
      </c>
      <c r="J51" s="5">
        <v>100500</v>
      </c>
      <c r="K51" s="5" t="s">
        <v>350</v>
      </c>
      <c r="L51" s="5">
        <v>10050004</v>
      </c>
      <c r="M51" s="5">
        <v>10050006</v>
      </c>
      <c r="N51" s="5" t="s">
        <v>379</v>
      </c>
      <c r="O51" s="5">
        <v>10202004</v>
      </c>
      <c r="P51" s="5">
        <v>0</v>
      </c>
      <c r="Q51" s="5">
        <v>3</v>
      </c>
      <c r="R51" s="5">
        <v>25</v>
      </c>
      <c r="S51" s="5">
        <v>0</v>
      </c>
      <c r="T51" s="5">
        <v>100</v>
      </c>
      <c r="U51" s="5" t="s">
        <v>364</v>
      </c>
      <c r="V51" s="5">
        <v>0</v>
      </c>
      <c r="W51" s="5">
        <v>0</v>
      </c>
      <c r="X51" s="5" t="s">
        <v>370</v>
      </c>
      <c r="Y51" s="5" t="s">
        <v>380</v>
      </c>
      <c r="Z51" s="5" t="s">
        <v>354</v>
      </c>
      <c r="AA51" s="5">
        <v>0</v>
      </c>
      <c r="AB51" s="5">
        <v>0</v>
      </c>
      <c r="AC51" s="5" t="b">
        <v>0</v>
      </c>
      <c r="AD51" s="5" t="s">
        <v>355</v>
      </c>
      <c r="AE51" s="5"/>
      <c r="AF51" s="5"/>
      <c r="AG51" s="5"/>
      <c r="AH51" s="5">
        <v>700</v>
      </c>
      <c r="AI51" s="5">
        <v>200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 t="s">
        <v>381</v>
      </c>
      <c r="AZ51" s="5">
        <v>11300</v>
      </c>
      <c r="BA51" s="5" t="s">
        <v>357</v>
      </c>
      <c r="BB51" s="5" t="s">
        <v>354</v>
      </c>
      <c r="BC51" s="5">
        <v>10000</v>
      </c>
      <c r="BD51" s="5">
        <v>0</v>
      </c>
      <c r="BE51" s="5" t="s">
        <v>358</v>
      </c>
      <c r="BF51" s="5">
        <v>0</v>
      </c>
      <c r="BG51" s="5" t="s">
        <v>382</v>
      </c>
      <c r="BH51" s="5">
        <v>9500</v>
      </c>
      <c r="BI51" s="5">
        <v>6</v>
      </c>
      <c r="BJ51" s="5" t="b">
        <v>1</v>
      </c>
      <c r="BK51" s="5">
        <v>0</v>
      </c>
      <c r="BL51" s="5">
        <v>9000</v>
      </c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X51" s="5">
        <v>200</v>
      </c>
      <c r="GY51" s="5">
        <v>400</v>
      </c>
      <c r="GZ51" s="5" t="s">
        <v>383</v>
      </c>
      <c r="HA51" s="5">
        <v>0</v>
      </c>
      <c r="HB51" s="5" t="s">
        <v>366</v>
      </c>
      <c r="HC51" s="5" t="s">
        <v>366</v>
      </c>
      <c r="HD51" s="5" t="b">
        <v>1</v>
      </c>
      <c r="HE51" s="5">
        <v>2200</v>
      </c>
      <c r="HF51" s="5" t="b">
        <v>0</v>
      </c>
      <c r="HG51" s="5">
        <v>0</v>
      </c>
      <c r="HH51" s="5">
        <v>0</v>
      </c>
      <c r="HI51" s="5">
        <v>0</v>
      </c>
      <c r="HJ51" s="5">
        <v>0</v>
      </c>
      <c r="HK51" s="5" t="b">
        <v>0</v>
      </c>
      <c r="HL51" s="5">
        <v>0</v>
      </c>
      <c r="HM51" s="5">
        <v>10001</v>
      </c>
      <c r="HN51" s="5" t="s">
        <v>367</v>
      </c>
      <c r="HO51" s="5" t="s">
        <v>360</v>
      </c>
      <c r="HP51" s="5">
        <v>0</v>
      </c>
      <c r="HQ51" s="5">
        <v>0</v>
      </c>
      <c r="HR51" s="5">
        <v>0</v>
      </c>
      <c r="HS51" s="5">
        <v>0</v>
      </c>
      <c r="HT51" s="5" t="b">
        <v>0</v>
      </c>
      <c r="HU51">
        <v>30051</v>
      </c>
    </row>
    <row r="52" spans="1:229">
      <c r="A52"/>
      <c r="B52" s="1">
        <f>10000000+INDEX(编号表!$B$1:$B$112,MATCH(D52,编号表!$A$1:$A$112,0))*10000+I52</f>
        <v>10050006</v>
      </c>
      <c r="C52" s="5" t="s">
        <v>377</v>
      </c>
      <c r="D52" s="5" t="s">
        <v>377</v>
      </c>
      <c r="E52" s="5" t="s">
        <v>348</v>
      </c>
      <c r="F52" s="5" t="s">
        <v>378</v>
      </c>
      <c r="G52" s="5" t="b">
        <v>0</v>
      </c>
      <c r="H52" s="5" t="b">
        <v>0</v>
      </c>
      <c r="I52" s="5">
        <v>6</v>
      </c>
      <c r="J52" s="5">
        <v>100500</v>
      </c>
      <c r="K52" s="5" t="s">
        <v>350</v>
      </c>
      <c r="L52" s="5">
        <v>10050005</v>
      </c>
      <c r="M52" s="5">
        <v>10050007</v>
      </c>
      <c r="N52" s="5" t="s">
        <v>379</v>
      </c>
      <c r="O52" s="5">
        <v>10202004</v>
      </c>
      <c r="P52" s="5">
        <v>0</v>
      </c>
      <c r="Q52" s="5">
        <v>3</v>
      </c>
      <c r="R52" s="5">
        <v>30</v>
      </c>
      <c r="S52" s="5">
        <v>0</v>
      </c>
      <c r="T52" s="5">
        <v>100</v>
      </c>
      <c r="U52" s="5" t="s">
        <v>364</v>
      </c>
      <c r="V52" s="5">
        <v>0</v>
      </c>
      <c r="W52" s="5">
        <v>0</v>
      </c>
      <c r="X52" s="5" t="s">
        <v>370</v>
      </c>
      <c r="Y52" s="5" t="s">
        <v>380</v>
      </c>
      <c r="Z52" s="5" t="s">
        <v>354</v>
      </c>
      <c r="AA52" s="5">
        <v>0</v>
      </c>
      <c r="AB52" s="5">
        <v>0</v>
      </c>
      <c r="AC52" s="5" t="b">
        <v>0</v>
      </c>
      <c r="AD52" s="5" t="s">
        <v>355</v>
      </c>
      <c r="AE52" s="5"/>
      <c r="AF52" s="5"/>
      <c r="AG52" s="5"/>
      <c r="AH52" s="5">
        <v>700</v>
      </c>
      <c r="AI52" s="5">
        <v>200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 t="s">
        <v>381</v>
      </c>
      <c r="AZ52" s="5">
        <v>11600</v>
      </c>
      <c r="BA52" s="5" t="s">
        <v>357</v>
      </c>
      <c r="BB52" s="5" t="s">
        <v>354</v>
      </c>
      <c r="BC52" s="5">
        <v>10000</v>
      </c>
      <c r="BD52" s="5">
        <v>0</v>
      </c>
      <c r="BE52" s="5" t="s">
        <v>358</v>
      </c>
      <c r="BF52" s="5">
        <v>0</v>
      </c>
      <c r="BG52" s="5" t="s">
        <v>382</v>
      </c>
      <c r="BH52" s="5">
        <v>9500</v>
      </c>
      <c r="BI52" s="5">
        <v>7</v>
      </c>
      <c r="BJ52" s="5" t="b">
        <v>1</v>
      </c>
      <c r="BK52" s="5">
        <v>0</v>
      </c>
      <c r="BL52" s="5">
        <v>9000</v>
      </c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X52" s="5">
        <v>200</v>
      </c>
      <c r="GY52" s="5">
        <v>400</v>
      </c>
      <c r="GZ52" s="5" t="s">
        <v>383</v>
      </c>
      <c r="HA52" s="5">
        <v>0</v>
      </c>
      <c r="HB52" s="5" t="s">
        <v>366</v>
      </c>
      <c r="HC52" s="5" t="s">
        <v>366</v>
      </c>
      <c r="HD52" s="5" t="b">
        <v>1</v>
      </c>
      <c r="HE52" s="5">
        <v>2200</v>
      </c>
      <c r="HF52" s="5" t="b">
        <v>0</v>
      </c>
      <c r="HG52" s="5">
        <v>0</v>
      </c>
      <c r="HH52" s="5">
        <v>0</v>
      </c>
      <c r="HI52" s="5">
        <v>0</v>
      </c>
      <c r="HJ52" s="5">
        <v>0</v>
      </c>
      <c r="HK52" s="5" t="b">
        <v>0</v>
      </c>
      <c r="HL52" s="5">
        <v>0</v>
      </c>
      <c r="HM52" s="5">
        <v>10001</v>
      </c>
      <c r="HN52" s="5" t="s">
        <v>367</v>
      </c>
      <c r="HO52" s="5" t="s">
        <v>360</v>
      </c>
      <c r="HP52" s="5">
        <v>0</v>
      </c>
      <c r="HQ52" s="5">
        <v>0</v>
      </c>
      <c r="HR52" s="5">
        <v>0</v>
      </c>
      <c r="HS52" s="5">
        <v>0</v>
      </c>
      <c r="HT52" s="5" t="b">
        <v>0</v>
      </c>
      <c r="HU52">
        <v>30051</v>
      </c>
    </row>
    <row r="53" spans="1:229">
      <c r="A53"/>
      <c r="B53" s="1">
        <f>10000000+INDEX(编号表!$B$1:$B$112,MATCH(D53,编号表!$A$1:$A$112,0))*10000+I53</f>
        <v>10050007</v>
      </c>
      <c r="C53" s="5" t="s">
        <v>377</v>
      </c>
      <c r="D53" s="5" t="s">
        <v>377</v>
      </c>
      <c r="E53" s="5" t="s">
        <v>348</v>
      </c>
      <c r="F53" s="5" t="s">
        <v>378</v>
      </c>
      <c r="G53" s="5" t="b">
        <v>0</v>
      </c>
      <c r="H53" s="5" t="b">
        <v>0</v>
      </c>
      <c r="I53" s="5">
        <v>7</v>
      </c>
      <c r="J53" s="5">
        <v>100500</v>
      </c>
      <c r="K53" s="5" t="s">
        <v>350</v>
      </c>
      <c r="L53" s="5">
        <v>10050006</v>
      </c>
      <c r="M53" s="5">
        <v>10050008</v>
      </c>
      <c r="N53" s="5" t="s">
        <v>379</v>
      </c>
      <c r="O53" s="5">
        <v>10202004</v>
      </c>
      <c r="P53" s="5">
        <v>0</v>
      </c>
      <c r="Q53" s="5">
        <v>3</v>
      </c>
      <c r="R53" s="5">
        <v>35</v>
      </c>
      <c r="S53" s="5">
        <v>0</v>
      </c>
      <c r="T53" s="5">
        <v>100</v>
      </c>
      <c r="U53" s="5" t="s">
        <v>364</v>
      </c>
      <c r="V53" s="5">
        <v>0</v>
      </c>
      <c r="W53" s="5">
        <v>0</v>
      </c>
      <c r="X53" s="5" t="s">
        <v>370</v>
      </c>
      <c r="Y53" s="5" t="s">
        <v>380</v>
      </c>
      <c r="Z53" s="5" t="s">
        <v>354</v>
      </c>
      <c r="AA53" s="5">
        <v>0</v>
      </c>
      <c r="AB53" s="5">
        <v>0</v>
      </c>
      <c r="AC53" s="5" t="b">
        <v>0</v>
      </c>
      <c r="AD53" s="5" t="s">
        <v>355</v>
      </c>
      <c r="AE53" s="5"/>
      <c r="AF53" s="5"/>
      <c r="AG53" s="5"/>
      <c r="AH53" s="5">
        <v>700</v>
      </c>
      <c r="AI53" s="5">
        <v>200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 t="s">
        <v>381</v>
      </c>
      <c r="AZ53" s="5">
        <v>11700</v>
      </c>
      <c r="BA53" s="5" t="s">
        <v>357</v>
      </c>
      <c r="BB53" s="5" t="s">
        <v>354</v>
      </c>
      <c r="BC53" s="5">
        <v>10000</v>
      </c>
      <c r="BD53" s="5">
        <v>0</v>
      </c>
      <c r="BE53" s="5" t="s">
        <v>358</v>
      </c>
      <c r="BF53" s="5">
        <v>0</v>
      </c>
      <c r="BG53" s="5" t="s">
        <v>382</v>
      </c>
      <c r="BH53" s="5">
        <v>9500</v>
      </c>
      <c r="BI53" s="5">
        <v>9</v>
      </c>
      <c r="BJ53" s="5" t="b">
        <v>1</v>
      </c>
      <c r="BK53" s="5">
        <v>0</v>
      </c>
      <c r="BL53" s="5">
        <v>9000</v>
      </c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X53" s="5">
        <v>200</v>
      </c>
      <c r="GY53" s="5">
        <v>400</v>
      </c>
      <c r="GZ53" s="5" t="s">
        <v>383</v>
      </c>
      <c r="HA53" s="5">
        <v>0</v>
      </c>
      <c r="HB53" s="5" t="s">
        <v>366</v>
      </c>
      <c r="HC53" s="5" t="s">
        <v>366</v>
      </c>
      <c r="HD53" s="5" t="b">
        <v>1</v>
      </c>
      <c r="HE53" s="5">
        <v>2200</v>
      </c>
      <c r="HF53" s="5" t="b">
        <v>0</v>
      </c>
      <c r="HG53" s="5">
        <v>0</v>
      </c>
      <c r="HH53" s="5">
        <v>0</v>
      </c>
      <c r="HI53" s="5">
        <v>0</v>
      </c>
      <c r="HJ53" s="5">
        <v>0</v>
      </c>
      <c r="HK53" s="5" t="b">
        <v>0</v>
      </c>
      <c r="HL53" s="5">
        <v>0</v>
      </c>
      <c r="HM53" s="5">
        <v>10001</v>
      </c>
      <c r="HN53" s="5" t="s">
        <v>367</v>
      </c>
      <c r="HO53" s="5" t="s">
        <v>360</v>
      </c>
      <c r="HP53" s="5">
        <v>0</v>
      </c>
      <c r="HQ53" s="5">
        <v>0</v>
      </c>
      <c r="HR53" s="5">
        <v>0</v>
      </c>
      <c r="HS53" s="5">
        <v>0</v>
      </c>
      <c r="HT53" s="5" t="b">
        <v>0</v>
      </c>
      <c r="HU53">
        <v>30051</v>
      </c>
    </row>
    <row r="54" spans="1:229">
      <c r="A54"/>
      <c r="B54" s="1">
        <f>10000000+INDEX(编号表!$B$1:$B$112,MATCH(D54,编号表!$A$1:$A$112,0))*10000+I54</f>
        <v>10050008</v>
      </c>
      <c r="C54" s="5" t="s">
        <v>377</v>
      </c>
      <c r="D54" s="5" t="s">
        <v>377</v>
      </c>
      <c r="E54" s="5" t="s">
        <v>348</v>
      </c>
      <c r="F54" s="5" t="s">
        <v>378</v>
      </c>
      <c r="G54" s="5" t="b">
        <v>0</v>
      </c>
      <c r="H54" s="5" t="b">
        <v>0</v>
      </c>
      <c r="I54" s="5">
        <v>8</v>
      </c>
      <c r="J54" s="5">
        <v>100500</v>
      </c>
      <c r="K54" s="5" t="s">
        <v>350</v>
      </c>
      <c r="L54" s="5">
        <v>10050007</v>
      </c>
      <c r="M54" s="5">
        <v>10050009</v>
      </c>
      <c r="N54" s="5" t="s">
        <v>379</v>
      </c>
      <c r="O54" s="5">
        <v>10202004</v>
      </c>
      <c r="P54" s="5">
        <v>0</v>
      </c>
      <c r="Q54" s="5">
        <v>3</v>
      </c>
      <c r="R54" s="5">
        <v>35</v>
      </c>
      <c r="S54" s="5">
        <v>0</v>
      </c>
      <c r="T54" s="5">
        <v>100</v>
      </c>
      <c r="U54" s="5" t="s">
        <v>364</v>
      </c>
      <c r="V54" s="5">
        <v>0</v>
      </c>
      <c r="W54" s="5">
        <v>0</v>
      </c>
      <c r="X54" s="5" t="s">
        <v>370</v>
      </c>
      <c r="Y54" s="5" t="s">
        <v>380</v>
      </c>
      <c r="Z54" s="5" t="s">
        <v>354</v>
      </c>
      <c r="AA54" s="5">
        <v>0</v>
      </c>
      <c r="AB54" s="5">
        <v>0</v>
      </c>
      <c r="AC54" s="5" t="b">
        <v>0</v>
      </c>
      <c r="AD54" s="5" t="s">
        <v>355</v>
      </c>
      <c r="AE54" s="5"/>
      <c r="AF54" s="5"/>
      <c r="AG54" s="5"/>
      <c r="AH54" s="5">
        <v>700</v>
      </c>
      <c r="AI54" s="5">
        <v>200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 t="s">
        <v>381</v>
      </c>
      <c r="AZ54" s="5">
        <v>11800</v>
      </c>
      <c r="BA54" s="5" t="s">
        <v>357</v>
      </c>
      <c r="BB54" s="5" t="s">
        <v>354</v>
      </c>
      <c r="BC54" s="5">
        <v>10000</v>
      </c>
      <c r="BD54" s="5">
        <v>0</v>
      </c>
      <c r="BE54" s="5" t="s">
        <v>358</v>
      </c>
      <c r="BF54" s="5">
        <v>0</v>
      </c>
      <c r="BG54" s="5" t="s">
        <v>382</v>
      </c>
      <c r="BH54" s="5">
        <v>9500</v>
      </c>
      <c r="BI54" s="5">
        <v>10</v>
      </c>
      <c r="BJ54" s="5" t="b">
        <v>1</v>
      </c>
      <c r="BK54" s="5">
        <v>0</v>
      </c>
      <c r="BL54" s="5">
        <v>9000</v>
      </c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X54" s="5">
        <v>200</v>
      </c>
      <c r="GY54" s="5">
        <v>400</v>
      </c>
      <c r="GZ54" s="5" t="s">
        <v>383</v>
      </c>
      <c r="HA54" s="5">
        <v>0</v>
      </c>
      <c r="HB54" s="5" t="s">
        <v>366</v>
      </c>
      <c r="HC54" s="5" t="s">
        <v>366</v>
      </c>
      <c r="HD54" s="5" t="b">
        <v>1</v>
      </c>
      <c r="HE54" s="5">
        <v>2200</v>
      </c>
      <c r="HF54" s="5" t="b">
        <v>0</v>
      </c>
      <c r="HG54" s="5">
        <v>0</v>
      </c>
      <c r="HH54" s="5">
        <v>0</v>
      </c>
      <c r="HI54" s="5">
        <v>0</v>
      </c>
      <c r="HJ54" s="5">
        <v>0</v>
      </c>
      <c r="HK54" s="5" t="b">
        <v>0</v>
      </c>
      <c r="HL54" s="5">
        <v>0</v>
      </c>
      <c r="HM54" s="5">
        <v>10001</v>
      </c>
      <c r="HN54" s="5" t="s">
        <v>367</v>
      </c>
      <c r="HO54" s="5" t="s">
        <v>360</v>
      </c>
      <c r="HP54" s="5">
        <v>0</v>
      </c>
      <c r="HQ54" s="5">
        <v>0</v>
      </c>
      <c r="HR54" s="5">
        <v>0</v>
      </c>
      <c r="HS54" s="5">
        <v>0</v>
      </c>
      <c r="HT54" s="5" t="b">
        <v>0</v>
      </c>
      <c r="HU54">
        <v>30051</v>
      </c>
    </row>
    <row r="55" spans="1:229">
      <c r="A55"/>
      <c r="B55" s="1">
        <f>10000000+INDEX(编号表!$B$1:$B$112,MATCH(D55,编号表!$A$1:$A$112,0))*10000+I55</f>
        <v>10050009</v>
      </c>
      <c r="C55" s="5" t="s">
        <v>377</v>
      </c>
      <c r="D55" s="5" t="s">
        <v>377</v>
      </c>
      <c r="E55" s="5" t="s">
        <v>348</v>
      </c>
      <c r="F55" s="5" t="s">
        <v>378</v>
      </c>
      <c r="G55" s="5" t="b">
        <v>0</v>
      </c>
      <c r="H55" s="5" t="b">
        <v>0</v>
      </c>
      <c r="I55" s="5">
        <v>9</v>
      </c>
      <c r="J55" s="5">
        <v>100500</v>
      </c>
      <c r="K55" s="5" t="s">
        <v>350</v>
      </c>
      <c r="L55" s="5">
        <v>10050008</v>
      </c>
      <c r="M55" s="5">
        <v>10050010</v>
      </c>
      <c r="N55" s="5" t="s">
        <v>379</v>
      </c>
      <c r="O55" s="5">
        <v>10202004</v>
      </c>
      <c r="P55" s="5">
        <v>0</v>
      </c>
      <c r="Q55" s="5">
        <v>3</v>
      </c>
      <c r="R55" s="5">
        <v>40</v>
      </c>
      <c r="S55" s="5">
        <v>0</v>
      </c>
      <c r="T55" s="5">
        <v>100</v>
      </c>
      <c r="U55" s="5" t="s">
        <v>364</v>
      </c>
      <c r="V55" s="5">
        <v>0</v>
      </c>
      <c r="W55" s="5">
        <v>0</v>
      </c>
      <c r="X55" s="5" t="s">
        <v>370</v>
      </c>
      <c r="Y55" s="5" t="s">
        <v>380</v>
      </c>
      <c r="Z55" s="5" t="s">
        <v>354</v>
      </c>
      <c r="AA55" s="5">
        <v>0</v>
      </c>
      <c r="AB55" s="5">
        <v>0</v>
      </c>
      <c r="AC55" s="5" t="b">
        <v>0</v>
      </c>
      <c r="AD55" s="5" t="s">
        <v>355</v>
      </c>
      <c r="AE55" s="5"/>
      <c r="AF55" s="5"/>
      <c r="AG55" s="5"/>
      <c r="AH55" s="5">
        <v>700</v>
      </c>
      <c r="AI55" s="5">
        <v>200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 t="s">
        <v>381</v>
      </c>
      <c r="AZ55" s="5">
        <v>11900</v>
      </c>
      <c r="BA55" s="5" t="s">
        <v>357</v>
      </c>
      <c r="BB55" s="5" t="s">
        <v>354</v>
      </c>
      <c r="BC55" s="5">
        <v>10000</v>
      </c>
      <c r="BD55" s="5">
        <v>0</v>
      </c>
      <c r="BE55" s="5" t="s">
        <v>358</v>
      </c>
      <c r="BF55" s="5">
        <v>0</v>
      </c>
      <c r="BG55" s="5" t="s">
        <v>382</v>
      </c>
      <c r="BH55" s="5">
        <v>9500</v>
      </c>
      <c r="BI55" s="5">
        <v>12</v>
      </c>
      <c r="BJ55" s="5" t="b">
        <v>1</v>
      </c>
      <c r="BK55" s="5">
        <v>0</v>
      </c>
      <c r="BL55" s="5">
        <v>9000</v>
      </c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X55" s="5">
        <v>200</v>
      </c>
      <c r="GY55" s="5">
        <v>400</v>
      </c>
      <c r="GZ55" s="5" t="s">
        <v>383</v>
      </c>
      <c r="HA55" s="5">
        <v>0</v>
      </c>
      <c r="HB55" s="5" t="s">
        <v>366</v>
      </c>
      <c r="HC55" s="5" t="s">
        <v>366</v>
      </c>
      <c r="HD55" s="5" t="b">
        <v>1</v>
      </c>
      <c r="HE55" s="5">
        <v>2200</v>
      </c>
      <c r="HF55" s="5" t="b">
        <v>0</v>
      </c>
      <c r="HG55" s="5">
        <v>0</v>
      </c>
      <c r="HH55" s="5">
        <v>0</v>
      </c>
      <c r="HI55" s="5">
        <v>0</v>
      </c>
      <c r="HJ55" s="5">
        <v>0</v>
      </c>
      <c r="HK55" s="5" t="b">
        <v>0</v>
      </c>
      <c r="HL55" s="5">
        <v>0</v>
      </c>
      <c r="HM55" s="5">
        <v>10001</v>
      </c>
      <c r="HN55" s="5" t="s">
        <v>367</v>
      </c>
      <c r="HO55" s="5" t="s">
        <v>360</v>
      </c>
      <c r="HP55" s="5">
        <v>0</v>
      </c>
      <c r="HQ55" s="5">
        <v>0</v>
      </c>
      <c r="HR55" s="5">
        <v>0</v>
      </c>
      <c r="HS55" s="5">
        <v>0</v>
      </c>
      <c r="HT55" s="5" t="b">
        <v>0</v>
      </c>
      <c r="HU55">
        <v>30051</v>
      </c>
    </row>
    <row r="56" spans="1:229">
      <c r="A56"/>
      <c r="B56" s="1">
        <f>10000000+INDEX(编号表!$B$1:$B$112,MATCH(D56,编号表!$A$1:$A$112,0))*10000+I56</f>
        <v>10050010</v>
      </c>
      <c r="C56" s="5" t="s">
        <v>377</v>
      </c>
      <c r="D56" s="5" t="s">
        <v>377</v>
      </c>
      <c r="E56" s="5" t="s">
        <v>348</v>
      </c>
      <c r="F56" s="5" t="s">
        <v>378</v>
      </c>
      <c r="G56" s="5" t="b">
        <v>0</v>
      </c>
      <c r="H56" s="5" t="b">
        <v>0</v>
      </c>
      <c r="I56" s="5">
        <v>10</v>
      </c>
      <c r="J56" s="5">
        <v>100500</v>
      </c>
      <c r="K56" s="5" t="s">
        <v>350</v>
      </c>
      <c r="L56" s="5">
        <v>10050009</v>
      </c>
      <c r="M56" s="5">
        <v>0</v>
      </c>
      <c r="N56" s="5" t="s">
        <v>379</v>
      </c>
      <c r="O56" s="5">
        <v>10202004</v>
      </c>
      <c r="P56" s="5">
        <v>0</v>
      </c>
      <c r="Q56" s="5">
        <v>3</v>
      </c>
      <c r="R56" s="5">
        <v>40</v>
      </c>
      <c r="S56" s="5">
        <v>0</v>
      </c>
      <c r="T56" s="5">
        <v>0</v>
      </c>
      <c r="U56" s="5" t="s">
        <v>364</v>
      </c>
      <c r="V56" s="5">
        <v>0</v>
      </c>
      <c r="W56" s="5">
        <v>0</v>
      </c>
      <c r="X56" s="5" t="s">
        <v>370</v>
      </c>
      <c r="Y56" s="5" t="s">
        <v>380</v>
      </c>
      <c r="Z56" s="5" t="s">
        <v>354</v>
      </c>
      <c r="AA56" s="5">
        <v>0</v>
      </c>
      <c r="AB56" s="5">
        <v>0</v>
      </c>
      <c r="AC56" s="5" t="b">
        <v>0</v>
      </c>
      <c r="AD56" s="5" t="s">
        <v>355</v>
      </c>
      <c r="AE56" s="5"/>
      <c r="AF56" s="5"/>
      <c r="AG56" s="5"/>
      <c r="AH56" s="5">
        <v>700</v>
      </c>
      <c r="AI56" s="5">
        <v>200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 t="s">
        <v>381</v>
      </c>
      <c r="AZ56" s="5">
        <v>12000</v>
      </c>
      <c r="BA56" s="5" t="s">
        <v>357</v>
      </c>
      <c r="BB56" s="5" t="s">
        <v>354</v>
      </c>
      <c r="BC56" s="5">
        <v>10000</v>
      </c>
      <c r="BD56" s="5">
        <v>0</v>
      </c>
      <c r="BE56" s="5" t="s">
        <v>358</v>
      </c>
      <c r="BF56" s="5">
        <v>0</v>
      </c>
      <c r="BG56" s="5" t="s">
        <v>382</v>
      </c>
      <c r="BH56" s="5">
        <v>9500</v>
      </c>
      <c r="BI56" s="5">
        <v>15</v>
      </c>
      <c r="BJ56" s="5" t="b">
        <v>1</v>
      </c>
      <c r="BK56" s="5">
        <v>0</v>
      </c>
      <c r="BL56" s="5">
        <v>9000</v>
      </c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X56" s="5">
        <v>200</v>
      </c>
      <c r="GY56" s="5">
        <v>400</v>
      </c>
      <c r="GZ56" s="5" t="s">
        <v>383</v>
      </c>
      <c r="HA56" s="5">
        <v>0</v>
      </c>
      <c r="HB56" s="5" t="s">
        <v>366</v>
      </c>
      <c r="HC56" s="5" t="s">
        <v>366</v>
      </c>
      <c r="HD56" s="5" t="b">
        <v>1</v>
      </c>
      <c r="HE56" s="5">
        <v>2200</v>
      </c>
      <c r="HF56" s="5" t="b">
        <v>0</v>
      </c>
      <c r="HG56" s="5">
        <v>0</v>
      </c>
      <c r="HH56" s="5">
        <v>0</v>
      </c>
      <c r="HI56" s="5">
        <v>0</v>
      </c>
      <c r="HJ56" s="5">
        <v>0</v>
      </c>
      <c r="HK56" s="5" t="b">
        <v>0</v>
      </c>
      <c r="HL56" s="5">
        <v>0</v>
      </c>
      <c r="HM56" s="5">
        <v>10001</v>
      </c>
      <c r="HN56" s="5" t="s">
        <v>367</v>
      </c>
      <c r="HO56" s="5" t="s">
        <v>360</v>
      </c>
      <c r="HP56" s="5">
        <v>0</v>
      </c>
      <c r="HQ56" s="5">
        <v>0</v>
      </c>
      <c r="HR56" s="5">
        <v>0</v>
      </c>
      <c r="HS56" s="5">
        <v>0</v>
      </c>
      <c r="HT56" s="5" t="b">
        <v>0</v>
      </c>
      <c r="HU56">
        <v>30051</v>
      </c>
    </row>
    <row r="57" spans="1:229">
      <c r="A57"/>
      <c r="B57" s="1">
        <f>10000000+INDEX(编号表!$B$1:$B$112,MATCH(D57,编号表!$A$1:$A$112,0))*10000+I57</f>
        <v>10060001</v>
      </c>
      <c r="C57" s="5" t="s">
        <v>384</v>
      </c>
      <c r="D57" s="5" t="s">
        <v>384</v>
      </c>
      <c r="E57" s="5" t="s">
        <v>348</v>
      </c>
      <c r="F57" s="5" t="s">
        <v>385</v>
      </c>
      <c r="G57" s="5" t="b">
        <v>0</v>
      </c>
      <c r="H57" s="5" t="b">
        <v>0</v>
      </c>
      <c r="I57" s="5">
        <v>1</v>
      </c>
      <c r="J57" s="5">
        <v>100600</v>
      </c>
      <c r="K57" s="5" t="s">
        <v>350</v>
      </c>
      <c r="L57" s="5">
        <v>0</v>
      </c>
      <c r="M57" s="5">
        <v>10060002</v>
      </c>
      <c r="N57" s="5" t="s">
        <v>386</v>
      </c>
      <c r="O57" s="5">
        <v>10202005</v>
      </c>
      <c r="P57" s="5">
        <v>0</v>
      </c>
      <c r="Q57" s="5">
        <v>0</v>
      </c>
      <c r="R57" s="5">
        <v>1</v>
      </c>
      <c r="S57" s="5">
        <v>0</v>
      </c>
      <c r="T57" s="5">
        <v>100</v>
      </c>
      <c r="U57" s="5" t="s">
        <v>364</v>
      </c>
      <c r="V57" s="5">
        <v>700</v>
      </c>
      <c r="W57" s="5">
        <v>0</v>
      </c>
      <c r="X57" s="5" t="inlineStr">
        <is>
          <t xml:space="preserve">目标点</t>
        </is>
      </c>
      <c r="Y57" s="5" t="s">
        <v>365</v>
      </c>
      <c r="Z57" s="5" t="s">
        <v>354</v>
      </c>
      <c r="AA57" s="5">
        <v>0</v>
      </c>
      <c r="AB57" s="5">
        <v>0</v>
      </c>
      <c r="AC57" s="5" t="b">
        <v>0</v>
      </c>
      <c r="AD57" s="5" t="s">
        <v>355</v>
      </c>
      <c r="AE57" s="5">
        <v>130</v>
      </c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 t="s">
        <v>381</v>
      </c>
      <c r="AZ57" s="5">
        <v>10000</v>
      </c>
      <c r="BA57" s="5" t="s">
        <v>357</v>
      </c>
      <c r="BB57" s="5" t="s">
        <v>354</v>
      </c>
      <c r="BC57" s="5">
        <v>10000</v>
      </c>
      <c r="BD57" s="5">
        <v>0</v>
      </c>
      <c r="BE57" s="5" t="s">
        <v>358</v>
      </c>
      <c r="BF57" s="5">
        <v>0</v>
      </c>
      <c r="BG57" s="5" t="s">
        <v>382</v>
      </c>
      <c r="BH57" s="5">
        <v>10000</v>
      </c>
      <c r="BI57" s="5">
        <v>3</v>
      </c>
      <c r="BJ57" s="5" t="b">
        <v>1</v>
      </c>
      <c r="BK57" s="5">
        <v>0</v>
      </c>
      <c r="BL57" s="5">
        <v>10000</v>
      </c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X57" s="5">
        <v>200</v>
      </c>
      <c r="GY57" s="5">
        <v>400</v>
      </c>
      <c r="GZ57" s="5" t="s">
        <v>383</v>
      </c>
      <c r="HA57" s="5">
        <v>0</v>
      </c>
      <c r="HB57" s="5">
        <v>30050</v>
      </c>
      <c r="HC57" s="5" t="s">
        <v>366</v>
      </c>
      <c r="HD57" s="5" t="b">
        <v>1</v>
      </c>
      <c r="HE57" s="5">
        <v>2200</v>
      </c>
      <c r="HF57" s="5" t="b">
        <v>0</v>
      </c>
      <c r="HG57" s="5">
        <v>0</v>
      </c>
      <c r="HH57" s="5">
        <v>0</v>
      </c>
      <c r="HI57" s="5">
        <v>0</v>
      </c>
      <c r="HJ57" s="5">
        <v>0</v>
      </c>
      <c r="HK57" s="5" t="b">
        <v>0</v>
      </c>
      <c r="HL57" s="5">
        <v>0</v>
      </c>
      <c r="HM57" s="5">
        <v>10001</v>
      </c>
      <c r="HN57" s="5" t="s">
        <v>367</v>
      </c>
      <c r="HO57" s="5" t="s">
        <v>360</v>
      </c>
      <c r="HP57" s="5">
        <v>0</v>
      </c>
      <c r="HQ57" s="5">
        <v>0</v>
      </c>
      <c r="HR57" s="5">
        <v>0</v>
      </c>
      <c r="HS57" s="5">
        <v>0</v>
      </c>
      <c r="HT57" s="5" t="b">
        <v>0</v>
      </c>
    </row>
    <row r="58" spans="1:229">
      <c r="A58"/>
      <c r="B58" s="1">
        <f>10000000+INDEX(编号表!$B$1:$B$112,MATCH(D58,编号表!$A$1:$A$112,0))*10000+I58</f>
        <v>10060002</v>
      </c>
      <c r="C58" s="5" t="s">
        <v>384</v>
      </c>
      <c r="D58" s="5" t="s">
        <v>384</v>
      </c>
      <c r="E58" s="5" t="s">
        <v>348</v>
      </c>
      <c r="F58" s="5" t="s">
        <v>385</v>
      </c>
      <c r="G58" s="5" t="b">
        <v>0</v>
      </c>
      <c r="H58" s="5" t="b">
        <v>0</v>
      </c>
      <c r="I58" s="5">
        <v>2</v>
      </c>
      <c r="J58" s="5">
        <v>100600</v>
      </c>
      <c r="K58" s="5" t="s">
        <v>350</v>
      </c>
      <c r="L58" s="5">
        <v>10060001</v>
      </c>
      <c r="M58" s="5">
        <v>10060003</v>
      </c>
      <c r="N58" s="5" t="s">
        <v>386</v>
      </c>
      <c r="O58" s="5">
        <v>10202005</v>
      </c>
      <c r="P58" s="5">
        <v>0</v>
      </c>
      <c r="Q58" s="5">
        <v>1</v>
      </c>
      <c r="R58" s="5">
        <v>7</v>
      </c>
      <c r="S58" s="5">
        <v>0</v>
      </c>
      <c r="T58" s="5">
        <v>100</v>
      </c>
      <c r="U58" s="5" t="s">
        <v>364</v>
      </c>
      <c r="V58" s="5">
        <v>700</v>
      </c>
      <c r="W58" s="5">
        <v>0</v>
      </c>
      <c r="X58" s="5" t="inlineStr">
        <is>
          <t xml:space="preserve">目标点</t>
        </is>
      </c>
      <c r="Y58" s="5" t="s">
        <v>365</v>
      </c>
      <c r="Z58" s="5" t="s">
        <v>354</v>
      </c>
      <c r="AA58" s="5">
        <v>0</v>
      </c>
      <c r="AB58" s="5">
        <v>0</v>
      </c>
      <c r="AC58" s="5" t="b">
        <v>0</v>
      </c>
      <c r="AD58" s="5" t="s">
        <v>355</v>
      </c>
      <c r="AE58" s="5">
        <v>130</v>
      </c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 t="s">
        <v>381</v>
      </c>
      <c r="AZ58" s="5">
        <v>10400</v>
      </c>
      <c r="BA58" s="5" t="s">
        <v>357</v>
      </c>
      <c r="BB58" s="5" t="s">
        <v>354</v>
      </c>
      <c r="BC58" s="5">
        <v>10000</v>
      </c>
      <c r="BD58" s="5">
        <v>0</v>
      </c>
      <c r="BE58" s="5" t="s">
        <v>358</v>
      </c>
      <c r="BF58" s="5">
        <v>0</v>
      </c>
      <c r="BG58" s="5" t="s">
        <v>382</v>
      </c>
      <c r="BH58" s="5">
        <v>10000</v>
      </c>
      <c r="BI58" s="5">
        <v>4</v>
      </c>
      <c r="BJ58" s="5" t="b">
        <v>1</v>
      </c>
      <c r="BK58" s="5">
        <v>0</v>
      </c>
      <c r="BL58" s="5">
        <v>10000</v>
      </c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X58" s="5">
        <v>200</v>
      </c>
      <c r="GY58" s="5">
        <v>400</v>
      </c>
      <c r="GZ58" s="5" t="s">
        <v>383</v>
      </c>
      <c r="HA58" s="5">
        <v>0</v>
      </c>
      <c r="HB58" s="5">
        <v>30050</v>
      </c>
      <c r="HC58" s="5" t="s">
        <v>366</v>
      </c>
      <c r="HD58" s="5" t="b">
        <v>1</v>
      </c>
      <c r="HE58" s="5">
        <v>2200</v>
      </c>
      <c r="HF58" s="5" t="b">
        <v>0</v>
      </c>
      <c r="HG58" s="5">
        <v>0</v>
      </c>
      <c r="HH58" s="5">
        <v>0</v>
      </c>
      <c r="HI58" s="5">
        <v>0</v>
      </c>
      <c r="HJ58" s="5">
        <v>0</v>
      </c>
      <c r="HK58" s="5" t="b">
        <v>0</v>
      </c>
      <c r="HL58" s="5">
        <v>0</v>
      </c>
      <c r="HM58" s="5">
        <v>10001</v>
      </c>
      <c r="HN58" s="5" t="s">
        <v>367</v>
      </c>
      <c r="HO58" s="5" t="s">
        <v>360</v>
      </c>
      <c r="HP58" s="5">
        <v>0</v>
      </c>
      <c r="HQ58" s="5">
        <v>0</v>
      </c>
      <c r="HR58" s="5">
        <v>0</v>
      </c>
      <c r="HS58" s="5">
        <v>0</v>
      </c>
      <c r="HT58" s="5" t="b">
        <v>0</v>
      </c>
    </row>
    <row r="59" spans="1:229">
      <c r="A59"/>
      <c r="B59" s="1">
        <f>10000000+INDEX(编号表!$B$1:$B$112,MATCH(D59,编号表!$A$1:$A$112,0))*10000+I59</f>
        <v>10060003</v>
      </c>
      <c r="C59" s="5" t="s">
        <v>384</v>
      </c>
      <c r="D59" s="5" t="s">
        <v>384</v>
      </c>
      <c r="E59" s="5" t="s">
        <v>348</v>
      </c>
      <c r="F59" s="5" t="s">
        <v>385</v>
      </c>
      <c r="G59" s="5" t="b">
        <v>0</v>
      </c>
      <c r="H59" s="5" t="b">
        <v>0</v>
      </c>
      <c r="I59" s="5">
        <v>3</v>
      </c>
      <c r="J59" s="5">
        <v>100600</v>
      </c>
      <c r="K59" s="5" t="s">
        <v>350</v>
      </c>
      <c r="L59" s="5">
        <v>10060002</v>
      </c>
      <c r="M59" s="5">
        <v>10060004</v>
      </c>
      <c r="N59" s="5" t="s">
        <v>386</v>
      </c>
      <c r="O59" s="5">
        <v>10202005</v>
      </c>
      <c r="P59" s="5">
        <v>0</v>
      </c>
      <c r="Q59" s="5">
        <v>2</v>
      </c>
      <c r="R59" s="5">
        <v>11</v>
      </c>
      <c r="S59" s="5">
        <v>0</v>
      </c>
      <c r="T59" s="5">
        <v>100</v>
      </c>
      <c r="U59" s="5" t="s">
        <v>364</v>
      </c>
      <c r="V59" s="5">
        <v>700</v>
      </c>
      <c r="W59" s="5">
        <v>0</v>
      </c>
      <c r="X59" s="5" t="inlineStr">
        <is>
          <t xml:space="preserve">目标点</t>
        </is>
      </c>
      <c r="Y59" s="5" t="s">
        <v>365</v>
      </c>
      <c r="Z59" s="5" t="s">
        <v>354</v>
      </c>
      <c r="AA59" s="5">
        <v>0</v>
      </c>
      <c r="AB59" s="5">
        <v>0</v>
      </c>
      <c r="AC59" s="5" t="b">
        <v>0</v>
      </c>
      <c r="AD59" s="5" t="s">
        <v>355</v>
      </c>
      <c r="AE59" s="5">
        <v>130</v>
      </c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 t="s">
        <v>381</v>
      </c>
      <c r="AZ59" s="5">
        <v>10800</v>
      </c>
      <c r="BA59" s="5" t="s">
        <v>357</v>
      </c>
      <c r="BB59" s="5" t="s">
        <v>354</v>
      </c>
      <c r="BC59" s="5">
        <v>10000</v>
      </c>
      <c r="BD59" s="5">
        <v>0</v>
      </c>
      <c r="BE59" s="5" t="s">
        <v>358</v>
      </c>
      <c r="BF59" s="5">
        <v>0</v>
      </c>
      <c r="BG59" s="5" t="s">
        <v>382</v>
      </c>
      <c r="BH59" s="5">
        <v>10000</v>
      </c>
      <c r="BI59" s="5">
        <v>5</v>
      </c>
      <c r="BJ59" s="5" t="b">
        <v>1</v>
      </c>
      <c r="BK59" s="5">
        <v>0</v>
      </c>
      <c r="BL59" s="5">
        <v>10000</v>
      </c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X59" s="5">
        <v>200</v>
      </c>
      <c r="GY59" s="5">
        <v>400</v>
      </c>
      <c r="GZ59" s="5" t="s">
        <v>383</v>
      </c>
      <c r="HA59" s="5">
        <v>0</v>
      </c>
      <c r="HB59" s="5">
        <v>30050</v>
      </c>
      <c r="HC59" s="5" t="s">
        <v>366</v>
      </c>
      <c r="HD59" s="5" t="b">
        <v>1</v>
      </c>
      <c r="HE59" s="5">
        <v>2200</v>
      </c>
      <c r="HF59" s="5" t="b">
        <v>0</v>
      </c>
      <c r="HG59" s="5">
        <v>0</v>
      </c>
      <c r="HH59" s="5">
        <v>0</v>
      </c>
      <c r="HI59" s="5">
        <v>0</v>
      </c>
      <c r="HJ59" s="5">
        <v>0</v>
      </c>
      <c r="HK59" s="5" t="b">
        <v>0</v>
      </c>
      <c r="HL59" s="5">
        <v>0</v>
      </c>
      <c r="HM59" s="5">
        <v>10001</v>
      </c>
      <c r="HN59" s="5" t="s">
        <v>367</v>
      </c>
      <c r="HO59" s="5" t="s">
        <v>360</v>
      </c>
      <c r="HP59" s="5">
        <v>0</v>
      </c>
      <c r="HQ59" s="5">
        <v>0</v>
      </c>
      <c r="HR59" s="5">
        <v>0</v>
      </c>
      <c r="HS59" s="5">
        <v>0</v>
      </c>
      <c r="HT59" s="5" t="b">
        <v>0</v>
      </c>
    </row>
    <row r="60" spans="1:229">
      <c r="A60"/>
      <c r="B60" s="1">
        <f>10000000+INDEX(编号表!$B$1:$B$112,MATCH(D60,编号表!$A$1:$A$112,0))*10000+I60</f>
        <v>10060004</v>
      </c>
      <c r="C60" s="5" t="s">
        <v>384</v>
      </c>
      <c r="D60" s="5" t="s">
        <v>384</v>
      </c>
      <c r="E60" s="5" t="s">
        <v>348</v>
      </c>
      <c r="F60" s="5" t="s">
        <v>385</v>
      </c>
      <c r="G60" s="5" t="b">
        <v>0</v>
      </c>
      <c r="H60" s="5" t="b">
        <v>0</v>
      </c>
      <c r="I60" s="5">
        <v>4</v>
      </c>
      <c r="J60" s="5">
        <v>100600</v>
      </c>
      <c r="K60" s="5" t="s">
        <v>350</v>
      </c>
      <c r="L60" s="5">
        <v>10060003</v>
      </c>
      <c r="M60" s="5">
        <v>10060005</v>
      </c>
      <c r="N60" s="5" t="s">
        <v>386</v>
      </c>
      <c r="O60" s="5">
        <v>10202005</v>
      </c>
      <c r="P60" s="5">
        <v>0</v>
      </c>
      <c r="Q60" s="5">
        <v>3</v>
      </c>
      <c r="R60" s="5">
        <v>16</v>
      </c>
      <c r="S60" s="5">
        <v>0</v>
      </c>
      <c r="T60" s="5">
        <v>100</v>
      </c>
      <c r="U60" s="5" t="s">
        <v>364</v>
      </c>
      <c r="V60" s="5">
        <v>700</v>
      </c>
      <c r="W60" s="5">
        <v>0</v>
      </c>
      <c r="X60" s="5" t="inlineStr">
        <is>
          <t xml:space="preserve">目标点</t>
        </is>
      </c>
      <c r="Y60" s="5" t="s">
        <v>365</v>
      </c>
      <c r="Z60" s="5" t="s">
        <v>354</v>
      </c>
      <c r="AA60" s="5">
        <v>0</v>
      </c>
      <c r="AB60" s="5">
        <v>0</v>
      </c>
      <c r="AC60" s="5" t="b">
        <v>0</v>
      </c>
      <c r="AD60" s="5" t="s">
        <v>355</v>
      </c>
      <c r="AE60" s="5">
        <v>130</v>
      </c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 t="s">
        <v>381</v>
      </c>
      <c r="AZ60" s="5">
        <v>11200</v>
      </c>
      <c r="BA60" s="5" t="s">
        <v>357</v>
      </c>
      <c r="BB60" s="5" t="s">
        <v>354</v>
      </c>
      <c r="BC60" s="5">
        <v>10000</v>
      </c>
      <c r="BD60" s="5">
        <v>0</v>
      </c>
      <c r="BE60" s="5" t="s">
        <v>358</v>
      </c>
      <c r="BF60" s="5">
        <v>0</v>
      </c>
      <c r="BG60" s="5" t="s">
        <v>382</v>
      </c>
      <c r="BH60" s="5">
        <v>10000</v>
      </c>
      <c r="BI60" s="5">
        <v>6</v>
      </c>
      <c r="BJ60" s="5" t="b">
        <v>1</v>
      </c>
      <c r="BK60" s="5">
        <v>0</v>
      </c>
      <c r="BL60" s="5">
        <v>10000</v>
      </c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X60" s="5">
        <v>200</v>
      </c>
      <c r="GY60" s="5">
        <v>400</v>
      </c>
      <c r="GZ60" s="5" t="s">
        <v>383</v>
      </c>
      <c r="HA60" s="5">
        <v>0</v>
      </c>
      <c r="HB60" s="5">
        <v>30050</v>
      </c>
      <c r="HC60" s="5" t="s">
        <v>366</v>
      </c>
      <c r="HD60" s="5" t="b">
        <v>1</v>
      </c>
      <c r="HE60" s="5">
        <v>2200</v>
      </c>
      <c r="HF60" s="5" t="b">
        <v>0</v>
      </c>
      <c r="HG60" s="5">
        <v>0</v>
      </c>
      <c r="HH60" s="5">
        <v>0</v>
      </c>
      <c r="HI60" s="5">
        <v>0</v>
      </c>
      <c r="HJ60" s="5">
        <v>0</v>
      </c>
      <c r="HK60" s="5" t="b">
        <v>0</v>
      </c>
      <c r="HL60" s="5">
        <v>0</v>
      </c>
      <c r="HM60" s="5">
        <v>10001</v>
      </c>
      <c r="HN60" s="5" t="s">
        <v>367</v>
      </c>
      <c r="HO60" s="5" t="s">
        <v>360</v>
      </c>
      <c r="HP60" s="5">
        <v>0</v>
      </c>
      <c r="HQ60" s="5">
        <v>0</v>
      </c>
      <c r="HR60" s="5">
        <v>0</v>
      </c>
      <c r="HS60" s="5">
        <v>0</v>
      </c>
      <c r="HT60" s="5" t="b">
        <v>0</v>
      </c>
    </row>
    <row r="61" spans="1:229">
      <c r="A61"/>
      <c r="B61" s="1">
        <f>10000000+INDEX(编号表!$B$1:$B$112,MATCH(D61,编号表!$A$1:$A$112,0))*10000+I61</f>
        <v>10060005</v>
      </c>
      <c r="C61" s="5" t="s">
        <v>384</v>
      </c>
      <c r="D61" s="5" t="s">
        <v>384</v>
      </c>
      <c r="E61" s="5" t="s">
        <v>348</v>
      </c>
      <c r="F61" s="5" t="s">
        <v>385</v>
      </c>
      <c r="G61" s="5" t="b">
        <v>0</v>
      </c>
      <c r="H61" s="5" t="b">
        <v>0</v>
      </c>
      <c r="I61" s="5">
        <v>5</v>
      </c>
      <c r="J61" s="5">
        <v>100600</v>
      </c>
      <c r="K61" s="5" t="s">
        <v>350</v>
      </c>
      <c r="L61" s="5">
        <v>10060004</v>
      </c>
      <c r="M61" s="5">
        <v>10060006</v>
      </c>
      <c r="N61" s="5" t="s">
        <v>386</v>
      </c>
      <c r="O61" s="5">
        <v>10202005</v>
      </c>
      <c r="P61" s="5">
        <v>0</v>
      </c>
      <c r="Q61" s="5">
        <v>3</v>
      </c>
      <c r="R61" s="5">
        <v>25</v>
      </c>
      <c r="S61" s="5">
        <v>0</v>
      </c>
      <c r="T61" s="5">
        <v>100</v>
      </c>
      <c r="U61" s="5" t="s">
        <v>364</v>
      </c>
      <c r="V61" s="5">
        <v>700</v>
      </c>
      <c r="W61" s="5">
        <v>0</v>
      </c>
      <c r="X61" s="5" t="inlineStr">
        <is>
          <t xml:space="preserve">目标点</t>
        </is>
      </c>
      <c r="Y61" s="5" t="s">
        <v>365</v>
      </c>
      <c r="Z61" s="5" t="s">
        <v>354</v>
      </c>
      <c r="AA61" s="5">
        <v>0</v>
      </c>
      <c r="AB61" s="5">
        <v>0</v>
      </c>
      <c r="AC61" s="5" t="b">
        <v>0</v>
      </c>
      <c r="AD61" s="5" t="s">
        <v>355</v>
      </c>
      <c r="AE61" s="5">
        <v>130</v>
      </c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 t="s">
        <v>381</v>
      </c>
      <c r="AZ61" s="5">
        <v>11300</v>
      </c>
      <c r="BA61" s="5" t="s">
        <v>357</v>
      </c>
      <c r="BB61" s="5" t="s">
        <v>354</v>
      </c>
      <c r="BC61" s="5">
        <v>10000</v>
      </c>
      <c r="BD61" s="5">
        <v>0</v>
      </c>
      <c r="BE61" s="5" t="s">
        <v>358</v>
      </c>
      <c r="BF61" s="5">
        <v>0</v>
      </c>
      <c r="BG61" s="5" t="s">
        <v>382</v>
      </c>
      <c r="BH61" s="5">
        <v>10000</v>
      </c>
      <c r="BI61" s="5">
        <v>6</v>
      </c>
      <c r="BJ61" s="5" t="b">
        <v>1</v>
      </c>
      <c r="BK61" s="5">
        <v>0</v>
      </c>
      <c r="BL61" s="5">
        <v>10000</v>
      </c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X61" s="5">
        <v>200</v>
      </c>
      <c r="GY61" s="5">
        <v>400</v>
      </c>
      <c r="GZ61" s="5" t="s">
        <v>383</v>
      </c>
      <c r="HA61" s="5">
        <v>0</v>
      </c>
      <c r="HB61" s="5">
        <v>30050</v>
      </c>
      <c r="HC61" s="5" t="s">
        <v>366</v>
      </c>
      <c r="HD61" s="5" t="b">
        <v>1</v>
      </c>
      <c r="HE61" s="5">
        <v>2200</v>
      </c>
      <c r="HF61" s="5" t="b">
        <v>0</v>
      </c>
      <c r="HG61" s="5">
        <v>0</v>
      </c>
      <c r="HH61" s="5">
        <v>0</v>
      </c>
      <c r="HI61" s="5">
        <v>0</v>
      </c>
      <c r="HJ61" s="5">
        <v>0</v>
      </c>
      <c r="HK61" s="5" t="b">
        <v>0</v>
      </c>
      <c r="HL61" s="5">
        <v>0</v>
      </c>
      <c r="HM61" s="5">
        <v>10001</v>
      </c>
      <c r="HN61" s="5" t="s">
        <v>367</v>
      </c>
      <c r="HO61" s="5" t="s">
        <v>360</v>
      </c>
      <c r="HP61" s="5">
        <v>0</v>
      </c>
      <c r="HQ61" s="5">
        <v>0</v>
      </c>
      <c r="HR61" s="5">
        <v>0</v>
      </c>
      <c r="HS61" s="5">
        <v>0</v>
      </c>
      <c r="HT61" s="5" t="b">
        <v>0</v>
      </c>
    </row>
    <row r="62" spans="1:229">
      <c r="A62"/>
      <c r="B62" s="1">
        <f>10000000+INDEX(编号表!$B$1:$B$112,MATCH(D62,编号表!$A$1:$A$112,0))*10000+I62</f>
        <v>10060006</v>
      </c>
      <c r="C62" s="5" t="s">
        <v>384</v>
      </c>
      <c r="D62" s="5" t="s">
        <v>384</v>
      </c>
      <c r="E62" s="5" t="s">
        <v>348</v>
      </c>
      <c r="F62" s="5" t="s">
        <v>385</v>
      </c>
      <c r="G62" s="5" t="b">
        <v>0</v>
      </c>
      <c r="H62" s="5" t="b">
        <v>0</v>
      </c>
      <c r="I62" s="5">
        <v>6</v>
      </c>
      <c r="J62" s="5">
        <v>100600</v>
      </c>
      <c r="K62" s="5" t="s">
        <v>350</v>
      </c>
      <c r="L62" s="5">
        <v>10060005</v>
      </c>
      <c r="M62" s="5">
        <v>10060007</v>
      </c>
      <c r="N62" s="5" t="s">
        <v>386</v>
      </c>
      <c r="O62" s="5">
        <v>10202005</v>
      </c>
      <c r="P62" s="5">
        <v>0</v>
      </c>
      <c r="Q62" s="5">
        <v>3</v>
      </c>
      <c r="R62" s="5">
        <v>30</v>
      </c>
      <c r="S62" s="5">
        <v>0</v>
      </c>
      <c r="T62" s="5">
        <v>100</v>
      </c>
      <c r="U62" s="5" t="s">
        <v>364</v>
      </c>
      <c r="V62" s="5">
        <v>700</v>
      </c>
      <c r="W62" s="5">
        <v>0</v>
      </c>
      <c r="X62" s="5" t="inlineStr">
        <is>
          <t xml:space="preserve">目标点</t>
        </is>
      </c>
      <c r="Y62" s="5" t="s">
        <v>365</v>
      </c>
      <c r="Z62" s="5" t="s">
        <v>354</v>
      </c>
      <c r="AA62" s="5">
        <v>0</v>
      </c>
      <c r="AB62" s="5">
        <v>0</v>
      </c>
      <c r="AC62" s="5" t="b">
        <v>0</v>
      </c>
      <c r="AD62" s="5" t="s">
        <v>355</v>
      </c>
      <c r="AE62" s="5">
        <v>130</v>
      </c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 t="s">
        <v>381</v>
      </c>
      <c r="AZ62" s="5">
        <v>11600</v>
      </c>
      <c r="BA62" s="5" t="s">
        <v>357</v>
      </c>
      <c r="BB62" s="5" t="s">
        <v>354</v>
      </c>
      <c r="BC62" s="5">
        <v>10000</v>
      </c>
      <c r="BD62" s="5">
        <v>0</v>
      </c>
      <c r="BE62" s="5" t="s">
        <v>358</v>
      </c>
      <c r="BF62" s="5">
        <v>0</v>
      </c>
      <c r="BG62" s="5" t="s">
        <v>382</v>
      </c>
      <c r="BH62" s="5">
        <v>10000</v>
      </c>
      <c r="BI62" s="5">
        <v>7</v>
      </c>
      <c r="BJ62" s="5" t="b">
        <v>1</v>
      </c>
      <c r="BK62" s="5">
        <v>0</v>
      </c>
      <c r="BL62" s="5">
        <v>10000</v>
      </c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X62" s="5">
        <v>200</v>
      </c>
      <c r="GY62" s="5">
        <v>400</v>
      </c>
      <c r="GZ62" s="5" t="s">
        <v>383</v>
      </c>
      <c r="HA62" s="5">
        <v>0</v>
      </c>
      <c r="HB62" s="5">
        <v>30050</v>
      </c>
      <c r="HC62" s="5" t="s">
        <v>366</v>
      </c>
      <c r="HD62" s="5" t="b">
        <v>1</v>
      </c>
      <c r="HE62" s="5">
        <v>2200</v>
      </c>
      <c r="HF62" s="5" t="b">
        <v>0</v>
      </c>
      <c r="HG62" s="5">
        <v>0</v>
      </c>
      <c r="HH62" s="5">
        <v>0</v>
      </c>
      <c r="HI62" s="5">
        <v>0</v>
      </c>
      <c r="HJ62" s="5">
        <v>0</v>
      </c>
      <c r="HK62" s="5" t="b">
        <v>0</v>
      </c>
      <c r="HL62" s="5">
        <v>0</v>
      </c>
      <c r="HM62" s="5">
        <v>10001</v>
      </c>
      <c r="HN62" s="5" t="s">
        <v>367</v>
      </c>
      <c r="HO62" s="5" t="s">
        <v>360</v>
      </c>
      <c r="HP62" s="5">
        <v>0</v>
      </c>
      <c r="HQ62" s="5">
        <v>0</v>
      </c>
      <c r="HR62" s="5">
        <v>0</v>
      </c>
      <c r="HS62" s="5">
        <v>0</v>
      </c>
      <c r="HT62" s="5" t="b">
        <v>0</v>
      </c>
    </row>
    <row r="63" spans="1:229">
      <c r="A63"/>
      <c r="B63" s="1">
        <f>10000000+INDEX(编号表!$B$1:$B$112,MATCH(D63,编号表!$A$1:$A$112,0))*10000+I63</f>
        <v>10060007</v>
      </c>
      <c r="C63" s="5" t="s">
        <v>384</v>
      </c>
      <c r="D63" s="5" t="s">
        <v>384</v>
      </c>
      <c r="E63" s="5" t="s">
        <v>348</v>
      </c>
      <c r="F63" s="5" t="s">
        <v>385</v>
      </c>
      <c r="G63" s="5" t="b">
        <v>0</v>
      </c>
      <c r="H63" s="5" t="b">
        <v>0</v>
      </c>
      <c r="I63" s="5">
        <v>7</v>
      </c>
      <c r="J63" s="5">
        <v>100600</v>
      </c>
      <c r="K63" s="5" t="s">
        <v>350</v>
      </c>
      <c r="L63" s="5">
        <v>10060006</v>
      </c>
      <c r="M63" s="5">
        <v>10060008</v>
      </c>
      <c r="N63" s="5" t="s">
        <v>386</v>
      </c>
      <c r="O63" s="5">
        <v>10202005</v>
      </c>
      <c r="P63" s="5">
        <v>0</v>
      </c>
      <c r="Q63" s="5">
        <v>3</v>
      </c>
      <c r="R63" s="5">
        <v>35</v>
      </c>
      <c r="S63" s="5">
        <v>0</v>
      </c>
      <c r="T63" s="5">
        <v>100</v>
      </c>
      <c r="U63" s="5" t="s">
        <v>364</v>
      </c>
      <c r="V63" s="5">
        <v>700</v>
      </c>
      <c r="W63" s="5">
        <v>0</v>
      </c>
      <c r="X63" s="5" t="inlineStr">
        <is>
          <t xml:space="preserve">目标点</t>
        </is>
      </c>
      <c r="Y63" s="5" t="s">
        <v>365</v>
      </c>
      <c r="Z63" s="5" t="s">
        <v>354</v>
      </c>
      <c r="AA63" s="5">
        <v>0</v>
      </c>
      <c r="AB63" s="5">
        <v>0</v>
      </c>
      <c r="AC63" s="5" t="b">
        <v>0</v>
      </c>
      <c r="AD63" s="5" t="s">
        <v>355</v>
      </c>
      <c r="AE63" s="5">
        <v>130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 t="s">
        <v>381</v>
      </c>
      <c r="AZ63" s="5">
        <v>11700</v>
      </c>
      <c r="BA63" s="5" t="s">
        <v>357</v>
      </c>
      <c r="BB63" s="5" t="s">
        <v>354</v>
      </c>
      <c r="BC63" s="5">
        <v>10000</v>
      </c>
      <c r="BD63" s="5">
        <v>0</v>
      </c>
      <c r="BE63" s="5" t="s">
        <v>358</v>
      </c>
      <c r="BF63" s="5">
        <v>0</v>
      </c>
      <c r="BG63" s="5" t="s">
        <v>382</v>
      </c>
      <c r="BH63" s="5">
        <v>10000</v>
      </c>
      <c r="BI63" s="5">
        <v>9</v>
      </c>
      <c r="BJ63" s="5" t="b">
        <v>1</v>
      </c>
      <c r="BK63" s="5">
        <v>0</v>
      </c>
      <c r="BL63" s="5">
        <v>10000</v>
      </c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X63" s="5">
        <v>200</v>
      </c>
      <c r="GY63" s="5">
        <v>400</v>
      </c>
      <c r="GZ63" s="5" t="s">
        <v>383</v>
      </c>
      <c r="HA63" s="5">
        <v>0</v>
      </c>
      <c r="HB63" s="5">
        <v>30050</v>
      </c>
      <c r="HC63" s="5" t="s">
        <v>366</v>
      </c>
      <c r="HD63" s="5" t="b">
        <v>1</v>
      </c>
      <c r="HE63" s="5">
        <v>2200</v>
      </c>
      <c r="HF63" s="5" t="b">
        <v>0</v>
      </c>
      <c r="HG63" s="5">
        <v>0</v>
      </c>
      <c r="HH63" s="5">
        <v>0</v>
      </c>
      <c r="HI63" s="5">
        <v>0</v>
      </c>
      <c r="HJ63" s="5">
        <v>0</v>
      </c>
      <c r="HK63" s="5" t="b">
        <v>0</v>
      </c>
      <c r="HL63" s="5">
        <v>0</v>
      </c>
      <c r="HM63" s="5">
        <v>10001</v>
      </c>
      <c r="HN63" s="5" t="s">
        <v>367</v>
      </c>
      <c r="HO63" s="5" t="s">
        <v>360</v>
      </c>
      <c r="HP63" s="5">
        <v>0</v>
      </c>
      <c r="HQ63" s="5">
        <v>0</v>
      </c>
      <c r="HR63" s="5">
        <v>0</v>
      </c>
      <c r="HS63" s="5">
        <v>0</v>
      </c>
      <c r="HT63" s="5" t="b">
        <v>0</v>
      </c>
    </row>
    <row r="64" spans="1:229">
      <c r="A64"/>
      <c r="B64" s="1">
        <f>10000000+INDEX(编号表!$B$1:$B$112,MATCH(D64,编号表!$A$1:$A$112,0))*10000+I64</f>
        <v>10060008</v>
      </c>
      <c r="C64" s="5" t="s">
        <v>384</v>
      </c>
      <c r="D64" s="5" t="s">
        <v>384</v>
      </c>
      <c r="E64" s="5" t="s">
        <v>348</v>
      </c>
      <c r="F64" s="5" t="s">
        <v>385</v>
      </c>
      <c r="G64" s="5" t="b">
        <v>0</v>
      </c>
      <c r="H64" s="5" t="b">
        <v>0</v>
      </c>
      <c r="I64" s="5">
        <v>8</v>
      </c>
      <c r="J64" s="5">
        <v>100600</v>
      </c>
      <c r="K64" s="5" t="s">
        <v>350</v>
      </c>
      <c r="L64" s="5">
        <v>10060007</v>
      </c>
      <c r="M64" s="5">
        <v>10060009</v>
      </c>
      <c r="N64" s="5" t="s">
        <v>386</v>
      </c>
      <c r="O64" s="5">
        <v>10202005</v>
      </c>
      <c r="P64" s="5">
        <v>0</v>
      </c>
      <c r="Q64" s="5">
        <v>3</v>
      </c>
      <c r="R64" s="5">
        <v>35</v>
      </c>
      <c r="S64" s="5">
        <v>0</v>
      </c>
      <c r="T64" s="5">
        <v>100</v>
      </c>
      <c r="U64" s="5" t="s">
        <v>364</v>
      </c>
      <c r="V64" s="5">
        <v>700</v>
      </c>
      <c r="W64" s="5">
        <v>0</v>
      </c>
      <c r="X64" s="5" t="inlineStr">
        <is>
          <t xml:space="preserve">目标点</t>
        </is>
      </c>
      <c r="Y64" s="5" t="s">
        <v>365</v>
      </c>
      <c r="Z64" s="5" t="s">
        <v>354</v>
      </c>
      <c r="AA64" s="5">
        <v>0</v>
      </c>
      <c r="AB64" s="5">
        <v>0</v>
      </c>
      <c r="AC64" s="5" t="b">
        <v>0</v>
      </c>
      <c r="AD64" s="5" t="s">
        <v>355</v>
      </c>
      <c r="AE64" s="5">
        <v>130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 t="s">
        <v>381</v>
      </c>
      <c r="AZ64" s="5">
        <v>11800</v>
      </c>
      <c r="BA64" s="5" t="s">
        <v>357</v>
      </c>
      <c r="BB64" s="5" t="s">
        <v>354</v>
      </c>
      <c r="BC64" s="5">
        <v>10000</v>
      </c>
      <c r="BD64" s="5">
        <v>0</v>
      </c>
      <c r="BE64" s="5" t="s">
        <v>358</v>
      </c>
      <c r="BF64" s="5">
        <v>0</v>
      </c>
      <c r="BG64" s="5" t="s">
        <v>382</v>
      </c>
      <c r="BH64" s="5">
        <v>10000</v>
      </c>
      <c r="BI64" s="5">
        <v>10</v>
      </c>
      <c r="BJ64" s="5" t="b">
        <v>1</v>
      </c>
      <c r="BK64" s="5">
        <v>0</v>
      </c>
      <c r="BL64" s="5">
        <v>10000</v>
      </c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X64" s="5">
        <v>200</v>
      </c>
      <c r="GY64" s="5">
        <v>400</v>
      </c>
      <c r="GZ64" s="5" t="s">
        <v>383</v>
      </c>
      <c r="HA64" s="5">
        <v>0</v>
      </c>
      <c r="HB64" s="5">
        <v>30050</v>
      </c>
      <c r="HC64" s="5" t="s">
        <v>366</v>
      </c>
      <c r="HD64" s="5" t="b">
        <v>1</v>
      </c>
      <c r="HE64" s="5">
        <v>2200</v>
      </c>
      <c r="HF64" s="5" t="b">
        <v>0</v>
      </c>
      <c r="HG64" s="5">
        <v>0</v>
      </c>
      <c r="HH64" s="5">
        <v>0</v>
      </c>
      <c r="HI64" s="5">
        <v>0</v>
      </c>
      <c r="HJ64" s="5">
        <v>0</v>
      </c>
      <c r="HK64" s="5" t="b">
        <v>0</v>
      </c>
      <c r="HL64" s="5">
        <v>0</v>
      </c>
      <c r="HM64" s="5">
        <v>10001</v>
      </c>
      <c r="HN64" s="5" t="s">
        <v>367</v>
      </c>
      <c r="HO64" s="5" t="s">
        <v>360</v>
      </c>
      <c r="HP64" s="5">
        <v>0</v>
      </c>
      <c r="HQ64" s="5">
        <v>0</v>
      </c>
      <c r="HR64" s="5">
        <v>0</v>
      </c>
      <c r="HS64" s="5">
        <v>0</v>
      </c>
      <c r="HT64" s="5" t="b">
        <v>0</v>
      </c>
    </row>
    <row r="65" spans="1:228">
      <c r="A65"/>
      <c r="B65" s="1">
        <f>10000000+INDEX(编号表!$B$1:$B$112,MATCH(D65,编号表!$A$1:$A$112,0))*10000+I65</f>
        <v>10060009</v>
      </c>
      <c r="C65" s="5" t="s">
        <v>384</v>
      </c>
      <c r="D65" s="5" t="s">
        <v>384</v>
      </c>
      <c r="E65" s="5" t="s">
        <v>348</v>
      </c>
      <c r="F65" s="5" t="s">
        <v>385</v>
      </c>
      <c r="G65" s="5" t="b">
        <v>0</v>
      </c>
      <c r="H65" s="5" t="b">
        <v>0</v>
      </c>
      <c r="I65" s="5">
        <v>9</v>
      </c>
      <c r="J65" s="5">
        <v>100600</v>
      </c>
      <c r="K65" s="5" t="s">
        <v>350</v>
      </c>
      <c r="L65" s="5">
        <v>10060008</v>
      </c>
      <c r="M65" s="5">
        <v>10060010</v>
      </c>
      <c r="N65" s="5" t="s">
        <v>386</v>
      </c>
      <c r="O65" s="5">
        <v>10202005</v>
      </c>
      <c r="P65" s="5">
        <v>0</v>
      </c>
      <c r="Q65" s="5">
        <v>3</v>
      </c>
      <c r="R65" s="5">
        <v>40</v>
      </c>
      <c r="S65" s="5">
        <v>0</v>
      </c>
      <c r="T65" s="5">
        <v>100</v>
      </c>
      <c r="U65" s="5" t="s">
        <v>364</v>
      </c>
      <c r="V65" s="5">
        <v>700</v>
      </c>
      <c r="W65" s="5">
        <v>0</v>
      </c>
      <c r="X65" s="5" t="inlineStr">
        <is>
          <t xml:space="preserve">目标点</t>
        </is>
      </c>
      <c r="Y65" s="5" t="s">
        <v>365</v>
      </c>
      <c r="Z65" s="5" t="s">
        <v>354</v>
      </c>
      <c r="AA65" s="5">
        <v>0</v>
      </c>
      <c r="AB65" s="5">
        <v>0</v>
      </c>
      <c r="AC65" s="5" t="b">
        <v>0</v>
      </c>
      <c r="AD65" s="5" t="s">
        <v>355</v>
      </c>
      <c r="AE65" s="5">
        <v>130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 t="s">
        <v>381</v>
      </c>
      <c r="AZ65" s="5">
        <v>11900</v>
      </c>
      <c r="BA65" s="5" t="s">
        <v>357</v>
      </c>
      <c r="BB65" s="5" t="s">
        <v>354</v>
      </c>
      <c r="BC65" s="5">
        <v>10000</v>
      </c>
      <c r="BD65" s="5">
        <v>0</v>
      </c>
      <c r="BE65" s="5" t="s">
        <v>358</v>
      </c>
      <c r="BF65" s="5">
        <v>0</v>
      </c>
      <c r="BG65" s="5" t="s">
        <v>382</v>
      </c>
      <c r="BH65" s="5">
        <v>10000</v>
      </c>
      <c r="BI65" s="5">
        <v>12</v>
      </c>
      <c r="BJ65" s="5" t="b">
        <v>1</v>
      </c>
      <c r="BK65" s="5">
        <v>0</v>
      </c>
      <c r="BL65" s="5">
        <v>10000</v>
      </c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X65" s="5">
        <v>200</v>
      </c>
      <c r="GY65" s="5">
        <v>400</v>
      </c>
      <c r="GZ65" s="5" t="s">
        <v>383</v>
      </c>
      <c r="HA65" s="5">
        <v>0</v>
      </c>
      <c r="HB65" s="5">
        <v>30050</v>
      </c>
      <c r="HC65" s="5" t="s">
        <v>366</v>
      </c>
      <c r="HD65" s="5" t="b">
        <v>1</v>
      </c>
      <c r="HE65" s="5">
        <v>2200</v>
      </c>
      <c r="HF65" s="5" t="b">
        <v>0</v>
      </c>
      <c r="HG65" s="5">
        <v>0</v>
      </c>
      <c r="HH65" s="5">
        <v>0</v>
      </c>
      <c r="HI65" s="5">
        <v>0</v>
      </c>
      <c r="HJ65" s="5">
        <v>0</v>
      </c>
      <c r="HK65" s="5" t="b">
        <v>0</v>
      </c>
      <c r="HL65" s="5">
        <v>0</v>
      </c>
      <c r="HM65" s="5">
        <v>10001</v>
      </c>
      <c r="HN65" s="5" t="s">
        <v>367</v>
      </c>
      <c r="HO65" s="5" t="s">
        <v>360</v>
      </c>
      <c r="HP65" s="5">
        <v>0</v>
      </c>
      <c r="HQ65" s="5">
        <v>0</v>
      </c>
      <c r="HR65" s="5">
        <v>0</v>
      </c>
      <c r="HS65" s="5">
        <v>0</v>
      </c>
      <c r="HT65" s="5" t="b">
        <v>0</v>
      </c>
    </row>
    <row r="66" spans="1:228">
      <c r="A66"/>
      <c r="B66" s="1">
        <f>10000000+INDEX(编号表!$B$1:$B$112,MATCH(D66,编号表!$A$1:$A$112,0))*10000+I66</f>
        <v>10060010</v>
      </c>
      <c r="C66" s="5" t="s">
        <v>384</v>
      </c>
      <c r="D66" s="5" t="s">
        <v>384</v>
      </c>
      <c r="E66" s="5" t="s">
        <v>348</v>
      </c>
      <c r="F66" s="5" t="s">
        <v>385</v>
      </c>
      <c r="G66" s="5" t="b">
        <v>0</v>
      </c>
      <c r="H66" s="5" t="b">
        <v>0</v>
      </c>
      <c r="I66" s="5">
        <v>10</v>
      </c>
      <c r="J66" s="5">
        <v>100600</v>
      </c>
      <c r="K66" s="5" t="s">
        <v>350</v>
      </c>
      <c r="L66" s="5">
        <v>10060009</v>
      </c>
      <c r="M66" s="5">
        <v>0</v>
      </c>
      <c r="N66" s="5" t="s">
        <v>386</v>
      </c>
      <c r="O66" s="5">
        <v>10202005</v>
      </c>
      <c r="P66" s="5">
        <v>0</v>
      </c>
      <c r="Q66" s="5">
        <v>3</v>
      </c>
      <c r="R66" s="5">
        <v>40</v>
      </c>
      <c r="S66" s="5">
        <v>0</v>
      </c>
      <c r="T66" s="5">
        <v>0</v>
      </c>
      <c r="U66" s="5" t="s">
        <v>364</v>
      </c>
      <c r="V66" s="5">
        <v>700</v>
      </c>
      <c r="W66" s="5">
        <v>0</v>
      </c>
      <c r="X66" s="5" t="inlineStr">
        <is>
          <t xml:space="preserve">目标点</t>
        </is>
      </c>
      <c r="Y66" s="5" t="s">
        <v>365</v>
      </c>
      <c r="Z66" s="5" t="s">
        <v>354</v>
      </c>
      <c r="AA66" s="5">
        <v>0</v>
      </c>
      <c r="AB66" s="5">
        <v>0</v>
      </c>
      <c r="AC66" s="5" t="b">
        <v>0</v>
      </c>
      <c r="AD66" s="5" t="s">
        <v>355</v>
      </c>
      <c r="AE66" s="5">
        <v>130</v>
      </c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 t="s">
        <v>381</v>
      </c>
      <c r="AZ66" s="5">
        <v>12000</v>
      </c>
      <c r="BA66" s="5" t="s">
        <v>357</v>
      </c>
      <c r="BB66" s="5" t="s">
        <v>354</v>
      </c>
      <c r="BC66" s="5">
        <v>10000</v>
      </c>
      <c r="BD66" s="5">
        <v>0</v>
      </c>
      <c r="BE66" s="5" t="s">
        <v>358</v>
      </c>
      <c r="BF66" s="5">
        <v>0</v>
      </c>
      <c r="BG66" s="5" t="s">
        <v>382</v>
      </c>
      <c r="BH66" s="5">
        <v>10000</v>
      </c>
      <c r="BI66" s="5">
        <v>15</v>
      </c>
      <c r="BJ66" s="5" t="b">
        <v>1</v>
      </c>
      <c r="BK66" s="5">
        <v>0</v>
      </c>
      <c r="BL66" s="5">
        <v>10000</v>
      </c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X66" s="5">
        <v>200</v>
      </c>
      <c r="GY66" s="5">
        <v>400</v>
      </c>
      <c r="GZ66" s="5" t="s">
        <v>383</v>
      </c>
      <c r="HA66" s="5">
        <v>0</v>
      </c>
      <c r="HB66" s="5">
        <v>30050</v>
      </c>
      <c r="HC66" s="5" t="s">
        <v>366</v>
      </c>
      <c r="HD66" s="5" t="b">
        <v>1</v>
      </c>
      <c r="HE66" s="5">
        <v>2200</v>
      </c>
      <c r="HF66" s="5" t="b">
        <v>0</v>
      </c>
      <c r="HG66" s="5">
        <v>0</v>
      </c>
      <c r="HH66" s="5">
        <v>0</v>
      </c>
      <c r="HI66" s="5">
        <v>0</v>
      </c>
      <c r="HJ66" s="5">
        <v>0</v>
      </c>
      <c r="HK66" s="5" t="b">
        <v>0</v>
      </c>
      <c r="HL66" s="5">
        <v>0</v>
      </c>
      <c r="HM66" s="5">
        <v>10001</v>
      </c>
      <c r="HN66" s="5" t="s">
        <v>367</v>
      </c>
      <c r="HO66" s="5" t="s">
        <v>360</v>
      </c>
      <c r="HP66" s="5">
        <v>0</v>
      </c>
      <c r="HQ66" s="5">
        <v>0</v>
      </c>
      <c r="HR66" s="5">
        <v>0</v>
      </c>
      <c r="HS66" s="5">
        <v>0</v>
      </c>
      <c r="HT66" s="5" t="b">
        <v>0</v>
      </c>
    </row>
    <row r="67" spans="1:228">
      <c r="A67"/>
      <c r="B67" s="1">
        <f>10000000+INDEX(编号表!$B$1:$B$112,MATCH(D67,编号表!$A$1:$A$112,0))*10000+I67</f>
        <v>10070001</v>
      </c>
      <c r="C67" s="5" t="s">
        <v>387</v>
      </c>
      <c r="D67" s="5" t="s">
        <v>387</v>
      </c>
      <c r="E67" s="5" t="s">
        <v>348</v>
      </c>
      <c r="F67" s="5" t="s">
        <v>388</v>
      </c>
      <c r="G67" s="5" t="b">
        <v>0</v>
      </c>
      <c r="H67" s="5" t="b">
        <v>0</v>
      </c>
      <c r="I67" s="5">
        <v>1</v>
      </c>
      <c r="J67" s="5">
        <v>100700</v>
      </c>
      <c r="K67" s="5" t="s">
        <v>350</v>
      </c>
      <c r="L67" s="5">
        <v>0</v>
      </c>
      <c r="M67" s="5">
        <v>10070002</v>
      </c>
      <c r="N67" s="5" t="s">
        <v>389</v>
      </c>
      <c r="O67" s="5">
        <v>10202006</v>
      </c>
      <c r="P67" s="5">
        <v>0</v>
      </c>
      <c r="Q67" s="5">
        <v>0</v>
      </c>
      <c r="R67" s="5">
        <v>1</v>
      </c>
      <c r="S67" s="5">
        <v>0</v>
      </c>
      <c r="T67" s="5">
        <v>100</v>
      </c>
      <c r="U67" s="5" t="s">
        <v>364</v>
      </c>
      <c r="V67" s="5">
        <v>700</v>
      </c>
      <c r="W67" s="5">
        <v>0</v>
      </c>
      <c r="X67" s="5" t="inlineStr">
        <is>
          <t xml:space="preserve">目标点</t>
        </is>
      </c>
      <c r="Y67" s="5" t="s">
        <v>365</v>
      </c>
      <c r="Z67" s="5" t="s">
        <v>354</v>
      </c>
      <c r="AA67" s="5">
        <v>0</v>
      </c>
      <c r="AB67" s="5">
        <v>0</v>
      </c>
      <c r="AC67" s="5" t="b">
        <v>0</v>
      </c>
      <c r="AD67" s="5" t="s">
        <v>355</v>
      </c>
      <c r="AE67" s="5">
        <v>180</v>
      </c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 t="s">
        <v>381</v>
      </c>
      <c r="AZ67" s="5">
        <v>10000</v>
      </c>
      <c r="BA67" s="5" t="s">
        <v>357</v>
      </c>
      <c r="BB67" s="5" t="s">
        <v>354</v>
      </c>
      <c r="BC67" s="5">
        <v>10000</v>
      </c>
      <c r="BD67" s="5">
        <v>0</v>
      </c>
      <c r="BE67" s="5" t="s">
        <v>358</v>
      </c>
      <c r="BF67" s="5">
        <v>0</v>
      </c>
      <c r="BG67" s="5" t="s">
        <v>382</v>
      </c>
      <c r="BH67" s="5">
        <v>10000</v>
      </c>
      <c r="BI67" s="5">
        <v>3</v>
      </c>
      <c r="BJ67" s="5" t="b">
        <v>1</v>
      </c>
      <c r="BK67" s="5">
        <v>0</v>
      </c>
      <c r="BL67" s="5">
        <v>10000</v>
      </c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X67" s="5">
        <v>200</v>
      </c>
      <c r="GY67" s="5">
        <v>400</v>
      </c>
      <c r="GZ67" s="5" t="s">
        <v>383</v>
      </c>
      <c r="HA67" s="5">
        <v>0</v>
      </c>
      <c r="HB67" s="5">
        <v>30048</v>
      </c>
      <c r="HC67" s="5" t="s">
        <v>366</v>
      </c>
      <c r="HD67" s="5" t="b">
        <v>1</v>
      </c>
      <c r="HE67" s="5">
        <v>2200</v>
      </c>
      <c r="HF67" s="5" t="b">
        <v>0</v>
      </c>
      <c r="HG67" s="5">
        <v>0</v>
      </c>
      <c r="HH67" s="5">
        <v>0</v>
      </c>
      <c r="HI67" s="5">
        <v>0</v>
      </c>
      <c r="HJ67" s="5">
        <v>0</v>
      </c>
      <c r="HK67" s="5" t="b">
        <v>0</v>
      </c>
      <c r="HL67" s="5">
        <v>0</v>
      </c>
      <c r="HM67" s="5">
        <v>10001</v>
      </c>
      <c r="HN67" s="5" t="s">
        <v>367</v>
      </c>
      <c r="HO67" s="5" t="s">
        <v>360</v>
      </c>
      <c r="HP67" s="5">
        <v>0</v>
      </c>
      <c r="HQ67" s="5">
        <v>0</v>
      </c>
      <c r="HR67" s="5">
        <v>0</v>
      </c>
      <c r="HS67" s="5">
        <v>0</v>
      </c>
      <c r="HT67" s="5" t="b">
        <v>0</v>
      </c>
    </row>
    <row r="68" spans="1:228">
      <c r="A68"/>
      <c r="B68" s="1">
        <f>10000000+INDEX(编号表!$B$1:$B$112,MATCH(D68,编号表!$A$1:$A$112,0))*10000+I68</f>
        <v>10070002</v>
      </c>
      <c r="C68" s="5" t="s">
        <v>387</v>
      </c>
      <c r="D68" s="5" t="s">
        <v>387</v>
      </c>
      <c r="E68" s="5" t="s">
        <v>348</v>
      </c>
      <c r="F68" s="5" t="s">
        <v>388</v>
      </c>
      <c r="G68" s="5" t="b">
        <v>0</v>
      </c>
      <c r="H68" s="5" t="b">
        <v>0</v>
      </c>
      <c r="I68" s="5">
        <v>2</v>
      </c>
      <c r="J68" s="5">
        <v>100700</v>
      </c>
      <c r="K68" s="5" t="s">
        <v>350</v>
      </c>
      <c r="L68" s="5">
        <v>10070001</v>
      </c>
      <c r="M68" s="5">
        <v>10070003</v>
      </c>
      <c r="N68" s="5" t="s">
        <v>389</v>
      </c>
      <c r="O68" s="5">
        <v>10202006</v>
      </c>
      <c r="P68" s="5">
        <v>0</v>
      </c>
      <c r="Q68" s="5">
        <v>1</v>
      </c>
      <c r="R68" s="5">
        <v>7</v>
      </c>
      <c r="S68" s="5">
        <v>0</v>
      </c>
      <c r="T68" s="5">
        <v>100</v>
      </c>
      <c r="U68" s="5" t="s">
        <v>364</v>
      </c>
      <c r="V68" s="5">
        <v>700</v>
      </c>
      <c r="W68" s="5">
        <v>0</v>
      </c>
      <c r="X68" s="5" t="inlineStr">
        <is>
          <t xml:space="preserve">目标点</t>
        </is>
      </c>
      <c r="Y68" s="5" t="s">
        <v>365</v>
      </c>
      <c r="Z68" s="5" t="s">
        <v>354</v>
      </c>
      <c r="AA68" s="5">
        <v>0</v>
      </c>
      <c r="AB68" s="5">
        <v>0</v>
      </c>
      <c r="AC68" s="5" t="b">
        <v>0</v>
      </c>
      <c r="AD68" s="5" t="s">
        <v>355</v>
      </c>
      <c r="AE68" s="5">
        <v>180</v>
      </c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 t="s">
        <v>381</v>
      </c>
      <c r="AZ68" s="5">
        <v>10400</v>
      </c>
      <c r="BA68" s="5" t="s">
        <v>357</v>
      </c>
      <c r="BB68" s="5" t="s">
        <v>354</v>
      </c>
      <c r="BC68" s="5">
        <v>10000</v>
      </c>
      <c r="BD68" s="5">
        <v>0</v>
      </c>
      <c r="BE68" s="5" t="s">
        <v>358</v>
      </c>
      <c r="BF68" s="5">
        <v>0</v>
      </c>
      <c r="BG68" s="5" t="s">
        <v>382</v>
      </c>
      <c r="BH68" s="5">
        <v>10000</v>
      </c>
      <c r="BI68" s="5">
        <v>4</v>
      </c>
      <c r="BJ68" s="5" t="b">
        <v>1</v>
      </c>
      <c r="BK68" s="5">
        <v>0</v>
      </c>
      <c r="BL68" s="5">
        <v>10000</v>
      </c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X68" s="5">
        <v>200</v>
      </c>
      <c r="GY68" s="5">
        <v>400</v>
      </c>
      <c r="GZ68" s="5" t="s">
        <v>383</v>
      </c>
      <c r="HA68" s="5">
        <v>0</v>
      </c>
      <c r="HB68" s="5">
        <v>30048</v>
      </c>
      <c r="HC68" s="5" t="s">
        <v>366</v>
      </c>
      <c r="HD68" s="5" t="b">
        <v>1</v>
      </c>
      <c r="HE68" s="5">
        <v>2200</v>
      </c>
      <c r="HF68" s="5" t="b">
        <v>0</v>
      </c>
      <c r="HG68" s="5">
        <v>0</v>
      </c>
      <c r="HH68" s="5">
        <v>0</v>
      </c>
      <c r="HI68" s="5">
        <v>0</v>
      </c>
      <c r="HJ68" s="5">
        <v>0</v>
      </c>
      <c r="HK68" s="5" t="b">
        <v>0</v>
      </c>
      <c r="HL68" s="5">
        <v>0</v>
      </c>
      <c r="HM68" s="5">
        <v>10001</v>
      </c>
      <c r="HN68" s="5" t="s">
        <v>367</v>
      </c>
      <c r="HO68" s="5" t="s">
        <v>360</v>
      </c>
      <c r="HP68" s="5">
        <v>0</v>
      </c>
      <c r="HQ68" s="5">
        <v>0</v>
      </c>
      <c r="HR68" s="5">
        <v>0</v>
      </c>
      <c r="HS68" s="5">
        <v>0</v>
      </c>
      <c r="HT68" s="5" t="b">
        <v>0</v>
      </c>
    </row>
    <row r="69" spans="1:228">
      <c r="A69"/>
      <c r="B69" s="1">
        <f>10000000+INDEX(编号表!$B$1:$B$112,MATCH(D69,编号表!$A$1:$A$112,0))*10000+I69</f>
        <v>10070003</v>
      </c>
      <c r="C69" s="5" t="s">
        <v>387</v>
      </c>
      <c r="D69" s="5" t="s">
        <v>387</v>
      </c>
      <c r="E69" s="5" t="s">
        <v>348</v>
      </c>
      <c r="F69" s="5" t="s">
        <v>388</v>
      </c>
      <c r="G69" s="5" t="b">
        <v>0</v>
      </c>
      <c r="H69" s="5" t="b">
        <v>0</v>
      </c>
      <c r="I69" s="5">
        <v>3</v>
      </c>
      <c r="J69" s="5">
        <v>100700</v>
      </c>
      <c r="K69" s="5" t="s">
        <v>350</v>
      </c>
      <c r="L69" s="5">
        <v>10070002</v>
      </c>
      <c r="M69" s="5">
        <v>10070004</v>
      </c>
      <c r="N69" s="5" t="s">
        <v>389</v>
      </c>
      <c r="O69" s="5">
        <v>10202006</v>
      </c>
      <c r="P69" s="5">
        <v>0</v>
      </c>
      <c r="Q69" s="5">
        <v>2</v>
      </c>
      <c r="R69" s="5">
        <v>11</v>
      </c>
      <c r="S69" s="5">
        <v>0</v>
      </c>
      <c r="T69" s="5">
        <v>100</v>
      </c>
      <c r="U69" s="5" t="s">
        <v>364</v>
      </c>
      <c r="V69" s="5">
        <v>700</v>
      </c>
      <c r="W69" s="5">
        <v>0</v>
      </c>
      <c r="X69" s="5" t="inlineStr">
        <is>
          <t xml:space="preserve">目标点</t>
        </is>
      </c>
      <c r="Y69" s="5" t="s">
        <v>365</v>
      </c>
      <c r="Z69" s="5" t="s">
        <v>354</v>
      </c>
      <c r="AA69" s="5">
        <v>0</v>
      </c>
      <c r="AB69" s="5">
        <v>0</v>
      </c>
      <c r="AC69" s="5" t="b">
        <v>0</v>
      </c>
      <c r="AD69" s="5" t="s">
        <v>355</v>
      </c>
      <c r="AE69" s="5">
        <v>180</v>
      </c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 t="s">
        <v>381</v>
      </c>
      <c r="AZ69" s="5">
        <v>10800</v>
      </c>
      <c r="BA69" s="5" t="s">
        <v>357</v>
      </c>
      <c r="BB69" s="5" t="s">
        <v>354</v>
      </c>
      <c r="BC69" s="5">
        <v>10000</v>
      </c>
      <c r="BD69" s="5">
        <v>0</v>
      </c>
      <c r="BE69" s="5" t="s">
        <v>358</v>
      </c>
      <c r="BF69" s="5">
        <v>0</v>
      </c>
      <c r="BG69" s="5" t="s">
        <v>382</v>
      </c>
      <c r="BH69" s="5">
        <v>10000</v>
      </c>
      <c r="BI69" s="5">
        <v>5</v>
      </c>
      <c r="BJ69" s="5" t="b">
        <v>1</v>
      </c>
      <c r="BK69" s="5">
        <v>0</v>
      </c>
      <c r="BL69" s="5">
        <v>10000</v>
      </c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X69" s="5">
        <v>200</v>
      </c>
      <c r="GY69" s="5">
        <v>400</v>
      </c>
      <c r="GZ69" s="5" t="s">
        <v>383</v>
      </c>
      <c r="HA69" s="5">
        <v>0</v>
      </c>
      <c r="HB69" s="5">
        <v>30048</v>
      </c>
      <c r="HC69" s="5" t="s">
        <v>366</v>
      </c>
      <c r="HD69" s="5" t="b">
        <v>1</v>
      </c>
      <c r="HE69" s="5">
        <v>2200</v>
      </c>
      <c r="HF69" s="5" t="b">
        <v>0</v>
      </c>
      <c r="HG69" s="5">
        <v>0</v>
      </c>
      <c r="HH69" s="5">
        <v>0</v>
      </c>
      <c r="HI69" s="5">
        <v>0</v>
      </c>
      <c r="HJ69" s="5">
        <v>0</v>
      </c>
      <c r="HK69" s="5" t="b">
        <v>0</v>
      </c>
      <c r="HL69" s="5">
        <v>0</v>
      </c>
      <c r="HM69" s="5">
        <v>10001</v>
      </c>
      <c r="HN69" s="5" t="s">
        <v>367</v>
      </c>
      <c r="HO69" s="5" t="s">
        <v>360</v>
      </c>
      <c r="HP69" s="5">
        <v>0</v>
      </c>
      <c r="HQ69" s="5">
        <v>0</v>
      </c>
      <c r="HR69" s="5">
        <v>0</v>
      </c>
      <c r="HS69" s="5">
        <v>0</v>
      </c>
      <c r="HT69" s="5" t="b">
        <v>0</v>
      </c>
    </row>
    <row r="70" spans="1:228">
      <c r="A70"/>
      <c r="B70" s="1">
        <f>10000000+INDEX(编号表!$B$1:$B$112,MATCH(D70,编号表!$A$1:$A$112,0))*10000+I70</f>
        <v>10070004</v>
      </c>
      <c r="C70" s="5" t="s">
        <v>387</v>
      </c>
      <c r="D70" s="5" t="s">
        <v>387</v>
      </c>
      <c r="E70" s="5" t="s">
        <v>348</v>
      </c>
      <c r="F70" s="5" t="s">
        <v>388</v>
      </c>
      <c r="G70" s="5" t="b">
        <v>0</v>
      </c>
      <c r="H70" s="5" t="b">
        <v>0</v>
      </c>
      <c r="I70" s="5">
        <v>4</v>
      </c>
      <c r="J70" s="5">
        <v>100700</v>
      </c>
      <c r="K70" s="5" t="s">
        <v>350</v>
      </c>
      <c r="L70" s="5">
        <v>10070003</v>
      </c>
      <c r="M70" s="5">
        <v>10070005</v>
      </c>
      <c r="N70" s="5" t="s">
        <v>389</v>
      </c>
      <c r="O70" s="5">
        <v>10202006</v>
      </c>
      <c r="P70" s="5">
        <v>0</v>
      </c>
      <c r="Q70" s="5">
        <v>3</v>
      </c>
      <c r="R70" s="5">
        <v>16</v>
      </c>
      <c r="S70" s="5">
        <v>0</v>
      </c>
      <c r="T70" s="5">
        <v>100</v>
      </c>
      <c r="U70" s="5" t="s">
        <v>364</v>
      </c>
      <c r="V70" s="5">
        <v>700</v>
      </c>
      <c r="W70" s="5">
        <v>0</v>
      </c>
      <c r="X70" s="5" t="inlineStr">
        <is>
          <t xml:space="preserve">目标点</t>
        </is>
      </c>
      <c r="Y70" s="5" t="s">
        <v>365</v>
      </c>
      <c r="Z70" s="5" t="s">
        <v>354</v>
      </c>
      <c r="AA70" s="5">
        <v>0</v>
      </c>
      <c r="AB70" s="5">
        <v>0</v>
      </c>
      <c r="AC70" s="5" t="b">
        <v>0</v>
      </c>
      <c r="AD70" s="5" t="s">
        <v>355</v>
      </c>
      <c r="AE70" s="5">
        <v>180</v>
      </c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 t="s">
        <v>381</v>
      </c>
      <c r="AZ70" s="5">
        <v>11200</v>
      </c>
      <c r="BA70" s="5" t="s">
        <v>357</v>
      </c>
      <c r="BB70" s="5" t="s">
        <v>354</v>
      </c>
      <c r="BC70" s="5">
        <v>10000</v>
      </c>
      <c r="BD70" s="5">
        <v>0</v>
      </c>
      <c r="BE70" s="5" t="s">
        <v>358</v>
      </c>
      <c r="BF70" s="5">
        <v>0</v>
      </c>
      <c r="BG70" s="5" t="s">
        <v>382</v>
      </c>
      <c r="BH70" s="5">
        <v>10000</v>
      </c>
      <c r="BI70" s="5">
        <v>6</v>
      </c>
      <c r="BJ70" s="5" t="b">
        <v>1</v>
      </c>
      <c r="BK70" s="5">
        <v>0</v>
      </c>
      <c r="BL70" s="5">
        <v>10000</v>
      </c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X70" s="5">
        <v>200</v>
      </c>
      <c r="GY70" s="5">
        <v>400</v>
      </c>
      <c r="GZ70" s="5" t="s">
        <v>383</v>
      </c>
      <c r="HA70" s="5">
        <v>0</v>
      </c>
      <c r="HB70" s="5">
        <v>30048</v>
      </c>
      <c r="HC70" s="5" t="s">
        <v>366</v>
      </c>
      <c r="HD70" s="5" t="b">
        <v>1</v>
      </c>
      <c r="HE70" s="5">
        <v>2200</v>
      </c>
      <c r="HF70" s="5" t="b">
        <v>0</v>
      </c>
      <c r="HG70" s="5">
        <v>0</v>
      </c>
      <c r="HH70" s="5">
        <v>0</v>
      </c>
      <c r="HI70" s="5">
        <v>0</v>
      </c>
      <c r="HJ70" s="5">
        <v>0</v>
      </c>
      <c r="HK70" s="5" t="b">
        <v>0</v>
      </c>
      <c r="HL70" s="5">
        <v>0</v>
      </c>
      <c r="HM70" s="5">
        <v>10001</v>
      </c>
      <c r="HN70" s="5" t="s">
        <v>367</v>
      </c>
      <c r="HO70" s="5" t="s">
        <v>360</v>
      </c>
      <c r="HP70" s="5">
        <v>0</v>
      </c>
      <c r="HQ70" s="5">
        <v>0</v>
      </c>
      <c r="HR70" s="5">
        <v>0</v>
      </c>
      <c r="HS70" s="5">
        <v>0</v>
      </c>
      <c r="HT70" s="5" t="b">
        <v>0</v>
      </c>
    </row>
    <row r="71" spans="1:228">
      <c r="A71"/>
      <c r="B71" s="1">
        <f>10000000+INDEX(编号表!$B$1:$B$112,MATCH(D71,编号表!$A$1:$A$112,0))*10000+I71</f>
        <v>10070005</v>
      </c>
      <c r="C71" s="5" t="s">
        <v>387</v>
      </c>
      <c r="D71" s="5" t="s">
        <v>387</v>
      </c>
      <c r="E71" s="5" t="s">
        <v>348</v>
      </c>
      <c r="F71" s="5" t="s">
        <v>388</v>
      </c>
      <c r="G71" s="5" t="b">
        <v>0</v>
      </c>
      <c r="H71" s="5" t="b">
        <v>0</v>
      </c>
      <c r="I71" s="5">
        <v>5</v>
      </c>
      <c r="J71" s="5">
        <v>100700</v>
      </c>
      <c r="K71" s="5" t="s">
        <v>350</v>
      </c>
      <c r="L71" s="5">
        <v>10070004</v>
      </c>
      <c r="M71" s="5">
        <v>10070006</v>
      </c>
      <c r="N71" s="5" t="s">
        <v>389</v>
      </c>
      <c r="O71" s="5">
        <v>10202006</v>
      </c>
      <c r="P71" s="5">
        <v>0</v>
      </c>
      <c r="Q71" s="5">
        <v>3</v>
      </c>
      <c r="R71" s="5">
        <v>25</v>
      </c>
      <c r="S71" s="5">
        <v>0</v>
      </c>
      <c r="T71" s="5">
        <v>100</v>
      </c>
      <c r="U71" s="5" t="s">
        <v>364</v>
      </c>
      <c r="V71" s="5">
        <v>700</v>
      </c>
      <c r="W71" s="5">
        <v>0</v>
      </c>
      <c r="X71" s="5" t="inlineStr">
        <is>
          <t xml:space="preserve">目标点</t>
        </is>
      </c>
      <c r="Y71" s="5" t="s">
        <v>365</v>
      </c>
      <c r="Z71" s="5" t="s">
        <v>354</v>
      </c>
      <c r="AA71" s="5">
        <v>0</v>
      </c>
      <c r="AB71" s="5">
        <v>0</v>
      </c>
      <c r="AC71" s="5" t="b">
        <v>0</v>
      </c>
      <c r="AD71" s="5" t="s">
        <v>355</v>
      </c>
      <c r="AE71" s="5">
        <v>180</v>
      </c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 t="s">
        <v>381</v>
      </c>
      <c r="AZ71" s="5">
        <v>11300</v>
      </c>
      <c r="BA71" s="5" t="s">
        <v>357</v>
      </c>
      <c r="BB71" s="5" t="s">
        <v>354</v>
      </c>
      <c r="BC71" s="5">
        <v>10000</v>
      </c>
      <c r="BD71" s="5">
        <v>0</v>
      </c>
      <c r="BE71" s="5" t="s">
        <v>358</v>
      </c>
      <c r="BF71" s="5">
        <v>0</v>
      </c>
      <c r="BG71" s="5" t="s">
        <v>382</v>
      </c>
      <c r="BH71" s="5">
        <v>10000</v>
      </c>
      <c r="BI71" s="5">
        <v>6</v>
      </c>
      <c r="BJ71" s="5" t="b">
        <v>1</v>
      </c>
      <c r="BK71" s="5">
        <v>0</v>
      </c>
      <c r="BL71" s="5">
        <v>10000</v>
      </c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X71" s="5">
        <v>200</v>
      </c>
      <c r="GY71" s="5">
        <v>400</v>
      </c>
      <c r="GZ71" s="5" t="s">
        <v>383</v>
      </c>
      <c r="HA71" s="5">
        <v>0</v>
      </c>
      <c r="HB71" s="5">
        <v>30048</v>
      </c>
      <c r="HC71" s="5" t="s">
        <v>366</v>
      </c>
      <c r="HD71" s="5" t="b">
        <v>1</v>
      </c>
      <c r="HE71" s="5">
        <v>2200</v>
      </c>
      <c r="HF71" s="5" t="b">
        <v>0</v>
      </c>
      <c r="HG71" s="5">
        <v>0</v>
      </c>
      <c r="HH71" s="5">
        <v>0</v>
      </c>
      <c r="HI71" s="5">
        <v>0</v>
      </c>
      <c r="HJ71" s="5">
        <v>0</v>
      </c>
      <c r="HK71" s="5" t="b">
        <v>0</v>
      </c>
      <c r="HL71" s="5">
        <v>0</v>
      </c>
      <c r="HM71" s="5">
        <v>10001</v>
      </c>
      <c r="HN71" s="5" t="s">
        <v>367</v>
      </c>
      <c r="HO71" s="5" t="s">
        <v>360</v>
      </c>
      <c r="HP71" s="5">
        <v>0</v>
      </c>
      <c r="HQ71" s="5">
        <v>0</v>
      </c>
      <c r="HR71" s="5">
        <v>0</v>
      </c>
      <c r="HS71" s="5">
        <v>0</v>
      </c>
      <c r="HT71" s="5" t="b">
        <v>0</v>
      </c>
    </row>
    <row r="72" spans="1:228">
      <c r="A72"/>
      <c r="B72" s="1">
        <f>10000000+INDEX(编号表!$B$1:$B$112,MATCH(D72,编号表!$A$1:$A$112,0))*10000+I72</f>
        <v>10070006</v>
      </c>
      <c r="C72" s="5" t="s">
        <v>387</v>
      </c>
      <c r="D72" s="5" t="s">
        <v>387</v>
      </c>
      <c r="E72" s="5" t="s">
        <v>348</v>
      </c>
      <c r="F72" s="5" t="s">
        <v>388</v>
      </c>
      <c r="G72" s="5" t="b">
        <v>0</v>
      </c>
      <c r="H72" s="5" t="b">
        <v>0</v>
      </c>
      <c r="I72" s="5">
        <v>6</v>
      </c>
      <c r="J72" s="5">
        <v>100700</v>
      </c>
      <c r="K72" s="5" t="s">
        <v>350</v>
      </c>
      <c r="L72" s="5">
        <v>10070005</v>
      </c>
      <c r="M72" s="5">
        <v>10070007</v>
      </c>
      <c r="N72" s="5" t="s">
        <v>389</v>
      </c>
      <c r="O72" s="5">
        <v>10202006</v>
      </c>
      <c r="P72" s="5">
        <v>0</v>
      </c>
      <c r="Q72" s="5">
        <v>3</v>
      </c>
      <c r="R72" s="5">
        <v>30</v>
      </c>
      <c r="S72" s="5">
        <v>0</v>
      </c>
      <c r="T72" s="5">
        <v>100</v>
      </c>
      <c r="U72" s="5" t="s">
        <v>364</v>
      </c>
      <c r="V72" s="5">
        <v>700</v>
      </c>
      <c r="W72" s="5">
        <v>0</v>
      </c>
      <c r="X72" s="5" t="inlineStr">
        <is>
          <t xml:space="preserve">目标点</t>
        </is>
      </c>
      <c r="Y72" s="5" t="s">
        <v>365</v>
      </c>
      <c r="Z72" s="5" t="s">
        <v>354</v>
      </c>
      <c r="AA72" s="5">
        <v>0</v>
      </c>
      <c r="AB72" s="5">
        <v>0</v>
      </c>
      <c r="AC72" s="5" t="b">
        <v>0</v>
      </c>
      <c r="AD72" s="5" t="s">
        <v>355</v>
      </c>
      <c r="AE72" s="5">
        <v>180</v>
      </c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 t="s">
        <v>381</v>
      </c>
      <c r="AZ72" s="5">
        <v>11600</v>
      </c>
      <c r="BA72" s="5" t="s">
        <v>357</v>
      </c>
      <c r="BB72" s="5" t="s">
        <v>354</v>
      </c>
      <c r="BC72" s="5">
        <v>10000</v>
      </c>
      <c r="BD72" s="5">
        <v>0</v>
      </c>
      <c r="BE72" s="5" t="s">
        <v>358</v>
      </c>
      <c r="BF72" s="5">
        <v>0</v>
      </c>
      <c r="BG72" s="5" t="s">
        <v>382</v>
      </c>
      <c r="BH72" s="5">
        <v>10000</v>
      </c>
      <c r="BI72" s="5">
        <v>7</v>
      </c>
      <c r="BJ72" s="5" t="b">
        <v>1</v>
      </c>
      <c r="BK72" s="5">
        <v>0</v>
      </c>
      <c r="BL72" s="5">
        <v>10000</v>
      </c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X72" s="5">
        <v>200</v>
      </c>
      <c r="GY72" s="5">
        <v>400</v>
      </c>
      <c r="GZ72" s="5" t="s">
        <v>383</v>
      </c>
      <c r="HA72" s="5">
        <v>0</v>
      </c>
      <c r="HB72" s="5">
        <v>30048</v>
      </c>
      <c r="HC72" s="5" t="s">
        <v>366</v>
      </c>
      <c r="HD72" s="5" t="b">
        <v>1</v>
      </c>
      <c r="HE72" s="5">
        <v>2200</v>
      </c>
      <c r="HF72" s="5" t="b">
        <v>0</v>
      </c>
      <c r="HG72" s="5">
        <v>0</v>
      </c>
      <c r="HH72" s="5">
        <v>0</v>
      </c>
      <c r="HI72" s="5">
        <v>0</v>
      </c>
      <c r="HJ72" s="5">
        <v>0</v>
      </c>
      <c r="HK72" s="5" t="b">
        <v>0</v>
      </c>
      <c r="HL72" s="5">
        <v>0</v>
      </c>
      <c r="HM72" s="5">
        <v>10001</v>
      </c>
      <c r="HN72" s="5" t="s">
        <v>367</v>
      </c>
      <c r="HO72" s="5" t="s">
        <v>360</v>
      </c>
      <c r="HP72" s="5">
        <v>0</v>
      </c>
      <c r="HQ72" s="5">
        <v>0</v>
      </c>
      <c r="HR72" s="5">
        <v>0</v>
      </c>
      <c r="HS72" s="5">
        <v>0</v>
      </c>
      <c r="HT72" s="5" t="b">
        <v>0</v>
      </c>
    </row>
    <row r="73" spans="1:228">
      <c r="A73"/>
      <c r="B73" s="1">
        <f>10000000+INDEX(编号表!$B$1:$B$112,MATCH(D73,编号表!$A$1:$A$112,0))*10000+I73</f>
        <v>10070007</v>
      </c>
      <c r="C73" s="5" t="s">
        <v>387</v>
      </c>
      <c r="D73" s="5" t="s">
        <v>387</v>
      </c>
      <c r="E73" s="5" t="s">
        <v>348</v>
      </c>
      <c r="F73" s="5" t="s">
        <v>388</v>
      </c>
      <c r="G73" s="5" t="b">
        <v>0</v>
      </c>
      <c r="H73" s="5" t="b">
        <v>0</v>
      </c>
      <c r="I73" s="5">
        <v>7</v>
      </c>
      <c r="J73" s="5">
        <v>100700</v>
      </c>
      <c r="K73" s="5" t="s">
        <v>350</v>
      </c>
      <c r="L73" s="5">
        <v>10070006</v>
      </c>
      <c r="M73" s="5">
        <v>10070008</v>
      </c>
      <c r="N73" s="5" t="s">
        <v>389</v>
      </c>
      <c r="O73" s="5">
        <v>10202006</v>
      </c>
      <c r="P73" s="5">
        <v>0</v>
      </c>
      <c r="Q73" s="5">
        <v>3</v>
      </c>
      <c r="R73" s="5">
        <v>35</v>
      </c>
      <c r="S73" s="5">
        <v>0</v>
      </c>
      <c r="T73" s="5">
        <v>100</v>
      </c>
      <c r="U73" s="5" t="s">
        <v>364</v>
      </c>
      <c r="V73" s="5">
        <v>700</v>
      </c>
      <c r="W73" s="5">
        <v>0</v>
      </c>
      <c r="X73" s="5" t="inlineStr">
        <is>
          <t xml:space="preserve">目标点</t>
        </is>
      </c>
      <c r="Y73" s="5" t="s">
        <v>365</v>
      </c>
      <c r="Z73" s="5" t="s">
        <v>354</v>
      </c>
      <c r="AA73" s="5">
        <v>0</v>
      </c>
      <c r="AB73" s="5">
        <v>0</v>
      </c>
      <c r="AC73" s="5" t="b">
        <v>0</v>
      </c>
      <c r="AD73" s="5" t="s">
        <v>355</v>
      </c>
      <c r="AE73" s="5">
        <v>180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 t="s">
        <v>381</v>
      </c>
      <c r="AZ73" s="5">
        <v>11700</v>
      </c>
      <c r="BA73" s="5" t="s">
        <v>357</v>
      </c>
      <c r="BB73" s="5" t="s">
        <v>354</v>
      </c>
      <c r="BC73" s="5">
        <v>10000</v>
      </c>
      <c r="BD73" s="5">
        <v>0</v>
      </c>
      <c r="BE73" s="5" t="s">
        <v>358</v>
      </c>
      <c r="BF73" s="5">
        <v>0</v>
      </c>
      <c r="BG73" s="5" t="s">
        <v>382</v>
      </c>
      <c r="BH73" s="5">
        <v>10000</v>
      </c>
      <c r="BI73" s="5">
        <v>9</v>
      </c>
      <c r="BJ73" s="5" t="b">
        <v>1</v>
      </c>
      <c r="BK73" s="5">
        <v>0</v>
      </c>
      <c r="BL73" s="5">
        <v>10000</v>
      </c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X73" s="5">
        <v>200</v>
      </c>
      <c r="GY73" s="5">
        <v>400</v>
      </c>
      <c r="GZ73" s="5" t="s">
        <v>383</v>
      </c>
      <c r="HA73" s="5">
        <v>0</v>
      </c>
      <c r="HB73" s="5">
        <v>30048</v>
      </c>
      <c r="HC73" s="5" t="s">
        <v>366</v>
      </c>
      <c r="HD73" s="5" t="b">
        <v>1</v>
      </c>
      <c r="HE73" s="5">
        <v>2200</v>
      </c>
      <c r="HF73" s="5" t="b">
        <v>0</v>
      </c>
      <c r="HG73" s="5">
        <v>0</v>
      </c>
      <c r="HH73" s="5">
        <v>0</v>
      </c>
      <c r="HI73" s="5">
        <v>0</v>
      </c>
      <c r="HJ73" s="5">
        <v>0</v>
      </c>
      <c r="HK73" s="5" t="b">
        <v>0</v>
      </c>
      <c r="HL73" s="5">
        <v>0</v>
      </c>
      <c r="HM73" s="5">
        <v>10001</v>
      </c>
      <c r="HN73" s="5" t="s">
        <v>367</v>
      </c>
      <c r="HO73" s="5" t="s">
        <v>360</v>
      </c>
      <c r="HP73" s="5">
        <v>0</v>
      </c>
      <c r="HQ73" s="5">
        <v>0</v>
      </c>
      <c r="HR73" s="5">
        <v>0</v>
      </c>
      <c r="HS73" s="5">
        <v>0</v>
      </c>
      <c r="HT73" s="5" t="b">
        <v>0</v>
      </c>
    </row>
    <row r="74" spans="1:228">
      <c r="A74"/>
      <c r="B74" s="1">
        <f>10000000+INDEX(编号表!$B$1:$B$112,MATCH(D74,编号表!$A$1:$A$112,0))*10000+I74</f>
        <v>10070008</v>
      </c>
      <c r="C74" s="5" t="s">
        <v>387</v>
      </c>
      <c r="D74" s="5" t="s">
        <v>387</v>
      </c>
      <c r="E74" s="5" t="s">
        <v>348</v>
      </c>
      <c r="F74" s="5" t="s">
        <v>388</v>
      </c>
      <c r="G74" s="5" t="b">
        <v>0</v>
      </c>
      <c r="H74" s="5" t="b">
        <v>0</v>
      </c>
      <c r="I74" s="5">
        <v>8</v>
      </c>
      <c r="J74" s="5">
        <v>100700</v>
      </c>
      <c r="K74" s="5" t="s">
        <v>350</v>
      </c>
      <c r="L74" s="5">
        <v>10070007</v>
      </c>
      <c r="M74" s="5">
        <v>10070009</v>
      </c>
      <c r="N74" s="5" t="s">
        <v>389</v>
      </c>
      <c r="O74" s="5">
        <v>10202006</v>
      </c>
      <c r="P74" s="5">
        <v>0</v>
      </c>
      <c r="Q74" s="5">
        <v>3</v>
      </c>
      <c r="R74" s="5">
        <v>35</v>
      </c>
      <c r="S74" s="5">
        <v>0</v>
      </c>
      <c r="T74" s="5">
        <v>100</v>
      </c>
      <c r="U74" s="5" t="s">
        <v>364</v>
      </c>
      <c r="V74" s="5">
        <v>700</v>
      </c>
      <c r="W74" s="5">
        <v>0</v>
      </c>
      <c r="X74" s="5" t="inlineStr">
        <is>
          <t xml:space="preserve">目标点</t>
        </is>
      </c>
      <c r="Y74" s="5" t="s">
        <v>365</v>
      </c>
      <c r="Z74" s="5" t="s">
        <v>354</v>
      </c>
      <c r="AA74" s="5">
        <v>0</v>
      </c>
      <c r="AB74" s="5">
        <v>0</v>
      </c>
      <c r="AC74" s="5" t="b">
        <v>0</v>
      </c>
      <c r="AD74" s="5" t="s">
        <v>355</v>
      </c>
      <c r="AE74" s="5">
        <v>180</v>
      </c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 t="s">
        <v>381</v>
      </c>
      <c r="AZ74" s="5">
        <v>11800</v>
      </c>
      <c r="BA74" s="5" t="s">
        <v>357</v>
      </c>
      <c r="BB74" s="5" t="s">
        <v>354</v>
      </c>
      <c r="BC74" s="5">
        <v>10000</v>
      </c>
      <c r="BD74" s="5">
        <v>0</v>
      </c>
      <c r="BE74" s="5" t="s">
        <v>358</v>
      </c>
      <c r="BF74" s="5">
        <v>0</v>
      </c>
      <c r="BG74" s="5" t="s">
        <v>382</v>
      </c>
      <c r="BH74" s="5">
        <v>10000</v>
      </c>
      <c r="BI74" s="5">
        <v>10</v>
      </c>
      <c r="BJ74" s="5" t="b">
        <v>1</v>
      </c>
      <c r="BK74" s="5">
        <v>0</v>
      </c>
      <c r="BL74" s="5">
        <v>10000</v>
      </c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X74" s="5">
        <v>200</v>
      </c>
      <c r="GY74" s="5">
        <v>400</v>
      </c>
      <c r="GZ74" s="5" t="s">
        <v>383</v>
      </c>
      <c r="HA74" s="5">
        <v>0</v>
      </c>
      <c r="HB74" s="5">
        <v>30048</v>
      </c>
      <c r="HC74" s="5" t="s">
        <v>366</v>
      </c>
      <c r="HD74" s="5" t="b">
        <v>1</v>
      </c>
      <c r="HE74" s="5">
        <v>2200</v>
      </c>
      <c r="HF74" s="5" t="b">
        <v>0</v>
      </c>
      <c r="HG74" s="5">
        <v>0</v>
      </c>
      <c r="HH74" s="5">
        <v>0</v>
      </c>
      <c r="HI74" s="5">
        <v>0</v>
      </c>
      <c r="HJ74" s="5">
        <v>0</v>
      </c>
      <c r="HK74" s="5" t="b">
        <v>0</v>
      </c>
      <c r="HL74" s="5">
        <v>0</v>
      </c>
      <c r="HM74" s="5">
        <v>10001</v>
      </c>
      <c r="HN74" s="5" t="s">
        <v>367</v>
      </c>
      <c r="HO74" s="5" t="s">
        <v>360</v>
      </c>
      <c r="HP74" s="5">
        <v>0</v>
      </c>
      <c r="HQ74" s="5">
        <v>0</v>
      </c>
      <c r="HR74" s="5">
        <v>0</v>
      </c>
      <c r="HS74" s="5">
        <v>0</v>
      </c>
      <c r="HT74" s="5" t="b">
        <v>0</v>
      </c>
    </row>
    <row r="75" spans="1:228">
      <c r="A75"/>
      <c r="B75" s="1">
        <f>10000000+INDEX(编号表!$B$1:$B$112,MATCH(D75,编号表!$A$1:$A$112,0))*10000+I75</f>
        <v>10070009</v>
      </c>
      <c r="C75" s="5" t="s">
        <v>387</v>
      </c>
      <c r="D75" s="5" t="s">
        <v>387</v>
      </c>
      <c r="E75" s="5" t="s">
        <v>348</v>
      </c>
      <c r="F75" s="5" t="s">
        <v>388</v>
      </c>
      <c r="G75" s="5" t="b">
        <v>0</v>
      </c>
      <c r="H75" s="5" t="b">
        <v>0</v>
      </c>
      <c r="I75" s="5">
        <v>9</v>
      </c>
      <c r="J75" s="5">
        <v>100700</v>
      </c>
      <c r="K75" s="5" t="s">
        <v>350</v>
      </c>
      <c r="L75" s="5">
        <v>10070008</v>
      </c>
      <c r="M75" s="5">
        <v>10070010</v>
      </c>
      <c r="N75" s="5" t="s">
        <v>389</v>
      </c>
      <c r="O75" s="5">
        <v>10202006</v>
      </c>
      <c r="P75" s="5">
        <v>0</v>
      </c>
      <c r="Q75" s="5">
        <v>3</v>
      </c>
      <c r="R75" s="5">
        <v>40</v>
      </c>
      <c r="S75" s="5">
        <v>0</v>
      </c>
      <c r="T75" s="5">
        <v>100</v>
      </c>
      <c r="U75" s="5" t="s">
        <v>364</v>
      </c>
      <c r="V75" s="5">
        <v>700</v>
      </c>
      <c r="W75" s="5">
        <v>0</v>
      </c>
      <c r="X75" s="5" t="inlineStr">
        <is>
          <t xml:space="preserve">目标点</t>
        </is>
      </c>
      <c r="Y75" s="5" t="s">
        <v>365</v>
      </c>
      <c r="Z75" s="5" t="s">
        <v>354</v>
      </c>
      <c r="AA75" s="5">
        <v>0</v>
      </c>
      <c r="AB75" s="5">
        <v>0</v>
      </c>
      <c r="AC75" s="5" t="b">
        <v>0</v>
      </c>
      <c r="AD75" s="5" t="s">
        <v>355</v>
      </c>
      <c r="AE75" s="5">
        <v>180</v>
      </c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 t="s">
        <v>381</v>
      </c>
      <c r="AZ75" s="5">
        <v>11900</v>
      </c>
      <c r="BA75" s="5" t="s">
        <v>357</v>
      </c>
      <c r="BB75" s="5" t="s">
        <v>354</v>
      </c>
      <c r="BC75" s="5">
        <v>10000</v>
      </c>
      <c r="BD75" s="5">
        <v>0</v>
      </c>
      <c r="BE75" s="5" t="s">
        <v>358</v>
      </c>
      <c r="BF75" s="5">
        <v>0</v>
      </c>
      <c r="BG75" s="5" t="s">
        <v>382</v>
      </c>
      <c r="BH75" s="5">
        <v>10000</v>
      </c>
      <c r="BI75" s="5">
        <v>12</v>
      </c>
      <c r="BJ75" s="5" t="b">
        <v>1</v>
      </c>
      <c r="BK75" s="5">
        <v>0</v>
      </c>
      <c r="BL75" s="5">
        <v>10000</v>
      </c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X75" s="5">
        <v>200</v>
      </c>
      <c r="GY75" s="5">
        <v>400</v>
      </c>
      <c r="GZ75" s="5" t="s">
        <v>383</v>
      </c>
      <c r="HA75" s="5">
        <v>0</v>
      </c>
      <c r="HB75" s="5">
        <v>30048</v>
      </c>
      <c r="HC75" s="5" t="s">
        <v>366</v>
      </c>
      <c r="HD75" s="5" t="b">
        <v>1</v>
      </c>
      <c r="HE75" s="5">
        <v>2200</v>
      </c>
      <c r="HF75" s="5" t="b">
        <v>0</v>
      </c>
      <c r="HG75" s="5">
        <v>0</v>
      </c>
      <c r="HH75" s="5">
        <v>0</v>
      </c>
      <c r="HI75" s="5">
        <v>0</v>
      </c>
      <c r="HJ75" s="5">
        <v>0</v>
      </c>
      <c r="HK75" s="5" t="b">
        <v>0</v>
      </c>
      <c r="HL75" s="5">
        <v>0</v>
      </c>
      <c r="HM75" s="5">
        <v>10001</v>
      </c>
      <c r="HN75" s="5" t="s">
        <v>367</v>
      </c>
      <c r="HO75" s="5" t="s">
        <v>360</v>
      </c>
      <c r="HP75" s="5">
        <v>0</v>
      </c>
      <c r="HQ75" s="5">
        <v>0</v>
      </c>
      <c r="HR75" s="5">
        <v>0</v>
      </c>
      <c r="HS75" s="5">
        <v>0</v>
      </c>
      <c r="HT75" s="5" t="b">
        <v>0</v>
      </c>
    </row>
    <row r="76" spans="1:228">
      <c r="A76"/>
      <c r="B76" s="1">
        <f>10000000+INDEX(编号表!$B$1:$B$112,MATCH(D76,编号表!$A$1:$A$112,0))*10000+I76</f>
        <v>10070010</v>
      </c>
      <c r="C76" s="5" t="s">
        <v>387</v>
      </c>
      <c r="D76" s="5" t="s">
        <v>387</v>
      </c>
      <c r="E76" s="5" t="s">
        <v>348</v>
      </c>
      <c r="F76" s="5" t="s">
        <v>388</v>
      </c>
      <c r="G76" s="5" t="b">
        <v>0</v>
      </c>
      <c r="H76" s="5" t="b">
        <v>0</v>
      </c>
      <c r="I76" s="5">
        <v>10</v>
      </c>
      <c r="J76" s="5">
        <v>100700</v>
      </c>
      <c r="K76" s="5" t="s">
        <v>350</v>
      </c>
      <c r="L76" s="5">
        <v>10070009</v>
      </c>
      <c r="M76" s="5">
        <v>0</v>
      </c>
      <c r="N76" s="5" t="s">
        <v>389</v>
      </c>
      <c r="O76" s="5">
        <v>10202006</v>
      </c>
      <c r="P76" s="5">
        <v>0</v>
      </c>
      <c r="Q76" s="5">
        <v>3</v>
      </c>
      <c r="R76" s="5">
        <v>40</v>
      </c>
      <c r="S76" s="5">
        <v>0</v>
      </c>
      <c r="T76" s="5">
        <v>0</v>
      </c>
      <c r="U76" s="5" t="s">
        <v>364</v>
      </c>
      <c r="V76" s="5">
        <v>700</v>
      </c>
      <c r="W76" s="5">
        <v>0</v>
      </c>
      <c r="X76" s="5" t="inlineStr">
        <is>
          <t xml:space="preserve">目标点</t>
        </is>
      </c>
      <c r="Y76" s="5" t="s">
        <v>365</v>
      </c>
      <c r="Z76" s="5" t="s">
        <v>354</v>
      </c>
      <c r="AA76" s="5">
        <v>0</v>
      </c>
      <c r="AB76" s="5">
        <v>0</v>
      </c>
      <c r="AC76" s="5" t="b">
        <v>0</v>
      </c>
      <c r="AD76" s="5" t="s">
        <v>355</v>
      </c>
      <c r="AE76" s="5">
        <v>180</v>
      </c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 t="s">
        <v>381</v>
      </c>
      <c r="AZ76" s="5">
        <v>12000</v>
      </c>
      <c r="BA76" s="5" t="s">
        <v>357</v>
      </c>
      <c r="BB76" s="5" t="s">
        <v>354</v>
      </c>
      <c r="BC76" s="5">
        <v>10000</v>
      </c>
      <c r="BD76" s="5">
        <v>0</v>
      </c>
      <c r="BE76" s="5" t="s">
        <v>358</v>
      </c>
      <c r="BF76" s="5">
        <v>0</v>
      </c>
      <c r="BG76" s="5" t="s">
        <v>382</v>
      </c>
      <c r="BH76" s="5">
        <v>10000</v>
      </c>
      <c r="BI76" s="5">
        <v>15</v>
      </c>
      <c r="BJ76" s="5" t="b">
        <v>1</v>
      </c>
      <c r="BK76" s="5">
        <v>0</v>
      </c>
      <c r="BL76" s="5">
        <v>10000</v>
      </c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X76" s="5">
        <v>200</v>
      </c>
      <c r="GY76" s="5">
        <v>400</v>
      </c>
      <c r="GZ76" s="5" t="s">
        <v>383</v>
      </c>
      <c r="HA76" s="5">
        <v>0</v>
      </c>
      <c r="HB76" s="5">
        <v>30048</v>
      </c>
      <c r="HC76" s="5" t="s">
        <v>366</v>
      </c>
      <c r="HD76" s="5" t="b">
        <v>1</v>
      </c>
      <c r="HE76" s="5">
        <v>2200</v>
      </c>
      <c r="HF76" s="5" t="b">
        <v>0</v>
      </c>
      <c r="HG76" s="5">
        <v>0</v>
      </c>
      <c r="HH76" s="5">
        <v>0</v>
      </c>
      <c r="HI76" s="5">
        <v>0</v>
      </c>
      <c r="HJ76" s="5">
        <v>0</v>
      </c>
      <c r="HK76" s="5" t="b">
        <v>0</v>
      </c>
      <c r="HL76" s="5">
        <v>0</v>
      </c>
      <c r="HM76" s="5">
        <v>10001</v>
      </c>
      <c r="HN76" s="5" t="s">
        <v>367</v>
      </c>
      <c r="HO76" s="5" t="s">
        <v>360</v>
      </c>
      <c r="HP76" s="5">
        <v>0</v>
      </c>
      <c r="HQ76" s="5">
        <v>0</v>
      </c>
      <c r="HR76" s="5">
        <v>0</v>
      </c>
      <c r="HS76" s="5">
        <v>0</v>
      </c>
      <c r="HT76" s="5" t="b">
        <v>0</v>
      </c>
    </row>
    <row r="77" spans="1:228">
      <c r="A77"/>
      <c r="B77" s="1">
        <f>10000000+INDEX(编号表!$B$1:$B$112,MATCH(D77,编号表!$A$1:$A$112,0))*10000+I77</f>
        <v>10080001</v>
      </c>
      <c r="C77" s="5" t="s">
        <v>390</v>
      </c>
      <c r="D77" s="5" t="s">
        <v>390</v>
      </c>
      <c r="E77" s="5" t="s">
        <v>348</v>
      </c>
      <c r="F77" s="5" t="s">
        <v>391</v>
      </c>
      <c r="G77" s="5" t="b">
        <v>0</v>
      </c>
      <c r="H77" s="5" t="b">
        <v>0</v>
      </c>
      <c r="I77" s="5">
        <v>1</v>
      </c>
      <c r="J77" s="5">
        <v>100800</v>
      </c>
      <c r="K77" s="5" t="s">
        <v>350</v>
      </c>
      <c r="L77" s="5">
        <v>0</v>
      </c>
      <c r="M77" s="5">
        <v>10080002</v>
      </c>
      <c r="N77" s="5" t="s">
        <v>392</v>
      </c>
      <c r="O77" s="5">
        <v>10202007</v>
      </c>
      <c r="P77" s="5">
        <v>0</v>
      </c>
      <c r="Q77" s="5">
        <v>0</v>
      </c>
      <c r="R77" s="5">
        <v>1</v>
      </c>
      <c r="S77" s="5">
        <v>0</v>
      </c>
      <c r="T77" s="5">
        <v>100</v>
      </c>
      <c r="U77" s="5" t="s">
        <v>364</v>
      </c>
      <c r="V77" s="5">
        <v>800</v>
      </c>
      <c r="W77" s="5">
        <v>0</v>
      </c>
      <c r="X77" s="5" t="inlineStr">
        <is>
          <t xml:space="preserve">目标点</t>
        </is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 t="s">
        <v>381</v>
      </c>
      <c r="AZ77" s="5">
        <v>10000</v>
      </c>
      <c r="BA77" s="5" t="s">
        <v>371</v>
      </c>
      <c r="BB77" s="5" t="s">
        <v>354</v>
      </c>
      <c r="BC77" s="5">
        <v>10000</v>
      </c>
      <c r="BD77" s="5">
        <v>0</v>
      </c>
      <c r="BE77" s="5" t="s">
        <v>358</v>
      </c>
      <c r="BF77" s="5">
        <v>0</v>
      </c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>
        <v>30002</v>
      </c>
      <c r="CG77" s="5" t="s">
        <v>372</v>
      </c>
      <c r="CH77" s="5">
        <v>900</v>
      </c>
      <c r="CI77" s="5">
        <v>80</v>
      </c>
      <c r="CJ77" s="5" t="s">
        <v>373</v>
      </c>
      <c r="CK77" s="5">
        <v>1</v>
      </c>
      <c r="CL77" s="5">
        <v>0</v>
      </c>
      <c r="CM77" s="5">
        <v>1</v>
      </c>
      <c r="CN77" s="5">
        <v>850</v>
      </c>
      <c r="CO77" s="5">
        <v>80</v>
      </c>
      <c r="CP77" s="5">
        <v>0</v>
      </c>
      <c r="CQ77" s="5">
        <v>0</v>
      </c>
      <c r="CR77" s="5">
        <v>10290001</v>
      </c>
      <c r="CS77" s="5">
        <v>0</v>
      </c>
      <c r="CT77" s="5">
        <v>0</v>
      </c>
      <c r="CU77" s="5">
        <v>0</v>
      </c>
      <c r="CV77" s="5" t="s">
        <v>355</v>
      </c>
      <c r="CW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/>
      <c r="EX77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/>
      <c r="GW77"/>
      <c r="GX77" s="5">
        <v>200</v>
      </c>
      <c r="GY77" s="5">
        <v>400</v>
      </c>
      <c r="GZ77" s="5" t="s">
        <v>383</v>
      </c>
      <c r="HA77" s="5">
        <v>0</v>
      </c>
      <c r="HB77" s="5" t="s">
        <v>366</v>
      </c>
      <c r="HC77" s="5" t="s">
        <v>366</v>
      </c>
      <c r="HD77" s="5" t="b">
        <v>1</v>
      </c>
      <c r="HE77" s="5">
        <v>3000</v>
      </c>
      <c r="HF77" s="5" t="b">
        <v>0</v>
      </c>
      <c r="HG77" s="5">
        <v>0</v>
      </c>
      <c r="HH77" s="5">
        <v>0</v>
      </c>
      <c r="HI77" s="5">
        <v>0</v>
      </c>
      <c r="HJ77" s="5">
        <v>0</v>
      </c>
      <c r="HK77" s="5" t="b">
        <v>0</v>
      </c>
      <c r="HL77" s="5">
        <v>0</v>
      </c>
      <c r="HM77" s="5">
        <v>10001</v>
      </c>
      <c r="HN77" s="5" t="s">
        <v>367</v>
      </c>
      <c r="HO77" s="5" t="s">
        <v>360</v>
      </c>
      <c r="HP77" s="5">
        <v>0</v>
      </c>
      <c r="HQ77" s="5">
        <v>0</v>
      </c>
      <c r="HR77" s="5">
        <v>0</v>
      </c>
      <c r="HS77" s="5">
        <v>0</v>
      </c>
      <c r="HT77" s="5" t="b">
        <v>0</v>
      </c>
    </row>
    <row r="78" spans="1:228">
      <c r="A78"/>
      <c r="B78" s="1">
        <f>10000000+INDEX(编号表!$B$1:$B$112,MATCH(D78,编号表!$A$1:$A$112,0))*10000+I78</f>
        <v>10080002</v>
      </c>
      <c r="C78" s="5" t="s">
        <v>390</v>
      </c>
      <c r="D78" s="5" t="s">
        <v>390</v>
      </c>
      <c r="E78" s="5" t="s">
        <v>348</v>
      </c>
      <c r="F78" s="5" t="s">
        <v>391</v>
      </c>
      <c r="G78" s="5" t="b">
        <v>0</v>
      </c>
      <c r="H78" s="5" t="b">
        <v>0</v>
      </c>
      <c r="I78" s="5">
        <v>2</v>
      </c>
      <c r="J78" s="5">
        <v>100800</v>
      </c>
      <c r="K78" s="5" t="s">
        <v>350</v>
      </c>
      <c r="L78" s="5">
        <v>10080001</v>
      </c>
      <c r="M78" s="5">
        <v>10080003</v>
      </c>
      <c r="N78" s="5" t="s">
        <v>392</v>
      </c>
      <c r="O78" s="5">
        <v>10202007</v>
      </c>
      <c r="P78" s="5">
        <v>0</v>
      </c>
      <c r="Q78" s="5">
        <v>1</v>
      </c>
      <c r="R78" s="5">
        <v>7</v>
      </c>
      <c r="S78" s="5">
        <v>0</v>
      </c>
      <c r="T78" s="5">
        <v>100</v>
      </c>
      <c r="U78" s="5" t="s">
        <v>364</v>
      </c>
      <c r="V78" s="5">
        <v>800</v>
      </c>
      <c r="W78" s="5">
        <v>0</v>
      </c>
      <c r="X78" s="5" t="inlineStr">
        <is>
          <t xml:space="preserve">目标点</t>
        </is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 t="s">
        <v>381</v>
      </c>
      <c r="AZ78" s="5">
        <v>10400</v>
      </c>
      <c r="BA78" s="5" t="s">
        <v>371</v>
      </c>
      <c r="BB78" s="5" t="s">
        <v>354</v>
      </c>
      <c r="BC78" s="5">
        <v>10000</v>
      </c>
      <c r="BD78" s="5">
        <v>0</v>
      </c>
      <c r="BE78" s="5" t="s">
        <v>358</v>
      </c>
      <c r="BF78" s="5">
        <v>0</v>
      </c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>
        <v>30002</v>
      </c>
      <c r="CG78" s="5" t="s">
        <v>372</v>
      </c>
      <c r="CH78" s="5">
        <v>900</v>
      </c>
      <c r="CI78" s="5">
        <v>80</v>
      </c>
      <c r="CJ78" s="5" t="s">
        <v>373</v>
      </c>
      <c r="CK78" s="5">
        <v>1</v>
      </c>
      <c r="CL78" s="5">
        <v>0</v>
      </c>
      <c r="CM78" s="5">
        <v>1</v>
      </c>
      <c r="CN78" s="5">
        <v>850</v>
      </c>
      <c r="CO78" s="5">
        <v>80</v>
      </c>
      <c r="CP78" s="5">
        <v>0</v>
      </c>
      <c r="CQ78" s="5">
        <v>0</v>
      </c>
      <c r="CR78" s="5">
        <v>10290002</v>
      </c>
      <c r="CS78" s="5">
        <v>0</v>
      </c>
      <c r="CT78" s="5">
        <v>0</v>
      </c>
      <c r="CU78" s="5">
        <v>0</v>
      </c>
      <c r="CV78" s="5" t="s">
        <v>355</v>
      </c>
      <c r="CW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/>
      <c r="EX78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/>
      <c r="GW78"/>
      <c r="GX78" s="5">
        <v>200</v>
      </c>
      <c r="GY78" s="5">
        <v>400</v>
      </c>
      <c r="GZ78" s="5" t="s">
        <v>383</v>
      </c>
      <c r="HA78" s="5">
        <v>0</v>
      </c>
      <c r="HB78" s="5" t="s">
        <v>366</v>
      </c>
      <c r="HC78" s="5" t="s">
        <v>366</v>
      </c>
      <c r="HD78" s="5" t="b">
        <v>1</v>
      </c>
      <c r="HE78" s="5">
        <v>3000</v>
      </c>
      <c r="HF78" s="5" t="b">
        <v>0</v>
      </c>
      <c r="HG78" s="5">
        <v>0</v>
      </c>
      <c r="HH78" s="5">
        <v>0</v>
      </c>
      <c r="HI78" s="5">
        <v>0</v>
      </c>
      <c r="HJ78" s="5">
        <v>0</v>
      </c>
      <c r="HK78" s="5" t="b">
        <v>0</v>
      </c>
      <c r="HL78" s="5">
        <v>0</v>
      </c>
      <c r="HM78" s="5">
        <v>10001</v>
      </c>
      <c r="HN78" s="5" t="s">
        <v>367</v>
      </c>
      <c r="HO78" s="5" t="s">
        <v>360</v>
      </c>
      <c r="HP78" s="5">
        <v>0</v>
      </c>
      <c r="HQ78" s="5">
        <v>0</v>
      </c>
      <c r="HR78" s="5">
        <v>0</v>
      </c>
      <c r="HS78" s="5">
        <v>0</v>
      </c>
      <c r="HT78" s="5" t="b">
        <v>0</v>
      </c>
    </row>
    <row r="79" spans="1:228">
      <c r="A79"/>
      <c r="B79" s="1">
        <f>10000000+INDEX(编号表!$B$1:$B$112,MATCH(D79,编号表!$A$1:$A$112,0))*10000+I79</f>
        <v>10080003</v>
      </c>
      <c r="C79" s="5" t="s">
        <v>390</v>
      </c>
      <c r="D79" s="5" t="s">
        <v>390</v>
      </c>
      <c r="E79" s="5" t="s">
        <v>348</v>
      </c>
      <c r="F79" s="5" t="s">
        <v>391</v>
      </c>
      <c r="G79" s="5" t="b">
        <v>0</v>
      </c>
      <c r="H79" s="5" t="b">
        <v>0</v>
      </c>
      <c r="I79" s="5">
        <v>3</v>
      </c>
      <c r="J79" s="5">
        <v>100800</v>
      </c>
      <c r="K79" s="5" t="s">
        <v>350</v>
      </c>
      <c r="L79" s="5">
        <v>10080002</v>
      </c>
      <c r="M79" s="5">
        <v>10080004</v>
      </c>
      <c r="N79" s="5" t="s">
        <v>392</v>
      </c>
      <c r="O79" s="5">
        <v>10202007</v>
      </c>
      <c r="P79" s="5">
        <v>0</v>
      </c>
      <c r="Q79" s="5">
        <v>2</v>
      </c>
      <c r="R79" s="5">
        <v>11</v>
      </c>
      <c r="S79" s="5">
        <v>0</v>
      </c>
      <c r="T79" s="5">
        <v>100</v>
      </c>
      <c r="U79" s="5" t="s">
        <v>364</v>
      </c>
      <c r="V79" s="5">
        <v>800</v>
      </c>
      <c r="W79" s="5">
        <v>0</v>
      </c>
      <c r="X79" s="5" t="inlineStr">
        <is>
          <t xml:space="preserve">目标点</t>
        </is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 t="s">
        <v>381</v>
      </c>
      <c r="AZ79" s="5">
        <v>10800</v>
      </c>
      <c r="BA79" s="5" t="s">
        <v>371</v>
      </c>
      <c r="BB79" s="5" t="s">
        <v>354</v>
      </c>
      <c r="BC79" s="5">
        <v>10000</v>
      </c>
      <c r="BD79" s="5">
        <v>0</v>
      </c>
      <c r="BE79" s="5" t="s">
        <v>358</v>
      </c>
      <c r="BF79" s="5">
        <v>0</v>
      </c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>
        <v>30002</v>
      </c>
      <c r="CG79" s="5" t="s">
        <v>372</v>
      </c>
      <c r="CH79" s="5">
        <v>900</v>
      </c>
      <c r="CI79" s="5">
        <v>80</v>
      </c>
      <c r="CJ79" s="5" t="s">
        <v>373</v>
      </c>
      <c r="CK79" s="5">
        <v>1</v>
      </c>
      <c r="CL79" s="5">
        <v>0</v>
      </c>
      <c r="CM79" s="5">
        <v>1</v>
      </c>
      <c r="CN79" s="5">
        <v>850</v>
      </c>
      <c r="CO79" s="5">
        <v>80</v>
      </c>
      <c r="CP79" s="5">
        <v>0</v>
      </c>
      <c r="CQ79" s="5">
        <v>0</v>
      </c>
      <c r="CR79" s="5">
        <v>10290003</v>
      </c>
      <c r="CS79" s="5">
        <v>0</v>
      </c>
      <c r="CT79" s="5">
        <v>0</v>
      </c>
      <c r="CU79" s="5">
        <v>0</v>
      </c>
      <c r="CV79" s="5" t="s">
        <v>355</v>
      </c>
      <c r="CW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/>
      <c r="EX79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/>
      <c r="GW79"/>
      <c r="GX79" s="5">
        <v>200</v>
      </c>
      <c r="GY79" s="5">
        <v>400</v>
      </c>
      <c r="GZ79" s="5" t="s">
        <v>383</v>
      </c>
      <c r="HA79" s="5">
        <v>0</v>
      </c>
      <c r="HB79" s="5" t="s">
        <v>366</v>
      </c>
      <c r="HC79" s="5" t="s">
        <v>366</v>
      </c>
      <c r="HD79" s="5" t="b">
        <v>1</v>
      </c>
      <c r="HE79" s="5">
        <v>3000</v>
      </c>
      <c r="HF79" s="5" t="b">
        <v>0</v>
      </c>
      <c r="HG79" s="5">
        <v>0</v>
      </c>
      <c r="HH79" s="5">
        <v>0</v>
      </c>
      <c r="HI79" s="5">
        <v>0</v>
      </c>
      <c r="HJ79" s="5">
        <v>0</v>
      </c>
      <c r="HK79" s="5" t="b">
        <v>0</v>
      </c>
      <c r="HL79" s="5">
        <v>0</v>
      </c>
      <c r="HM79" s="5">
        <v>10001</v>
      </c>
      <c r="HN79" s="5" t="s">
        <v>367</v>
      </c>
      <c r="HO79" s="5" t="s">
        <v>360</v>
      </c>
      <c r="HP79" s="5">
        <v>0</v>
      </c>
      <c r="HQ79" s="5">
        <v>0</v>
      </c>
      <c r="HR79" s="5">
        <v>0</v>
      </c>
      <c r="HS79" s="5">
        <v>0</v>
      </c>
      <c r="HT79" s="5" t="b">
        <v>0</v>
      </c>
    </row>
    <row r="80" spans="1:228">
      <c r="A80"/>
      <c r="B80" s="1">
        <f>10000000+INDEX(编号表!$B$1:$B$112,MATCH(D80,编号表!$A$1:$A$112,0))*10000+I80</f>
        <v>10080004</v>
      </c>
      <c r="C80" s="5" t="s">
        <v>390</v>
      </c>
      <c r="D80" s="5" t="s">
        <v>390</v>
      </c>
      <c r="E80" s="5" t="s">
        <v>348</v>
      </c>
      <c r="F80" s="5" t="s">
        <v>391</v>
      </c>
      <c r="G80" s="5" t="b">
        <v>0</v>
      </c>
      <c r="H80" s="5" t="b">
        <v>0</v>
      </c>
      <c r="I80" s="5">
        <v>4</v>
      </c>
      <c r="J80" s="5">
        <v>100800</v>
      </c>
      <c r="K80" s="5" t="s">
        <v>350</v>
      </c>
      <c r="L80" s="5">
        <v>10080003</v>
      </c>
      <c r="M80" s="5">
        <v>10080005</v>
      </c>
      <c r="N80" s="5" t="s">
        <v>392</v>
      </c>
      <c r="O80" s="5">
        <v>10202007</v>
      </c>
      <c r="P80" s="5">
        <v>0</v>
      </c>
      <c r="Q80" s="5">
        <v>3</v>
      </c>
      <c r="R80" s="5">
        <v>16</v>
      </c>
      <c r="S80" s="5">
        <v>0</v>
      </c>
      <c r="T80" s="5">
        <v>100</v>
      </c>
      <c r="U80" s="5" t="s">
        <v>364</v>
      </c>
      <c r="V80" s="5">
        <v>800</v>
      </c>
      <c r="W80" s="5">
        <v>0</v>
      </c>
      <c r="X80" s="5" t="inlineStr">
        <is>
          <t xml:space="preserve">目标点</t>
        </is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 t="s">
        <v>381</v>
      </c>
      <c r="AZ80" s="5">
        <v>11200</v>
      </c>
      <c r="BA80" s="5" t="s">
        <v>371</v>
      </c>
      <c r="BB80" s="5" t="s">
        <v>354</v>
      </c>
      <c r="BC80" s="5">
        <v>10000</v>
      </c>
      <c r="BD80" s="5">
        <v>0</v>
      </c>
      <c r="BE80" s="5" t="s">
        <v>358</v>
      </c>
      <c r="BF80" s="5">
        <v>0</v>
      </c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>
        <v>30002</v>
      </c>
      <c r="CG80" s="5" t="s">
        <v>372</v>
      </c>
      <c r="CH80" s="5">
        <v>900</v>
      </c>
      <c r="CI80" s="5">
        <v>80</v>
      </c>
      <c r="CJ80" s="5" t="s">
        <v>373</v>
      </c>
      <c r="CK80" s="5">
        <v>1</v>
      </c>
      <c r="CL80" s="5">
        <v>0</v>
      </c>
      <c r="CM80" s="5">
        <v>1</v>
      </c>
      <c r="CN80" s="5">
        <v>850</v>
      </c>
      <c r="CO80" s="5">
        <v>80</v>
      </c>
      <c r="CP80" s="5">
        <v>0</v>
      </c>
      <c r="CQ80" s="5">
        <v>0</v>
      </c>
      <c r="CR80" s="5">
        <v>10290004</v>
      </c>
      <c r="CS80" s="5">
        <v>0</v>
      </c>
      <c r="CT80" s="5">
        <v>0</v>
      </c>
      <c r="CU80" s="5">
        <v>0</v>
      </c>
      <c r="CV80" s="5" t="s">
        <v>355</v>
      </c>
      <c r="CW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/>
      <c r="EX80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/>
      <c r="GW80"/>
      <c r="GX80" s="5">
        <v>200</v>
      </c>
      <c r="GY80" s="5">
        <v>400</v>
      </c>
      <c r="GZ80" s="5" t="s">
        <v>383</v>
      </c>
      <c r="HA80" s="5">
        <v>0</v>
      </c>
      <c r="HB80" s="5" t="s">
        <v>366</v>
      </c>
      <c r="HC80" s="5" t="s">
        <v>366</v>
      </c>
      <c r="HD80" s="5" t="b">
        <v>1</v>
      </c>
      <c r="HE80" s="5">
        <v>3000</v>
      </c>
      <c r="HF80" s="5" t="b">
        <v>0</v>
      </c>
      <c r="HG80" s="5">
        <v>0</v>
      </c>
      <c r="HH80" s="5">
        <v>0</v>
      </c>
      <c r="HI80" s="5">
        <v>0</v>
      </c>
      <c r="HJ80" s="5">
        <v>0</v>
      </c>
      <c r="HK80" s="5" t="b">
        <v>0</v>
      </c>
      <c r="HL80" s="5">
        <v>0</v>
      </c>
      <c r="HM80" s="5">
        <v>10001</v>
      </c>
      <c r="HN80" s="5" t="s">
        <v>367</v>
      </c>
      <c r="HO80" s="5" t="s">
        <v>360</v>
      </c>
      <c r="HP80" s="5">
        <v>0</v>
      </c>
      <c r="HQ80" s="5">
        <v>0</v>
      </c>
      <c r="HR80" s="5">
        <v>0</v>
      </c>
      <c r="HS80" s="5">
        <v>0</v>
      </c>
      <c r="HT80" s="5" t="b">
        <v>0</v>
      </c>
    </row>
    <row r="81" spans="1:228">
      <c r="A81"/>
      <c r="B81" s="1">
        <f>10000000+INDEX(编号表!$B$1:$B$112,MATCH(D81,编号表!$A$1:$A$112,0))*10000+I81</f>
        <v>10080005</v>
      </c>
      <c r="C81" s="5" t="s">
        <v>390</v>
      </c>
      <c r="D81" s="5" t="s">
        <v>390</v>
      </c>
      <c r="E81" s="5" t="s">
        <v>348</v>
      </c>
      <c r="F81" s="5" t="s">
        <v>391</v>
      </c>
      <c r="G81" s="5" t="b">
        <v>0</v>
      </c>
      <c r="H81" s="5" t="b">
        <v>0</v>
      </c>
      <c r="I81" s="5">
        <v>5</v>
      </c>
      <c r="J81" s="5">
        <v>100800</v>
      </c>
      <c r="K81" s="5" t="s">
        <v>350</v>
      </c>
      <c r="L81" s="5">
        <v>10080004</v>
      </c>
      <c r="M81" s="5">
        <v>10080006</v>
      </c>
      <c r="N81" s="5" t="s">
        <v>392</v>
      </c>
      <c r="O81" s="5">
        <v>10202007</v>
      </c>
      <c r="P81" s="5">
        <v>0</v>
      </c>
      <c r="Q81" s="5">
        <v>3</v>
      </c>
      <c r="R81" s="5">
        <v>25</v>
      </c>
      <c r="S81" s="5">
        <v>0</v>
      </c>
      <c r="T81" s="5">
        <v>100</v>
      </c>
      <c r="U81" s="5" t="s">
        <v>364</v>
      </c>
      <c r="V81" s="5">
        <v>800</v>
      </c>
      <c r="W81" s="5">
        <v>0</v>
      </c>
      <c r="X81" s="5" t="inlineStr">
        <is>
          <t xml:space="preserve">目标点</t>
        </is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 t="s">
        <v>381</v>
      </c>
      <c r="AZ81" s="5">
        <v>11300</v>
      </c>
      <c r="BA81" s="5" t="s">
        <v>371</v>
      </c>
      <c r="BB81" s="5" t="s">
        <v>354</v>
      </c>
      <c r="BC81" s="5">
        <v>10000</v>
      </c>
      <c r="BD81" s="5">
        <v>0</v>
      </c>
      <c r="BE81" s="5" t="s">
        <v>358</v>
      </c>
      <c r="BF81" s="5">
        <v>0</v>
      </c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>
        <v>30002</v>
      </c>
      <c r="CG81" s="5" t="s">
        <v>372</v>
      </c>
      <c r="CH81" s="5">
        <v>900</v>
      </c>
      <c r="CI81" s="5">
        <v>80</v>
      </c>
      <c r="CJ81" s="5" t="s">
        <v>373</v>
      </c>
      <c r="CK81" s="5">
        <v>1</v>
      </c>
      <c r="CL81" s="5">
        <v>0</v>
      </c>
      <c r="CM81" s="5">
        <v>1</v>
      </c>
      <c r="CN81" s="5">
        <v>850</v>
      </c>
      <c r="CO81" s="5">
        <v>80</v>
      </c>
      <c r="CP81" s="5">
        <v>0</v>
      </c>
      <c r="CQ81" s="5">
        <v>0</v>
      </c>
      <c r="CR81" s="5">
        <v>10290005</v>
      </c>
      <c r="CS81" s="5">
        <v>0</v>
      </c>
      <c r="CT81" s="5">
        <v>0</v>
      </c>
      <c r="CU81" s="5">
        <v>0</v>
      </c>
      <c r="CV81" s="5" t="s">
        <v>355</v>
      </c>
      <c r="CW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/>
      <c r="EX81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/>
      <c r="GW81"/>
      <c r="GX81" s="5">
        <v>200</v>
      </c>
      <c r="GY81" s="5">
        <v>400</v>
      </c>
      <c r="GZ81" s="5" t="s">
        <v>383</v>
      </c>
      <c r="HA81" s="5">
        <v>0</v>
      </c>
      <c r="HB81" s="5" t="s">
        <v>366</v>
      </c>
      <c r="HC81" s="5" t="s">
        <v>366</v>
      </c>
      <c r="HD81" s="5" t="b">
        <v>1</v>
      </c>
      <c r="HE81" s="5">
        <v>3000</v>
      </c>
      <c r="HF81" s="5" t="b">
        <v>0</v>
      </c>
      <c r="HG81" s="5">
        <v>0</v>
      </c>
      <c r="HH81" s="5">
        <v>0</v>
      </c>
      <c r="HI81" s="5">
        <v>0</v>
      </c>
      <c r="HJ81" s="5">
        <v>0</v>
      </c>
      <c r="HK81" s="5" t="b">
        <v>0</v>
      </c>
      <c r="HL81" s="5">
        <v>0</v>
      </c>
      <c r="HM81" s="5">
        <v>10001</v>
      </c>
      <c r="HN81" s="5" t="s">
        <v>367</v>
      </c>
      <c r="HO81" s="5" t="s">
        <v>360</v>
      </c>
      <c r="HP81" s="5">
        <v>0</v>
      </c>
      <c r="HQ81" s="5">
        <v>0</v>
      </c>
      <c r="HR81" s="5">
        <v>0</v>
      </c>
      <c r="HS81" s="5">
        <v>0</v>
      </c>
      <c r="HT81" s="5" t="b">
        <v>0</v>
      </c>
    </row>
    <row r="82" spans="1:228">
      <c r="A82"/>
      <c r="B82" s="1">
        <f>10000000+INDEX(编号表!$B$1:$B$112,MATCH(D82,编号表!$A$1:$A$112,0))*10000+I82</f>
        <v>10080006</v>
      </c>
      <c r="C82" s="5" t="s">
        <v>390</v>
      </c>
      <c r="D82" s="5" t="s">
        <v>390</v>
      </c>
      <c r="E82" s="5" t="s">
        <v>348</v>
      </c>
      <c r="F82" s="5" t="s">
        <v>391</v>
      </c>
      <c r="G82" s="5" t="b">
        <v>0</v>
      </c>
      <c r="H82" s="5" t="b">
        <v>0</v>
      </c>
      <c r="I82" s="5">
        <v>6</v>
      </c>
      <c r="J82" s="5">
        <v>100800</v>
      </c>
      <c r="K82" s="5" t="s">
        <v>350</v>
      </c>
      <c r="L82" s="5">
        <v>10080005</v>
      </c>
      <c r="M82" s="5">
        <v>10080007</v>
      </c>
      <c r="N82" s="5" t="s">
        <v>392</v>
      </c>
      <c r="O82" s="5">
        <v>10202007</v>
      </c>
      <c r="P82" s="5">
        <v>0</v>
      </c>
      <c r="Q82" s="5">
        <v>3</v>
      </c>
      <c r="R82" s="5">
        <v>30</v>
      </c>
      <c r="S82" s="5">
        <v>0</v>
      </c>
      <c r="T82" s="5">
        <v>100</v>
      </c>
      <c r="U82" s="5" t="s">
        <v>364</v>
      </c>
      <c r="V82" s="5">
        <v>800</v>
      </c>
      <c r="W82" s="5">
        <v>0</v>
      </c>
      <c r="X82" s="5" t="inlineStr">
        <is>
          <t xml:space="preserve">目标点</t>
        </is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 t="s">
        <v>381</v>
      </c>
      <c r="AZ82" s="5">
        <v>11600</v>
      </c>
      <c r="BA82" s="5" t="s">
        <v>371</v>
      </c>
      <c r="BB82" s="5" t="s">
        <v>354</v>
      </c>
      <c r="BC82" s="5">
        <v>10000</v>
      </c>
      <c r="BD82" s="5">
        <v>0</v>
      </c>
      <c r="BE82" s="5" t="s">
        <v>358</v>
      </c>
      <c r="BF82" s="5">
        <v>0</v>
      </c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>
        <v>30002</v>
      </c>
      <c r="CG82" s="5" t="s">
        <v>372</v>
      </c>
      <c r="CH82" s="5">
        <v>900</v>
      </c>
      <c r="CI82" s="5">
        <v>80</v>
      </c>
      <c r="CJ82" s="5" t="s">
        <v>373</v>
      </c>
      <c r="CK82" s="5">
        <v>1</v>
      </c>
      <c r="CL82" s="5">
        <v>0</v>
      </c>
      <c r="CM82" s="5">
        <v>1</v>
      </c>
      <c r="CN82" s="5">
        <v>850</v>
      </c>
      <c r="CO82" s="5">
        <v>80</v>
      </c>
      <c r="CP82" s="5">
        <v>0</v>
      </c>
      <c r="CQ82" s="5">
        <v>0</v>
      </c>
      <c r="CR82" s="5">
        <v>10290006</v>
      </c>
      <c r="CS82" s="5">
        <v>0</v>
      </c>
      <c r="CT82" s="5">
        <v>0</v>
      </c>
      <c r="CU82" s="5">
        <v>0</v>
      </c>
      <c r="CV82" s="5" t="s">
        <v>355</v>
      </c>
      <c r="CW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/>
      <c r="EX82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/>
      <c r="GW82"/>
      <c r="GX82" s="5">
        <v>200</v>
      </c>
      <c r="GY82" s="5">
        <v>400</v>
      </c>
      <c r="GZ82" s="5" t="s">
        <v>383</v>
      </c>
      <c r="HA82" s="5">
        <v>0</v>
      </c>
      <c r="HB82" s="5" t="s">
        <v>366</v>
      </c>
      <c r="HC82" s="5" t="s">
        <v>366</v>
      </c>
      <c r="HD82" s="5" t="b">
        <v>1</v>
      </c>
      <c r="HE82" s="5">
        <v>3000</v>
      </c>
      <c r="HF82" s="5" t="b">
        <v>0</v>
      </c>
      <c r="HG82" s="5">
        <v>0</v>
      </c>
      <c r="HH82" s="5">
        <v>0</v>
      </c>
      <c r="HI82" s="5">
        <v>0</v>
      </c>
      <c r="HJ82" s="5">
        <v>0</v>
      </c>
      <c r="HK82" s="5" t="b">
        <v>0</v>
      </c>
      <c r="HL82" s="5">
        <v>0</v>
      </c>
      <c r="HM82" s="5">
        <v>10001</v>
      </c>
      <c r="HN82" s="5" t="s">
        <v>367</v>
      </c>
      <c r="HO82" s="5" t="s">
        <v>360</v>
      </c>
      <c r="HP82" s="5">
        <v>0</v>
      </c>
      <c r="HQ82" s="5">
        <v>0</v>
      </c>
      <c r="HR82" s="5">
        <v>0</v>
      </c>
      <c r="HS82" s="5">
        <v>0</v>
      </c>
      <c r="HT82" s="5" t="b">
        <v>0</v>
      </c>
    </row>
    <row r="83" spans="1:228">
      <c r="A83"/>
      <c r="B83" s="1">
        <f>10000000+INDEX(编号表!$B$1:$B$112,MATCH(D83,编号表!$A$1:$A$112,0))*10000+I83</f>
        <v>10080007</v>
      </c>
      <c r="C83" s="5" t="s">
        <v>390</v>
      </c>
      <c r="D83" s="5" t="s">
        <v>390</v>
      </c>
      <c r="E83" s="5" t="s">
        <v>348</v>
      </c>
      <c r="F83" s="5" t="s">
        <v>391</v>
      </c>
      <c r="G83" s="5" t="b">
        <v>0</v>
      </c>
      <c r="H83" s="5" t="b">
        <v>0</v>
      </c>
      <c r="I83" s="5">
        <v>7</v>
      </c>
      <c r="J83" s="5">
        <v>100800</v>
      </c>
      <c r="K83" s="5" t="s">
        <v>350</v>
      </c>
      <c r="L83" s="5">
        <v>10080006</v>
      </c>
      <c r="M83" s="5">
        <v>10080008</v>
      </c>
      <c r="N83" s="5" t="s">
        <v>392</v>
      </c>
      <c r="O83" s="5">
        <v>10202007</v>
      </c>
      <c r="P83" s="5">
        <v>0</v>
      </c>
      <c r="Q83" s="5">
        <v>3</v>
      </c>
      <c r="R83" s="5">
        <v>35</v>
      </c>
      <c r="S83" s="5">
        <v>0</v>
      </c>
      <c r="T83" s="5">
        <v>100</v>
      </c>
      <c r="U83" s="5" t="s">
        <v>364</v>
      </c>
      <c r="V83" s="5">
        <v>800</v>
      </c>
      <c r="W83" s="5">
        <v>0</v>
      </c>
      <c r="X83" s="5" t="inlineStr">
        <is>
          <t xml:space="preserve">目标点</t>
        </is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 t="s">
        <v>381</v>
      </c>
      <c r="AZ83" s="5">
        <v>11700</v>
      </c>
      <c r="BA83" s="5" t="s">
        <v>371</v>
      </c>
      <c r="BB83" s="5" t="s">
        <v>354</v>
      </c>
      <c r="BC83" s="5">
        <v>10000</v>
      </c>
      <c r="BD83" s="5">
        <v>0</v>
      </c>
      <c r="BE83" s="5" t="s">
        <v>358</v>
      </c>
      <c r="BF83" s="5">
        <v>0</v>
      </c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>
        <v>30002</v>
      </c>
      <c r="CG83" s="5" t="s">
        <v>372</v>
      </c>
      <c r="CH83" s="5">
        <v>900</v>
      </c>
      <c r="CI83" s="5">
        <v>80</v>
      </c>
      <c r="CJ83" s="5" t="s">
        <v>373</v>
      </c>
      <c r="CK83" s="5">
        <v>1</v>
      </c>
      <c r="CL83" s="5">
        <v>0</v>
      </c>
      <c r="CM83" s="5">
        <v>1</v>
      </c>
      <c r="CN83" s="5">
        <v>850</v>
      </c>
      <c r="CO83" s="5">
        <v>80</v>
      </c>
      <c r="CP83" s="5">
        <v>0</v>
      </c>
      <c r="CQ83" s="5">
        <v>0</v>
      </c>
      <c r="CR83" s="5">
        <v>10290007</v>
      </c>
      <c r="CS83" s="5">
        <v>0</v>
      </c>
      <c r="CT83" s="5">
        <v>0</v>
      </c>
      <c r="CU83" s="5">
        <v>0</v>
      </c>
      <c r="CV83" s="5" t="s">
        <v>355</v>
      </c>
      <c r="CW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/>
      <c r="EX83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/>
      <c r="GW83"/>
      <c r="GX83" s="5">
        <v>200</v>
      </c>
      <c r="GY83" s="5">
        <v>400</v>
      </c>
      <c r="GZ83" s="5" t="s">
        <v>383</v>
      </c>
      <c r="HA83" s="5">
        <v>0</v>
      </c>
      <c r="HB83" s="5" t="s">
        <v>366</v>
      </c>
      <c r="HC83" s="5" t="s">
        <v>366</v>
      </c>
      <c r="HD83" s="5" t="b">
        <v>1</v>
      </c>
      <c r="HE83" s="5">
        <v>3000</v>
      </c>
      <c r="HF83" s="5" t="b">
        <v>0</v>
      </c>
      <c r="HG83" s="5">
        <v>0</v>
      </c>
      <c r="HH83" s="5">
        <v>0</v>
      </c>
      <c r="HI83" s="5">
        <v>0</v>
      </c>
      <c r="HJ83" s="5">
        <v>0</v>
      </c>
      <c r="HK83" s="5" t="b">
        <v>0</v>
      </c>
      <c r="HL83" s="5">
        <v>0</v>
      </c>
      <c r="HM83" s="5">
        <v>10001</v>
      </c>
      <c r="HN83" s="5" t="s">
        <v>367</v>
      </c>
      <c r="HO83" s="5" t="s">
        <v>360</v>
      </c>
      <c r="HP83" s="5">
        <v>0</v>
      </c>
      <c r="HQ83" s="5">
        <v>0</v>
      </c>
      <c r="HR83" s="5">
        <v>0</v>
      </c>
      <c r="HS83" s="5">
        <v>0</v>
      </c>
      <c r="HT83" s="5" t="b">
        <v>0</v>
      </c>
    </row>
    <row r="84" spans="1:228">
      <c r="A84"/>
      <c r="B84" s="1">
        <f>10000000+INDEX(编号表!$B$1:$B$112,MATCH(D84,编号表!$A$1:$A$112,0))*10000+I84</f>
        <v>10080008</v>
      </c>
      <c r="C84" s="5" t="s">
        <v>390</v>
      </c>
      <c r="D84" s="5" t="s">
        <v>390</v>
      </c>
      <c r="E84" s="5" t="s">
        <v>348</v>
      </c>
      <c r="F84" s="5" t="s">
        <v>391</v>
      </c>
      <c r="G84" s="5" t="b">
        <v>0</v>
      </c>
      <c r="H84" s="5" t="b">
        <v>0</v>
      </c>
      <c r="I84" s="5">
        <v>8</v>
      </c>
      <c r="J84" s="5">
        <v>100800</v>
      </c>
      <c r="K84" s="5" t="s">
        <v>350</v>
      </c>
      <c r="L84" s="5">
        <v>10080007</v>
      </c>
      <c r="M84" s="5">
        <v>10080009</v>
      </c>
      <c r="N84" s="5" t="s">
        <v>392</v>
      </c>
      <c r="O84" s="5">
        <v>10202007</v>
      </c>
      <c r="P84" s="5">
        <v>0</v>
      </c>
      <c r="Q84" s="5">
        <v>3</v>
      </c>
      <c r="R84" s="5">
        <v>35</v>
      </c>
      <c r="S84" s="5">
        <v>0</v>
      </c>
      <c r="T84" s="5">
        <v>100</v>
      </c>
      <c r="U84" s="5" t="s">
        <v>364</v>
      </c>
      <c r="V84" s="5">
        <v>800</v>
      </c>
      <c r="W84" s="5">
        <v>0</v>
      </c>
      <c r="X84" s="5" t="inlineStr">
        <is>
          <t xml:space="preserve">目标点</t>
        </is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 t="s">
        <v>381</v>
      </c>
      <c r="AZ84" s="5">
        <v>11800</v>
      </c>
      <c r="BA84" s="5" t="s">
        <v>371</v>
      </c>
      <c r="BB84" s="5" t="s">
        <v>354</v>
      </c>
      <c r="BC84" s="5">
        <v>10000</v>
      </c>
      <c r="BD84" s="5">
        <v>0</v>
      </c>
      <c r="BE84" s="5" t="s">
        <v>358</v>
      </c>
      <c r="BF84" s="5">
        <v>0</v>
      </c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>
        <v>30002</v>
      </c>
      <c r="CG84" s="5" t="s">
        <v>372</v>
      </c>
      <c r="CH84" s="5">
        <v>900</v>
      </c>
      <c r="CI84" s="5">
        <v>80</v>
      </c>
      <c r="CJ84" s="5" t="s">
        <v>373</v>
      </c>
      <c r="CK84" s="5">
        <v>1</v>
      </c>
      <c r="CL84" s="5">
        <v>0</v>
      </c>
      <c r="CM84" s="5">
        <v>1</v>
      </c>
      <c r="CN84" s="5">
        <v>850</v>
      </c>
      <c r="CO84" s="5">
        <v>80</v>
      </c>
      <c r="CP84" s="5">
        <v>0</v>
      </c>
      <c r="CQ84" s="5">
        <v>0</v>
      </c>
      <c r="CR84" s="5">
        <v>10290008</v>
      </c>
      <c r="CS84" s="5">
        <v>0</v>
      </c>
      <c r="CT84" s="5">
        <v>0</v>
      </c>
      <c r="CU84" s="5">
        <v>0</v>
      </c>
      <c r="CV84" s="5" t="s">
        <v>355</v>
      </c>
      <c r="CW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/>
      <c r="EX84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/>
      <c r="GW84"/>
      <c r="GX84" s="5">
        <v>200</v>
      </c>
      <c r="GY84" s="5">
        <v>400</v>
      </c>
      <c r="GZ84" s="5" t="s">
        <v>383</v>
      </c>
      <c r="HA84" s="5">
        <v>0</v>
      </c>
      <c r="HB84" s="5" t="s">
        <v>366</v>
      </c>
      <c r="HC84" s="5" t="s">
        <v>366</v>
      </c>
      <c r="HD84" s="5" t="b">
        <v>1</v>
      </c>
      <c r="HE84" s="5">
        <v>3000</v>
      </c>
      <c r="HF84" s="5" t="b">
        <v>0</v>
      </c>
      <c r="HG84" s="5">
        <v>0</v>
      </c>
      <c r="HH84" s="5">
        <v>0</v>
      </c>
      <c r="HI84" s="5">
        <v>0</v>
      </c>
      <c r="HJ84" s="5">
        <v>0</v>
      </c>
      <c r="HK84" s="5" t="b">
        <v>0</v>
      </c>
      <c r="HL84" s="5">
        <v>0</v>
      </c>
      <c r="HM84" s="5">
        <v>10001</v>
      </c>
      <c r="HN84" s="5" t="s">
        <v>367</v>
      </c>
      <c r="HO84" s="5" t="s">
        <v>360</v>
      </c>
      <c r="HP84" s="5">
        <v>0</v>
      </c>
      <c r="HQ84" s="5">
        <v>0</v>
      </c>
      <c r="HR84" s="5">
        <v>0</v>
      </c>
      <c r="HS84" s="5">
        <v>0</v>
      </c>
      <c r="HT84" s="5" t="b">
        <v>0</v>
      </c>
    </row>
    <row r="85" spans="1:228">
      <c r="A85"/>
      <c r="B85" s="1">
        <f>10000000+INDEX(编号表!$B$1:$B$112,MATCH(D85,编号表!$A$1:$A$112,0))*10000+I85</f>
        <v>10080009</v>
      </c>
      <c r="C85" s="5" t="s">
        <v>390</v>
      </c>
      <c r="D85" s="5" t="s">
        <v>390</v>
      </c>
      <c r="E85" s="5" t="s">
        <v>348</v>
      </c>
      <c r="F85" s="5" t="s">
        <v>391</v>
      </c>
      <c r="G85" s="5" t="b">
        <v>0</v>
      </c>
      <c r="H85" s="5" t="b">
        <v>0</v>
      </c>
      <c r="I85" s="5">
        <v>9</v>
      </c>
      <c r="J85" s="5">
        <v>100800</v>
      </c>
      <c r="K85" s="5" t="s">
        <v>350</v>
      </c>
      <c r="L85" s="5">
        <v>10080008</v>
      </c>
      <c r="M85" s="5">
        <v>10080010</v>
      </c>
      <c r="N85" s="5" t="s">
        <v>392</v>
      </c>
      <c r="O85" s="5">
        <v>10202007</v>
      </c>
      <c r="P85" s="5">
        <v>0</v>
      </c>
      <c r="Q85" s="5">
        <v>3</v>
      </c>
      <c r="R85" s="5">
        <v>40</v>
      </c>
      <c r="S85" s="5">
        <v>0</v>
      </c>
      <c r="T85" s="5">
        <v>100</v>
      </c>
      <c r="U85" s="5" t="s">
        <v>364</v>
      </c>
      <c r="V85" s="5">
        <v>800</v>
      </c>
      <c r="W85" s="5">
        <v>0</v>
      </c>
      <c r="X85" s="5" t="inlineStr">
        <is>
          <t xml:space="preserve">目标点</t>
        </is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 t="s">
        <v>381</v>
      </c>
      <c r="AZ85" s="5">
        <v>11900</v>
      </c>
      <c r="BA85" s="5" t="s">
        <v>371</v>
      </c>
      <c r="BB85" s="5" t="s">
        <v>354</v>
      </c>
      <c r="BC85" s="5">
        <v>10000</v>
      </c>
      <c r="BD85" s="5">
        <v>0</v>
      </c>
      <c r="BE85" s="5" t="s">
        <v>358</v>
      </c>
      <c r="BF85" s="5">
        <v>0</v>
      </c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>
        <v>30002</v>
      </c>
      <c r="CG85" s="5" t="s">
        <v>372</v>
      </c>
      <c r="CH85" s="5">
        <v>900</v>
      </c>
      <c r="CI85" s="5">
        <v>80</v>
      </c>
      <c r="CJ85" s="5" t="s">
        <v>373</v>
      </c>
      <c r="CK85" s="5">
        <v>1</v>
      </c>
      <c r="CL85" s="5">
        <v>0</v>
      </c>
      <c r="CM85" s="5">
        <v>1</v>
      </c>
      <c r="CN85" s="5">
        <v>850</v>
      </c>
      <c r="CO85" s="5">
        <v>80</v>
      </c>
      <c r="CP85" s="5">
        <v>0</v>
      </c>
      <c r="CQ85" s="5">
        <v>0</v>
      </c>
      <c r="CR85" s="5">
        <v>10290009</v>
      </c>
      <c r="CS85" s="5">
        <v>0</v>
      </c>
      <c r="CT85" s="5">
        <v>0</v>
      </c>
      <c r="CU85" s="5">
        <v>0</v>
      </c>
      <c r="CV85" s="5" t="s">
        <v>355</v>
      </c>
      <c r="CW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/>
      <c r="EX8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/>
      <c r="GW85"/>
      <c r="GX85" s="5">
        <v>200</v>
      </c>
      <c r="GY85" s="5">
        <v>400</v>
      </c>
      <c r="GZ85" s="5" t="s">
        <v>383</v>
      </c>
      <c r="HA85" s="5">
        <v>0</v>
      </c>
      <c r="HB85" s="5" t="s">
        <v>366</v>
      </c>
      <c r="HC85" s="5" t="s">
        <v>366</v>
      </c>
      <c r="HD85" s="5" t="b">
        <v>1</v>
      </c>
      <c r="HE85" s="5">
        <v>3000</v>
      </c>
      <c r="HF85" s="5" t="b">
        <v>0</v>
      </c>
      <c r="HG85" s="5">
        <v>0</v>
      </c>
      <c r="HH85" s="5">
        <v>0</v>
      </c>
      <c r="HI85" s="5">
        <v>0</v>
      </c>
      <c r="HJ85" s="5">
        <v>0</v>
      </c>
      <c r="HK85" s="5" t="b">
        <v>0</v>
      </c>
      <c r="HL85" s="5">
        <v>0</v>
      </c>
      <c r="HM85" s="5">
        <v>10001</v>
      </c>
      <c r="HN85" s="5" t="s">
        <v>367</v>
      </c>
      <c r="HO85" s="5" t="s">
        <v>360</v>
      </c>
      <c r="HP85" s="5">
        <v>0</v>
      </c>
      <c r="HQ85" s="5">
        <v>0</v>
      </c>
      <c r="HR85" s="5">
        <v>0</v>
      </c>
      <c r="HS85" s="5">
        <v>0</v>
      </c>
      <c r="HT85" s="5" t="b">
        <v>0</v>
      </c>
    </row>
    <row r="86" spans="1:228">
      <c r="A86"/>
      <c r="B86" s="1">
        <f>10000000+INDEX(编号表!$B$1:$B$112,MATCH(D86,编号表!$A$1:$A$112,0))*10000+I86</f>
        <v>10080010</v>
      </c>
      <c r="C86" s="5" t="s">
        <v>390</v>
      </c>
      <c r="D86" s="5" t="s">
        <v>390</v>
      </c>
      <c r="E86" s="5" t="s">
        <v>348</v>
      </c>
      <c r="F86" s="5" t="s">
        <v>391</v>
      </c>
      <c r="G86" s="5" t="b">
        <v>0</v>
      </c>
      <c r="H86" s="5" t="b">
        <v>0</v>
      </c>
      <c r="I86" s="5">
        <v>10</v>
      </c>
      <c r="J86" s="5">
        <v>100800</v>
      </c>
      <c r="K86" s="5" t="s">
        <v>350</v>
      </c>
      <c r="L86" s="5">
        <v>10080009</v>
      </c>
      <c r="M86" s="5">
        <v>0</v>
      </c>
      <c r="N86" s="5" t="s">
        <v>392</v>
      </c>
      <c r="O86" s="5">
        <v>10202007</v>
      </c>
      <c r="P86" s="5">
        <v>0</v>
      </c>
      <c r="Q86" s="5">
        <v>3</v>
      </c>
      <c r="R86" s="5">
        <v>40</v>
      </c>
      <c r="S86" s="5">
        <v>0</v>
      </c>
      <c r="T86" s="5">
        <v>0</v>
      </c>
      <c r="U86" s="5" t="s">
        <v>364</v>
      </c>
      <c r="V86" s="5">
        <v>800</v>
      </c>
      <c r="W86" s="5">
        <v>0</v>
      </c>
      <c r="X86" s="5" t="inlineStr">
        <is>
          <t xml:space="preserve">目标点</t>
        </is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 t="s">
        <v>381</v>
      </c>
      <c r="AZ86" s="5">
        <v>12000</v>
      </c>
      <c r="BA86" s="5" t="s">
        <v>371</v>
      </c>
      <c r="BB86" s="5" t="s">
        <v>354</v>
      </c>
      <c r="BC86" s="5">
        <v>10000</v>
      </c>
      <c r="BD86" s="5">
        <v>0</v>
      </c>
      <c r="BE86" s="5" t="s">
        <v>358</v>
      </c>
      <c r="BF86" s="5">
        <v>0</v>
      </c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>
        <v>30002</v>
      </c>
      <c r="CG86" s="5" t="s">
        <v>372</v>
      </c>
      <c r="CH86" s="5">
        <v>900</v>
      </c>
      <c r="CI86" s="5">
        <v>80</v>
      </c>
      <c r="CJ86" s="5" t="s">
        <v>373</v>
      </c>
      <c r="CK86" s="5">
        <v>1</v>
      </c>
      <c r="CL86" s="5">
        <v>0</v>
      </c>
      <c r="CM86" s="5">
        <v>1</v>
      </c>
      <c r="CN86" s="5">
        <v>850</v>
      </c>
      <c r="CO86" s="5">
        <v>80</v>
      </c>
      <c r="CP86" s="5">
        <v>0</v>
      </c>
      <c r="CQ86" s="5">
        <v>0</v>
      </c>
      <c r="CR86" s="5">
        <v>10290010</v>
      </c>
      <c r="CS86" s="5">
        <v>0</v>
      </c>
      <c r="CT86" s="5">
        <v>0</v>
      </c>
      <c r="CU86" s="5">
        <v>0</v>
      </c>
      <c r="CV86" s="5" t="s">
        <v>355</v>
      </c>
      <c r="CW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/>
      <c r="EX86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/>
      <c r="GW86"/>
      <c r="GX86" s="5">
        <v>200</v>
      </c>
      <c r="GY86" s="5">
        <v>400</v>
      </c>
      <c r="GZ86" s="5" t="s">
        <v>383</v>
      </c>
      <c r="HA86" s="5">
        <v>0</v>
      </c>
      <c r="HB86" s="5" t="s">
        <v>366</v>
      </c>
      <c r="HC86" s="5" t="s">
        <v>366</v>
      </c>
      <c r="HD86" s="5" t="b">
        <v>1</v>
      </c>
      <c r="HE86" s="5">
        <v>3000</v>
      </c>
      <c r="HF86" s="5" t="b">
        <v>0</v>
      </c>
      <c r="HG86" s="5">
        <v>0</v>
      </c>
      <c r="HH86" s="5">
        <v>0</v>
      </c>
      <c r="HI86" s="5">
        <v>0</v>
      </c>
      <c r="HJ86" s="5">
        <v>0</v>
      </c>
      <c r="HK86" s="5" t="b">
        <v>0</v>
      </c>
      <c r="HL86" s="5">
        <v>0</v>
      </c>
      <c r="HM86" s="5">
        <v>10001</v>
      </c>
      <c r="HN86" s="5" t="s">
        <v>367</v>
      </c>
      <c r="HO86" s="5" t="s">
        <v>360</v>
      </c>
      <c r="HP86" s="5">
        <v>0</v>
      </c>
      <c r="HQ86" s="5">
        <v>0</v>
      </c>
      <c r="HR86" s="5">
        <v>0</v>
      </c>
      <c r="HS86" s="5">
        <v>0</v>
      </c>
      <c r="HT86" s="5" t="b">
        <v>0</v>
      </c>
    </row>
    <row r="87" spans="1:228">
      <c r="A87"/>
      <c r="B87" s="1">
        <f>10000000+INDEX(编号表!$B$1:$B$112,MATCH(D87,编号表!$A$1:$A$112,0))*10000+I87</f>
        <v>10090001</v>
      </c>
      <c r="C87" s="5" t="s">
        <v>393</v>
      </c>
      <c r="D87" s="5" t="s">
        <v>393</v>
      </c>
      <c r="E87" s="5" t="s">
        <v>348</v>
      </c>
      <c r="F87" s="5" t="s">
        <v>394</v>
      </c>
      <c r="G87" s="5" t="b">
        <v>0</v>
      </c>
      <c r="H87" s="5" t="b">
        <v>0</v>
      </c>
      <c r="I87" s="5">
        <v>1</v>
      </c>
      <c r="J87" s="5">
        <v>100900</v>
      </c>
      <c r="K87" s="5" t="s">
        <v>350</v>
      </c>
      <c r="L87" s="5">
        <v>0</v>
      </c>
      <c r="M87" s="5">
        <v>10090002</v>
      </c>
      <c r="N87" s="5" t="s">
        <v>395</v>
      </c>
      <c r="O87" s="5">
        <v>10202008</v>
      </c>
      <c r="P87" s="5">
        <v>0</v>
      </c>
      <c r="Q87" s="5">
        <v>0</v>
      </c>
      <c r="R87" s="5">
        <v>1</v>
      </c>
      <c r="S87" s="5">
        <v>0</v>
      </c>
      <c r="T87" s="5">
        <v>100</v>
      </c>
      <c r="U87" s="5" t="s">
        <v>364</v>
      </c>
      <c r="V87" s="5">
        <v>700</v>
      </c>
      <c r="W87" s="5">
        <v>0</v>
      </c>
      <c r="X87" s="5" t="inlineStr">
        <is>
          <t xml:space="preserve">目标点</t>
        </is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 t="s">
        <v>381</v>
      </c>
      <c r="AZ87" s="5">
        <v>10000</v>
      </c>
      <c r="BA87" s="5" t="inlineStr">
        <is>
          <t xml:space="preserve">技能效果_调用技能</t>
        </is>
      </c>
      <c r="BB87" s="5" t="inlineStr">
        <is>
          <t xml:space="preserve">敌对</t>
        </is>
      </c>
      <c r="BC87" s="5">
        <v>10000</v>
      </c>
      <c r="BD87" s="5">
        <v>5000</v>
      </c>
      <c r="BE87" s="5" t="inlineStr">
        <is>
          <t xml:space="preserve">全部</t>
        </is>
      </c>
      <c r="BF87" s="5">
        <v>0</v>
      </c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>
        <v>10400001</v>
      </c>
      <c r="CX87"/>
      <c r="CY87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/>
      <c r="EX87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/>
      <c r="GW87"/>
      <c r="GX87" s="5">
        <v>200</v>
      </c>
      <c r="GY87" s="5">
        <v>400</v>
      </c>
      <c r="GZ87" s="5" t="s">
        <v>383</v>
      </c>
      <c r="HA87" s="5">
        <v>0</v>
      </c>
      <c r="HB87" s="5">
        <v>30035</v>
      </c>
      <c r="HC87" s="5" t="s">
        <v>366</v>
      </c>
      <c r="HD87" s="5" t="b">
        <v>1</v>
      </c>
      <c r="HE87" s="5">
        <v>2800</v>
      </c>
      <c r="HF87" s="5" t="b">
        <v>0</v>
      </c>
      <c r="HG87" s="5">
        <v>0</v>
      </c>
      <c r="HH87" s="5">
        <v>0</v>
      </c>
      <c r="HI87" s="5">
        <v>0</v>
      </c>
      <c r="HJ87" s="5">
        <v>0</v>
      </c>
      <c r="HK87" s="5" t="b">
        <v>0</v>
      </c>
      <c r="HL87" s="5">
        <v>0</v>
      </c>
      <c r="HM87" s="5">
        <v>10001</v>
      </c>
      <c r="HN87" s="5" t="s">
        <v>367</v>
      </c>
      <c r="HO87" s="5" t="s">
        <v>360</v>
      </c>
      <c r="HP87" s="5">
        <v>0</v>
      </c>
      <c r="HQ87" s="5">
        <v>0</v>
      </c>
      <c r="HR87" s="5">
        <v>0</v>
      </c>
      <c r="HS87" s="5">
        <v>0</v>
      </c>
      <c r="HT87" s="5" t="b">
        <v>0</v>
      </c>
    </row>
    <row r="88" spans="1:228">
      <c r="A88"/>
      <c r="B88" s="1">
        <f>10000000+INDEX(编号表!$B$1:$B$112,MATCH(D88,编号表!$A$1:$A$112,0))*10000+I88</f>
        <v>10090002</v>
      </c>
      <c r="C88" s="5" t="s">
        <v>393</v>
      </c>
      <c r="D88" s="5" t="s">
        <v>393</v>
      </c>
      <c r="E88" s="5" t="s">
        <v>348</v>
      </c>
      <c r="F88" s="5" t="s">
        <v>394</v>
      </c>
      <c r="G88" s="5" t="b">
        <v>0</v>
      </c>
      <c r="H88" s="5" t="b">
        <v>0</v>
      </c>
      <c r="I88" s="5">
        <v>2</v>
      </c>
      <c r="J88" s="5">
        <v>100900</v>
      </c>
      <c r="K88" s="5" t="s">
        <v>350</v>
      </c>
      <c r="L88" s="5">
        <v>10090001</v>
      </c>
      <c r="M88" s="5">
        <v>10090003</v>
      </c>
      <c r="N88" s="5" t="s">
        <v>395</v>
      </c>
      <c r="O88" s="5">
        <v>10202008</v>
      </c>
      <c r="P88" s="5">
        <v>0</v>
      </c>
      <c r="Q88" s="5">
        <v>1</v>
      </c>
      <c r="R88" s="5">
        <v>7</v>
      </c>
      <c r="S88" s="5">
        <v>0</v>
      </c>
      <c r="T88" s="5">
        <v>100</v>
      </c>
      <c r="U88" s="5" t="s">
        <v>364</v>
      </c>
      <c r="V88" s="5">
        <v>700</v>
      </c>
      <c r="W88" s="5">
        <v>0</v>
      </c>
      <c r="X88" s="5" t="inlineStr">
        <is>
          <t xml:space="preserve">目标点</t>
        </is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 t="s">
        <v>381</v>
      </c>
      <c r="AZ88" s="5">
        <v>10400</v>
      </c>
      <c r="BA88" s="5" t="inlineStr">
        <is>
          <t xml:space="preserve">技能效果_调用技能</t>
        </is>
      </c>
      <c r="BB88" s="5" t="inlineStr">
        <is>
          <t xml:space="preserve">敌对</t>
        </is>
      </c>
      <c r="BC88" s="5">
        <v>10000</v>
      </c>
      <c r="BD88" s="5">
        <v>5000</v>
      </c>
      <c r="BE88" s="5" t="inlineStr">
        <is>
          <t xml:space="preserve">全部</t>
        </is>
      </c>
      <c r="BF88" s="5">
        <v>0</v>
      </c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>
        <v>10400002</v>
      </c>
      <c r="CX88"/>
      <c r="CY88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/>
      <c r="EX88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/>
      <c r="GW88"/>
      <c r="GX88" s="5">
        <v>200</v>
      </c>
      <c r="GY88" s="5">
        <v>400</v>
      </c>
      <c r="GZ88" s="5" t="s">
        <v>383</v>
      </c>
      <c r="HA88" s="5">
        <v>0</v>
      </c>
      <c r="HB88" s="5">
        <v>30035</v>
      </c>
      <c r="HC88" s="5" t="s">
        <v>366</v>
      </c>
      <c r="HD88" s="5" t="b">
        <v>1</v>
      </c>
      <c r="HE88" s="5">
        <v>2800</v>
      </c>
      <c r="HF88" s="5" t="b">
        <v>0</v>
      </c>
      <c r="HG88" s="5">
        <v>0</v>
      </c>
      <c r="HH88" s="5">
        <v>0</v>
      </c>
      <c r="HI88" s="5">
        <v>0</v>
      </c>
      <c r="HJ88" s="5">
        <v>0</v>
      </c>
      <c r="HK88" s="5" t="b">
        <v>0</v>
      </c>
      <c r="HL88" s="5">
        <v>0</v>
      </c>
      <c r="HM88" s="5">
        <v>10001</v>
      </c>
      <c r="HN88" s="5" t="s">
        <v>367</v>
      </c>
      <c r="HO88" s="5" t="s">
        <v>360</v>
      </c>
      <c r="HP88" s="5">
        <v>0</v>
      </c>
      <c r="HQ88" s="5">
        <v>0</v>
      </c>
      <c r="HR88" s="5">
        <v>0</v>
      </c>
      <c r="HS88" s="5">
        <v>0</v>
      </c>
      <c r="HT88" s="5" t="b">
        <v>0</v>
      </c>
    </row>
    <row r="89" spans="1:228">
      <c r="A89"/>
      <c r="B89" s="1">
        <f>10000000+INDEX(编号表!$B$1:$B$112,MATCH(D89,编号表!$A$1:$A$112,0))*10000+I89</f>
        <v>10090003</v>
      </c>
      <c r="C89" s="5" t="s">
        <v>393</v>
      </c>
      <c r="D89" s="5" t="s">
        <v>393</v>
      </c>
      <c r="E89" s="5" t="s">
        <v>348</v>
      </c>
      <c r="F89" s="5" t="s">
        <v>394</v>
      </c>
      <c r="G89" s="5" t="b">
        <v>0</v>
      </c>
      <c r="H89" s="5" t="b">
        <v>0</v>
      </c>
      <c r="I89" s="5">
        <v>3</v>
      </c>
      <c r="J89" s="5">
        <v>100900</v>
      </c>
      <c r="K89" s="5" t="s">
        <v>350</v>
      </c>
      <c r="L89" s="5">
        <v>10090002</v>
      </c>
      <c r="M89" s="5">
        <v>10090004</v>
      </c>
      <c r="N89" s="5" t="s">
        <v>395</v>
      </c>
      <c r="O89" s="5">
        <v>10202008</v>
      </c>
      <c r="P89" s="5">
        <v>0</v>
      </c>
      <c r="Q89" s="5">
        <v>2</v>
      </c>
      <c r="R89" s="5">
        <v>11</v>
      </c>
      <c r="S89" s="5">
        <v>0</v>
      </c>
      <c r="T89" s="5">
        <v>100</v>
      </c>
      <c r="U89" s="5" t="s">
        <v>364</v>
      </c>
      <c r="V89" s="5">
        <v>700</v>
      </c>
      <c r="W89" s="5">
        <v>0</v>
      </c>
      <c r="X89" s="5" t="inlineStr">
        <is>
          <t xml:space="preserve">目标点</t>
        </is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 t="s">
        <v>381</v>
      </c>
      <c r="AZ89" s="5">
        <v>10800</v>
      </c>
      <c r="BA89" s="5" t="inlineStr">
        <is>
          <t xml:space="preserve">技能效果_调用技能</t>
        </is>
      </c>
      <c r="BB89" s="5" t="inlineStr">
        <is>
          <t xml:space="preserve">敌对</t>
        </is>
      </c>
      <c r="BC89" s="5">
        <v>10000</v>
      </c>
      <c r="BD89" s="5">
        <v>5000</v>
      </c>
      <c r="BE89" s="5" t="inlineStr">
        <is>
          <t xml:space="preserve">全部</t>
        </is>
      </c>
      <c r="BF89" s="5">
        <v>0</v>
      </c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>
        <v>10400003</v>
      </c>
      <c r="CX89"/>
      <c r="CY89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/>
      <c r="EX89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/>
      <c r="GW89"/>
      <c r="GX89" s="5">
        <v>200</v>
      </c>
      <c r="GY89" s="5">
        <v>400</v>
      </c>
      <c r="GZ89" s="5" t="s">
        <v>383</v>
      </c>
      <c r="HA89" s="5">
        <v>0</v>
      </c>
      <c r="HB89" s="5">
        <v>30035</v>
      </c>
      <c r="HC89" s="5" t="s">
        <v>366</v>
      </c>
      <c r="HD89" s="5" t="b">
        <v>1</v>
      </c>
      <c r="HE89" s="5">
        <v>2800</v>
      </c>
      <c r="HF89" s="5" t="b">
        <v>0</v>
      </c>
      <c r="HG89" s="5">
        <v>0</v>
      </c>
      <c r="HH89" s="5">
        <v>0</v>
      </c>
      <c r="HI89" s="5">
        <v>0</v>
      </c>
      <c r="HJ89" s="5">
        <v>0</v>
      </c>
      <c r="HK89" s="5" t="b">
        <v>0</v>
      </c>
      <c r="HL89" s="5">
        <v>0</v>
      </c>
      <c r="HM89" s="5">
        <v>10001</v>
      </c>
      <c r="HN89" s="5" t="s">
        <v>367</v>
      </c>
      <c r="HO89" s="5" t="s">
        <v>360</v>
      </c>
      <c r="HP89" s="5">
        <v>0</v>
      </c>
      <c r="HQ89" s="5">
        <v>0</v>
      </c>
      <c r="HR89" s="5">
        <v>0</v>
      </c>
      <c r="HS89" s="5">
        <v>0</v>
      </c>
      <c r="HT89" s="5" t="b">
        <v>0</v>
      </c>
    </row>
    <row r="90" spans="1:228">
      <c r="A90"/>
      <c r="B90" s="1">
        <f>10000000+INDEX(编号表!$B$1:$B$112,MATCH(D90,编号表!$A$1:$A$112,0))*10000+I90</f>
        <v>10090004</v>
      </c>
      <c r="C90" s="5" t="s">
        <v>393</v>
      </c>
      <c r="D90" s="5" t="s">
        <v>393</v>
      </c>
      <c r="E90" s="5" t="s">
        <v>348</v>
      </c>
      <c r="F90" s="5" t="s">
        <v>394</v>
      </c>
      <c r="G90" s="5" t="b">
        <v>0</v>
      </c>
      <c r="H90" s="5" t="b">
        <v>0</v>
      </c>
      <c r="I90" s="5">
        <v>4</v>
      </c>
      <c r="J90" s="5">
        <v>100900</v>
      </c>
      <c r="K90" s="5" t="s">
        <v>350</v>
      </c>
      <c r="L90" s="5">
        <v>10090003</v>
      </c>
      <c r="M90" s="5">
        <v>10090005</v>
      </c>
      <c r="N90" s="5" t="s">
        <v>395</v>
      </c>
      <c r="O90" s="5">
        <v>10202008</v>
      </c>
      <c r="P90" s="5">
        <v>0</v>
      </c>
      <c r="Q90" s="5">
        <v>3</v>
      </c>
      <c r="R90" s="5">
        <v>16</v>
      </c>
      <c r="S90" s="5">
        <v>0</v>
      </c>
      <c r="T90" s="5">
        <v>100</v>
      </c>
      <c r="U90" s="5" t="s">
        <v>364</v>
      </c>
      <c r="V90" s="5">
        <v>700</v>
      </c>
      <c r="W90" s="5">
        <v>0</v>
      </c>
      <c r="X90" s="5" t="inlineStr">
        <is>
          <t xml:space="preserve">目标点</t>
        </is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 t="s">
        <v>381</v>
      </c>
      <c r="AZ90" s="5">
        <v>11200</v>
      </c>
      <c r="BA90" s="5" t="inlineStr">
        <is>
          <t xml:space="preserve">技能效果_调用技能</t>
        </is>
      </c>
      <c r="BB90" s="5" t="inlineStr">
        <is>
          <t xml:space="preserve">敌对</t>
        </is>
      </c>
      <c r="BC90" s="5">
        <v>10000</v>
      </c>
      <c r="BD90" s="5">
        <v>5000</v>
      </c>
      <c r="BE90" s="5" t="inlineStr">
        <is>
          <t xml:space="preserve">全部</t>
        </is>
      </c>
      <c r="BF90" s="5">
        <v>0</v>
      </c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>
        <v>10400004</v>
      </c>
      <c r="CX90"/>
      <c r="CY90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/>
      <c r="EX90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/>
      <c r="GW90"/>
      <c r="GX90" s="5">
        <v>200</v>
      </c>
      <c r="GY90" s="5">
        <v>400</v>
      </c>
      <c r="GZ90" s="5" t="s">
        <v>383</v>
      </c>
      <c r="HA90" s="5">
        <v>0</v>
      </c>
      <c r="HB90" s="5">
        <v>30035</v>
      </c>
      <c r="HC90" s="5" t="s">
        <v>366</v>
      </c>
      <c r="HD90" s="5" t="b">
        <v>1</v>
      </c>
      <c r="HE90" s="5">
        <v>2800</v>
      </c>
      <c r="HF90" s="5" t="b">
        <v>0</v>
      </c>
      <c r="HG90" s="5">
        <v>0</v>
      </c>
      <c r="HH90" s="5">
        <v>0</v>
      </c>
      <c r="HI90" s="5">
        <v>0</v>
      </c>
      <c r="HJ90" s="5">
        <v>0</v>
      </c>
      <c r="HK90" s="5" t="b">
        <v>0</v>
      </c>
      <c r="HL90" s="5">
        <v>0</v>
      </c>
      <c r="HM90" s="5">
        <v>10001</v>
      </c>
      <c r="HN90" s="5" t="s">
        <v>367</v>
      </c>
      <c r="HO90" s="5" t="s">
        <v>360</v>
      </c>
      <c r="HP90" s="5">
        <v>0</v>
      </c>
      <c r="HQ90" s="5">
        <v>0</v>
      </c>
      <c r="HR90" s="5">
        <v>0</v>
      </c>
      <c r="HS90" s="5">
        <v>0</v>
      </c>
      <c r="HT90" s="5" t="b">
        <v>0</v>
      </c>
    </row>
    <row r="91" spans="1:228">
      <c r="A91"/>
      <c r="B91" s="1">
        <f>10000000+INDEX(编号表!$B$1:$B$112,MATCH(D91,编号表!$A$1:$A$112,0))*10000+I91</f>
        <v>10090005</v>
      </c>
      <c r="C91" s="5" t="s">
        <v>393</v>
      </c>
      <c r="D91" s="5" t="s">
        <v>393</v>
      </c>
      <c r="E91" s="5" t="s">
        <v>348</v>
      </c>
      <c r="F91" s="5" t="s">
        <v>394</v>
      </c>
      <c r="G91" s="5" t="b">
        <v>0</v>
      </c>
      <c r="H91" s="5" t="b">
        <v>0</v>
      </c>
      <c r="I91" s="5">
        <v>5</v>
      </c>
      <c r="J91" s="5">
        <v>100900</v>
      </c>
      <c r="K91" s="5" t="s">
        <v>350</v>
      </c>
      <c r="L91" s="5">
        <v>10090004</v>
      </c>
      <c r="M91" s="5">
        <v>10090006</v>
      </c>
      <c r="N91" s="5" t="s">
        <v>395</v>
      </c>
      <c r="O91" s="5">
        <v>10202008</v>
      </c>
      <c r="P91" s="5">
        <v>0</v>
      </c>
      <c r="Q91" s="5">
        <v>3</v>
      </c>
      <c r="R91" s="5">
        <v>25</v>
      </c>
      <c r="S91" s="5">
        <v>0</v>
      </c>
      <c r="T91" s="5">
        <v>100</v>
      </c>
      <c r="U91" s="5" t="s">
        <v>364</v>
      </c>
      <c r="V91" s="5">
        <v>700</v>
      </c>
      <c r="W91" s="5">
        <v>0</v>
      </c>
      <c r="X91" s="5" t="inlineStr">
        <is>
          <t xml:space="preserve">目标点</t>
        </is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 t="s">
        <v>381</v>
      </c>
      <c r="AZ91" s="5">
        <v>11300</v>
      </c>
      <c r="BA91" s="5" t="inlineStr">
        <is>
          <t xml:space="preserve">技能效果_调用技能</t>
        </is>
      </c>
      <c r="BB91" s="5" t="inlineStr">
        <is>
          <t xml:space="preserve">敌对</t>
        </is>
      </c>
      <c r="BC91" s="5">
        <v>10000</v>
      </c>
      <c r="BD91" s="5">
        <v>5000</v>
      </c>
      <c r="BE91" s="5" t="inlineStr">
        <is>
          <t xml:space="preserve">全部</t>
        </is>
      </c>
      <c r="BF91" s="5">
        <v>0</v>
      </c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>
        <v>10400005</v>
      </c>
      <c r="CX91"/>
      <c r="CY91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/>
      <c r="EX91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/>
      <c r="GW91"/>
      <c r="GX91" s="5">
        <v>200</v>
      </c>
      <c r="GY91" s="5">
        <v>400</v>
      </c>
      <c r="GZ91" s="5" t="s">
        <v>383</v>
      </c>
      <c r="HA91" s="5">
        <v>0</v>
      </c>
      <c r="HB91" s="5">
        <v>30035</v>
      </c>
      <c r="HC91" s="5" t="s">
        <v>366</v>
      </c>
      <c r="HD91" s="5" t="b">
        <v>1</v>
      </c>
      <c r="HE91" s="5">
        <v>2800</v>
      </c>
      <c r="HF91" s="5" t="b">
        <v>0</v>
      </c>
      <c r="HG91" s="5">
        <v>0</v>
      </c>
      <c r="HH91" s="5">
        <v>0</v>
      </c>
      <c r="HI91" s="5">
        <v>0</v>
      </c>
      <c r="HJ91" s="5">
        <v>0</v>
      </c>
      <c r="HK91" s="5" t="b">
        <v>0</v>
      </c>
      <c r="HL91" s="5">
        <v>0</v>
      </c>
      <c r="HM91" s="5">
        <v>10001</v>
      </c>
      <c r="HN91" s="5" t="s">
        <v>367</v>
      </c>
      <c r="HO91" s="5" t="s">
        <v>360</v>
      </c>
      <c r="HP91" s="5">
        <v>0</v>
      </c>
      <c r="HQ91" s="5">
        <v>0</v>
      </c>
      <c r="HR91" s="5">
        <v>0</v>
      </c>
      <c r="HS91" s="5">
        <v>0</v>
      </c>
      <c r="HT91" s="5" t="b">
        <v>0</v>
      </c>
    </row>
    <row r="92" spans="1:228">
      <c r="A92"/>
      <c r="B92" s="1">
        <f>10000000+INDEX(编号表!$B$1:$B$112,MATCH(D92,编号表!$A$1:$A$112,0))*10000+I92</f>
        <v>10090006</v>
      </c>
      <c r="C92" s="5" t="s">
        <v>393</v>
      </c>
      <c r="D92" s="5" t="s">
        <v>393</v>
      </c>
      <c r="E92" s="5" t="s">
        <v>348</v>
      </c>
      <c r="F92" s="5" t="s">
        <v>394</v>
      </c>
      <c r="G92" s="5" t="b">
        <v>0</v>
      </c>
      <c r="H92" s="5" t="b">
        <v>0</v>
      </c>
      <c r="I92" s="5">
        <v>6</v>
      </c>
      <c r="J92" s="5">
        <v>100900</v>
      </c>
      <c r="K92" s="5" t="s">
        <v>350</v>
      </c>
      <c r="L92" s="5">
        <v>10090005</v>
      </c>
      <c r="M92" s="5">
        <v>10090007</v>
      </c>
      <c r="N92" s="5" t="s">
        <v>395</v>
      </c>
      <c r="O92" s="5">
        <v>10202008</v>
      </c>
      <c r="P92" s="5">
        <v>0</v>
      </c>
      <c r="Q92" s="5">
        <v>3</v>
      </c>
      <c r="R92" s="5">
        <v>30</v>
      </c>
      <c r="S92" s="5">
        <v>0</v>
      </c>
      <c r="T92" s="5">
        <v>100</v>
      </c>
      <c r="U92" s="5" t="s">
        <v>364</v>
      </c>
      <c r="V92" s="5">
        <v>700</v>
      </c>
      <c r="W92" s="5">
        <v>0</v>
      </c>
      <c r="X92" s="5" t="inlineStr">
        <is>
          <t xml:space="preserve">目标点</t>
        </is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 t="s">
        <v>381</v>
      </c>
      <c r="AZ92" s="5">
        <v>11600</v>
      </c>
      <c r="BA92" s="5" t="inlineStr">
        <is>
          <t xml:space="preserve">技能效果_调用技能</t>
        </is>
      </c>
      <c r="BB92" s="5" t="inlineStr">
        <is>
          <t xml:space="preserve">敌对</t>
        </is>
      </c>
      <c r="BC92" s="5">
        <v>10000</v>
      </c>
      <c r="BD92" s="5">
        <v>5000</v>
      </c>
      <c r="BE92" s="5" t="inlineStr">
        <is>
          <t xml:space="preserve">全部</t>
        </is>
      </c>
      <c r="BF92" s="5">
        <v>0</v>
      </c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>
        <v>10400006</v>
      </c>
      <c r="CX92"/>
      <c r="CY92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/>
      <c r="EX92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/>
      <c r="GW92"/>
      <c r="GX92" s="5">
        <v>200</v>
      </c>
      <c r="GY92" s="5">
        <v>400</v>
      </c>
      <c r="GZ92" s="5" t="s">
        <v>383</v>
      </c>
      <c r="HA92" s="5">
        <v>0</v>
      </c>
      <c r="HB92" s="5">
        <v>30035</v>
      </c>
      <c r="HC92" s="5" t="s">
        <v>366</v>
      </c>
      <c r="HD92" s="5" t="b">
        <v>1</v>
      </c>
      <c r="HE92" s="5">
        <v>2800</v>
      </c>
      <c r="HF92" s="5" t="b">
        <v>0</v>
      </c>
      <c r="HG92" s="5">
        <v>0</v>
      </c>
      <c r="HH92" s="5">
        <v>0</v>
      </c>
      <c r="HI92" s="5">
        <v>0</v>
      </c>
      <c r="HJ92" s="5">
        <v>0</v>
      </c>
      <c r="HK92" s="5" t="b">
        <v>0</v>
      </c>
      <c r="HL92" s="5">
        <v>0</v>
      </c>
      <c r="HM92" s="5">
        <v>10001</v>
      </c>
      <c r="HN92" s="5" t="s">
        <v>367</v>
      </c>
      <c r="HO92" s="5" t="s">
        <v>360</v>
      </c>
      <c r="HP92" s="5">
        <v>0</v>
      </c>
      <c r="HQ92" s="5">
        <v>0</v>
      </c>
      <c r="HR92" s="5">
        <v>0</v>
      </c>
      <c r="HS92" s="5">
        <v>0</v>
      </c>
      <c r="HT92" s="5" t="b">
        <v>0</v>
      </c>
    </row>
    <row r="93" spans="1:228">
      <c r="A93"/>
      <c r="B93" s="1">
        <f>10000000+INDEX(编号表!$B$1:$B$112,MATCH(D93,编号表!$A$1:$A$112,0))*10000+I93</f>
        <v>10090007</v>
      </c>
      <c r="C93" s="5" t="s">
        <v>393</v>
      </c>
      <c r="D93" s="5" t="s">
        <v>393</v>
      </c>
      <c r="E93" s="5" t="s">
        <v>348</v>
      </c>
      <c r="F93" s="5" t="s">
        <v>394</v>
      </c>
      <c r="G93" s="5" t="b">
        <v>0</v>
      </c>
      <c r="H93" s="5" t="b">
        <v>0</v>
      </c>
      <c r="I93" s="5">
        <v>7</v>
      </c>
      <c r="J93" s="5">
        <v>100900</v>
      </c>
      <c r="K93" s="5" t="s">
        <v>350</v>
      </c>
      <c r="L93" s="5">
        <v>10090006</v>
      </c>
      <c r="M93" s="5">
        <v>10090008</v>
      </c>
      <c r="N93" s="5" t="s">
        <v>395</v>
      </c>
      <c r="O93" s="5">
        <v>10202008</v>
      </c>
      <c r="P93" s="5">
        <v>0</v>
      </c>
      <c r="Q93" s="5">
        <v>3</v>
      </c>
      <c r="R93" s="5">
        <v>35</v>
      </c>
      <c r="S93" s="5">
        <v>0</v>
      </c>
      <c r="T93" s="5">
        <v>100</v>
      </c>
      <c r="U93" s="5" t="s">
        <v>364</v>
      </c>
      <c r="V93" s="5">
        <v>700</v>
      </c>
      <c r="W93" s="5">
        <v>0</v>
      </c>
      <c r="X93" s="5" t="inlineStr">
        <is>
          <t xml:space="preserve">目标点</t>
        </is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 t="s">
        <v>381</v>
      </c>
      <c r="AZ93" s="5">
        <v>11700</v>
      </c>
      <c r="BA93" s="5" t="inlineStr">
        <is>
          <t xml:space="preserve">技能效果_调用技能</t>
        </is>
      </c>
      <c r="BB93" s="5" t="inlineStr">
        <is>
          <t xml:space="preserve">敌对</t>
        </is>
      </c>
      <c r="BC93" s="5">
        <v>10000</v>
      </c>
      <c r="BD93" s="5">
        <v>5000</v>
      </c>
      <c r="BE93" s="5" t="inlineStr">
        <is>
          <t xml:space="preserve">全部</t>
        </is>
      </c>
      <c r="BF93" s="5">
        <v>0</v>
      </c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>
        <v>10400007</v>
      </c>
      <c r="CX93"/>
      <c r="CY93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/>
      <c r="EX93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/>
      <c r="GW93"/>
      <c r="GX93" s="5">
        <v>200</v>
      </c>
      <c r="GY93" s="5">
        <v>400</v>
      </c>
      <c r="GZ93" s="5" t="s">
        <v>383</v>
      </c>
      <c r="HA93" s="5">
        <v>0</v>
      </c>
      <c r="HB93" s="5">
        <v>30035</v>
      </c>
      <c r="HC93" s="5" t="s">
        <v>366</v>
      </c>
      <c r="HD93" s="5" t="b">
        <v>1</v>
      </c>
      <c r="HE93" s="5">
        <v>2800</v>
      </c>
      <c r="HF93" s="5" t="b">
        <v>0</v>
      </c>
      <c r="HG93" s="5">
        <v>0</v>
      </c>
      <c r="HH93" s="5">
        <v>0</v>
      </c>
      <c r="HI93" s="5">
        <v>0</v>
      </c>
      <c r="HJ93" s="5">
        <v>0</v>
      </c>
      <c r="HK93" s="5" t="b">
        <v>0</v>
      </c>
      <c r="HL93" s="5">
        <v>0</v>
      </c>
      <c r="HM93" s="5">
        <v>10001</v>
      </c>
      <c r="HN93" s="5" t="s">
        <v>367</v>
      </c>
      <c r="HO93" s="5" t="s">
        <v>360</v>
      </c>
      <c r="HP93" s="5">
        <v>0</v>
      </c>
      <c r="HQ93" s="5">
        <v>0</v>
      </c>
      <c r="HR93" s="5">
        <v>0</v>
      </c>
      <c r="HS93" s="5">
        <v>0</v>
      </c>
      <c r="HT93" s="5" t="b">
        <v>0</v>
      </c>
    </row>
    <row r="94" spans="1:228">
      <c r="A94"/>
      <c r="B94" s="1">
        <f>10000000+INDEX(编号表!$B$1:$B$112,MATCH(D94,编号表!$A$1:$A$112,0))*10000+I94</f>
        <v>10090008</v>
      </c>
      <c r="C94" s="5" t="s">
        <v>393</v>
      </c>
      <c r="D94" s="5" t="s">
        <v>393</v>
      </c>
      <c r="E94" s="5" t="s">
        <v>348</v>
      </c>
      <c r="F94" s="5" t="s">
        <v>394</v>
      </c>
      <c r="G94" s="5" t="b">
        <v>0</v>
      </c>
      <c r="H94" s="5" t="b">
        <v>0</v>
      </c>
      <c r="I94" s="5">
        <v>8</v>
      </c>
      <c r="J94" s="5">
        <v>100900</v>
      </c>
      <c r="K94" s="5" t="s">
        <v>350</v>
      </c>
      <c r="L94" s="5">
        <v>10090007</v>
      </c>
      <c r="M94" s="5">
        <v>10090009</v>
      </c>
      <c r="N94" s="5" t="s">
        <v>395</v>
      </c>
      <c r="O94" s="5">
        <v>10202008</v>
      </c>
      <c r="P94" s="5">
        <v>0</v>
      </c>
      <c r="Q94" s="5">
        <v>3</v>
      </c>
      <c r="R94" s="5">
        <v>35</v>
      </c>
      <c r="S94" s="5">
        <v>0</v>
      </c>
      <c r="T94" s="5">
        <v>100</v>
      </c>
      <c r="U94" s="5" t="s">
        <v>364</v>
      </c>
      <c r="V94" s="5">
        <v>700</v>
      </c>
      <c r="W94" s="5">
        <v>0</v>
      </c>
      <c r="X94" s="5" t="inlineStr">
        <is>
          <t xml:space="preserve">目标点</t>
        </is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 t="s">
        <v>381</v>
      </c>
      <c r="AZ94" s="5">
        <v>11800</v>
      </c>
      <c r="BA94" s="5" t="inlineStr">
        <is>
          <t xml:space="preserve">技能效果_调用技能</t>
        </is>
      </c>
      <c r="BB94" s="5" t="inlineStr">
        <is>
          <t xml:space="preserve">敌对</t>
        </is>
      </c>
      <c r="BC94" s="5">
        <v>10000</v>
      </c>
      <c r="BD94" s="5">
        <v>5000</v>
      </c>
      <c r="BE94" s="5" t="inlineStr">
        <is>
          <t xml:space="preserve">全部</t>
        </is>
      </c>
      <c r="BF94" s="5">
        <v>0</v>
      </c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>
        <v>10400008</v>
      </c>
      <c r="CX94"/>
      <c r="CY94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/>
      <c r="EX94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/>
      <c r="GW94"/>
      <c r="GX94" s="5">
        <v>200</v>
      </c>
      <c r="GY94" s="5">
        <v>400</v>
      </c>
      <c r="GZ94" s="5" t="s">
        <v>383</v>
      </c>
      <c r="HA94" s="5">
        <v>0</v>
      </c>
      <c r="HB94" s="5">
        <v>30035</v>
      </c>
      <c r="HC94" s="5" t="s">
        <v>366</v>
      </c>
      <c r="HD94" s="5" t="b">
        <v>1</v>
      </c>
      <c r="HE94" s="5">
        <v>2800</v>
      </c>
      <c r="HF94" s="5" t="b">
        <v>0</v>
      </c>
      <c r="HG94" s="5">
        <v>0</v>
      </c>
      <c r="HH94" s="5">
        <v>0</v>
      </c>
      <c r="HI94" s="5">
        <v>0</v>
      </c>
      <c r="HJ94" s="5">
        <v>0</v>
      </c>
      <c r="HK94" s="5" t="b">
        <v>0</v>
      </c>
      <c r="HL94" s="5">
        <v>0</v>
      </c>
      <c r="HM94" s="5">
        <v>10001</v>
      </c>
      <c r="HN94" s="5" t="s">
        <v>367</v>
      </c>
      <c r="HO94" s="5" t="s">
        <v>360</v>
      </c>
      <c r="HP94" s="5">
        <v>0</v>
      </c>
      <c r="HQ94" s="5">
        <v>0</v>
      </c>
      <c r="HR94" s="5">
        <v>0</v>
      </c>
      <c r="HS94" s="5">
        <v>0</v>
      </c>
      <c r="HT94" s="5" t="b">
        <v>0</v>
      </c>
    </row>
    <row r="95" spans="1:228">
      <c r="A95"/>
      <c r="B95" s="1">
        <f>10000000+INDEX(编号表!$B$1:$B$112,MATCH(D95,编号表!$A$1:$A$112,0))*10000+I95</f>
        <v>10090009</v>
      </c>
      <c r="C95" s="5" t="s">
        <v>393</v>
      </c>
      <c r="D95" s="5" t="s">
        <v>393</v>
      </c>
      <c r="E95" s="5" t="s">
        <v>348</v>
      </c>
      <c r="F95" s="5" t="s">
        <v>394</v>
      </c>
      <c r="G95" s="5" t="b">
        <v>0</v>
      </c>
      <c r="H95" s="5" t="b">
        <v>0</v>
      </c>
      <c r="I95" s="5">
        <v>9</v>
      </c>
      <c r="J95" s="5">
        <v>100900</v>
      </c>
      <c r="K95" s="5" t="s">
        <v>350</v>
      </c>
      <c r="L95" s="5">
        <v>10090008</v>
      </c>
      <c r="M95" s="5">
        <v>10090010</v>
      </c>
      <c r="N95" s="5" t="s">
        <v>395</v>
      </c>
      <c r="O95" s="5">
        <v>10202008</v>
      </c>
      <c r="P95" s="5">
        <v>0</v>
      </c>
      <c r="Q95" s="5">
        <v>3</v>
      </c>
      <c r="R95" s="5">
        <v>40</v>
      </c>
      <c r="S95" s="5">
        <v>0</v>
      </c>
      <c r="T95" s="5">
        <v>100</v>
      </c>
      <c r="U95" s="5" t="s">
        <v>364</v>
      </c>
      <c r="V95" s="5">
        <v>700</v>
      </c>
      <c r="W95" s="5">
        <v>0</v>
      </c>
      <c r="X95" s="5" t="inlineStr">
        <is>
          <t xml:space="preserve">目标点</t>
        </is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 t="s">
        <v>381</v>
      </c>
      <c r="AZ95" s="5">
        <v>11900</v>
      </c>
      <c r="BA95" s="5" t="inlineStr">
        <is>
          <t xml:space="preserve">技能效果_调用技能</t>
        </is>
      </c>
      <c r="BB95" s="5" t="inlineStr">
        <is>
          <t xml:space="preserve">敌对</t>
        </is>
      </c>
      <c r="BC95" s="5">
        <v>10000</v>
      </c>
      <c r="BD95" s="5">
        <v>5000</v>
      </c>
      <c r="BE95" s="5" t="inlineStr">
        <is>
          <t xml:space="preserve">全部</t>
        </is>
      </c>
      <c r="BF95" s="5">
        <v>0</v>
      </c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>
        <v>10400009</v>
      </c>
      <c r="CX95"/>
      <c r="CY9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/>
      <c r="EX9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/>
      <c r="GW95"/>
      <c r="GX95" s="5">
        <v>200</v>
      </c>
      <c r="GY95" s="5">
        <v>400</v>
      </c>
      <c r="GZ95" s="5" t="s">
        <v>383</v>
      </c>
      <c r="HA95" s="5">
        <v>0</v>
      </c>
      <c r="HB95" s="5">
        <v>30035</v>
      </c>
      <c r="HC95" s="5" t="s">
        <v>366</v>
      </c>
      <c r="HD95" s="5" t="b">
        <v>1</v>
      </c>
      <c r="HE95" s="5">
        <v>2800</v>
      </c>
      <c r="HF95" s="5" t="b">
        <v>0</v>
      </c>
      <c r="HG95" s="5">
        <v>0</v>
      </c>
      <c r="HH95" s="5">
        <v>0</v>
      </c>
      <c r="HI95" s="5">
        <v>0</v>
      </c>
      <c r="HJ95" s="5">
        <v>0</v>
      </c>
      <c r="HK95" s="5" t="b">
        <v>0</v>
      </c>
      <c r="HL95" s="5">
        <v>0</v>
      </c>
      <c r="HM95" s="5">
        <v>10001</v>
      </c>
      <c r="HN95" s="5" t="s">
        <v>367</v>
      </c>
      <c r="HO95" s="5" t="s">
        <v>360</v>
      </c>
      <c r="HP95" s="5">
        <v>0</v>
      </c>
      <c r="HQ95" s="5">
        <v>0</v>
      </c>
      <c r="HR95" s="5">
        <v>0</v>
      </c>
      <c r="HS95" s="5">
        <v>0</v>
      </c>
      <c r="HT95" s="5" t="b">
        <v>0</v>
      </c>
    </row>
    <row r="96" spans="1:228">
      <c r="A96"/>
      <c r="B96" s="1">
        <f>10000000+INDEX(编号表!$B$1:$B$112,MATCH(D96,编号表!$A$1:$A$112,0))*10000+I96</f>
        <v>10090010</v>
      </c>
      <c r="C96" s="5" t="s">
        <v>393</v>
      </c>
      <c r="D96" s="5" t="s">
        <v>393</v>
      </c>
      <c r="E96" s="5" t="s">
        <v>348</v>
      </c>
      <c r="F96" s="5" t="s">
        <v>394</v>
      </c>
      <c r="G96" s="5" t="b">
        <v>0</v>
      </c>
      <c r="H96" s="5" t="b">
        <v>0</v>
      </c>
      <c r="I96" s="5">
        <v>10</v>
      </c>
      <c r="J96" s="5">
        <v>100900</v>
      </c>
      <c r="K96" s="5" t="s">
        <v>350</v>
      </c>
      <c r="L96" s="5">
        <v>10090009</v>
      </c>
      <c r="M96" s="5">
        <v>0</v>
      </c>
      <c r="N96" s="5" t="s">
        <v>395</v>
      </c>
      <c r="O96" s="5">
        <v>10202008</v>
      </c>
      <c r="P96" s="5">
        <v>0</v>
      </c>
      <c r="Q96" s="5">
        <v>3</v>
      </c>
      <c r="R96" s="5">
        <v>40</v>
      </c>
      <c r="S96" s="5">
        <v>0</v>
      </c>
      <c r="T96" s="5">
        <v>0</v>
      </c>
      <c r="U96" s="5" t="s">
        <v>364</v>
      </c>
      <c r="V96" s="5">
        <v>700</v>
      </c>
      <c r="W96" s="5">
        <v>0</v>
      </c>
      <c r="X96" s="5" t="inlineStr">
        <is>
          <t xml:space="preserve">目标点</t>
        </is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 t="s">
        <v>381</v>
      </c>
      <c r="AZ96" s="5">
        <v>12000</v>
      </c>
      <c r="BA96" s="5" t="inlineStr">
        <is>
          <t xml:space="preserve">技能效果_调用技能</t>
        </is>
      </c>
      <c r="BB96" s="5" t="inlineStr">
        <is>
          <t xml:space="preserve">敌对</t>
        </is>
      </c>
      <c r="BC96" s="5">
        <v>10000</v>
      </c>
      <c r="BD96" s="5">
        <v>5000</v>
      </c>
      <c r="BE96" s="5" t="inlineStr">
        <is>
          <t xml:space="preserve">全部</t>
        </is>
      </c>
      <c r="BF96" s="5">
        <v>0</v>
      </c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>
        <v>10400010</v>
      </c>
      <c r="CX96"/>
      <c r="CY96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/>
      <c r="EX96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/>
      <c r="GW96"/>
      <c r="GX96" s="5">
        <v>200</v>
      </c>
      <c r="GY96" s="5">
        <v>400</v>
      </c>
      <c r="GZ96" s="5" t="s">
        <v>383</v>
      </c>
      <c r="HA96" s="5">
        <v>0</v>
      </c>
      <c r="HB96" s="5">
        <v>30035</v>
      </c>
      <c r="HC96" s="5" t="s">
        <v>366</v>
      </c>
      <c r="HD96" s="5" t="b">
        <v>1</v>
      </c>
      <c r="HE96" s="5">
        <v>2800</v>
      </c>
      <c r="HF96" s="5" t="b">
        <v>0</v>
      </c>
      <c r="HG96" s="5">
        <v>0</v>
      </c>
      <c r="HH96" s="5">
        <v>0</v>
      </c>
      <c r="HI96" s="5">
        <v>0</v>
      </c>
      <c r="HJ96" s="5">
        <v>0</v>
      </c>
      <c r="HK96" s="5" t="b">
        <v>0</v>
      </c>
      <c r="HL96" s="5">
        <v>0</v>
      </c>
      <c r="HM96" s="5">
        <v>10001</v>
      </c>
      <c r="HN96" s="5" t="s">
        <v>367</v>
      </c>
      <c r="HO96" s="5" t="s">
        <v>360</v>
      </c>
      <c r="HP96" s="5">
        <v>0</v>
      </c>
      <c r="HQ96" s="5">
        <v>0</v>
      </c>
      <c r="HR96" s="5">
        <v>0</v>
      </c>
      <c r="HS96" s="5">
        <v>0</v>
      </c>
      <c r="HT96" s="5" t="b">
        <v>0</v>
      </c>
    </row>
    <row r="97" spans="1:228">
      <c r="A97"/>
      <c r="B97" s="1">
        <f>10000000+INDEX(编号表!$B$1:$B$112,MATCH(D97,编号表!$A$1:$A$112,0))*10000+I97</f>
        <v>10100001</v>
      </c>
      <c r="C97" s="5" t="s">
        <v>396</v>
      </c>
      <c r="D97" s="5" t="s">
        <v>396</v>
      </c>
      <c r="E97" s="5" t="s">
        <v>348</v>
      </c>
      <c r="F97" s="5" t="s">
        <v>397</v>
      </c>
      <c r="G97" s="5" t="b">
        <v>0</v>
      </c>
      <c r="H97" s="5" t="b">
        <v>0</v>
      </c>
      <c r="I97" s="5">
        <v>1</v>
      </c>
      <c r="J97" s="5">
        <v>101000</v>
      </c>
      <c r="K97" s="5" t="s">
        <v>350</v>
      </c>
      <c r="L97" s="5">
        <v>0</v>
      </c>
      <c r="M97" s="5">
        <v>10100002</v>
      </c>
      <c r="N97" s="5" t="s">
        <v>398</v>
      </c>
      <c r="O97" s="5">
        <v>10202009</v>
      </c>
      <c r="P97" s="5">
        <v>0</v>
      </c>
      <c r="Q97" s="5">
        <v>0</v>
      </c>
      <c r="R97" s="5">
        <v>1</v>
      </c>
      <c r="S97" s="5">
        <v>0</v>
      </c>
      <c r="T97" s="5">
        <v>100</v>
      </c>
      <c r="U97" s="5" t="s">
        <v>364</v>
      </c>
      <c r="V97" s="5">
        <v>750</v>
      </c>
      <c r="W97" s="5">
        <v>0</v>
      </c>
      <c r="X97" s="5" t="inlineStr">
        <is>
          <t xml:space="preserve">目标点</t>
        </is>
      </c>
      <c r="Y97" s="5" t="s">
        <v>365</v>
      </c>
      <c r="Z97" s="5" t="s">
        <v>354</v>
      </c>
      <c r="AA97" s="5">
        <v>0</v>
      </c>
      <c r="AB97" s="5">
        <v>0</v>
      </c>
      <c r="AC97" s="5" t="b">
        <v>0</v>
      </c>
      <c r="AD97" s="5" t="s">
        <v>355</v>
      </c>
      <c r="AE97" s="5">
        <v>210</v>
      </c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 t="s">
        <v>381</v>
      </c>
      <c r="AZ97" s="5">
        <v>10000</v>
      </c>
      <c r="BA97" s="5" t="s">
        <v>357</v>
      </c>
      <c r="BB97" s="5" t="s">
        <v>354</v>
      </c>
      <c r="BC97" s="5">
        <v>10000</v>
      </c>
      <c r="BD97" s="5">
        <v>0</v>
      </c>
      <c r="BE97" s="5" t="s">
        <v>358</v>
      </c>
      <c r="BF97" s="5">
        <v>0</v>
      </c>
      <c r="BG97" s="5" t="s">
        <v>382</v>
      </c>
      <c r="BH97" s="5">
        <v>12000</v>
      </c>
      <c r="BI97" s="5">
        <v>3</v>
      </c>
      <c r="BJ97" s="5" t="b">
        <v>1</v>
      </c>
      <c r="BK97" s="5">
        <v>0</v>
      </c>
      <c r="BL97" s="5">
        <v>10000</v>
      </c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X97" s="5">
        <v>200</v>
      </c>
      <c r="GY97" s="5">
        <v>400</v>
      </c>
      <c r="GZ97" s="5" t="s">
        <v>383</v>
      </c>
      <c r="HA97" s="5">
        <v>0</v>
      </c>
      <c r="HB97" s="5">
        <v>30003</v>
      </c>
      <c r="HC97" s="5" t="s">
        <v>366</v>
      </c>
      <c r="HD97" s="5" t="b">
        <v>1</v>
      </c>
      <c r="HE97" s="5">
        <v>3200</v>
      </c>
      <c r="HF97" s="5" t="b">
        <v>0</v>
      </c>
      <c r="HG97" s="5">
        <v>0</v>
      </c>
      <c r="HH97" s="5">
        <v>0</v>
      </c>
      <c r="HI97" s="5">
        <v>0</v>
      </c>
      <c r="HJ97" s="5">
        <v>0</v>
      </c>
      <c r="HK97" s="5" t="b">
        <v>0</v>
      </c>
      <c r="HL97" s="5">
        <v>0</v>
      </c>
      <c r="HM97" s="5">
        <v>10001</v>
      </c>
      <c r="HN97" s="5" t="s">
        <v>367</v>
      </c>
      <c r="HO97" s="5" t="s">
        <v>360</v>
      </c>
      <c r="HP97" s="5">
        <v>0</v>
      </c>
      <c r="HQ97" s="5">
        <v>0</v>
      </c>
      <c r="HR97" s="5">
        <v>0</v>
      </c>
      <c r="HS97" s="5">
        <v>0</v>
      </c>
      <c r="HT97" s="5" t="b">
        <v>0</v>
      </c>
    </row>
    <row r="98" spans="1:228">
      <c r="A98"/>
      <c r="B98" s="1">
        <f>10000000+INDEX(编号表!$B$1:$B$112,MATCH(D98,编号表!$A$1:$A$112,0))*10000+I98</f>
        <v>10100002</v>
      </c>
      <c r="C98" s="5" t="s">
        <v>396</v>
      </c>
      <c r="D98" s="5" t="s">
        <v>396</v>
      </c>
      <c r="E98" s="5" t="s">
        <v>348</v>
      </c>
      <c r="F98" s="5" t="s">
        <v>397</v>
      </c>
      <c r="G98" s="5" t="b">
        <v>0</v>
      </c>
      <c r="H98" s="5" t="b">
        <v>0</v>
      </c>
      <c r="I98" s="5">
        <v>2</v>
      </c>
      <c r="J98" s="5">
        <v>101000</v>
      </c>
      <c r="K98" s="5" t="s">
        <v>350</v>
      </c>
      <c r="L98" s="5">
        <v>10100001</v>
      </c>
      <c r="M98" s="5">
        <v>10100003</v>
      </c>
      <c r="N98" s="5" t="s">
        <v>398</v>
      </c>
      <c r="O98" s="5">
        <v>10202009</v>
      </c>
      <c r="P98" s="5">
        <v>0</v>
      </c>
      <c r="Q98" s="5">
        <v>1</v>
      </c>
      <c r="R98" s="5">
        <v>7</v>
      </c>
      <c r="S98" s="5">
        <v>0</v>
      </c>
      <c r="T98" s="5">
        <v>100</v>
      </c>
      <c r="U98" s="5" t="s">
        <v>364</v>
      </c>
      <c r="V98" s="5">
        <v>750</v>
      </c>
      <c r="W98" s="5">
        <v>0</v>
      </c>
      <c r="X98" s="5" t="inlineStr">
        <is>
          <t xml:space="preserve">目标点</t>
        </is>
      </c>
      <c r="Y98" s="5" t="s">
        <v>365</v>
      </c>
      <c r="Z98" s="5" t="s">
        <v>354</v>
      </c>
      <c r="AA98" s="5">
        <v>0</v>
      </c>
      <c r="AB98" s="5">
        <v>0</v>
      </c>
      <c r="AC98" s="5" t="b">
        <v>0</v>
      </c>
      <c r="AD98" s="5" t="s">
        <v>355</v>
      </c>
      <c r="AE98" s="5">
        <v>210</v>
      </c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 t="s">
        <v>381</v>
      </c>
      <c r="AZ98" s="5">
        <v>10400</v>
      </c>
      <c r="BA98" s="5" t="s">
        <v>357</v>
      </c>
      <c r="BB98" s="5" t="s">
        <v>354</v>
      </c>
      <c r="BC98" s="5">
        <v>10000</v>
      </c>
      <c r="BD98" s="5">
        <v>0</v>
      </c>
      <c r="BE98" s="5" t="s">
        <v>358</v>
      </c>
      <c r="BF98" s="5">
        <v>0</v>
      </c>
      <c r="BG98" s="5" t="s">
        <v>382</v>
      </c>
      <c r="BH98" s="5">
        <v>12000</v>
      </c>
      <c r="BI98" s="5">
        <v>4</v>
      </c>
      <c r="BJ98" s="5" t="b">
        <v>1</v>
      </c>
      <c r="BK98" s="5">
        <v>0</v>
      </c>
      <c r="BL98" s="5">
        <v>10000</v>
      </c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X98" s="5">
        <v>200</v>
      </c>
      <c r="GY98" s="5">
        <v>400</v>
      </c>
      <c r="GZ98" s="5" t="s">
        <v>383</v>
      </c>
      <c r="HA98" s="5">
        <v>0</v>
      </c>
      <c r="HB98" s="5">
        <v>30003</v>
      </c>
      <c r="HC98" s="5" t="s">
        <v>366</v>
      </c>
      <c r="HD98" s="5" t="b">
        <v>1</v>
      </c>
      <c r="HE98" s="5">
        <v>3200</v>
      </c>
      <c r="HF98" s="5" t="b">
        <v>0</v>
      </c>
      <c r="HG98" s="5">
        <v>0</v>
      </c>
      <c r="HH98" s="5">
        <v>0</v>
      </c>
      <c r="HI98" s="5">
        <v>0</v>
      </c>
      <c r="HJ98" s="5">
        <v>0</v>
      </c>
      <c r="HK98" s="5" t="b">
        <v>0</v>
      </c>
      <c r="HL98" s="5">
        <v>0</v>
      </c>
      <c r="HM98" s="5">
        <v>10001</v>
      </c>
      <c r="HN98" s="5" t="s">
        <v>367</v>
      </c>
      <c r="HO98" s="5" t="s">
        <v>360</v>
      </c>
      <c r="HP98" s="5">
        <v>0</v>
      </c>
      <c r="HQ98" s="5">
        <v>0</v>
      </c>
      <c r="HR98" s="5">
        <v>0</v>
      </c>
      <c r="HS98" s="5">
        <v>0</v>
      </c>
      <c r="HT98" s="5" t="b">
        <v>0</v>
      </c>
    </row>
    <row r="99" spans="1:228">
      <c r="A99"/>
      <c r="B99" s="1">
        <f>10000000+INDEX(编号表!$B$1:$B$112,MATCH(D99,编号表!$A$1:$A$112,0))*10000+I99</f>
        <v>10100003</v>
      </c>
      <c r="C99" s="5" t="s">
        <v>396</v>
      </c>
      <c r="D99" s="5" t="s">
        <v>396</v>
      </c>
      <c r="E99" s="5" t="s">
        <v>348</v>
      </c>
      <c r="F99" s="5" t="s">
        <v>397</v>
      </c>
      <c r="G99" s="5" t="b">
        <v>0</v>
      </c>
      <c r="H99" s="5" t="b">
        <v>0</v>
      </c>
      <c r="I99" s="5">
        <v>3</v>
      </c>
      <c r="J99" s="5">
        <v>101000</v>
      </c>
      <c r="K99" s="5" t="s">
        <v>350</v>
      </c>
      <c r="L99" s="5">
        <v>10100002</v>
      </c>
      <c r="M99" s="5">
        <v>10100004</v>
      </c>
      <c r="N99" s="5" t="s">
        <v>398</v>
      </c>
      <c r="O99" s="5">
        <v>10202009</v>
      </c>
      <c r="P99" s="5">
        <v>0</v>
      </c>
      <c r="Q99" s="5">
        <v>2</v>
      </c>
      <c r="R99" s="5">
        <v>11</v>
      </c>
      <c r="S99" s="5">
        <v>0</v>
      </c>
      <c r="T99" s="5">
        <v>100</v>
      </c>
      <c r="U99" s="5" t="s">
        <v>364</v>
      </c>
      <c r="V99" s="5">
        <v>750</v>
      </c>
      <c r="W99" s="5">
        <v>0</v>
      </c>
      <c r="X99" s="5" t="inlineStr">
        <is>
          <t xml:space="preserve">目标点</t>
        </is>
      </c>
      <c r="Y99" s="5" t="s">
        <v>365</v>
      </c>
      <c r="Z99" s="5" t="s">
        <v>354</v>
      </c>
      <c r="AA99" s="5">
        <v>0</v>
      </c>
      <c r="AB99" s="5">
        <v>0</v>
      </c>
      <c r="AC99" s="5" t="b">
        <v>0</v>
      </c>
      <c r="AD99" s="5" t="s">
        <v>355</v>
      </c>
      <c r="AE99" s="5">
        <v>210</v>
      </c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 t="s">
        <v>381</v>
      </c>
      <c r="AZ99" s="5">
        <v>10800</v>
      </c>
      <c r="BA99" s="5" t="s">
        <v>357</v>
      </c>
      <c r="BB99" s="5" t="s">
        <v>354</v>
      </c>
      <c r="BC99" s="5">
        <v>10000</v>
      </c>
      <c r="BD99" s="5">
        <v>0</v>
      </c>
      <c r="BE99" s="5" t="s">
        <v>358</v>
      </c>
      <c r="BF99" s="5">
        <v>0</v>
      </c>
      <c r="BG99" s="5" t="s">
        <v>382</v>
      </c>
      <c r="BH99" s="5">
        <v>12000</v>
      </c>
      <c r="BI99" s="5">
        <v>5</v>
      </c>
      <c r="BJ99" s="5" t="b">
        <v>1</v>
      </c>
      <c r="BK99" s="5">
        <v>0</v>
      </c>
      <c r="BL99" s="5">
        <v>10000</v>
      </c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X99" s="5">
        <v>200</v>
      </c>
      <c r="GY99" s="5">
        <v>400</v>
      </c>
      <c r="GZ99" s="5" t="s">
        <v>383</v>
      </c>
      <c r="HA99" s="5">
        <v>0</v>
      </c>
      <c r="HB99" s="5">
        <v>30003</v>
      </c>
      <c r="HC99" s="5" t="s">
        <v>366</v>
      </c>
      <c r="HD99" s="5" t="b">
        <v>1</v>
      </c>
      <c r="HE99" s="5">
        <v>3200</v>
      </c>
      <c r="HF99" s="5" t="b">
        <v>0</v>
      </c>
      <c r="HG99" s="5">
        <v>0</v>
      </c>
      <c r="HH99" s="5">
        <v>0</v>
      </c>
      <c r="HI99" s="5">
        <v>0</v>
      </c>
      <c r="HJ99" s="5">
        <v>0</v>
      </c>
      <c r="HK99" s="5" t="b">
        <v>0</v>
      </c>
      <c r="HL99" s="5">
        <v>0</v>
      </c>
      <c r="HM99" s="5">
        <v>10001</v>
      </c>
      <c r="HN99" s="5" t="s">
        <v>367</v>
      </c>
      <c r="HO99" s="5" t="s">
        <v>360</v>
      </c>
      <c r="HP99" s="5">
        <v>0</v>
      </c>
      <c r="HQ99" s="5">
        <v>0</v>
      </c>
      <c r="HR99" s="5">
        <v>0</v>
      </c>
      <c r="HS99" s="5">
        <v>0</v>
      </c>
      <c r="HT99" s="5" t="b">
        <v>0</v>
      </c>
    </row>
    <row r="100" spans="1:228">
      <c r="A100"/>
      <c r="B100" s="1">
        <f>10000000+INDEX(编号表!$B$1:$B$112,MATCH(D100,编号表!$A$1:$A$112,0))*10000+I100</f>
        <v>10100004</v>
      </c>
      <c r="C100" s="5" t="s">
        <v>396</v>
      </c>
      <c r="D100" s="5" t="s">
        <v>396</v>
      </c>
      <c r="E100" s="5" t="s">
        <v>348</v>
      </c>
      <c r="F100" s="5" t="s">
        <v>397</v>
      </c>
      <c r="G100" s="5" t="b">
        <v>0</v>
      </c>
      <c r="H100" s="5" t="b">
        <v>0</v>
      </c>
      <c r="I100" s="5">
        <v>4</v>
      </c>
      <c r="J100" s="5">
        <v>101000</v>
      </c>
      <c r="K100" s="5" t="s">
        <v>350</v>
      </c>
      <c r="L100" s="5">
        <v>10100003</v>
      </c>
      <c r="M100" s="5">
        <v>10100005</v>
      </c>
      <c r="N100" s="5" t="s">
        <v>398</v>
      </c>
      <c r="O100" s="5">
        <v>10202009</v>
      </c>
      <c r="P100" s="5">
        <v>0</v>
      </c>
      <c r="Q100" s="5">
        <v>3</v>
      </c>
      <c r="R100" s="5">
        <v>16</v>
      </c>
      <c r="S100" s="5">
        <v>0</v>
      </c>
      <c r="T100" s="5">
        <v>100</v>
      </c>
      <c r="U100" s="5" t="s">
        <v>364</v>
      </c>
      <c r="V100" s="5">
        <v>750</v>
      </c>
      <c r="W100" s="5">
        <v>0</v>
      </c>
      <c r="X100" s="5" t="inlineStr">
        <is>
          <t xml:space="preserve">目标点</t>
        </is>
      </c>
      <c r="Y100" s="5" t="s">
        <v>365</v>
      </c>
      <c r="Z100" s="5" t="s">
        <v>354</v>
      </c>
      <c r="AA100" s="5">
        <v>0</v>
      </c>
      <c r="AB100" s="5">
        <v>0</v>
      </c>
      <c r="AC100" s="5" t="b">
        <v>0</v>
      </c>
      <c r="AD100" s="5" t="s">
        <v>355</v>
      </c>
      <c r="AE100" s="5">
        <v>210</v>
      </c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 t="s">
        <v>381</v>
      </c>
      <c r="AZ100" s="5">
        <v>11200</v>
      </c>
      <c r="BA100" s="5" t="s">
        <v>357</v>
      </c>
      <c r="BB100" s="5" t="s">
        <v>354</v>
      </c>
      <c r="BC100" s="5">
        <v>10000</v>
      </c>
      <c r="BD100" s="5">
        <v>0</v>
      </c>
      <c r="BE100" s="5" t="s">
        <v>358</v>
      </c>
      <c r="BF100" s="5">
        <v>0</v>
      </c>
      <c r="BG100" s="5" t="s">
        <v>382</v>
      </c>
      <c r="BH100" s="5">
        <v>12000</v>
      </c>
      <c r="BI100" s="5">
        <v>6</v>
      </c>
      <c r="BJ100" s="5" t="b">
        <v>1</v>
      </c>
      <c r="BK100" s="5">
        <v>0</v>
      </c>
      <c r="BL100" s="5">
        <v>10000</v>
      </c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X100" s="5">
        <v>200</v>
      </c>
      <c r="GY100" s="5">
        <v>400</v>
      </c>
      <c r="GZ100" s="5" t="s">
        <v>383</v>
      </c>
      <c r="HA100" s="5">
        <v>0</v>
      </c>
      <c r="HB100" s="5">
        <v>30003</v>
      </c>
      <c r="HC100" s="5" t="s">
        <v>366</v>
      </c>
      <c r="HD100" s="5" t="b">
        <v>1</v>
      </c>
      <c r="HE100" s="5">
        <v>3200</v>
      </c>
      <c r="HF100" s="5" t="b">
        <v>0</v>
      </c>
      <c r="HG100" s="5">
        <v>0</v>
      </c>
      <c r="HH100" s="5">
        <v>0</v>
      </c>
      <c r="HI100" s="5">
        <v>0</v>
      </c>
      <c r="HJ100" s="5">
        <v>0</v>
      </c>
      <c r="HK100" s="5" t="b">
        <v>0</v>
      </c>
      <c r="HL100" s="5">
        <v>0</v>
      </c>
      <c r="HM100" s="5">
        <v>10001</v>
      </c>
      <c r="HN100" s="5" t="s">
        <v>367</v>
      </c>
      <c r="HO100" s="5" t="s">
        <v>360</v>
      </c>
      <c r="HP100" s="5">
        <v>0</v>
      </c>
      <c r="HQ100" s="5">
        <v>0</v>
      </c>
      <c r="HR100" s="5">
        <v>0</v>
      </c>
      <c r="HS100" s="5">
        <v>0</v>
      </c>
      <c r="HT100" s="5" t="b">
        <v>0</v>
      </c>
    </row>
    <row r="101" spans="1:228">
      <c r="A101"/>
      <c r="B101" s="1">
        <f>10000000+INDEX(编号表!$B$1:$B$112,MATCH(D101,编号表!$A$1:$A$112,0))*10000+I101</f>
        <v>10100005</v>
      </c>
      <c r="C101" s="5" t="s">
        <v>396</v>
      </c>
      <c r="D101" s="5" t="s">
        <v>396</v>
      </c>
      <c r="E101" s="5" t="s">
        <v>348</v>
      </c>
      <c r="F101" s="5" t="s">
        <v>397</v>
      </c>
      <c r="G101" s="5" t="b">
        <v>0</v>
      </c>
      <c r="H101" s="5" t="b">
        <v>0</v>
      </c>
      <c r="I101" s="5">
        <v>5</v>
      </c>
      <c r="J101" s="5">
        <v>101000</v>
      </c>
      <c r="K101" s="5" t="s">
        <v>350</v>
      </c>
      <c r="L101" s="5">
        <v>10100004</v>
      </c>
      <c r="M101" s="5">
        <v>10100006</v>
      </c>
      <c r="N101" s="5" t="s">
        <v>398</v>
      </c>
      <c r="O101" s="5">
        <v>10202009</v>
      </c>
      <c r="P101" s="5">
        <v>0</v>
      </c>
      <c r="Q101" s="5">
        <v>3</v>
      </c>
      <c r="R101" s="5">
        <v>25</v>
      </c>
      <c r="S101" s="5">
        <v>0</v>
      </c>
      <c r="T101" s="5">
        <v>100</v>
      </c>
      <c r="U101" s="5" t="s">
        <v>364</v>
      </c>
      <c r="V101" s="5">
        <v>750</v>
      </c>
      <c r="W101" s="5">
        <v>0</v>
      </c>
      <c r="X101" s="5" t="inlineStr">
        <is>
          <t xml:space="preserve">目标点</t>
        </is>
      </c>
      <c r="Y101" s="5" t="s">
        <v>365</v>
      </c>
      <c r="Z101" s="5" t="s">
        <v>354</v>
      </c>
      <c r="AA101" s="5">
        <v>0</v>
      </c>
      <c r="AB101" s="5">
        <v>0</v>
      </c>
      <c r="AC101" s="5" t="b">
        <v>0</v>
      </c>
      <c r="AD101" s="5" t="s">
        <v>355</v>
      </c>
      <c r="AE101" s="5">
        <v>210</v>
      </c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 t="s">
        <v>381</v>
      </c>
      <c r="AZ101" s="5">
        <v>11300</v>
      </c>
      <c r="BA101" s="5" t="s">
        <v>357</v>
      </c>
      <c r="BB101" s="5" t="s">
        <v>354</v>
      </c>
      <c r="BC101" s="5">
        <v>10000</v>
      </c>
      <c r="BD101" s="5">
        <v>0</v>
      </c>
      <c r="BE101" s="5" t="s">
        <v>358</v>
      </c>
      <c r="BF101" s="5">
        <v>0</v>
      </c>
      <c r="BG101" s="5" t="s">
        <v>382</v>
      </c>
      <c r="BH101" s="5">
        <v>12000</v>
      </c>
      <c r="BI101" s="5">
        <v>6</v>
      </c>
      <c r="BJ101" s="5" t="b">
        <v>1</v>
      </c>
      <c r="BK101" s="5">
        <v>0</v>
      </c>
      <c r="BL101" s="5">
        <v>10000</v>
      </c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X101" s="5">
        <v>200</v>
      </c>
      <c r="GY101" s="5">
        <v>400</v>
      </c>
      <c r="GZ101" s="5" t="s">
        <v>383</v>
      </c>
      <c r="HA101" s="5">
        <v>0</v>
      </c>
      <c r="HB101" s="5">
        <v>30003</v>
      </c>
      <c r="HC101" s="5" t="s">
        <v>366</v>
      </c>
      <c r="HD101" s="5" t="b">
        <v>1</v>
      </c>
      <c r="HE101" s="5">
        <v>3200</v>
      </c>
      <c r="HF101" s="5" t="b">
        <v>0</v>
      </c>
      <c r="HG101" s="5">
        <v>0</v>
      </c>
      <c r="HH101" s="5">
        <v>0</v>
      </c>
      <c r="HI101" s="5">
        <v>0</v>
      </c>
      <c r="HJ101" s="5">
        <v>0</v>
      </c>
      <c r="HK101" s="5" t="b">
        <v>0</v>
      </c>
      <c r="HL101" s="5">
        <v>0</v>
      </c>
      <c r="HM101" s="5">
        <v>10001</v>
      </c>
      <c r="HN101" s="5" t="s">
        <v>367</v>
      </c>
      <c r="HO101" s="5" t="s">
        <v>360</v>
      </c>
      <c r="HP101" s="5">
        <v>0</v>
      </c>
      <c r="HQ101" s="5">
        <v>0</v>
      </c>
      <c r="HR101" s="5">
        <v>0</v>
      </c>
      <c r="HS101" s="5">
        <v>0</v>
      </c>
      <c r="HT101" s="5" t="b">
        <v>0</v>
      </c>
    </row>
    <row r="102" spans="1:228">
      <c r="A102"/>
      <c r="B102" s="1">
        <f>10000000+INDEX(编号表!$B$1:$B$112,MATCH(D102,编号表!$A$1:$A$112,0))*10000+I102</f>
        <v>10100006</v>
      </c>
      <c r="C102" s="5" t="s">
        <v>396</v>
      </c>
      <c r="D102" s="5" t="s">
        <v>396</v>
      </c>
      <c r="E102" s="5" t="s">
        <v>348</v>
      </c>
      <c r="F102" s="5" t="s">
        <v>397</v>
      </c>
      <c r="G102" s="5" t="b">
        <v>0</v>
      </c>
      <c r="H102" s="5" t="b">
        <v>0</v>
      </c>
      <c r="I102" s="5">
        <v>6</v>
      </c>
      <c r="J102" s="5">
        <v>101000</v>
      </c>
      <c r="K102" s="5" t="s">
        <v>350</v>
      </c>
      <c r="L102" s="5">
        <v>10100005</v>
      </c>
      <c r="M102" s="5">
        <v>10100007</v>
      </c>
      <c r="N102" s="5" t="s">
        <v>398</v>
      </c>
      <c r="O102" s="5">
        <v>10202009</v>
      </c>
      <c r="P102" s="5">
        <v>0</v>
      </c>
      <c r="Q102" s="5">
        <v>3</v>
      </c>
      <c r="R102" s="5">
        <v>30</v>
      </c>
      <c r="S102" s="5">
        <v>0</v>
      </c>
      <c r="T102" s="5">
        <v>100</v>
      </c>
      <c r="U102" s="5" t="s">
        <v>364</v>
      </c>
      <c r="V102" s="5">
        <v>750</v>
      </c>
      <c r="W102" s="5">
        <v>0</v>
      </c>
      <c r="X102" s="5" t="inlineStr">
        <is>
          <t xml:space="preserve">目标点</t>
        </is>
      </c>
      <c r="Y102" s="5" t="s">
        <v>365</v>
      </c>
      <c r="Z102" s="5" t="s">
        <v>354</v>
      </c>
      <c r="AA102" s="5">
        <v>0</v>
      </c>
      <c r="AB102" s="5">
        <v>0</v>
      </c>
      <c r="AC102" s="5" t="b">
        <v>0</v>
      </c>
      <c r="AD102" s="5" t="s">
        <v>355</v>
      </c>
      <c r="AE102" s="5">
        <v>210</v>
      </c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 t="s">
        <v>381</v>
      </c>
      <c r="AZ102" s="5">
        <v>11600</v>
      </c>
      <c r="BA102" s="5" t="s">
        <v>357</v>
      </c>
      <c r="BB102" s="5" t="s">
        <v>354</v>
      </c>
      <c r="BC102" s="5">
        <v>10000</v>
      </c>
      <c r="BD102" s="5">
        <v>0</v>
      </c>
      <c r="BE102" s="5" t="s">
        <v>358</v>
      </c>
      <c r="BF102" s="5">
        <v>0</v>
      </c>
      <c r="BG102" s="5" t="s">
        <v>382</v>
      </c>
      <c r="BH102" s="5">
        <v>12000</v>
      </c>
      <c r="BI102" s="5">
        <v>7</v>
      </c>
      <c r="BJ102" s="5" t="b">
        <v>1</v>
      </c>
      <c r="BK102" s="5">
        <v>0</v>
      </c>
      <c r="BL102" s="5">
        <v>10000</v>
      </c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X102" s="5">
        <v>200</v>
      </c>
      <c r="GY102" s="5">
        <v>400</v>
      </c>
      <c r="GZ102" s="5" t="s">
        <v>383</v>
      </c>
      <c r="HA102" s="5">
        <v>0</v>
      </c>
      <c r="HB102" s="5">
        <v>30003</v>
      </c>
      <c r="HC102" s="5" t="s">
        <v>366</v>
      </c>
      <c r="HD102" s="5" t="b">
        <v>1</v>
      </c>
      <c r="HE102" s="5">
        <v>3200</v>
      </c>
      <c r="HF102" s="5" t="b">
        <v>0</v>
      </c>
      <c r="HG102" s="5">
        <v>0</v>
      </c>
      <c r="HH102" s="5">
        <v>0</v>
      </c>
      <c r="HI102" s="5">
        <v>0</v>
      </c>
      <c r="HJ102" s="5">
        <v>0</v>
      </c>
      <c r="HK102" s="5" t="b">
        <v>0</v>
      </c>
      <c r="HL102" s="5">
        <v>0</v>
      </c>
      <c r="HM102" s="5">
        <v>10001</v>
      </c>
      <c r="HN102" s="5" t="s">
        <v>367</v>
      </c>
      <c r="HO102" s="5" t="s">
        <v>360</v>
      </c>
      <c r="HP102" s="5">
        <v>0</v>
      </c>
      <c r="HQ102" s="5">
        <v>0</v>
      </c>
      <c r="HR102" s="5">
        <v>0</v>
      </c>
      <c r="HS102" s="5">
        <v>0</v>
      </c>
      <c r="HT102" s="5" t="b">
        <v>0</v>
      </c>
    </row>
    <row r="103" spans="1:228">
      <c r="A103"/>
      <c r="B103" s="1">
        <f>10000000+INDEX(编号表!$B$1:$B$112,MATCH(D103,编号表!$A$1:$A$112,0))*10000+I103</f>
        <v>10100007</v>
      </c>
      <c r="C103" s="5" t="s">
        <v>396</v>
      </c>
      <c r="D103" s="5" t="s">
        <v>396</v>
      </c>
      <c r="E103" s="5" t="s">
        <v>348</v>
      </c>
      <c r="F103" s="5" t="s">
        <v>397</v>
      </c>
      <c r="G103" s="5" t="b">
        <v>0</v>
      </c>
      <c r="H103" s="5" t="b">
        <v>0</v>
      </c>
      <c r="I103" s="5">
        <v>7</v>
      </c>
      <c r="J103" s="5">
        <v>101000</v>
      </c>
      <c r="K103" s="5" t="s">
        <v>350</v>
      </c>
      <c r="L103" s="5">
        <v>10100006</v>
      </c>
      <c r="M103" s="5">
        <v>10100008</v>
      </c>
      <c r="N103" s="5" t="s">
        <v>398</v>
      </c>
      <c r="O103" s="5">
        <v>10202009</v>
      </c>
      <c r="P103" s="5">
        <v>0</v>
      </c>
      <c r="Q103" s="5">
        <v>3</v>
      </c>
      <c r="R103" s="5">
        <v>35</v>
      </c>
      <c r="S103" s="5">
        <v>0</v>
      </c>
      <c r="T103" s="5">
        <v>100</v>
      </c>
      <c r="U103" s="5" t="s">
        <v>364</v>
      </c>
      <c r="V103" s="5">
        <v>750</v>
      </c>
      <c r="W103" s="5">
        <v>0</v>
      </c>
      <c r="X103" s="5" t="inlineStr">
        <is>
          <t xml:space="preserve">目标点</t>
        </is>
      </c>
      <c r="Y103" s="5" t="s">
        <v>365</v>
      </c>
      <c r="Z103" s="5" t="s">
        <v>354</v>
      </c>
      <c r="AA103" s="5">
        <v>0</v>
      </c>
      <c r="AB103" s="5">
        <v>0</v>
      </c>
      <c r="AC103" s="5" t="b">
        <v>0</v>
      </c>
      <c r="AD103" s="5" t="s">
        <v>355</v>
      </c>
      <c r="AE103" s="5">
        <v>210</v>
      </c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 t="s">
        <v>381</v>
      </c>
      <c r="AZ103" s="5">
        <v>11700</v>
      </c>
      <c r="BA103" s="5" t="s">
        <v>357</v>
      </c>
      <c r="BB103" s="5" t="s">
        <v>354</v>
      </c>
      <c r="BC103" s="5">
        <v>10000</v>
      </c>
      <c r="BD103" s="5">
        <v>0</v>
      </c>
      <c r="BE103" s="5" t="s">
        <v>358</v>
      </c>
      <c r="BF103" s="5">
        <v>0</v>
      </c>
      <c r="BG103" s="5" t="s">
        <v>382</v>
      </c>
      <c r="BH103" s="5">
        <v>12000</v>
      </c>
      <c r="BI103" s="5">
        <v>9</v>
      </c>
      <c r="BJ103" s="5" t="b">
        <v>1</v>
      </c>
      <c r="BK103" s="5">
        <v>0</v>
      </c>
      <c r="BL103" s="5">
        <v>10000</v>
      </c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X103" s="5">
        <v>200</v>
      </c>
      <c r="GY103" s="5">
        <v>400</v>
      </c>
      <c r="GZ103" s="5" t="s">
        <v>383</v>
      </c>
      <c r="HA103" s="5">
        <v>0</v>
      </c>
      <c r="HB103" s="5">
        <v>30003</v>
      </c>
      <c r="HC103" s="5" t="s">
        <v>366</v>
      </c>
      <c r="HD103" s="5" t="b">
        <v>1</v>
      </c>
      <c r="HE103" s="5">
        <v>3200</v>
      </c>
      <c r="HF103" s="5" t="b">
        <v>0</v>
      </c>
      <c r="HG103" s="5">
        <v>0</v>
      </c>
      <c r="HH103" s="5">
        <v>0</v>
      </c>
      <c r="HI103" s="5">
        <v>0</v>
      </c>
      <c r="HJ103" s="5">
        <v>0</v>
      </c>
      <c r="HK103" s="5" t="b">
        <v>0</v>
      </c>
      <c r="HL103" s="5">
        <v>0</v>
      </c>
      <c r="HM103" s="5">
        <v>10001</v>
      </c>
      <c r="HN103" s="5" t="s">
        <v>367</v>
      </c>
      <c r="HO103" s="5" t="s">
        <v>360</v>
      </c>
      <c r="HP103" s="5">
        <v>0</v>
      </c>
      <c r="HQ103" s="5">
        <v>0</v>
      </c>
      <c r="HR103" s="5">
        <v>0</v>
      </c>
      <c r="HS103" s="5">
        <v>0</v>
      </c>
      <c r="HT103" s="5" t="b">
        <v>0</v>
      </c>
    </row>
    <row r="104" spans="1:228">
      <c r="A104"/>
      <c r="B104" s="1">
        <f>10000000+INDEX(编号表!$B$1:$B$112,MATCH(D104,编号表!$A$1:$A$112,0))*10000+I104</f>
        <v>10100008</v>
      </c>
      <c r="C104" s="5" t="s">
        <v>396</v>
      </c>
      <c r="D104" s="5" t="s">
        <v>396</v>
      </c>
      <c r="E104" s="5" t="s">
        <v>348</v>
      </c>
      <c r="F104" s="5" t="s">
        <v>397</v>
      </c>
      <c r="G104" s="5" t="b">
        <v>0</v>
      </c>
      <c r="H104" s="5" t="b">
        <v>0</v>
      </c>
      <c r="I104" s="5">
        <v>8</v>
      </c>
      <c r="J104" s="5">
        <v>101000</v>
      </c>
      <c r="K104" s="5" t="s">
        <v>350</v>
      </c>
      <c r="L104" s="5">
        <v>10100007</v>
      </c>
      <c r="M104" s="5">
        <v>10100009</v>
      </c>
      <c r="N104" s="5" t="s">
        <v>398</v>
      </c>
      <c r="O104" s="5">
        <v>10202009</v>
      </c>
      <c r="P104" s="5">
        <v>0</v>
      </c>
      <c r="Q104" s="5">
        <v>3</v>
      </c>
      <c r="R104" s="5">
        <v>35</v>
      </c>
      <c r="S104" s="5">
        <v>0</v>
      </c>
      <c r="T104" s="5">
        <v>100</v>
      </c>
      <c r="U104" s="5" t="s">
        <v>364</v>
      </c>
      <c r="V104" s="5">
        <v>750</v>
      </c>
      <c r="W104" s="5">
        <v>0</v>
      </c>
      <c r="X104" s="5" t="inlineStr">
        <is>
          <t xml:space="preserve">目标点</t>
        </is>
      </c>
      <c r="Y104" s="5" t="s">
        <v>365</v>
      </c>
      <c r="Z104" s="5" t="s">
        <v>354</v>
      </c>
      <c r="AA104" s="5">
        <v>0</v>
      </c>
      <c r="AB104" s="5">
        <v>0</v>
      </c>
      <c r="AC104" s="5" t="b">
        <v>0</v>
      </c>
      <c r="AD104" s="5" t="s">
        <v>355</v>
      </c>
      <c r="AE104" s="5">
        <v>210</v>
      </c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 t="s">
        <v>381</v>
      </c>
      <c r="AZ104" s="5">
        <v>11800</v>
      </c>
      <c r="BA104" s="5" t="s">
        <v>357</v>
      </c>
      <c r="BB104" s="5" t="s">
        <v>354</v>
      </c>
      <c r="BC104" s="5">
        <v>10000</v>
      </c>
      <c r="BD104" s="5">
        <v>0</v>
      </c>
      <c r="BE104" s="5" t="s">
        <v>358</v>
      </c>
      <c r="BF104" s="5">
        <v>0</v>
      </c>
      <c r="BG104" s="5" t="s">
        <v>382</v>
      </c>
      <c r="BH104" s="5">
        <v>12000</v>
      </c>
      <c r="BI104" s="5">
        <v>10</v>
      </c>
      <c r="BJ104" s="5" t="b">
        <v>1</v>
      </c>
      <c r="BK104" s="5">
        <v>0</v>
      </c>
      <c r="BL104" s="5">
        <v>10000</v>
      </c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X104" s="5">
        <v>200</v>
      </c>
      <c r="GY104" s="5">
        <v>400</v>
      </c>
      <c r="GZ104" s="5" t="s">
        <v>383</v>
      </c>
      <c r="HA104" s="5">
        <v>0</v>
      </c>
      <c r="HB104" s="5">
        <v>30003</v>
      </c>
      <c r="HC104" s="5" t="s">
        <v>366</v>
      </c>
      <c r="HD104" s="5" t="b">
        <v>1</v>
      </c>
      <c r="HE104" s="5">
        <v>3200</v>
      </c>
      <c r="HF104" s="5" t="b">
        <v>0</v>
      </c>
      <c r="HG104" s="5">
        <v>0</v>
      </c>
      <c r="HH104" s="5">
        <v>0</v>
      </c>
      <c r="HI104" s="5">
        <v>0</v>
      </c>
      <c r="HJ104" s="5">
        <v>0</v>
      </c>
      <c r="HK104" s="5" t="b">
        <v>0</v>
      </c>
      <c r="HL104" s="5">
        <v>0</v>
      </c>
      <c r="HM104" s="5">
        <v>10001</v>
      </c>
      <c r="HN104" s="5" t="s">
        <v>367</v>
      </c>
      <c r="HO104" s="5" t="s">
        <v>360</v>
      </c>
      <c r="HP104" s="5">
        <v>0</v>
      </c>
      <c r="HQ104" s="5">
        <v>0</v>
      </c>
      <c r="HR104" s="5">
        <v>0</v>
      </c>
      <c r="HS104" s="5">
        <v>0</v>
      </c>
      <c r="HT104" s="5" t="b">
        <v>0</v>
      </c>
    </row>
    <row r="105" spans="1:228">
      <c r="A105"/>
      <c r="B105" s="1">
        <f>10000000+INDEX(编号表!$B$1:$B$112,MATCH(D105,编号表!$A$1:$A$112,0))*10000+I105</f>
        <v>10100009</v>
      </c>
      <c r="C105" s="5" t="s">
        <v>396</v>
      </c>
      <c r="D105" s="5" t="s">
        <v>396</v>
      </c>
      <c r="E105" s="5" t="s">
        <v>348</v>
      </c>
      <c r="F105" s="5" t="s">
        <v>397</v>
      </c>
      <c r="G105" s="5" t="b">
        <v>0</v>
      </c>
      <c r="H105" s="5" t="b">
        <v>0</v>
      </c>
      <c r="I105" s="5">
        <v>9</v>
      </c>
      <c r="J105" s="5">
        <v>101000</v>
      </c>
      <c r="K105" s="5" t="s">
        <v>350</v>
      </c>
      <c r="L105" s="5">
        <v>10100008</v>
      </c>
      <c r="M105" s="5">
        <v>10100010</v>
      </c>
      <c r="N105" s="5" t="s">
        <v>398</v>
      </c>
      <c r="O105" s="5">
        <v>10202009</v>
      </c>
      <c r="P105" s="5">
        <v>0</v>
      </c>
      <c r="Q105" s="5">
        <v>3</v>
      </c>
      <c r="R105" s="5">
        <v>40</v>
      </c>
      <c r="S105" s="5">
        <v>0</v>
      </c>
      <c r="T105" s="5">
        <v>100</v>
      </c>
      <c r="U105" s="5" t="s">
        <v>364</v>
      </c>
      <c r="V105" s="5">
        <v>750</v>
      </c>
      <c r="W105" s="5">
        <v>0</v>
      </c>
      <c r="X105" s="5" t="inlineStr">
        <is>
          <t xml:space="preserve">目标点</t>
        </is>
      </c>
      <c r="Y105" s="5" t="s">
        <v>365</v>
      </c>
      <c r="Z105" s="5" t="s">
        <v>354</v>
      </c>
      <c r="AA105" s="5">
        <v>0</v>
      </c>
      <c r="AB105" s="5">
        <v>0</v>
      </c>
      <c r="AC105" s="5" t="b">
        <v>0</v>
      </c>
      <c r="AD105" s="5" t="s">
        <v>355</v>
      </c>
      <c r="AE105" s="5">
        <v>210</v>
      </c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 t="s">
        <v>381</v>
      </c>
      <c r="AZ105" s="5">
        <v>11900</v>
      </c>
      <c r="BA105" s="5" t="s">
        <v>357</v>
      </c>
      <c r="BB105" s="5" t="s">
        <v>354</v>
      </c>
      <c r="BC105" s="5">
        <v>10000</v>
      </c>
      <c r="BD105" s="5">
        <v>0</v>
      </c>
      <c r="BE105" s="5" t="s">
        <v>358</v>
      </c>
      <c r="BF105" s="5">
        <v>0</v>
      </c>
      <c r="BG105" s="5" t="s">
        <v>382</v>
      </c>
      <c r="BH105" s="5">
        <v>12000</v>
      </c>
      <c r="BI105" s="5">
        <v>12</v>
      </c>
      <c r="BJ105" s="5" t="b">
        <v>1</v>
      </c>
      <c r="BK105" s="5">
        <v>0</v>
      </c>
      <c r="BL105" s="5">
        <v>10000</v>
      </c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X105" s="5">
        <v>200</v>
      </c>
      <c r="GY105" s="5">
        <v>400</v>
      </c>
      <c r="GZ105" s="5" t="s">
        <v>383</v>
      </c>
      <c r="HA105" s="5">
        <v>0</v>
      </c>
      <c r="HB105" s="5">
        <v>30003</v>
      </c>
      <c r="HC105" s="5" t="s">
        <v>366</v>
      </c>
      <c r="HD105" s="5" t="b">
        <v>1</v>
      </c>
      <c r="HE105" s="5">
        <v>3200</v>
      </c>
      <c r="HF105" s="5" t="b">
        <v>0</v>
      </c>
      <c r="HG105" s="5">
        <v>0</v>
      </c>
      <c r="HH105" s="5">
        <v>0</v>
      </c>
      <c r="HI105" s="5">
        <v>0</v>
      </c>
      <c r="HJ105" s="5">
        <v>0</v>
      </c>
      <c r="HK105" s="5" t="b">
        <v>0</v>
      </c>
      <c r="HL105" s="5">
        <v>0</v>
      </c>
      <c r="HM105" s="5">
        <v>10001</v>
      </c>
      <c r="HN105" s="5" t="s">
        <v>367</v>
      </c>
      <c r="HO105" s="5" t="s">
        <v>360</v>
      </c>
      <c r="HP105" s="5">
        <v>0</v>
      </c>
      <c r="HQ105" s="5">
        <v>0</v>
      </c>
      <c r="HR105" s="5">
        <v>0</v>
      </c>
      <c r="HS105" s="5">
        <v>0</v>
      </c>
      <c r="HT105" s="5" t="b">
        <v>0</v>
      </c>
    </row>
    <row r="106" spans="1:228">
      <c r="A106"/>
      <c r="B106" s="1">
        <f>10000000+INDEX(编号表!$B$1:$B$112,MATCH(D106,编号表!$A$1:$A$112,0))*10000+I106</f>
        <v>10100010</v>
      </c>
      <c r="C106" s="5" t="s">
        <v>396</v>
      </c>
      <c r="D106" s="5" t="s">
        <v>396</v>
      </c>
      <c r="E106" s="5" t="s">
        <v>348</v>
      </c>
      <c r="F106" s="5" t="s">
        <v>397</v>
      </c>
      <c r="G106" s="5" t="b">
        <v>0</v>
      </c>
      <c r="H106" s="5" t="b">
        <v>0</v>
      </c>
      <c r="I106" s="5">
        <v>10</v>
      </c>
      <c r="J106" s="5">
        <v>101000</v>
      </c>
      <c r="K106" s="5" t="s">
        <v>350</v>
      </c>
      <c r="L106" s="5">
        <v>10100009</v>
      </c>
      <c r="M106" s="5">
        <v>0</v>
      </c>
      <c r="N106" s="5" t="s">
        <v>398</v>
      </c>
      <c r="O106" s="5">
        <v>10202009</v>
      </c>
      <c r="P106" s="5">
        <v>0</v>
      </c>
      <c r="Q106" s="5">
        <v>3</v>
      </c>
      <c r="R106" s="5">
        <v>40</v>
      </c>
      <c r="S106" s="5">
        <v>0</v>
      </c>
      <c r="T106" s="5">
        <v>0</v>
      </c>
      <c r="U106" s="5" t="s">
        <v>364</v>
      </c>
      <c r="V106" s="5">
        <v>750</v>
      </c>
      <c r="W106" s="5">
        <v>0</v>
      </c>
      <c r="X106" s="5" t="inlineStr">
        <is>
          <t xml:space="preserve">目标点</t>
        </is>
      </c>
      <c r="Y106" s="5" t="s">
        <v>365</v>
      </c>
      <c r="Z106" s="5" t="s">
        <v>354</v>
      </c>
      <c r="AA106" s="5">
        <v>0</v>
      </c>
      <c r="AB106" s="5">
        <v>0</v>
      </c>
      <c r="AC106" s="5" t="b">
        <v>0</v>
      </c>
      <c r="AD106" s="5" t="s">
        <v>355</v>
      </c>
      <c r="AE106" s="5">
        <v>210</v>
      </c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 t="s">
        <v>381</v>
      </c>
      <c r="AZ106" s="5">
        <v>12000</v>
      </c>
      <c r="BA106" s="5" t="s">
        <v>357</v>
      </c>
      <c r="BB106" s="5" t="s">
        <v>354</v>
      </c>
      <c r="BC106" s="5">
        <v>10000</v>
      </c>
      <c r="BD106" s="5">
        <v>0</v>
      </c>
      <c r="BE106" s="5" t="s">
        <v>358</v>
      </c>
      <c r="BF106" s="5">
        <v>0</v>
      </c>
      <c r="BG106" s="5" t="s">
        <v>382</v>
      </c>
      <c r="BH106" s="5">
        <v>12000</v>
      </c>
      <c r="BI106" s="5">
        <v>15</v>
      </c>
      <c r="BJ106" s="5" t="b">
        <v>1</v>
      </c>
      <c r="BK106" s="5">
        <v>0</v>
      </c>
      <c r="BL106" s="5">
        <v>10000</v>
      </c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X106" s="5">
        <v>200</v>
      </c>
      <c r="GY106" s="5">
        <v>400</v>
      </c>
      <c r="GZ106" s="5" t="s">
        <v>383</v>
      </c>
      <c r="HA106" s="5">
        <v>0</v>
      </c>
      <c r="HB106" s="5">
        <v>30003</v>
      </c>
      <c r="HC106" s="5" t="s">
        <v>366</v>
      </c>
      <c r="HD106" s="5" t="b">
        <v>1</v>
      </c>
      <c r="HE106" s="5">
        <v>3200</v>
      </c>
      <c r="HF106" s="5" t="b">
        <v>0</v>
      </c>
      <c r="HG106" s="5">
        <v>0</v>
      </c>
      <c r="HH106" s="5">
        <v>0</v>
      </c>
      <c r="HI106" s="5">
        <v>0</v>
      </c>
      <c r="HJ106" s="5">
        <v>0</v>
      </c>
      <c r="HK106" s="5" t="b">
        <v>0</v>
      </c>
      <c r="HL106" s="5">
        <v>0</v>
      </c>
      <c r="HM106" s="5">
        <v>10001</v>
      </c>
      <c r="HN106" s="5" t="s">
        <v>367</v>
      </c>
      <c r="HO106" s="5" t="s">
        <v>360</v>
      </c>
      <c r="HP106" s="5">
        <v>0</v>
      </c>
      <c r="HQ106" s="5">
        <v>0</v>
      </c>
      <c r="HR106" s="5">
        <v>0</v>
      </c>
      <c r="HS106" s="5">
        <v>0</v>
      </c>
      <c r="HT106" s="5" t="b">
        <v>0</v>
      </c>
    </row>
    <row r="107" spans="1:228">
      <c r="A107"/>
      <c r="B107" s="1">
        <f>10000000+INDEX(编号表!$B$1:$B$112,MATCH(D107,编号表!$A$1:$A$112,0))*10000+I107</f>
        <v>10110001</v>
      </c>
      <c r="C107" s="5" t="s">
        <v>399</v>
      </c>
      <c r="D107" s="5" t="s">
        <v>399</v>
      </c>
      <c r="E107" s="5" t="s">
        <v>348</v>
      </c>
      <c r="F107" s="5" t="s">
        <v>391</v>
      </c>
      <c r="G107" s="5" t="b">
        <v>0</v>
      </c>
      <c r="H107" s="5" t="b">
        <v>0</v>
      </c>
      <c r="I107" s="5">
        <v>1</v>
      </c>
      <c r="J107" s="5">
        <v>101100</v>
      </c>
      <c r="K107" s="5" t="s">
        <v>350</v>
      </c>
      <c r="L107" s="5">
        <v>0</v>
      </c>
      <c r="M107" s="5">
        <v>10110002</v>
      </c>
      <c r="N107" s="5" t="s">
        <v>400</v>
      </c>
      <c r="O107" s="5">
        <v>10202010</v>
      </c>
      <c r="P107" s="5">
        <v>0</v>
      </c>
      <c r="Q107" s="5">
        <v>0</v>
      </c>
      <c r="R107" s="5">
        <v>1</v>
      </c>
      <c r="S107" s="5">
        <v>0</v>
      </c>
      <c r="T107" s="5">
        <v>100</v>
      </c>
      <c r="U107" s="5" t="s">
        <v>364</v>
      </c>
      <c r="V107" s="5">
        <v>650</v>
      </c>
      <c r="W107" s="5">
        <v>0</v>
      </c>
      <c r="X107" s="5" t="s">
        <v>401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 t="s">
        <v>381</v>
      </c>
      <c r="AZ107" s="5">
        <v>10000</v>
      </c>
      <c r="BA107" s="5" t="inlineStr">
        <is>
          <t xml:space="preserve">技能效果_调用技能</t>
        </is>
      </c>
      <c r="BB107" s="5" t="inlineStr">
        <is>
          <t xml:space="preserve">敌对</t>
        </is>
      </c>
      <c r="BC107" s="5">
        <v>10000</v>
      </c>
      <c r="BD107" s="5">
        <v>0</v>
      </c>
      <c r="BE107" s="5" t="inlineStr">
        <is>
          <t xml:space="preserve">全部</t>
        </is>
      </c>
      <c r="BF107" s="5">
        <v>0</v>
      </c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>
        <v>10420001</v>
      </c>
      <c r="CX107"/>
      <c r="CY107"/>
      <c r="CZ107" s="5" t="inlineStr">
        <is>
          <t xml:space="preserve">技能效果_调用技能</t>
        </is>
      </c>
      <c r="DA107" s="5" t="inlineStr">
        <is>
          <t xml:space="preserve">敌对</t>
        </is>
      </c>
      <c r="DB107" s="5">
        <v>10000</v>
      </c>
      <c r="DC107" s="5">
        <v>2000</v>
      </c>
      <c r="DD107" s="5" t="inlineStr">
        <is>
          <t xml:space="preserve">全部</t>
        </is>
      </c>
      <c r="DE107" s="5">
        <v>0</v>
      </c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>
        <v>10420001</v>
      </c>
      <c r="EW107"/>
      <c r="EX107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/>
      <c r="GW107"/>
      <c r="GX107" s="5">
        <v>200</v>
      </c>
      <c r="GY107" s="5">
        <v>400</v>
      </c>
      <c r="GZ107" s="5" t="s">
        <v>383</v>
      </c>
      <c r="HA107" s="5">
        <v>0</v>
      </c>
      <c r="HB107" s="5">
        <v>30014</v>
      </c>
      <c r="HC107" s="5" t="s">
        <v>366</v>
      </c>
      <c r="HD107" s="5" t="b">
        <v>1</v>
      </c>
      <c r="HE107" s="5">
        <v>5000</v>
      </c>
      <c r="HF107" s="5" t="b">
        <v>0</v>
      </c>
      <c r="HG107" s="5">
        <v>0</v>
      </c>
      <c r="HH107" s="5">
        <v>0</v>
      </c>
      <c r="HI107" s="5">
        <v>0</v>
      </c>
      <c r="HJ107" s="5">
        <v>0</v>
      </c>
      <c r="HK107" s="5" t="b">
        <v>0</v>
      </c>
      <c r="HL107" s="5">
        <v>0</v>
      </c>
      <c r="HM107" s="5">
        <v>10001</v>
      </c>
      <c r="HN107" s="5" t="s">
        <v>367</v>
      </c>
      <c r="HO107" s="5" t="s">
        <v>360</v>
      </c>
      <c r="HP107" s="5">
        <v>0</v>
      </c>
      <c r="HQ107" s="5">
        <v>0</v>
      </c>
      <c r="HR107" s="5">
        <v>0</v>
      </c>
      <c r="HS107" s="5">
        <v>0</v>
      </c>
      <c r="HT107" s="5" t="b">
        <v>0</v>
      </c>
    </row>
    <row r="108" spans="1:228">
      <c r="A108"/>
      <c r="B108" s="1">
        <f>10000000+INDEX(编号表!$B$1:$B$112,MATCH(D108,编号表!$A$1:$A$112,0))*10000+I108</f>
        <v>10110002</v>
      </c>
      <c r="C108" s="5" t="s">
        <v>399</v>
      </c>
      <c r="D108" s="5" t="s">
        <v>399</v>
      </c>
      <c r="E108" s="5" t="s">
        <v>348</v>
      </c>
      <c r="F108" s="5" t="s">
        <v>391</v>
      </c>
      <c r="G108" s="5" t="b">
        <v>0</v>
      </c>
      <c r="H108" s="5" t="b">
        <v>0</v>
      </c>
      <c r="I108" s="5">
        <v>2</v>
      </c>
      <c r="J108" s="5">
        <v>101100</v>
      </c>
      <c r="K108" s="5" t="s">
        <v>350</v>
      </c>
      <c r="L108" s="5">
        <v>10110001</v>
      </c>
      <c r="M108" s="5">
        <v>10110003</v>
      </c>
      <c r="N108" s="5" t="s">
        <v>400</v>
      </c>
      <c r="O108" s="5">
        <v>10202010</v>
      </c>
      <c r="P108" s="5">
        <v>0</v>
      </c>
      <c r="Q108" s="5">
        <v>1</v>
      </c>
      <c r="R108" s="5">
        <v>7</v>
      </c>
      <c r="S108" s="5">
        <v>0</v>
      </c>
      <c r="T108" s="5">
        <v>100</v>
      </c>
      <c r="U108" s="5" t="s">
        <v>364</v>
      </c>
      <c r="V108" s="5">
        <v>650</v>
      </c>
      <c r="W108" s="5">
        <v>0</v>
      </c>
      <c r="X108" s="5" t="s">
        <v>401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 t="s">
        <v>381</v>
      </c>
      <c r="AZ108" s="5">
        <v>10400</v>
      </c>
      <c r="BA108" s="5" t="inlineStr">
        <is>
          <t xml:space="preserve">技能效果_调用技能</t>
        </is>
      </c>
      <c r="BB108" s="5" t="inlineStr">
        <is>
          <t xml:space="preserve">敌对</t>
        </is>
      </c>
      <c r="BC108" s="5">
        <v>10000</v>
      </c>
      <c r="BD108" s="5">
        <v>0</v>
      </c>
      <c r="BE108" s="5" t="inlineStr">
        <is>
          <t xml:space="preserve">全部</t>
        </is>
      </c>
      <c r="BF108" s="5">
        <v>0</v>
      </c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>
        <v>10420002</v>
      </c>
      <c r="CX108"/>
      <c r="CY108"/>
      <c r="CZ108" s="5" t="inlineStr">
        <is>
          <t xml:space="preserve">技能效果_调用技能</t>
        </is>
      </c>
      <c r="DA108" s="5" t="inlineStr">
        <is>
          <t xml:space="preserve">敌对</t>
        </is>
      </c>
      <c r="DB108" s="5">
        <v>10000</v>
      </c>
      <c r="DC108" s="5">
        <v>2000</v>
      </c>
      <c r="DD108" s="5" t="inlineStr">
        <is>
          <t xml:space="preserve">全部</t>
        </is>
      </c>
      <c r="DE108" s="5">
        <v>0</v>
      </c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>
        <v>10420002</v>
      </c>
      <c r="EW108"/>
      <c r="EX108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/>
      <c r="GW108"/>
      <c r="GX108" s="5">
        <v>200</v>
      </c>
      <c r="GY108" s="5">
        <v>400</v>
      </c>
      <c r="GZ108" s="5" t="s">
        <v>383</v>
      </c>
      <c r="HA108" s="5">
        <v>0</v>
      </c>
      <c r="HB108" s="5">
        <v>30014</v>
      </c>
      <c r="HC108" s="5" t="s">
        <v>366</v>
      </c>
      <c r="HD108" s="5" t="b">
        <v>1</v>
      </c>
      <c r="HE108" s="5">
        <v>5000</v>
      </c>
      <c r="HF108" s="5" t="b">
        <v>0</v>
      </c>
      <c r="HG108" s="5">
        <v>0</v>
      </c>
      <c r="HH108" s="5">
        <v>0</v>
      </c>
      <c r="HI108" s="5">
        <v>0</v>
      </c>
      <c r="HJ108" s="5">
        <v>0</v>
      </c>
      <c r="HK108" s="5" t="b">
        <v>0</v>
      </c>
      <c r="HL108" s="5">
        <v>0</v>
      </c>
      <c r="HM108" s="5">
        <v>10001</v>
      </c>
      <c r="HN108" s="5" t="s">
        <v>367</v>
      </c>
      <c r="HO108" s="5" t="s">
        <v>360</v>
      </c>
      <c r="HP108" s="5">
        <v>0</v>
      </c>
      <c r="HQ108" s="5">
        <v>0</v>
      </c>
      <c r="HR108" s="5">
        <v>0</v>
      </c>
      <c r="HS108" s="5">
        <v>0</v>
      </c>
      <c r="HT108" s="5" t="b">
        <v>0</v>
      </c>
    </row>
    <row r="109" spans="1:228">
      <c r="A109"/>
      <c r="B109" s="1">
        <f>10000000+INDEX(编号表!$B$1:$B$112,MATCH(D109,编号表!$A$1:$A$112,0))*10000+I109</f>
        <v>10110003</v>
      </c>
      <c r="C109" s="5" t="s">
        <v>399</v>
      </c>
      <c r="D109" s="5" t="s">
        <v>399</v>
      </c>
      <c r="E109" s="5" t="s">
        <v>348</v>
      </c>
      <c r="F109" s="5" t="s">
        <v>391</v>
      </c>
      <c r="G109" s="5" t="b">
        <v>0</v>
      </c>
      <c r="H109" s="5" t="b">
        <v>0</v>
      </c>
      <c r="I109" s="5">
        <v>3</v>
      </c>
      <c r="J109" s="5">
        <v>101100</v>
      </c>
      <c r="K109" s="5" t="s">
        <v>350</v>
      </c>
      <c r="L109" s="5">
        <v>10110002</v>
      </c>
      <c r="M109" s="5">
        <v>10110004</v>
      </c>
      <c r="N109" s="5" t="s">
        <v>400</v>
      </c>
      <c r="O109" s="5">
        <v>10202010</v>
      </c>
      <c r="P109" s="5">
        <v>0</v>
      </c>
      <c r="Q109" s="5">
        <v>2</v>
      </c>
      <c r="R109" s="5">
        <v>11</v>
      </c>
      <c r="S109" s="5">
        <v>0</v>
      </c>
      <c r="T109" s="5">
        <v>100</v>
      </c>
      <c r="U109" s="5" t="s">
        <v>364</v>
      </c>
      <c r="V109" s="5">
        <v>650</v>
      </c>
      <c r="W109" s="5">
        <v>0</v>
      </c>
      <c r="X109" s="5" t="s">
        <v>401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 t="s">
        <v>381</v>
      </c>
      <c r="AZ109" s="5">
        <v>10800</v>
      </c>
      <c r="BA109" s="5" t="inlineStr">
        <is>
          <t xml:space="preserve">技能效果_调用技能</t>
        </is>
      </c>
      <c r="BB109" s="5" t="inlineStr">
        <is>
          <t xml:space="preserve">敌对</t>
        </is>
      </c>
      <c r="BC109" s="5">
        <v>10000</v>
      </c>
      <c r="BD109" s="5">
        <v>0</v>
      </c>
      <c r="BE109" s="5" t="inlineStr">
        <is>
          <t xml:space="preserve">全部</t>
        </is>
      </c>
      <c r="BF109" s="5">
        <v>0</v>
      </c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>
        <v>10420003</v>
      </c>
      <c r="CX109"/>
      <c r="CY109"/>
      <c r="CZ109" s="5" t="inlineStr">
        <is>
          <t xml:space="preserve">技能效果_调用技能</t>
        </is>
      </c>
      <c r="DA109" s="5" t="inlineStr">
        <is>
          <t xml:space="preserve">敌对</t>
        </is>
      </c>
      <c r="DB109" s="5">
        <v>10000</v>
      </c>
      <c r="DC109" s="5">
        <v>2000</v>
      </c>
      <c r="DD109" s="5" t="inlineStr">
        <is>
          <t xml:space="preserve">全部</t>
        </is>
      </c>
      <c r="DE109" s="5">
        <v>0</v>
      </c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>
        <v>10420003</v>
      </c>
      <c r="EW109"/>
      <c r="EX109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/>
      <c r="GW109"/>
      <c r="GX109" s="5">
        <v>200</v>
      </c>
      <c r="GY109" s="5">
        <v>400</v>
      </c>
      <c r="GZ109" s="5" t="s">
        <v>383</v>
      </c>
      <c r="HA109" s="5">
        <v>0</v>
      </c>
      <c r="HB109" s="5">
        <v>30014</v>
      </c>
      <c r="HC109" s="5" t="s">
        <v>366</v>
      </c>
      <c r="HD109" s="5" t="b">
        <v>1</v>
      </c>
      <c r="HE109" s="5">
        <v>5000</v>
      </c>
      <c r="HF109" s="5" t="b">
        <v>0</v>
      </c>
      <c r="HG109" s="5">
        <v>0</v>
      </c>
      <c r="HH109" s="5">
        <v>0</v>
      </c>
      <c r="HI109" s="5">
        <v>0</v>
      </c>
      <c r="HJ109" s="5">
        <v>0</v>
      </c>
      <c r="HK109" s="5" t="b">
        <v>0</v>
      </c>
      <c r="HL109" s="5">
        <v>0</v>
      </c>
      <c r="HM109" s="5">
        <v>10001</v>
      </c>
      <c r="HN109" s="5" t="s">
        <v>367</v>
      </c>
      <c r="HO109" s="5" t="s">
        <v>360</v>
      </c>
      <c r="HP109" s="5">
        <v>0</v>
      </c>
      <c r="HQ109" s="5">
        <v>0</v>
      </c>
      <c r="HR109" s="5">
        <v>0</v>
      </c>
      <c r="HS109" s="5">
        <v>0</v>
      </c>
      <c r="HT109" s="5" t="b">
        <v>0</v>
      </c>
    </row>
    <row r="110" spans="1:228">
      <c r="A110"/>
      <c r="B110" s="1">
        <f>10000000+INDEX(编号表!$B$1:$B$112,MATCH(D110,编号表!$A$1:$A$112,0))*10000+I110</f>
        <v>10110004</v>
      </c>
      <c r="C110" s="5" t="s">
        <v>399</v>
      </c>
      <c r="D110" s="5" t="s">
        <v>399</v>
      </c>
      <c r="E110" s="5" t="s">
        <v>348</v>
      </c>
      <c r="F110" s="5" t="s">
        <v>391</v>
      </c>
      <c r="G110" s="5" t="b">
        <v>0</v>
      </c>
      <c r="H110" s="5" t="b">
        <v>0</v>
      </c>
      <c r="I110" s="5">
        <v>4</v>
      </c>
      <c r="J110" s="5">
        <v>101100</v>
      </c>
      <c r="K110" s="5" t="s">
        <v>350</v>
      </c>
      <c r="L110" s="5">
        <v>10110003</v>
      </c>
      <c r="M110" s="5">
        <v>10110005</v>
      </c>
      <c r="N110" s="5" t="s">
        <v>400</v>
      </c>
      <c r="O110" s="5">
        <v>10202010</v>
      </c>
      <c r="P110" s="5">
        <v>0</v>
      </c>
      <c r="Q110" s="5">
        <v>3</v>
      </c>
      <c r="R110" s="5">
        <v>16</v>
      </c>
      <c r="S110" s="5">
        <v>0</v>
      </c>
      <c r="T110" s="5">
        <v>100</v>
      </c>
      <c r="U110" s="5" t="s">
        <v>364</v>
      </c>
      <c r="V110" s="5">
        <v>650</v>
      </c>
      <c r="W110" s="5">
        <v>0</v>
      </c>
      <c r="X110" s="5" t="s">
        <v>401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 t="s">
        <v>381</v>
      </c>
      <c r="AZ110" s="5">
        <v>11200</v>
      </c>
      <c r="BA110" s="5" t="inlineStr">
        <is>
          <t xml:space="preserve">技能效果_调用技能</t>
        </is>
      </c>
      <c r="BB110" s="5" t="inlineStr">
        <is>
          <t xml:space="preserve">敌对</t>
        </is>
      </c>
      <c r="BC110" s="5">
        <v>10000</v>
      </c>
      <c r="BD110" s="5">
        <v>0</v>
      </c>
      <c r="BE110" s="5" t="inlineStr">
        <is>
          <t xml:space="preserve">全部</t>
        </is>
      </c>
      <c r="BF110" s="5">
        <v>0</v>
      </c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>
        <v>10420004</v>
      </c>
      <c r="CX110"/>
      <c r="CY110"/>
      <c r="CZ110" s="5" t="inlineStr">
        <is>
          <t xml:space="preserve">技能效果_调用技能</t>
        </is>
      </c>
      <c r="DA110" s="5" t="inlineStr">
        <is>
          <t xml:space="preserve">敌对</t>
        </is>
      </c>
      <c r="DB110" s="5">
        <v>10000</v>
      </c>
      <c r="DC110" s="5">
        <v>2000</v>
      </c>
      <c r="DD110" s="5" t="inlineStr">
        <is>
          <t xml:space="preserve">全部</t>
        </is>
      </c>
      <c r="DE110" s="5">
        <v>0</v>
      </c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>
        <v>10420004</v>
      </c>
      <c r="EW110"/>
      <c r="EX110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/>
      <c r="GW110"/>
      <c r="GX110" s="5">
        <v>200</v>
      </c>
      <c r="GY110" s="5">
        <v>400</v>
      </c>
      <c r="GZ110" s="5" t="s">
        <v>383</v>
      </c>
      <c r="HA110" s="5">
        <v>0</v>
      </c>
      <c r="HB110" s="5">
        <v>30014</v>
      </c>
      <c r="HC110" s="5" t="s">
        <v>366</v>
      </c>
      <c r="HD110" s="5" t="b">
        <v>1</v>
      </c>
      <c r="HE110" s="5">
        <v>5000</v>
      </c>
      <c r="HF110" s="5" t="b">
        <v>0</v>
      </c>
      <c r="HG110" s="5">
        <v>0</v>
      </c>
      <c r="HH110" s="5">
        <v>0</v>
      </c>
      <c r="HI110" s="5">
        <v>0</v>
      </c>
      <c r="HJ110" s="5">
        <v>0</v>
      </c>
      <c r="HK110" s="5" t="b">
        <v>0</v>
      </c>
      <c r="HL110" s="5">
        <v>0</v>
      </c>
      <c r="HM110" s="5">
        <v>10001</v>
      </c>
      <c r="HN110" s="5" t="s">
        <v>367</v>
      </c>
      <c r="HO110" s="5" t="s">
        <v>360</v>
      </c>
      <c r="HP110" s="5">
        <v>0</v>
      </c>
      <c r="HQ110" s="5">
        <v>0</v>
      </c>
      <c r="HR110" s="5">
        <v>0</v>
      </c>
      <c r="HS110" s="5">
        <v>0</v>
      </c>
      <c r="HT110" s="5" t="b">
        <v>0</v>
      </c>
    </row>
    <row r="111" spans="1:228">
      <c r="A111"/>
      <c r="B111" s="1">
        <f>10000000+INDEX(编号表!$B$1:$B$112,MATCH(D111,编号表!$A$1:$A$112,0))*10000+I111</f>
        <v>10110005</v>
      </c>
      <c r="C111" s="5" t="s">
        <v>399</v>
      </c>
      <c r="D111" s="5" t="s">
        <v>399</v>
      </c>
      <c r="E111" s="5" t="s">
        <v>348</v>
      </c>
      <c r="F111" s="5" t="s">
        <v>391</v>
      </c>
      <c r="G111" s="5" t="b">
        <v>0</v>
      </c>
      <c r="H111" s="5" t="b">
        <v>0</v>
      </c>
      <c r="I111" s="5">
        <v>5</v>
      </c>
      <c r="J111" s="5">
        <v>101100</v>
      </c>
      <c r="K111" s="5" t="s">
        <v>350</v>
      </c>
      <c r="L111" s="5">
        <v>10110004</v>
      </c>
      <c r="M111" s="5">
        <v>10110006</v>
      </c>
      <c r="N111" s="5" t="s">
        <v>400</v>
      </c>
      <c r="O111" s="5">
        <v>10202010</v>
      </c>
      <c r="P111" s="5">
        <v>0</v>
      </c>
      <c r="Q111" s="5">
        <v>3</v>
      </c>
      <c r="R111" s="5">
        <v>25</v>
      </c>
      <c r="S111" s="5">
        <v>0</v>
      </c>
      <c r="T111" s="5">
        <v>100</v>
      </c>
      <c r="U111" s="5" t="s">
        <v>364</v>
      </c>
      <c r="V111" s="5">
        <v>650</v>
      </c>
      <c r="W111" s="5">
        <v>0</v>
      </c>
      <c r="X111" s="5" t="s">
        <v>401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 t="s">
        <v>381</v>
      </c>
      <c r="AZ111" s="5">
        <v>11300</v>
      </c>
      <c r="BA111" s="5" t="inlineStr">
        <is>
          <t xml:space="preserve">技能效果_调用技能</t>
        </is>
      </c>
      <c r="BB111" s="5" t="inlineStr">
        <is>
          <t xml:space="preserve">敌对</t>
        </is>
      </c>
      <c r="BC111" s="5">
        <v>10000</v>
      </c>
      <c r="BD111" s="5">
        <v>0</v>
      </c>
      <c r="BE111" s="5" t="inlineStr">
        <is>
          <t xml:space="preserve">全部</t>
        </is>
      </c>
      <c r="BF111" s="5">
        <v>0</v>
      </c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>
        <v>10420005</v>
      </c>
      <c r="CX111"/>
      <c r="CY111"/>
      <c r="CZ111" s="5" t="inlineStr">
        <is>
          <t xml:space="preserve">技能效果_调用技能</t>
        </is>
      </c>
      <c r="DA111" s="5" t="inlineStr">
        <is>
          <t xml:space="preserve">敌对</t>
        </is>
      </c>
      <c r="DB111" s="5">
        <v>10000</v>
      </c>
      <c r="DC111" s="5">
        <v>2000</v>
      </c>
      <c r="DD111" s="5" t="inlineStr">
        <is>
          <t xml:space="preserve">全部</t>
        </is>
      </c>
      <c r="DE111" s="5">
        <v>0</v>
      </c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>
        <v>10420005</v>
      </c>
      <c r="EW111"/>
      <c r="EX111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/>
      <c r="GW111"/>
      <c r="GX111" s="5">
        <v>200</v>
      </c>
      <c r="GY111" s="5">
        <v>400</v>
      </c>
      <c r="GZ111" s="5" t="s">
        <v>383</v>
      </c>
      <c r="HA111" s="5">
        <v>0</v>
      </c>
      <c r="HB111" s="5">
        <v>30014</v>
      </c>
      <c r="HC111" s="5" t="s">
        <v>366</v>
      </c>
      <c r="HD111" s="5" t="b">
        <v>1</v>
      </c>
      <c r="HE111" s="5">
        <v>5000</v>
      </c>
      <c r="HF111" s="5" t="b">
        <v>0</v>
      </c>
      <c r="HG111" s="5">
        <v>0</v>
      </c>
      <c r="HH111" s="5">
        <v>0</v>
      </c>
      <c r="HI111" s="5">
        <v>0</v>
      </c>
      <c r="HJ111" s="5">
        <v>0</v>
      </c>
      <c r="HK111" s="5" t="b">
        <v>0</v>
      </c>
      <c r="HL111" s="5">
        <v>0</v>
      </c>
      <c r="HM111" s="5">
        <v>10001</v>
      </c>
      <c r="HN111" s="5" t="s">
        <v>367</v>
      </c>
      <c r="HO111" s="5" t="s">
        <v>360</v>
      </c>
      <c r="HP111" s="5">
        <v>0</v>
      </c>
      <c r="HQ111" s="5">
        <v>0</v>
      </c>
      <c r="HR111" s="5">
        <v>0</v>
      </c>
      <c r="HS111" s="5">
        <v>0</v>
      </c>
      <c r="HT111" s="5" t="b">
        <v>0</v>
      </c>
    </row>
    <row r="112" spans="1:228">
      <c r="A112"/>
      <c r="B112" s="1">
        <f>10000000+INDEX(编号表!$B$1:$B$112,MATCH(D112,编号表!$A$1:$A$112,0))*10000+I112</f>
        <v>10110006</v>
      </c>
      <c r="C112" s="5" t="s">
        <v>399</v>
      </c>
      <c r="D112" s="5" t="s">
        <v>399</v>
      </c>
      <c r="E112" s="5" t="s">
        <v>348</v>
      </c>
      <c r="F112" s="5" t="s">
        <v>391</v>
      </c>
      <c r="G112" s="5" t="b">
        <v>0</v>
      </c>
      <c r="H112" s="5" t="b">
        <v>0</v>
      </c>
      <c r="I112" s="5">
        <v>6</v>
      </c>
      <c r="J112" s="5">
        <v>101100</v>
      </c>
      <c r="K112" s="5" t="s">
        <v>350</v>
      </c>
      <c r="L112" s="5">
        <v>10110005</v>
      </c>
      <c r="M112" s="5">
        <v>10110007</v>
      </c>
      <c r="N112" s="5" t="s">
        <v>400</v>
      </c>
      <c r="O112" s="5">
        <v>10202010</v>
      </c>
      <c r="P112" s="5">
        <v>0</v>
      </c>
      <c r="Q112" s="5">
        <v>3</v>
      </c>
      <c r="R112" s="5">
        <v>30</v>
      </c>
      <c r="S112" s="5">
        <v>0</v>
      </c>
      <c r="T112" s="5">
        <v>100</v>
      </c>
      <c r="U112" s="5" t="s">
        <v>364</v>
      </c>
      <c r="V112" s="5">
        <v>650</v>
      </c>
      <c r="W112" s="5">
        <v>0</v>
      </c>
      <c r="X112" s="5" t="s">
        <v>401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 t="s">
        <v>381</v>
      </c>
      <c r="AZ112" s="5">
        <v>11600</v>
      </c>
      <c r="BA112" s="5" t="inlineStr">
        <is>
          <t xml:space="preserve">技能效果_调用技能</t>
        </is>
      </c>
      <c r="BB112" s="5" t="inlineStr">
        <is>
          <t xml:space="preserve">敌对</t>
        </is>
      </c>
      <c r="BC112" s="5">
        <v>10000</v>
      </c>
      <c r="BD112" s="5">
        <v>0</v>
      </c>
      <c r="BE112" s="5" t="inlineStr">
        <is>
          <t xml:space="preserve">全部</t>
        </is>
      </c>
      <c r="BF112" s="5">
        <v>0</v>
      </c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>
        <v>10420006</v>
      </c>
      <c r="CX112"/>
      <c r="CY112"/>
      <c r="CZ112" s="5" t="inlineStr">
        <is>
          <t xml:space="preserve">技能效果_调用技能</t>
        </is>
      </c>
      <c r="DA112" s="5" t="inlineStr">
        <is>
          <t xml:space="preserve">敌对</t>
        </is>
      </c>
      <c r="DB112" s="5">
        <v>10000</v>
      </c>
      <c r="DC112" s="5">
        <v>2000</v>
      </c>
      <c r="DD112" s="5" t="inlineStr">
        <is>
          <t xml:space="preserve">全部</t>
        </is>
      </c>
      <c r="DE112" s="5">
        <v>0</v>
      </c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>
        <v>10420006</v>
      </c>
      <c r="EW112"/>
      <c r="EX112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/>
      <c r="GW112"/>
      <c r="GX112" s="5">
        <v>200</v>
      </c>
      <c r="GY112" s="5">
        <v>400</v>
      </c>
      <c r="GZ112" s="5" t="s">
        <v>383</v>
      </c>
      <c r="HA112" s="5">
        <v>0</v>
      </c>
      <c r="HB112" s="5">
        <v>30014</v>
      </c>
      <c r="HC112" s="5" t="s">
        <v>366</v>
      </c>
      <c r="HD112" s="5" t="b">
        <v>1</v>
      </c>
      <c r="HE112" s="5">
        <v>5000</v>
      </c>
      <c r="HF112" s="5" t="b">
        <v>0</v>
      </c>
      <c r="HG112" s="5">
        <v>0</v>
      </c>
      <c r="HH112" s="5">
        <v>0</v>
      </c>
      <c r="HI112" s="5">
        <v>0</v>
      </c>
      <c r="HJ112" s="5">
        <v>0</v>
      </c>
      <c r="HK112" s="5" t="b">
        <v>0</v>
      </c>
      <c r="HL112" s="5">
        <v>0</v>
      </c>
      <c r="HM112" s="5">
        <v>10001</v>
      </c>
      <c r="HN112" s="5" t="s">
        <v>367</v>
      </c>
      <c r="HO112" s="5" t="s">
        <v>360</v>
      </c>
      <c r="HP112" s="5">
        <v>0</v>
      </c>
      <c r="HQ112" s="5">
        <v>0</v>
      </c>
      <c r="HR112" s="5">
        <v>0</v>
      </c>
      <c r="HS112" s="5">
        <v>0</v>
      </c>
      <c r="HT112" s="5" t="b">
        <v>0</v>
      </c>
    </row>
    <row r="113" spans="1:228">
      <c r="A113"/>
      <c r="B113" s="1">
        <f>10000000+INDEX(编号表!$B$1:$B$112,MATCH(D113,编号表!$A$1:$A$112,0))*10000+I113</f>
        <v>10110007</v>
      </c>
      <c r="C113" s="5" t="s">
        <v>399</v>
      </c>
      <c r="D113" s="5" t="s">
        <v>399</v>
      </c>
      <c r="E113" s="5" t="s">
        <v>348</v>
      </c>
      <c r="F113" s="5" t="s">
        <v>391</v>
      </c>
      <c r="G113" s="5" t="b">
        <v>0</v>
      </c>
      <c r="H113" s="5" t="b">
        <v>0</v>
      </c>
      <c r="I113" s="5">
        <v>7</v>
      </c>
      <c r="J113" s="5">
        <v>101100</v>
      </c>
      <c r="K113" s="5" t="s">
        <v>350</v>
      </c>
      <c r="L113" s="5">
        <v>10110006</v>
      </c>
      <c r="M113" s="5">
        <v>10110008</v>
      </c>
      <c r="N113" s="5" t="s">
        <v>400</v>
      </c>
      <c r="O113" s="5">
        <v>10202010</v>
      </c>
      <c r="P113" s="5">
        <v>0</v>
      </c>
      <c r="Q113" s="5">
        <v>3</v>
      </c>
      <c r="R113" s="5">
        <v>35</v>
      </c>
      <c r="S113" s="5">
        <v>0</v>
      </c>
      <c r="T113" s="5">
        <v>100</v>
      </c>
      <c r="U113" s="5" t="s">
        <v>364</v>
      </c>
      <c r="V113" s="5">
        <v>650</v>
      </c>
      <c r="W113" s="5">
        <v>0</v>
      </c>
      <c r="X113" s="5" t="s">
        <v>401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 t="s">
        <v>381</v>
      </c>
      <c r="AZ113" s="5">
        <v>11700</v>
      </c>
      <c r="BA113" s="5" t="inlineStr">
        <is>
          <t xml:space="preserve">技能效果_调用技能</t>
        </is>
      </c>
      <c r="BB113" s="5" t="inlineStr">
        <is>
          <t xml:space="preserve">敌对</t>
        </is>
      </c>
      <c r="BC113" s="5">
        <v>10000</v>
      </c>
      <c r="BD113" s="5">
        <v>0</v>
      </c>
      <c r="BE113" s="5" t="inlineStr">
        <is>
          <t xml:space="preserve">全部</t>
        </is>
      </c>
      <c r="BF113" s="5">
        <v>0</v>
      </c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>
        <v>10420007</v>
      </c>
      <c r="CX113"/>
      <c r="CY113"/>
      <c r="CZ113" s="5" t="inlineStr">
        <is>
          <t xml:space="preserve">技能效果_调用技能</t>
        </is>
      </c>
      <c r="DA113" s="5" t="inlineStr">
        <is>
          <t xml:space="preserve">敌对</t>
        </is>
      </c>
      <c r="DB113" s="5">
        <v>10000</v>
      </c>
      <c r="DC113" s="5">
        <v>2000</v>
      </c>
      <c r="DD113" s="5" t="inlineStr">
        <is>
          <t xml:space="preserve">全部</t>
        </is>
      </c>
      <c r="DE113" s="5">
        <v>0</v>
      </c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>
        <v>10420007</v>
      </c>
      <c r="EW113"/>
      <c r="EX113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/>
      <c r="GW113"/>
      <c r="GX113" s="5">
        <v>200</v>
      </c>
      <c r="GY113" s="5">
        <v>400</v>
      </c>
      <c r="GZ113" s="5" t="s">
        <v>383</v>
      </c>
      <c r="HA113" s="5">
        <v>0</v>
      </c>
      <c r="HB113" s="5">
        <v>30014</v>
      </c>
      <c r="HC113" s="5" t="s">
        <v>366</v>
      </c>
      <c r="HD113" s="5" t="b">
        <v>1</v>
      </c>
      <c r="HE113" s="5">
        <v>5000</v>
      </c>
      <c r="HF113" s="5" t="b">
        <v>0</v>
      </c>
      <c r="HG113" s="5">
        <v>0</v>
      </c>
      <c r="HH113" s="5">
        <v>0</v>
      </c>
      <c r="HI113" s="5">
        <v>0</v>
      </c>
      <c r="HJ113" s="5">
        <v>0</v>
      </c>
      <c r="HK113" s="5" t="b">
        <v>0</v>
      </c>
      <c r="HL113" s="5">
        <v>0</v>
      </c>
      <c r="HM113" s="5">
        <v>10001</v>
      </c>
      <c r="HN113" s="5" t="s">
        <v>367</v>
      </c>
      <c r="HO113" s="5" t="s">
        <v>360</v>
      </c>
      <c r="HP113" s="5">
        <v>0</v>
      </c>
      <c r="HQ113" s="5">
        <v>0</v>
      </c>
      <c r="HR113" s="5">
        <v>0</v>
      </c>
      <c r="HS113" s="5">
        <v>0</v>
      </c>
      <c r="HT113" s="5" t="b">
        <v>0</v>
      </c>
    </row>
    <row r="114" spans="1:228">
      <c r="A114"/>
      <c r="B114" s="1">
        <f>10000000+INDEX(编号表!$B$1:$B$112,MATCH(D114,编号表!$A$1:$A$112,0))*10000+I114</f>
        <v>10110008</v>
      </c>
      <c r="C114" s="5" t="s">
        <v>399</v>
      </c>
      <c r="D114" s="5" t="s">
        <v>399</v>
      </c>
      <c r="E114" s="5" t="s">
        <v>348</v>
      </c>
      <c r="F114" s="5" t="s">
        <v>391</v>
      </c>
      <c r="G114" s="5" t="b">
        <v>0</v>
      </c>
      <c r="H114" s="5" t="b">
        <v>0</v>
      </c>
      <c r="I114" s="5">
        <v>8</v>
      </c>
      <c r="J114" s="5">
        <v>101100</v>
      </c>
      <c r="K114" s="5" t="s">
        <v>350</v>
      </c>
      <c r="L114" s="5">
        <v>10110007</v>
      </c>
      <c r="M114" s="5">
        <v>10110009</v>
      </c>
      <c r="N114" s="5" t="s">
        <v>400</v>
      </c>
      <c r="O114" s="5">
        <v>10202010</v>
      </c>
      <c r="P114" s="5">
        <v>0</v>
      </c>
      <c r="Q114" s="5">
        <v>3</v>
      </c>
      <c r="R114" s="5">
        <v>35</v>
      </c>
      <c r="S114" s="5">
        <v>0</v>
      </c>
      <c r="T114" s="5">
        <v>100</v>
      </c>
      <c r="U114" s="5" t="s">
        <v>364</v>
      </c>
      <c r="V114" s="5">
        <v>650</v>
      </c>
      <c r="W114" s="5">
        <v>0</v>
      </c>
      <c r="X114" s="5" t="s">
        <v>401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 t="s">
        <v>381</v>
      </c>
      <c r="AZ114" s="5">
        <v>11800</v>
      </c>
      <c r="BA114" s="5" t="inlineStr">
        <is>
          <t xml:space="preserve">技能效果_调用技能</t>
        </is>
      </c>
      <c r="BB114" s="5" t="inlineStr">
        <is>
          <t xml:space="preserve">敌对</t>
        </is>
      </c>
      <c r="BC114" s="5">
        <v>10000</v>
      </c>
      <c r="BD114" s="5">
        <v>0</v>
      </c>
      <c r="BE114" s="5" t="inlineStr">
        <is>
          <t xml:space="preserve">全部</t>
        </is>
      </c>
      <c r="BF114" s="5">
        <v>0</v>
      </c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>
        <v>10420008</v>
      </c>
      <c r="CX114"/>
      <c r="CY114"/>
      <c r="CZ114" s="5" t="inlineStr">
        <is>
          <t xml:space="preserve">技能效果_调用技能</t>
        </is>
      </c>
      <c r="DA114" s="5" t="inlineStr">
        <is>
          <t xml:space="preserve">敌对</t>
        </is>
      </c>
      <c r="DB114" s="5">
        <v>10000</v>
      </c>
      <c r="DC114" s="5">
        <v>2000</v>
      </c>
      <c r="DD114" s="5" t="inlineStr">
        <is>
          <t xml:space="preserve">全部</t>
        </is>
      </c>
      <c r="DE114" s="5">
        <v>0</v>
      </c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>
        <v>10420008</v>
      </c>
      <c r="EW114"/>
      <c r="EX114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/>
      <c r="GW114"/>
      <c r="GX114" s="5">
        <v>200</v>
      </c>
      <c r="GY114" s="5">
        <v>400</v>
      </c>
      <c r="GZ114" s="5" t="s">
        <v>383</v>
      </c>
      <c r="HA114" s="5">
        <v>0</v>
      </c>
      <c r="HB114" s="5">
        <v>30014</v>
      </c>
      <c r="HC114" s="5" t="s">
        <v>366</v>
      </c>
      <c r="HD114" s="5" t="b">
        <v>1</v>
      </c>
      <c r="HE114" s="5">
        <v>5000</v>
      </c>
      <c r="HF114" s="5" t="b">
        <v>0</v>
      </c>
      <c r="HG114" s="5">
        <v>0</v>
      </c>
      <c r="HH114" s="5">
        <v>0</v>
      </c>
      <c r="HI114" s="5">
        <v>0</v>
      </c>
      <c r="HJ114" s="5">
        <v>0</v>
      </c>
      <c r="HK114" s="5" t="b">
        <v>0</v>
      </c>
      <c r="HL114" s="5">
        <v>0</v>
      </c>
      <c r="HM114" s="5">
        <v>10001</v>
      </c>
      <c r="HN114" s="5" t="s">
        <v>367</v>
      </c>
      <c r="HO114" s="5" t="s">
        <v>360</v>
      </c>
      <c r="HP114" s="5">
        <v>0</v>
      </c>
      <c r="HQ114" s="5">
        <v>0</v>
      </c>
      <c r="HR114" s="5">
        <v>0</v>
      </c>
      <c r="HS114" s="5">
        <v>0</v>
      </c>
      <c r="HT114" s="5" t="b">
        <v>0</v>
      </c>
    </row>
    <row r="115" spans="1:228">
      <c r="A115"/>
      <c r="B115" s="1">
        <f>10000000+INDEX(编号表!$B$1:$B$112,MATCH(D115,编号表!$A$1:$A$112,0))*10000+I115</f>
        <v>10110009</v>
      </c>
      <c r="C115" s="5" t="s">
        <v>399</v>
      </c>
      <c r="D115" s="5" t="s">
        <v>399</v>
      </c>
      <c r="E115" s="5" t="s">
        <v>348</v>
      </c>
      <c r="F115" s="5" t="s">
        <v>391</v>
      </c>
      <c r="G115" s="5" t="b">
        <v>0</v>
      </c>
      <c r="H115" s="5" t="b">
        <v>0</v>
      </c>
      <c r="I115" s="5">
        <v>9</v>
      </c>
      <c r="J115" s="5">
        <v>101100</v>
      </c>
      <c r="K115" s="5" t="s">
        <v>350</v>
      </c>
      <c r="L115" s="5">
        <v>10110008</v>
      </c>
      <c r="M115" s="5">
        <v>10110010</v>
      </c>
      <c r="N115" s="5" t="s">
        <v>400</v>
      </c>
      <c r="O115" s="5">
        <v>10202010</v>
      </c>
      <c r="P115" s="5">
        <v>0</v>
      </c>
      <c r="Q115" s="5">
        <v>3</v>
      </c>
      <c r="R115" s="5">
        <v>40</v>
      </c>
      <c r="S115" s="5">
        <v>0</v>
      </c>
      <c r="T115" s="5">
        <v>100</v>
      </c>
      <c r="U115" s="5" t="s">
        <v>364</v>
      </c>
      <c r="V115" s="5">
        <v>650</v>
      </c>
      <c r="W115" s="5">
        <v>0</v>
      </c>
      <c r="X115" s="5" t="s">
        <v>401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 t="s">
        <v>381</v>
      </c>
      <c r="AZ115" s="5">
        <v>11900</v>
      </c>
      <c r="BA115" s="5" t="inlineStr">
        <is>
          <t xml:space="preserve">技能效果_调用技能</t>
        </is>
      </c>
      <c r="BB115" s="5" t="inlineStr">
        <is>
          <t xml:space="preserve">敌对</t>
        </is>
      </c>
      <c r="BC115" s="5">
        <v>10000</v>
      </c>
      <c r="BD115" s="5">
        <v>0</v>
      </c>
      <c r="BE115" s="5" t="inlineStr">
        <is>
          <t xml:space="preserve">全部</t>
        </is>
      </c>
      <c r="BF115" s="5">
        <v>0</v>
      </c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>
        <v>10420009</v>
      </c>
      <c r="CX115"/>
      <c r="CY115"/>
      <c r="CZ115" s="5" t="inlineStr">
        <is>
          <t xml:space="preserve">技能效果_调用技能</t>
        </is>
      </c>
      <c r="DA115" s="5" t="inlineStr">
        <is>
          <t xml:space="preserve">敌对</t>
        </is>
      </c>
      <c r="DB115" s="5">
        <v>10000</v>
      </c>
      <c r="DC115" s="5">
        <v>2000</v>
      </c>
      <c r="DD115" s="5" t="inlineStr">
        <is>
          <t xml:space="preserve">全部</t>
        </is>
      </c>
      <c r="DE115" s="5">
        <v>0</v>
      </c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>
        <v>10420009</v>
      </c>
      <c r="EW115"/>
      <c r="EX11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/>
      <c r="GW115"/>
      <c r="GX115" s="5">
        <v>200</v>
      </c>
      <c r="GY115" s="5">
        <v>400</v>
      </c>
      <c r="GZ115" s="5" t="s">
        <v>383</v>
      </c>
      <c r="HA115" s="5">
        <v>0</v>
      </c>
      <c r="HB115" s="5">
        <v>30014</v>
      </c>
      <c r="HC115" s="5" t="s">
        <v>366</v>
      </c>
      <c r="HD115" s="5" t="b">
        <v>1</v>
      </c>
      <c r="HE115" s="5">
        <v>5000</v>
      </c>
      <c r="HF115" s="5" t="b">
        <v>0</v>
      </c>
      <c r="HG115" s="5">
        <v>0</v>
      </c>
      <c r="HH115" s="5">
        <v>0</v>
      </c>
      <c r="HI115" s="5">
        <v>0</v>
      </c>
      <c r="HJ115" s="5">
        <v>0</v>
      </c>
      <c r="HK115" s="5" t="b">
        <v>0</v>
      </c>
      <c r="HL115" s="5">
        <v>0</v>
      </c>
      <c r="HM115" s="5">
        <v>10001</v>
      </c>
      <c r="HN115" s="5" t="s">
        <v>367</v>
      </c>
      <c r="HO115" s="5" t="s">
        <v>360</v>
      </c>
      <c r="HP115" s="5">
        <v>0</v>
      </c>
      <c r="HQ115" s="5">
        <v>0</v>
      </c>
      <c r="HR115" s="5">
        <v>0</v>
      </c>
      <c r="HS115" s="5">
        <v>0</v>
      </c>
      <c r="HT115" s="5" t="b">
        <v>0</v>
      </c>
    </row>
    <row r="116" spans="1:228">
      <c r="A116"/>
      <c r="B116" s="1">
        <f>10000000+INDEX(编号表!$B$1:$B$112,MATCH(D116,编号表!$A$1:$A$112,0))*10000+I116</f>
        <v>10110010</v>
      </c>
      <c r="C116" s="5" t="s">
        <v>399</v>
      </c>
      <c r="D116" s="5" t="s">
        <v>399</v>
      </c>
      <c r="E116" s="5" t="s">
        <v>348</v>
      </c>
      <c r="F116" s="5" t="s">
        <v>391</v>
      </c>
      <c r="G116" s="5" t="b">
        <v>0</v>
      </c>
      <c r="H116" s="5" t="b">
        <v>0</v>
      </c>
      <c r="I116" s="5">
        <v>10</v>
      </c>
      <c r="J116" s="5">
        <v>101100</v>
      </c>
      <c r="K116" s="5" t="s">
        <v>350</v>
      </c>
      <c r="L116" s="5">
        <v>10110009</v>
      </c>
      <c r="M116" s="5">
        <v>0</v>
      </c>
      <c r="N116" s="5" t="s">
        <v>400</v>
      </c>
      <c r="O116" s="5">
        <v>10202010</v>
      </c>
      <c r="P116" s="5">
        <v>0</v>
      </c>
      <c r="Q116" s="5">
        <v>3</v>
      </c>
      <c r="R116" s="5">
        <v>40</v>
      </c>
      <c r="S116" s="5">
        <v>0</v>
      </c>
      <c r="T116" s="5">
        <v>0</v>
      </c>
      <c r="U116" s="5" t="s">
        <v>364</v>
      </c>
      <c r="V116" s="5">
        <v>650</v>
      </c>
      <c r="W116" s="5">
        <v>0</v>
      </c>
      <c r="X116" s="5" t="s">
        <v>401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 t="s">
        <v>381</v>
      </c>
      <c r="AZ116" s="5">
        <v>12000</v>
      </c>
      <c r="BA116" s="5" t="inlineStr">
        <is>
          <t xml:space="preserve">技能效果_调用技能</t>
        </is>
      </c>
      <c r="BB116" s="5" t="inlineStr">
        <is>
          <t xml:space="preserve">敌对</t>
        </is>
      </c>
      <c r="BC116" s="5">
        <v>10000</v>
      </c>
      <c r="BD116" s="5">
        <v>0</v>
      </c>
      <c r="BE116" s="5" t="inlineStr">
        <is>
          <t xml:space="preserve">全部</t>
        </is>
      </c>
      <c r="BF116" s="5">
        <v>0</v>
      </c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>
        <v>10420010</v>
      </c>
      <c r="CX116"/>
      <c r="CY116"/>
      <c r="CZ116" s="5" t="inlineStr">
        <is>
          <t xml:space="preserve">技能效果_调用技能</t>
        </is>
      </c>
      <c r="DA116" s="5" t="inlineStr">
        <is>
          <t xml:space="preserve">敌对</t>
        </is>
      </c>
      <c r="DB116" s="5">
        <v>10000</v>
      </c>
      <c r="DC116" s="5">
        <v>2000</v>
      </c>
      <c r="DD116" s="5" t="inlineStr">
        <is>
          <t xml:space="preserve">全部</t>
        </is>
      </c>
      <c r="DE116" s="5">
        <v>0</v>
      </c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>
        <v>10420010</v>
      </c>
      <c r="EW116"/>
      <c r="EX116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/>
      <c r="GW116"/>
      <c r="GX116" s="5">
        <v>200</v>
      </c>
      <c r="GY116" s="5">
        <v>400</v>
      </c>
      <c r="GZ116" s="5" t="s">
        <v>383</v>
      </c>
      <c r="HA116" s="5">
        <v>0</v>
      </c>
      <c r="HB116" s="5">
        <v>30014</v>
      </c>
      <c r="HC116" s="5" t="s">
        <v>366</v>
      </c>
      <c r="HD116" s="5" t="b">
        <v>1</v>
      </c>
      <c r="HE116" s="5">
        <v>5000</v>
      </c>
      <c r="HF116" s="5" t="b">
        <v>0</v>
      </c>
      <c r="HG116" s="5">
        <v>0</v>
      </c>
      <c r="HH116" s="5">
        <v>0</v>
      </c>
      <c r="HI116" s="5">
        <v>0</v>
      </c>
      <c r="HJ116" s="5">
        <v>0</v>
      </c>
      <c r="HK116" s="5" t="b">
        <v>0</v>
      </c>
      <c r="HL116" s="5">
        <v>0</v>
      </c>
      <c r="HM116" s="5">
        <v>10001</v>
      </c>
      <c r="HN116" s="5" t="s">
        <v>367</v>
      </c>
      <c r="HO116" s="5" t="s">
        <v>360</v>
      </c>
      <c r="HP116" s="5">
        <v>0</v>
      </c>
      <c r="HQ116" s="5">
        <v>0</v>
      </c>
      <c r="HR116" s="5">
        <v>0</v>
      </c>
      <c r="HS116" s="5">
        <v>0</v>
      </c>
      <c r="HT116" s="5" t="b">
        <v>0</v>
      </c>
    </row>
    <row r="117" spans="1:228">
      <c r="A117"/>
      <c r="B117" s="1">
        <f>10000000+INDEX(编号表!$B$1:$B$112,MATCH(D117,编号表!$A$1:$A$112,0))*10000+I117</f>
        <v>10120001</v>
      </c>
      <c r="C117" s="5" t="s">
        <v>402</v>
      </c>
      <c r="D117" s="5" t="s">
        <v>402</v>
      </c>
      <c r="E117" s="5" t="s">
        <v>348</v>
      </c>
      <c r="F117" s="5" t="s">
        <v>349</v>
      </c>
      <c r="G117" s="5" t="b">
        <v>0</v>
      </c>
      <c r="H117" s="5" t="b">
        <v>0</v>
      </c>
      <c r="I117" s="5">
        <v>1</v>
      </c>
      <c r="J117" s="5">
        <v>101200</v>
      </c>
      <c r="K117" s="5" t="s">
        <v>350</v>
      </c>
      <c r="L117" s="5">
        <v>0</v>
      </c>
      <c r="M117" s="5">
        <v>10120002</v>
      </c>
      <c r="N117" s="5" t="s">
        <v>403</v>
      </c>
      <c r="O117" s="5">
        <v>10202011</v>
      </c>
      <c r="P117" s="5">
        <v>0</v>
      </c>
      <c r="Q117" s="5">
        <v>0</v>
      </c>
      <c r="R117" s="5">
        <v>1</v>
      </c>
      <c r="S117" s="5">
        <v>0</v>
      </c>
      <c r="T117" s="5">
        <v>100</v>
      </c>
      <c r="U117" s="5" t="s">
        <v>364</v>
      </c>
      <c r="V117" s="5">
        <v>850</v>
      </c>
      <c r="W117" s="5">
        <v>0</v>
      </c>
      <c r="X117" s="5" t="inlineStr">
        <is>
          <t xml:space="preserve">单位</t>
        </is>
      </c>
      <c r="Y117" s="5" t="inlineStr">
        <is>
          <t xml:space="preserve">单体</t>
        </is>
      </c>
      <c r="Z117" s="5" t="inlineStr">
        <is>
          <t xml:space="preserve">敌对</t>
        </is>
      </c>
      <c r="AA117" s="5">
        <v>0</v>
      </c>
      <c r="AB117" s="5">
        <v>1</v>
      </c>
      <c r="AC117" s="5" t="b">
        <v>0</v>
      </c>
      <c r="AD117" s="5" t="inlineStr">
        <is>
          <t xml:space="preserve">最近</t>
        </is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 t="s">
        <v>356</v>
      </c>
      <c r="AZ117" s="5">
        <v>10000</v>
      </c>
      <c r="BA117" s="5" t="s">
        <v>371</v>
      </c>
      <c r="BB117" s="5" t="s">
        <v>354</v>
      </c>
      <c r="BC117" s="5">
        <v>10000</v>
      </c>
      <c r="BD117" s="5">
        <v>0</v>
      </c>
      <c r="BE117" s="5" t="s">
        <v>358</v>
      </c>
      <c r="BF117" s="5">
        <v>0</v>
      </c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>
        <v>30032</v>
      </c>
      <c r="CG117" s="5" t="s">
        <v>372</v>
      </c>
      <c r="CH117" s="5">
        <v>1100</v>
      </c>
      <c r="CI117" s="5">
        <v>80</v>
      </c>
      <c r="CJ117" s="5" t="s">
        <v>373</v>
      </c>
      <c r="CK117" s="5">
        <v>1</v>
      </c>
      <c r="CL117" s="5">
        <v>0</v>
      </c>
      <c r="CM117" s="5">
        <v>1</v>
      </c>
      <c r="CN117" s="5">
        <v>900</v>
      </c>
      <c r="CO117" s="5">
        <v>70</v>
      </c>
      <c r="CP117" s="5">
        <v>0</v>
      </c>
      <c r="CQ117" s="5">
        <v>0</v>
      </c>
      <c r="CR117" s="5">
        <v>10300001</v>
      </c>
      <c r="CS117" s="5">
        <v>0</v>
      </c>
      <c r="CT117" s="5">
        <v>0</v>
      </c>
      <c r="CU117" s="5">
        <v>0</v>
      </c>
      <c r="CV117" s="5" t="s">
        <v>355</v>
      </c>
      <c r="CW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/>
      <c r="EX117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/>
      <c r="GW117"/>
      <c r="GX117" s="5">
        <v>200</v>
      </c>
      <c r="GY117" s="5">
        <v>400</v>
      </c>
      <c r="GZ117" s="5" t="inlineStr">
        <is>
          <t xml:space="preserve">Attack One</t>
        </is>
      </c>
      <c r="HA117" s="5">
        <v>0</v>
      </c>
      <c r="HB117" s="5" t="s">
        <v>366</v>
      </c>
      <c r="HC117" s="5" t="s">
        <v>366</v>
      </c>
      <c r="HD117" s="5" t="b">
        <v>1</v>
      </c>
      <c r="HE117" s="5">
        <v>2800</v>
      </c>
      <c r="HF117" s="5" t="b">
        <v>0</v>
      </c>
      <c r="HG117" s="5">
        <v>0</v>
      </c>
      <c r="HH117" s="5">
        <v>0</v>
      </c>
      <c r="HI117" s="5">
        <v>0</v>
      </c>
      <c r="HJ117" s="5">
        <v>0</v>
      </c>
      <c r="HK117" s="5" t="b">
        <v>0</v>
      </c>
      <c r="HL117" s="5">
        <v>0</v>
      </c>
      <c r="HM117" s="5">
        <v>10001</v>
      </c>
      <c r="HN117" s="5" t="s">
        <v>367</v>
      </c>
      <c r="HO117" s="5" t="s">
        <v>360</v>
      </c>
      <c r="HP117" s="5">
        <v>0</v>
      </c>
      <c r="HQ117" s="5">
        <v>0</v>
      </c>
      <c r="HR117" s="5">
        <v>0</v>
      </c>
      <c r="HS117" s="5">
        <v>0</v>
      </c>
      <c r="HT117" s="5" t="b">
        <v>0</v>
      </c>
    </row>
    <row r="118" spans="1:228">
      <c r="A118"/>
      <c r="B118" s="1">
        <f>10000000+INDEX(编号表!$B$1:$B$112,MATCH(D118,编号表!$A$1:$A$112,0))*10000+I118</f>
        <v>10120002</v>
      </c>
      <c r="C118" s="5" t="s">
        <v>402</v>
      </c>
      <c r="D118" s="5" t="s">
        <v>402</v>
      </c>
      <c r="E118" s="5" t="s">
        <v>348</v>
      </c>
      <c r="F118" s="5" t="s">
        <v>349</v>
      </c>
      <c r="G118" s="5" t="b">
        <v>0</v>
      </c>
      <c r="H118" s="5" t="b">
        <v>0</v>
      </c>
      <c r="I118" s="5">
        <v>2</v>
      </c>
      <c r="J118" s="5">
        <v>101200</v>
      </c>
      <c r="K118" s="5" t="s">
        <v>350</v>
      </c>
      <c r="L118" s="5">
        <v>10120001</v>
      </c>
      <c r="M118" s="5">
        <v>10120003</v>
      </c>
      <c r="N118" s="5" t="s">
        <v>403</v>
      </c>
      <c r="O118" s="5">
        <v>10202011</v>
      </c>
      <c r="P118" s="5">
        <v>0</v>
      </c>
      <c r="Q118" s="5">
        <v>1</v>
      </c>
      <c r="R118" s="5">
        <v>7</v>
      </c>
      <c r="S118" s="5">
        <v>0</v>
      </c>
      <c r="T118" s="5">
        <v>100</v>
      </c>
      <c r="U118" s="5" t="s">
        <v>364</v>
      </c>
      <c r="V118" s="5">
        <v>850</v>
      </c>
      <c r="W118" s="5">
        <v>0</v>
      </c>
      <c r="X118" s="5" t="inlineStr">
        <is>
          <t xml:space="preserve">单位</t>
        </is>
      </c>
      <c r="Y118" s="5" t="inlineStr">
        <is>
          <t xml:space="preserve">单体</t>
        </is>
      </c>
      <c r="Z118" s="5" t="inlineStr">
        <is>
          <t xml:space="preserve">敌对</t>
        </is>
      </c>
      <c r="AA118" s="5">
        <v>0</v>
      </c>
      <c r="AB118" s="5">
        <v>1</v>
      </c>
      <c r="AC118" s="5" t="b">
        <v>0</v>
      </c>
      <c r="AD118" s="5" t="inlineStr">
        <is>
          <t xml:space="preserve">最近</t>
        </is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 t="s">
        <v>356</v>
      </c>
      <c r="AZ118" s="5">
        <v>10400</v>
      </c>
      <c r="BA118" s="5" t="s">
        <v>371</v>
      </c>
      <c r="BB118" s="5" t="s">
        <v>354</v>
      </c>
      <c r="BC118" s="5">
        <v>10000</v>
      </c>
      <c r="BD118" s="5">
        <v>0</v>
      </c>
      <c r="BE118" s="5" t="s">
        <v>358</v>
      </c>
      <c r="BF118" s="5">
        <v>0</v>
      </c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>
        <v>30032</v>
      </c>
      <c r="CG118" s="5" t="s">
        <v>372</v>
      </c>
      <c r="CH118" s="5">
        <v>1100</v>
      </c>
      <c r="CI118" s="5">
        <v>80</v>
      </c>
      <c r="CJ118" s="5" t="s">
        <v>373</v>
      </c>
      <c r="CK118" s="5">
        <v>1</v>
      </c>
      <c r="CL118" s="5">
        <v>0</v>
      </c>
      <c r="CM118" s="5">
        <v>1</v>
      </c>
      <c r="CN118" s="5">
        <v>900</v>
      </c>
      <c r="CO118" s="5">
        <v>70</v>
      </c>
      <c r="CP118" s="5">
        <v>0</v>
      </c>
      <c r="CQ118" s="5">
        <v>0</v>
      </c>
      <c r="CR118" s="5">
        <v>10300002</v>
      </c>
      <c r="CS118" s="5">
        <v>0</v>
      </c>
      <c r="CT118" s="5">
        <v>0</v>
      </c>
      <c r="CU118" s="5">
        <v>0</v>
      </c>
      <c r="CV118" s="5" t="s">
        <v>355</v>
      </c>
      <c r="CW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/>
      <c r="EX118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/>
      <c r="GW118"/>
      <c r="GX118" s="5">
        <v>200</v>
      </c>
      <c r="GY118" s="5">
        <v>400</v>
      </c>
      <c r="GZ118" s="5" t="inlineStr">
        <is>
          <t xml:space="preserve">Attack One</t>
        </is>
      </c>
      <c r="HA118" s="5">
        <v>0</v>
      </c>
      <c r="HB118" s="5" t="s">
        <v>366</v>
      </c>
      <c r="HC118" s="5" t="s">
        <v>366</v>
      </c>
      <c r="HD118" s="5" t="b">
        <v>1</v>
      </c>
      <c r="HE118" s="5">
        <v>2800</v>
      </c>
      <c r="HF118" s="5" t="b">
        <v>0</v>
      </c>
      <c r="HG118" s="5">
        <v>0</v>
      </c>
      <c r="HH118" s="5">
        <v>0</v>
      </c>
      <c r="HI118" s="5">
        <v>0</v>
      </c>
      <c r="HJ118" s="5">
        <v>0</v>
      </c>
      <c r="HK118" s="5" t="b">
        <v>0</v>
      </c>
      <c r="HL118" s="5">
        <v>0</v>
      </c>
      <c r="HM118" s="5">
        <v>10001</v>
      </c>
      <c r="HN118" s="5" t="s">
        <v>367</v>
      </c>
      <c r="HO118" s="5" t="s">
        <v>360</v>
      </c>
      <c r="HP118" s="5">
        <v>0</v>
      </c>
      <c r="HQ118" s="5">
        <v>0</v>
      </c>
      <c r="HR118" s="5">
        <v>0</v>
      </c>
      <c r="HS118" s="5">
        <v>0</v>
      </c>
      <c r="HT118" s="5" t="b">
        <v>0</v>
      </c>
    </row>
    <row r="119" spans="1:228">
      <c r="A119"/>
      <c r="B119" s="1">
        <f>10000000+INDEX(编号表!$B$1:$B$112,MATCH(D119,编号表!$A$1:$A$112,0))*10000+I119</f>
        <v>10120003</v>
      </c>
      <c r="C119" s="5" t="s">
        <v>402</v>
      </c>
      <c r="D119" s="5" t="s">
        <v>402</v>
      </c>
      <c r="E119" s="5" t="s">
        <v>348</v>
      </c>
      <c r="F119" s="5" t="s">
        <v>349</v>
      </c>
      <c r="G119" s="5" t="b">
        <v>0</v>
      </c>
      <c r="H119" s="5" t="b">
        <v>0</v>
      </c>
      <c r="I119" s="5">
        <v>3</v>
      </c>
      <c r="J119" s="5">
        <v>101200</v>
      </c>
      <c r="K119" s="5" t="s">
        <v>350</v>
      </c>
      <c r="L119" s="5">
        <v>10120002</v>
      </c>
      <c r="M119" s="5">
        <v>10120004</v>
      </c>
      <c r="N119" s="5" t="s">
        <v>403</v>
      </c>
      <c r="O119" s="5">
        <v>10202011</v>
      </c>
      <c r="P119" s="5">
        <v>0</v>
      </c>
      <c r="Q119" s="5">
        <v>2</v>
      </c>
      <c r="R119" s="5">
        <v>11</v>
      </c>
      <c r="S119" s="5">
        <v>0</v>
      </c>
      <c r="T119" s="5">
        <v>100</v>
      </c>
      <c r="U119" s="5" t="s">
        <v>364</v>
      </c>
      <c r="V119" s="5">
        <v>850</v>
      </c>
      <c r="W119" s="5">
        <v>0</v>
      </c>
      <c r="X119" s="5" t="inlineStr">
        <is>
          <t xml:space="preserve">单位</t>
        </is>
      </c>
      <c r="Y119" s="5" t="inlineStr">
        <is>
          <t xml:space="preserve">单体</t>
        </is>
      </c>
      <c r="Z119" s="5" t="inlineStr">
        <is>
          <t xml:space="preserve">敌对</t>
        </is>
      </c>
      <c r="AA119" s="5">
        <v>0</v>
      </c>
      <c r="AB119" s="5">
        <v>1</v>
      </c>
      <c r="AC119" s="5" t="b">
        <v>0</v>
      </c>
      <c r="AD119" s="5" t="inlineStr">
        <is>
          <t xml:space="preserve">最近</t>
        </is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 t="s">
        <v>356</v>
      </c>
      <c r="AZ119" s="5">
        <v>10800</v>
      </c>
      <c r="BA119" s="5" t="s">
        <v>371</v>
      </c>
      <c r="BB119" s="5" t="s">
        <v>354</v>
      </c>
      <c r="BC119" s="5">
        <v>10000</v>
      </c>
      <c r="BD119" s="5">
        <v>0</v>
      </c>
      <c r="BE119" s="5" t="s">
        <v>358</v>
      </c>
      <c r="BF119" s="5">
        <v>0</v>
      </c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>
        <v>30032</v>
      </c>
      <c r="CG119" s="5" t="s">
        <v>372</v>
      </c>
      <c r="CH119" s="5">
        <v>1100</v>
      </c>
      <c r="CI119" s="5">
        <v>80</v>
      </c>
      <c r="CJ119" s="5" t="s">
        <v>373</v>
      </c>
      <c r="CK119" s="5">
        <v>1</v>
      </c>
      <c r="CL119" s="5">
        <v>0</v>
      </c>
      <c r="CM119" s="5">
        <v>1</v>
      </c>
      <c r="CN119" s="5">
        <v>900</v>
      </c>
      <c r="CO119" s="5">
        <v>70</v>
      </c>
      <c r="CP119" s="5">
        <v>0</v>
      </c>
      <c r="CQ119" s="5">
        <v>0</v>
      </c>
      <c r="CR119" s="5">
        <v>10300003</v>
      </c>
      <c r="CS119" s="5">
        <v>0</v>
      </c>
      <c r="CT119" s="5">
        <v>0</v>
      </c>
      <c r="CU119" s="5">
        <v>0</v>
      </c>
      <c r="CV119" s="5" t="s">
        <v>355</v>
      </c>
      <c r="CW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/>
      <c r="EX119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/>
      <c r="GW119"/>
      <c r="GX119" s="5">
        <v>200</v>
      </c>
      <c r="GY119" s="5">
        <v>400</v>
      </c>
      <c r="GZ119" s="5" t="inlineStr">
        <is>
          <t xml:space="preserve">Attack One</t>
        </is>
      </c>
      <c r="HA119" s="5">
        <v>0</v>
      </c>
      <c r="HB119" s="5" t="s">
        <v>366</v>
      </c>
      <c r="HC119" s="5" t="s">
        <v>366</v>
      </c>
      <c r="HD119" s="5" t="b">
        <v>1</v>
      </c>
      <c r="HE119" s="5">
        <v>2800</v>
      </c>
      <c r="HF119" s="5" t="b">
        <v>0</v>
      </c>
      <c r="HG119" s="5">
        <v>0</v>
      </c>
      <c r="HH119" s="5">
        <v>0</v>
      </c>
      <c r="HI119" s="5">
        <v>0</v>
      </c>
      <c r="HJ119" s="5">
        <v>0</v>
      </c>
      <c r="HK119" s="5" t="b">
        <v>0</v>
      </c>
      <c r="HL119" s="5">
        <v>0</v>
      </c>
      <c r="HM119" s="5">
        <v>10001</v>
      </c>
      <c r="HN119" s="5" t="s">
        <v>367</v>
      </c>
      <c r="HO119" s="5" t="s">
        <v>360</v>
      </c>
      <c r="HP119" s="5">
        <v>0</v>
      </c>
      <c r="HQ119" s="5">
        <v>0</v>
      </c>
      <c r="HR119" s="5">
        <v>0</v>
      </c>
      <c r="HS119" s="5">
        <v>0</v>
      </c>
      <c r="HT119" s="5" t="b">
        <v>0</v>
      </c>
    </row>
    <row r="120" spans="1:228">
      <c r="A120"/>
      <c r="B120" s="1">
        <f>10000000+INDEX(编号表!$B$1:$B$112,MATCH(D120,编号表!$A$1:$A$112,0))*10000+I120</f>
        <v>10120004</v>
      </c>
      <c r="C120" s="5" t="s">
        <v>402</v>
      </c>
      <c r="D120" s="5" t="s">
        <v>402</v>
      </c>
      <c r="E120" s="5" t="s">
        <v>348</v>
      </c>
      <c r="F120" s="5" t="s">
        <v>349</v>
      </c>
      <c r="G120" s="5" t="b">
        <v>0</v>
      </c>
      <c r="H120" s="5" t="b">
        <v>0</v>
      </c>
      <c r="I120" s="5">
        <v>4</v>
      </c>
      <c r="J120" s="5">
        <v>101200</v>
      </c>
      <c r="K120" s="5" t="s">
        <v>350</v>
      </c>
      <c r="L120" s="5">
        <v>10120003</v>
      </c>
      <c r="M120" s="5">
        <v>10120005</v>
      </c>
      <c r="N120" s="5" t="s">
        <v>403</v>
      </c>
      <c r="O120" s="5">
        <v>10202011</v>
      </c>
      <c r="P120" s="5">
        <v>0</v>
      </c>
      <c r="Q120" s="5">
        <v>3</v>
      </c>
      <c r="R120" s="5">
        <v>16</v>
      </c>
      <c r="S120" s="5">
        <v>0</v>
      </c>
      <c r="T120" s="5">
        <v>100</v>
      </c>
      <c r="U120" s="5" t="s">
        <v>364</v>
      </c>
      <c r="V120" s="5">
        <v>850</v>
      </c>
      <c r="W120" s="5">
        <v>0</v>
      </c>
      <c r="X120" s="5" t="inlineStr">
        <is>
          <t xml:space="preserve">单位</t>
        </is>
      </c>
      <c r="Y120" s="5" t="inlineStr">
        <is>
          <t xml:space="preserve">单体</t>
        </is>
      </c>
      <c r="Z120" s="5" t="inlineStr">
        <is>
          <t xml:space="preserve">敌对</t>
        </is>
      </c>
      <c r="AA120" s="5">
        <v>0</v>
      </c>
      <c r="AB120" s="5">
        <v>1</v>
      </c>
      <c r="AC120" s="5" t="b">
        <v>0</v>
      </c>
      <c r="AD120" s="5" t="inlineStr">
        <is>
          <t xml:space="preserve">最近</t>
        </is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 t="s">
        <v>356</v>
      </c>
      <c r="AZ120" s="5">
        <v>11200</v>
      </c>
      <c r="BA120" s="5" t="s">
        <v>371</v>
      </c>
      <c r="BB120" s="5" t="s">
        <v>354</v>
      </c>
      <c r="BC120" s="5">
        <v>10000</v>
      </c>
      <c r="BD120" s="5">
        <v>0</v>
      </c>
      <c r="BE120" s="5" t="s">
        <v>358</v>
      </c>
      <c r="BF120" s="5">
        <v>0</v>
      </c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>
        <v>30032</v>
      </c>
      <c r="CG120" s="5" t="s">
        <v>372</v>
      </c>
      <c r="CH120" s="5">
        <v>1100</v>
      </c>
      <c r="CI120" s="5">
        <v>80</v>
      </c>
      <c r="CJ120" s="5" t="s">
        <v>373</v>
      </c>
      <c r="CK120" s="5">
        <v>1</v>
      </c>
      <c r="CL120" s="5">
        <v>0</v>
      </c>
      <c r="CM120" s="5">
        <v>1</v>
      </c>
      <c r="CN120" s="5">
        <v>900</v>
      </c>
      <c r="CO120" s="5">
        <v>70</v>
      </c>
      <c r="CP120" s="5">
        <v>0</v>
      </c>
      <c r="CQ120" s="5">
        <v>0</v>
      </c>
      <c r="CR120" s="5">
        <v>10300004</v>
      </c>
      <c r="CS120" s="5">
        <v>0</v>
      </c>
      <c r="CT120" s="5">
        <v>0</v>
      </c>
      <c r="CU120" s="5">
        <v>0</v>
      </c>
      <c r="CV120" s="5" t="s">
        <v>355</v>
      </c>
      <c r="CW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/>
      <c r="EX120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/>
      <c r="GW120"/>
      <c r="GX120" s="5">
        <v>200</v>
      </c>
      <c r="GY120" s="5">
        <v>400</v>
      </c>
      <c r="GZ120" s="5" t="inlineStr">
        <is>
          <t xml:space="preserve">Attack One</t>
        </is>
      </c>
      <c r="HA120" s="5">
        <v>0</v>
      </c>
      <c r="HB120" s="5" t="s">
        <v>366</v>
      </c>
      <c r="HC120" s="5" t="s">
        <v>366</v>
      </c>
      <c r="HD120" s="5" t="b">
        <v>1</v>
      </c>
      <c r="HE120" s="5">
        <v>2800</v>
      </c>
      <c r="HF120" s="5" t="b">
        <v>0</v>
      </c>
      <c r="HG120" s="5">
        <v>0</v>
      </c>
      <c r="HH120" s="5">
        <v>0</v>
      </c>
      <c r="HI120" s="5">
        <v>0</v>
      </c>
      <c r="HJ120" s="5">
        <v>0</v>
      </c>
      <c r="HK120" s="5" t="b">
        <v>0</v>
      </c>
      <c r="HL120" s="5">
        <v>0</v>
      </c>
      <c r="HM120" s="5">
        <v>10001</v>
      </c>
      <c r="HN120" s="5" t="s">
        <v>367</v>
      </c>
      <c r="HO120" s="5" t="s">
        <v>360</v>
      </c>
      <c r="HP120" s="5">
        <v>0</v>
      </c>
      <c r="HQ120" s="5">
        <v>0</v>
      </c>
      <c r="HR120" s="5">
        <v>0</v>
      </c>
      <c r="HS120" s="5">
        <v>0</v>
      </c>
      <c r="HT120" s="5" t="b">
        <v>0</v>
      </c>
    </row>
    <row r="121" spans="1:228">
      <c r="A121"/>
      <c r="B121" s="1">
        <f>10000000+INDEX(编号表!$B$1:$B$112,MATCH(D121,编号表!$A$1:$A$112,0))*10000+I121</f>
        <v>10120005</v>
      </c>
      <c r="C121" s="5" t="s">
        <v>402</v>
      </c>
      <c r="D121" s="5" t="s">
        <v>402</v>
      </c>
      <c r="E121" s="5" t="s">
        <v>348</v>
      </c>
      <c r="F121" s="5" t="s">
        <v>349</v>
      </c>
      <c r="G121" s="5" t="b">
        <v>0</v>
      </c>
      <c r="H121" s="5" t="b">
        <v>0</v>
      </c>
      <c r="I121" s="5">
        <v>5</v>
      </c>
      <c r="J121" s="5">
        <v>101200</v>
      </c>
      <c r="K121" s="5" t="s">
        <v>350</v>
      </c>
      <c r="L121" s="5">
        <v>10120004</v>
      </c>
      <c r="M121" s="5">
        <v>10120006</v>
      </c>
      <c r="N121" s="5" t="s">
        <v>403</v>
      </c>
      <c r="O121" s="5">
        <v>10202011</v>
      </c>
      <c r="P121" s="5">
        <v>0</v>
      </c>
      <c r="Q121" s="5">
        <v>3</v>
      </c>
      <c r="R121" s="5">
        <v>25</v>
      </c>
      <c r="S121" s="5">
        <v>0</v>
      </c>
      <c r="T121" s="5">
        <v>100</v>
      </c>
      <c r="U121" s="5" t="s">
        <v>364</v>
      </c>
      <c r="V121" s="5">
        <v>850</v>
      </c>
      <c r="W121" s="5">
        <v>0</v>
      </c>
      <c r="X121" s="5" t="inlineStr">
        <is>
          <t xml:space="preserve">单位</t>
        </is>
      </c>
      <c r="Y121" s="5" t="inlineStr">
        <is>
          <t xml:space="preserve">单体</t>
        </is>
      </c>
      <c r="Z121" s="5" t="inlineStr">
        <is>
          <t xml:space="preserve">敌对</t>
        </is>
      </c>
      <c r="AA121" s="5">
        <v>0</v>
      </c>
      <c r="AB121" s="5">
        <v>1</v>
      </c>
      <c r="AC121" s="5" t="b">
        <v>0</v>
      </c>
      <c r="AD121" s="5" t="inlineStr">
        <is>
          <t xml:space="preserve">最近</t>
        </is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 t="s">
        <v>356</v>
      </c>
      <c r="AZ121" s="5">
        <v>11300</v>
      </c>
      <c r="BA121" s="5" t="s">
        <v>371</v>
      </c>
      <c r="BB121" s="5" t="s">
        <v>354</v>
      </c>
      <c r="BC121" s="5">
        <v>10000</v>
      </c>
      <c r="BD121" s="5">
        <v>0</v>
      </c>
      <c r="BE121" s="5" t="s">
        <v>358</v>
      </c>
      <c r="BF121" s="5">
        <v>0</v>
      </c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>
        <v>30032</v>
      </c>
      <c r="CG121" s="5" t="s">
        <v>372</v>
      </c>
      <c r="CH121" s="5">
        <v>1100</v>
      </c>
      <c r="CI121" s="5">
        <v>80</v>
      </c>
      <c r="CJ121" s="5" t="s">
        <v>373</v>
      </c>
      <c r="CK121" s="5">
        <v>1</v>
      </c>
      <c r="CL121" s="5">
        <v>0</v>
      </c>
      <c r="CM121" s="5">
        <v>1</v>
      </c>
      <c r="CN121" s="5">
        <v>900</v>
      </c>
      <c r="CO121" s="5">
        <v>70</v>
      </c>
      <c r="CP121" s="5">
        <v>0</v>
      </c>
      <c r="CQ121" s="5">
        <v>0</v>
      </c>
      <c r="CR121" s="5">
        <v>10300005</v>
      </c>
      <c r="CS121" s="5">
        <v>0</v>
      </c>
      <c r="CT121" s="5">
        <v>0</v>
      </c>
      <c r="CU121" s="5">
        <v>0</v>
      </c>
      <c r="CV121" s="5" t="s">
        <v>355</v>
      </c>
      <c r="CW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/>
      <c r="EX121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/>
      <c r="GW121"/>
      <c r="GX121" s="5">
        <v>200</v>
      </c>
      <c r="GY121" s="5">
        <v>400</v>
      </c>
      <c r="GZ121" s="5" t="inlineStr">
        <is>
          <t xml:space="preserve">Attack One</t>
        </is>
      </c>
      <c r="HA121" s="5">
        <v>0</v>
      </c>
      <c r="HB121" s="5" t="s">
        <v>366</v>
      </c>
      <c r="HC121" s="5" t="s">
        <v>366</v>
      </c>
      <c r="HD121" s="5" t="b">
        <v>1</v>
      </c>
      <c r="HE121" s="5">
        <v>2800</v>
      </c>
      <c r="HF121" s="5" t="b">
        <v>0</v>
      </c>
      <c r="HG121" s="5">
        <v>0</v>
      </c>
      <c r="HH121" s="5">
        <v>0</v>
      </c>
      <c r="HI121" s="5">
        <v>0</v>
      </c>
      <c r="HJ121" s="5">
        <v>0</v>
      </c>
      <c r="HK121" s="5" t="b">
        <v>0</v>
      </c>
      <c r="HL121" s="5">
        <v>0</v>
      </c>
      <c r="HM121" s="5">
        <v>10001</v>
      </c>
      <c r="HN121" s="5" t="s">
        <v>367</v>
      </c>
      <c r="HO121" s="5" t="s">
        <v>360</v>
      </c>
      <c r="HP121" s="5">
        <v>0</v>
      </c>
      <c r="HQ121" s="5">
        <v>0</v>
      </c>
      <c r="HR121" s="5">
        <v>0</v>
      </c>
      <c r="HS121" s="5">
        <v>0</v>
      </c>
      <c r="HT121" s="5" t="b">
        <v>0</v>
      </c>
    </row>
    <row r="122" spans="1:228">
      <c r="A122"/>
      <c r="B122" s="1">
        <f>10000000+INDEX(编号表!$B$1:$B$112,MATCH(D122,编号表!$A$1:$A$112,0))*10000+I122</f>
        <v>10120006</v>
      </c>
      <c r="C122" s="5" t="s">
        <v>402</v>
      </c>
      <c r="D122" s="5" t="s">
        <v>402</v>
      </c>
      <c r="E122" s="5" t="s">
        <v>348</v>
      </c>
      <c r="F122" s="5" t="s">
        <v>349</v>
      </c>
      <c r="G122" s="5" t="b">
        <v>0</v>
      </c>
      <c r="H122" s="5" t="b">
        <v>0</v>
      </c>
      <c r="I122" s="5">
        <v>6</v>
      </c>
      <c r="J122" s="5">
        <v>101200</v>
      </c>
      <c r="K122" s="5" t="s">
        <v>350</v>
      </c>
      <c r="L122" s="5">
        <v>10120005</v>
      </c>
      <c r="M122" s="5">
        <v>10120007</v>
      </c>
      <c r="N122" s="5" t="s">
        <v>403</v>
      </c>
      <c r="O122" s="5">
        <v>10202011</v>
      </c>
      <c r="P122" s="5">
        <v>0</v>
      </c>
      <c r="Q122" s="5">
        <v>3</v>
      </c>
      <c r="R122" s="5">
        <v>30</v>
      </c>
      <c r="S122" s="5">
        <v>0</v>
      </c>
      <c r="T122" s="5">
        <v>100</v>
      </c>
      <c r="U122" s="5" t="s">
        <v>364</v>
      </c>
      <c r="V122" s="5">
        <v>850</v>
      </c>
      <c r="W122" s="5">
        <v>0</v>
      </c>
      <c r="X122" s="5" t="inlineStr">
        <is>
          <t xml:space="preserve">单位</t>
        </is>
      </c>
      <c r="Y122" s="5" t="inlineStr">
        <is>
          <t xml:space="preserve">单体</t>
        </is>
      </c>
      <c r="Z122" s="5" t="inlineStr">
        <is>
          <t xml:space="preserve">敌对</t>
        </is>
      </c>
      <c r="AA122" s="5">
        <v>0</v>
      </c>
      <c r="AB122" s="5">
        <v>1</v>
      </c>
      <c r="AC122" s="5" t="b">
        <v>0</v>
      </c>
      <c r="AD122" s="5" t="inlineStr">
        <is>
          <t xml:space="preserve">最近</t>
        </is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 t="s">
        <v>356</v>
      </c>
      <c r="AZ122" s="5">
        <v>11600</v>
      </c>
      <c r="BA122" s="5" t="s">
        <v>371</v>
      </c>
      <c r="BB122" s="5" t="s">
        <v>354</v>
      </c>
      <c r="BC122" s="5">
        <v>10000</v>
      </c>
      <c r="BD122" s="5">
        <v>0</v>
      </c>
      <c r="BE122" s="5" t="s">
        <v>358</v>
      </c>
      <c r="BF122" s="5">
        <v>0</v>
      </c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>
        <v>30032</v>
      </c>
      <c r="CG122" s="5" t="s">
        <v>372</v>
      </c>
      <c r="CH122" s="5">
        <v>1100</v>
      </c>
      <c r="CI122" s="5">
        <v>80</v>
      </c>
      <c r="CJ122" s="5" t="s">
        <v>373</v>
      </c>
      <c r="CK122" s="5">
        <v>1</v>
      </c>
      <c r="CL122" s="5">
        <v>0</v>
      </c>
      <c r="CM122" s="5">
        <v>1</v>
      </c>
      <c r="CN122" s="5">
        <v>900</v>
      </c>
      <c r="CO122" s="5">
        <v>70</v>
      </c>
      <c r="CP122" s="5">
        <v>0</v>
      </c>
      <c r="CQ122" s="5">
        <v>0</v>
      </c>
      <c r="CR122" s="5">
        <v>10300006</v>
      </c>
      <c r="CS122" s="5">
        <v>0</v>
      </c>
      <c r="CT122" s="5">
        <v>0</v>
      </c>
      <c r="CU122" s="5">
        <v>0</v>
      </c>
      <c r="CV122" s="5" t="s">
        <v>355</v>
      </c>
      <c r="CW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/>
      <c r="EX122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/>
      <c r="GW122"/>
      <c r="GX122" s="5">
        <v>200</v>
      </c>
      <c r="GY122" s="5">
        <v>400</v>
      </c>
      <c r="GZ122" s="5" t="inlineStr">
        <is>
          <t xml:space="preserve">Attack One</t>
        </is>
      </c>
      <c r="HA122" s="5">
        <v>0</v>
      </c>
      <c r="HB122" s="5" t="s">
        <v>366</v>
      </c>
      <c r="HC122" s="5" t="s">
        <v>366</v>
      </c>
      <c r="HD122" s="5" t="b">
        <v>1</v>
      </c>
      <c r="HE122" s="5">
        <v>2800</v>
      </c>
      <c r="HF122" s="5" t="b">
        <v>0</v>
      </c>
      <c r="HG122" s="5">
        <v>0</v>
      </c>
      <c r="HH122" s="5">
        <v>0</v>
      </c>
      <c r="HI122" s="5">
        <v>0</v>
      </c>
      <c r="HJ122" s="5">
        <v>0</v>
      </c>
      <c r="HK122" s="5" t="b">
        <v>0</v>
      </c>
      <c r="HL122" s="5">
        <v>0</v>
      </c>
      <c r="HM122" s="5">
        <v>10001</v>
      </c>
      <c r="HN122" s="5" t="s">
        <v>367</v>
      </c>
      <c r="HO122" s="5" t="s">
        <v>360</v>
      </c>
      <c r="HP122" s="5">
        <v>0</v>
      </c>
      <c r="HQ122" s="5">
        <v>0</v>
      </c>
      <c r="HR122" s="5">
        <v>0</v>
      </c>
      <c r="HS122" s="5">
        <v>0</v>
      </c>
      <c r="HT122" s="5" t="b">
        <v>0</v>
      </c>
    </row>
    <row r="123" spans="1:228">
      <c r="A123"/>
      <c r="B123" s="1">
        <f>10000000+INDEX(编号表!$B$1:$B$112,MATCH(D123,编号表!$A$1:$A$112,0))*10000+I123</f>
        <v>10120007</v>
      </c>
      <c r="C123" s="5" t="s">
        <v>402</v>
      </c>
      <c r="D123" s="5" t="s">
        <v>402</v>
      </c>
      <c r="E123" s="5" t="s">
        <v>348</v>
      </c>
      <c r="F123" s="5" t="s">
        <v>349</v>
      </c>
      <c r="G123" s="5" t="b">
        <v>0</v>
      </c>
      <c r="H123" s="5" t="b">
        <v>0</v>
      </c>
      <c r="I123" s="5">
        <v>7</v>
      </c>
      <c r="J123" s="5">
        <v>101200</v>
      </c>
      <c r="K123" s="5" t="s">
        <v>350</v>
      </c>
      <c r="L123" s="5">
        <v>10120006</v>
      </c>
      <c r="M123" s="5">
        <v>10120008</v>
      </c>
      <c r="N123" s="5" t="s">
        <v>403</v>
      </c>
      <c r="O123" s="5">
        <v>10202011</v>
      </c>
      <c r="P123" s="5">
        <v>0</v>
      </c>
      <c r="Q123" s="5">
        <v>3</v>
      </c>
      <c r="R123" s="5">
        <v>35</v>
      </c>
      <c r="S123" s="5">
        <v>0</v>
      </c>
      <c r="T123" s="5">
        <v>100</v>
      </c>
      <c r="U123" s="5" t="s">
        <v>364</v>
      </c>
      <c r="V123" s="5">
        <v>850</v>
      </c>
      <c r="W123" s="5">
        <v>0</v>
      </c>
      <c r="X123" s="5" t="inlineStr">
        <is>
          <t xml:space="preserve">单位</t>
        </is>
      </c>
      <c r="Y123" s="5" t="inlineStr">
        <is>
          <t xml:space="preserve">单体</t>
        </is>
      </c>
      <c r="Z123" s="5" t="inlineStr">
        <is>
          <t xml:space="preserve">敌对</t>
        </is>
      </c>
      <c r="AA123" s="5">
        <v>0</v>
      </c>
      <c r="AB123" s="5">
        <v>1</v>
      </c>
      <c r="AC123" s="5" t="b">
        <v>0</v>
      </c>
      <c r="AD123" s="5" t="inlineStr">
        <is>
          <t xml:space="preserve">最近</t>
        </is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 t="s">
        <v>356</v>
      </c>
      <c r="AZ123" s="5">
        <v>11700</v>
      </c>
      <c r="BA123" s="5" t="s">
        <v>371</v>
      </c>
      <c r="BB123" s="5" t="s">
        <v>354</v>
      </c>
      <c r="BC123" s="5">
        <v>10000</v>
      </c>
      <c r="BD123" s="5">
        <v>0</v>
      </c>
      <c r="BE123" s="5" t="s">
        <v>358</v>
      </c>
      <c r="BF123" s="5">
        <v>0</v>
      </c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>
        <v>30032</v>
      </c>
      <c r="CG123" s="5" t="s">
        <v>372</v>
      </c>
      <c r="CH123" s="5">
        <v>1100</v>
      </c>
      <c r="CI123" s="5">
        <v>80</v>
      </c>
      <c r="CJ123" s="5" t="s">
        <v>373</v>
      </c>
      <c r="CK123" s="5">
        <v>1</v>
      </c>
      <c r="CL123" s="5">
        <v>0</v>
      </c>
      <c r="CM123" s="5">
        <v>1</v>
      </c>
      <c r="CN123" s="5">
        <v>900</v>
      </c>
      <c r="CO123" s="5">
        <v>70</v>
      </c>
      <c r="CP123" s="5">
        <v>0</v>
      </c>
      <c r="CQ123" s="5">
        <v>0</v>
      </c>
      <c r="CR123" s="5">
        <v>10300007</v>
      </c>
      <c r="CS123" s="5">
        <v>0</v>
      </c>
      <c r="CT123" s="5">
        <v>0</v>
      </c>
      <c r="CU123" s="5">
        <v>0</v>
      </c>
      <c r="CV123" s="5" t="s">
        <v>355</v>
      </c>
      <c r="CW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/>
      <c r="EX123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/>
      <c r="GW123"/>
      <c r="GX123" s="5">
        <v>200</v>
      </c>
      <c r="GY123" s="5">
        <v>400</v>
      </c>
      <c r="GZ123" s="5" t="inlineStr">
        <is>
          <t xml:space="preserve">Attack One</t>
        </is>
      </c>
      <c r="HA123" s="5">
        <v>0</v>
      </c>
      <c r="HB123" s="5" t="s">
        <v>366</v>
      </c>
      <c r="HC123" s="5" t="s">
        <v>366</v>
      </c>
      <c r="HD123" s="5" t="b">
        <v>1</v>
      </c>
      <c r="HE123" s="5">
        <v>2800</v>
      </c>
      <c r="HF123" s="5" t="b">
        <v>0</v>
      </c>
      <c r="HG123" s="5">
        <v>0</v>
      </c>
      <c r="HH123" s="5">
        <v>0</v>
      </c>
      <c r="HI123" s="5">
        <v>0</v>
      </c>
      <c r="HJ123" s="5">
        <v>0</v>
      </c>
      <c r="HK123" s="5" t="b">
        <v>0</v>
      </c>
      <c r="HL123" s="5">
        <v>0</v>
      </c>
      <c r="HM123" s="5">
        <v>10001</v>
      </c>
      <c r="HN123" s="5" t="s">
        <v>367</v>
      </c>
      <c r="HO123" s="5" t="s">
        <v>360</v>
      </c>
      <c r="HP123" s="5">
        <v>0</v>
      </c>
      <c r="HQ123" s="5">
        <v>0</v>
      </c>
      <c r="HR123" s="5">
        <v>0</v>
      </c>
      <c r="HS123" s="5">
        <v>0</v>
      </c>
      <c r="HT123" s="5" t="b">
        <v>0</v>
      </c>
    </row>
    <row r="124" spans="1:228">
      <c r="A124"/>
      <c r="B124" s="1">
        <f>10000000+INDEX(编号表!$B$1:$B$112,MATCH(D124,编号表!$A$1:$A$112,0))*10000+I124</f>
        <v>10120008</v>
      </c>
      <c r="C124" s="5" t="s">
        <v>402</v>
      </c>
      <c r="D124" s="5" t="s">
        <v>402</v>
      </c>
      <c r="E124" s="5" t="s">
        <v>348</v>
      </c>
      <c r="F124" s="5" t="s">
        <v>349</v>
      </c>
      <c r="G124" s="5" t="b">
        <v>0</v>
      </c>
      <c r="H124" s="5" t="b">
        <v>0</v>
      </c>
      <c r="I124" s="5">
        <v>8</v>
      </c>
      <c r="J124" s="5">
        <v>101200</v>
      </c>
      <c r="K124" s="5" t="s">
        <v>350</v>
      </c>
      <c r="L124" s="5">
        <v>10120007</v>
      </c>
      <c r="M124" s="5">
        <v>10120009</v>
      </c>
      <c r="N124" s="5" t="s">
        <v>403</v>
      </c>
      <c r="O124" s="5">
        <v>10202011</v>
      </c>
      <c r="P124" s="5">
        <v>0</v>
      </c>
      <c r="Q124" s="5">
        <v>3</v>
      </c>
      <c r="R124" s="5">
        <v>35</v>
      </c>
      <c r="S124" s="5">
        <v>0</v>
      </c>
      <c r="T124" s="5">
        <v>100</v>
      </c>
      <c r="U124" s="5" t="s">
        <v>364</v>
      </c>
      <c r="V124" s="5">
        <v>850</v>
      </c>
      <c r="W124" s="5">
        <v>0</v>
      </c>
      <c r="X124" s="5" t="inlineStr">
        <is>
          <t xml:space="preserve">单位</t>
        </is>
      </c>
      <c r="Y124" s="5" t="inlineStr">
        <is>
          <t xml:space="preserve">单体</t>
        </is>
      </c>
      <c r="Z124" s="5" t="inlineStr">
        <is>
          <t xml:space="preserve">敌对</t>
        </is>
      </c>
      <c r="AA124" s="5">
        <v>0</v>
      </c>
      <c r="AB124" s="5">
        <v>1</v>
      </c>
      <c r="AC124" s="5" t="b">
        <v>0</v>
      </c>
      <c r="AD124" s="5" t="inlineStr">
        <is>
          <t xml:space="preserve">最近</t>
        </is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 t="s">
        <v>356</v>
      </c>
      <c r="AZ124" s="5">
        <v>11800</v>
      </c>
      <c r="BA124" s="5" t="s">
        <v>371</v>
      </c>
      <c r="BB124" s="5" t="s">
        <v>354</v>
      </c>
      <c r="BC124" s="5">
        <v>10000</v>
      </c>
      <c r="BD124" s="5">
        <v>0</v>
      </c>
      <c r="BE124" s="5" t="s">
        <v>358</v>
      </c>
      <c r="BF124" s="5">
        <v>0</v>
      </c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>
        <v>30032</v>
      </c>
      <c r="CG124" s="5" t="s">
        <v>372</v>
      </c>
      <c r="CH124" s="5">
        <v>1100</v>
      </c>
      <c r="CI124" s="5">
        <v>80</v>
      </c>
      <c r="CJ124" s="5" t="s">
        <v>373</v>
      </c>
      <c r="CK124" s="5">
        <v>1</v>
      </c>
      <c r="CL124" s="5">
        <v>0</v>
      </c>
      <c r="CM124" s="5">
        <v>1</v>
      </c>
      <c r="CN124" s="5">
        <v>900</v>
      </c>
      <c r="CO124" s="5">
        <v>70</v>
      </c>
      <c r="CP124" s="5">
        <v>0</v>
      </c>
      <c r="CQ124" s="5">
        <v>0</v>
      </c>
      <c r="CR124" s="5">
        <v>10300008</v>
      </c>
      <c r="CS124" s="5">
        <v>0</v>
      </c>
      <c r="CT124" s="5">
        <v>0</v>
      </c>
      <c r="CU124" s="5">
        <v>0</v>
      </c>
      <c r="CV124" s="5" t="s">
        <v>355</v>
      </c>
      <c r="CW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/>
      <c r="EX124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/>
      <c r="GW124"/>
      <c r="GX124" s="5">
        <v>200</v>
      </c>
      <c r="GY124" s="5">
        <v>400</v>
      </c>
      <c r="GZ124" s="5" t="inlineStr">
        <is>
          <t xml:space="preserve">Attack One</t>
        </is>
      </c>
      <c r="HA124" s="5">
        <v>0</v>
      </c>
      <c r="HB124" s="5" t="s">
        <v>366</v>
      </c>
      <c r="HC124" s="5" t="s">
        <v>366</v>
      </c>
      <c r="HD124" s="5" t="b">
        <v>1</v>
      </c>
      <c r="HE124" s="5">
        <v>2800</v>
      </c>
      <c r="HF124" s="5" t="b">
        <v>0</v>
      </c>
      <c r="HG124" s="5">
        <v>0</v>
      </c>
      <c r="HH124" s="5">
        <v>0</v>
      </c>
      <c r="HI124" s="5">
        <v>0</v>
      </c>
      <c r="HJ124" s="5">
        <v>0</v>
      </c>
      <c r="HK124" s="5" t="b">
        <v>0</v>
      </c>
      <c r="HL124" s="5">
        <v>0</v>
      </c>
      <c r="HM124" s="5">
        <v>10001</v>
      </c>
      <c r="HN124" s="5" t="s">
        <v>367</v>
      </c>
      <c r="HO124" s="5" t="s">
        <v>360</v>
      </c>
      <c r="HP124" s="5">
        <v>0</v>
      </c>
      <c r="HQ124" s="5">
        <v>0</v>
      </c>
      <c r="HR124" s="5">
        <v>0</v>
      </c>
      <c r="HS124" s="5">
        <v>0</v>
      </c>
      <c r="HT124" s="5" t="b">
        <v>0</v>
      </c>
    </row>
    <row r="125" spans="1:228">
      <c r="A125"/>
      <c r="B125" s="1">
        <f>10000000+INDEX(编号表!$B$1:$B$112,MATCH(D125,编号表!$A$1:$A$112,0))*10000+I125</f>
        <v>10120009</v>
      </c>
      <c r="C125" s="5" t="s">
        <v>402</v>
      </c>
      <c r="D125" s="5" t="s">
        <v>402</v>
      </c>
      <c r="E125" s="5" t="s">
        <v>348</v>
      </c>
      <c r="F125" s="5" t="s">
        <v>349</v>
      </c>
      <c r="G125" s="5" t="b">
        <v>0</v>
      </c>
      <c r="H125" s="5" t="b">
        <v>0</v>
      </c>
      <c r="I125" s="5">
        <v>9</v>
      </c>
      <c r="J125" s="5">
        <v>101200</v>
      </c>
      <c r="K125" s="5" t="s">
        <v>350</v>
      </c>
      <c r="L125" s="5">
        <v>10120008</v>
      </c>
      <c r="M125" s="5">
        <v>10120010</v>
      </c>
      <c r="N125" s="5" t="s">
        <v>403</v>
      </c>
      <c r="O125" s="5">
        <v>10202011</v>
      </c>
      <c r="P125" s="5">
        <v>0</v>
      </c>
      <c r="Q125" s="5">
        <v>3</v>
      </c>
      <c r="R125" s="5">
        <v>40</v>
      </c>
      <c r="S125" s="5">
        <v>0</v>
      </c>
      <c r="T125" s="5">
        <v>100</v>
      </c>
      <c r="U125" s="5" t="s">
        <v>364</v>
      </c>
      <c r="V125" s="5">
        <v>850</v>
      </c>
      <c r="W125" s="5">
        <v>0</v>
      </c>
      <c r="X125" s="5" t="inlineStr">
        <is>
          <t xml:space="preserve">单位</t>
        </is>
      </c>
      <c r="Y125" s="5" t="inlineStr">
        <is>
          <t xml:space="preserve">单体</t>
        </is>
      </c>
      <c r="Z125" s="5" t="inlineStr">
        <is>
          <t xml:space="preserve">敌对</t>
        </is>
      </c>
      <c r="AA125" s="5">
        <v>0</v>
      </c>
      <c r="AB125" s="5">
        <v>1</v>
      </c>
      <c r="AC125" s="5" t="b">
        <v>0</v>
      </c>
      <c r="AD125" s="5" t="inlineStr">
        <is>
          <t xml:space="preserve">最近</t>
        </is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 t="s">
        <v>356</v>
      </c>
      <c r="AZ125" s="5">
        <v>11900</v>
      </c>
      <c r="BA125" s="5" t="s">
        <v>371</v>
      </c>
      <c r="BB125" s="5" t="s">
        <v>354</v>
      </c>
      <c r="BC125" s="5">
        <v>10000</v>
      </c>
      <c r="BD125" s="5">
        <v>0</v>
      </c>
      <c r="BE125" s="5" t="s">
        <v>358</v>
      </c>
      <c r="BF125" s="5">
        <v>0</v>
      </c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>
        <v>30032</v>
      </c>
      <c r="CG125" s="5" t="s">
        <v>372</v>
      </c>
      <c r="CH125" s="5">
        <v>1100</v>
      </c>
      <c r="CI125" s="5">
        <v>80</v>
      </c>
      <c r="CJ125" s="5" t="s">
        <v>373</v>
      </c>
      <c r="CK125" s="5">
        <v>1</v>
      </c>
      <c r="CL125" s="5">
        <v>0</v>
      </c>
      <c r="CM125" s="5">
        <v>1</v>
      </c>
      <c r="CN125" s="5">
        <v>900</v>
      </c>
      <c r="CO125" s="5">
        <v>70</v>
      </c>
      <c r="CP125" s="5">
        <v>0</v>
      </c>
      <c r="CQ125" s="5">
        <v>0</v>
      </c>
      <c r="CR125" s="5">
        <v>10300009</v>
      </c>
      <c r="CS125" s="5">
        <v>0</v>
      </c>
      <c r="CT125" s="5">
        <v>0</v>
      </c>
      <c r="CU125" s="5">
        <v>0</v>
      </c>
      <c r="CV125" s="5" t="s">
        <v>355</v>
      </c>
      <c r="CW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/>
      <c r="EX12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/>
      <c r="GW125"/>
      <c r="GX125" s="5">
        <v>200</v>
      </c>
      <c r="GY125" s="5">
        <v>400</v>
      </c>
      <c r="GZ125" s="5" t="inlineStr">
        <is>
          <t xml:space="preserve">Attack One</t>
        </is>
      </c>
      <c r="HA125" s="5">
        <v>0</v>
      </c>
      <c r="HB125" s="5" t="s">
        <v>366</v>
      </c>
      <c r="HC125" s="5" t="s">
        <v>366</v>
      </c>
      <c r="HD125" s="5" t="b">
        <v>1</v>
      </c>
      <c r="HE125" s="5">
        <v>2800</v>
      </c>
      <c r="HF125" s="5" t="b">
        <v>0</v>
      </c>
      <c r="HG125" s="5">
        <v>0</v>
      </c>
      <c r="HH125" s="5">
        <v>0</v>
      </c>
      <c r="HI125" s="5">
        <v>0</v>
      </c>
      <c r="HJ125" s="5">
        <v>0</v>
      </c>
      <c r="HK125" s="5" t="b">
        <v>0</v>
      </c>
      <c r="HL125" s="5">
        <v>0</v>
      </c>
      <c r="HM125" s="5">
        <v>10001</v>
      </c>
      <c r="HN125" s="5" t="s">
        <v>367</v>
      </c>
      <c r="HO125" s="5" t="s">
        <v>360</v>
      </c>
      <c r="HP125" s="5">
        <v>0</v>
      </c>
      <c r="HQ125" s="5">
        <v>0</v>
      </c>
      <c r="HR125" s="5">
        <v>0</v>
      </c>
      <c r="HS125" s="5">
        <v>0</v>
      </c>
      <c r="HT125" s="5" t="b">
        <v>0</v>
      </c>
    </row>
    <row r="126" spans="1:228">
      <c r="A126"/>
      <c r="B126" s="1">
        <f>10000000+INDEX(编号表!$B$1:$B$112,MATCH(D126,编号表!$A$1:$A$112,0))*10000+I126</f>
        <v>10120010</v>
      </c>
      <c r="C126" s="5" t="s">
        <v>402</v>
      </c>
      <c r="D126" s="5" t="s">
        <v>402</v>
      </c>
      <c r="E126" s="5" t="s">
        <v>348</v>
      </c>
      <c r="F126" s="5" t="s">
        <v>349</v>
      </c>
      <c r="G126" s="5" t="b">
        <v>0</v>
      </c>
      <c r="H126" s="5" t="b">
        <v>0</v>
      </c>
      <c r="I126" s="5">
        <v>10</v>
      </c>
      <c r="J126" s="5">
        <v>101200</v>
      </c>
      <c r="K126" s="5" t="s">
        <v>350</v>
      </c>
      <c r="L126" s="5">
        <v>10120009</v>
      </c>
      <c r="M126" s="5">
        <v>0</v>
      </c>
      <c r="N126" s="5" t="s">
        <v>403</v>
      </c>
      <c r="O126" s="5">
        <v>10202011</v>
      </c>
      <c r="P126" s="5">
        <v>0</v>
      </c>
      <c r="Q126" s="5">
        <v>3</v>
      </c>
      <c r="R126" s="5">
        <v>40</v>
      </c>
      <c r="S126" s="5">
        <v>0</v>
      </c>
      <c r="T126" s="5">
        <v>0</v>
      </c>
      <c r="U126" s="5" t="s">
        <v>364</v>
      </c>
      <c r="V126" s="5">
        <v>850</v>
      </c>
      <c r="W126" s="5">
        <v>0</v>
      </c>
      <c r="X126" s="5" t="inlineStr">
        <is>
          <t xml:space="preserve">单位</t>
        </is>
      </c>
      <c r="Y126" s="5" t="inlineStr">
        <is>
          <t xml:space="preserve">单体</t>
        </is>
      </c>
      <c r="Z126" s="5" t="inlineStr">
        <is>
          <t xml:space="preserve">敌对</t>
        </is>
      </c>
      <c r="AA126" s="5">
        <v>0</v>
      </c>
      <c r="AB126" s="5">
        <v>1</v>
      </c>
      <c r="AC126" s="5" t="b">
        <v>0</v>
      </c>
      <c r="AD126" s="5" t="inlineStr">
        <is>
          <t xml:space="preserve">最近</t>
        </is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 t="s">
        <v>356</v>
      </c>
      <c r="AZ126" s="5">
        <v>12000</v>
      </c>
      <c r="BA126" s="5" t="s">
        <v>371</v>
      </c>
      <c r="BB126" s="5" t="s">
        <v>354</v>
      </c>
      <c r="BC126" s="5">
        <v>10000</v>
      </c>
      <c r="BD126" s="5">
        <v>0</v>
      </c>
      <c r="BE126" s="5" t="s">
        <v>358</v>
      </c>
      <c r="BF126" s="5">
        <v>0</v>
      </c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>
        <v>30032</v>
      </c>
      <c r="CG126" s="5" t="s">
        <v>372</v>
      </c>
      <c r="CH126" s="5">
        <v>1100</v>
      </c>
      <c r="CI126" s="5">
        <v>80</v>
      </c>
      <c r="CJ126" s="5" t="s">
        <v>373</v>
      </c>
      <c r="CK126" s="5">
        <v>1</v>
      </c>
      <c r="CL126" s="5">
        <v>0</v>
      </c>
      <c r="CM126" s="5">
        <v>1</v>
      </c>
      <c r="CN126" s="5">
        <v>900</v>
      </c>
      <c r="CO126" s="5">
        <v>70</v>
      </c>
      <c r="CP126" s="5">
        <v>0</v>
      </c>
      <c r="CQ126" s="5">
        <v>0</v>
      </c>
      <c r="CR126" s="5">
        <v>10300010</v>
      </c>
      <c r="CS126" s="5">
        <v>0</v>
      </c>
      <c r="CT126" s="5">
        <v>0</v>
      </c>
      <c r="CU126" s="5">
        <v>0</v>
      </c>
      <c r="CV126" s="5" t="s">
        <v>355</v>
      </c>
      <c r="CW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/>
      <c r="EX126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/>
      <c r="GW126"/>
      <c r="GX126" s="5">
        <v>200</v>
      </c>
      <c r="GY126" s="5">
        <v>400</v>
      </c>
      <c r="GZ126" s="5" t="inlineStr">
        <is>
          <t xml:space="preserve">Attack One</t>
        </is>
      </c>
      <c r="HA126" s="5">
        <v>0</v>
      </c>
      <c r="HB126" s="5" t="s">
        <v>366</v>
      </c>
      <c r="HC126" s="5" t="s">
        <v>366</v>
      </c>
      <c r="HD126" s="5" t="b">
        <v>1</v>
      </c>
      <c r="HE126" s="5">
        <v>2800</v>
      </c>
      <c r="HF126" s="5" t="b">
        <v>0</v>
      </c>
      <c r="HG126" s="5">
        <v>0</v>
      </c>
      <c r="HH126" s="5">
        <v>0</v>
      </c>
      <c r="HI126" s="5">
        <v>0</v>
      </c>
      <c r="HJ126" s="5">
        <v>0</v>
      </c>
      <c r="HK126" s="5" t="b">
        <v>0</v>
      </c>
      <c r="HL126" s="5">
        <v>0</v>
      </c>
      <c r="HM126" s="5">
        <v>10001</v>
      </c>
      <c r="HN126" s="5" t="s">
        <v>367</v>
      </c>
      <c r="HO126" s="5" t="s">
        <v>360</v>
      </c>
      <c r="HP126" s="5">
        <v>0</v>
      </c>
      <c r="HQ126" s="5">
        <v>0</v>
      </c>
      <c r="HR126" s="5">
        <v>0</v>
      </c>
      <c r="HS126" s="5">
        <v>0</v>
      </c>
      <c r="HT126" s="5" t="b">
        <v>0</v>
      </c>
    </row>
    <row r="127" spans="1:228">
      <c r="A127"/>
      <c r="B127" s="1">
        <f>10000000+INDEX(编号表!$B$1:$B$112,MATCH(D127,编号表!$A$1:$A$112,0))*10000+I127</f>
        <v>10130001</v>
      </c>
      <c r="C127" s="5" t="s">
        <v>404</v>
      </c>
      <c r="D127" s="5" t="s">
        <v>404</v>
      </c>
      <c r="E127" s="5" t="s">
        <v>348</v>
      </c>
      <c r="F127" s="5" t="s">
        <v>349</v>
      </c>
      <c r="G127" s="5" t="b">
        <v>0</v>
      </c>
      <c r="H127" s="5" t="b">
        <v>0</v>
      </c>
      <c r="I127" s="5">
        <v>1</v>
      </c>
      <c r="J127" s="5">
        <v>101300</v>
      </c>
      <c r="K127" s="5" t="s">
        <v>350</v>
      </c>
      <c r="L127" s="5">
        <v>0</v>
      </c>
      <c r="M127" s="5">
        <v>10130002</v>
      </c>
      <c r="N127" s="5" t="s">
        <v>405</v>
      </c>
      <c r="O127" s="5">
        <v>10202012</v>
      </c>
      <c r="P127" s="5">
        <v>0</v>
      </c>
      <c r="Q127" s="5">
        <v>0</v>
      </c>
      <c r="R127" s="5">
        <v>1</v>
      </c>
      <c r="S127" s="5">
        <v>0</v>
      </c>
      <c r="T127" s="5">
        <v>100</v>
      </c>
      <c r="U127" s="5" t="s">
        <v>364</v>
      </c>
      <c r="V127" s="5">
        <v>850</v>
      </c>
      <c r="W127" s="5">
        <v>0</v>
      </c>
      <c r="X127" s="5" t="inlineStr">
        <is>
          <t xml:space="preserve">目标点</t>
        </is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 t="s">
        <v>356</v>
      </c>
      <c r="AZ127" s="5">
        <v>10000</v>
      </c>
      <c r="BA127" s="5" t="s">
        <v>371</v>
      </c>
      <c r="BB127" s="5" t="s">
        <v>354</v>
      </c>
      <c r="BC127" s="5">
        <v>10000</v>
      </c>
      <c r="BD127" s="5">
        <v>0</v>
      </c>
      <c r="BE127" s="5" t="s">
        <v>358</v>
      </c>
      <c r="BF127" s="5">
        <v>0</v>
      </c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>
        <v>30033</v>
      </c>
      <c r="CG127" s="5" t="s">
        <v>372</v>
      </c>
      <c r="CH127" s="5">
        <v>1100</v>
      </c>
      <c r="CI127" s="5">
        <v>80</v>
      </c>
      <c r="CJ127" s="5" t="s">
        <v>373</v>
      </c>
      <c r="CK127" s="5">
        <v>1</v>
      </c>
      <c r="CL127" s="5">
        <v>0</v>
      </c>
      <c r="CM127" s="5">
        <v>1</v>
      </c>
      <c r="CN127" s="5">
        <v>900</v>
      </c>
      <c r="CO127" s="5">
        <v>70</v>
      </c>
      <c r="CP127" s="5">
        <v>0</v>
      </c>
      <c r="CQ127" s="5">
        <v>0</v>
      </c>
      <c r="CR127" s="5">
        <v>10310001</v>
      </c>
      <c r="CS127" s="5">
        <v>0</v>
      </c>
      <c r="CT127" s="5">
        <v>0</v>
      </c>
      <c r="CU127" s="5">
        <v>0</v>
      </c>
      <c r="CV127" s="5" t="s">
        <v>355</v>
      </c>
      <c r="CW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/>
      <c r="EX127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/>
      <c r="GW127"/>
      <c r="GX127" s="5">
        <v>200</v>
      </c>
      <c r="GY127" s="5">
        <v>400</v>
      </c>
      <c r="GZ127" s="5" t="s">
        <v>383</v>
      </c>
      <c r="HA127" s="5">
        <v>0</v>
      </c>
      <c r="HB127" s="5" t="s">
        <v>366</v>
      </c>
      <c r="HC127" s="5" t="s">
        <v>366</v>
      </c>
      <c r="HD127" s="5" t="b">
        <v>1</v>
      </c>
      <c r="HE127" s="5">
        <v>4000</v>
      </c>
      <c r="HF127" s="5" t="b">
        <v>0</v>
      </c>
      <c r="HG127" s="5">
        <v>0</v>
      </c>
      <c r="HH127" s="5">
        <v>0</v>
      </c>
      <c r="HI127" s="5">
        <v>0</v>
      </c>
      <c r="HJ127" s="5">
        <v>0</v>
      </c>
      <c r="HK127" s="5" t="b">
        <v>0</v>
      </c>
      <c r="HL127" s="5">
        <v>0</v>
      </c>
      <c r="HM127" s="5">
        <v>10001</v>
      </c>
      <c r="HN127" s="5" t="s">
        <v>367</v>
      </c>
      <c r="HO127" s="5" t="s">
        <v>360</v>
      </c>
      <c r="HP127" s="5">
        <v>0</v>
      </c>
      <c r="HQ127" s="5">
        <v>0</v>
      </c>
      <c r="HR127" s="5">
        <v>0</v>
      </c>
      <c r="HS127" s="5">
        <v>0</v>
      </c>
      <c r="HT127" s="5" t="b">
        <v>0</v>
      </c>
    </row>
    <row r="128" spans="1:228">
      <c r="A128"/>
      <c r="B128" s="1">
        <f>10000000+INDEX(编号表!$B$1:$B$112,MATCH(D128,编号表!$A$1:$A$112,0))*10000+I128</f>
        <v>10130002</v>
      </c>
      <c r="C128" s="5" t="s">
        <v>404</v>
      </c>
      <c r="D128" s="5" t="s">
        <v>404</v>
      </c>
      <c r="E128" s="5" t="s">
        <v>348</v>
      </c>
      <c r="F128" s="5" t="s">
        <v>349</v>
      </c>
      <c r="G128" s="5" t="b">
        <v>0</v>
      </c>
      <c r="H128" s="5" t="b">
        <v>0</v>
      </c>
      <c r="I128" s="5">
        <v>2</v>
      </c>
      <c r="J128" s="5">
        <v>101300</v>
      </c>
      <c r="K128" s="5" t="s">
        <v>350</v>
      </c>
      <c r="L128" s="5">
        <v>10130001</v>
      </c>
      <c r="M128" s="5">
        <v>10130003</v>
      </c>
      <c r="N128" s="5" t="s">
        <v>405</v>
      </c>
      <c r="O128" s="5">
        <v>10202012</v>
      </c>
      <c r="P128" s="5">
        <v>0</v>
      </c>
      <c r="Q128" s="5">
        <v>1</v>
      </c>
      <c r="R128" s="5">
        <v>7</v>
      </c>
      <c r="S128" s="5">
        <v>0</v>
      </c>
      <c r="T128" s="5">
        <v>100</v>
      </c>
      <c r="U128" s="5" t="s">
        <v>364</v>
      </c>
      <c r="V128" s="5">
        <v>850</v>
      </c>
      <c r="W128" s="5">
        <v>0</v>
      </c>
      <c r="X128" s="5" t="inlineStr">
        <is>
          <t xml:space="preserve">目标点</t>
        </is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 t="s">
        <v>356</v>
      </c>
      <c r="AZ128" s="5">
        <v>10400</v>
      </c>
      <c r="BA128" s="5" t="s">
        <v>371</v>
      </c>
      <c r="BB128" s="5" t="s">
        <v>354</v>
      </c>
      <c r="BC128" s="5">
        <v>10000</v>
      </c>
      <c r="BD128" s="5">
        <v>0</v>
      </c>
      <c r="BE128" s="5" t="s">
        <v>358</v>
      </c>
      <c r="BF128" s="5">
        <v>0</v>
      </c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>
        <v>30033</v>
      </c>
      <c r="CG128" s="5" t="s">
        <v>372</v>
      </c>
      <c r="CH128" s="5">
        <v>1100</v>
      </c>
      <c r="CI128" s="5">
        <v>80</v>
      </c>
      <c r="CJ128" s="5" t="s">
        <v>373</v>
      </c>
      <c r="CK128" s="5">
        <v>1</v>
      </c>
      <c r="CL128" s="5">
        <v>0</v>
      </c>
      <c r="CM128" s="5">
        <v>1</v>
      </c>
      <c r="CN128" s="5">
        <v>900</v>
      </c>
      <c r="CO128" s="5">
        <v>70</v>
      </c>
      <c r="CP128" s="5">
        <v>0</v>
      </c>
      <c r="CQ128" s="5">
        <v>0</v>
      </c>
      <c r="CR128" s="5">
        <v>10310002</v>
      </c>
      <c r="CS128" s="5">
        <v>0</v>
      </c>
      <c r="CT128" s="5">
        <v>0</v>
      </c>
      <c r="CU128" s="5">
        <v>0</v>
      </c>
      <c r="CV128" s="5" t="s">
        <v>355</v>
      </c>
      <c r="CW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/>
      <c r="EX128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/>
      <c r="GW128"/>
      <c r="GX128" s="5">
        <v>200</v>
      </c>
      <c r="GY128" s="5">
        <v>400</v>
      </c>
      <c r="GZ128" s="5" t="s">
        <v>383</v>
      </c>
      <c r="HA128" s="5">
        <v>0</v>
      </c>
      <c r="HB128" s="5" t="s">
        <v>366</v>
      </c>
      <c r="HC128" s="5" t="s">
        <v>366</v>
      </c>
      <c r="HD128" s="5" t="b">
        <v>1</v>
      </c>
      <c r="HE128" s="5">
        <v>4000</v>
      </c>
      <c r="HF128" s="5" t="b">
        <v>0</v>
      </c>
      <c r="HG128" s="5">
        <v>0</v>
      </c>
      <c r="HH128" s="5">
        <v>0</v>
      </c>
      <c r="HI128" s="5">
        <v>0</v>
      </c>
      <c r="HJ128" s="5">
        <v>0</v>
      </c>
      <c r="HK128" s="5" t="b">
        <v>0</v>
      </c>
      <c r="HL128" s="5">
        <v>0</v>
      </c>
      <c r="HM128" s="5">
        <v>10001</v>
      </c>
      <c r="HN128" s="5" t="s">
        <v>367</v>
      </c>
      <c r="HO128" s="5" t="s">
        <v>360</v>
      </c>
      <c r="HP128" s="5">
        <v>0</v>
      </c>
      <c r="HQ128" s="5">
        <v>0</v>
      </c>
      <c r="HR128" s="5">
        <v>0</v>
      </c>
      <c r="HS128" s="5">
        <v>0</v>
      </c>
      <c r="HT128" s="5" t="b">
        <v>0</v>
      </c>
    </row>
    <row r="129" spans="1:228">
      <c r="A129"/>
      <c r="B129" s="1">
        <f>10000000+INDEX(编号表!$B$1:$B$112,MATCH(D129,编号表!$A$1:$A$112,0))*10000+I129</f>
        <v>10130003</v>
      </c>
      <c r="C129" s="5" t="s">
        <v>404</v>
      </c>
      <c r="D129" s="5" t="s">
        <v>404</v>
      </c>
      <c r="E129" s="5" t="s">
        <v>348</v>
      </c>
      <c r="F129" s="5" t="s">
        <v>349</v>
      </c>
      <c r="G129" s="5" t="b">
        <v>0</v>
      </c>
      <c r="H129" s="5" t="b">
        <v>0</v>
      </c>
      <c r="I129" s="5">
        <v>3</v>
      </c>
      <c r="J129" s="5">
        <v>101300</v>
      </c>
      <c r="K129" s="5" t="s">
        <v>350</v>
      </c>
      <c r="L129" s="5">
        <v>10130002</v>
      </c>
      <c r="M129" s="5">
        <v>10130004</v>
      </c>
      <c r="N129" s="5" t="s">
        <v>405</v>
      </c>
      <c r="O129" s="5">
        <v>10202012</v>
      </c>
      <c r="P129" s="5">
        <v>0</v>
      </c>
      <c r="Q129" s="5">
        <v>2</v>
      </c>
      <c r="R129" s="5">
        <v>11</v>
      </c>
      <c r="S129" s="5">
        <v>0</v>
      </c>
      <c r="T129" s="5">
        <v>100</v>
      </c>
      <c r="U129" s="5" t="s">
        <v>364</v>
      </c>
      <c r="V129" s="5">
        <v>850</v>
      </c>
      <c r="W129" s="5">
        <v>0</v>
      </c>
      <c r="X129" s="5" t="inlineStr">
        <is>
          <t xml:space="preserve">目标点</t>
        </is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 t="s">
        <v>356</v>
      </c>
      <c r="AZ129" s="5">
        <v>10800</v>
      </c>
      <c r="BA129" s="5" t="s">
        <v>371</v>
      </c>
      <c r="BB129" s="5" t="s">
        <v>354</v>
      </c>
      <c r="BC129" s="5">
        <v>10000</v>
      </c>
      <c r="BD129" s="5">
        <v>0</v>
      </c>
      <c r="BE129" s="5" t="s">
        <v>358</v>
      </c>
      <c r="BF129" s="5">
        <v>0</v>
      </c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>
        <v>30033</v>
      </c>
      <c r="CG129" s="5" t="s">
        <v>372</v>
      </c>
      <c r="CH129" s="5">
        <v>1100</v>
      </c>
      <c r="CI129" s="5">
        <v>80</v>
      </c>
      <c r="CJ129" s="5" t="s">
        <v>373</v>
      </c>
      <c r="CK129" s="5">
        <v>1</v>
      </c>
      <c r="CL129" s="5">
        <v>0</v>
      </c>
      <c r="CM129" s="5">
        <v>1</v>
      </c>
      <c r="CN129" s="5">
        <v>900</v>
      </c>
      <c r="CO129" s="5">
        <v>70</v>
      </c>
      <c r="CP129" s="5">
        <v>0</v>
      </c>
      <c r="CQ129" s="5">
        <v>0</v>
      </c>
      <c r="CR129" s="5">
        <v>10310003</v>
      </c>
      <c r="CS129" s="5">
        <v>0</v>
      </c>
      <c r="CT129" s="5">
        <v>0</v>
      </c>
      <c r="CU129" s="5">
        <v>0</v>
      </c>
      <c r="CV129" s="5" t="s">
        <v>355</v>
      </c>
      <c r="CW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/>
      <c r="EX129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/>
      <c r="GW129"/>
      <c r="GX129" s="5">
        <v>200</v>
      </c>
      <c r="GY129" s="5">
        <v>400</v>
      </c>
      <c r="GZ129" s="5" t="s">
        <v>383</v>
      </c>
      <c r="HA129" s="5">
        <v>0</v>
      </c>
      <c r="HB129" s="5" t="s">
        <v>366</v>
      </c>
      <c r="HC129" s="5" t="s">
        <v>366</v>
      </c>
      <c r="HD129" s="5" t="b">
        <v>1</v>
      </c>
      <c r="HE129" s="5">
        <v>4000</v>
      </c>
      <c r="HF129" s="5" t="b">
        <v>0</v>
      </c>
      <c r="HG129" s="5">
        <v>0</v>
      </c>
      <c r="HH129" s="5">
        <v>0</v>
      </c>
      <c r="HI129" s="5">
        <v>0</v>
      </c>
      <c r="HJ129" s="5">
        <v>0</v>
      </c>
      <c r="HK129" s="5" t="b">
        <v>0</v>
      </c>
      <c r="HL129" s="5">
        <v>0</v>
      </c>
      <c r="HM129" s="5">
        <v>10001</v>
      </c>
      <c r="HN129" s="5" t="s">
        <v>367</v>
      </c>
      <c r="HO129" s="5" t="s">
        <v>360</v>
      </c>
      <c r="HP129" s="5">
        <v>0</v>
      </c>
      <c r="HQ129" s="5">
        <v>0</v>
      </c>
      <c r="HR129" s="5">
        <v>0</v>
      </c>
      <c r="HS129" s="5">
        <v>0</v>
      </c>
      <c r="HT129" s="5" t="b">
        <v>0</v>
      </c>
    </row>
    <row r="130" spans="1:228">
      <c r="A130"/>
      <c r="B130" s="1">
        <f>10000000+INDEX(编号表!$B$1:$B$112,MATCH(D130,编号表!$A$1:$A$112,0))*10000+I130</f>
        <v>10130004</v>
      </c>
      <c r="C130" s="5" t="s">
        <v>404</v>
      </c>
      <c r="D130" s="5" t="s">
        <v>404</v>
      </c>
      <c r="E130" s="5" t="s">
        <v>348</v>
      </c>
      <c r="F130" s="5" t="s">
        <v>349</v>
      </c>
      <c r="G130" s="5" t="b">
        <v>0</v>
      </c>
      <c r="H130" s="5" t="b">
        <v>0</v>
      </c>
      <c r="I130" s="5">
        <v>4</v>
      </c>
      <c r="J130" s="5">
        <v>101300</v>
      </c>
      <c r="K130" s="5" t="s">
        <v>350</v>
      </c>
      <c r="L130" s="5">
        <v>10130003</v>
      </c>
      <c r="M130" s="5">
        <v>10130005</v>
      </c>
      <c r="N130" s="5" t="s">
        <v>405</v>
      </c>
      <c r="O130" s="5">
        <v>10202012</v>
      </c>
      <c r="P130" s="5">
        <v>0</v>
      </c>
      <c r="Q130" s="5">
        <v>3</v>
      </c>
      <c r="R130" s="5">
        <v>16</v>
      </c>
      <c r="S130" s="5">
        <v>0</v>
      </c>
      <c r="T130" s="5">
        <v>100</v>
      </c>
      <c r="U130" s="5" t="s">
        <v>364</v>
      </c>
      <c r="V130" s="5">
        <v>850</v>
      </c>
      <c r="W130" s="5">
        <v>0</v>
      </c>
      <c r="X130" s="5" t="inlineStr">
        <is>
          <t xml:space="preserve">目标点</t>
        </is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 t="s">
        <v>356</v>
      </c>
      <c r="AZ130" s="5">
        <v>11200</v>
      </c>
      <c r="BA130" s="5" t="s">
        <v>371</v>
      </c>
      <c r="BB130" s="5" t="s">
        <v>354</v>
      </c>
      <c r="BC130" s="5">
        <v>10000</v>
      </c>
      <c r="BD130" s="5">
        <v>0</v>
      </c>
      <c r="BE130" s="5" t="s">
        <v>358</v>
      </c>
      <c r="BF130" s="5">
        <v>0</v>
      </c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>
        <v>30033</v>
      </c>
      <c r="CG130" s="5" t="s">
        <v>372</v>
      </c>
      <c r="CH130" s="5">
        <v>1100</v>
      </c>
      <c r="CI130" s="5">
        <v>80</v>
      </c>
      <c r="CJ130" s="5" t="s">
        <v>373</v>
      </c>
      <c r="CK130" s="5">
        <v>1</v>
      </c>
      <c r="CL130" s="5">
        <v>0</v>
      </c>
      <c r="CM130" s="5">
        <v>1</v>
      </c>
      <c r="CN130" s="5">
        <v>900</v>
      </c>
      <c r="CO130" s="5">
        <v>70</v>
      </c>
      <c r="CP130" s="5">
        <v>0</v>
      </c>
      <c r="CQ130" s="5">
        <v>0</v>
      </c>
      <c r="CR130" s="5">
        <v>10310004</v>
      </c>
      <c r="CS130" s="5">
        <v>0</v>
      </c>
      <c r="CT130" s="5">
        <v>0</v>
      </c>
      <c r="CU130" s="5">
        <v>0</v>
      </c>
      <c r="CV130" s="5" t="s">
        <v>355</v>
      </c>
      <c r="CW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/>
      <c r="EX130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/>
      <c r="GW130"/>
      <c r="GX130" s="5">
        <v>200</v>
      </c>
      <c r="GY130" s="5">
        <v>400</v>
      </c>
      <c r="GZ130" s="5" t="s">
        <v>383</v>
      </c>
      <c r="HA130" s="5">
        <v>0</v>
      </c>
      <c r="HB130" s="5" t="s">
        <v>366</v>
      </c>
      <c r="HC130" s="5" t="s">
        <v>366</v>
      </c>
      <c r="HD130" s="5" t="b">
        <v>1</v>
      </c>
      <c r="HE130" s="5">
        <v>4000</v>
      </c>
      <c r="HF130" s="5" t="b">
        <v>0</v>
      </c>
      <c r="HG130" s="5">
        <v>0</v>
      </c>
      <c r="HH130" s="5">
        <v>0</v>
      </c>
      <c r="HI130" s="5">
        <v>0</v>
      </c>
      <c r="HJ130" s="5">
        <v>0</v>
      </c>
      <c r="HK130" s="5" t="b">
        <v>0</v>
      </c>
      <c r="HL130" s="5">
        <v>0</v>
      </c>
      <c r="HM130" s="5">
        <v>10001</v>
      </c>
      <c r="HN130" s="5" t="s">
        <v>367</v>
      </c>
      <c r="HO130" s="5" t="s">
        <v>360</v>
      </c>
      <c r="HP130" s="5">
        <v>0</v>
      </c>
      <c r="HQ130" s="5">
        <v>0</v>
      </c>
      <c r="HR130" s="5">
        <v>0</v>
      </c>
      <c r="HS130" s="5">
        <v>0</v>
      </c>
      <c r="HT130" s="5" t="b">
        <v>0</v>
      </c>
    </row>
    <row r="131" spans="1:228">
      <c r="A131"/>
      <c r="B131" s="1">
        <f>10000000+INDEX(编号表!$B$1:$B$112,MATCH(D131,编号表!$A$1:$A$112,0))*10000+I131</f>
        <v>10130005</v>
      </c>
      <c r="C131" s="5" t="s">
        <v>404</v>
      </c>
      <c r="D131" s="5" t="s">
        <v>404</v>
      </c>
      <c r="E131" s="5" t="s">
        <v>348</v>
      </c>
      <c r="F131" s="5" t="s">
        <v>349</v>
      </c>
      <c r="G131" s="5" t="b">
        <v>0</v>
      </c>
      <c r="H131" s="5" t="b">
        <v>0</v>
      </c>
      <c r="I131" s="5">
        <v>5</v>
      </c>
      <c r="J131" s="5">
        <v>101300</v>
      </c>
      <c r="K131" s="5" t="s">
        <v>350</v>
      </c>
      <c r="L131" s="5">
        <v>10130004</v>
      </c>
      <c r="M131" s="5">
        <v>10130006</v>
      </c>
      <c r="N131" s="5" t="s">
        <v>405</v>
      </c>
      <c r="O131" s="5">
        <v>10202012</v>
      </c>
      <c r="P131" s="5">
        <v>0</v>
      </c>
      <c r="Q131" s="5">
        <v>3</v>
      </c>
      <c r="R131" s="5">
        <v>25</v>
      </c>
      <c r="S131" s="5">
        <v>0</v>
      </c>
      <c r="T131" s="5">
        <v>100</v>
      </c>
      <c r="U131" s="5" t="s">
        <v>364</v>
      </c>
      <c r="V131" s="5">
        <v>850</v>
      </c>
      <c r="W131" s="5">
        <v>0</v>
      </c>
      <c r="X131" s="5" t="inlineStr">
        <is>
          <t xml:space="preserve">目标点</t>
        </is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 t="s">
        <v>356</v>
      </c>
      <c r="AZ131" s="5">
        <v>11300</v>
      </c>
      <c r="BA131" s="5" t="s">
        <v>371</v>
      </c>
      <c r="BB131" s="5" t="s">
        <v>354</v>
      </c>
      <c r="BC131" s="5">
        <v>10000</v>
      </c>
      <c r="BD131" s="5">
        <v>0</v>
      </c>
      <c r="BE131" s="5" t="s">
        <v>358</v>
      </c>
      <c r="BF131" s="5">
        <v>0</v>
      </c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>
        <v>30033</v>
      </c>
      <c r="CG131" s="5" t="s">
        <v>372</v>
      </c>
      <c r="CH131" s="5">
        <v>1100</v>
      </c>
      <c r="CI131" s="5">
        <v>80</v>
      </c>
      <c r="CJ131" s="5" t="s">
        <v>373</v>
      </c>
      <c r="CK131" s="5">
        <v>1</v>
      </c>
      <c r="CL131" s="5">
        <v>0</v>
      </c>
      <c r="CM131" s="5">
        <v>1</v>
      </c>
      <c r="CN131" s="5">
        <v>900</v>
      </c>
      <c r="CO131" s="5">
        <v>70</v>
      </c>
      <c r="CP131" s="5">
        <v>0</v>
      </c>
      <c r="CQ131" s="5">
        <v>0</v>
      </c>
      <c r="CR131" s="5">
        <v>10310005</v>
      </c>
      <c r="CS131" s="5">
        <v>0</v>
      </c>
      <c r="CT131" s="5">
        <v>0</v>
      </c>
      <c r="CU131" s="5">
        <v>0</v>
      </c>
      <c r="CV131" s="5" t="s">
        <v>355</v>
      </c>
      <c r="CW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/>
      <c r="EX131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/>
      <c r="GW131"/>
      <c r="GX131" s="5">
        <v>200</v>
      </c>
      <c r="GY131" s="5">
        <v>400</v>
      </c>
      <c r="GZ131" s="5" t="s">
        <v>383</v>
      </c>
      <c r="HA131" s="5">
        <v>0</v>
      </c>
      <c r="HB131" s="5" t="s">
        <v>366</v>
      </c>
      <c r="HC131" s="5" t="s">
        <v>366</v>
      </c>
      <c r="HD131" s="5" t="b">
        <v>1</v>
      </c>
      <c r="HE131" s="5">
        <v>4000</v>
      </c>
      <c r="HF131" s="5" t="b">
        <v>0</v>
      </c>
      <c r="HG131" s="5">
        <v>0</v>
      </c>
      <c r="HH131" s="5">
        <v>0</v>
      </c>
      <c r="HI131" s="5">
        <v>0</v>
      </c>
      <c r="HJ131" s="5">
        <v>0</v>
      </c>
      <c r="HK131" s="5" t="b">
        <v>0</v>
      </c>
      <c r="HL131" s="5">
        <v>0</v>
      </c>
      <c r="HM131" s="5">
        <v>10001</v>
      </c>
      <c r="HN131" s="5" t="s">
        <v>367</v>
      </c>
      <c r="HO131" s="5" t="s">
        <v>360</v>
      </c>
      <c r="HP131" s="5">
        <v>0</v>
      </c>
      <c r="HQ131" s="5">
        <v>0</v>
      </c>
      <c r="HR131" s="5">
        <v>0</v>
      </c>
      <c r="HS131" s="5">
        <v>0</v>
      </c>
      <c r="HT131" s="5" t="b">
        <v>0</v>
      </c>
    </row>
    <row r="132" spans="1:228">
      <c r="A132"/>
      <c r="B132" s="1">
        <f>10000000+INDEX(编号表!$B$1:$B$112,MATCH(D132,编号表!$A$1:$A$112,0))*10000+I132</f>
        <v>10130006</v>
      </c>
      <c r="C132" s="5" t="s">
        <v>404</v>
      </c>
      <c r="D132" s="5" t="s">
        <v>404</v>
      </c>
      <c r="E132" s="5" t="s">
        <v>348</v>
      </c>
      <c r="F132" s="5" t="s">
        <v>349</v>
      </c>
      <c r="G132" s="5" t="b">
        <v>0</v>
      </c>
      <c r="H132" s="5" t="b">
        <v>0</v>
      </c>
      <c r="I132" s="5">
        <v>6</v>
      </c>
      <c r="J132" s="5">
        <v>101300</v>
      </c>
      <c r="K132" s="5" t="s">
        <v>350</v>
      </c>
      <c r="L132" s="5">
        <v>10130005</v>
      </c>
      <c r="M132" s="5">
        <v>10130007</v>
      </c>
      <c r="N132" s="5" t="s">
        <v>405</v>
      </c>
      <c r="O132" s="5">
        <v>10202012</v>
      </c>
      <c r="P132" s="5">
        <v>0</v>
      </c>
      <c r="Q132" s="5">
        <v>3</v>
      </c>
      <c r="R132" s="5">
        <v>30</v>
      </c>
      <c r="S132" s="5">
        <v>0</v>
      </c>
      <c r="T132" s="5">
        <v>100</v>
      </c>
      <c r="U132" s="5" t="s">
        <v>364</v>
      </c>
      <c r="V132" s="5">
        <v>850</v>
      </c>
      <c r="W132" s="5">
        <v>0</v>
      </c>
      <c r="X132" s="5" t="inlineStr">
        <is>
          <t xml:space="preserve">目标点</t>
        </is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 t="s">
        <v>356</v>
      </c>
      <c r="AZ132" s="5">
        <v>11600</v>
      </c>
      <c r="BA132" s="5" t="s">
        <v>371</v>
      </c>
      <c r="BB132" s="5" t="s">
        <v>354</v>
      </c>
      <c r="BC132" s="5">
        <v>10000</v>
      </c>
      <c r="BD132" s="5">
        <v>0</v>
      </c>
      <c r="BE132" s="5" t="s">
        <v>358</v>
      </c>
      <c r="BF132" s="5">
        <v>0</v>
      </c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>
        <v>30033</v>
      </c>
      <c r="CG132" s="5" t="s">
        <v>372</v>
      </c>
      <c r="CH132" s="5">
        <v>1100</v>
      </c>
      <c r="CI132" s="5">
        <v>80</v>
      </c>
      <c r="CJ132" s="5" t="s">
        <v>373</v>
      </c>
      <c r="CK132" s="5">
        <v>1</v>
      </c>
      <c r="CL132" s="5">
        <v>0</v>
      </c>
      <c r="CM132" s="5">
        <v>1</v>
      </c>
      <c r="CN132" s="5">
        <v>900</v>
      </c>
      <c r="CO132" s="5">
        <v>70</v>
      </c>
      <c r="CP132" s="5">
        <v>0</v>
      </c>
      <c r="CQ132" s="5">
        <v>0</v>
      </c>
      <c r="CR132" s="5">
        <v>10310006</v>
      </c>
      <c r="CS132" s="5">
        <v>0</v>
      </c>
      <c r="CT132" s="5">
        <v>0</v>
      </c>
      <c r="CU132" s="5">
        <v>0</v>
      </c>
      <c r="CV132" s="5" t="s">
        <v>355</v>
      </c>
      <c r="CW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/>
      <c r="EX132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/>
      <c r="GW132"/>
      <c r="GX132" s="5">
        <v>200</v>
      </c>
      <c r="GY132" s="5">
        <v>400</v>
      </c>
      <c r="GZ132" s="5" t="s">
        <v>383</v>
      </c>
      <c r="HA132" s="5">
        <v>0</v>
      </c>
      <c r="HB132" s="5" t="s">
        <v>366</v>
      </c>
      <c r="HC132" s="5" t="s">
        <v>366</v>
      </c>
      <c r="HD132" s="5" t="b">
        <v>1</v>
      </c>
      <c r="HE132" s="5">
        <v>4000</v>
      </c>
      <c r="HF132" s="5" t="b">
        <v>0</v>
      </c>
      <c r="HG132" s="5">
        <v>0</v>
      </c>
      <c r="HH132" s="5">
        <v>0</v>
      </c>
      <c r="HI132" s="5">
        <v>0</v>
      </c>
      <c r="HJ132" s="5">
        <v>0</v>
      </c>
      <c r="HK132" s="5" t="b">
        <v>0</v>
      </c>
      <c r="HL132" s="5">
        <v>0</v>
      </c>
      <c r="HM132" s="5">
        <v>10001</v>
      </c>
      <c r="HN132" s="5" t="s">
        <v>367</v>
      </c>
      <c r="HO132" s="5" t="s">
        <v>360</v>
      </c>
      <c r="HP132" s="5">
        <v>0</v>
      </c>
      <c r="HQ132" s="5">
        <v>0</v>
      </c>
      <c r="HR132" s="5">
        <v>0</v>
      </c>
      <c r="HS132" s="5">
        <v>0</v>
      </c>
      <c r="HT132" s="5" t="b">
        <v>0</v>
      </c>
    </row>
    <row r="133" spans="1:228">
      <c r="A133"/>
      <c r="B133" s="1">
        <f>10000000+INDEX(编号表!$B$1:$B$112,MATCH(D133,编号表!$A$1:$A$112,0))*10000+I133</f>
        <v>10130007</v>
      </c>
      <c r="C133" s="5" t="s">
        <v>404</v>
      </c>
      <c r="D133" s="5" t="s">
        <v>404</v>
      </c>
      <c r="E133" s="5" t="s">
        <v>348</v>
      </c>
      <c r="F133" s="5" t="s">
        <v>349</v>
      </c>
      <c r="G133" s="5" t="b">
        <v>0</v>
      </c>
      <c r="H133" s="5" t="b">
        <v>0</v>
      </c>
      <c r="I133" s="5">
        <v>7</v>
      </c>
      <c r="J133" s="5">
        <v>101300</v>
      </c>
      <c r="K133" s="5" t="s">
        <v>350</v>
      </c>
      <c r="L133" s="5">
        <v>10130006</v>
      </c>
      <c r="M133" s="5">
        <v>10130008</v>
      </c>
      <c r="N133" s="5" t="s">
        <v>405</v>
      </c>
      <c r="O133" s="5">
        <v>10202012</v>
      </c>
      <c r="P133" s="5">
        <v>0</v>
      </c>
      <c r="Q133" s="5">
        <v>3</v>
      </c>
      <c r="R133" s="5">
        <v>35</v>
      </c>
      <c r="S133" s="5">
        <v>0</v>
      </c>
      <c r="T133" s="5">
        <v>100</v>
      </c>
      <c r="U133" s="5" t="s">
        <v>364</v>
      </c>
      <c r="V133" s="5">
        <v>850</v>
      </c>
      <c r="W133" s="5">
        <v>0</v>
      </c>
      <c r="X133" s="5" t="inlineStr">
        <is>
          <t xml:space="preserve">目标点</t>
        </is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 t="s">
        <v>356</v>
      </c>
      <c r="AZ133" s="5">
        <v>11700</v>
      </c>
      <c r="BA133" s="5" t="s">
        <v>371</v>
      </c>
      <c r="BB133" s="5" t="s">
        <v>354</v>
      </c>
      <c r="BC133" s="5">
        <v>10000</v>
      </c>
      <c r="BD133" s="5">
        <v>0</v>
      </c>
      <c r="BE133" s="5" t="s">
        <v>358</v>
      </c>
      <c r="BF133" s="5">
        <v>0</v>
      </c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>
        <v>30033</v>
      </c>
      <c r="CG133" s="5" t="s">
        <v>372</v>
      </c>
      <c r="CH133" s="5">
        <v>1100</v>
      </c>
      <c r="CI133" s="5">
        <v>80</v>
      </c>
      <c r="CJ133" s="5" t="s">
        <v>373</v>
      </c>
      <c r="CK133" s="5">
        <v>1</v>
      </c>
      <c r="CL133" s="5">
        <v>0</v>
      </c>
      <c r="CM133" s="5">
        <v>1</v>
      </c>
      <c r="CN133" s="5">
        <v>900</v>
      </c>
      <c r="CO133" s="5">
        <v>70</v>
      </c>
      <c r="CP133" s="5">
        <v>0</v>
      </c>
      <c r="CQ133" s="5">
        <v>0</v>
      </c>
      <c r="CR133" s="5">
        <v>10310007</v>
      </c>
      <c r="CS133" s="5">
        <v>0</v>
      </c>
      <c r="CT133" s="5">
        <v>0</v>
      </c>
      <c r="CU133" s="5">
        <v>0</v>
      </c>
      <c r="CV133" s="5" t="s">
        <v>355</v>
      </c>
      <c r="CW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/>
      <c r="EX133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/>
      <c r="GW133"/>
      <c r="GX133" s="5">
        <v>200</v>
      </c>
      <c r="GY133" s="5">
        <v>400</v>
      </c>
      <c r="GZ133" s="5" t="s">
        <v>383</v>
      </c>
      <c r="HA133" s="5">
        <v>0</v>
      </c>
      <c r="HB133" s="5" t="s">
        <v>366</v>
      </c>
      <c r="HC133" s="5" t="s">
        <v>366</v>
      </c>
      <c r="HD133" s="5" t="b">
        <v>1</v>
      </c>
      <c r="HE133" s="5">
        <v>4000</v>
      </c>
      <c r="HF133" s="5" t="b">
        <v>0</v>
      </c>
      <c r="HG133" s="5">
        <v>0</v>
      </c>
      <c r="HH133" s="5">
        <v>0</v>
      </c>
      <c r="HI133" s="5">
        <v>0</v>
      </c>
      <c r="HJ133" s="5">
        <v>0</v>
      </c>
      <c r="HK133" s="5" t="b">
        <v>0</v>
      </c>
      <c r="HL133" s="5">
        <v>0</v>
      </c>
      <c r="HM133" s="5">
        <v>10001</v>
      </c>
      <c r="HN133" s="5" t="s">
        <v>367</v>
      </c>
      <c r="HO133" s="5" t="s">
        <v>360</v>
      </c>
      <c r="HP133" s="5">
        <v>0</v>
      </c>
      <c r="HQ133" s="5">
        <v>0</v>
      </c>
      <c r="HR133" s="5">
        <v>0</v>
      </c>
      <c r="HS133" s="5">
        <v>0</v>
      </c>
      <c r="HT133" s="5" t="b">
        <v>0</v>
      </c>
    </row>
    <row r="134" spans="1:228">
      <c r="A134"/>
      <c r="B134" s="1">
        <f>10000000+INDEX(编号表!$B$1:$B$112,MATCH(D134,编号表!$A$1:$A$112,0))*10000+I134</f>
        <v>10130008</v>
      </c>
      <c r="C134" s="5" t="s">
        <v>404</v>
      </c>
      <c r="D134" s="5" t="s">
        <v>404</v>
      </c>
      <c r="E134" s="5" t="s">
        <v>348</v>
      </c>
      <c r="F134" s="5" t="s">
        <v>349</v>
      </c>
      <c r="G134" s="5" t="b">
        <v>0</v>
      </c>
      <c r="H134" s="5" t="b">
        <v>0</v>
      </c>
      <c r="I134" s="5">
        <v>8</v>
      </c>
      <c r="J134" s="5">
        <v>101300</v>
      </c>
      <c r="K134" s="5" t="s">
        <v>350</v>
      </c>
      <c r="L134" s="5">
        <v>10130007</v>
      </c>
      <c r="M134" s="5">
        <v>10130009</v>
      </c>
      <c r="N134" s="5" t="s">
        <v>405</v>
      </c>
      <c r="O134" s="5">
        <v>10202012</v>
      </c>
      <c r="P134" s="5">
        <v>0</v>
      </c>
      <c r="Q134" s="5">
        <v>3</v>
      </c>
      <c r="R134" s="5">
        <v>35</v>
      </c>
      <c r="S134" s="5">
        <v>0</v>
      </c>
      <c r="T134" s="5">
        <v>100</v>
      </c>
      <c r="U134" s="5" t="s">
        <v>364</v>
      </c>
      <c r="V134" s="5">
        <v>850</v>
      </c>
      <c r="W134" s="5">
        <v>0</v>
      </c>
      <c r="X134" s="5" t="inlineStr">
        <is>
          <t xml:space="preserve">目标点</t>
        </is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 t="s">
        <v>356</v>
      </c>
      <c r="AZ134" s="5">
        <v>11800</v>
      </c>
      <c r="BA134" s="5" t="s">
        <v>371</v>
      </c>
      <c r="BB134" s="5" t="s">
        <v>354</v>
      </c>
      <c r="BC134" s="5">
        <v>10000</v>
      </c>
      <c r="BD134" s="5">
        <v>0</v>
      </c>
      <c r="BE134" s="5" t="s">
        <v>358</v>
      </c>
      <c r="BF134" s="5">
        <v>0</v>
      </c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>
        <v>30033</v>
      </c>
      <c r="CG134" s="5" t="s">
        <v>372</v>
      </c>
      <c r="CH134" s="5">
        <v>1100</v>
      </c>
      <c r="CI134" s="5">
        <v>80</v>
      </c>
      <c r="CJ134" s="5" t="s">
        <v>373</v>
      </c>
      <c r="CK134" s="5">
        <v>1</v>
      </c>
      <c r="CL134" s="5">
        <v>0</v>
      </c>
      <c r="CM134" s="5">
        <v>1</v>
      </c>
      <c r="CN134" s="5">
        <v>900</v>
      </c>
      <c r="CO134" s="5">
        <v>70</v>
      </c>
      <c r="CP134" s="5">
        <v>0</v>
      </c>
      <c r="CQ134" s="5">
        <v>0</v>
      </c>
      <c r="CR134" s="5">
        <v>10310008</v>
      </c>
      <c r="CS134" s="5">
        <v>0</v>
      </c>
      <c r="CT134" s="5">
        <v>0</v>
      </c>
      <c r="CU134" s="5">
        <v>0</v>
      </c>
      <c r="CV134" s="5" t="s">
        <v>355</v>
      </c>
      <c r="CW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/>
      <c r="EX134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/>
      <c r="GW134"/>
      <c r="GX134" s="5">
        <v>200</v>
      </c>
      <c r="GY134" s="5">
        <v>400</v>
      </c>
      <c r="GZ134" s="5" t="s">
        <v>383</v>
      </c>
      <c r="HA134" s="5">
        <v>0</v>
      </c>
      <c r="HB134" s="5" t="s">
        <v>366</v>
      </c>
      <c r="HC134" s="5" t="s">
        <v>366</v>
      </c>
      <c r="HD134" s="5" t="b">
        <v>1</v>
      </c>
      <c r="HE134" s="5">
        <v>4000</v>
      </c>
      <c r="HF134" s="5" t="b">
        <v>0</v>
      </c>
      <c r="HG134" s="5">
        <v>0</v>
      </c>
      <c r="HH134" s="5">
        <v>0</v>
      </c>
      <c r="HI134" s="5">
        <v>0</v>
      </c>
      <c r="HJ134" s="5">
        <v>0</v>
      </c>
      <c r="HK134" s="5" t="b">
        <v>0</v>
      </c>
      <c r="HL134" s="5">
        <v>0</v>
      </c>
      <c r="HM134" s="5">
        <v>10001</v>
      </c>
      <c r="HN134" s="5" t="s">
        <v>367</v>
      </c>
      <c r="HO134" s="5" t="s">
        <v>360</v>
      </c>
      <c r="HP134" s="5">
        <v>0</v>
      </c>
      <c r="HQ134" s="5">
        <v>0</v>
      </c>
      <c r="HR134" s="5">
        <v>0</v>
      </c>
      <c r="HS134" s="5">
        <v>0</v>
      </c>
      <c r="HT134" s="5" t="b">
        <v>0</v>
      </c>
    </row>
    <row r="135" spans="1:228">
      <c r="A135"/>
      <c r="B135" s="1">
        <f>10000000+INDEX(编号表!$B$1:$B$112,MATCH(D135,编号表!$A$1:$A$112,0))*10000+I135</f>
        <v>10130009</v>
      </c>
      <c r="C135" s="5" t="s">
        <v>404</v>
      </c>
      <c r="D135" s="5" t="s">
        <v>404</v>
      </c>
      <c r="E135" s="5" t="s">
        <v>348</v>
      </c>
      <c r="F135" s="5" t="s">
        <v>349</v>
      </c>
      <c r="G135" s="5" t="b">
        <v>0</v>
      </c>
      <c r="H135" s="5" t="b">
        <v>0</v>
      </c>
      <c r="I135" s="5">
        <v>9</v>
      </c>
      <c r="J135" s="5">
        <v>101300</v>
      </c>
      <c r="K135" s="5" t="s">
        <v>350</v>
      </c>
      <c r="L135" s="5">
        <v>10130008</v>
      </c>
      <c r="M135" s="5">
        <v>10130010</v>
      </c>
      <c r="N135" s="5" t="s">
        <v>405</v>
      </c>
      <c r="O135" s="5">
        <v>10202012</v>
      </c>
      <c r="P135" s="5">
        <v>0</v>
      </c>
      <c r="Q135" s="5">
        <v>3</v>
      </c>
      <c r="R135" s="5">
        <v>40</v>
      </c>
      <c r="S135" s="5">
        <v>0</v>
      </c>
      <c r="T135" s="5">
        <v>100</v>
      </c>
      <c r="U135" s="5" t="s">
        <v>364</v>
      </c>
      <c r="V135" s="5">
        <v>850</v>
      </c>
      <c r="W135" s="5">
        <v>0</v>
      </c>
      <c r="X135" s="5" t="inlineStr">
        <is>
          <t xml:space="preserve">目标点</t>
        </is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 t="s">
        <v>356</v>
      </c>
      <c r="AZ135" s="5">
        <v>11900</v>
      </c>
      <c r="BA135" s="5" t="s">
        <v>371</v>
      </c>
      <c r="BB135" s="5" t="s">
        <v>354</v>
      </c>
      <c r="BC135" s="5">
        <v>10000</v>
      </c>
      <c r="BD135" s="5">
        <v>0</v>
      </c>
      <c r="BE135" s="5" t="s">
        <v>358</v>
      </c>
      <c r="BF135" s="5">
        <v>0</v>
      </c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>
        <v>30033</v>
      </c>
      <c r="CG135" s="5" t="s">
        <v>372</v>
      </c>
      <c r="CH135" s="5">
        <v>1100</v>
      </c>
      <c r="CI135" s="5">
        <v>80</v>
      </c>
      <c r="CJ135" s="5" t="s">
        <v>373</v>
      </c>
      <c r="CK135" s="5">
        <v>1</v>
      </c>
      <c r="CL135" s="5">
        <v>0</v>
      </c>
      <c r="CM135" s="5">
        <v>1</v>
      </c>
      <c r="CN135" s="5">
        <v>900</v>
      </c>
      <c r="CO135" s="5">
        <v>70</v>
      </c>
      <c r="CP135" s="5">
        <v>0</v>
      </c>
      <c r="CQ135" s="5">
        <v>0</v>
      </c>
      <c r="CR135" s="5">
        <v>10310009</v>
      </c>
      <c r="CS135" s="5">
        <v>0</v>
      </c>
      <c r="CT135" s="5">
        <v>0</v>
      </c>
      <c r="CU135" s="5">
        <v>0</v>
      </c>
      <c r="CV135" s="5" t="s">
        <v>355</v>
      </c>
      <c r="CW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/>
      <c r="EX13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/>
      <c r="GW135"/>
      <c r="GX135" s="5">
        <v>200</v>
      </c>
      <c r="GY135" s="5">
        <v>400</v>
      </c>
      <c r="GZ135" s="5" t="s">
        <v>383</v>
      </c>
      <c r="HA135" s="5">
        <v>0</v>
      </c>
      <c r="HB135" s="5" t="s">
        <v>366</v>
      </c>
      <c r="HC135" s="5" t="s">
        <v>366</v>
      </c>
      <c r="HD135" s="5" t="b">
        <v>1</v>
      </c>
      <c r="HE135" s="5">
        <v>4000</v>
      </c>
      <c r="HF135" s="5" t="b">
        <v>0</v>
      </c>
      <c r="HG135" s="5">
        <v>0</v>
      </c>
      <c r="HH135" s="5">
        <v>0</v>
      </c>
      <c r="HI135" s="5">
        <v>0</v>
      </c>
      <c r="HJ135" s="5">
        <v>0</v>
      </c>
      <c r="HK135" s="5" t="b">
        <v>0</v>
      </c>
      <c r="HL135" s="5">
        <v>0</v>
      </c>
      <c r="HM135" s="5">
        <v>10001</v>
      </c>
      <c r="HN135" s="5" t="s">
        <v>367</v>
      </c>
      <c r="HO135" s="5" t="s">
        <v>360</v>
      </c>
      <c r="HP135" s="5">
        <v>0</v>
      </c>
      <c r="HQ135" s="5">
        <v>0</v>
      </c>
      <c r="HR135" s="5">
        <v>0</v>
      </c>
      <c r="HS135" s="5">
        <v>0</v>
      </c>
      <c r="HT135" s="5" t="b">
        <v>0</v>
      </c>
    </row>
    <row r="136" spans="1:228">
      <c r="A136"/>
      <c r="B136" s="1">
        <f>10000000+INDEX(编号表!$B$1:$B$112,MATCH(D136,编号表!$A$1:$A$112,0))*10000+I136</f>
        <v>10130010</v>
      </c>
      <c r="C136" s="5" t="s">
        <v>404</v>
      </c>
      <c r="D136" s="5" t="s">
        <v>404</v>
      </c>
      <c r="E136" s="5" t="s">
        <v>348</v>
      </c>
      <c r="F136" s="5" t="s">
        <v>349</v>
      </c>
      <c r="G136" s="5" t="b">
        <v>0</v>
      </c>
      <c r="H136" s="5" t="b">
        <v>0</v>
      </c>
      <c r="I136" s="5">
        <v>10</v>
      </c>
      <c r="J136" s="5">
        <v>101300</v>
      </c>
      <c r="K136" s="5" t="s">
        <v>350</v>
      </c>
      <c r="L136" s="5">
        <v>10130009</v>
      </c>
      <c r="M136" s="5">
        <v>0</v>
      </c>
      <c r="N136" s="5" t="s">
        <v>405</v>
      </c>
      <c r="O136" s="5">
        <v>10202012</v>
      </c>
      <c r="P136" s="5">
        <v>0</v>
      </c>
      <c r="Q136" s="5">
        <v>3</v>
      </c>
      <c r="R136" s="5">
        <v>40</v>
      </c>
      <c r="S136" s="5">
        <v>0</v>
      </c>
      <c r="T136" s="5">
        <v>0</v>
      </c>
      <c r="U136" s="5" t="s">
        <v>364</v>
      </c>
      <c r="V136" s="5">
        <v>850</v>
      </c>
      <c r="W136" s="5">
        <v>0</v>
      </c>
      <c r="X136" s="5" t="inlineStr">
        <is>
          <t xml:space="preserve">目标点</t>
        </is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 t="s">
        <v>356</v>
      </c>
      <c r="AZ136" s="5">
        <v>12000</v>
      </c>
      <c r="BA136" s="5" t="s">
        <v>371</v>
      </c>
      <c r="BB136" s="5" t="s">
        <v>354</v>
      </c>
      <c r="BC136" s="5">
        <v>10000</v>
      </c>
      <c r="BD136" s="5">
        <v>0</v>
      </c>
      <c r="BE136" s="5" t="s">
        <v>358</v>
      </c>
      <c r="BF136" s="5">
        <v>0</v>
      </c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>
        <v>30033</v>
      </c>
      <c r="CG136" s="5" t="s">
        <v>372</v>
      </c>
      <c r="CH136" s="5">
        <v>1100</v>
      </c>
      <c r="CI136" s="5">
        <v>80</v>
      </c>
      <c r="CJ136" s="5" t="s">
        <v>373</v>
      </c>
      <c r="CK136" s="5">
        <v>1</v>
      </c>
      <c r="CL136" s="5">
        <v>0</v>
      </c>
      <c r="CM136" s="5">
        <v>1</v>
      </c>
      <c r="CN136" s="5">
        <v>900</v>
      </c>
      <c r="CO136" s="5">
        <v>70</v>
      </c>
      <c r="CP136" s="5">
        <v>0</v>
      </c>
      <c r="CQ136" s="5">
        <v>0</v>
      </c>
      <c r="CR136" s="5">
        <v>10310010</v>
      </c>
      <c r="CS136" s="5">
        <v>0</v>
      </c>
      <c r="CT136" s="5">
        <v>0</v>
      </c>
      <c r="CU136" s="5">
        <v>0</v>
      </c>
      <c r="CV136" s="5" t="s">
        <v>355</v>
      </c>
      <c r="CW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/>
      <c r="EX136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/>
      <c r="GW136"/>
      <c r="GX136" s="5">
        <v>200</v>
      </c>
      <c r="GY136" s="5">
        <v>400</v>
      </c>
      <c r="GZ136" s="5" t="s">
        <v>383</v>
      </c>
      <c r="HA136" s="5">
        <v>0</v>
      </c>
      <c r="HB136" s="5" t="s">
        <v>366</v>
      </c>
      <c r="HC136" s="5" t="s">
        <v>366</v>
      </c>
      <c r="HD136" s="5" t="b">
        <v>1</v>
      </c>
      <c r="HE136" s="5">
        <v>4000</v>
      </c>
      <c r="HF136" s="5" t="b">
        <v>0</v>
      </c>
      <c r="HG136" s="5">
        <v>0</v>
      </c>
      <c r="HH136" s="5">
        <v>0</v>
      </c>
      <c r="HI136" s="5">
        <v>0</v>
      </c>
      <c r="HJ136" s="5">
        <v>0</v>
      </c>
      <c r="HK136" s="5" t="b">
        <v>0</v>
      </c>
      <c r="HL136" s="5">
        <v>0</v>
      </c>
      <c r="HM136" s="5">
        <v>10001</v>
      </c>
      <c r="HN136" s="5" t="s">
        <v>367</v>
      </c>
      <c r="HO136" s="5" t="s">
        <v>360</v>
      </c>
      <c r="HP136" s="5">
        <v>0</v>
      </c>
      <c r="HQ136" s="5">
        <v>0</v>
      </c>
      <c r="HR136" s="5">
        <v>0</v>
      </c>
      <c r="HS136" s="5">
        <v>0</v>
      </c>
      <c r="HT136" s="5" t="b">
        <v>0</v>
      </c>
    </row>
    <row r="137" spans="1:228">
      <c r="A137"/>
      <c r="B137" s="1">
        <f>10000000+INDEX(编号表!$B$1:$B$112,MATCH(D137,编号表!$A$1:$A$112,0))*10000+I137</f>
        <v>10140001</v>
      </c>
      <c r="C137" s="5" t="s">
        <v>406</v>
      </c>
      <c r="D137" s="5" t="s">
        <v>406</v>
      </c>
      <c r="E137" s="5" t="s">
        <v>348</v>
      </c>
      <c r="F137" s="5" t="s">
        <v>349</v>
      </c>
      <c r="G137" s="5" t="b">
        <v>0</v>
      </c>
      <c r="H137" s="5" t="b">
        <v>0</v>
      </c>
      <c r="I137" s="5">
        <v>1</v>
      </c>
      <c r="J137" s="5">
        <v>101400</v>
      </c>
      <c r="K137" s="5" t="s">
        <v>350</v>
      </c>
      <c r="L137" s="5">
        <v>0</v>
      </c>
      <c r="M137" s="5">
        <v>10140002</v>
      </c>
      <c r="N137" s="5" t="s">
        <v>407</v>
      </c>
      <c r="O137" s="5">
        <v>10202013</v>
      </c>
      <c r="P137" s="5">
        <v>0</v>
      </c>
      <c r="Q137" s="5">
        <v>0</v>
      </c>
      <c r="R137" s="5">
        <v>1</v>
      </c>
      <c r="S137" s="5">
        <v>0</v>
      </c>
      <c r="T137" s="5">
        <v>100</v>
      </c>
      <c r="U137" s="5" t="s">
        <v>364</v>
      </c>
      <c r="V137" s="5">
        <v>900</v>
      </c>
      <c r="W137" s="5">
        <v>0</v>
      </c>
      <c r="X137" s="5" t="inlineStr">
        <is>
          <t xml:space="preserve">目标点</t>
        </is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 t="s">
        <v>356</v>
      </c>
      <c r="AZ137" s="5">
        <v>10000</v>
      </c>
      <c r="BA137" s="5" t="inlineStr">
        <is>
          <t xml:space="preserve">技能效果_弹道</t>
        </is>
      </c>
      <c r="BB137" s="5" t="inlineStr">
        <is>
          <t xml:space="preserve">敌对</t>
        </is>
      </c>
      <c r="BC137" s="5">
        <v>10000</v>
      </c>
      <c r="BD137" s="5">
        <v>0</v>
      </c>
      <c r="BE137" s="5" t="inlineStr">
        <is>
          <t xml:space="preserve">全部</t>
        </is>
      </c>
      <c r="BF137" s="5">
        <v>0</v>
      </c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>
        <v>30032</v>
      </c>
      <c r="CG137" s="5" t="inlineStr">
        <is>
          <t xml:space="preserve">Sound\Zs_Gongji1</t>
        </is>
      </c>
      <c r="CH137" s="5">
        <v>950</v>
      </c>
      <c r="CI137" s="5">
        <v>80</v>
      </c>
      <c r="CJ137" s="5" t="inlineStr">
        <is>
          <t xml:space="preserve">直线</t>
        </is>
      </c>
      <c r="CK137" s="5">
        <v>16</v>
      </c>
      <c r="CL137" s="5">
        <v>100</v>
      </c>
      <c r="CM137" s="5">
        <v>1</v>
      </c>
      <c r="CN137" s="5">
        <v>950</v>
      </c>
      <c r="CO137" s="5">
        <v>65</v>
      </c>
      <c r="CP137" s="5">
        <v>0</v>
      </c>
      <c r="CQ137" s="5">
        <v>0</v>
      </c>
      <c r="CR137" s="5">
        <v>10320001</v>
      </c>
      <c r="CS137" s="5">
        <v>0</v>
      </c>
      <c r="CT137" s="5">
        <v>0</v>
      </c>
      <c r="CU137" s="5">
        <v>0</v>
      </c>
      <c r="CV137" s="5" t="inlineStr">
        <is>
          <t xml:space="preserve">最近</t>
        </is>
      </c>
      <c r="CW137" s="5"/>
      <c r="CX137"/>
      <c r="CY137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/>
      <c r="EX137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/>
      <c r="GW137"/>
      <c r="GX137" s="5">
        <v>200</v>
      </c>
      <c r="GY137" s="5">
        <v>400</v>
      </c>
      <c r="GZ137" s="5" t="inlineStr">
        <is>
          <t xml:space="preserve">Attack One</t>
        </is>
      </c>
      <c r="HA137" s="5">
        <v>0</v>
      </c>
      <c r="HB137" s="5" t="s">
        <v>366</v>
      </c>
      <c r="HC137" s="5" t="s">
        <v>366</v>
      </c>
      <c r="HD137" s="5" t="b">
        <v>1</v>
      </c>
      <c r="HE137" s="5">
        <v>8000</v>
      </c>
      <c r="HF137" s="5" t="b">
        <v>0</v>
      </c>
      <c r="HG137" s="5">
        <v>0</v>
      </c>
      <c r="HH137" s="5">
        <v>0</v>
      </c>
      <c r="HI137" s="5">
        <v>0</v>
      </c>
      <c r="HJ137" s="5">
        <v>0</v>
      </c>
      <c r="HK137" s="5" t="b">
        <v>0</v>
      </c>
      <c r="HL137" s="5">
        <v>0</v>
      </c>
      <c r="HM137" s="5">
        <v>10001</v>
      </c>
      <c r="HN137" s="5" t="s">
        <v>367</v>
      </c>
      <c r="HO137" s="5" t="s">
        <v>360</v>
      </c>
      <c r="HP137" s="5">
        <v>0</v>
      </c>
      <c r="HQ137" s="5">
        <v>0</v>
      </c>
      <c r="HR137" s="5">
        <v>0</v>
      </c>
      <c r="HS137" s="5">
        <v>0</v>
      </c>
      <c r="HT137" s="5" t="b">
        <v>0</v>
      </c>
    </row>
    <row r="138" spans="1:228">
      <c r="A138"/>
      <c r="B138" s="1">
        <f>10000000+INDEX(编号表!$B$1:$B$112,MATCH(D138,编号表!$A$1:$A$112,0))*10000+I138</f>
        <v>10140002</v>
      </c>
      <c r="C138" s="5" t="s">
        <v>406</v>
      </c>
      <c r="D138" s="5" t="s">
        <v>406</v>
      </c>
      <c r="E138" s="5" t="s">
        <v>348</v>
      </c>
      <c r="F138" s="5" t="s">
        <v>349</v>
      </c>
      <c r="G138" s="5" t="b">
        <v>0</v>
      </c>
      <c r="H138" s="5" t="b">
        <v>0</v>
      </c>
      <c r="I138" s="5">
        <v>2</v>
      </c>
      <c r="J138" s="5">
        <v>101400</v>
      </c>
      <c r="K138" s="5" t="s">
        <v>350</v>
      </c>
      <c r="L138" s="5">
        <v>10140001</v>
      </c>
      <c r="M138" s="5">
        <v>10140003</v>
      </c>
      <c r="N138" s="5" t="s">
        <v>407</v>
      </c>
      <c r="O138" s="5">
        <v>10202013</v>
      </c>
      <c r="P138" s="5">
        <v>0</v>
      </c>
      <c r="Q138" s="5">
        <v>1</v>
      </c>
      <c r="R138" s="5">
        <v>7</v>
      </c>
      <c r="S138" s="5">
        <v>0</v>
      </c>
      <c r="T138" s="5">
        <v>100</v>
      </c>
      <c r="U138" s="5" t="s">
        <v>364</v>
      </c>
      <c r="V138" s="5">
        <v>900</v>
      </c>
      <c r="W138" s="5">
        <v>0</v>
      </c>
      <c r="X138" s="5" t="inlineStr">
        <is>
          <t xml:space="preserve">目标点</t>
        </is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 t="s">
        <v>356</v>
      </c>
      <c r="AZ138" s="5">
        <v>10400</v>
      </c>
      <c r="BA138" s="5" t="inlineStr">
        <is>
          <t xml:space="preserve">技能效果_弹道</t>
        </is>
      </c>
      <c r="BB138" s="5" t="inlineStr">
        <is>
          <t xml:space="preserve">敌对</t>
        </is>
      </c>
      <c r="BC138" s="5">
        <v>10000</v>
      </c>
      <c r="BD138" s="5">
        <v>0</v>
      </c>
      <c r="BE138" s="5" t="inlineStr">
        <is>
          <t xml:space="preserve">全部</t>
        </is>
      </c>
      <c r="BF138" s="5">
        <v>0</v>
      </c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>
        <v>30032</v>
      </c>
      <c r="CG138" s="5" t="inlineStr">
        <is>
          <t xml:space="preserve">Sound\Zs_Gongji1</t>
        </is>
      </c>
      <c r="CH138" s="5">
        <v>950</v>
      </c>
      <c r="CI138" s="5">
        <v>80</v>
      </c>
      <c r="CJ138" s="5" t="inlineStr">
        <is>
          <t xml:space="preserve">直线</t>
        </is>
      </c>
      <c r="CK138" s="5">
        <v>16</v>
      </c>
      <c r="CL138" s="5">
        <v>100</v>
      </c>
      <c r="CM138" s="5">
        <v>1</v>
      </c>
      <c r="CN138" s="5">
        <v>950</v>
      </c>
      <c r="CO138" s="5">
        <v>65</v>
      </c>
      <c r="CP138" s="5">
        <v>0</v>
      </c>
      <c r="CQ138" s="5">
        <v>0</v>
      </c>
      <c r="CR138" s="5">
        <v>10320002</v>
      </c>
      <c r="CS138" s="5">
        <v>0</v>
      </c>
      <c r="CT138" s="5">
        <v>0</v>
      </c>
      <c r="CU138" s="5">
        <v>0</v>
      </c>
      <c r="CV138" s="5" t="inlineStr">
        <is>
          <t xml:space="preserve">最近</t>
        </is>
      </c>
      <c r="CW138" s="5"/>
      <c r="CX138"/>
      <c r="CY138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/>
      <c r="EX138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/>
      <c r="GW138"/>
      <c r="GX138" s="5">
        <v>200</v>
      </c>
      <c r="GY138" s="5">
        <v>400</v>
      </c>
      <c r="GZ138" s="5" t="inlineStr">
        <is>
          <t xml:space="preserve">Attack One</t>
        </is>
      </c>
      <c r="HA138" s="5">
        <v>0</v>
      </c>
      <c r="HB138" s="5" t="s">
        <v>366</v>
      </c>
      <c r="HC138" s="5" t="s">
        <v>366</v>
      </c>
      <c r="HD138" s="5" t="b">
        <v>1</v>
      </c>
      <c r="HE138" s="5">
        <v>8000</v>
      </c>
      <c r="HF138" s="5" t="b">
        <v>0</v>
      </c>
      <c r="HG138" s="5">
        <v>0</v>
      </c>
      <c r="HH138" s="5">
        <v>0</v>
      </c>
      <c r="HI138" s="5">
        <v>0</v>
      </c>
      <c r="HJ138" s="5">
        <v>0</v>
      </c>
      <c r="HK138" s="5" t="b">
        <v>0</v>
      </c>
      <c r="HL138" s="5">
        <v>0</v>
      </c>
      <c r="HM138" s="5">
        <v>10001</v>
      </c>
      <c r="HN138" s="5" t="s">
        <v>367</v>
      </c>
      <c r="HO138" s="5" t="s">
        <v>360</v>
      </c>
      <c r="HP138" s="5">
        <v>0</v>
      </c>
      <c r="HQ138" s="5">
        <v>0</v>
      </c>
      <c r="HR138" s="5">
        <v>0</v>
      </c>
      <c r="HS138" s="5">
        <v>0</v>
      </c>
      <c r="HT138" s="5" t="b">
        <v>0</v>
      </c>
    </row>
    <row r="139" spans="1:228">
      <c r="A139"/>
      <c r="B139" s="1">
        <f>10000000+INDEX(编号表!$B$1:$B$112,MATCH(D139,编号表!$A$1:$A$112,0))*10000+I139</f>
        <v>10140003</v>
      </c>
      <c r="C139" s="5" t="s">
        <v>406</v>
      </c>
      <c r="D139" s="5" t="s">
        <v>406</v>
      </c>
      <c r="E139" s="5" t="s">
        <v>348</v>
      </c>
      <c r="F139" s="5" t="s">
        <v>349</v>
      </c>
      <c r="G139" s="5" t="b">
        <v>0</v>
      </c>
      <c r="H139" s="5" t="b">
        <v>0</v>
      </c>
      <c r="I139" s="5">
        <v>3</v>
      </c>
      <c r="J139" s="5">
        <v>101400</v>
      </c>
      <c r="K139" s="5" t="s">
        <v>350</v>
      </c>
      <c r="L139" s="5">
        <v>10140002</v>
      </c>
      <c r="M139" s="5">
        <v>10140004</v>
      </c>
      <c r="N139" s="5" t="s">
        <v>407</v>
      </c>
      <c r="O139" s="5">
        <v>10202013</v>
      </c>
      <c r="P139" s="5">
        <v>0</v>
      </c>
      <c r="Q139" s="5">
        <v>2</v>
      </c>
      <c r="R139" s="5">
        <v>11</v>
      </c>
      <c r="S139" s="5">
        <v>0</v>
      </c>
      <c r="T139" s="5">
        <v>100</v>
      </c>
      <c r="U139" s="5" t="s">
        <v>364</v>
      </c>
      <c r="V139" s="5">
        <v>900</v>
      </c>
      <c r="W139" s="5">
        <v>0</v>
      </c>
      <c r="X139" s="5" t="inlineStr">
        <is>
          <t xml:space="preserve">目标点</t>
        </is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 t="s">
        <v>356</v>
      </c>
      <c r="AZ139" s="5">
        <v>10800</v>
      </c>
      <c r="BA139" s="5" t="inlineStr">
        <is>
          <t xml:space="preserve">技能效果_弹道</t>
        </is>
      </c>
      <c r="BB139" s="5" t="inlineStr">
        <is>
          <t xml:space="preserve">敌对</t>
        </is>
      </c>
      <c r="BC139" s="5">
        <v>10000</v>
      </c>
      <c r="BD139" s="5">
        <v>0</v>
      </c>
      <c r="BE139" s="5" t="inlineStr">
        <is>
          <t xml:space="preserve">全部</t>
        </is>
      </c>
      <c r="BF139" s="5">
        <v>0</v>
      </c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>
        <v>30032</v>
      </c>
      <c r="CG139" s="5" t="inlineStr">
        <is>
          <t xml:space="preserve">Sound\Zs_Gongji1</t>
        </is>
      </c>
      <c r="CH139" s="5">
        <v>950</v>
      </c>
      <c r="CI139" s="5">
        <v>80</v>
      </c>
      <c r="CJ139" s="5" t="inlineStr">
        <is>
          <t xml:space="preserve">直线</t>
        </is>
      </c>
      <c r="CK139" s="5">
        <v>16</v>
      </c>
      <c r="CL139" s="5">
        <v>100</v>
      </c>
      <c r="CM139" s="5">
        <v>1</v>
      </c>
      <c r="CN139" s="5">
        <v>950</v>
      </c>
      <c r="CO139" s="5">
        <v>65</v>
      </c>
      <c r="CP139" s="5">
        <v>0</v>
      </c>
      <c r="CQ139" s="5">
        <v>0</v>
      </c>
      <c r="CR139" s="5">
        <v>10320003</v>
      </c>
      <c r="CS139" s="5">
        <v>0</v>
      </c>
      <c r="CT139" s="5">
        <v>0</v>
      </c>
      <c r="CU139" s="5">
        <v>0</v>
      </c>
      <c r="CV139" s="5" t="inlineStr">
        <is>
          <t xml:space="preserve">最近</t>
        </is>
      </c>
      <c r="CW139" s="5"/>
      <c r="CX139"/>
      <c r="CY139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/>
      <c r="EX139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/>
      <c r="GW139"/>
      <c r="GX139" s="5">
        <v>200</v>
      </c>
      <c r="GY139" s="5">
        <v>400</v>
      </c>
      <c r="GZ139" s="5" t="inlineStr">
        <is>
          <t xml:space="preserve">Attack One</t>
        </is>
      </c>
      <c r="HA139" s="5">
        <v>0</v>
      </c>
      <c r="HB139" s="5" t="s">
        <v>366</v>
      </c>
      <c r="HC139" s="5" t="s">
        <v>366</v>
      </c>
      <c r="HD139" s="5" t="b">
        <v>1</v>
      </c>
      <c r="HE139" s="5">
        <v>8000</v>
      </c>
      <c r="HF139" s="5" t="b">
        <v>0</v>
      </c>
      <c r="HG139" s="5">
        <v>0</v>
      </c>
      <c r="HH139" s="5">
        <v>0</v>
      </c>
      <c r="HI139" s="5">
        <v>0</v>
      </c>
      <c r="HJ139" s="5">
        <v>0</v>
      </c>
      <c r="HK139" s="5" t="b">
        <v>0</v>
      </c>
      <c r="HL139" s="5">
        <v>0</v>
      </c>
      <c r="HM139" s="5">
        <v>10001</v>
      </c>
      <c r="HN139" s="5" t="s">
        <v>367</v>
      </c>
      <c r="HO139" s="5" t="s">
        <v>360</v>
      </c>
      <c r="HP139" s="5">
        <v>0</v>
      </c>
      <c r="HQ139" s="5">
        <v>0</v>
      </c>
      <c r="HR139" s="5">
        <v>0</v>
      </c>
      <c r="HS139" s="5">
        <v>0</v>
      </c>
      <c r="HT139" s="5" t="b">
        <v>0</v>
      </c>
    </row>
    <row r="140" spans="1:228">
      <c r="A140"/>
      <c r="B140" s="1">
        <f>10000000+INDEX(编号表!$B$1:$B$112,MATCH(D140,编号表!$A$1:$A$112,0))*10000+I140</f>
        <v>10140004</v>
      </c>
      <c r="C140" s="5" t="s">
        <v>406</v>
      </c>
      <c r="D140" s="5" t="s">
        <v>406</v>
      </c>
      <c r="E140" s="5" t="s">
        <v>348</v>
      </c>
      <c r="F140" s="5" t="s">
        <v>349</v>
      </c>
      <c r="G140" s="5" t="b">
        <v>0</v>
      </c>
      <c r="H140" s="5" t="b">
        <v>0</v>
      </c>
      <c r="I140" s="5">
        <v>4</v>
      </c>
      <c r="J140" s="5">
        <v>101400</v>
      </c>
      <c r="K140" s="5" t="s">
        <v>350</v>
      </c>
      <c r="L140" s="5">
        <v>10140003</v>
      </c>
      <c r="M140" s="5">
        <v>10140005</v>
      </c>
      <c r="N140" s="5" t="s">
        <v>407</v>
      </c>
      <c r="O140" s="5">
        <v>10202013</v>
      </c>
      <c r="P140" s="5">
        <v>0</v>
      </c>
      <c r="Q140" s="5">
        <v>3</v>
      </c>
      <c r="R140" s="5">
        <v>16</v>
      </c>
      <c r="S140" s="5">
        <v>0</v>
      </c>
      <c r="T140" s="5">
        <v>100</v>
      </c>
      <c r="U140" s="5" t="s">
        <v>364</v>
      </c>
      <c r="V140" s="5">
        <v>900</v>
      </c>
      <c r="W140" s="5">
        <v>0</v>
      </c>
      <c r="X140" s="5" t="inlineStr">
        <is>
          <t xml:space="preserve">目标点</t>
        </is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 t="s">
        <v>356</v>
      </c>
      <c r="AZ140" s="5">
        <v>11200</v>
      </c>
      <c r="BA140" s="5" t="inlineStr">
        <is>
          <t xml:space="preserve">技能效果_弹道</t>
        </is>
      </c>
      <c r="BB140" s="5" t="inlineStr">
        <is>
          <t xml:space="preserve">敌对</t>
        </is>
      </c>
      <c r="BC140" s="5">
        <v>10000</v>
      </c>
      <c r="BD140" s="5">
        <v>0</v>
      </c>
      <c r="BE140" s="5" t="inlineStr">
        <is>
          <t xml:space="preserve">全部</t>
        </is>
      </c>
      <c r="BF140" s="5">
        <v>0</v>
      </c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>
        <v>30032</v>
      </c>
      <c r="CG140" s="5" t="inlineStr">
        <is>
          <t xml:space="preserve">Sound\Zs_Gongji1</t>
        </is>
      </c>
      <c r="CH140" s="5">
        <v>950</v>
      </c>
      <c r="CI140" s="5">
        <v>80</v>
      </c>
      <c r="CJ140" s="5" t="inlineStr">
        <is>
          <t xml:space="preserve">直线</t>
        </is>
      </c>
      <c r="CK140" s="5">
        <v>16</v>
      </c>
      <c r="CL140" s="5">
        <v>100</v>
      </c>
      <c r="CM140" s="5">
        <v>1</v>
      </c>
      <c r="CN140" s="5">
        <v>950</v>
      </c>
      <c r="CO140" s="5">
        <v>65</v>
      </c>
      <c r="CP140" s="5">
        <v>0</v>
      </c>
      <c r="CQ140" s="5">
        <v>0</v>
      </c>
      <c r="CR140" s="5">
        <v>10320004</v>
      </c>
      <c r="CS140" s="5">
        <v>0</v>
      </c>
      <c r="CT140" s="5">
        <v>0</v>
      </c>
      <c r="CU140" s="5">
        <v>0</v>
      </c>
      <c r="CV140" s="5" t="inlineStr">
        <is>
          <t xml:space="preserve">最近</t>
        </is>
      </c>
      <c r="CW140" s="5"/>
      <c r="CX140"/>
      <c r="CY140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/>
      <c r="EX140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/>
      <c r="GW140"/>
      <c r="GX140" s="5">
        <v>200</v>
      </c>
      <c r="GY140" s="5">
        <v>400</v>
      </c>
      <c r="GZ140" s="5" t="inlineStr">
        <is>
          <t xml:space="preserve">Attack One</t>
        </is>
      </c>
      <c r="HA140" s="5">
        <v>0</v>
      </c>
      <c r="HB140" s="5" t="s">
        <v>366</v>
      </c>
      <c r="HC140" s="5" t="s">
        <v>366</v>
      </c>
      <c r="HD140" s="5" t="b">
        <v>1</v>
      </c>
      <c r="HE140" s="5">
        <v>8000</v>
      </c>
      <c r="HF140" s="5" t="b">
        <v>0</v>
      </c>
      <c r="HG140" s="5">
        <v>0</v>
      </c>
      <c r="HH140" s="5">
        <v>0</v>
      </c>
      <c r="HI140" s="5">
        <v>0</v>
      </c>
      <c r="HJ140" s="5">
        <v>0</v>
      </c>
      <c r="HK140" s="5" t="b">
        <v>0</v>
      </c>
      <c r="HL140" s="5">
        <v>0</v>
      </c>
      <c r="HM140" s="5">
        <v>10001</v>
      </c>
      <c r="HN140" s="5" t="s">
        <v>367</v>
      </c>
      <c r="HO140" s="5" t="s">
        <v>360</v>
      </c>
      <c r="HP140" s="5">
        <v>0</v>
      </c>
      <c r="HQ140" s="5">
        <v>0</v>
      </c>
      <c r="HR140" s="5">
        <v>0</v>
      </c>
      <c r="HS140" s="5">
        <v>0</v>
      </c>
      <c r="HT140" s="5" t="b">
        <v>0</v>
      </c>
    </row>
    <row r="141" spans="1:228">
      <c r="A141"/>
      <c r="B141" s="1">
        <f>10000000+INDEX(编号表!$B$1:$B$112,MATCH(D141,编号表!$A$1:$A$112,0))*10000+I141</f>
        <v>10140005</v>
      </c>
      <c r="C141" s="5" t="s">
        <v>406</v>
      </c>
      <c r="D141" s="5" t="s">
        <v>406</v>
      </c>
      <c r="E141" s="5" t="s">
        <v>348</v>
      </c>
      <c r="F141" s="5" t="s">
        <v>349</v>
      </c>
      <c r="G141" s="5" t="b">
        <v>0</v>
      </c>
      <c r="H141" s="5" t="b">
        <v>0</v>
      </c>
      <c r="I141" s="5">
        <v>5</v>
      </c>
      <c r="J141" s="5">
        <v>101400</v>
      </c>
      <c r="K141" s="5" t="s">
        <v>350</v>
      </c>
      <c r="L141" s="5">
        <v>10140004</v>
      </c>
      <c r="M141" s="5">
        <v>10140006</v>
      </c>
      <c r="N141" s="5" t="s">
        <v>407</v>
      </c>
      <c r="O141" s="5">
        <v>10202013</v>
      </c>
      <c r="P141" s="5">
        <v>0</v>
      </c>
      <c r="Q141" s="5">
        <v>3</v>
      </c>
      <c r="R141" s="5">
        <v>25</v>
      </c>
      <c r="S141" s="5">
        <v>0</v>
      </c>
      <c r="T141" s="5">
        <v>100</v>
      </c>
      <c r="U141" s="5" t="s">
        <v>364</v>
      </c>
      <c r="V141" s="5">
        <v>900</v>
      </c>
      <c r="W141" s="5">
        <v>0</v>
      </c>
      <c r="X141" s="5" t="inlineStr">
        <is>
          <t xml:space="preserve">目标点</t>
        </is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 t="s">
        <v>356</v>
      </c>
      <c r="AZ141" s="5">
        <v>11300</v>
      </c>
      <c r="BA141" s="5" t="inlineStr">
        <is>
          <t xml:space="preserve">技能效果_弹道</t>
        </is>
      </c>
      <c r="BB141" s="5" t="inlineStr">
        <is>
          <t xml:space="preserve">敌对</t>
        </is>
      </c>
      <c r="BC141" s="5">
        <v>10000</v>
      </c>
      <c r="BD141" s="5">
        <v>0</v>
      </c>
      <c r="BE141" s="5" t="inlineStr">
        <is>
          <t xml:space="preserve">全部</t>
        </is>
      </c>
      <c r="BF141" s="5">
        <v>0</v>
      </c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>
        <v>30032</v>
      </c>
      <c r="CG141" s="5" t="inlineStr">
        <is>
          <t xml:space="preserve">Sound\Zs_Gongji1</t>
        </is>
      </c>
      <c r="CH141" s="5">
        <v>950</v>
      </c>
      <c r="CI141" s="5">
        <v>80</v>
      </c>
      <c r="CJ141" s="5" t="inlineStr">
        <is>
          <t xml:space="preserve">直线</t>
        </is>
      </c>
      <c r="CK141" s="5">
        <v>16</v>
      </c>
      <c r="CL141" s="5">
        <v>100</v>
      </c>
      <c r="CM141" s="5">
        <v>1</v>
      </c>
      <c r="CN141" s="5">
        <v>950</v>
      </c>
      <c r="CO141" s="5">
        <v>65</v>
      </c>
      <c r="CP141" s="5">
        <v>0</v>
      </c>
      <c r="CQ141" s="5">
        <v>0</v>
      </c>
      <c r="CR141" s="5">
        <v>10320005</v>
      </c>
      <c r="CS141" s="5">
        <v>0</v>
      </c>
      <c r="CT141" s="5">
        <v>0</v>
      </c>
      <c r="CU141" s="5">
        <v>0</v>
      </c>
      <c r="CV141" s="5" t="inlineStr">
        <is>
          <t xml:space="preserve">最近</t>
        </is>
      </c>
      <c r="CW141" s="5"/>
      <c r="CX141"/>
      <c r="CY141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/>
      <c r="EX141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/>
      <c r="GW141"/>
      <c r="GX141" s="5">
        <v>200</v>
      </c>
      <c r="GY141" s="5">
        <v>400</v>
      </c>
      <c r="GZ141" s="5" t="inlineStr">
        <is>
          <t xml:space="preserve">Attack One</t>
        </is>
      </c>
      <c r="HA141" s="5">
        <v>0</v>
      </c>
      <c r="HB141" s="5" t="s">
        <v>366</v>
      </c>
      <c r="HC141" s="5" t="s">
        <v>366</v>
      </c>
      <c r="HD141" s="5" t="b">
        <v>1</v>
      </c>
      <c r="HE141" s="5">
        <v>8000</v>
      </c>
      <c r="HF141" s="5" t="b">
        <v>0</v>
      </c>
      <c r="HG141" s="5">
        <v>0</v>
      </c>
      <c r="HH141" s="5">
        <v>0</v>
      </c>
      <c r="HI141" s="5">
        <v>0</v>
      </c>
      <c r="HJ141" s="5">
        <v>0</v>
      </c>
      <c r="HK141" s="5" t="b">
        <v>0</v>
      </c>
      <c r="HL141" s="5">
        <v>0</v>
      </c>
      <c r="HM141" s="5">
        <v>10001</v>
      </c>
      <c r="HN141" s="5" t="s">
        <v>367</v>
      </c>
      <c r="HO141" s="5" t="s">
        <v>360</v>
      </c>
      <c r="HP141" s="5">
        <v>0</v>
      </c>
      <c r="HQ141" s="5">
        <v>0</v>
      </c>
      <c r="HR141" s="5">
        <v>0</v>
      </c>
      <c r="HS141" s="5">
        <v>0</v>
      </c>
      <c r="HT141" s="5" t="b">
        <v>0</v>
      </c>
    </row>
    <row r="142" spans="1:228">
      <c r="A142"/>
      <c r="B142" s="1">
        <f>10000000+INDEX(编号表!$B$1:$B$112,MATCH(D142,编号表!$A$1:$A$112,0))*10000+I142</f>
        <v>10140006</v>
      </c>
      <c r="C142" s="5" t="s">
        <v>406</v>
      </c>
      <c r="D142" s="5" t="s">
        <v>406</v>
      </c>
      <c r="E142" s="5" t="s">
        <v>348</v>
      </c>
      <c r="F142" s="5" t="s">
        <v>349</v>
      </c>
      <c r="G142" s="5" t="b">
        <v>0</v>
      </c>
      <c r="H142" s="5" t="b">
        <v>0</v>
      </c>
      <c r="I142" s="5">
        <v>6</v>
      </c>
      <c r="J142" s="5">
        <v>101400</v>
      </c>
      <c r="K142" s="5" t="s">
        <v>350</v>
      </c>
      <c r="L142" s="5">
        <v>10140005</v>
      </c>
      <c r="M142" s="5">
        <v>10140007</v>
      </c>
      <c r="N142" s="5" t="s">
        <v>407</v>
      </c>
      <c r="O142" s="5">
        <v>10202013</v>
      </c>
      <c r="P142" s="5">
        <v>0</v>
      </c>
      <c r="Q142" s="5">
        <v>3</v>
      </c>
      <c r="R142" s="5">
        <v>30</v>
      </c>
      <c r="S142" s="5">
        <v>0</v>
      </c>
      <c r="T142" s="5">
        <v>100</v>
      </c>
      <c r="U142" s="5" t="s">
        <v>364</v>
      </c>
      <c r="V142" s="5">
        <v>900</v>
      </c>
      <c r="W142" s="5">
        <v>0</v>
      </c>
      <c r="X142" s="5" t="inlineStr">
        <is>
          <t xml:space="preserve">目标点</t>
        </is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 t="s">
        <v>356</v>
      </c>
      <c r="AZ142" s="5">
        <v>11600</v>
      </c>
      <c r="BA142" s="5" t="inlineStr">
        <is>
          <t xml:space="preserve">技能效果_弹道</t>
        </is>
      </c>
      <c r="BB142" s="5" t="inlineStr">
        <is>
          <t xml:space="preserve">敌对</t>
        </is>
      </c>
      <c r="BC142" s="5">
        <v>10000</v>
      </c>
      <c r="BD142" s="5">
        <v>0</v>
      </c>
      <c r="BE142" s="5" t="inlineStr">
        <is>
          <t xml:space="preserve">全部</t>
        </is>
      </c>
      <c r="BF142" s="5">
        <v>0</v>
      </c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>
        <v>30032</v>
      </c>
      <c r="CG142" s="5" t="inlineStr">
        <is>
          <t xml:space="preserve">Sound\Zs_Gongji1</t>
        </is>
      </c>
      <c r="CH142" s="5">
        <v>950</v>
      </c>
      <c r="CI142" s="5">
        <v>80</v>
      </c>
      <c r="CJ142" s="5" t="inlineStr">
        <is>
          <t xml:space="preserve">直线</t>
        </is>
      </c>
      <c r="CK142" s="5">
        <v>16</v>
      </c>
      <c r="CL142" s="5">
        <v>100</v>
      </c>
      <c r="CM142" s="5">
        <v>1</v>
      </c>
      <c r="CN142" s="5">
        <v>950</v>
      </c>
      <c r="CO142" s="5">
        <v>65</v>
      </c>
      <c r="CP142" s="5">
        <v>0</v>
      </c>
      <c r="CQ142" s="5">
        <v>0</v>
      </c>
      <c r="CR142" s="5">
        <v>10320006</v>
      </c>
      <c r="CS142" s="5">
        <v>0</v>
      </c>
      <c r="CT142" s="5">
        <v>0</v>
      </c>
      <c r="CU142" s="5">
        <v>0</v>
      </c>
      <c r="CV142" s="5" t="inlineStr">
        <is>
          <t xml:space="preserve">最近</t>
        </is>
      </c>
      <c r="CW142" s="5"/>
      <c r="CX142"/>
      <c r="CY142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/>
      <c r="EX142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/>
      <c r="GW142"/>
      <c r="GX142" s="5">
        <v>200</v>
      </c>
      <c r="GY142" s="5">
        <v>400</v>
      </c>
      <c r="GZ142" s="5" t="inlineStr">
        <is>
          <t xml:space="preserve">Attack One</t>
        </is>
      </c>
      <c r="HA142" s="5">
        <v>0</v>
      </c>
      <c r="HB142" s="5" t="s">
        <v>366</v>
      </c>
      <c r="HC142" s="5" t="s">
        <v>366</v>
      </c>
      <c r="HD142" s="5" t="b">
        <v>1</v>
      </c>
      <c r="HE142" s="5">
        <v>8000</v>
      </c>
      <c r="HF142" s="5" t="b">
        <v>0</v>
      </c>
      <c r="HG142" s="5">
        <v>0</v>
      </c>
      <c r="HH142" s="5">
        <v>0</v>
      </c>
      <c r="HI142" s="5">
        <v>0</v>
      </c>
      <c r="HJ142" s="5">
        <v>0</v>
      </c>
      <c r="HK142" s="5" t="b">
        <v>0</v>
      </c>
      <c r="HL142" s="5">
        <v>0</v>
      </c>
      <c r="HM142" s="5">
        <v>10001</v>
      </c>
      <c r="HN142" s="5" t="s">
        <v>367</v>
      </c>
      <c r="HO142" s="5" t="s">
        <v>360</v>
      </c>
      <c r="HP142" s="5">
        <v>0</v>
      </c>
      <c r="HQ142" s="5">
        <v>0</v>
      </c>
      <c r="HR142" s="5">
        <v>0</v>
      </c>
      <c r="HS142" s="5">
        <v>0</v>
      </c>
      <c r="HT142" s="5" t="b">
        <v>0</v>
      </c>
    </row>
    <row r="143" spans="1:228">
      <c r="A143"/>
      <c r="B143" s="1">
        <f>10000000+INDEX(编号表!$B$1:$B$112,MATCH(D143,编号表!$A$1:$A$112,0))*10000+I143</f>
        <v>10140007</v>
      </c>
      <c r="C143" s="5" t="s">
        <v>406</v>
      </c>
      <c r="D143" s="5" t="s">
        <v>406</v>
      </c>
      <c r="E143" s="5" t="s">
        <v>348</v>
      </c>
      <c r="F143" s="5" t="s">
        <v>349</v>
      </c>
      <c r="G143" s="5" t="b">
        <v>0</v>
      </c>
      <c r="H143" s="5" t="b">
        <v>0</v>
      </c>
      <c r="I143" s="5">
        <v>7</v>
      </c>
      <c r="J143" s="5">
        <v>101400</v>
      </c>
      <c r="K143" s="5" t="s">
        <v>350</v>
      </c>
      <c r="L143" s="5">
        <v>10140006</v>
      </c>
      <c r="M143" s="5">
        <v>10140008</v>
      </c>
      <c r="N143" s="5" t="s">
        <v>407</v>
      </c>
      <c r="O143" s="5">
        <v>10202013</v>
      </c>
      <c r="P143" s="5">
        <v>0</v>
      </c>
      <c r="Q143" s="5">
        <v>3</v>
      </c>
      <c r="R143" s="5">
        <v>35</v>
      </c>
      <c r="S143" s="5">
        <v>0</v>
      </c>
      <c r="T143" s="5">
        <v>100</v>
      </c>
      <c r="U143" s="5" t="s">
        <v>364</v>
      </c>
      <c r="V143" s="5">
        <v>900</v>
      </c>
      <c r="W143" s="5">
        <v>0</v>
      </c>
      <c r="X143" s="5" t="inlineStr">
        <is>
          <t xml:space="preserve">目标点</t>
        </is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 t="s">
        <v>356</v>
      </c>
      <c r="AZ143" s="5">
        <v>11700</v>
      </c>
      <c r="BA143" s="5" t="inlineStr">
        <is>
          <t xml:space="preserve">技能效果_弹道</t>
        </is>
      </c>
      <c r="BB143" s="5" t="inlineStr">
        <is>
          <t xml:space="preserve">敌对</t>
        </is>
      </c>
      <c r="BC143" s="5">
        <v>10000</v>
      </c>
      <c r="BD143" s="5">
        <v>0</v>
      </c>
      <c r="BE143" s="5" t="inlineStr">
        <is>
          <t xml:space="preserve">全部</t>
        </is>
      </c>
      <c r="BF143" s="5">
        <v>0</v>
      </c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>
        <v>30032</v>
      </c>
      <c r="CG143" s="5" t="inlineStr">
        <is>
          <t xml:space="preserve">Sound\Zs_Gongji1</t>
        </is>
      </c>
      <c r="CH143" s="5">
        <v>950</v>
      </c>
      <c r="CI143" s="5">
        <v>80</v>
      </c>
      <c r="CJ143" s="5" t="inlineStr">
        <is>
          <t xml:space="preserve">直线</t>
        </is>
      </c>
      <c r="CK143" s="5">
        <v>16</v>
      </c>
      <c r="CL143" s="5">
        <v>100</v>
      </c>
      <c r="CM143" s="5">
        <v>1</v>
      </c>
      <c r="CN143" s="5">
        <v>950</v>
      </c>
      <c r="CO143" s="5">
        <v>65</v>
      </c>
      <c r="CP143" s="5">
        <v>0</v>
      </c>
      <c r="CQ143" s="5">
        <v>0</v>
      </c>
      <c r="CR143" s="5">
        <v>10320007</v>
      </c>
      <c r="CS143" s="5">
        <v>0</v>
      </c>
      <c r="CT143" s="5">
        <v>0</v>
      </c>
      <c r="CU143" s="5">
        <v>0</v>
      </c>
      <c r="CV143" s="5" t="inlineStr">
        <is>
          <t xml:space="preserve">最近</t>
        </is>
      </c>
      <c r="CW143" s="5"/>
      <c r="CX143"/>
      <c r="CY143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/>
      <c r="EX143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/>
      <c r="GW143"/>
      <c r="GX143" s="5">
        <v>200</v>
      </c>
      <c r="GY143" s="5">
        <v>400</v>
      </c>
      <c r="GZ143" s="5" t="inlineStr">
        <is>
          <t xml:space="preserve">Attack One</t>
        </is>
      </c>
      <c r="HA143" s="5">
        <v>0</v>
      </c>
      <c r="HB143" s="5" t="s">
        <v>366</v>
      </c>
      <c r="HC143" s="5" t="s">
        <v>366</v>
      </c>
      <c r="HD143" s="5" t="b">
        <v>1</v>
      </c>
      <c r="HE143" s="5">
        <v>8000</v>
      </c>
      <c r="HF143" s="5" t="b">
        <v>0</v>
      </c>
      <c r="HG143" s="5">
        <v>0</v>
      </c>
      <c r="HH143" s="5">
        <v>0</v>
      </c>
      <c r="HI143" s="5">
        <v>0</v>
      </c>
      <c r="HJ143" s="5">
        <v>0</v>
      </c>
      <c r="HK143" s="5" t="b">
        <v>0</v>
      </c>
      <c r="HL143" s="5">
        <v>0</v>
      </c>
      <c r="HM143" s="5">
        <v>10001</v>
      </c>
      <c r="HN143" s="5" t="s">
        <v>367</v>
      </c>
      <c r="HO143" s="5" t="s">
        <v>360</v>
      </c>
      <c r="HP143" s="5">
        <v>0</v>
      </c>
      <c r="HQ143" s="5">
        <v>0</v>
      </c>
      <c r="HR143" s="5">
        <v>0</v>
      </c>
      <c r="HS143" s="5">
        <v>0</v>
      </c>
      <c r="HT143" s="5" t="b">
        <v>0</v>
      </c>
    </row>
    <row r="144" spans="1:228">
      <c r="A144"/>
      <c r="B144" s="1">
        <f>10000000+INDEX(编号表!$B$1:$B$112,MATCH(D144,编号表!$A$1:$A$112,0))*10000+I144</f>
        <v>10140008</v>
      </c>
      <c r="C144" s="5" t="s">
        <v>406</v>
      </c>
      <c r="D144" s="5" t="s">
        <v>406</v>
      </c>
      <c r="E144" s="5" t="s">
        <v>348</v>
      </c>
      <c r="F144" s="5" t="s">
        <v>349</v>
      </c>
      <c r="G144" s="5" t="b">
        <v>0</v>
      </c>
      <c r="H144" s="5" t="b">
        <v>0</v>
      </c>
      <c r="I144" s="5">
        <v>8</v>
      </c>
      <c r="J144" s="5">
        <v>101400</v>
      </c>
      <c r="K144" s="5" t="s">
        <v>350</v>
      </c>
      <c r="L144" s="5">
        <v>10140007</v>
      </c>
      <c r="M144" s="5">
        <v>10140009</v>
      </c>
      <c r="N144" s="5" t="s">
        <v>407</v>
      </c>
      <c r="O144" s="5">
        <v>10202013</v>
      </c>
      <c r="P144" s="5">
        <v>0</v>
      </c>
      <c r="Q144" s="5">
        <v>3</v>
      </c>
      <c r="R144" s="5">
        <v>35</v>
      </c>
      <c r="S144" s="5">
        <v>0</v>
      </c>
      <c r="T144" s="5">
        <v>100</v>
      </c>
      <c r="U144" s="5" t="s">
        <v>364</v>
      </c>
      <c r="V144" s="5">
        <v>900</v>
      </c>
      <c r="W144" s="5">
        <v>0</v>
      </c>
      <c r="X144" s="5" t="inlineStr">
        <is>
          <t xml:space="preserve">目标点</t>
        </is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 t="s">
        <v>356</v>
      </c>
      <c r="AZ144" s="5">
        <v>11800</v>
      </c>
      <c r="BA144" s="5" t="inlineStr">
        <is>
          <t xml:space="preserve">技能效果_弹道</t>
        </is>
      </c>
      <c r="BB144" s="5" t="inlineStr">
        <is>
          <t xml:space="preserve">敌对</t>
        </is>
      </c>
      <c r="BC144" s="5">
        <v>10000</v>
      </c>
      <c r="BD144" s="5">
        <v>0</v>
      </c>
      <c r="BE144" s="5" t="inlineStr">
        <is>
          <t xml:space="preserve">全部</t>
        </is>
      </c>
      <c r="BF144" s="5">
        <v>0</v>
      </c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>
        <v>30032</v>
      </c>
      <c r="CG144" s="5" t="inlineStr">
        <is>
          <t xml:space="preserve">Sound\Zs_Gongji1</t>
        </is>
      </c>
      <c r="CH144" s="5">
        <v>950</v>
      </c>
      <c r="CI144" s="5">
        <v>80</v>
      </c>
      <c r="CJ144" s="5" t="inlineStr">
        <is>
          <t xml:space="preserve">直线</t>
        </is>
      </c>
      <c r="CK144" s="5">
        <v>16</v>
      </c>
      <c r="CL144" s="5">
        <v>100</v>
      </c>
      <c r="CM144" s="5">
        <v>1</v>
      </c>
      <c r="CN144" s="5">
        <v>950</v>
      </c>
      <c r="CO144" s="5">
        <v>65</v>
      </c>
      <c r="CP144" s="5">
        <v>0</v>
      </c>
      <c r="CQ144" s="5">
        <v>0</v>
      </c>
      <c r="CR144" s="5">
        <v>10320008</v>
      </c>
      <c r="CS144" s="5">
        <v>0</v>
      </c>
      <c r="CT144" s="5">
        <v>0</v>
      </c>
      <c r="CU144" s="5">
        <v>0</v>
      </c>
      <c r="CV144" s="5" t="inlineStr">
        <is>
          <t xml:space="preserve">最近</t>
        </is>
      </c>
      <c r="CW144" s="5"/>
      <c r="CX144"/>
      <c r="CY144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/>
      <c r="EX144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/>
      <c r="GW144"/>
      <c r="GX144" s="5">
        <v>200</v>
      </c>
      <c r="GY144" s="5">
        <v>400</v>
      </c>
      <c r="GZ144" s="5" t="inlineStr">
        <is>
          <t xml:space="preserve">Attack One</t>
        </is>
      </c>
      <c r="HA144" s="5">
        <v>0</v>
      </c>
      <c r="HB144" s="5" t="s">
        <v>366</v>
      </c>
      <c r="HC144" s="5" t="s">
        <v>366</v>
      </c>
      <c r="HD144" s="5" t="b">
        <v>1</v>
      </c>
      <c r="HE144" s="5">
        <v>8000</v>
      </c>
      <c r="HF144" s="5" t="b">
        <v>0</v>
      </c>
      <c r="HG144" s="5">
        <v>0</v>
      </c>
      <c r="HH144" s="5">
        <v>0</v>
      </c>
      <c r="HI144" s="5">
        <v>0</v>
      </c>
      <c r="HJ144" s="5">
        <v>0</v>
      </c>
      <c r="HK144" s="5" t="b">
        <v>0</v>
      </c>
      <c r="HL144" s="5">
        <v>0</v>
      </c>
      <c r="HM144" s="5">
        <v>10001</v>
      </c>
      <c r="HN144" s="5" t="s">
        <v>367</v>
      </c>
      <c r="HO144" s="5" t="s">
        <v>360</v>
      </c>
      <c r="HP144" s="5">
        <v>0</v>
      </c>
      <c r="HQ144" s="5">
        <v>0</v>
      </c>
      <c r="HR144" s="5">
        <v>0</v>
      </c>
      <c r="HS144" s="5">
        <v>0</v>
      </c>
      <c r="HT144" s="5" t="b">
        <v>0</v>
      </c>
    </row>
    <row r="145" spans="1:228">
      <c r="A145"/>
      <c r="B145" s="1">
        <f>10000000+INDEX(编号表!$B$1:$B$112,MATCH(D145,编号表!$A$1:$A$112,0))*10000+I145</f>
        <v>10140009</v>
      </c>
      <c r="C145" s="5" t="s">
        <v>406</v>
      </c>
      <c r="D145" s="5" t="s">
        <v>406</v>
      </c>
      <c r="E145" s="5" t="s">
        <v>348</v>
      </c>
      <c r="F145" s="5" t="s">
        <v>349</v>
      </c>
      <c r="G145" s="5" t="b">
        <v>0</v>
      </c>
      <c r="H145" s="5" t="b">
        <v>0</v>
      </c>
      <c r="I145" s="5">
        <v>9</v>
      </c>
      <c r="J145" s="5">
        <v>101400</v>
      </c>
      <c r="K145" s="5" t="s">
        <v>350</v>
      </c>
      <c r="L145" s="5">
        <v>10140008</v>
      </c>
      <c r="M145" s="5">
        <v>10140010</v>
      </c>
      <c r="N145" s="5" t="s">
        <v>407</v>
      </c>
      <c r="O145" s="5">
        <v>10202013</v>
      </c>
      <c r="P145" s="5">
        <v>0</v>
      </c>
      <c r="Q145" s="5">
        <v>3</v>
      </c>
      <c r="R145" s="5">
        <v>40</v>
      </c>
      <c r="S145" s="5">
        <v>0</v>
      </c>
      <c r="T145" s="5">
        <v>100</v>
      </c>
      <c r="U145" s="5" t="s">
        <v>364</v>
      </c>
      <c r="V145" s="5">
        <v>900</v>
      </c>
      <c r="W145" s="5">
        <v>0</v>
      </c>
      <c r="X145" s="5" t="inlineStr">
        <is>
          <t xml:space="preserve">目标点</t>
        </is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 t="s">
        <v>356</v>
      </c>
      <c r="AZ145" s="5">
        <v>11900</v>
      </c>
      <c r="BA145" s="5" t="inlineStr">
        <is>
          <t xml:space="preserve">技能效果_弹道</t>
        </is>
      </c>
      <c r="BB145" s="5" t="inlineStr">
        <is>
          <t xml:space="preserve">敌对</t>
        </is>
      </c>
      <c r="BC145" s="5">
        <v>10000</v>
      </c>
      <c r="BD145" s="5">
        <v>0</v>
      </c>
      <c r="BE145" s="5" t="inlineStr">
        <is>
          <t xml:space="preserve">全部</t>
        </is>
      </c>
      <c r="BF145" s="5">
        <v>0</v>
      </c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>
        <v>30032</v>
      </c>
      <c r="CG145" s="5" t="inlineStr">
        <is>
          <t xml:space="preserve">Sound\Zs_Gongji1</t>
        </is>
      </c>
      <c r="CH145" s="5">
        <v>950</v>
      </c>
      <c r="CI145" s="5">
        <v>80</v>
      </c>
      <c r="CJ145" s="5" t="inlineStr">
        <is>
          <t xml:space="preserve">直线</t>
        </is>
      </c>
      <c r="CK145" s="5">
        <v>16</v>
      </c>
      <c r="CL145" s="5">
        <v>100</v>
      </c>
      <c r="CM145" s="5">
        <v>1</v>
      </c>
      <c r="CN145" s="5">
        <v>950</v>
      </c>
      <c r="CO145" s="5">
        <v>65</v>
      </c>
      <c r="CP145" s="5">
        <v>0</v>
      </c>
      <c r="CQ145" s="5">
        <v>0</v>
      </c>
      <c r="CR145" s="5">
        <v>10320009</v>
      </c>
      <c r="CS145" s="5">
        <v>0</v>
      </c>
      <c r="CT145" s="5">
        <v>0</v>
      </c>
      <c r="CU145" s="5">
        <v>0</v>
      </c>
      <c r="CV145" s="5" t="inlineStr">
        <is>
          <t xml:space="preserve">最近</t>
        </is>
      </c>
      <c r="CW145" s="5"/>
      <c r="CX145"/>
      <c r="CY14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/>
      <c r="EX14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/>
      <c r="GW145"/>
      <c r="GX145" s="5">
        <v>200</v>
      </c>
      <c r="GY145" s="5">
        <v>400</v>
      </c>
      <c r="GZ145" s="5" t="inlineStr">
        <is>
          <t xml:space="preserve">Attack One</t>
        </is>
      </c>
      <c r="HA145" s="5">
        <v>0</v>
      </c>
      <c r="HB145" s="5" t="s">
        <v>366</v>
      </c>
      <c r="HC145" s="5" t="s">
        <v>366</v>
      </c>
      <c r="HD145" s="5" t="b">
        <v>1</v>
      </c>
      <c r="HE145" s="5">
        <v>8000</v>
      </c>
      <c r="HF145" s="5" t="b">
        <v>0</v>
      </c>
      <c r="HG145" s="5">
        <v>0</v>
      </c>
      <c r="HH145" s="5">
        <v>0</v>
      </c>
      <c r="HI145" s="5">
        <v>0</v>
      </c>
      <c r="HJ145" s="5">
        <v>0</v>
      </c>
      <c r="HK145" s="5" t="b">
        <v>0</v>
      </c>
      <c r="HL145" s="5">
        <v>0</v>
      </c>
      <c r="HM145" s="5">
        <v>10001</v>
      </c>
      <c r="HN145" s="5" t="s">
        <v>367</v>
      </c>
      <c r="HO145" s="5" t="s">
        <v>360</v>
      </c>
      <c r="HP145" s="5">
        <v>0</v>
      </c>
      <c r="HQ145" s="5">
        <v>0</v>
      </c>
      <c r="HR145" s="5">
        <v>0</v>
      </c>
      <c r="HS145" s="5">
        <v>0</v>
      </c>
      <c r="HT145" s="5" t="b">
        <v>0</v>
      </c>
    </row>
    <row r="146" spans="1:228">
      <c r="A146"/>
      <c r="B146" s="1">
        <f>10000000+INDEX(编号表!$B$1:$B$112,MATCH(D146,编号表!$A$1:$A$112,0))*10000+I146</f>
        <v>10140010</v>
      </c>
      <c r="C146" s="5" t="s">
        <v>406</v>
      </c>
      <c r="D146" s="5" t="s">
        <v>406</v>
      </c>
      <c r="E146" s="5" t="s">
        <v>348</v>
      </c>
      <c r="F146" s="5" t="s">
        <v>349</v>
      </c>
      <c r="G146" s="5" t="b">
        <v>0</v>
      </c>
      <c r="H146" s="5" t="b">
        <v>0</v>
      </c>
      <c r="I146" s="5">
        <v>10</v>
      </c>
      <c r="J146" s="5">
        <v>101400</v>
      </c>
      <c r="K146" s="5" t="s">
        <v>350</v>
      </c>
      <c r="L146" s="5">
        <v>10140009</v>
      </c>
      <c r="M146" s="5">
        <v>0</v>
      </c>
      <c r="N146" s="5" t="s">
        <v>407</v>
      </c>
      <c r="O146" s="5">
        <v>10202013</v>
      </c>
      <c r="P146" s="5">
        <v>0</v>
      </c>
      <c r="Q146" s="5">
        <v>3</v>
      </c>
      <c r="R146" s="5">
        <v>40</v>
      </c>
      <c r="S146" s="5">
        <v>0</v>
      </c>
      <c r="T146" s="5">
        <v>0</v>
      </c>
      <c r="U146" s="5" t="s">
        <v>364</v>
      </c>
      <c r="V146" s="5">
        <v>900</v>
      </c>
      <c r="W146" s="5">
        <v>0</v>
      </c>
      <c r="X146" s="5" t="inlineStr">
        <is>
          <t xml:space="preserve">目标点</t>
        </is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 t="s">
        <v>356</v>
      </c>
      <c r="AZ146" s="5">
        <v>12000</v>
      </c>
      <c r="BA146" s="5" t="inlineStr">
        <is>
          <t xml:space="preserve">技能效果_弹道</t>
        </is>
      </c>
      <c r="BB146" s="5" t="inlineStr">
        <is>
          <t xml:space="preserve">敌对</t>
        </is>
      </c>
      <c r="BC146" s="5">
        <v>10000</v>
      </c>
      <c r="BD146" s="5">
        <v>0</v>
      </c>
      <c r="BE146" s="5" t="inlineStr">
        <is>
          <t xml:space="preserve">全部</t>
        </is>
      </c>
      <c r="BF146" s="5">
        <v>0</v>
      </c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>
        <v>30032</v>
      </c>
      <c r="CG146" s="5" t="inlineStr">
        <is>
          <t xml:space="preserve">Sound\Zs_Gongji1</t>
        </is>
      </c>
      <c r="CH146" s="5">
        <v>950</v>
      </c>
      <c r="CI146" s="5">
        <v>80</v>
      </c>
      <c r="CJ146" s="5" t="inlineStr">
        <is>
          <t xml:space="preserve">直线</t>
        </is>
      </c>
      <c r="CK146" s="5">
        <v>16</v>
      </c>
      <c r="CL146" s="5">
        <v>100</v>
      </c>
      <c r="CM146" s="5">
        <v>1</v>
      </c>
      <c r="CN146" s="5">
        <v>950</v>
      </c>
      <c r="CO146" s="5">
        <v>65</v>
      </c>
      <c r="CP146" s="5">
        <v>0</v>
      </c>
      <c r="CQ146" s="5">
        <v>0</v>
      </c>
      <c r="CR146" s="5">
        <v>10320010</v>
      </c>
      <c r="CS146" s="5">
        <v>0</v>
      </c>
      <c r="CT146" s="5">
        <v>0</v>
      </c>
      <c r="CU146" s="5">
        <v>0</v>
      </c>
      <c r="CV146" s="5" t="inlineStr">
        <is>
          <t xml:space="preserve">最近</t>
        </is>
      </c>
      <c r="CW146" s="5"/>
      <c r="CX146"/>
      <c r="CY146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/>
      <c r="EX146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/>
      <c r="GW146"/>
      <c r="GX146" s="5">
        <v>200</v>
      </c>
      <c r="GY146" s="5">
        <v>400</v>
      </c>
      <c r="GZ146" s="5" t="inlineStr">
        <is>
          <t xml:space="preserve">Attack One</t>
        </is>
      </c>
      <c r="HA146" s="5">
        <v>0</v>
      </c>
      <c r="HB146" s="5" t="s">
        <v>366</v>
      </c>
      <c r="HC146" s="5" t="s">
        <v>366</v>
      </c>
      <c r="HD146" s="5" t="b">
        <v>1</v>
      </c>
      <c r="HE146" s="5">
        <v>8000</v>
      </c>
      <c r="HF146" s="5" t="b">
        <v>0</v>
      </c>
      <c r="HG146" s="5">
        <v>0</v>
      </c>
      <c r="HH146" s="5">
        <v>0</v>
      </c>
      <c r="HI146" s="5">
        <v>0</v>
      </c>
      <c r="HJ146" s="5">
        <v>0</v>
      </c>
      <c r="HK146" s="5" t="b">
        <v>0</v>
      </c>
      <c r="HL146" s="5">
        <v>0</v>
      </c>
      <c r="HM146" s="5">
        <v>10001</v>
      </c>
      <c r="HN146" s="5" t="s">
        <v>367</v>
      </c>
      <c r="HO146" s="5" t="s">
        <v>360</v>
      </c>
      <c r="HP146" s="5">
        <v>0</v>
      </c>
      <c r="HQ146" s="5">
        <v>0</v>
      </c>
      <c r="HR146" s="5">
        <v>0</v>
      </c>
      <c r="HS146" s="5">
        <v>0</v>
      </c>
      <c r="HT146" s="5" t="b">
        <v>0</v>
      </c>
    </row>
    <row r="147" spans="1:228">
      <c r="A147"/>
      <c r="B147" s="1">
        <f>10000000+INDEX(编号表!$B$1:$B$112,MATCH(D147,编号表!$A$1:$A$112,0))*10000+I147</f>
        <v>10150001</v>
      </c>
      <c r="C147" s="5" t="s">
        <v>408</v>
      </c>
      <c r="D147" s="5" t="s">
        <v>408</v>
      </c>
      <c r="E147" s="5" t="s">
        <v>348</v>
      </c>
      <c r="F147" s="5" t="s">
        <v>349</v>
      </c>
      <c r="G147" s="5" t="b">
        <v>0</v>
      </c>
      <c r="H147" s="5" t="b">
        <v>0</v>
      </c>
      <c r="I147" s="5">
        <v>1</v>
      </c>
      <c r="J147" s="5">
        <v>101500</v>
      </c>
      <c r="K147" s="5" t="s">
        <v>350</v>
      </c>
      <c r="L147" s="5">
        <v>0</v>
      </c>
      <c r="M147" s="5">
        <v>10150002</v>
      </c>
      <c r="N147" s="5" t="s">
        <v>409</v>
      </c>
      <c r="O147" s="5">
        <v>10202014</v>
      </c>
      <c r="P147" s="5">
        <v>0</v>
      </c>
      <c r="Q147" s="5">
        <v>0</v>
      </c>
      <c r="R147" s="5">
        <v>1</v>
      </c>
      <c r="S147" s="5">
        <v>0</v>
      </c>
      <c r="T147" s="5">
        <v>100</v>
      </c>
      <c r="U147" s="5" t="s">
        <v>364</v>
      </c>
      <c r="V147" s="5">
        <v>0</v>
      </c>
      <c r="W147" s="5">
        <v>0</v>
      </c>
      <c r="X147" s="5" t="s">
        <v>370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 t="s">
        <v>356</v>
      </c>
      <c r="AZ147" s="5">
        <v>10000</v>
      </c>
      <c r="BA147" s="5" t="inlineStr">
        <is>
          <t xml:space="preserve">技能效果_调用技能</t>
        </is>
      </c>
      <c r="BB147" s="5" t="inlineStr">
        <is>
          <t xml:space="preserve">敌对</t>
        </is>
      </c>
      <c r="BC147" s="5">
        <v>10000</v>
      </c>
      <c r="BD147" s="5">
        <v>0</v>
      </c>
      <c r="BE147" s="5" t="inlineStr">
        <is>
          <t xml:space="preserve">全部</t>
        </is>
      </c>
      <c r="BF147" s="5">
        <v>0</v>
      </c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>
        <v>10430001</v>
      </c>
      <c r="CX147"/>
      <c r="CY147"/>
      <c r="CZ147" s="5" t="inlineStr">
        <is>
          <t xml:space="preserve">技能效果_调用技能</t>
        </is>
      </c>
      <c r="DA147" s="5" t="inlineStr">
        <is>
          <t xml:space="preserve">敌对</t>
        </is>
      </c>
      <c r="DB147" s="5">
        <v>10000</v>
      </c>
      <c r="DC147" s="5">
        <v>800</v>
      </c>
      <c r="DD147" s="5" t="inlineStr">
        <is>
          <t xml:space="preserve">全部</t>
        </is>
      </c>
      <c r="DE147" s="5">
        <v>0</v>
      </c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>
        <v>10430001</v>
      </c>
      <c r="EW147"/>
      <c r="EX147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/>
      <c r="GW147"/>
      <c r="GX147" s="5">
        <v>200</v>
      </c>
      <c r="GY147" s="5">
        <v>400</v>
      </c>
      <c r="GZ147" s="5" t="s">
        <v>383</v>
      </c>
      <c r="HA147" s="5">
        <v>0</v>
      </c>
      <c r="HB147" s="5" t="s">
        <v>366</v>
      </c>
      <c r="HC147" s="5" t="s">
        <v>366</v>
      </c>
      <c r="HD147" s="5" t="b">
        <v>1</v>
      </c>
      <c r="HE147" s="5">
        <v>8000</v>
      </c>
      <c r="HF147" s="5" t="b">
        <v>0</v>
      </c>
      <c r="HG147" s="5">
        <v>0</v>
      </c>
      <c r="HH147" s="5">
        <v>0</v>
      </c>
      <c r="HI147" s="5">
        <v>0</v>
      </c>
      <c r="HJ147" s="5">
        <v>0</v>
      </c>
      <c r="HK147" s="5" t="b">
        <v>0</v>
      </c>
      <c r="HL147" s="5">
        <v>0</v>
      </c>
      <c r="HM147" s="5">
        <v>10001</v>
      </c>
      <c r="HN147" s="5" t="s">
        <v>367</v>
      </c>
      <c r="HO147" s="5" t="s">
        <v>360</v>
      </c>
      <c r="HP147" s="5">
        <v>0</v>
      </c>
      <c r="HQ147" s="5">
        <v>0</v>
      </c>
      <c r="HR147" s="5">
        <v>0</v>
      </c>
      <c r="HS147" s="5">
        <v>0</v>
      </c>
      <c r="HT147" s="5" t="b">
        <v>0</v>
      </c>
      <c r="HU147">
        <v>30007</v>
      </c>
    </row>
    <row r="148" spans="1:228">
      <c r="A148"/>
      <c r="B148" s="1">
        <f>10000000+INDEX(编号表!$B$1:$B$112,MATCH(D148,编号表!$A$1:$A$112,0))*10000+I148</f>
        <v>10150002</v>
      </c>
      <c r="C148" s="5" t="s">
        <v>408</v>
      </c>
      <c r="D148" s="5" t="s">
        <v>408</v>
      </c>
      <c r="E148" s="5" t="s">
        <v>348</v>
      </c>
      <c r="F148" s="5" t="s">
        <v>349</v>
      </c>
      <c r="G148" s="5" t="b">
        <v>0</v>
      </c>
      <c r="H148" s="5" t="b">
        <v>0</v>
      </c>
      <c r="I148" s="5">
        <v>2</v>
      </c>
      <c r="J148" s="5">
        <v>101500</v>
      </c>
      <c r="K148" s="5" t="s">
        <v>350</v>
      </c>
      <c r="L148" s="5">
        <v>10150001</v>
      </c>
      <c r="M148" s="5">
        <v>10150003</v>
      </c>
      <c r="N148" s="5" t="s">
        <v>409</v>
      </c>
      <c r="O148" s="5">
        <v>10202014</v>
      </c>
      <c r="P148" s="5">
        <v>0</v>
      </c>
      <c r="Q148" s="5">
        <v>1</v>
      </c>
      <c r="R148" s="5">
        <v>7</v>
      </c>
      <c r="S148" s="5">
        <v>0</v>
      </c>
      <c r="T148" s="5">
        <v>100</v>
      </c>
      <c r="U148" s="5" t="s">
        <v>364</v>
      </c>
      <c r="V148" s="5">
        <v>0</v>
      </c>
      <c r="W148" s="5">
        <v>0</v>
      </c>
      <c r="X148" s="5" t="s">
        <v>370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 t="s">
        <v>356</v>
      </c>
      <c r="AZ148" s="5">
        <v>10400</v>
      </c>
      <c r="BA148" s="5" t="inlineStr">
        <is>
          <t xml:space="preserve">技能效果_调用技能</t>
        </is>
      </c>
      <c r="BB148" s="5" t="inlineStr">
        <is>
          <t xml:space="preserve">敌对</t>
        </is>
      </c>
      <c r="BC148" s="5">
        <v>10000</v>
      </c>
      <c r="BD148" s="5">
        <v>0</v>
      </c>
      <c r="BE148" s="5" t="inlineStr">
        <is>
          <t xml:space="preserve">全部</t>
        </is>
      </c>
      <c r="BF148" s="5">
        <v>0</v>
      </c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>
        <v>10430002</v>
      </c>
      <c r="CX148"/>
      <c r="CY148"/>
      <c r="CZ148" s="5" t="inlineStr">
        <is>
          <t xml:space="preserve">技能效果_调用技能</t>
        </is>
      </c>
      <c r="DA148" s="5" t="inlineStr">
        <is>
          <t xml:space="preserve">敌对</t>
        </is>
      </c>
      <c r="DB148" s="5">
        <v>10000</v>
      </c>
      <c r="DC148" s="5">
        <v>800</v>
      </c>
      <c r="DD148" s="5" t="inlineStr">
        <is>
          <t xml:space="preserve">全部</t>
        </is>
      </c>
      <c r="DE148" s="5">
        <v>0</v>
      </c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>
        <v>10430002</v>
      </c>
      <c r="EW148"/>
      <c r="EX148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/>
      <c r="GW148"/>
      <c r="GX148" s="5">
        <v>200</v>
      </c>
      <c r="GY148" s="5">
        <v>400</v>
      </c>
      <c r="GZ148" s="5" t="s">
        <v>383</v>
      </c>
      <c r="HA148" s="5">
        <v>0</v>
      </c>
      <c r="HB148" s="5" t="s">
        <v>366</v>
      </c>
      <c r="HC148" s="5" t="s">
        <v>366</v>
      </c>
      <c r="HD148" s="5" t="b">
        <v>1</v>
      </c>
      <c r="HE148" s="5">
        <v>8000</v>
      </c>
      <c r="HF148" s="5" t="b">
        <v>0</v>
      </c>
      <c r="HG148" s="5">
        <v>0</v>
      </c>
      <c r="HH148" s="5">
        <v>0</v>
      </c>
      <c r="HI148" s="5">
        <v>0</v>
      </c>
      <c r="HJ148" s="5">
        <v>0</v>
      </c>
      <c r="HK148" s="5" t="b">
        <v>0</v>
      </c>
      <c r="HL148" s="5">
        <v>0</v>
      </c>
      <c r="HM148" s="5">
        <v>10001</v>
      </c>
      <c r="HN148" s="5" t="s">
        <v>367</v>
      </c>
      <c r="HO148" s="5" t="s">
        <v>360</v>
      </c>
      <c r="HP148" s="5">
        <v>0</v>
      </c>
      <c r="HQ148" s="5">
        <v>0</v>
      </c>
      <c r="HR148" s="5">
        <v>0</v>
      </c>
      <c r="HS148" s="5">
        <v>0</v>
      </c>
      <c r="HT148" s="5" t="b">
        <v>0</v>
      </c>
      <c r="HU148">
        <v>30007</v>
      </c>
    </row>
    <row r="149" spans="1:228">
      <c r="A149"/>
      <c r="B149" s="1">
        <f>10000000+INDEX(编号表!$B$1:$B$112,MATCH(D149,编号表!$A$1:$A$112,0))*10000+I149</f>
        <v>10150003</v>
      </c>
      <c r="C149" s="5" t="s">
        <v>408</v>
      </c>
      <c r="D149" s="5" t="s">
        <v>408</v>
      </c>
      <c r="E149" s="5" t="s">
        <v>348</v>
      </c>
      <c r="F149" s="5" t="s">
        <v>349</v>
      </c>
      <c r="G149" s="5" t="b">
        <v>0</v>
      </c>
      <c r="H149" s="5" t="b">
        <v>0</v>
      </c>
      <c r="I149" s="5">
        <v>3</v>
      </c>
      <c r="J149" s="5">
        <v>101500</v>
      </c>
      <c r="K149" s="5" t="s">
        <v>350</v>
      </c>
      <c r="L149" s="5">
        <v>10150002</v>
      </c>
      <c r="M149" s="5">
        <v>10150004</v>
      </c>
      <c r="N149" s="5" t="s">
        <v>409</v>
      </c>
      <c r="O149" s="5">
        <v>10202014</v>
      </c>
      <c r="P149" s="5">
        <v>0</v>
      </c>
      <c r="Q149" s="5">
        <v>2</v>
      </c>
      <c r="R149" s="5">
        <v>11</v>
      </c>
      <c r="S149" s="5">
        <v>0</v>
      </c>
      <c r="T149" s="5">
        <v>100</v>
      </c>
      <c r="U149" s="5" t="s">
        <v>364</v>
      </c>
      <c r="V149" s="5">
        <v>0</v>
      </c>
      <c r="W149" s="5">
        <v>0</v>
      </c>
      <c r="X149" s="5" t="s">
        <v>370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 t="s">
        <v>356</v>
      </c>
      <c r="AZ149" s="5">
        <v>10800</v>
      </c>
      <c r="BA149" s="5" t="inlineStr">
        <is>
          <t xml:space="preserve">技能效果_调用技能</t>
        </is>
      </c>
      <c r="BB149" s="5" t="inlineStr">
        <is>
          <t xml:space="preserve">敌对</t>
        </is>
      </c>
      <c r="BC149" s="5">
        <v>10000</v>
      </c>
      <c r="BD149" s="5">
        <v>0</v>
      </c>
      <c r="BE149" s="5" t="inlineStr">
        <is>
          <t xml:space="preserve">全部</t>
        </is>
      </c>
      <c r="BF149" s="5">
        <v>0</v>
      </c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>
        <v>10430003</v>
      </c>
      <c r="CX149"/>
      <c r="CY149"/>
      <c r="CZ149" s="5" t="inlineStr">
        <is>
          <t xml:space="preserve">技能效果_调用技能</t>
        </is>
      </c>
      <c r="DA149" s="5" t="inlineStr">
        <is>
          <t xml:space="preserve">敌对</t>
        </is>
      </c>
      <c r="DB149" s="5">
        <v>10000</v>
      </c>
      <c r="DC149" s="5">
        <v>800</v>
      </c>
      <c r="DD149" s="5" t="inlineStr">
        <is>
          <t xml:space="preserve">全部</t>
        </is>
      </c>
      <c r="DE149" s="5">
        <v>0</v>
      </c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>
        <v>10430003</v>
      </c>
      <c r="EW149"/>
      <c r="EX149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/>
      <c r="GW149"/>
      <c r="GX149" s="5">
        <v>200</v>
      </c>
      <c r="GY149" s="5">
        <v>400</v>
      </c>
      <c r="GZ149" s="5" t="s">
        <v>383</v>
      </c>
      <c r="HA149" s="5">
        <v>0</v>
      </c>
      <c r="HB149" s="5" t="s">
        <v>366</v>
      </c>
      <c r="HC149" s="5" t="s">
        <v>366</v>
      </c>
      <c r="HD149" s="5" t="b">
        <v>1</v>
      </c>
      <c r="HE149" s="5">
        <v>8000</v>
      </c>
      <c r="HF149" s="5" t="b">
        <v>0</v>
      </c>
      <c r="HG149" s="5">
        <v>0</v>
      </c>
      <c r="HH149" s="5">
        <v>0</v>
      </c>
      <c r="HI149" s="5">
        <v>0</v>
      </c>
      <c r="HJ149" s="5">
        <v>0</v>
      </c>
      <c r="HK149" s="5" t="b">
        <v>0</v>
      </c>
      <c r="HL149" s="5">
        <v>0</v>
      </c>
      <c r="HM149" s="5">
        <v>10001</v>
      </c>
      <c r="HN149" s="5" t="s">
        <v>367</v>
      </c>
      <c r="HO149" s="5" t="s">
        <v>360</v>
      </c>
      <c r="HP149" s="5">
        <v>0</v>
      </c>
      <c r="HQ149" s="5">
        <v>0</v>
      </c>
      <c r="HR149" s="5">
        <v>0</v>
      </c>
      <c r="HS149" s="5">
        <v>0</v>
      </c>
      <c r="HT149" s="5" t="b">
        <v>0</v>
      </c>
      <c r="HU149">
        <v>30007</v>
      </c>
    </row>
    <row r="150" spans="1:228">
      <c r="A150"/>
      <c r="B150" s="1">
        <f>10000000+INDEX(编号表!$B$1:$B$112,MATCH(D150,编号表!$A$1:$A$112,0))*10000+I150</f>
        <v>10150004</v>
      </c>
      <c r="C150" s="5" t="s">
        <v>408</v>
      </c>
      <c r="D150" s="5" t="s">
        <v>408</v>
      </c>
      <c r="E150" s="5" t="s">
        <v>348</v>
      </c>
      <c r="F150" s="5" t="s">
        <v>349</v>
      </c>
      <c r="G150" s="5" t="b">
        <v>0</v>
      </c>
      <c r="H150" s="5" t="b">
        <v>0</v>
      </c>
      <c r="I150" s="5">
        <v>4</v>
      </c>
      <c r="J150" s="5">
        <v>101500</v>
      </c>
      <c r="K150" s="5" t="s">
        <v>350</v>
      </c>
      <c r="L150" s="5">
        <v>10150003</v>
      </c>
      <c r="M150" s="5">
        <v>10150005</v>
      </c>
      <c r="N150" s="5" t="s">
        <v>409</v>
      </c>
      <c r="O150" s="5">
        <v>10202014</v>
      </c>
      <c r="P150" s="5">
        <v>0</v>
      </c>
      <c r="Q150" s="5">
        <v>3</v>
      </c>
      <c r="R150" s="5">
        <v>16</v>
      </c>
      <c r="S150" s="5">
        <v>0</v>
      </c>
      <c r="T150" s="5">
        <v>100</v>
      </c>
      <c r="U150" s="5" t="s">
        <v>364</v>
      </c>
      <c r="V150" s="5">
        <v>0</v>
      </c>
      <c r="W150" s="5">
        <v>0</v>
      </c>
      <c r="X150" s="5" t="s">
        <v>370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 t="s">
        <v>356</v>
      </c>
      <c r="AZ150" s="5">
        <v>11200</v>
      </c>
      <c r="BA150" s="5" t="inlineStr">
        <is>
          <t xml:space="preserve">技能效果_调用技能</t>
        </is>
      </c>
      <c r="BB150" s="5" t="inlineStr">
        <is>
          <t xml:space="preserve">敌对</t>
        </is>
      </c>
      <c r="BC150" s="5">
        <v>10000</v>
      </c>
      <c r="BD150" s="5">
        <v>0</v>
      </c>
      <c r="BE150" s="5" t="inlineStr">
        <is>
          <t xml:space="preserve">全部</t>
        </is>
      </c>
      <c r="BF150" s="5">
        <v>0</v>
      </c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>
        <v>10430004</v>
      </c>
      <c r="CX150"/>
      <c r="CY150"/>
      <c r="CZ150" s="5" t="inlineStr">
        <is>
          <t xml:space="preserve">技能效果_调用技能</t>
        </is>
      </c>
      <c r="DA150" s="5" t="inlineStr">
        <is>
          <t xml:space="preserve">敌对</t>
        </is>
      </c>
      <c r="DB150" s="5">
        <v>10000</v>
      </c>
      <c r="DC150" s="5">
        <v>800</v>
      </c>
      <c r="DD150" s="5" t="inlineStr">
        <is>
          <t xml:space="preserve">全部</t>
        </is>
      </c>
      <c r="DE150" s="5">
        <v>0</v>
      </c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>
        <v>10430004</v>
      </c>
      <c r="EW150"/>
      <c r="EX150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/>
      <c r="GW150"/>
      <c r="GX150" s="5">
        <v>200</v>
      </c>
      <c r="GY150" s="5">
        <v>400</v>
      </c>
      <c r="GZ150" s="5" t="s">
        <v>383</v>
      </c>
      <c r="HA150" s="5">
        <v>0</v>
      </c>
      <c r="HB150" s="5" t="s">
        <v>366</v>
      </c>
      <c r="HC150" s="5" t="s">
        <v>366</v>
      </c>
      <c r="HD150" s="5" t="b">
        <v>1</v>
      </c>
      <c r="HE150" s="5">
        <v>8000</v>
      </c>
      <c r="HF150" s="5" t="b">
        <v>0</v>
      </c>
      <c r="HG150" s="5">
        <v>0</v>
      </c>
      <c r="HH150" s="5">
        <v>0</v>
      </c>
      <c r="HI150" s="5">
        <v>0</v>
      </c>
      <c r="HJ150" s="5">
        <v>0</v>
      </c>
      <c r="HK150" s="5" t="b">
        <v>0</v>
      </c>
      <c r="HL150" s="5">
        <v>0</v>
      </c>
      <c r="HM150" s="5">
        <v>10001</v>
      </c>
      <c r="HN150" s="5" t="s">
        <v>367</v>
      </c>
      <c r="HO150" s="5" t="s">
        <v>360</v>
      </c>
      <c r="HP150" s="5">
        <v>0</v>
      </c>
      <c r="HQ150" s="5">
        <v>0</v>
      </c>
      <c r="HR150" s="5">
        <v>0</v>
      </c>
      <c r="HS150" s="5">
        <v>0</v>
      </c>
      <c r="HT150" s="5" t="b">
        <v>0</v>
      </c>
      <c r="HU150">
        <v>30007</v>
      </c>
    </row>
    <row r="151" spans="1:228">
      <c r="A151"/>
      <c r="B151" s="1">
        <f>10000000+INDEX(编号表!$B$1:$B$112,MATCH(D151,编号表!$A$1:$A$112,0))*10000+I151</f>
        <v>10150005</v>
      </c>
      <c r="C151" s="5" t="s">
        <v>408</v>
      </c>
      <c r="D151" s="5" t="s">
        <v>408</v>
      </c>
      <c r="E151" s="5" t="s">
        <v>348</v>
      </c>
      <c r="F151" s="5" t="s">
        <v>349</v>
      </c>
      <c r="G151" s="5" t="b">
        <v>0</v>
      </c>
      <c r="H151" s="5" t="b">
        <v>0</v>
      </c>
      <c r="I151" s="5">
        <v>5</v>
      </c>
      <c r="J151" s="5">
        <v>101500</v>
      </c>
      <c r="K151" s="5" t="s">
        <v>350</v>
      </c>
      <c r="L151" s="5">
        <v>10150004</v>
      </c>
      <c r="M151" s="5">
        <v>10150006</v>
      </c>
      <c r="N151" s="5" t="s">
        <v>409</v>
      </c>
      <c r="O151" s="5">
        <v>10202014</v>
      </c>
      <c r="P151" s="5">
        <v>0</v>
      </c>
      <c r="Q151" s="5">
        <v>3</v>
      </c>
      <c r="R151" s="5">
        <v>25</v>
      </c>
      <c r="S151" s="5">
        <v>0</v>
      </c>
      <c r="T151" s="5">
        <v>100</v>
      </c>
      <c r="U151" s="5" t="s">
        <v>364</v>
      </c>
      <c r="V151" s="5">
        <v>0</v>
      </c>
      <c r="W151" s="5">
        <v>0</v>
      </c>
      <c r="X151" s="5" t="s">
        <v>370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 t="s">
        <v>356</v>
      </c>
      <c r="AZ151" s="5">
        <v>11300</v>
      </c>
      <c r="BA151" s="5" t="inlineStr">
        <is>
          <t xml:space="preserve">技能效果_调用技能</t>
        </is>
      </c>
      <c r="BB151" s="5" t="inlineStr">
        <is>
          <t xml:space="preserve">敌对</t>
        </is>
      </c>
      <c r="BC151" s="5">
        <v>10000</v>
      </c>
      <c r="BD151" s="5">
        <v>0</v>
      </c>
      <c r="BE151" s="5" t="inlineStr">
        <is>
          <t xml:space="preserve">全部</t>
        </is>
      </c>
      <c r="BF151" s="5">
        <v>0</v>
      </c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>
        <v>10430005</v>
      </c>
      <c r="CX151"/>
      <c r="CY151"/>
      <c r="CZ151" s="5" t="inlineStr">
        <is>
          <t xml:space="preserve">技能效果_调用技能</t>
        </is>
      </c>
      <c r="DA151" s="5" t="inlineStr">
        <is>
          <t xml:space="preserve">敌对</t>
        </is>
      </c>
      <c r="DB151" s="5">
        <v>10000</v>
      </c>
      <c r="DC151" s="5">
        <v>800</v>
      </c>
      <c r="DD151" s="5" t="inlineStr">
        <is>
          <t xml:space="preserve">全部</t>
        </is>
      </c>
      <c r="DE151" s="5">
        <v>0</v>
      </c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>
        <v>10430005</v>
      </c>
      <c r="EW151"/>
      <c r="EX151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/>
      <c r="GW151"/>
      <c r="GX151" s="5">
        <v>200</v>
      </c>
      <c r="GY151" s="5">
        <v>400</v>
      </c>
      <c r="GZ151" s="5" t="s">
        <v>383</v>
      </c>
      <c r="HA151" s="5">
        <v>0</v>
      </c>
      <c r="HB151" s="5" t="s">
        <v>366</v>
      </c>
      <c r="HC151" s="5" t="s">
        <v>366</v>
      </c>
      <c r="HD151" s="5" t="b">
        <v>1</v>
      </c>
      <c r="HE151" s="5">
        <v>8000</v>
      </c>
      <c r="HF151" s="5" t="b">
        <v>0</v>
      </c>
      <c r="HG151" s="5">
        <v>0</v>
      </c>
      <c r="HH151" s="5">
        <v>0</v>
      </c>
      <c r="HI151" s="5">
        <v>0</v>
      </c>
      <c r="HJ151" s="5">
        <v>0</v>
      </c>
      <c r="HK151" s="5" t="b">
        <v>0</v>
      </c>
      <c r="HL151" s="5">
        <v>0</v>
      </c>
      <c r="HM151" s="5">
        <v>10001</v>
      </c>
      <c r="HN151" s="5" t="s">
        <v>367</v>
      </c>
      <c r="HO151" s="5" t="s">
        <v>360</v>
      </c>
      <c r="HP151" s="5">
        <v>0</v>
      </c>
      <c r="HQ151" s="5">
        <v>0</v>
      </c>
      <c r="HR151" s="5">
        <v>0</v>
      </c>
      <c r="HS151" s="5">
        <v>0</v>
      </c>
      <c r="HT151" s="5" t="b">
        <v>0</v>
      </c>
      <c r="HU151">
        <v>30007</v>
      </c>
    </row>
    <row r="152" spans="1:228">
      <c r="A152"/>
      <c r="B152" s="1">
        <f>10000000+INDEX(编号表!$B$1:$B$112,MATCH(D152,编号表!$A$1:$A$112,0))*10000+I152</f>
        <v>10150006</v>
      </c>
      <c r="C152" s="5" t="s">
        <v>408</v>
      </c>
      <c r="D152" s="5" t="s">
        <v>408</v>
      </c>
      <c r="E152" s="5" t="s">
        <v>348</v>
      </c>
      <c r="F152" s="5" t="s">
        <v>349</v>
      </c>
      <c r="G152" s="5" t="b">
        <v>0</v>
      </c>
      <c r="H152" s="5" t="b">
        <v>0</v>
      </c>
      <c r="I152" s="5">
        <v>6</v>
      </c>
      <c r="J152" s="5">
        <v>101500</v>
      </c>
      <c r="K152" s="5" t="s">
        <v>350</v>
      </c>
      <c r="L152" s="5">
        <v>10150005</v>
      </c>
      <c r="M152" s="5">
        <v>10150007</v>
      </c>
      <c r="N152" s="5" t="s">
        <v>409</v>
      </c>
      <c r="O152" s="5">
        <v>10202014</v>
      </c>
      <c r="P152" s="5">
        <v>0</v>
      </c>
      <c r="Q152" s="5">
        <v>3</v>
      </c>
      <c r="R152" s="5">
        <v>30</v>
      </c>
      <c r="S152" s="5">
        <v>0</v>
      </c>
      <c r="T152" s="5">
        <v>100</v>
      </c>
      <c r="U152" s="5" t="s">
        <v>364</v>
      </c>
      <c r="V152" s="5">
        <v>0</v>
      </c>
      <c r="W152" s="5">
        <v>0</v>
      </c>
      <c r="X152" s="5" t="s">
        <v>370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 t="s">
        <v>356</v>
      </c>
      <c r="AZ152" s="5">
        <v>11600</v>
      </c>
      <c r="BA152" s="5" t="inlineStr">
        <is>
          <t xml:space="preserve">技能效果_调用技能</t>
        </is>
      </c>
      <c r="BB152" s="5" t="inlineStr">
        <is>
          <t xml:space="preserve">敌对</t>
        </is>
      </c>
      <c r="BC152" s="5">
        <v>10000</v>
      </c>
      <c r="BD152" s="5">
        <v>0</v>
      </c>
      <c r="BE152" s="5" t="inlineStr">
        <is>
          <t xml:space="preserve">全部</t>
        </is>
      </c>
      <c r="BF152" s="5">
        <v>0</v>
      </c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>
        <v>10430006</v>
      </c>
      <c r="CX152"/>
      <c r="CY152"/>
      <c r="CZ152" s="5" t="inlineStr">
        <is>
          <t xml:space="preserve">技能效果_调用技能</t>
        </is>
      </c>
      <c r="DA152" s="5" t="inlineStr">
        <is>
          <t xml:space="preserve">敌对</t>
        </is>
      </c>
      <c r="DB152" s="5">
        <v>10000</v>
      </c>
      <c r="DC152" s="5">
        <v>800</v>
      </c>
      <c r="DD152" s="5" t="inlineStr">
        <is>
          <t xml:space="preserve">全部</t>
        </is>
      </c>
      <c r="DE152" s="5">
        <v>0</v>
      </c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>
        <v>10430006</v>
      </c>
      <c r="EW152"/>
      <c r="EX152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/>
      <c r="GW152"/>
      <c r="GX152" s="5">
        <v>200</v>
      </c>
      <c r="GY152" s="5">
        <v>400</v>
      </c>
      <c r="GZ152" s="5" t="s">
        <v>383</v>
      </c>
      <c r="HA152" s="5">
        <v>0</v>
      </c>
      <c r="HB152" s="5" t="s">
        <v>366</v>
      </c>
      <c r="HC152" s="5" t="s">
        <v>366</v>
      </c>
      <c r="HD152" s="5" t="b">
        <v>1</v>
      </c>
      <c r="HE152" s="5">
        <v>8000</v>
      </c>
      <c r="HF152" s="5" t="b">
        <v>0</v>
      </c>
      <c r="HG152" s="5">
        <v>0</v>
      </c>
      <c r="HH152" s="5">
        <v>0</v>
      </c>
      <c r="HI152" s="5">
        <v>0</v>
      </c>
      <c r="HJ152" s="5">
        <v>0</v>
      </c>
      <c r="HK152" s="5" t="b">
        <v>0</v>
      </c>
      <c r="HL152" s="5">
        <v>0</v>
      </c>
      <c r="HM152" s="5">
        <v>10001</v>
      </c>
      <c r="HN152" s="5" t="s">
        <v>367</v>
      </c>
      <c r="HO152" s="5" t="s">
        <v>360</v>
      </c>
      <c r="HP152" s="5">
        <v>0</v>
      </c>
      <c r="HQ152" s="5">
        <v>0</v>
      </c>
      <c r="HR152" s="5">
        <v>0</v>
      </c>
      <c r="HS152" s="5">
        <v>0</v>
      </c>
      <c r="HT152" s="5" t="b">
        <v>0</v>
      </c>
      <c r="HU152">
        <v>30007</v>
      </c>
    </row>
    <row r="153" spans="1:228">
      <c r="A153"/>
      <c r="B153" s="1">
        <f>10000000+INDEX(编号表!$B$1:$B$112,MATCH(D153,编号表!$A$1:$A$112,0))*10000+I153</f>
        <v>10150007</v>
      </c>
      <c r="C153" s="5" t="s">
        <v>408</v>
      </c>
      <c r="D153" s="5" t="s">
        <v>408</v>
      </c>
      <c r="E153" s="5" t="s">
        <v>348</v>
      </c>
      <c r="F153" s="5" t="s">
        <v>349</v>
      </c>
      <c r="G153" s="5" t="b">
        <v>0</v>
      </c>
      <c r="H153" s="5" t="b">
        <v>0</v>
      </c>
      <c r="I153" s="5">
        <v>7</v>
      </c>
      <c r="J153" s="5">
        <v>101500</v>
      </c>
      <c r="K153" s="5" t="s">
        <v>350</v>
      </c>
      <c r="L153" s="5">
        <v>10150006</v>
      </c>
      <c r="M153" s="5">
        <v>10150008</v>
      </c>
      <c r="N153" s="5" t="s">
        <v>409</v>
      </c>
      <c r="O153" s="5">
        <v>10202014</v>
      </c>
      <c r="P153" s="5">
        <v>0</v>
      </c>
      <c r="Q153" s="5">
        <v>3</v>
      </c>
      <c r="R153" s="5">
        <v>35</v>
      </c>
      <c r="S153" s="5">
        <v>0</v>
      </c>
      <c r="T153" s="5">
        <v>100</v>
      </c>
      <c r="U153" s="5" t="s">
        <v>364</v>
      </c>
      <c r="V153" s="5">
        <v>0</v>
      </c>
      <c r="W153" s="5">
        <v>0</v>
      </c>
      <c r="X153" s="5" t="s">
        <v>370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 t="s">
        <v>356</v>
      </c>
      <c r="AZ153" s="5">
        <v>11700</v>
      </c>
      <c r="BA153" s="5" t="inlineStr">
        <is>
          <t xml:space="preserve">技能效果_调用技能</t>
        </is>
      </c>
      <c r="BB153" s="5" t="inlineStr">
        <is>
          <t xml:space="preserve">敌对</t>
        </is>
      </c>
      <c r="BC153" s="5">
        <v>10000</v>
      </c>
      <c r="BD153" s="5">
        <v>0</v>
      </c>
      <c r="BE153" s="5" t="inlineStr">
        <is>
          <t xml:space="preserve">全部</t>
        </is>
      </c>
      <c r="BF153" s="5">
        <v>0</v>
      </c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>
        <v>10430007</v>
      </c>
      <c r="CX153"/>
      <c r="CY153"/>
      <c r="CZ153" s="5" t="inlineStr">
        <is>
          <t xml:space="preserve">技能效果_调用技能</t>
        </is>
      </c>
      <c r="DA153" s="5" t="inlineStr">
        <is>
          <t xml:space="preserve">敌对</t>
        </is>
      </c>
      <c r="DB153" s="5">
        <v>10000</v>
      </c>
      <c r="DC153" s="5">
        <v>800</v>
      </c>
      <c r="DD153" s="5" t="inlineStr">
        <is>
          <t xml:space="preserve">全部</t>
        </is>
      </c>
      <c r="DE153" s="5">
        <v>0</v>
      </c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>
        <v>10430007</v>
      </c>
      <c r="EW153"/>
      <c r="EX153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/>
      <c r="GW153"/>
      <c r="GX153" s="5">
        <v>200</v>
      </c>
      <c r="GY153" s="5">
        <v>400</v>
      </c>
      <c r="GZ153" s="5" t="s">
        <v>383</v>
      </c>
      <c r="HA153" s="5">
        <v>0</v>
      </c>
      <c r="HB153" s="5" t="s">
        <v>366</v>
      </c>
      <c r="HC153" s="5" t="s">
        <v>366</v>
      </c>
      <c r="HD153" s="5" t="b">
        <v>1</v>
      </c>
      <c r="HE153" s="5">
        <v>8000</v>
      </c>
      <c r="HF153" s="5" t="b">
        <v>0</v>
      </c>
      <c r="HG153" s="5">
        <v>0</v>
      </c>
      <c r="HH153" s="5">
        <v>0</v>
      </c>
      <c r="HI153" s="5">
        <v>0</v>
      </c>
      <c r="HJ153" s="5">
        <v>0</v>
      </c>
      <c r="HK153" s="5" t="b">
        <v>0</v>
      </c>
      <c r="HL153" s="5">
        <v>0</v>
      </c>
      <c r="HM153" s="5">
        <v>10001</v>
      </c>
      <c r="HN153" s="5" t="s">
        <v>367</v>
      </c>
      <c r="HO153" s="5" t="s">
        <v>360</v>
      </c>
      <c r="HP153" s="5">
        <v>0</v>
      </c>
      <c r="HQ153" s="5">
        <v>0</v>
      </c>
      <c r="HR153" s="5">
        <v>0</v>
      </c>
      <c r="HS153" s="5">
        <v>0</v>
      </c>
      <c r="HT153" s="5" t="b">
        <v>0</v>
      </c>
      <c r="HU153">
        <v>30007</v>
      </c>
    </row>
    <row r="154" spans="1:228">
      <c r="A154"/>
      <c r="B154" s="1">
        <f>10000000+INDEX(编号表!$B$1:$B$112,MATCH(D154,编号表!$A$1:$A$112,0))*10000+I154</f>
        <v>10150008</v>
      </c>
      <c r="C154" s="5" t="s">
        <v>408</v>
      </c>
      <c r="D154" s="5" t="s">
        <v>408</v>
      </c>
      <c r="E154" s="5" t="s">
        <v>348</v>
      </c>
      <c r="F154" s="5" t="s">
        <v>349</v>
      </c>
      <c r="G154" s="5" t="b">
        <v>0</v>
      </c>
      <c r="H154" s="5" t="b">
        <v>0</v>
      </c>
      <c r="I154" s="5">
        <v>8</v>
      </c>
      <c r="J154" s="5">
        <v>101500</v>
      </c>
      <c r="K154" s="5" t="s">
        <v>350</v>
      </c>
      <c r="L154" s="5">
        <v>10150007</v>
      </c>
      <c r="M154" s="5">
        <v>10150009</v>
      </c>
      <c r="N154" s="5" t="s">
        <v>409</v>
      </c>
      <c r="O154" s="5">
        <v>10202014</v>
      </c>
      <c r="P154" s="5">
        <v>0</v>
      </c>
      <c r="Q154" s="5">
        <v>3</v>
      </c>
      <c r="R154" s="5">
        <v>35</v>
      </c>
      <c r="S154" s="5">
        <v>0</v>
      </c>
      <c r="T154" s="5">
        <v>100</v>
      </c>
      <c r="U154" s="5" t="s">
        <v>364</v>
      </c>
      <c r="V154" s="5">
        <v>0</v>
      </c>
      <c r="W154" s="5">
        <v>0</v>
      </c>
      <c r="X154" s="5" t="s">
        <v>370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 t="s">
        <v>356</v>
      </c>
      <c r="AZ154" s="5">
        <v>11800</v>
      </c>
      <c r="BA154" s="5" t="inlineStr">
        <is>
          <t xml:space="preserve">技能效果_调用技能</t>
        </is>
      </c>
      <c r="BB154" s="5" t="inlineStr">
        <is>
          <t xml:space="preserve">敌对</t>
        </is>
      </c>
      <c r="BC154" s="5">
        <v>10000</v>
      </c>
      <c r="BD154" s="5">
        <v>0</v>
      </c>
      <c r="BE154" s="5" t="inlineStr">
        <is>
          <t xml:space="preserve">全部</t>
        </is>
      </c>
      <c r="BF154" s="5">
        <v>0</v>
      </c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>
        <v>10430008</v>
      </c>
      <c r="CX154"/>
      <c r="CY154"/>
      <c r="CZ154" s="5" t="inlineStr">
        <is>
          <t xml:space="preserve">技能效果_调用技能</t>
        </is>
      </c>
      <c r="DA154" s="5" t="inlineStr">
        <is>
          <t xml:space="preserve">敌对</t>
        </is>
      </c>
      <c r="DB154" s="5">
        <v>10000</v>
      </c>
      <c r="DC154" s="5">
        <v>800</v>
      </c>
      <c r="DD154" s="5" t="inlineStr">
        <is>
          <t xml:space="preserve">全部</t>
        </is>
      </c>
      <c r="DE154" s="5">
        <v>0</v>
      </c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>
        <v>10430008</v>
      </c>
      <c r="EW154"/>
      <c r="EX154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/>
      <c r="GW154"/>
      <c r="GX154" s="5">
        <v>200</v>
      </c>
      <c r="GY154" s="5">
        <v>400</v>
      </c>
      <c r="GZ154" s="5" t="s">
        <v>383</v>
      </c>
      <c r="HA154" s="5">
        <v>0</v>
      </c>
      <c r="HB154" s="5" t="s">
        <v>366</v>
      </c>
      <c r="HC154" s="5" t="s">
        <v>366</v>
      </c>
      <c r="HD154" s="5" t="b">
        <v>1</v>
      </c>
      <c r="HE154" s="5">
        <v>8000</v>
      </c>
      <c r="HF154" s="5" t="b">
        <v>0</v>
      </c>
      <c r="HG154" s="5">
        <v>0</v>
      </c>
      <c r="HH154" s="5">
        <v>0</v>
      </c>
      <c r="HI154" s="5">
        <v>0</v>
      </c>
      <c r="HJ154" s="5">
        <v>0</v>
      </c>
      <c r="HK154" s="5" t="b">
        <v>0</v>
      </c>
      <c r="HL154" s="5">
        <v>0</v>
      </c>
      <c r="HM154" s="5">
        <v>10001</v>
      </c>
      <c r="HN154" s="5" t="s">
        <v>367</v>
      </c>
      <c r="HO154" s="5" t="s">
        <v>360</v>
      </c>
      <c r="HP154" s="5">
        <v>0</v>
      </c>
      <c r="HQ154" s="5">
        <v>0</v>
      </c>
      <c r="HR154" s="5">
        <v>0</v>
      </c>
      <c r="HS154" s="5">
        <v>0</v>
      </c>
      <c r="HT154" s="5" t="b">
        <v>0</v>
      </c>
      <c r="HU154">
        <v>30007</v>
      </c>
    </row>
    <row r="155" spans="1:228">
      <c r="A155"/>
      <c r="B155" s="1">
        <f>10000000+INDEX(编号表!$B$1:$B$112,MATCH(D155,编号表!$A$1:$A$112,0))*10000+I155</f>
        <v>10150009</v>
      </c>
      <c r="C155" s="5" t="s">
        <v>408</v>
      </c>
      <c r="D155" s="5" t="s">
        <v>408</v>
      </c>
      <c r="E155" s="5" t="s">
        <v>348</v>
      </c>
      <c r="F155" s="5" t="s">
        <v>349</v>
      </c>
      <c r="G155" s="5" t="b">
        <v>0</v>
      </c>
      <c r="H155" s="5" t="b">
        <v>0</v>
      </c>
      <c r="I155" s="5">
        <v>9</v>
      </c>
      <c r="J155" s="5">
        <v>101500</v>
      </c>
      <c r="K155" s="5" t="s">
        <v>350</v>
      </c>
      <c r="L155" s="5">
        <v>10150008</v>
      </c>
      <c r="M155" s="5">
        <v>10150010</v>
      </c>
      <c r="N155" s="5" t="s">
        <v>409</v>
      </c>
      <c r="O155" s="5">
        <v>10202014</v>
      </c>
      <c r="P155" s="5">
        <v>0</v>
      </c>
      <c r="Q155" s="5">
        <v>3</v>
      </c>
      <c r="R155" s="5">
        <v>40</v>
      </c>
      <c r="S155" s="5">
        <v>0</v>
      </c>
      <c r="T155" s="5">
        <v>100</v>
      </c>
      <c r="U155" s="5" t="s">
        <v>364</v>
      </c>
      <c r="V155" s="5">
        <v>0</v>
      </c>
      <c r="W155" s="5">
        <v>0</v>
      </c>
      <c r="X155" s="5" t="s">
        <v>370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 t="s">
        <v>356</v>
      </c>
      <c r="AZ155" s="5">
        <v>11900</v>
      </c>
      <c r="BA155" s="5" t="inlineStr">
        <is>
          <t xml:space="preserve">技能效果_调用技能</t>
        </is>
      </c>
      <c r="BB155" s="5" t="inlineStr">
        <is>
          <t xml:space="preserve">敌对</t>
        </is>
      </c>
      <c r="BC155" s="5">
        <v>10000</v>
      </c>
      <c r="BD155" s="5">
        <v>0</v>
      </c>
      <c r="BE155" s="5" t="inlineStr">
        <is>
          <t xml:space="preserve">全部</t>
        </is>
      </c>
      <c r="BF155" s="5">
        <v>0</v>
      </c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>
        <v>10430009</v>
      </c>
      <c r="CX155"/>
      <c r="CY155"/>
      <c r="CZ155" s="5" t="inlineStr">
        <is>
          <t xml:space="preserve">技能效果_调用技能</t>
        </is>
      </c>
      <c r="DA155" s="5" t="inlineStr">
        <is>
          <t xml:space="preserve">敌对</t>
        </is>
      </c>
      <c r="DB155" s="5">
        <v>10000</v>
      </c>
      <c r="DC155" s="5">
        <v>800</v>
      </c>
      <c r="DD155" s="5" t="inlineStr">
        <is>
          <t xml:space="preserve">全部</t>
        </is>
      </c>
      <c r="DE155" s="5">
        <v>0</v>
      </c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>
        <v>10430009</v>
      </c>
      <c r="EW155"/>
      <c r="EX15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/>
      <c r="GW155"/>
      <c r="GX155" s="5">
        <v>200</v>
      </c>
      <c r="GY155" s="5">
        <v>400</v>
      </c>
      <c r="GZ155" s="5" t="s">
        <v>383</v>
      </c>
      <c r="HA155" s="5">
        <v>0</v>
      </c>
      <c r="HB155" s="5" t="s">
        <v>366</v>
      </c>
      <c r="HC155" s="5" t="s">
        <v>366</v>
      </c>
      <c r="HD155" s="5" t="b">
        <v>1</v>
      </c>
      <c r="HE155" s="5">
        <v>8000</v>
      </c>
      <c r="HF155" s="5" t="b">
        <v>0</v>
      </c>
      <c r="HG155" s="5">
        <v>0</v>
      </c>
      <c r="HH155" s="5">
        <v>0</v>
      </c>
      <c r="HI155" s="5">
        <v>0</v>
      </c>
      <c r="HJ155" s="5">
        <v>0</v>
      </c>
      <c r="HK155" s="5" t="b">
        <v>0</v>
      </c>
      <c r="HL155" s="5">
        <v>0</v>
      </c>
      <c r="HM155" s="5">
        <v>10001</v>
      </c>
      <c r="HN155" s="5" t="s">
        <v>367</v>
      </c>
      <c r="HO155" s="5" t="s">
        <v>360</v>
      </c>
      <c r="HP155" s="5">
        <v>0</v>
      </c>
      <c r="HQ155" s="5">
        <v>0</v>
      </c>
      <c r="HR155" s="5">
        <v>0</v>
      </c>
      <c r="HS155" s="5">
        <v>0</v>
      </c>
      <c r="HT155" s="5" t="b">
        <v>0</v>
      </c>
      <c r="HU155">
        <v>30007</v>
      </c>
    </row>
    <row r="156" spans="1:228">
      <c r="A156"/>
      <c r="B156" s="1">
        <f>10000000+INDEX(编号表!$B$1:$B$112,MATCH(D156,编号表!$A$1:$A$112,0))*10000+I156</f>
        <v>10150010</v>
      </c>
      <c r="C156" s="5" t="s">
        <v>408</v>
      </c>
      <c r="D156" s="5" t="s">
        <v>408</v>
      </c>
      <c r="E156" s="5" t="s">
        <v>348</v>
      </c>
      <c r="F156" s="5" t="s">
        <v>349</v>
      </c>
      <c r="G156" s="5" t="b">
        <v>0</v>
      </c>
      <c r="H156" s="5" t="b">
        <v>0</v>
      </c>
      <c r="I156" s="5">
        <v>10</v>
      </c>
      <c r="J156" s="5">
        <v>101500</v>
      </c>
      <c r="K156" s="5" t="s">
        <v>350</v>
      </c>
      <c r="L156" s="5">
        <v>10150009</v>
      </c>
      <c r="M156" s="5">
        <v>0</v>
      </c>
      <c r="N156" s="5" t="s">
        <v>409</v>
      </c>
      <c r="O156" s="5">
        <v>10202014</v>
      </c>
      <c r="P156" s="5">
        <v>0</v>
      </c>
      <c r="Q156" s="5">
        <v>3</v>
      </c>
      <c r="R156" s="5">
        <v>40</v>
      </c>
      <c r="S156" s="5">
        <v>0</v>
      </c>
      <c r="T156" s="5">
        <v>0</v>
      </c>
      <c r="U156" s="5" t="s">
        <v>364</v>
      </c>
      <c r="V156" s="5">
        <v>0</v>
      </c>
      <c r="W156" s="5">
        <v>0</v>
      </c>
      <c r="X156" s="5" t="s">
        <v>370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 t="s">
        <v>356</v>
      </c>
      <c r="AZ156" s="5">
        <v>12000</v>
      </c>
      <c r="BA156" s="5" t="inlineStr">
        <is>
          <t xml:space="preserve">技能效果_调用技能</t>
        </is>
      </c>
      <c r="BB156" s="5" t="inlineStr">
        <is>
          <t xml:space="preserve">敌对</t>
        </is>
      </c>
      <c r="BC156" s="5">
        <v>10000</v>
      </c>
      <c r="BD156" s="5">
        <v>0</v>
      </c>
      <c r="BE156" s="5" t="inlineStr">
        <is>
          <t xml:space="preserve">全部</t>
        </is>
      </c>
      <c r="BF156" s="5">
        <v>0</v>
      </c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>
        <v>10430010</v>
      </c>
      <c r="CX156"/>
      <c r="CY156"/>
      <c r="CZ156" s="5" t="inlineStr">
        <is>
          <t xml:space="preserve">技能效果_调用技能</t>
        </is>
      </c>
      <c r="DA156" s="5" t="inlineStr">
        <is>
          <t xml:space="preserve">敌对</t>
        </is>
      </c>
      <c r="DB156" s="5">
        <v>10000</v>
      </c>
      <c r="DC156" s="5">
        <v>800</v>
      </c>
      <c r="DD156" s="5" t="inlineStr">
        <is>
          <t xml:space="preserve">全部</t>
        </is>
      </c>
      <c r="DE156" s="5">
        <v>0</v>
      </c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>
        <v>10430010</v>
      </c>
      <c r="EW156"/>
      <c r="EX156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/>
      <c r="GW156"/>
      <c r="GX156" s="5">
        <v>200</v>
      </c>
      <c r="GY156" s="5">
        <v>400</v>
      </c>
      <c r="GZ156" s="5" t="s">
        <v>383</v>
      </c>
      <c r="HA156" s="5">
        <v>0</v>
      </c>
      <c r="HB156" s="5" t="s">
        <v>366</v>
      </c>
      <c r="HC156" s="5" t="s">
        <v>366</v>
      </c>
      <c r="HD156" s="5" t="b">
        <v>1</v>
      </c>
      <c r="HE156" s="5">
        <v>8000</v>
      </c>
      <c r="HF156" s="5" t="b">
        <v>0</v>
      </c>
      <c r="HG156" s="5">
        <v>0</v>
      </c>
      <c r="HH156" s="5">
        <v>0</v>
      </c>
      <c r="HI156" s="5">
        <v>0</v>
      </c>
      <c r="HJ156" s="5">
        <v>0</v>
      </c>
      <c r="HK156" s="5" t="b">
        <v>0</v>
      </c>
      <c r="HL156" s="5">
        <v>0</v>
      </c>
      <c r="HM156" s="5">
        <v>10001</v>
      </c>
      <c r="HN156" s="5" t="s">
        <v>367</v>
      </c>
      <c r="HO156" s="5" t="s">
        <v>360</v>
      </c>
      <c r="HP156" s="5">
        <v>0</v>
      </c>
      <c r="HQ156" s="5">
        <v>0</v>
      </c>
      <c r="HR156" s="5">
        <v>0</v>
      </c>
      <c r="HS156" s="5">
        <v>0</v>
      </c>
      <c r="HT156" s="5" t="b">
        <v>0</v>
      </c>
      <c r="HU156">
        <v>30007</v>
      </c>
    </row>
    <row r="157" spans="1:228">
      <c r="A157"/>
      <c r="B157" s="1">
        <f>10000000+INDEX(编号表!$B$1:$B$112,MATCH(D157,编号表!$A$1:$A$112,0))*10000+I157</f>
        <v>10160001</v>
      </c>
      <c r="C157" s="5" t="s">
        <v>410</v>
      </c>
      <c r="D157" s="5" t="s">
        <v>410</v>
      </c>
      <c r="E157" s="5" t="s">
        <v>348</v>
      </c>
      <c r="F157" s="5" t="s">
        <v>385</v>
      </c>
      <c r="G157" s="5" t="b">
        <v>0</v>
      </c>
      <c r="H157" s="5" t="b">
        <v>0</v>
      </c>
      <c r="I157" s="5">
        <v>1</v>
      </c>
      <c r="J157" s="5">
        <v>101600</v>
      </c>
      <c r="K157" s="5" t="s">
        <v>350</v>
      </c>
      <c r="L157" s="5">
        <v>0</v>
      </c>
      <c r="M157" s="5">
        <v>10160002</v>
      </c>
      <c r="N157" s="5" t="s">
        <v>411</v>
      </c>
      <c r="O157" s="5">
        <v>10202015</v>
      </c>
      <c r="P157" s="5">
        <v>0</v>
      </c>
      <c r="Q157" s="5">
        <v>0</v>
      </c>
      <c r="R157" s="5">
        <v>1</v>
      </c>
      <c r="S157" s="5">
        <v>0</v>
      </c>
      <c r="T157" s="5">
        <v>100</v>
      </c>
      <c r="U157" s="5" t="s">
        <v>364</v>
      </c>
      <c r="V157" s="5">
        <v>650</v>
      </c>
      <c r="W157" s="5">
        <v>650</v>
      </c>
      <c r="X157" s="5" t="s">
        <v>352</v>
      </c>
      <c r="Y157" s="5" t="s">
        <v>376</v>
      </c>
      <c r="Z157" s="5" t="s">
        <v>412</v>
      </c>
      <c r="AA157" s="5">
        <v>1</v>
      </c>
      <c r="AB157" s="5">
        <v>0</v>
      </c>
      <c r="AC157" s="5" t="b">
        <v>1</v>
      </c>
      <c r="AD157" s="5" t="s">
        <v>413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 t="s">
        <v>367</v>
      </c>
      <c r="AZ157" s="5">
        <v>10000</v>
      </c>
      <c r="BA157" s="5" t="s">
        <v>414</v>
      </c>
      <c r="BB157" s="5" t="s">
        <v>412</v>
      </c>
      <c r="BC157" s="5">
        <v>10000</v>
      </c>
      <c r="BD157" s="5">
        <v>0</v>
      </c>
      <c r="BE157" s="5" t="s">
        <v>358</v>
      </c>
      <c r="BF157" s="5">
        <v>0</v>
      </c>
      <c r="BG157" s="5"/>
      <c r="BH157" s="5"/>
      <c r="BI157" s="5"/>
      <c r="BJ157" s="5"/>
      <c r="BK157" s="5"/>
      <c r="BL157" s="5"/>
      <c r="BM157" s="5"/>
      <c r="BN157" s="5" t="s">
        <v>382</v>
      </c>
      <c r="BO157" s="5">
        <v>6000</v>
      </c>
      <c r="BP157" s="5">
        <v>3</v>
      </c>
      <c r="BQ157" s="5" t="b">
        <v>0</v>
      </c>
      <c r="BR157" s="5">
        <v>0</v>
      </c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X157" s="5">
        <v>200</v>
      </c>
      <c r="GY157" s="5">
        <v>400</v>
      </c>
      <c r="GZ157" s="5" t="s">
        <v>383</v>
      </c>
      <c r="HA157" s="5">
        <v>0</v>
      </c>
      <c r="HB157" s="5">
        <v>30044</v>
      </c>
      <c r="HC157" s="5" t="s">
        <v>366</v>
      </c>
      <c r="HD157" s="5" t="b">
        <v>1</v>
      </c>
      <c r="HE157" s="5">
        <v>4000</v>
      </c>
      <c r="HF157" s="5" t="b">
        <v>0</v>
      </c>
      <c r="HG157" s="5">
        <v>0</v>
      </c>
      <c r="HH157" s="5">
        <v>0</v>
      </c>
      <c r="HI157" s="5">
        <v>0</v>
      </c>
      <c r="HJ157" s="5">
        <v>0</v>
      </c>
      <c r="HK157" s="5" t="b">
        <v>0</v>
      </c>
      <c r="HL157" s="5">
        <v>0</v>
      </c>
      <c r="HM157" s="5">
        <v>10001</v>
      </c>
      <c r="HN157" s="5" t="s">
        <v>367</v>
      </c>
      <c r="HO157" s="5" t="s">
        <v>360</v>
      </c>
      <c r="HP157" s="5">
        <v>0</v>
      </c>
      <c r="HQ157" s="5">
        <v>0</v>
      </c>
      <c r="HR157" s="5">
        <v>0</v>
      </c>
      <c r="HS157" s="5">
        <v>0</v>
      </c>
      <c r="HT157" s="5" t="b">
        <v>0</v>
      </c>
    </row>
    <row r="158" spans="1:228">
      <c r="A158"/>
      <c r="B158" s="1">
        <f>10000000+INDEX(编号表!$B$1:$B$112,MATCH(D158,编号表!$A$1:$A$112,0))*10000+I158</f>
        <v>10160002</v>
      </c>
      <c r="C158" s="5" t="s">
        <v>410</v>
      </c>
      <c r="D158" s="5" t="s">
        <v>410</v>
      </c>
      <c r="E158" s="5" t="s">
        <v>348</v>
      </c>
      <c r="F158" s="5" t="s">
        <v>385</v>
      </c>
      <c r="G158" s="5" t="b">
        <v>0</v>
      </c>
      <c r="H158" s="5" t="b">
        <v>0</v>
      </c>
      <c r="I158" s="5">
        <v>2</v>
      </c>
      <c r="J158" s="5">
        <v>101600</v>
      </c>
      <c r="K158" s="5" t="s">
        <v>350</v>
      </c>
      <c r="L158" s="5">
        <v>10160001</v>
      </c>
      <c r="M158" s="5">
        <v>10160003</v>
      </c>
      <c r="N158" s="5" t="s">
        <v>411</v>
      </c>
      <c r="O158" s="5">
        <v>10202015</v>
      </c>
      <c r="P158" s="5">
        <v>0</v>
      </c>
      <c r="Q158" s="5">
        <v>1</v>
      </c>
      <c r="R158" s="5">
        <v>7</v>
      </c>
      <c r="S158" s="5">
        <v>0</v>
      </c>
      <c r="T158" s="5">
        <v>100</v>
      </c>
      <c r="U158" s="5" t="s">
        <v>364</v>
      </c>
      <c r="V158" s="5">
        <v>650</v>
      </c>
      <c r="W158" s="5">
        <v>650</v>
      </c>
      <c r="X158" s="5" t="s">
        <v>352</v>
      </c>
      <c r="Y158" s="5" t="s">
        <v>376</v>
      </c>
      <c r="Z158" s="5" t="s">
        <v>412</v>
      </c>
      <c r="AA158" s="5">
        <v>1</v>
      </c>
      <c r="AB158" s="5">
        <v>0</v>
      </c>
      <c r="AC158" s="5" t="b">
        <v>1</v>
      </c>
      <c r="AD158" s="5" t="s">
        <v>413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 t="s">
        <v>367</v>
      </c>
      <c r="AZ158" s="5">
        <v>10400</v>
      </c>
      <c r="BA158" s="5" t="s">
        <v>414</v>
      </c>
      <c r="BB158" s="5" t="s">
        <v>412</v>
      </c>
      <c r="BC158" s="5">
        <v>10000</v>
      </c>
      <c r="BD158" s="5">
        <v>0</v>
      </c>
      <c r="BE158" s="5" t="s">
        <v>358</v>
      </c>
      <c r="BF158" s="5">
        <v>0</v>
      </c>
      <c r="BG158" s="5"/>
      <c r="BH158" s="5"/>
      <c r="BI158" s="5"/>
      <c r="BJ158" s="5"/>
      <c r="BK158" s="5"/>
      <c r="BL158" s="5"/>
      <c r="BM158" s="5"/>
      <c r="BN158" s="5" t="s">
        <v>382</v>
      </c>
      <c r="BO158" s="5">
        <v>6000</v>
      </c>
      <c r="BP158" s="5">
        <v>4</v>
      </c>
      <c r="BQ158" s="5" t="b">
        <v>0</v>
      </c>
      <c r="BR158" s="5">
        <v>0</v>
      </c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X158" s="5">
        <v>200</v>
      </c>
      <c r="GY158" s="5">
        <v>400</v>
      </c>
      <c r="GZ158" s="5" t="s">
        <v>383</v>
      </c>
      <c r="HA158" s="5">
        <v>0</v>
      </c>
      <c r="HB158" s="5">
        <v>30044</v>
      </c>
      <c r="HC158" s="5" t="s">
        <v>366</v>
      </c>
      <c r="HD158" s="5" t="b">
        <v>1</v>
      </c>
      <c r="HE158" s="5">
        <v>4000</v>
      </c>
      <c r="HF158" s="5" t="b">
        <v>0</v>
      </c>
      <c r="HG158" s="5">
        <v>0</v>
      </c>
      <c r="HH158" s="5">
        <v>0</v>
      </c>
      <c r="HI158" s="5">
        <v>0</v>
      </c>
      <c r="HJ158" s="5">
        <v>0</v>
      </c>
      <c r="HK158" s="5" t="b">
        <v>0</v>
      </c>
      <c r="HL158" s="5">
        <v>0</v>
      </c>
      <c r="HM158" s="5">
        <v>10001</v>
      </c>
      <c r="HN158" s="5" t="s">
        <v>367</v>
      </c>
      <c r="HO158" s="5" t="s">
        <v>360</v>
      </c>
      <c r="HP158" s="5">
        <v>0</v>
      </c>
      <c r="HQ158" s="5">
        <v>0</v>
      </c>
      <c r="HR158" s="5">
        <v>0</v>
      </c>
      <c r="HS158" s="5">
        <v>0</v>
      </c>
      <c r="HT158" s="5" t="b">
        <v>0</v>
      </c>
    </row>
    <row r="159" spans="1:228">
      <c r="A159"/>
      <c r="B159" s="1">
        <f>10000000+INDEX(编号表!$B$1:$B$112,MATCH(D159,编号表!$A$1:$A$112,0))*10000+I159</f>
        <v>10160003</v>
      </c>
      <c r="C159" s="5" t="s">
        <v>410</v>
      </c>
      <c r="D159" s="5" t="s">
        <v>410</v>
      </c>
      <c r="E159" s="5" t="s">
        <v>348</v>
      </c>
      <c r="F159" s="5" t="s">
        <v>385</v>
      </c>
      <c r="G159" s="5" t="b">
        <v>0</v>
      </c>
      <c r="H159" s="5" t="b">
        <v>0</v>
      </c>
      <c r="I159" s="5">
        <v>3</v>
      </c>
      <c r="J159" s="5">
        <v>101600</v>
      </c>
      <c r="K159" s="5" t="s">
        <v>350</v>
      </c>
      <c r="L159" s="5">
        <v>10160002</v>
      </c>
      <c r="M159" s="5">
        <v>10160004</v>
      </c>
      <c r="N159" s="5" t="s">
        <v>411</v>
      </c>
      <c r="O159" s="5">
        <v>10202015</v>
      </c>
      <c r="P159" s="5">
        <v>0</v>
      </c>
      <c r="Q159" s="5">
        <v>2</v>
      </c>
      <c r="R159" s="5">
        <v>11</v>
      </c>
      <c r="S159" s="5">
        <v>0</v>
      </c>
      <c r="T159" s="5">
        <v>100</v>
      </c>
      <c r="U159" s="5" t="s">
        <v>364</v>
      </c>
      <c r="V159" s="5">
        <v>650</v>
      </c>
      <c r="W159" s="5">
        <v>650</v>
      </c>
      <c r="X159" s="5" t="s">
        <v>352</v>
      </c>
      <c r="Y159" s="5" t="s">
        <v>376</v>
      </c>
      <c r="Z159" s="5" t="s">
        <v>412</v>
      </c>
      <c r="AA159" s="5">
        <v>1</v>
      </c>
      <c r="AB159" s="5">
        <v>0</v>
      </c>
      <c r="AC159" s="5" t="b">
        <v>1</v>
      </c>
      <c r="AD159" s="5" t="s">
        <v>413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 t="s">
        <v>367</v>
      </c>
      <c r="AZ159" s="5">
        <v>10800</v>
      </c>
      <c r="BA159" s="5" t="s">
        <v>414</v>
      </c>
      <c r="BB159" s="5" t="s">
        <v>412</v>
      </c>
      <c r="BC159" s="5">
        <v>10000</v>
      </c>
      <c r="BD159" s="5">
        <v>0</v>
      </c>
      <c r="BE159" s="5" t="s">
        <v>358</v>
      </c>
      <c r="BF159" s="5">
        <v>0</v>
      </c>
      <c r="BG159" s="5"/>
      <c r="BH159" s="5"/>
      <c r="BI159" s="5"/>
      <c r="BJ159" s="5"/>
      <c r="BK159" s="5"/>
      <c r="BL159" s="5"/>
      <c r="BM159" s="5"/>
      <c r="BN159" s="5" t="s">
        <v>382</v>
      </c>
      <c r="BO159" s="5">
        <v>6000</v>
      </c>
      <c r="BP159" s="5">
        <v>5</v>
      </c>
      <c r="BQ159" s="5" t="b">
        <v>0</v>
      </c>
      <c r="BR159" s="5">
        <v>0</v>
      </c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X159" s="5">
        <v>200</v>
      </c>
      <c r="GY159" s="5">
        <v>400</v>
      </c>
      <c r="GZ159" s="5" t="s">
        <v>383</v>
      </c>
      <c r="HA159" s="5">
        <v>0</v>
      </c>
      <c r="HB159" s="5">
        <v>30044</v>
      </c>
      <c r="HC159" s="5" t="s">
        <v>366</v>
      </c>
      <c r="HD159" s="5" t="b">
        <v>1</v>
      </c>
      <c r="HE159" s="5">
        <v>4000</v>
      </c>
      <c r="HF159" s="5" t="b">
        <v>0</v>
      </c>
      <c r="HG159" s="5">
        <v>0</v>
      </c>
      <c r="HH159" s="5">
        <v>0</v>
      </c>
      <c r="HI159" s="5">
        <v>0</v>
      </c>
      <c r="HJ159" s="5">
        <v>0</v>
      </c>
      <c r="HK159" s="5" t="b">
        <v>0</v>
      </c>
      <c r="HL159" s="5">
        <v>0</v>
      </c>
      <c r="HM159" s="5">
        <v>10001</v>
      </c>
      <c r="HN159" s="5" t="s">
        <v>367</v>
      </c>
      <c r="HO159" s="5" t="s">
        <v>360</v>
      </c>
      <c r="HP159" s="5">
        <v>0</v>
      </c>
      <c r="HQ159" s="5">
        <v>0</v>
      </c>
      <c r="HR159" s="5">
        <v>0</v>
      </c>
      <c r="HS159" s="5">
        <v>0</v>
      </c>
      <c r="HT159" s="5" t="b">
        <v>0</v>
      </c>
    </row>
    <row r="160" spans="1:228">
      <c r="A160"/>
      <c r="B160" s="1">
        <f>10000000+INDEX(编号表!$B$1:$B$112,MATCH(D160,编号表!$A$1:$A$112,0))*10000+I160</f>
        <v>10160004</v>
      </c>
      <c r="C160" s="5" t="s">
        <v>410</v>
      </c>
      <c r="D160" s="5" t="s">
        <v>410</v>
      </c>
      <c r="E160" s="5" t="s">
        <v>348</v>
      </c>
      <c r="F160" s="5" t="s">
        <v>385</v>
      </c>
      <c r="G160" s="5" t="b">
        <v>0</v>
      </c>
      <c r="H160" s="5" t="b">
        <v>0</v>
      </c>
      <c r="I160" s="5">
        <v>4</v>
      </c>
      <c r="J160" s="5">
        <v>101600</v>
      </c>
      <c r="K160" s="5" t="s">
        <v>350</v>
      </c>
      <c r="L160" s="5">
        <v>10160003</v>
      </c>
      <c r="M160" s="5">
        <v>10160005</v>
      </c>
      <c r="N160" s="5" t="s">
        <v>411</v>
      </c>
      <c r="O160" s="5">
        <v>10202015</v>
      </c>
      <c r="P160" s="5">
        <v>0</v>
      </c>
      <c r="Q160" s="5">
        <v>3</v>
      </c>
      <c r="R160" s="5">
        <v>16</v>
      </c>
      <c r="S160" s="5">
        <v>0</v>
      </c>
      <c r="T160" s="5">
        <v>100</v>
      </c>
      <c r="U160" s="5" t="s">
        <v>364</v>
      </c>
      <c r="V160" s="5">
        <v>650</v>
      </c>
      <c r="W160" s="5">
        <v>650</v>
      </c>
      <c r="X160" s="5" t="s">
        <v>352</v>
      </c>
      <c r="Y160" s="5" t="s">
        <v>376</v>
      </c>
      <c r="Z160" s="5" t="s">
        <v>412</v>
      </c>
      <c r="AA160" s="5">
        <v>1</v>
      </c>
      <c r="AB160" s="5">
        <v>0</v>
      </c>
      <c r="AC160" s="5" t="b">
        <v>1</v>
      </c>
      <c r="AD160" s="5" t="s">
        <v>413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 t="s">
        <v>367</v>
      </c>
      <c r="AZ160" s="5">
        <v>11200</v>
      </c>
      <c r="BA160" s="5" t="s">
        <v>414</v>
      </c>
      <c r="BB160" s="5" t="s">
        <v>412</v>
      </c>
      <c r="BC160" s="5">
        <v>10000</v>
      </c>
      <c r="BD160" s="5">
        <v>0</v>
      </c>
      <c r="BE160" s="5" t="s">
        <v>358</v>
      </c>
      <c r="BF160" s="5">
        <v>0</v>
      </c>
      <c r="BG160" s="5"/>
      <c r="BH160" s="5"/>
      <c r="BI160" s="5"/>
      <c r="BJ160" s="5"/>
      <c r="BK160" s="5"/>
      <c r="BL160" s="5"/>
      <c r="BM160" s="5"/>
      <c r="BN160" s="5" t="s">
        <v>382</v>
      </c>
      <c r="BO160" s="5">
        <v>6000</v>
      </c>
      <c r="BP160" s="5">
        <v>6</v>
      </c>
      <c r="BQ160" s="5" t="b">
        <v>0</v>
      </c>
      <c r="BR160" s="5">
        <v>0</v>
      </c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X160" s="5">
        <v>200</v>
      </c>
      <c r="GY160" s="5">
        <v>400</v>
      </c>
      <c r="GZ160" s="5" t="s">
        <v>383</v>
      </c>
      <c r="HA160" s="5">
        <v>0</v>
      </c>
      <c r="HB160" s="5">
        <v>30044</v>
      </c>
      <c r="HC160" s="5" t="s">
        <v>366</v>
      </c>
      <c r="HD160" s="5" t="b">
        <v>1</v>
      </c>
      <c r="HE160" s="5">
        <v>4000</v>
      </c>
      <c r="HF160" s="5" t="b">
        <v>0</v>
      </c>
      <c r="HG160" s="5">
        <v>0</v>
      </c>
      <c r="HH160" s="5">
        <v>0</v>
      </c>
      <c r="HI160" s="5">
        <v>0</v>
      </c>
      <c r="HJ160" s="5">
        <v>0</v>
      </c>
      <c r="HK160" s="5" t="b">
        <v>0</v>
      </c>
      <c r="HL160" s="5">
        <v>0</v>
      </c>
      <c r="HM160" s="5">
        <v>10001</v>
      </c>
      <c r="HN160" s="5" t="s">
        <v>367</v>
      </c>
      <c r="HO160" s="5" t="s">
        <v>360</v>
      </c>
      <c r="HP160" s="5">
        <v>0</v>
      </c>
      <c r="HQ160" s="5">
        <v>0</v>
      </c>
      <c r="HR160" s="5">
        <v>0</v>
      </c>
      <c r="HS160" s="5">
        <v>0</v>
      </c>
      <c r="HT160" s="5" t="b">
        <v>0</v>
      </c>
    </row>
    <row r="161" spans="1:228">
      <c r="A161"/>
      <c r="B161" s="1">
        <f>10000000+INDEX(编号表!$B$1:$B$112,MATCH(D161,编号表!$A$1:$A$112,0))*10000+I161</f>
        <v>10160005</v>
      </c>
      <c r="C161" s="5" t="s">
        <v>410</v>
      </c>
      <c r="D161" s="5" t="s">
        <v>410</v>
      </c>
      <c r="E161" s="5" t="s">
        <v>348</v>
      </c>
      <c r="F161" s="5" t="s">
        <v>385</v>
      </c>
      <c r="G161" s="5" t="b">
        <v>0</v>
      </c>
      <c r="H161" s="5" t="b">
        <v>0</v>
      </c>
      <c r="I161" s="5">
        <v>5</v>
      </c>
      <c r="J161" s="5">
        <v>101600</v>
      </c>
      <c r="K161" s="5" t="s">
        <v>350</v>
      </c>
      <c r="L161" s="5">
        <v>10160004</v>
      </c>
      <c r="M161" s="5">
        <v>10160006</v>
      </c>
      <c r="N161" s="5" t="s">
        <v>411</v>
      </c>
      <c r="O161" s="5">
        <v>10202015</v>
      </c>
      <c r="P161" s="5">
        <v>0</v>
      </c>
      <c r="Q161" s="5">
        <v>3</v>
      </c>
      <c r="R161" s="5">
        <v>25</v>
      </c>
      <c r="S161" s="5">
        <v>0</v>
      </c>
      <c r="T161" s="5">
        <v>100</v>
      </c>
      <c r="U161" s="5" t="s">
        <v>364</v>
      </c>
      <c r="V161" s="5">
        <v>650</v>
      </c>
      <c r="W161" s="5">
        <v>650</v>
      </c>
      <c r="X161" s="5" t="s">
        <v>352</v>
      </c>
      <c r="Y161" s="5" t="s">
        <v>376</v>
      </c>
      <c r="Z161" s="5" t="s">
        <v>412</v>
      </c>
      <c r="AA161" s="5">
        <v>1</v>
      </c>
      <c r="AB161" s="5">
        <v>0</v>
      </c>
      <c r="AC161" s="5" t="b">
        <v>1</v>
      </c>
      <c r="AD161" s="5" t="s">
        <v>413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 t="s">
        <v>367</v>
      </c>
      <c r="AZ161" s="5">
        <v>11300</v>
      </c>
      <c r="BA161" s="5" t="s">
        <v>414</v>
      </c>
      <c r="BB161" s="5" t="s">
        <v>412</v>
      </c>
      <c r="BC161" s="5">
        <v>10000</v>
      </c>
      <c r="BD161" s="5">
        <v>0</v>
      </c>
      <c r="BE161" s="5" t="s">
        <v>358</v>
      </c>
      <c r="BF161" s="5">
        <v>0</v>
      </c>
      <c r="BG161" s="5"/>
      <c r="BH161" s="5"/>
      <c r="BI161" s="5"/>
      <c r="BJ161" s="5"/>
      <c r="BK161" s="5"/>
      <c r="BL161" s="5"/>
      <c r="BM161" s="5"/>
      <c r="BN161" s="5" t="s">
        <v>382</v>
      </c>
      <c r="BO161" s="5">
        <v>6000</v>
      </c>
      <c r="BP161" s="5">
        <v>6</v>
      </c>
      <c r="BQ161" s="5" t="b">
        <v>0</v>
      </c>
      <c r="BR161" s="5">
        <v>0</v>
      </c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X161" s="5">
        <v>200</v>
      </c>
      <c r="GY161" s="5">
        <v>400</v>
      </c>
      <c r="GZ161" s="5" t="s">
        <v>383</v>
      </c>
      <c r="HA161" s="5">
        <v>0</v>
      </c>
      <c r="HB161" s="5">
        <v>30044</v>
      </c>
      <c r="HC161" s="5" t="s">
        <v>366</v>
      </c>
      <c r="HD161" s="5" t="b">
        <v>1</v>
      </c>
      <c r="HE161" s="5">
        <v>4000</v>
      </c>
      <c r="HF161" s="5" t="b">
        <v>0</v>
      </c>
      <c r="HG161" s="5">
        <v>0</v>
      </c>
      <c r="HH161" s="5">
        <v>0</v>
      </c>
      <c r="HI161" s="5">
        <v>0</v>
      </c>
      <c r="HJ161" s="5">
        <v>0</v>
      </c>
      <c r="HK161" s="5" t="b">
        <v>0</v>
      </c>
      <c r="HL161" s="5">
        <v>0</v>
      </c>
      <c r="HM161" s="5">
        <v>10001</v>
      </c>
      <c r="HN161" s="5" t="s">
        <v>367</v>
      </c>
      <c r="HO161" s="5" t="s">
        <v>360</v>
      </c>
      <c r="HP161" s="5">
        <v>0</v>
      </c>
      <c r="HQ161" s="5">
        <v>0</v>
      </c>
      <c r="HR161" s="5">
        <v>0</v>
      </c>
      <c r="HS161" s="5">
        <v>0</v>
      </c>
      <c r="HT161" s="5" t="b">
        <v>0</v>
      </c>
    </row>
    <row r="162" spans="1:228">
      <c r="A162"/>
      <c r="B162" s="1">
        <f>10000000+INDEX(编号表!$B$1:$B$112,MATCH(D162,编号表!$A$1:$A$112,0))*10000+I162</f>
        <v>10160006</v>
      </c>
      <c r="C162" s="5" t="s">
        <v>410</v>
      </c>
      <c r="D162" s="5" t="s">
        <v>410</v>
      </c>
      <c r="E162" s="5" t="s">
        <v>348</v>
      </c>
      <c r="F162" s="5" t="s">
        <v>385</v>
      </c>
      <c r="G162" s="5" t="b">
        <v>0</v>
      </c>
      <c r="H162" s="5" t="b">
        <v>0</v>
      </c>
      <c r="I162" s="5">
        <v>6</v>
      </c>
      <c r="J162" s="5">
        <v>101600</v>
      </c>
      <c r="K162" s="5" t="s">
        <v>350</v>
      </c>
      <c r="L162" s="5">
        <v>10160005</v>
      </c>
      <c r="M162" s="5">
        <v>10160007</v>
      </c>
      <c r="N162" s="5" t="s">
        <v>411</v>
      </c>
      <c r="O162" s="5">
        <v>10202015</v>
      </c>
      <c r="P162" s="5">
        <v>0</v>
      </c>
      <c r="Q162" s="5">
        <v>3</v>
      </c>
      <c r="R162" s="5">
        <v>30</v>
      </c>
      <c r="S162" s="5">
        <v>0</v>
      </c>
      <c r="T162" s="5">
        <v>100</v>
      </c>
      <c r="U162" s="5" t="s">
        <v>364</v>
      </c>
      <c r="V162" s="5">
        <v>650</v>
      </c>
      <c r="W162" s="5">
        <v>650</v>
      </c>
      <c r="X162" s="5" t="s">
        <v>352</v>
      </c>
      <c r="Y162" s="5" t="s">
        <v>376</v>
      </c>
      <c r="Z162" s="5" t="s">
        <v>412</v>
      </c>
      <c r="AA162" s="5">
        <v>1</v>
      </c>
      <c r="AB162" s="5">
        <v>0</v>
      </c>
      <c r="AC162" s="5" t="b">
        <v>1</v>
      </c>
      <c r="AD162" s="5" t="s">
        <v>413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 t="s">
        <v>367</v>
      </c>
      <c r="AZ162" s="5">
        <v>11600</v>
      </c>
      <c r="BA162" s="5" t="s">
        <v>414</v>
      </c>
      <c r="BB162" s="5" t="s">
        <v>412</v>
      </c>
      <c r="BC162" s="5">
        <v>10000</v>
      </c>
      <c r="BD162" s="5">
        <v>0</v>
      </c>
      <c r="BE162" s="5" t="s">
        <v>358</v>
      </c>
      <c r="BF162" s="5">
        <v>0</v>
      </c>
      <c r="BG162" s="5"/>
      <c r="BH162" s="5"/>
      <c r="BI162" s="5"/>
      <c r="BJ162" s="5"/>
      <c r="BK162" s="5"/>
      <c r="BL162" s="5"/>
      <c r="BM162" s="5"/>
      <c r="BN162" s="5" t="s">
        <v>382</v>
      </c>
      <c r="BO162" s="5">
        <v>6000</v>
      </c>
      <c r="BP162" s="5">
        <v>7</v>
      </c>
      <c r="BQ162" s="5" t="b">
        <v>0</v>
      </c>
      <c r="BR162" s="5">
        <v>0</v>
      </c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X162" s="5">
        <v>200</v>
      </c>
      <c r="GY162" s="5">
        <v>400</v>
      </c>
      <c r="GZ162" s="5" t="s">
        <v>383</v>
      </c>
      <c r="HA162" s="5">
        <v>0</v>
      </c>
      <c r="HB162" s="5">
        <v>30044</v>
      </c>
      <c r="HC162" s="5" t="s">
        <v>366</v>
      </c>
      <c r="HD162" s="5" t="b">
        <v>1</v>
      </c>
      <c r="HE162" s="5">
        <v>4000</v>
      </c>
      <c r="HF162" s="5" t="b">
        <v>0</v>
      </c>
      <c r="HG162" s="5">
        <v>0</v>
      </c>
      <c r="HH162" s="5">
        <v>0</v>
      </c>
      <c r="HI162" s="5">
        <v>0</v>
      </c>
      <c r="HJ162" s="5">
        <v>0</v>
      </c>
      <c r="HK162" s="5" t="b">
        <v>0</v>
      </c>
      <c r="HL162" s="5">
        <v>0</v>
      </c>
      <c r="HM162" s="5">
        <v>10001</v>
      </c>
      <c r="HN162" s="5" t="s">
        <v>367</v>
      </c>
      <c r="HO162" s="5" t="s">
        <v>360</v>
      </c>
      <c r="HP162" s="5">
        <v>0</v>
      </c>
      <c r="HQ162" s="5">
        <v>0</v>
      </c>
      <c r="HR162" s="5">
        <v>0</v>
      </c>
      <c r="HS162" s="5">
        <v>0</v>
      </c>
      <c r="HT162" s="5" t="b">
        <v>0</v>
      </c>
    </row>
    <row r="163" spans="1:228">
      <c r="A163"/>
      <c r="B163" s="1">
        <f>10000000+INDEX(编号表!$B$1:$B$112,MATCH(D163,编号表!$A$1:$A$112,0))*10000+I163</f>
        <v>10160007</v>
      </c>
      <c r="C163" s="5" t="s">
        <v>410</v>
      </c>
      <c r="D163" s="5" t="s">
        <v>410</v>
      </c>
      <c r="E163" s="5" t="s">
        <v>348</v>
      </c>
      <c r="F163" s="5" t="s">
        <v>385</v>
      </c>
      <c r="G163" s="5" t="b">
        <v>0</v>
      </c>
      <c r="H163" s="5" t="b">
        <v>0</v>
      </c>
      <c r="I163" s="5">
        <v>7</v>
      </c>
      <c r="J163" s="5">
        <v>101600</v>
      </c>
      <c r="K163" s="5" t="s">
        <v>350</v>
      </c>
      <c r="L163" s="5">
        <v>10160006</v>
      </c>
      <c r="M163" s="5">
        <v>10160008</v>
      </c>
      <c r="N163" s="5" t="s">
        <v>411</v>
      </c>
      <c r="O163" s="5">
        <v>10202015</v>
      </c>
      <c r="P163" s="5">
        <v>0</v>
      </c>
      <c r="Q163" s="5">
        <v>3</v>
      </c>
      <c r="R163" s="5">
        <v>35</v>
      </c>
      <c r="S163" s="5">
        <v>0</v>
      </c>
      <c r="T163" s="5">
        <v>100</v>
      </c>
      <c r="U163" s="5" t="s">
        <v>364</v>
      </c>
      <c r="V163" s="5">
        <v>650</v>
      </c>
      <c r="W163" s="5">
        <v>650</v>
      </c>
      <c r="X163" s="5" t="s">
        <v>352</v>
      </c>
      <c r="Y163" s="5" t="s">
        <v>376</v>
      </c>
      <c r="Z163" s="5" t="s">
        <v>412</v>
      </c>
      <c r="AA163" s="5">
        <v>1</v>
      </c>
      <c r="AB163" s="5">
        <v>0</v>
      </c>
      <c r="AC163" s="5" t="b">
        <v>1</v>
      </c>
      <c r="AD163" s="5" t="s">
        <v>413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 t="s">
        <v>367</v>
      </c>
      <c r="AZ163" s="5">
        <v>11700</v>
      </c>
      <c r="BA163" s="5" t="s">
        <v>414</v>
      </c>
      <c r="BB163" s="5" t="s">
        <v>412</v>
      </c>
      <c r="BC163" s="5">
        <v>10000</v>
      </c>
      <c r="BD163" s="5">
        <v>0</v>
      </c>
      <c r="BE163" s="5" t="s">
        <v>358</v>
      </c>
      <c r="BF163" s="5">
        <v>0</v>
      </c>
      <c r="BG163" s="5"/>
      <c r="BH163" s="5"/>
      <c r="BI163" s="5"/>
      <c r="BJ163" s="5"/>
      <c r="BK163" s="5"/>
      <c r="BL163" s="5"/>
      <c r="BM163" s="5"/>
      <c r="BN163" s="5" t="s">
        <v>382</v>
      </c>
      <c r="BO163" s="5">
        <v>6000</v>
      </c>
      <c r="BP163" s="5">
        <v>9</v>
      </c>
      <c r="BQ163" s="5" t="b">
        <v>0</v>
      </c>
      <c r="BR163" s="5">
        <v>0</v>
      </c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X163" s="5">
        <v>200</v>
      </c>
      <c r="GY163" s="5">
        <v>400</v>
      </c>
      <c r="GZ163" s="5" t="s">
        <v>383</v>
      </c>
      <c r="HA163" s="5">
        <v>0</v>
      </c>
      <c r="HB163" s="5">
        <v>30044</v>
      </c>
      <c r="HC163" s="5" t="s">
        <v>366</v>
      </c>
      <c r="HD163" s="5" t="b">
        <v>1</v>
      </c>
      <c r="HE163" s="5">
        <v>4000</v>
      </c>
      <c r="HF163" s="5" t="b">
        <v>0</v>
      </c>
      <c r="HG163" s="5">
        <v>0</v>
      </c>
      <c r="HH163" s="5">
        <v>0</v>
      </c>
      <c r="HI163" s="5">
        <v>0</v>
      </c>
      <c r="HJ163" s="5">
        <v>0</v>
      </c>
      <c r="HK163" s="5" t="b">
        <v>0</v>
      </c>
      <c r="HL163" s="5">
        <v>0</v>
      </c>
      <c r="HM163" s="5">
        <v>10001</v>
      </c>
      <c r="HN163" s="5" t="s">
        <v>367</v>
      </c>
      <c r="HO163" s="5" t="s">
        <v>360</v>
      </c>
      <c r="HP163" s="5">
        <v>0</v>
      </c>
      <c r="HQ163" s="5">
        <v>0</v>
      </c>
      <c r="HR163" s="5">
        <v>0</v>
      </c>
      <c r="HS163" s="5">
        <v>0</v>
      </c>
      <c r="HT163" s="5" t="b">
        <v>0</v>
      </c>
    </row>
    <row r="164" spans="1:228">
      <c r="A164"/>
      <c r="B164" s="1">
        <f>10000000+INDEX(编号表!$B$1:$B$112,MATCH(D164,编号表!$A$1:$A$112,0))*10000+I164</f>
        <v>10160008</v>
      </c>
      <c r="C164" s="5" t="s">
        <v>410</v>
      </c>
      <c r="D164" s="5" t="s">
        <v>410</v>
      </c>
      <c r="E164" s="5" t="s">
        <v>348</v>
      </c>
      <c r="F164" s="5" t="s">
        <v>385</v>
      </c>
      <c r="G164" s="5" t="b">
        <v>0</v>
      </c>
      <c r="H164" s="5" t="b">
        <v>0</v>
      </c>
      <c r="I164" s="5">
        <v>8</v>
      </c>
      <c r="J164" s="5">
        <v>101600</v>
      </c>
      <c r="K164" s="5" t="s">
        <v>350</v>
      </c>
      <c r="L164" s="5">
        <v>10160007</v>
      </c>
      <c r="M164" s="5">
        <v>10160009</v>
      </c>
      <c r="N164" s="5" t="s">
        <v>411</v>
      </c>
      <c r="O164" s="5">
        <v>10202015</v>
      </c>
      <c r="P164" s="5">
        <v>0</v>
      </c>
      <c r="Q164" s="5">
        <v>3</v>
      </c>
      <c r="R164" s="5">
        <v>35</v>
      </c>
      <c r="S164" s="5">
        <v>0</v>
      </c>
      <c r="T164" s="5">
        <v>100</v>
      </c>
      <c r="U164" s="5" t="s">
        <v>364</v>
      </c>
      <c r="V164" s="5">
        <v>650</v>
      </c>
      <c r="W164" s="5">
        <v>650</v>
      </c>
      <c r="X164" s="5" t="s">
        <v>352</v>
      </c>
      <c r="Y164" s="5" t="s">
        <v>376</v>
      </c>
      <c r="Z164" s="5" t="s">
        <v>412</v>
      </c>
      <c r="AA164" s="5">
        <v>1</v>
      </c>
      <c r="AB164" s="5">
        <v>0</v>
      </c>
      <c r="AC164" s="5" t="b">
        <v>1</v>
      </c>
      <c r="AD164" s="5" t="s">
        <v>413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 t="s">
        <v>367</v>
      </c>
      <c r="AZ164" s="5">
        <v>11800</v>
      </c>
      <c r="BA164" s="5" t="s">
        <v>414</v>
      </c>
      <c r="BB164" s="5" t="s">
        <v>412</v>
      </c>
      <c r="BC164" s="5">
        <v>10000</v>
      </c>
      <c r="BD164" s="5">
        <v>0</v>
      </c>
      <c r="BE164" s="5" t="s">
        <v>358</v>
      </c>
      <c r="BF164" s="5">
        <v>0</v>
      </c>
      <c r="BG164" s="5"/>
      <c r="BH164" s="5"/>
      <c r="BI164" s="5"/>
      <c r="BJ164" s="5"/>
      <c r="BK164" s="5"/>
      <c r="BL164" s="5"/>
      <c r="BM164" s="5"/>
      <c r="BN164" s="5" t="s">
        <v>382</v>
      </c>
      <c r="BO164" s="5">
        <v>6000</v>
      </c>
      <c r="BP164" s="5">
        <v>10</v>
      </c>
      <c r="BQ164" s="5" t="b">
        <v>0</v>
      </c>
      <c r="BR164" s="5">
        <v>0</v>
      </c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X164" s="5">
        <v>200</v>
      </c>
      <c r="GY164" s="5">
        <v>400</v>
      </c>
      <c r="GZ164" s="5" t="s">
        <v>383</v>
      </c>
      <c r="HA164" s="5">
        <v>0</v>
      </c>
      <c r="HB164" s="5">
        <v>30044</v>
      </c>
      <c r="HC164" s="5" t="s">
        <v>366</v>
      </c>
      <c r="HD164" s="5" t="b">
        <v>1</v>
      </c>
      <c r="HE164" s="5">
        <v>4000</v>
      </c>
      <c r="HF164" s="5" t="b">
        <v>0</v>
      </c>
      <c r="HG164" s="5">
        <v>0</v>
      </c>
      <c r="HH164" s="5">
        <v>0</v>
      </c>
      <c r="HI164" s="5">
        <v>0</v>
      </c>
      <c r="HJ164" s="5">
        <v>0</v>
      </c>
      <c r="HK164" s="5" t="b">
        <v>0</v>
      </c>
      <c r="HL164" s="5">
        <v>0</v>
      </c>
      <c r="HM164" s="5">
        <v>10001</v>
      </c>
      <c r="HN164" s="5" t="s">
        <v>367</v>
      </c>
      <c r="HO164" s="5" t="s">
        <v>360</v>
      </c>
      <c r="HP164" s="5">
        <v>0</v>
      </c>
      <c r="HQ164" s="5">
        <v>0</v>
      </c>
      <c r="HR164" s="5">
        <v>0</v>
      </c>
      <c r="HS164" s="5">
        <v>0</v>
      </c>
      <c r="HT164" s="5" t="b">
        <v>0</v>
      </c>
    </row>
    <row r="165" spans="1:228">
      <c r="A165"/>
      <c r="B165" s="1">
        <f>10000000+INDEX(编号表!$B$1:$B$112,MATCH(D165,编号表!$A$1:$A$112,0))*10000+I165</f>
        <v>10160009</v>
      </c>
      <c r="C165" s="5" t="s">
        <v>410</v>
      </c>
      <c r="D165" s="5" t="s">
        <v>410</v>
      </c>
      <c r="E165" s="5" t="s">
        <v>348</v>
      </c>
      <c r="F165" s="5" t="s">
        <v>385</v>
      </c>
      <c r="G165" s="5" t="b">
        <v>0</v>
      </c>
      <c r="H165" s="5" t="b">
        <v>0</v>
      </c>
      <c r="I165" s="5">
        <v>9</v>
      </c>
      <c r="J165" s="5">
        <v>101600</v>
      </c>
      <c r="K165" s="5" t="s">
        <v>350</v>
      </c>
      <c r="L165" s="5">
        <v>10160008</v>
      </c>
      <c r="M165" s="5">
        <v>10160010</v>
      </c>
      <c r="N165" s="5" t="s">
        <v>411</v>
      </c>
      <c r="O165" s="5">
        <v>10202015</v>
      </c>
      <c r="P165" s="5">
        <v>0</v>
      </c>
      <c r="Q165" s="5">
        <v>3</v>
      </c>
      <c r="R165" s="5">
        <v>40</v>
      </c>
      <c r="S165" s="5">
        <v>0</v>
      </c>
      <c r="T165" s="5">
        <v>100</v>
      </c>
      <c r="U165" s="5" t="s">
        <v>364</v>
      </c>
      <c r="V165" s="5">
        <v>650</v>
      </c>
      <c r="W165" s="5">
        <v>650</v>
      </c>
      <c r="X165" s="5" t="s">
        <v>352</v>
      </c>
      <c r="Y165" s="5" t="s">
        <v>376</v>
      </c>
      <c r="Z165" s="5" t="s">
        <v>412</v>
      </c>
      <c r="AA165" s="5">
        <v>1</v>
      </c>
      <c r="AB165" s="5">
        <v>0</v>
      </c>
      <c r="AC165" s="5" t="b">
        <v>1</v>
      </c>
      <c r="AD165" s="5" t="s">
        <v>413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 t="s">
        <v>367</v>
      </c>
      <c r="AZ165" s="5">
        <v>11900</v>
      </c>
      <c r="BA165" s="5" t="s">
        <v>414</v>
      </c>
      <c r="BB165" s="5" t="s">
        <v>412</v>
      </c>
      <c r="BC165" s="5">
        <v>10000</v>
      </c>
      <c r="BD165" s="5">
        <v>0</v>
      </c>
      <c r="BE165" s="5" t="s">
        <v>358</v>
      </c>
      <c r="BF165" s="5">
        <v>0</v>
      </c>
      <c r="BG165" s="5"/>
      <c r="BH165" s="5"/>
      <c r="BI165" s="5"/>
      <c r="BJ165" s="5"/>
      <c r="BK165" s="5"/>
      <c r="BL165" s="5"/>
      <c r="BM165" s="5"/>
      <c r="BN165" s="5" t="s">
        <v>382</v>
      </c>
      <c r="BO165" s="5">
        <v>6000</v>
      </c>
      <c r="BP165" s="5">
        <v>12</v>
      </c>
      <c r="BQ165" s="5" t="b">
        <v>0</v>
      </c>
      <c r="BR165" s="5">
        <v>0</v>
      </c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X165" s="5">
        <v>200</v>
      </c>
      <c r="GY165" s="5">
        <v>400</v>
      </c>
      <c r="GZ165" s="5" t="s">
        <v>383</v>
      </c>
      <c r="HA165" s="5">
        <v>0</v>
      </c>
      <c r="HB165" s="5">
        <v>30044</v>
      </c>
      <c r="HC165" s="5" t="s">
        <v>366</v>
      </c>
      <c r="HD165" s="5" t="b">
        <v>1</v>
      </c>
      <c r="HE165" s="5">
        <v>4000</v>
      </c>
      <c r="HF165" s="5" t="b">
        <v>0</v>
      </c>
      <c r="HG165" s="5">
        <v>0</v>
      </c>
      <c r="HH165" s="5">
        <v>0</v>
      </c>
      <c r="HI165" s="5">
        <v>0</v>
      </c>
      <c r="HJ165" s="5">
        <v>0</v>
      </c>
      <c r="HK165" s="5" t="b">
        <v>0</v>
      </c>
      <c r="HL165" s="5">
        <v>0</v>
      </c>
      <c r="HM165" s="5">
        <v>10001</v>
      </c>
      <c r="HN165" s="5" t="s">
        <v>367</v>
      </c>
      <c r="HO165" s="5" t="s">
        <v>360</v>
      </c>
      <c r="HP165" s="5">
        <v>0</v>
      </c>
      <c r="HQ165" s="5">
        <v>0</v>
      </c>
      <c r="HR165" s="5">
        <v>0</v>
      </c>
      <c r="HS165" s="5">
        <v>0</v>
      </c>
      <c r="HT165" s="5" t="b">
        <v>0</v>
      </c>
    </row>
    <row r="166" spans="1:228">
      <c r="A166"/>
      <c r="B166" s="1">
        <f>10000000+INDEX(编号表!$B$1:$B$112,MATCH(D166,编号表!$A$1:$A$112,0))*10000+I166</f>
        <v>10160010</v>
      </c>
      <c r="C166" s="5" t="s">
        <v>410</v>
      </c>
      <c r="D166" s="5" t="s">
        <v>410</v>
      </c>
      <c r="E166" s="5" t="s">
        <v>348</v>
      </c>
      <c r="F166" s="5" t="s">
        <v>385</v>
      </c>
      <c r="G166" s="5" t="b">
        <v>0</v>
      </c>
      <c r="H166" s="5" t="b">
        <v>0</v>
      </c>
      <c r="I166" s="5">
        <v>10</v>
      </c>
      <c r="J166" s="5">
        <v>101600</v>
      </c>
      <c r="K166" s="5" t="s">
        <v>350</v>
      </c>
      <c r="L166" s="5">
        <v>10160009</v>
      </c>
      <c r="M166" s="5">
        <v>0</v>
      </c>
      <c r="N166" s="5" t="s">
        <v>411</v>
      </c>
      <c r="O166" s="5">
        <v>10202015</v>
      </c>
      <c r="P166" s="5">
        <v>0</v>
      </c>
      <c r="Q166" s="5">
        <v>3</v>
      </c>
      <c r="R166" s="5">
        <v>40</v>
      </c>
      <c r="S166" s="5">
        <v>0</v>
      </c>
      <c r="T166" s="5">
        <v>0</v>
      </c>
      <c r="U166" s="5" t="s">
        <v>364</v>
      </c>
      <c r="V166" s="5">
        <v>650</v>
      </c>
      <c r="W166" s="5">
        <v>650</v>
      </c>
      <c r="X166" s="5" t="s">
        <v>352</v>
      </c>
      <c r="Y166" s="5" t="s">
        <v>376</v>
      </c>
      <c r="Z166" s="5" t="s">
        <v>412</v>
      </c>
      <c r="AA166" s="5">
        <v>1</v>
      </c>
      <c r="AB166" s="5">
        <v>0</v>
      </c>
      <c r="AC166" s="5" t="b">
        <v>1</v>
      </c>
      <c r="AD166" s="5" t="s">
        <v>413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 t="s">
        <v>367</v>
      </c>
      <c r="AZ166" s="5">
        <v>12000</v>
      </c>
      <c r="BA166" s="5" t="s">
        <v>414</v>
      </c>
      <c r="BB166" s="5" t="s">
        <v>412</v>
      </c>
      <c r="BC166" s="5">
        <v>10000</v>
      </c>
      <c r="BD166" s="5">
        <v>0</v>
      </c>
      <c r="BE166" s="5" t="s">
        <v>358</v>
      </c>
      <c r="BF166" s="5">
        <v>0</v>
      </c>
      <c r="BG166" s="5"/>
      <c r="BH166" s="5"/>
      <c r="BI166" s="5"/>
      <c r="BJ166" s="5"/>
      <c r="BK166" s="5"/>
      <c r="BL166" s="5"/>
      <c r="BM166" s="5"/>
      <c r="BN166" s="5" t="s">
        <v>382</v>
      </c>
      <c r="BO166" s="5">
        <v>6000</v>
      </c>
      <c r="BP166" s="5">
        <v>15</v>
      </c>
      <c r="BQ166" s="5" t="b">
        <v>0</v>
      </c>
      <c r="BR166" s="5">
        <v>0</v>
      </c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X166" s="5">
        <v>200</v>
      </c>
      <c r="GY166" s="5">
        <v>400</v>
      </c>
      <c r="GZ166" s="5" t="s">
        <v>383</v>
      </c>
      <c r="HA166" s="5">
        <v>0</v>
      </c>
      <c r="HB166" s="5">
        <v>30044</v>
      </c>
      <c r="HC166" s="5" t="s">
        <v>366</v>
      </c>
      <c r="HD166" s="5" t="b">
        <v>1</v>
      </c>
      <c r="HE166" s="5">
        <v>4000</v>
      </c>
      <c r="HF166" s="5" t="b">
        <v>0</v>
      </c>
      <c r="HG166" s="5">
        <v>0</v>
      </c>
      <c r="HH166" s="5">
        <v>0</v>
      </c>
      <c r="HI166" s="5">
        <v>0</v>
      </c>
      <c r="HJ166" s="5">
        <v>0</v>
      </c>
      <c r="HK166" s="5" t="b">
        <v>0</v>
      </c>
      <c r="HL166" s="5">
        <v>0</v>
      </c>
      <c r="HM166" s="5">
        <v>10001</v>
      </c>
      <c r="HN166" s="5" t="s">
        <v>367</v>
      </c>
      <c r="HO166" s="5" t="s">
        <v>360</v>
      </c>
      <c r="HP166" s="5">
        <v>0</v>
      </c>
      <c r="HQ166" s="5">
        <v>0</v>
      </c>
      <c r="HR166" s="5">
        <v>0</v>
      </c>
      <c r="HS166" s="5">
        <v>0</v>
      </c>
      <c r="HT166" s="5" t="b">
        <v>0</v>
      </c>
    </row>
    <row r="167" spans="1:228">
      <c r="A167"/>
      <c r="B167" s="1">
        <f>10000000+INDEX(编号表!$B$1:$B$112,MATCH(D167,编号表!$A$1:$A$112,0))*10000+I167</f>
        <v>10170001</v>
      </c>
      <c r="C167" s="5" t="s">
        <v>415</v>
      </c>
      <c r="D167" s="5" t="s">
        <v>415</v>
      </c>
      <c r="E167" s="5" t="s">
        <v>348</v>
      </c>
      <c r="F167" s="5" t="s">
        <v>385</v>
      </c>
      <c r="G167" s="5" t="b">
        <v>0</v>
      </c>
      <c r="H167" s="5" t="b">
        <v>0</v>
      </c>
      <c r="I167" s="5">
        <v>1</v>
      </c>
      <c r="J167" s="5">
        <v>101700</v>
      </c>
      <c r="K167" s="5" t="s">
        <v>350</v>
      </c>
      <c r="L167" s="5">
        <v>0</v>
      </c>
      <c r="M167" s="5">
        <v>10170002</v>
      </c>
      <c r="N167" s="5" t="s">
        <v>416</v>
      </c>
      <c r="O167" s="5">
        <v>10202016</v>
      </c>
      <c r="P167" s="5">
        <v>0</v>
      </c>
      <c r="Q167" s="5">
        <v>0</v>
      </c>
      <c r="R167" s="5">
        <v>1</v>
      </c>
      <c r="S167" s="5">
        <v>0</v>
      </c>
      <c r="T167" s="5">
        <v>100</v>
      </c>
      <c r="U167" s="5" t="s">
        <v>364</v>
      </c>
      <c r="V167" s="5">
        <v>650</v>
      </c>
      <c r="W167" s="5">
        <v>650</v>
      </c>
      <c r="X167" s="5" t="s">
        <v>352</v>
      </c>
      <c r="Y167" s="5" t="s">
        <v>376</v>
      </c>
      <c r="Z167" s="5" t="s">
        <v>412</v>
      </c>
      <c r="AA167" s="5">
        <v>1</v>
      </c>
      <c r="AB167" s="5">
        <v>0</v>
      </c>
      <c r="AC167" s="5" t="b">
        <v>1</v>
      </c>
      <c r="AD167" s="5" t="s">
        <v>413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 t="s">
        <v>367</v>
      </c>
      <c r="AZ167" s="5">
        <v>10000</v>
      </c>
      <c r="BA167" s="5" t="s">
        <v>417</v>
      </c>
      <c r="BB167" s="5" t="s">
        <v>412</v>
      </c>
      <c r="BC167" s="5">
        <v>10000</v>
      </c>
      <c r="BD167" s="5">
        <v>0</v>
      </c>
      <c r="BE167" s="5" t="s">
        <v>358</v>
      </c>
      <c r="BF167" s="5">
        <v>0</v>
      </c>
      <c r="BG167" s="5"/>
      <c r="BH167" s="5"/>
      <c r="BI167" s="5"/>
      <c r="BJ167" s="5"/>
      <c r="BK167" s="5"/>
      <c r="BL167" s="5"/>
      <c r="BM167" s="5">
        <v>21001101</v>
      </c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X167" s="5">
        <v>200</v>
      </c>
      <c r="GY167" s="5">
        <v>400</v>
      </c>
      <c r="GZ167" s="5" t="s">
        <v>383</v>
      </c>
      <c r="HA167" s="5">
        <v>0</v>
      </c>
      <c r="HB167" s="5">
        <v>30044</v>
      </c>
      <c r="HC167" s="5" t="s">
        <v>366</v>
      </c>
      <c r="HD167" s="5" t="b">
        <v>1</v>
      </c>
      <c r="HE167" s="5">
        <v>6000</v>
      </c>
      <c r="HF167" s="5" t="b">
        <v>0</v>
      </c>
      <c r="HG167" s="5">
        <v>0</v>
      </c>
      <c r="HH167" s="5">
        <v>0</v>
      </c>
      <c r="HI167" s="5">
        <v>0</v>
      </c>
      <c r="HJ167" s="5">
        <v>0</v>
      </c>
      <c r="HK167" s="5" t="b">
        <v>0</v>
      </c>
      <c r="HL167" s="5">
        <v>0</v>
      </c>
      <c r="HM167" s="5">
        <v>10001</v>
      </c>
      <c r="HN167" s="5" t="s">
        <v>367</v>
      </c>
      <c r="HO167" s="5" t="s">
        <v>360</v>
      </c>
      <c r="HP167" s="5">
        <v>0</v>
      </c>
      <c r="HQ167" s="5">
        <v>0</v>
      </c>
      <c r="HR167" s="5">
        <v>0</v>
      </c>
      <c r="HS167" s="5">
        <v>0</v>
      </c>
      <c r="HT167" s="5" t="b">
        <v>0</v>
      </c>
    </row>
    <row r="168" spans="1:228">
      <c r="A168"/>
      <c r="B168" s="1">
        <f>10000000+INDEX(编号表!$B$1:$B$112,MATCH(D168,编号表!$A$1:$A$112,0))*10000+I168</f>
        <v>10170002</v>
      </c>
      <c r="C168" s="5" t="s">
        <v>415</v>
      </c>
      <c r="D168" s="5" t="s">
        <v>415</v>
      </c>
      <c r="E168" s="5" t="s">
        <v>348</v>
      </c>
      <c r="F168" s="5" t="s">
        <v>385</v>
      </c>
      <c r="G168" s="5" t="b">
        <v>0</v>
      </c>
      <c r="H168" s="5" t="b">
        <v>0</v>
      </c>
      <c r="I168" s="5">
        <v>2</v>
      </c>
      <c r="J168" s="5">
        <v>101700</v>
      </c>
      <c r="K168" s="5" t="s">
        <v>350</v>
      </c>
      <c r="L168" s="5">
        <v>10170001</v>
      </c>
      <c r="M168" s="5">
        <v>10170003</v>
      </c>
      <c r="N168" s="5" t="s">
        <v>416</v>
      </c>
      <c r="O168" s="5">
        <v>10202016</v>
      </c>
      <c r="P168" s="5">
        <v>0</v>
      </c>
      <c r="Q168" s="5">
        <v>1</v>
      </c>
      <c r="R168" s="5">
        <v>7</v>
      </c>
      <c r="S168" s="5">
        <v>0</v>
      </c>
      <c r="T168" s="5">
        <v>100</v>
      </c>
      <c r="U168" s="5" t="s">
        <v>364</v>
      </c>
      <c r="V168" s="5">
        <v>650</v>
      </c>
      <c r="W168" s="5">
        <v>650</v>
      </c>
      <c r="X168" s="5" t="s">
        <v>352</v>
      </c>
      <c r="Y168" s="5" t="s">
        <v>376</v>
      </c>
      <c r="Z168" s="5" t="s">
        <v>412</v>
      </c>
      <c r="AA168" s="5">
        <v>1</v>
      </c>
      <c r="AB168" s="5">
        <v>0</v>
      </c>
      <c r="AC168" s="5" t="b">
        <v>1</v>
      </c>
      <c r="AD168" s="5" t="s">
        <v>413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 t="s">
        <v>367</v>
      </c>
      <c r="AZ168" s="5">
        <v>10400</v>
      </c>
      <c r="BA168" s="5" t="s">
        <v>417</v>
      </c>
      <c r="BB168" s="5" t="s">
        <v>412</v>
      </c>
      <c r="BC168" s="5">
        <v>10000</v>
      </c>
      <c r="BD168" s="5">
        <v>0</v>
      </c>
      <c r="BE168" s="5" t="s">
        <v>358</v>
      </c>
      <c r="BF168" s="5">
        <v>0</v>
      </c>
      <c r="BG168" s="5"/>
      <c r="BH168" s="5"/>
      <c r="BI168" s="5"/>
      <c r="BJ168" s="5"/>
      <c r="BK168" s="5"/>
      <c r="BL168" s="5"/>
      <c r="BM168" s="5">
        <v>21001102</v>
      </c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X168" s="5">
        <v>200</v>
      </c>
      <c r="GY168" s="5">
        <v>400</v>
      </c>
      <c r="GZ168" s="5" t="s">
        <v>383</v>
      </c>
      <c r="HA168" s="5">
        <v>0</v>
      </c>
      <c r="HB168" s="5">
        <v>30044</v>
      </c>
      <c r="HC168" s="5" t="s">
        <v>366</v>
      </c>
      <c r="HD168" s="5" t="b">
        <v>1</v>
      </c>
      <c r="HE168" s="5">
        <v>6000</v>
      </c>
      <c r="HF168" s="5" t="b">
        <v>0</v>
      </c>
      <c r="HG168" s="5">
        <v>0</v>
      </c>
      <c r="HH168" s="5">
        <v>0</v>
      </c>
      <c r="HI168" s="5">
        <v>0</v>
      </c>
      <c r="HJ168" s="5">
        <v>0</v>
      </c>
      <c r="HK168" s="5" t="b">
        <v>0</v>
      </c>
      <c r="HL168" s="5">
        <v>0</v>
      </c>
      <c r="HM168" s="5">
        <v>10001</v>
      </c>
      <c r="HN168" s="5" t="s">
        <v>367</v>
      </c>
      <c r="HO168" s="5" t="s">
        <v>360</v>
      </c>
      <c r="HP168" s="5">
        <v>0</v>
      </c>
      <c r="HQ168" s="5">
        <v>0</v>
      </c>
      <c r="HR168" s="5">
        <v>0</v>
      </c>
      <c r="HS168" s="5">
        <v>0</v>
      </c>
      <c r="HT168" s="5" t="b">
        <v>0</v>
      </c>
    </row>
    <row r="169" spans="1:228">
      <c r="A169"/>
      <c r="B169" s="1">
        <f>10000000+INDEX(编号表!$B$1:$B$112,MATCH(D169,编号表!$A$1:$A$112,0))*10000+I169</f>
        <v>10170003</v>
      </c>
      <c r="C169" s="5" t="s">
        <v>415</v>
      </c>
      <c r="D169" s="5" t="s">
        <v>415</v>
      </c>
      <c r="E169" s="5" t="s">
        <v>348</v>
      </c>
      <c r="F169" s="5" t="s">
        <v>385</v>
      </c>
      <c r="G169" s="5" t="b">
        <v>0</v>
      </c>
      <c r="H169" s="5" t="b">
        <v>0</v>
      </c>
      <c r="I169" s="5">
        <v>3</v>
      </c>
      <c r="J169" s="5">
        <v>101700</v>
      </c>
      <c r="K169" s="5" t="s">
        <v>350</v>
      </c>
      <c r="L169" s="5">
        <v>10170002</v>
      </c>
      <c r="M169" s="5">
        <v>10170004</v>
      </c>
      <c r="N169" s="5" t="s">
        <v>416</v>
      </c>
      <c r="O169" s="5">
        <v>10202016</v>
      </c>
      <c r="P169" s="5">
        <v>0</v>
      </c>
      <c r="Q169" s="5">
        <v>2</v>
      </c>
      <c r="R169" s="5">
        <v>11</v>
      </c>
      <c r="S169" s="5">
        <v>0</v>
      </c>
      <c r="T169" s="5">
        <v>100</v>
      </c>
      <c r="U169" s="5" t="s">
        <v>364</v>
      </c>
      <c r="V169" s="5">
        <v>650</v>
      </c>
      <c r="W169" s="5">
        <v>650</v>
      </c>
      <c r="X169" s="5" t="s">
        <v>352</v>
      </c>
      <c r="Y169" s="5" t="s">
        <v>376</v>
      </c>
      <c r="Z169" s="5" t="s">
        <v>412</v>
      </c>
      <c r="AA169" s="5">
        <v>1</v>
      </c>
      <c r="AB169" s="5">
        <v>0</v>
      </c>
      <c r="AC169" s="5" t="b">
        <v>1</v>
      </c>
      <c r="AD169" s="5" t="s">
        <v>413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 t="s">
        <v>367</v>
      </c>
      <c r="AZ169" s="5">
        <v>10800</v>
      </c>
      <c r="BA169" s="5" t="s">
        <v>417</v>
      </c>
      <c r="BB169" s="5" t="s">
        <v>412</v>
      </c>
      <c r="BC169" s="5">
        <v>10000</v>
      </c>
      <c r="BD169" s="5">
        <v>0</v>
      </c>
      <c r="BE169" s="5" t="s">
        <v>358</v>
      </c>
      <c r="BF169" s="5">
        <v>0</v>
      </c>
      <c r="BG169" s="5"/>
      <c r="BH169" s="5"/>
      <c r="BI169" s="5"/>
      <c r="BJ169" s="5"/>
      <c r="BK169" s="5"/>
      <c r="BL169" s="5"/>
      <c r="BM169" s="5">
        <v>21001103</v>
      </c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X169" s="5">
        <v>200</v>
      </c>
      <c r="GY169" s="5">
        <v>400</v>
      </c>
      <c r="GZ169" s="5" t="s">
        <v>383</v>
      </c>
      <c r="HA169" s="5">
        <v>0</v>
      </c>
      <c r="HB169" s="5">
        <v>30044</v>
      </c>
      <c r="HC169" s="5" t="s">
        <v>366</v>
      </c>
      <c r="HD169" s="5" t="b">
        <v>1</v>
      </c>
      <c r="HE169" s="5">
        <v>6000</v>
      </c>
      <c r="HF169" s="5" t="b">
        <v>0</v>
      </c>
      <c r="HG169" s="5">
        <v>0</v>
      </c>
      <c r="HH169" s="5">
        <v>0</v>
      </c>
      <c r="HI169" s="5">
        <v>0</v>
      </c>
      <c r="HJ169" s="5">
        <v>0</v>
      </c>
      <c r="HK169" s="5" t="b">
        <v>0</v>
      </c>
      <c r="HL169" s="5">
        <v>0</v>
      </c>
      <c r="HM169" s="5">
        <v>10001</v>
      </c>
      <c r="HN169" s="5" t="s">
        <v>367</v>
      </c>
      <c r="HO169" s="5" t="s">
        <v>360</v>
      </c>
      <c r="HP169" s="5">
        <v>0</v>
      </c>
      <c r="HQ169" s="5">
        <v>0</v>
      </c>
      <c r="HR169" s="5">
        <v>0</v>
      </c>
      <c r="HS169" s="5">
        <v>0</v>
      </c>
      <c r="HT169" s="5" t="b">
        <v>0</v>
      </c>
    </row>
    <row r="170" spans="1:228">
      <c r="A170"/>
      <c r="B170" s="1">
        <f>10000000+INDEX(编号表!$B$1:$B$112,MATCH(D170,编号表!$A$1:$A$112,0))*10000+I170</f>
        <v>10170004</v>
      </c>
      <c r="C170" s="5" t="s">
        <v>415</v>
      </c>
      <c r="D170" s="5" t="s">
        <v>415</v>
      </c>
      <c r="E170" s="5" t="s">
        <v>348</v>
      </c>
      <c r="F170" s="5" t="s">
        <v>385</v>
      </c>
      <c r="G170" s="5" t="b">
        <v>0</v>
      </c>
      <c r="H170" s="5" t="b">
        <v>0</v>
      </c>
      <c r="I170" s="5">
        <v>4</v>
      </c>
      <c r="J170" s="5">
        <v>101700</v>
      </c>
      <c r="K170" s="5" t="s">
        <v>350</v>
      </c>
      <c r="L170" s="5">
        <v>10170003</v>
      </c>
      <c r="M170" s="5">
        <v>10170005</v>
      </c>
      <c r="N170" s="5" t="s">
        <v>416</v>
      </c>
      <c r="O170" s="5">
        <v>10202016</v>
      </c>
      <c r="P170" s="5">
        <v>0</v>
      </c>
      <c r="Q170" s="5">
        <v>3</v>
      </c>
      <c r="R170" s="5">
        <v>16</v>
      </c>
      <c r="S170" s="5">
        <v>0</v>
      </c>
      <c r="T170" s="5">
        <v>100</v>
      </c>
      <c r="U170" s="5" t="s">
        <v>364</v>
      </c>
      <c r="V170" s="5">
        <v>650</v>
      </c>
      <c r="W170" s="5">
        <v>650</v>
      </c>
      <c r="X170" s="5" t="s">
        <v>352</v>
      </c>
      <c r="Y170" s="5" t="s">
        <v>376</v>
      </c>
      <c r="Z170" s="5" t="s">
        <v>412</v>
      </c>
      <c r="AA170" s="5">
        <v>1</v>
      </c>
      <c r="AB170" s="5">
        <v>0</v>
      </c>
      <c r="AC170" s="5" t="b">
        <v>1</v>
      </c>
      <c r="AD170" s="5" t="s">
        <v>413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 t="s">
        <v>367</v>
      </c>
      <c r="AZ170" s="5">
        <v>11200</v>
      </c>
      <c r="BA170" s="5" t="s">
        <v>417</v>
      </c>
      <c r="BB170" s="5" t="s">
        <v>412</v>
      </c>
      <c r="BC170" s="5">
        <v>10000</v>
      </c>
      <c r="BD170" s="5">
        <v>0</v>
      </c>
      <c r="BE170" s="5" t="s">
        <v>358</v>
      </c>
      <c r="BF170" s="5">
        <v>0</v>
      </c>
      <c r="BG170" s="5"/>
      <c r="BH170" s="5"/>
      <c r="BI170" s="5"/>
      <c r="BJ170" s="5"/>
      <c r="BK170" s="5"/>
      <c r="BL170" s="5"/>
      <c r="BM170" s="5">
        <v>21001104</v>
      </c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X170" s="5">
        <v>200</v>
      </c>
      <c r="GY170" s="5">
        <v>400</v>
      </c>
      <c r="GZ170" s="5" t="s">
        <v>383</v>
      </c>
      <c r="HA170" s="5">
        <v>0</v>
      </c>
      <c r="HB170" s="5">
        <v>30044</v>
      </c>
      <c r="HC170" s="5" t="s">
        <v>366</v>
      </c>
      <c r="HD170" s="5" t="b">
        <v>1</v>
      </c>
      <c r="HE170" s="5">
        <v>6000</v>
      </c>
      <c r="HF170" s="5" t="b">
        <v>0</v>
      </c>
      <c r="HG170" s="5">
        <v>0</v>
      </c>
      <c r="HH170" s="5">
        <v>0</v>
      </c>
      <c r="HI170" s="5">
        <v>0</v>
      </c>
      <c r="HJ170" s="5">
        <v>0</v>
      </c>
      <c r="HK170" s="5" t="b">
        <v>0</v>
      </c>
      <c r="HL170" s="5">
        <v>0</v>
      </c>
      <c r="HM170" s="5">
        <v>10001</v>
      </c>
      <c r="HN170" s="5" t="s">
        <v>367</v>
      </c>
      <c r="HO170" s="5" t="s">
        <v>360</v>
      </c>
      <c r="HP170" s="5">
        <v>0</v>
      </c>
      <c r="HQ170" s="5">
        <v>0</v>
      </c>
      <c r="HR170" s="5">
        <v>0</v>
      </c>
      <c r="HS170" s="5">
        <v>0</v>
      </c>
      <c r="HT170" s="5" t="b">
        <v>0</v>
      </c>
    </row>
    <row r="171" spans="1:228">
      <c r="A171"/>
      <c r="B171" s="1">
        <f>10000000+INDEX(编号表!$B$1:$B$112,MATCH(D171,编号表!$A$1:$A$112,0))*10000+I171</f>
        <v>10170005</v>
      </c>
      <c r="C171" s="5" t="s">
        <v>415</v>
      </c>
      <c r="D171" s="5" t="s">
        <v>415</v>
      </c>
      <c r="E171" s="5" t="s">
        <v>348</v>
      </c>
      <c r="F171" s="5" t="s">
        <v>385</v>
      </c>
      <c r="G171" s="5" t="b">
        <v>0</v>
      </c>
      <c r="H171" s="5" t="b">
        <v>0</v>
      </c>
      <c r="I171" s="5">
        <v>5</v>
      </c>
      <c r="J171" s="5">
        <v>101700</v>
      </c>
      <c r="K171" s="5" t="s">
        <v>350</v>
      </c>
      <c r="L171" s="5">
        <v>10170004</v>
      </c>
      <c r="M171" s="5">
        <v>10170006</v>
      </c>
      <c r="N171" s="5" t="s">
        <v>416</v>
      </c>
      <c r="O171" s="5">
        <v>10202016</v>
      </c>
      <c r="P171" s="5">
        <v>0</v>
      </c>
      <c r="Q171" s="5">
        <v>3</v>
      </c>
      <c r="R171" s="5">
        <v>25</v>
      </c>
      <c r="S171" s="5">
        <v>0</v>
      </c>
      <c r="T171" s="5">
        <v>100</v>
      </c>
      <c r="U171" s="5" t="s">
        <v>364</v>
      </c>
      <c r="V171" s="5">
        <v>650</v>
      </c>
      <c r="W171" s="5">
        <v>650</v>
      </c>
      <c r="X171" s="5" t="s">
        <v>352</v>
      </c>
      <c r="Y171" s="5" t="s">
        <v>376</v>
      </c>
      <c r="Z171" s="5" t="s">
        <v>412</v>
      </c>
      <c r="AA171" s="5">
        <v>1</v>
      </c>
      <c r="AB171" s="5">
        <v>0</v>
      </c>
      <c r="AC171" s="5" t="b">
        <v>1</v>
      </c>
      <c r="AD171" s="5" t="s">
        <v>413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 t="s">
        <v>367</v>
      </c>
      <c r="AZ171" s="5">
        <v>11300</v>
      </c>
      <c r="BA171" s="5" t="s">
        <v>417</v>
      </c>
      <c r="BB171" s="5" t="s">
        <v>412</v>
      </c>
      <c r="BC171" s="5">
        <v>10000</v>
      </c>
      <c r="BD171" s="5">
        <v>0</v>
      </c>
      <c r="BE171" s="5" t="s">
        <v>358</v>
      </c>
      <c r="BF171" s="5">
        <v>0</v>
      </c>
      <c r="BG171" s="5"/>
      <c r="BH171" s="5"/>
      <c r="BI171" s="5"/>
      <c r="BJ171" s="5"/>
      <c r="BK171" s="5"/>
      <c r="BL171" s="5"/>
      <c r="BM171" s="5">
        <v>21001105</v>
      </c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X171" s="5">
        <v>200</v>
      </c>
      <c r="GY171" s="5">
        <v>400</v>
      </c>
      <c r="GZ171" s="5" t="s">
        <v>383</v>
      </c>
      <c r="HA171" s="5">
        <v>0</v>
      </c>
      <c r="HB171" s="5">
        <v>30044</v>
      </c>
      <c r="HC171" s="5" t="s">
        <v>366</v>
      </c>
      <c r="HD171" s="5" t="b">
        <v>1</v>
      </c>
      <c r="HE171" s="5">
        <v>6000</v>
      </c>
      <c r="HF171" s="5" t="b">
        <v>0</v>
      </c>
      <c r="HG171" s="5">
        <v>0</v>
      </c>
      <c r="HH171" s="5">
        <v>0</v>
      </c>
      <c r="HI171" s="5">
        <v>0</v>
      </c>
      <c r="HJ171" s="5">
        <v>0</v>
      </c>
      <c r="HK171" s="5" t="b">
        <v>0</v>
      </c>
      <c r="HL171" s="5">
        <v>0</v>
      </c>
      <c r="HM171" s="5">
        <v>10001</v>
      </c>
      <c r="HN171" s="5" t="s">
        <v>367</v>
      </c>
      <c r="HO171" s="5" t="s">
        <v>360</v>
      </c>
      <c r="HP171" s="5">
        <v>0</v>
      </c>
      <c r="HQ171" s="5">
        <v>0</v>
      </c>
      <c r="HR171" s="5">
        <v>0</v>
      </c>
      <c r="HS171" s="5">
        <v>0</v>
      </c>
      <c r="HT171" s="5" t="b">
        <v>0</v>
      </c>
    </row>
    <row r="172" spans="1:228">
      <c r="A172"/>
      <c r="B172" s="1">
        <f>10000000+INDEX(编号表!$B$1:$B$112,MATCH(D172,编号表!$A$1:$A$112,0))*10000+I172</f>
        <v>10170006</v>
      </c>
      <c r="C172" s="5" t="s">
        <v>415</v>
      </c>
      <c r="D172" s="5" t="s">
        <v>415</v>
      </c>
      <c r="E172" s="5" t="s">
        <v>348</v>
      </c>
      <c r="F172" s="5" t="s">
        <v>385</v>
      </c>
      <c r="G172" s="5" t="b">
        <v>0</v>
      </c>
      <c r="H172" s="5" t="b">
        <v>0</v>
      </c>
      <c r="I172" s="5">
        <v>6</v>
      </c>
      <c r="J172" s="5">
        <v>101700</v>
      </c>
      <c r="K172" s="5" t="s">
        <v>350</v>
      </c>
      <c r="L172" s="5">
        <v>10170005</v>
      </c>
      <c r="M172" s="5">
        <v>10170007</v>
      </c>
      <c r="N172" s="5" t="s">
        <v>416</v>
      </c>
      <c r="O172" s="5">
        <v>10202016</v>
      </c>
      <c r="P172" s="5">
        <v>0</v>
      </c>
      <c r="Q172" s="5">
        <v>3</v>
      </c>
      <c r="R172" s="5">
        <v>30</v>
      </c>
      <c r="S172" s="5">
        <v>0</v>
      </c>
      <c r="T172" s="5">
        <v>100</v>
      </c>
      <c r="U172" s="5" t="s">
        <v>364</v>
      </c>
      <c r="V172" s="5">
        <v>650</v>
      </c>
      <c r="W172" s="5">
        <v>650</v>
      </c>
      <c r="X172" s="5" t="s">
        <v>352</v>
      </c>
      <c r="Y172" s="5" t="s">
        <v>376</v>
      </c>
      <c r="Z172" s="5" t="s">
        <v>412</v>
      </c>
      <c r="AA172" s="5">
        <v>1</v>
      </c>
      <c r="AB172" s="5">
        <v>0</v>
      </c>
      <c r="AC172" s="5" t="b">
        <v>1</v>
      </c>
      <c r="AD172" s="5" t="s">
        <v>413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 t="s">
        <v>367</v>
      </c>
      <c r="AZ172" s="5">
        <v>11600</v>
      </c>
      <c r="BA172" s="5" t="s">
        <v>417</v>
      </c>
      <c r="BB172" s="5" t="s">
        <v>412</v>
      </c>
      <c r="BC172" s="5">
        <v>10000</v>
      </c>
      <c r="BD172" s="5">
        <v>0</v>
      </c>
      <c r="BE172" s="5" t="s">
        <v>358</v>
      </c>
      <c r="BF172" s="5">
        <v>0</v>
      </c>
      <c r="BG172" s="5"/>
      <c r="BH172" s="5"/>
      <c r="BI172" s="5"/>
      <c r="BJ172" s="5"/>
      <c r="BK172" s="5"/>
      <c r="BL172" s="5"/>
      <c r="BM172" s="5">
        <v>21001106</v>
      </c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X172" s="5">
        <v>200</v>
      </c>
      <c r="GY172" s="5">
        <v>400</v>
      </c>
      <c r="GZ172" s="5" t="s">
        <v>383</v>
      </c>
      <c r="HA172" s="5">
        <v>0</v>
      </c>
      <c r="HB172" s="5">
        <v>30044</v>
      </c>
      <c r="HC172" s="5" t="s">
        <v>366</v>
      </c>
      <c r="HD172" s="5" t="b">
        <v>1</v>
      </c>
      <c r="HE172" s="5">
        <v>6000</v>
      </c>
      <c r="HF172" s="5" t="b">
        <v>0</v>
      </c>
      <c r="HG172" s="5">
        <v>0</v>
      </c>
      <c r="HH172" s="5">
        <v>0</v>
      </c>
      <c r="HI172" s="5">
        <v>0</v>
      </c>
      <c r="HJ172" s="5">
        <v>0</v>
      </c>
      <c r="HK172" s="5" t="b">
        <v>0</v>
      </c>
      <c r="HL172" s="5">
        <v>0</v>
      </c>
      <c r="HM172" s="5">
        <v>10001</v>
      </c>
      <c r="HN172" s="5" t="s">
        <v>367</v>
      </c>
      <c r="HO172" s="5" t="s">
        <v>360</v>
      </c>
      <c r="HP172" s="5">
        <v>0</v>
      </c>
      <c r="HQ172" s="5">
        <v>0</v>
      </c>
      <c r="HR172" s="5">
        <v>0</v>
      </c>
      <c r="HS172" s="5">
        <v>0</v>
      </c>
      <c r="HT172" s="5" t="b">
        <v>0</v>
      </c>
    </row>
    <row r="173" spans="1:228">
      <c r="A173"/>
      <c r="B173" s="1">
        <f>10000000+INDEX(编号表!$B$1:$B$112,MATCH(D173,编号表!$A$1:$A$112,0))*10000+I173</f>
        <v>10170007</v>
      </c>
      <c r="C173" s="5" t="s">
        <v>415</v>
      </c>
      <c r="D173" s="5" t="s">
        <v>415</v>
      </c>
      <c r="E173" s="5" t="s">
        <v>348</v>
      </c>
      <c r="F173" s="5" t="s">
        <v>385</v>
      </c>
      <c r="G173" s="5" t="b">
        <v>0</v>
      </c>
      <c r="H173" s="5" t="b">
        <v>0</v>
      </c>
      <c r="I173" s="5">
        <v>7</v>
      </c>
      <c r="J173" s="5">
        <v>101700</v>
      </c>
      <c r="K173" s="5" t="s">
        <v>350</v>
      </c>
      <c r="L173" s="5">
        <v>10170006</v>
      </c>
      <c r="M173" s="5">
        <v>10170008</v>
      </c>
      <c r="N173" s="5" t="s">
        <v>416</v>
      </c>
      <c r="O173" s="5">
        <v>10202016</v>
      </c>
      <c r="P173" s="5">
        <v>0</v>
      </c>
      <c r="Q173" s="5">
        <v>3</v>
      </c>
      <c r="R173" s="5">
        <v>35</v>
      </c>
      <c r="S173" s="5">
        <v>0</v>
      </c>
      <c r="T173" s="5">
        <v>100</v>
      </c>
      <c r="U173" s="5" t="s">
        <v>364</v>
      </c>
      <c r="V173" s="5">
        <v>650</v>
      </c>
      <c r="W173" s="5">
        <v>650</v>
      </c>
      <c r="X173" s="5" t="s">
        <v>352</v>
      </c>
      <c r="Y173" s="5" t="s">
        <v>376</v>
      </c>
      <c r="Z173" s="5" t="s">
        <v>412</v>
      </c>
      <c r="AA173" s="5">
        <v>1</v>
      </c>
      <c r="AB173" s="5">
        <v>0</v>
      </c>
      <c r="AC173" s="5" t="b">
        <v>1</v>
      </c>
      <c r="AD173" s="5" t="s">
        <v>413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 t="s">
        <v>367</v>
      </c>
      <c r="AZ173" s="5">
        <v>11700</v>
      </c>
      <c r="BA173" s="5" t="s">
        <v>417</v>
      </c>
      <c r="BB173" s="5" t="s">
        <v>412</v>
      </c>
      <c r="BC173" s="5">
        <v>10000</v>
      </c>
      <c r="BD173" s="5">
        <v>0</v>
      </c>
      <c r="BE173" s="5" t="s">
        <v>358</v>
      </c>
      <c r="BF173" s="5">
        <v>0</v>
      </c>
      <c r="BG173" s="5"/>
      <c r="BH173" s="5"/>
      <c r="BI173" s="5"/>
      <c r="BJ173" s="5"/>
      <c r="BK173" s="5"/>
      <c r="BL173" s="5"/>
      <c r="BM173" s="5">
        <v>21001107</v>
      </c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X173" s="5">
        <v>200</v>
      </c>
      <c r="GY173" s="5">
        <v>400</v>
      </c>
      <c r="GZ173" s="5" t="s">
        <v>383</v>
      </c>
      <c r="HA173" s="5">
        <v>0</v>
      </c>
      <c r="HB173" s="5">
        <v>30044</v>
      </c>
      <c r="HC173" s="5" t="s">
        <v>366</v>
      </c>
      <c r="HD173" s="5" t="b">
        <v>1</v>
      </c>
      <c r="HE173" s="5">
        <v>6000</v>
      </c>
      <c r="HF173" s="5" t="b">
        <v>0</v>
      </c>
      <c r="HG173" s="5">
        <v>0</v>
      </c>
      <c r="HH173" s="5">
        <v>0</v>
      </c>
      <c r="HI173" s="5">
        <v>0</v>
      </c>
      <c r="HJ173" s="5">
        <v>0</v>
      </c>
      <c r="HK173" s="5" t="b">
        <v>0</v>
      </c>
      <c r="HL173" s="5">
        <v>0</v>
      </c>
      <c r="HM173" s="5">
        <v>10001</v>
      </c>
      <c r="HN173" s="5" t="s">
        <v>367</v>
      </c>
      <c r="HO173" s="5" t="s">
        <v>360</v>
      </c>
      <c r="HP173" s="5">
        <v>0</v>
      </c>
      <c r="HQ173" s="5">
        <v>0</v>
      </c>
      <c r="HR173" s="5">
        <v>0</v>
      </c>
      <c r="HS173" s="5">
        <v>0</v>
      </c>
      <c r="HT173" s="5" t="b">
        <v>0</v>
      </c>
    </row>
    <row r="174" spans="1:228">
      <c r="A174"/>
      <c r="B174" s="1">
        <f>10000000+INDEX(编号表!$B$1:$B$112,MATCH(D174,编号表!$A$1:$A$112,0))*10000+I174</f>
        <v>10170008</v>
      </c>
      <c r="C174" s="5" t="s">
        <v>415</v>
      </c>
      <c r="D174" s="5" t="s">
        <v>415</v>
      </c>
      <c r="E174" s="5" t="s">
        <v>348</v>
      </c>
      <c r="F174" s="5" t="s">
        <v>385</v>
      </c>
      <c r="G174" s="5" t="b">
        <v>0</v>
      </c>
      <c r="H174" s="5" t="b">
        <v>0</v>
      </c>
      <c r="I174" s="5">
        <v>8</v>
      </c>
      <c r="J174" s="5">
        <v>101700</v>
      </c>
      <c r="K174" s="5" t="s">
        <v>350</v>
      </c>
      <c r="L174" s="5">
        <v>10170007</v>
      </c>
      <c r="M174" s="5">
        <v>10170009</v>
      </c>
      <c r="N174" s="5" t="s">
        <v>416</v>
      </c>
      <c r="O174" s="5">
        <v>10202016</v>
      </c>
      <c r="P174" s="5">
        <v>0</v>
      </c>
      <c r="Q174" s="5">
        <v>3</v>
      </c>
      <c r="R174" s="5">
        <v>35</v>
      </c>
      <c r="S174" s="5">
        <v>0</v>
      </c>
      <c r="T174" s="5">
        <v>100</v>
      </c>
      <c r="U174" s="5" t="s">
        <v>364</v>
      </c>
      <c r="V174" s="5">
        <v>650</v>
      </c>
      <c r="W174" s="5">
        <v>650</v>
      </c>
      <c r="X174" s="5" t="s">
        <v>352</v>
      </c>
      <c r="Y174" s="5" t="s">
        <v>376</v>
      </c>
      <c r="Z174" s="5" t="s">
        <v>412</v>
      </c>
      <c r="AA174" s="5">
        <v>1</v>
      </c>
      <c r="AB174" s="5">
        <v>0</v>
      </c>
      <c r="AC174" s="5" t="b">
        <v>1</v>
      </c>
      <c r="AD174" s="5" t="s">
        <v>413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 t="s">
        <v>367</v>
      </c>
      <c r="AZ174" s="5">
        <v>11800</v>
      </c>
      <c r="BA174" s="5" t="s">
        <v>417</v>
      </c>
      <c r="BB174" s="5" t="s">
        <v>412</v>
      </c>
      <c r="BC174" s="5">
        <v>10000</v>
      </c>
      <c r="BD174" s="5">
        <v>0</v>
      </c>
      <c r="BE174" s="5" t="s">
        <v>358</v>
      </c>
      <c r="BF174" s="5">
        <v>0</v>
      </c>
      <c r="BG174" s="5"/>
      <c r="BH174" s="5"/>
      <c r="BI174" s="5"/>
      <c r="BJ174" s="5"/>
      <c r="BK174" s="5"/>
      <c r="BL174" s="5"/>
      <c r="BM174" s="5">
        <v>21001108</v>
      </c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X174" s="5">
        <v>200</v>
      </c>
      <c r="GY174" s="5">
        <v>400</v>
      </c>
      <c r="GZ174" s="5" t="s">
        <v>383</v>
      </c>
      <c r="HA174" s="5">
        <v>0</v>
      </c>
      <c r="HB174" s="5">
        <v>30044</v>
      </c>
      <c r="HC174" s="5" t="s">
        <v>366</v>
      </c>
      <c r="HD174" s="5" t="b">
        <v>1</v>
      </c>
      <c r="HE174" s="5">
        <v>6000</v>
      </c>
      <c r="HF174" s="5" t="b">
        <v>0</v>
      </c>
      <c r="HG174" s="5">
        <v>0</v>
      </c>
      <c r="HH174" s="5">
        <v>0</v>
      </c>
      <c r="HI174" s="5">
        <v>0</v>
      </c>
      <c r="HJ174" s="5">
        <v>0</v>
      </c>
      <c r="HK174" s="5" t="b">
        <v>0</v>
      </c>
      <c r="HL174" s="5">
        <v>0</v>
      </c>
      <c r="HM174" s="5">
        <v>10001</v>
      </c>
      <c r="HN174" s="5" t="s">
        <v>367</v>
      </c>
      <c r="HO174" s="5" t="s">
        <v>360</v>
      </c>
      <c r="HP174" s="5">
        <v>0</v>
      </c>
      <c r="HQ174" s="5">
        <v>0</v>
      </c>
      <c r="HR174" s="5">
        <v>0</v>
      </c>
      <c r="HS174" s="5">
        <v>0</v>
      </c>
      <c r="HT174" s="5" t="b">
        <v>0</v>
      </c>
    </row>
    <row r="175" spans="1:228">
      <c r="A175"/>
      <c r="B175" s="1">
        <f>10000000+INDEX(编号表!$B$1:$B$112,MATCH(D175,编号表!$A$1:$A$112,0))*10000+I175</f>
        <v>10170009</v>
      </c>
      <c r="C175" s="5" t="s">
        <v>415</v>
      </c>
      <c r="D175" s="5" t="s">
        <v>415</v>
      </c>
      <c r="E175" s="5" t="s">
        <v>348</v>
      </c>
      <c r="F175" s="5" t="s">
        <v>385</v>
      </c>
      <c r="G175" s="5" t="b">
        <v>0</v>
      </c>
      <c r="H175" s="5" t="b">
        <v>0</v>
      </c>
      <c r="I175" s="5">
        <v>9</v>
      </c>
      <c r="J175" s="5">
        <v>101700</v>
      </c>
      <c r="K175" s="5" t="s">
        <v>350</v>
      </c>
      <c r="L175" s="5">
        <v>10170008</v>
      </c>
      <c r="M175" s="5">
        <v>10170010</v>
      </c>
      <c r="N175" s="5" t="s">
        <v>416</v>
      </c>
      <c r="O175" s="5">
        <v>10202016</v>
      </c>
      <c r="P175" s="5">
        <v>0</v>
      </c>
      <c r="Q175" s="5">
        <v>3</v>
      </c>
      <c r="R175" s="5">
        <v>40</v>
      </c>
      <c r="S175" s="5">
        <v>0</v>
      </c>
      <c r="T175" s="5">
        <v>100</v>
      </c>
      <c r="U175" s="5" t="s">
        <v>364</v>
      </c>
      <c r="V175" s="5">
        <v>650</v>
      </c>
      <c r="W175" s="5">
        <v>650</v>
      </c>
      <c r="X175" s="5" t="s">
        <v>352</v>
      </c>
      <c r="Y175" s="5" t="s">
        <v>376</v>
      </c>
      <c r="Z175" s="5" t="s">
        <v>412</v>
      </c>
      <c r="AA175" s="5">
        <v>1</v>
      </c>
      <c r="AB175" s="5">
        <v>0</v>
      </c>
      <c r="AC175" s="5" t="b">
        <v>1</v>
      </c>
      <c r="AD175" s="5" t="s">
        <v>413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 t="s">
        <v>367</v>
      </c>
      <c r="AZ175" s="5">
        <v>11900</v>
      </c>
      <c r="BA175" s="5" t="s">
        <v>417</v>
      </c>
      <c r="BB175" s="5" t="s">
        <v>412</v>
      </c>
      <c r="BC175" s="5">
        <v>10000</v>
      </c>
      <c r="BD175" s="5">
        <v>0</v>
      </c>
      <c r="BE175" s="5" t="s">
        <v>358</v>
      </c>
      <c r="BF175" s="5">
        <v>0</v>
      </c>
      <c r="BG175" s="5"/>
      <c r="BH175" s="5"/>
      <c r="BI175" s="5"/>
      <c r="BJ175" s="5"/>
      <c r="BK175" s="5"/>
      <c r="BL175" s="5"/>
      <c r="BM175" s="5">
        <v>21001109</v>
      </c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X175" s="5">
        <v>200</v>
      </c>
      <c r="GY175" s="5">
        <v>400</v>
      </c>
      <c r="GZ175" s="5" t="s">
        <v>383</v>
      </c>
      <c r="HA175" s="5">
        <v>0</v>
      </c>
      <c r="HB175" s="5">
        <v>30044</v>
      </c>
      <c r="HC175" s="5" t="s">
        <v>366</v>
      </c>
      <c r="HD175" s="5" t="b">
        <v>1</v>
      </c>
      <c r="HE175" s="5">
        <v>6000</v>
      </c>
      <c r="HF175" s="5" t="b">
        <v>0</v>
      </c>
      <c r="HG175" s="5">
        <v>0</v>
      </c>
      <c r="HH175" s="5">
        <v>0</v>
      </c>
      <c r="HI175" s="5">
        <v>0</v>
      </c>
      <c r="HJ175" s="5">
        <v>0</v>
      </c>
      <c r="HK175" s="5" t="b">
        <v>0</v>
      </c>
      <c r="HL175" s="5">
        <v>0</v>
      </c>
      <c r="HM175" s="5">
        <v>10001</v>
      </c>
      <c r="HN175" s="5" t="s">
        <v>367</v>
      </c>
      <c r="HO175" s="5" t="s">
        <v>360</v>
      </c>
      <c r="HP175" s="5">
        <v>0</v>
      </c>
      <c r="HQ175" s="5">
        <v>0</v>
      </c>
      <c r="HR175" s="5">
        <v>0</v>
      </c>
      <c r="HS175" s="5">
        <v>0</v>
      </c>
      <c r="HT175" s="5" t="b">
        <v>0</v>
      </c>
    </row>
    <row r="176" spans="1:228">
      <c r="A176"/>
      <c r="B176" s="1">
        <f>10000000+INDEX(编号表!$B$1:$B$112,MATCH(D176,编号表!$A$1:$A$112,0))*10000+I176</f>
        <v>10170010</v>
      </c>
      <c r="C176" s="5" t="s">
        <v>415</v>
      </c>
      <c r="D176" s="5" t="s">
        <v>415</v>
      </c>
      <c r="E176" s="5" t="s">
        <v>348</v>
      </c>
      <c r="F176" s="5" t="s">
        <v>385</v>
      </c>
      <c r="G176" s="5" t="b">
        <v>0</v>
      </c>
      <c r="H176" s="5" t="b">
        <v>0</v>
      </c>
      <c r="I176" s="5">
        <v>10</v>
      </c>
      <c r="J176" s="5">
        <v>101700</v>
      </c>
      <c r="K176" s="5" t="s">
        <v>350</v>
      </c>
      <c r="L176" s="5">
        <v>10170009</v>
      </c>
      <c r="M176" s="5">
        <v>0</v>
      </c>
      <c r="N176" s="5" t="s">
        <v>416</v>
      </c>
      <c r="O176" s="5">
        <v>10202016</v>
      </c>
      <c r="P176" s="5">
        <v>0</v>
      </c>
      <c r="Q176" s="5">
        <v>3</v>
      </c>
      <c r="R176" s="5">
        <v>40</v>
      </c>
      <c r="S176" s="5">
        <v>0</v>
      </c>
      <c r="T176" s="5">
        <v>0</v>
      </c>
      <c r="U176" s="5" t="s">
        <v>364</v>
      </c>
      <c r="V176" s="5">
        <v>650</v>
      </c>
      <c r="W176" s="5">
        <v>650</v>
      </c>
      <c r="X176" s="5" t="s">
        <v>352</v>
      </c>
      <c r="Y176" s="5" t="s">
        <v>376</v>
      </c>
      <c r="Z176" s="5" t="s">
        <v>412</v>
      </c>
      <c r="AA176" s="5">
        <v>1</v>
      </c>
      <c r="AB176" s="5">
        <v>0</v>
      </c>
      <c r="AC176" s="5" t="b">
        <v>1</v>
      </c>
      <c r="AD176" s="5" t="s">
        <v>413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 t="s">
        <v>367</v>
      </c>
      <c r="AZ176" s="5">
        <v>12000</v>
      </c>
      <c r="BA176" s="5" t="s">
        <v>417</v>
      </c>
      <c r="BB176" s="5" t="s">
        <v>412</v>
      </c>
      <c r="BC176" s="5">
        <v>10000</v>
      </c>
      <c r="BD176" s="5">
        <v>0</v>
      </c>
      <c r="BE176" s="5" t="s">
        <v>358</v>
      </c>
      <c r="BF176" s="5">
        <v>0</v>
      </c>
      <c r="BG176" s="5"/>
      <c r="BH176" s="5"/>
      <c r="BI176" s="5"/>
      <c r="BJ176" s="5"/>
      <c r="BK176" s="5"/>
      <c r="BL176" s="5"/>
      <c r="BM176" s="5">
        <v>21001110</v>
      </c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X176" s="5">
        <v>200</v>
      </c>
      <c r="GY176" s="5">
        <v>400</v>
      </c>
      <c r="GZ176" s="5" t="s">
        <v>383</v>
      </c>
      <c r="HA176" s="5">
        <v>0</v>
      </c>
      <c r="HB176" s="5">
        <v>30044</v>
      </c>
      <c r="HC176" s="5" t="s">
        <v>366</v>
      </c>
      <c r="HD176" s="5" t="b">
        <v>1</v>
      </c>
      <c r="HE176" s="5">
        <v>6000</v>
      </c>
      <c r="HF176" s="5" t="b">
        <v>0</v>
      </c>
      <c r="HG176" s="5">
        <v>0</v>
      </c>
      <c r="HH176" s="5">
        <v>0</v>
      </c>
      <c r="HI176" s="5">
        <v>0</v>
      </c>
      <c r="HJ176" s="5">
        <v>0</v>
      </c>
      <c r="HK176" s="5" t="b">
        <v>0</v>
      </c>
      <c r="HL176" s="5">
        <v>0</v>
      </c>
      <c r="HM176" s="5">
        <v>10001</v>
      </c>
      <c r="HN176" s="5" t="s">
        <v>367</v>
      </c>
      <c r="HO176" s="5" t="s">
        <v>360</v>
      </c>
      <c r="HP176" s="5">
        <v>0</v>
      </c>
      <c r="HQ176" s="5">
        <v>0</v>
      </c>
      <c r="HR176" s="5">
        <v>0</v>
      </c>
      <c r="HS176" s="5">
        <v>0</v>
      </c>
      <c r="HT176" s="5" t="b">
        <v>0</v>
      </c>
    </row>
    <row r="177" spans="1:228">
      <c r="A177"/>
      <c r="B177" s="1">
        <f>10000000+INDEX(编号表!$B$1:$B$112,MATCH(D177,编号表!$A$1:$A$112,0))*10000+I177</f>
        <v>10180001</v>
      </c>
      <c r="C177" s="5" t="s">
        <v>418</v>
      </c>
      <c r="D177" s="5" t="s">
        <v>418</v>
      </c>
      <c r="E177" s="5" t="s">
        <v>348</v>
      </c>
      <c r="F177" s="5" t="s">
        <v>397</v>
      </c>
      <c r="G177" s="5" t="b">
        <v>0</v>
      </c>
      <c r="H177" s="5" t="b">
        <v>0</v>
      </c>
      <c r="I177" s="5">
        <v>1</v>
      </c>
      <c r="J177" s="5">
        <v>101800</v>
      </c>
      <c r="K177" s="5" t="s">
        <v>350</v>
      </c>
      <c r="L177" s="5">
        <v>0</v>
      </c>
      <c r="M177" s="5">
        <v>10180002</v>
      </c>
      <c r="N177" s="5" t="s">
        <v>419</v>
      </c>
      <c r="O177" s="5">
        <v>10202017</v>
      </c>
      <c r="P177" s="5">
        <v>0</v>
      </c>
      <c r="Q177" s="5">
        <v>0</v>
      </c>
      <c r="R177" s="5">
        <v>1</v>
      </c>
      <c r="S177" s="5">
        <v>0</v>
      </c>
      <c r="T177" s="5">
        <v>100</v>
      </c>
      <c r="U177" s="5" t="s">
        <v>364</v>
      </c>
      <c r="V177" s="5">
        <v>650</v>
      </c>
      <c r="W177" s="5">
        <v>650</v>
      </c>
      <c r="X177" s="5" t="s">
        <v>352</v>
      </c>
      <c r="Y177" s="5" t="s">
        <v>376</v>
      </c>
      <c r="Z177" s="5" t="s">
        <v>354</v>
      </c>
      <c r="AA177" s="5">
        <v>0</v>
      </c>
      <c r="AB177" s="5">
        <v>1</v>
      </c>
      <c r="AC177" s="5" t="b">
        <v>0</v>
      </c>
      <c r="AD177" s="5" t="s">
        <v>355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 t="s">
        <v>367</v>
      </c>
      <c r="AZ177" s="5">
        <v>10000</v>
      </c>
      <c r="BA177" s="5" t="s">
        <v>371</v>
      </c>
      <c r="BB177" s="5" t="s">
        <v>354</v>
      </c>
      <c r="BC177" s="5">
        <v>10000</v>
      </c>
      <c r="BD177" s="5">
        <v>0</v>
      </c>
      <c r="BE177" s="5" t="s">
        <v>358</v>
      </c>
      <c r="BF177" s="5">
        <v>0</v>
      </c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>
        <v>30045</v>
      </c>
      <c r="CG177" s="5" t="s">
        <v>366</v>
      </c>
      <c r="CH177" s="5">
        <v>900</v>
      </c>
      <c r="CI177" s="5">
        <v>80</v>
      </c>
      <c r="CJ177" s="5" t="s">
        <v>373</v>
      </c>
      <c r="CK177" s="5">
        <v>1</v>
      </c>
      <c r="CL177" s="5">
        <v>0</v>
      </c>
      <c r="CM177" s="5">
        <v>1</v>
      </c>
      <c r="CN177" s="5">
        <v>700</v>
      </c>
      <c r="CO177" s="5">
        <v>80</v>
      </c>
      <c r="CP177" s="5">
        <v>0</v>
      </c>
      <c r="CQ177" s="5">
        <v>0</v>
      </c>
      <c r="CR177" s="5">
        <v>10370001</v>
      </c>
      <c r="CS177" s="5">
        <v>0</v>
      </c>
      <c r="CT177" s="5">
        <v>0</v>
      </c>
      <c r="CU177" s="5">
        <v>0</v>
      </c>
      <c r="CV177" s="5" t="s">
        <v>355</v>
      </c>
      <c r="CW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/>
      <c r="EX177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/>
      <c r="GW177"/>
      <c r="GX177" s="5">
        <v>200</v>
      </c>
      <c r="GY177" s="5">
        <v>400</v>
      </c>
      <c r="GZ177" s="5" t="s">
        <v>383</v>
      </c>
      <c r="HA177" s="5">
        <v>0</v>
      </c>
      <c r="HB177" s="5">
        <v>0</v>
      </c>
      <c r="HC177" s="5" t="s">
        <v>366</v>
      </c>
      <c r="HD177" s="5" t="b">
        <v>1</v>
      </c>
      <c r="HE177" s="5">
        <v>8000</v>
      </c>
      <c r="HF177" s="5" t="b">
        <v>0</v>
      </c>
      <c r="HG177" s="5">
        <v>0</v>
      </c>
      <c r="HH177" s="5">
        <v>0</v>
      </c>
      <c r="HI177" s="5">
        <v>0</v>
      </c>
      <c r="HJ177" s="5">
        <v>0</v>
      </c>
      <c r="HK177" s="5" t="b">
        <v>0</v>
      </c>
      <c r="HL177" s="5">
        <v>0</v>
      </c>
      <c r="HM177" s="5">
        <v>10001</v>
      </c>
      <c r="HN177" s="5" t="s">
        <v>367</v>
      </c>
      <c r="HO177" s="5" t="s">
        <v>360</v>
      </c>
      <c r="HP177" s="5">
        <v>0</v>
      </c>
      <c r="HQ177" s="5">
        <v>0</v>
      </c>
      <c r="HR177" s="5">
        <v>0</v>
      </c>
      <c r="HS177" s="5">
        <v>0</v>
      </c>
      <c r="HT177" s="5" t="b">
        <v>0</v>
      </c>
    </row>
    <row r="178" spans="1:228">
      <c r="A178"/>
      <c r="B178" s="1">
        <f>10000000+INDEX(编号表!$B$1:$B$112,MATCH(D178,编号表!$A$1:$A$112,0))*10000+I178</f>
        <v>10180002</v>
      </c>
      <c r="C178" s="5" t="s">
        <v>418</v>
      </c>
      <c r="D178" s="5" t="s">
        <v>418</v>
      </c>
      <c r="E178" s="5" t="s">
        <v>348</v>
      </c>
      <c r="F178" s="5" t="s">
        <v>397</v>
      </c>
      <c r="G178" s="5" t="b">
        <v>0</v>
      </c>
      <c r="H178" s="5" t="b">
        <v>0</v>
      </c>
      <c r="I178" s="5">
        <v>2</v>
      </c>
      <c r="J178" s="5">
        <v>101800</v>
      </c>
      <c r="K178" s="5" t="s">
        <v>350</v>
      </c>
      <c r="L178" s="5">
        <v>10180001</v>
      </c>
      <c r="M178" s="5">
        <v>10180003</v>
      </c>
      <c r="N178" s="5" t="s">
        <v>419</v>
      </c>
      <c r="O178" s="5">
        <v>10202017</v>
      </c>
      <c r="P178" s="5">
        <v>0</v>
      </c>
      <c r="Q178" s="5">
        <v>1</v>
      </c>
      <c r="R178" s="5">
        <v>7</v>
      </c>
      <c r="S178" s="5">
        <v>0</v>
      </c>
      <c r="T178" s="5">
        <v>100</v>
      </c>
      <c r="U178" s="5" t="s">
        <v>364</v>
      </c>
      <c r="V178" s="5">
        <v>650</v>
      </c>
      <c r="W178" s="5">
        <v>650</v>
      </c>
      <c r="X178" s="5" t="s">
        <v>352</v>
      </c>
      <c r="Y178" s="5" t="s">
        <v>376</v>
      </c>
      <c r="Z178" s="5" t="s">
        <v>354</v>
      </c>
      <c r="AA178" s="5">
        <v>0</v>
      </c>
      <c r="AB178" s="5">
        <v>1</v>
      </c>
      <c r="AC178" s="5" t="b">
        <v>0</v>
      </c>
      <c r="AD178" s="5" t="s">
        <v>355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 t="s">
        <v>367</v>
      </c>
      <c r="AZ178" s="5">
        <v>10400</v>
      </c>
      <c r="BA178" s="5" t="s">
        <v>371</v>
      </c>
      <c r="BB178" s="5" t="s">
        <v>354</v>
      </c>
      <c r="BC178" s="5">
        <v>10000</v>
      </c>
      <c r="BD178" s="5">
        <v>0</v>
      </c>
      <c r="BE178" s="5" t="s">
        <v>358</v>
      </c>
      <c r="BF178" s="5">
        <v>0</v>
      </c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>
        <v>30045</v>
      </c>
      <c r="CG178" s="5" t="s">
        <v>366</v>
      </c>
      <c r="CH178" s="5">
        <v>900</v>
      </c>
      <c r="CI178" s="5">
        <v>80</v>
      </c>
      <c r="CJ178" s="5" t="s">
        <v>373</v>
      </c>
      <c r="CK178" s="5">
        <v>1</v>
      </c>
      <c r="CL178" s="5">
        <v>0</v>
      </c>
      <c r="CM178" s="5">
        <v>1</v>
      </c>
      <c r="CN178" s="5">
        <v>700</v>
      </c>
      <c r="CO178" s="5">
        <v>80</v>
      </c>
      <c r="CP178" s="5">
        <v>0</v>
      </c>
      <c r="CQ178" s="5">
        <v>0</v>
      </c>
      <c r="CR178" s="5">
        <v>10370002</v>
      </c>
      <c r="CS178" s="5">
        <v>0</v>
      </c>
      <c r="CT178" s="5">
        <v>0</v>
      </c>
      <c r="CU178" s="5">
        <v>0</v>
      </c>
      <c r="CV178" s="5" t="s">
        <v>355</v>
      </c>
      <c r="CW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/>
      <c r="EX178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/>
      <c r="GW178"/>
      <c r="GX178" s="5">
        <v>200</v>
      </c>
      <c r="GY178" s="5">
        <v>400</v>
      </c>
      <c r="GZ178" s="5" t="s">
        <v>383</v>
      </c>
      <c r="HA178" s="5">
        <v>0</v>
      </c>
      <c r="HB178" s="5">
        <v>0</v>
      </c>
      <c r="HC178" s="5" t="s">
        <v>366</v>
      </c>
      <c r="HD178" s="5" t="b">
        <v>1</v>
      </c>
      <c r="HE178" s="5">
        <v>8000</v>
      </c>
      <c r="HF178" s="5" t="b">
        <v>0</v>
      </c>
      <c r="HG178" s="5">
        <v>0</v>
      </c>
      <c r="HH178" s="5">
        <v>0</v>
      </c>
      <c r="HI178" s="5">
        <v>0</v>
      </c>
      <c r="HJ178" s="5">
        <v>0</v>
      </c>
      <c r="HK178" s="5" t="b">
        <v>0</v>
      </c>
      <c r="HL178" s="5">
        <v>0</v>
      </c>
      <c r="HM178" s="5">
        <v>10001</v>
      </c>
      <c r="HN178" s="5" t="s">
        <v>367</v>
      </c>
      <c r="HO178" s="5" t="s">
        <v>360</v>
      </c>
      <c r="HP178" s="5">
        <v>0</v>
      </c>
      <c r="HQ178" s="5">
        <v>0</v>
      </c>
      <c r="HR178" s="5">
        <v>0</v>
      </c>
      <c r="HS178" s="5">
        <v>0</v>
      </c>
      <c r="HT178" s="5" t="b">
        <v>0</v>
      </c>
    </row>
    <row r="179" spans="1:228">
      <c r="A179"/>
      <c r="B179" s="1">
        <f>10000000+INDEX(编号表!$B$1:$B$112,MATCH(D179,编号表!$A$1:$A$112,0))*10000+I179</f>
        <v>10180003</v>
      </c>
      <c r="C179" s="5" t="s">
        <v>418</v>
      </c>
      <c r="D179" s="5" t="s">
        <v>418</v>
      </c>
      <c r="E179" s="5" t="s">
        <v>348</v>
      </c>
      <c r="F179" s="5" t="s">
        <v>397</v>
      </c>
      <c r="G179" s="5" t="b">
        <v>0</v>
      </c>
      <c r="H179" s="5" t="b">
        <v>0</v>
      </c>
      <c r="I179" s="5">
        <v>3</v>
      </c>
      <c r="J179" s="5">
        <v>101800</v>
      </c>
      <c r="K179" s="5" t="s">
        <v>350</v>
      </c>
      <c r="L179" s="5">
        <v>10180002</v>
      </c>
      <c r="M179" s="5">
        <v>10180004</v>
      </c>
      <c r="N179" s="5" t="s">
        <v>419</v>
      </c>
      <c r="O179" s="5">
        <v>10202017</v>
      </c>
      <c r="P179" s="5">
        <v>0</v>
      </c>
      <c r="Q179" s="5">
        <v>2</v>
      </c>
      <c r="R179" s="5">
        <v>11</v>
      </c>
      <c r="S179" s="5">
        <v>0</v>
      </c>
      <c r="T179" s="5">
        <v>100</v>
      </c>
      <c r="U179" s="5" t="s">
        <v>364</v>
      </c>
      <c r="V179" s="5">
        <v>650</v>
      </c>
      <c r="W179" s="5">
        <v>650</v>
      </c>
      <c r="X179" s="5" t="s">
        <v>352</v>
      </c>
      <c r="Y179" s="5" t="s">
        <v>376</v>
      </c>
      <c r="Z179" s="5" t="s">
        <v>354</v>
      </c>
      <c r="AA179" s="5">
        <v>0</v>
      </c>
      <c r="AB179" s="5">
        <v>1</v>
      </c>
      <c r="AC179" s="5" t="b">
        <v>0</v>
      </c>
      <c r="AD179" s="5" t="s">
        <v>355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 t="s">
        <v>367</v>
      </c>
      <c r="AZ179" s="5">
        <v>10800</v>
      </c>
      <c r="BA179" s="5" t="s">
        <v>371</v>
      </c>
      <c r="BB179" s="5" t="s">
        <v>354</v>
      </c>
      <c r="BC179" s="5">
        <v>10000</v>
      </c>
      <c r="BD179" s="5">
        <v>0</v>
      </c>
      <c r="BE179" s="5" t="s">
        <v>358</v>
      </c>
      <c r="BF179" s="5">
        <v>0</v>
      </c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>
        <v>30045</v>
      </c>
      <c r="CG179" s="5" t="s">
        <v>366</v>
      </c>
      <c r="CH179" s="5">
        <v>900</v>
      </c>
      <c r="CI179" s="5">
        <v>80</v>
      </c>
      <c r="CJ179" s="5" t="s">
        <v>373</v>
      </c>
      <c r="CK179" s="5">
        <v>1</v>
      </c>
      <c r="CL179" s="5">
        <v>0</v>
      </c>
      <c r="CM179" s="5">
        <v>1</v>
      </c>
      <c r="CN179" s="5">
        <v>700</v>
      </c>
      <c r="CO179" s="5">
        <v>80</v>
      </c>
      <c r="CP179" s="5">
        <v>0</v>
      </c>
      <c r="CQ179" s="5">
        <v>0</v>
      </c>
      <c r="CR179" s="5">
        <v>10370003</v>
      </c>
      <c r="CS179" s="5">
        <v>0</v>
      </c>
      <c r="CT179" s="5">
        <v>0</v>
      </c>
      <c r="CU179" s="5">
        <v>0</v>
      </c>
      <c r="CV179" s="5" t="s">
        <v>355</v>
      </c>
      <c r="CW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/>
      <c r="EX179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/>
      <c r="GW179"/>
      <c r="GX179" s="5">
        <v>200</v>
      </c>
      <c r="GY179" s="5">
        <v>400</v>
      </c>
      <c r="GZ179" s="5" t="s">
        <v>383</v>
      </c>
      <c r="HA179" s="5">
        <v>0</v>
      </c>
      <c r="HB179" s="5">
        <v>0</v>
      </c>
      <c r="HC179" s="5" t="s">
        <v>366</v>
      </c>
      <c r="HD179" s="5" t="b">
        <v>1</v>
      </c>
      <c r="HE179" s="5">
        <v>8000</v>
      </c>
      <c r="HF179" s="5" t="b">
        <v>0</v>
      </c>
      <c r="HG179" s="5">
        <v>0</v>
      </c>
      <c r="HH179" s="5">
        <v>0</v>
      </c>
      <c r="HI179" s="5">
        <v>0</v>
      </c>
      <c r="HJ179" s="5">
        <v>0</v>
      </c>
      <c r="HK179" s="5" t="b">
        <v>0</v>
      </c>
      <c r="HL179" s="5">
        <v>0</v>
      </c>
      <c r="HM179" s="5">
        <v>10001</v>
      </c>
      <c r="HN179" s="5" t="s">
        <v>367</v>
      </c>
      <c r="HO179" s="5" t="s">
        <v>360</v>
      </c>
      <c r="HP179" s="5">
        <v>0</v>
      </c>
      <c r="HQ179" s="5">
        <v>0</v>
      </c>
      <c r="HR179" s="5">
        <v>0</v>
      </c>
      <c r="HS179" s="5">
        <v>0</v>
      </c>
      <c r="HT179" s="5" t="b">
        <v>0</v>
      </c>
    </row>
    <row r="180" spans="1:228">
      <c r="A180"/>
      <c r="B180" s="1">
        <f>10000000+INDEX(编号表!$B$1:$B$112,MATCH(D180,编号表!$A$1:$A$112,0))*10000+I180</f>
        <v>10180004</v>
      </c>
      <c r="C180" s="5" t="s">
        <v>418</v>
      </c>
      <c r="D180" s="5" t="s">
        <v>418</v>
      </c>
      <c r="E180" s="5" t="s">
        <v>348</v>
      </c>
      <c r="F180" s="5" t="s">
        <v>397</v>
      </c>
      <c r="G180" s="5" t="b">
        <v>0</v>
      </c>
      <c r="H180" s="5" t="b">
        <v>0</v>
      </c>
      <c r="I180" s="5">
        <v>4</v>
      </c>
      <c r="J180" s="5">
        <v>101800</v>
      </c>
      <c r="K180" s="5" t="s">
        <v>350</v>
      </c>
      <c r="L180" s="5">
        <v>10180003</v>
      </c>
      <c r="M180" s="5">
        <v>10180005</v>
      </c>
      <c r="N180" s="5" t="s">
        <v>419</v>
      </c>
      <c r="O180" s="5">
        <v>10202017</v>
      </c>
      <c r="P180" s="5">
        <v>0</v>
      </c>
      <c r="Q180" s="5">
        <v>3</v>
      </c>
      <c r="R180" s="5">
        <v>16</v>
      </c>
      <c r="S180" s="5">
        <v>0</v>
      </c>
      <c r="T180" s="5">
        <v>100</v>
      </c>
      <c r="U180" s="5" t="s">
        <v>364</v>
      </c>
      <c r="V180" s="5">
        <v>650</v>
      </c>
      <c r="W180" s="5">
        <v>650</v>
      </c>
      <c r="X180" s="5" t="s">
        <v>352</v>
      </c>
      <c r="Y180" s="5" t="s">
        <v>376</v>
      </c>
      <c r="Z180" s="5" t="s">
        <v>354</v>
      </c>
      <c r="AA180" s="5">
        <v>0</v>
      </c>
      <c r="AB180" s="5">
        <v>1</v>
      </c>
      <c r="AC180" s="5" t="b">
        <v>0</v>
      </c>
      <c r="AD180" s="5" t="s">
        <v>355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 t="s">
        <v>367</v>
      </c>
      <c r="AZ180" s="5">
        <v>11200</v>
      </c>
      <c r="BA180" s="5" t="s">
        <v>371</v>
      </c>
      <c r="BB180" s="5" t="s">
        <v>354</v>
      </c>
      <c r="BC180" s="5">
        <v>10000</v>
      </c>
      <c r="BD180" s="5">
        <v>0</v>
      </c>
      <c r="BE180" s="5" t="s">
        <v>358</v>
      </c>
      <c r="BF180" s="5">
        <v>0</v>
      </c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>
        <v>30045</v>
      </c>
      <c r="CG180" s="5" t="s">
        <v>366</v>
      </c>
      <c r="CH180" s="5">
        <v>900</v>
      </c>
      <c r="CI180" s="5">
        <v>80</v>
      </c>
      <c r="CJ180" s="5" t="s">
        <v>373</v>
      </c>
      <c r="CK180" s="5">
        <v>1</v>
      </c>
      <c r="CL180" s="5">
        <v>0</v>
      </c>
      <c r="CM180" s="5">
        <v>1</v>
      </c>
      <c r="CN180" s="5">
        <v>700</v>
      </c>
      <c r="CO180" s="5">
        <v>80</v>
      </c>
      <c r="CP180" s="5">
        <v>0</v>
      </c>
      <c r="CQ180" s="5">
        <v>0</v>
      </c>
      <c r="CR180" s="5">
        <v>10370004</v>
      </c>
      <c r="CS180" s="5">
        <v>0</v>
      </c>
      <c r="CT180" s="5">
        <v>0</v>
      </c>
      <c r="CU180" s="5">
        <v>0</v>
      </c>
      <c r="CV180" s="5" t="s">
        <v>355</v>
      </c>
      <c r="CW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/>
      <c r="EX180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/>
      <c r="GW180"/>
      <c r="GX180" s="5">
        <v>200</v>
      </c>
      <c r="GY180" s="5">
        <v>400</v>
      </c>
      <c r="GZ180" s="5" t="s">
        <v>383</v>
      </c>
      <c r="HA180" s="5">
        <v>0</v>
      </c>
      <c r="HB180" s="5">
        <v>0</v>
      </c>
      <c r="HC180" s="5" t="s">
        <v>366</v>
      </c>
      <c r="HD180" s="5" t="b">
        <v>1</v>
      </c>
      <c r="HE180" s="5">
        <v>8000</v>
      </c>
      <c r="HF180" s="5" t="b">
        <v>0</v>
      </c>
      <c r="HG180" s="5">
        <v>0</v>
      </c>
      <c r="HH180" s="5">
        <v>0</v>
      </c>
      <c r="HI180" s="5">
        <v>0</v>
      </c>
      <c r="HJ180" s="5">
        <v>0</v>
      </c>
      <c r="HK180" s="5" t="b">
        <v>0</v>
      </c>
      <c r="HL180" s="5">
        <v>0</v>
      </c>
      <c r="HM180" s="5">
        <v>10001</v>
      </c>
      <c r="HN180" s="5" t="s">
        <v>367</v>
      </c>
      <c r="HO180" s="5" t="s">
        <v>360</v>
      </c>
      <c r="HP180" s="5">
        <v>0</v>
      </c>
      <c r="HQ180" s="5">
        <v>0</v>
      </c>
      <c r="HR180" s="5">
        <v>0</v>
      </c>
      <c r="HS180" s="5">
        <v>0</v>
      </c>
      <c r="HT180" s="5" t="b">
        <v>0</v>
      </c>
    </row>
    <row r="181" spans="1:228">
      <c r="A181"/>
      <c r="B181" s="1">
        <f>10000000+INDEX(编号表!$B$1:$B$112,MATCH(D181,编号表!$A$1:$A$112,0))*10000+I181</f>
        <v>10180005</v>
      </c>
      <c r="C181" s="5" t="s">
        <v>418</v>
      </c>
      <c r="D181" s="5" t="s">
        <v>418</v>
      </c>
      <c r="E181" s="5" t="s">
        <v>348</v>
      </c>
      <c r="F181" s="5" t="s">
        <v>397</v>
      </c>
      <c r="G181" s="5" t="b">
        <v>0</v>
      </c>
      <c r="H181" s="5" t="b">
        <v>0</v>
      </c>
      <c r="I181" s="5">
        <v>5</v>
      </c>
      <c r="J181" s="5">
        <v>101800</v>
      </c>
      <c r="K181" s="5" t="s">
        <v>350</v>
      </c>
      <c r="L181" s="5">
        <v>10180004</v>
      </c>
      <c r="M181" s="5">
        <v>10180006</v>
      </c>
      <c r="N181" s="5" t="s">
        <v>419</v>
      </c>
      <c r="O181" s="5">
        <v>10202017</v>
      </c>
      <c r="P181" s="5">
        <v>0</v>
      </c>
      <c r="Q181" s="5">
        <v>3</v>
      </c>
      <c r="R181" s="5">
        <v>25</v>
      </c>
      <c r="S181" s="5">
        <v>0</v>
      </c>
      <c r="T181" s="5">
        <v>100</v>
      </c>
      <c r="U181" s="5" t="s">
        <v>364</v>
      </c>
      <c r="V181" s="5">
        <v>650</v>
      </c>
      <c r="W181" s="5">
        <v>650</v>
      </c>
      <c r="X181" s="5" t="s">
        <v>352</v>
      </c>
      <c r="Y181" s="5" t="s">
        <v>376</v>
      </c>
      <c r="Z181" s="5" t="s">
        <v>354</v>
      </c>
      <c r="AA181" s="5">
        <v>0</v>
      </c>
      <c r="AB181" s="5">
        <v>1</v>
      </c>
      <c r="AC181" s="5" t="b">
        <v>0</v>
      </c>
      <c r="AD181" s="5" t="s">
        <v>355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 t="s">
        <v>367</v>
      </c>
      <c r="AZ181" s="5">
        <v>11300</v>
      </c>
      <c r="BA181" s="5" t="s">
        <v>371</v>
      </c>
      <c r="BB181" s="5" t="s">
        <v>354</v>
      </c>
      <c r="BC181" s="5">
        <v>10000</v>
      </c>
      <c r="BD181" s="5">
        <v>0</v>
      </c>
      <c r="BE181" s="5" t="s">
        <v>358</v>
      </c>
      <c r="BF181" s="5">
        <v>0</v>
      </c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>
        <v>30045</v>
      </c>
      <c r="CG181" s="5" t="s">
        <v>366</v>
      </c>
      <c r="CH181" s="5">
        <v>900</v>
      </c>
      <c r="CI181" s="5">
        <v>80</v>
      </c>
      <c r="CJ181" s="5" t="s">
        <v>373</v>
      </c>
      <c r="CK181" s="5">
        <v>1</v>
      </c>
      <c r="CL181" s="5">
        <v>0</v>
      </c>
      <c r="CM181" s="5">
        <v>1</v>
      </c>
      <c r="CN181" s="5">
        <v>700</v>
      </c>
      <c r="CO181" s="5">
        <v>80</v>
      </c>
      <c r="CP181" s="5">
        <v>0</v>
      </c>
      <c r="CQ181" s="5">
        <v>0</v>
      </c>
      <c r="CR181" s="5">
        <v>10370005</v>
      </c>
      <c r="CS181" s="5">
        <v>0</v>
      </c>
      <c r="CT181" s="5">
        <v>0</v>
      </c>
      <c r="CU181" s="5">
        <v>0</v>
      </c>
      <c r="CV181" s="5" t="s">
        <v>355</v>
      </c>
      <c r="CW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/>
      <c r="EX181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/>
      <c r="GW181"/>
      <c r="GX181" s="5">
        <v>200</v>
      </c>
      <c r="GY181" s="5">
        <v>400</v>
      </c>
      <c r="GZ181" s="5" t="s">
        <v>383</v>
      </c>
      <c r="HA181" s="5">
        <v>0</v>
      </c>
      <c r="HB181" s="5">
        <v>0</v>
      </c>
      <c r="HC181" s="5" t="s">
        <v>366</v>
      </c>
      <c r="HD181" s="5" t="b">
        <v>1</v>
      </c>
      <c r="HE181" s="5">
        <v>8000</v>
      </c>
      <c r="HF181" s="5" t="b">
        <v>0</v>
      </c>
      <c r="HG181" s="5">
        <v>0</v>
      </c>
      <c r="HH181" s="5">
        <v>0</v>
      </c>
      <c r="HI181" s="5">
        <v>0</v>
      </c>
      <c r="HJ181" s="5">
        <v>0</v>
      </c>
      <c r="HK181" s="5" t="b">
        <v>0</v>
      </c>
      <c r="HL181" s="5">
        <v>0</v>
      </c>
      <c r="HM181" s="5">
        <v>10001</v>
      </c>
      <c r="HN181" s="5" t="s">
        <v>367</v>
      </c>
      <c r="HO181" s="5" t="s">
        <v>360</v>
      </c>
      <c r="HP181" s="5">
        <v>0</v>
      </c>
      <c r="HQ181" s="5">
        <v>0</v>
      </c>
      <c r="HR181" s="5">
        <v>0</v>
      </c>
      <c r="HS181" s="5">
        <v>0</v>
      </c>
      <c r="HT181" s="5" t="b">
        <v>0</v>
      </c>
    </row>
    <row r="182" spans="1:228">
      <c r="A182"/>
      <c r="B182" s="1">
        <f>10000000+INDEX(编号表!$B$1:$B$112,MATCH(D182,编号表!$A$1:$A$112,0))*10000+I182</f>
        <v>10180006</v>
      </c>
      <c r="C182" s="5" t="s">
        <v>418</v>
      </c>
      <c r="D182" s="5" t="s">
        <v>418</v>
      </c>
      <c r="E182" s="5" t="s">
        <v>348</v>
      </c>
      <c r="F182" s="5" t="s">
        <v>397</v>
      </c>
      <c r="G182" s="5" t="b">
        <v>0</v>
      </c>
      <c r="H182" s="5" t="b">
        <v>0</v>
      </c>
      <c r="I182" s="5">
        <v>6</v>
      </c>
      <c r="J182" s="5">
        <v>101800</v>
      </c>
      <c r="K182" s="5" t="s">
        <v>350</v>
      </c>
      <c r="L182" s="5">
        <v>10180005</v>
      </c>
      <c r="M182" s="5">
        <v>10180007</v>
      </c>
      <c r="N182" s="5" t="s">
        <v>419</v>
      </c>
      <c r="O182" s="5">
        <v>10202017</v>
      </c>
      <c r="P182" s="5">
        <v>0</v>
      </c>
      <c r="Q182" s="5">
        <v>3</v>
      </c>
      <c r="R182" s="5">
        <v>30</v>
      </c>
      <c r="S182" s="5">
        <v>0</v>
      </c>
      <c r="T182" s="5">
        <v>100</v>
      </c>
      <c r="U182" s="5" t="s">
        <v>364</v>
      </c>
      <c r="V182" s="5">
        <v>650</v>
      </c>
      <c r="W182" s="5">
        <v>650</v>
      </c>
      <c r="X182" s="5" t="s">
        <v>352</v>
      </c>
      <c r="Y182" s="5" t="s">
        <v>376</v>
      </c>
      <c r="Z182" s="5" t="s">
        <v>354</v>
      </c>
      <c r="AA182" s="5">
        <v>0</v>
      </c>
      <c r="AB182" s="5">
        <v>1</v>
      </c>
      <c r="AC182" s="5" t="b">
        <v>0</v>
      </c>
      <c r="AD182" s="5" t="s">
        <v>355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 t="s">
        <v>367</v>
      </c>
      <c r="AZ182" s="5">
        <v>11600</v>
      </c>
      <c r="BA182" s="5" t="s">
        <v>371</v>
      </c>
      <c r="BB182" s="5" t="s">
        <v>354</v>
      </c>
      <c r="BC182" s="5">
        <v>10000</v>
      </c>
      <c r="BD182" s="5">
        <v>0</v>
      </c>
      <c r="BE182" s="5" t="s">
        <v>358</v>
      </c>
      <c r="BF182" s="5">
        <v>0</v>
      </c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>
        <v>30045</v>
      </c>
      <c r="CG182" s="5" t="s">
        <v>366</v>
      </c>
      <c r="CH182" s="5">
        <v>900</v>
      </c>
      <c r="CI182" s="5">
        <v>80</v>
      </c>
      <c r="CJ182" s="5" t="s">
        <v>373</v>
      </c>
      <c r="CK182" s="5">
        <v>1</v>
      </c>
      <c r="CL182" s="5">
        <v>0</v>
      </c>
      <c r="CM182" s="5">
        <v>1</v>
      </c>
      <c r="CN182" s="5">
        <v>700</v>
      </c>
      <c r="CO182" s="5">
        <v>80</v>
      </c>
      <c r="CP182" s="5">
        <v>0</v>
      </c>
      <c r="CQ182" s="5">
        <v>0</v>
      </c>
      <c r="CR182" s="5">
        <v>10370006</v>
      </c>
      <c r="CS182" s="5">
        <v>0</v>
      </c>
      <c r="CT182" s="5">
        <v>0</v>
      </c>
      <c r="CU182" s="5">
        <v>0</v>
      </c>
      <c r="CV182" s="5" t="s">
        <v>355</v>
      </c>
      <c r="CW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/>
      <c r="EX182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/>
      <c r="GW182"/>
      <c r="GX182" s="5">
        <v>200</v>
      </c>
      <c r="GY182" s="5">
        <v>400</v>
      </c>
      <c r="GZ182" s="5" t="s">
        <v>383</v>
      </c>
      <c r="HA182" s="5">
        <v>0</v>
      </c>
      <c r="HB182" s="5">
        <v>0</v>
      </c>
      <c r="HC182" s="5" t="s">
        <v>366</v>
      </c>
      <c r="HD182" s="5" t="b">
        <v>1</v>
      </c>
      <c r="HE182" s="5">
        <v>8000</v>
      </c>
      <c r="HF182" s="5" t="b">
        <v>0</v>
      </c>
      <c r="HG182" s="5">
        <v>0</v>
      </c>
      <c r="HH182" s="5">
        <v>0</v>
      </c>
      <c r="HI182" s="5">
        <v>0</v>
      </c>
      <c r="HJ182" s="5">
        <v>0</v>
      </c>
      <c r="HK182" s="5" t="b">
        <v>0</v>
      </c>
      <c r="HL182" s="5">
        <v>0</v>
      </c>
      <c r="HM182" s="5">
        <v>10001</v>
      </c>
      <c r="HN182" s="5" t="s">
        <v>367</v>
      </c>
      <c r="HO182" s="5" t="s">
        <v>360</v>
      </c>
      <c r="HP182" s="5">
        <v>0</v>
      </c>
      <c r="HQ182" s="5">
        <v>0</v>
      </c>
      <c r="HR182" s="5">
        <v>0</v>
      </c>
      <c r="HS182" s="5">
        <v>0</v>
      </c>
      <c r="HT182" s="5" t="b">
        <v>0</v>
      </c>
    </row>
    <row r="183" spans="1:228">
      <c r="A183"/>
      <c r="B183" s="1">
        <f>10000000+INDEX(编号表!$B$1:$B$112,MATCH(D183,编号表!$A$1:$A$112,0))*10000+I183</f>
        <v>10180007</v>
      </c>
      <c r="C183" s="5" t="s">
        <v>418</v>
      </c>
      <c r="D183" s="5" t="s">
        <v>418</v>
      </c>
      <c r="E183" s="5" t="s">
        <v>348</v>
      </c>
      <c r="F183" s="5" t="s">
        <v>397</v>
      </c>
      <c r="G183" s="5" t="b">
        <v>0</v>
      </c>
      <c r="H183" s="5" t="b">
        <v>0</v>
      </c>
      <c r="I183" s="5">
        <v>7</v>
      </c>
      <c r="J183" s="5">
        <v>101800</v>
      </c>
      <c r="K183" s="5" t="s">
        <v>350</v>
      </c>
      <c r="L183" s="5">
        <v>10180006</v>
      </c>
      <c r="M183" s="5">
        <v>10180008</v>
      </c>
      <c r="N183" s="5" t="s">
        <v>419</v>
      </c>
      <c r="O183" s="5">
        <v>10202017</v>
      </c>
      <c r="P183" s="5">
        <v>0</v>
      </c>
      <c r="Q183" s="5">
        <v>3</v>
      </c>
      <c r="R183" s="5">
        <v>35</v>
      </c>
      <c r="S183" s="5">
        <v>0</v>
      </c>
      <c r="T183" s="5">
        <v>100</v>
      </c>
      <c r="U183" s="5" t="s">
        <v>364</v>
      </c>
      <c r="V183" s="5">
        <v>650</v>
      </c>
      <c r="W183" s="5">
        <v>650</v>
      </c>
      <c r="X183" s="5" t="s">
        <v>352</v>
      </c>
      <c r="Y183" s="5" t="s">
        <v>376</v>
      </c>
      <c r="Z183" s="5" t="s">
        <v>354</v>
      </c>
      <c r="AA183" s="5">
        <v>0</v>
      </c>
      <c r="AB183" s="5">
        <v>1</v>
      </c>
      <c r="AC183" s="5" t="b">
        <v>0</v>
      </c>
      <c r="AD183" s="5" t="s">
        <v>355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 t="s">
        <v>367</v>
      </c>
      <c r="AZ183" s="5">
        <v>11700</v>
      </c>
      <c r="BA183" s="5" t="s">
        <v>371</v>
      </c>
      <c r="BB183" s="5" t="s">
        <v>354</v>
      </c>
      <c r="BC183" s="5">
        <v>10000</v>
      </c>
      <c r="BD183" s="5">
        <v>0</v>
      </c>
      <c r="BE183" s="5" t="s">
        <v>358</v>
      </c>
      <c r="BF183" s="5">
        <v>0</v>
      </c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>
        <v>30045</v>
      </c>
      <c r="CG183" s="5" t="s">
        <v>366</v>
      </c>
      <c r="CH183" s="5">
        <v>900</v>
      </c>
      <c r="CI183" s="5">
        <v>80</v>
      </c>
      <c r="CJ183" s="5" t="s">
        <v>373</v>
      </c>
      <c r="CK183" s="5">
        <v>1</v>
      </c>
      <c r="CL183" s="5">
        <v>0</v>
      </c>
      <c r="CM183" s="5">
        <v>1</v>
      </c>
      <c r="CN183" s="5">
        <v>700</v>
      </c>
      <c r="CO183" s="5">
        <v>80</v>
      </c>
      <c r="CP183" s="5">
        <v>0</v>
      </c>
      <c r="CQ183" s="5">
        <v>0</v>
      </c>
      <c r="CR183" s="5">
        <v>10370007</v>
      </c>
      <c r="CS183" s="5">
        <v>0</v>
      </c>
      <c r="CT183" s="5">
        <v>0</v>
      </c>
      <c r="CU183" s="5">
        <v>0</v>
      </c>
      <c r="CV183" s="5" t="s">
        <v>355</v>
      </c>
      <c r="CW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/>
      <c r="EX183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/>
      <c r="GW183"/>
      <c r="GX183" s="5">
        <v>200</v>
      </c>
      <c r="GY183" s="5">
        <v>400</v>
      </c>
      <c r="GZ183" s="5" t="s">
        <v>383</v>
      </c>
      <c r="HA183" s="5">
        <v>0</v>
      </c>
      <c r="HB183" s="5">
        <v>0</v>
      </c>
      <c r="HC183" s="5" t="s">
        <v>366</v>
      </c>
      <c r="HD183" s="5" t="b">
        <v>1</v>
      </c>
      <c r="HE183" s="5">
        <v>8000</v>
      </c>
      <c r="HF183" s="5" t="b">
        <v>0</v>
      </c>
      <c r="HG183" s="5">
        <v>0</v>
      </c>
      <c r="HH183" s="5">
        <v>0</v>
      </c>
      <c r="HI183" s="5">
        <v>0</v>
      </c>
      <c r="HJ183" s="5">
        <v>0</v>
      </c>
      <c r="HK183" s="5" t="b">
        <v>0</v>
      </c>
      <c r="HL183" s="5">
        <v>0</v>
      </c>
      <c r="HM183" s="5">
        <v>10001</v>
      </c>
      <c r="HN183" s="5" t="s">
        <v>367</v>
      </c>
      <c r="HO183" s="5" t="s">
        <v>360</v>
      </c>
      <c r="HP183" s="5">
        <v>0</v>
      </c>
      <c r="HQ183" s="5">
        <v>0</v>
      </c>
      <c r="HR183" s="5">
        <v>0</v>
      </c>
      <c r="HS183" s="5">
        <v>0</v>
      </c>
      <c r="HT183" s="5" t="b">
        <v>0</v>
      </c>
    </row>
    <row r="184" spans="1:228">
      <c r="A184"/>
      <c r="B184" s="1">
        <f>10000000+INDEX(编号表!$B$1:$B$112,MATCH(D184,编号表!$A$1:$A$112,0))*10000+I184</f>
        <v>10180008</v>
      </c>
      <c r="C184" s="5" t="s">
        <v>418</v>
      </c>
      <c r="D184" s="5" t="s">
        <v>418</v>
      </c>
      <c r="E184" s="5" t="s">
        <v>348</v>
      </c>
      <c r="F184" s="5" t="s">
        <v>397</v>
      </c>
      <c r="G184" s="5" t="b">
        <v>0</v>
      </c>
      <c r="H184" s="5" t="b">
        <v>0</v>
      </c>
      <c r="I184" s="5">
        <v>8</v>
      </c>
      <c r="J184" s="5">
        <v>101800</v>
      </c>
      <c r="K184" s="5" t="s">
        <v>350</v>
      </c>
      <c r="L184" s="5">
        <v>10180007</v>
      </c>
      <c r="M184" s="5">
        <v>10180009</v>
      </c>
      <c r="N184" s="5" t="s">
        <v>419</v>
      </c>
      <c r="O184" s="5">
        <v>10202017</v>
      </c>
      <c r="P184" s="5">
        <v>0</v>
      </c>
      <c r="Q184" s="5">
        <v>3</v>
      </c>
      <c r="R184" s="5">
        <v>35</v>
      </c>
      <c r="S184" s="5">
        <v>0</v>
      </c>
      <c r="T184" s="5">
        <v>100</v>
      </c>
      <c r="U184" s="5" t="s">
        <v>364</v>
      </c>
      <c r="V184" s="5">
        <v>650</v>
      </c>
      <c r="W184" s="5">
        <v>650</v>
      </c>
      <c r="X184" s="5" t="s">
        <v>352</v>
      </c>
      <c r="Y184" s="5" t="s">
        <v>376</v>
      </c>
      <c r="Z184" s="5" t="s">
        <v>354</v>
      </c>
      <c r="AA184" s="5">
        <v>0</v>
      </c>
      <c r="AB184" s="5">
        <v>1</v>
      </c>
      <c r="AC184" s="5" t="b">
        <v>0</v>
      </c>
      <c r="AD184" s="5" t="s">
        <v>355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 t="s">
        <v>367</v>
      </c>
      <c r="AZ184" s="5">
        <v>11800</v>
      </c>
      <c r="BA184" s="5" t="s">
        <v>371</v>
      </c>
      <c r="BB184" s="5" t="s">
        <v>354</v>
      </c>
      <c r="BC184" s="5">
        <v>10000</v>
      </c>
      <c r="BD184" s="5">
        <v>0</v>
      </c>
      <c r="BE184" s="5" t="s">
        <v>358</v>
      </c>
      <c r="BF184" s="5">
        <v>0</v>
      </c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>
        <v>30045</v>
      </c>
      <c r="CG184" s="5" t="s">
        <v>366</v>
      </c>
      <c r="CH184" s="5">
        <v>900</v>
      </c>
      <c r="CI184" s="5">
        <v>80</v>
      </c>
      <c r="CJ184" s="5" t="s">
        <v>373</v>
      </c>
      <c r="CK184" s="5">
        <v>1</v>
      </c>
      <c r="CL184" s="5">
        <v>0</v>
      </c>
      <c r="CM184" s="5">
        <v>1</v>
      </c>
      <c r="CN184" s="5">
        <v>700</v>
      </c>
      <c r="CO184" s="5">
        <v>80</v>
      </c>
      <c r="CP184" s="5">
        <v>0</v>
      </c>
      <c r="CQ184" s="5">
        <v>0</v>
      </c>
      <c r="CR184" s="5">
        <v>10370008</v>
      </c>
      <c r="CS184" s="5">
        <v>0</v>
      </c>
      <c r="CT184" s="5">
        <v>0</v>
      </c>
      <c r="CU184" s="5">
        <v>0</v>
      </c>
      <c r="CV184" s="5" t="s">
        <v>355</v>
      </c>
      <c r="CW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/>
      <c r="EX184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/>
      <c r="GW184"/>
      <c r="GX184" s="5">
        <v>200</v>
      </c>
      <c r="GY184" s="5">
        <v>400</v>
      </c>
      <c r="GZ184" s="5" t="s">
        <v>383</v>
      </c>
      <c r="HA184" s="5">
        <v>0</v>
      </c>
      <c r="HB184" s="5">
        <v>0</v>
      </c>
      <c r="HC184" s="5" t="s">
        <v>366</v>
      </c>
      <c r="HD184" s="5" t="b">
        <v>1</v>
      </c>
      <c r="HE184" s="5">
        <v>8000</v>
      </c>
      <c r="HF184" s="5" t="b">
        <v>0</v>
      </c>
      <c r="HG184" s="5">
        <v>0</v>
      </c>
      <c r="HH184" s="5">
        <v>0</v>
      </c>
      <c r="HI184" s="5">
        <v>0</v>
      </c>
      <c r="HJ184" s="5">
        <v>0</v>
      </c>
      <c r="HK184" s="5" t="b">
        <v>0</v>
      </c>
      <c r="HL184" s="5">
        <v>0</v>
      </c>
      <c r="HM184" s="5">
        <v>10001</v>
      </c>
      <c r="HN184" s="5" t="s">
        <v>367</v>
      </c>
      <c r="HO184" s="5" t="s">
        <v>360</v>
      </c>
      <c r="HP184" s="5">
        <v>0</v>
      </c>
      <c r="HQ184" s="5">
        <v>0</v>
      </c>
      <c r="HR184" s="5">
        <v>0</v>
      </c>
      <c r="HS184" s="5">
        <v>0</v>
      </c>
      <c r="HT184" s="5" t="b">
        <v>0</v>
      </c>
    </row>
    <row r="185" spans="1:228">
      <c r="A185"/>
      <c r="B185" s="1">
        <f>10000000+INDEX(编号表!$B$1:$B$112,MATCH(D185,编号表!$A$1:$A$112,0))*10000+I185</f>
        <v>10180009</v>
      </c>
      <c r="C185" s="5" t="s">
        <v>418</v>
      </c>
      <c r="D185" s="5" t="s">
        <v>418</v>
      </c>
      <c r="E185" s="5" t="s">
        <v>348</v>
      </c>
      <c r="F185" s="5" t="s">
        <v>397</v>
      </c>
      <c r="G185" s="5" t="b">
        <v>0</v>
      </c>
      <c r="H185" s="5" t="b">
        <v>0</v>
      </c>
      <c r="I185" s="5">
        <v>9</v>
      </c>
      <c r="J185" s="5">
        <v>101800</v>
      </c>
      <c r="K185" s="5" t="s">
        <v>350</v>
      </c>
      <c r="L185" s="5">
        <v>10180008</v>
      </c>
      <c r="M185" s="5">
        <v>10180010</v>
      </c>
      <c r="N185" s="5" t="s">
        <v>419</v>
      </c>
      <c r="O185" s="5">
        <v>10202017</v>
      </c>
      <c r="P185" s="5">
        <v>0</v>
      </c>
      <c r="Q185" s="5">
        <v>3</v>
      </c>
      <c r="R185" s="5">
        <v>40</v>
      </c>
      <c r="S185" s="5">
        <v>0</v>
      </c>
      <c r="T185" s="5">
        <v>100</v>
      </c>
      <c r="U185" s="5" t="s">
        <v>364</v>
      </c>
      <c r="V185" s="5">
        <v>650</v>
      </c>
      <c r="W185" s="5">
        <v>650</v>
      </c>
      <c r="X185" s="5" t="s">
        <v>352</v>
      </c>
      <c r="Y185" s="5" t="s">
        <v>376</v>
      </c>
      <c r="Z185" s="5" t="s">
        <v>354</v>
      </c>
      <c r="AA185" s="5">
        <v>0</v>
      </c>
      <c r="AB185" s="5">
        <v>1</v>
      </c>
      <c r="AC185" s="5" t="b">
        <v>0</v>
      </c>
      <c r="AD185" s="5" t="s">
        <v>355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 t="s">
        <v>367</v>
      </c>
      <c r="AZ185" s="5">
        <v>11900</v>
      </c>
      <c r="BA185" s="5" t="s">
        <v>371</v>
      </c>
      <c r="BB185" s="5" t="s">
        <v>354</v>
      </c>
      <c r="BC185" s="5">
        <v>10000</v>
      </c>
      <c r="BD185" s="5">
        <v>0</v>
      </c>
      <c r="BE185" s="5" t="s">
        <v>358</v>
      </c>
      <c r="BF185" s="5">
        <v>0</v>
      </c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>
        <v>30045</v>
      </c>
      <c r="CG185" s="5" t="s">
        <v>366</v>
      </c>
      <c r="CH185" s="5">
        <v>900</v>
      </c>
      <c r="CI185" s="5">
        <v>80</v>
      </c>
      <c r="CJ185" s="5" t="s">
        <v>373</v>
      </c>
      <c r="CK185" s="5">
        <v>1</v>
      </c>
      <c r="CL185" s="5">
        <v>0</v>
      </c>
      <c r="CM185" s="5">
        <v>1</v>
      </c>
      <c r="CN185" s="5">
        <v>700</v>
      </c>
      <c r="CO185" s="5">
        <v>80</v>
      </c>
      <c r="CP185" s="5">
        <v>0</v>
      </c>
      <c r="CQ185" s="5">
        <v>0</v>
      </c>
      <c r="CR185" s="5">
        <v>10370009</v>
      </c>
      <c r="CS185" s="5">
        <v>0</v>
      </c>
      <c r="CT185" s="5">
        <v>0</v>
      </c>
      <c r="CU185" s="5">
        <v>0</v>
      </c>
      <c r="CV185" s="5" t="s">
        <v>355</v>
      </c>
      <c r="CW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/>
      <c r="EX18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/>
      <c r="GW185"/>
      <c r="GX185" s="5">
        <v>200</v>
      </c>
      <c r="GY185" s="5">
        <v>400</v>
      </c>
      <c r="GZ185" s="5" t="s">
        <v>383</v>
      </c>
      <c r="HA185" s="5">
        <v>0</v>
      </c>
      <c r="HB185" s="5">
        <v>0</v>
      </c>
      <c r="HC185" s="5" t="s">
        <v>366</v>
      </c>
      <c r="HD185" s="5" t="b">
        <v>1</v>
      </c>
      <c r="HE185" s="5">
        <v>8000</v>
      </c>
      <c r="HF185" s="5" t="b">
        <v>0</v>
      </c>
      <c r="HG185" s="5">
        <v>0</v>
      </c>
      <c r="HH185" s="5">
        <v>0</v>
      </c>
      <c r="HI185" s="5">
        <v>0</v>
      </c>
      <c r="HJ185" s="5">
        <v>0</v>
      </c>
      <c r="HK185" s="5" t="b">
        <v>0</v>
      </c>
      <c r="HL185" s="5">
        <v>0</v>
      </c>
      <c r="HM185" s="5">
        <v>10001</v>
      </c>
      <c r="HN185" s="5" t="s">
        <v>367</v>
      </c>
      <c r="HO185" s="5" t="s">
        <v>360</v>
      </c>
      <c r="HP185" s="5">
        <v>0</v>
      </c>
      <c r="HQ185" s="5">
        <v>0</v>
      </c>
      <c r="HR185" s="5">
        <v>0</v>
      </c>
      <c r="HS185" s="5">
        <v>0</v>
      </c>
      <c r="HT185" s="5" t="b">
        <v>0</v>
      </c>
    </row>
    <row r="186" spans="1:228">
      <c r="A186"/>
      <c r="B186" s="1">
        <f>10000000+INDEX(编号表!$B$1:$B$112,MATCH(D186,编号表!$A$1:$A$112,0))*10000+I186</f>
        <v>10180010</v>
      </c>
      <c r="C186" s="5" t="s">
        <v>418</v>
      </c>
      <c r="D186" s="5" t="s">
        <v>418</v>
      </c>
      <c r="E186" s="5" t="s">
        <v>348</v>
      </c>
      <c r="F186" s="5" t="s">
        <v>397</v>
      </c>
      <c r="G186" s="5" t="b">
        <v>0</v>
      </c>
      <c r="H186" s="5" t="b">
        <v>0</v>
      </c>
      <c r="I186" s="5">
        <v>10</v>
      </c>
      <c r="J186" s="5">
        <v>101800</v>
      </c>
      <c r="K186" s="5" t="s">
        <v>350</v>
      </c>
      <c r="L186" s="5">
        <v>10180009</v>
      </c>
      <c r="M186" s="5">
        <v>0</v>
      </c>
      <c r="N186" s="5" t="s">
        <v>419</v>
      </c>
      <c r="O186" s="5">
        <v>10202017</v>
      </c>
      <c r="P186" s="5">
        <v>0</v>
      </c>
      <c r="Q186" s="5">
        <v>3</v>
      </c>
      <c r="R186" s="5">
        <v>40</v>
      </c>
      <c r="S186" s="5">
        <v>0</v>
      </c>
      <c r="T186" s="5">
        <v>0</v>
      </c>
      <c r="U186" s="5" t="s">
        <v>364</v>
      </c>
      <c r="V186" s="5">
        <v>650</v>
      </c>
      <c r="W186" s="5">
        <v>650</v>
      </c>
      <c r="X186" s="5" t="s">
        <v>352</v>
      </c>
      <c r="Y186" s="5" t="s">
        <v>376</v>
      </c>
      <c r="Z186" s="5" t="s">
        <v>354</v>
      </c>
      <c r="AA186" s="5">
        <v>0</v>
      </c>
      <c r="AB186" s="5">
        <v>1</v>
      </c>
      <c r="AC186" s="5" t="b">
        <v>0</v>
      </c>
      <c r="AD186" s="5" t="s">
        <v>355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 t="s">
        <v>367</v>
      </c>
      <c r="AZ186" s="5">
        <v>12000</v>
      </c>
      <c r="BA186" s="5" t="s">
        <v>371</v>
      </c>
      <c r="BB186" s="5" t="s">
        <v>354</v>
      </c>
      <c r="BC186" s="5">
        <v>10000</v>
      </c>
      <c r="BD186" s="5">
        <v>0</v>
      </c>
      <c r="BE186" s="5" t="s">
        <v>358</v>
      </c>
      <c r="BF186" s="5">
        <v>0</v>
      </c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>
        <v>30045</v>
      </c>
      <c r="CG186" s="5" t="s">
        <v>366</v>
      </c>
      <c r="CH186" s="5">
        <v>900</v>
      </c>
      <c r="CI186" s="5">
        <v>80</v>
      </c>
      <c r="CJ186" s="5" t="s">
        <v>373</v>
      </c>
      <c r="CK186" s="5">
        <v>1</v>
      </c>
      <c r="CL186" s="5">
        <v>0</v>
      </c>
      <c r="CM186" s="5">
        <v>1</v>
      </c>
      <c r="CN186" s="5">
        <v>700</v>
      </c>
      <c r="CO186" s="5">
        <v>80</v>
      </c>
      <c r="CP186" s="5">
        <v>0</v>
      </c>
      <c r="CQ186" s="5">
        <v>0</v>
      </c>
      <c r="CR186" s="5">
        <v>10370010</v>
      </c>
      <c r="CS186" s="5">
        <v>0</v>
      </c>
      <c r="CT186" s="5">
        <v>0</v>
      </c>
      <c r="CU186" s="5">
        <v>0</v>
      </c>
      <c r="CV186" s="5" t="s">
        <v>355</v>
      </c>
      <c r="CW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/>
      <c r="EX186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/>
      <c r="GW186"/>
      <c r="GX186" s="5">
        <v>200</v>
      </c>
      <c r="GY186" s="5">
        <v>400</v>
      </c>
      <c r="GZ186" s="5" t="s">
        <v>383</v>
      </c>
      <c r="HA186" s="5">
        <v>0</v>
      </c>
      <c r="HB186" s="5">
        <v>0</v>
      </c>
      <c r="HC186" s="5" t="s">
        <v>366</v>
      </c>
      <c r="HD186" s="5" t="b">
        <v>1</v>
      </c>
      <c r="HE186" s="5">
        <v>8000</v>
      </c>
      <c r="HF186" s="5" t="b">
        <v>0</v>
      </c>
      <c r="HG186" s="5">
        <v>0</v>
      </c>
      <c r="HH186" s="5">
        <v>0</v>
      </c>
      <c r="HI186" s="5">
        <v>0</v>
      </c>
      <c r="HJ186" s="5">
        <v>0</v>
      </c>
      <c r="HK186" s="5" t="b">
        <v>0</v>
      </c>
      <c r="HL186" s="5">
        <v>0</v>
      </c>
      <c r="HM186" s="5">
        <v>10001</v>
      </c>
      <c r="HN186" s="5" t="s">
        <v>367</v>
      </c>
      <c r="HO186" s="5" t="s">
        <v>360</v>
      </c>
      <c r="HP186" s="5">
        <v>0</v>
      </c>
      <c r="HQ186" s="5">
        <v>0</v>
      </c>
      <c r="HR186" s="5">
        <v>0</v>
      </c>
      <c r="HS186" s="5">
        <v>0</v>
      </c>
      <c r="HT186" s="5" t="b">
        <v>0</v>
      </c>
    </row>
    <row r="187" spans="1:228">
      <c r="A187"/>
      <c r="B187" s="1">
        <f>10000000+INDEX(编号表!$B$1:$B$112,MATCH(D187,编号表!$A$1:$A$112,0))*10000+I187</f>
        <v>10190001</v>
      </c>
      <c r="C187" s="5" t="s">
        <v>420</v>
      </c>
      <c r="D187" s="5" t="s">
        <v>420</v>
      </c>
      <c r="E187" s="5" t="s">
        <v>348</v>
      </c>
      <c r="F187" s="5" t="s">
        <v>388</v>
      </c>
      <c r="G187" s="5" t="b">
        <v>0</v>
      </c>
      <c r="H187" s="5" t="b">
        <v>0</v>
      </c>
      <c r="I187" s="5">
        <v>1</v>
      </c>
      <c r="J187" s="5">
        <v>101900</v>
      </c>
      <c r="K187" s="5" t="s">
        <v>350</v>
      </c>
      <c r="L187" s="5">
        <v>0</v>
      </c>
      <c r="M187" s="5">
        <v>10190002</v>
      </c>
      <c r="N187" s="5" t="s">
        <v>421</v>
      </c>
      <c r="O187" s="5">
        <v>10202018</v>
      </c>
      <c r="P187" s="5">
        <v>0</v>
      </c>
      <c r="Q187" s="5">
        <v>0</v>
      </c>
      <c r="R187" s="5">
        <v>1</v>
      </c>
      <c r="S187" s="5">
        <v>0</v>
      </c>
      <c r="T187" s="5">
        <v>100</v>
      </c>
      <c r="U187" s="5" t="s">
        <v>364</v>
      </c>
      <c r="V187" s="5">
        <v>650</v>
      </c>
      <c r="W187" s="5">
        <v>0</v>
      </c>
      <c r="X187" s="5" t="inlineStr">
        <is>
          <t xml:space="preserve">目标点</t>
        </is>
      </c>
      <c r="Y187" s="5" t="s">
        <v>365</v>
      </c>
      <c r="Z187" s="5" t="s">
        <v>354</v>
      </c>
      <c r="AA187" s="5">
        <v>0</v>
      </c>
      <c r="AB187" s="5">
        <v>0</v>
      </c>
      <c r="AC187" s="5" t="b">
        <v>0</v>
      </c>
      <c r="AD187" s="5" t="s">
        <v>355</v>
      </c>
      <c r="AE187" s="5">
        <v>220</v>
      </c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 t="s">
        <v>367</v>
      </c>
      <c r="AZ187" s="5">
        <v>10000</v>
      </c>
      <c r="BA187" s="5" t="s">
        <v>417</v>
      </c>
      <c r="BB187" s="5" t="s">
        <v>354</v>
      </c>
      <c r="BC187" s="5">
        <v>10000</v>
      </c>
      <c r="BD187" s="5">
        <v>0</v>
      </c>
      <c r="BE187" s="5" t="s">
        <v>358</v>
      </c>
      <c r="BF187" s="5">
        <v>0</v>
      </c>
      <c r="BG187" s="5"/>
      <c r="BH187" s="5"/>
      <c r="BI187" s="5"/>
      <c r="BJ187" s="5"/>
      <c r="BK187" s="5"/>
      <c r="BL187" s="5"/>
      <c r="BM187" s="5">
        <v>21001301</v>
      </c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X187" s="5">
        <v>200</v>
      </c>
      <c r="GY187" s="5">
        <v>400</v>
      </c>
      <c r="GZ187" s="5" t="s">
        <v>383</v>
      </c>
      <c r="HA187" s="5">
        <v>0</v>
      </c>
      <c r="HB187" s="5">
        <v>30017</v>
      </c>
      <c r="HC187" s="5" t="s">
        <v>366</v>
      </c>
      <c r="HD187" s="5" t="b">
        <v>1</v>
      </c>
      <c r="HE187" s="5">
        <v>9000</v>
      </c>
      <c r="HF187" s="5" t="b">
        <v>0</v>
      </c>
      <c r="HG187" s="5">
        <v>0</v>
      </c>
      <c r="HH187" s="5">
        <v>0</v>
      </c>
      <c r="HI187" s="5">
        <v>0</v>
      </c>
      <c r="HJ187" s="5">
        <v>0</v>
      </c>
      <c r="HK187" s="5" t="b">
        <v>0</v>
      </c>
      <c r="HL187" s="5">
        <v>0</v>
      </c>
      <c r="HM187" s="5">
        <v>10001</v>
      </c>
      <c r="HN187" s="5" t="s">
        <v>367</v>
      </c>
      <c r="HO187" s="5" t="s">
        <v>360</v>
      </c>
      <c r="HP187" s="5">
        <v>0</v>
      </c>
      <c r="HQ187" s="5">
        <v>0</v>
      </c>
      <c r="HR187" s="5">
        <v>0</v>
      </c>
      <c r="HS187" s="5">
        <v>0</v>
      </c>
      <c r="HT187" s="5" t="b">
        <v>0</v>
      </c>
    </row>
    <row r="188" spans="1:228">
      <c r="A188"/>
      <c r="B188" s="1">
        <f>10000000+INDEX(编号表!$B$1:$B$112,MATCH(D188,编号表!$A$1:$A$112,0))*10000+I188</f>
        <v>10190002</v>
      </c>
      <c r="C188" s="5" t="s">
        <v>420</v>
      </c>
      <c r="D188" s="5" t="s">
        <v>420</v>
      </c>
      <c r="E188" s="5" t="s">
        <v>348</v>
      </c>
      <c r="F188" s="5" t="s">
        <v>388</v>
      </c>
      <c r="G188" s="5" t="b">
        <v>0</v>
      </c>
      <c r="H188" s="5" t="b">
        <v>0</v>
      </c>
      <c r="I188" s="5">
        <v>2</v>
      </c>
      <c r="J188" s="5">
        <v>101900</v>
      </c>
      <c r="K188" s="5" t="s">
        <v>350</v>
      </c>
      <c r="L188" s="5">
        <v>10190001</v>
      </c>
      <c r="M188" s="5">
        <v>10190003</v>
      </c>
      <c r="N188" s="5" t="s">
        <v>421</v>
      </c>
      <c r="O188" s="5">
        <v>10202018</v>
      </c>
      <c r="P188" s="5">
        <v>0</v>
      </c>
      <c r="Q188" s="5">
        <v>1</v>
      </c>
      <c r="R188" s="5">
        <v>7</v>
      </c>
      <c r="S188" s="5">
        <v>0</v>
      </c>
      <c r="T188" s="5">
        <v>100</v>
      </c>
      <c r="U188" s="5" t="s">
        <v>364</v>
      </c>
      <c r="V188" s="5">
        <v>650</v>
      </c>
      <c r="W188" s="5">
        <v>0</v>
      </c>
      <c r="X188" s="5" t="inlineStr">
        <is>
          <t xml:space="preserve">目标点</t>
        </is>
      </c>
      <c r="Y188" s="5" t="s">
        <v>365</v>
      </c>
      <c r="Z188" s="5" t="s">
        <v>354</v>
      </c>
      <c r="AA188" s="5">
        <v>0</v>
      </c>
      <c r="AB188" s="5">
        <v>0</v>
      </c>
      <c r="AC188" s="5" t="b">
        <v>0</v>
      </c>
      <c r="AD188" s="5" t="s">
        <v>355</v>
      </c>
      <c r="AE188" s="5">
        <v>220</v>
      </c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 t="s">
        <v>367</v>
      </c>
      <c r="AZ188" s="5">
        <v>10400</v>
      </c>
      <c r="BA188" s="5" t="s">
        <v>417</v>
      </c>
      <c r="BB188" s="5" t="s">
        <v>354</v>
      </c>
      <c r="BC188" s="5">
        <v>10000</v>
      </c>
      <c r="BD188" s="5">
        <v>0</v>
      </c>
      <c r="BE188" s="5" t="s">
        <v>358</v>
      </c>
      <c r="BF188" s="5">
        <v>0</v>
      </c>
      <c r="BG188" s="5"/>
      <c r="BH188" s="5"/>
      <c r="BI188" s="5"/>
      <c r="BJ188" s="5"/>
      <c r="BK188" s="5"/>
      <c r="BL188" s="5"/>
      <c r="BM188" s="5">
        <v>21001302</v>
      </c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X188" s="5">
        <v>200</v>
      </c>
      <c r="GY188" s="5">
        <v>400</v>
      </c>
      <c r="GZ188" s="5" t="s">
        <v>383</v>
      </c>
      <c r="HA188" s="5">
        <v>0</v>
      </c>
      <c r="HB188" s="5">
        <v>30017</v>
      </c>
      <c r="HC188" s="5" t="s">
        <v>366</v>
      </c>
      <c r="HD188" s="5" t="b">
        <v>1</v>
      </c>
      <c r="HE188" s="5">
        <v>9000</v>
      </c>
      <c r="HF188" s="5" t="b">
        <v>0</v>
      </c>
      <c r="HG188" s="5">
        <v>0</v>
      </c>
      <c r="HH188" s="5">
        <v>0</v>
      </c>
      <c r="HI188" s="5">
        <v>0</v>
      </c>
      <c r="HJ188" s="5">
        <v>0</v>
      </c>
      <c r="HK188" s="5" t="b">
        <v>0</v>
      </c>
      <c r="HL188" s="5">
        <v>0</v>
      </c>
      <c r="HM188" s="5">
        <v>10001</v>
      </c>
      <c r="HN188" s="5" t="s">
        <v>367</v>
      </c>
      <c r="HO188" s="5" t="s">
        <v>360</v>
      </c>
      <c r="HP188" s="5">
        <v>0</v>
      </c>
      <c r="HQ188" s="5">
        <v>0</v>
      </c>
      <c r="HR188" s="5">
        <v>0</v>
      </c>
      <c r="HS188" s="5">
        <v>0</v>
      </c>
      <c r="HT188" s="5" t="b">
        <v>0</v>
      </c>
    </row>
    <row r="189" spans="1:228">
      <c r="A189"/>
      <c r="B189" s="1">
        <f>10000000+INDEX(编号表!$B$1:$B$112,MATCH(D189,编号表!$A$1:$A$112,0))*10000+I189</f>
        <v>10190003</v>
      </c>
      <c r="C189" s="5" t="s">
        <v>420</v>
      </c>
      <c r="D189" s="5" t="s">
        <v>420</v>
      </c>
      <c r="E189" s="5" t="s">
        <v>348</v>
      </c>
      <c r="F189" s="5" t="s">
        <v>388</v>
      </c>
      <c r="G189" s="5" t="b">
        <v>0</v>
      </c>
      <c r="H189" s="5" t="b">
        <v>0</v>
      </c>
      <c r="I189" s="5">
        <v>3</v>
      </c>
      <c r="J189" s="5">
        <v>101900</v>
      </c>
      <c r="K189" s="5" t="s">
        <v>350</v>
      </c>
      <c r="L189" s="5">
        <v>10190002</v>
      </c>
      <c r="M189" s="5">
        <v>10190004</v>
      </c>
      <c r="N189" s="5" t="s">
        <v>421</v>
      </c>
      <c r="O189" s="5">
        <v>10202018</v>
      </c>
      <c r="P189" s="5">
        <v>0</v>
      </c>
      <c r="Q189" s="5">
        <v>2</v>
      </c>
      <c r="R189" s="5">
        <v>11</v>
      </c>
      <c r="S189" s="5">
        <v>0</v>
      </c>
      <c r="T189" s="5">
        <v>100</v>
      </c>
      <c r="U189" s="5" t="s">
        <v>364</v>
      </c>
      <c r="V189" s="5">
        <v>650</v>
      </c>
      <c r="W189" s="5">
        <v>0</v>
      </c>
      <c r="X189" s="5" t="inlineStr">
        <is>
          <t xml:space="preserve">目标点</t>
        </is>
      </c>
      <c r="Y189" s="5" t="s">
        <v>365</v>
      </c>
      <c r="Z189" s="5" t="s">
        <v>354</v>
      </c>
      <c r="AA189" s="5">
        <v>0</v>
      </c>
      <c r="AB189" s="5">
        <v>0</v>
      </c>
      <c r="AC189" s="5" t="b">
        <v>0</v>
      </c>
      <c r="AD189" s="5" t="s">
        <v>355</v>
      </c>
      <c r="AE189" s="5">
        <v>220</v>
      </c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 t="s">
        <v>367</v>
      </c>
      <c r="AZ189" s="5">
        <v>10800</v>
      </c>
      <c r="BA189" s="5" t="s">
        <v>417</v>
      </c>
      <c r="BB189" s="5" t="s">
        <v>354</v>
      </c>
      <c r="BC189" s="5">
        <v>10000</v>
      </c>
      <c r="BD189" s="5">
        <v>0</v>
      </c>
      <c r="BE189" s="5" t="s">
        <v>358</v>
      </c>
      <c r="BF189" s="5">
        <v>0</v>
      </c>
      <c r="BG189" s="5"/>
      <c r="BH189" s="5"/>
      <c r="BI189" s="5"/>
      <c r="BJ189" s="5"/>
      <c r="BK189" s="5"/>
      <c r="BL189" s="5"/>
      <c r="BM189" s="5">
        <v>21001303</v>
      </c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X189" s="5">
        <v>200</v>
      </c>
      <c r="GY189" s="5">
        <v>400</v>
      </c>
      <c r="GZ189" s="5" t="s">
        <v>383</v>
      </c>
      <c r="HA189" s="5">
        <v>0</v>
      </c>
      <c r="HB189" s="5">
        <v>30017</v>
      </c>
      <c r="HC189" s="5" t="s">
        <v>366</v>
      </c>
      <c r="HD189" s="5" t="b">
        <v>1</v>
      </c>
      <c r="HE189" s="5">
        <v>9000</v>
      </c>
      <c r="HF189" s="5" t="b">
        <v>0</v>
      </c>
      <c r="HG189" s="5">
        <v>0</v>
      </c>
      <c r="HH189" s="5">
        <v>0</v>
      </c>
      <c r="HI189" s="5">
        <v>0</v>
      </c>
      <c r="HJ189" s="5">
        <v>0</v>
      </c>
      <c r="HK189" s="5" t="b">
        <v>0</v>
      </c>
      <c r="HL189" s="5">
        <v>0</v>
      </c>
      <c r="HM189" s="5">
        <v>10001</v>
      </c>
      <c r="HN189" s="5" t="s">
        <v>367</v>
      </c>
      <c r="HO189" s="5" t="s">
        <v>360</v>
      </c>
      <c r="HP189" s="5">
        <v>0</v>
      </c>
      <c r="HQ189" s="5">
        <v>0</v>
      </c>
      <c r="HR189" s="5">
        <v>0</v>
      </c>
      <c r="HS189" s="5">
        <v>0</v>
      </c>
      <c r="HT189" s="5" t="b">
        <v>0</v>
      </c>
    </row>
    <row r="190" spans="1:228">
      <c r="A190"/>
      <c r="B190" s="1">
        <f>10000000+INDEX(编号表!$B$1:$B$112,MATCH(D190,编号表!$A$1:$A$112,0))*10000+I190</f>
        <v>10190004</v>
      </c>
      <c r="C190" s="5" t="s">
        <v>420</v>
      </c>
      <c r="D190" s="5" t="s">
        <v>420</v>
      </c>
      <c r="E190" s="5" t="s">
        <v>348</v>
      </c>
      <c r="F190" s="5" t="s">
        <v>388</v>
      </c>
      <c r="G190" s="5" t="b">
        <v>0</v>
      </c>
      <c r="H190" s="5" t="b">
        <v>0</v>
      </c>
      <c r="I190" s="5">
        <v>4</v>
      </c>
      <c r="J190" s="5">
        <v>101900</v>
      </c>
      <c r="K190" s="5" t="s">
        <v>350</v>
      </c>
      <c r="L190" s="5">
        <v>10190003</v>
      </c>
      <c r="M190" s="5">
        <v>10190005</v>
      </c>
      <c r="N190" s="5" t="s">
        <v>421</v>
      </c>
      <c r="O190" s="5">
        <v>10202018</v>
      </c>
      <c r="P190" s="5">
        <v>0</v>
      </c>
      <c r="Q190" s="5">
        <v>3</v>
      </c>
      <c r="R190" s="5">
        <v>16</v>
      </c>
      <c r="S190" s="5">
        <v>0</v>
      </c>
      <c r="T190" s="5">
        <v>100</v>
      </c>
      <c r="U190" s="5" t="s">
        <v>364</v>
      </c>
      <c r="V190" s="5">
        <v>650</v>
      </c>
      <c r="W190" s="5">
        <v>0</v>
      </c>
      <c r="X190" s="5" t="inlineStr">
        <is>
          <t xml:space="preserve">目标点</t>
        </is>
      </c>
      <c r="Y190" s="5" t="s">
        <v>365</v>
      </c>
      <c r="Z190" s="5" t="s">
        <v>354</v>
      </c>
      <c r="AA190" s="5">
        <v>0</v>
      </c>
      <c r="AB190" s="5">
        <v>0</v>
      </c>
      <c r="AC190" s="5" t="b">
        <v>0</v>
      </c>
      <c r="AD190" s="5" t="s">
        <v>355</v>
      </c>
      <c r="AE190" s="5">
        <v>220</v>
      </c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 t="s">
        <v>367</v>
      </c>
      <c r="AZ190" s="5">
        <v>11200</v>
      </c>
      <c r="BA190" s="5" t="s">
        <v>417</v>
      </c>
      <c r="BB190" s="5" t="s">
        <v>354</v>
      </c>
      <c r="BC190" s="5">
        <v>10000</v>
      </c>
      <c r="BD190" s="5">
        <v>0</v>
      </c>
      <c r="BE190" s="5" t="s">
        <v>358</v>
      </c>
      <c r="BF190" s="5">
        <v>0</v>
      </c>
      <c r="BG190" s="5"/>
      <c r="BH190" s="5"/>
      <c r="BI190" s="5"/>
      <c r="BJ190" s="5"/>
      <c r="BK190" s="5"/>
      <c r="BL190" s="5"/>
      <c r="BM190" s="5">
        <v>21001304</v>
      </c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X190" s="5">
        <v>200</v>
      </c>
      <c r="GY190" s="5">
        <v>400</v>
      </c>
      <c r="GZ190" s="5" t="s">
        <v>383</v>
      </c>
      <c r="HA190" s="5">
        <v>0</v>
      </c>
      <c r="HB190" s="5">
        <v>30017</v>
      </c>
      <c r="HC190" s="5" t="s">
        <v>366</v>
      </c>
      <c r="HD190" s="5" t="b">
        <v>1</v>
      </c>
      <c r="HE190" s="5">
        <v>9000</v>
      </c>
      <c r="HF190" s="5" t="b">
        <v>0</v>
      </c>
      <c r="HG190" s="5">
        <v>0</v>
      </c>
      <c r="HH190" s="5">
        <v>0</v>
      </c>
      <c r="HI190" s="5">
        <v>0</v>
      </c>
      <c r="HJ190" s="5">
        <v>0</v>
      </c>
      <c r="HK190" s="5" t="b">
        <v>0</v>
      </c>
      <c r="HL190" s="5">
        <v>0</v>
      </c>
      <c r="HM190" s="5">
        <v>10001</v>
      </c>
      <c r="HN190" s="5" t="s">
        <v>367</v>
      </c>
      <c r="HO190" s="5" t="s">
        <v>360</v>
      </c>
      <c r="HP190" s="5">
        <v>0</v>
      </c>
      <c r="HQ190" s="5">
        <v>0</v>
      </c>
      <c r="HR190" s="5">
        <v>0</v>
      </c>
      <c r="HS190" s="5">
        <v>0</v>
      </c>
      <c r="HT190" s="5" t="b">
        <v>0</v>
      </c>
    </row>
    <row r="191" spans="1:228">
      <c r="A191"/>
      <c r="B191" s="1">
        <f>10000000+INDEX(编号表!$B$1:$B$112,MATCH(D191,编号表!$A$1:$A$112,0))*10000+I191</f>
        <v>10190005</v>
      </c>
      <c r="C191" s="5" t="s">
        <v>420</v>
      </c>
      <c r="D191" s="5" t="s">
        <v>420</v>
      </c>
      <c r="E191" s="5" t="s">
        <v>348</v>
      </c>
      <c r="F191" s="5" t="s">
        <v>388</v>
      </c>
      <c r="G191" s="5" t="b">
        <v>0</v>
      </c>
      <c r="H191" s="5" t="b">
        <v>0</v>
      </c>
      <c r="I191" s="5">
        <v>5</v>
      </c>
      <c r="J191" s="5">
        <v>101900</v>
      </c>
      <c r="K191" s="5" t="s">
        <v>350</v>
      </c>
      <c r="L191" s="5">
        <v>10190004</v>
      </c>
      <c r="M191" s="5">
        <v>10190006</v>
      </c>
      <c r="N191" s="5" t="s">
        <v>421</v>
      </c>
      <c r="O191" s="5">
        <v>10202018</v>
      </c>
      <c r="P191" s="5">
        <v>0</v>
      </c>
      <c r="Q191" s="5">
        <v>3</v>
      </c>
      <c r="R191" s="5">
        <v>25</v>
      </c>
      <c r="S191" s="5">
        <v>0</v>
      </c>
      <c r="T191" s="5">
        <v>100</v>
      </c>
      <c r="U191" s="5" t="s">
        <v>364</v>
      </c>
      <c r="V191" s="5">
        <v>650</v>
      </c>
      <c r="W191" s="5">
        <v>0</v>
      </c>
      <c r="X191" s="5" t="inlineStr">
        <is>
          <t xml:space="preserve">目标点</t>
        </is>
      </c>
      <c r="Y191" s="5" t="s">
        <v>365</v>
      </c>
      <c r="Z191" s="5" t="s">
        <v>354</v>
      </c>
      <c r="AA191" s="5">
        <v>0</v>
      </c>
      <c r="AB191" s="5">
        <v>0</v>
      </c>
      <c r="AC191" s="5" t="b">
        <v>0</v>
      </c>
      <c r="AD191" s="5" t="s">
        <v>355</v>
      </c>
      <c r="AE191" s="5">
        <v>220</v>
      </c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 t="s">
        <v>367</v>
      </c>
      <c r="AZ191" s="5">
        <v>11300</v>
      </c>
      <c r="BA191" s="5" t="s">
        <v>417</v>
      </c>
      <c r="BB191" s="5" t="s">
        <v>354</v>
      </c>
      <c r="BC191" s="5">
        <v>10000</v>
      </c>
      <c r="BD191" s="5">
        <v>0</v>
      </c>
      <c r="BE191" s="5" t="s">
        <v>358</v>
      </c>
      <c r="BF191" s="5">
        <v>0</v>
      </c>
      <c r="BG191" s="5"/>
      <c r="BH191" s="5"/>
      <c r="BI191" s="5"/>
      <c r="BJ191" s="5"/>
      <c r="BK191" s="5"/>
      <c r="BL191" s="5"/>
      <c r="BM191" s="5">
        <v>21001305</v>
      </c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X191" s="5">
        <v>200</v>
      </c>
      <c r="GY191" s="5">
        <v>400</v>
      </c>
      <c r="GZ191" s="5" t="s">
        <v>383</v>
      </c>
      <c r="HA191" s="5">
        <v>0</v>
      </c>
      <c r="HB191" s="5">
        <v>30017</v>
      </c>
      <c r="HC191" s="5" t="s">
        <v>366</v>
      </c>
      <c r="HD191" s="5" t="b">
        <v>1</v>
      </c>
      <c r="HE191" s="5">
        <v>9000</v>
      </c>
      <c r="HF191" s="5" t="b">
        <v>0</v>
      </c>
      <c r="HG191" s="5">
        <v>0</v>
      </c>
      <c r="HH191" s="5">
        <v>0</v>
      </c>
      <c r="HI191" s="5">
        <v>0</v>
      </c>
      <c r="HJ191" s="5">
        <v>0</v>
      </c>
      <c r="HK191" s="5" t="b">
        <v>0</v>
      </c>
      <c r="HL191" s="5">
        <v>0</v>
      </c>
      <c r="HM191" s="5">
        <v>10001</v>
      </c>
      <c r="HN191" s="5" t="s">
        <v>367</v>
      </c>
      <c r="HO191" s="5" t="s">
        <v>360</v>
      </c>
      <c r="HP191" s="5">
        <v>0</v>
      </c>
      <c r="HQ191" s="5">
        <v>0</v>
      </c>
      <c r="HR191" s="5">
        <v>0</v>
      </c>
      <c r="HS191" s="5">
        <v>0</v>
      </c>
      <c r="HT191" s="5" t="b">
        <v>0</v>
      </c>
    </row>
    <row r="192" spans="1:228">
      <c r="A192"/>
      <c r="B192" s="1">
        <f>10000000+INDEX(编号表!$B$1:$B$112,MATCH(D192,编号表!$A$1:$A$112,0))*10000+I192</f>
        <v>10190006</v>
      </c>
      <c r="C192" s="5" t="s">
        <v>420</v>
      </c>
      <c r="D192" s="5" t="s">
        <v>420</v>
      </c>
      <c r="E192" s="5" t="s">
        <v>348</v>
      </c>
      <c r="F192" s="5" t="s">
        <v>388</v>
      </c>
      <c r="G192" s="5" t="b">
        <v>0</v>
      </c>
      <c r="H192" s="5" t="b">
        <v>0</v>
      </c>
      <c r="I192" s="5">
        <v>6</v>
      </c>
      <c r="J192" s="5">
        <v>101900</v>
      </c>
      <c r="K192" s="5" t="s">
        <v>350</v>
      </c>
      <c r="L192" s="5">
        <v>10190005</v>
      </c>
      <c r="M192" s="5">
        <v>10190007</v>
      </c>
      <c r="N192" s="5" t="s">
        <v>421</v>
      </c>
      <c r="O192" s="5">
        <v>10202018</v>
      </c>
      <c r="P192" s="5">
        <v>0</v>
      </c>
      <c r="Q192" s="5">
        <v>3</v>
      </c>
      <c r="R192" s="5">
        <v>30</v>
      </c>
      <c r="S192" s="5">
        <v>0</v>
      </c>
      <c r="T192" s="5">
        <v>100</v>
      </c>
      <c r="U192" s="5" t="s">
        <v>364</v>
      </c>
      <c r="V192" s="5">
        <v>650</v>
      </c>
      <c r="W192" s="5">
        <v>0</v>
      </c>
      <c r="X192" s="5" t="inlineStr">
        <is>
          <t xml:space="preserve">目标点</t>
        </is>
      </c>
      <c r="Y192" s="5" t="s">
        <v>365</v>
      </c>
      <c r="Z192" s="5" t="s">
        <v>354</v>
      </c>
      <c r="AA192" s="5">
        <v>0</v>
      </c>
      <c r="AB192" s="5">
        <v>0</v>
      </c>
      <c r="AC192" s="5" t="b">
        <v>0</v>
      </c>
      <c r="AD192" s="5" t="s">
        <v>355</v>
      </c>
      <c r="AE192" s="5">
        <v>220</v>
      </c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 t="s">
        <v>367</v>
      </c>
      <c r="AZ192" s="5">
        <v>11600</v>
      </c>
      <c r="BA192" s="5" t="s">
        <v>417</v>
      </c>
      <c r="BB192" s="5" t="s">
        <v>354</v>
      </c>
      <c r="BC192" s="5">
        <v>10000</v>
      </c>
      <c r="BD192" s="5">
        <v>0</v>
      </c>
      <c r="BE192" s="5" t="s">
        <v>358</v>
      </c>
      <c r="BF192" s="5">
        <v>0</v>
      </c>
      <c r="BG192" s="5"/>
      <c r="BH192" s="5"/>
      <c r="BI192" s="5"/>
      <c r="BJ192" s="5"/>
      <c r="BK192" s="5"/>
      <c r="BL192" s="5"/>
      <c r="BM192" s="5">
        <v>21001306</v>
      </c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X192" s="5">
        <v>200</v>
      </c>
      <c r="GY192" s="5">
        <v>400</v>
      </c>
      <c r="GZ192" s="5" t="s">
        <v>383</v>
      </c>
      <c r="HA192" s="5">
        <v>0</v>
      </c>
      <c r="HB192" s="5">
        <v>30017</v>
      </c>
      <c r="HC192" s="5" t="s">
        <v>366</v>
      </c>
      <c r="HD192" s="5" t="b">
        <v>1</v>
      </c>
      <c r="HE192" s="5">
        <v>9000</v>
      </c>
      <c r="HF192" s="5" t="b">
        <v>0</v>
      </c>
      <c r="HG192" s="5">
        <v>0</v>
      </c>
      <c r="HH192" s="5">
        <v>0</v>
      </c>
      <c r="HI192" s="5">
        <v>0</v>
      </c>
      <c r="HJ192" s="5">
        <v>0</v>
      </c>
      <c r="HK192" s="5" t="b">
        <v>0</v>
      </c>
      <c r="HL192" s="5">
        <v>0</v>
      </c>
      <c r="HM192" s="5">
        <v>10001</v>
      </c>
      <c r="HN192" s="5" t="s">
        <v>367</v>
      </c>
      <c r="HO192" s="5" t="s">
        <v>360</v>
      </c>
      <c r="HP192" s="5">
        <v>0</v>
      </c>
      <c r="HQ192" s="5">
        <v>0</v>
      </c>
      <c r="HR192" s="5">
        <v>0</v>
      </c>
      <c r="HS192" s="5">
        <v>0</v>
      </c>
      <c r="HT192" s="5" t="b">
        <v>0</v>
      </c>
    </row>
    <row r="193" spans="1:228">
      <c r="A193"/>
      <c r="B193" s="1">
        <f>10000000+INDEX(编号表!$B$1:$B$112,MATCH(D193,编号表!$A$1:$A$112,0))*10000+I193</f>
        <v>10190007</v>
      </c>
      <c r="C193" s="5" t="s">
        <v>420</v>
      </c>
      <c r="D193" s="5" t="s">
        <v>420</v>
      </c>
      <c r="E193" s="5" t="s">
        <v>348</v>
      </c>
      <c r="F193" s="5" t="s">
        <v>388</v>
      </c>
      <c r="G193" s="5" t="b">
        <v>0</v>
      </c>
      <c r="H193" s="5" t="b">
        <v>0</v>
      </c>
      <c r="I193" s="5">
        <v>7</v>
      </c>
      <c r="J193" s="5">
        <v>101900</v>
      </c>
      <c r="K193" s="5" t="s">
        <v>350</v>
      </c>
      <c r="L193" s="5">
        <v>10190006</v>
      </c>
      <c r="M193" s="5">
        <v>10190008</v>
      </c>
      <c r="N193" s="5" t="s">
        <v>421</v>
      </c>
      <c r="O193" s="5">
        <v>10202018</v>
      </c>
      <c r="P193" s="5">
        <v>0</v>
      </c>
      <c r="Q193" s="5">
        <v>3</v>
      </c>
      <c r="R193" s="5">
        <v>35</v>
      </c>
      <c r="S193" s="5">
        <v>0</v>
      </c>
      <c r="T193" s="5">
        <v>100</v>
      </c>
      <c r="U193" s="5" t="s">
        <v>364</v>
      </c>
      <c r="V193" s="5">
        <v>650</v>
      </c>
      <c r="W193" s="5">
        <v>0</v>
      </c>
      <c r="X193" s="5" t="inlineStr">
        <is>
          <t xml:space="preserve">目标点</t>
        </is>
      </c>
      <c r="Y193" s="5" t="s">
        <v>365</v>
      </c>
      <c r="Z193" s="5" t="s">
        <v>354</v>
      </c>
      <c r="AA193" s="5">
        <v>0</v>
      </c>
      <c r="AB193" s="5">
        <v>0</v>
      </c>
      <c r="AC193" s="5" t="b">
        <v>0</v>
      </c>
      <c r="AD193" s="5" t="s">
        <v>355</v>
      </c>
      <c r="AE193" s="5">
        <v>220</v>
      </c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 t="s">
        <v>367</v>
      </c>
      <c r="AZ193" s="5">
        <v>11700</v>
      </c>
      <c r="BA193" s="5" t="s">
        <v>417</v>
      </c>
      <c r="BB193" s="5" t="s">
        <v>354</v>
      </c>
      <c r="BC193" s="5">
        <v>10000</v>
      </c>
      <c r="BD193" s="5">
        <v>0</v>
      </c>
      <c r="BE193" s="5" t="s">
        <v>358</v>
      </c>
      <c r="BF193" s="5">
        <v>0</v>
      </c>
      <c r="BG193" s="5"/>
      <c r="BH193" s="5"/>
      <c r="BI193" s="5"/>
      <c r="BJ193" s="5"/>
      <c r="BK193" s="5"/>
      <c r="BL193" s="5"/>
      <c r="BM193" s="5">
        <v>21001307</v>
      </c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X193" s="5">
        <v>200</v>
      </c>
      <c r="GY193" s="5">
        <v>400</v>
      </c>
      <c r="GZ193" s="5" t="s">
        <v>383</v>
      </c>
      <c r="HA193" s="5">
        <v>0</v>
      </c>
      <c r="HB193" s="5">
        <v>30017</v>
      </c>
      <c r="HC193" s="5" t="s">
        <v>366</v>
      </c>
      <c r="HD193" s="5" t="b">
        <v>1</v>
      </c>
      <c r="HE193" s="5">
        <v>9000</v>
      </c>
      <c r="HF193" s="5" t="b">
        <v>0</v>
      </c>
      <c r="HG193" s="5">
        <v>0</v>
      </c>
      <c r="HH193" s="5">
        <v>0</v>
      </c>
      <c r="HI193" s="5">
        <v>0</v>
      </c>
      <c r="HJ193" s="5">
        <v>0</v>
      </c>
      <c r="HK193" s="5" t="b">
        <v>0</v>
      </c>
      <c r="HL193" s="5">
        <v>0</v>
      </c>
      <c r="HM193" s="5">
        <v>10001</v>
      </c>
      <c r="HN193" s="5" t="s">
        <v>367</v>
      </c>
      <c r="HO193" s="5" t="s">
        <v>360</v>
      </c>
      <c r="HP193" s="5">
        <v>0</v>
      </c>
      <c r="HQ193" s="5">
        <v>0</v>
      </c>
      <c r="HR193" s="5">
        <v>0</v>
      </c>
      <c r="HS193" s="5">
        <v>0</v>
      </c>
      <c r="HT193" s="5" t="b">
        <v>0</v>
      </c>
    </row>
    <row r="194" spans="1:228">
      <c r="A194"/>
      <c r="B194" s="1">
        <f>10000000+INDEX(编号表!$B$1:$B$112,MATCH(D194,编号表!$A$1:$A$112,0))*10000+I194</f>
        <v>10190008</v>
      </c>
      <c r="C194" s="5" t="s">
        <v>420</v>
      </c>
      <c r="D194" s="5" t="s">
        <v>420</v>
      </c>
      <c r="E194" s="5" t="s">
        <v>348</v>
      </c>
      <c r="F194" s="5" t="s">
        <v>388</v>
      </c>
      <c r="G194" s="5" t="b">
        <v>0</v>
      </c>
      <c r="H194" s="5" t="b">
        <v>0</v>
      </c>
      <c r="I194" s="5">
        <v>8</v>
      </c>
      <c r="J194" s="5">
        <v>101900</v>
      </c>
      <c r="K194" s="5" t="s">
        <v>350</v>
      </c>
      <c r="L194" s="5">
        <v>10190007</v>
      </c>
      <c r="M194" s="5">
        <v>10190009</v>
      </c>
      <c r="N194" s="5" t="s">
        <v>421</v>
      </c>
      <c r="O194" s="5">
        <v>10202018</v>
      </c>
      <c r="P194" s="5">
        <v>0</v>
      </c>
      <c r="Q194" s="5">
        <v>3</v>
      </c>
      <c r="R194" s="5">
        <v>35</v>
      </c>
      <c r="S194" s="5">
        <v>0</v>
      </c>
      <c r="T194" s="5">
        <v>100</v>
      </c>
      <c r="U194" s="5" t="s">
        <v>364</v>
      </c>
      <c r="V194" s="5">
        <v>650</v>
      </c>
      <c r="W194" s="5">
        <v>0</v>
      </c>
      <c r="X194" s="5" t="inlineStr">
        <is>
          <t xml:space="preserve">目标点</t>
        </is>
      </c>
      <c r="Y194" s="5" t="s">
        <v>365</v>
      </c>
      <c r="Z194" s="5" t="s">
        <v>354</v>
      </c>
      <c r="AA194" s="5">
        <v>0</v>
      </c>
      <c r="AB194" s="5">
        <v>0</v>
      </c>
      <c r="AC194" s="5" t="b">
        <v>0</v>
      </c>
      <c r="AD194" s="5" t="s">
        <v>355</v>
      </c>
      <c r="AE194" s="5">
        <v>220</v>
      </c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 t="s">
        <v>367</v>
      </c>
      <c r="AZ194" s="5">
        <v>11800</v>
      </c>
      <c r="BA194" s="5" t="s">
        <v>417</v>
      </c>
      <c r="BB194" s="5" t="s">
        <v>354</v>
      </c>
      <c r="BC194" s="5">
        <v>10000</v>
      </c>
      <c r="BD194" s="5">
        <v>0</v>
      </c>
      <c r="BE194" s="5" t="s">
        <v>358</v>
      </c>
      <c r="BF194" s="5">
        <v>0</v>
      </c>
      <c r="BG194" s="5"/>
      <c r="BH194" s="5"/>
      <c r="BI194" s="5"/>
      <c r="BJ194" s="5"/>
      <c r="BK194" s="5"/>
      <c r="BL194" s="5"/>
      <c r="BM194" s="5">
        <v>21001308</v>
      </c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X194" s="5">
        <v>200</v>
      </c>
      <c r="GY194" s="5">
        <v>400</v>
      </c>
      <c r="GZ194" s="5" t="s">
        <v>383</v>
      </c>
      <c r="HA194" s="5">
        <v>0</v>
      </c>
      <c r="HB194" s="5">
        <v>30017</v>
      </c>
      <c r="HC194" s="5" t="s">
        <v>366</v>
      </c>
      <c r="HD194" s="5" t="b">
        <v>1</v>
      </c>
      <c r="HE194" s="5">
        <v>9000</v>
      </c>
      <c r="HF194" s="5" t="b">
        <v>0</v>
      </c>
      <c r="HG194" s="5">
        <v>0</v>
      </c>
      <c r="HH194" s="5">
        <v>0</v>
      </c>
      <c r="HI194" s="5">
        <v>0</v>
      </c>
      <c r="HJ194" s="5">
        <v>0</v>
      </c>
      <c r="HK194" s="5" t="b">
        <v>0</v>
      </c>
      <c r="HL194" s="5">
        <v>0</v>
      </c>
      <c r="HM194" s="5">
        <v>10001</v>
      </c>
      <c r="HN194" s="5" t="s">
        <v>367</v>
      </c>
      <c r="HO194" s="5" t="s">
        <v>360</v>
      </c>
      <c r="HP194" s="5">
        <v>0</v>
      </c>
      <c r="HQ194" s="5">
        <v>0</v>
      </c>
      <c r="HR194" s="5">
        <v>0</v>
      </c>
      <c r="HS194" s="5">
        <v>0</v>
      </c>
      <c r="HT194" s="5" t="b">
        <v>0</v>
      </c>
    </row>
    <row r="195" spans="1:228">
      <c r="A195"/>
      <c r="B195" s="1">
        <f>10000000+INDEX(编号表!$B$1:$B$112,MATCH(D195,编号表!$A$1:$A$112,0))*10000+I195</f>
        <v>10190009</v>
      </c>
      <c r="C195" s="5" t="s">
        <v>420</v>
      </c>
      <c r="D195" s="5" t="s">
        <v>420</v>
      </c>
      <c r="E195" s="5" t="s">
        <v>348</v>
      </c>
      <c r="F195" s="5" t="s">
        <v>388</v>
      </c>
      <c r="G195" s="5" t="b">
        <v>0</v>
      </c>
      <c r="H195" s="5" t="b">
        <v>0</v>
      </c>
      <c r="I195" s="5">
        <v>9</v>
      </c>
      <c r="J195" s="5">
        <v>101900</v>
      </c>
      <c r="K195" s="5" t="s">
        <v>350</v>
      </c>
      <c r="L195" s="5">
        <v>10190008</v>
      </c>
      <c r="M195" s="5">
        <v>10190010</v>
      </c>
      <c r="N195" s="5" t="s">
        <v>421</v>
      </c>
      <c r="O195" s="5">
        <v>10202018</v>
      </c>
      <c r="P195" s="5">
        <v>0</v>
      </c>
      <c r="Q195" s="5">
        <v>3</v>
      </c>
      <c r="R195" s="5">
        <v>40</v>
      </c>
      <c r="S195" s="5">
        <v>0</v>
      </c>
      <c r="T195" s="5">
        <v>100</v>
      </c>
      <c r="U195" s="5" t="s">
        <v>364</v>
      </c>
      <c r="V195" s="5">
        <v>650</v>
      </c>
      <c r="W195" s="5">
        <v>0</v>
      </c>
      <c r="X195" s="5" t="inlineStr">
        <is>
          <t xml:space="preserve">目标点</t>
        </is>
      </c>
      <c r="Y195" s="5" t="s">
        <v>365</v>
      </c>
      <c r="Z195" s="5" t="s">
        <v>354</v>
      </c>
      <c r="AA195" s="5">
        <v>0</v>
      </c>
      <c r="AB195" s="5">
        <v>0</v>
      </c>
      <c r="AC195" s="5" t="b">
        <v>0</v>
      </c>
      <c r="AD195" s="5" t="s">
        <v>355</v>
      </c>
      <c r="AE195" s="5">
        <v>220</v>
      </c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 t="s">
        <v>367</v>
      </c>
      <c r="AZ195" s="5">
        <v>11900</v>
      </c>
      <c r="BA195" s="5" t="s">
        <v>417</v>
      </c>
      <c r="BB195" s="5" t="s">
        <v>354</v>
      </c>
      <c r="BC195" s="5">
        <v>10000</v>
      </c>
      <c r="BD195" s="5">
        <v>0</v>
      </c>
      <c r="BE195" s="5" t="s">
        <v>358</v>
      </c>
      <c r="BF195" s="5">
        <v>0</v>
      </c>
      <c r="BG195" s="5"/>
      <c r="BH195" s="5"/>
      <c r="BI195" s="5"/>
      <c r="BJ195" s="5"/>
      <c r="BK195" s="5"/>
      <c r="BL195" s="5"/>
      <c r="BM195" s="5">
        <v>21001309</v>
      </c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X195" s="5">
        <v>200</v>
      </c>
      <c r="GY195" s="5">
        <v>400</v>
      </c>
      <c r="GZ195" s="5" t="s">
        <v>383</v>
      </c>
      <c r="HA195" s="5">
        <v>0</v>
      </c>
      <c r="HB195" s="5">
        <v>30017</v>
      </c>
      <c r="HC195" s="5" t="s">
        <v>366</v>
      </c>
      <c r="HD195" s="5" t="b">
        <v>1</v>
      </c>
      <c r="HE195" s="5">
        <v>9000</v>
      </c>
      <c r="HF195" s="5" t="b">
        <v>0</v>
      </c>
      <c r="HG195" s="5">
        <v>0</v>
      </c>
      <c r="HH195" s="5">
        <v>0</v>
      </c>
      <c r="HI195" s="5">
        <v>0</v>
      </c>
      <c r="HJ195" s="5">
        <v>0</v>
      </c>
      <c r="HK195" s="5" t="b">
        <v>0</v>
      </c>
      <c r="HL195" s="5">
        <v>0</v>
      </c>
      <c r="HM195" s="5">
        <v>10001</v>
      </c>
      <c r="HN195" s="5" t="s">
        <v>367</v>
      </c>
      <c r="HO195" s="5" t="s">
        <v>360</v>
      </c>
      <c r="HP195" s="5">
        <v>0</v>
      </c>
      <c r="HQ195" s="5">
        <v>0</v>
      </c>
      <c r="HR195" s="5">
        <v>0</v>
      </c>
      <c r="HS195" s="5">
        <v>0</v>
      </c>
      <c r="HT195" s="5" t="b">
        <v>0</v>
      </c>
    </row>
    <row r="196" spans="1:228">
      <c r="A196"/>
      <c r="B196" s="1">
        <f>10000000+INDEX(编号表!$B$1:$B$112,MATCH(D196,编号表!$A$1:$A$112,0))*10000+I196</f>
        <v>10190010</v>
      </c>
      <c r="C196" s="5" t="s">
        <v>420</v>
      </c>
      <c r="D196" s="5" t="s">
        <v>420</v>
      </c>
      <c r="E196" s="5" t="s">
        <v>348</v>
      </c>
      <c r="F196" s="5" t="s">
        <v>388</v>
      </c>
      <c r="G196" s="5" t="b">
        <v>0</v>
      </c>
      <c r="H196" s="5" t="b">
        <v>0</v>
      </c>
      <c r="I196" s="5">
        <v>10</v>
      </c>
      <c r="J196" s="5">
        <v>101900</v>
      </c>
      <c r="K196" s="5" t="s">
        <v>350</v>
      </c>
      <c r="L196" s="5">
        <v>10190009</v>
      </c>
      <c r="M196" s="5">
        <v>0</v>
      </c>
      <c r="N196" s="5" t="s">
        <v>421</v>
      </c>
      <c r="O196" s="5">
        <v>10202018</v>
      </c>
      <c r="P196" s="5">
        <v>0</v>
      </c>
      <c r="Q196" s="5">
        <v>3</v>
      </c>
      <c r="R196" s="5">
        <v>40</v>
      </c>
      <c r="S196" s="5">
        <v>0</v>
      </c>
      <c r="T196" s="5">
        <v>0</v>
      </c>
      <c r="U196" s="5" t="s">
        <v>364</v>
      </c>
      <c r="V196" s="5">
        <v>650</v>
      </c>
      <c r="W196" s="5">
        <v>0</v>
      </c>
      <c r="X196" s="5" t="inlineStr">
        <is>
          <t xml:space="preserve">目标点</t>
        </is>
      </c>
      <c r="Y196" s="5" t="s">
        <v>365</v>
      </c>
      <c r="Z196" s="5" t="s">
        <v>354</v>
      </c>
      <c r="AA196" s="5">
        <v>0</v>
      </c>
      <c r="AB196" s="5">
        <v>0</v>
      </c>
      <c r="AC196" s="5" t="b">
        <v>0</v>
      </c>
      <c r="AD196" s="5" t="s">
        <v>355</v>
      </c>
      <c r="AE196" s="5">
        <v>220</v>
      </c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 t="s">
        <v>367</v>
      </c>
      <c r="AZ196" s="5">
        <v>12000</v>
      </c>
      <c r="BA196" s="5" t="s">
        <v>417</v>
      </c>
      <c r="BB196" s="5" t="s">
        <v>354</v>
      </c>
      <c r="BC196" s="5">
        <v>10000</v>
      </c>
      <c r="BD196" s="5">
        <v>0</v>
      </c>
      <c r="BE196" s="5" t="s">
        <v>358</v>
      </c>
      <c r="BF196" s="5">
        <v>0</v>
      </c>
      <c r="BG196" s="5"/>
      <c r="BH196" s="5"/>
      <c r="BI196" s="5"/>
      <c r="BJ196" s="5"/>
      <c r="BK196" s="5"/>
      <c r="BL196" s="5"/>
      <c r="BM196" s="5">
        <v>21001310</v>
      </c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X196" s="5">
        <v>200</v>
      </c>
      <c r="GY196" s="5">
        <v>400</v>
      </c>
      <c r="GZ196" s="5" t="s">
        <v>383</v>
      </c>
      <c r="HA196" s="5">
        <v>0</v>
      </c>
      <c r="HB196" s="5">
        <v>30017</v>
      </c>
      <c r="HC196" s="5" t="s">
        <v>366</v>
      </c>
      <c r="HD196" s="5" t="b">
        <v>1</v>
      </c>
      <c r="HE196" s="5">
        <v>9000</v>
      </c>
      <c r="HF196" s="5" t="b">
        <v>0</v>
      </c>
      <c r="HG196" s="5">
        <v>0</v>
      </c>
      <c r="HH196" s="5">
        <v>0</v>
      </c>
      <c r="HI196" s="5">
        <v>0</v>
      </c>
      <c r="HJ196" s="5">
        <v>0</v>
      </c>
      <c r="HK196" s="5" t="b">
        <v>0</v>
      </c>
      <c r="HL196" s="5">
        <v>0</v>
      </c>
      <c r="HM196" s="5">
        <v>10001</v>
      </c>
      <c r="HN196" s="5" t="s">
        <v>367</v>
      </c>
      <c r="HO196" s="5" t="s">
        <v>360</v>
      </c>
      <c r="HP196" s="5">
        <v>0</v>
      </c>
      <c r="HQ196" s="5">
        <v>0</v>
      </c>
      <c r="HR196" s="5">
        <v>0</v>
      </c>
      <c r="HS196" s="5">
        <v>0</v>
      </c>
      <c r="HT196" s="5" t="b">
        <v>0</v>
      </c>
    </row>
    <row r="197" spans="1:228">
      <c r="A197"/>
      <c r="B197" s="1">
        <f>10000000+INDEX(编号表!$B$1:$B$112,MATCH(D197,编号表!$A$1:$A$112,0))*10000+I197</f>
        <v>10200001</v>
      </c>
      <c r="C197" s="5" t="s">
        <v>422</v>
      </c>
      <c r="D197" s="5" t="s">
        <v>422</v>
      </c>
      <c r="E197" s="5" t="s">
        <v>348</v>
      </c>
      <c r="F197" s="5" t="s">
        <v>362</v>
      </c>
      <c r="G197" s="5" t="b">
        <v>0</v>
      </c>
      <c r="H197" s="5" t="b">
        <v>0</v>
      </c>
      <c r="I197" s="5">
        <v>1</v>
      </c>
      <c r="J197" s="5">
        <v>102000</v>
      </c>
      <c r="K197" s="5" t="s">
        <v>350</v>
      </c>
      <c r="L197" s="5">
        <v>0</v>
      </c>
      <c r="M197" s="5">
        <v>10200002</v>
      </c>
      <c r="N197" s="5" t="s">
        <v>423</v>
      </c>
      <c r="O197" s="5">
        <v>10202019</v>
      </c>
      <c r="P197" s="5">
        <v>0</v>
      </c>
      <c r="Q197" s="5">
        <v>0</v>
      </c>
      <c r="R197" s="5">
        <v>1</v>
      </c>
      <c r="S197" s="5">
        <v>0</v>
      </c>
      <c r="T197" s="5">
        <v>100</v>
      </c>
      <c r="U197" s="5" t="s">
        <v>364</v>
      </c>
      <c r="V197" s="5">
        <v>0</v>
      </c>
      <c r="W197" s="5">
        <v>0</v>
      </c>
      <c r="X197" s="5" t="s">
        <v>360</v>
      </c>
      <c r="Y197" s="5" t="s">
        <v>365</v>
      </c>
      <c r="Z197" s="5" t="s">
        <v>424</v>
      </c>
      <c r="AA197" s="5">
        <v>1</v>
      </c>
      <c r="AB197" s="5">
        <v>0</v>
      </c>
      <c r="AC197" s="5" t="b">
        <v>1</v>
      </c>
      <c r="AD197" s="5" t="s">
        <v>355</v>
      </c>
      <c r="AE197" s="5">
        <v>80</v>
      </c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 t="s">
        <v>367</v>
      </c>
      <c r="AZ197" s="5">
        <v>10000</v>
      </c>
      <c r="BA197" s="5" t="s">
        <v>417</v>
      </c>
      <c r="BB197" s="5" t="s">
        <v>424</v>
      </c>
      <c r="BC197" s="5">
        <v>10000</v>
      </c>
      <c r="BD197" s="5">
        <v>0</v>
      </c>
      <c r="BE197" s="5" t="s">
        <v>358</v>
      </c>
      <c r="BF197" s="5">
        <v>0</v>
      </c>
      <c r="BG197" s="5"/>
      <c r="BH197" s="5"/>
      <c r="BI197" s="5"/>
      <c r="BJ197" s="5"/>
      <c r="BK197" s="5"/>
      <c r="BL197" s="5"/>
      <c r="BM197" s="5">
        <v>21001401</v>
      </c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X197" s="5">
        <v>200</v>
      </c>
      <c r="GY197" s="5">
        <v>400</v>
      </c>
      <c r="GZ197" s="5" t="s">
        <v>383</v>
      </c>
      <c r="HA197" s="5">
        <v>0</v>
      </c>
      <c r="HB197" s="5" t="s">
        <v>366</v>
      </c>
      <c r="HC197" s="5" t="s">
        <v>366</v>
      </c>
      <c r="HD197" s="5" t="b">
        <v>1</v>
      </c>
      <c r="HE197" s="5">
        <v>12000</v>
      </c>
      <c r="HF197" s="5" t="b">
        <v>0</v>
      </c>
      <c r="HG197" s="5">
        <v>0</v>
      </c>
      <c r="HH197" s="5">
        <v>0</v>
      </c>
      <c r="HI197" s="5">
        <v>0</v>
      </c>
      <c r="HJ197" s="5">
        <v>0</v>
      </c>
      <c r="HK197" s="5" t="b">
        <v>0</v>
      </c>
      <c r="HL197" s="5">
        <v>0</v>
      </c>
      <c r="HM197" s="5">
        <v>10001</v>
      </c>
      <c r="HN197" s="5" t="s">
        <v>367</v>
      </c>
      <c r="HO197" s="5" t="s">
        <v>360</v>
      </c>
      <c r="HP197" s="5">
        <v>0</v>
      </c>
      <c r="HQ197" s="5">
        <v>0</v>
      </c>
      <c r="HR197" s="5">
        <v>0</v>
      </c>
      <c r="HS197" s="5">
        <v>0</v>
      </c>
      <c r="HT197" s="5" t="b">
        <v>0</v>
      </c>
    </row>
    <row r="198" spans="1:228">
      <c r="A198"/>
      <c r="B198" s="1">
        <f>10000000+INDEX(编号表!$B$1:$B$112,MATCH(D198,编号表!$A$1:$A$112,0))*10000+I198</f>
        <v>10200002</v>
      </c>
      <c r="C198" s="5" t="s">
        <v>422</v>
      </c>
      <c r="D198" s="5" t="s">
        <v>422</v>
      </c>
      <c r="E198" s="5" t="s">
        <v>348</v>
      </c>
      <c r="F198" s="5" t="s">
        <v>362</v>
      </c>
      <c r="G198" s="5" t="b">
        <v>0</v>
      </c>
      <c r="H198" s="5" t="b">
        <v>0</v>
      </c>
      <c r="I198" s="5">
        <v>2</v>
      </c>
      <c r="J198" s="5">
        <v>102000</v>
      </c>
      <c r="K198" s="5" t="s">
        <v>350</v>
      </c>
      <c r="L198" s="5">
        <v>10200001</v>
      </c>
      <c r="M198" s="5">
        <v>10200003</v>
      </c>
      <c r="N198" s="5" t="s">
        <v>423</v>
      </c>
      <c r="O198" s="5">
        <v>10202019</v>
      </c>
      <c r="P198" s="5">
        <v>0</v>
      </c>
      <c r="Q198" s="5">
        <v>1</v>
      </c>
      <c r="R198" s="5">
        <v>7</v>
      </c>
      <c r="S198" s="5">
        <v>0</v>
      </c>
      <c r="T198" s="5">
        <v>100</v>
      </c>
      <c r="U198" s="5" t="s">
        <v>364</v>
      </c>
      <c r="V198" s="5">
        <v>0</v>
      </c>
      <c r="W198" s="5">
        <v>0</v>
      </c>
      <c r="X198" s="5" t="s">
        <v>360</v>
      </c>
      <c r="Y198" s="5" t="s">
        <v>365</v>
      </c>
      <c r="Z198" s="5" t="s">
        <v>424</v>
      </c>
      <c r="AA198" s="5">
        <v>1</v>
      </c>
      <c r="AB198" s="5">
        <v>0</v>
      </c>
      <c r="AC198" s="5" t="b">
        <v>1</v>
      </c>
      <c r="AD198" s="5" t="s">
        <v>355</v>
      </c>
      <c r="AE198" s="5">
        <v>80</v>
      </c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 t="s">
        <v>367</v>
      </c>
      <c r="AZ198" s="5">
        <v>10400</v>
      </c>
      <c r="BA198" s="5" t="s">
        <v>417</v>
      </c>
      <c r="BB198" s="5" t="s">
        <v>424</v>
      </c>
      <c r="BC198" s="5">
        <v>10000</v>
      </c>
      <c r="BD198" s="5">
        <v>0</v>
      </c>
      <c r="BE198" s="5" t="s">
        <v>358</v>
      </c>
      <c r="BF198" s="5">
        <v>0</v>
      </c>
      <c r="BG198" s="5"/>
      <c r="BH198" s="5"/>
      <c r="BI198" s="5"/>
      <c r="BJ198" s="5"/>
      <c r="BK198" s="5"/>
      <c r="BL198" s="5"/>
      <c r="BM198" s="5">
        <v>21001402</v>
      </c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X198" s="5">
        <v>200</v>
      </c>
      <c r="GY198" s="5">
        <v>400</v>
      </c>
      <c r="GZ198" s="5" t="s">
        <v>383</v>
      </c>
      <c r="HA198" s="5">
        <v>0</v>
      </c>
      <c r="HB198" s="5" t="s">
        <v>366</v>
      </c>
      <c r="HC198" s="5" t="s">
        <v>366</v>
      </c>
      <c r="HD198" s="5" t="b">
        <v>1</v>
      </c>
      <c r="HE198" s="5">
        <v>12000</v>
      </c>
      <c r="HF198" s="5" t="b">
        <v>0</v>
      </c>
      <c r="HG198" s="5">
        <v>0</v>
      </c>
      <c r="HH198" s="5">
        <v>0</v>
      </c>
      <c r="HI198" s="5">
        <v>0</v>
      </c>
      <c r="HJ198" s="5">
        <v>0</v>
      </c>
      <c r="HK198" s="5" t="b">
        <v>0</v>
      </c>
      <c r="HL198" s="5">
        <v>0</v>
      </c>
      <c r="HM198" s="5">
        <v>10001</v>
      </c>
      <c r="HN198" s="5" t="s">
        <v>367</v>
      </c>
      <c r="HO198" s="5" t="s">
        <v>360</v>
      </c>
      <c r="HP198" s="5">
        <v>0</v>
      </c>
      <c r="HQ198" s="5">
        <v>0</v>
      </c>
      <c r="HR198" s="5">
        <v>0</v>
      </c>
      <c r="HS198" s="5">
        <v>0</v>
      </c>
      <c r="HT198" s="5" t="b">
        <v>0</v>
      </c>
    </row>
    <row r="199" spans="1:228">
      <c r="A199"/>
      <c r="B199" s="1">
        <f>10000000+INDEX(编号表!$B$1:$B$112,MATCH(D199,编号表!$A$1:$A$112,0))*10000+I199</f>
        <v>10200003</v>
      </c>
      <c r="C199" s="5" t="s">
        <v>422</v>
      </c>
      <c r="D199" s="5" t="s">
        <v>422</v>
      </c>
      <c r="E199" s="5" t="s">
        <v>348</v>
      </c>
      <c r="F199" s="5" t="s">
        <v>362</v>
      </c>
      <c r="G199" s="5" t="b">
        <v>0</v>
      </c>
      <c r="H199" s="5" t="b">
        <v>0</v>
      </c>
      <c r="I199" s="5">
        <v>3</v>
      </c>
      <c r="J199" s="5">
        <v>102000</v>
      </c>
      <c r="K199" s="5" t="s">
        <v>350</v>
      </c>
      <c r="L199" s="5">
        <v>10200002</v>
      </c>
      <c r="M199" s="5">
        <v>10200004</v>
      </c>
      <c r="N199" s="5" t="s">
        <v>423</v>
      </c>
      <c r="O199" s="5">
        <v>10202019</v>
      </c>
      <c r="P199" s="5">
        <v>0</v>
      </c>
      <c r="Q199" s="5">
        <v>2</v>
      </c>
      <c r="R199" s="5">
        <v>11</v>
      </c>
      <c r="S199" s="5">
        <v>0</v>
      </c>
      <c r="T199" s="5">
        <v>100</v>
      </c>
      <c r="U199" s="5" t="s">
        <v>364</v>
      </c>
      <c r="V199" s="5">
        <v>0</v>
      </c>
      <c r="W199" s="5">
        <v>0</v>
      </c>
      <c r="X199" s="5" t="s">
        <v>360</v>
      </c>
      <c r="Y199" s="5" t="s">
        <v>365</v>
      </c>
      <c r="Z199" s="5" t="s">
        <v>424</v>
      </c>
      <c r="AA199" s="5">
        <v>1</v>
      </c>
      <c r="AB199" s="5">
        <v>0</v>
      </c>
      <c r="AC199" s="5" t="b">
        <v>1</v>
      </c>
      <c r="AD199" s="5" t="s">
        <v>355</v>
      </c>
      <c r="AE199" s="5">
        <v>80</v>
      </c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 t="s">
        <v>367</v>
      </c>
      <c r="AZ199" s="5">
        <v>10800</v>
      </c>
      <c r="BA199" s="5" t="s">
        <v>417</v>
      </c>
      <c r="BB199" s="5" t="s">
        <v>424</v>
      </c>
      <c r="BC199" s="5">
        <v>10000</v>
      </c>
      <c r="BD199" s="5">
        <v>0</v>
      </c>
      <c r="BE199" s="5" t="s">
        <v>358</v>
      </c>
      <c r="BF199" s="5">
        <v>0</v>
      </c>
      <c r="BG199" s="5"/>
      <c r="BH199" s="5"/>
      <c r="BI199" s="5"/>
      <c r="BJ199" s="5"/>
      <c r="BK199" s="5"/>
      <c r="BL199" s="5"/>
      <c r="BM199" s="5">
        <v>21001403</v>
      </c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X199" s="5">
        <v>200</v>
      </c>
      <c r="GY199" s="5">
        <v>400</v>
      </c>
      <c r="GZ199" s="5" t="s">
        <v>383</v>
      </c>
      <c r="HA199" s="5">
        <v>0</v>
      </c>
      <c r="HB199" s="5" t="s">
        <v>366</v>
      </c>
      <c r="HC199" s="5" t="s">
        <v>366</v>
      </c>
      <c r="HD199" s="5" t="b">
        <v>1</v>
      </c>
      <c r="HE199" s="5">
        <v>12000</v>
      </c>
      <c r="HF199" s="5" t="b">
        <v>0</v>
      </c>
      <c r="HG199" s="5">
        <v>0</v>
      </c>
      <c r="HH199" s="5">
        <v>0</v>
      </c>
      <c r="HI199" s="5">
        <v>0</v>
      </c>
      <c r="HJ199" s="5">
        <v>0</v>
      </c>
      <c r="HK199" s="5" t="b">
        <v>0</v>
      </c>
      <c r="HL199" s="5">
        <v>0</v>
      </c>
      <c r="HM199" s="5">
        <v>10001</v>
      </c>
      <c r="HN199" s="5" t="s">
        <v>367</v>
      </c>
      <c r="HO199" s="5" t="s">
        <v>360</v>
      </c>
      <c r="HP199" s="5">
        <v>0</v>
      </c>
      <c r="HQ199" s="5">
        <v>0</v>
      </c>
      <c r="HR199" s="5">
        <v>0</v>
      </c>
      <c r="HS199" s="5">
        <v>0</v>
      </c>
      <c r="HT199" s="5" t="b">
        <v>0</v>
      </c>
    </row>
    <row r="200" spans="1:228">
      <c r="A200"/>
      <c r="B200" s="1">
        <f>10000000+INDEX(编号表!$B$1:$B$112,MATCH(D200,编号表!$A$1:$A$112,0))*10000+I200</f>
        <v>10200004</v>
      </c>
      <c r="C200" s="5" t="s">
        <v>422</v>
      </c>
      <c r="D200" s="5" t="s">
        <v>422</v>
      </c>
      <c r="E200" s="5" t="s">
        <v>348</v>
      </c>
      <c r="F200" s="5" t="s">
        <v>362</v>
      </c>
      <c r="G200" s="5" t="b">
        <v>0</v>
      </c>
      <c r="H200" s="5" t="b">
        <v>0</v>
      </c>
      <c r="I200" s="5">
        <v>4</v>
      </c>
      <c r="J200" s="5">
        <v>102000</v>
      </c>
      <c r="K200" s="5" t="s">
        <v>350</v>
      </c>
      <c r="L200" s="5">
        <v>10200003</v>
      </c>
      <c r="M200" s="5">
        <v>10200005</v>
      </c>
      <c r="N200" s="5" t="s">
        <v>423</v>
      </c>
      <c r="O200" s="5">
        <v>10202019</v>
      </c>
      <c r="P200" s="5">
        <v>0</v>
      </c>
      <c r="Q200" s="5">
        <v>3</v>
      </c>
      <c r="R200" s="5">
        <v>16</v>
      </c>
      <c r="S200" s="5">
        <v>0</v>
      </c>
      <c r="T200" s="5">
        <v>100</v>
      </c>
      <c r="U200" s="5" t="s">
        <v>364</v>
      </c>
      <c r="V200" s="5">
        <v>0</v>
      </c>
      <c r="W200" s="5">
        <v>0</v>
      </c>
      <c r="X200" s="5" t="s">
        <v>360</v>
      </c>
      <c r="Y200" s="5" t="s">
        <v>365</v>
      </c>
      <c r="Z200" s="5" t="s">
        <v>424</v>
      </c>
      <c r="AA200" s="5">
        <v>1</v>
      </c>
      <c r="AB200" s="5">
        <v>0</v>
      </c>
      <c r="AC200" s="5" t="b">
        <v>1</v>
      </c>
      <c r="AD200" s="5" t="s">
        <v>355</v>
      </c>
      <c r="AE200" s="5">
        <v>80</v>
      </c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 t="s">
        <v>367</v>
      </c>
      <c r="AZ200" s="5">
        <v>11200</v>
      </c>
      <c r="BA200" s="5" t="s">
        <v>417</v>
      </c>
      <c r="BB200" s="5" t="s">
        <v>424</v>
      </c>
      <c r="BC200" s="5">
        <v>10000</v>
      </c>
      <c r="BD200" s="5">
        <v>0</v>
      </c>
      <c r="BE200" s="5" t="s">
        <v>358</v>
      </c>
      <c r="BF200" s="5">
        <v>0</v>
      </c>
      <c r="BG200" s="5"/>
      <c r="BH200" s="5"/>
      <c r="BI200" s="5"/>
      <c r="BJ200" s="5"/>
      <c r="BK200" s="5"/>
      <c r="BL200" s="5"/>
      <c r="BM200" s="5">
        <v>21001404</v>
      </c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X200" s="5">
        <v>200</v>
      </c>
      <c r="GY200" s="5">
        <v>400</v>
      </c>
      <c r="GZ200" s="5" t="s">
        <v>383</v>
      </c>
      <c r="HA200" s="5">
        <v>0</v>
      </c>
      <c r="HB200" s="5" t="s">
        <v>366</v>
      </c>
      <c r="HC200" s="5" t="s">
        <v>366</v>
      </c>
      <c r="HD200" s="5" t="b">
        <v>1</v>
      </c>
      <c r="HE200" s="5">
        <v>12000</v>
      </c>
      <c r="HF200" s="5" t="b">
        <v>0</v>
      </c>
      <c r="HG200" s="5">
        <v>0</v>
      </c>
      <c r="HH200" s="5">
        <v>0</v>
      </c>
      <c r="HI200" s="5">
        <v>0</v>
      </c>
      <c r="HJ200" s="5">
        <v>0</v>
      </c>
      <c r="HK200" s="5" t="b">
        <v>0</v>
      </c>
      <c r="HL200" s="5">
        <v>0</v>
      </c>
      <c r="HM200" s="5">
        <v>10001</v>
      </c>
      <c r="HN200" s="5" t="s">
        <v>367</v>
      </c>
      <c r="HO200" s="5" t="s">
        <v>360</v>
      </c>
      <c r="HP200" s="5">
        <v>0</v>
      </c>
      <c r="HQ200" s="5">
        <v>0</v>
      </c>
      <c r="HR200" s="5">
        <v>0</v>
      </c>
      <c r="HS200" s="5">
        <v>0</v>
      </c>
      <c r="HT200" s="5" t="b">
        <v>0</v>
      </c>
    </row>
    <row r="201" spans="1:228">
      <c r="A201"/>
      <c r="B201" s="1">
        <f>10000000+INDEX(编号表!$B$1:$B$112,MATCH(D201,编号表!$A$1:$A$112,0))*10000+I201</f>
        <v>10200005</v>
      </c>
      <c r="C201" s="5" t="s">
        <v>422</v>
      </c>
      <c r="D201" s="5" t="s">
        <v>422</v>
      </c>
      <c r="E201" s="5" t="s">
        <v>348</v>
      </c>
      <c r="F201" s="5" t="s">
        <v>362</v>
      </c>
      <c r="G201" s="5" t="b">
        <v>0</v>
      </c>
      <c r="H201" s="5" t="b">
        <v>0</v>
      </c>
      <c r="I201" s="5">
        <v>5</v>
      </c>
      <c r="J201" s="5">
        <v>102000</v>
      </c>
      <c r="K201" s="5" t="s">
        <v>350</v>
      </c>
      <c r="L201" s="5">
        <v>10200004</v>
      </c>
      <c r="M201" s="5">
        <v>10200006</v>
      </c>
      <c r="N201" s="5" t="s">
        <v>423</v>
      </c>
      <c r="O201" s="5">
        <v>10202019</v>
      </c>
      <c r="P201" s="5">
        <v>0</v>
      </c>
      <c r="Q201" s="5">
        <v>3</v>
      </c>
      <c r="R201" s="5">
        <v>25</v>
      </c>
      <c r="S201" s="5">
        <v>0</v>
      </c>
      <c r="T201" s="5">
        <v>100</v>
      </c>
      <c r="U201" s="5" t="s">
        <v>364</v>
      </c>
      <c r="V201" s="5">
        <v>0</v>
      </c>
      <c r="W201" s="5">
        <v>0</v>
      </c>
      <c r="X201" s="5" t="s">
        <v>360</v>
      </c>
      <c r="Y201" s="5" t="s">
        <v>365</v>
      </c>
      <c r="Z201" s="5" t="s">
        <v>424</v>
      </c>
      <c r="AA201" s="5">
        <v>1</v>
      </c>
      <c r="AB201" s="5">
        <v>0</v>
      </c>
      <c r="AC201" s="5" t="b">
        <v>1</v>
      </c>
      <c r="AD201" s="5" t="s">
        <v>355</v>
      </c>
      <c r="AE201" s="5">
        <v>80</v>
      </c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 t="s">
        <v>367</v>
      </c>
      <c r="AZ201" s="5">
        <v>11300</v>
      </c>
      <c r="BA201" s="5" t="s">
        <v>417</v>
      </c>
      <c r="BB201" s="5" t="s">
        <v>424</v>
      </c>
      <c r="BC201" s="5">
        <v>10000</v>
      </c>
      <c r="BD201" s="5">
        <v>0</v>
      </c>
      <c r="BE201" s="5" t="s">
        <v>358</v>
      </c>
      <c r="BF201" s="5">
        <v>0</v>
      </c>
      <c r="BG201" s="5"/>
      <c r="BH201" s="5"/>
      <c r="BI201" s="5"/>
      <c r="BJ201" s="5"/>
      <c r="BK201" s="5"/>
      <c r="BL201" s="5"/>
      <c r="BM201" s="5">
        <v>21001405</v>
      </c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X201" s="5">
        <v>200</v>
      </c>
      <c r="GY201" s="5">
        <v>400</v>
      </c>
      <c r="GZ201" s="5" t="s">
        <v>383</v>
      </c>
      <c r="HA201" s="5">
        <v>0</v>
      </c>
      <c r="HB201" s="5" t="s">
        <v>366</v>
      </c>
      <c r="HC201" s="5" t="s">
        <v>366</v>
      </c>
      <c r="HD201" s="5" t="b">
        <v>1</v>
      </c>
      <c r="HE201" s="5">
        <v>12000</v>
      </c>
      <c r="HF201" s="5" t="b">
        <v>0</v>
      </c>
      <c r="HG201" s="5">
        <v>0</v>
      </c>
      <c r="HH201" s="5">
        <v>0</v>
      </c>
      <c r="HI201" s="5">
        <v>0</v>
      </c>
      <c r="HJ201" s="5">
        <v>0</v>
      </c>
      <c r="HK201" s="5" t="b">
        <v>0</v>
      </c>
      <c r="HL201" s="5">
        <v>0</v>
      </c>
      <c r="HM201" s="5">
        <v>10001</v>
      </c>
      <c r="HN201" s="5" t="s">
        <v>367</v>
      </c>
      <c r="HO201" s="5" t="s">
        <v>360</v>
      </c>
      <c r="HP201" s="5">
        <v>0</v>
      </c>
      <c r="HQ201" s="5">
        <v>0</v>
      </c>
      <c r="HR201" s="5">
        <v>0</v>
      </c>
      <c r="HS201" s="5">
        <v>0</v>
      </c>
      <c r="HT201" s="5" t="b">
        <v>0</v>
      </c>
    </row>
    <row r="202" spans="1:228">
      <c r="A202"/>
      <c r="B202" s="1">
        <f>10000000+INDEX(编号表!$B$1:$B$112,MATCH(D202,编号表!$A$1:$A$112,0))*10000+I202</f>
        <v>10200006</v>
      </c>
      <c r="C202" s="5" t="s">
        <v>422</v>
      </c>
      <c r="D202" s="5" t="s">
        <v>422</v>
      </c>
      <c r="E202" s="5" t="s">
        <v>348</v>
      </c>
      <c r="F202" s="5" t="s">
        <v>362</v>
      </c>
      <c r="G202" s="5" t="b">
        <v>0</v>
      </c>
      <c r="H202" s="5" t="b">
        <v>0</v>
      </c>
      <c r="I202" s="5">
        <v>6</v>
      </c>
      <c r="J202" s="5">
        <v>102000</v>
      </c>
      <c r="K202" s="5" t="s">
        <v>350</v>
      </c>
      <c r="L202" s="5">
        <v>10200005</v>
      </c>
      <c r="M202" s="5">
        <v>10200007</v>
      </c>
      <c r="N202" s="5" t="s">
        <v>423</v>
      </c>
      <c r="O202" s="5">
        <v>10202019</v>
      </c>
      <c r="P202" s="5">
        <v>0</v>
      </c>
      <c r="Q202" s="5">
        <v>3</v>
      </c>
      <c r="R202" s="5">
        <v>30</v>
      </c>
      <c r="S202" s="5">
        <v>0</v>
      </c>
      <c r="T202" s="5">
        <v>100</v>
      </c>
      <c r="U202" s="5" t="s">
        <v>364</v>
      </c>
      <c r="V202" s="5">
        <v>0</v>
      </c>
      <c r="W202" s="5">
        <v>0</v>
      </c>
      <c r="X202" s="5" t="s">
        <v>360</v>
      </c>
      <c r="Y202" s="5" t="s">
        <v>365</v>
      </c>
      <c r="Z202" s="5" t="s">
        <v>424</v>
      </c>
      <c r="AA202" s="5">
        <v>1</v>
      </c>
      <c r="AB202" s="5">
        <v>0</v>
      </c>
      <c r="AC202" s="5" t="b">
        <v>1</v>
      </c>
      <c r="AD202" s="5" t="s">
        <v>355</v>
      </c>
      <c r="AE202" s="5">
        <v>80</v>
      </c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 t="s">
        <v>367</v>
      </c>
      <c r="AZ202" s="5">
        <v>11600</v>
      </c>
      <c r="BA202" s="5" t="s">
        <v>417</v>
      </c>
      <c r="BB202" s="5" t="s">
        <v>424</v>
      </c>
      <c r="BC202" s="5">
        <v>10000</v>
      </c>
      <c r="BD202" s="5">
        <v>0</v>
      </c>
      <c r="BE202" s="5" t="s">
        <v>358</v>
      </c>
      <c r="BF202" s="5">
        <v>0</v>
      </c>
      <c r="BG202" s="5"/>
      <c r="BH202" s="5"/>
      <c r="BI202" s="5"/>
      <c r="BJ202" s="5"/>
      <c r="BK202" s="5"/>
      <c r="BL202" s="5"/>
      <c r="BM202" s="5">
        <v>21001406</v>
      </c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X202" s="5">
        <v>200</v>
      </c>
      <c r="GY202" s="5">
        <v>400</v>
      </c>
      <c r="GZ202" s="5" t="s">
        <v>383</v>
      </c>
      <c r="HA202" s="5">
        <v>0</v>
      </c>
      <c r="HB202" s="5" t="s">
        <v>366</v>
      </c>
      <c r="HC202" s="5" t="s">
        <v>366</v>
      </c>
      <c r="HD202" s="5" t="b">
        <v>1</v>
      </c>
      <c r="HE202" s="5">
        <v>12000</v>
      </c>
      <c r="HF202" s="5" t="b">
        <v>0</v>
      </c>
      <c r="HG202" s="5">
        <v>0</v>
      </c>
      <c r="HH202" s="5">
        <v>0</v>
      </c>
      <c r="HI202" s="5">
        <v>0</v>
      </c>
      <c r="HJ202" s="5">
        <v>0</v>
      </c>
      <c r="HK202" s="5" t="b">
        <v>0</v>
      </c>
      <c r="HL202" s="5">
        <v>0</v>
      </c>
      <c r="HM202" s="5">
        <v>10001</v>
      </c>
      <c r="HN202" s="5" t="s">
        <v>367</v>
      </c>
      <c r="HO202" s="5" t="s">
        <v>360</v>
      </c>
      <c r="HP202" s="5">
        <v>0</v>
      </c>
      <c r="HQ202" s="5">
        <v>0</v>
      </c>
      <c r="HR202" s="5">
        <v>0</v>
      </c>
      <c r="HS202" s="5">
        <v>0</v>
      </c>
      <c r="HT202" s="5" t="b">
        <v>0</v>
      </c>
    </row>
    <row r="203" spans="1:228">
      <c r="A203"/>
      <c r="B203" s="1">
        <f>10000000+INDEX(编号表!$B$1:$B$112,MATCH(D203,编号表!$A$1:$A$112,0))*10000+I203</f>
        <v>10200007</v>
      </c>
      <c r="C203" s="5" t="s">
        <v>422</v>
      </c>
      <c r="D203" s="5" t="s">
        <v>422</v>
      </c>
      <c r="E203" s="5" t="s">
        <v>348</v>
      </c>
      <c r="F203" s="5" t="s">
        <v>362</v>
      </c>
      <c r="G203" s="5" t="b">
        <v>0</v>
      </c>
      <c r="H203" s="5" t="b">
        <v>0</v>
      </c>
      <c r="I203" s="5">
        <v>7</v>
      </c>
      <c r="J203" s="5">
        <v>102000</v>
      </c>
      <c r="K203" s="5" t="s">
        <v>350</v>
      </c>
      <c r="L203" s="5">
        <v>10200006</v>
      </c>
      <c r="M203" s="5">
        <v>10200008</v>
      </c>
      <c r="N203" s="5" t="s">
        <v>423</v>
      </c>
      <c r="O203" s="5">
        <v>10202019</v>
      </c>
      <c r="P203" s="5">
        <v>0</v>
      </c>
      <c r="Q203" s="5">
        <v>3</v>
      </c>
      <c r="R203" s="5">
        <v>35</v>
      </c>
      <c r="S203" s="5">
        <v>0</v>
      </c>
      <c r="T203" s="5">
        <v>100</v>
      </c>
      <c r="U203" s="5" t="s">
        <v>364</v>
      </c>
      <c r="V203" s="5">
        <v>0</v>
      </c>
      <c r="W203" s="5">
        <v>0</v>
      </c>
      <c r="X203" s="5" t="s">
        <v>360</v>
      </c>
      <c r="Y203" s="5" t="s">
        <v>365</v>
      </c>
      <c r="Z203" s="5" t="s">
        <v>424</v>
      </c>
      <c r="AA203" s="5">
        <v>1</v>
      </c>
      <c r="AB203" s="5">
        <v>0</v>
      </c>
      <c r="AC203" s="5" t="b">
        <v>1</v>
      </c>
      <c r="AD203" s="5" t="s">
        <v>355</v>
      </c>
      <c r="AE203" s="5">
        <v>80</v>
      </c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 t="s">
        <v>367</v>
      </c>
      <c r="AZ203" s="5">
        <v>11700</v>
      </c>
      <c r="BA203" s="5" t="s">
        <v>417</v>
      </c>
      <c r="BB203" s="5" t="s">
        <v>424</v>
      </c>
      <c r="BC203" s="5">
        <v>10000</v>
      </c>
      <c r="BD203" s="5">
        <v>0</v>
      </c>
      <c r="BE203" s="5" t="s">
        <v>358</v>
      </c>
      <c r="BF203" s="5">
        <v>0</v>
      </c>
      <c r="BG203" s="5"/>
      <c r="BH203" s="5"/>
      <c r="BI203" s="5"/>
      <c r="BJ203" s="5"/>
      <c r="BK203" s="5"/>
      <c r="BL203" s="5"/>
      <c r="BM203" s="5">
        <v>21001407</v>
      </c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X203" s="5">
        <v>200</v>
      </c>
      <c r="GY203" s="5">
        <v>400</v>
      </c>
      <c r="GZ203" s="5" t="s">
        <v>383</v>
      </c>
      <c r="HA203" s="5">
        <v>0</v>
      </c>
      <c r="HB203" s="5" t="s">
        <v>366</v>
      </c>
      <c r="HC203" s="5" t="s">
        <v>366</v>
      </c>
      <c r="HD203" s="5" t="b">
        <v>1</v>
      </c>
      <c r="HE203" s="5">
        <v>12000</v>
      </c>
      <c r="HF203" s="5" t="b">
        <v>0</v>
      </c>
      <c r="HG203" s="5">
        <v>0</v>
      </c>
      <c r="HH203" s="5">
        <v>0</v>
      </c>
      <c r="HI203" s="5">
        <v>0</v>
      </c>
      <c r="HJ203" s="5">
        <v>0</v>
      </c>
      <c r="HK203" s="5" t="b">
        <v>0</v>
      </c>
      <c r="HL203" s="5">
        <v>0</v>
      </c>
      <c r="HM203" s="5">
        <v>10001</v>
      </c>
      <c r="HN203" s="5" t="s">
        <v>367</v>
      </c>
      <c r="HO203" s="5" t="s">
        <v>360</v>
      </c>
      <c r="HP203" s="5">
        <v>0</v>
      </c>
      <c r="HQ203" s="5">
        <v>0</v>
      </c>
      <c r="HR203" s="5">
        <v>0</v>
      </c>
      <c r="HS203" s="5">
        <v>0</v>
      </c>
      <c r="HT203" s="5" t="b">
        <v>0</v>
      </c>
    </row>
    <row r="204" spans="1:228">
      <c r="A204"/>
      <c r="B204" s="1">
        <f>10000000+INDEX(编号表!$B$1:$B$112,MATCH(D204,编号表!$A$1:$A$112,0))*10000+I204</f>
        <v>10200008</v>
      </c>
      <c r="C204" s="5" t="s">
        <v>422</v>
      </c>
      <c r="D204" s="5" t="s">
        <v>422</v>
      </c>
      <c r="E204" s="5" t="s">
        <v>348</v>
      </c>
      <c r="F204" s="5" t="s">
        <v>362</v>
      </c>
      <c r="G204" s="5" t="b">
        <v>0</v>
      </c>
      <c r="H204" s="5" t="b">
        <v>0</v>
      </c>
      <c r="I204" s="5">
        <v>8</v>
      </c>
      <c r="J204" s="5">
        <v>102000</v>
      </c>
      <c r="K204" s="5" t="s">
        <v>350</v>
      </c>
      <c r="L204" s="5">
        <v>10200007</v>
      </c>
      <c r="M204" s="5">
        <v>10200009</v>
      </c>
      <c r="N204" s="5" t="s">
        <v>423</v>
      </c>
      <c r="O204" s="5">
        <v>10202019</v>
      </c>
      <c r="P204" s="5">
        <v>0</v>
      </c>
      <c r="Q204" s="5">
        <v>3</v>
      </c>
      <c r="R204" s="5">
        <v>35</v>
      </c>
      <c r="S204" s="5">
        <v>0</v>
      </c>
      <c r="T204" s="5">
        <v>100</v>
      </c>
      <c r="U204" s="5" t="s">
        <v>364</v>
      </c>
      <c r="V204" s="5">
        <v>0</v>
      </c>
      <c r="W204" s="5">
        <v>0</v>
      </c>
      <c r="X204" s="5" t="s">
        <v>360</v>
      </c>
      <c r="Y204" s="5" t="s">
        <v>365</v>
      </c>
      <c r="Z204" s="5" t="s">
        <v>424</v>
      </c>
      <c r="AA204" s="5">
        <v>1</v>
      </c>
      <c r="AB204" s="5">
        <v>0</v>
      </c>
      <c r="AC204" s="5" t="b">
        <v>1</v>
      </c>
      <c r="AD204" s="5" t="s">
        <v>355</v>
      </c>
      <c r="AE204" s="5">
        <v>80</v>
      </c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 t="s">
        <v>367</v>
      </c>
      <c r="AZ204" s="5">
        <v>11800</v>
      </c>
      <c r="BA204" s="5" t="s">
        <v>417</v>
      </c>
      <c r="BB204" s="5" t="s">
        <v>424</v>
      </c>
      <c r="BC204" s="5">
        <v>10000</v>
      </c>
      <c r="BD204" s="5">
        <v>0</v>
      </c>
      <c r="BE204" s="5" t="s">
        <v>358</v>
      </c>
      <c r="BF204" s="5">
        <v>0</v>
      </c>
      <c r="BG204" s="5"/>
      <c r="BH204" s="5"/>
      <c r="BI204" s="5"/>
      <c r="BJ204" s="5"/>
      <c r="BK204" s="5"/>
      <c r="BL204" s="5"/>
      <c r="BM204" s="5">
        <v>21001408</v>
      </c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X204" s="5">
        <v>200</v>
      </c>
      <c r="GY204" s="5">
        <v>400</v>
      </c>
      <c r="GZ204" s="5" t="s">
        <v>383</v>
      </c>
      <c r="HA204" s="5">
        <v>0</v>
      </c>
      <c r="HB204" s="5" t="s">
        <v>366</v>
      </c>
      <c r="HC204" s="5" t="s">
        <v>366</v>
      </c>
      <c r="HD204" s="5" t="b">
        <v>1</v>
      </c>
      <c r="HE204" s="5">
        <v>12000</v>
      </c>
      <c r="HF204" s="5" t="b">
        <v>0</v>
      </c>
      <c r="HG204" s="5">
        <v>0</v>
      </c>
      <c r="HH204" s="5">
        <v>0</v>
      </c>
      <c r="HI204" s="5">
        <v>0</v>
      </c>
      <c r="HJ204" s="5">
        <v>0</v>
      </c>
      <c r="HK204" s="5" t="b">
        <v>0</v>
      </c>
      <c r="HL204" s="5">
        <v>0</v>
      </c>
      <c r="HM204" s="5">
        <v>10001</v>
      </c>
      <c r="HN204" s="5" t="s">
        <v>367</v>
      </c>
      <c r="HO204" s="5" t="s">
        <v>360</v>
      </c>
      <c r="HP204" s="5">
        <v>0</v>
      </c>
      <c r="HQ204" s="5">
        <v>0</v>
      </c>
      <c r="HR204" s="5">
        <v>0</v>
      </c>
      <c r="HS204" s="5">
        <v>0</v>
      </c>
      <c r="HT204" s="5" t="b">
        <v>0</v>
      </c>
    </row>
    <row r="205" spans="1:228">
      <c r="A205"/>
      <c r="B205" s="1">
        <f>10000000+INDEX(编号表!$B$1:$B$112,MATCH(D205,编号表!$A$1:$A$112,0))*10000+I205</f>
        <v>10200009</v>
      </c>
      <c r="C205" s="5" t="s">
        <v>422</v>
      </c>
      <c r="D205" s="5" t="s">
        <v>422</v>
      </c>
      <c r="E205" s="5" t="s">
        <v>348</v>
      </c>
      <c r="F205" s="5" t="s">
        <v>362</v>
      </c>
      <c r="G205" s="5" t="b">
        <v>0</v>
      </c>
      <c r="H205" s="5" t="b">
        <v>0</v>
      </c>
      <c r="I205" s="5">
        <v>9</v>
      </c>
      <c r="J205" s="5">
        <v>102000</v>
      </c>
      <c r="K205" s="5" t="s">
        <v>350</v>
      </c>
      <c r="L205" s="5">
        <v>10200008</v>
      </c>
      <c r="M205" s="5">
        <v>10200010</v>
      </c>
      <c r="N205" s="5" t="s">
        <v>423</v>
      </c>
      <c r="O205" s="5">
        <v>10202019</v>
      </c>
      <c r="P205" s="5">
        <v>0</v>
      </c>
      <c r="Q205" s="5">
        <v>3</v>
      </c>
      <c r="R205" s="5">
        <v>40</v>
      </c>
      <c r="S205" s="5">
        <v>0</v>
      </c>
      <c r="T205" s="5">
        <v>100</v>
      </c>
      <c r="U205" s="5" t="s">
        <v>364</v>
      </c>
      <c r="V205" s="5">
        <v>0</v>
      </c>
      <c r="W205" s="5">
        <v>0</v>
      </c>
      <c r="X205" s="5" t="s">
        <v>360</v>
      </c>
      <c r="Y205" s="5" t="s">
        <v>365</v>
      </c>
      <c r="Z205" s="5" t="s">
        <v>424</v>
      </c>
      <c r="AA205" s="5">
        <v>1</v>
      </c>
      <c r="AB205" s="5">
        <v>0</v>
      </c>
      <c r="AC205" s="5" t="b">
        <v>1</v>
      </c>
      <c r="AD205" s="5" t="s">
        <v>355</v>
      </c>
      <c r="AE205" s="5">
        <v>80</v>
      </c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 t="s">
        <v>367</v>
      </c>
      <c r="AZ205" s="5">
        <v>11900</v>
      </c>
      <c r="BA205" s="5" t="s">
        <v>417</v>
      </c>
      <c r="BB205" s="5" t="s">
        <v>424</v>
      </c>
      <c r="BC205" s="5">
        <v>10000</v>
      </c>
      <c r="BD205" s="5">
        <v>0</v>
      </c>
      <c r="BE205" s="5" t="s">
        <v>358</v>
      </c>
      <c r="BF205" s="5">
        <v>0</v>
      </c>
      <c r="BG205" s="5"/>
      <c r="BH205" s="5"/>
      <c r="BI205" s="5"/>
      <c r="BJ205" s="5"/>
      <c r="BK205" s="5"/>
      <c r="BL205" s="5"/>
      <c r="BM205" s="5">
        <v>21001409</v>
      </c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X205" s="5">
        <v>200</v>
      </c>
      <c r="GY205" s="5">
        <v>400</v>
      </c>
      <c r="GZ205" s="5" t="s">
        <v>383</v>
      </c>
      <c r="HA205" s="5">
        <v>0</v>
      </c>
      <c r="HB205" s="5" t="s">
        <v>366</v>
      </c>
      <c r="HC205" s="5" t="s">
        <v>366</v>
      </c>
      <c r="HD205" s="5" t="b">
        <v>1</v>
      </c>
      <c r="HE205" s="5">
        <v>12000</v>
      </c>
      <c r="HF205" s="5" t="b">
        <v>0</v>
      </c>
      <c r="HG205" s="5">
        <v>0</v>
      </c>
      <c r="HH205" s="5">
        <v>0</v>
      </c>
      <c r="HI205" s="5">
        <v>0</v>
      </c>
      <c r="HJ205" s="5">
        <v>0</v>
      </c>
      <c r="HK205" s="5" t="b">
        <v>0</v>
      </c>
      <c r="HL205" s="5">
        <v>0</v>
      </c>
      <c r="HM205" s="5">
        <v>10001</v>
      </c>
      <c r="HN205" s="5" t="s">
        <v>367</v>
      </c>
      <c r="HO205" s="5" t="s">
        <v>360</v>
      </c>
      <c r="HP205" s="5">
        <v>0</v>
      </c>
      <c r="HQ205" s="5">
        <v>0</v>
      </c>
      <c r="HR205" s="5">
        <v>0</v>
      </c>
      <c r="HS205" s="5">
        <v>0</v>
      </c>
      <c r="HT205" s="5" t="b">
        <v>0</v>
      </c>
    </row>
    <row r="206" spans="1:228">
      <c r="A206"/>
      <c r="B206" s="1">
        <f>10000000+INDEX(编号表!$B$1:$B$112,MATCH(D206,编号表!$A$1:$A$112,0))*10000+I206</f>
        <v>10200010</v>
      </c>
      <c r="C206" s="5" t="s">
        <v>422</v>
      </c>
      <c r="D206" s="5" t="s">
        <v>422</v>
      </c>
      <c r="E206" s="5" t="s">
        <v>348</v>
      </c>
      <c r="F206" s="5" t="s">
        <v>362</v>
      </c>
      <c r="G206" s="5" t="b">
        <v>0</v>
      </c>
      <c r="H206" s="5" t="b">
        <v>0</v>
      </c>
      <c r="I206" s="5">
        <v>10</v>
      </c>
      <c r="J206" s="5">
        <v>102000</v>
      </c>
      <c r="K206" s="5" t="s">
        <v>350</v>
      </c>
      <c r="L206" s="5">
        <v>10200009</v>
      </c>
      <c r="M206" s="5">
        <v>0</v>
      </c>
      <c r="N206" s="5" t="s">
        <v>423</v>
      </c>
      <c r="O206" s="5">
        <v>10202019</v>
      </c>
      <c r="P206" s="5">
        <v>0</v>
      </c>
      <c r="Q206" s="5">
        <v>3</v>
      </c>
      <c r="R206" s="5">
        <v>40</v>
      </c>
      <c r="S206" s="5">
        <v>0</v>
      </c>
      <c r="T206" s="5">
        <v>0</v>
      </c>
      <c r="U206" s="5" t="s">
        <v>364</v>
      </c>
      <c r="V206" s="5">
        <v>0</v>
      </c>
      <c r="W206" s="5">
        <v>0</v>
      </c>
      <c r="X206" s="5" t="s">
        <v>360</v>
      </c>
      <c r="Y206" s="5" t="s">
        <v>365</v>
      </c>
      <c r="Z206" s="5" t="s">
        <v>424</v>
      </c>
      <c r="AA206" s="5">
        <v>1</v>
      </c>
      <c r="AB206" s="5">
        <v>0</v>
      </c>
      <c r="AC206" s="5" t="b">
        <v>1</v>
      </c>
      <c r="AD206" s="5" t="s">
        <v>355</v>
      </c>
      <c r="AE206" s="5">
        <v>80</v>
      </c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 t="s">
        <v>367</v>
      </c>
      <c r="AZ206" s="5">
        <v>12000</v>
      </c>
      <c r="BA206" s="5" t="s">
        <v>417</v>
      </c>
      <c r="BB206" s="5" t="s">
        <v>424</v>
      </c>
      <c r="BC206" s="5">
        <v>10000</v>
      </c>
      <c r="BD206" s="5">
        <v>0</v>
      </c>
      <c r="BE206" s="5" t="s">
        <v>358</v>
      </c>
      <c r="BF206" s="5">
        <v>0</v>
      </c>
      <c r="BG206" s="5"/>
      <c r="BH206" s="5"/>
      <c r="BI206" s="5"/>
      <c r="BJ206" s="5"/>
      <c r="BK206" s="5"/>
      <c r="BL206" s="5"/>
      <c r="BM206" s="5">
        <v>21001410</v>
      </c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X206" s="5">
        <v>200</v>
      </c>
      <c r="GY206" s="5">
        <v>400</v>
      </c>
      <c r="GZ206" s="5" t="s">
        <v>383</v>
      </c>
      <c r="HA206" s="5">
        <v>0</v>
      </c>
      <c r="HB206" s="5" t="s">
        <v>366</v>
      </c>
      <c r="HC206" s="5" t="s">
        <v>366</v>
      </c>
      <c r="HD206" s="5" t="b">
        <v>1</v>
      </c>
      <c r="HE206" s="5">
        <v>12000</v>
      </c>
      <c r="HF206" s="5" t="b">
        <v>0</v>
      </c>
      <c r="HG206" s="5">
        <v>0</v>
      </c>
      <c r="HH206" s="5">
        <v>0</v>
      </c>
      <c r="HI206" s="5">
        <v>0</v>
      </c>
      <c r="HJ206" s="5">
        <v>0</v>
      </c>
      <c r="HK206" s="5" t="b">
        <v>0</v>
      </c>
      <c r="HL206" s="5">
        <v>0</v>
      </c>
      <c r="HM206" s="5">
        <v>10001</v>
      </c>
      <c r="HN206" s="5" t="s">
        <v>367</v>
      </c>
      <c r="HO206" s="5" t="s">
        <v>360</v>
      </c>
      <c r="HP206" s="5">
        <v>0</v>
      </c>
      <c r="HQ206" s="5">
        <v>0</v>
      </c>
      <c r="HR206" s="5">
        <v>0</v>
      </c>
      <c r="HS206" s="5">
        <v>0</v>
      </c>
      <c r="HT206" s="5" t="b">
        <v>0</v>
      </c>
    </row>
    <row r="207" spans="1:228">
      <c r="A207"/>
      <c r="B207" s="1">
        <f>10000000+INDEX(编号表!$B$1:$B$112,MATCH(D207,编号表!$A$1:$A$112,0))*10000+I207</f>
        <v>10210001</v>
      </c>
      <c r="C207" s="5" t="s">
        <v>425</v>
      </c>
      <c r="D207" s="5" t="s">
        <v>425</v>
      </c>
      <c r="E207" s="5" t="s">
        <v>348</v>
      </c>
      <c r="F207" s="5" t="s">
        <v>397</v>
      </c>
      <c r="G207" s="5" t="b">
        <v>0</v>
      </c>
      <c r="H207" s="5" t="b">
        <v>0</v>
      </c>
      <c r="I207" s="5">
        <v>1</v>
      </c>
      <c r="J207" s="5">
        <v>102100</v>
      </c>
      <c r="K207" s="5" t="s">
        <v>350</v>
      </c>
      <c r="L207" s="5">
        <v>0</v>
      </c>
      <c r="M207" s="5">
        <v>10210002</v>
      </c>
      <c r="N207" s="5" t="s">
        <v>426</v>
      </c>
      <c r="O207" s="5">
        <v>10202020</v>
      </c>
      <c r="P207" s="5">
        <v>0</v>
      </c>
      <c r="Q207" s="5">
        <v>0</v>
      </c>
      <c r="R207" s="5">
        <v>1</v>
      </c>
      <c r="S207" s="5">
        <v>0</v>
      </c>
      <c r="T207" s="5">
        <v>100</v>
      </c>
      <c r="U207" s="5" t="s">
        <v>364</v>
      </c>
      <c r="V207" s="5">
        <v>0</v>
      </c>
      <c r="W207" s="5">
        <v>0</v>
      </c>
      <c r="X207" s="5" t="s">
        <v>360</v>
      </c>
      <c r="Y207" s="5" t="s">
        <v>365</v>
      </c>
      <c r="Z207" s="5" t="s">
        <v>424</v>
      </c>
      <c r="AA207" s="5">
        <v>1</v>
      </c>
      <c r="AB207" s="5">
        <v>0</v>
      </c>
      <c r="AC207" s="5" t="b">
        <v>1</v>
      </c>
      <c r="AD207" s="5" t="s">
        <v>355</v>
      </c>
      <c r="AE207" s="5">
        <v>80</v>
      </c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 t="s">
        <v>367</v>
      </c>
      <c r="AZ207" s="5">
        <v>10000</v>
      </c>
      <c r="BA207" s="5" t="s">
        <v>417</v>
      </c>
      <c r="BB207" s="5" t="s">
        <v>424</v>
      </c>
      <c r="BC207" s="5">
        <v>10000</v>
      </c>
      <c r="BD207" s="5">
        <v>0</v>
      </c>
      <c r="BE207" s="5" t="s">
        <v>358</v>
      </c>
      <c r="BF207" s="5">
        <v>0</v>
      </c>
      <c r="BG207" s="5"/>
      <c r="BH207" s="5"/>
      <c r="BI207" s="5"/>
      <c r="BJ207" s="5"/>
      <c r="BK207" s="5"/>
      <c r="BL207" s="5"/>
      <c r="BM207" s="5">
        <v>21001501</v>
      </c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X207" s="5">
        <v>200</v>
      </c>
      <c r="GY207" s="5">
        <v>400</v>
      </c>
      <c r="GZ207" s="5" t="s">
        <v>383</v>
      </c>
      <c r="HA207" s="5">
        <v>0</v>
      </c>
      <c r="HB207" s="5" t="s">
        <v>366</v>
      </c>
      <c r="HC207" s="5" t="s">
        <v>366</v>
      </c>
      <c r="HD207" s="5" t="b">
        <v>1</v>
      </c>
      <c r="HE207" s="5">
        <v>12000</v>
      </c>
      <c r="HF207" s="5" t="b">
        <v>0</v>
      </c>
      <c r="HG207" s="5">
        <v>0</v>
      </c>
      <c r="HH207" s="5">
        <v>0</v>
      </c>
      <c r="HI207" s="5">
        <v>0</v>
      </c>
      <c r="HJ207" s="5">
        <v>0</v>
      </c>
      <c r="HK207" s="5" t="b">
        <v>0</v>
      </c>
      <c r="HL207" s="5">
        <v>0</v>
      </c>
      <c r="HM207" s="5">
        <v>10001</v>
      </c>
      <c r="HN207" s="5" t="s">
        <v>367</v>
      </c>
      <c r="HO207" s="5" t="s">
        <v>360</v>
      </c>
      <c r="HP207" s="5">
        <v>0</v>
      </c>
      <c r="HQ207" s="5">
        <v>0</v>
      </c>
      <c r="HR207" s="5">
        <v>0</v>
      </c>
      <c r="HS207" s="5">
        <v>0</v>
      </c>
      <c r="HT207" s="5" t="b">
        <v>0</v>
      </c>
    </row>
    <row r="208" spans="1:228">
      <c r="A208"/>
      <c r="B208" s="1">
        <f>10000000+INDEX(编号表!$B$1:$B$112,MATCH(D208,编号表!$A$1:$A$112,0))*10000+I208</f>
        <v>10210002</v>
      </c>
      <c r="C208" s="5" t="s">
        <v>425</v>
      </c>
      <c r="D208" s="5" t="s">
        <v>425</v>
      </c>
      <c r="E208" s="5" t="s">
        <v>348</v>
      </c>
      <c r="F208" s="5" t="s">
        <v>397</v>
      </c>
      <c r="G208" s="5" t="b">
        <v>0</v>
      </c>
      <c r="H208" s="5" t="b">
        <v>0</v>
      </c>
      <c r="I208" s="5">
        <v>2</v>
      </c>
      <c r="J208" s="5">
        <v>102100</v>
      </c>
      <c r="K208" s="5" t="s">
        <v>350</v>
      </c>
      <c r="L208" s="5">
        <v>10210001</v>
      </c>
      <c r="M208" s="5">
        <v>10210003</v>
      </c>
      <c r="N208" s="5" t="s">
        <v>426</v>
      </c>
      <c r="O208" s="5">
        <v>10202020</v>
      </c>
      <c r="P208" s="5">
        <v>0</v>
      </c>
      <c r="Q208" s="5">
        <v>1</v>
      </c>
      <c r="R208" s="5">
        <v>7</v>
      </c>
      <c r="S208" s="5">
        <v>0</v>
      </c>
      <c r="T208" s="5">
        <v>100</v>
      </c>
      <c r="U208" s="5" t="s">
        <v>364</v>
      </c>
      <c r="V208" s="5">
        <v>0</v>
      </c>
      <c r="W208" s="5">
        <v>0</v>
      </c>
      <c r="X208" s="5" t="s">
        <v>360</v>
      </c>
      <c r="Y208" s="5" t="s">
        <v>365</v>
      </c>
      <c r="Z208" s="5" t="s">
        <v>424</v>
      </c>
      <c r="AA208" s="5">
        <v>1</v>
      </c>
      <c r="AB208" s="5">
        <v>0</v>
      </c>
      <c r="AC208" s="5" t="b">
        <v>1</v>
      </c>
      <c r="AD208" s="5" t="s">
        <v>355</v>
      </c>
      <c r="AE208" s="5">
        <v>80</v>
      </c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 t="s">
        <v>367</v>
      </c>
      <c r="AZ208" s="5">
        <v>10400</v>
      </c>
      <c r="BA208" s="5" t="s">
        <v>417</v>
      </c>
      <c r="BB208" s="5" t="s">
        <v>424</v>
      </c>
      <c r="BC208" s="5">
        <v>10000</v>
      </c>
      <c r="BD208" s="5">
        <v>0</v>
      </c>
      <c r="BE208" s="5" t="s">
        <v>358</v>
      </c>
      <c r="BF208" s="5">
        <v>0</v>
      </c>
      <c r="BG208" s="5"/>
      <c r="BH208" s="5"/>
      <c r="BI208" s="5"/>
      <c r="BJ208" s="5"/>
      <c r="BK208" s="5"/>
      <c r="BL208" s="5"/>
      <c r="BM208" s="5">
        <v>21001502</v>
      </c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X208" s="5">
        <v>200</v>
      </c>
      <c r="GY208" s="5">
        <v>400</v>
      </c>
      <c r="GZ208" s="5" t="s">
        <v>383</v>
      </c>
      <c r="HA208" s="5">
        <v>0</v>
      </c>
      <c r="HB208" s="5" t="s">
        <v>366</v>
      </c>
      <c r="HC208" s="5" t="s">
        <v>366</v>
      </c>
      <c r="HD208" s="5" t="b">
        <v>1</v>
      </c>
      <c r="HE208" s="5">
        <v>12000</v>
      </c>
      <c r="HF208" s="5" t="b">
        <v>0</v>
      </c>
      <c r="HG208" s="5">
        <v>0</v>
      </c>
      <c r="HH208" s="5">
        <v>0</v>
      </c>
      <c r="HI208" s="5">
        <v>0</v>
      </c>
      <c r="HJ208" s="5">
        <v>0</v>
      </c>
      <c r="HK208" s="5" t="b">
        <v>0</v>
      </c>
      <c r="HL208" s="5">
        <v>0</v>
      </c>
      <c r="HM208" s="5">
        <v>10001</v>
      </c>
      <c r="HN208" s="5" t="s">
        <v>367</v>
      </c>
      <c r="HO208" s="5" t="s">
        <v>360</v>
      </c>
      <c r="HP208" s="5">
        <v>0</v>
      </c>
      <c r="HQ208" s="5">
        <v>0</v>
      </c>
      <c r="HR208" s="5">
        <v>0</v>
      </c>
      <c r="HS208" s="5">
        <v>0</v>
      </c>
      <c r="HT208" s="5" t="b">
        <v>0</v>
      </c>
    </row>
    <row r="209" spans="1:228">
      <c r="A209"/>
      <c r="B209" s="1">
        <f>10000000+INDEX(编号表!$B$1:$B$112,MATCH(D209,编号表!$A$1:$A$112,0))*10000+I209</f>
        <v>10210003</v>
      </c>
      <c r="C209" s="5" t="s">
        <v>425</v>
      </c>
      <c r="D209" s="5" t="s">
        <v>425</v>
      </c>
      <c r="E209" s="5" t="s">
        <v>348</v>
      </c>
      <c r="F209" s="5" t="s">
        <v>397</v>
      </c>
      <c r="G209" s="5" t="b">
        <v>0</v>
      </c>
      <c r="H209" s="5" t="b">
        <v>0</v>
      </c>
      <c r="I209" s="5">
        <v>3</v>
      </c>
      <c r="J209" s="5">
        <v>102100</v>
      </c>
      <c r="K209" s="5" t="s">
        <v>350</v>
      </c>
      <c r="L209" s="5">
        <v>10210002</v>
      </c>
      <c r="M209" s="5">
        <v>10210004</v>
      </c>
      <c r="N209" s="5" t="s">
        <v>426</v>
      </c>
      <c r="O209" s="5">
        <v>10202020</v>
      </c>
      <c r="P209" s="5">
        <v>0</v>
      </c>
      <c r="Q209" s="5">
        <v>2</v>
      </c>
      <c r="R209" s="5">
        <v>11</v>
      </c>
      <c r="S209" s="5">
        <v>0</v>
      </c>
      <c r="T209" s="5">
        <v>100</v>
      </c>
      <c r="U209" s="5" t="s">
        <v>364</v>
      </c>
      <c r="V209" s="5">
        <v>0</v>
      </c>
      <c r="W209" s="5">
        <v>0</v>
      </c>
      <c r="X209" s="5" t="s">
        <v>360</v>
      </c>
      <c r="Y209" s="5" t="s">
        <v>365</v>
      </c>
      <c r="Z209" s="5" t="s">
        <v>424</v>
      </c>
      <c r="AA209" s="5">
        <v>1</v>
      </c>
      <c r="AB209" s="5">
        <v>0</v>
      </c>
      <c r="AC209" s="5" t="b">
        <v>1</v>
      </c>
      <c r="AD209" s="5" t="s">
        <v>355</v>
      </c>
      <c r="AE209" s="5">
        <v>80</v>
      </c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 t="s">
        <v>367</v>
      </c>
      <c r="AZ209" s="5">
        <v>10800</v>
      </c>
      <c r="BA209" s="5" t="s">
        <v>417</v>
      </c>
      <c r="BB209" s="5" t="s">
        <v>424</v>
      </c>
      <c r="BC209" s="5">
        <v>10000</v>
      </c>
      <c r="BD209" s="5">
        <v>0</v>
      </c>
      <c r="BE209" s="5" t="s">
        <v>358</v>
      </c>
      <c r="BF209" s="5">
        <v>0</v>
      </c>
      <c r="BG209" s="5"/>
      <c r="BH209" s="5"/>
      <c r="BI209" s="5"/>
      <c r="BJ209" s="5"/>
      <c r="BK209" s="5"/>
      <c r="BL209" s="5"/>
      <c r="BM209" s="5">
        <v>21001503</v>
      </c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X209" s="5">
        <v>200</v>
      </c>
      <c r="GY209" s="5">
        <v>400</v>
      </c>
      <c r="GZ209" s="5" t="s">
        <v>383</v>
      </c>
      <c r="HA209" s="5">
        <v>0</v>
      </c>
      <c r="HB209" s="5" t="s">
        <v>366</v>
      </c>
      <c r="HC209" s="5" t="s">
        <v>366</v>
      </c>
      <c r="HD209" s="5" t="b">
        <v>1</v>
      </c>
      <c r="HE209" s="5">
        <v>12000</v>
      </c>
      <c r="HF209" s="5" t="b">
        <v>0</v>
      </c>
      <c r="HG209" s="5">
        <v>0</v>
      </c>
      <c r="HH209" s="5">
        <v>0</v>
      </c>
      <c r="HI209" s="5">
        <v>0</v>
      </c>
      <c r="HJ209" s="5">
        <v>0</v>
      </c>
      <c r="HK209" s="5" t="b">
        <v>0</v>
      </c>
      <c r="HL209" s="5">
        <v>0</v>
      </c>
      <c r="HM209" s="5">
        <v>10001</v>
      </c>
      <c r="HN209" s="5" t="s">
        <v>367</v>
      </c>
      <c r="HO209" s="5" t="s">
        <v>360</v>
      </c>
      <c r="HP209" s="5">
        <v>0</v>
      </c>
      <c r="HQ209" s="5">
        <v>0</v>
      </c>
      <c r="HR209" s="5">
        <v>0</v>
      </c>
      <c r="HS209" s="5">
        <v>0</v>
      </c>
      <c r="HT209" s="5" t="b">
        <v>0</v>
      </c>
    </row>
    <row r="210" spans="1:228">
      <c r="A210"/>
      <c r="B210" s="1">
        <f>10000000+INDEX(编号表!$B$1:$B$112,MATCH(D210,编号表!$A$1:$A$112,0))*10000+I210</f>
        <v>10210004</v>
      </c>
      <c r="C210" s="5" t="s">
        <v>425</v>
      </c>
      <c r="D210" s="5" t="s">
        <v>425</v>
      </c>
      <c r="E210" s="5" t="s">
        <v>348</v>
      </c>
      <c r="F210" s="5" t="s">
        <v>397</v>
      </c>
      <c r="G210" s="5" t="b">
        <v>0</v>
      </c>
      <c r="H210" s="5" t="b">
        <v>0</v>
      </c>
      <c r="I210" s="5">
        <v>4</v>
      </c>
      <c r="J210" s="5">
        <v>102100</v>
      </c>
      <c r="K210" s="5" t="s">
        <v>350</v>
      </c>
      <c r="L210" s="5">
        <v>10210003</v>
      </c>
      <c r="M210" s="5">
        <v>10210005</v>
      </c>
      <c r="N210" s="5" t="s">
        <v>426</v>
      </c>
      <c r="O210" s="5">
        <v>10202020</v>
      </c>
      <c r="P210" s="5">
        <v>0</v>
      </c>
      <c r="Q210" s="5">
        <v>3</v>
      </c>
      <c r="R210" s="5">
        <v>16</v>
      </c>
      <c r="S210" s="5">
        <v>0</v>
      </c>
      <c r="T210" s="5">
        <v>100</v>
      </c>
      <c r="U210" s="5" t="s">
        <v>364</v>
      </c>
      <c r="V210" s="5">
        <v>0</v>
      </c>
      <c r="W210" s="5">
        <v>0</v>
      </c>
      <c r="X210" s="5" t="s">
        <v>360</v>
      </c>
      <c r="Y210" s="5" t="s">
        <v>365</v>
      </c>
      <c r="Z210" s="5" t="s">
        <v>424</v>
      </c>
      <c r="AA210" s="5">
        <v>1</v>
      </c>
      <c r="AB210" s="5">
        <v>0</v>
      </c>
      <c r="AC210" s="5" t="b">
        <v>1</v>
      </c>
      <c r="AD210" s="5" t="s">
        <v>355</v>
      </c>
      <c r="AE210" s="5">
        <v>80</v>
      </c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 t="s">
        <v>367</v>
      </c>
      <c r="AZ210" s="5">
        <v>11200</v>
      </c>
      <c r="BA210" s="5" t="s">
        <v>417</v>
      </c>
      <c r="BB210" s="5" t="s">
        <v>424</v>
      </c>
      <c r="BC210" s="5">
        <v>10000</v>
      </c>
      <c r="BD210" s="5">
        <v>0</v>
      </c>
      <c r="BE210" s="5" t="s">
        <v>358</v>
      </c>
      <c r="BF210" s="5">
        <v>0</v>
      </c>
      <c r="BG210" s="5"/>
      <c r="BH210" s="5"/>
      <c r="BI210" s="5"/>
      <c r="BJ210" s="5"/>
      <c r="BK210" s="5"/>
      <c r="BL210" s="5"/>
      <c r="BM210" s="5">
        <v>21001504</v>
      </c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X210" s="5">
        <v>200</v>
      </c>
      <c r="GY210" s="5">
        <v>400</v>
      </c>
      <c r="GZ210" s="5" t="s">
        <v>383</v>
      </c>
      <c r="HA210" s="5">
        <v>0</v>
      </c>
      <c r="HB210" s="5" t="s">
        <v>366</v>
      </c>
      <c r="HC210" s="5" t="s">
        <v>366</v>
      </c>
      <c r="HD210" s="5" t="b">
        <v>1</v>
      </c>
      <c r="HE210" s="5">
        <v>12000</v>
      </c>
      <c r="HF210" s="5" t="b">
        <v>0</v>
      </c>
      <c r="HG210" s="5">
        <v>0</v>
      </c>
      <c r="HH210" s="5">
        <v>0</v>
      </c>
      <c r="HI210" s="5">
        <v>0</v>
      </c>
      <c r="HJ210" s="5">
        <v>0</v>
      </c>
      <c r="HK210" s="5" t="b">
        <v>0</v>
      </c>
      <c r="HL210" s="5">
        <v>0</v>
      </c>
      <c r="HM210" s="5">
        <v>10001</v>
      </c>
      <c r="HN210" s="5" t="s">
        <v>367</v>
      </c>
      <c r="HO210" s="5" t="s">
        <v>360</v>
      </c>
      <c r="HP210" s="5">
        <v>0</v>
      </c>
      <c r="HQ210" s="5">
        <v>0</v>
      </c>
      <c r="HR210" s="5">
        <v>0</v>
      </c>
      <c r="HS210" s="5">
        <v>0</v>
      </c>
      <c r="HT210" s="5" t="b">
        <v>0</v>
      </c>
    </row>
    <row r="211" spans="1:228">
      <c r="A211"/>
      <c r="B211" s="1">
        <f>10000000+INDEX(编号表!$B$1:$B$112,MATCH(D211,编号表!$A$1:$A$112,0))*10000+I211</f>
        <v>10210005</v>
      </c>
      <c r="C211" s="5" t="s">
        <v>425</v>
      </c>
      <c r="D211" s="5" t="s">
        <v>425</v>
      </c>
      <c r="E211" s="5" t="s">
        <v>348</v>
      </c>
      <c r="F211" s="5" t="s">
        <v>397</v>
      </c>
      <c r="G211" s="5" t="b">
        <v>0</v>
      </c>
      <c r="H211" s="5" t="b">
        <v>0</v>
      </c>
      <c r="I211" s="5">
        <v>5</v>
      </c>
      <c r="J211" s="5">
        <v>102100</v>
      </c>
      <c r="K211" s="5" t="s">
        <v>350</v>
      </c>
      <c r="L211" s="5">
        <v>10210004</v>
      </c>
      <c r="M211" s="5">
        <v>10210006</v>
      </c>
      <c r="N211" s="5" t="s">
        <v>426</v>
      </c>
      <c r="O211" s="5">
        <v>10202020</v>
      </c>
      <c r="P211" s="5">
        <v>0</v>
      </c>
      <c r="Q211" s="5">
        <v>3</v>
      </c>
      <c r="R211" s="5">
        <v>25</v>
      </c>
      <c r="S211" s="5">
        <v>0</v>
      </c>
      <c r="T211" s="5">
        <v>100</v>
      </c>
      <c r="U211" s="5" t="s">
        <v>364</v>
      </c>
      <c r="V211" s="5">
        <v>0</v>
      </c>
      <c r="W211" s="5">
        <v>0</v>
      </c>
      <c r="X211" s="5" t="s">
        <v>360</v>
      </c>
      <c r="Y211" s="5" t="s">
        <v>365</v>
      </c>
      <c r="Z211" s="5" t="s">
        <v>424</v>
      </c>
      <c r="AA211" s="5">
        <v>1</v>
      </c>
      <c r="AB211" s="5">
        <v>0</v>
      </c>
      <c r="AC211" s="5" t="b">
        <v>1</v>
      </c>
      <c r="AD211" s="5" t="s">
        <v>355</v>
      </c>
      <c r="AE211" s="5">
        <v>80</v>
      </c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 t="s">
        <v>367</v>
      </c>
      <c r="AZ211" s="5">
        <v>11300</v>
      </c>
      <c r="BA211" s="5" t="s">
        <v>417</v>
      </c>
      <c r="BB211" s="5" t="s">
        <v>424</v>
      </c>
      <c r="BC211" s="5">
        <v>10000</v>
      </c>
      <c r="BD211" s="5">
        <v>0</v>
      </c>
      <c r="BE211" s="5" t="s">
        <v>358</v>
      </c>
      <c r="BF211" s="5">
        <v>0</v>
      </c>
      <c r="BG211" s="5"/>
      <c r="BH211" s="5"/>
      <c r="BI211" s="5"/>
      <c r="BJ211" s="5"/>
      <c r="BK211" s="5"/>
      <c r="BL211" s="5"/>
      <c r="BM211" s="5">
        <v>21001505</v>
      </c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X211" s="5">
        <v>200</v>
      </c>
      <c r="GY211" s="5">
        <v>400</v>
      </c>
      <c r="GZ211" s="5" t="s">
        <v>383</v>
      </c>
      <c r="HA211" s="5">
        <v>0</v>
      </c>
      <c r="HB211" s="5" t="s">
        <v>366</v>
      </c>
      <c r="HC211" s="5" t="s">
        <v>366</v>
      </c>
      <c r="HD211" s="5" t="b">
        <v>1</v>
      </c>
      <c r="HE211" s="5">
        <v>12000</v>
      </c>
      <c r="HF211" s="5" t="b">
        <v>0</v>
      </c>
      <c r="HG211" s="5">
        <v>0</v>
      </c>
      <c r="HH211" s="5">
        <v>0</v>
      </c>
      <c r="HI211" s="5">
        <v>0</v>
      </c>
      <c r="HJ211" s="5">
        <v>0</v>
      </c>
      <c r="HK211" s="5" t="b">
        <v>0</v>
      </c>
      <c r="HL211" s="5">
        <v>0</v>
      </c>
      <c r="HM211" s="5">
        <v>10001</v>
      </c>
      <c r="HN211" s="5" t="s">
        <v>367</v>
      </c>
      <c r="HO211" s="5" t="s">
        <v>360</v>
      </c>
      <c r="HP211" s="5">
        <v>0</v>
      </c>
      <c r="HQ211" s="5">
        <v>0</v>
      </c>
      <c r="HR211" s="5">
        <v>0</v>
      </c>
      <c r="HS211" s="5">
        <v>0</v>
      </c>
      <c r="HT211" s="5" t="b">
        <v>0</v>
      </c>
    </row>
    <row r="212" spans="1:228">
      <c r="A212"/>
      <c r="B212" s="1">
        <f>10000000+INDEX(编号表!$B$1:$B$112,MATCH(D212,编号表!$A$1:$A$112,0))*10000+I212</f>
        <v>10210006</v>
      </c>
      <c r="C212" s="5" t="s">
        <v>425</v>
      </c>
      <c r="D212" s="5" t="s">
        <v>425</v>
      </c>
      <c r="E212" s="5" t="s">
        <v>348</v>
      </c>
      <c r="F212" s="5" t="s">
        <v>397</v>
      </c>
      <c r="G212" s="5" t="b">
        <v>0</v>
      </c>
      <c r="H212" s="5" t="b">
        <v>0</v>
      </c>
      <c r="I212" s="5">
        <v>6</v>
      </c>
      <c r="J212" s="5">
        <v>102100</v>
      </c>
      <c r="K212" s="5" t="s">
        <v>350</v>
      </c>
      <c r="L212" s="5">
        <v>10210005</v>
      </c>
      <c r="M212" s="5">
        <v>10210007</v>
      </c>
      <c r="N212" s="5" t="s">
        <v>426</v>
      </c>
      <c r="O212" s="5">
        <v>10202020</v>
      </c>
      <c r="P212" s="5">
        <v>0</v>
      </c>
      <c r="Q212" s="5">
        <v>3</v>
      </c>
      <c r="R212" s="5">
        <v>30</v>
      </c>
      <c r="S212" s="5">
        <v>0</v>
      </c>
      <c r="T212" s="5">
        <v>100</v>
      </c>
      <c r="U212" s="5" t="s">
        <v>364</v>
      </c>
      <c r="V212" s="5">
        <v>0</v>
      </c>
      <c r="W212" s="5">
        <v>0</v>
      </c>
      <c r="X212" s="5" t="s">
        <v>360</v>
      </c>
      <c r="Y212" s="5" t="s">
        <v>365</v>
      </c>
      <c r="Z212" s="5" t="s">
        <v>424</v>
      </c>
      <c r="AA212" s="5">
        <v>1</v>
      </c>
      <c r="AB212" s="5">
        <v>0</v>
      </c>
      <c r="AC212" s="5" t="b">
        <v>1</v>
      </c>
      <c r="AD212" s="5" t="s">
        <v>355</v>
      </c>
      <c r="AE212" s="5">
        <v>80</v>
      </c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 t="s">
        <v>367</v>
      </c>
      <c r="AZ212" s="5">
        <v>11600</v>
      </c>
      <c r="BA212" s="5" t="s">
        <v>417</v>
      </c>
      <c r="BB212" s="5" t="s">
        <v>424</v>
      </c>
      <c r="BC212" s="5">
        <v>10000</v>
      </c>
      <c r="BD212" s="5">
        <v>0</v>
      </c>
      <c r="BE212" s="5" t="s">
        <v>358</v>
      </c>
      <c r="BF212" s="5">
        <v>0</v>
      </c>
      <c r="BG212" s="5"/>
      <c r="BH212" s="5"/>
      <c r="BI212" s="5"/>
      <c r="BJ212" s="5"/>
      <c r="BK212" s="5"/>
      <c r="BL212" s="5"/>
      <c r="BM212" s="5">
        <v>21001506</v>
      </c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X212" s="5">
        <v>200</v>
      </c>
      <c r="GY212" s="5">
        <v>400</v>
      </c>
      <c r="GZ212" s="5" t="s">
        <v>383</v>
      </c>
      <c r="HA212" s="5">
        <v>0</v>
      </c>
      <c r="HB212" s="5" t="s">
        <v>366</v>
      </c>
      <c r="HC212" s="5" t="s">
        <v>366</v>
      </c>
      <c r="HD212" s="5" t="b">
        <v>1</v>
      </c>
      <c r="HE212" s="5">
        <v>12000</v>
      </c>
      <c r="HF212" s="5" t="b">
        <v>0</v>
      </c>
      <c r="HG212" s="5">
        <v>0</v>
      </c>
      <c r="HH212" s="5">
        <v>0</v>
      </c>
      <c r="HI212" s="5">
        <v>0</v>
      </c>
      <c r="HJ212" s="5">
        <v>0</v>
      </c>
      <c r="HK212" s="5" t="b">
        <v>0</v>
      </c>
      <c r="HL212" s="5">
        <v>0</v>
      </c>
      <c r="HM212" s="5">
        <v>10001</v>
      </c>
      <c r="HN212" s="5" t="s">
        <v>367</v>
      </c>
      <c r="HO212" s="5" t="s">
        <v>360</v>
      </c>
      <c r="HP212" s="5">
        <v>0</v>
      </c>
      <c r="HQ212" s="5">
        <v>0</v>
      </c>
      <c r="HR212" s="5">
        <v>0</v>
      </c>
      <c r="HS212" s="5">
        <v>0</v>
      </c>
      <c r="HT212" s="5" t="b">
        <v>0</v>
      </c>
    </row>
    <row r="213" spans="1:228">
      <c r="A213"/>
      <c r="B213" s="1">
        <f>10000000+INDEX(编号表!$B$1:$B$112,MATCH(D213,编号表!$A$1:$A$112,0))*10000+I213</f>
        <v>10210007</v>
      </c>
      <c r="C213" s="5" t="s">
        <v>425</v>
      </c>
      <c r="D213" s="5" t="s">
        <v>425</v>
      </c>
      <c r="E213" s="5" t="s">
        <v>348</v>
      </c>
      <c r="F213" s="5" t="s">
        <v>397</v>
      </c>
      <c r="G213" s="5" t="b">
        <v>0</v>
      </c>
      <c r="H213" s="5" t="b">
        <v>0</v>
      </c>
      <c r="I213" s="5">
        <v>7</v>
      </c>
      <c r="J213" s="5">
        <v>102100</v>
      </c>
      <c r="K213" s="5" t="s">
        <v>350</v>
      </c>
      <c r="L213" s="5">
        <v>10210006</v>
      </c>
      <c r="M213" s="5">
        <v>10210008</v>
      </c>
      <c r="N213" s="5" t="s">
        <v>426</v>
      </c>
      <c r="O213" s="5">
        <v>10202020</v>
      </c>
      <c r="P213" s="5">
        <v>0</v>
      </c>
      <c r="Q213" s="5">
        <v>3</v>
      </c>
      <c r="R213" s="5">
        <v>35</v>
      </c>
      <c r="S213" s="5">
        <v>0</v>
      </c>
      <c r="T213" s="5">
        <v>100</v>
      </c>
      <c r="U213" s="5" t="s">
        <v>364</v>
      </c>
      <c r="V213" s="5">
        <v>0</v>
      </c>
      <c r="W213" s="5">
        <v>0</v>
      </c>
      <c r="X213" s="5" t="s">
        <v>360</v>
      </c>
      <c r="Y213" s="5" t="s">
        <v>365</v>
      </c>
      <c r="Z213" s="5" t="s">
        <v>424</v>
      </c>
      <c r="AA213" s="5">
        <v>1</v>
      </c>
      <c r="AB213" s="5">
        <v>0</v>
      </c>
      <c r="AC213" s="5" t="b">
        <v>1</v>
      </c>
      <c r="AD213" s="5" t="s">
        <v>355</v>
      </c>
      <c r="AE213" s="5">
        <v>80</v>
      </c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 t="s">
        <v>367</v>
      </c>
      <c r="AZ213" s="5">
        <v>11700</v>
      </c>
      <c r="BA213" s="5" t="s">
        <v>417</v>
      </c>
      <c r="BB213" s="5" t="s">
        <v>424</v>
      </c>
      <c r="BC213" s="5">
        <v>10000</v>
      </c>
      <c r="BD213" s="5">
        <v>0</v>
      </c>
      <c r="BE213" s="5" t="s">
        <v>358</v>
      </c>
      <c r="BF213" s="5">
        <v>0</v>
      </c>
      <c r="BG213" s="5"/>
      <c r="BH213" s="5"/>
      <c r="BI213" s="5"/>
      <c r="BJ213" s="5"/>
      <c r="BK213" s="5"/>
      <c r="BL213" s="5"/>
      <c r="BM213" s="5">
        <v>21001507</v>
      </c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X213" s="5">
        <v>200</v>
      </c>
      <c r="GY213" s="5">
        <v>400</v>
      </c>
      <c r="GZ213" s="5" t="s">
        <v>383</v>
      </c>
      <c r="HA213" s="5">
        <v>0</v>
      </c>
      <c r="HB213" s="5" t="s">
        <v>366</v>
      </c>
      <c r="HC213" s="5" t="s">
        <v>366</v>
      </c>
      <c r="HD213" s="5" t="b">
        <v>1</v>
      </c>
      <c r="HE213" s="5">
        <v>12000</v>
      </c>
      <c r="HF213" s="5" t="b">
        <v>0</v>
      </c>
      <c r="HG213" s="5">
        <v>0</v>
      </c>
      <c r="HH213" s="5">
        <v>0</v>
      </c>
      <c r="HI213" s="5">
        <v>0</v>
      </c>
      <c r="HJ213" s="5">
        <v>0</v>
      </c>
      <c r="HK213" s="5" t="b">
        <v>0</v>
      </c>
      <c r="HL213" s="5">
        <v>0</v>
      </c>
      <c r="HM213" s="5">
        <v>10001</v>
      </c>
      <c r="HN213" s="5" t="s">
        <v>367</v>
      </c>
      <c r="HO213" s="5" t="s">
        <v>360</v>
      </c>
      <c r="HP213" s="5">
        <v>0</v>
      </c>
      <c r="HQ213" s="5">
        <v>0</v>
      </c>
      <c r="HR213" s="5">
        <v>0</v>
      </c>
      <c r="HS213" s="5">
        <v>0</v>
      </c>
      <c r="HT213" s="5" t="b">
        <v>0</v>
      </c>
    </row>
    <row r="214" spans="1:228">
      <c r="A214"/>
      <c r="B214" s="1">
        <f>10000000+INDEX(编号表!$B$1:$B$112,MATCH(D214,编号表!$A$1:$A$112,0))*10000+I214</f>
        <v>10210008</v>
      </c>
      <c r="C214" s="5" t="s">
        <v>425</v>
      </c>
      <c r="D214" s="5" t="s">
        <v>425</v>
      </c>
      <c r="E214" s="5" t="s">
        <v>348</v>
      </c>
      <c r="F214" s="5" t="s">
        <v>397</v>
      </c>
      <c r="G214" s="5" t="b">
        <v>0</v>
      </c>
      <c r="H214" s="5" t="b">
        <v>0</v>
      </c>
      <c r="I214" s="5">
        <v>8</v>
      </c>
      <c r="J214" s="5">
        <v>102100</v>
      </c>
      <c r="K214" s="5" t="s">
        <v>350</v>
      </c>
      <c r="L214" s="5">
        <v>10210007</v>
      </c>
      <c r="M214" s="5">
        <v>10210009</v>
      </c>
      <c r="N214" s="5" t="s">
        <v>426</v>
      </c>
      <c r="O214" s="5">
        <v>10202020</v>
      </c>
      <c r="P214" s="5">
        <v>0</v>
      </c>
      <c r="Q214" s="5">
        <v>3</v>
      </c>
      <c r="R214" s="5">
        <v>35</v>
      </c>
      <c r="S214" s="5">
        <v>0</v>
      </c>
      <c r="T214" s="5">
        <v>100</v>
      </c>
      <c r="U214" s="5" t="s">
        <v>364</v>
      </c>
      <c r="V214" s="5">
        <v>0</v>
      </c>
      <c r="W214" s="5">
        <v>0</v>
      </c>
      <c r="X214" s="5" t="s">
        <v>360</v>
      </c>
      <c r="Y214" s="5" t="s">
        <v>365</v>
      </c>
      <c r="Z214" s="5" t="s">
        <v>424</v>
      </c>
      <c r="AA214" s="5">
        <v>1</v>
      </c>
      <c r="AB214" s="5">
        <v>0</v>
      </c>
      <c r="AC214" s="5" t="b">
        <v>1</v>
      </c>
      <c r="AD214" s="5" t="s">
        <v>355</v>
      </c>
      <c r="AE214" s="5">
        <v>80</v>
      </c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 t="s">
        <v>367</v>
      </c>
      <c r="AZ214" s="5">
        <v>11800</v>
      </c>
      <c r="BA214" s="5" t="s">
        <v>417</v>
      </c>
      <c r="BB214" s="5" t="s">
        <v>424</v>
      </c>
      <c r="BC214" s="5">
        <v>10000</v>
      </c>
      <c r="BD214" s="5">
        <v>0</v>
      </c>
      <c r="BE214" s="5" t="s">
        <v>358</v>
      </c>
      <c r="BF214" s="5">
        <v>0</v>
      </c>
      <c r="BG214" s="5"/>
      <c r="BH214" s="5"/>
      <c r="BI214" s="5"/>
      <c r="BJ214" s="5"/>
      <c r="BK214" s="5"/>
      <c r="BL214" s="5"/>
      <c r="BM214" s="5">
        <v>21001508</v>
      </c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X214" s="5">
        <v>200</v>
      </c>
      <c r="GY214" s="5">
        <v>400</v>
      </c>
      <c r="GZ214" s="5" t="s">
        <v>383</v>
      </c>
      <c r="HA214" s="5">
        <v>0</v>
      </c>
      <c r="HB214" s="5" t="s">
        <v>366</v>
      </c>
      <c r="HC214" s="5" t="s">
        <v>366</v>
      </c>
      <c r="HD214" s="5" t="b">
        <v>1</v>
      </c>
      <c r="HE214" s="5">
        <v>12000</v>
      </c>
      <c r="HF214" s="5" t="b">
        <v>0</v>
      </c>
      <c r="HG214" s="5">
        <v>0</v>
      </c>
      <c r="HH214" s="5">
        <v>0</v>
      </c>
      <c r="HI214" s="5">
        <v>0</v>
      </c>
      <c r="HJ214" s="5">
        <v>0</v>
      </c>
      <c r="HK214" s="5" t="b">
        <v>0</v>
      </c>
      <c r="HL214" s="5">
        <v>0</v>
      </c>
      <c r="HM214" s="5">
        <v>10001</v>
      </c>
      <c r="HN214" s="5" t="s">
        <v>367</v>
      </c>
      <c r="HO214" s="5" t="s">
        <v>360</v>
      </c>
      <c r="HP214" s="5">
        <v>0</v>
      </c>
      <c r="HQ214" s="5">
        <v>0</v>
      </c>
      <c r="HR214" s="5">
        <v>0</v>
      </c>
      <c r="HS214" s="5">
        <v>0</v>
      </c>
      <c r="HT214" s="5" t="b">
        <v>0</v>
      </c>
    </row>
    <row r="215" spans="1:228">
      <c r="A215"/>
      <c r="B215" s="1">
        <f>10000000+INDEX(编号表!$B$1:$B$112,MATCH(D215,编号表!$A$1:$A$112,0))*10000+I215</f>
        <v>10210009</v>
      </c>
      <c r="C215" s="5" t="s">
        <v>425</v>
      </c>
      <c r="D215" s="5" t="s">
        <v>425</v>
      </c>
      <c r="E215" s="5" t="s">
        <v>348</v>
      </c>
      <c r="F215" s="5" t="s">
        <v>397</v>
      </c>
      <c r="G215" s="5" t="b">
        <v>0</v>
      </c>
      <c r="H215" s="5" t="b">
        <v>0</v>
      </c>
      <c r="I215" s="5">
        <v>9</v>
      </c>
      <c r="J215" s="5">
        <v>102100</v>
      </c>
      <c r="K215" s="5" t="s">
        <v>350</v>
      </c>
      <c r="L215" s="5">
        <v>10210008</v>
      </c>
      <c r="M215" s="5">
        <v>10210010</v>
      </c>
      <c r="N215" s="5" t="s">
        <v>426</v>
      </c>
      <c r="O215" s="5">
        <v>10202020</v>
      </c>
      <c r="P215" s="5">
        <v>0</v>
      </c>
      <c r="Q215" s="5">
        <v>3</v>
      </c>
      <c r="R215" s="5">
        <v>40</v>
      </c>
      <c r="S215" s="5">
        <v>0</v>
      </c>
      <c r="T215" s="5">
        <v>100</v>
      </c>
      <c r="U215" s="5" t="s">
        <v>364</v>
      </c>
      <c r="V215" s="5">
        <v>0</v>
      </c>
      <c r="W215" s="5">
        <v>0</v>
      </c>
      <c r="X215" s="5" t="s">
        <v>360</v>
      </c>
      <c r="Y215" s="5" t="s">
        <v>365</v>
      </c>
      <c r="Z215" s="5" t="s">
        <v>424</v>
      </c>
      <c r="AA215" s="5">
        <v>1</v>
      </c>
      <c r="AB215" s="5">
        <v>0</v>
      </c>
      <c r="AC215" s="5" t="b">
        <v>1</v>
      </c>
      <c r="AD215" s="5" t="s">
        <v>355</v>
      </c>
      <c r="AE215" s="5">
        <v>80</v>
      </c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 t="s">
        <v>367</v>
      </c>
      <c r="AZ215" s="5">
        <v>11900</v>
      </c>
      <c r="BA215" s="5" t="s">
        <v>417</v>
      </c>
      <c r="BB215" s="5" t="s">
        <v>424</v>
      </c>
      <c r="BC215" s="5">
        <v>10000</v>
      </c>
      <c r="BD215" s="5">
        <v>0</v>
      </c>
      <c r="BE215" s="5" t="s">
        <v>358</v>
      </c>
      <c r="BF215" s="5">
        <v>0</v>
      </c>
      <c r="BG215" s="5"/>
      <c r="BH215" s="5"/>
      <c r="BI215" s="5"/>
      <c r="BJ215" s="5"/>
      <c r="BK215" s="5"/>
      <c r="BL215" s="5"/>
      <c r="BM215" s="5">
        <v>21001509</v>
      </c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X215" s="5">
        <v>200</v>
      </c>
      <c r="GY215" s="5">
        <v>400</v>
      </c>
      <c r="GZ215" s="5" t="s">
        <v>383</v>
      </c>
      <c r="HA215" s="5">
        <v>0</v>
      </c>
      <c r="HB215" s="5" t="s">
        <v>366</v>
      </c>
      <c r="HC215" s="5" t="s">
        <v>366</v>
      </c>
      <c r="HD215" s="5" t="b">
        <v>1</v>
      </c>
      <c r="HE215" s="5">
        <v>12000</v>
      </c>
      <c r="HF215" s="5" t="b">
        <v>0</v>
      </c>
      <c r="HG215" s="5">
        <v>0</v>
      </c>
      <c r="HH215" s="5">
        <v>0</v>
      </c>
      <c r="HI215" s="5">
        <v>0</v>
      </c>
      <c r="HJ215" s="5">
        <v>0</v>
      </c>
      <c r="HK215" s="5" t="b">
        <v>0</v>
      </c>
      <c r="HL215" s="5">
        <v>0</v>
      </c>
      <c r="HM215" s="5">
        <v>10001</v>
      </c>
      <c r="HN215" s="5" t="s">
        <v>367</v>
      </c>
      <c r="HO215" s="5" t="s">
        <v>360</v>
      </c>
      <c r="HP215" s="5">
        <v>0</v>
      </c>
      <c r="HQ215" s="5">
        <v>0</v>
      </c>
      <c r="HR215" s="5">
        <v>0</v>
      </c>
      <c r="HS215" s="5">
        <v>0</v>
      </c>
      <c r="HT215" s="5" t="b">
        <v>0</v>
      </c>
    </row>
    <row r="216" spans="1:228">
      <c r="A216"/>
      <c r="B216" s="1">
        <f>10000000+INDEX(编号表!$B$1:$B$112,MATCH(D216,编号表!$A$1:$A$112,0))*10000+I216</f>
        <v>10210010</v>
      </c>
      <c r="C216" s="5" t="s">
        <v>425</v>
      </c>
      <c r="D216" s="5" t="s">
        <v>425</v>
      </c>
      <c r="E216" s="5" t="s">
        <v>348</v>
      </c>
      <c r="F216" s="5" t="s">
        <v>397</v>
      </c>
      <c r="G216" s="5" t="b">
        <v>0</v>
      </c>
      <c r="H216" s="5" t="b">
        <v>0</v>
      </c>
      <c r="I216" s="5">
        <v>10</v>
      </c>
      <c r="J216" s="5">
        <v>102100</v>
      </c>
      <c r="K216" s="5" t="s">
        <v>350</v>
      </c>
      <c r="L216" s="5">
        <v>10210009</v>
      </c>
      <c r="M216" s="5">
        <v>0</v>
      </c>
      <c r="N216" s="5" t="s">
        <v>426</v>
      </c>
      <c r="O216" s="5">
        <v>10202020</v>
      </c>
      <c r="P216" s="5">
        <v>0</v>
      </c>
      <c r="Q216" s="5">
        <v>3</v>
      </c>
      <c r="R216" s="5">
        <v>40</v>
      </c>
      <c r="S216" s="5">
        <v>0</v>
      </c>
      <c r="T216" s="5">
        <v>0</v>
      </c>
      <c r="U216" s="5" t="s">
        <v>364</v>
      </c>
      <c r="V216" s="5">
        <v>0</v>
      </c>
      <c r="W216" s="5">
        <v>0</v>
      </c>
      <c r="X216" s="5" t="s">
        <v>360</v>
      </c>
      <c r="Y216" s="5" t="s">
        <v>365</v>
      </c>
      <c r="Z216" s="5" t="s">
        <v>424</v>
      </c>
      <c r="AA216" s="5">
        <v>1</v>
      </c>
      <c r="AB216" s="5">
        <v>0</v>
      </c>
      <c r="AC216" s="5" t="b">
        <v>1</v>
      </c>
      <c r="AD216" s="5" t="s">
        <v>355</v>
      </c>
      <c r="AE216" s="5">
        <v>80</v>
      </c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 t="s">
        <v>367</v>
      </c>
      <c r="AZ216" s="5">
        <v>12000</v>
      </c>
      <c r="BA216" s="5" t="s">
        <v>417</v>
      </c>
      <c r="BB216" s="5" t="s">
        <v>424</v>
      </c>
      <c r="BC216" s="5">
        <v>10000</v>
      </c>
      <c r="BD216" s="5">
        <v>0</v>
      </c>
      <c r="BE216" s="5" t="s">
        <v>358</v>
      </c>
      <c r="BF216" s="5">
        <v>0</v>
      </c>
      <c r="BG216" s="5"/>
      <c r="BH216" s="5"/>
      <c r="BI216" s="5"/>
      <c r="BJ216" s="5"/>
      <c r="BK216" s="5"/>
      <c r="BL216" s="5"/>
      <c r="BM216" s="5">
        <v>21001510</v>
      </c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X216" s="5">
        <v>200</v>
      </c>
      <c r="GY216" s="5">
        <v>400</v>
      </c>
      <c r="GZ216" s="5" t="s">
        <v>383</v>
      </c>
      <c r="HA216" s="5">
        <v>0</v>
      </c>
      <c r="HB216" s="5" t="s">
        <v>366</v>
      </c>
      <c r="HC216" s="5" t="s">
        <v>366</v>
      </c>
      <c r="HD216" s="5" t="b">
        <v>1</v>
      </c>
      <c r="HE216" s="5">
        <v>12000</v>
      </c>
      <c r="HF216" s="5" t="b">
        <v>0</v>
      </c>
      <c r="HG216" s="5">
        <v>0</v>
      </c>
      <c r="HH216" s="5">
        <v>0</v>
      </c>
      <c r="HI216" s="5">
        <v>0</v>
      </c>
      <c r="HJ216" s="5">
        <v>0</v>
      </c>
      <c r="HK216" s="5" t="b">
        <v>0</v>
      </c>
      <c r="HL216" s="5">
        <v>0</v>
      </c>
      <c r="HM216" s="5">
        <v>10001</v>
      </c>
      <c r="HN216" s="5" t="s">
        <v>367</v>
      </c>
      <c r="HO216" s="5" t="s">
        <v>360</v>
      </c>
      <c r="HP216" s="5">
        <v>0</v>
      </c>
      <c r="HQ216" s="5">
        <v>0</v>
      </c>
      <c r="HR216" s="5">
        <v>0</v>
      </c>
      <c r="HS216" s="5">
        <v>0</v>
      </c>
      <c r="HT216" s="5" t="b">
        <v>0</v>
      </c>
    </row>
    <row r="217" spans="1:228">
      <c r="A217"/>
      <c r="B217" s="1">
        <f>10000000+INDEX(编号表!$B$1:$B$112,MATCH(D217,编号表!$A$1:$A$112,0))*10000+I217</f>
        <v>10220001</v>
      </c>
      <c r="C217" s="5" t="s">
        <v>427</v>
      </c>
      <c r="D217" s="5" t="s">
        <v>427</v>
      </c>
      <c r="E217" s="5" t="s">
        <v>348</v>
      </c>
      <c r="F217" s="5" t="s">
        <v>378</v>
      </c>
      <c r="G217" s="5" t="b">
        <v>0</v>
      </c>
      <c r="H217" s="5" t="b">
        <v>0</v>
      </c>
      <c r="I217" s="5">
        <v>1</v>
      </c>
      <c r="J217" s="5">
        <v>102200</v>
      </c>
      <c r="K217" s="5" t="s">
        <v>350</v>
      </c>
      <c r="L217" s="5">
        <v>0</v>
      </c>
      <c r="M217" s="5">
        <v>10220002</v>
      </c>
      <c r="N217" s="5" t="s">
        <v>428</v>
      </c>
      <c r="O217" s="5">
        <v>10202021</v>
      </c>
      <c r="P217" s="5">
        <v>0</v>
      </c>
      <c r="Q217" s="5">
        <v>0</v>
      </c>
      <c r="R217" s="5">
        <v>1</v>
      </c>
      <c r="S217" s="5">
        <v>0</v>
      </c>
      <c r="T217" s="5">
        <v>100</v>
      </c>
      <c r="U217" s="5" t="s">
        <v>364</v>
      </c>
      <c r="V217" s="5">
        <v>650</v>
      </c>
      <c r="W217" s="5">
        <v>650</v>
      </c>
      <c r="X217" s="5" t="s">
        <v>352</v>
      </c>
      <c r="Y217" s="5" t="s">
        <v>376</v>
      </c>
      <c r="Z217" s="5" t="s">
        <v>354</v>
      </c>
      <c r="AA217" s="5">
        <v>0</v>
      </c>
      <c r="AB217" s="5">
        <v>1</v>
      </c>
      <c r="AC217" s="5" t="b">
        <v>0</v>
      </c>
      <c r="AD217" s="5" t="s">
        <v>355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 t="s">
        <v>367</v>
      </c>
      <c r="AZ217" s="5">
        <v>10000</v>
      </c>
      <c r="BA217" s="5" t="s">
        <v>417</v>
      </c>
      <c r="BB217" s="5" t="s">
        <v>354</v>
      </c>
      <c r="BC217" s="5">
        <v>10000</v>
      </c>
      <c r="BD217" s="5">
        <v>0</v>
      </c>
      <c r="BE217" s="5" t="s">
        <v>358</v>
      </c>
      <c r="BF217" s="5">
        <v>0</v>
      </c>
      <c r="BG217" s="5"/>
      <c r="BH217" s="5"/>
      <c r="BI217" s="5"/>
      <c r="BJ217" s="5"/>
      <c r="BK217" s="5"/>
      <c r="BL217" s="5"/>
      <c r="BM217" s="5">
        <v>21001601</v>
      </c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X217" s="5">
        <v>200</v>
      </c>
      <c r="GY217" s="5">
        <v>400</v>
      </c>
      <c r="GZ217" s="5" t="s">
        <v>383</v>
      </c>
      <c r="HA217" s="5">
        <v>0</v>
      </c>
      <c r="HB217" s="5">
        <v>0</v>
      </c>
      <c r="HC217" s="5" t="s">
        <v>366</v>
      </c>
      <c r="HD217" s="5" t="b">
        <v>1</v>
      </c>
      <c r="HE217" s="5">
        <v>8000</v>
      </c>
      <c r="HF217" s="5" t="b">
        <v>0</v>
      </c>
      <c r="HG217" s="5">
        <v>0</v>
      </c>
      <c r="HH217" s="5">
        <v>0</v>
      </c>
      <c r="HI217" s="5">
        <v>0</v>
      </c>
      <c r="HJ217" s="5">
        <v>0</v>
      </c>
      <c r="HK217" s="5" t="b">
        <v>0</v>
      </c>
      <c r="HL217" s="5">
        <v>0</v>
      </c>
      <c r="HM217" s="5">
        <v>10001</v>
      </c>
      <c r="HN217" s="5" t="s">
        <v>367</v>
      </c>
      <c r="HO217" s="5" t="s">
        <v>360</v>
      </c>
      <c r="HP217" s="5">
        <v>0</v>
      </c>
      <c r="HQ217" s="5">
        <v>0</v>
      </c>
      <c r="HR217" s="5">
        <v>0</v>
      </c>
      <c r="HS217" s="5">
        <v>0</v>
      </c>
      <c r="HT217" s="5" t="b">
        <v>0</v>
      </c>
    </row>
    <row r="218" spans="1:228">
      <c r="A218"/>
      <c r="B218" s="1">
        <f>10000000+INDEX(编号表!$B$1:$B$112,MATCH(D218,编号表!$A$1:$A$112,0))*10000+I218</f>
        <v>10220002</v>
      </c>
      <c r="C218" s="5" t="s">
        <v>427</v>
      </c>
      <c r="D218" s="5" t="s">
        <v>427</v>
      </c>
      <c r="E218" s="5" t="s">
        <v>348</v>
      </c>
      <c r="F218" s="5" t="s">
        <v>378</v>
      </c>
      <c r="G218" s="5" t="b">
        <v>0</v>
      </c>
      <c r="H218" s="5" t="b">
        <v>0</v>
      </c>
      <c r="I218" s="5">
        <v>2</v>
      </c>
      <c r="J218" s="5">
        <v>102200</v>
      </c>
      <c r="K218" s="5" t="s">
        <v>350</v>
      </c>
      <c r="L218" s="5">
        <v>10220001</v>
      </c>
      <c r="M218" s="5">
        <v>10220003</v>
      </c>
      <c r="N218" s="5" t="s">
        <v>428</v>
      </c>
      <c r="O218" s="5">
        <v>10202021</v>
      </c>
      <c r="P218" s="5">
        <v>0</v>
      </c>
      <c r="Q218" s="5">
        <v>1</v>
      </c>
      <c r="R218" s="5">
        <v>7</v>
      </c>
      <c r="S218" s="5">
        <v>0</v>
      </c>
      <c r="T218" s="5">
        <v>100</v>
      </c>
      <c r="U218" s="5" t="s">
        <v>364</v>
      </c>
      <c r="V218" s="5">
        <v>650</v>
      </c>
      <c r="W218" s="5">
        <v>650</v>
      </c>
      <c r="X218" s="5" t="s">
        <v>352</v>
      </c>
      <c r="Y218" s="5" t="s">
        <v>376</v>
      </c>
      <c r="Z218" s="5" t="s">
        <v>354</v>
      </c>
      <c r="AA218" s="5">
        <v>0</v>
      </c>
      <c r="AB218" s="5">
        <v>1</v>
      </c>
      <c r="AC218" s="5" t="b">
        <v>0</v>
      </c>
      <c r="AD218" s="5" t="s">
        <v>355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 t="s">
        <v>367</v>
      </c>
      <c r="AZ218" s="5">
        <v>10400</v>
      </c>
      <c r="BA218" s="5" t="s">
        <v>417</v>
      </c>
      <c r="BB218" s="5" t="s">
        <v>354</v>
      </c>
      <c r="BC218" s="5">
        <v>10000</v>
      </c>
      <c r="BD218" s="5">
        <v>0</v>
      </c>
      <c r="BE218" s="5" t="s">
        <v>358</v>
      </c>
      <c r="BF218" s="5">
        <v>0</v>
      </c>
      <c r="BG218" s="5"/>
      <c r="BH218" s="5"/>
      <c r="BI218" s="5"/>
      <c r="BJ218" s="5"/>
      <c r="BK218" s="5"/>
      <c r="BL218" s="5"/>
      <c r="BM218" s="5">
        <v>21001602</v>
      </c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X218" s="5">
        <v>200</v>
      </c>
      <c r="GY218" s="5">
        <v>400</v>
      </c>
      <c r="GZ218" s="5" t="s">
        <v>383</v>
      </c>
      <c r="HA218" s="5">
        <v>0</v>
      </c>
      <c r="HB218" s="5">
        <v>0</v>
      </c>
      <c r="HC218" s="5" t="s">
        <v>366</v>
      </c>
      <c r="HD218" s="5" t="b">
        <v>1</v>
      </c>
      <c r="HE218" s="5">
        <v>8000</v>
      </c>
      <c r="HF218" s="5" t="b">
        <v>0</v>
      </c>
      <c r="HG218" s="5">
        <v>0</v>
      </c>
      <c r="HH218" s="5">
        <v>0</v>
      </c>
      <c r="HI218" s="5">
        <v>0</v>
      </c>
      <c r="HJ218" s="5">
        <v>0</v>
      </c>
      <c r="HK218" s="5" t="b">
        <v>0</v>
      </c>
      <c r="HL218" s="5">
        <v>0</v>
      </c>
      <c r="HM218" s="5">
        <v>10001</v>
      </c>
      <c r="HN218" s="5" t="s">
        <v>367</v>
      </c>
      <c r="HO218" s="5" t="s">
        <v>360</v>
      </c>
      <c r="HP218" s="5">
        <v>0</v>
      </c>
      <c r="HQ218" s="5">
        <v>0</v>
      </c>
      <c r="HR218" s="5">
        <v>0</v>
      </c>
      <c r="HS218" s="5">
        <v>0</v>
      </c>
      <c r="HT218" s="5" t="b">
        <v>0</v>
      </c>
    </row>
    <row r="219" spans="1:228">
      <c r="A219"/>
      <c r="B219" s="1">
        <f>10000000+INDEX(编号表!$B$1:$B$112,MATCH(D219,编号表!$A$1:$A$112,0))*10000+I219</f>
        <v>10220003</v>
      </c>
      <c r="C219" s="5" t="s">
        <v>427</v>
      </c>
      <c r="D219" s="5" t="s">
        <v>427</v>
      </c>
      <c r="E219" s="5" t="s">
        <v>348</v>
      </c>
      <c r="F219" s="5" t="s">
        <v>378</v>
      </c>
      <c r="G219" s="5" t="b">
        <v>0</v>
      </c>
      <c r="H219" s="5" t="b">
        <v>0</v>
      </c>
      <c r="I219" s="5">
        <v>3</v>
      </c>
      <c r="J219" s="5">
        <v>102200</v>
      </c>
      <c r="K219" s="5" t="s">
        <v>350</v>
      </c>
      <c r="L219" s="5">
        <v>10220002</v>
      </c>
      <c r="M219" s="5">
        <v>10220004</v>
      </c>
      <c r="N219" s="5" t="s">
        <v>428</v>
      </c>
      <c r="O219" s="5">
        <v>10202021</v>
      </c>
      <c r="P219" s="5">
        <v>0</v>
      </c>
      <c r="Q219" s="5">
        <v>2</v>
      </c>
      <c r="R219" s="5">
        <v>11</v>
      </c>
      <c r="S219" s="5">
        <v>0</v>
      </c>
      <c r="T219" s="5">
        <v>100</v>
      </c>
      <c r="U219" s="5" t="s">
        <v>364</v>
      </c>
      <c r="V219" s="5">
        <v>650</v>
      </c>
      <c r="W219" s="5">
        <v>650</v>
      </c>
      <c r="X219" s="5" t="s">
        <v>352</v>
      </c>
      <c r="Y219" s="5" t="s">
        <v>376</v>
      </c>
      <c r="Z219" s="5" t="s">
        <v>354</v>
      </c>
      <c r="AA219" s="5">
        <v>0</v>
      </c>
      <c r="AB219" s="5">
        <v>1</v>
      </c>
      <c r="AC219" s="5" t="b">
        <v>0</v>
      </c>
      <c r="AD219" s="5" t="s">
        <v>355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 t="s">
        <v>367</v>
      </c>
      <c r="AZ219" s="5">
        <v>10800</v>
      </c>
      <c r="BA219" s="5" t="s">
        <v>417</v>
      </c>
      <c r="BB219" s="5" t="s">
        <v>354</v>
      </c>
      <c r="BC219" s="5">
        <v>10000</v>
      </c>
      <c r="BD219" s="5">
        <v>0</v>
      </c>
      <c r="BE219" s="5" t="s">
        <v>358</v>
      </c>
      <c r="BF219" s="5">
        <v>0</v>
      </c>
      <c r="BG219" s="5"/>
      <c r="BH219" s="5"/>
      <c r="BI219" s="5"/>
      <c r="BJ219" s="5"/>
      <c r="BK219" s="5"/>
      <c r="BL219" s="5"/>
      <c r="BM219" s="5">
        <v>21001603</v>
      </c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X219" s="5">
        <v>200</v>
      </c>
      <c r="GY219" s="5">
        <v>400</v>
      </c>
      <c r="GZ219" s="5" t="s">
        <v>383</v>
      </c>
      <c r="HA219" s="5">
        <v>0</v>
      </c>
      <c r="HB219" s="5">
        <v>0</v>
      </c>
      <c r="HC219" s="5" t="s">
        <v>366</v>
      </c>
      <c r="HD219" s="5" t="b">
        <v>1</v>
      </c>
      <c r="HE219" s="5">
        <v>8000</v>
      </c>
      <c r="HF219" s="5" t="b">
        <v>0</v>
      </c>
      <c r="HG219" s="5">
        <v>0</v>
      </c>
      <c r="HH219" s="5">
        <v>0</v>
      </c>
      <c r="HI219" s="5">
        <v>0</v>
      </c>
      <c r="HJ219" s="5">
        <v>0</v>
      </c>
      <c r="HK219" s="5" t="b">
        <v>0</v>
      </c>
      <c r="HL219" s="5">
        <v>0</v>
      </c>
      <c r="HM219" s="5">
        <v>10001</v>
      </c>
      <c r="HN219" s="5" t="s">
        <v>367</v>
      </c>
      <c r="HO219" s="5" t="s">
        <v>360</v>
      </c>
      <c r="HP219" s="5">
        <v>0</v>
      </c>
      <c r="HQ219" s="5">
        <v>0</v>
      </c>
      <c r="HR219" s="5">
        <v>0</v>
      </c>
      <c r="HS219" s="5">
        <v>0</v>
      </c>
      <c r="HT219" s="5" t="b">
        <v>0</v>
      </c>
    </row>
    <row r="220" spans="1:228">
      <c r="A220"/>
      <c r="B220" s="1">
        <f>10000000+INDEX(编号表!$B$1:$B$112,MATCH(D220,编号表!$A$1:$A$112,0))*10000+I220</f>
        <v>10220004</v>
      </c>
      <c r="C220" s="5" t="s">
        <v>427</v>
      </c>
      <c r="D220" s="5" t="s">
        <v>427</v>
      </c>
      <c r="E220" s="5" t="s">
        <v>348</v>
      </c>
      <c r="F220" s="5" t="s">
        <v>378</v>
      </c>
      <c r="G220" s="5" t="b">
        <v>0</v>
      </c>
      <c r="H220" s="5" t="b">
        <v>0</v>
      </c>
      <c r="I220" s="5">
        <v>4</v>
      </c>
      <c r="J220" s="5">
        <v>102200</v>
      </c>
      <c r="K220" s="5" t="s">
        <v>350</v>
      </c>
      <c r="L220" s="5">
        <v>10220003</v>
      </c>
      <c r="M220" s="5">
        <v>10220005</v>
      </c>
      <c r="N220" s="5" t="s">
        <v>428</v>
      </c>
      <c r="O220" s="5">
        <v>10202021</v>
      </c>
      <c r="P220" s="5">
        <v>0</v>
      </c>
      <c r="Q220" s="5">
        <v>3</v>
      </c>
      <c r="R220" s="5">
        <v>16</v>
      </c>
      <c r="S220" s="5">
        <v>0</v>
      </c>
      <c r="T220" s="5">
        <v>100</v>
      </c>
      <c r="U220" s="5" t="s">
        <v>364</v>
      </c>
      <c r="V220" s="5">
        <v>650</v>
      </c>
      <c r="W220" s="5">
        <v>650</v>
      </c>
      <c r="X220" s="5" t="s">
        <v>352</v>
      </c>
      <c r="Y220" s="5" t="s">
        <v>376</v>
      </c>
      <c r="Z220" s="5" t="s">
        <v>354</v>
      </c>
      <c r="AA220" s="5">
        <v>0</v>
      </c>
      <c r="AB220" s="5">
        <v>1</v>
      </c>
      <c r="AC220" s="5" t="b">
        <v>0</v>
      </c>
      <c r="AD220" s="5" t="s">
        <v>355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 t="s">
        <v>367</v>
      </c>
      <c r="AZ220" s="5">
        <v>11200</v>
      </c>
      <c r="BA220" s="5" t="s">
        <v>417</v>
      </c>
      <c r="BB220" s="5" t="s">
        <v>354</v>
      </c>
      <c r="BC220" s="5">
        <v>10000</v>
      </c>
      <c r="BD220" s="5">
        <v>0</v>
      </c>
      <c r="BE220" s="5" t="s">
        <v>358</v>
      </c>
      <c r="BF220" s="5">
        <v>0</v>
      </c>
      <c r="BG220" s="5"/>
      <c r="BH220" s="5"/>
      <c r="BI220" s="5"/>
      <c r="BJ220" s="5"/>
      <c r="BK220" s="5"/>
      <c r="BL220" s="5"/>
      <c r="BM220" s="5">
        <v>21001604</v>
      </c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X220" s="5">
        <v>200</v>
      </c>
      <c r="GY220" s="5">
        <v>400</v>
      </c>
      <c r="GZ220" s="5" t="s">
        <v>383</v>
      </c>
      <c r="HA220" s="5">
        <v>0</v>
      </c>
      <c r="HB220" s="5">
        <v>0</v>
      </c>
      <c r="HC220" s="5" t="s">
        <v>366</v>
      </c>
      <c r="HD220" s="5" t="b">
        <v>1</v>
      </c>
      <c r="HE220" s="5">
        <v>8000</v>
      </c>
      <c r="HF220" s="5" t="b">
        <v>0</v>
      </c>
      <c r="HG220" s="5">
        <v>0</v>
      </c>
      <c r="HH220" s="5">
        <v>0</v>
      </c>
      <c r="HI220" s="5">
        <v>0</v>
      </c>
      <c r="HJ220" s="5">
        <v>0</v>
      </c>
      <c r="HK220" s="5" t="b">
        <v>0</v>
      </c>
      <c r="HL220" s="5">
        <v>0</v>
      </c>
      <c r="HM220" s="5">
        <v>10001</v>
      </c>
      <c r="HN220" s="5" t="s">
        <v>367</v>
      </c>
      <c r="HO220" s="5" t="s">
        <v>360</v>
      </c>
      <c r="HP220" s="5">
        <v>0</v>
      </c>
      <c r="HQ220" s="5">
        <v>0</v>
      </c>
      <c r="HR220" s="5">
        <v>0</v>
      </c>
      <c r="HS220" s="5">
        <v>0</v>
      </c>
      <c r="HT220" s="5" t="b">
        <v>0</v>
      </c>
    </row>
    <row r="221" spans="1:228">
      <c r="A221"/>
      <c r="B221" s="1">
        <f>10000000+INDEX(编号表!$B$1:$B$112,MATCH(D221,编号表!$A$1:$A$112,0))*10000+I221</f>
        <v>10220005</v>
      </c>
      <c r="C221" s="5" t="s">
        <v>427</v>
      </c>
      <c r="D221" s="5" t="s">
        <v>427</v>
      </c>
      <c r="E221" s="5" t="s">
        <v>348</v>
      </c>
      <c r="F221" s="5" t="s">
        <v>378</v>
      </c>
      <c r="G221" s="5" t="b">
        <v>0</v>
      </c>
      <c r="H221" s="5" t="b">
        <v>0</v>
      </c>
      <c r="I221" s="5">
        <v>5</v>
      </c>
      <c r="J221" s="5">
        <v>102200</v>
      </c>
      <c r="K221" s="5" t="s">
        <v>350</v>
      </c>
      <c r="L221" s="5">
        <v>10220004</v>
      </c>
      <c r="M221" s="5">
        <v>10220006</v>
      </c>
      <c r="N221" s="5" t="s">
        <v>428</v>
      </c>
      <c r="O221" s="5">
        <v>10202021</v>
      </c>
      <c r="P221" s="5">
        <v>0</v>
      </c>
      <c r="Q221" s="5">
        <v>3</v>
      </c>
      <c r="R221" s="5">
        <v>25</v>
      </c>
      <c r="S221" s="5">
        <v>0</v>
      </c>
      <c r="T221" s="5">
        <v>100</v>
      </c>
      <c r="U221" s="5" t="s">
        <v>364</v>
      </c>
      <c r="V221" s="5">
        <v>650</v>
      </c>
      <c r="W221" s="5">
        <v>650</v>
      </c>
      <c r="X221" s="5" t="s">
        <v>352</v>
      </c>
      <c r="Y221" s="5" t="s">
        <v>376</v>
      </c>
      <c r="Z221" s="5" t="s">
        <v>354</v>
      </c>
      <c r="AA221" s="5">
        <v>0</v>
      </c>
      <c r="AB221" s="5">
        <v>1</v>
      </c>
      <c r="AC221" s="5" t="b">
        <v>0</v>
      </c>
      <c r="AD221" s="5" t="s">
        <v>355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 t="s">
        <v>367</v>
      </c>
      <c r="AZ221" s="5">
        <v>11300</v>
      </c>
      <c r="BA221" s="5" t="s">
        <v>417</v>
      </c>
      <c r="BB221" s="5" t="s">
        <v>354</v>
      </c>
      <c r="BC221" s="5">
        <v>10000</v>
      </c>
      <c r="BD221" s="5">
        <v>0</v>
      </c>
      <c r="BE221" s="5" t="s">
        <v>358</v>
      </c>
      <c r="BF221" s="5">
        <v>0</v>
      </c>
      <c r="BG221" s="5"/>
      <c r="BH221" s="5"/>
      <c r="BI221" s="5"/>
      <c r="BJ221" s="5"/>
      <c r="BK221" s="5"/>
      <c r="BL221" s="5"/>
      <c r="BM221" s="5">
        <v>21001605</v>
      </c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X221" s="5">
        <v>200</v>
      </c>
      <c r="GY221" s="5">
        <v>400</v>
      </c>
      <c r="GZ221" s="5" t="s">
        <v>383</v>
      </c>
      <c r="HA221" s="5">
        <v>0</v>
      </c>
      <c r="HB221" s="5">
        <v>0</v>
      </c>
      <c r="HC221" s="5" t="s">
        <v>366</v>
      </c>
      <c r="HD221" s="5" t="b">
        <v>1</v>
      </c>
      <c r="HE221" s="5">
        <v>8000</v>
      </c>
      <c r="HF221" s="5" t="b">
        <v>0</v>
      </c>
      <c r="HG221" s="5">
        <v>0</v>
      </c>
      <c r="HH221" s="5">
        <v>0</v>
      </c>
      <c r="HI221" s="5">
        <v>0</v>
      </c>
      <c r="HJ221" s="5">
        <v>0</v>
      </c>
      <c r="HK221" s="5" t="b">
        <v>0</v>
      </c>
      <c r="HL221" s="5">
        <v>0</v>
      </c>
      <c r="HM221" s="5">
        <v>10001</v>
      </c>
      <c r="HN221" s="5" t="s">
        <v>367</v>
      </c>
      <c r="HO221" s="5" t="s">
        <v>360</v>
      </c>
      <c r="HP221" s="5">
        <v>0</v>
      </c>
      <c r="HQ221" s="5">
        <v>0</v>
      </c>
      <c r="HR221" s="5">
        <v>0</v>
      </c>
      <c r="HS221" s="5">
        <v>0</v>
      </c>
      <c r="HT221" s="5" t="b">
        <v>0</v>
      </c>
    </row>
    <row r="222" spans="1:228">
      <c r="A222"/>
      <c r="B222" s="1">
        <f>10000000+INDEX(编号表!$B$1:$B$112,MATCH(D222,编号表!$A$1:$A$112,0))*10000+I222</f>
        <v>10220006</v>
      </c>
      <c r="C222" s="5" t="s">
        <v>427</v>
      </c>
      <c r="D222" s="5" t="s">
        <v>427</v>
      </c>
      <c r="E222" s="5" t="s">
        <v>348</v>
      </c>
      <c r="F222" s="5" t="s">
        <v>378</v>
      </c>
      <c r="G222" s="5" t="b">
        <v>0</v>
      </c>
      <c r="H222" s="5" t="b">
        <v>0</v>
      </c>
      <c r="I222" s="5">
        <v>6</v>
      </c>
      <c r="J222" s="5">
        <v>102200</v>
      </c>
      <c r="K222" s="5" t="s">
        <v>350</v>
      </c>
      <c r="L222" s="5">
        <v>10220005</v>
      </c>
      <c r="M222" s="5">
        <v>10220007</v>
      </c>
      <c r="N222" s="5" t="s">
        <v>428</v>
      </c>
      <c r="O222" s="5">
        <v>10202021</v>
      </c>
      <c r="P222" s="5">
        <v>0</v>
      </c>
      <c r="Q222" s="5">
        <v>3</v>
      </c>
      <c r="R222" s="5">
        <v>30</v>
      </c>
      <c r="S222" s="5">
        <v>0</v>
      </c>
      <c r="T222" s="5">
        <v>100</v>
      </c>
      <c r="U222" s="5" t="s">
        <v>364</v>
      </c>
      <c r="V222" s="5">
        <v>650</v>
      </c>
      <c r="W222" s="5">
        <v>650</v>
      </c>
      <c r="X222" s="5" t="s">
        <v>352</v>
      </c>
      <c r="Y222" s="5" t="s">
        <v>376</v>
      </c>
      <c r="Z222" s="5" t="s">
        <v>354</v>
      </c>
      <c r="AA222" s="5">
        <v>0</v>
      </c>
      <c r="AB222" s="5">
        <v>1</v>
      </c>
      <c r="AC222" s="5" t="b">
        <v>0</v>
      </c>
      <c r="AD222" s="5" t="s">
        <v>355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 t="s">
        <v>367</v>
      </c>
      <c r="AZ222" s="5">
        <v>11600</v>
      </c>
      <c r="BA222" s="5" t="s">
        <v>417</v>
      </c>
      <c r="BB222" s="5" t="s">
        <v>354</v>
      </c>
      <c r="BC222" s="5">
        <v>10000</v>
      </c>
      <c r="BD222" s="5">
        <v>0</v>
      </c>
      <c r="BE222" s="5" t="s">
        <v>358</v>
      </c>
      <c r="BF222" s="5">
        <v>0</v>
      </c>
      <c r="BG222" s="5"/>
      <c r="BH222" s="5"/>
      <c r="BI222" s="5"/>
      <c r="BJ222" s="5"/>
      <c r="BK222" s="5"/>
      <c r="BL222" s="5"/>
      <c r="BM222" s="5">
        <v>21001606</v>
      </c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X222" s="5">
        <v>200</v>
      </c>
      <c r="GY222" s="5">
        <v>400</v>
      </c>
      <c r="GZ222" s="5" t="s">
        <v>383</v>
      </c>
      <c r="HA222" s="5">
        <v>0</v>
      </c>
      <c r="HB222" s="5">
        <v>0</v>
      </c>
      <c r="HC222" s="5" t="s">
        <v>366</v>
      </c>
      <c r="HD222" s="5" t="b">
        <v>1</v>
      </c>
      <c r="HE222" s="5">
        <v>8000</v>
      </c>
      <c r="HF222" s="5" t="b">
        <v>0</v>
      </c>
      <c r="HG222" s="5">
        <v>0</v>
      </c>
      <c r="HH222" s="5">
        <v>0</v>
      </c>
      <c r="HI222" s="5">
        <v>0</v>
      </c>
      <c r="HJ222" s="5">
        <v>0</v>
      </c>
      <c r="HK222" s="5" t="b">
        <v>0</v>
      </c>
      <c r="HL222" s="5">
        <v>0</v>
      </c>
      <c r="HM222" s="5">
        <v>10001</v>
      </c>
      <c r="HN222" s="5" t="s">
        <v>367</v>
      </c>
      <c r="HO222" s="5" t="s">
        <v>360</v>
      </c>
      <c r="HP222" s="5">
        <v>0</v>
      </c>
      <c r="HQ222" s="5">
        <v>0</v>
      </c>
      <c r="HR222" s="5">
        <v>0</v>
      </c>
      <c r="HS222" s="5">
        <v>0</v>
      </c>
      <c r="HT222" s="5" t="b">
        <v>0</v>
      </c>
    </row>
    <row r="223" spans="1:228">
      <c r="A223"/>
      <c r="B223" s="1">
        <f>10000000+INDEX(编号表!$B$1:$B$112,MATCH(D223,编号表!$A$1:$A$112,0))*10000+I223</f>
        <v>10220007</v>
      </c>
      <c r="C223" s="5" t="s">
        <v>427</v>
      </c>
      <c r="D223" s="5" t="s">
        <v>427</v>
      </c>
      <c r="E223" s="5" t="s">
        <v>348</v>
      </c>
      <c r="F223" s="5" t="s">
        <v>378</v>
      </c>
      <c r="G223" s="5" t="b">
        <v>0</v>
      </c>
      <c r="H223" s="5" t="b">
        <v>0</v>
      </c>
      <c r="I223" s="5">
        <v>7</v>
      </c>
      <c r="J223" s="5">
        <v>102200</v>
      </c>
      <c r="K223" s="5" t="s">
        <v>350</v>
      </c>
      <c r="L223" s="5">
        <v>10220006</v>
      </c>
      <c r="M223" s="5">
        <v>10220008</v>
      </c>
      <c r="N223" s="5" t="s">
        <v>428</v>
      </c>
      <c r="O223" s="5">
        <v>10202021</v>
      </c>
      <c r="P223" s="5">
        <v>0</v>
      </c>
      <c r="Q223" s="5">
        <v>3</v>
      </c>
      <c r="R223" s="5">
        <v>35</v>
      </c>
      <c r="S223" s="5">
        <v>0</v>
      </c>
      <c r="T223" s="5">
        <v>100</v>
      </c>
      <c r="U223" s="5" t="s">
        <v>364</v>
      </c>
      <c r="V223" s="5">
        <v>650</v>
      </c>
      <c r="W223" s="5">
        <v>650</v>
      </c>
      <c r="X223" s="5" t="s">
        <v>352</v>
      </c>
      <c r="Y223" s="5" t="s">
        <v>376</v>
      </c>
      <c r="Z223" s="5" t="s">
        <v>354</v>
      </c>
      <c r="AA223" s="5">
        <v>0</v>
      </c>
      <c r="AB223" s="5">
        <v>1</v>
      </c>
      <c r="AC223" s="5" t="b">
        <v>0</v>
      </c>
      <c r="AD223" s="5" t="s">
        <v>355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 t="s">
        <v>367</v>
      </c>
      <c r="AZ223" s="5">
        <v>11700</v>
      </c>
      <c r="BA223" s="5" t="s">
        <v>417</v>
      </c>
      <c r="BB223" s="5" t="s">
        <v>354</v>
      </c>
      <c r="BC223" s="5">
        <v>10000</v>
      </c>
      <c r="BD223" s="5">
        <v>0</v>
      </c>
      <c r="BE223" s="5" t="s">
        <v>358</v>
      </c>
      <c r="BF223" s="5">
        <v>0</v>
      </c>
      <c r="BG223" s="5"/>
      <c r="BH223" s="5"/>
      <c r="BI223" s="5"/>
      <c r="BJ223" s="5"/>
      <c r="BK223" s="5"/>
      <c r="BL223" s="5"/>
      <c r="BM223" s="5">
        <v>21001607</v>
      </c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X223" s="5">
        <v>200</v>
      </c>
      <c r="GY223" s="5">
        <v>400</v>
      </c>
      <c r="GZ223" s="5" t="s">
        <v>383</v>
      </c>
      <c r="HA223" s="5">
        <v>0</v>
      </c>
      <c r="HB223" s="5">
        <v>0</v>
      </c>
      <c r="HC223" s="5" t="s">
        <v>366</v>
      </c>
      <c r="HD223" s="5" t="b">
        <v>1</v>
      </c>
      <c r="HE223" s="5">
        <v>8000</v>
      </c>
      <c r="HF223" s="5" t="b">
        <v>0</v>
      </c>
      <c r="HG223" s="5">
        <v>0</v>
      </c>
      <c r="HH223" s="5">
        <v>0</v>
      </c>
      <c r="HI223" s="5">
        <v>0</v>
      </c>
      <c r="HJ223" s="5">
        <v>0</v>
      </c>
      <c r="HK223" s="5" t="b">
        <v>0</v>
      </c>
      <c r="HL223" s="5">
        <v>0</v>
      </c>
      <c r="HM223" s="5">
        <v>10001</v>
      </c>
      <c r="HN223" s="5" t="s">
        <v>367</v>
      </c>
      <c r="HO223" s="5" t="s">
        <v>360</v>
      </c>
      <c r="HP223" s="5">
        <v>0</v>
      </c>
      <c r="HQ223" s="5">
        <v>0</v>
      </c>
      <c r="HR223" s="5">
        <v>0</v>
      </c>
      <c r="HS223" s="5">
        <v>0</v>
      </c>
      <c r="HT223" s="5" t="b">
        <v>0</v>
      </c>
    </row>
    <row r="224" spans="1:228">
      <c r="A224"/>
      <c r="B224" s="1">
        <f>10000000+INDEX(编号表!$B$1:$B$112,MATCH(D224,编号表!$A$1:$A$112,0))*10000+I224</f>
        <v>10220008</v>
      </c>
      <c r="C224" s="5" t="s">
        <v>427</v>
      </c>
      <c r="D224" s="5" t="s">
        <v>427</v>
      </c>
      <c r="E224" s="5" t="s">
        <v>348</v>
      </c>
      <c r="F224" s="5" t="s">
        <v>378</v>
      </c>
      <c r="G224" s="5" t="b">
        <v>0</v>
      </c>
      <c r="H224" s="5" t="b">
        <v>0</v>
      </c>
      <c r="I224" s="5">
        <v>8</v>
      </c>
      <c r="J224" s="5">
        <v>102200</v>
      </c>
      <c r="K224" s="5" t="s">
        <v>350</v>
      </c>
      <c r="L224" s="5">
        <v>10220007</v>
      </c>
      <c r="M224" s="5">
        <v>10220009</v>
      </c>
      <c r="N224" s="5" t="s">
        <v>428</v>
      </c>
      <c r="O224" s="5">
        <v>10202021</v>
      </c>
      <c r="P224" s="5">
        <v>0</v>
      </c>
      <c r="Q224" s="5">
        <v>3</v>
      </c>
      <c r="R224" s="5">
        <v>35</v>
      </c>
      <c r="S224" s="5">
        <v>0</v>
      </c>
      <c r="T224" s="5">
        <v>100</v>
      </c>
      <c r="U224" s="5" t="s">
        <v>364</v>
      </c>
      <c r="V224" s="5">
        <v>650</v>
      </c>
      <c r="W224" s="5">
        <v>650</v>
      </c>
      <c r="X224" s="5" t="s">
        <v>352</v>
      </c>
      <c r="Y224" s="5" t="s">
        <v>376</v>
      </c>
      <c r="Z224" s="5" t="s">
        <v>354</v>
      </c>
      <c r="AA224" s="5">
        <v>0</v>
      </c>
      <c r="AB224" s="5">
        <v>1</v>
      </c>
      <c r="AC224" s="5" t="b">
        <v>0</v>
      </c>
      <c r="AD224" s="5" t="s">
        <v>355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 t="s">
        <v>367</v>
      </c>
      <c r="AZ224" s="5">
        <v>11800</v>
      </c>
      <c r="BA224" s="5" t="s">
        <v>417</v>
      </c>
      <c r="BB224" s="5" t="s">
        <v>354</v>
      </c>
      <c r="BC224" s="5">
        <v>10000</v>
      </c>
      <c r="BD224" s="5">
        <v>0</v>
      </c>
      <c r="BE224" s="5" t="s">
        <v>358</v>
      </c>
      <c r="BF224" s="5">
        <v>0</v>
      </c>
      <c r="BG224" s="5"/>
      <c r="BH224" s="5"/>
      <c r="BI224" s="5"/>
      <c r="BJ224" s="5"/>
      <c r="BK224" s="5"/>
      <c r="BL224" s="5"/>
      <c r="BM224" s="5">
        <v>21001608</v>
      </c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X224" s="5">
        <v>200</v>
      </c>
      <c r="GY224" s="5">
        <v>400</v>
      </c>
      <c r="GZ224" s="5" t="s">
        <v>383</v>
      </c>
      <c r="HA224" s="5">
        <v>0</v>
      </c>
      <c r="HB224" s="5">
        <v>0</v>
      </c>
      <c r="HC224" s="5" t="s">
        <v>366</v>
      </c>
      <c r="HD224" s="5" t="b">
        <v>1</v>
      </c>
      <c r="HE224" s="5">
        <v>8000</v>
      </c>
      <c r="HF224" s="5" t="b">
        <v>0</v>
      </c>
      <c r="HG224" s="5">
        <v>0</v>
      </c>
      <c r="HH224" s="5">
        <v>0</v>
      </c>
      <c r="HI224" s="5">
        <v>0</v>
      </c>
      <c r="HJ224" s="5">
        <v>0</v>
      </c>
      <c r="HK224" s="5" t="b">
        <v>0</v>
      </c>
      <c r="HL224" s="5">
        <v>0</v>
      </c>
      <c r="HM224" s="5">
        <v>10001</v>
      </c>
      <c r="HN224" s="5" t="s">
        <v>367</v>
      </c>
      <c r="HO224" s="5" t="s">
        <v>360</v>
      </c>
      <c r="HP224" s="5">
        <v>0</v>
      </c>
      <c r="HQ224" s="5">
        <v>0</v>
      </c>
      <c r="HR224" s="5">
        <v>0</v>
      </c>
      <c r="HS224" s="5">
        <v>0</v>
      </c>
      <c r="HT224" s="5" t="b">
        <v>0</v>
      </c>
    </row>
    <row r="225" spans="1:228">
      <c r="A225"/>
      <c r="B225" s="1">
        <f>10000000+INDEX(编号表!$B$1:$B$112,MATCH(D225,编号表!$A$1:$A$112,0))*10000+I225</f>
        <v>10220009</v>
      </c>
      <c r="C225" s="5" t="s">
        <v>427</v>
      </c>
      <c r="D225" s="5" t="s">
        <v>427</v>
      </c>
      <c r="E225" s="5" t="s">
        <v>348</v>
      </c>
      <c r="F225" s="5" t="s">
        <v>378</v>
      </c>
      <c r="G225" s="5" t="b">
        <v>0</v>
      </c>
      <c r="H225" s="5" t="b">
        <v>0</v>
      </c>
      <c r="I225" s="5">
        <v>9</v>
      </c>
      <c r="J225" s="5">
        <v>102200</v>
      </c>
      <c r="K225" s="5" t="s">
        <v>350</v>
      </c>
      <c r="L225" s="5">
        <v>10220008</v>
      </c>
      <c r="M225" s="5">
        <v>10220010</v>
      </c>
      <c r="N225" s="5" t="s">
        <v>428</v>
      </c>
      <c r="O225" s="5">
        <v>10202021</v>
      </c>
      <c r="P225" s="5">
        <v>0</v>
      </c>
      <c r="Q225" s="5">
        <v>3</v>
      </c>
      <c r="R225" s="5">
        <v>40</v>
      </c>
      <c r="S225" s="5">
        <v>0</v>
      </c>
      <c r="T225" s="5">
        <v>100</v>
      </c>
      <c r="U225" s="5" t="s">
        <v>364</v>
      </c>
      <c r="V225" s="5">
        <v>650</v>
      </c>
      <c r="W225" s="5">
        <v>650</v>
      </c>
      <c r="X225" s="5" t="s">
        <v>352</v>
      </c>
      <c r="Y225" s="5" t="s">
        <v>376</v>
      </c>
      <c r="Z225" s="5" t="s">
        <v>354</v>
      </c>
      <c r="AA225" s="5">
        <v>0</v>
      </c>
      <c r="AB225" s="5">
        <v>1</v>
      </c>
      <c r="AC225" s="5" t="b">
        <v>0</v>
      </c>
      <c r="AD225" s="5" t="s">
        <v>355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 t="s">
        <v>367</v>
      </c>
      <c r="AZ225" s="5">
        <v>11900</v>
      </c>
      <c r="BA225" s="5" t="s">
        <v>417</v>
      </c>
      <c r="BB225" s="5" t="s">
        <v>354</v>
      </c>
      <c r="BC225" s="5">
        <v>10000</v>
      </c>
      <c r="BD225" s="5">
        <v>0</v>
      </c>
      <c r="BE225" s="5" t="s">
        <v>358</v>
      </c>
      <c r="BF225" s="5">
        <v>0</v>
      </c>
      <c r="BG225" s="5"/>
      <c r="BH225" s="5"/>
      <c r="BI225" s="5"/>
      <c r="BJ225" s="5"/>
      <c r="BK225" s="5"/>
      <c r="BL225" s="5"/>
      <c r="BM225" s="5">
        <v>21001609</v>
      </c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X225" s="5">
        <v>200</v>
      </c>
      <c r="GY225" s="5">
        <v>400</v>
      </c>
      <c r="GZ225" s="5" t="s">
        <v>383</v>
      </c>
      <c r="HA225" s="5">
        <v>0</v>
      </c>
      <c r="HB225" s="5">
        <v>0</v>
      </c>
      <c r="HC225" s="5" t="s">
        <v>366</v>
      </c>
      <c r="HD225" s="5" t="b">
        <v>1</v>
      </c>
      <c r="HE225" s="5">
        <v>8000</v>
      </c>
      <c r="HF225" s="5" t="b">
        <v>0</v>
      </c>
      <c r="HG225" s="5">
        <v>0</v>
      </c>
      <c r="HH225" s="5">
        <v>0</v>
      </c>
      <c r="HI225" s="5">
        <v>0</v>
      </c>
      <c r="HJ225" s="5">
        <v>0</v>
      </c>
      <c r="HK225" s="5" t="b">
        <v>0</v>
      </c>
      <c r="HL225" s="5">
        <v>0</v>
      </c>
      <c r="HM225" s="5">
        <v>10001</v>
      </c>
      <c r="HN225" s="5" t="s">
        <v>367</v>
      </c>
      <c r="HO225" s="5" t="s">
        <v>360</v>
      </c>
      <c r="HP225" s="5">
        <v>0</v>
      </c>
      <c r="HQ225" s="5">
        <v>0</v>
      </c>
      <c r="HR225" s="5">
        <v>0</v>
      </c>
      <c r="HS225" s="5">
        <v>0</v>
      </c>
      <c r="HT225" s="5" t="b">
        <v>0</v>
      </c>
    </row>
    <row r="226" spans="1:228">
      <c r="A226"/>
      <c r="B226" s="1">
        <f>10000000+INDEX(编号表!$B$1:$B$112,MATCH(D226,编号表!$A$1:$A$112,0))*10000+I226</f>
        <v>10220010</v>
      </c>
      <c r="C226" s="5" t="s">
        <v>427</v>
      </c>
      <c r="D226" s="5" t="s">
        <v>427</v>
      </c>
      <c r="E226" s="5" t="s">
        <v>348</v>
      </c>
      <c r="F226" s="5" t="s">
        <v>378</v>
      </c>
      <c r="G226" s="5" t="b">
        <v>0</v>
      </c>
      <c r="H226" s="5" t="b">
        <v>0</v>
      </c>
      <c r="I226" s="5">
        <v>10</v>
      </c>
      <c r="J226" s="5">
        <v>102200</v>
      </c>
      <c r="K226" s="5" t="s">
        <v>350</v>
      </c>
      <c r="L226" s="5">
        <v>10220009</v>
      </c>
      <c r="M226" s="5">
        <v>0</v>
      </c>
      <c r="N226" s="5" t="s">
        <v>428</v>
      </c>
      <c r="O226" s="5">
        <v>10202021</v>
      </c>
      <c r="P226" s="5">
        <v>0</v>
      </c>
      <c r="Q226" s="5">
        <v>3</v>
      </c>
      <c r="R226" s="5">
        <v>40</v>
      </c>
      <c r="S226" s="5">
        <v>0</v>
      </c>
      <c r="T226" s="5">
        <v>0</v>
      </c>
      <c r="U226" s="5" t="s">
        <v>364</v>
      </c>
      <c r="V226" s="5">
        <v>650</v>
      </c>
      <c r="W226" s="5">
        <v>650</v>
      </c>
      <c r="X226" s="5" t="s">
        <v>352</v>
      </c>
      <c r="Y226" s="5" t="s">
        <v>376</v>
      </c>
      <c r="Z226" s="5" t="s">
        <v>354</v>
      </c>
      <c r="AA226" s="5">
        <v>0</v>
      </c>
      <c r="AB226" s="5">
        <v>1</v>
      </c>
      <c r="AC226" s="5" t="b">
        <v>0</v>
      </c>
      <c r="AD226" s="5" t="s">
        <v>355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 t="s">
        <v>367</v>
      </c>
      <c r="AZ226" s="5">
        <v>12000</v>
      </c>
      <c r="BA226" s="5" t="s">
        <v>417</v>
      </c>
      <c r="BB226" s="5" t="s">
        <v>354</v>
      </c>
      <c r="BC226" s="5">
        <v>10000</v>
      </c>
      <c r="BD226" s="5">
        <v>0</v>
      </c>
      <c r="BE226" s="5" t="s">
        <v>358</v>
      </c>
      <c r="BF226" s="5">
        <v>0</v>
      </c>
      <c r="BG226" s="5"/>
      <c r="BH226" s="5"/>
      <c r="BI226" s="5"/>
      <c r="BJ226" s="5"/>
      <c r="BK226" s="5"/>
      <c r="BL226" s="5"/>
      <c r="BM226" s="5">
        <v>21001610</v>
      </c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X226" s="5">
        <v>200</v>
      </c>
      <c r="GY226" s="5">
        <v>400</v>
      </c>
      <c r="GZ226" s="5" t="s">
        <v>383</v>
      </c>
      <c r="HA226" s="5">
        <v>0</v>
      </c>
      <c r="HB226" s="5">
        <v>0</v>
      </c>
      <c r="HC226" s="5" t="s">
        <v>366</v>
      </c>
      <c r="HD226" s="5" t="b">
        <v>1</v>
      </c>
      <c r="HE226" s="5">
        <v>8000</v>
      </c>
      <c r="HF226" s="5" t="b">
        <v>0</v>
      </c>
      <c r="HG226" s="5">
        <v>0</v>
      </c>
      <c r="HH226" s="5">
        <v>0</v>
      </c>
      <c r="HI226" s="5">
        <v>0</v>
      </c>
      <c r="HJ226" s="5">
        <v>0</v>
      </c>
      <c r="HK226" s="5" t="b">
        <v>0</v>
      </c>
      <c r="HL226" s="5">
        <v>0</v>
      </c>
      <c r="HM226" s="5">
        <v>10001</v>
      </c>
      <c r="HN226" s="5" t="s">
        <v>367</v>
      </c>
      <c r="HO226" s="5" t="s">
        <v>360</v>
      </c>
      <c r="HP226" s="5">
        <v>0</v>
      </c>
      <c r="HQ226" s="5">
        <v>0</v>
      </c>
      <c r="HR226" s="5">
        <v>0</v>
      </c>
      <c r="HS226" s="5">
        <v>0</v>
      </c>
      <c r="HT226" s="5" t="b">
        <v>0</v>
      </c>
    </row>
    <row r="227" spans="1:228">
      <c r="A227"/>
      <c r="B227" s="1">
        <f>10000000+INDEX(编号表!$B$1:$B$112,MATCH(D227,编号表!$A$1:$A$112,0))*10000+I227</f>
        <v>10230001</v>
      </c>
      <c r="C227" s="5" t="s">
        <v>429</v>
      </c>
      <c r="D227" s="5" t="s">
        <v>429</v>
      </c>
      <c r="E227" s="5" t="s">
        <v>348</v>
      </c>
      <c r="F227" s="5" t="s">
        <v>397</v>
      </c>
      <c r="G227" s="5" t="b">
        <v>0</v>
      </c>
      <c r="H227" s="5" t="b">
        <v>0</v>
      </c>
      <c r="I227" s="5">
        <v>1</v>
      </c>
      <c r="J227" s="5">
        <v>102300</v>
      </c>
      <c r="K227" s="5" t="s">
        <v>350</v>
      </c>
      <c r="L227" s="5">
        <v>0</v>
      </c>
      <c r="M227" s="5">
        <v>10230002</v>
      </c>
      <c r="N227" s="5" t="s">
        <v>430</v>
      </c>
      <c r="O227" s="5">
        <v>10202022</v>
      </c>
      <c r="P227" s="5">
        <v>0</v>
      </c>
      <c r="Q227" s="5">
        <v>0</v>
      </c>
      <c r="R227" s="5">
        <v>1</v>
      </c>
      <c r="S227" s="5">
        <v>0</v>
      </c>
      <c r="T227" s="5">
        <v>100</v>
      </c>
      <c r="U227" s="5" t="s">
        <v>364</v>
      </c>
      <c r="V227" s="5">
        <v>650</v>
      </c>
      <c r="W227" s="5">
        <v>650</v>
      </c>
      <c r="X227" s="5" t="s">
        <v>352</v>
      </c>
      <c r="Y227" s="5" t="s">
        <v>376</v>
      </c>
      <c r="Z227" s="5" t="s">
        <v>354</v>
      </c>
      <c r="AA227" s="5">
        <v>0</v>
      </c>
      <c r="AB227" s="5">
        <v>1</v>
      </c>
      <c r="AC227" s="5" t="b">
        <v>0</v>
      </c>
      <c r="AD227" s="5" t="s">
        <v>355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 t="s">
        <v>367</v>
      </c>
      <c r="AZ227" s="5">
        <v>10000</v>
      </c>
      <c r="BA227" s="5" t="s">
        <v>417</v>
      </c>
      <c r="BB227" s="5" t="s">
        <v>354</v>
      </c>
      <c r="BC227" s="5">
        <v>10000</v>
      </c>
      <c r="BD227" s="5">
        <v>0</v>
      </c>
      <c r="BE227" s="5" t="s">
        <v>358</v>
      </c>
      <c r="BF227" s="5">
        <v>0</v>
      </c>
      <c r="BG227" s="5"/>
      <c r="BH227" s="5"/>
      <c r="BI227" s="5"/>
      <c r="BJ227" s="5"/>
      <c r="BK227" s="5"/>
      <c r="BL227" s="5"/>
      <c r="BM227" s="5">
        <v>21001701</v>
      </c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X227" s="5">
        <v>200</v>
      </c>
      <c r="GY227" s="5">
        <v>400</v>
      </c>
      <c r="GZ227" s="5" t="s">
        <v>383</v>
      </c>
      <c r="HA227" s="5">
        <v>0</v>
      </c>
      <c r="HB227" s="5" t="s">
        <v>366</v>
      </c>
      <c r="HC227" s="5" t="s">
        <v>366</v>
      </c>
      <c r="HD227" s="5" t="b">
        <v>1</v>
      </c>
      <c r="HE227" s="5">
        <v>8000</v>
      </c>
      <c r="HF227" s="5" t="b">
        <v>0</v>
      </c>
      <c r="HG227" s="5">
        <v>0</v>
      </c>
      <c r="HH227" s="5">
        <v>0</v>
      </c>
      <c r="HI227" s="5">
        <v>0</v>
      </c>
      <c r="HJ227" s="5">
        <v>0</v>
      </c>
      <c r="HK227" s="5" t="b">
        <v>0</v>
      </c>
      <c r="HL227" s="5">
        <v>0</v>
      </c>
      <c r="HM227" s="5">
        <v>10001</v>
      </c>
      <c r="HN227" s="5" t="s">
        <v>367</v>
      </c>
      <c r="HO227" s="5" t="s">
        <v>360</v>
      </c>
      <c r="HP227" s="5">
        <v>0</v>
      </c>
      <c r="HQ227" s="5">
        <v>0</v>
      </c>
      <c r="HR227" s="5">
        <v>0</v>
      </c>
      <c r="HS227" s="5">
        <v>0</v>
      </c>
      <c r="HT227" s="5" t="b">
        <v>0</v>
      </c>
    </row>
    <row r="228" spans="1:228">
      <c r="A228"/>
      <c r="B228" s="1">
        <f>10000000+INDEX(编号表!$B$1:$B$112,MATCH(D228,编号表!$A$1:$A$112,0))*10000+I228</f>
        <v>10230002</v>
      </c>
      <c r="C228" s="5" t="s">
        <v>429</v>
      </c>
      <c r="D228" s="5" t="s">
        <v>429</v>
      </c>
      <c r="E228" s="5" t="s">
        <v>348</v>
      </c>
      <c r="F228" s="5" t="s">
        <v>397</v>
      </c>
      <c r="G228" s="5" t="b">
        <v>0</v>
      </c>
      <c r="H228" s="5" t="b">
        <v>0</v>
      </c>
      <c r="I228" s="5">
        <v>2</v>
      </c>
      <c r="J228" s="5">
        <v>102300</v>
      </c>
      <c r="K228" s="5" t="s">
        <v>350</v>
      </c>
      <c r="L228" s="5">
        <v>10230001</v>
      </c>
      <c r="M228" s="5">
        <v>10230003</v>
      </c>
      <c r="N228" s="5" t="s">
        <v>430</v>
      </c>
      <c r="O228" s="5">
        <v>10202022</v>
      </c>
      <c r="P228" s="5">
        <v>0</v>
      </c>
      <c r="Q228" s="5">
        <v>1</v>
      </c>
      <c r="R228" s="5">
        <v>7</v>
      </c>
      <c r="S228" s="5">
        <v>0</v>
      </c>
      <c r="T228" s="5">
        <v>100</v>
      </c>
      <c r="U228" s="5" t="s">
        <v>364</v>
      </c>
      <c r="V228" s="5">
        <v>650</v>
      </c>
      <c r="W228" s="5">
        <v>650</v>
      </c>
      <c r="X228" s="5" t="s">
        <v>352</v>
      </c>
      <c r="Y228" s="5" t="s">
        <v>376</v>
      </c>
      <c r="Z228" s="5" t="s">
        <v>354</v>
      </c>
      <c r="AA228" s="5">
        <v>0</v>
      </c>
      <c r="AB228" s="5">
        <v>1</v>
      </c>
      <c r="AC228" s="5" t="b">
        <v>0</v>
      </c>
      <c r="AD228" s="5" t="s">
        <v>355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 t="s">
        <v>367</v>
      </c>
      <c r="AZ228" s="5">
        <v>10400</v>
      </c>
      <c r="BA228" s="5" t="s">
        <v>417</v>
      </c>
      <c r="BB228" s="5" t="s">
        <v>354</v>
      </c>
      <c r="BC228" s="5">
        <v>10000</v>
      </c>
      <c r="BD228" s="5">
        <v>0</v>
      </c>
      <c r="BE228" s="5" t="s">
        <v>358</v>
      </c>
      <c r="BF228" s="5">
        <v>0</v>
      </c>
      <c r="BG228" s="5"/>
      <c r="BH228" s="5"/>
      <c r="BI228" s="5"/>
      <c r="BJ228" s="5"/>
      <c r="BK228" s="5"/>
      <c r="BL228" s="5"/>
      <c r="BM228" s="5">
        <v>21001702</v>
      </c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X228" s="5">
        <v>200</v>
      </c>
      <c r="GY228" s="5">
        <v>400</v>
      </c>
      <c r="GZ228" s="5" t="s">
        <v>383</v>
      </c>
      <c r="HA228" s="5">
        <v>0</v>
      </c>
      <c r="HB228" s="5" t="s">
        <v>366</v>
      </c>
      <c r="HC228" s="5" t="s">
        <v>366</v>
      </c>
      <c r="HD228" s="5" t="b">
        <v>1</v>
      </c>
      <c r="HE228" s="5">
        <v>8000</v>
      </c>
      <c r="HF228" s="5" t="b">
        <v>0</v>
      </c>
      <c r="HG228" s="5">
        <v>0</v>
      </c>
      <c r="HH228" s="5">
        <v>0</v>
      </c>
      <c r="HI228" s="5">
        <v>0</v>
      </c>
      <c r="HJ228" s="5">
        <v>0</v>
      </c>
      <c r="HK228" s="5" t="b">
        <v>0</v>
      </c>
      <c r="HL228" s="5">
        <v>0</v>
      </c>
      <c r="HM228" s="5">
        <v>10001</v>
      </c>
      <c r="HN228" s="5" t="s">
        <v>367</v>
      </c>
      <c r="HO228" s="5" t="s">
        <v>360</v>
      </c>
      <c r="HP228" s="5">
        <v>0</v>
      </c>
      <c r="HQ228" s="5">
        <v>0</v>
      </c>
      <c r="HR228" s="5">
        <v>0</v>
      </c>
      <c r="HS228" s="5">
        <v>0</v>
      </c>
      <c r="HT228" s="5" t="b">
        <v>0</v>
      </c>
    </row>
    <row r="229" spans="1:228">
      <c r="A229"/>
      <c r="B229" s="1">
        <f>10000000+INDEX(编号表!$B$1:$B$112,MATCH(D229,编号表!$A$1:$A$112,0))*10000+I229</f>
        <v>10230003</v>
      </c>
      <c r="C229" s="5" t="s">
        <v>429</v>
      </c>
      <c r="D229" s="5" t="s">
        <v>429</v>
      </c>
      <c r="E229" s="5" t="s">
        <v>348</v>
      </c>
      <c r="F229" s="5" t="s">
        <v>397</v>
      </c>
      <c r="G229" s="5" t="b">
        <v>0</v>
      </c>
      <c r="H229" s="5" t="b">
        <v>0</v>
      </c>
      <c r="I229" s="5">
        <v>3</v>
      </c>
      <c r="J229" s="5">
        <v>102300</v>
      </c>
      <c r="K229" s="5" t="s">
        <v>350</v>
      </c>
      <c r="L229" s="5">
        <v>10230002</v>
      </c>
      <c r="M229" s="5">
        <v>10230004</v>
      </c>
      <c r="N229" s="5" t="s">
        <v>430</v>
      </c>
      <c r="O229" s="5">
        <v>10202022</v>
      </c>
      <c r="P229" s="5">
        <v>0</v>
      </c>
      <c r="Q229" s="5">
        <v>2</v>
      </c>
      <c r="R229" s="5">
        <v>11</v>
      </c>
      <c r="S229" s="5">
        <v>0</v>
      </c>
      <c r="T229" s="5">
        <v>100</v>
      </c>
      <c r="U229" s="5" t="s">
        <v>364</v>
      </c>
      <c r="V229" s="5">
        <v>650</v>
      </c>
      <c r="W229" s="5">
        <v>650</v>
      </c>
      <c r="X229" s="5" t="s">
        <v>352</v>
      </c>
      <c r="Y229" s="5" t="s">
        <v>376</v>
      </c>
      <c r="Z229" s="5" t="s">
        <v>354</v>
      </c>
      <c r="AA229" s="5">
        <v>0</v>
      </c>
      <c r="AB229" s="5">
        <v>1</v>
      </c>
      <c r="AC229" s="5" t="b">
        <v>0</v>
      </c>
      <c r="AD229" s="5" t="s">
        <v>355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 t="s">
        <v>367</v>
      </c>
      <c r="AZ229" s="5">
        <v>10800</v>
      </c>
      <c r="BA229" s="5" t="s">
        <v>417</v>
      </c>
      <c r="BB229" s="5" t="s">
        <v>354</v>
      </c>
      <c r="BC229" s="5">
        <v>10000</v>
      </c>
      <c r="BD229" s="5">
        <v>0</v>
      </c>
      <c r="BE229" s="5" t="s">
        <v>358</v>
      </c>
      <c r="BF229" s="5">
        <v>0</v>
      </c>
      <c r="BG229" s="5"/>
      <c r="BH229" s="5"/>
      <c r="BI229" s="5"/>
      <c r="BJ229" s="5"/>
      <c r="BK229" s="5"/>
      <c r="BL229" s="5"/>
      <c r="BM229" s="5">
        <v>21001703</v>
      </c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X229" s="5">
        <v>200</v>
      </c>
      <c r="GY229" s="5">
        <v>400</v>
      </c>
      <c r="GZ229" s="5" t="s">
        <v>383</v>
      </c>
      <c r="HA229" s="5">
        <v>0</v>
      </c>
      <c r="HB229" s="5" t="s">
        <v>366</v>
      </c>
      <c r="HC229" s="5" t="s">
        <v>366</v>
      </c>
      <c r="HD229" s="5" t="b">
        <v>1</v>
      </c>
      <c r="HE229" s="5">
        <v>8000</v>
      </c>
      <c r="HF229" s="5" t="b">
        <v>0</v>
      </c>
      <c r="HG229" s="5">
        <v>0</v>
      </c>
      <c r="HH229" s="5">
        <v>0</v>
      </c>
      <c r="HI229" s="5">
        <v>0</v>
      </c>
      <c r="HJ229" s="5">
        <v>0</v>
      </c>
      <c r="HK229" s="5" t="b">
        <v>0</v>
      </c>
      <c r="HL229" s="5">
        <v>0</v>
      </c>
      <c r="HM229" s="5">
        <v>10001</v>
      </c>
      <c r="HN229" s="5" t="s">
        <v>367</v>
      </c>
      <c r="HO229" s="5" t="s">
        <v>360</v>
      </c>
      <c r="HP229" s="5">
        <v>0</v>
      </c>
      <c r="HQ229" s="5">
        <v>0</v>
      </c>
      <c r="HR229" s="5">
        <v>0</v>
      </c>
      <c r="HS229" s="5">
        <v>0</v>
      </c>
      <c r="HT229" s="5" t="b">
        <v>0</v>
      </c>
    </row>
    <row r="230" spans="1:228">
      <c r="A230"/>
      <c r="B230" s="1">
        <f>10000000+INDEX(编号表!$B$1:$B$112,MATCH(D230,编号表!$A$1:$A$112,0))*10000+I230</f>
        <v>10230004</v>
      </c>
      <c r="C230" s="5" t="s">
        <v>429</v>
      </c>
      <c r="D230" s="5" t="s">
        <v>429</v>
      </c>
      <c r="E230" s="5" t="s">
        <v>348</v>
      </c>
      <c r="F230" s="5" t="s">
        <v>397</v>
      </c>
      <c r="G230" s="5" t="b">
        <v>0</v>
      </c>
      <c r="H230" s="5" t="b">
        <v>0</v>
      </c>
      <c r="I230" s="5">
        <v>4</v>
      </c>
      <c r="J230" s="5">
        <v>102300</v>
      </c>
      <c r="K230" s="5" t="s">
        <v>350</v>
      </c>
      <c r="L230" s="5">
        <v>10230003</v>
      </c>
      <c r="M230" s="5">
        <v>10230005</v>
      </c>
      <c r="N230" s="5" t="s">
        <v>430</v>
      </c>
      <c r="O230" s="5">
        <v>10202022</v>
      </c>
      <c r="P230" s="5">
        <v>0</v>
      </c>
      <c r="Q230" s="5">
        <v>3</v>
      </c>
      <c r="R230" s="5">
        <v>16</v>
      </c>
      <c r="S230" s="5">
        <v>0</v>
      </c>
      <c r="T230" s="5">
        <v>100</v>
      </c>
      <c r="U230" s="5" t="s">
        <v>364</v>
      </c>
      <c r="V230" s="5">
        <v>650</v>
      </c>
      <c r="W230" s="5">
        <v>650</v>
      </c>
      <c r="X230" s="5" t="s">
        <v>352</v>
      </c>
      <c r="Y230" s="5" t="s">
        <v>376</v>
      </c>
      <c r="Z230" s="5" t="s">
        <v>354</v>
      </c>
      <c r="AA230" s="5">
        <v>0</v>
      </c>
      <c r="AB230" s="5">
        <v>1</v>
      </c>
      <c r="AC230" s="5" t="b">
        <v>0</v>
      </c>
      <c r="AD230" s="5" t="s">
        <v>355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 t="s">
        <v>367</v>
      </c>
      <c r="AZ230" s="5">
        <v>11200</v>
      </c>
      <c r="BA230" s="5" t="s">
        <v>417</v>
      </c>
      <c r="BB230" s="5" t="s">
        <v>354</v>
      </c>
      <c r="BC230" s="5">
        <v>10000</v>
      </c>
      <c r="BD230" s="5">
        <v>0</v>
      </c>
      <c r="BE230" s="5" t="s">
        <v>358</v>
      </c>
      <c r="BF230" s="5">
        <v>0</v>
      </c>
      <c r="BG230" s="5"/>
      <c r="BH230" s="5"/>
      <c r="BI230" s="5"/>
      <c r="BJ230" s="5"/>
      <c r="BK230" s="5"/>
      <c r="BL230" s="5"/>
      <c r="BM230" s="5">
        <v>21001704</v>
      </c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X230" s="5">
        <v>200</v>
      </c>
      <c r="GY230" s="5">
        <v>400</v>
      </c>
      <c r="GZ230" s="5" t="s">
        <v>383</v>
      </c>
      <c r="HA230" s="5">
        <v>0</v>
      </c>
      <c r="HB230" s="5" t="s">
        <v>366</v>
      </c>
      <c r="HC230" s="5" t="s">
        <v>366</v>
      </c>
      <c r="HD230" s="5" t="b">
        <v>1</v>
      </c>
      <c r="HE230" s="5">
        <v>8000</v>
      </c>
      <c r="HF230" s="5" t="b">
        <v>0</v>
      </c>
      <c r="HG230" s="5">
        <v>0</v>
      </c>
      <c r="HH230" s="5">
        <v>0</v>
      </c>
      <c r="HI230" s="5">
        <v>0</v>
      </c>
      <c r="HJ230" s="5">
        <v>0</v>
      </c>
      <c r="HK230" s="5" t="b">
        <v>0</v>
      </c>
      <c r="HL230" s="5">
        <v>0</v>
      </c>
      <c r="HM230" s="5">
        <v>10001</v>
      </c>
      <c r="HN230" s="5" t="s">
        <v>367</v>
      </c>
      <c r="HO230" s="5" t="s">
        <v>360</v>
      </c>
      <c r="HP230" s="5">
        <v>0</v>
      </c>
      <c r="HQ230" s="5">
        <v>0</v>
      </c>
      <c r="HR230" s="5">
        <v>0</v>
      </c>
      <c r="HS230" s="5">
        <v>0</v>
      </c>
      <c r="HT230" s="5" t="b">
        <v>0</v>
      </c>
    </row>
    <row r="231" spans="1:228">
      <c r="A231"/>
      <c r="B231" s="1">
        <f>10000000+INDEX(编号表!$B$1:$B$112,MATCH(D231,编号表!$A$1:$A$112,0))*10000+I231</f>
        <v>10230005</v>
      </c>
      <c r="C231" s="5" t="s">
        <v>429</v>
      </c>
      <c r="D231" s="5" t="s">
        <v>429</v>
      </c>
      <c r="E231" s="5" t="s">
        <v>348</v>
      </c>
      <c r="F231" s="5" t="s">
        <v>397</v>
      </c>
      <c r="G231" s="5" t="b">
        <v>0</v>
      </c>
      <c r="H231" s="5" t="b">
        <v>0</v>
      </c>
      <c r="I231" s="5">
        <v>5</v>
      </c>
      <c r="J231" s="5">
        <v>102300</v>
      </c>
      <c r="K231" s="5" t="s">
        <v>350</v>
      </c>
      <c r="L231" s="5">
        <v>10230004</v>
      </c>
      <c r="M231" s="5">
        <v>10230006</v>
      </c>
      <c r="N231" s="5" t="s">
        <v>430</v>
      </c>
      <c r="O231" s="5">
        <v>10202022</v>
      </c>
      <c r="P231" s="5">
        <v>0</v>
      </c>
      <c r="Q231" s="5">
        <v>3</v>
      </c>
      <c r="R231" s="5">
        <v>25</v>
      </c>
      <c r="S231" s="5">
        <v>0</v>
      </c>
      <c r="T231" s="5">
        <v>100</v>
      </c>
      <c r="U231" s="5" t="s">
        <v>364</v>
      </c>
      <c r="V231" s="5">
        <v>650</v>
      </c>
      <c r="W231" s="5">
        <v>650</v>
      </c>
      <c r="X231" s="5" t="s">
        <v>352</v>
      </c>
      <c r="Y231" s="5" t="s">
        <v>376</v>
      </c>
      <c r="Z231" s="5" t="s">
        <v>354</v>
      </c>
      <c r="AA231" s="5">
        <v>0</v>
      </c>
      <c r="AB231" s="5">
        <v>1</v>
      </c>
      <c r="AC231" s="5" t="b">
        <v>0</v>
      </c>
      <c r="AD231" s="5" t="s">
        <v>355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 t="s">
        <v>367</v>
      </c>
      <c r="AZ231" s="5">
        <v>11300</v>
      </c>
      <c r="BA231" s="5" t="s">
        <v>417</v>
      </c>
      <c r="BB231" s="5" t="s">
        <v>354</v>
      </c>
      <c r="BC231" s="5">
        <v>10000</v>
      </c>
      <c r="BD231" s="5">
        <v>0</v>
      </c>
      <c r="BE231" s="5" t="s">
        <v>358</v>
      </c>
      <c r="BF231" s="5">
        <v>0</v>
      </c>
      <c r="BG231" s="5"/>
      <c r="BH231" s="5"/>
      <c r="BI231" s="5"/>
      <c r="BJ231" s="5"/>
      <c r="BK231" s="5"/>
      <c r="BL231" s="5"/>
      <c r="BM231" s="5">
        <v>21001705</v>
      </c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X231" s="5">
        <v>200</v>
      </c>
      <c r="GY231" s="5">
        <v>400</v>
      </c>
      <c r="GZ231" s="5" t="s">
        <v>383</v>
      </c>
      <c r="HA231" s="5">
        <v>0</v>
      </c>
      <c r="HB231" s="5" t="s">
        <v>366</v>
      </c>
      <c r="HC231" s="5" t="s">
        <v>366</v>
      </c>
      <c r="HD231" s="5" t="b">
        <v>1</v>
      </c>
      <c r="HE231" s="5">
        <v>8000</v>
      </c>
      <c r="HF231" s="5" t="b">
        <v>0</v>
      </c>
      <c r="HG231" s="5">
        <v>0</v>
      </c>
      <c r="HH231" s="5">
        <v>0</v>
      </c>
      <c r="HI231" s="5">
        <v>0</v>
      </c>
      <c r="HJ231" s="5">
        <v>0</v>
      </c>
      <c r="HK231" s="5" t="b">
        <v>0</v>
      </c>
      <c r="HL231" s="5">
        <v>0</v>
      </c>
      <c r="HM231" s="5">
        <v>10001</v>
      </c>
      <c r="HN231" s="5" t="s">
        <v>367</v>
      </c>
      <c r="HO231" s="5" t="s">
        <v>360</v>
      </c>
      <c r="HP231" s="5">
        <v>0</v>
      </c>
      <c r="HQ231" s="5">
        <v>0</v>
      </c>
      <c r="HR231" s="5">
        <v>0</v>
      </c>
      <c r="HS231" s="5">
        <v>0</v>
      </c>
      <c r="HT231" s="5" t="b">
        <v>0</v>
      </c>
    </row>
    <row r="232" spans="1:228">
      <c r="A232"/>
      <c r="B232" s="1">
        <f>10000000+INDEX(编号表!$B$1:$B$112,MATCH(D232,编号表!$A$1:$A$112,0))*10000+I232</f>
        <v>10230006</v>
      </c>
      <c r="C232" s="5" t="s">
        <v>429</v>
      </c>
      <c r="D232" s="5" t="s">
        <v>429</v>
      </c>
      <c r="E232" s="5" t="s">
        <v>348</v>
      </c>
      <c r="F232" s="5" t="s">
        <v>397</v>
      </c>
      <c r="G232" s="5" t="b">
        <v>0</v>
      </c>
      <c r="H232" s="5" t="b">
        <v>0</v>
      </c>
      <c r="I232" s="5">
        <v>6</v>
      </c>
      <c r="J232" s="5">
        <v>102300</v>
      </c>
      <c r="K232" s="5" t="s">
        <v>350</v>
      </c>
      <c r="L232" s="5">
        <v>10230005</v>
      </c>
      <c r="M232" s="5">
        <v>10230007</v>
      </c>
      <c r="N232" s="5" t="s">
        <v>430</v>
      </c>
      <c r="O232" s="5">
        <v>10202022</v>
      </c>
      <c r="P232" s="5">
        <v>0</v>
      </c>
      <c r="Q232" s="5">
        <v>3</v>
      </c>
      <c r="R232" s="5">
        <v>30</v>
      </c>
      <c r="S232" s="5">
        <v>0</v>
      </c>
      <c r="T232" s="5">
        <v>100</v>
      </c>
      <c r="U232" s="5" t="s">
        <v>364</v>
      </c>
      <c r="V232" s="5">
        <v>650</v>
      </c>
      <c r="W232" s="5">
        <v>650</v>
      </c>
      <c r="X232" s="5" t="s">
        <v>352</v>
      </c>
      <c r="Y232" s="5" t="s">
        <v>376</v>
      </c>
      <c r="Z232" s="5" t="s">
        <v>354</v>
      </c>
      <c r="AA232" s="5">
        <v>0</v>
      </c>
      <c r="AB232" s="5">
        <v>1</v>
      </c>
      <c r="AC232" s="5" t="b">
        <v>0</v>
      </c>
      <c r="AD232" s="5" t="s">
        <v>355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 t="s">
        <v>367</v>
      </c>
      <c r="AZ232" s="5">
        <v>11600</v>
      </c>
      <c r="BA232" s="5" t="s">
        <v>417</v>
      </c>
      <c r="BB232" s="5" t="s">
        <v>354</v>
      </c>
      <c r="BC232" s="5">
        <v>10000</v>
      </c>
      <c r="BD232" s="5">
        <v>0</v>
      </c>
      <c r="BE232" s="5" t="s">
        <v>358</v>
      </c>
      <c r="BF232" s="5">
        <v>0</v>
      </c>
      <c r="BG232" s="5"/>
      <c r="BH232" s="5"/>
      <c r="BI232" s="5"/>
      <c r="BJ232" s="5"/>
      <c r="BK232" s="5"/>
      <c r="BL232" s="5"/>
      <c r="BM232" s="5">
        <v>21001706</v>
      </c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X232" s="5">
        <v>200</v>
      </c>
      <c r="GY232" s="5">
        <v>400</v>
      </c>
      <c r="GZ232" s="5" t="s">
        <v>383</v>
      </c>
      <c r="HA232" s="5">
        <v>0</v>
      </c>
      <c r="HB232" s="5" t="s">
        <v>366</v>
      </c>
      <c r="HC232" s="5" t="s">
        <v>366</v>
      </c>
      <c r="HD232" s="5" t="b">
        <v>1</v>
      </c>
      <c r="HE232" s="5">
        <v>8000</v>
      </c>
      <c r="HF232" s="5" t="b">
        <v>0</v>
      </c>
      <c r="HG232" s="5">
        <v>0</v>
      </c>
      <c r="HH232" s="5">
        <v>0</v>
      </c>
      <c r="HI232" s="5">
        <v>0</v>
      </c>
      <c r="HJ232" s="5">
        <v>0</v>
      </c>
      <c r="HK232" s="5" t="b">
        <v>0</v>
      </c>
      <c r="HL232" s="5">
        <v>0</v>
      </c>
      <c r="HM232" s="5">
        <v>10001</v>
      </c>
      <c r="HN232" s="5" t="s">
        <v>367</v>
      </c>
      <c r="HO232" s="5" t="s">
        <v>360</v>
      </c>
      <c r="HP232" s="5">
        <v>0</v>
      </c>
      <c r="HQ232" s="5">
        <v>0</v>
      </c>
      <c r="HR232" s="5">
        <v>0</v>
      </c>
      <c r="HS232" s="5">
        <v>0</v>
      </c>
      <c r="HT232" s="5" t="b">
        <v>0</v>
      </c>
    </row>
    <row r="233" spans="1:228">
      <c r="A233"/>
      <c r="B233" s="1">
        <f>10000000+INDEX(编号表!$B$1:$B$112,MATCH(D233,编号表!$A$1:$A$112,0))*10000+I233</f>
        <v>10230007</v>
      </c>
      <c r="C233" s="5" t="s">
        <v>429</v>
      </c>
      <c r="D233" s="5" t="s">
        <v>429</v>
      </c>
      <c r="E233" s="5" t="s">
        <v>348</v>
      </c>
      <c r="F233" s="5" t="s">
        <v>397</v>
      </c>
      <c r="G233" s="5" t="b">
        <v>0</v>
      </c>
      <c r="H233" s="5" t="b">
        <v>0</v>
      </c>
      <c r="I233" s="5">
        <v>7</v>
      </c>
      <c r="J233" s="5">
        <v>102300</v>
      </c>
      <c r="K233" s="5" t="s">
        <v>350</v>
      </c>
      <c r="L233" s="5">
        <v>10230006</v>
      </c>
      <c r="M233" s="5">
        <v>10230008</v>
      </c>
      <c r="N233" s="5" t="s">
        <v>430</v>
      </c>
      <c r="O233" s="5">
        <v>10202022</v>
      </c>
      <c r="P233" s="5">
        <v>0</v>
      </c>
      <c r="Q233" s="5">
        <v>3</v>
      </c>
      <c r="R233" s="5">
        <v>35</v>
      </c>
      <c r="S233" s="5">
        <v>0</v>
      </c>
      <c r="T233" s="5">
        <v>100</v>
      </c>
      <c r="U233" s="5" t="s">
        <v>364</v>
      </c>
      <c r="V233" s="5">
        <v>650</v>
      </c>
      <c r="W233" s="5">
        <v>650</v>
      </c>
      <c r="X233" s="5" t="s">
        <v>352</v>
      </c>
      <c r="Y233" s="5" t="s">
        <v>376</v>
      </c>
      <c r="Z233" s="5" t="s">
        <v>354</v>
      </c>
      <c r="AA233" s="5">
        <v>0</v>
      </c>
      <c r="AB233" s="5">
        <v>1</v>
      </c>
      <c r="AC233" s="5" t="b">
        <v>0</v>
      </c>
      <c r="AD233" s="5" t="s">
        <v>355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 t="s">
        <v>367</v>
      </c>
      <c r="AZ233" s="5">
        <v>11700</v>
      </c>
      <c r="BA233" s="5" t="s">
        <v>417</v>
      </c>
      <c r="BB233" s="5" t="s">
        <v>354</v>
      </c>
      <c r="BC233" s="5">
        <v>10000</v>
      </c>
      <c r="BD233" s="5">
        <v>0</v>
      </c>
      <c r="BE233" s="5" t="s">
        <v>358</v>
      </c>
      <c r="BF233" s="5">
        <v>0</v>
      </c>
      <c r="BG233" s="5"/>
      <c r="BH233" s="5"/>
      <c r="BI233" s="5"/>
      <c r="BJ233" s="5"/>
      <c r="BK233" s="5"/>
      <c r="BL233" s="5"/>
      <c r="BM233" s="5">
        <v>21001707</v>
      </c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X233" s="5">
        <v>200</v>
      </c>
      <c r="GY233" s="5">
        <v>400</v>
      </c>
      <c r="GZ233" s="5" t="s">
        <v>383</v>
      </c>
      <c r="HA233" s="5">
        <v>0</v>
      </c>
      <c r="HB233" s="5" t="s">
        <v>366</v>
      </c>
      <c r="HC233" s="5" t="s">
        <v>366</v>
      </c>
      <c r="HD233" s="5" t="b">
        <v>1</v>
      </c>
      <c r="HE233" s="5">
        <v>8000</v>
      </c>
      <c r="HF233" s="5" t="b">
        <v>0</v>
      </c>
      <c r="HG233" s="5">
        <v>0</v>
      </c>
      <c r="HH233" s="5">
        <v>0</v>
      </c>
      <c r="HI233" s="5">
        <v>0</v>
      </c>
      <c r="HJ233" s="5">
        <v>0</v>
      </c>
      <c r="HK233" s="5" t="b">
        <v>0</v>
      </c>
      <c r="HL233" s="5">
        <v>0</v>
      </c>
      <c r="HM233" s="5">
        <v>10001</v>
      </c>
      <c r="HN233" s="5" t="s">
        <v>367</v>
      </c>
      <c r="HO233" s="5" t="s">
        <v>360</v>
      </c>
      <c r="HP233" s="5">
        <v>0</v>
      </c>
      <c r="HQ233" s="5">
        <v>0</v>
      </c>
      <c r="HR233" s="5">
        <v>0</v>
      </c>
      <c r="HS233" s="5">
        <v>0</v>
      </c>
      <c r="HT233" s="5" t="b">
        <v>0</v>
      </c>
    </row>
    <row r="234" spans="1:228">
      <c r="A234"/>
      <c r="B234" s="1">
        <f>10000000+INDEX(编号表!$B$1:$B$112,MATCH(D234,编号表!$A$1:$A$112,0))*10000+I234</f>
        <v>10230008</v>
      </c>
      <c r="C234" s="5" t="s">
        <v>429</v>
      </c>
      <c r="D234" s="5" t="s">
        <v>429</v>
      </c>
      <c r="E234" s="5" t="s">
        <v>348</v>
      </c>
      <c r="F234" s="5" t="s">
        <v>397</v>
      </c>
      <c r="G234" s="5" t="b">
        <v>0</v>
      </c>
      <c r="H234" s="5" t="b">
        <v>0</v>
      </c>
      <c r="I234" s="5">
        <v>8</v>
      </c>
      <c r="J234" s="5">
        <v>102300</v>
      </c>
      <c r="K234" s="5" t="s">
        <v>350</v>
      </c>
      <c r="L234" s="5">
        <v>10230007</v>
      </c>
      <c r="M234" s="5">
        <v>10230009</v>
      </c>
      <c r="N234" s="5" t="s">
        <v>430</v>
      </c>
      <c r="O234" s="5">
        <v>10202022</v>
      </c>
      <c r="P234" s="5">
        <v>0</v>
      </c>
      <c r="Q234" s="5">
        <v>3</v>
      </c>
      <c r="R234" s="5">
        <v>35</v>
      </c>
      <c r="S234" s="5">
        <v>0</v>
      </c>
      <c r="T234" s="5">
        <v>100</v>
      </c>
      <c r="U234" s="5" t="s">
        <v>364</v>
      </c>
      <c r="V234" s="5">
        <v>650</v>
      </c>
      <c r="W234" s="5">
        <v>650</v>
      </c>
      <c r="X234" s="5" t="s">
        <v>352</v>
      </c>
      <c r="Y234" s="5" t="s">
        <v>376</v>
      </c>
      <c r="Z234" s="5" t="s">
        <v>354</v>
      </c>
      <c r="AA234" s="5">
        <v>0</v>
      </c>
      <c r="AB234" s="5">
        <v>1</v>
      </c>
      <c r="AC234" s="5" t="b">
        <v>0</v>
      </c>
      <c r="AD234" s="5" t="s">
        <v>355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 t="s">
        <v>367</v>
      </c>
      <c r="AZ234" s="5">
        <v>11800</v>
      </c>
      <c r="BA234" s="5" t="s">
        <v>417</v>
      </c>
      <c r="BB234" s="5" t="s">
        <v>354</v>
      </c>
      <c r="BC234" s="5">
        <v>10000</v>
      </c>
      <c r="BD234" s="5">
        <v>0</v>
      </c>
      <c r="BE234" s="5" t="s">
        <v>358</v>
      </c>
      <c r="BF234" s="5">
        <v>0</v>
      </c>
      <c r="BG234" s="5"/>
      <c r="BH234" s="5"/>
      <c r="BI234" s="5"/>
      <c r="BJ234" s="5"/>
      <c r="BK234" s="5"/>
      <c r="BL234" s="5"/>
      <c r="BM234" s="5">
        <v>21001708</v>
      </c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X234" s="5">
        <v>200</v>
      </c>
      <c r="GY234" s="5">
        <v>400</v>
      </c>
      <c r="GZ234" s="5" t="s">
        <v>383</v>
      </c>
      <c r="HA234" s="5">
        <v>0</v>
      </c>
      <c r="HB234" s="5" t="s">
        <v>366</v>
      </c>
      <c r="HC234" s="5" t="s">
        <v>366</v>
      </c>
      <c r="HD234" s="5" t="b">
        <v>1</v>
      </c>
      <c r="HE234" s="5">
        <v>8000</v>
      </c>
      <c r="HF234" s="5" t="b">
        <v>0</v>
      </c>
      <c r="HG234" s="5">
        <v>0</v>
      </c>
      <c r="HH234" s="5">
        <v>0</v>
      </c>
      <c r="HI234" s="5">
        <v>0</v>
      </c>
      <c r="HJ234" s="5">
        <v>0</v>
      </c>
      <c r="HK234" s="5" t="b">
        <v>0</v>
      </c>
      <c r="HL234" s="5">
        <v>0</v>
      </c>
      <c r="HM234" s="5">
        <v>10001</v>
      </c>
      <c r="HN234" s="5" t="s">
        <v>367</v>
      </c>
      <c r="HO234" s="5" t="s">
        <v>360</v>
      </c>
      <c r="HP234" s="5">
        <v>0</v>
      </c>
      <c r="HQ234" s="5">
        <v>0</v>
      </c>
      <c r="HR234" s="5">
        <v>0</v>
      </c>
      <c r="HS234" s="5">
        <v>0</v>
      </c>
      <c r="HT234" s="5" t="b">
        <v>0</v>
      </c>
    </row>
    <row r="235" spans="1:228">
      <c r="A235"/>
      <c r="B235" s="1">
        <f>10000000+INDEX(编号表!$B$1:$B$112,MATCH(D235,编号表!$A$1:$A$112,0))*10000+I235</f>
        <v>10230009</v>
      </c>
      <c r="C235" s="5" t="s">
        <v>429</v>
      </c>
      <c r="D235" s="5" t="s">
        <v>429</v>
      </c>
      <c r="E235" s="5" t="s">
        <v>348</v>
      </c>
      <c r="F235" s="5" t="s">
        <v>397</v>
      </c>
      <c r="G235" s="5" t="b">
        <v>0</v>
      </c>
      <c r="H235" s="5" t="b">
        <v>0</v>
      </c>
      <c r="I235" s="5">
        <v>9</v>
      </c>
      <c r="J235" s="5">
        <v>102300</v>
      </c>
      <c r="K235" s="5" t="s">
        <v>350</v>
      </c>
      <c r="L235" s="5">
        <v>10230008</v>
      </c>
      <c r="M235" s="5">
        <v>10230010</v>
      </c>
      <c r="N235" s="5" t="s">
        <v>430</v>
      </c>
      <c r="O235" s="5">
        <v>10202022</v>
      </c>
      <c r="P235" s="5">
        <v>0</v>
      </c>
      <c r="Q235" s="5">
        <v>3</v>
      </c>
      <c r="R235" s="5">
        <v>40</v>
      </c>
      <c r="S235" s="5">
        <v>0</v>
      </c>
      <c r="T235" s="5">
        <v>100</v>
      </c>
      <c r="U235" s="5" t="s">
        <v>364</v>
      </c>
      <c r="V235" s="5">
        <v>650</v>
      </c>
      <c r="W235" s="5">
        <v>650</v>
      </c>
      <c r="X235" s="5" t="s">
        <v>352</v>
      </c>
      <c r="Y235" s="5" t="s">
        <v>376</v>
      </c>
      <c r="Z235" s="5" t="s">
        <v>354</v>
      </c>
      <c r="AA235" s="5">
        <v>0</v>
      </c>
      <c r="AB235" s="5">
        <v>1</v>
      </c>
      <c r="AC235" s="5" t="b">
        <v>0</v>
      </c>
      <c r="AD235" s="5" t="s">
        <v>355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 t="s">
        <v>367</v>
      </c>
      <c r="AZ235" s="5">
        <v>11900</v>
      </c>
      <c r="BA235" s="5" t="s">
        <v>417</v>
      </c>
      <c r="BB235" s="5" t="s">
        <v>354</v>
      </c>
      <c r="BC235" s="5">
        <v>10000</v>
      </c>
      <c r="BD235" s="5">
        <v>0</v>
      </c>
      <c r="BE235" s="5" t="s">
        <v>358</v>
      </c>
      <c r="BF235" s="5">
        <v>0</v>
      </c>
      <c r="BG235" s="5"/>
      <c r="BH235" s="5"/>
      <c r="BI235" s="5"/>
      <c r="BJ235" s="5"/>
      <c r="BK235" s="5"/>
      <c r="BL235" s="5"/>
      <c r="BM235" s="5">
        <v>21001709</v>
      </c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X235" s="5">
        <v>200</v>
      </c>
      <c r="GY235" s="5">
        <v>400</v>
      </c>
      <c r="GZ235" s="5" t="s">
        <v>383</v>
      </c>
      <c r="HA235" s="5">
        <v>0</v>
      </c>
      <c r="HB235" s="5" t="s">
        <v>366</v>
      </c>
      <c r="HC235" s="5" t="s">
        <v>366</v>
      </c>
      <c r="HD235" s="5" t="b">
        <v>1</v>
      </c>
      <c r="HE235" s="5">
        <v>8000</v>
      </c>
      <c r="HF235" s="5" t="b">
        <v>0</v>
      </c>
      <c r="HG235" s="5">
        <v>0</v>
      </c>
      <c r="HH235" s="5">
        <v>0</v>
      </c>
      <c r="HI235" s="5">
        <v>0</v>
      </c>
      <c r="HJ235" s="5">
        <v>0</v>
      </c>
      <c r="HK235" s="5" t="b">
        <v>0</v>
      </c>
      <c r="HL235" s="5">
        <v>0</v>
      </c>
      <c r="HM235" s="5">
        <v>10001</v>
      </c>
      <c r="HN235" s="5" t="s">
        <v>367</v>
      </c>
      <c r="HO235" s="5" t="s">
        <v>360</v>
      </c>
      <c r="HP235" s="5">
        <v>0</v>
      </c>
      <c r="HQ235" s="5">
        <v>0</v>
      </c>
      <c r="HR235" s="5">
        <v>0</v>
      </c>
      <c r="HS235" s="5">
        <v>0</v>
      </c>
      <c r="HT235" s="5" t="b">
        <v>0</v>
      </c>
    </row>
    <row r="236" spans="1:228">
      <c r="A236"/>
      <c r="B236" s="1">
        <f>10000000+INDEX(编号表!$B$1:$B$112,MATCH(D236,编号表!$A$1:$A$112,0))*10000+I236</f>
        <v>10230010</v>
      </c>
      <c r="C236" s="5" t="s">
        <v>429</v>
      </c>
      <c r="D236" s="5" t="s">
        <v>429</v>
      </c>
      <c r="E236" s="5" t="s">
        <v>348</v>
      </c>
      <c r="F236" s="5" t="s">
        <v>397</v>
      </c>
      <c r="G236" s="5" t="b">
        <v>0</v>
      </c>
      <c r="H236" s="5" t="b">
        <v>0</v>
      </c>
      <c r="I236" s="5">
        <v>10</v>
      </c>
      <c r="J236" s="5">
        <v>102300</v>
      </c>
      <c r="K236" s="5" t="s">
        <v>350</v>
      </c>
      <c r="L236" s="5">
        <v>10230009</v>
      </c>
      <c r="M236" s="5">
        <v>0</v>
      </c>
      <c r="N236" s="5" t="s">
        <v>430</v>
      </c>
      <c r="O236" s="5">
        <v>10202022</v>
      </c>
      <c r="P236" s="5">
        <v>0</v>
      </c>
      <c r="Q236" s="5">
        <v>3</v>
      </c>
      <c r="R236" s="5">
        <v>40</v>
      </c>
      <c r="S236" s="5">
        <v>0</v>
      </c>
      <c r="T236" s="5">
        <v>0</v>
      </c>
      <c r="U236" s="5" t="s">
        <v>364</v>
      </c>
      <c r="V236" s="5">
        <v>650</v>
      </c>
      <c r="W236" s="5">
        <v>650</v>
      </c>
      <c r="X236" s="5" t="s">
        <v>352</v>
      </c>
      <c r="Y236" s="5" t="s">
        <v>376</v>
      </c>
      <c r="Z236" s="5" t="s">
        <v>354</v>
      </c>
      <c r="AA236" s="5">
        <v>0</v>
      </c>
      <c r="AB236" s="5">
        <v>1</v>
      </c>
      <c r="AC236" s="5" t="b">
        <v>0</v>
      </c>
      <c r="AD236" s="5" t="s">
        <v>355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 t="s">
        <v>367</v>
      </c>
      <c r="AZ236" s="5">
        <v>12000</v>
      </c>
      <c r="BA236" s="5" t="s">
        <v>417</v>
      </c>
      <c r="BB236" s="5" t="s">
        <v>354</v>
      </c>
      <c r="BC236" s="5">
        <v>10000</v>
      </c>
      <c r="BD236" s="5">
        <v>0</v>
      </c>
      <c r="BE236" s="5" t="s">
        <v>358</v>
      </c>
      <c r="BF236" s="5">
        <v>0</v>
      </c>
      <c r="BG236" s="5"/>
      <c r="BH236" s="5"/>
      <c r="BI236" s="5"/>
      <c r="BJ236" s="5"/>
      <c r="BK236" s="5"/>
      <c r="BL236" s="5"/>
      <c r="BM236" s="5">
        <v>21001710</v>
      </c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X236" s="5">
        <v>200</v>
      </c>
      <c r="GY236" s="5">
        <v>400</v>
      </c>
      <c r="GZ236" s="5" t="s">
        <v>383</v>
      </c>
      <c r="HA236" s="5">
        <v>0</v>
      </c>
      <c r="HB236" s="5" t="s">
        <v>366</v>
      </c>
      <c r="HC236" s="5" t="s">
        <v>366</v>
      </c>
      <c r="HD236" s="5" t="b">
        <v>1</v>
      </c>
      <c r="HE236" s="5">
        <v>8000</v>
      </c>
      <c r="HF236" s="5" t="b">
        <v>0</v>
      </c>
      <c r="HG236" s="5">
        <v>0</v>
      </c>
      <c r="HH236" s="5">
        <v>0</v>
      </c>
      <c r="HI236" s="5">
        <v>0</v>
      </c>
      <c r="HJ236" s="5">
        <v>0</v>
      </c>
      <c r="HK236" s="5" t="b">
        <v>0</v>
      </c>
      <c r="HL236" s="5">
        <v>0</v>
      </c>
      <c r="HM236" s="5">
        <v>10001</v>
      </c>
      <c r="HN236" s="5" t="s">
        <v>367</v>
      </c>
      <c r="HO236" s="5" t="s">
        <v>360</v>
      </c>
      <c r="HP236" s="5">
        <v>0</v>
      </c>
      <c r="HQ236" s="5">
        <v>0</v>
      </c>
      <c r="HR236" s="5">
        <v>0</v>
      </c>
      <c r="HS236" s="5">
        <v>0</v>
      </c>
      <c r="HT236" s="5" t="b">
        <v>0</v>
      </c>
    </row>
    <row r="237" spans="1:228">
      <c r="A237"/>
      <c r="B237" s="1">
        <f>10000000+INDEX(编号表!$B$1:$B$112,MATCH(D237,编号表!$A$1:$A$112,0))*10000+I237</f>
        <v>10240001</v>
      </c>
      <c r="C237" s="5" t="s">
        <v>431</v>
      </c>
      <c r="D237" s="5" t="s">
        <v>431</v>
      </c>
      <c r="E237" s="5" t="s">
        <v>348</v>
      </c>
      <c r="F237" s="5" t="s">
        <v>391</v>
      </c>
      <c r="G237" s="5" t="b">
        <v>0</v>
      </c>
      <c r="H237" s="5" t="b">
        <v>0</v>
      </c>
      <c r="I237" s="5">
        <v>1</v>
      </c>
      <c r="J237" s="5">
        <v>102400</v>
      </c>
      <c r="K237" s="5" t="s">
        <v>350</v>
      </c>
      <c r="L237" s="5">
        <v>0</v>
      </c>
      <c r="M237" s="5">
        <v>10240002</v>
      </c>
      <c r="N237" s="5" t="s">
        <v>432</v>
      </c>
      <c r="O237" s="5">
        <v>10202023</v>
      </c>
      <c r="P237" s="5">
        <v>0</v>
      </c>
      <c r="Q237" s="5">
        <v>0</v>
      </c>
      <c r="R237" s="5">
        <v>1</v>
      </c>
      <c r="S237" s="5">
        <v>0</v>
      </c>
      <c r="T237" s="5">
        <v>100</v>
      </c>
      <c r="U237" s="5" t="s">
        <v>364</v>
      </c>
      <c r="V237" s="5">
        <v>650</v>
      </c>
      <c r="W237" s="5">
        <v>650</v>
      </c>
      <c r="X237" s="5" t="s">
        <v>352</v>
      </c>
      <c r="Y237" s="5" t="s">
        <v>376</v>
      </c>
      <c r="Z237" s="5" t="s">
        <v>354</v>
      </c>
      <c r="AA237" s="5">
        <v>0</v>
      </c>
      <c r="AB237" s="5">
        <v>1</v>
      </c>
      <c r="AC237" s="5" t="b">
        <v>0</v>
      </c>
      <c r="AD237" s="5" t="s">
        <v>355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 t="s">
        <v>381</v>
      </c>
      <c r="AZ237" s="5">
        <v>10000</v>
      </c>
      <c r="BA237" s="5" t="s">
        <v>417</v>
      </c>
      <c r="BB237" s="5" t="s">
        <v>354</v>
      </c>
      <c r="BC237" s="5">
        <v>10000</v>
      </c>
      <c r="BD237" s="5">
        <v>0</v>
      </c>
      <c r="BE237" s="5" t="s">
        <v>358</v>
      </c>
      <c r="BF237" s="5">
        <v>0</v>
      </c>
      <c r="BG237" s="5"/>
      <c r="BH237" s="5"/>
      <c r="BI237" s="5"/>
      <c r="BJ237" s="5"/>
      <c r="BK237" s="5"/>
      <c r="BL237" s="5"/>
      <c r="BM237" s="5">
        <v>21001801</v>
      </c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X237" s="5">
        <v>200</v>
      </c>
      <c r="GY237" s="5">
        <v>400</v>
      </c>
      <c r="GZ237" s="5" t="s">
        <v>383</v>
      </c>
      <c r="HA237" s="5">
        <v>0</v>
      </c>
      <c r="HB237" s="5">
        <v>0</v>
      </c>
      <c r="HC237" s="5" t="s">
        <v>366</v>
      </c>
      <c r="HD237" s="5" t="b">
        <v>1</v>
      </c>
      <c r="HE237" s="5">
        <v>6000</v>
      </c>
      <c r="HF237" s="5" t="b">
        <v>0</v>
      </c>
      <c r="HG237" s="5">
        <v>0</v>
      </c>
      <c r="HH237" s="5">
        <v>0</v>
      </c>
      <c r="HI237" s="5">
        <v>0</v>
      </c>
      <c r="HJ237" s="5">
        <v>0</v>
      </c>
      <c r="HK237" s="5" t="b">
        <v>0</v>
      </c>
      <c r="HL237" s="5">
        <v>0</v>
      </c>
      <c r="HM237" s="5">
        <v>10001</v>
      </c>
      <c r="HN237" s="5" t="s">
        <v>367</v>
      </c>
      <c r="HO237" s="5" t="s">
        <v>360</v>
      </c>
      <c r="HP237" s="5">
        <v>0</v>
      </c>
      <c r="HQ237" s="5">
        <v>0</v>
      </c>
      <c r="HR237" s="5">
        <v>0</v>
      </c>
      <c r="HS237" s="5">
        <v>0</v>
      </c>
      <c r="HT237" s="5" t="b">
        <v>0</v>
      </c>
    </row>
    <row r="238" spans="1:228">
      <c r="A238"/>
      <c r="B238" s="1">
        <f>10000000+INDEX(编号表!$B$1:$B$112,MATCH(D238,编号表!$A$1:$A$112,0))*10000+I238</f>
        <v>10240002</v>
      </c>
      <c r="C238" s="5" t="s">
        <v>431</v>
      </c>
      <c r="D238" s="5" t="s">
        <v>431</v>
      </c>
      <c r="E238" s="5" t="s">
        <v>348</v>
      </c>
      <c r="F238" s="5" t="s">
        <v>391</v>
      </c>
      <c r="G238" s="5" t="b">
        <v>0</v>
      </c>
      <c r="H238" s="5" t="b">
        <v>0</v>
      </c>
      <c r="I238" s="5">
        <v>2</v>
      </c>
      <c r="J238" s="5">
        <v>102400</v>
      </c>
      <c r="K238" s="5" t="s">
        <v>350</v>
      </c>
      <c r="L238" s="5">
        <v>10240001</v>
      </c>
      <c r="M238" s="5">
        <v>10240003</v>
      </c>
      <c r="N238" s="5" t="s">
        <v>432</v>
      </c>
      <c r="O238" s="5">
        <v>10202023</v>
      </c>
      <c r="P238" s="5">
        <v>0</v>
      </c>
      <c r="Q238" s="5">
        <v>1</v>
      </c>
      <c r="R238" s="5">
        <v>7</v>
      </c>
      <c r="S238" s="5">
        <v>0</v>
      </c>
      <c r="T238" s="5">
        <v>100</v>
      </c>
      <c r="U238" s="5" t="s">
        <v>364</v>
      </c>
      <c r="V238" s="5">
        <v>650</v>
      </c>
      <c r="W238" s="5">
        <v>650</v>
      </c>
      <c r="X238" s="5" t="s">
        <v>352</v>
      </c>
      <c r="Y238" s="5" t="s">
        <v>376</v>
      </c>
      <c r="Z238" s="5" t="s">
        <v>354</v>
      </c>
      <c r="AA238" s="5">
        <v>0</v>
      </c>
      <c r="AB238" s="5">
        <v>1</v>
      </c>
      <c r="AC238" s="5" t="b">
        <v>0</v>
      </c>
      <c r="AD238" s="5" t="s">
        <v>355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 t="s">
        <v>381</v>
      </c>
      <c r="AZ238" s="5">
        <v>10400</v>
      </c>
      <c r="BA238" s="5" t="s">
        <v>417</v>
      </c>
      <c r="BB238" s="5" t="s">
        <v>354</v>
      </c>
      <c r="BC238" s="5">
        <v>10000</v>
      </c>
      <c r="BD238" s="5">
        <v>0</v>
      </c>
      <c r="BE238" s="5" t="s">
        <v>358</v>
      </c>
      <c r="BF238" s="5">
        <v>0</v>
      </c>
      <c r="BG238" s="5"/>
      <c r="BH238" s="5"/>
      <c r="BI238" s="5"/>
      <c r="BJ238" s="5"/>
      <c r="BK238" s="5"/>
      <c r="BL238" s="5"/>
      <c r="BM238" s="5">
        <v>21001802</v>
      </c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X238" s="5">
        <v>200</v>
      </c>
      <c r="GY238" s="5">
        <v>400</v>
      </c>
      <c r="GZ238" s="5" t="s">
        <v>383</v>
      </c>
      <c r="HA238" s="5">
        <v>0</v>
      </c>
      <c r="HB238" s="5">
        <v>0</v>
      </c>
      <c r="HC238" s="5" t="s">
        <v>366</v>
      </c>
      <c r="HD238" s="5" t="b">
        <v>1</v>
      </c>
      <c r="HE238" s="5">
        <v>6000</v>
      </c>
      <c r="HF238" s="5" t="b">
        <v>0</v>
      </c>
      <c r="HG238" s="5">
        <v>0</v>
      </c>
      <c r="HH238" s="5">
        <v>0</v>
      </c>
      <c r="HI238" s="5">
        <v>0</v>
      </c>
      <c r="HJ238" s="5">
        <v>0</v>
      </c>
      <c r="HK238" s="5" t="b">
        <v>0</v>
      </c>
      <c r="HL238" s="5">
        <v>0</v>
      </c>
      <c r="HM238" s="5">
        <v>10001</v>
      </c>
      <c r="HN238" s="5" t="s">
        <v>367</v>
      </c>
      <c r="HO238" s="5" t="s">
        <v>360</v>
      </c>
      <c r="HP238" s="5">
        <v>0</v>
      </c>
      <c r="HQ238" s="5">
        <v>0</v>
      </c>
      <c r="HR238" s="5">
        <v>0</v>
      </c>
      <c r="HS238" s="5">
        <v>0</v>
      </c>
      <c r="HT238" s="5" t="b">
        <v>0</v>
      </c>
    </row>
    <row r="239" spans="1:228">
      <c r="A239"/>
      <c r="B239" s="1">
        <f>10000000+INDEX(编号表!$B$1:$B$112,MATCH(D239,编号表!$A$1:$A$112,0))*10000+I239</f>
        <v>10240003</v>
      </c>
      <c r="C239" s="5" t="s">
        <v>431</v>
      </c>
      <c r="D239" s="5" t="s">
        <v>431</v>
      </c>
      <c r="E239" s="5" t="s">
        <v>348</v>
      </c>
      <c r="F239" s="5" t="s">
        <v>391</v>
      </c>
      <c r="G239" s="5" t="b">
        <v>0</v>
      </c>
      <c r="H239" s="5" t="b">
        <v>0</v>
      </c>
      <c r="I239" s="5">
        <v>3</v>
      </c>
      <c r="J239" s="5">
        <v>102400</v>
      </c>
      <c r="K239" s="5" t="s">
        <v>350</v>
      </c>
      <c r="L239" s="5">
        <v>10240002</v>
      </c>
      <c r="M239" s="5">
        <v>10240004</v>
      </c>
      <c r="N239" s="5" t="s">
        <v>432</v>
      </c>
      <c r="O239" s="5">
        <v>10202023</v>
      </c>
      <c r="P239" s="5">
        <v>0</v>
      </c>
      <c r="Q239" s="5">
        <v>2</v>
      </c>
      <c r="R239" s="5">
        <v>11</v>
      </c>
      <c r="S239" s="5">
        <v>0</v>
      </c>
      <c r="T239" s="5">
        <v>100</v>
      </c>
      <c r="U239" s="5" t="s">
        <v>364</v>
      </c>
      <c r="V239" s="5">
        <v>650</v>
      </c>
      <c r="W239" s="5">
        <v>650</v>
      </c>
      <c r="X239" s="5" t="s">
        <v>352</v>
      </c>
      <c r="Y239" s="5" t="s">
        <v>376</v>
      </c>
      <c r="Z239" s="5" t="s">
        <v>354</v>
      </c>
      <c r="AA239" s="5">
        <v>0</v>
      </c>
      <c r="AB239" s="5">
        <v>1</v>
      </c>
      <c r="AC239" s="5" t="b">
        <v>0</v>
      </c>
      <c r="AD239" s="5" t="s">
        <v>355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 t="s">
        <v>381</v>
      </c>
      <c r="AZ239" s="5">
        <v>10800</v>
      </c>
      <c r="BA239" s="5" t="s">
        <v>417</v>
      </c>
      <c r="BB239" s="5" t="s">
        <v>354</v>
      </c>
      <c r="BC239" s="5">
        <v>10000</v>
      </c>
      <c r="BD239" s="5">
        <v>0</v>
      </c>
      <c r="BE239" s="5" t="s">
        <v>358</v>
      </c>
      <c r="BF239" s="5">
        <v>0</v>
      </c>
      <c r="BG239" s="5"/>
      <c r="BH239" s="5"/>
      <c r="BI239" s="5"/>
      <c r="BJ239" s="5"/>
      <c r="BK239" s="5"/>
      <c r="BL239" s="5"/>
      <c r="BM239" s="5">
        <v>21001803</v>
      </c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X239" s="5">
        <v>200</v>
      </c>
      <c r="GY239" s="5">
        <v>400</v>
      </c>
      <c r="GZ239" s="5" t="s">
        <v>383</v>
      </c>
      <c r="HA239" s="5">
        <v>0</v>
      </c>
      <c r="HB239" s="5">
        <v>0</v>
      </c>
      <c r="HC239" s="5" t="s">
        <v>366</v>
      </c>
      <c r="HD239" s="5" t="b">
        <v>1</v>
      </c>
      <c r="HE239" s="5">
        <v>6000</v>
      </c>
      <c r="HF239" s="5" t="b">
        <v>0</v>
      </c>
      <c r="HG239" s="5">
        <v>0</v>
      </c>
      <c r="HH239" s="5">
        <v>0</v>
      </c>
      <c r="HI239" s="5">
        <v>0</v>
      </c>
      <c r="HJ239" s="5">
        <v>0</v>
      </c>
      <c r="HK239" s="5" t="b">
        <v>0</v>
      </c>
      <c r="HL239" s="5">
        <v>0</v>
      </c>
      <c r="HM239" s="5">
        <v>10001</v>
      </c>
      <c r="HN239" s="5" t="s">
        <v>367</v>
      </c>
      <c r="HO239" s="5" t="s">
        <v>360</v>
      </c>
      <c r="HP239" s="5">
        <v>0</v>
      </c>
      <c r="HQ239" s="5">
        <v>0</v>
      </c>
      <c r="HR239" s="5">
        <v>0</v>
      </c>
      <c r="HS239" s="5">
        <v>0</v>
      </c>
      <c r="HT239" s="5" t="b">
        <v>0</v>
      </c>
    </row>
    <row r="240" spans="1:228">
      <c r="A240"/>
      <c r="B240" s="1">
        <f>10000000+INDEX(编号表!$B$1:$B$112,MATCH(D240,编号表!$A$1:$A$112,0))*10000+I240</f>
        <v>10240004</v>
      </c>
      <c r="C240" s="5" t="s">
        <v>431</v>
      </c>
      <c r="D240" s="5" t="s">
        <v>431</v>
      </c>
      <c r="E240" s="5" t="s">
        <v>348</v>
      </c>
      <c r="F240" s="5" t="s">
        <v>391</v>
      </c>
      <c r="G240" s="5" t="b">
        <v>0</v>
      </c>
      <c r="H240" s="5" t="b">
        <v>0</v>
      </c>
      <c r="I240" s="5">
        <v>4</v>
      </c>
      <c r="J240" s="5">
        <v>102400</v>
      </c>
      <c r="K240" s="5" t="s">
        <v>350</v>
      </c>
      <c r="L240" s="5">
        <v>10240003</v>
      </c>
      <c r="M240" s="5">
        <v>10240005</v>
      </c>
      <c r="N240" s="5" t="s">
        <v>432</v>
      </c>
      <c r="O240" s="5">
        <v>10202023</v>
      </c>
      <c r="P240" s="5">
        <v>0</v>
      </c>
      <c r="Q240" s="5">
        <v>3</v>
      </c>
      <c r="R240" s="5">
        <v>16</v>
      </c>
      <c r="S240" s="5">
        <v>0</v>
      </c>
      <c r="T240" s="5">
        <v>100</v>
      </c>
      <c r="U240" s="5" t="s">
        <v>364</v>
      </c>
      <c r="V240" s="5">
        <v>650</v>
      </c>
      <c r="W240" s="5">
        <v>650</v>
      </c>
      <c r="X240" s="5" t="s">
        <v>352</v>
      </c>
      <c r="Y240" s="5" t="s">
        <v>376</v>
      </c>
      <c r="Z240" s="5" t="s">
        <v>354</v>
      </c>
      <c r="AA240" s="5">
        <v>0</v>
      </c>
      <c r="AB240" s="5">
        <v>1</v>
      </c>
      <c r="AC240" s="5" t="b">
        <v>0</v>
      </c>
      <c r="AD240" s="5" t="s">
        <v>355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 t="s">
        <v>381</v>
      </c>
      <c r="AZ240" s="5">
        <v>11200</v>
      </c>
      <c r="BA240" s="5" t="s">
        <v>417</v>
      </c>
      <c r="BB240" s="5" t="s">
        <v>354</v>
      </c>
      <c r="BC240" s="5">
        <v>10000</v>
      </c>
      <c r="BD240" s="5">
        <v>0</v>
      </c>
      <c r="BE240" s="5" t="s">
        <v>358</v>
      </c>
      <c r="BF240" s="5">
        <v>0</v>
      </c>
      <c r="BG240" s="5"/>
      <c r="BH240" s="5"/>
      <c r="BI240" s="5"/>
      <c r="BJ240" s="5"/>
      <c r="BK240" s="5"/>
      <c r="BL240" s="5"/>
      <c r="BM240" s="5">
        <v>21001804</v>
      </c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X240" s="5">
        <v>200</v>
      </c>
      <c r="GY240" s="5">
        <v>400</v>
      </c>
      <c r="GZ240" s="5" t="s">
        <v>383</v>
      </c>
      <c r="HA240" s="5">
        <v>0</v>
      </c>
      <c r="HB240" s="5">
        <v>0</v>
      </c>
      <c r="HC240" s="5" t="s">
        <v>366</v>
      </c>
      <c r="HD240" s="5" t="b">
        <v>1</v>
      </c>
      <c r="HE240" s="5">
        <v>6000</v>
      </c>
      <c r="HF240" s="5" t="b">
        <v>0</v>
      </c>
      <c r="HG240" s="5">
        <v>0</v>
      </c>
      <c r="HH240" s="5">
        <v>0</v>
      </c>
      <c r="HI240" s="5">
        <v>0</v>
      </c>
      <c r="HJ240" s="5">
        <v>0</v>
      </c>
      <c r="HK240" s="5" t="b">
        <v>0</v>
      </c>
      <c r="HL240" s="5">
        <v>0</v>
      </c>
      <c r="HM240" s="5">
        <v>10001</v>
      </c>
      <c r="HN240" s="5" t="s">
        <v>367</v>
      </c>
      <c r="HO240" s="5" t="s">
        <v>360</v>
      </c>
      <c r="HP240" s="5">
        <v>0</v>
      </c>
      <c r="HQ240" s="5">
        <v>0</v>
      </c>
      <c r="HR240" s="5">
        <v>0</v>
      </c>
      <c r="HS240" s="5">
        <v>0</v>
      </c>
      <c r="HT240" s="5" t="b">
        <v>0</v>
      </c>
    </row>
    <row r="241" spans="1:228">
      <c r="A241"/>
      <c r="B241" s="1">
        <f>10000000+INDEX(编号表!$B$1:$B$112,MATCH(D241,编号表!$A$1:$A$112,0))*10000+I241</f>
        <v>10240005</v>
      </c>
      <c r="C241" s="5" t="s">
        <v>431</v>
      </c>
      <c r="D241" s="5" t="s">
        <v>431</v>
      </c>
      <c r="E241" s="5" t="s">
        <v>348</v>
      </c>
      <c r="F241" s="5" t="s">
        <v>391</v>
      </c>
      <c r="G241" s="5" t="b">
        <v>0</v>
      </c>
      <c r="H241" s="5" t="b">
        <v>0</v>
      </c>
      <c r="I241" s="5">
        <v>5</v>
      </c>
      <c r="J241" s="5">
        <v>102400</v>
      </c>
      <c r="K241" s="5" t="s">
        <v>350</v>
      </c>
      <c r="L241" s="5">
        <v>10240004</v>
      </c>
      <c r="M241" s="5">
        <v>10240006</v>
      </c>
      <c r="N241" s="5" t="s">
        <v>432</v>
      </c>
      <c r="O241" s="5">
        <v>10202023</v>
      </c>
      <c r="P241" s="5">
        <v>0</v>
      </c>
      <c r="Q241" s="5">
        <v>3</v>
      </c>
      <c r="R241" s="5">
        <v>25</v>
      </c>
      <c r="S241" s="5">
        <v>0</v>
      </c>
      <c r="T241" s="5">
        <v>100</v>
      </c>
      <c r="U241" s="5" t="s">
        <v>364</v>
      </c>
      <c r="V241" s="5">
        <v>650</v>
      </c>
      <c r="W241" s="5">
        <v>650</v>
      </c>
      <c r="X241" s="5" t="s">
        <v>352</v>
      </c>
      <c r="Y241" s="5" t="s">
        <v>376</v>
      </c>
      <c r="Z241" s="5" t="s">
        <v>354</v>
      </c>
      <c r="AA241" s="5">
        <v>0</v>
      </c>
      <c r="AB241" s="5">
        <v>1</v>
      </c>
      <c r="AC241" s="5" t="b">
        <v>0</v>
      </c>
      <c r="AD241" s="5" t="s">
        <v>355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 t="s">
        <v>381</v>
      </c>
      <c r="AZ241" s="5">
        <v>11300</v>
      </c>
      <c r="BA241" s="5" t="s">
        <v>417</v>
      </c>
      <c r="BB241" s="5" t="s">
        <v>354</v>
      </c>
      <c r="BC241" s="5">
        <v>10000</v>
      </c>
      <c r="BD241" s="5">
        <v>0</v>
      </c>
      <c r="BE241" s="5" t="s">
        <v>358</v>
      </c>
      <c r="BF241" s="5">
        <v>0</v>
      </c>
      <c r="BG241" s="5"/>
      <c r="BH241" s="5"/>
      <c r="BI241" s="5"/>
      <c r="BJ241" s="5"/>
      <c r="BK241" s="5"/>
      <c r="BL241" s="5"/>
      <c r="BM241" s="5">
        <v>21001805</v>
      </c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X241" s="5">
        <v>200</v>
      </c>
      <c r="GY241" s="5">
        <v>400</v>
      </c>
      <c r="GZ241" s="5" t="s">
        <v>383</v>
      </c>
      <c r="HA241" s="5">
        <v>0</v>
      </c>
      <c r="HB241" s="5">
        <v>0</v>
      </c>
      <c r="HC241" s="5" t="s">
        <v>366</v>
      </c>
      <c r="HD241" s="5" t="b">
        <v>1</v>
      </c>
      <c r="HE241" s="5">
        <v>6000</v>
      </c>
      <c r="HF241" s="5" t="b">
        <v>0</v>
      </c>
      <c r="HG241" s="5">
        <v>0</v>
      </c>
      <c r="HH241" s="5">
        <v>0</v>
      </c>
      <c r="HI241" s="5">
        <v>0</v>
      </c>
      <c r="HJ241" s="5">
        <v>0</v>
      </c>
      <c r="HK241" s="5" t="b">
        <v>0</v>
      </c>
      <c r="HL241" s="5">
        <v>0</v>
      </c>
      <c r="HM241" s="5">
        <v>10001</v>
      </c>
      <c r="HN241" s="5" t="s">
        <v>367</v>
      </c>
      <c r="HO241" s="5" t="s">
        <v>360</v>
      </c>
      <c r="HP241" s="5">
        <v>0</v>
      </c>
      <c r="HQ241" s="5">
        <v>0</v>
      </c>
      <c r="HR241" s="5">
        <v>0</v>
      </c>
      <c r="HS241" s="5">
        <v>0</v>
      </c>
      <c r="HT241" s="5" t="b">
        <v>0</v>
      </c>
    </row>
    <row r="242" spans="1:228">
      <c r="A242"/>
      <c r="B242" s="1">
        <f>10000000+INDEX(编号表!$B$1:$B$112,MATCH(D242,编号表!$A$1:$A$112,0))*10000+I242</f>
        <v>10240006</v>
      </c>
      <c r="C242" s="5" t="s">
        <v>431</v>
      </c>
      <c r="D242" s="5" t="s">
        <v>431</v>
      </c>
      <c r="E242" s="5" t="s">
        <v>348</v>
      </c>
      <c r="F242" s="5" t="s">
        <v>391</v>
      </c>
      <c r="G242" s="5" t="b">
        <v>0</v>
      </c>
      <c r="H242" s="5" t="b">
        <v>0</v>
      </c>
      <c r="I242" s="5">
        <v>6</v>
      </c>
      <c r="J242" s="5">
        <v>102400</v>
      </c>
      <c r="K242" s="5" t="s">
        <v>350</v>
      </c>
      <c r="L242" s="5">
        <v>10240005</v>
      </c>
      <c r="M242" s="5">
        <v>10240007</v>
      </c>
      <c r="N242" s="5" t="s">
        <v>432</v>
      </c>
      <c r="O242" s="5">
        <v>10202023</v>
      </c>
      <c r="P242" s="5">
        <v>0</v>
      </c>
      <c r="Q242" s="5">
        <v>3</v>
      </c>
      <c r="R242" s="5">
        <v>30</v>
      </c>
      <c r="S242" s="5">
        <v>0</v>
      </c>
      <c r="T242" s="5">
        <v>100</v>
      </c>
      <c r="U242" s="5" t="s">
        <v>364</v>
      </c>
      <c r="V242" s="5">
        <v>650</v>
      </c>
      <c r="W242" s="5">
        <v>650</v>
      </c>
      <c r="X242" s="5" t="s">
        <v>352</v>
      </c>
      <c r="Y242" s="5" t="s">
        <v>376</v>
      </c>
      <c r="Z242" s="5" t="s">
        <v>354</v>
      </c>
      <c r="AA242" s="5">
        <v>0</v>
      </c>
      <c r="AB242" s="5">
        <v>1</v>
      </c>
      <c r="AC242" s="5" t="b">
        <v>0</v>
      </c>
      <c r="AD242" s="5" t="s">
        <v>355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 t="s">
        <v>381</v>
      </c>
      <c r="AZ242" s="5">
        <v>11600</v>
      </c>
      <c r="BA242" s="5" t="s">
        <v>417</v>
      </c>
      <c r="BB242" s="5" t="s">
        <v>354</v>
      </c>
      <c r="BC242" s="5">
        <v>10000</v>
      </c>
      <c r="BD242" s="5">
        <v>0</v>
      </c>
      <c r="BE242" s="5" t="s">
        <v>358</v>
      </c>
      <c r="BF242" s="5">
        <v>0</v>
      </c>
      <c r="BG242" s="5"/>
      <c r="BH242" s="5"/>
      <c r="BI242" s="5"/>
      <c r="BJ242" s="5"/>
      <c r="BK242" s="5"/>
      <c r="BL242" s="5"/>
      <c r="BM242" s="5">
        <v>21001806</v>
      </c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X242" s="5">
        <v>200</v>
      </c>
      <c r="GY242" s="5">
        <v>400</v>
      </c>
      <c r="GZ242" s="5" t="s">
        <v>383</v>
      </c>
      <c r="HA242" s="5">
        <v>0</v>
      </c>
      <c r="HB242" s="5">
        <v>0</v>
      </c>
      <c r="HC242" s="5" t="s">
        <v>366</v>
      </c>
      <c r="HD242" s="5" t="b">
        <v>1</v>
      </c>
      <c r="HE242" s="5">
        <v>6000</v>
      </c>
      <c r="HF242" s="5" t="b">
        <v>0</v>
      </c>
      <c r="HG242" s="5">
        <v>0</v>
      </c>
      <c r="HH242" s="5">
        <v>0</v>
      </c>
      <c r="HI242" s="5">
        <v>0</v>
      </c>
      <c r="HJ242" s="5">
        <v>0</v>
      </c>
      <c r="HK242" s="5" t="b">
        <v>0</v>
      </c>
      <c r="HL242" s="5">
        <v>0</v>
      </c>
      <c r="HM242" s="5">
        <v>10001</v>
      </c>
      <c r="HN242" s="5" t="s">
        <v>367</v>
      </c>
      <c r="HO242" s="5" t="s">
        <v>360</v>
      </c>
      <c r="HP242" s="5">
        <v>0</v>
      </c>
      <c r="HQ242" s="5">
        <v>0</v>
      </c>
      <c r="HR242" s="5">
        <v>0</v>
      </c>
      <c r="HS242" s="5">
        <v>0</v>
      </c>
      <c r="HT242" s="5" t="b">
        <v>0</v>
      </c>
    </row>
    <row r="243" spans="1:228">
      <c r="A243"/>
      <c r="B243" s="1">
        <f>10000000+INDEX(编号表!$B$1:$B$112,MATCH(D243,编号表!$A$1:$A$112,0))*10000+I243</f>
        <v>10240007</v>
      </c>
      <c r="C243" s="5" t="s">
        <v>431</v>
      </c>
      <c r="D243" s="5" t="s">
        <v>431</v>
      </c>
      <c r="E243" s="5" t="s">
        <v>348</v>
      </c>
      <c r="F243" s="5" t="s">
        <v>391</v>
      </c>
      <c r="G243" s="5" t="b">
        <v>0</v>
      </c>
      <c r="H243" s="5" t="b">
        <v>0</v>
      </c>
      <c r="I243" s="5">
        <v>7</v>
      </c>
      <c r="J243" s="5">
        <v>102400</v>
      </c>
      <c r="K243" s="5" t="s">
        <v>350</v>
      </c>
      <c r="L243" s="5">
        <v>10240006</v>
      </c>
      <c r="M243" s="5">
        <v>10240008</v>
      </c>
      <c r="N243" s="5" t="s">
        <v>432</v>
      </c>
      <c r="O243" s="5">
        <v>10202023</v>
      </c>
      <c r="P243" s="5">
        <v>0</v>
      </c>
      <c r="Q243" s="5">
        <v>3</v>
      </c>
      <c r="R243" s="5">
        <v>35</v>
      </c>
      <c r="S243" s="5">
        <v>0</v>
      </c>
      <c r="T243" s="5">
        <v>100</v>
      </c>
      <c r="U243" s="5" t="s">
        <v>364</v>
      </c>
      <c r="V243" s="5">
        <v>650</v>
      </c>
      <c r="W243" s="5">
        <v>650</v>
      </c>
      <c r="X243" s="5" t="s">
        <v>352</v>
      </c>
      <c r="Y243" s="5" t="s">
        <v>376</v>
      </c>
      <c r="Z243" s="5" t="s">
        <v>354</v>
      </c>
      <c r="AA243" s="5">
        <v>0</v>
      </c>
      <c r="AB243" s="5">
        <v>1</v>
      </c>
      <c r="AC243" s="5" t="b">
        <v>0</v>
      </c>
      <c r="AD243" s="5" t="s">
        <v>355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 t="s">
        <v>381</v>
      </c>
      <c r="AZ243" s="5">
        <v>11700</v>
      </c>
      <c r="BA243" s="5" t="s">
        <v>417</v>
      </c>
      <c r="BB243" s="5" t="s">
        <v>354</v>
      </c>
      <c r="BC243" s="5">
        <v>10000</v>
      </c>
      <c r="BD243" s="5">
        <v>0</v>
      </c>
      <c r="BE243" s="5" t="s">
        <v>358</v>
      </c>
      <c r="BF243" s="5">
        <v>0</v>
      </c>
      <c r="BG243" s="5"/>
      <c r="BH243" s="5"/>
      <c r="BI243" s="5"/>
      <c r="BJ243" s="5"/>
      <c r="BK243" s="5"/>
      <c r="BL243" s="5"/>
      <c r="BM243" s="5">
        <v>21001807</v>
      </c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X243" s="5">
        <v>200</v>
      </c>
      <c r="GY243" s="5">
        <v>400</v>
      </c>
      <c r="GZ243" s="5" t="s">
        <v>383</v>
      </c>
      <c r="HA243" s="5">
        <v>0</v>
      </c>
      <c r="HB243" s="5">
        <v>0</v>
      </c>
      <c r="HC243" s="5" t="s">
        <v>366</v>
      </c>
      <c r="HD243" s="5" t="b">
        <v>1</v>
      </c>
      <c r="HE243" s="5">
        <v>6000</v>
      </c>
      <c r="HF243" s="5" t="b">
        <v>0</v>
      </c>
      <c r="HG243" s="5">
        <v>0</v>
      </c>
      <c r="HH243" s="5">
        <v>0</v>
      </c>
      <c r="HI243" s="5">
        <v>0</v>
      </c>
      <c r="HJ243" s="5">
        <v>0</v>
      </c>
      <c r="HK243" s="5" t="b">
        <v>0</v>
      </c>
      <c r="HL243" s="5">
        <v>0</v>
      </c>
      <c r="HM243" s="5">
        <v>10001</v>
      </c>
      <c r="HN243" s="5" t="s">
        <v>367</v>
      </c>
      <c r="HO243" s="5" t="s">
        <v>360</v>
      </c>
      <c r="HP243" s="5">
        <v>0</v>
      </c>
      <c r="HQ243" s="5">
        <v>0</v>
      </c>
      <c r="HR243" s="5">
        <v>0</v>
      </c>
      <c r="HS243" s="5">
        <v>0</v>
      </c>
      <c r="HT243" s="5" t="b">
        <v>0</v>
      </c>
    </row>
    <row r="244" spans="1:228">
      <c r="A244"/>
      <c r="B244" s="1">
        <f>10000000+INDEX(编号表!$B$1:$B$112,MATCH(D244,编号表!$A$1:$A$112,0))*10000+I244</f>
        <v>10240008</v>
      </c>
      <c r="C244" s="5" t="s">
        <v>431</v>
      </c>
      <c r="D244" s="5" t="s">
        <v>431</v>
      </c>
      <c r="E244" s="5" t="s">
        <v>348</v>
      </c>
      <c r="F244" s="5" t="s">
        <v>391</v>
      </c>
      <c r="G244" s="5" t="b">
        <v>0</v>
      </c>
      <c r="H244" s="5" t="b">
        <v>0</v>
      </c>
      <c r="I244" s="5">
        <v>8</v>
      </c>
      <c r="J244" s="5">
        <v>102400</v>
      </c>
      <c r="K244" s="5" t="s">
        <v>350</v>
      </c>
      <c r="L244" s="5">
        <v>10240007</v>
      </c>
      <c r="M244" s="5">
        <v>10240009</v>
      </c>
      <c r="N244" s="5" t="s">
        <v>432</v>
      </c>
      <c r="O244" s="5">
        <v>10202023</v>
      </c>
      <c r="P244" s="5">
        <v>0</v>
      </c>
      <c r="Q244" s="5">
        <v>3</v>
      </c>
      <c r="R244" s="5">
        <v>35</v>
      </c>
      <c r="S244" s="5">
        <v>0</v>
      </c>
      <c r="T244" s="5">
        <v>100</v>
      </c>
      <c r="U244" s="5" t="s">
        <v>364</v>
      </c>
      <c r="V244" s="5">
        <v>650</v>
      </c>
      <c r="W244" s="5">
        <v>650</v>
      </c>
      <c r="X244" s="5" t="s">
        <v>352</v>
      </c>
      <c r="Y244" s="5" t="s">
        <v>376</v>
      </c>
      <c r="Z244" s="5" t="s">
        <v>354</v>
      </c>
      <c r="AA244" s="5">
        <v>0</v>
      </c>
      <c r="AB244" s="5">
        <v>1</v>
      </c>
      <c r="AC244" s="5" t="b">
        <v>0</v>
      </c>
      <c r="AD244" s="5" t="s">
        <v>355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 t="s">
        <v>381</v>
      </c>
      <c r="AZ244" s="5">
        <v>11800</v>
      </c>
      <c r="BA244" s="5" t="s">
        <v>417</v>
      </c>
      <c r="BB244" s="5" t="s">
        <v>354</v>
      </c>
      <c r="BC244" s="5">
        <v>10000</v>
      </c>
      <c r="BD244" s="5">
        <v>0</v>
      </c>
      <c r="BE244" s="5" t="s">
        <v>358</v>
      </c>
      <c r="BF244" s="5">
        <v>0</v>
      </c>
      <c r="BG244" s="5"/>
      <c r="BH244" s="5"/>
      <c r="BI244" s="5"/>
      <c r="BJ244" s="5"/>
      <c r="BK244" s="5"/>
      <c r="BL244" s="5"/>
      <c r="BM244" s="5">
        <v>21001808</v>
      </c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X244" s="5">
        <v>200</v>
      </c>
      <c r="GY244" s="5">
        <v>400</v>
      </c>
      <c r="GZ244" s="5" t="s">
        <v>383</v>
      </c>
      <c r="HA244" s="5">
        <v>0</v>
      </c>
      <c r="HB244" s="5">
        <v>0</v>
      </c>
      <c r="HC244" s="5" t="s">
        <v>366</v>
      </c>
      <c r="HD244" s="5" t="b">
        <v>1</v>
      </c>
      <c r="HE244" s="5">
        <v>6000</v>
      </c>
      <c r="HF244" s="5" t="b">
        <v>0</v>
      </c>
      <c r="HG244" s="5">
        <v>0</v>
      </c>
      <c r="HH244" s="5">
        <v>0</v>
      </c>
      <c r="HI244" s="5">
        <v>0</v>
      </c>
      <c r="HJ244" s="5">
        <v>0</v>
      </c>
      <c r="HK244" s="5" t="b">
        <v>0</v>
      </c>
      <c r="HL244" s="5">
        <v>0</v>
      </c>
      <c r="HM244" s="5">
        <v>10001</v>
      </c>
      <c r="HN244" s="5" t="s">
        <v>367</v>
      </c>
      <c r="HO244" s="5" t="s">
        <v>360</v>
      </c>
      <c r="HP244" s="5">
        <v>0</v>
      </c>
      <c r="HQ244" s="5">
        <v>0</v>
      </c>
      <c r="HR244" s="5">
        <v>0</v>
      </c>
      <c r="HS244" s="5">
        <v>0</v>
      </c>
      <c r="HT244" s="5" t="b">
        <v>0</v>
      </c>
    </row>
    <row r="245" spans="1:228">
      <c r="A245"/>
      <c r="B245" s="1">
        <f>10000000+INDEX(编号表!$B$1:$B$112,MATCH(D245,编号表!$A$1:$A$112,0))*10000+I245</f>
        <v>10240009</v>
      </c>
      <c r="C245" s="5" t="s">
        <v>431</v>
      </c>
      <c r="D245" s="5" t="s">
        <v>431</v>
      </c>
      <c r="E245" s="5" t="s">
        <v>348</v>
      </c>
      <c r="F245" s="5" t="s">
        <v>391</v>
      </c>
      <c r="G245" s="5" t="b">
        <v>0</v>
      </c>
      <c r="H245" s="5" t="b">
        <v>0</v>
      </c>
      <c r="I245" s="5">
        <v>9</v>
      </c>
      <c r="J245" s="5">
        <v>102400</v>
      </c>
      <c r="K245" s="5" t="s">
        <v>350</v>
      </c>
      <c r="L245" s="5">
        <v>10240008</v>
      </c>
      <c r="M245" s="5">
        <v>10240010</v>
      </c>
      <c r="N245" s="5" t="s">
        <v>432</v>
      </c>
      <c r="O245" s="5">
        <v>10202023</v>
      </c>
      <c r="P245" s="5">
        <v>0</v>
      </c>
      <c r="Q245" s="5">
        <v>3</v>
      </c>
      <c r="R245" s="5">
        <v>40</v>
      </c>
      <c r="S245" s="5">
        <v>0</v>
      </c>
      <c r="T245" s="5">
        <v>100</v>
      </c>
      <c r="U245" s="5" t="s">
        <v>364</v>
      </c>
      <c r="V245" s="5">
        <v>650</v>
      </c>
      <c r="W245" s="5">
        <v>650</v>
      </c>
      <c r="X245" s="5" t="s">
        <v>352</v>
      </c>
      <c r="Y245" s="5" t="s">
        <v>376</v>
      </c>
      <c r="Z245" s="5" t="s">
        <v>354</v>
      </c>
      <c r="AA245" s="5">
        <v>0</v>
      </c>
      <c r="AB245" s="5">
        <v>1</v>
      </c>
      <c r="AC245" s="5" t="b">
        <v>0</v>
      </c>
      <c r="AD245" s="5" t="s">
        <v>355</v>
      </c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 t="s">
        <v>381</v>
      </c>
      <c r="AZ245" s="5">
        <v>11900</v>
      </c>
      <c r="BA245" s="5" t="s">
        <v>417</v>
      </c>
      <c r="BB245" s="5" t="s">
        <v>354</v>
      </c>
      <c r="BC245" s="5">
        <v>10000</v>
      </c>
      <c r="BD245" s="5">
        <v>0</v>
      </c>
      <c r="BE245" s="5" t="s">
        <v>358</v>
      </c>
      <c r="BF245" s="5">
        <v>0</v>
      </c>
      <c r="BG245" s="5"/>
      <c r="BH245" s="5"/>
      <c r="BI245" s="5"/>
      <c r="BJ245" s="5"/>
      <c r="BK245" s="5"/>
      <c r="BL245" s="5"/>
      <c r="BM245" s="5">
        <v>21001809</v>
      </c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X245" s="5">
        <v>200</v>
      </c>
      <c r="GY245" s="5">
        <v>400</v>
      </c>
      <c r="GZ245" s="5" t="s">
        <v>383</v>
      </c>
      <c r="HA245" s="5">
        <v>0</v>
      </c>
      <c r="HB245" s="5">
        <v>0</v>
      </c>
      <c r="HC245" s="5" t="s">
        <v>366</v>
      </c>
      <c r="HD245" s="5" t="b">
        <v>1</v>
      </c>
      <c r="HE245" s="5">
        <v>6000</v>
      </c>
      <c r="HF245" s="5" t="b">
        <v>0</v>
      </c>
      <c r="HG245" s="5">
        <v>0</v>
      </c>
      <c r="HH245" s="5">
        <v>0</v>
      </c>
      <c r="HI245" s="5">
        <v>0</v>
      </c>
      <c r="HJ245" s="5">
        <v>0</v>
      </c>
      <c r="HK245" s="5" t="b">
        <v>0</v>
      </c>
      <c r="HL245" s="5">
        <v>0</v>
      </c>
      <c r="HM245" s="5">
        <v>10001</v>
      </c>
      <c r="HN245" s="5" t="s">
        <v>367</v>
      </c>
      <c r="HO245" s="5" t="s">
        <v>360</v>
      </c>
      <c r="HP245" s="5">
        <v>0</v>
      </c>
      <c r="HQ245" s="5">
        <v>0</v>
      </c>
      <c r="HR245" s="5">
        <v>0</v>
      </c>
      <c r="HS245" s="5">
        <v>0</v>
      </c>
      <c r="HT245" s="5" t="b">
        <v>0</v>
      </c>
    </row>
    <row r="246" spans="1:228">
      <c r="A246"/>
      <c r="B246" s="1">
        <f>10000000+INDEX(编号表!$B$1:$B$112,MATCH(D246,编号表!$A$1:$A$112,0))*10000+I246</f>
        <v>10240010</v>
      </c>
      <c r="C246" s="5" t="s">
        <v>431</v>
      </c>
      <c r="D246" s="5" t="s">
        <v>431</v>
      </c>
      <c r="E246" s="5" t="s">
        <v>348</v>
      </c>
      <c r="F246" s="5" t="s">
        <v>391</v>
      </c>
      <c r="G246" s="5" t="b">
        <v>0</v>
      </c>
      <c r="H246" s="5" t="b">
        <v>0</v>
      </c>
      <c r="I246" s="5">
        <v>10</v>
      </c>
      <c r="J246" s="5">
        <v>102400</v>
      </c>
      <c r="K246" s="5" t="s">
        <v>350</v>
      </c>
      <c r="L246" s="5">
        <v>10240009</v>
      </c>
      <c r="M246" s="5">
        <v>0</v>
      </c>
      <c r="N246" s="5" t="s">
        <v>432</v>
      </c>
      <c r="O246" s="5">
        <v>10202023</v>
      </c>
      <c r="P246" s="5">
        <v>0</v>
      </c>
      <c r="Q246" s="5">
        <v>3</v>
      </c>
      <c r="R246" s="5">
        <v>40</v>
      </c>
      <c r="S246" s="5">
        <v>0</v>
      </c>
      <c r="T246" s="5">
        <v>0</v>
      </c>
      <c r="U246" s="5" t="s">
        <v>364</v>
      </c>
      <c r="V246" s="5">
        <v>650</v>
      </c>
      <c r="W246" s="5">
        <v>650</v>
      </c>
      <c r="X246" s="5" t="s">
        <v>352</v>
      </c>
      <c r="Y246" s="5" t="s">
        <v>376</v>
      </c>
      <c r="Z246" s="5" t="s">
        <v>354</v>
      </c>
      <c r="AA246" s="5">
        <v>0</v>
      </c>
      <c r="AB246" s="5">
        <v>1</v>
      </c>
      <c r="AC246" s="5" t="b">
        <v>0</v>
      </c>
      <c r="AD246" s="5" t="s">
        <v>355</v>
      </c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 t="s">
        <v>381</v>
      </c>
      <c r="AZ246" s="5">
        <v>12000</v>
      </c>
      <c r="BA246" s="5" t="s">
        <v>417</v>
      </c>
      <c r="BB246" s="5" t="s">
        <v>354</v>
      </c>
      <c r="BC246" s="5">
        <v>10000</v>
      </c>
      <c r="BD246" s="5">
        <v>0</v>
      </c>
      <c r="BE246" s="5" t="s">
        <v>358</v>
      </c>
      <c r="BF246" s="5">
        <v>0</v>
      </c>
      <c r="BG246" s="5"/>
      <c r="BH246" s="5"/>
      <c r="BI246" s="5"/>
      <c r="BJ246" s="5"/>
      <c r="BK246" s="5"/>
      <c r="BL246" s="5"/>
      <c r="BM246" s="5">
        <v>21001810</v>
      </c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X246" s="5">
        <v>200</v>
      </c>
      <c r="GY246" s="5">
        <v>400</v>
      </c>
      <c r="GZ246" s="5" t="s">
        <v>383</v>
      </c>
      <c r="HA246" s="5">
        <v>0</v>
      </c>
      <c r="HB246" s="5">
        <v>0</v>
      </c>
      <c r="HC246" s="5" t="s">
        <v>366</v>
      </c>
      <c r="HD246" s="5" t="b">
        <v>1</v>
      </c>
      <c r="HE246" s="5">
        <v>6000</v>
      </c>
      <c r="HF246" s="5" t="b">
        <v>0</v>
      </c>
      <c r="HG246" s="5">
        <v>0</v>
      </c>
      <c r="HH246" s="5">
        <v>0</v>
      </c>
      <c r="HI246" s="5">
        <v>0</v>
      </c>
      <c r="HJ246" s="5">
        <v>0</v>
      </c>
      <c r="HK246" s="5" t="b">
        <v>0</v>
      </c>
      <c r="HL246" s="5">
        <v>0</v>
      </c>
      <c r="HM246" s="5">
        <v>10001</v>
      </c>
      <c r="HN246" s="5" t="s">
        <v>367</v>
      </c>
      <c r="HO246" s="5" t="s">
        <v>360</v>
      </c>
      <c r="HP246" s="5">
        <v>0</v>
      </c>
      <c r="HQ246" s="5">
        <v>0</v>
      </c>
      <c r="HR246" s="5">
        <v>0</v>
      </c>
      <c r="HS246" s="5">
        <v>0</v>
      </c>
      <c r="HT246" s="5" t="b">
        <v>0</v>
      </c>
    </row>
    <row r="247" spans="1:228">
      <c r="A247"/>
      <c r="B247" s="1">
        <f>10000000+INDEX(编号表!$B$1:$B$112,MATCH(D247,编号表!$A$1:$A$112,0))*10000+I247</f>
        <v>10250001</v>
      </c>
      <c r="C247" s="5" t="s">
        <v>433</v>
      </c>
      <c r="D247" s="5" t="s">
        <v>433</v>
      </c>
      <c r="E247" s="5" t="s">
        <v>348</v>
      </c>
      <c r="F247" s="5" t="s">
        <v>391</v>
      </c>
      <c r="G247" s="5" t="b">
        <v>0</v>
      </c>
      <c r="H247" s="5" t="b">
        <v>0</v>
      </c>
      <c r="I247" s="5">
        <v>1</v>
      </c>
      <c r="J247" s="5">
        <v>102500</v>
      </c>
      <c r="K247" s="5" t="s">
        <v>350</v>
      </c>
      <c r="L247" s="5">
        <v>0</v>
      </c>
      <c r="M247" s="5">
        <v>10250002</v>
      </c>
      <c r="N247" s="5" t="s">
        <v>434</v>
      </c>
      <c r="O247" s="5">
        <v>10202024</v>
      </c>
      <c r="P247" s="5">
        <v>0</v>
      </c>
      <c r="Q247" s="5">
        <v>0</v>
      </c>
      <c r="R247" s="5">
        <v>1</v>
      </c>
      <c r="S247" s="5">
        <v>0</v>
      </c>
      <c r="T247" s="5">
        <v>100</v>
      </c>
      <c r="U247" s="5" t="s">
        <v>364</v>
      </c>
      <c r="V247" s="5">
        <v>0</v>
      </c>
      <c r="W247" s="5">
        <v>0</v>
      </c>
      <c r="X247" s="5" t="s">
        <v>360</v>
      </c>
      <c r="Y247" s="5" t="s">
        <v>365</v>
      </c>
      <c r="Z247" s="5" t="s">
        <v>424</v>
      </c>
      <c r="AA247" s="5">
        <v>1</v>
      </c>
      <c r="AB247" s="5">
        <v>0</v>
      </c>
      <c r="AC247" s="5" t="b">
        <v>1</v>
      </c>
      <c r="AD247" s="5" t="s">
        <v>355</v>
      </c>
      <c r="AE247" s="5">
        <v>80</v>
      </c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 t="s">
        <v>381</v>
      </c>
      <c r="AZ247" s="5">
        <v>10000</v>
      </c>
      <c r="BA247" s="5" t="s">
        <v>417</v>
      </c>
      <c r="BB247" s="5" t="s">
        <v>424</v>
      </c>
      <c r="BC247" s="5">
        <v>10000</v>
      </c>
      <c r="BD247" s="5">
        <v>0</v>
      </c>
      <c r="BE247" s="5" t="s">
        <v>358</v>
      </c>
      <c r="BF247" s="5">
        <v>0</v>
      </c>
      <c r="BG247" s="5"/>
      <c r="BH247" s="5"/>
      <c r="BI247" s="5"/>
      <c r="BJ247" s="5"/>
      <c r="BK247" s="5"/>
      <c r="BL247" s="5"/>
      <c r="BM247" s="5">
        <v>21001901</v>
      </c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X247" s="5">
        <v>200</v>
      </c>
      <c r="GY247" s="5">
        <v>400</v>
      </c>
      <c r="GZ247" s="5" t="s">
        <v>383</v>
      </c>
      <c r="HA247" s="5">
        <v>0</v>
      </c>
      <c r="HB247" s="5" t="s">
        <v>366</v>
      </c>
      <c r="HC247" s="5" t="s">
        <v>366</v>
      </c>
      <c r="HD247" s="5" t="b">
        <v>1</v>
      </c>
      <c r="HE247" s="5">
        <v>12000</v>
      </c>
      <c r="HF247" s="5" t="b">
        <v>0</v>
      </c>
      <c r="HG247" s="5">
        <v>0</v>
      </c>
      <c r="HH247" s="5">
        <v>0</v>
      </c>
      <c r="HI247" s="5">
        <v>0</v>
      </c>
      <c r="HJ247" s="5">
        <v>0</v>
      </c>
      <c r="HK247" s="5" t="b">
        <v>0</v>
      </c>
      <c r="HL247" s="5">
        <v>0</v>
      </c>
      <c r="HM247" s="5">
        <v>10001</v>
      </c>
      <c r="HN247" s="5" t="s">
        <v>367</v>
      </c>
      <c r="HO247" s="5" t="s">
        <v>360</v>
      </c>
      <c r="HP247" s="5">
        <v>0</v>
      </c>
      <c r="HQ247" s="5">
        <v>0</v>
      </c>
      <c r="HR247" s="5">
        <v>0</v>
      </c>
      <c r="HS247" s="5">
        <v>0</v>
      </c>
      <c r="HT247" s="5" t="b">
        <v>0</v>
      </c>
    </row>
    <row r="248" spans="1:228">
      <c r="A248"/>
      <c r="B248" s="1">
        <f>10000000+INDEX(编号表!$B$1:$B$112,MATCH(D248,编号表!$A$1:$A$112,0))*10000+I248</f>
        <v>10250002</v>
      </c>
      <c r="C248" s="5" t="s">
        <v>433</v>
      </c>
      <c r="D248" s="5" t="s">
        <v>433</v>
      </c>
      <c r="E248" s="5" t="s">
        <v>348</v>
      </c>
      <c r="F248" s="5" t="s">
        <v>391</v>
      </c>
      <c r="G248" s="5" t="b">
        <v>0</v>
      </c>
      <c r="H248" s="5" t="b">
        <v>0</v>
      </c>
      <c r="I248" s="5">
        <v>2</v>
      </c>
      <c r="J248" s="5">
        <v>102500</v>
      </c>
      <c r="K248" s="5" t="s">
        <v>350</v>
      </c>
      <c r="L248" s="5">
        <v>10250001</v>
      </c>
      <c r="M248" s="5">
        <v>10250003</v>
      </c>
      <c r="N248" s="5" t="s">
        <v>434</v>
      </c>
      <c r="O248" s="5">
        <v>10202024</v>
      </c>
      <c r="P248" s="5">
        <v>0</v>
      </c>
      <c r="Q248" s="5">
        <v>1</v>
      </c>
      <c r="R248" s="5">
        <v>7</v>
      </c>
      <c r="S248" s="5">
        <v>0</v>
      </c>
      <c r="T248" s="5">
        <v>100</v>
      </c>
      <c r="U248" s="5" t="s">
        <v>364</v>
      </c>
      <c r="V248" s="5">
        <v>0</v>
      </c>
      <c r="W248" s="5">
        <v>0</v>
      </c>
      <c r="X248" s="5" t="s">
        <v>360</v>
      </c>
      <c r="Y248" s="5" t="s">
        <v>365</v>
      </c>
      <c r="Z248" s="5" t="s">
        <v>424</v>
      </c>
      <c r="AA248" s="5">
        <v>1</v>
      </c>
      <c r="AB248" s="5">
        <v>0</v>
      </c>
      <c r="AC248" s="5" t="b">
        <v>1</v>
      </c>
      <c r="AD248" s="5" t="s">
        <v>355</v>
      </c>
      <c r="AE248" s="5">
        <v>80</v>
      </c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 t="s">
        <v>381</v>
      </c>
      <c r="AZ248" s="5">
        <v>10400</v>
      </c>
      <c r="BA248" s="5" t="s">
        <v>417</v>
      </c>
      <c r="BB248" s="5" t="s">
        <v>424</v>
      </c>
      <c r="BC248" s="5">
        <v>10000</v>
      </c>
      <c r="BD248" s="5">
        <v>0</v>
      </c>
      <c r="BE248" s="5" t="s">
        <v>358</v>
      </c>
      <c r="BF248" s="5">
        <v>0</v>
      </c>
      <c r="BG248" s="5"/>
      <c r="BH248" s="5"/>
      <c r="BI248" s="5"/>
      <c r="BJ248" s="5"/>
      <c r="BK248" s="5"/>
      <c r="BL248" s="5"/>
      <c r="BM248" s="5">
        <v>21001902</v>
      </c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X248" s="5">
        <v>200</v>
      </c>
      <c r="GY248" s="5">
        <v>400</v>
      </c>
      <c r="GZ248" s="5" t="s">
        <v>383</v>
      </c>
      <c r="HA248" s="5">
        <v>0</v>
      </c>
      <c r="HB248" s="5" t="s">
        <v>366</v>
      </c>
      <c r="HC248" s="5" t="s">
        <v>366</v>
      </c>
      <c r="HD248" s="5" t="b">
        <v>1</v>
      </c>
      <c r="HE248" s="5">
        <v>12000</v>
      </c>
      <c r="HF248" s="5" t="b">
        <v>0</v>
      </c>
      <c r="HG248" s="5">
        <v>0</v>
      </c>
      <c r="HH248" s="5">
        <v>0</v>
      </c>
      <c r="HI248" s="5">
        <v>0</v>
      </c>
      <c r="HJ248" s="5">
        <v>0</v>
      </c>
      <c r="HK248" s="5" t="b">
        <v>0</v>
      </c>
      <c r="HL248" s="5">
        <v>0</v>
      </c>
      <c r="HM248" s="5">
        <v>10001</v>
      </c>
      <c r="HN248" s="5" t="s">
        <v>367</v>
      </c>
      <c r="HO248" s="5" t="s">
        <v>360</v>
      </c>
      <c r="HP248" s="5">
        <v>0</v>
      </c>
      <c r="HQ248" s="5">
        <v>0</v>
      </c>
      <c r="HR248" s="5">
        <v>0</v>
      </c>
      <c r="HS248" s="5">
        <v>0</v>
      </c>
      <c r="HT248" s="5" t="b">
        <v>0</v>
      </c>
    </row>
    <row r="249" spans="1:228">
      <c r="A249"/>
      <c r="B249" s="1">
        <f>10000000+INDEX(编号表!$B$1:$B$112,MATCH(D249,编号表!$A$1:$A$112,0))*10000+I249</f>
        <v>10250003</v>
      </c>
      <c r="C249" s="5" t="s">
        <v>433</v>
      </c>
      <c r="D249" s="5" t="s">
        <v>433</v>
      </c>
      <c r="E249" s="5" t="s">
        <v>348</v>
      </c>
      <c r="F249" s="5" t="s">
        <v>391</v>
      </c>
      <c r="G249" s="5" t="b">
        <v>0</v>
      </c>
      <c r="H249" s="5" t="b">
        <v>0</v>
      </c>
      <c r="I249" s="5">
        <v>3</v>
      </c>
      <c r="J249" s="5">
        <v>102500</v>
      </c>
      <c r="K249" s="5" t="s">
        <v>350</v>
      </c>
      <c r="L249" s="5">
        <v>10250002</v>
      </c>
      <c r="M249" s="5">
        <v>10250004</v>
      </c>
      <c r="N249" s="5" t="s">
        <v>434</v>
      </c>
      <c r="O249" s="5">
        <v>10202024</v>
      </c>
      <c r="P249" s="5">
        <v>0</v>
      </c>
      <c r="Q249" s="5">
        <v>2</v>
      </c>
      <c r="R249" s="5">
        <v>11</v>
      </c>
      <c r="S249" s="5">
        <v>0</v>
      </c>
      <c r="T249" s="5">
        <v>100</v>
      </c>
      <c r="U249" s="5" t="s">
        <v>364</v>
      </c>
      <c r="V249" s="5">
        <v>0</v>
      </c>
      <c r="W249" s="5">
        <v>0</v>
      </c>
      <c r="X249" s="5" t="s">
        <v>360</v>
      </c>
      <c r="Y249" s="5" t="s">
        <v>365</v>
      </c>
      <c r="Z249" s="5" t="s">
        <v>424</v>
      </c>
      <c r="AA249" s="5">
        <v>1</v>
      </c>
      <c r="AB249" s="5">
        <v>0</v>
      </c>
      <c r="AC249" s="5" t="b">
        <v>1</v>
      </c>
      <c r="AD249" s="5" t="s">
        <v>355</v>
      </c>
      <c r="AE249" s="5">
        <v>80</v>
      </c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 t="s">
        <v>381</v>
      </c>
      <c r="AZ249" s="5">
        <v>10800</v>
      </c>
      <c r="BA249" s="5" t="s">
        <v>417</v>
      </c>
      <c r="BB249" s="5" t="s">
        <v>424</v>
      </c>
      <c r="BC249" s="5">
        <v>10000</v>
      </c>
      <c r="BD249" s="5">
        <v>0</v>
      </c>
      <c r="BE249" s="5" t="s">
        <v>358</v>
      </c>
      <c r="BF249" s="5">
        <v>0</v>
      </c>
      <c r="BG249" s="5"/>
      <c r="BH249" s="5"/>
      <c r="BI249" s="5"/>
      <c r="BJ249" s="5"/>
      <c r="BK249" s="5"/>
      <c r="BL249" s="5"/>
      <c r="BM249" s="5">
        <v>21001903</v>
      </c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X249" s="5">
        <v>200</v>
      </c>
      <c r="GY249" s="5">
        <v>400</v>
      </c>
      <c r="GZ249" s="5" t="s">
        <v>383</v>
      </c>
      <c r="HA249" s="5">
        <v>0</v>
      </c>
      <c r="HB249" s="5" t="s">
        <v>366</v>
      </c>
      <c r="HC249" s="5" t="s">
        <v>366</v>
      </c>
      <c r="HD249" s="5" t="b">
        <v>1</v>
      </c>
      <c r="HE249" s="5">
        <v>12000</v>
      </c>
      <c r="HF249" s="5" t="b">
        <v>0</v>
      </c>
      <c r="HG249" s="5">
        <v>0</v>
      </c>
      <c r="HH249" s="5">
        <v>0</v>
      </c>
      <c r="HI249" s="5">
        <v>0</v>
      </c>
      <c r="HJ249" s="5">
        <v>0</v>
      </c>
      <c r="HK249" s="5" t="b">
        <v>0</v>
      </c>
      <c r="HL249" s="5">
        <v>0</v>
      </c>
      <c r="HM249" s="5">
        <v>10001</v>
      </c>
      <c r="HN249" s="5" t="s">
        <v>367</v>
      </c>
      <c r="HO249" s="5" t="s">
        <v>360</v>
      </c>
      <c r="HP249" s="5">
        <v>0</v>
      </c>
      <c r="HQ249" s="5">
        <v>0</v>
      </c>
      <c r="HR249" s="5">
        <v>0</v>
      </c>
      <c r="HS249" s="5">
        <v>0</v>
      </c>
      <c r="HT249" s="5" t="b">
        <v>0</v>
      </c>
    </row>
    <row r="250" spans="1:228">
      <c r="A250"/>
      <c r="B250" s="1">
        <f>10000000+INDEX(编号表!$B$1:$B$112,MATCH(D250,编号表!$A$1:$A$112,0))*10000+I250</f>
        <v>10250004</v>
      </c>
      <c r="C250" s="5" t="s">
        <v>433</v>
      </c>
      <c r="D250" s="5" t="s">
        <v>433</v>
      </c>
      <c r="E250" s="5" t="s">
        <v>348</v>
      </c>
      <c r="F250" s="5" t="s">
        <v>391</v>
      </c>
      <c r="G250" s="5" t="b">
        <v>0</v>
      </c>
      <c r="H250" s="5" t="b">
        <v>0</v>
      </c>
      <c r="I250" s="5">
        <v>4</v>
      </c>
      <c r="J250" s="5">
        <v>102500</v>
      </c>
      <c r="K250" s="5" t="s">
        <v>350</v>
      </c>
      <c r="L250" s="5">
        <v>10250003</v>
      </c>
      <c r="M250" s="5">
        <v>10250005</v>
      </c>
      <c r="N250" s="5" t="s">
        <v>434</v>
      </c>
      <c r="O250" s="5">
        <v>10202024</v>
      </c>
      <c r="P250" s="5">
        <v>0</v>
      </c>
      <c r="Q250" s="5">
        <v>3</v>
      </c>
      <c r="R250" s="5">
        <v>16</v>
      </c>
      <c r="S250" s="5">
        <v>0</v>
      </c>
      <c r="T250" s="5">
        <v>100</v>
      </c>
      <c r="U250" s="5" t="s">
        <v>364</v>
      </c>
      <c r="V250" s="5">
        <v>0</v>
      </c>
      <c r="W250" s="5">
        <v>0</v>
      </c>
      <c r="X250" s="5" t="s">
        <v>360</v>
      </c>
      <c r="Y250" s="5" t="s">
        <v>365</v>
      </c>
      <c r="Z250" s="5" t="s">
        <v>424</v>
      </c>
      <c r="AA250" s="5">
        <v>1</v>
      </c>
      <c r="AB250" s="5">
        <v>0</v>
      </c>
      <c r="AC250" s="5" t="b">
        <v>1</v>
      </c>
      <c r="AD250" s="5" t="s">
        <v>355</v>
      </c>
      <c r="AE250" s="5">
        <v>80</v>
      </c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 t="s">
        <v>381</v>
      </c>
      <c r="AZ250" s="5">
        <v>11200</v>
      </c>
      <c r="BA250" s="5" t="s">
        <v>417</v>
      </c>
      <c r="BB250" s="5" t="s">
        <v>424</v>
      </c>
      <c r="BC250" s="5">
        <v>10000</v>
      </c>
      <c r="BD250" s="5">
        <v>0</v>
      </c>
      <c r="BE250" s="5" t="s">
        <v>358</v>
      </c>
      <c r="BF250" s="5">
        <v>0</v>
      </c>
      <c r="BG250" s="5"/>
      <c r="BH250" s="5"/>
      <c r="BI250" s="5"/>
      <c r="BJ250" s="5"/>
      <c r="BK250" s="5"/>
      <c r="BL250" s="5"/>
      <c r="BM250" s="5">
        <v>21001904</v>
      </c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X250" s="5">
        <v>200</v>
      </c>
      <c r="GY250" s="5">
        <v>400</v>
      </c>
      <c r="GZ250" s="5" t="s">
        <v>383</v>
      </c>
      <c r="HA250" s="5">
        <v>0</v>
      </c>
      <c r="HB250" s="5" t="s">
        <v>366</v>
      </c>
      <c r="HC250" s="5" t="s">
        <v>366</v>
      </c>
      <c r="HD250" s="5" t="b">
        <v>1</v>
      </c>
      <c r="HE250" s="5">
        <v>12000</v>
      </c>
      <c r="HF250" s="5" t="b">
        <v>0</v>
      </c>
      <c r="HG250" s="5">
        <v>0</v>
      </c>
      <c r="HH250" s="5">
        <v>0</v>
      </c>
      <c r="HI250" s="5">
        <v>0</v>
      </c>
      <c r="HJ250" s="5">
        <v>0</v>
      </c>
      <c r="HK250" s="5" t="b">
        <v>0</v>
      </c>
      <c r="HL250" s="5">
        <v>0</v>
      </c>
      <c r="HM250" s="5">
        <v>10001</v>
      </c>
      <c r="HN250" s="5" t="s">
        <v>367</v>
      </c>
      <c r="HO250" s="5" t="s">
        <v>360</v>
      </c>
      <c r="HP250" s="5">
        <v>0</v>
      </c>
      <c r="HQ250" s="5">
        <v>0</v>
      </c>
      <c r="HR250" s="5">
        <v>0</v>
      </c>
      <c r="HS250" s="5">
        <v>0</v>
      </c>
      <c r="HT250" s="5" t="b">
        <v>0</v>
      </c>
    </row>
    <row r="251" spans="1:228">
      <c r="A251"/>
      <c r="B251" s="1">
        <f>10000000+INDEX(编号表!$B$1:$B$112,MATCH(D251,编号表!$A$1:$A$112,0))*10000+I251</f>
        <v>10250005</v>
      </c>
      <c r="C251" s="5" t="s">
        <v>433</v>
      </c>
      <c r="D251" s="5" t="s">
        <v>433</v>
      </c>
      <c r="E251" s="5" t="s">
        <v>348</v>
      </c>
      <c r="F251" s="5" t="s">
        <v>391</v>
      </c>
      <c r="G251" s="5" t="b">
        <v>0</v>
      </c>
      <c r="H251" s="5" t="b">
        <v>0</v>
      </c>
      <c r="I251" s="5">
        <v>5</v>
      </c>
      <c r="J251" s="5">
        <v>102500</v>
      </c>
      <c r="K251" s="5" t="s">
        <v>350</v>
      </c>
      <c r="L251" s="5">
        <v>10250004</v>
      </c>
      <c r="M251" s="5">
        <v>10250006</v>
      </c>
      <c r="N251" s="5" t="s">
        <v>434</v>
      </c>
      <c r="O251" s="5">
        <v>10202024</v>
      </c>
      <c r="P251" s="5">
        <v>0</v>
      </c>
      <c r="Q251" s="5">
        <v>3</v>
      </c>
      <c r="R251" s="5">
        <v>25</v>
      </c>
      <c r="S251" s="5">
        <v>0</v>
      </c>
      <c r="T251" s="5">
        <v>100</v>
      </c>
      <c r="U251" s="5" t="s">
        <v>364</v>
      </c>
      <c r="V251" s="5">
        <v>0</v>
      </c>
      <c r="W251" s="5">
        <v>0</v>
      </c>
      <c r="X251" s="5" t="s">
        <v>360</v>
      </c>
      <c r="Y251" s="5" t="s">
        <v>365</v>
      </c>
      <c r="Z251" s="5" t="s">
        <v>424</v>
      </c>
      <c r="AA251" s="5">
        <v>1</v>
      </c>
      <c r="AB251" s="5">
        <v>0</v>
      </c>
      <c r="AC251" s="5" t="b">
        <v>1</v>
      </c>
      <c r="AD251" s="5" t="s">
        <v>355</v>
      </c>
      <c r="AE251" s="5">
        <v>80</v>
      </c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 t="s">
        <v>381</v>
      </c>
      <c r="AZ251" s="5">
        <v>11300</v>
      </c>
      <c r="BA251" s="5" t="s">
        <v>417</v>
      </c>
      <c r="BB251" s="5" t="s">
        <v>424</v>
      </c>
      <c r="BC251" s="5">
        <v>10000</v>
      </c>
      <c r="BD251" s="5">
        <v>0</v>
      </c>
      <c r="BE251" s="5" t="s">
        <v>358</v>
      </c>
      <c r="BF251" s="5">
        <v>0</v>
      </c>
      <c r="BG251" s="5"/>
      <c r="BH251" s="5"/>
      <c r="BI251" s="5"/>
      <c r="BJ251" s="5"/>
      <c r="BK251" s="5"/>
      <c r="BL251" s="5"/>
      <c r="BM251" s="5">
        <v>21001905</v>
      </c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X251" s="5">
        <v>200</v>
      </c>
      <c r="GY251" s="5">
        <v>400</v>
      </c>
      <c r="GZ251" s="5" t="s">
        <v>383</v>
      </c>
      <c r="HA251" s="5">
        <v>0</v>
      </c>
      <c r="HB251" s="5" t="s">
        <v>366</v>
      </c>
      <c r="HC251" s="5" t="s">
        <v>366</v>
      </c>
      <c r="HD251" s="5" t="b">
        <v>1</v>
      </c>
      <c r="HE251" s="5">
        <v>12000</v>
      </c>
      <c r="HF251" s="5" t="b">
        <v>0</v>
      </c>
      <c r="HG251" s="5">
        <v>0</v>
      </c>
      <c r="HH251" s="5">
        <v>0</v>
      </c>
      <c r="HI251" s="5">
        <v>0</v>
      </c>
      <c r="HJ251" s="5">
        <v>0</v>
      </c>
      <c r="HK251" s="5" t="b">
        <v>0</v>
      </c>
      <c r="HL251" s="5">
        <v>0</v>
      </c>
      <c r="HM251" s="5">
        <v>10001</v>
      </c>
      <c r="HN251" s="5" t="s">
        <v>367</v>
      </c>
      <c r="HO251" s="5" t="s">
        <v>360</v>
      </c>
      <c r="HP251" s="5">
        <v>0</v>
      </c>
      <c r="HQ251" s="5">
        <v>0</v>
      </c>
      <c r="HR251" s="5">
        <v>0</v>
      </c>
      <c r="HS251" s="5">
        <v>0</v>
      </c>
      <c r="HT251" s="5" t="b">
        <v>0</v>
      </c>
    </row>
    <row r="252" spans="1:228">
      <c r="A252"/>
      <c r="B252" s="1">
        <f>10000000+INDEX(编号表!$B$1:$B$112,MATCH(D252,编号表!$A$1:$A$112,0))*10000+I252</f>
        <v>10250006</v>
      </c>
      <c r="C252" s="5" t="s">
        <v>433</v>
      </c>
      <c r="D252" s="5" t="s">
        <v>433</v>
      </c>
      <c r="E252" s="5" t="s">
        <v>348</v>
      </c>
      <c r="F252" s="5" t="s">
        <v>391</v>
      </c>
      <c r="G252" s="5" t="b">
        <v>0</v>
      </c>
      <c r="H252" s="5" t="b">
        <v>0</v>
      </c>
      <c r="I252" s="5">
        <v>6</v>
      </c>
      <c r="J252" s="5">
        <v>102500</v>
      </c>
      <c r="K252" s="5" t="s">
        <v>350</v>
      </c>
      <c r="L252" s="5">
        <v>10250005</v>
      </c>
      <c r="M252" s="5">
        <v>10250007</v>
      </c>
      <c r="N252" s="5" t="s">
        <v>434</v>
      </c>
      <c r="O252" s="5">
        <v>10202024</v>
      </c>
      <c r="P252" s="5">
        <v>0</v>
      </c>
      <c r="Q252" s="5">
        <v>3</v>
      </c>
      <c r="R252" s="5">
        <v>30</v>
      </c>
      <c r="S252" s="5">
        <v>0</v>
      </c>
      <c r="T252" s="5">
        <v>100</v>
      </c>
      <c r="U252" s="5" t="s">
        <v>364</v>
      </c>
      <c r="V252" s="5">
        <v>0</v>
      </c>
      <c r="W252" s="5">
        <v>0</v>
      </c>
      <c r="X252" s="5" t="s">
        <v>360</v>
      </c>
      <c r="Y252" s="5" t="s">
        <v>365</v>
      </c>
      <c r="Z252" s="5" t="s">
        <v>424</v>
      </c>
      <c r="AA252" s="5">
        <v>1</v>
      </c>
      <c r="AB252" s="5">
        <v>0</v>
      </c>
      <c r="AC252" s="5" t="b">
        <v>1</v>
      </c>
      <c r="AD252" s="5" t="s">
        <v>355</v>
      </c>
      <c r="AE252" s="5">
        <v>80</v>
      </c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 t="s">
        <v>381</v>
      </c>
      <c r="AZ252" s="5">
        <v>11600</v>
      </c>
      <c r="BA252" s="5" t="s">
        <v>417</v>
      </c>
      <c r="BB252" s="5" t="s">
        <v>424</v>
      </c>
      <c r="BC252" s="5">
        <v>10000</v>
      </c>
      <c r="BD252" s="5">
        <v>0</v>
      </c>
      <c r="BE252" s="5" t="s">
        <v>358</v>
      </c>
      <c r="BF252" s="5">
        <v>0</v>
      </c>
      <c r="BG252" s="5"/>
      <c r="BH252" s="5"/>
      <c r="BI252" s="5"/>
      <c r="BJ252" s="5"/>
      <c r="BK252" s="5"/>
      <c r="BL252" s="5"/>
      <c r="BM252" s="5">
        <v>21001906</v>
      </c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X252" s="5">
        <v>200</v>
      </c>
      <c r="GY252" s="5">
        <v>400</v>
      </c>
      <c r="GZ252" s="5" t="s">
        <v>383</v>
      </c>
      <c r="HA252" s="5">
        <v>0</v>
      </c>
      <c r="HB252" s="5" t="s">
        <v>366</v>
      </c>
      <c r="HC252" s="5" t="s">
        <v>366</v>
      </c>
      <c r="HD252" s="5" t="b">
        <v>1</v>
      </c>
      <c r="HE252" s="5">
        <v>12000</v>
      </c>
      <c r="HF252" s="5" t="b">
        <v>0</v>
      </c>
      <c r="HG252" s="5">
        <v>0</v>
      </c>
      <c r="HH252" s="5">
        <v>0</v>
      </c>
      <c r="HI252" s="5">
        <v>0</v>
      </c>
      <c r="HJ252" s="5">
        <v>0</v>
      </c>
      <c r="HK252" s="5" t="b">
        <v>0</v>
      </c>
      <c r="HL252" s="5">
        <v>0</v>
      </c>
      <c r="HM252" s="5">
        <v>10001</v>
      </c>
      <c r="HN252" s="5" t="s">
        <v>367</v>
      </c>
      <c r="HO252" s="5" t="s">
        <v>360</v>
      </c>
      <c r="HP252" s="5">
        <v>0</v>
      </c>
      <c r="HQ252" s="5">
        <v>0</v>
      </c>
      <c r="HR252" s="5">
        <v>0</v>
      </c>
      <c r="HS252" s="5">
        <v>0</v>
      </c>
      <c r="HT252" s="5" t="b">
        <v>0</v>
      </c>
    </row>
    <row r="253" spans="1:228">
      <c r="A253"/>
      <c r="B253" s="1">
        <f>10000000+INDEX(编号表!$B$1:$B$112,MATCH(D253,编号表!$A$1:$A$112,0))*10000+I253</f>
        <v>10250007</v>
      </c>
      <c r="C253" s="5" t="s">
        <v>433</v>
      </c>
      <c r="D253" s="5" t="s">
        <v>433</v>
      </c>
      <c r="E253" s="5" t="s">
        <v>348</v>
      </c>
      <c r="F253" s="5" t="s">
        <v>391</v>
      </c>
      <c r="G253" s="5" t="b">
        <v>0</v>
      </c>
      <c r="H253" s="5" t="b">
        <v>0</v>
      </c>
      <c r="I253" s="5">
        <v>7</v>
      </c>
      <c r="J253" s="5">
        <v>102500</v>
      </c>
      <c r="K253" s="5" t="s">
        <v>350</v>
      </c>
      <c r="L253" s="5">
        <v>10250006</v>
      </c>
      <c r="M253" s="5">
        <v>10250008</v>
      </c>
      <c r="N253" s="5" t="s">
        <v>434</v>
      </c>
      <c r="O253" s="5">
        <v>10202024</v>
      </c>
      <c r="P253" s="5">
        <v>0</v>
      </c>
      <c r="Q253" s="5">
        <v>3</v>
      </c>
      <c r="R253" s="5">
        <v>35</v>
      </c>
      <c r="S253" s="5">
        <v>0</v>
      </c>
      <c r="T253" s="5">
        <v>100</v>
      </c>
      <c r="U253" s="5" t="s">
        <v>364</v>
      </c>
      <c r="V253" s="5">
        <v>0</v>
      </c>
      <c r="W253" s="5">
        <v>0</v>
      </c>
      <c r="X253" s="5" t="s">
        <v>360</v>
      </c>
      <c r="Y253" s="5" t="s">
        <v>365</v>
      </c>
      <c r="Z253" s="5" t="s">
        <v>424</v>
      </c>
      <c r="AA253" s="5">
        <v>1</v>
      </c>
      <c r="AB253" s="5">
        <v>0</v>
      </c>
      <c r="AC253" s="5" t="b">
        <v>1</v>
      </c>
      <c r="AD253" s="5" t="s">
        <v>355</v>
      </c>
      <c r="AE253" s="5">
        <v>80</v>
      </c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 t="s">
        <v>381</v>
      </c>
      <c r="AZ253" s="5">
        <v>11700</v>
      </c>
      <c r="BA253" s="5" t="s">
        <v>417</v>
      </c>
      <c r="BB253" s="5" t="s">
        <v>424</v>
      </c>
      <c r="BC253" s="5">
        <v>10000</v>
      </c>
      <c r="BD253" s="5">
        <v>0</v>
      </c>
      <c r="BE253" s="5" t="s">
        <v>358</v>
      </c>
      <c r="BF253" s="5">
        <v>0</v>
      </c>
      <c r="BG253" s="5"/>
      <c r="BH253" s="5"/>
      <c r="BI253" s="5"/>
      <c r="BJ253" s="5"/>
      <c r="BK253" s="5"/>
      <c r="BL253" s="5"/>
      <c r="BM253" s="5">
        <v>21001907</v>
      </c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X253" s="5">
        <v>200</v>
      </c>
      <c r="GY253" s="5">
        <v>400</v>
      </c>
      <c r="GZ253" s="5" t="s">
        <v>383</v>
      </c>
      <c r="HA253" s="5">
        <v>0</v>
      </c>
      <c r="HB253" s="5" t="s">
        <v>366</v>
      </c>
      <c r="HC253" s="5" t="s">
        <v>366</v>
      </c>
      <c r="HD253" s="5" t="b">
        <v>1</v>
      </c>
      <c r="HE253" s="5">
        <v>12000</v>
      </c>
      <c r="HF253" s="5" t="b">
        <v>0</v>
      </c>
      <c r="HG253" s="5">
        <v>0</v>
      </c>
      <c r="HH253" s="5">
        <v>0</v>
      </c>
      <c r="HI253" s="5">
        <v>0</v>
      </c>
      <c r="HJ253" s="5">
        <v>0</v>
      </c>
      <c r="HK253" s="5" t="b">
        <v>0</v>
      </c>
      <c r="HL253" s="5">
        <v>0</v>
      </c>
      <c r="HM253" s="5">
        <v>10001</v>
      </c>
      <c r="HN253" s="5" t="s">
        <v>367</v>
      </c>
      <c r="HO253" s="5" t="s">
        <v>360</v>
      </c>
      <c r="HP253" s="5">
        <v>0</v>
      </c>
      <c r="HQ253" s="5">
        <v>0</v>
      </c>
      <c r="HR253" s="5">
        <v>0</v>
      </c>
      <c r="HS253" s="5">
        <v>0</v>
      </c>
      <c r="HT253" s="5" t="b">
        <v>0</v>
      </c>
    </row>
    <row r="254" spans="1:228">
      <c r="A254"/>
      <c r="B254" s="1">
        <f>10000000+INDEX(编号表!$B$1:$B$112,MATCH(D254,编号表!$A$1:$A$112,0))*10000+I254</f>
        <v>10250008</v>
      </c>
      <c r="C254" s="5" t="s">
        <v>433</v>
      </c>
      <c r="D254" s="5" t="s">
        <v>433</v>
      </c>
      <c r="E254" s="5" t="s">
        <v>348</v>
      </c>
      <c r="F254" s="5" t="s">
        <v>391</v>
      </c>
      <c r="G254" s="5" t="b">
        <v>0</v>
      </c>
      <c r="H254" s="5" t="b">
        <v>0</v>
      </c>
      <c r="I254" s="5">
        <v>8</v>
      </c>
      <c r="J254" s="5">
        <v>102500</v>
      </c>
      <c r="K254" s="5" t="s">
        <v>350</v>
      </c>
      <c r="L254" s="5">
        <v>10250007</v>
      </c>
      <c r="M254" s="5">
        <v>10250009</v>
      </c>
      <c r="N254" s="5" t="s">
        <v>434</v>
      </c>
      <c r="O254" s="5">
        <v>10202024</v>
      </c>
      <c r="P254" s="5">
        <v>0</v>
      </c>
      <c r="Q254" s="5">
        <v>3</v>
      </c>
      <c r="R254" s="5">
        <v>35</v>
      </c>
      <c r="S254" s="5">
        <v>0</v>
      </c>
      <c r="T254" s="5">
        <v>100</v>
      </c>
      <c r="U254" s="5" t="s">
        <v>364</v>
      </c>
      <c r="V254" s="5">
        <v>0</v>
      </c>
      <c r="W254" s="5">
        <v>0</v>
      </c>
      <c r="X254" s="5" t="s">
        <v>360</v>
      </c>
      <c r="Y254" s="5" t="s">
        <v>365</v>
      </c>
      <c r="Z254" s="5" t="s">
        <v>424</v>
      </c>
      <c r="AA254" s="5">
        <v>1</v>
      </c>
      <c r="AB254" s="5">
        <v>0</v>
      </c>
      <c r="AC254" s="5" t="b">
        <v>1</v>
      </c>
      <c r="AD254" s="5" t="s">
        <v>355</v>
      </c>
      <c r="AE254" s="5">
        <v>80</v>
      </c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 t="s">
        <v>381</v>
      </c>
      <c r="AZ254" s="5">
        <v>11800</v>
      </c>
      <c r="BA254" s="5" t="s">
        <v>417</v>
      </c>
      <c r="BB254" s="5" t="s">
        <v>424</v>
      </c>
      <c r="BC254" s="5">
        <v>10000</v>
      </c>
      <c r="BD254" s="5">
        <v>0</v>
      </c>
      <c r="BE254" s="5" t="s">
        <v>358</v>
      </c>
      <c r="BF254" s="5">
        <v>0</v>
      </c>
      <c r="BG254" s="5"/>
      <c r="BH254" s="5"/>
      <c r="BI254" s="5"/>
      <c r="BJ254" s="5"/>
      <c r="BK254" s="5"/>
      <c r="BL254" s="5"/>
      <c r="BM254" s="5">
        <v>21001908</v>
      </c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X254" s="5">
        <v>200</v>
      </c>
      <c r="GY254" s="5">
        <v>400</v>
      </c>
      <c r="GZ254" s="5" t="s">
        <v>383</v>
      </c>
      <c r="HA254" s="5">
        <v>0</v>
      </c>
      <c r="HB254" s="5" t="s">
        <v>366</v>
      </c>
      <c r="HC254" s="5" t="s">
        <v>366</v>
      </c>
      <c r="HD254" s="5" t="b">
        <v>1</v>
      </c>
      <c r="HE254" s="5">
        <v>12000</v>
      </c>
      <c r="HF254" s="5" t="b">
        <v>0</v>
      </c>
      <c r="HG254" s="5">
        <v>0</v>
      </c>
      <c r="HH254" s="5">
        <v>0</v>
      </c>
      <c r="HI254" s="5">
        <v>0</v>
      </c>
      <c r="HJ254" s="5">
        <v>0</v>
      </c>
      <c r="HK254" s="5" t="b">
        <v>0</v>
      </c>
      <c r="HL254" s="5">
        <v>0</v>
      </c>
      <c r="HM254" s="5">
        <v>10001</v>
      </c>
      <c r="HN254" s="5" t="s">
        <v>367</v>
      </c>
      <c r="HO254" s="5" t="s">
        <v>360</v>
      </c>
      <c r="HP254" s="5">
        <v>0</v>
      </c>
      <c r="HQ254" s="5">
        <v>0</v>
      </c>
      <c r="HR254" s="5">
        <v>0</v>
      </c>
      <c r="HS254" s="5">
        <v>0</v>
      </c>
      <c r="HT254" s="5" t="b">
        <v>0</v>
      </c>
    </row>
    <row r="255" spans="1:228">
      <c r="A255"/>
      <c r="B255" s="1">
        <f>10000000+INDEX(编号表!$B$1:$B$112,MATCH(D255,编号表!$A$1:$A$112,0))*10000+I255</f>
        <v>10250009</v>
      </c>
      <c r="C255" s="5" t="s">
        <v>433</v>
      </c>
      <c r="D255" s="5" t="s">
        <v>433</v>
      </c>
      <c r="E255" s="5" t="s">
        <v>348</v>
      </c>
      <c r="F255" s="5" t="s">
        <v>391</v>
      </c>
      <c r="G255" s="5" t="b">
        <v>0</v>
      </c>
      <c r="H255" s="5" t="b">
        <v>0</v>
      </c>
      <c r="I255" s="5">
        <v>9</v>
      </c>
      <c r="J255" s="5">
        <v>102500</v>
      </c>
      <c r="K255" s="5" t="s">
        <v>350</v>
      </c>
      <c r="L255" s="5">
        <v>10250008</v>
      </c>
      <c r="M255" s="5">
        <v>10250010</v>
      </c>
      <c r="N255" s="5" t="s">
        <v>434</v>
      </c>
      <c r="O255" s="5">
        <v>10202024</v>
      </c>
      <c r="P255" s="5">
        <v>0</v>
      </c>
      <c r="Q255" s="5">
        <v>3</v>
      </c>
      <c r="R255" s="5">
        <v>40</v>
      </c>
      <c r="S255" s="5">
        <v>0</v>
      </c>
      <c r="T255" s="5">
        <v>100</v>
      </c>
      <c r="U255" s="5" t="s">
        <v>364</v>
      </c>
      <c r="V255" s="5">
        <v>0</v>
      </c>
      <c r="W255" s="5">
        <v>0</v>
      </c>
      <c r="X255" s="5" t="s">
        <v>360</v>
      </c>
      <c r="Y255" s="5" t="s">
        <v>365</v>
      </c>
      <c r="Z255" s="5" t="s">
        <v>424</v>
      </c>
      <c r="AA255" s="5">
        <v>1</v>
      </c>
      <c r="AB255" s="5">
        <v>0</v>
      </c>
      <c r="AC255" s="5" t="b">
        <v>1</v>
      </c>
      <c r="AD255" s="5" t="s">
        <v>355</v>
      </c>
      <c r="AE255" s="5">
        <v>80</v>
      </c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 t="s">
        <v>381</v>
      </c>
      <c r="AZ255" s="5">
        <v>11900</v>
      </c>
      <c r="BA255" s="5" t="s">
        <v>417</v>
      </c>
      <c r="BB255" s="5" t="s">
        <v>424</v>
      </c>
      <c r="BC255" s="5">
        <v>10000</v>
      </c>
      <c r="BD255" s="5">
        <v>0</v>
      </c>
      <c r="BE255" s="5" t="s">
        <v>358</v>
      </c>
      <c r="BF255" s="5">
        <v>0</v>
      </c>
      <c r="BG255" s="5"/>
      <c r="BH255" s="5"/>
      <c r="BI255" s="5"/>
      <c r="BJ255" s="5"/>
      <c r="BK255" s="5"/>
      <c r="BL255" s="5"/>
      <c r="BM255" s="5">
        <v>21001909</v>
      </c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X255" s="5">
        <v>200</v>
      </c>
      <c r="GY255" s="5">
        <v>400</v>
      </c>
      <c r="GZ255" s="5" t="s">
        <v>383</v>
      </c>
      <c r="HA255" s="5">
        <v>0</v>
      </c>
      <c r="HB255" s="5" t="s">
        <v>366</v>
      </c>
      <c r="HC255" s="5" t="s">
        <v>366</v>
      </c>
      <c r="HD255" s="5" t="b">
        <v>1</v>
      </c>
      <c r="HE255" s="5">
        <v>12000</v>
      </c>
      <c r="HF255" s="5" t="b">
        <v>0</v>
      </c>
      <c r="HG255" s="5">
        <v>0</v>
      </c>
      <c r="HH255" s="5">
        <v>0</v>
      </c>
      <c r="HI255" s="5">
        <v>0</v>
      </c>
      <c r="HJ255" s="5">
        <v>0</v>
      </c>
      <c r="HK255" s="5" t="b">
        <v>0</v>
      </c>
      <c r="HL255" s="5">
        <v>0</v>
      </c>
      <c r="HM255" s="5">
        <v>10001</v>
      </c>
      <c r="HN255" s="5" t="s">
        <v>367</v>
      </c>
      <c r="HO255" s="5" t="s">
        <v>360</v>
      </c>
      <c r="HP255" s="5">
        <v>0</v>
      </c>
      <c r="HQ255" s="5">
        <v>0</v>
      </c>
      <c r="HR255" s="5">
        <v>0</v>
      </c>
      <c r="HS255" s="5">
        <v>0</v>
      </c>
      <c r="HT255" s="5" t="b">
        <v>0</v>
      </c>
    </row>
    <row r="256" spans="1:228">
      <c r="A256"/>
      <c r="B256" s="1">
        <f>10000000+INDEX(编号表!$B$1:$B$112,MATCH(D256,编号表!$A$1:$A$112,0))*10000+I256</f>
        <v>10250010</v>
      </c>
      <c r="C256" s="5" t="s">
        <v>433</v>
      </c>
      <c r="D256" s="5" t="s">
        <v>433</v>
      </c>
      <c r="E256" s="5" t="s">
        <v>348</v>
      </c>
      <c r="F256" s="5" t="s">
        <v>391</v>
      </c>
      <c r="G256" s="5" t="b">
        <v>0</v>
      </c>
      <c r="H256" s="5" t="b">
        <v>0</v>
      </c>
      <c r="I256" s="5">
        <v>10</v>
      </c>
      <c r="J256" s="5">
        <v>102500</v>
      </c>
      <c r="K256" s="5" t="s">
        <v>350</v>
      </c>
      <c r="L256" s="5">
        <v>10250009</v>
      </c>
      <c r="M256" s="5">
        <v>0</v>
      </c>
      <c r="N256" s="5" t="s">
        <v>434</v>
      </c>
      <c r="O256" s="5">
        <v>10202024</v>
      </c>
      <c r="P256" s="5">
        <v>0</v>
      </c>
      <c r="Q256" s="5">
        <v>3</v>
      </c>
      <c r="R256" s="5">
        <v>40</v>
      </c>
      <c r="S256" s="5">
        <v>0</v>
      </c>
      <c r="T256" s="5">
        <v>0</v>
      </c>
      <c r="U256" s="5" t="s">
        <v>364</v>
      </c>
      <c r="V256" s="5">
        <v>0</v>
      </c>
      <c r="W256" s="5">
        <v>0</v>
      </c>
      <c r="X256" s="5" t="s">
        <v>360</v>
      </c>
      <c r="Y256" s="5" t="s">
        <v>365</v>
      </c>
      <c r="Z256" s="5" t="s">
        <v>424</v>
      </c>
      <c r="AA256" s="5">
        <v>1</v>
      </c>
      <c r="AB256" s="5">
        <v>0</v>
      </c>
      <c r="AC256" s="5" t="b">
        <v>1</v>
      </c>
      <c r="AD256" s="5" t="s">
        <v>355</v>
      </c>
      <c r="AE256" s="5">
        <v>80</v>
      </c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 t="s">
        <v>381</v>
      </c>
      <c r="AZ256" s="5">
        <v>12000</v>
      </c>
      <c r="BA256" s="5" t="s">
        <v>417</v>
      </c>
      <c r="BB256" s="5" t="s">
        <v>424</v>
      </c>
      <c r="BC256" s="5">
        <v>10000</v>
      </c>
      <c r="BD256" s="5">
        <v>0</v>
      </c>
      <c r="BE256" s="5" t="s">
        <v>358</v>
      </c>
      <c r="BF256" s="5">
        <v>0</v>
      </c>
      <c r="BG256" s="5"/>
      <c r="BH256" s="5"/>
      <c r="BI256" s="5"/>
      <c r="BJ256" s="5"/>
      <c r="BK256" s="5"/>
      <c r="BL256" s="5"/>
      <c r="BM256" s="5">
        <v>21001910</v>
      </c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X256" s="5">
        <v>200</v>
      </c>
      <c r="GY256" s="5">
        <v>400</v>
      </c>
      <c r="GZ256" s="5" t="s">
        <v>383</v>
      </c>
      <c r="HA256" s="5">
        <v>0</v>
      </c>
      <c r="HB256" s="5" t="s">
        <v>366</v>
      </c>
      <c r="HC256" s="5" t="s">
        <v>366</v>
      </c>
      <c r="HD256" s="5" t="b">
        <v>1</v>
      </c>
      <c r="HE256" s="5">
        <v>12000</v>
      </c>
      <c r="HF256" s="5" t="b">
        <v>0</v>
      </c>
      <c r="HG256" s="5">
        <v>0</v>
      </c>
      <c r="HH256" s="5">
        <v>0</v>
      </c>
      <c r="HI256" s="5">
        <v>0</v>
      </c>
      <c r="HJ256" s="5">
        <v>0</v>
      </c>
      <c r="HK256" s="5" t="b">
        <v>0</v>
      </c>
      <c r="HL256" s="5">
        <v>0</v>
      </c>
      <c r="HM256" s="5">
        <v>10001</v>
      </c>
      <c r="HN256" s="5" t="s">
        <v>367</v>
      </c>
      <c r="HO256" s="5" t="s">
        <v>360</v>
      </c>
      <c r="HP256" s="5">
        <v>0</v>
      </c>
      <c r="HQ256" s="5">
        <v>0</v>
      </c>
      <c r="HR256" s="5">
        <v>0</v>
      </c>
      <c r="HS256" s="5">
        <v>0</v>
      </c>
      <c r="HT256" s="5" t="b">
        <v>0</v>
      </c>
    </row>
    <row r="257" spans="1:228">
      <c r="A257"/>
      <c r="B257" s="1">
        <f>10000000+INDEX(编号表!$B$1:$B$112,MATCH(D257,编号表!$A$1:$A$112,0))*10000+I257</f>
        <v>10260001</v>
      </c>
      <c r="C257" s="5" t="s">
        <v>435</v>
      </c>
      <c r="D257" s="5" t="s">
        <v>435</v>
      </c>
      <c r="E257" s="5" t="s">
        <v>348</v>
      </c>
      <c r="F257" s="5" t="s">
        <v>388</v>
      </c>
      <c r="G257" s="5" t="b">
        <v>0</v>
      </c>
      <c r="H257" s="5" t="b">
        <v>0</v>
      </c>
      <c r="I257" s="5">
        <v>1</v>
      </c>
      <c r="J257" s="5">
        <v>102600</v>
      </c>
      <c r="K257" s="5" t="s">
        <v>350</v>
      </c>
      <c r="L257" s="5">
        <v>0</v>
      </c>
      <c r="M257" s="5">
        <v>10260002</v>
      </c>
      <c r="N257" s="5" t="s">
        <v>436</v>
      </c>
      <c r="O257" s="5">
        <v>10202025</v>
      </c>
      <c r="P257" s="5">
        <v>0</v>
      </c>
      <c r="Q257" s="5">
        <v>0</v>
      </c>
      <c r="R257" s="5">
        <v>1</v>
      </c>
      <c r="S257" s="5">
        <v>0</v>
      </c>
      <c r="T257" s="5">
        <v>100</v>
      </c>
      <c r="U257" s="5" t="s">
        <v>364</v>
      </c>
      <c r="V257" s="5">
        <v>0</v>
      </c>
      <c r="W257" s="5">
        <v>0</v>
      </c>
      <c r="X257" s="5" t="s">
        <v>360</v>
      </c>
      <c r="Y257" s="5" t="s">
        <v>365</v>
      </c>
      <c r="Z257" s="5" t="s">
        <v>424</v>
      </c>
      <c r="AA257" s="5">
        <v>1</v>
      </c>
      <c r="AB257" s="5">
        <v>0</v>
      </c>
      <c r="AC257" s="5" t="b">
        <v>1</v>
      </c>
      <c r="AD257" s="5" t="s">
        <v>355</v>
      </c>
      <c r="AE257" s="5">
        <v>80</v>
      </c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 t="s">
        <v>367</v>
      </c>
      <c r="AZ257" s="5">
        <v>10000</v>
      </c>
      <c r="BA257" s="5" t="s">
        <v>417</v>
      </c>
      <c r="BB257" s="5" t="s">
        <v>424</v>
      </c>
      <c r="BC257" s="5">
        <v>10000</v>
      </c>
      <c r="BD257" s="5">
        <v>0</v>
      </c>
      <c r="BE257" s="5" t="s">
        <v>358</v>
      </c>
      <c r="BF257" s="5">
        <v>0</v>
      </c>
      <c r="BG257" s="5"/>
      <c r="BH257" s="5"/>
      <c r="BI257" s="5"/>
      <c r="BJ257" s="5"/>
      <c r="BK257" s="5"/>
      <c r="BL257" s="5"/>
      <c r="BM257" s="5">
        <v>21002001</v>
      </c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X257" s="5">
        <v>200</v>
      </c>
      <c r="GY257" s="5">
        <v>400</v>
      </c>
      <c r="GZ257" s="5" t="s">
        <v>383</v>
      </c>
      <c r="HA257" s="5">
        <v>0</v>
      </c>
      <c r="HB257" s="5" t="s">
        <v>366</v>
      </c>
      <c r="HC257" s="5" t="s">
        <v>366</v>
      </c>
      <c r="HD257" s="5" t="b">
        <v>1</v>
      </c>
      <c r="HE257" s="5">
        <v>12000</v>
      </c>
      <c r="HF257" s="5" t="b">
        <v>0</v>
      </c>
      <c r="HG257" s="5">
        <v>0</v>
      </c>
      <c r="HH257" s="5">
        <v>0</v>
      </c>
      <c r="HI257" s="5">
        <v>0</v>
      </c>
      <c r="HJ257" s="5">
        <v>0</v>
      </c>
      <c r="HK257" s="5" t="b">
        <v>0</v>
      </c>
      <c r="HL257" s="5">
        <v>0</v>
      </c>
      <c r="HM257" s="5">
        <v>10001</v>
      </c>
      <c r="HN257" s="5" t="s">
        <v>367</v>
      </c>
      <c r="HO257" s="5" t="s">
        <v>360</v>
      </c>
      <c r="HP257" s="5">
        <v>0</v>
      </c>
      <c r="HQ257" s="5">
        <v>0</v>
      </c>
      <c r="HR257" s="5">
        <v>0</v>
      </c>
      <c r="HS257" s="5">
        <v>0</v>
      </c>
      <c r="HT257" s="5" t="b">
        <v>0</v>
      </c>
    </row>
    <row r="258" spans="1:228">
      <c r="A258"/>
      <c r="B258" s="1">
        <f>10000000+INDEX(编号表!$B$1:$B$112,MATCH(D258,编号表!$A$1:$A$112,0))*10000+I258</f>
        <v>10260002</v>
      </c>
      <c r="C258" s="5" t="s">
        <v>435</v>
      </c>
      <c r="D258" s="5" t="s">
        <v>435</v>
      </c>
      <c r="E258" s="5" t="s">
        <v>348</v>
      </c>
      <c r="F258" s="5" t="s">
        <v>388</v>
      </c>
      <c r="G258" s="5" t="b">
        <v>0</v>
      </c>
      <c r="H258" s="5" t="b">
        <v>0</v>
      </c>
      <c r="I258" s="5">
        <v>2</v>
      </c>
      <c r="J258" s="5">
        <v>102600</v>
      </c>
      <c r="K258" s="5" t="s">
        <v>350</v>
      </c>
      <c r="L258" s="5">
        <v>10260001</v>
      </c>
      <c r="M258" s="5">
        <v>10260003</v>
      </c>
      <c r="N258" s="5" t="s">
        <v>436</v>
      </c>
      <c r="O258" s="5">
        <v>10202025</v>
      </c>
      <c r="P258" s="5">
        <v>0</v>
      </c>
      <c r="Q258" s="5">
        <v>1</v>
      </c>
      <c r="R258" s="5">
        <v>7</v>
      </c>
      <c r="S258" s="5">
        <v>0</v>
      </c>
      <c r="T258" s="5">
        <v>100</v>
      </c>
      <c r="U258" s="5" t="s">
        <v>364</v>
      </c>
      <c r="V258" s="5">
        <v>0</v>
      </c>
      <c r="W258" s="5">
        <v>0</v>
      </c>
      <c r="X258" s="5" t="s">
        <v>360</v>
      </c>
      <c r="Y258" s="5" t="s">
        <v>365</v>
      </c>
      <c r="Z258" s="5" t="s">
        <v>424</v>
      </c>
      <c r="AA258" s="5">
        <v>1</v>
      </c>
      <c r="AB258" s="5">
        <v>0</v>
      </c>
      <c r="AC258" s="5" t="b">
        <v>1</v>
      </c>
      <c r="AD258" s="5" t="s">
        <v>355</v>
      </c>
      <c r="AE258" s="5">
        <v>80</v>
      </c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 t="s">
        <v>367</v>
      </c>
      <c r="AZ258" s="5">
        <v>10400</v>
      </c>
      <c r="BA258" s="5" t="s">
        <v>417</v>
      </c>
      <c r="BB258" s="5" t="s">
        <v>424</v>
      </c>
      <c r="BC258" s="5">
        <v>10000</v>
      </c>
      <c r="BD258" s="5">
        <v>0</v>
      </c>
      <c r="BE258" s="5" t="s">
        <v>358</v>
      </c>
      <c r="BF258" s="5">
        <v>0</v>
      </c>
      <c r="BG258" s="5"/>
      <c r="BH258" s="5"/>
      <c r="BI258" s="5"/>
      <c r="BJ258" s="5"/>
      <c r="BK258" s="5"/>
      <c r="BL258" s="5"/>
      <c r="BM258" s="5">
        <v>21002002</v>
      </c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X258" s="5">
        <v>200</v>
      </c>
      <c r="GY258" s="5">
        <v>400</v>
      </c>
      <c r="GZ258" s="5" t="s">
        <v>383</v>
      </c>
      <c r="HA258" s="5">
        <v>0</v>
      </c>
      <c r="HB258" s="5" t="s">
        <v>366</v>
      </c>
      <c r="HC258" s="5" t="s">
        <v>366</v>
      </c>
      <c r="HD258" s="5" t="b">
        <v>1</v>
      </c>
      <c r="HE258" s="5">
        <v>12000</v>
      </c>
      <c r="HF258" s="5" t="b">
        <v>0</v>
      </c>
      <c r="HG258" s="5">
        <v>0</v>
      </c>
      <c r="HH258" s="5">
        <v>0</v>
      </c>
      <c r="HI258" s="5">
        <v>0</v>
      </c>
      <c r="HJ258" s="5">
        <v>0</v>
      </c>
      <c r="HK258" s="5" t="b">
        <v>0</v>
      </c>
      <c r="HL258" s="5">
        <v>0</v>
      </c>
      <c r="HM258" s="5">
        <v>10001</v>
      </c>
      <c r="HN258" s="5" t="s">
        <v>367</v>
      </c>
      <c r="HO258" s="5" t="s">
        <v>360</v>
      </c>
      <c r="HP258" s="5">
        <v>0</v>
      </c>
      <c r="HQ258" s="5">
        <v>0</v>
      </c>
      <c r="HR258" s="5">
        <v>0</v>
      </c>
      <c r="HS258" s="5">
        <v>0</v>
      </c>
      <c r="HT258" s="5" t="b">
        <v>0</v>
      </c>
    </row>
    <row r="259" spans="1:228">
      <c r="A259"/>
      <c r="B259" s="1">
        <f>10000000+INDEX(编号表!$B$1:$B$112,MATCH(D259,编号表!$A$1:$A$112,0))*10000+I259</f>
        <v>10260003</v>
      </c>
      <c r="C259" s="5" t="s">
        <v>435</v>
      </c>
      <c r="D259" s="5" t="s">
        <v>435</v>
      </c>
      <c r="E259" s="5" t="s">
        <v>348</v>
      </c>
      <c r="F259" s="5" t="s">
        <v>388</v>
      </c>
      <c r="G259" s="5" t="b">
        <v>0</v>
      </c>
      <c r="H259" s="5" t="b">
        <v>0</v>
      </c>
      <c r="I259" s="5">
        <v>3</v>
      </c>
      <c r="J259" s="5">
        <v>102600</v>
      </c>
      <c r="K259" s="5" t="s">
        <v>350</v>
      </c>
      <c r="L259" s="5">
        <v>10260002</v>
      </c>
      <c r="M259" s="5">
        <v>10260004</v>
      </c>
      <c r="N259" s="5" t="s">
        <v>436</v>
      </c>
      <c r="O259" s="5">
        <v>10202025</v>
      </c>
      <c r="P259" s="5">
        <v>0</v>
      </c>
      <c r="Q259" s="5">
        <v>2</v>
      </c>
      <c r="R259" s="5">
        <v>11</v>
      </c>
      <c r="S259" s="5">
        <v>0</v>
      </c>
      <c r="T259" s="5">
        <v>100</v>
      </c>
      <c r="U259" s="5" t="s">
        <v>364</v>
      </c>
      <c r="V259" s="5">
        <v>0</v>
      </c>
      <c r="W259" s="5">
        <v>0</v>
      </c>
      <c r="X259" s="5" t="s">
        <v>360</v>
      </c>
      <c r="Y259" s="5" t="s">
        <v>365</v>
      </c>
      <c r="Z259" s="5" t="s">
        <v>424</v>
      </c>
      <c r="AA259" s="5">
        <v>1</v>
      </c>
      <c r="AB259" s="5">
        <v>0</v>
      </c>
      <c r="AC259" s="5" t="b">
        <v>1</v>
      </c>
      <c r="AD259" s="5" t="s">
        <v>355</v>
      </c>
      <c r="AE259" s="5">
        <v>80</v>
      </c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 t="s">
        <v>367</v>
      </c>
      <c r="AZ259" s="5">
        <v>10800</v>
      </c>
      <c r="BA259" s="5" t="s">
        <v>417</v>
      </c>
      <c r="BB259" s="5" t="s">
        <v>424</v>
      </c>
      <c r="BC259" s="5">
        <v>10000</v>
      </c>
      <c r="BD259" s="5">
        <v>0</v>
      </c>
      <c r="BE259" s="5" t="s">
        <v>358</v>
      </c>
      <c r="BF259" s="5">
        <v>0</v>
      </c>
      <c r="BG259" s="5"/>
      <c r="BH259" s="5"/>
      <c r="BI259" s="5"/>
      <c r="BJ259" s="5"/>
      <c r="BK259" s="5"/>
      <c r="BL259" s="5"/>
      <c r="BM259" s="5">
        <v>21002003</v>
      </c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X259" s="5">
        <v>200</v>
      </c>
      <c r="GY259" s="5">
        <v>400</v>
      </c>
      <c r="GZ259" s="5" t="s">
        <v>383</v>
      </c>
      <c r="HA259" s="5">
        <v>0</v>
      </c>
      <c r="HB259" s="5" t="s">
        <v>366</v>
      </c>
      <c r="HC259" s="5" t="s">
        <v>366</v>
      </c>
      <c r="HD259" s="5" t="b">
        <v>1</v>
      </c>
      <c r="HE259" s="5">
        <v>12000</v>
      </c>
      <c r="HF259" s="5" t="b">
        <v>0</v>
      </c>
      <c r="HG259" s="5">
        <v>0</v>
      </c>
      <c r="HH259" s="5">
        <v>0</v>
      </c>
      <c r="HI259" s="5">
        <v>0</v>
      </c>
      <c r="HJ259" s="5">
        <v>0</v>
      </c>
      <c r="HK259" s="5" t="b">
        <v>0</v>
      </c>
      <c r="HL259" s="5">
        <v>0</v>
      </c>
      <c r="HM259" s="5">
        <v>10001</v>
      </c>
      <c r="HN259" s="5" t="s">
        <v>367</v>
      </c>
      <c r="HO259" s="5" t="s">
        <v>360</v>
      </c>
      <c r="HP259" s="5">
        <v>0</v>
      </c>
      <c r="HQ259" s="5">
        <v>0</v>
      </c>
      <c r="HR259" s="5">
        <v>0</v>
      </c>
      <c r="HS259" s="5">
        <v>0</v>
      </c>
      <c r="HT259" s="5" t="b">
        <v>0</v>
      </c>
    </row>
    <row r="260" spans="1:228">
      <c r="A260"/>
      <c r="B260" s="1">
        <f>10000000+INDEX(编号表!$B$1:$B$112,MATCH(D260,编号表!$A$1:$A$112,0))*10000+I260</f>
        <v>10260004</v>
      </c>
      <c r="C260" s="5" t="s">
        <v>435</v>
      </c>
      <c r="D260" s="5" t="s">
        <v>435</v>
      </c>
      <c r="E260" s="5" t="s">
        <v>348</v>
      </c>
      <c r="F260" s="5" t="s">
        <v>388</v>
      </c>
      <c r="G260" s="5" t="b">
        <v>0</v>
      </c>
      <c r="H260" s="5" t="b">
        <v>0</v>
      </c>
      <c r="I260" s="5">
        <v>4</v>
      </c>
      <c r="J260" s="5">
        <v>102600</v>
      </c>
      <c r="K260" s="5" t="s">
        <v>350</v>
      </c>
      <c r="L260" s="5">
        <v>10260003</v>
      </c>
      <c r="M260" s="5">
        <v>10260005</v>
      </c>
      <c r="N260" s="5" t="s">
        <v>436</v>
      </c>
      <c r="O260" s="5">
        <v>10202025</v>
      </c>
      <c r="P260" s="5">
        <v>0</v>
      </c>
      <c r="Q260" s="5">
        <v>3</v>
      </c>
      <c r="R260" s="5">
        <v>16</v>
      </c>
      <c r="S260" s="5">
        <v>0</v>
      </c>
      <c r="T260" s="5">
        <v>100</v>
      </c>
      <c r="U260" s="5" t="s">
        <v>364</v>
      </c>
      <c r="V260" s="5">
        <v>0</v>
      </c>
      <c r="W260" s="5">
        <v>0</v>
      </c>
      <c r="X260" s="5" t="s">
        <v>360</v>
      </c>
      <c r="Y260" s="5" t="s">
        <v>365</v>
      </c>
      <c r="Z260" s="5" t="s">
        <v>424</v>
      </c>
      <c r="AA260" s="5">
        <v>1</v>
      </c>
      <c r="AB260" s="5">
        <v>0</v>
      </c>
      <c r="AC260" s="5" t="b">
        <v>1</v>
      </c>
      <c r="AD260" s="5" t="s">
        <v>355</v>
      </c>
      <c r="AE260" s="5">
        <v>80</v>
      </c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 t="s">
        <v>367</v>
      </c>
      <c r="AZ260" s="5">
        <v>11200</v>
      </c>
      <c r="BA260" s="5" t="s">
        <v>417</v>
      </c>
      <c r="BB260" s="5" t="s">
        <v>424</v>
      </c>
      <c r="BC260" s="5">
        <v>10000</v>
      </c>
      <c r="BD260" s="5">
        <v>0</v>
      </c>
      <c r="BE260" s="5" t="s">
        <v>358</v>
      </c>
      <c r="BF260" s="5">
        <v>0</v>
      </c>
      <c r="BG260" s="5"/>
      <c r="BH260" s="5"/>
      <c r="BI260" s="5"/>
      <c r="BJ260" s="5"/>
      <c r="BK260" s="5"/>
      <c r="BL260" s="5"/>
      <c r="BM260" s="5">
        <v>21002004</v>
      </c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X260" s="5">
        <v>200</v>
      </c>
      <c r="GY260" s="5">
        <v>400</v>
      </c>
      <c r="GZ260" s="5" t="s">
        <v>383</v>
      </c>
      <c r="HA260" s="5">
        <v>0</v>
      </c>
      <c r="HB260" s="5" t="s">
        <v>366</v>
      </c>
      <c r="HC260" s="5" t="s">
        <v>366</v>
      </c>
      <c r="HD260" s="5" t="b">
        <v>1</v>
      </c>
      <c r="HE260" s="5">
        <v>12000</v>
      </c>
      <c r="HF260" s="5" t="b">
        <v>0</v>
      </c>
      <c r="HG260" s="5">
        <v>0</v>
      </c>
      <c r="HH260" s="5">
        <v>0</v>
      </c>
      <c r="HI260" s="5">
        <v>0</v>
      </c>
      <c r="HJ260" s="5">
        <v>0</v>
      </c>
      <c r="HK260" s="5" t="b">
        <v>0</v>
      </c>
      <c r="HL260" s="5">
        <v>0</v>
      </c>
      <c r="HM260" s="5">
        <v>10001</v>
      </c>
      <c r="HN260" s="5" t="s">
        <v>367</v>
      </c>
      <c r="HO260" s="5" t="s">
        <v>360</v>
      </c>
      <c r="HP260" s="5">
        <v>0</v>
      </c>
      <c r="HQ260" s="5">
        <v>0</v>
      </c>
      <c r="HR260" s="5">
        <v>0</v>
      </c>
      <c r="HS260" s="5">
        <v>0</v>
      </c>
      <c r="HT260" s="5" t="b">
        <v>0</v>
      </c>
    </row>
    <row r="261" spans="1:228">
      <c r="A261"/>
      <c r="B261" s="1">
        <f>10000000+INDEX(编号表!$B$1:$B$112,MATCH(D261,编号表!$A$1:$A$112,0))*10000+I261</f>
        <v>10260005</v>
      </c>
      <c r="C261" s="5" t="s">
        <v>435</v>
      </c>
      <c r="D261" s="5" t="s">
        <v>435</v>
      </c>
      <c r="E261" s="5" t="s">
        <v>348</v>
      </c>
      <c r="F261" s="5" t="s">
        <v>388</v>
      </c>
      <c r="G261" s="5" t="b">
        <v>0</v>
      </c>
      <c r="H261" s="5" t="b">
        <v>0</v>
      </c>
      <c r="I261" s="5">
        <v>5</v>
      </c>
      <c r="J261" s="5">
        <v>102600</v>
      </c>
      <c r="K261" s="5" t="s">
        <v>350</v>
      </c>
      <c r="L261" s="5">
        <v>10260004</v>
      </c>
      <c r="M261" s="5">
        <v>10260006</v>
      </c>
      <c r="N261" s="5" t="s">
        <v>436</v>
      </c>
      <c r="O261" s="5">
        <v>10202025</v>
      </c>
      <c r="P261" s="5">
        <v>0</v>
      </c>
      <c r="Q261" s="5">
        <v>3</v>
      </c>
      <c r="R261" s="5">
        <v>25</v>
      </c>
      <c r="S261" s="5">
        <v>0</v>
      </c>
      <c r="T261" s="5">
        <v>100</v>
      </c>
      <c r="U261" s="5" t="s">
        <v>364</v>
      </c>
      <c r="V261" s="5">
        <v>0</v>
      </c>
      <c r="W261" s="5">
        <v>0</v>
      </c>
      <c r="X261" s="5" t="s">
        <v>360</v>
      </c>
      <c r="Y261" s="5" t="s">
        <v>365</v>
      </c>
      <c r="Z261" s="5" t="s">
        <v>424</v>
      </c>
      <c r="AA261" s="5">
        <v>1</v>
      </c>
      <c r="AB261" s="5">
        <v>0</v>
      </c>
      <c r="AC261" s="5" t="b">
        <v>1</v>
      </c>
      <c r="AD261" s="5" t="s">
        <v>355</v>
      </c>
      <c r="AE261" s="5">
        <v>80</v>
      </c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 t="s">
        <v>367</v>
      </c>
      <c r="AZ261" s="5">
        <v>11300</v>
      </c>
      <c r="BA261" s="5" t="s">
        <v>417</v>
      </c>
      <c r="BB261" s="5" t="s">
        <v>424</v>
      </c>
      <c r="BC261" s="5">
        <v>10000</v>
      </c>
      <c r="BD261" s="5">
        <v>0</v>
      </c>
      <c r="BE261" s="5" t="s">
        <v>358</v>
      </c>
      <c r="BF261" s="5">
        <v>0</v>
      </c>
      <c r="BG261" s="5"/>
      <c r="BH261" s="5"/>
      <c r="BI261" s="5"/>
      <c r="BJ261" s="5"/>
      <c r="BK261" s="5"/>
      <c r="BL261" s="5"/>
      <c r="BM261" s="5">
        <v>21002005</v>
      </c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X261" s="5">
        <v>200</v>
      </c>
      <c r="GY261" s="5">
        <v>400</v>
      </c>
      <c r="GZ261" s="5" t="s">
        <v>383</v>
      </c>
      <c r="HA261" s="5">
        <v>0</v>
      </c>
      <c r="HB261" s="5" t="s">
        <v>366</v>
      </c>
      <c r="HC261" s="5" t="s">
        <v>366</v>
      </c>
      <c r="HD261" s="5" t="b">
        <v>1</v>
      </c>
      <c r="HE261" s="5">
        <v>12000</v>
      </c>
      <c r="HF261" s="5" t="b">
        <v>0</v>
      </c>
      <c r="HG261" s="5">
        <v>0</v>
      </c>
      <c r="HH261" s="5">
        <v>0</v>
      </c>
      <c r="HI261" s="5">
        <v>0</v>
      </c>
      <c r="HJ261" s="5">
        <v>0</v>
      </c>
      <c r="HK261" s="5" t="b">
        <v>0</v>
      </c>
      <c r="HL261" s="5">
        <v>0</v>
      </c>
      <c r="HM261" s="5">
        <v>10001</v>
      </c>
      <c r="HN261" s="5" t="s">
        <v>367</v>
      </c>
      <c r="HO261" s="5" t="s">
        <v>360</v>
      </c>
      <c r="HP261" s="5">
        <v>0</v>
      </c>
      <c r="HQ261" s="5">
        <v>0</v>
      </c>
      <c r="HR261" s="5">
        <v>0</v>
      </c>
      <c r="HS261" s="5">
        <v>0</v>
      </c>
      <c r="HT261" s="5" t="b">
        <v>0</v>
      </c>
    </row>
    <row r="262" spans="1:228">
      <c r="A262"/>
      <c r="B262" s="1">
        <f>10000000+INDEX(编号表!$B$1:$B$112,MATCH(D262,编号表!$A$1:$A$112,0))*10000+I262</f>
        <v>10260006</v>
      </c>
      <c r="C262" s="5" t="s">
        <v>435</v>
      </c>
      <c r="D262" s="5" t="s">
        <v>435</v>
      </c>
      <c r="E262" s="5" t="s">
        <v>348</v>
      </c>
      <c r="F262" s="5" t="s">
        <v>388</v>
      </c>
      <c r="G262" s="5" t="b">
        <v>0</v>
      </c>
      <c r="H262" s="5" t="b">
        <v>0</v>
      </c>
      <c r="I262" s="5">
        <v>6</v>
      </c>
      <c r="J262" s="5">
        <v>102600</v>
      </c>
      <c r="K262" s="5" t="s">
        <v>350</v>
      </c>
      <c r="L262" s="5">
        <v>10260005</v>
      </c>
      <c r="M262" s="5">
        <v>10260007</v>
      </c>
      <c r="N262" s="5" t="s">
        <v>436</v>
      </c>
      <c r="O262" s="5">
        <v>10202025</v>
      </c>
      <c r="P262" s="5">
        <v>0</v>
      </c>
      <c r="Q262" s="5">
        <v>3</v>
      </c>
      <c r="R262" s="5">
        <v>30</v>
      </c>
      <c r="S262" s="5">
        <v>0</v>
      </c>
      <c r="T262" s="5">
        <v>100</v>
      </c>
      <c r="U262" s="5" t="s">
        <v>364</v>
      </c>
      <c r="V262" s="5">
        <v>0</v>
      </c>
      <c r="W262" s="5">
        <v>0</v>
      </c>
      <c r="X262" s="5" t="s">
        <v>360</v>
      </c>
      <c r="Y262" s="5" t="s">
        <v>365</v>
      </c>
      <c r="Z262" s="5" t="s">
        <v>424</v>
      </c>
      <c r="AA262" s="5">
        <v>1</v>
      </c>
      <c r="AB262" s="5">
        <v>0</v>
      </c>
      <c r="AC262" s="5" t="b">
        <v>1</v>
      </c>
      <c r="AD262" s="5" t="s">
        <v>355</v>
      </c>
      <c r="AE262" s="5">
        <v>80</v>
      </c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 t="s">
        <v>367</v>
      </c>
      <c r="AZ262" s="5">
        <v>11600</v>
      </c>
      <c r="BA262" s="5" t="s">
        <v>417</v>
      </c>
      <c r="BB262" s="5" t="s">
        <v>424</v>
      </c>
      <c r="BC262" s="5">
        <v>10000</v>
      </c>
      <c r="BD262" s="5">
        <v>0</v>
      </c>
      <c r="BE262" s="5" t="s">
        <v>358</v>
      </c>
      <c r="BF262" s="5">
        <v>0</v>
      </c>
      <c r="BG262" s="5"/>
      <c r="BH262" s="5"/>
      <c r="BI262" s="5"/>
      <c r="BJ262" s="5"/>
      <c r="BK262" s="5"/>
      <c r="BL262" s="5"/>
      <c r="BM262" s="5">
        <v>21002006</v>
      </c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X262" s="5">
        <v>200</v>
      </c>
      <c r="GY262" s="5">
        <v>400</v>
      </c>
      <c r="GZ262" s="5" t="s">
        <v>383</v>
      </c>
      <c r="HA262" s="5">
        <v>0</v>
      </c>
      <c r="HB262" s="5" t="s">
        <v>366</v>
      </c>
      <c r="HC262" s="5" t="s">
        <v>366</v>
      </c>
      <c r="HD262" s="5" t="b">
        <v>1</v>
      </c>
      <c r="HE262" s="5">
        <v>12000</v>
      </c>
      <c r="HF262" s="5" t="b">
        <v>0</v>
      </c>
      <c r="HG262" s="5">
        <v>0</v>
      </c>
      <c r="HH262" s="5">
        <v>0</v>
      </c>
      <c r="HI262" s="5">
        <v>0</v>
      </c>
      <c r="HJ262" s="5">
        <v>0</v>
      </c>
      <c r="HK262" s="5" t="b">
        <v>0</v>
      </c>
      <c r="HL262" s="5">
        <v>0</v>
      </c>
      <c r="HM262" s="5">
        <v>10001</v>
      </c>
      <c r="HN262" s="5" t="s">
        <v>367</v>
      </c>
      <c r="HO262" s="5" t="s">
        <v>360</v>
      </c>
      <c r="HP262" s="5">
        <v>0</v>
      </c>
      <c r="HQ262" s="5">
        <v>0</v>
      </c>
      <c r="HR262" s="5">
        <v>0</v>
      </c>
      <c r="HS262" s="5">
        <v>0</v>
      </c>
      <c r="HT262" s="5" t="b">
        <v>0</v>
      </c>
    </row>
    <row r="263" spans="1:228">
      <c r="A263"/>
      <c r="B263" s="1">
        <f>10000000+INDEX(编号表!$B$1:$B$112,MATCH(D263,编号表!$A$1:$A$112,0))*10000+I263</f>
        <v>10260007</v>
      </c>
      <c r="C263" s="5" t="s">
        <v>435</v>
      </c>
      <c r="D263" s="5" t="s">
        <v>435</v>
      </c>
      <c r="E263" s="5" t="s">
        <v>348</v>
      </c>
      <c r="F263" s="5" t="s">
        <v>388</v>
      </c>
      <c r="G263" s="5" t="b">
        <v>0</v>
      </c>
      <c r="H263" s="5" t="b">
        <v>0</v>
      </c>
      <c r="I263" s="5">
        <v>7</v>
      </c>
      <c r="J263" s="5">
        <v>102600</v>
      </c>
      <c r="K263" s="5" t="s">
        <v>350</v>
      </c>
      <c r="L263" s="5">
        <v>10260006</v>
      </c>
      <c r="M263" s="5">
        <v>10260008</v>
      </c>
      <c r="N263" s="5" t="s">
        <v>436</v>
      </c>
      <c r="O263" s="5">
        <v>10202025</v>
      </c>
      <c r="P263" s="5">
        <v>0</v>
      </c>
      <c r="Q263" s="5">
        <v>3</v>
      </c>
      <c r="R263" s="5">
        <v>35</v>
      </c>
      <c r="S263" s="5">
        <v>0</v>
      </c>
      <c r="T263" s="5">
        <v>100</v>
      </c>
      <c r="U263" s="5" t="s">
        <v>364</v>
      </c>
      <c r="V263" s="5">
        <v>0</v>
      </c>
      <c r="W263" s="5">
        <v>0</v>
      </c>
      <c r="X263" s="5" t="s">
        <v>360</v>
      </c>
      <c r="Y263" s="5" t="s">
        <v>365</v>
      </c>
      <c r="Z263" s="5" t="s">
        <v>424</v>
      </c>
      <c r="AA263" s="5">
        <v>1</v>
      </c>
      <c r="AB263" s="5">
        <v>0</v>
      </c>
      <c r="AC263" s="5" t="b">
        <v>1</v>
      </c>
      <c r="AD263" s="5" t="s">
        <v>355</v>
      </c>
      <c r="AE263" s="5">
        <v>80</v>
      </c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 t="s">
        <v>367</v>
      </c>
      <c r="AZ263" s="5">
        <v>11700</v>
      </c>
      <c r="BA263" s="5" t="s">
        <v>417</v>
      </c>
      <c r="BB263" s="5" t="s">
        <v>424</v>
      </c>
      <c r="BC263" s="5">
        <v>10000</v>
      </c>
      <c r="BD263" s="5">
        <v>0</v>
      </c>
      <c r="BE263" s="5" t="s">
        <v>358</v>
      </c>
      <c r="BF263" s="5">
        <v>0</v>
      </c>
      <c r="BG263" s="5"/>
      <c r="BH263" s="5"/>
      <c r="BI263" s="5"/>
      <c r="BJ263" s="5"/>
      <c r="BK263" s="5"/>
      <c r="BL263" s="5"/>
      <c r="BM263" s="5">
        <v>21002007</v>
      </c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X263" s="5">
        <v>200</v>
      </c>
      <c r="GY263" s="5">
        <v>400</v>
      </c>
      <c r="GZ263" s="5" t="s">
        <v>383</v>
      </c>
      <c r="HA263" s="5">
        <v>0</v>
      </c>
      <c r="HB263" s="5" t="s">
        <v>366</v>
      </c>
      <c r="HC263" s="5" t="s">
        <v>366</v>
      </c>
      <c r="HD263" s="5" t="b">
        <v>1</v>
      </c>
      <c r="HE263" s="5">
        <v>12000</v>
      </c>
      <c r="HF263" s="5" t="b">
        <v>0</v>
      </c>
      <c r="HG263" s="5">
        <v>0</v>
      </c>
      <c r="HH263" s="5">
        <v>0</v>
      </c>
      <c r="HI263" s="5">
        <v>0</v>
      </c>
      <c r="HJ263" s="5">
        <v>0</v>
      </c>
      <c r="HK263" s="5" t="b">
        <v>0</v>
      </c>
      <c r="HL263" s="5">
        <v>0</v>
      </c>
      <c r="HM263" s="5">
        <v>10001</v>
      </c>
      <c r="HN263" s="5" t="s">
        <v>367</v>
      </c>
      <c r="HO263" s="5" t="s">
        <v>360</v>
      </c>
      <c r="HP263" s="5">
        <v>0</v>
      </c>
      <c r="HQ263" s="5">
        <v>0</v>
      </c>
      <c r="HR263" s="5">
        <v>0</v>
      </c>
      <c r="HS263" s="5">
        <v>0</v>
      </c>
      <c r="HT263" s="5" t="b">
        <v>0</v>
      </c>
    </row>
    <row r="264" spans="1:228">
      <c r="A264"/>
      <c r="B264" s="1">
        <f>10000000+INDEX(编号表!$B$1:$B$112,MATCH(D264,编号表!$A$1:$A$112,0))*10000+I264</f>
        <v>10260008</v>
      </c>
      <c r="C264" s="5" t="s">
        <v>435</v>
      </c>
      <c r="D264" s="5" t="s">
        <v>435</v>
      </c>
      <c r="E264" s="5" t="s">
        <v>348</v>
      </c>
      <c r="F264" s="5" t="s">
        <v>388</v>
      </c>
      <c r="G264" s="5" t="b">
        <v>0</v>
      </c>
      <c r="H264" s="5" t="b">
        <v>0</v>
      </c>
      <c r="I264" s="5">
        <v>8</v>
      </c>
      <c r="J264" s="5">
        <v>102600</v>
      </c>
      <c r="K264" s="5" t="s">
        <v>350</v>
      </c>
      <c r="L264" s="5">
        <v>10260007</v>
      </c>
      <c r="M264" s="5">
        <v>10260009</v>
      </c>
      <c r="N264" s="5" t="s">
        <v>436</v>
      </c>
      <c r="O264" s="5">
        <v>10202025</v>
      </c>
      <c r="P264" s="5">
        <v>0</v>
      </c>
      <c r="Q264" s="5">
        <v>3</v>
      </c>
      <c r="R264" s="5">
        <v>35</v>
      </c>
      <c r="S264" s="5">
        <v>0</v>
      </c>
      <c r="T264" s="5">
        <v>100</v>
      </c>
      <c r="U264" s="5" t="s">
        <v>364</v>
      </c>
      <c r="V264" s="5">
        <v>0</v>
      </c>
      <c r="W264" s="5">
        <v>0</v>
      </c>
      <c r="X264" s="5" t="s">
        <v>360</v>
      </c>
      <c r="Y264" s="5" t="s">
        <v>365</v>
      </c>
      <c r="Z264" s="5" t="s">
        <v>424</v>
      </c>
      <c r="AA264" s="5">
        <v>1</v>
      </c>
      <c r="AB264" s="5">
        <v>0</v>
      </c>
      <c r="AC264" s="5" t="b">
        <v>1</v>
      </c>
      <c r="AD264" s="5" t="s">
        <v>355</v>
      </c>
      <c r="AE264" s="5">
        <v>80</v>
      </c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 t="s">
        <v>367</v>
      </c>
      <c r="AZ264" s="5">
        <v>11800</v>
      </c>
      <c r="BA264" s="5" t="s">
        <v>417</v>
      </c>
      <c r="BB264" s="5" t="s">
        <v>424</v>
      </c>
      <c r="BC264" s="5">
        <v>10000</v>
      </c>
      <c r="BD264" s="5">
        <v>0</v>
      </c>
      <c r="BE264" s="5" t="s">
        <v>358</v>
      </c>
      <c r="BF264" s="5">
        <v>0</v>
      </c>
      <c r="BG264" s="5"/>
      <c r="BH264" s="5"/>
      <c r="BI264" s="5"/>
      <c r="BJ264" s="5"/>
      <c r="BK264" s="5"/>
      <c r="BL264" s="5"/>
      <c r="BM264" s="5">
        <v>21002008</v>
      </c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X264" s="5">
        <v>200</v>
      </c>
      <c r="GY264" s="5">
        <v>400</v>
      </c>
      <c r="GZ264" s="5" t="s">
        <v>383</v>
      </c>
      <c r="HA264" s="5">
        <v>0</v>
      </c>
      <c r="HB264" s="5" t="s">
        <v>366</v>
      </c>
      <c r="HC264" s="5" t="s">
        <v>366</v>
      </c>
      <c r="HD264" s="5" t="b">
        <v>1</v>
      </c>
      <c r="HE264" s="5">
        <v>12000</v>
      </c>
      <c r="HF264" s="5" t="b">
        <v>0</v>
      </c>
      <c r="HG264" s="5">
        <v>0</v>
      </c>
      <c r="HH264" s="5">
        <v>0</v>
      </c>
      <c r="HI264" s="5">
        <v>0</v>
      </c>
      <c r="HJ264" s="5">
        <v>0</v>
      </c>
      <c r="HK264" s="5" t="b">
        <v>0</v>
      </c>
      <c r="HL264" s="5">
        <v>0</v>
      </c>
      <c r="HM264" s="5">
        <v>10001</v>
      </c>
      <c r="HN264" s="5" t="s">
        <v>367</v>
      </c>
      <c r="HO264" s="5" t="s">
        <v>360</v>
      </c>
      <c r="HP264" s="5">
        <v>0</v>
      </c>
      <c r="HQ264" s="5">
        <v>0</v>
      </c>
      <c r="HR264" s="5">
        <v>0</v>
      </c>
      <c r="HS264" s="5">
        <v>0</v>
      </c>
      <c r="HT264" s="5" t="b">
        <v>0</v>
      </c>
    </row>
    <row r="265" spans="1:228">
      <c r="A265"/>
      <c r="B265" s="1">
        <f>10000000+INDEX(编号表!$B$1:$B$112,MATCH(D265,编号表!$A$1:$A$112,0))*10000+I265</f>
        <v>10260009</v>
      </c>
      <c r="C265" s="5" t="s">
        <v>435</v>
      </c>
      <c r="D265" s="5" t="s">
        <v>435</v>
      </c>
      <c r="E265" s="5" t="s">
        <v>348</v>
      </c>
      <c r="F265" s="5" t="s">
        <v>388</v>
      </c>
      <c r="G265" s="5" t="b">
        <v>0</v>
      </c>
      <c r="H265" s="5" t="b">
        <v>0</v>
      </c>
      <c r="I265" s="5">
        <v>9</v>
      </c>
      <c r="J265" s="5">
        <v>102600</v>
      </c>
      <c r="K265" s="5" t="s">
        <v>350</v>
      </c>
      <c r="L265" s="5">
        <v>10260008</v>
      </c>
      <c r="M265" s="5">
        <v>10260010</v>
      </c>
      <c r="N265" s="5" t="s">
        <v>436</v>
      </c>
      <c r="O265" s="5">
        <v>10202025</v>
      </c>
      <c r="P265" s="5">
        <v>0</v>
      </c>
      <c r="Q265" s="5">
        <v>3</v>
      </c>
      <c r="R265" s="5">
        <v>40</v>
      </c>
      <c r="S265" s="5">
        <v>0</v>
      </c>
      <c r="T265" s="5">
        <v>100</v>
      </c>
      <c r="U265" s="5" t="s">
        <v>364</v>
      </c>
      <c r="V265" s="5">
        <v>0</v>
      </c>
      <c r="W265" s="5">
        <v>0</v>
      </c>
      <c r="X265" s="5" t="s">
        <v>360</v>
      </c>
      <c r="Y265" s="5" t="s">
        <v>365</v>
      </c>
      <c r="Z265" s="5" t="s">
        <v>424</v>
      </c>
      <c r="AA265" s="5">
        <v>1</v>
      </c>
      <c r="AB265" s="5">
        <v>0</v>
      </c>
      <c r="AC265" s="5" t="b">
        <v>1</v>
      </c>
      <c r="AD265" s="5" t="s">
        <v>355</v>
      </c>
      <c r="AE265" s="5">
        <v>80</v>
      </c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 t="s">
        <v>367</v>
      </c>
      <c r="AZ265" s="5">
        <v>11900</v>
      </c>
      <c r="BA265" s="5" t="s">
        <v>417</v>
      </c>
      <c r="BB265" s="5" t="s">
        <v>424</v>
      </c>
      <c r="BC265" s="5">
        <v>10000</v>
      </c>
      <c r="BD265" s="5">
        <v>0</v>
      </c>
      <c r="BE265" s="5" t="s">
        <v>358</v>
      </c>
      <c r="BF265" s="5">
        <v>0</v>
      </c>
      <c r="BG265" s="5"/>
      <c r="BH265" s="5"/>
      <c r="BI265" s="5"/>
      <c r="BJ265" s="5"/>
      <c r="BK265" s="5"/>
      <c r="BL265" s="5"/>
      <c r="BM265" s="5">
        <v>21002009</v>
      </c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X265" s="5">
        <v>200</v>
      </c>
      <c r="GY265" s="5">
        <v>400</v>
      </c>
      <c r="GZ265" s="5" t="s">
        <v>383</v>
      </c>
      <c r="HA265" s="5">
        <v>0</v>
      </c>
      <c r="HB265" s="5" t="s">
        <v>366</v>
      </c>
      <c r="HC265" s="5" t="s">
        <v>366</v>
      </c>
      <c r="HD265" s="5" t="b">
        <v>1</v>
      </c>
      <c r="HE265" s="5">
        <v>12000</v>
      </c>
      <c r="HF265" s="5" t="b">
        <v>0</v>
      </c>
      <c r="HG265" s="5">
        <v>0</v>
      </c>
      <c r="HH265" s="5">
        <v>0</v>
      </c>
      <c r="HI265" s="5">
        <v>0</v>
      </c>
      <c r="HJ265" s="5">
        <v>0</v>
      </c>
      <c r="HK265" s="5" t="b">
        <v>0</v>
      </c>
      <c r="HL265" s="5">
        <v>0</v>
      </c>
      <c r="HM265" s="5">
        <v>10001</v>
      </c>
      <c r="HN265" s="5" t="s">
        <v>367</v>
      </c>
      <c r="HO265" s="5" t="s">
        <v>360</v>
      </c>
      <c r="HP265" s="5">
        <v>0</v>
      </c>
      <c r="HQ265" s="5">
        <v>0</v>
      </c>
      <c r="HR265" s="5">
        <v>0</v>
      </c>
      <c r="HS265" s="5">
        <v>0</v>
      </c>
      <c r="HT265" s="5" t="b">
        <v>0</v>
      </c>
    </row>
    <row r="266" spans="1:228">
      <c r="A266"/>
      <c r="B266" s="1">
        <f>10000000+INDEX(编号表!$B$1:$B$112,MATCH(D266,编号表!$A$1:$A$112,0))*10000+I266</f>
        <v>10260010</v>
      </c>
      <c r="C266" s="5" t="s">
        <v>435</v>
      </c>
      <c r="D266" s="5" t="s">
        <v>435</v>
      </c>
      <c r="E266" s="5" t="s">
        <v>348</v>
      </c>
      <c r="F266" s="5" t="s">
        <v>388</v>
      </c>
      <c r="G266" s="5" t="b">
        <v>0</v>
      </c>
      <c r="H266" s="5" t="b">
        <v>0</v>
      </c>
      <c r="I266" s="5">
        <v>10</v>
      </c>
      <c r="J266" s="5">
        <v>102600</v>
      </c>
      <c r="K266" s="5" t="s">
        <v>350</v>
      </c>
      <c r="L266" s="5">
        <v>10260009</v>
      </c>
      <c r="M266" s="5">
        <v>0</v>
      </c>
      <c r="N266" s="5" t="s">
        <v>436</v>
      </c>
      <c r="O266" s="5">
        <v>10202025</v>
      </c>
      <c r="P266" s="5">
        <v>0</v>
      </c>
      <c r="Q266" s="5">
        <v>3</v>
      </c>
      <c r="R266" s="5">
        <v>40</v>
      </c>
      <c r="S266" s="5">
        <v>0</v>
      </c>
      <c r="T266" s="5">
        <v>0</v>
      </c>
      <c r="U266" s="5" t="s">
        <v>364</v>
      </c>
      <c r="V266" s="5">
        <v>0</v>
      </c>
      <c r="W266" s="5">
        <v>0</v>
      </c>
      <c r="X266" s="5" t="s">
        <v>360</v>
      </c>
      <c r="Y266" s="5" t="s">
        <v>365</v>
      </c>
      <c r="Z266" s="5" t="s">
        <v>424</v>
      </c>
      <c r="AA266" s="5">
        <v>1</v>
      </c>
      <c r="AB266" s="5">
        <v>0</v>
      </c>
      <c r="AC266" s="5" t="b">
        <v>1</v>
      </c>
      <c r="AD266" s="5" t="s">
        <v>355</v>
      </c>
      <c r="AE266" s="5">
        <v>80</v>
      </c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 t="s">
        <v>367</v>
      </c>
      <c r="AZ266" s="5">
        <v>12000</v>
      </c>
      <c r="BA266" s="5" t="s">
        <v>417</v>
      </c>
      <c r="BB266" s="5" t="s">
        <v>424</v>
      </c>
      <c r="BC266" s="5">
        <v>10000</v>
      </c>
      <c r="BD266" s="5">
        <v>0</v>
      </c>
      <c r="BE266" s="5" t="s">
        <v>358</v>
      </c>
      <c r="BF266" s="5">
        <v>0</v>
      </c>
      <c r="BG266" s="5"/>
      <c r="BH266" s="5"/>
      <c r="BI266" s="5"/>
      <c r="BJ266" s="5"/>
      <c r="BK266" s="5"/>
      <c r="BL266" s="5"/>
      <c r="BM266" s="5">
        <v>21002010</v>
      </c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X266" s="5">
        <v>200</v>
      </c>
      <c r="GY266" s="5">
        <v>400</v>
      </c>
      <c r="GZ266" s="5" t="s">
        <v>383</v>
      </c>
      <c r="HA266" s="5">
        <v>0</v>
      </c>
      <c r="HB266" s="5" t="s">
        <v>366</v>
      </c>
      <c r="HC266" s="5" t="s">
        <v>366</v>
      </c>
      <c r="HD266" s="5" t="b">
        <v>1</v>
      </c>
      <c r="HE266" s="5">
        <v>12000</v>
      </c>
      <c r="HF266" s="5" t="b">
        <v>0</v>
      </c>
      <c r="HG266" s="5">
        <v>0</v>
      </c>
      <c r="HH266" s="5">
        <v>0</v>
      </c>
      <c r="HI266" s="5">
        <v>0</v>
      </c>
      <c r="HJ266" s="5">
        <v>0</v>
      </c>
      <c r="HK266" s="5" t="b">
        <v>0</v>
      </c>
      <c r="HL266" s="5">
        <v>0</v>
      </c>
      <c r="HM266" s="5">
        <v>10001</v>
      </c>
      <c r="HN266" s="5" t="s">
        <v>367</v>
      </c>
      <c r="HO266" s="5" t="s">
        <v>360</v>
      </c>
      <c r="HP266" s="5">
        <v>0</v>
      </c>
      <c r="HQ266" s="5">
        <v>0</v>
      </c>
      <c r="HR266" s="5">
        <v>0</v>
      </c>
      <c r="HS266" s="5">
        <v>0</v>
      </c>
      <c r="HT266" s="5" t="b">
        <v>0</v>
      </c>
    </row>
    <row r="267" spans="1:228">
      <c r="A267"/>
      <c r="B267" s="1">
        <f>10000000+INDEX(编号表!$B$1:$B$112,MATCH(D267,编号表!$A$1:$A$112,0))*10000+I267</f>
        <v>10270001</v>
      </c>
      <c r="C267" s="5" t="s">
        <v>437</v>
      </c>
      <c r="D267" s="5" t="s">
        <v>437</v>
      </c>
      <c r="E267" s="5" t="s">
        <v>348</v>
      </c>
      <c r="F267" s="5" t="s">
        <v>394</v>
      </c>
      <c r="G267" s="5" t="b">
        <v>0</v>
      </c>
      <c r="H267" s="5" t="b">
        <v>0</v>
      </c>
      <c r="I267" s="5">
        <v>1</v>
      </c>
      <c r="J267" s="5">
        <v>102700</v>
      </c>
      <c r="K267" s="5" t="s">
        <v>350</v>
      </c>
      <c r="L267" s="5">
        <v>0</v>
      </c>
      <c r="M267" s="5">
        <v>10270002</v>
      </c>
      <c r="N267" s="5" t="s">
        <v>438</v>
      </c>
      <c r="O267" s="5">
        <v>10202026</v>
      </c>
      <c r="P267" s="5">
        <v>0</v>
      </c>
      <c r="Q267" s="5">
        <v>0</v>
      </c>
      <c r="R267" s="5">
        <v>1</v>
      </c>
      <c r="S267" s="5">
        <v>0</v>
      </c>
      <c r="T267" s="5">
        <v>100</v>
      </c>
      <c r="U267" s="5" t="s">
        <v>364</v>
      </c>
      <c r="V267" s="5">
        <v>0</v>
      </c>
      <c r="W267" s="5">
        <v>0</v>
      </c>
      <c r="X267" s="5" t="s">
        <v>360</v>
      </c>
      <c r="Y267" s="5" t="s">
        <v>365</v>
      </c>
      <c r="Z267" s="5" t="s">
        <v>424</v>
      </c>
      <c r="AA267" s="5">
        <v>1</v>
      </c>
      <c r="AB267" s="5">
        <v>0</v>
      </c>
      <c r="AC267" s="5" t="b">
        <v>1</v>
      </c>
      <c r="AD267" s="5" t="s">
        <v>355</v>
      </c>
      <c r="AE267" s="5">
        <v>80</v>
      </c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 t="s">
        <v>367</v>
      </c>
      <c r="AZ267" s="5">
        <v>10000</v>
      </c>
      <c r="BA267" s="5" t="s">
        <v>417</v>
      </c>
      <c r="BB267" s="5" t="s">
        <v>424</v>
      </c>
      <c r="BC267" s="5">
        <v>10000</v>
      </c>
      <c r="BD267" s="5">
        <v>0</v>
      </c>
      <c r="BE267" s="5" t="s">
        <v>358</v>
      </c>
      <c r="BF267" s="5">
        <v>0</v>
      </c>
      <c r="BG267" s="5"/>
      <c r="BH267" s="5"/>
      <c r="BI267" s="5"/>
      <c r="BJ267" s="5"/>
      <c r="BK267" s="5"/>
      <c r="BL267" s="5"/>
      <c r="BM267" s="5">
        <v>21002201</v>
      </c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X267" s="5">
        <v>200</v>
      </c>
      <c r="GY267" s="5">
        <v>400</v>
      </c>
      <c r="GZ267" s="5" t="s">
        <v>383</v>
      </c>
      <c r="HA267" s="5">
        <v>0</v>
      </c>
      <c r="HB267" s="5" t="s">
        <v>366</v>
      </c>
      <c r="HC267" s="5" t="s">
        <v>366</v>
      </c>
      <c r="HD267" s="5" t="b">
        <v>1</v>
      </c>
      <c r="HE267" s="5">
        <v>12000</v>
      </c>
      <c r="HF267" s="5" t="b">
        <v>0</v>
      </c>
      <c r="HG267" s="5">
        <v>0</v>
      </c>
      <c r="HH267" s="5">
        <v>0</v>
      </c>
      <c r="HI267" s="5">
        <v>0</v>
      </c>
      <c r="HJ267" s="5">
        <v>0</v>
      </c>
      <c r="HK267" s="5" t="b">
        <v>0</v>
      </c>
      <c r="HL267" s="5">
        <v>0</v>
      </c>
      <c r="HM267" s="5">
        <v>10001</v>
      </c>
      <c r="HN267" s="5" t="s">
        <v>367</v>
      </c>
      <c r="HO267" s="5" t="s">
        <v>360</v>
      </c>
      <c r="HP267" s="5">
        <v>0</v>
      </c>
      <c r="HQ267" s="5">
        <v>0</v>
      </c>
      <c r="HR267" s="5">
        <v>0</v>
      </c>
      <c r="HS267" s="5">
        <v>0</v>
      </c>
      <c r="HT267" s="5" t="b">
        <v>0</v>
      </c>
    </row>
    <row r="268" spans="1:228">
      <c r="A268"/>
      <c r="B268" s="1">
        <f>10000000+INDEX(编号表!$B$1:$B$112,MATCH(D268,编号表!$A$1:$A$112,0))*10000+I268</f>
        <v>10270002</v>
      </c>
      <c r="C268" s="5" t="s">
        <v>437</v>
      </c>
      <c r="D268" s="5" t="s">
        <v>437</v>
      </c>
      <c r="E268" s="5" t="s">
        <v>348</v>
      </c>
      <c r="F268" s="5" t="s">
        <v>394</v>
      </c>
      <c r="G268" s="5" t="b">
        <v>0</v>
      </c>
      <c r="H268" s="5" t="b">
        <v>0</v>
      </c>
      <c r="I268" s="5">
        <v>2</v>
      </c>
      <c r="J268" s="5">
        <v>102700</v>
      </c>
      <c r="K268" s="5" t="s">
        <v>350</v>
      </c>
      <c r="L268" s="5">
        <v>10270001</v>
      </c>
      <c r="M268" s="5">
        <v>10270003</v>
      </c>
      <c r="N268" s="5" t="s">
        <v>438</v>
      </c>
      <c r="O268" s="5">
        <v>10202026</v>
      </c>
      <c r="P268" s="5">
        <v>0</v>
      </c>
      <c r="Q268" s="5">
        <v>1</v>
      </c>
      <c r="R268" s="5">
        <v>7</v>
      </c>
      <c r="S268" s="5">
        <v>0</v>
      </c>
      <c r="T268" s="5">
        <v>100</v>
      </c>
      <c r="U268" s="5" t="s">
        <v>364</v>
      </c>
      <c r="V268" s="5">
        <v>0</v>
      </c>
      <c r="W268" s="5">
        <v>0</v>
      </c>
      <c r="X268" s="5" t="s">
        <v>360</v>
      </c>
      <c r="Y268" s="5" t="s">
        <v>365</v>
      </c>
      <c r="Z268" s="5" t="s">
        <v>424</v>
      </c>
      <c r="AA268" s="5">
        <v>1</v>
      </c>
      <c r="AB268" s="5">
        <v>0</v>
      </c>
      <c r="AC268" s="5" t="b">
        <v>1</v>
      </c>
      <c r="AD268" s="5" t="s">
        <v>355</v>
      </c>
      <c r="AE268" s="5">
        <v>80</v>
      </c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 t="s">
        <v>367</v>
      </c>
      <c r="AZ268" s="5">
        <v>10400</v>
      </c>
      <c r="BA268" s="5" t="s">
        <v>417</v>
      </c>
      <c r="BB268" s="5" t="s">
        <v>424</v>
      </c>
      <c r="BC268" s="5">
        <v>10000</v>
      </c>
      <c r="BD268" s="5">
        <v>0</v>
      </c>
      <c r="BE268" s="5" t="s">
        <v>358</v>
      </c>
      <c r="BF268" s="5">
        <v>0</v>
      </c>
      <c r="BG268" s="5"/>
      <c r="BH268" s="5"/>
      <c r="BI268" s="5"/>
      <c r="BJ268" s="5"/>
      <c r="BK268" s="5"/>
      <c r="BL268" s="5"/>
      <c r="BM268" s="5">
        <v>21002202</v>
      </c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X268" s="5">
        <v>200</v>
      </c>
      <c r="GY268" s="5">
        <v>400</v>
      </c>
      <c r="GZ268" s="5" t="s">
        <v>383</v>
      </c>
      <c r="HA268" s="5">
        <v>0</v>
      </c>
      <c r="HB268" s="5" t="s">
        <v>366</v>
      </c>
      <c r="HC268" s="5" t="s">
        <v>366</v>
      </c>
      <c r="HD268" s="5" t="b">
        <v>1</v>
      </c>
      <c r="HE268" s="5">
        <v>12000</v>
      </c>
      <c r="HF268" s="5" t="b">
        <v>0</v>
      </c>
      <c r="HG268" s="5">
        <v>0</v>
      </c>
      <c r="HH268" s="5">
        <v>0</v>
      </c>
      <c r="HI268" s="5">
        <v>0</v>
      </c>
      <c r="HJ268" s="5">
        <v>0</v>
      </c>
      <c r="HK268" s="5" t="b">
        <v>0</v>
      </c>
      <c r="HL268" s="5">
        <v>0</v>
      </c>
      <c r="HM268" s="5">
        <v>10001</v>
      </c>
      <c r="HN268" s="5" t="s">
        <v>367</v>
      </c>
      <c r="HO268" s="5" t="s">
        <v>360</v>
      </c>
      <c r="HP268" s="5">
        <v>0</v>
      </c>
      <c r="HQ268" s="5">
        <v>0</v>
      </c>
      <c r="HR268" s="5">
        <v>0</v>
      </c>
      <c r="HS268" s="5">
        <v>0</v>
      </c>
      <c r="HT268" s="5" t="b">
        <v>0</v>
      </c>
    </row>
    <row r="269" spans="1:228">
      <c r="A269"/>
      <c r="B269" s="1">
        <f>10000000+INDEX(编号表!$B$1:$B$112,MATCH(D269,编号表!$A$1:$A$112,0))*10000+I269</f>
        <v>10270003</v>
      </c>
      <c r="C269" s="5" t="s">
        <v>437</v>
      </c>
      <c r="D269" s="5" t="s">
        <v>437</v>
      </c>
      <c r="E269" s="5" t="s">
        <v>348</v>
      </c>
      <c r="F269" s="5" t="s">
        <v>394</v>
      </c>
      <c r="G269" s="5" t="b">
        <v>0</v>
      </c>
      <c r="H269" s="5" t="b">
        <v>0</v>
      </c>
      <c r="I269" s="5">
        <v>3</v>
      </c>
      <c r="J269" s="5">
        <v>102700</v>
      </c>
      <c r="K269" s="5" t="s">
        <v>350</v>
      </c>
      <c r="L269" s="5">
        <v>10270002</v>
      </c>
      <c r="M269" s="5">
        <v>10270004</v>
      </c>
      <c r="N269" s="5" t="s">
        <v>438</v>
      </c>
      <c r="O269" s="5">
        <v>10202026</v>
      </c>
      <c r="P269" s="5">
        <v>0</v>
      </c>
      <c r="Q269" s="5">
        <v>2</v>
      </c>
      <c r="R269" s="5">
        <v>11</v>
      </c>
      <c r="S269" s="5">
        <v>0</v>
      </c>
      <c r="T269" s="5">
        <v>100</v>
      </c>
      <c r="U269" s="5" t="s">
        <v>364</v>
      </c>
      <c r="V269" s="5">
        <v>0</v>
      </c>
      <c r="W269" s="5">
        <v>0</v>
      </c>
      <c r="X269" s="5" t="s">
        <v>360</v>
      </c>
      <c r="Y269" s="5" t="s">
        <v>365</v>
      </c>
      <c r="Z269" s="5" t="s">
        <v>424</v>
      </c>
      <c r="AA269" s="5">
        <v>1</v>
      </c>
      <c r="AB269" s="5">
        <v>0</v>
      </c>
      <c r="AC269" s="5" t="b">
        <v>1</v>
      </c>
      <c r="AD269" s="5" t="s">
        <v>355</v>
      </c>
      <c r="AE269" s="5">
        <v>80</v>
      </c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 t="s">
        <v>367</v>
      </c>
      <c r="AZ269" s="5">
        <v>10800</v>
      </c>
      <c r="BA269" s="5" t="s">
        <v>417</v>
      </c>
      <c r="BB269" s="5" t="s">
        <v>424</v>
      </c>
      <c r="BC269" s="5">
        <v>10000</v>
      </c>
      <c r="BD269" s="5">
        <v>0</v>
      </c>
      <c r="BE269" s="5" t="s">
        <v>358</v>
      </c>
      <c r="BF269" s="5">
        <v>0</v>
      </c>
      <c r="BG269" s="5"/>
      <c r="BH269" s="5"/>
      <c r="BI269" s="5"/>
      <c r="BJ269" s="5"/>
      <c r="BK269" s="5"/>
      <c r="BL269" s="5"/>
      <c r="BM269" s="5">
        <v>21002203</v>
      </c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X269" s="5">
        <v>200</v>
      </c>
      <c r="GY269" s="5">
        <v>400</v>
      </c>
      <c r="GZ269" s="5" t="s">
        <v>383</v>
      </c>
      <c r="HA269" s="5">
        <v>0</v>
      </c>
      <c r="HB269" s="5" t="s">
        <v>366</v>
      </c>
      <c r="HC269" s="5" t="s">
        <v>366</v>
      </c>
      <c r="HD269" s="5" t="b">
        <v>1</v>
      </c>
      <c r="HE269" s="5">
        <v>12000</v>
      </c>
      <c r="HF269" s="5" t="b">
        <v>0</v>
      </c>
      <c r="HG269" s="5">
        <v>0</v>
      </c>
      <c r="HH269" s="5">
        <v>0</v>
      </c>
      <c r="HI269" s="5">
        <v>0</v>
      </c>
      <c r="HJ269" s="5">
        <v>0</v>
      </c>
      <c r="HK269" s="5" t="b">
        <v>0</v>
      </c>
      <c r="HL269" s="5">
        <v>0</v>
      </c>
      <c r="HM269" s="5">
        <v>10001</v>
      </c>
      <c r="HN269" s="5" t="s">
        <v>367</v>
      </c>
      <c r="HO269" s="5" t="s">
        <v>360</v>
      </c>
      <c r="HP269" s="5">
        <v>0</v>
      </c>
      <c r="HQ269" s="5">
        <v>0</v>
      </c>
      <c r="HR269" s="5">
        <v>0</v>
      </c>
      <c r="HS269" s="5">
        <v>0</v>
      </c>
      <c r="HT269" s="5" t="b">
        <v>0</v>
      </c>
    </row>
    <row r="270" spans="1:228">
      <c r="A270"/>
      <c r="B270" s="1">
        <f>10000000+INDEX(编号表!$B$1:$B$112,MATCH(D270,编号表!$A$1:$A$112,0))*10000+I270</f>
        <v>10270004</v>
      </c>
      <c r="C270" s="5" t="s">
        <v>437</v>
      </c>
      <c r="D270" s="5" t="s">
        <v>437</v>
      </c>
      <c r="E270" s="5" t="s">
        <v>348</v>
      </c>
      <c r="F270" s="5" t="s">
        <v>394</v>
      </c>
      <c r="G270" s="5" t="b">
        <v>0</v>
      </c>
      <c r="H270" s="5" t="b">
        <v>0</v>
      </c>
      <c r="I270" s="5">
        <v>4</v>
      </c>
      <c r="J270" s="5">
        <v>102700</v>
      </c>
      <c r="K270" s="5" t="s">
        <v>350</v>
      </c>
      <c r="L270" s="5">
        <v>10270003</v>
      </c>
      <c r="M270" s="5">
        <v>10270005</v>
      </c>
      <c r="N270" s="5" t="s">
        <v>438</v>
      </c>
      <c r="O270" s="5">
        <v>10202026</v>
      </c>
      <c r="P270" s="5">
        <v>0</v>
      </c>
      <c r="Q270" s="5">
        <v>3</v>
      </c>
      <c r="R270" s="5">
        <v>16</v>
      </c>
      <c r="S270" s="5">
        <v>0</v>
      </c>
      <c r="T270" s="5">
        <v>100</v>
      </c>
      <c r="U270" s="5" t="s">
        <v>364</v>
      </c>
      <c r="V270" s="5">
        <v>0</v>
      </c>
      <c r="W270" s="5">
        <v>0</v>
      </c>
      <c r="X270" s="5" t="s">
        <v>360</v>
      </c>
      <c r="Y270" s="5" t="s">
        <v>365</v>
      </c>
      <c r="Z270" s="5" t="s">
        <v>424</v>
      </c>
      <c r="AA270" s="5">
        <v>1</v>
      </c>
      <c r="AB270" s="5">
        <v>0</v>
      </c>
      <c r="AC270" s="5" t="b">
        <v>1</v>
      </c>
      <c r="AD270" s="5" t="s">
        <v>355</v>
      </c>
      <c r="AE270" s="5">
        <v>80</v>
      </c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 t="s">
        <v>367</v>
      </c>
      <c r="AZ270" s="5">
        <v>11200</v>
      </c>
      <c r="BA270" s="5" t="s">
        <v>417</v>
      </c>
      <c r="BB270" s="5" t="s">
        <v>424</v>
      </c>
      <c r="BC270" s="5">
        <v>10000</v>
      </c>
      <c r="BD270" s="5">
        <v>0</v>
      </c>
      <c r="BE270" s="5" t="s">
        <v>358</v>
      </c>
      <c r="BF270" s="5">
        <v>0</v>
      </c>
      <c r="BG270" s="5"/>
      <c r="BH270" s="5"/>
      <c r="BI270" s="5"/>
      <c r="BJ270" s="5"/>
      <c r="BK270" s="5"/>
      <c r="BL270" s="5"/>
      <c r="BM270" s="5">
        <v>21002204</v>
      </c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X270" s="5">
        <v>200</v>
      </c>
      <c r="GY270" s="5">
        <v>400</v>
      </c>
      <c r="GZ270" s="5" t="s">
        <v>383</v>
      </c>
      <c r="HA270" s="5">
        <v>0</v>
      </c>
      <c r="HB270" s="5" t="s">
        <v>366</v>
      </c>
      <c r="HC270" s="5" t="s">
        <v>366</v>
      </c>
      <c r="HD270" s="5" t="b">
        <v>1</v>
      </c>
      <c r="HE270" s="5">
        <v>12000</v>
      </c>
      <c r="HF270" s="5" t="b">
        <v>0</v>
      </c>
      <c r="HG270" s="5">
        <v>0</v>
      </c>
      <c r="HH270" s="5">
        <v>0</v>
      </c>
      <c r="HI270" s="5">
        <v>0</v>
      </c>
      <c r="HJ270" s="5">
        <v>0</v>
      </c>
      <c r="HK270" s="5" t="b">
        <v>0</v>
      </c>
      <c r="HL270" s="5">
        <v>0</v>
      </c>
      <c r="HM270" s="5">
        <v>10001</v>
      </c>
      <c r="HN270" s="5" t="s">
        <v>367</v>
      </c>
      <c r="HO270" s="5" t="s">
        <v>360</v>
      </c>
      <c r="HP270" s="5">
        <v>0</v>
      </c>
      <c r="HQ270" s="5">
        <v>0</v>
      </c>
      <c r="HR270" s="5">
        <v>0</v>
      </c>
      <c r="HS270" s="5">
        <v>0</v>
      </c>
      <c r="HT270" s="5" t="b">
        <v>0</v>
      </c>
    </row>
    <row r="271" spans="1:228">
      <c r="A271"/>
      <c r="B271" s="1">
        <f>10000000+INDEX(编号表!$B$1:$B$112,MATCH(D271,编号表!$A$1:$A$112,0))*10000+I271</f>
        <v>10270005</v>
      </c>
      <c r="C271" s="5" t="s">
        <v>437</v>
      </c>
      <c r="D271" s="5" t="s">
        <v>437</v>
      </c>
      <c r="E271" s="5" t="s">
        <v>348</v>
      </c>
      <c r="F271" s="5" t="s">
        <v>394</v>
      </c>
      <c r="G271" s="5" t="b">
        <v>0</v>
      </c>
      <c r="H271" s="5" t="b">
        <v>0</v>
      </c>
      <c r="I271" s="5">
        <v>5</v>
      </c>
      <c r="J271" s="5">
        <v>102700</v>
      </c>
      <c r="K271" s="5" t="s">
        <v>350</v>
      </c>
      <c r="L271" s="5">
        <v>10270004</v>
      </c>
      <c r="M271" s="5">
        <v>10270006</v>
      </c>
      <c r="N271" s="5" t="s">
        <v>438</v>
      </c>
      <c r="O271" s="5">
        <v>10202026</v>
      </c>
      <c r="P271" s="5">
        <v>0</v>
      </c>
      <c r="Q271" s="5">
        <v>3</v>
      </c>
      <c r="R271" s="5">
        <v>25</v>
      </c>
      <c r="S271" s="5">
        <v>0</v>
      </c>
      <c r="T271" s="5">
        <v>100</v>
      </c>
      <c r="U271" s="5" t="s">
        <v>364</v>
      </c>
      <c r="V271" s="5">
        <v>0</v>
      </c>
      <c r="W271" s="5">
        <v>0</v>
      </c>
      <c r="X271" s="5" t="s">
        <v>360</v>
      </c>
      <c r="Y271" s="5" t="s">
        <v>365</v>
      </c>
      <c r="Z271" s="5" t="s">
        <v>424</v>
      </c>
      <c r="AA271" s="5">
        <v>1</v>
      </c>
      <c r="AB271" s="5">
        <v>0</v>
      </c>
      <c r="AC271" s="5" t="b">
        <v>1</v>
      </c>
      <c r="AD271" s="5" t="s">
        <v>355</v>
      </c>
      <c r="AE271" s="5">
        <v>80</v>
      </c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 t="s">
        <v>367</v>
      </c>
      <c r="AZ271" s="5">
        <v>11300</v>
      </c>
      <c r="BA271" s="5" t="s">
        <v>417</v>
      </c>
      <c r="BB271" s="5" t="s">
        <v>424</v>
      </c>
      <c r="BC271" s="5">
        <v>10000</v>
      </c>
      <c r="BD271" s="5">
        <v>0</v>
      </c>
      <c r="BE271" s="5" t="s">
        <v>358</v>
      </c>
      <c r="BF271" s="5">
        <v>0</v>
      </c>
      <c r="BG271" s="5"/>
      <c r="BH271" s="5"/>
      <c r="BI271" s="5"/>
      <c r="BJ271" s="5"/>
      <c r="BK271" s="5"/>
      <c r="BL271" s="5"/>
      <c r="BM271" s="5">
        <v>21002205</v>
      </c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X271" s="5">
        <v>200</v>
      </c>
      <c r="GY271" s="5">
        <v>400</v>
      </c>
      <c r="GZ271" s="5" t="s">
        <v>383</v>
      </c>
      <c r="HA271" s="5">
        <v>0</v>
      </c>
      <c r="HB271" s="5" t="s">
        <v>366</v>
      </c>
      <c r="HC271" s="5" t="s">
        <v>366</v>
      </c>
      <c r="HD271" s="5" t="b">
        <v>1</v>
      </c>
      <c r="HE271" s="5">
        <v>12000</v>
      </c>
      <c r="HF271" s="5" t="b">
        <v>0</v>
      </c>
      <c r="HG271" s="5">
        <v>0</v>
      </c>
      <c r="HH271" s="5">
        <v>0</v>
      </c>
      <c r="HI271" s="5">
        <v>0</v>
      </c>
      <c r="HJ271" s="5">
        <v>0</v>
      </c>
      <c r="HK271" s="5" t="b">
        <v>0</v>
      </c>
      <c r="HL271" s="5">
        <v>0</v>
      </c>
      <c r="HM271" s="5">
        <v>10001</v>
      </c>
      <c r="HN271" s="5" t="s">
        <v>367</v>
      </c>
      <c r="HO271" s="5" t="s">
        <v>360</v>
      </c>
      <c r="HP271" s="5">
        <v>0</v>
      </c>
      <c r="HQ271" s="5">
        <v>0</v>
      </c>
      <c r="HR271" s="5">
        <v>0</v>
      </c>
      <c r="HS271" s="5">
        <v>0</v>
      </c>
      <c r="HT271" s="5" t="b">
        <v>0</v>
      </c>
    </row>
    <row r="272" spans="1:228">
      <c r="A272"/>
      <c r="B272" s="1">
        <f>10000000+INDEX(编号表!$B$1:$B$112,MATCH(D272,编号表!$A$1:$A$112,0))*10000+I272</f>
        <v>10270006</v>
      </c>
      <c r="C272" s="5" t="s">
        <v>437</v>
      </c>
      <c r="D272" s="5" t="s">
        <v>437</v>
      </c>
      <c r="E272" s="5" t="s">
        <v>348</v>
      </c>
      <c r="F272" s="5" t="s">
        <v>394</v>
      </c>
      <c r="G272" s="5" t="b">
        <v>0</v>
      </c>
      <c r="H272" s="5" t="b">
        <v>0</v>
      </c>
      <c r="I272" s="5">
        <v>6</v>
      </c>
      <c r="J272" s="5">
        <v>102700</v>
      </c>
      <c r="K272" s="5" t="s">
        <v>350</v>
      </c>
      <c r="L272" s="5">
        <v>10270005</v>
      </c>
      <c r="M272" s="5">
        <v>10270007</v>
      </c>
      <c r="N272" s="5" t="s">
        <v>438</v>
      </c>
      <c r="O272" s="5">
        <v>10202026</v>
      </c>
      <c r="P272" s="5">
        <v>0</v>
      </c>
      <c r="Q272" s="5">
        <v>3</v>
      </c>
      <c r="R272" s="5">
        <v>30</v>
      </c>
      <c r="S272" s="5">
        <v>0</v>
      </c>
      <c r="T272" s="5">
        <v>100</v>
      </c>
      <c r="U272" s="5" t="s">
        <v>364</v>
      </c>
      <c r="V272" s="5">
        <v>0</v>
      </c>
      <c r="W272" s="5">
        <v>0</v>
      </c>
      <c r="X272" s="5" t="s">
        <v>360</v>
      </c>
      <c r="Y272" s="5" t="s">
        <v>365</v>
      </c>
      <c r="Z272" s="5" t="s">
        <v>424</v>
      </c>
      <c r="AA272" s="5">
        <v>1</v>
      </c>
      <c r="AB272" s="5">
        <v>0</v>
      </c>
      <c r="AC272" s="5" t="b">
        <v>1</v>
      </c>
      <c r="AD272" s="5" t="s">
        <v>355</v>
      </c>
      <c r="AE272" s="5">
        <v>80</v>
      </c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 t="s">
        <v>367</v>
      </c>
      <c r="AZ272" s="5">
        <v>11600</v>
      </c>
      <c r="BA272" s="5" t="s">
        <v>417</v>
      </c>
      <c r="BB272" s="5" t="s">
        <v>424</v>
      </c>
      <c r="BC272" s="5">
        <v>10000</v>
      </c>
      <c r="BD272" s="5">
        <v>0</v>
      </c>
      <c r="BE272" s="5" t="s">
        <v>358</v>
      </c>
      <c r="BF272" s="5">
        <v>0</v>
      </c>
      <c r="BG272" s="5"/>
      <c r="BH272" s="5"/>
      <c r="BI272" s="5"/>
      <c r="BJ272" s="5"/>
      <c r="BK272" s="5"/>
      <c r="BL272" s="5"/>
      <c r="BM272" s="5">
        <v>21002206</v>
      </c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X272" s="5">
        <v>200</v>
      </c>
      <c r="GY272" s="5">
        <v>400</v>
      </c>
      <c r="GZ272" s="5" t="s">
        <v>383</v>
      </c>
      <c r="HA272" s="5">
        <v>0</v>
      </c>
      <c r="HB272" s="5" t="s">
        <v>366</v>
      </c>
      <c r="HC272" s="5" t="s">
        <v>366</v>
      </c>
      <c r="HD272" s="5" t="b">
        <v>1</v>
      </c>
      <c r="HE272" s="5">
        <v>12000</v>
      </c>
      <c r="HF272" s="5" t="b">
        <v>0</v>
      </c>
      <c r="HG272" s="5">
        <v>0</v>
      </c>
      <c r="HH272" s="5">
        <v>0</v>
      </c>
      <c r="HI272" s="5">
        <v>0</v>
      </c>
      <c r="HJ272" s="5">
        <v>0</v>
      </c>
      <c r="HK272" s="5" t="b">
        <v>0</v>
      </c>
      <c r="HL272" s="5">
        <v>0</v>
      </c>
      <c r="HM272" s="5">
        <v>10001</v>
      </c>
      <c r="HN272" s="5" t="s">
        <v>367</v>
      </c>
      <c r="HO272" s="5" t="s">
        <v>360</v>
      </c>
      <c r="HP272" s="5">
        <v>0</v>
      </c>
      <c r="HQ272" s="5">
        <v>0</v>
      </c>
      <c r="HR272" s="5">
        <v>0</v>
      </c>
      <c r="HS272" s="5">
        <v>0</v>
      </c>
      <c r="HT272" s="5" t="b">
        <v>0</v>
      </c>
    </row>
    <row r="273" spans="1:229">
      <c r="A273"/>
      <c r="B273" s="1">
        <f>10000000+INDEX(编号表!$B$1:$B$112,MATCH(D273,编号表!$A$1:$A$112,0))*10000+I273</f>
        <v>10270007</v>
      </c>
      <c r="C273" s="5" t="s">
        <v>437</v>
      </c>
      <c r="D273" s="5" t="s">
        <v>437</v>
      </c>
      <c r="E273" s="5" t="s">
        <v>348</v>
      </c>
      <c r="F273" s="5" t="s">
        <v>394</v>
      </c>
      <c r="G273" s="5" t="b">
        <v>0</v>
      </c>
      <c r="H273" s="5" t="b">
        <v>0</v>
      </c>
      <c r="I273" s="5">
        <v>7</v>
      </c>
      <c r="J273" s="5">
        <v>102700</v>
      </c>
      <c r="K273" s="5" t="s">
        <v>350</v>
      </c>
      <c r="L273" s="5">
        <v>10270006</v>
      </c>
      <c r="M273" s="5">
        <v>10270008</v>
      </c>
      <c r="N273" s="5" t="s">
        <v>438</v>
      </c>
      <c r="O273" s="5">
        <v>10202026</v>
      </c>
      <c r="P273" s="5">
        <v>0</v>
      </c>
      <c r="Q273" s="5">
        <v>3</v>
      </c>
      <c r="R273" s="5">
        <v>35</v>
      </c>
      <c r="S273" s="5">
        <v>0</v>
      </c>
      <c r="T273" s="5">
        <v>100</v>
      </c>
      <c r="U273" s="5" t="s">
        <v>364</v>
      </c>
      <c r="V273" s="5">
        <v>0</v>
      </c>
      <c r="W273" s="5">
        <v>0</v>
      </c>
      <c r="X273" s="5" t="s">
        <v>360</v>
      </c>
      <c r="Y273" s="5" t="s">
        <v>365</v>
      </c>
      <c r="Z273" s="5" t="s">
        <v>424</v>
      </c>
      <c r="AA273" s="5">
        <v>1</v>
      </c>
      <c r="AB273" s="5">
        <v>0</v>
      </c>
      <c r="AC273" s="5" t="b">
        <v>1</v>
      </c>
      <c r="AD273" s="5" t="s">
        <v>355</v>
      </c>
      <c r="AE273" s="5">
        <v>80</v>
      </c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 t="s">
        <v>367</v>
      </c>
      <c r="AZ273" s="5">
        <v>11700</v>
      </c>
      <c r="BA273" s="5" t="s">
        <v>417</v>
      </c>
      <c r="BB273" s="5" t="s">
        <v>424</v>
      </c>
      <c r="BC273" s="5">
        <v>10000</v>
      </c>
      <c r="BD273" s="5">
        <v>0</v>
      </c>
      <c r="BE273" s="5" t="s">
        <v>358</v>
      </c>
      <c r="BF273" s="5">
        <v>0</v>
      </c>
      <c r="BG273" s="5"/>
      <c r="BH273" s="5"/>
      <c r="BI273" s="5"/>
      <c r="BJ273" s="5"/>
      <c r="BK273" s="5"/>
      <c r="BL273" s="5"/>
      <c r="BM273" s="5">
        <v>21002207</v>
      </c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X273" s="5">
        <v>200</v>
      </c>
      <c r="GY273" s="5">
        <v>400</v>
      </c>
      <c r="GZ273" s="5" t="s">
        <v>383</v>
      </c>
      <c r="HA273" s="5">
        <v>0</v>
      </c>
      <c r="HB273" s="5" t="s">
        <v>366</v>
      </c>
      <c r="HC273" s="5" t="s">
        <v>366</v>
      </c>
      <c r="HD273" s="5" t="b">
        <v>1</v>
      </c>
      <c r="HE273" s="5">
        <v>12000</v>
      </c>
      <c r="HF273" s="5" t="b">
        <v>0</v>
      </c>
      <c r="HG273" s="5">
        <v>0</v>
      </c>
      <c r="HH273" s="5">
        <v>0</v>
      </c>
      <c r="HI273" s="5">
        <v>0</v>
      </c>
      <c r="HJ273" s="5">
        <v>0</v>
      </c>
      <c r="HK273" s="5" t="b">
        <v>0</v>
      </c>
      <c r="HL273" s="5">
        <v>0</v>
      </c>
      <c r="HM273" s="5">
        <v>10001</v>
      </c>
      <c r="HN273" s="5" t="s">
        <v>367</v>
      </c>
      <c r="HO273" s="5" t="s">
        <v>360</v>
      </c>
      <c r="HP273" s="5">
        <v>0</v>
      </c>
      <c r="HQ273" s="5">
        <v>0</v>
      </c>
      <c r="HR273" s="5">
        <v>0</v>
      </c>
      <c r="HS273" s="5">
        <v>0</v>
      </c>
      <c r="HT273" s="5" t="b">
        <v>0</v>
      </c>
    </row>
    <row r="274" spans="1:229">
      <c r="A274"/>
      <c r="B274" s="1">
        <f>10000000+INDEX(编号表!$B$1:$B$112,MATCH(D274,编号表!$A$1:$A$112,0))*10000+I274</f>
        <v>10270008</v>
      </c>
      <c r="C274" s="5" t="s">
        <v>437</v>
      </c>
      <c r="D274" s="5" t="s">
        <v>437</v>
      </c>
      <c r="E274" s="5" t="s">
        <v>348</v>
      </c>
      <c r="F274" s="5" t="s">
        <v>394</v>
      </c>
      <c r="G274" s="5" t="b">
        <v>0</v>
      </c>
      <c r="H274" s="5" t="b">
        <v>0</v>
      </c>
      <c r="I274" s="5">
        <v>8</v>
      </c>
      <c r="J274" s="5">
        <v>102700</v>
      </c>
      <c r="K274" s="5" t="s">
        <v>350</v>
      </c>
      <c r="L274" s="5">
        <v>10270007</v>
      </c>
      <c r="M274" s="5">
        <v>10270009</v>
      </c>
      <c r="N274" s="5" t="s">
        <v>438</v>
      </c>
      <c r="O274" s="5">
        <v>10202026</v>
      </c>
      <c r="P274" s="5">
        <v>0</v>
      </c>
      <c r="Q274" s="5">
        <v>3</v>
      </c>
      <c r="R274" s="5">
        <v>35</v>
      </c>
      <c r="S274" s="5">
        <v>0</v>
      </c>
      <c r="T274" s="5">
        <v>100</v>
      </c>
      <c r="U274" s="5" t="s">
        <v>364</v>
      </c>
      <c r="V274" s="5">
        <v>0</v>
      </c>
      <c r="W274" s="5">
        <v>0</v>
      </c>
      <c r="X274" s="5" t="s">
        <v>360</v>
      </c>
      <c r="Y274" s="5" t="s">
        <v>365</v>
      </c>
      <c r="Z274" s="5" t="s">
        <v>424</v>
      </c>
      <c r="AA274" s="5">
        <v>1</v>
      </c>
      <c r="AB274" s="5">
        <v>0</v>
      </c>
      <c r="AC274" s="5" t="b">
        <v>1</v>
      </c>
      <c r="AD274" s="5" t="s">
        <v>355</v>
      </c>
      <c r="AE274" s="5">
        <v>80</v>
      </c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 t="s">
        <v>367</v>
      </c>
      <c r="AZ274" s="5">
        <v>11800</v>
      </c>
      <c r="BA274" s="5" t="s">
        <v>417</v>
      </c>
      <c r="BB274" s="5" t="s">
        <v>424</v>
      </c>
      <c r="BC274" s="5">
        <v>10000</v>
      </c>
      <c r="BD274" s="5">
        <v>0</v>
      </c>
      <c r="BE274" s="5" t="s">
        <v>358</v>
      </c>
      <c r="BF274" s="5">
        <v>0</v>
      </c>
      <c r="BG274" s="5"/>
      <c r="BH274" s="5"/>
      <c r="BI274" s="5"/>
      <c r="BJ274" s="5"/>
      <c r="BK274" s="5"/>
      <c r="BL274" s="5"/>
      <c r="BM274" s="5">
        <v>21002208</v>
      </c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X274" s="5">
        <v>200</v>
      </c>
      <c r="GY274" s="5">
        <v>400</v>
      </c>
      <c r="GZ274" s="5" t="s">
        <v>383</v>
      </c>
      <c r="HA274" s="5">
        <v>0</v>
      </c>
      <c r="HB274" s="5" t="s">
        <v>366</v>
      </c>
      <c r="HC274" s="5" t="s">
        <v>366</v>
      </c>
      <c r="HD274" s="5" t="b">
        <v>1</v>
      </c>
      <c r="HE274" s="5">
        <v>12000</v>
      </c>
      <c r="HF274" s="5" t="b">
        <v>0</v>
      </c>
      <c r="HG274" s="5">
        <v>0</v>
      </c>
      <c r="HH274" s="5">
        <v>0</v>
      </c>
      <c r="HI274" s="5">
        <v>0</v>
      </c>
      <c r="HJ274" s="5">
        <v>0</v>
      </c>
      <c r="HK274" s="5" t="b">
        <v>0</v>
      </c>
      <c r="HL274" s="5">
        <v>0</v>
      </c>
      <c r="HM274" s="5">
        <v>10001</v>
      </c>
      <c r="HN274" s="5" t="s">
        <v>367</v>
      </c>
      <c r="HO274" s="5" t="s">
        <v>360</v>
      </c>
      <c r="HP274" s="5">
        <v>0</v>
      </c>
      <c r="HQ274" s="5">
        <v>0</v>
      </c>
      <c r="HR274" s="5">
        <v>0</v>
      </c>
      <c r="HS274" s="5">
        <v>0</v>
      </c>
      <c r="HT274" s="5" t="b">
        <v>0</v>
      </c>
    </row>
    <row r="275" spans="1:229">
      <c r="A275"/>
      <c r="B275" s="1">
        <f>10000000+INDEX(编号表!$B$1:$B$112,MATCH(D275,编号表!$A$1:$A$112,0))*10000+I275</f>
        <v>10270009</v>
      </c>
      <c r="C275" s="5" t="s">
        <v>437</v>
      </c>
      <c r="D275" s="5" t="s">
        <v>437</v>
      </c>
      <c r="E275" s="5" t="s">
        <v>348</v>
      </c>
      <c r="F275" s="5" t="s">
        <v>394</v>
      </c>
      <c r="G275" s="5" t="b">
        <v>0</v>
      </c>
      <c r="H275" s="5" t="b">
        <v>0</v>
      </c>
      <c r="I275" s="5">
        <v>9</v>
      </c>
      <c r="J275" s="5">
        <v>102700</v>
      </c>
      <c r="K275" s="5" t="s">
        <v>350</v>
      </c>
      <c r="L275" s="5">
        <v>10270008</v>
      </c>
      <c r="M275" s="5">
        <v>10270010</v>
      </c>
      <c r="N275" s="5" t="s">
        <v>438</v>
      </c>
      <c r="O275" s="5">
        <v>10202026</v>
      </c>
      <c r="P275" s="5">
        <v>0</v>
      </c>
      <c r="Q275" s="5">
        <v>3</v>
      </c>
      <c r="R275" s="5">
        <v>40</v>
      </c>
      <c r="S275" s="5">
        <v>0</v>
      </c>
      <c r="T275" s="5">
        <v>100</v>
      </c>
      <c r="U275" s="5" t="s">
        <v>364</v>
      </c>
      <c r="V275" s="5">
        <v>0</v>
      </c>
      <c r="W275" s="5">
        <v>0</v>
      </c>
      <c r="X275" s="5" t="s">
        <v>360</v>
      </c>
      <c r="Y275" s="5" t="s">
        <v>365</v>
      </c>
      <c r="Z275" s="5" t="s">
        <v>424</v>
      </c>
      <c r="AA275" s="5">
        <v>1</v>
      </c>
      <c r="AB275" s="5">
        <v>0</v>
      </c>
      <c r="AC275" s="5" t="b">
        <v>1</v>
      </c>
      <c r="AD275" s="5" t="s">
        <v>355</v>
      </c>
      <c r="AE275" s="5">
        <v>80</v>
      </c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 t="s">
        <v>367</v>
      </c>
      <c r="AZ275" s="5">
        <v>11900</v>
      </c>
      <c r="BA275" s="5" t="s">
        <v>417</v>
      </c>
      <c r="BB275" s="5" t="s">
        <v>424</v>
      </c>
      <c r="BC275" s="5">
        <v>10000</v>
      </c>
      <c r="BD275" s="5">
        <v>0</v>
      </c>
      <c r="BE275" s="5" t="s">
        <v>358</v>
      </c>
      <c r="BF275" s="5">
        <v>0</v>
      </c>
      <c r="BG275" s="5"/>
      <c r="BH275" s="5"/>
      <c r="BI275" s="5"/>
      <c r="BJ275" s="5"/>
      <c r="BK275" s="5"/>
      <c r="BL275" s="5"/>
      <c r="BM275" s="5">
        <v>21002209</v>
      </c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X275" s="5">
        <v>200</v>
      </c>
      <c r="GY275" s="5">
        <v>400</v>
      </c>
      <c r="GZ275" s="5" t="s">
        <v>383</v>
      </c>
      <c r="HA275" s="5">
        <v>0</v>
      </c>
      <c r="HB275" s="5" t="s">
        <v>366</v>
      </c>
      <c r="HC275" s="5" t="s">
        <v>366</v>
      </c>
      <c r="HD275" s="5" t="b">
        <v>1</v>
      </c>
      <c r="HE275" s="5">
        <v>12000</v>
      </c>
      <c r="HF275" s="5" t="b">
        <v>0</v>
      </c>
      <c r="HG275" s="5">
        <v>0</v>
      </c>
      <c r="HH275" s="5">
        <v>0</v>
      </c>
      <c r="HI275" s="5">
        <v>0</v>
      </c>
      <c r="HJ275" s="5">
        <v>0</v>
      </c>
      <c r="HK275" s="5" t="b">
        <v>0</v>
      </c>
      <c r="HL275" s="5">
        <v>0</v>
      </c>
      <c r="HM275" s="5">
        <v>10001</v>
      </c>
      <c r="HN275" s="5" t="s">
        <v>367</v>
      </c>
      <c r="HO275" s="5" t="s">
        <v>360</v>
      </c>
      <c r="HP275" s="5">
        <v>0</v>
      </c>
      <c r="HQ275" s="5">
        <v>0</v>
      </c>
      <c r="HR275" s="5">
        <v>0</v>
      </c>
      <c r="HS275" s="5">
        <v>0</v>
      </c>
      <c r="HT275" s="5" t="b">
        <v>0</v>
      </c>
    </row>
    <row r="276" spans="1:229">
      <c r="A276"/>
      <c r="B276" s="1">
        <f>10000000+INDEX(编号表!$B$1:$B$112,MATCH(D276,编号表!$A$1:$A$112,0))*10000+I276</f>
        <v>10270010</v>
      </c>
      <c r="C276" s="5" t="s">
        <v>437</v>
      </c>
      <c r="D276" s="5" t="s">
        <v>437</v>
      </c>
      <c r="E276" s="5" t="s">
        <v>348</v>
      </c>
      <c r="F276" s="5" t="s">
        <v>394</v>
      </c>
      <c r="G276" s="5" t="b">
        <v>0</v>
      </c>
      <c r="H276" s="5" t="b">
        <v>0</v>
      </c>
      <c r="I276" s="5">
        <v>10</v>
      </c>
      <c r="J276" s="5">
        <v>102700</v>
      </c>
      <c r="K276" s="5" t="s">
        <v>350</v>
      </c>
      <c r="L276" s="5">
        <v>10270009</v>
      </c>
      <c r="M276" s="5">
        <v>0</v>
      </c>
      <c r="N276" s="5" t="s">
        <v>438</v>
      </c>
      <c r="O276" s="5">
        <v>10202026</v>
      </c>
      <c r="P276" s="5">
        <v>0</v>
      </c>
      <c r="Q276" s="5">
        <v>3</v>
      </c>
      <c r="R276" s="5">
        <v>40</v>
      </c>
      <c r="S276" s="5">
        <v>0</v>
      </c>
      <c r="T276" s="5">
        <v>0</v>
      </c>
      <c r="U276" s="5" t="s">
        <v>364</v>
      </c>
      <c r="V276" s="5">
        <v>0</v>
      </c>
      <c r="W276" s="5">
        <v>0</v>
      </c>
      <c r="X276" s="5" t="s">
        <v>360</v>
      </c>
      <c r="Y276" s="5" t="s">
        <v>365</v>
      </c>
      <c r="Z276" s="5" t="s">
        <v>424</v>
      </c>
      <c r="AA276" s="5">
        <v>1</v>
      </c>
      <c r="AB276" s="5">
        <v>0</v>
      </c>
      <c r="AC276" s="5" t="b">
        <v>1</v>
      </c>
      <c r="AD276" s="5" t="s">
        <v>355</v>
      </c>
      <c r="AE276" s="5">
        <v>80</v>
      </c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 t="s">
        <v>367</v>
      </c>
      <c r="AZ276" s="5">
        <v>12000</v>
      </c>
      <c r="BA276" s="5" t="s">
        <v>417</v>
      </c>
      <c r="BB276" s="5" t="s">
        <v>424</v>
      </c>
      <c r="BC276" s="5">
        <v>10000</v>
      </c>
      <c r="BD276" s="5">
        <v>0</v>
      </c>
      <c r="BE276" s="5" t="s">
        <v>358</v>
      </c>
      <c r="BF276" s="5">
        <v>0</v>
      </c>
      <c r="BG276" s="5"/>
      <c r="BH276" s="5"/>
      <c r="BI276" s="5"/>
      <c r="BJ276" s="5"/>
      <c r="BK276" s="5"/>
      <c r="BL276" s="5"/>
      <c r="BM276" s="5">
        <v>21002210</v>
      </c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X276" s="5">
        <v>200</v>
      </c>
      <c r="GY276" s="5">
        <v>400</v>
      </c>
      <c r="GZ276" s="5" t="s">
        <v>383</v>
      </c>
      <c r="HA276" s="5">
        <v>0</v>
      </c>
      <c r="HB276" s="5" t="s">
        <v>366</v>
      </c>
      <c r="HC276" s="5" t="s">
        <v>366</v>
      </c>
      <c r="HD276" s="5" t="b">
        <v>1</v>
      </c>
      <c r="HE276" s="5">
        <v>12000</v>
      </c>
      <c r="HF276" s="5" t="b">
        <v>0</v>
      </c>
      <c r="HG276" s="5">
        <v>0</v>
      </c>
      <c r="HH276" s="5">
        <v>0</v>
      </c>
      <c r="HI276" s="5">
        <v>0</v>
      </c>
      <c r="HJ276" s="5">
        <v>0</v>
      </c>
      <c r="HK276" s="5" t="b">
        <v>0</v>
      </c>
      <c r="HL276" s="5">
        <v>0</v>
      </c>
      <c r="HM276" s="5">
        <v>10001</v>
      </c>
      <c r="HN276" s="5" t="s">
        <v>367</v>
      </c>
      <c r="HO276" s="5" t="s">
        <v>360</v>
      </c>
      <c r="HP276" s="5">
        <v>0</v>
      </c>
      <c r="HQ276" s="5">
        <v>0</v>
      </c>
      <c r="HR276" s="5">
        <v>0</v>
      </c>
      <c r="HS276" s="5">
        <v>0</v>
      </c>
      <c r="HT276" s="5" t="b">
        <v>0</v>
      </c>
    </row>
    <row r="277" spans="1:229">
      <c r="A277"/>
      <c r="B277" s="1">
        <f>10000000+INDEX(编号表!$B$1:$B$112,MATCH(D277,编号表!$A$1:$A$112,0))*10000+I277</f>
        <v>10280001</v>
      </c>
      <c r="C277" s="5" t="s">
        <v>439</v>
      </c>
      <c r="D277" s="5" t="s">
        <v>439</v>
      </c>
      <c r="E277" s="5" t="s">
        <v>348</v>
      </c>
      <c r="F277" s="5" t="s">
        <v>362</v>
      </c>
      <c r="G277" s="5" t="b">
        <v>0</v>
      </c>
      <c r="H277" s="5" t="b">
        <v>0</v>
      </c>
      <c r="I277" s="5">
        <v>1</v>
      </c>
      <c r="J277" s="5">
        <v>102800</v>
      </c>
      <c r="K277" s="5" t="s">
        <v>350</v>
      </c>
      <c r="L277" s="5">
        <v>0</v>
      </c>
      <c r="M277" s="5">
        <v>10280002</v>
      </c>
      <c r="N277" s="5" t="s">
        <v>440</v>
      </c>
      <c r="O277" s="5">
        <v>10202027</v>
      </c>
      <c r="P277" s="5">
        <v>0</v>
      </c>
      <c r="Q277" s="5">
        <v>0</v>
      </c>
      <c r="R277" s="5">
        <v>1</v>
      </c>
      <c r="S277" s="5">
        <v>0</v>
      </c>
      <c r="T277" s="5">
        <v>100</v>
      </c>
      <c r="U277" s="5" t="s">
        <v>364</v>
      </c>
      <c r="V277" s="5">
        <v>0</v>
      </c>
      <c r="W277" s="5">
        <v>0</v>
      </c>
      <c r="X277" s="5" t="s">
        <v>370</v>
      </c>
      <c r="Y277" s="5" t="s">
        <v>365</v>
      </c>
      <c r="Z277" s="5" t="s">
        <v>424</v>
      </c>
      <c r="AA277" s="5">
        <v>1</v>
      </c>
      <c r="AB277" s="5">
        <v>0</v>
      </c>
      <c r="AC277" s="5" t="b">
        <v>1</v>
      </c>
      <c r="AD277" s="5" t="s">
        <v>355</v>
      </c>
      <c r="AE277" s="5">
        <v>80</v>
      </c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 t="s">
        <v>367</v>
      </c>
      <c r="AZ277" s="5">
        <v>10000</v>
      </c>
      <c r="BA277" s="5" t="s">
        <v>441</v>
      </c>
      <c r="BB277" s="5" t="s">
        <v>424</v>
      </c>
      <c r="BC277" s="5">
        <v>10000</v>
      </c>
      <c r="BD277" s="5">
        <v>0</v>
      </c>
      <c r="BE277" s="5" t="s">
        <v>358</v>
      </c>
      <c r="BF277" s="5">
        <v>0</v>
      </c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 t="s">
        <v>442</v>
      </c>
      <c r="CA277" s="5">
        <v>420</v>
      </c>
      <c r="CB277" s="5" t="s">
        <v>373</v>
      </c>
      <c r="CC277" s="5" t="s">
        <v>443</v>
      </c>
      <c r="CD277" s="5" t="b">
        <v>0</v>
      </c>
      <c r="CE277" s="5">
        <v>1400</v>
      </c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X277" s="5">
        <v>200</v>
      </c>
      <c r="GY277" s="5">
        <v>400</v>
      </c>
      <c r="GZ277" s="5" t="inlineStr">
        <is>
          <t xml:space="preserve">Spell Two</t>
        </is>
      </c>
      <c r="HA277" s="5">
        <v>0</v>
      </c>
      <c r="HB277" s="5" t="s">
        <v>366</v>
      </c>
      <c r="HC277" s="5" t="s">
        <v>366</v>
      </c>
      <c r="HD277" s="5" t="b">
        <v>1</v>
      </c>
      <c r="HE277" s="5">
        <v>5000</v>
      </c>
      <c r="HF277" s="5" t="b">
        <v>0</v>
      </c>
      <c r="HG277" s="5">
        <v>0</v>
      </c>
      <c r="HH277" s="5">
        <v>0</v>
      </c>
      <c r="HI277" s="5">
        <v>0</v>
      </c>
      <c r="HJ277" s="5">
        <v>0</v>
      </c>
      <c r="HK277" s="5" t="b">
        <v>0</v>
      </c>
      <c r="HL277" s="5">
        <v>0</v>
      </c>
      <c r="HM277" s="5">
        <v>10001</v>
      </c>
      <c r="HN277" s="5" t="s">
        <v>367</v>
      </c>
      <c r="HO277" s="5" t="s">
        <v>360</v>
      </c>
      <c r="HP277" s="5">
        <v>0</v>
      </c>
      <c r="HQ277" s="5">
        <v>0</v>
      </c>
      <c r="HR277" s="5">
        <v>0</v>
      </c>
      <c r="HS277" s="5">
        <v>0</v>
      </c>
      <c r="HT277" s="5" t="b">
        <v>0</v>
      </c>
      <c r="HU277">
        <v>30061</v>
      </c>
    </row>
    <row r="278" spans="1:229">
      <c r="A278"/>
      <c r="B278" s="1">
        <f>10000000+INDEX(编号表!$B$1:$B$112,MATCH(D278,编号表!$A$1:$A$112,0))*10000+I278</f>
        <v>10280002</v>
      </c>
      <c r="C278" s="5" t="s">
        <v>439</v>
      </c>
      <c r="D278" s="5" t="s">
        <v>439</v>
      </c>
      <c r="E278" s="5" t="s">
        <v>348</v>
      </c>
      <c r="F278" s="5" t="s">
        <v>362</v>
      </c>
      <c r="G278" s="5" t="b">
        <v>0</v>
      </c>
      <c r="H278" s="5" t="b">
        <v>0</v>
      </c>
      <c r="I278" s="5">
        <v>2</v>
      </c>
      <c r="J278" s="5">
        <v>102800</v>
      </c>
      <c r="K278" s="5" t="s">
        <v>350</v>
      </c>
      <c r="L278" s="5">
        <v>10280001</v>
      </c>
      <c r="M278" s="5">
        <v>10280003</v>
      </c>
      <c r="N278" s="5" t="s">
        <v>440</v>
      </c>
      <c r="O278" s="5">
        <v>10202027</v>
      </c>
      <c r="P278" s="5">
        <v>0</v>
      </c>
      <c r="Q278" s="5">
        <v>1</v>
      </c>
      <c r="R278" s="5">
        <v>7</v>
      </c>
      <c r="S278" s="5">
        <v>0</v>
      </c>
      <c r="T278" s="5">
        <v>100</v>
      </c>
      <c r="U278" s="5" t="s">
        <v>364</v>
      </c>
      <c r="V278" s="5">
        <v>0</v>
      </c>
      <c r="W278" s="5">
        <v>0</v>
      </c>
      <c r="X278" s="5" t="s">
        <v>370</v>
      </c>
      <c r="Y278" s="5" t="s">
        <v>365</v>
      </c>
      <c r="Z278" s="5" t="s">
        <v>424</v>
      </c>
      <c r="AA278" s="5">
        <v>1</v>
      </c>
      <c r="AB278" s="5">
        <v>0</v>
      </c>
      <c r="AC278" s="5" t="b">
        <v>1</v>
      </c>
      <c r="AD278" s="5" t="s">
        <v>355</v>
      </c>
      <c r="AE278" s="5">
        <v>80</v>
      </c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 t="s">
        <v>367</v>
      </c>
      <c r="AZ278" s="5">
        <v>10400</v>
      </c>
      <c r="BA278" s="5" t="s">
        <v>441</v>
      </c>
      <c r="BB278" s="5" t="s">
        <v>424</v>
      </c>
      <c r="BC278" s="5">
        <v>10000</v>
      </c>
      <c r="BD278" s="5">
        <v>0</v>
      </c>
      <c r="BE278" s="5" t="s">
        <v>358</v>
      </c>
      <c r="BF278" s="5">
        <v>0</v>
      </c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 t="s">
        <v>442</v>
      </c>
      <c r="CA278" s="5">
        <v>420</v>
      </c>
      <c r="CB278" s="5" t="s">
        <v>373</v>
      </c>
      <c r="CC278" s="5" t="s">
        <v>443</v>
      </c>
      <c r="CD278" s="5" t="b">
        <v>0</v>
      </c>
      <c r="CE278" s="5">
        <v>1400</v>
      </c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X278" s="5">
        <v>200</v>
      </c>
      <c r="GY278" s="5">
        <v>400</v>
      </c>
      <c r="GZ278" s="5" t="inlineStr">
        <is>
          <t xml:space="preserve">Spell Two</t>
        </is>
      </c>
      <c r="HA278" s="5">
        <v>0</v>
      </c>
      <c r="HB278" s="5" t="s">
        <v>366</v>
      </c>
      <c r="HC278" s="5" t="s">
        <v>366</v>
      </c>
      <c r="HD278" s="5" t="b">
        <v>1</v>
      </c>
      <c r="HE278" s="5">
        <v>5000</v>
      </c>
      <c r="HF278" s="5" t="b">
        <v>0</v>
      </c>
      <c r="HG278" s="5">
        <v>0</v>
      </c>
      <c r="HH278" s="5">
        <v>0</v>
      </c>
      <c r="HI278" s="5">
        <v>0</v>
      </c>
      <c r="HJ278" s="5">
        <v>0</v>
      </c>
      <c r="HK278" s="5" t="b">
        <v>0</v>
      </c>
      <c r="HL278" s="5">
        <v>0</v>
      </c>
      <c r="HM278" s="5">
        <v>10001</v>
      </c>
      <c r="HN278" s="5" t="s">
        <v>367</v>
      </c>
      <c r="HO278" s="5" t="s">
        <v>360</v>
      </c>
      <c r="HP278" s="5">
        <v>0</v>
      </c>
      <c r="HQ278" s="5">
        <v>0</v>
      </c>
      <c r="HR278" s="5">
        <v>0</v>
      </c>
      <c r="HS278" s="5">
        <v>0</v>
      </c>
      <c r="HT278" s="5" t="b">
        <v>0</v>
      </c>
      <c r="HU278">
        <v>30061</v>
      </c>
    </row>
    <row r="279" spans="1:229">
      <c r="A279"/>
      <c r="B279" s="1">
        <f>10000000+INDEX(编号表!$B$1:$B$112,MATCH(D279,编号表!$A$1:$A$112,0))*10000+I279</f>
        <v>10280003</v>
      </c>
      <c r="C279" s="5" t="s">
        <v>439</v>
      </c>
      <c r="D279" s="5" t="s">
        <v>439</v>
      </c>
      <c r="E279" s="5" t="s">
        <v>348</v>
      </c>
      <c r="F279" s="5" t="s">
        <v>362</v>
      </c>
      <c r="G279" s="5" t="b">
        <v>0</v>
      </c>
      <c r="H279" s="5" t="b">
        <v>0</v>
      </c>
      <c r="I279" s="5">
        <v>3</v>
      </c>
      <c r="J279" s="5">
        <v>102800</v>
      </c>
      <c r="K279" s="5" t="s">
        <v>350</v>
      </c>
      <c r="L279" s="5">
        <v>10280002</v>
      </c>
      <c r="M279" s="5">
        <v>10280004</v>
      </c>
      <c r="N279" s="5" t="s">
        <v>440</v>
      </c>
      <c r="O279" s="5">
        <v>10202027</v>
      </c>
      <c r="P279" s="5">
        <v>0</v>
      </c>
      <c r="Q279" s="5">
        <v>2</v>
      </c>
      <c r="R279" s="5">
        <v>11</v>
      </c>
      <c r="S279" s="5">
        <v>0</v>
      </c>
      <c r="T279" s="5">
        <v>100</v>
      </c>
      <c r="U279" s="5" t="s">
        <v>364</v>
      </c>
      <c r="V279" s="5">
        <v>0</v>
      </c>
      <c r="W279" s="5">
        <v>0</v>
      </c>
      <c r="X279" s="5" t="s">
        <v>370</v>
      </c>
      <c r="Y279" s="5" t="s">
        <v>365</v>
      </c>
      <c r="Z279" s="5" t="s">
        <v>424</v>
      </c>
      <c r="AA279" s="5">
        <v>1</v>
      </c>
      <c r="AB279" s="5">
        <v>0</v>
      </c>
      <c r="AC279" s="5" t="b">
        <v>1</v>
      </c>
      <c r="AD279" s="5" t="s">
        <v>355</v>
      </c>
      <c r="AE279" s="5">
        <v>80</v>
      </c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 t="s">
        <v>367</v>
      </c>
      <c r="AZ279" s="5">
        <v>10800</v>
      </c>
      <c r="BA279" s="5" t="s">
        <v>441</v>
      </c>
      <c r="BB279" s="5" t="s">
        <v>424</v>
      </c>
      <c r="BC279" s="5">
        <v>10000</v>
      </c>
      <c r="BD279" s="5">
        <v>0</v>
      </c>
      <c r="BE279" s="5" t="s">
        <v>358</v>
      </c>
      <c r="BF279" s="5">
        <v>0</v>
      </c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 t="s">
        <v>442</v>
      </c>
      <c r="CA279" s="5">
        <v>420</v>
      </c>
      <c r="CB279" s="5" t="s">
        <v>373</v>
      </c>
      <c r="CC279" s="5" t="s">
        <v>443</v>
      </c>
      <c r="CD279" s="5" t="b">
        <v>0</v>
      </c>
      <c r="CE279" s="5">
        <v>1400</v>
      </c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X279" s="5">
        <v>200</v>
      </c>
      <c r="GY279" s="5">
        <v>400</v>
      </c>
      <c r="GZ279" s="5" t="inlineStr">
        <is>
          <t xml:space="preserve">Spell Two</t>
        </is>
      </c>
      <c r="HA279" s="5">
        <v>0</v>
      </c>
      <c r="HB279" s="5" t="s">
        <v>366</v>
      </c>
      <c r="HC279" s="5" t="s">
        <v>366</v>
      </c>
      <c r="HD279" s="5" t="b">
        <v>1</v>
      </c>
      <c r="HE279" s="5">
        <v>5000</v>
      </c>
      <c r="HF279" s="5" t="b">
        <v>0</v>
      </c>
      <c r="HG279" s="5">
        <v>0</v>
      </c>
      <c r="HH279" s="5">
        <v>0</v>
      </c>
      <c r="HI279" s="5">
        <v>0</v>
      </c>
      <c r="HJ279" s="5">
        <v>0</v>
      </c>
      <c r="HK279" s="5" t="b">
        <v>0</v>
      </c>
      <c r="HL279" s="5">
        <v>0</v>
      </c>
      <c r="HM279" s="5">
        <v>10001</v>
      </c>
      <c r="HN279" s="5" t="s">
        <v>367</v>
      </c>
      <c r="HO279" s="5" t="s">
        <v>360</v>
      </c>
      <c r="HP279" s="5">
        <v>0</v>
      </c>
      <c r="HQ279" s="5">
        <v>0</v>
      </c>
      <c r="HR279" s="5">
        <v>0</v>
      </c>
      <c r="HS279" s="5">
        <v>0</v>
      </c>
      <c r="HT279" s="5" t="b">
        <v>0</v>
      </c>
      <c r="HU279">
        <v>30061</v>
      </c>
    </row>
    <row r="280" spans="1:229">
      <c r="A280"/>
      <c r="B280" s="1">
        <f>10000000+INDEX(编号表!$B$1:$B$112,MATCH(D280,编号表!$A$1:$A$112,0))*10000+I280</f>
        <v>10280004</v>
      </c>
      <c r="C280" s="5" t="s">
        <v>439</v>
      </c>
      <c r="D280" s="5" t="s">
        <v>439</v>
      </c>
      <c r="E280" s="5" t="s">
        <v>348</v>
      </c>
      <c r="F280" s="5" t="s">
        <v>362</v>
      </c>
      <c r="G280" s="5" t="b">
        <v>0</v>
      </c>
      <c r="H280" s="5" t="b">
        <v>0</v>
      </c>
      <c r="I280" s="5">
        <v>4</v>
      </c>
      <c r="J280" s="5">
        <v>102800</v>
      </c>
      <c r="K280" s="5" t="s">
        <v>350</v>
      </c>
      <c r="L280" s="5">
        <v>10280003</v>
      </c>
      <c r="M280" s="5">
        <v>10280005</v>
      </c>
      <c r="N280" s="5" t="s">
        <v>440</v>
      </c>
      <c r="O280" s="5">
        <v>10202027</v>
      </c>
      <c r="P280" s="5">
        <v>0</v>
      </c>
      <c r="Q280" s="5">
        <v>3</v>
      </c>
      <c r="R280" s="5">
        <v>16</v>
      </c>
      <c r="S280" s="5">
        <v>0</v>
      </c>
      <c r="T280" s="5">
        <v>100</v>
      </c>
      <c r="U280" s="5" t="s">
        <v>364</v>
      </c>
      <c r="V280" s="5">
        <v>0</v>
      </c>
      <c r="W280" s="5">
        <v>0</v>
      </c>
      <c r="X280" s="5" t="s">
        <v>370</v>
      </c>
      <c r="Y280" s="5" t="s">
        <v>365</v>
      </c>
      <c r="Z280" s="5" t="s">
        <v>424</v>
      </c>
      <c r="AA280" s="5">
        <v>1</v>
      </c>
      <c r="AB280" s="5">
        <v>0</v>
      </c>
      <c r="AC280" s="5" t="b">
        <v>1</v>
      </c>
      <c r="AD280" s="5" t="s">
        <v>355</v>
      </c>
      <c r="AE280" s="5">
        <v>80</v>
      </c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 t="s">
        <v>367</v>
      </c>
      <c r="AZ280" s="5">
        <v>11200</v>
      </c>
      <c r="BA280" s="5" t="s">
        <v>441</v>
      </c>
      <c r="BB280" s="5" t="s">
        <v>424</v>
      </c>
      <c r="BC280" s="5">
        <v>10000</v>
      </c>
      <c r="BD280" s="5">
        <v>0</v>
      </c>
      <c r="BE280" s="5" t="s">
        <v>358</v>
      </c>
      <c r="BF280" s="5">
        <v>0</v>
      </c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 t="s">
        <v>442</v>
      </c>
      <c r="CA280" s="5">
        <v>420</v>
      </c>
      <c r="CB280" s="5" t="s">
        <v>373</v>
      </c>
      <c r="CC280" s="5" t="s">
        <v>443</v>
      </c>
      <c r="CD280" s="5" t="b">
        <v>0</v>
      </c>
      <c r="CE280" s="5">
        <v>1400</v>
      </c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X280" s="5">
        <v>200</v>
      </c>
      <c r="GY280" s="5">
        <v>400</v>
      </c>
      <c r="GZ280" s="5" t="inlineStr">
        <is>
          <t xml:space="preserve">Spell Two</t>
        </is>
      </c>
      <c r="HA280" s="5">
        <v>0</v>
      </c>
      <c r="HB280" s="5" t="s">
        <v>366</v>
      </c>
      <c r="HC280" s="5" t="s">
        <v>366</v>
      </c>
      <c r="HD280" s="5" t="b">
        <v>1</v>
      </c>
      <c r="HE280" s="5">
        <v>5000</v>
      </c>
      <c r="HF280" s="5" t="b">
        <v>0</v>
      </c>
      <c r="HG280" s="5">
        <v>0</v>
      </c>
      <c r="HH280" s="5">
        <v>0</v>
      </c>
      <c r="HI280" s="5">
        <v>0</v>
      </c>
      <c r="HJ280" s="5">
        <v>0</v>
      </c>
      <c r="HK280" s="5" t="b">
        <v>0</v>
      </c>
      <c r="HL280" s="5">
        <v>0</v>
      </c>
      <c r="HM280" s="5">
        <v>10001</v>
      </c>
      <c r="HN280" s="5" t="s">
        <v>367</v>
      </c>
      <c r="HO280" s="5" t="s">
        <v>360</v>
      </c>
      <c r="HP280" s="5">
        <v>0</v>
      </c>
      <c r="HQ280" s="5">
        <v>0</v>
      </c>
      <c r="HR280" s="5">
        <v>0</v>
      </c>
      <c r="HS280" s="5">
        <v>0</v>
      </c>
      <c r="HT280" s="5" t="b">
        <v>0</v>
      </c>
      <c r="HU280">
        <v>30061</v>
      </c>
    </row>
    <row r="281" spans="1:229">
      <c r="A281"/>
      <c r="B281" s="1">
        <f>10000000+INDEX(编号表!$B$1:$B$112,MATCH(D281,编号表!$A$1:$A$112,0))*10000+I281</f>
        <v>10280005</v>
      </c>
      <c r="C281" s="5" t="s">
        <v>439</v>
      </c>
      <c r="D281" s="5" t="s">
        <v>439</v>
      </c>
      <c r="E281" s="5" t="s">
        <v>348</v>
      </c>
      <c r="F281" s="5" t="s">
        <v>362</v>
      </c>
      <c r="G281" s="5" t="b">
        <v>0</v>
      </c>
      <c r="H281" s="5" t="b">
        <v>0</v>
      </c>
      <c r="I281" s="5">
        <v>5</v>
      </c>
      <c r="J281" s="5">
        <v>102800</v>
      </c>
      <c r="K281" s="5" t="s">
        <v>350</v>
      </c>
      <c r="L281" s="5">
        <v>10280004</v>
      </c>
      <c r="M281" s="5">
        <v>10280006</v>
      </c>
      <c r="N281" s="5" t="s">
        <v>440</v>
      </c>
      <c r="O281" s="5">
        <v>10202027</v>
      </c>
      <c r="P281" s="5">
        <v>0</v>
      </c>
      <c r="Q281" s="5">
        <v>3</v>
      </c>
      <c r="R281" s="5">
        <v>25</v>
      </c>
      <c r="S281" s="5">
        <v>0</v>
      </c>
      <c r="T281" s="5">
        <v>100</v>
      </c>
      <c r="U281" s="5" t="s">
        <v>364</v>
      </c>
      <c r="V281" s="5">
        <v>0</v>
      </c>
      <c r="W281" s="5">
        <v>0</v>
      </c>
      <c r="X281" s="5" t="s">
        <v>370</v>
      </c>
      <c r="Y281" s="5" t="s">
        <v>365</v>
      </c>
      <c r="Z281" s="5" t="s">
        <v>424</v>
      </c>
      <c r="AA281" s="5">
        <v>1</v>
      </c>
      <c r="AB281" s="5">
        <v>0</v>
      </c>
      <c r="AC281" s="5" t="b">
        <v>1</v>
      </c>
      <c r="AD281" s="5" t="s">
        <v>355</v>
      </c>
      <c r="AE281" s="5">
        <v>80</v>
      </c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 t="s">
        <v>367</v>
      </c>
      <c r="AZ281" s="5">
        <v>11300</v>
      </c>
      <c r="BA281" s="5" t="s">
        <v>441</v>
      </c>
      <c r="BB281" s="5" t="s">
        <v>424</v>
      </c>
      <c r="BC281" s="5">
        <v>10000</v>
      </c>
      <c r="BD281" s="5">
        <v>0</v>
      </c>
      <c r="BE281" s="5" t="s">
        <v>358</v>
      </c>
      <c r="BF281" s="5">
        <v>0</v>
      </c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 t="s">
        <v>442</v>
      </c>
      <c r="CA281" s="5">
        <v>420</v>
      </c>
      <c r="CB281" s="5" t="s">
        <v>373</v>
      </c>
      <c r="CC281" s="5" t="s">
        <v>443</v>
      </c>
      <c r="CD281" s="5" t="b">
        <v>0</v>
      </c>
      <c r="CE281" s="5">
        <v>1400</v>
      </c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X281" s="5">
        <v>200</v>
      </c>
      <c r="GY281" s="5">
        <v>400</v>
      </c>
      <c r="GZ281" s="5" t="inlineStr">
        <is>
          <t xml:space="preserve">Spell Two</t>
        </is>
      </c>
      <c r="HA281" s="5">
        <v>0</v>
      </c>
      <c r="HB281" s="5" t="s">
        <v>366</v>
      </c>
      <c r="HC281" s="5" t="s">
        <v>366</v>
      </c>
      <c r="HD281" s="5" t="b">
        <v>1</v>
      </c>
      <c r="HE281" s="5">
        <v>5000</v>
      </c>
      <c r="HF281" s="5" t="b">
        <v>0</v>
      </c>
      <c r="HG281" s="5">
        <v>0</v>
      </c>
      <c r="HH281" s="5">
        <v>0</v>
      </c>
      <c r="HI281" s="5">
        <v>0</v>
      </c>
      <c r="HJ281" s="5">
        <v>0</v>
      </c>
      <c r="HK281" s="5" t="b">
        <v>0</v>
      </c>
      <c r="HL281" s="5">
        <v>0</v>
      </c>
      <c r="HM281" s="5">
        <v>10001</v>
      </c>
      <c r="HN281" s="5" t="s">
        <v>367</v>
      </c>
      <c r="HO281" s="5" t="s">
        <v>360</v>
      </c>
      <c r="HP281" s="5">
        <v>0</v>
      </c>
      <c r="HQ281" s="5">
        <v>0</v>
      </c>
      <c r="HR281" s="5">
        <v>0</v>
      </c>
      <c r="HS281" s="5">
        <v>0</v>
      </c>
      <c r="HT281" s="5" t="b">
        <v>0</v>
      </c>
      <c r="HU281">
        <v>30061</v>
      </c>
    </row>
    <row r="282" spans="1:229">
      <c r="A282"/>
      <c r="B282" s="1">
        <f>10000000+INDEX(编号表!$B$1:$B$112,MATCH(D282,编号表!$A$1:$A$112,0))*10000+I282</f>
        <v>10280006</v>
      </c>
      <c r="C282" s="5" t="s">
        <v>439</v>
      </c>
      <c r="D282" s="5" t="s">
        <v>439</v>
      </c>
      <c r="E282" s="5" t="s">
        <v>348</v>
      </c>
      <c r="F282" s="5" t="s">
        <v>362</v>
      </c>
      <c r="G282" s="5" t="b">
        <v>0</v>
      </c>
      <c r="H282" s="5" t="b">
        <v>0</v>
      </c>
      <c r="I282" s="5">
        <v>6</v>
      </c>
      <c r="J282" s="5">
        <v>102800</v>
      </c>
      <c r="K282" s="5" t="s">
        <v>350</v>
      </c>
      <c r="L282" s="5">
        <v>10280005</v>
      </c>
      <c r="M282" s="5">
        <v>10280007</v>
      </c>
      <c r="N282" s="5" t="s">
        <v>440</v>
      </c>
      <c r="O282" s="5">
        <v>10202027</v>
      </c>
      <c r="P282" s="5">
        <v>0</v>
      </c>
      <c r="Q282" s="5">
        <v>3</v>
      </c>
      <c r="R282" s="5">
        <v>30</v>
      </c>
      <c r="S282" s="5">
        <v>0</v>
      </c>
      <c r="T282" s="5">
        <v>100</v>
      </c>
      <c r="U282" s="5" t="s">
        <v>364</v>
      </c>
      <c r="V282" s="5">
        <v>0</v>
      </c>
      <c r="W282" s="5">
        <v>0</v>
      </c>
      <c r="X282" s="5" t="s">
        <v>370</v>
      </c>
      <c r="Y282" s="5" t="s">
        <v>365</v>
      </c>
      <c r="Z282" s="5" t="s">
        <v>424</v>
      </c>
      <c r="AA282" s="5">
        <v>1</v>
      </c>
      <c r="AB282" s="5">
        <v>0</v>
      </c>
      <c r="AC282" s="5" t="b">
        <v>1</v>
      </c>
      <c r="AD282" s="5" t="s">
        <v>355</v>
      </c>
      <c r="AE282" s="5">
        <v>80</v>
      </c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 t="s">
        <v>367</v>
      </c>
      <c r="AZ282" s="5">
        <v>11600</v>
      </c>
      <c r="BA282" s="5" t="s">
        <v>441</v>
      </c>
      <c r="BB282" s="5" t="s">
        <v>424</v>
      </c>
      <c r="BC282" s="5">
        <v>10000</v>
      </c>
      <c r="BD282" s="5">
        <v>0</v>
      </c>
      <c r="BE282" s="5" t="s">
        <v>358</v>
      </c>
      <c r="BF282" s="5">
        <v>0</v>
      </c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 t="s">
        <v>442</v>
      </c>
      <c r="CA282" s="5">
        <v>420</v>
      </c>
      <c r="CB282" s="5" t="s">
        <v>373</v>
      </c>
      <c r="CC282" s="5" t="s">
        <v>443</v>
      </c>
      <c r="CD282" s="5" t="b">
        <v>0</v>
      </c>
      <c r="CE282" s="5">
        <v>1400</v>
      </c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X282" s="5">
        <v>200</v>
      </c>
      <c r="GY282" s="5">
        <v>400</v>
      </c>
      <c r="GZ282" s="5" t="inlineStr">
        <is>
          <t xml:space="preserve">Spell Two</t>
        </is>
      </c>
      <c r="HA282" s="5">
        <v>0</v>
      </c>
      <c r="HB282" s="5" t="s">
        <v>366</v>
      </c>
      <c r="HC282" s="5" t="s">
        <v>366</v>
      </c>
      <c r="HD282" s="5" t="b">
        <v>1</v>
      </c>
      <c r="HE282" s="5">
        <v>5000</v>
      </c>
      <c r="HF282" s="5" t="b">
        <v>0</v>
      </c>
      <c r="HG282" s="5">
        <v>0</v>
      </c>
      <c r="HH282" s="5">
        <v>0</v>
      </c>
      <c r="HI282" s="5">
        <v>0</v>
      </c>
      <c r="HJ282" s="5">
        <v>0</v>
      </c>
      <c r="HK282" s="5" t="b">
        <v>0</v>
      </c>
      <c r="HL282" s="5">
        <v>0</v>
      </c>
      <c r="HM282" s="5">
        <v>10001</v>
      </c>
      <c r="HN282" s="5" t="s">
        <v>367</v>
      </c>
      <c r="HO282" s="5" t="s">
        <v>360</v>
      </c>
      <c r="HP282" s="5">
        <v>0</v>
      </c>
      <c r="HQ282" s="5">
        <v>0</v>
      </c>
      <c r="HR282" s="5">
        <v>0</v>
      </c>
      <c r="HS282" s="5">
        <v>0</v>
      </c>
      <c r="HT282" s="5" t="b">
        <v>0</v>
      </c>
      <c r="HU282">
        <v>30061</v>
      </c>
    </row>
    <row r="283" spans="1:229">
      <c r="A283"/>
      <c r="B283" s="1">
        <f>10000000+INDEX(编号表!$B$1:$B$112,MATCH(D283,编号表!$A$1:$A$112,0))*10000+I283</f>
        <v>10280007</v>
      </c>
      <c r="C283" s="5" t="s">
        <v>439</v>
      </c>
      <c r="D283" s="5" t="s">
        <v>439</v>
      </c>
      <c r="E283" s="5" t="s">
        <v>348</v>
      </c>
      <c r="F283" s="5" t="s">
        <v>362</v>
      </c>
      <c r="G283" s="5" t="b">
        <v>0</v>
      </c>
      <c r="H283" s="5" t="b">
        <v>0</v>
      </c>
      <c r="I283" s="5">
        <v>7</v>
      </c>
      <c r="J283" s="5">
        <v>102800</v>
      </c>
      <c r="K283" s="5" t="s">
        <v>350</v>
      </c>
      <c r="L283" s="5">
        <v>10280006</v>
      </c>
      <c r="M283" s="5">
        <v>10280008</v>
      </c>
      <c r="N283" s="5" t="s">
        <v>440</v>
      </c>
      <c r="O283" s="5">
        <v>10202027</v>
      </c>
      <c r="P283" s="5">
        <v>0</v>
      </c>
      <c r="Q283" s="5">
        <v>3</v>
      </c>
      <c r="R283" s="5">
        <v>35</v>
      </c>
      <c r="S283" s="5">
        <v>0</v>
      </c>
      <c r="T283" s="5">
        <v>100</v>
      </c>
      <c r="U283" s="5" t="s">
        <v>364</v>
      </c>
      <c r="V283" s="5">
        <v>0</v>
      </c>
      <c r="W283" s="5">
        <v>0</v>
      </c>
      <c r="X283" s="5" t="s">
        <v>370</v>
      </c>
      <c r="Y283" s="5" t="s">
        <v>365</v>
      </c>
      <c r="Z283" s="5" t="s">
        <v>424</v>
      </c>
      <c r="AA283" s="5">
        <v>1</v>
      </c>
      <c r="AB283" s="5">
        <v>0</v>
      </c>
      <c r="AC283" s="5" t="b">
        <v>1</v>
      </c>
      <c r="AD283" s="5" t="s">
        <v>355</v>
      </c>
      <c r="AE283" s="5">
        <v>80</v>
      </c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 t="s">
        <v>367</v>
      </c>
      <c r="AZ283" s="5">
        <v>11700</v>
      </c>
      <c r="BA283" s="5" t="s">
        <v>441</v>
      </c>
      <c r="BB283" s="5" t="s">
        <v>424</v>
      </c>
      <c r="BC283" s="5">
        <v>10000</v>
      </c>
      <c r="BD283" s="5">
        <v>0</v>
      </c>
      <c r="BE283" s="5" t="s">
        <v>358</v>
      </c>
      <c r="BF283" s="5">
        <v>0</v>
      </c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 t="s">
        <v>442</v>
      </c>
      <c r="CA283" s="5">
        <v>420</v>
      </c>
      <c r="CB283" s="5" t="s">
        <v>373</v>
      </c>
      <c r="CC283" s="5" t="s">
        <v>443</v>
      </c>
      <c r="CD283" s="5" t="b">
        <v>0</v>
      </c>
      <c r="CE283" s="5">
        <v>1400</v>
      </c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X283" s="5">
        <v>200</v>
      </c>
      <c r="GY283" s="5">
        <v>400</v>
      </c>
      <c r="GZ283" s="5" t="inlineStr">
        <is>
          <t xml:space="preserve">Spell Two</t>
        </is>
      </c>
      <c r="HA283" s="5">
        <v>0</v>
      </c>
      <c r="HB283" s="5" t="s">
        <v>366</v>
      </c>
      <c r="HC283" s="5" t="s">
        <v>366</v>
      </c>
      <c r="HD283" s="5" t="b">
        <v>1</v>
      </c>
      <c r="HE283" s="5">
        <v>5000</v>
      </c>
      <c r="HF283" s="5" t="b">
        <v>0</v>
      </c>
      <c r="HG283" s="5">
        <v>0</v>
      </c>
      <c r="HH283" s="5">
        <v>0</v>
      </c>
      <c r="HI283" s="5">
        <v>0</v>
      </c>
      <c r="HJ283" s="5">
        <v>0</v>
      </c>
      <c r="HK283" s="5" t="b">
        <v>0</v>
      </c>
      <c r="HL283" s="5">
        <v>0</v>
      </c>
      <c r="HM283" s="5">
        <v>10001</v>
      </c>
      <c r="HN283" s="5" t="s">
        <v>367</v>
      </c>
      <c r="HO283" s="5" t="s">
        <v>360</v>
      </c>
      <c r="HP283" s="5">
        <v>0</v>
      </c>
      <c r="HQ283" s="5">
        <v>0</v>
      </c>
      <c r="HR283" s="5">
        <v>0</v>
      </c>
      <c r="HS283" s="5">
        <v>0</v>
      </c>
      <c r="HT283" s="5" t="b">
        <v>0</v>
      </c>
      <c r="HU283">
        <v>30061</v>
      </c>
    </row>
    <row r="284" spans="1:229">
      <c r="A284"/>
      <c r="B284" s="1">
        <f>10000000+INDEX(编号表!$B$1:$B$112,MATCH(D284,编号表!$A$1:$A$112,0))*10000+I284</f>
        <v>10280008</v>
      </c>
      <c r="C284" s="5" t="s">
        <v>439</v>
      </c>
      <c r="D284" s="5" t="s">
        <v>439</v>
      </c>
      <c r="E284" s="5" t="s">
        <v>348</v>
      </c>
      <c r="F284" s="5" t="s">
        <v>362</v>
      </c>
      <c r="G284" s="5" t="b">
        <v>0</v>
      </c>
      <c r="H284" s="5" t="b">
        <v>0</v>
      </c>
      <c r="I284" s="5">
        <v>8</v>
      </c>
      <c r="J284" s="5">
        <v>102800</v>
      </c>
      <c r="K284" s="5" t="s">
        <v>350</v>
      </c>
      <c r="L284" s="5">
        <v>10280007</v>
      </c>
      <c r="M284" s="5">
        <v>10280009</v>
      </c>
      <c r="N284" s="5" t="s">
        <v>440</v>
      </c>
      <c r="O284" s="5">
        <v>10202027</v>
      </c>
      <c r="P284" s="5">
        <v>0</v>
      </c>
      <c r="Q284" s="5">
        <v>3</v>
      </c>
      <c r="R284" s="5">
        <v>35</v>
      </c>
      <c r="S284" s="5">
        <v>0</v>
      </c>
      <c r="T284" s="5">
        <v>100</v>
      </c>
      <c r="U284" s="5" t="s">
        <v>364</v>
      </c>
      <c r="V284" s="5">
        <v>0</v>
      </c>
      <c r="W284" s="5">
        <v>0</v>
      </c>
      <c r="X284" s="5" t="s">
        <v>370</v>
      </c>
      <c r="Y284" s="5" t="s">
        <v>365</v>
      </c>
      <c r="Z284" s="5" t="s">
        <v>424</v>
      </c>
      <c r="AA284" s="5">
        <v>1</v>
      </c>
      <c r="AB284" s="5">
        <v>0</v>
      </c>
      <c r="AC284" s="5" t="b">
        <v>1</v>
      </c>
      <c r="AD284" s="5" t="s">
        <v>355</v>
      </c>
      <c r="AE284" s="5">
        <v>80</v>
      </c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 t="s">
        <v>367</v>
      </c>
      <c r="AZ284" s="5">
        <v>11800</v>
      </c>
      <c r="BA284" s="5" t="s">
        <v>441</v>
      </c>
      <c r="BB284" s="5" t="s">
        <v>424</v>
      </c>
      <c r="BC284" s="5">
        <v>10000</v>
      </c>
      <c r="BD284" s="5">
        <v>0</v>
      </c>
      <c r="BE284" s="5" t="s">
        <v>358</v>
      </c>
      <c r="BF284" s="5">
        <v>0</v>
      </c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 t="s">
        <v>442</v>
      </c>
      <c r="CA284" s="5">
        <v>420</v>
      </c>
      <c r="CB284" s="5" t="s">
        <v>373</v>
      </c>
      <c r="CC284" s="5" t="s">
        <v>443</v>
      </c>
      <c r="CD284" s="5" t="b">
        <v>0</v>
      </c>
      <c r="CE284" s="5">
        <v>1400</v>
      </c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X284" s="5">
        <v>200</v>
      </c>
      <c r="GY284" s="5">
        <v>400</v>
      </c>
      <c r="GZ284" s="5" t="inlineStr">
        <is>
          <t xml:space="preserve">Spell Two</t>
        </is>
      </c>
      <c r="HA284" s="5">
        <v>0</v>
      </c>
      <c r="HB284" s="5" t="s">
        <v>366</v>
      </c>
      <c r="HC284" s="5" t="s">
        <v>366</v>
      </c>
      <c r="HD284" s="5" t="b">
        <v>1</v>
      </c>
      <c r="HE284" s="5">
        <v>5000</v>
      </c>
      <c r="HF284" s="5" t="b">
        <v>0</v>
      </c>
      <c r="HG284" s="5">
        <v>0</v>
      </c>
      <c r="HH284" s="5">
        <v>0</v>
      </c>
      <c r="HI284" s="5">
        <v>0</v>
      </c>
      <c r="HJ284" s="5">
        <v>0</v>
      </c>
      <c r="HK284" s="5" t="b">
        <v>0</v>
      </c>
      <c r="HL284" s="5">
        <v>0</v>
      </c>
      <c r="HM284" s="5">
        <v>10001</v>
      </c>
      <c r="HN284" s="5" t="s">
        <v>367</v>
      </c>
      <c r="HO284" s="5" t="s">
        <v>360</v>
      </c>
      <c r="HP284" s="5">
        <v>0</v>
      </c>
      <c r="HQ284" s="5">
        <v>0</v>
      </c>
      <c r="HR284" s="5">
        <v>0</v>
      </c>
      <c r="HS284" s="5">
        <v>0</v>
      </c>
      <c r="HT284" s="5" t="b">
        <v>0</v>
      </c>
      <c r="HU284">
        <v>30061</v>
      </c>
    </row>
    <row r="285" spans="1:229">
      <c r="A285"/>
      <c r="B285" s="1">
        <f>10000000+INDEX(编号表!$B$1:$B$112,MATCH(D285,编号表!$A$1:$A$112,0))*10000+I285</f>
        <v>10280009</v>
      </c>
      <c r="C285" s="5" t="s">
        <v>439</v>
      </c>
      <c r="D285" s="5" t="s">
        <v>439</v>
      </c>
      <c r="E285" s="5" t="s">
        <v>348</v>
      </c>
      <c r="F285" s="5" t="s">
        <v>362</v>
      </c>
      <c r="G285" s="5" t="b">
        <v>0</v>
      </c>
      <c r="H285" s="5" t="b">
        <v>0</v>
      </c>
      <c r="I285" s="5">
        <v>9</v>
      </c>
      <c r="J285" s="5">
        <v>102800</v>
      </c>
      <c r="K285" s="5" t="s">
        <v>350</v>
      </c>
      <c r="L285" s="5">
        <v>10280008</v>
      </c>
      <c r="M285" s="5">
        <v>10280010</v>
      </c>
      <c r="N285" s="5" t="s">
        <v>440</v>
      </c>
      <c r="O285" s="5">
        <v>10202027</v>
      </c>
      <c r="P285" s="5">
        <v>0</v>
      </c>
      <c r="Q285" s="5">
        <v>3</v>
      </c>
      <c r="R285" s="5">
        <v>40</v>
      </c>
      <c r="S285" s="5">
        <v>0</v>
      </c>
      <c r="T285" s="5">
        <v>100</v>
      </c>
      <c r="U285" s="5" t="s">
        <v>364</v>
      </c>
      <c r="V285" s="5">
        <v>0</v>
      </c>
      <c r="W285" s="5">
        <v>0</v>
      </c>
      <c r="X285" s="5" t="s">
        <v>370</v>
      </c>
      <c r="Y285" s="5" t="s">
        <v>365</v>
      </c>
      <c r="Z285" s="5" t="s">
        <v>424</v>
      </c>
      <c r="AA285" s="5">
        <v>1</v>
      </c>
      <c r="AB285" s="5">
        <v>0</v>
      </c>
      <c r="AC285" s="5" t="b">
        <v>1</v>
      </c>
      <c r="AD285" s="5" t="s">
        <v>355</v>
      </c>
      <c r="AE285" s="5">
        <v>80</v>
      </c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 t="s">
        <v>367</v>
      </c>
      <c r="AZ285" s="5">
        <v>11900</v>
      </c>
      <c r="BA285" s="5" t="s">
        <v>441</v>
      </c>
      <c r="BB285" s="5" t="s">
        <v>424</v>
      </c>
      <c r="BC285" s="5">
        <v>10000</v>
      </c>
      <c r="BD285" s="5">
        <v>0</v>
      </c>
      <c r="BE285" s="5" t="s">
        <v>358</v>
      </c>
      <c r="BF285" s="5">
        <v>0</v>
      </c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 t="s">
        <v>442</v>
      </c>
      <c r="CA285" s="5">
        <v>420</v>
      </c>
      <c r="CB285" s="5" t="s">
        <v>373</v>
      </c>
      <c r="CC285" s="5" t="s">
        <v>443</v>
      </c>
      <c r="CD285" s="5" t="b">
        <v>0</v>
      </c>
      <c r="CE285" s="5">
        <v>1400</v>
      </c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X285" s="5">
        <v>200</v>
      </c>
      <c r="GY285" s="5">
        <v>400</v>
      </c>
      <c r="GZ285" s="5" t="inlineStr">
        <is>
          <t xml:space="preserve">Spell Two</t>
        </is>
      </c>
      <c r="HA285" s="5">
        <v>0</v>
      </c>
      <c r="HB285" s="5" t="s">
        <v>366</v>
      </c>
      <c r="HC285" s="5" t="s">
        <v>366</v>
      </c>
      <c r="HD285" s="5" t="b">
        <v>1</v>
      </c>
      <c r="HE285" s="5">
        <v>5000</v>
      </c>
      <c r="HF285" s="5" t="b">
        <v>0</v>
      </c>
      <c r="HG285" s="5">
        <v>0</v>
      </c>
      <c r="HH285" s="5">
        <v>0</v>
      </c>
      <c r="HI285" s="5">
        <v>0</v>
      </c>
      <c r="HJ285" s="5">
        <v>0</v>
      </c>
      <c r="HK285" s="5" t="b">
        <v>0</v>
      </c>
      <c r="HL285" s="5">
        <v>0</v>
      </c>
      <c r="HM285" s="5">
        <v>10001</v>
      </c>
      <c r="HN285" s="5" t="s">
        <v>367</v>
      </c>
      <c r="HO285" s="5" t="s">
        <v>360</v>
      </c>
      <c r="HP285" s="5">
        <v>0</v>
      </c>
      <c r="HQ285" s="5">
        <v>0</v>
      </c>
      <c r="HR285" s="5">
        <v>0</v>
      </c>
      <c r="HS285" s="5">
        <v>0</v>
      </c>
      <c r="HT285" s="5" t="b">
        <v>0</v>
      </c>
      <c r="HU285">
        <v>30061</v>
      </c>
    </row>
    <row r="286" spans="1:229">
      <c r="A286"/>
      <c r="B286" s="1">
        <f>10000000+INDEX(编号表!$B$1:$B$112,MATCH(D286,编号表!$A$1:$A$112,0))*10000+I286</f>
        <v>10280010</v>
      </c>
      <c r="C286" s="5" t="s">
        <v>439</v>
      </c>
      <c r="D286" s="5" t="s">
        <v>439</v>
      </c>
      <c r="E286" s="5" t="s">
        <v>348</v>
      </c>
      <c r="F286" s="5" t="s">
        <v>362</v>
      </c>
      <c r="G286" s="5" t="b">
        <v>0</v>
      </c>
      <c r="H286" s="5" t="b">
        <v>0</v>
      </c>
      <c r="I286" s="5">
        <v>10</v>
      </c>
      <c r="J286" s="5">
        <v>102800</v>
      </c>
      <c r="K286" s="5" t="s">
        <v>350</v>
      </c>
      <c r="L286" s="5">
        <v>10280009</v>
      </c>
      <c r="M286" s="5">
        <v>0</v>
      </c>
      <c r="N286" s="5" t="s">
        <v>440</v>
      </c>
      <c r="O286" s="5">
        <v>10202027</v>
      </c>
      <c r="P286" s="5">
        <v>0</v>
      </c>
      <c r="Q286" s="5">
        <v>3</v>
      </c>
      <c r="R286" s="5">
        <v>40</v>
      </c>
      <c r="S286" s="5">
        <v>0</v>
      </c>
      <c r="T286" s="5">
        <v>0</v>
      </c>
      <c r="U286" s="5" t="s">
        <v>364</v>
      </c>
      <c r="V286" s="5">
        <v>0</v>
      </c>
      <c r="W286" s="5">
        <v>0</v>
      </c>
      <c r="X286" s="5" t="s">
        <v>370</v>
      </c>
      <c r="Y286" s="5" t="s">
        <v>365</v>
      </c>
      <c r="Z286" s="5" t="s">
        <v>424</v>
      </c>
      <c r="AA286" s="5">
        <v>1</v>
      </c>
      <c r="AB286" s="5">
        <v>0</v>
      </c>
      <c r="AC286" s="5" t="b">
        <v>1</v>
      </c>
      <c r="AD286" s="5" t="s">
        <v>355</v>
      </c>
      <c r="AE286" s="5">
        <v>80</v>
      </c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 t="s">
        <v>367</v>
      </c>
      <c r="AZ286" s="5">
        <v>12000</v>
      </c>
      <c r="BA286" s="5" t="s">
        <v>441</v>
      </c>
      <c r="BB286" s="5" t="s">
        <v>424</v>
      </c>
      <c r="BC286" s="5">
        <v>10000</v>
      </c>
      <c r="BD286" s="5">
        <v>0</v>
      </c>
      <c r="BE286" s="5" t="s">
        <v>358</v>
      </c>
      <c r="BF286" s="5">
        <v>0</v>
      </c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 t="s">
        <v>442</v>
      </c>
      <c r="CA286" s="5">
        <v>420</v>
      </c>
      <c r="CB286" s="5" t="s">
        <v>373</v>
      </c>
      <c r="CC286" s="5" t="s">
        <v>443</v>
      </c>
      <c r="CD286" s="5" t="b">
        <v>0</v>
      </c>
      <c r="CE286" s="5">
        <v>1400</v>
      </c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X286" s="5">
        <v>200</v>
      </c>
      <c r="GY286" s="5">
        <v>400</v>
      </c>
      <c r="GZ286" s="5" t="inlineStr">
        <is>
          <t xml:space="preserve">Spell Two</t>
        </is>
      </c>
      <c r="HA286" s="5">
        <v>0</v>
      </c>
      <c r="HB286" s="5" t="s">
        <v>366</v>
      </c>
      <c r="HC286" s="5" t="s">
        <v>366</v>
      </c>
      <c r="HD286" s="5" t="b">
        <v>1</v>
      </c>
      <c r="HE286" s="5">
        <v>5000</v>
      </c>
      <c r="HF286" s="5" t="b">
        <v>0</v>
      </c>
      <c r="HG286" s="5">
        <v>0</v>
      </c>
      <c r="HH286" s="5">
        <v>0</v>
      </c>
      <c r="HI286" s="5">
        <v>0</v>
      </c>
      <c r="HJ286" s="5">
        <v>0</v>
      </c>
      <c r="HK286" s="5" t="b">
        <v>0</v>
      </c>
      <c r="HL286" s="5">
        <v>0</v>
      </c>
      <c r="HM286" s="5">
        <v>10001</v>
      </c>
      <c r="HN286" s="5" t="s">
        <v>367</v>
      </c>
      <c r="HO286" s="5" t="s">
        <v>360</v>
      </c>
      <c r="HP286" s="5">
        <v>0</v>
      </c>
      <c r="HQ286" s="5">
        <v>0</v>
      </c>
      <c r="HR286" s="5">
        <v>0</v>
      </c>
      <c r="HS286" s="5">
        <v>0</v>
      </c>
      <c r="HT286" s="5" t="b">
        <v>0</v>
      </c>
      <c r="HU286">
        <v>30061</v>
      </c>
    </row>
    <row r="287" spans="1:229">
      <c r="B287" s="1">
        <f>10000000+INDEX(编号表!$B$1:$B$112,MATCH(D287,编号表!$A$1:$A$112,0))*10000+I287</f>
        <v>10500001</v>
      </c>
      <c r="C287" s="1" t="s">
        <v>445</v>
      </c>
      <c r="D287" s="1" t="s">
        <v>446</v>
      </c>
      <c r="E287" s="1" t="s">
        <v>447</v>
      </c>
      <c r="F287" s="1" t="s">
        <v>446</v>
      </c>
      <c r="G287" s="1">
        <v>1</v>
      </c>
      <c r="H287" s="1" t="b">
        <v>0</v>
      </c>
      <c r="I287" s="1">
        <v>1</v>
      </c>
      <c r="J287" s="1" t="str">
        <f t="shared" ref="J287:J342" si="7">LEFT(B287,6)</f>
        <v>105000</v>
      </c>
      <c r="K287" s="1" t="s">
        <v>350</v>
      </c>
      <c r="M287" s="1">
        <f t="shared" ref="M287:M293" si="8">B288</f>
        <v>10500002</v>
      </c>
      <c r="N287" s="1" t="s">
        <v>448</v>
      </c>
      <c r="O287" s="1">
        <v>11002000</v>
      </c>
      <c r="P287" s="1">
        <v>0</v>
      </c>
      <c r="Q287" s="1">
        <v>0</v>
      </c>
      <c r="R287" s="1">
        <v>1</v>
      </c>
      <c r="T287" s="1">
        <v>100</v>
      </c>
      <c r="V287" s="1">
        <v>0</v>
      </c>
      <c r="W287" s="1">
        <v>0</v>
      </c>
      <c r="X287" s="1" t="s">
        <v>360</v>
      </c>
      <c r="Y287" s="1" t="s">
        <v>376</v>
      </c>
      <c r="Z287" s="1" t="s">
        <v>424</v>
      </c>
      <c r="AA287" s="1">
        <v>1</v>
      </c>
      <c r="AB287" s="1">
        <v>0</v>
      </c>
      <c r="AC287" s="1">
        <v>1</v>
      </c>
      <c r="AD287" s="1" t="s">
        <v>360</v>
      </c>
      <c r="AY287" s="1">
        <v>191</v>
      </c>
      <c r="AZ287" s="1">
        <v>0</v>
      </c>
      <c r="GX287" s="1">
        <v>0</v>
      </c>
      <c r="GY287" s="1">
        <v>0</v>
      </c>
      <c r="GZ287" s="1" t="s">
        <v>449</v>
      </c>
      <c r="HA287" s="1">
        <v>0</v>
      </c>
      <c r="HD287" s="1">
        <v>0</v>
      </c>
      <c r="HF287" s="1">
        <v>0</v>
      </c>
      <c r="HG287" s="1">
        <v>0</v>
      </c>
      <c r="HH287" s="1">
        <v>0</v>
      </c>
      <c r="HI287" s="1">
        <v>0</v>
      </c>
      <c r="HJ287" s="1">
        <v>0</v>
      </c>
      <c r="HK287" s="1" t="b">
        <v>0</v>
      </c>
      <c r="HM287" s="1">
        <v>0</v>
      </c>
      <c r="HO287" s="1" t="s">
        <v>360</v>
      </c>
      <c r="HP287" s="1">
        <v>0</v>
      </c>
      <c r="HQ287" s="1">
        <v>0</v>
      </c>
      <c r="HR287" s="1">
        <v>0</v>
      </c>
    </row>
    <row r="288" spans="1:229">
      <c r="B288" s="1">
        <f>10000000+INDEX(编号表!$B$1:$B$112,MATCH(D288,编号表!$A$1:$A$112,0))*10000+I288</f>
        <v>10500002</v>
      </c>
      <c r="C288" s="1" t="s">
        <v>445</v>
      </c>
      <c r="D288" s="1" t="s">
        <v>446</v>
      </c>
      <c r="E288" s="1" t="s">
        <v>447</v>
      </c>
      <c r="F288" s="1" t="s">
        <v>446</v>
      </c>
      <c r="G288" s="1">
        <v>1</v>
      </c>
      <c r="H288" s="1" t="b">
        <v>0</v>
      </c>
      <c r="I288" s="1">
        <v>2</v>
      </c>
      <c r="J288" s="1" t="str">
        <f t="shared" si="7"/>
        <v>105000</v>
      </c>
      <c r="K288" s="1" t="s">
        <v>350</v>
      </c>
      <c r="L288" s="1">
        <f t="shared" ref="L288:L294" si="9">B287</f>
        <v>10500001</v>
      </c>
      <c r="M288" s="1">
        <f t="shared" si="8"/>
        <v>10500003</v>
      </c>
      <c r="N288" s="1" t="s">
        <v>448</v>
      </c>
      <c r="O288" s="1">
        <v>11002000</v>
      </c>
      <c r="P288" s="1">
        <v>0</v>
      </c>
      <c r="Q288" s="1">
        <v>0</v>
      </c>
      <c r="R288" s="1">
        <v>1</v>
      </c>
      <c r="T288" s="1">
        <v>100</v>
      </c>
      <c r="V288" s="1">
        <v>0</v>
      </c>
      <c r="W288" s="1">
        <v>0</v>
      </c>
      <c r="X288" s="1" t="s">
        <v>360</v>
      </c>
      <c r="Y288" s="1" t="s">
        <v>376</v>
      </c>
      <c r="Z288" s="1" t="s">
        <v>424</v>
      </c>
      <c r="AA288" s="1">
        <v>1</v>
      </c>
      <c r="AB288" s="1">
        <v>0</v>
      </c>
      <c r="AC288" s="1">
        <v>1</v>
      </c>
      <c r="AD288" s="1" t="s">
        <v>360</v>
      </c>
      <c r="AY288" s="1">
        <v>191</v>
      </c>
      <c r="AZ288" s="1">
        <v>0</v>
      </c>
      <c r="GX288" s="1">
        <v>0</v>
      </c>
      <c r="GY288" s="1">
        <v>0</v>
      </c>
      <c r="GZ288" s="1" t="s">
        <v>449</v>
      </c>
      <c r="HA288" s="1">
        <v>0</v>
      </c>
      <c r="HD288" s="1">
        <v>0</v>
      </c>
      <c r="HF288" s="1">
        <v>0</v>
      </c>
      <c r="HG288" s="1">
        <v>0</v>
      </c>
      <c r="HH288" s="1">
        <v>0</v>
      </c>
      <c r="HI288" s="1">
        <v>0</v>
      </c>
      <c r="HJ288" s="1">
        <v>0</v>
      </c>
      <c r="HK288" s="1" t="b">
        <v>0</v>
      </c>
      <c r="HM288" s="1">
        <v>0</v>
      </c>
      <c r="HO288" s="1" t="s">
        <v>360</v>
      </c>
      <c r="HP288" s="1">
        <v>0</v>
      </c>
      <c r="HQ288" s="1">
        <v>0</v>
      </c>
      <c r="HR288" s="1">
        <v>0</v>
      </c>
    </row>
    <row r="289" spans="2:226">
      <c r="B289" s="1">
        <f>10000000+INDEX(编号表!$B$1:$B$112,MATCH(D289,编号表!$A$1:$A$112,0))*10000+I289</f>
        <v>10500003</v>
      </c>
      <c r="C289" s="1" t="s">
        <v>445</v>
      </c>
      <c r="D289" s="1" t="s">
        <v>446</v>
      </c>
      <c r="E289" s="1" t="s">
        <v>447</v>
      </c>
      <c r="F289" s="1" t="s">
        <v>446</v>
      </c>
      <c r="G289" s="1">
        <v>1</v>
      </c>
      <c r="H289" s="1" t="b">
        <v>0</v>
      </c>
      <c r="I289" s="1">
        <v>3</v>
      </c>
      <c r="J289" s="1" t="str">
        <f t="shared" si="7"/>
        <v>105000</v>
      </c>
      <c r="K289" s="1" t="s">
        <v>350</v>
      </c>
      <c r="L289" s="1">
        <f t="shared" si="9"/>
        <v>10500002</v>
      </c>
      <c r="M289" s="1">
        <f t="shared" si="8"/>
        <v>10500004</v>
      </c>
      <c r="N289" s="1" t="s">
        <v>448</v>
      </c>
      <c r="O289" s="1">
        <v>11002000</v>
      </c>
      <c r="P289" s="1">
        <v>0</v>
      </c>
      <c r="Q289" s="1">
        <v>0</v>
      </c>
      <c r="R289" s="1">
        <v>1</v>
      </c>
      <c r="T289" s="1">
        <v>100</v>
      </c>
      <c r="V289" s="1">
        <v>0</v>
      </c>
      <c r="W289" s="1">
        <v>0</v>
      </c>
      <c r="X289" s="1" t="s">
        <v>360</v>
      </c>
      <c r="Y289" s="1" t="s">
        <v>376</v>
      </c>
      <c r="Z289" s="1" t="s">
        <v>424</v>
      </c>
      <c r="AA289" s="1">
        <v>1</v>
      </c>
      <c r="AB289" s="1">
        <v>0</v>
      </c>
      <c r="AC289" s="1">
        <v>1</v>
      </c>
      <c r="AD289" s="1" t="s">
        <v>360</v>
      </c>
      <c r="AY289" s="1">
        <v>191</v>
      </c>
      <c r="AZ289" s="1">
        <v>0</v>
      </c>
      <c r="GX289" s="1">
        <v>0</v>
      </c>
      <c r="GY289" s="1">
        <v>0</v>
      </c>
      <c r="GZ289" s="1" t="s">
        <v>449</v>
      </c>
      <c r="HA289" s="1">
        <v>0</v>
      </c>
      <c r="HD289" s="1">
        <v>0</v>
      </c>
      <c r="HF289" s="1">
        <v>0</v>
      </c>
      <c r="HG289" s="1">
        <v>0</v>
      </c>
      <c r="HH289" s="1">
        <v>0</v>
      </c>
      <c r="HI289" s="1">
        <v>0</v>
      </c>
      <c r="HJ289" s="1">
        <v>0</v>
      </c>
      <c r="HK289" s="1" t="b">
        <v>0</v>
      </c>
      <c r="HM289" s="1">
        <v>0</v>
      </c>
      <c r="HO289" s="1" t="s">
        <v>360</v>
      </c>
      <c r="HP289" s="1">
        <v>0</v>
      </c>
      <c r="HQ289" s="1">
        <v>0</v>
      </c>
      <c r="HR289" s="1">
        <v>0</v>
      </c>
    </row>
    <row r="290" spans="2:226">
      <c r="B290" s="1">
        <f>10000000+INDEX(编号表!$B$1:$B$112,MATCH(D290,编号表!$A$1:$A$112,0))*10000+I290</f>
        <v>10500004</v>
      </c>
      <c r="C290" s="1" t="s">
        <v>445</v>
      </c>
      <c r="D290" s="1" t="s">
        <v>446</v>
      </c>
      <c r="E290" s="1" t="s">
        <v>447</v>
      </c>
      <c r="F290" s="1" t="s">
        <v>446</v>
      </c>
      <c r="G290" s="1">
        <v>1</v>
      </c>
      <c r="H290" s="1" t="b">
        <v>0</v>
      </c>
      <c r="I290" s="1">
        <v>4</v>
      </c>
      <c r="J290" s="1" t="str">
        <f t="shared" si="7"/>
        <v>105000</v>
      </c>
      <c r="K290" s="1" t="s">
        <v>350</v>
      </c>
      <c r="L290" s="1">
        <f t="shared" si="9"/>
        <v>10500003</v>
      </c>
      <c r="M290" s="1">
        <f t="shared" si="8"/>
        <v>10500005</v>
      </c>
      <c r="N290" s="1" t="s">
        <v>448</v>
      </c>
      <c r="O290" s="1">
        <v>11002000</v>
      </c>
      <c r="P290" s="1">
        <v>0</v>
      </c>
      <c r="Q290" s="1">
        <v>0</v>
      </c>
      <c r="R290" s="1">
        <v>1</v>
      </c>
      <c r="T290" s="1">
        <v>100</v>
      </c>
      <c r="V290" s="1">
        <v>0</v>
      </c>
      <c r="W290" s="1">
        <v>0</v>
      </c>
      <c r="X290" s="1" t="s">
        <v>360</v>
      </c>
      <c r="Y290" s="1" t="s">
        <v>376</v>
      </c>
      <c r="Z290" s="1" t="s">
        <v>424</v>
      </c>
      <c r="AA290" s="1">
        <v>1</v>
      </c>
      <c r="AB290" s="1">
        <v>0</v>
      </c>
      <c r="AC290" s="1">
        <v>1</v>
      </c>
      <c r="AD290" s="1" t="s">
        <v>360</v>
      </c>
      <c r="AY290" s="1">
        <v>191</v>
      </c>
      <c r="AZ290" s="1">
        <v>0</v>
      </c>
      <c r="GX290" s="1">
        <v>0</v>
      </c>
      <c r="GY290" s="1">
        <v>0</v>
      </c>
      <c r="GZ290" s="1" t="s">
        <v>449</v>
      </c>
      <c r="HA290" s="1">
        <v>0</v>
      </c>
      <c r="HD290" s="1">
        <v>0</v>
      </c>
      <c r="HF290" s="1">
        <v>0</v>
      </c>
      <c r="HG290" s="1">
        <v>0</v>
      </c>
      <c r="HH290" s="1">
        <v>0</v>
      </c>
      <c r="HI290" s="1">
        <v>0</v>
      </c>
      <c r="HJ290" s="1">
        <v>0</v>
      </c>
      <c r="HK290" s="1" t="b">
        <v>0</v>
      </c>
      <c r="HM290" s="1">
        <v>0</v>
      </c>
      <c r="HO290" s="1" t="s">
        <v>360</v>
      </c>
      <c r="HP290" s="1">
        <v>0</v>
      </c>
      <c r="HQ290" s="1">
        <v>0</v>
      </c>
      <c r="HR290" s="1">
        <v>0</v>
      </c>
    </row>
    <row r="291" spans="2:226">
      <c r="B291" s="1">
        <f>10000000+INDEX(编号表!$B$1:$B$112,MATCH(D291,编号表!$A$1:$A$112,0))*10000+I291</f>
        <v>10500005</v>
      </c>
      <c r="C291" s="1" t="s">
        <v>445</v>
      </c>
      <c r="D291" s="1" t="s">
        <v>446</v>
      </c>
      <c r="E291" s="1" t="s">
        <v>447</v>
      </c>
      <c r="F291" s="1" t="s">
        <v>446</v>
      </c>
      <c r="G291" s="1">
        <v>1</v>
      </c>
      <c r="H291" s="1" t="b">
        <v>0</v>
      </c>
      <c r="I291" s="1">
        <v>5</v>
      </c>
      <c r="J291" s="1" t="str">
        <f t="shared" si="7"/>
        <v>105000</v>
      </c>
      <c r="K291" s="1" t="s">
        <v>350</v>
      </c>
      <c r="L291" s="1">
        <f t="shared" si="9"/>
        <v>10500004</v>
      </c>
      <c r="M291" s="1">
        <f t="shared" si="8"/>
        <v>10500006</v>
      </c>
      <c r="N291" s="1" t="s">
        <v>448</v>
      </c>
      <c r="O291" s="1">
        <v>11002000</v>
      </c>
      <c r="P291" s="1">
        <v>0</v>
      </c>
      <c r="Q291" s="1">
        <v>0</v>
      </c>
      <c r="R291" s="1">
        <v>1</v>
      </c>
      <c r="T291" s="1">
        <v>100</v>
      </c>
      <c r="V291" s="1">
        <v>0</v>
      </c>
      <c r="W291" s="1">
        <v>0</v>
      </c>
      <c r="X291" s="1" t="s">
        <v>360</v>
      </c>
      <c r="Y291" s="1" t="s">
        <v>376</v>
      </c>
      <c r="Z291" s="1" t="s">
        <v>424</v>
      </c>
      <c r="AA291" s="1">
        <v>1</v>
      </c>
      <c r="AB291" s="1">
        <v>0</v>
      </c>
      <c r="AC291" s="1">
        <v>1</v>
      </c>
      <c r="AD291" s="1" t="s">
        <v>360</v>
      </c>
      <c r="AY291" s="1">
        <v>191</v>
      </c>
      <c r="AZ291" s="1">
        <v>0</v>
      </c>
      <c r="GX291" s="1">
        <v>0</v>
      </c>
      <c r="GY291" s="1">
        <v>0</v>
      </c>
      <c r="GZ291" s="1" t="s">
        <v>449</v>
      </c>
      <c r="HA291" s="1">
        <v>0</v>
      </c>
      <c r="HD291" s="1">
        <v>0</v>
      </c>
      <c r="HF291" s="1">
        <v>0</v>
      </c>
      <c r="HG291" s="1">
        <v>0</v>
      </c>
      <c r="HH291" s="1">
        <v>0</v>
      </c>
      <c r="HI291" s="1">
        <v>0</v>
      </c>
      <c r="HJ291" s="1">
        <v>0</v>
      </c>
      <c r="HK291" s="1" t="b">
        <v>0</v>
      </c>
      <c r="HM291" s="1">
        <v>0</v>
      </c>
      <c r="HO291" s="1" t="s">
        <v>360</v>
      </c>
      <c r="HP291" s="1">
        <v>0</v>
      </c>
      <c r="HQ291" s="1">
        <v>0</v>
      </c>
      <c r="HR291" s="1">
        <v>0</v>
      </c>
    </row>
    <row r="292" spans="2:226">
      <c r="B292" s="1">
        <f>10000000+INDEX(编号表!$B$1:$B$112,MATCH(D292,编号表!$A$1:$A$112,0))*10000+I292</f>
        <v>10500006</v>
      </c>
      <c r="C292" s="1" t="s">
        <v>445</v>
      </c>
      <c r="D292" s="1" t="s">
        <v>446</v>
      </c>
      <c r="E292" s="1" t="s">
        <v>447</v>
      </c>
      <c r="F292" s="1" t="s">
        <v>446</v>
      </c>
      <c r="G292" s="1">
        <v>1</v>
      </c>
      <c r="H292" s="1" t="b">
        <v>0</v>
      </c>
      <c r="I292" s="1">
        <v>6</v>
      </c>
      <c r="J292" s="1" t="str">
        <f t="shared" si="7"/>
        <v>105000</v>
      </c>
      <c r="K292" s="1" t="s">
        <v>350</v>
      </c>
      <c r="L292" s="1">
        <f t="shared" si="9"/>
        <v>10500005</v>
      </c>
      <c r="M292" s="1">
        <f t="shared" si="8"/>
        <v>10500007</v>
      </c>
      <c r="N292" s="1" t="s">
        <v>448</v>
      </c>
      <c r="O292" s="1">
        <v>11002000</v>
      </c>
      <c r="P292" s="1">
        <v>0</v>
      </c>
      <c r="Q292" s="1">
        <v>0</v>
      </c>
      <c r="R292" s="1">
        <v>1</v>
      </c>
      <c r="T292" s="1">
        <v>100</v>
      </c>
      <c r="V292" s="1">
        <v>0</v>
      </c>
      <c r="W292" s="1">
        <v>0</v>
      </c>
      <c r="X292" s="1" t="s">
        <v>360</v>
      </c>
      <c r="Y292" s="1" t="s">
        <v>376</v>
      </c>
      <c r="Z292" s="1" t="s">
        <v>424</v>
      </c>
      <c r="AA292" s="1">
        <v>1</v>
      </c>
      <c r="AB292" s="1">
        <v>0</v>
      </c>
      <c r="AC292" s="1">
        <v>1</v>
      </c>
      <c r="AD292" s="1" t="s">
        <v>360</v>
      </c>
      <c r="AY292" s="1">
        <v>191</v>
      </c>
      <c r="AZ292" s="1">
        <v>0</v>
      </c>
      <c r="GX292" s="1">
        <v>0</v>
      </c>
      <c r="GY292" s="1">
        <v>0</v>
      </c>
      <c r="GZ292" s="1" t="s">
        <v>449</v>
      </c>
      <c r="HA292" s="1">
        <v>0</v>
      </c>
      <c r="HD292" s="1">
        <v>0</v>
      </c>
      <c r="HF292" s="1">
        <v>0</v>
      </c>
      <c r="HG292" s="1">
        <v>0</v>
      </c>
      <c r="HH292" s="1">
        <v>0</v>
      </c>
      <c r="HI292" s="1">
        <v>0</v>
      </c>
      <c r="HJ292" s="1">
        <v>0</v>
      </c>
      <c r="HK292" s="1" t="b">
        <v>0</v>
      </c>
      <c r="HM292" s="1">
        <v>0</v>
      </c>
      <c r="HO292" s="1" t="s">
        <v>360</v>
      </c>
      <c r="HP292" s="1">
        <v>0</v>
      </c>
      <c r="HQ292" s="1">
        <v>0</v>
      </c>
      <c r="HR292" s="1">
        <v>0</v>
      </c>
    </row>
    <row r="293" spans="2:226">
      <c r="B293" s="1">
        <f>10000000+INDEX(编号表!$B$1:$B$112,MATCH(D293,编号表!$A$1:$A$112,0))*10000+I293</f>
        <v>10500007</v>
      </c>
      <c r="C293" s="1" t="s">
        <v>445</v>
      </c>
      <c r="D293" s="1" t="s">
        <v>446</v>
      </c>
      <c r="E293" s="1" t="s">
        <v>447</v>
      </c>
      <c r="F293" s="1" t="s">
        <v>446</v>
      </c>
      <c r="G293" s="1">
        <v>1</v>
      </c>
      <c r="H293" s="1" t="b">
        <v>0</v>
      </c>
      <c r="I293" s="1">
        <v>7</v>
      </c>
      <c r="J293" s="1" t="str">
        <f t="shared" si="7"/>
        <v>105000</v>
      </c>
      <c r="K293" s="1" t="s">
        <v>350</v>
      </c>
      <c r="L293" s="1">
        <f t="shared" si="9"/>
        <v>10500006</v>
      </c>
      <c r="M293" s="1">
        <f t="shared" si="8"/>
        <v>10500008</v>
      </c>
      <c r="N293" s="1" t="s">
        <v>448</v>
      </c>
      <c r="O293" s="1">
        <v>11002000</v>
      </c>
      <c r="P293" s="1">
        <v>0</v>
      </c>
      <c r="Q293" s="1">
        <v>0</v>
      </c>
      <c r="R293" s="1">
        <v>1</v>
      </c>
      <c r="T293" s="1">
        <v>100</v>
      </c>
      <c r="V293" s="1">
        <v>0</v>
      </c>
      <c r="W293" s="1">
        <v>0</v>
      </c>
      <c r="X293" s="1" t="s">
        <v>360</v>
      </c>
      <c r="Y293" s="1" t="s">
        <v>376</v>
      </c>
      <c r="Z293" s="1" t="s">
        <v>424</v>
      </c>
      <c r="AA293" s="1">
        <v>1</v>
      </c>
      <c r="AB293" s="1">
        <v>0</v>
      </c>
      <c r="AC293" s="1">
        <v>1</v>
      </c>
      <c r="AD293" s="1" t="s">
        <v>360</v>
      </c>
      <c r="AY293" s="1">
        <v>191</v>
      </c>
      <c r="AZ293" s="1">
        <v>0</v>
      </c>
      <c r="GX293" s="1">
        <v>0</v>
      </c>
      <c r="GY293" s="1">
        <v>0</v>
      </c>
      <c r="GZ293" s="1" t="s">
        <v>449</v>
      </c>
      <c r="HA293" s="1">
        <v>0</v>
      </c>
      <c r="HD293" s="1">
        <v>0</v>
      </c>
      <c r="HF293" s="1">
        <v>0</v>
      </c>
      <c r="HG293" s="1">
        <v>0</v>
      </c>
      <c r="HH293" s="1">
        <v>0</v>
      </c>
      <c r="HI293" s="1">
        <v>0</v>
      </c>
      <c r="HJ293" s="1">
        <v>0</v>
      </c>
      <c r="HK293" s="1" t="b">
        <v>0</v>
      </c>
      <c r="HM293" s="1">
        <v>0</v>
      </c>
      <c r="HO293" s="1" t="s">
        <v>360</v>
      </c>
      <c r="HP293" s="1">
        <v>0</v>
      </c>
      <c r="HQ293" s="1">
        <v>0</v>
      </c>
      <c r="HR293" s="1">
        <v>0</v>
      </c>
    </row>
    <row r="294" spans="2:226">
      <c r="B294" s="1">
        <f>10000000+INDEX(编号表!$B$1:$B$112,MATCH(D294,编号表!$A$1:$A$112,0))*10000+I294</f>
        <v>10500008</v>
      </c>
      <c r="C294" s="1" t="s">
        <v>445</v>
      </c>
      <c r="D294" s="1" t="s">
        <v>446</v>
      </c>
      <c r="E294" s="1" t="s">
        <v>447</v>
      </c>
      <c r="F294" s="1" t="s">
        <v>446</v>
      </c>
      <c r="G294" s="1">
        <v>1</v>
      </c>
      <c r="H294" s="1" t="b">
        <v>0</v>
      </c>
      <c r="I294" s="1">
        <v>8</v>
      </c>
      <c r="J294" s="1" t="str">
        <f t="shared" si="7"/>
        <v>105000</v>
      </c>
      <c r="K294" s="1" t="s">
        <v>350</v>
      </c>
      <c r="L294" s="1">
        <f t="shared" si="9"/>
        <v>10500007</v>
      </c>
      <c r="N294" s="1" t="s">
        <v>448</v>
      </c>
      <c r="O294" s="1">
        <v>11002000</v>
      </c>
      <c r="P294" s="1">
        <v>0</v>
      </c>
      <c r="Q294" s="1">
        <v>0</v>
      </c>
      <c r="R294" s="1">
        <v>1</v>
      </c>
      <c r="T294" s="1">
        <v>100</v>
      </c>
      <c r="V294" s="1">
        <v>0</v>
      </c>
      <c r="W294" s="1">
        <v>0</v>
      </c>
      <c r="X294" s="1" t="s">
        <v>360</v>
      </c>
      <c r="Y294" s="1" t="s">
        <v>376</v>
      </c>
      <c r="Z294" s="1" t="s">
        <v>424</v>
      </c>
      <c r="AA294" s="1">
        <v>1</v>
      </c>
      <c r="AB294" s="1">
        <v>0</v>
      </c>
      <c r="AC294" s="1">
        <v>1</v>
      </c>
      <c r="AD294" s="1" t="s">
        <v>360</v>
      </c>
      <c r="AY294" s="1">
        <v>191</v>
      </c>
      <c r="AZ294" s="1">
        <v>0</v>
      </c>
      <c r="GX294" s="1">
        <v>0</v>
      </c>
      <c r="GY294" s="1">
        <v>0</v>
      </c>
      <c r="GZ294" s="1" t="s">
        <v>449</v>
      </c>
      <c r="HA294" s="1">
        <v>0</v>
      </c>
      <c r="HD294" s="1">
        <v>0</v>
      </c>
      <c r="HF294" s="1">
        <v>0</v>
      </c>
      <c r="HG294" s="1">
        <v>0</v>
      </c>
      <c r="HH294" s="1">
        <v>0</v>
      </c>
      <c r="HI294" s="1">
        <v>0</v>
      </c>
      <c r="HJ294" s="1">
        <v>0</v>
      </c>
      <c r="HK294" s="1" t="b">
        <v>0</v>
      </c>
      <c r="HM294" s="1">
        <v>0</v>
      </c>
      <c r="HO294" s="1" t="s">
        <v>360</v>
      </c>
      <c r="HP294" s="1">
        <v>0</v>
      </c>
      <c r="HQ294" s="1">
        <v>0</v>
      </c>
      <c r="HR294" s="1">
        <v>0</v>
      </c>
    </row>
    <row r="295" spans="2:226">
      <c r="B295" s="1">
        <f>10000000+INDEX(编号表!$B$1:$B$112,MATCH(D295,编号表!$A$1:$A$112,0))*10000+I295</f>
        <v>10510001</v>
      </c>
      <c r="C295" s="1" t="s">
        <v>450</v>
      </c>
      <c r="D295" s="1" t="s">
        <v>451</v>
      </c>
      <c r="E295" s="1" t="s">
        <v>447</v>
      </c>
      <c r="F295" s="1" t="s">
        <v>451</v>
      </c>
      <c r="G295" s="1">
        <v>1</v>
      </c>
      <c r="H295" s="1" t="b">
        <v>0</v>
      </c>
      <c r="I295" s="1">
        <v>1</v>
      </c>
      <c r="J295" s="1" t="str">
        <f t="shared" si="7"/>
        <v>105100</v>
      </c>
      <c r="K295" s="1" t="s">
        <v>350</v>
      </c>
      <c r="M295" s="1">
        <f t="shared" ref="M295:M301" si="10">B296</f>
        <v>10510002</v>
      </c>
      <c r="N295" s="1" t="s">
        <v>452</v>
      </c>
      <c r="O295" s="1">
        <v>11002001</v>
      </c>
      <c r="P295" s="1">
        <v>0</v>
      </c>
      <c r="Q295" s="1">
        <v>0</v>
      </c>
      <c r="R295" s="1">
        <v>1</v>
      </c>
      <c r="T295" s="1">
        <v>100</v>
      </c>
      <c r="AY295" s="1" t="s">
        <v>449</v>
      </c>
      <c r="AZ295" s="1">
        <v>0</v>
      </c>
      <c r="GX295" s="1">
        <v>0</v>
      </c>
      <c r="GY295" s="1">
        <v>0</v>
      </c>
      <c r="GZ295" s="1" t="s">
        <v>449</v>
      </c>
      <c r="HA295" s="1">
        <v>0</v>
      </c>
      <c r="HD295" s="1">
        <v>0</v>
      </c>
      <c r="HF295" s="1">
        <v>0</v>
      </c>
      <c r="HG295" s="1">
        <v>0</v>
      </c>
      <c r="HH295" s="1">
        <v>0</v>
      </c>
      <c r="HI295" s="1">
        <v>0</v>
      </c>
      <c r="HJ295" s="1">
        <v>0</v>
      </c>
      <c r="HK295" s="1" t="b">
        <v>0</v>
      </c>
      <c r="HM295" s="1">
        <v>0</v>
      </c>
      <c r="HO295" s="1" t="s">
        <v>360</v>
      </c>
      <c r="HP295" s="1">
        <v>0</v>
      </c>
      <c r="HQ295" s="1">
        <v>0</v>
      </c>
      <c r="HR295" s="1">
        <v>0</v>
      </c>
    </row>
    <row r="296" spans="2:226">
      <c r="B296" s="1">
        <f>10000000+INDEX(编号表!$B$1:$B$112,MATCH(D296,编号表!$A$1:$A$112,0))*10000+I296</f>
        <v>10510002</v>
      </c>
      <c r="C296" s="1" t="s">
        <v>450</v>
      </c>
      <c r="D296" s="1" t="s">
        <v>451</v>
      </c>
      <c r="E296" s="1" t="s">
        <v>447</v>
      </c>
      <c r="F296" s="1" t="s">
        <v>451</v>
      </c>
      <c r="G296" s="1">
        <v>1</v>
      </c>
      <c r="H296" s="1" t="b">
        <v>0</v>
      </c>
      <c r="I296" s="1">
        <v>2</v>
      </c>
      <c r="J296" s="1" t="str">
        <f t="shared" si="7"/>
        <v>105100</v>
      </c>
      <c r="K296" s="1" t="s">
        <v>350</v>
      </c>
      <c r="L296" s="1">
        <f t="shared" ref="L296:L302" si="11">B295</f>
        <v>10510001</v>
      </c>
      <c r="M296" s="1">
        <f t="shared" si="10"/>
        <v>10510003</v>
      </c>
      <c r="N296" s="1" t="s">
        <v>452</v>
      </c>
      <c r="O296" s="1">
        <v>11002001</v>
      </c>
      <c r="P296" s="1">
        <v>0</v>
      </c>
      <c r="Q296" s="1">
        <v>0</v>
      </c>
      <c r="R296" s="1">
        <v>1</v>
      </c>
      <c r="T296" s="1">
        <v>100</v>
      </c>
      <c r="AY296" s="1" t="s">
        <v>449</v>
      </c>
      <c r="AZ296" s="1">
        <v>0</v>
      </c>
      <c r="GX296" s="1">
        <v>0</v>
      </c>
      <c r="GY296" s="1">
        <v>0</v>
      </c>
      <c r="GZ296" s="1" t="s">
        <v>449</v>
      </c>
      <c r="HA296" s="1">
        <v>0</v>
      </c>
      <c r="HD296" s="1">
        <v>0</v>
      </c>
      <c r="HF296" s="1">
        <v>0</v>
      </c>
      <c r="HG296" s="1">
        <v>0</v>
      </c>
      <c r="HH296" s="1">
        <v>0</v>
      </c>
      <c r="HI296" s="1">
        <v>0</v>
      </c>
      <c r="HJ296" s="1">
        <v>0</v>
      </c>
      <c r="HK296" s="1" t="b">
        <v>0</v>
      </c>
      <c r="HM296" s="1">
        <v>0</v>
      </c>
      <c r="HO296" s="1" t="s">
        <v>360</v>
      </c>
      <c r="HP296" s="1">
        <v>0</v>
      </c>
      <c r="HQ296" s="1">
        <v>0</v>
      </c>
      <c r="HR296" s="1">
        <v>0</v>
      </c>
    </row>
    <row r="297" spans="2:226">
      <c r="B297" s="1">
        <f>10000000+INDEX(编号表!$B$1:$B$112,MATCH(D297,编号表!$A$1:$A$112,0))*10000+I297</f>
        <v>10510003</v>
      </c>
      <c r="C297" s="1" t="s">
        <v>450</v>
      </c>
      <c r="D297" s="1" t="s">
        <v>451</v>
      </c>
      <c r="E297" s="1" t="s">
        <v>447</v>
      </c>
      <c r="F297" s="1" t="s">
        <v>451</v>
      </c>
      <c r="G297" s="1">
        <v>1</v>
      </c>
      <c r="H297" s="1" t="b">
        <v>0</v>
      </c>
      <c r="I297" s="1">
        <v>3</v>
      </c>
      <c r="J297" s="1" t="str">
        <f t="shared" si="7"/>
        <v>105100</v>
      </c>
      <c r="K297" s="1" t="s">
        <v>350</v>
      </c>
      <c r="L297" s="1">
        <f t="shared" si="11"/>
        <v>10510002</v>
      </c>
      <c r="M297" s="1">
        <f t="shared" si="10"/>
        <v>10510004</v>
      </c>
      <c r="N297" s="1" t="s">
        <v>452</v>
      </c>
      <c r="O297" s="1">
        <v>11002001</v>
      </c>
      <c r="P297" s="1">
        <v>0</v>
      </c>
      <c r="Q297" s="1">
        <v>0</v>
      </c>
      <c r="R297" s="1">
        <v>1</v>
      </c>
      <c r="T297" s="1">
        <v>100</v>
      </c>
      <c r="AY297" s="1" t="s">
        <v>449</v>
      </c>
      <c r="AZ297" s="1">
        <v>0</v>
      </c>
      <c r="GX297" s="1">
        <v>0</v>
      </c>
      <c r="GY297" s="1">
        <v>0</v>
      </c>
      <c r="GZ297" s="1" t="s">
        <v>449</v>
      </c>
      <c r="HA297" s="1">
        <v>0</v>
      </c>
      <c r="HD297" s="1">
        <v>0</v>
      </c>
      <c r="HF297" s="1">
        <v>0</v>
      </c>
      <c r="HG297" s="1">
        <v>0</v>
      </c>
      <c r="HH297" s="1">
        <v>0</v>
      </c>
      <c r="HI297" s="1">
        <v>0</v>
      </c>
      <c r="HJ297" s="1">
        <v>0</v>
      </c>
      <c r="HK297" s="1" t="b">
        <v>0</v>
      </c>
      <c r="HM297" s="1">
        <v>0</v>
      </c>
      <c r="HO297" s="1" t="s">
        <v>360</v>
      </c>
      <c r="HP297" s="1">
        <v>0</v>
      </c>
      <c r="HQ297" s="1">
        <v>0</v>
      </c>
      <c r="HR297" s="1">
        <v>0</v>
      </c>
    </row>
    <row r="298" spans="2:226">
      <c r="B298" s="1">
        <f>10000000+INDEX(编号表!$B$1:$B$112,MATCH(D298,编号表!$A$1:$A$112,0))*10000+I298</f>
        <v>10510004</v>
      </c>
      <c r="C298" s="1" t="s">
        <v>450</v>
      </c>
      <c r="D298" s="1" t="s">
        <v>451</v>
      </c>
      <c r="E298" s="1" t="s">
        <v>447</v>
      </c>
      <c r="F298" s="1" t="s">
        <v>451</v>
      </c>
      <c r="G298" s="1">
        <v>1</v>
      </c>
      <c r="H298" s="1" t="b">
        <v>0</v>
      </c>
      <c r="I298" s="1">
        <v>4</v>
      </c>
      <c r="J298" s="1" t="str">
        <f t="shared" si="7"/>
        <v>105100</v>
      </c>
      <c r="K298" s="1" t="s">
        <v>350</v>
      </c>
      <c r="L298" s="1">
        <f t="shared" si="11"/>
        <v>10510003</v>
      </c>
      <c r="M298" s="1">
        <f t="shared" si="10"/>
        <v>10510005</v>
      </c>
      <c r="N298" s="1" t="s">
        <v>452</v>
      </c>
      <c r="O298" s="1">
        <v>11002001</v>
      </c>
      <c r="P298" s="1">
        <v>0</v>
      </c>
      <c r="Q298" s="1">
        <v>0</v>
      </c>
      <c r="R298" s="1">
        <v>1</v>
      </c>
      <c r="T298" s="1">
        <v>100</v>
      </c>
      <c r="AY298" s="1" t="s">
        <v>449</v>
      </c>
      <c r="AZ298" s="1">
        <v>0</v>
      </c>
      <c r="GX298" s="1">
        <v>0</v>
      </c>
      <c r="GY298" s="1">
        <v>0</v>
      </c>
      <c r="GZ298" s="1" t="s">
        <v>449</v>
      </c>
      <c r="HA298" s="1">
        <v>0</v>
      </c>
      <c r="HD298" s="1">
        <v>0</v>
      </c>
      <c r="HF298" s="1">
        <v>0</v>
      </c>
      <c r="HG298" s="1">
        <v>0</v>
      </c>
      <c r="HH298" s="1">
        <v>0</v>
      </c>
      <c r="HI298" s="1">
        <v>0</v>
      </c>
      <c r="HJ298" s="1">
        <v>0</v>
      </c>
      <c r="HK298" s="1" t="b">
        <v>0</v>
      </c>
      <c r="HM298" s="1">
        <v>0</v>
      </c>
      <c r="HO298" s="1" t="s">
        <v>360</v>
      </c>
      <c r="HP298" s="1">
        <v>0</v>
      </c>
      <c r="HQ298" s="1">
        <v>0</v>
      </c>
      <c r="HR298" s="1">
        <v>0</v>
      </c>
    </row>
    <row r="299" spans="2:226">
      <c r="B299" s="1">
        <f>10000000+INDEX(编号表!$B$1:$B$112,MATCH(D299,编号表!$A$1:$A$112,0))*10000+I299</f>
        <v>10510005</v>
      </c>
      <c r="C299" s="1" t="s">
        <v>450</v>
      </c>
      <c r="D299" s="1" t="s">
        <v>451</v>
      </c>
      <c r="E299" s="1" t="s">
        <v>447</v>
      </c>
      <c r="F299" s="1" t="s">
        <v>451</v>
      </c>
      <c r="G299" s="1">
        <v>1</v>
      </c>
      <c r="H299" s="1" t="b">
        <v>0</v>
      </c>
      <c r="I299" s="1">
        <v>5</v>
      </c>
      <c r="J299" s="1" t="str">
        <f t="shared" si="7"/>
        <v>105100</v>
      </c>
      <c r="K299" s="1" t="s">
        <v>350</v>
      </c>
      <c r="L299" s="1">
        <f t="shared" si="11"/>
        <v>10510004</v>
      </c>
      <c r="M299" s="1">
        <f t="shared" si="10"/>
        <v>10510006</v>
      </c>
      <c r="N299" s="1" t="s">
        <v>452</v>
      </c>
      <c r="O299" s="1">
        <v>11002001</v>
      </c>
      <c r="P299" s="1">
        <v>0</v>
      </c>
      <c r="Q299" s="1">
        <v>0</v>
      </c>
      <c r="R299" s="1">
        <v>1</v>
      </c>
      <c r="T299" s="1">
        <v>100</v>
      </c>
      <c r="AY299" s="1" t="s">
        <v>449</v>
      </c>
      <c r="AZ299" s="1">
        <v>0</v>
      </c>
      <c r="GX299" s="1">
        <v>0</v>
      </c>
      <c r="GY299" s="1">
        <v>0</v>
      </c>
      <c r="GZ299" s="1" t="s">
        <v>449</v>
      </c>
      <c r="HA299" s="1">
        <v>0</v>
      </c>
      <c r="HD299" s="1">
        <v>0</v>
      </c>
      <c r="HF299" s="1">
        <v>0</v>
      </c>
      <c r="HG299" s="1">
        <v>0</v>
      </c>
      <c r="HH299" s="1">
        <v>0</v>
      </c>
      <c r="HI299" s="1">
        <v>0</v>
      </c>
      <c r="HJ299" s="1">
        <v>0</v>
      </c>
      <c r="HK299" s="1" t="b">
        <v>0</v>
      </c>
      <c r="HM299" s="1">
        <v>0</v>
      </c>
      <c r="HO299" s="1" t="s">
        <v>360</v>
      </c>
      <c r="HP299" s="1">
        <v>0</v>
      </c>
      <c r="HQ299" s="1">
        <v>0</v>
      </c>
      <c r="HR299" s="1">
        <v>0</v>
      </c>
    </row>
    <row r="300" spans="2:226">
      <c r="B300" s="1">
        <f>10000000+INDEX(编号表!$B$1:$B$112,MATCH(D300,编号表!$A$1:$A$112,0))*10000+I300</f>
        <v>10510006</v>
      </c>
      <c r="C300" s="1" t="s">
        <v>450</v>
      </c>
      <c r="D300" s="1" t="s">
        <v>451</v>
      </c>
      <c r="E300" s="1" t="s">
        <v>447</v>
      </c>
      <c r="F300" s="1" t="s">
        <v>451</v>
      </c>
      <c r="G300" s="1">
        <v>1</v>
      </c>
      <c r="H300" s="1" t="b">
        <v>0</v>
      </c>
      <c r="I300" s="1">
        <v>6</v>
      </c>
      <c r="J300" s="1" t="str">
        <f t="shared" si="7"/>
        <v>105100</v>
      </c>
      <c r="K300" s="1" t="s">
        <v>350</v>
      </c>
      <c r="L300" s="1">
        <f t="shared" si="11"/>
        <v>10510005</v>
      </c>
      <c r="M300" s="1">
        <f t="shared" si="10"/>
        <v>10510007</v>
      </c>
      <c r="N300" s="1" t="s">
        <v>452</v>
      </c>
      <c r="O300" s="1">
        <v>11002001</v>
      </c>
      <c r="P300" s="1">
        <v>0</v>
      </c>
      <c r="Q300" s="1">
        <v>0</v>
      </c>
      <c r="R300" s="1">
        <v>1</v>
      </c>
      <c r="T300" s="1">
        <v>100</v>
      </c>
      <c r="AY300" s="1" t="s">
        <v>449</v>
      </c>
      <c r="AZ300" s="1">
        <v>0</v>
      </c>
      <c r="GX300" s="1">
        <v>0</v>
      </c>
      <c r="GY300" s="1">
        <v>0</v>
      </c>
      <c r="GZ300" s="1" t="s">
        <v>449</v>
      </c>
      <c r="HA300" s="1">
        <v>0</v>
      </c>
      <c r="HD300" s="1">
        <v>0</v>
      </c>
      <c r="HF300" s="1">
        <v>0</v>
      </c>
      <c r="HG300" s="1">
        <v>0</v>
      </c>
      <c r="HH300" s="1">
        <v>0</v>
      </c>
      <c r="HI300" s="1">
        <v>0</v>
      </c>
      <c r="HJ300" s="1">
        <v>0</v>
      </c>
      <c r="HK300" s="1" t="b">
        <v>0</v>
      </c>
      <c r="HM300" s="1">
        <v>0</v>
      </c>
      <c r="HO300" s="1" t="s">
        <v>360</v>
      </c>
      <c r="HP300" s="1">
        <v>0</v>
      </c>
      <c r="HQ300" s="1">
        <v>0</v>
      </c>
      <c r="HR300" s="1">
        <v>0</v>
      </c>
    </row>
    <row r="301" spans="2:226">
      <c r="B301" s="1">
        <f>10000000+INDEX(编号表!$B$1:$B$112,MATCH(D301,编号表!$A$1:$A$112,0))*10000+I301</f>
        <v>10510007</v>
      </c>
      <c r="C301" s="1" t="s">
        <v>450</v>
      </c>
      <c r="D301" s="1" t="s">
        <v>451</v>
      </c>
      <c r="E301" s="1" t="s">
        <v>447</v>
      </c>
      <c r="F301" s="1" t="s">
        <v>451</v>
      </c>
      <c r="G301" s="1">
        <v>1</v>
      </c>
      <c r="H301" s="1" t="b">
        <v>0</v>
      </c>
      <c r="I301" s="1">
        <v>7</v>
      </c>
      <c r="J301" s="1" t="str">
        <f t="shared" si="7"/>
        <v>105100</v>
      </c>
      <c r="K301" s="1" t="s">
        <v>350</v>
      </c>
      <c r="L301" s="1">
        <f t="shared" si="11"/>
        <v>10510006</v>
      </c>
      <c r="M301" s="1">
        <f t="shared" si="10"/>
        <v>10510008</v>
      </c>
      <c r="N301" s="1" t="s">
        <v>452</v>
      </c>
      <c r="O301" s="1">
        <v>11002001</v>
      </c>
      <c r="P301" s="1">
        <v>0</v>
      </c>
      <c r="Q301" s="1">
        <v>0</v>
      </c>
      <c r="R301" s="1">
        <v>1</v>
      </c>
      <c r="T301" s="1">
        <v>100</v>
      </c>
      <c r="AY301" s="1" t="s">
        <v>449</v>
      </c>
      <c r="AZ301" s="1">
        <v>0</v>
      </c>
      <c r="GX301" s="1">
        <v>0</v>
      </c>
      <c r="GY301" s="1">
        <v>0</v>
      </c>
      <c r="GZ301" s="1" t="s">
        <v>449</v>
      </c>
      <c r="HA301" s="1">
        <v>0</v>
      </c>
      <c r="HD301" s="1">
        <v>0</v>
      </c>
      <c r="HF301" s="1">
        <v>0</v>
      </c>
      <c r="HG301" s="1">
        <v>0</v>
      </c>
      <c r="HH301" s="1">
        <v>0</v>
      </c>
      <c r="HI301" s="1">
        <v>0</v>
      </c>
      <c r="HJ301" s="1">
        <v>0</v>
      </c>
      <c r="HK301" s="1" t="b">
        <v>0</v>
      </c>
      <c r="HM301" s="1">
        <v>0</v>
      </c>
      <c r="HO301" s="1" t="s">
        <v>360</v>
      </c>
      <c r="HP301" s="1">
        <v>0</v>
      </c>
      <c r="HQ301" s="1">
        <v>0</v>
      </c>
      <c r="HR301" s="1">
        <v>0</v>
      </c>
    </row>
    <row r="302" spans="2:226">
      <c r="B302" s="1">
        <f>10000000+INDEX(编号表!$B$1:$B$112,MATCH(D302,编号表!$A$1:$A$112,0))*10000+I302</f>
        <v>10510008</v>
      </c>
      <c r="C302" s="1" t="s">
        <v>450</v>
      </c>
      <c r="D302" s="1" t="s">
        <v>451</v>
      </c>
      <c r="E302" s="1" t="s">
        <v>447</v>
      </c>
      <c r="F302" s="1" t="s">
        <v>451</v>
      </c>
      <c r="G302" s="1">
        <v>1</v>
      </c>
      <c r="H302" s="1" t="b">
        <v>0</v>
      </c>
      <c r="I302" s="1">
        <v>8</v>
      </c>
      <c r="J302" s="1" t="str">
        <f t="shared" si="7"/>
        <v>105100</v>
      </c>
      <c r="K302" s="1" t="s">
        <v>350</v>
      </c>
      <c r="L302" s="1">
        <f t="shared" si="11"/>
        <v>10510007</v>
      </c>
      <c r="N302" s="1" t="s">
        <v>452</v>
      </c>
      <c r="O302" s="1">
        <v>11002001</v>
      </c>
      <c r="P302" s="1">
        <v>0</v>
      </c>
      <c r="Q302" s="1">
        <v>0</v>
      </c>
      <c r="R302" s="1">
        <v>1</v>
      </c>
      <c r="T302" s="1">
        <v>100</v>
      </c>
      <c r="AY302" s="1" t="s">
        <v>449</v>
      </c>
      <c r="AZ302" s="1">
        <v>0</v>
      </c>
      <c r="GX302" s="1">
        <v>0</v>
      </c>
      <c r="GY302" s="1">
        <v>0</v>
      </c>
      <c r="GZ302" s="1" t="s">
        <v>449</v>
      </c>
      <c r="HA302" s="1">
        <v>0</v>
      </c>
      <c r="HD302" s="1">
        <v>0</v>
      </c>
      <c r="HF302" s="1">
        <v>0</v>
      </c>
      <c r="HG302" s="1">
        <v>0</v>
      </c>
      <c r="HH302" s="1">
        <v>0</v>
      </c>
      <c r="HI302" s="1">
        <v>0</v>
      </c>
      <c r="HJ302" s="1">
        <v>0</v>
      </c>
      <c r="HK302" s="1" t="b">
        <v>0</v>
      </c>
      <c r="HM302" s="1">
        <v>0</v>
      </c>
      <c r="HO302" s="1" t="s">
        <v>360</v>
      </c>
      <c r="HP302" s="1">
        <v>0</v>
      </c>
      <c r="HQ302" s="1">
        <v>0</v>
      </c>
      <c r="HR302" s="1">
        <v>0</v>
      </c>
    </row>
    <row r="303" spans="2:226">
      <c r="B303" s="1">
        <f>10000000+INDEX(编号表!$B$1:$B$112,MATCH(D303,编号表!$A$1:$A$112,0))*10000+I303</f>
        <v>10520001</v>
      </c>
      <c r="C303" s="1" t="s">
        <v>453</v>
      </c>
      <c r="D303" s="1" t="s">
        <v>454</v>
      </c>
      <c r="E303" s="1" t="s">
        <v>447</v>
      </c>
      <c r="F303" s="1" t="s">
        <v>454</v>
      </c>
      <c r="G303" s="1">
        <v>1</v>
      </c>
      <c r="H303" s="1" t="b">
        <v>0</v>
      </c>
      <c r="I303" s="1">
        <v>1</v>
      </c>
      <c r="J303" s="1" t="str">
        <f t="shared" si="7"/>
        <v>105200</v>
      </c>
      <c r="K303" s="1" t="s">
        <v>350</v>
      </c>
      <c r="M303" s="1">
        <f t="shared" ref="M303:M309" si="12">B304</f>
        <v>10520002</v>
      </c>
      <c r="N303" s="1" t="s">
        <v>455</v>
      </c>
      <c r="O303" s="1">
        <v>11002002</v>
      </c>
      <c r="P303" s="1">
        <v>0</v>
      </c>
      <c r="Q303" s="1">
        <v>0</v>
      </c>
      <c r="R303" s="1">
        <v>1</v>
      </c>
      <c r="T303" s="1">
        <v>100</v>
      </c>
      <c r="AY303" s="1" t="s">
        <v>449</v>
      </c>
      <c r="AZ303" s="1">
        <v>0</v>
      </c>
      <c r="GX303" s="1">
        <v>0</v>
      </c>
      <c r="GY303" s="1">
        <v>0</v>
      </c>
      <c r="GZ303" s="1" t="s">
        <v>449</v>
      </c>
      <c r="HA303" s="1">
        <v>0</v>
      </c>
      <c r="HD303" s="1">
        <v>0</v>
      </c>
      <c r="HF303" s="1">
        <v>0</v>
      </c>
      <c r="HG303" s="1">
        <v>0</v>
      </c>
      <c r="HH303" s="1">
        <v>0</v>
      </c>
      <c r="HI303" s="1">
        <v>0</v>
      </c>
      <c r="HJ303" s="1">
        <v>0</v>
      </c>
      <c r="HK303" s="1" t="b">
        <v>0</v>
      </c>
      <c r="HM303" s="1">
        <v>0</v>
      </c>
      <c r="HO303" s="1" t="s">
        <v>360</v>
      </c>
      <c r="HP303" s="1">
        <v>0</v>
      </c>
      <c r="HQ303" s="1">
        <v>0</v>
      </c>
      <c r="HR303" s="1">
        <v>0</v>
      </c>
    </row>
    <row r="304" spans="2:226">
      <c r="B304" s="1">
        <f>10000000+INDEX(编号表!$B$1:$B$112,MATCH(D304,编号表!$A$1:$A$112,0))*10000+I304</f>
        <v>10520002</v>
      </c>
      <c r="C304" s="1" t="s">
        <v>453</v>
      </c>
      <c r="D304" s="1" t="s">
        <v>454</v>
      </c>
      <c r="E304" s="1" t="s">
        <v>447</v>
      </c>
      <c r="F304" s="1" t="s">
        <v>454</v>
      </c>
      <c r="G304" s="1">
        <v>1</v>
      </c>
      <c r="H304" s="1" t="b">
        <v>0</v>
      </c>
      <c r="I304" s="1">
        <v>2</v>
      </c>
      <c r="J304" s="1" t="str">
        <f t="shared" si="7"/>
        <v>105200</v>
      </c>
      <c r="K304" s="1" t="s">
        <v>350</v>
      </c>
      <c r="L304" s="1">
        <f t="shared" ref="L304:L310" si="13">B303</f>
        <v>10520001</v>
      </c>
      <c r="M304" s="1">
        <f t="shared" si="12"/>
        <v>10520003</v>
      </c>
      <c r="N304" s="1" t="s">
        <v>455</v>
      </c>
      <c r="O304" s="1">
        <v>11002002</v>
      </c>
      <c r="P304" s="1">
        <v>0</v>
      </c>
      <c r="Q304" s="1">
        <v>0</v>
      </c>
      <c r="R304" s="1">
        <v>1</v>
      </c>
      <c r="T304" s="1">
        <v>100</v>
      </c>
      <c r="AY304" s="1" t="s">
        <v>449</v>
      </c>
      <c r="AZ304" s="1">
        <v>0</v>
      </c>
      <c r="GX304" s="1">
        <v>0</v>
      </c>
      <c r="GY304" s="1">
        <v>0</v>
      </c>
      <c r="GZ304" s="1" t="s">
        <v>449</v>
      </c>
      <c r="HA304" s="1">
        <v>0</v>
      </c>
      <c r="HD304" s="1">
        <v>0</v>
      </c>
      <c r="HF304" s="1">
        <v>0</v>
      </c>
      <c r="HG304" s="1">
        <v>0</v>
      </c>
      <c r="HH304" s="1">
        <v>0</v>
      </c>
      <c r="HI304" s="1">
        <v>0</v>
      </c>
      <c r="HJ304" s="1">
        <v>0</v>
      </c>
      <c r="HK304" s="1" t="b">
        <v>0</v>
      </c>
      <c r="HM304" s="1">
        <v>0</v>
      </c>
      <c r="HO304" s="1" t="s">
        <v>360</v>
      </c>
      <c r="HP304" s="1">
        <v>0</v>
      </c>
      <c r="HQ304" s="1">
        <v>0</v>
      </c>
      <c r="HR304" s="1">
        <v>0</v>
      </c>
    </row>
    <row r="305" spans="2:226">
      <c r="B305" s="1">
        <f>10000000+INDEX(编号表!$B$1:$B$112,MATCH(D305,编号表!$A$1:$A$112,0))*10000+I305</f>
        <v>10520003</v>
      </c>
      <c r="C305" s="1" t="s">
        <v>453</v>
      </c>
      <c r="D305" s="1" t="s">
        <v>454</v>
      </c>
      <c r="E305" s="1" t="s">
        <v>447</v>
      </c>
      <c r="F305" s="1" t="s">
        <v>454</v>
      </c>
      <c r="G305" s="1">
        <v>1</v>
      </c>
      <c r="H305" s="1" t="b">
        <v>0</v>
      </c>
      <c r="I305" s="1">
        <v>3</v>
      </c>
      <c r="J305" s="1" t="str">
        <f t="shared" si="7"/>
        <v>105200</v>
      </c>
      <c r="K305" s="1" t="s">
        <v>350</v>
      </c>
      <c r="L305" s="1">
        <f t="shared" si="13"/>
        <v>10520002</v>
      </c>
      <c r="M305" s="1">
        <f t="shared" si="12"/>
        <v>10520004</v>
      </c>
      <c r="N305" s="1" t="s">
        <v>455</v>
      </c>
      <c r="O305" s="1">
        <v>11002002</v>
      </c>
      <c r="P305" s="1">
        <v>0</v>
      </c>
      <c r="Q305" s="1">
        <v>0</v>
      </c>
      <c r="R305" s="1">
        <v>1</v>
      </c>
      <c r="T305" s="1">
        <v>100</v>
      </c>
      <c r="AY305" s="1" t="s">
        <v>449</v>
      </c>
      <c r="AZ305" s="1">
        <v>0</v>
      </c>
      <c r="GX305" s="1">
        <v>0</v>
      </c>
      <c r="GY305" s="1">
        <v>0</v>
      </c>
      <c r="GZ305" s="1" t="s">
        <v>449</v>
      </c>
      <c r="HA305" s="1">
        <v>0</v>
      </c>
      <c r="HD305" s="1">
        <v>0</v>
      </c>
      <c r="HF305" s="1">
        <v>0</v>
      </c>
      <c r="HG305" s="1">
        <v>0</v>
      </c>
      <c r="HH305" s="1">
        <v>0</v>
      </c>
      <c r="HI305" s="1">
        <v>0</v>
      </c>
      <c r="HJ305" s="1">
        <v>0</v>
      </c>
      <c r="HK305" s="1" t="b">
        <v>0</v>
      </c>
      <c r="HM305" s="1">
        <v>0</v>
      </c>
      <c r="HO305" s="1" t="s">
        <v>360</v>
      </c>
      <c r="HP305" s="1">
        <v>0</v>
      </c>
      <c r="HQ305" s="1">
        <v>0</v>
      </c>
      <c r="HR305" s="1">
        <v>0</v>
      </c>
    </row>
    <row r="306" spans="2:226">
      <c r="B306" s="1">
        <f>10000000+INDEX(编号表!$B$1:$B$112,MATCH(D306,编号表!$A$1:$A$112,0))*10000+I306</f>
        <v>10520004</v>
      </c>
      <c r="C306" s="1" t="s">
        <v>453</v>
      </c>
      <c r="D306" s="1" t="s">
        <v>454</v>
      </c>
      <c r="E306" s="1" t="s">
        <v>447</v>
      </c>
      <c r="F306" s="1" t="s">
        <v>454</v>
      </c>
      <c r="G306" s="1">
        <v>1</v>
      </c>
      <c r="H306" s="1" t="b">
        <v>0</v>
      </c>
      <c r="I306" s="1">
        <v>4</v>
      </c>
      <c r="J306" s="1" t="str">
        <f t="shared" si="7"/>
        <v>105200</v>
      </c>
      <c r="K306" s="1" t="s">
        <v>350</v>
      </c>
      <c r="L306" s="1">
        <f t="shared" si="13"/>
        <v>10520003</v>
      </c>
      <c r="M306" s="1">
        <f t="shared" si="12"/>
        <v>10520005</v>
      </c>
      <c r="N306" s="1" t="s">
        <v>455</v>
      </c>
      <c r="O306" s="1">
        <v>11002002</v>
      </c>
      <c r="P306" s="1">
        <v>0</v>
      </c>
      <c r="Q306" s="1">
        <v>0</v>
      </c>
      <c r="R306" s="1">
        <v>1</v>
      </c>
      <c r="T306" s="1">
        <v>100</v>
      </c>
      <c r="AY306" s="1" t="s">
        <v>449</v>
      </c>
      <c r="AZ306" s="1">
        <v>0</v>
      </c>
      <c r="GX306" s="1">
        <v>0</v>
      </c>
      <c r="GY306" s="1">
        <v>0</v>
      </c>
      <c r="GZ306" s="1" t="s">
        <v>449</v>
      </c>
      <c r="HA306" s="1">
        <v>0</v>
      </c>
      <c r="HD306" s="1">
        <v>0</v>
      </c>
      <c r="HF306" s="1">
        <v>0</v>
      </c>
      <c r="HG306" s="1">
        <v>0</v>
      </c>
      <c r="HH306" s="1">
        <v>0</v>
      </c>
      <c r="HI306" s="1">
        <v>0</v>
      </c>
      <c r="HJ306" s="1">
        <v>0</v>
      </c>
      <c r="HK306" s="1" t="b">
        <v>0</v>
      </c>
      <c r="HM306" s="1">
        <v>0</v>
      </c>
      <c r="HO306" s="1" t="s">
        <v>360</v>
      </c>
      <c r="HP306" s="1">
        <v>0</v>
      </c>
      <c r="HQ306" s="1">
        <v>0</v>
      </c>
      <c r="HR306" s="1">
        <v>0</v>
      </c>
    </row>
    <row r="307" spans="2:226">
      <c r="B307" s="1">
        <f>10000000+INDEX(编号表!$B$1:$B$112,MATCH(D307,编号表!$A$1:$A$112,0))*10000+I307</f>
        <v>10520005</v>
      </c>
      <c r="C307" s="1" t="s">
        <v>453</v>
      </c>
      <c r="D307" s="1" t="s">
        <v>454</v>
      </c>
      <c r="E307" s="1" t="s">
        <v>447</v>
      </c>
      <c r="F307" s="1" t="s">
        <v>454</v>
      </c>
      <c r="G307" s="1">
        <v>1</v>
      </c>
      <c r="H307" s="1" t="b">
        <v>0</v>
      </c>
      <c r="I307" s="1">
        <v>5</v>
      </c>
      <c r="J307" s="1" t="str">
        <f t="shared" si="7"/>
        <v>105200</v>
      </c>
      <c r="K307" s="1" t="s">
        <v>350</v>
      </c>
      <c r="L307" s="1">
        <f t="shared" si="13"/>
        <v>10520004</v>
      </c>
      <c r="M307" s="1">
        <f t="shared" si="12"/>
        <v>10520006</v>
      </c>
      <c r="N307" s="1" t="s">
        <v>455</v>
      </c>
      <c r="O307" s="1">
        <v>11002002</v>
      </c>
      <c r="P307" s="1">
        <v>0</v>
      </c>
      <c r="Q307" s="1">
        <v>0</v>
      </c>
      <c r="R307" s="1">
        <v>1</v>
      </c>
      <c r="T307" s="1">
        <v>100</v>
      </c>
      <c r="AY307" s="1" t="s">
        <v>449</v>
      </c>
      <c r="AZ307" s="1">
        <v>0</v>
      </c>
      <c r="GX307" s="1">
        <v>0</v>
      </c>
      <c r="GY307" s="1">
        <v>0</v>
      </c>
      <c r="GZ307" s="1" t="s">
        <v>449</v>
      </c>
      <c r="HA307" s="1">
        <v>0</v>
      </c>
      <c r="HD307" s="1">
        <v>0</v>
      </c>
      <c r="HF307" s="1">
        <v>0</v>
      </c>
      <c r="HG307" s="1">
        <v>0</v>
      </c>
      <c r="HH307" s="1">
        <v>0</v>
      </c>
      <c r="HI307" s="1">
        <v>0</v>
      </c>
      <c r="HJ307" s="1">
        <v>0</v>
      </c>
      <c r="HK307" s="1" t="b">
        <v>0</v>
      </c>
      <c r="HM307" s="1">
        <v>0</v>
      </c>
      <c r="HO307" s="1" t="s">
        <v>360</v>
      </c>
      <c r="HP307" s="1">
        <v>0</v>
      </c>
      <c r="HQ307" s="1">
        <v>0</v>
      </c>
      <c r="HR307" s="1">
        <v>0</v>
      </c>
    </row>
    <row r="308" spans="2:226">
      <c r="B308" s="1">
        <f>10000000+INDEX(编号表!$B$1:$B$112,MATCH(D308,编号表!$A$1:$A$112,0))*10000+I308</f>
        <v>10520006</v>
      </c>
      <c r="C308" s="1" t="s">
        <v>453</v>
      </c>
      <c r="D308" s="1" t="s">
        <v>454</v>
      </c>
      <c r="E308" s="1" t="s">
        <v>447</v>
      </c>
      <c r="F308" s="1" t="s">
        <v>454</v>
      </c>
      <c r="G308" s="1">
        <v>1</v>
      </c>
      <c r="H308" s="1" t="b">
        <v>0</v>
      </c>
      <c r="I308" s="1">
        <v>6</v>
      </c>
      <c r="J308" s="1" t="str">
        <f t="shared" si="7"/>
        <v>105200</v>
      </c>
      <c r="K308" s="1" t="s">
        <v>350</v>
      </c>
      <c r="L308" s="1">
        <f t="shared" si="13"/>
        <v>10520005</v>
      </c>
      <c r="M308" s="1">
        <f t="shared" si="12"/>
        <v>10520007</v>
      </c>
      <c r="N308" s="1" t="s">
        <v>455</v>
      </c>
      <c r="O308" s="1">
        <v>11002002</v>
      </c>
      <c r="P308" s="1">
        <v>0</v>
      </c>
      <c r="Q308" s="1">
        <v>0</v>
      </c>
      <c r="R308" s="1">
        <v>1</v>
      </c>
      <c r="T308" s="1">
        <v>100</v>
      </c>
      <c r="AY308" s="1" t="s">
        <v>449</v>
      </c>
      <c r="AZ308" s="1">
        <v>0</v>
      </c>
      <c r="GX308" s="1">
        <v>0</v>
      </c>
      <c r="GY308" s="1">
        <v>0</v>
      </c>
      <c r="GZ308" s="1" t="s">
        <v>449</v>
      </c>
      <c r="HA308" s="1">
        <v>0</v>
      </c>
      <c r="HD308" s="1">
        <v>0</v>
      </c>
      <c r="HF308" s="1">
        <v>0</v>
      </c>
      <c r="HG308" s="1">
        <v>0</v>
      </c>
      <c r="HH308" s="1">
        <v>0</v>
      </c>
      <c r="HI308" s="1">
        <v>0</v>
      </c>
      <c r="HJ308" s="1">
        <v>0</v>
      </c>
      <c r="HK308" s="1" t="b">
        <v>0</v>
      </c>
      <c r="HM308" s="1">
        <v>0</v>
      </c>
      <c r="HO308" s="1" t="s">
        <v>360</v>
      </c>
      <c r="HP308" s="1">
        <v>0</v>
      </c>
      <c r="HQ308" s="1">
        <v>0</v>
      </c>
      <c r="HR308" s="1">
        <v>0</v>
      </c>
    </row>
    <row r="309" spans="2:226">
      <c r="B309" s="1">
        <f>10000000+INDEX(编号表!$B$1:$B$112,MATCH(D309,编号表!$A$1:$A$112,0))*10000+I309</f>
        <v>10520007</v>
      </c>
      <c r="C309" s="1" t="s">
        <v>453</v>
      </c>
      <c r="D309" s="1" t="s">
        <v>454</v>
      </c>
      <c r="E309" s="1" t="s">
        <v>447</v>
      </c>
      <c r="F309" s="1" t="s">
        <v>454</v>
      </c>
      <c r="G309" s="1">
        <v>1</v>
      </c>
      <c r="H309" s="1" t="b">
        <v>0</v>
      </c>
      <c r="I309" s="1">
        <v>7</v>
      </c>
      <c r="J309" s="1" t="str">
        <f t="shared" si="7"/>
        <v>105200</v>
      </c>
      <c r="K309" s="1" t="s">
        <v>350</v>
      </c>
      <c r="L309" s="1">
        <f t="shared" si="13"/>
        <v>10520006</v>
      </c>
      <c r="M309" s="1">
        <f t="shared" si="12"/>
        <v>10520008</v>
      </c>
      <c r="N309" s="1" t="s">
        <v>455</v>
      </c>
      <c r="O309" s="1">
        <v>11002002</v>
      </c>
      <c r="P309" s="1">
        <v>0</v>
      </c>
      <c r="Q309" s="1">
        <v>0</v>
      </c>
      <c r="R309" s="1">
        <v>1</v>
      </c>
      <c r="T309" s="1">
        <v>100</v>
      </c>
      <c r="AY309" s="1" t="s">
        <v>449</v>
      </c>
      <c r="AZ309" s="1">
        <v>0</v>
      </c>
      <c r="GX309" s="1">
        <v>0</v>
      </c>
      <c r="GY309" s="1">
        <v>0</v>
      </c>
      <c r="GZ309" s="1" t="s">
        <v>449</v>
      </c>
      <c r="HA309" s="1">
        <v>0</v>
      </c>
      <c r="HD309" s="1">
        <v>0</v>
      </c>
      <c r="HF309" s="1">
        <v>0</v>
      </c>
      <c r="HG309" s="1">
        <v>0</v>
      </c>
      <c r="HH309" s="1">
        <v>0</v>
      </c>
      <c r="HI309" s="1">
        <v>0</v>
      </c>
      <c r="HJ309" s="1">
        <v>0</v>
      </c>
      <c r="HK309" s="1" t="b">
        <v>0</v>
      </c>
      <c r="HM309" s="1">
        <v>0</v>
      </c>
      <c r="HO309" s="1" t="s">
        <v>360</v>
      </c>
      <c r="HP309" s="1">
        <v>0</v>
      </c>
      <c r="HQ309" s="1">
        <v>0</v>
      </c>
      <c r="HR309" s="1">
        <v>0</v>
      </c>
    </row>
    <row r="310" spans="2:226">
      <c r="B310" s="1">
        <f>10000000+INDEX(编号表!$B$1:$B$112,MATCH(D310,编号表!$A$1:$A$112,0))*10000+I310</f>
        <v>10520008</v>
      </c>
      <c r="C310" s="1" t="s">
        <v>453</v>
      </c>
      <c r="D310" s="1" t="s">
        <v>454</v>
      </c>
      <c r="E310" s="1" t="s">
        <v>447</v>
      </c>
      <c r="F310" s="1" t="s">
        <v>454</v>
      </c>
      <c r="G310" s="1">
        <v>1</v>
      </c>
      <c r="H310" s="1" t="b">
        <v>0</v>
      </c>
      <c r="I310" s="1">
        <v>8</v>
      </c>
      <c r="J310" s="1" t="str">
        <f t="shared" si="7"/>
        <v>105200</v>
      </c>
      <c r="K310" s="1" t="s">
        <v>350</v>
      </c>
      <c r="L310" s="1">
        <f t="shared" si="13"/>
        <v>10520007</v>
      </c>
      <c r="N310" s="1" t="s">
        <v>455</v>
      </c>
      <c r="O310" s="1">
        <v>11002002</v>
      </c>
      <c r="P310" s="1">
        <v>0</v>
      </c>
      <c r="Q310" s="1">
        <v>0</v>
      </c>
      <c r="R310" s="1">
        <v>1</v>
      </c>
      <c r="T310" s="1">
        <v>100</v>
      </c>
      <c r="AY310" s="1" t="s">
        <v>449</v>
      </c>
      <c r="AZ310" s="1">
        <v>0</v>
      </c>
      <c r="GX310" s="1">
        <v>0</v>
      </c>
      <c r="GY310" s="1">
        <v>0</v>
      </c>
      <c r="GZ310" s="1" t="s">
        <v>449</v>
      </c>
      <c r="HA310" s="1">
        <v>0</v>
      </c>
      <c r="HD310" s="1">
        <v>0</v>
      </c>
      <c r="HF310" s="1">
        <v>0</v>
      </c>
      <c r="HG310" s="1">
        <v>0</v>
      </c>
      <c r="HH310" s="1">
        <v>0</v>
      </c>
      <c r="HI310" s="1">
        <v>0</v>
      </c>
      <c r="HJ310" s="1">
        <v>0</v>
      </c>
      <c r="HK310" s="1" t="b">
        <v>0</v>
      </c>
      <c r="HM310" s="1">
        <v>0</v>
      </c>
      <c r="HO310" s="1" t="s">
        <v>360</v>
      </c>
      <c r="HP310" s="1">
        <v>0</v>
      </c>
      <c r="HQ310" s="1">
        <v>0</v>
      </c>
      <c r="HR310" s="1">
        <v>0</v>
      </c>
    </row>
    <row r="311" spans="2:226">
      <c r="B311" s="1">
        <f>10000000+INDEX(编号表!$B$1:$B$112,MATCH(D311,编号表!$A$1:$A$112,0))*10000+I311</f>
        <v>10530001</v>
      </c>
      <c r="C311" s="1" t="s">
        <v>456</v>
      </c>
      <c r="D311" s="1" t="s">
        <v>457</v>
      </c>
      <c r="E311" s="1" t="s">
        <v>447</v>
      </c>
      <c r="F311" s="1" t="s">
        <v>457</v>
      </c>
      <c r="G311" s="1">
        <v>1</v>
      </c>
      <c r="H311" s="1" t="b">
        <v>0</v>
      </c>
      <c r="I311" s="1">
        <v>1</v>
      </c>
      <c r="J311" s="1" t="str">
        <f t="shared" si="7"/>
        <v>105300</v>
      </c>
      <c r="K311" s="1" t="s">
        <v>350</v>
      </c>
      <c r="M311" s="1">
        <f t="shared" ref="M311:M317" si="14">B312</f>
        <v>10530002</v>
      </c>
      <c r="N311" s="1" t="s">
        <v>458</v>
      </c>
      <c r="O311" s="1">
        <v>11002003</v>
      </c>
      <c r="P311" s="1">
        <v>0</v>
      </c>
      <c r="Q311" s="1">
        <v>0</v>
      </c>
      <c r="R311" s="1">
        <v>1</v>
      </c>
      <c r="T311" s="1">
        <v>100</v>
      </c>
      <c r="AY311" s="1" t="s">
        <v>449</v>
      </c>
      <c r="AZ311" s="1">
        <v>0</v>
      </c>
      <c r="GX311" s="1">
        <v>0</v>
      </c>
      <c r="GY311" s="1">
        <v>0</v>
      </c>
      <c r="GZ311" s="1" t="s">
        <v>449</v>
      </c>
      <c r="HA311" s="1">
        <v>0</v>
      </c>
      <c r="HD311" s="1">
        <v>0</v>
      </c>
      <c r="HF311" s="1">
        <v>0</v>
      </c>
      <c r="HG311" s="1">
        <v>0</v>
      </c>
      <c r="HH311" s="1">
        <v>0</v>
      </c>
      <c r="HI311" s="1">
        <v>0</v>
      </c>
      <c r="HJ311" s="1">
        <v>0</v>
      </c>
      <c r="HK311" s="1" t="b">
        <v>0</v>
      </c>
      <c r="HM311" s="1">
        <v>0</v>
      </c>
      <c r="HO311" s="1" t="s">
        <v>360</v>
      </c>
      <c r="HP311" s="1">
        <v>0</v>
      </c>
      <c r="HQ311" s="1">
        <v>0</v>
      </c>
      <c r="HR311" s="1">
        <v>0</v>
      </c>
    </row>
    <row r="312" spans="2:226">
      <c r="B312" s="1">
        <f>10000000+INDEX(编号表!$B$1:$B$112,MATCH(D312,编号表!$A$1:$A$112,0))*10000+I312</f>
        <v>10530002</v>
      </c>
      <c r="C312" s="1" t="s">
        <v>456</v>
      </c>
      <c r="D312" s="1" t="s">
        <v>457</v>
      </c>
      <c r="E312" s="1" t="s">
        <v>447</v>
      </c>
      <c r="F312" s="1" t="s">
        <v>457</v>
      </c>
      <c r="G312" s="1">
        <v>1</v>
      </c>
      <c r="H312" s="1" t="b">
        <v>0</v>
      </c>
      <c r="I312" s="1">
        <v>2</v>
      </c>
      <c r="J312" s="1" t="str">
        <f t="shared" si="7"/>
        <v>105300</v>
      </c>
      <c r="K312" s="1" t="s">
        <v>350</v>
      </c>
      <c r="L312" s="1">
        <f t="shared" ref="L312:L318" si="15">B311</f>
        <v>10530001</v>
      </c>
      <c r="M312" s="1">
        <f t="shared" si="14"/>
        <v>10530003</v>
      </c>
      <c r="N312" s="1" t="s">
        <v>458</v>
      </c>
      <c r="O312" s="1">
        <v>11002003</v>
      </c>
      <c r="P312" s="1">
        <v>0</v>
      </c>
      <c r="Q312" s="1">
        <v>0</v>
      </c>
      <c r="R312" s="1">
        <v>1</v>
      </c>
      <c r="T312" s="1">
        <v>100</v>
      </c>
      <c r="AY312" s="1" t="s">
        <v>449</v>
      </c>
      <c r="AZ312" s="1">
        <v>0</v>
      </c>
      <c r="GX312" s="1">
        <v>0</v>
      </c>
      <c r="GY312" s="1">
        <v>0</v>
      </c>
      <c r="GZ312" s="1" t="s">
        <v>449</v>
      </c>
      <c r="HA312" s="1">
        <v>0</v>
      </c>
      <c r="HD312" s="1">
        <v>0</v>
      </c>
      <c r="HF312" s="1">
        <v>0</v>
      </c>
      <c r="HG312" s="1">
        <v>0</v>
      </c>
      <c r="HH312" s="1">
        <v>0</v>
      </c>
      <c r="HI312" s="1">
        <v>0</v>
      </c>
      <c r="HJ312" s="1">
        <v>0</v>
      </c>
      <c r="HK312" s="1" t="b">
        <v>0</v>
      </c>
      <c r="HM312" s="1">
        <v>0</v>
      </c>
      <c r="HO312" s="1" t="s">
        <v>360</v>
      </c>
      <c r="HP312" s="1">
        <v>0</v>
      </c>
      <c r="HQ312" s="1">
        <v>0</v>
      </c>
      <c r="HR312" s="1">
        <v>0</v>
      </c>
    </row>
    <row r="313" spans="2:226">
      <c r="B313" s="1">
        <f>10000000+INDEX(编号表!$B$1:$B$112,MATCH(D313,编号表!$A$1:$A$112,0))*10000+I313</f>
        <v>10530003</v>
      </c>
      <c r="C313" s="1" t="s">
        <v>456</v>
      </c>
      <c r="D313" s="1" t="s">
        <v>457</v>
      </c>
      <c r="E313" s="1" t="s">
        <v>447</v>
      </c>
      <c r="F313" s="1" t="s">
        <v>457</v>
      </c>
      <c r="G313" s="1">
        <v>1</v>
      </c>
      <c r="H313" s="1" t="b">
        <v>0</v>
      </c>
      <c r="I313" s="1">
        <v>3</v>
      </c>
      <c r="J313" s="1" t="str">
        <f t="shared" si="7"/>
        <v>105300</v>
      </c>
      <c r="K313" s="1" t="s">
        <v>350</v>
      </c>
      <c r="L313" s="1">
        <f t="shared" si="15"/>
        <v>10530002</v>
      </c>
      <c r="M313" s="1">
        <f t="shared" si="14"/>
        <v>10530004</v>
      </c>
      <c r="N313" s="1" t="s">
        <v>458</v>
      </c>
      <c r="O313" s="1">
        <v>11002003</v>
      </c>
      <c r="P313" s="1">
        <v>0</v>
      </c>
      <c r="Q313" s="1">
        <v>0</v>
      </c>
      <c r="R313" s="1">
        <v>1</v>
      </c>
      <c r="T313" s="1">
        <v>100</v>
      </c>
      <c r="AY313" s="1" t="s">
        <v>449</v>
      </c>
      <c r="AZ313" s="1">
        <v>0</v>
      </c>
      <c r="GX313" s="1">
        <v>0</v>
      </c>
      <c r="GY313" s="1">
        <v>0</v>
      </c>
      <c r="GZ313" s="1" t="s">
        <v>449</v>
      </c>
      <c r="HA313" s="1">
        <v>0</v>
      </c>
      <c r="HD313" s="1">
        <v>0</v>
      </c>
      <c r="HF313" s="1">
        <v>0</v>
      </c>
      <c r="HG313" s="1">
        <v>0</v>
      </c>
      <c r="HH313" s="1">
        <v>0</v>
      </c>
      <c r="HI313" s="1">
        <v>0</v>
      </c>
      <c r="HJ313" s="1">
        <v>0</v>
      </c>
      <c r="HK313" s="1" t="b">
        <v>0</v>
      </c>
      <c r="HM313" s="1">
        <v>0</v>
      </c>
      <c r="HO313" s="1" t="s">
        <v>360</v>
      </c>
      <c r="HP313" s="1">
        <v>0</v>
      </c>
      <c r="HQ313" s="1">
        <v>0</v>
      </c>
      <c r="HR313" s="1">
        <v>0</v>
      </c>
    </row>
    <row r="314" spans="2:226">
      <c r="B314" s="1">
        <f>10000000+INDEX(编号表!$B$1:$B$112,MATCH(D314,编号表!$A$1:$A$112,0))*10000+I314</f>
        <v>10530004</v>
      </c>
      <c r="C314" s="1" t="s">
        <v>456</v>
      </c>
      <c r="D314" s="1" t="s">
        <v>457</v>
      </c>
      <c r="E314" s="1" t="s">
        <v>447</v>
      </c>
      <c r="F314" s="1" t="s">
        <v>457</v>
      </c>
      <c r="G314" s="1">
        <v>1</v>
      </c>
      <c r="H314" s="1" t="b">
        <v>0</v>
      </c>
      <c r="I314" s="1">
        <v>4</v>
      </c>
      <c r="J314" s="1" t="str">
        <f t="shared" si="7"/>
        <v>105300</v>
      </c>
      <c r="K314" s="1" t="s">
        <v>350</v>
      </c>
      <c r="L314" s="1">
        <f t="shared" si="15"/>
        <v>10530003</v>
      </c>
      <c r="M314" s="1">
        <f t="shared" si="14"/>
        <v>10530005</v>
      </c>
      <c r="N314" s="1" t="s">
        <v>458</v>
      </c>
      <c r="O314" s="1">
        <v>11002003</v>
      </c>
      <c r="P314" s="1">
        <v>0</v>
      </c>
      <c r="Q314" s="1">
        <v>0</v>
      </c>
      <c r="R314" s="1">
        <v>1</v>
      </c>
      <c r="T314" s="1">
        <v>100</v>
      </c>
      <c r="AY314" s="1" t="s">
        <v>449</v>
      </c>
      <c r="AZ314" s="1">
        <v>0</v>
      </c>
      <c r="GX314" s="1">
        <v>0</v>
      </c>
      <c r="GY314" s="1">
        <v>0</v>
      </c>
      <c r="GZ314" s="1" t="s">
        <v>449</v>
      </c>
      <c r="HA314" s="1">
        <v>0</v>
      </c>
      <c r="HD314" s="1">
        <v>0</v>
      </c>
      <c r="HF314" s="1">
        <v>0</v>
      </c>
      <c r="HG314" s="1">
        <v>0</v>
      </c>
      <c r="HH314" s="1">
        <v>0</v>
      </c>
      <c r="HI314" s="1">
        <v>0</v>
      </c>
      <c r="HJ314" s="1">
        <v>0</v>
      </c>
      <c r="HK314" s="1" t="b">
        <v>0</v>
      </c>
      <c r="HM314" s="1">
        <v>0</v>
      </c>
      <c r="HO314" s="1" t="s">
        <v>360</v>
      </c>
      <c r="HP314" s="1">
        <v>0</v>
      </c>
      <c r="HQ314" s="1">
        <v>0</v>
      </c>
      <c r="HR314" s="1">
        <v>0</v>
      </c>
    </row>
    <row r="315" spans="2:226">
      <c r="B315" s="1">
        <f>10000000+INDEX(编号表!$B$1:$B$112,MATCH(D315,编号表!$A$1:$A$112,0))*10000+I315</f>
        <v>10530005</v>
      </c>
      <c r="C315" s="1" t="s">
        <v>456</v>
      </c>
      <c r="D315" s="1" t="s">
        <v>457</v>
      </c>
      <c r="E315" s="1" t="s">
        <v>447</v>
      </c>
      <c r="F315" s="1" t="s">
        <v>457</v>
      </c>
      <c r="G315" s="1">
        <v>1</v>
      </c>
      <c r="H315" s="1" t="b">
        <v>0</v>
      </c>
      <c r="I315" s="1">
        <v>5</v>
      </c>
      <c r="J315" s="1" t="str">
        <f t="shared" si="7"/>
        <v>105300</v>
      </c>
      <c r="K315" s="1" t="s">
        <v>350</v>
      </c>
      <c r="L315" s="1">
        <f t="shared" si="15"/>
        <v>10530004</v>
      </c>
      <c r="M315" s="1">
        <f t="shared" si="14"/>
        <v>10530006</v>
      </c>
      <c r="N315" s="1" t="s">
        <v>458</v>
      </c>
      <c r="O315" s="1">
        <v>11002003</v>
      </c>
      <c r="P315" s="1">
        <v>0</v>
      </c>
      <c r="Q315" s="1">
        <v>0</v>
      </c>
      <c r="R315" s="1">
        <v>1</v>
      </c>
      <c r="T315" s="1">
        <v>100</v>
      </c>
      <c r="AY315" s="1" t="s">
        <v>449</v>
      </c>
      <c r="AZ315" s="1">
        <v>0</v>
      </c>
      <c r="GX315" s="1">
        <v>0</v>
      </c>
      <c r="GY315" s="1">
        <v>0</v>
      </c>
      <c r="GZ315" s="1" t="s">
        <v>449</v>
      </c>
      <c r="HA315" s="1">
        <v>0</v>
      </c>
      <c r="HD315" s="1">
        <v>0</v>
      </c>
      <c r="HF315" s="1">
        <v>0</v>
      </c>
      <c r="HG315" s="1">
        <v>0</v>
      </c>
      <c r="HH315" s="1">
        <v>0</v>
      </c>
      <c r="HI315" s="1">
        <v>0</v>
      </c>
      <c r="HJ315" s="1">
        <v>0</v>
      </c>
      <c r="HK315" s="1" t="b">
        <v>0</v>
      </c>
      <c r="HM315" s="1">
        <v>0</v>
      </c>
      <c r="HO315" s="1" t="s">
        <v>360</v>
      </c>
      <c r="HP315" s="1">
        <v>0</v>
      </c>
      <c r="HQ315" s="1">
        <v>0</v>
      </c>
      <c r="HR315" s="1">
        <v>0</v>
      </c>
    </row>
    <row r="316" spans="2:226">
      <c r="B316" s="1">
        <f>10000000+INDEX(编号表!$B$1:$B$112,MATCH(D316,编号表!$A$1:$A$112,0))*10000+I316</f>
        <v>10530006</v>
      </c>
      <c r="C316" s="1" t="s">
        <v>456</v>
      </c>
      <c r="D316" s="1" t="s">
        <v>457</v>
      </c>
      <c r="E316" s="1" t="s">
        <v>447</v>
      </c>
      <c r="F316" s="1" t="s">
        <v>457</v>
      </c>
      <c r="G316" s="1">
        <v>1</v>
      </c>
      <c r="H316" s="1" t="b">
        <v>0</v>
      </c>
      <c r="I316" s="1">
        <v>6</v>
      </c>
      <c r="J316" s="1" t="str">
        <f t="shared" si="7"/>
        <v>105300</v>
      </c>
      <c r="K316" s="1" t="s">
        <v>350</v>
      </c>
      <c r="L316" s="1">
        <f t="shared" si="15"/>
        <v>10530005</v>
      </c>
      <c r="M316" s="1">
        <f t="shared" si="14"/>
        <v>10530007</v>
      </c>
      <c r="N316" s="1" t="s">
        <v>458</v>
      </c>
      <c r="O316" s="1">
        <v>11002003</v>
      </c>
      <c r="P316" s="1">
        <v>0</v>
      </c>
      <c r="Q316" s="1">
        <v>0</v>
      </c>
      <c r="R316" s="1">
        <v>1</v>
      </c>
      <c r="T316" s="1">
        <v>100</v>
      </c>
      <c r="AY316" s="1" t="s">
        <v>449</v>
      </c>
      <c r="AZ316" s="1">
        <v>0</v>
      </c>
      <c r="GX316" s="1">
        <v>0</v>
      </c>
      <c r="GY316" s="1">
        <v>0</v>
      </c>
      <c r="GZ316" s="1" t="s">
        <v>449</v>
      </c>
      <c r="HA316" s="1">
        <v>0</v>
      </c>
      <c r="HD316" s="1">
        <v>0</v>
      </c>
      <c r="HF316" s="1">
        <v>0</v>
      </c>
      <c r="HG316" s="1">
        <v>0</v>
      </c>
      <c r="HH316" s="1">
        <v>0</v>
      </c>
      <c r="HI316" s="1">
        <v>0</v>
      </c>
      <c r="HJ316" s="1">
        <v>0</v>
      </c>
      <c r="HK316" s="1" t="b">
        <v>0</v>
      </c>
      <c r="HM316" s="1">
        <v>0</v>
      </c>
      <c r="HO316" s="1" t="s">
        <v>360</v>
      </c>
      <c r="HP316" s="1">
        <v>0</v>
      </c>
      <c r="HQ316" s="1">
        <v>0</v>
      </c>
      <c r="HR316" s="1">
        <v>0</v>
      </c>
    </row>
    <row r="317" spans="2:226">
      <c r="B317" s="1">
        <f>10000000+INDEX(编号表!$B$1:$B$112,MATCH(D317,编号表!$A$1:$A$112,0))*10000+I317</f>
        <v>10530007</v>
      </c>
      <c r="C317" s="1" t="s">
        <v>456</v>
      </c>
      <c r="D317" s="1" t="s">
        <v>457</v>
      </c>
      <c r="E317" s="1" t="s">
        <v>447</v>
      </c>
      <c r="F317" s="1" t="s">
        <v>457</v>
      </c>
      <c r="G317" s="1">
        <v>1</v>
      </c>
      <c r="H317" s="1" t="b">
        <v>0</v>
      </c>
      <c r="I317" s="1">
        <v>7</v>
      </c>
      <c r="J317" s="1" t="str">
        <f t="shared" si="7"/>
        <v>105300</v>
      </c>
      <c r="K317" s="1" t="s">
        <v>350</v>
      </c>
      <c r="L317" s="1">
        <f t="shared" si="15"/>
        <v>10530006</v>
      </c>
      <c r="M317" s="1">
        <f t="shared" si="14"/>
        <v>10530008</v>
      </c>
      <c r="N317" s="1" t="s">
        <v>458</v>
      </c>
      <c r="O317" s="1">
        <v>11002003</v>
      </c>
      <c r="P317" s="1">
        <v>0</v>
      </c>
      <c r="Q317" s="1">
        <v>0</v>
      </c>
      <c r="R317" s="1">
        <v>1</v>
      </c>
      <c r="T317" s="1">
        <v>100</v>
      </c>
      <c r="AY317" s="1" t="s">
        <v>449</v>
      </c>
      <c r="AZ317" s="1">
        <v>0</v>
      </c>
      <c r="GX317" s="1">
        <v>0</v>
      </c>
      <c r="GY317" s="1">
        <v>0</v>
      </c>
      <c r="GZ317" s="1" t="s">
        <v>449</v>
      </c>
      <c r="HA317" s="1">
        <v>0</v>
      </c>
      <c r="HD317" s="1">
        <v>0</v>
      </c>
      <c r="HF317" s="1">
        <v>0</v>
      </c>
      <c r="HG317" s="1">
        <v>0</v>
      </c>
      <c r="HH317" s="1">
        <v>0</v>
      </c>
      <c r="HI317" s="1">
        <v>0</v>
      </c>
      <c r="HJ317" s="1">
        <v>0</v>
      </c>
      <c r="HK317" s="1" t="b">
        <v>0</v>
      </c>
      <c r="HM317" s="1">
        <v>0</v>
      </c>
      <c r="HO317" s="1" t="s">
        <v>360</v>
      </c>
      <c r="HP317" s="1">
        <v>0</v>
      </c>
      <c r="HQ317" s="1">
        <v>0</v>
      </c>
      <c r="HR317" s="1">
        <v>0</v>
      </c>
    </row>
    <row r="318" spans="2:226">
      <c r="B318" s="1">
        <f>10000000+INDEX(编号表!$B$1:$B$112,MATCH(D318,编号表!$A$1:$A$112,0))*10000+I318</f>
        <v>10530008</v>
      </c>
      <c r="C318" s="1" t="s">
        <v>456</v>
      </c>
      <c r="D318" s="1" t="s">
        <v>457</v>
      </c>
      <c r="E318" s="1" t="s">
        <v>447</v>
      </c>
      <c r="F318" s="1" t="s">
        <v>457</v>
      </c>
      <c r="G318" s="1">
        <v>1</v>
      </c>
      <c r="H318" s="1" t="b">
        <v>0</v>
      </c>
      <c r="I318" s="1">
        <v>8</v>
      </c>
      <c r="J318" s="1" t="str">
        <f t="shared" si="7"/>
        <v>105300</v>
      </c>
      <c r="K318" s="1" t="s">
        <v>350</v>
      </c>
      <c r="L318" s="1">
        <f t="shared" si="15"/>
        <v>10530007</v>
      </c>
      <c r="N318" s="1" t="s">
        <v>458</v>
      </c>
      <c r="O318" s="1">
        <v>11002003</v>
      </c>
      <c r="P318" s="1">
        <v>0</v>
      </c>
      <c r="Q318" s="1">
        <v>0</v>
      </c>
      <c r="R318" s="1">
        <v>1</v>
      </c>
      <c r="T318" s="1">
        <v>100</v>
      </c>
      <c r="AY318" s="1" t="s">
        <v>449</v>
      </c>
      <c r="AZ318" s="1">
        <v>0</v>
      </c>
      <c r="GX318" s="1">
        <v>0</v>
      </c>
      <c r="GY318" s="1">
        <v>0</v>
      </c>
      <c r="GZ318" s="1" t="s">
        <v>449</v>
      </c>
      <c r="HA318" s="1">
        <v>0</v>
      </c>
      <c r="HD318" s="1">
        <v>0</v>
      </c>
      <c r="HF318" s="1">
        <v>0</v>
      </c>
      <c r="HG318" s="1">
        <v>0</v>
      </c>
      <c r="HH318" s="1">
        <v>0</v>
      </c>
      <c r="HI318" s="1">
        <v>0</v>
      </c>
      <c r="HJ318" s="1">
        <v>0</v>
      </c>
      <c r="HK318" s="1" t="b">
        <v>0</v>
      </c>
      <c r="HM318" s="1">
        <v>0</v>
      </c>
      <c r="HO318" s="1" t="s">
        <v>360</v>
      </c>
      <c r="HP318" s="1">
        <v>0</v>
      </c>
      <c r="HQ318" s="1">
        <v>0</v>
      </c>
      <c r="HR318" s="1">
        <v>0</v>
      </c>
    </row>
    <row r="319" spans="2:226">
      <c r="B319" s="1">
        <f>10000000+INDEX(编号表!$B$1:$B$112,MATCH(D319,编号表!$A$1:$A$112,0))*10000+I319</f>
        <v>10540001</v>
      </c>
      <c r="C319" s="1" t="s">
        <v>459</v>
      </c>
      <c r="D319" s="1" t="s">
        <v>460</v>
      </c>
      <c r="E319" s="1" t="s">
        <v>447</v>
      </c>
      <c r="F319" s="1" t="s">
        <v>460</v>
      </c>
      <c r="G319" s="1">
        <v>1</v>
      </c>
      <c r="H319" s="1" t="b">
        <v>0</v>
      </c>
      <c r="I319" s="1">
        <v>1</v>
      </c>
      <c r="J319" s="1" t="str">
        <f t="shared" si="7"/>
        <v>105400</v>
      </c>
      <c r="K319" s="1" t="s">
        <v>350</v>
      </c>
      <c r="M319" s="1">
        <f t="shared" ref="M319:M325" si="16">B320</f>
        <v>10540002</v>
      </c>
      <c r="N319" s="1" t="s">
        <v>461</v>
      </c>
      <c r="O319" s="1">
        <v>11002004</v>
      </c>
      <c r="P319" s="1">
        <v>0</v>
      </c>
      <c r="Q319" s="1">
        <v>0</v>
      </c>
      <c r="R319" s="1">
        <v>1</v>
      </c>
      <c r="T319" s="1">
        <v>100</v>
      </c>
      <c r="AY319" s="1" t="s">
        <v>449</v>
      </c>
      <c r="AZ319" s="1">
        <v>0</v>
      </c>
      <c r="GX319" s="1">
        <v>0</v>
      </c>
      <c r="GY319" s="1">
        <v>0</v>
      </c>
      <c r="GZ319" s="1" t="s">
        <v>449</v>
      </c>
      <c r="HA319" s="1">
        <v>0</v>
      </c>
      <c r="HD319" s="1">
        <v>0</v>
      </c>
      <c r="HF319" s="1">
        <v>0</v>
      </c>
      <c r="HG319" s="1">
        <v>0</v>
      </c>
      <c r="HH319" s="1">
        <v>0</v>
      </c>
      <c r="HI319" s="1">
        <v>0</v>
      </c>
      <c r="HJ319" s="1">
        <v>0</v>
      </c>
      <c r="HK319" s="1" t="b">
        <v>0</v>
      </c>
      <c r="HM319" s="1">
        <v>0</v>
      </c>
      <c r="HO319" s="1" t="s">
        <v>360</v>
      </c>
      <c r="HP319" s="1">
        <v>0</v>
      </c>
      <c r="HQ319" s="1">
        <v>0</v>
      </c>
      <c r="HR319" s="1">
        <v>0</v>
      </c>
    </row>
    <row r="320" spans="2:226">
      <c r="B320" s="1">
        <f>10000000+INDEX(编号表!$B$1:$B$112,MATCH(D320,编号表!$A$1:$A$112,0))*10000+I320</f>
        <v>10540002</v>
      </c>
      <c r="C320" s="1" t="s">
        <v>459</v>
      </c>
      <c r="D320" s="1" t="s">
        <v>460</v>
      </c>
      <c r="E320" s="1" t="s">
        <v>447</v>
      </c>
      <c r="F320" s="1" t="s">
        <v>460</v>
      </c>
      <c r="G320" s="1">
        <v>1</v>
      </c>
      <c r="H320" s="1" t="b">
        <v>0</v>
      </c>
      <c r="I320" s="1">
        <v>2</v>
      </c>
      <c r="J320" s="1" t="str">
        <f t="shared" si="7"/>
        <v>105400</v>
      </c>
      <c r="K320" s="1" t="s">
        <v>350</v>
      </c>
      <c r="L320" s="1">
        <f t="shared" ref="L320:L326" si="17">B319</f>
        <v>10540001</v>
      </c>
      <c r="M320" s="1">
        <f t="shared" si="16"/>
        <v>10540003</v>
      </c>
      <c r="N320" s="1" t="s">
        <v>461</v>
      </c>
      <c r="O320" s="1">
        <v>11002004</v>
      </c>
      <c r="P320" s="1">
        <v>0</v>
      </c>
      <c r="Q320" s="1">
        <v>0</v>
      </c>
      <c r="R320" s="1">
        <v>1</v>
      </c>
      <c r="T320" s="1">
        <v>100</v>
      </c>
      <c r="AY320" s="1" t="s">
        <v>449</v>
      </c>
      <c r="AZ320" s="1">
        <v>0</v>
      </c>
      <c r="GX320" s="1">
        <v>0</v>
      </c>
      <c r="GY320" s="1">
        <v>0</v>
      </c>
      <c r="GZ320" s="1" t="s">
        <v>449</v>
      </c>
      <c r="HA320" s="1">
        <v>0</v>
      </c>
      <c r="HD320" s="1">
        <v>0</v>
      </c>
      <c r="HF320" s="1">
        <v>0</v>
      </c>
      <c r="HG320" s="1">
        <v>0</v>
      </c>
      <c r="HH320" s="1">
        <v>0</v>
      </c>
      <c r="HI320" s="1">
        <v>0</v>
      </c>
      <c r="HJ320" s="1">
        <v>0</v>
      </c>
      <c r="HK320" s="1" t="b">
        <v>0</v>
      </c>
      <c r="HM320" s="1">
        <v>0</v>
      </c>
      <c r="HO320" s="1" t="s">
        <v>360</v>
      </c>
      <c r="HP320" s="1">
        <v>0</v>
      </c>
      <c r="HQ320" s="1">
        <v>0</v>
      </c>
      <c r="HR320" s="1">
        <v>0</v>
      </c>
    </row>
    <row r="321" spans="2:226">
      <c r="B321" s="1">
        <f>10000000+INDEX(编号表!$B$1:$B$112,MATCH(D321,编号表!$A$1:$A$112,0))*10000+I321</f>
        <v>10540003</v>
      </c>
      <c r="C321" s="1" t="s">
        <v>459</v>
      </c>
      <c r="D321" s="1" t="s">
        <v>460</v>
      </c>
      <c r="E321" s="1" t="s">
        <v>447</v>
      </c>
      <c r="F321" s="1" t="s">
        <v>460</v>
      </c>
      <c r="G321" s="1">
        <v>1</v>
      </c>
      <c r="H321" s="1" t="b">
        <v>0</v>
      </c>
      <c r="I321" s="1">
        <v>3</v>
      </c>
      <c r="J321" s="1" t="str">
        <f t="shared" si="7"/>
        <v>105400</v>
      </c>
      <c r="K321" s="1" t="s">
        <v>350</v>
      </c>
      <c r="L321" s="1">
        <f t="shared" si="17"/>
        <v>10540002</v>
      </c>
      <c r="M321" s="1">
        <f t="shared" si="16"/>
        <v>10540004</v>
      </c>
      <c r="N321" s="1" t="s">
        <v>461</v>
      </c>
      <c r="O321" s="1">
        <v>11002004</v>
      </c>
      <c r="P321" s="1">
        <v>0</v>
      </c>
      <c r="Q321" s="1">
        <v>0</v>
      </c>
      <c r="R321" s="1">
        <v>1</v>
      </c>
      <c r="T321" s="1">
        <v>100</v>
      </c>
      <c r="AY321" s="1" t="s">
        <v>449</v>
      </c>
      <c r="AZ321" s="1">
        <v>0</v>
      </c>
      <c r="GX321" s="1">
        <v>0</v>
      </c>
      <c r="GY321" s="1">
        <v>0</v>
      </c>
      <c r="GZ321" s="1" t="s">
        <v>449</v>
      </c>
      <c r="HA321" s="1">
        <v>0</v>
      </c>
      <c r="HD321" s="1">
        <v>0</v>
      </c>
      <c r="HF321" s="1">
        <v>0</v>
      </c>
      <c r="HG321" s="1">
        <v>0</v>
      </c>
      <c r="HH321" s="1">
        <v>0</v>
      </c>
      <c r="HI321" s="1">
        <v>0</v>
      </c>
      <c r="HJ321" s="1">
        <v>0</v>
      </c>
      <c r="HK321" s="1" t="b">
        <v>0</v>
      </c>
      <c r="HM321" s="1">
        <v>0</v>
      </c>
      <c r="HO321" s="1" t="s">
        <v>360</v>
      </c>
      <c r="HP321" s="1">
        <v>0</v>
      </c>
      <c r="HQ321" s="1">
        <v>0</v>
      </c>
      <c r="HR321" s="1">
        <v>0</v>
      </c>
    </row>
    <row r="322" spans="2:226">
      <c r="B322" s="1">
        <f>10000000+INDEX(编号表!$B$1:$B$112,MATCH(D322,编号表!$A$1:$A$112,0))*10000+I322</f>
        <v>10540004</v>
      </c>
      <c r="C322" s="1" t="s">
        <v>459</v>
      </c>
      <c r="D322" s="1" t="s">
        <v>460</v>
      </c>
      <c r="E322" s="1" t="s">
        <v>447</v>
      </c>
      <c r="F322" s="1" t="s">
        <v>460</v>
      </c>
      <c r="G322" s="1">
        <v>1</v>
      </c>
      <c r="H322" s="1" t="b">
        <v>0</v>
      </c>
      <c r="I322" s="1">
        <v>4</v>
      </c>
      <c r="J322" s="1" t="str">
        <f t="shared" si="7"/>
        <v>105400</v>
      </c>
      <c r="K322" s="1" t="s">
        <v>350</v>
      </c>
      <c r="L322" s="1">
        <f t="shared" si="17"/>
        <v>10540003</v>
      </c>
      <c r="M322" s="1">
        <f t="shared" si="16"/>
        <v>10540005</v>
      </c>
      <c r="N322" s="1" t="s">
        <v>461</v>
      </c>
      <c r="O322" s="1">
        <v>11002004</v>
      </c>
      <c r="P322" s="1">
        <v>0</v>
      </c>
      <c r="Q322" s="1">
        <v>0</v>
      </c>
      <c r="R322" s="1">
        <v>1</v>
      </c>
      <c r="T322" s="1">
        <v>100</v>
      </c>
      <c r="AY322" s="1" t="s">
        <v>449</v>
      </c>
      <c r="AZ322" s="1">
        <v>0</v>
      </c>
      <c r="GX322" s="1">
        <v>0</v>
      </c>
      <c r="GY322" s="1">
        <v>0</v>
      </c>
      <c r="GZ322" s="1" t="s">
        <v>449</v>
      </c>
      <c r="HA322" s="1">
        <v>0</v>
      </c>
      <c r="HD322" s="1">
        <v>0</v>
      </c>
      <c r="HF322" s="1">
        <v>0</v>
      </c>
      <c r="HG322" s="1">
        <v>0</v>
      </c>
      <c r="HH322" s="1">
        <v>0</v>
      </c>
      <c r="HI322" s="1">
        <v>0</v>
      </c>
      <c r="HJ322" s="1">
        <v>0</v>
      </c>
      <c r="HK322" s="1" t="b">
        <v>0</v>
      </c>
      <c r="HM322" s="1">
        <v>0</v>
      </c>
      <c r="HO322" s="1" t="s">
        <v>360</v>
      </c>
      <c r="HP322" s="1">
        <v>0</v>
      </c>
      <c r="HQ322" s="1">
        <v>0</v>
      </c>
      <c r="HR322" s="1">
        <v>0</v>
      </c>
    </row>
    <row r="323" spans="2:226">
      <c r="B323" s="1">
        <f>10000000+INDEX(编号表!$B$1:$B$112,MATCH(D323,编号表!$A$1:$A$112,0))*10000+I323</f>
        <v>10540005</v>
      </c>
      <c r="C323" s="1" t="s">
        <v>459</v>
      </c>
      <c r="D323" s="1" t="s">
        <v>460</v>
      </c>
      <c r="E323" s="1" t="s">
        <v>447</v>
      </c>
      <c r="F323" s="1" t="s">
        <v>460</v>
      </c>
      <c r="G323" s="1">
        <v>1</v>
      </c>
      <c r="H323" s="1" t="b">
        <v>0</v>
      </c>
      <c r="I323" s="1">
        <v>5</v>
      </c>
      <c r="J323" s="1" t="str">
        <f t="shared" si="7"/>
        <v>105400</v>
      </c>
      <c r="K323" s="1" t="s">
        <v>350</v>
      </c>
      <c r="L323" s="1">
        <f t="shared" si="17"/>
        <v>10540004</v>
      </c>
      <c r="M323" s="1">
        <f t="shared" si="16"/>
        <v>10540006</v>
      </c>
      <c r="N323" s="1" t="s">
        <v>461</v>
      </c>
      <c r="O323" s="1">
        <v>11002004</v>
      </c>
      <c r="P323" s="1">
        <v>0</v>
      </c>
      <c r="Q323" s="1">
        <v>0</v>
      </c>
      <c r="R323" s="1">
        <v>1</v>
      </c>
      <c r="T323" s="1">
        <v>100</v>
      </c>
      <c r="AY323" s="1" t="s">
        <v>449</v>
      </c>
      <c r="AZ323" s="1">
        <v>0</v>
      </c>
      <c r="GX323" s="1">
        <v>0</v>
      </c>
      <c r="GY323" s="1">
        <v>0</v>
      </c>
      <c r="GZ323" s="1" t="s">
        <v>449</v>
      </c>
      <c r="HA323" s="1">
        <v>0</v>
      </c>
      <c r="HD323" s="1">
        <v>0</v>
      </c>
      <c r="HF323" s="1">
        <v>0</v>
      </c>
      <c r="HG323" s="1">
        <v>0</v>
      </c>
      <c r="HH323" s="1">
        <v>0</v>
      </c>
      <c r="HI323" s="1">
        <v>0</v>
      </c>
      <c r="HJ323" s="1">
        <v>0</v>
      </c>
      <c r="HK323" s="1" t="b">
        <v>0</v>
      </c>
      <c r="HM323" s="1">
        <v>0</v>
      </c>
      <c r="HO323" s="1" t="s">
        <v>360</v>
      </c>
      <c r="HP323" s="1">
        <v>0</v>
      </c>
      <c r="HQ323" s="1">
        <v>0</v>
      </c>
      <c r="HR323" s="1">
        <v>0</v>
      </c>
    </row>
    <row r="324" spans="2:226">
      <c r="B324" s="1">
        <f>10000000+INDEX(编号表!$B$1:$B$112,MATCH(D324,编号表!$A$1:$A$112,0))*10000+I324</f>
        <v>10540006</v>
      </c>
      <c r="C324" s="1" t="s">
        <v>459</v>
      </c>
      <c r="D324" s="1" t="s">
        <v>460</v>
      </c>
      <c r="E324" s="1" t="s">
        <v>447</v>
      </c>
      <c r="F324" s="1" t="s">
        <v>460</v>
      </c>
      <c r="G324" s="1">
        <v>1</v>
      </c>
      <c r="H324" s="1" t="b">
        <v>0</v>
      </c>
      <c r="I324" s="1">
        <v>6</v>
      </c>
      <c r="J324" s="1" t="str">
        <f t="shared" si="7"/>
        <v>105400</v>
      </c>
      <c r="K324" s="1" t="s">
        <v>350</v>
      </c>
      <c r="L324" s="1">
        <f t="shared" si="17"/>
        <v>10540005</v>
      </c>
      <c r="M324" s="1">
        <f t="shared" si="16"/>
        <v>10540007</v>
      </c>
      <c r="N324" s="1" t="s">
        <v>461</v>
      </c>
      <c r="O324" s="1">
        <v>11002004</v>
      </c>
      <c r="P324" s="1">
        <v>0</v>
      </c>
      <c r="Q324" s="1">
        <v>0</v>
      </c>
      <c r="R324" s="1">
        <v>1</v>
      </c>
      <c r="T324" s="1">
        <v>100</v>
      </c>
      <c r="AY324" s="1" t="s">
        <v>449</v>
      </c>
      <c r="AZ324" s="1">
        <v>0</v>
      </c>
      <c r="GX324" s="1">
        <v>0</v>
      </c>
      <c r="GY324" s="1">
        <v>0</v>
      </c>
      <c r="GZ324" s="1" t="s">
        <v>449</v>
      </c>
      <c r="HA324" s="1">
        <v>0</v>
      </c>
      <c r="HD324" s="1">
        <v>0</v>
      </c>
      <c r="HF324" s="1">
        <v>0</v>
      </c>
      <c r="HG324" s="1">
        <v>0</v>
      </c>
      <c r="HH324" s="1">
        <v>0</v>
      </c>
      <c r="HI324" s="1">
        <v>0</v>
      </c>
      <c r="HJ324" s="1">
        <v>0</v>
      </c>
      <c r="HK324" s="1" t="b">
        <v>0</v>
      </c>
      <c r="HM324" s="1">
        <v>0</v>
      </c>
      <c r="HO324" s="1" t="s">
        <v>360</v>
      </c>
      <c r="HP324" s="1">
        <v>0</v>
      </c>
      <c r="HQ324" s="1">
        <v>0</v>
      </c>
      <c r="HR324" s="1">
        <v>0</v>
      </c>
    </row>
    <row r="325" spans="2:226">
      <c r="B325" s="1">
        <f>10000000+INDEX(编号表!$B$1:$B$112,MATCH(D325,编号表!$A$1:$A$112,0))*10000+I325</f>
        <v>10540007</v>
      </c>
      <c r="C325" s="1" t="s">
        <v>459</v>
      </c>
      <c r="D325" s="1" t="s">
        <v>460</v>
      </c>
      <c r="E325" s="1" t="s">
        <v>447</v>
      </c>
      <c r="F325" s="1" t="s">
        <v>460</v>
      </c>
      <c r="G325" s="1">
        <v>1</v>
      </c>
      <c r="H325" s="1" t="b">
        <v>0</v>
      </c>
      <c r="I325" s="1">
        <v>7</v>
      </c>
      <c r="J325" s="1" t="str">
        <f t="shared" si="7"/>
        <v>105400</v>
      </c>
      <c r="K325" s="1" t="s">
        <v>350</v>
      </c>
      <c r="L325" s="1">
        <f t="shared" si="17"/>
        <v>10540006</v>
      </c>
      <c r="M325" s="1">
        <f t="shared" si="16"/>
        <v>10540008</v>
      </c>
      <c r="N325" s="1" t="s">
        <v>461</v>
      </c>
      <c r="O325" s="1">
        <v>11002004</v>
      </c>
      <c r="P325" s="1">
        <v>0</v>
      </c>
      <c r="Q325" s="1">
        <v>0</v>
      </c>
      <c r="R325" s="1">
        <v>1</v>
      </c>
      <c r="T325" s="1">
        <v>100</v>
      </c>
      <c r="AY325" s="1" t="s">
        <v>449</v>
      </c>
      <c r="AZ325" s="1">
        <v>0</v>
      </c>
      <c r="GX325" s="1">
        <v>0</v>
      </c>
      <c r="GY325" s="1">
        <v>0</v>
      </c>
      <c r="GZ325" s="1" t="s">
        <v>449</v>
      </c>
      <c r="HA325" s="1">
        <v>0</v>
      </c>
      <c r="HD325" s="1">
        <v>0</v>
      </c>
      <c r="HF325" s="1">
        <v>0</v>
      </c>
      <c r="HG325" s="1">
        <v>0</v>
      </c>
      <c r="HH325" s="1">
        <v>0</v>
      </c>
      <c r="HI325" s="1">
        <v>0</v>
      </c>
      <c r="HJ325" s="1">
        <v>0</v>
      </c>
      <c r="HK325" s="1" t="b">
        <v>0</v>
      </c>
      <c r="HM325" s="1">
        <v>0</v>
      </c>
      <c r="HO325" s="1" t="s">
        <v>360</v>
      </c>
      <c r="HP325" s="1">
        <v>0</v>
      </c>
      <c r="HQ325" s="1">
        <v>0</v>
      </c>
      <c r="HR325" s="1">
        <v>0</v>
      </c>
    </row>
    <row r="326" spans="2:226">
      <c r="B326" s="1">
        <f>10000000+INDEX(编号表!$B$1:$B$112,MATCH(D326,编号表!$A$1:$A$112,0))*10000+I326</f>
        <v>10540008</v>
      </c>
      <c r="C326" s="1" t="s">
        <v>459</v>
      </c>
      <c r="D326" s="1" t="s">
        <v>460</v>
      </c>
      <c r="E326" s="1" t="s">
        <v>447</v>
      </c>
      <c r="F326" s="1" t="s">
        <v>460</v>
      </c>
      <c r="G326" s="1">
        <v>1</v>
      </c>
      <c r="H326" s="1" t="b">
        <v>0</v>
      </c>
      <c r="I326" s="1">
        <v>8</v>
      </c>
      <c r="J326" s="1" t="str">
        <f t="shared" si="7"/>
        <v>105400</v>
      </c>
      <c r="K326" s="1" t="s">
        <v>350</v>
      </c>
      <c r="L326" s="1">
        <f t="shared" si="17"/>
        <v>10540007</v>
      </c>
      <c r="N326" s="1" t="s">
        <v>461</v>
      </c>
      <c r="O326" s="1">
        <v>11002004</v>
      </c>
      <c r="P326" s="1">
        <v>0</v>
      </c>
      <c r="Q326" s="1">
        <v>0</v>
      </c>
      <c r="R326" s="1">
        <v>1</v>
      </c>
      <c r="T326" s="1">
        <v>100</v>
      </c>
      <c r="AY326" s="1" t="s">
        <v>449</v>
      </c>
      <c r="AZ326" s="1">
        <v>0</v>
      </c>
      <c r="GX326" s="1">
        <v>0</v>
      </c>
      <c r="GY326" s="1">
        <v>0</v>
      </c>
      <c r="GZ326" s="1" t="s">
        <v>449</v>
      </c>
      <c r="HA326" s="1">
        <v>0</v>
      </c>
      <c r="HD326" s="1">
        <v>0</v>
      </c>
      <c r="HF326" s="1">
        <v>0</v>
      </c>
      <c r="HG326" s="1">
        <v>0</v>
      </c>
      <c r="HH326" s="1">
        <v>0</v>
      </c>
      <c r="HI326" s="1">
        <v>0</v>
      </c>
      <c r="HJ326" s="1">
        <v>0</v>
      </c>
      <c r="HK326" s="1" t="b">
        <v>0</v>
      </c>
      <c r="HM326" s="1">
        <v>0</v>
      </c>
      <c r="HO326" s="1" t="s">
        <v>360</v>
      </c>
      <c r="HP326" s="1">
        <v>0</v>
      </c>
      <c r="HQ326" s="1">
        <v>0</v>
      </c>
      <c r="HR326" s="1">
        <v>0</v>
      </c>
    </row>
    <row r="327" spans="2:226">
      <c r="B327" s="1">
        <f>10000000+INDEX(编号表!$B$1:$B$112,MATCH(D327,编号表!$A$1:$A$112,0))*10000+I327</f>
        <v>10550001</v>
      </c>
      <c r="C327" s="1" t="s">
        <v>462</v>
      </c>
      <c r="D327" s="1" t="s">
        <v>463</v>
      </c>
      <c r="E327" s="1" t="s">
        <v>447</v>
      </c>
      <c r="F327" s="1" t="s">
        <v>463</v>
      </c>
      <c r="G327" s="1">
        <v>1</v>
      </c>
      <c r="H327" s="1" t="b">
        <v>0</v>
      </c>
      <c r="I327" s="1">
        <v>1</v>
      </c>
      <c r="J327" s="1" t="str">
        <f t="shared" si="7"/>
        <v>105500</v>
      </c>
      <c r="K327" s="1" t="s">
        <v>350</v>
      </c>
      <c r="M327" s="1">
        <f t="shared" ref="M327:M333" si="18">B328</f>
        <v>10550002</v>
      </c>
      <c r="N327" s="1" t="s">
        <v>464</v>
      </c>
      <c r="O327" s="1">
        <v>11002005</v>
      </c>
      <c r="P327" s="1">
        <v>0</v>
      </c>
      <c r="Q327" s="1">
        <v>0</v>
      </c>
      <c r="R327" s="1">
        <v>1</v>
      </c>
      <c r="T327" s="1">
        <v>100</v>
      </c>
      <c r="AY327" s="1" t="s">
        <v>449</v>
      </c>
      <c r="AZ327" s="1">
        <v>0</v>
      </c>
      <c r="GX327" s="1">
        <v>0</v>
      </c>
      <c r="GY327" s="1">
        <v>0</v>
      </c>
      <c r="GZ327" s="1" t="s">
        <v>449</v>
      </c>
      <c r="HA327" s="1">
        <v>0</v>
      </c>
      <c r="HD327" s="1">
        <v>0</v>
      </c>
      <c r="HF327" s="1">
        <v>0</v>
      </c>
      <c r="HG327" s="1">
        <v>0</v>
      </c>
      <c r="HH327" s="1">
        <v>0</v>
      </c>
      <c r="HI327" s="1">
        <v>0</v>
      </c>
      <c r="HJ327" s="1">
        <v>0</v>
      </c>
      <c r="HK327" s="1" t="b">
        <v>0</v>
      </c>
      <c r="HM327" s="1">
        <v>0</v>
      </c>
      <c r="HO327" s="1" t="s">
        <v>360</v>
      </c>
      <c r="HP327" s="1">
        <v>0</v>
      </c>
      <c r="HQ327" s="1">
        <v>0</v>
      </c>
      <c r="HR327" s="1">
        <v>0</v>
      </c>
    </row>
    <row r="328" spans="2:226">
      <c r="B328" s="1">
        <f>10000000+INDEX(编号表!$B$1:$B$112,MATCH(D328,编号表!$A$1:$A$112,0))*10000+I328</f>
        <v>10550002</v>
      </c>
      <c r="C328" s="1" t="s">
        <v>462</v>
      </c>
      <c r="D328" s="1" t="s">
        <v>463</v>
      </c>
      <c r="E328" s="1" t="s">
        <v>447</v>
      </c>
      <c r="F328" s="1" t="s">
        <v>463</v>
      </c>
      <c r="G328" s="1">
        <v>1</v>
      </c>
      <c r="H328" s="1" t="b">
        <v>0</v>
      </c>
      <c r="I328" s="1">
        <v>2</v>
      </c>
      <c r="J328" s="1" t="str">
        <f t="shared" si="7"/>
        <v>105500</v>
      </c>
      <c r="K328" s="1" t="s">
        <v>350</v>
      </c>
      <c r="L328" s="1">
        <f t="shared" ref="L328:L334" si="19">B327</f>
        <v>10550001</v>
      </c>
      <c r="M328" s="1">
        <f t="shared" si="18"/>
        <v>10550003</v>
      </c>
      <c r="N328" s="1" t="s">
        <v>464</v>
      </c>
      <c r="O328" s="1">
        <v>11002005</v>
      </c>
      <c r="P328" s="1">
        <v>0</v>
      </c>
      <c r="Q328" s="1">
        <v>0</v>
      </c>
      <c r="R328" s="1">
        <v>1</v>
      </c>
      <c r="T328" s="1">
        <v>100</v>
      </c>
      <c r="AY328" s="1" t="s">
        <v>449</v>
      </c>
      <c r="AZ328" s="1">
        <v>0</v>
      </c>
      <c r="GX328" s="1">
        <v>0</v>
      </c>
      <c r="GY328" s="1">
        <v>0</v>
      </c>
      <c r="GZ328" s="1" t="s">
        <v>449</v>
      </c>
      <c r="HA328" s="1">
        <v>0</v>
      </c>
      <c r="HD328" s="1">
        <v>0</v>
      </c>
      <c r="HF328" s="1">
        <v>0</v>
      </c>
      <c r="HG328" s="1">
        <v>0</v>
      </c>
      <c r="HH328" s="1">
        <v>0</v>
      </c>
      <c r="HI328" s="1">
        <v>0</v>
      </c>
      <c r="HJ328" s="1">
        <v>0</v>
      </c>
      <c r="HK328" s="1" t="b">
        <v>0</v>
      </c>
      <c r="HM328" s="1">
        <v>0</v>
      </c>
      <c r="HO328" s="1" t="s">
        <v>360</v>
      </c>
      <c r="HP328" s="1">
        <v>0</v>
      </c>
      <c r="HQ328" s="1">
        <v>0</v>
      </c>
      <c r="HR328" s="1">
        <v>0</v>
      </c>
    </row>
    <row r="329" spans="2:226">
      <c r="B329" s="1">
        <f>10000000+INDEX(编号表!$B$1:$B$112,MATCH(D329,编号表!$A$1:$A$112,0))*10000+I329</f>
        <v>10550003</v>
      </c>
      <c r="C329" s="1" t="s">
        <v>462</v>
      </c>
      <c r="D329" s="1" t="s">
        <v>463</v>
      </c>
      <c r="E329" s="1" t="s">
        <v>447</v>
      </c>
      <c r="F329" s="1" t="s">
        <v>463</v>
      </c>
      <c r="G329" s="1">
        <v>1</v>
      </c>
      <c r="H329" s="1" t="b">
        <v>0</v>
      </c>
      <c r="I329" s="1">
        <v>3</v>
      </c>
      <c r="J329" s="1" t="str">
        <f t="shared" si="7"/>
        <v>105500</v>
      </c>
      <c r="K329" s="1" t="s">
        <v>350</v>
      </c>
      <c r="L329" s="1">
        <f t="shared" si="19"/>
        <v>10550002</v>
      </c>
      <c r="M329" s="1">
        <f t="shared" si="18"/>
        <v>10550004</v>
      </c>
      <c r="N329" s="1" t="s">
        <v>464</v>
      </c>
      <c r="O329" s="1">
        <v>11002005</v>
      </c>
      <c r="P329" s="1">
        <v>0</v>
      </c>
      <c r="Q329" s="1">
        <v>0</v>
      </c>
      <c r="R329" s="1">
        <v>1</v>
      </c>
      <c r="T329" s="1">
        <v>100</v>
      </c>
      <c r="AY329" s="1" t="s">
        <v>449</v>
      </c>
      <c r="AZ329" s="1">
        <v>0</v>
      </c>
      <c r="GX329" s="1">
        <v>0</v>
      </c>
      <c r="GY329" s="1">
        <v>0</v>
      </c>
      <c r="GZ329" s="1" t="s">
        <v>449</v>
      </c>
      <c r="HA329" s="1">
        <v>0</v>
      </c>
      <c r="HD329" s="1">
        <v>0</v>
      </c>
      <c r="HF329" s="1">
        <v>0</v>
      </c>
      <c r="HG329" s="1">
        <v>0</v>
      </c>
      <c r="HH329" s="1">
        <v>0</v>
      </c>
      <c r="HI329" s="1">
        <v>0</v>
      </c>
      <c r="HJ329" s="1">
        <v>0</v>
      </c>
      <c r="HK329" s="1" t="b">
        <v>0</v>
      </c>
      <c r="HM329" s="1">
        <v>0</v>
      </c>
      <c r="HO329" s="1" t="s">
        <v>360</v>
      </c>
      <c r="HP329" s="1">
        <v>0</v>
      </c>
      <c r="HQ329" s="1">
        <v>0</v>
      </c>
      <c r="HR329" s="1">
        <v>0</v>
      </c>
    </row>
    <row r="330" spans="2:226">
      <c r="B330" s="1">
        <f>10000000+INDEX(编号表!$B$1:$B$112,MATCH(D330,编号表!$A$1:$A$112,0))*10000+I330</f>
        <v>10550004</v>
      </c>
      <c r="C330" s="1" t="s">
        <v>462</v>
      </c>
      <c r="D330" s="1" t="s">
        <v>463</v>
      </c>
      <c r="E330" s="1" t="s">
        <v>447</v>
      </c>
      <c r="F330" s="1" t="s">
        <v>463</v>
      </c>
      <c r="G330" s="1">
        <v>1</v>
      </c>
      <c r="H330" s="1" t="b">
        <v>0</v>
      </c>
      <c r="I330" s="1">
        <v>4</v>
      </c>
      <c r="J330" s="1" t="str">
        <f t="shared" si="7"/>
        <v>105500</v>
      </c>
      <c r="K330" s="1" t="s">
        <v>350</v>
      </c>
      <c r="L330" s="1">
        <f t="shared" si="19"/>
        <v>10550003</v>
      </c>
      <c r="M330" s="1">
        <f t="shared" si="18"/>
        <v>10550005</v>
      </c>
      <c r="N330" s="1" t="s">
        <v>464</v>
      </c>
      <c r="O330" s="1">
        <v>11002005</v>
      </c>
      <c r="P330" s="1">
        <v>0</v>
      </c>
      <c r="Q330" s="1">
        <v>0</v>
      </c>
      <c r="R330" s="1">
        <v>1</v>
      </c>
      <c r="T330" s="1">
        <v>100</v>
      </c>
      <c r="AY330" s="1" t="s">
        <v>449</v>
      </c>
      <c r="AZ330" s="1">
        <v>0</v>
      </c>
      <c r="GX330" s="1">
        <v>0</v>
      </c>
      <c r="GY330" s="1">
        <v>0</v>
      </c>
      <c r="GZ330" s="1" t="s">
        <v>449</v>
      </c>
      <c r="HA330" s="1">
        <v>0</v>
      </c>
      <c r="HD330" s="1">
        <v>0</v>
      </c>
      <c r="HF330" s="1">
        <v>0</v>
      </c>
      <c r="HG330" s="1">
        <v>0</v>
      </c>
      <c r="HH330" s="1">
        <v>0</v>
      </c>
      <c r="HI330" s="1">
        <v>0</v>
      </c>
      <c r="HJ330" s="1">
        <v>0</v>
      </c>
      <c r="HK330" s="1" t="b">
        <v>0</v>
      </c>
      <c r="HM330" s="1">
        <v>0</v>
      </c>
      <c r="HO330" s="1" t="s">
        <v>360</v>
      </c>
      <c r="HP330" s="1">
        <v>0</v>
      </c>
      <c r="HQ330" s="1">
        <v>0</v>
      </c>
      <c r="HR330" s="1">
        <v>0</v>
      </c>
    </row>
    <row r="331" spans="2:226">
      <c r="B331" s="1">
        <f>10000000+INDEX(编号表!$B$1:$B$112,MATCH(D331,编号表!$A$1:$A$112,0))*10000+I331</f>
        <v>10550005</v>
      </c>
      <c r="C331" s="1" t="s">
        <v>462</v>
      </c>
      <c r="D331" s="1" t="s">
        <v>463</v>
      </c>
      <c r="E331" s="1" t="s">
        <v>447</v>
      </c>
      <c r="F331" s="1" t="s">
        <v>463</v>
      </c>
      <c r="G331" s="1">
        <v>1</v>
      </c>
      <c r="H331" s="1" t="b">
        <v>0</v>
      </c>
      <c r="I331" s="1">
        <v>5</v>
      </c>
      <c r="J331" s="1" t="str">
        <f t="shared" si="7"/>
        <v>105500</v>
      </c>
      <c r="K331" s="1" t="s">
        <v>350</v>
      </c>
      <c r="L331" s="1">
        <f t="shared" si="19"/>
        <v>10550004</v>
      </c>
      <c r="M331" s="1">
        <f t="shared" si="18"/>
        <v>10550006</v>
      </c>
      <c r="N331" s="1" t="s">
        <v>464</v>
      </c>
      <c r="O331" s="1">
        <v>11002005</v>
      </c>
      <c r="P331" s="1">
        <v>0</v>
      </c>
      <c r="Q331" s="1">
        <v>0</v>
      </c>
      <c r="R331" s="1">
        <v>1</v>
      </c>
      <c r="T331" s="1">
        <v>100</v>
      </c>
      <c r="AY331" s="1" t="s">
        <v>449</v>
      </c>
      <c r="AZ331" s="1">
        <v>0</v>
      </c>
      <c r="GX331" s="1">
        <v>0</v>
      </c>
      <c r="GY331" s="1">
        <v>0</v>
      </c>
      <c r="GZ331" s="1" t="s">
        <v>449</v>
      </c>
      <c r="HA331" s="1">
        <v>0</v>
      </c>
      <c r="HD331" s="1">
        <v>0</v>
      </c>
      <c r="HF331" s="1">
        <v>0</v>
      </c>
      <c r="HG331" s="1">
        <v>0</v>
      </c>
      <c r="HH331" s="1">
        <v>0</v>
      </c>
      <c r="HI331" s="1">
        <v>0</v>
      </c>
      <c r="HJ331" s="1">
        <v>0</v>
      </c>
      <c r="HK331" s="1" t="b">
        <v>0</v>
      </c>
      <c r="HM331" s="1">
        <v>0</v>
      </c>
      <c r="HO331" s="1" t="s">
        <v>360</v>
      </c>
      <c r="HP331" s="1">
        <v>0</v>
      </c>
      <c r="HQ331" s="1">
        <v>0</v>
      </c>
      <c r="HR331" s="1">
        <v>0</v>
      </c>
    </row>
    <row r="332" spans="2:226">
      <c r="B332" s="1">
        <f>10000000+INDEX(编号表!$B$1:$B$112,MATCH(D332,编号表!$A$1:$A$112,0))*10000+I332</f>
        <v>10550006</v>
      </c>
      <c r="C332" s="1" t="s">
        <v>462</v>
      </c>
      <c r="D332" s="1" t="s">
        <v>463</v>
      </c>
      <c r="E332" s="1" t="s">
        <v>447</v>
      </c>
      <c r="F332" s="1" t="s">
        <v>463</v>
      </c>
      <c r="G332" s="1">
        <v>1</v>
      </c>
      <c r="H332" s="1" t="b">
        <v>0</v>
      </c>
      <c r="I332" s="1">
        <v>6</v>
      </c>
      <c r="J332" s="1" t="str">
        <f t="shared" si="7"/>
        <v>105500</v>
      </c>
      <c r="K332" s="1" t="s">
        <v>350</v>
      </c>
      <c r="L332" s="1">
        <f t="shared" si="19"/>
        <v>10550005</v>
      </c>
      <c r="M332" s="1">
        <f t="shared" si="18"/>
        <v>10550007</v>
      </c>
      <c r="N332" s="1" t="s">
        <v>464</v>
      </c>
      <c r="O332" s="1">
        <v>11002005</v>
      </c>
      <c r="P332" s="1">
        <v>0</v>
      </c>
      <c r="Q332" s="1">
        <v>0</v>
      </c>
      <c r="R332" s="1">
        <v>1</v>
      </c>
      <c r="T332" s="1">
        <v>100</v>
      </c>
      <c r="AY332" s="1" t="s">
        <v>449</v>
      </c>
      <c r="AZ332" s="1">
        <v>0</v>
      </c>
      <c r="GX332" s="1">
        <v>0</v>
      </c>
      <c r="GY332" s="1">
        <v>0</v>
      </c>
      <c r="GZ332" s="1" t="s">
        <v>449</v>
      </c>
      <c r="HA332" s="1">
        <v>0</v>
      </c>
      <c r="HD332" s="1">
        <v>0</v>
      </c>
      <c r="HF332" s="1">
        <v>0</v>
      </c>
      <c r="HG332" s="1">
        <v>0</v>
      </c>
      <c r="HH332" s="1">
        <v>0</v>
      </c>
      <c r="HI332" s="1">
        <v>0</v>
      </c>
      <c r="HJ332" s="1">
        <v>0</v>
      </c>
      <c r="HK332" s="1" t="b">
        <v>0</v>
      </c>
      <c r="HM332" s="1">
        <v>0</v>
      </c>
      <c r="HO332" s="1" t="s">
        <v>360</v>
      </c>
      <c r="HP332" s="1">
        <v>0</v>
      </c>
      <c r="HQ332" s="1">
        <v>0</v>
      </c>
      <c r="HR332" s="1">
        <v>0</v>
      </c>
    </row>
    <row r="333" spans="2:226">
      <c r="B333" s="1">
        <f>10000000+INDEX(编号表!$B$1:$B$112,MATCH(D333,编号表!$A$1:$A$112,0))*10000+I333</f>
        <v>10550007</v>
      </c>
      <c r="C333" s="1" t="s">
        <v>462</v>
      </c>
      <c r="D333" s="1" t="s">
        <v>463</v>
      </c>
      <c r="E333" s="1" t="s">
        <v>447</v>
      </c>
      <c r="F333" s="1" t="s">
        <v>463</v>
      </c>
      <c r="G333" s="1">
        <v>1</v>
      </c>
      <c r="H333" s="1" t="b">
        <v>0</v>
      </c>
      <c r="I333" s="1">
        <v>7</v>
      </c>
      <c r="J333" s="1" t="str">
        <f t="shared" si="7"/>
        <v>105500</v>
      </c>
      <c r="K333" s="1" t="s">
        <v>350</v>
      </c>
      <c r="L333" s="1">
        <f t="shared" si="19"/>
        <v>10550006</v>
      </c>
      <c r="M333" s="1">
        <f t="shared" si="18"/>
        <v>10550008</v>
      </c>
      <c r="N333" s="1" t="s">
        <v>464</v>
      </c>
      <c r="O333" s="1">
        <v>11002005</v>
      </c>
      <c r="P333" s="1">
        <v>0</v>
      </c>
      <c r="Q333" s="1">
        <v>0</v>
      </c>
      <c r="R333" s="1">
        <v>1</v>
      </c>
      <c r="T333" s="1">
        <v>100</v>
      </c>
      <c r="AY333" s="1" t="s">
        <v>449</v>
      </c>
      <c r="AZ333" s="1">
        <v>0</v>
      </c>
      <c r="GX333" s="1">
        <v>0</v>
      </c>
      <c r="GY333" s="1">
        <v>0</v>
      </c>
      <c r="GZ333" s="1" t="s">
        <v>449</v>
      </c>
      <c r="HA333" s="1">
        <v>0</v>
      </c>
      <c r="HD333" s="1">
        <v>0</v>
      </c>
      <c r="HF333" s="1">
        <v>0</v>
      </c>
      <c r="HG333" s="1">
        <v>0</v>
      </c>
      <c r="HH333" s="1">
        <v>0</v>
      </c>
      <c r="HI333" s="1">
        <v>0</v>
      </c>
      <c r="HJ333" s="1">
        <v>0</v>
      </c>
      <c r="HK333" s="1" t="b">
        <v>0</v>
      </c>
      <c r="HM333" s="1">
        <v>0</v>
      </c>
      <c r="HO333" s="1" t="s">
        <v>360</v>
      </c>
      <c r="HP333" s="1">
        <v>0</v>
      </c>
      <c r="HQ333" s="1">
        <v>0</v>
      </c>
      <c r="HR333" s="1">
        <v>0</v>
      </c>
    </row>
    <row r="334" spans="2:226">
      <c r="B334" s="1">
        <f>10000000+INDEX(编号表!$B$1:$B$112,MATCH(D334,编号表!$A$1:$A$112,0))*10000+I334</f>
        <v>10550008</v>
      </c>
      <c r="C334" s="1" t="s">
        <v>462</v>
      </c>
      <c r="D334" s="1" t="s">
        <v>463</v>
      </c>
      <c r="E334" s="1" t="s">
        <v>447</v>
      </c>
      <c r="F334" s="1" t="s">
        <v>463</v>
      </c>
      <c r="G334" s="1">
        <v>1</v>
      </c>
      <c r="H334" s="1" t="b">
        <v>0</v>
      </c>
      <c r="I334" s="1">
        <v>8</v>
      </c>
      <c r="J334" s="1" t="str">
        <f t="shared" si="7"/>
        <v>105500</v>
      </c>
      <c r="K334" s="1" t="s">
        <v>350</v>
      </c>
      <c r="L334" s="1">
        <f t="shared" si="19"/>
        <v>10550007</v>
      </c>
      <c r="N334" s="1" t="s">
        <v>464</v>
      </c>
      <c r="O334" s="1">
        <v>11002005</v>
      </c>
      <c r="P334" s="1">
        <v>0</v>
      </c>
      <c r="Q334" s="1">
        <v>0</v>
      </c>
      <c r="R334" s="1">
        <v>1</v>
      </c>
      <c r="T334" s="1">
        <v>100</v>
      </c>
      <c r="AY334" s="1" t="s">
        <v>449</v>
      </c>
      <c r="AZ334" s="1">
        <v>0</v>
      </c>
      <c r="GX334" s="1">
        <v>0</v>
      </c>
      <c r="GY334" s="1">
        <v>0</v>
      </c>
      <c r="GZ334" s="1" t="s">
        <v>449</v>
      </c>
      <c r="HA334" s="1">
        <v>0</v>
      </c>
      <c r="HD334" s="1">
        <v>0</v>
      </c>
      <c r="HF334" s="1">
        <v>0</v>
      </c>
      <c r="HG334" s="1">
        <v>0</v>
      </c>
      <c r="HH334" s="1">
        <v>0</v>
      </c>
      <c r="HI334" s="1">
        <v>0</v>
      </c>
      <c r="HJ334" s="1">
        <v>0</v>
      </c>
      <c r="HK334" s="1" t="b">
        <v>0</v>
      </c>
      <c r="HM334" s="1">
        <v>0</v>
      </c>
      <c r="HO334" s="1" t="s">
        <v>360</v>
      </c>
      <c r="HP334" s="1">
        <v>0</v>
      </c>
      <c r="HQ334" s="1">
        <v>0</v>
      </c>
      <c r="HR334" s="1">
        <v>0</v>
      </c>
    </row>
    <row r="335" spans="2:226">
      <c r="B335" s="1">
        <f>10000000+INDEX(编号表!$B$1:$B$112,MATCH(D335,编号表!$A$1:$A$112,0))*10000+I335</f>
        <v>10560001</v>
      </c>
      <c r="C335" s="1" t="s">
        <v>465</v>
      </c>
      <c r="D335" s="1" t="s">
        <v>466</v>
      </c>
      <c r="E335" s="1" t="s">
        <v>447</v>
      </c>
      <c r="F335" s="1" t="s">
        <v>466</v>
      </c>
      <c r="G335" s="1">
        <v>1</v>
      </c>
      <c r="H335" s="1" t="b">
        <v>0</v>
      </c>
      <c r="I335" s="1">
        <v>1</v>
      </c>
      <c r="J335" s="1" t="str">
        <f t="shared" si="7"/>
        <v>105600</v>
      </c>
      <c r="K335" s="1" t="s">
        <v>350</v>
      </c>
      <c r="M335" s="1">
        <f t="shared" ref="M335:M341" si="20">B336</f>
        <v>10560002</v>
      </c>
      <c r="N335" s="1" t="s">
        <v>467</v>
      </c>
      <c r="O335" s="1">
        <v>11002006</v>
      </c>
      <c r="P335" s="1">
        <v>0</v>
      </c>
      <c r="Q335" s="1">
        <v>0</v>
      </c>
      <c r="R335" s="1">
        <v>1</v>
      </c>
      <c r="T335" s="1">
        <v>100</v>
      </c>
      <c r="AY335" s="1" t="s">
        <v>449</v>
      </c>
      <c r="AZ335" s="1">
        <v>0</v>
      </c>
      <c r="GX335" s="1">
        <v>0</v>
      </c>
      <c r="GY335" s="1">
        <v>0</v>
      </c>
      <c r="GZ335" s="1" t="s">
        <v>449</v>
      </c>
      <c r="HA335" s="1">
        <v>0</v>
      </c>
      <c r="HD335" s="1">
        <v>0</v>
      </c>
      <c r="HF335" s="1">
        <v>0</v>
      </c>
      <c r="HG335" s="1">
        <v>0</v>
      </c>
      <c r="HH335" s="1">
        <v>0</v>
      </c>
      <c r="HI335" s="1">
        <v>0</v>
      </c>
      <c r="HJ335" s="1">
        <v>0</v>
      </c>
      <c r="HK335" s="1" t="b">
        <v>0</v>
      </c>
      <c r="HM335" s="1">
        <v>0</v>
      </c>
      <c r="HO335" s="1" t="s">
        <v>360</v>
      </c>
      <c r="HP335" s="1">
        <v>0</v>
      </c>
      <c r="HQ335" s="1">
        <v>0</v>
      </c>
      <c r="HR335" s="1">
        <v>0</v>
      </c>
    </row>
    <row r="336" spans="2:226">
      <c r="B336" s="1">
        <f>10000000+INDEX(编号表!$B$1:$B$112,MATCH(D336,编号表!$A$1:$A$112,0))*10000+I336</f>
        <v>10560002</v>
      </c>
      <c r="C336" s="1" t="s">
        <v>465</v>
      </c>
      <c r="D336" s="1" t="s">
        <v>466</v>
      </c>
      <c r="E336" s="1" t="s">
        <v>447</v>
      </c>
      <c r="F336" s="1" t="s">
        <v>466</v>
      </c>
      <c r="G336" s="1">
        <v>1</v>
      </c>
      <c r="H336" s="1" t="b">
        <v>0</v>
      </c>
      <c r="I336" s="1">
        <v>2</v>
      </c>
      <c r="J336" s="1" t="str">
        <f t="shared" si="7"/>
        <v>105600</v>
      </c>
      <c r="K336" s="1" t="s">
        <v>350</v>
      </c>
      <c r="L336" s="1">
        <f t="shared" ref="L336:L342" si="21">B335</f>
        <v>10560001</v>
      </c>
      <c r="M336" s="1">
        <f t="shared" si="20"/>
        <v>10560003</v>
      </c>
      <c r="N336" s="1" t="s">
        <v>467</v>
      </c>
      <c r="O336" s="1">
        <v>11002006</v>
      </c>
      <c r="P336" s="1">
        <v>0</v>
      </c>
      <c r="Q336" s="1">
        <v>0</v>
      </c>
      <c r="R336" s="1">
        <v>1</v>
      </c>
      <c r="T336" s="1">
        <v>100</v>
      </c>
      <c r="AY336" s="1" t="s">
        <v>449</v>
      </c>
      <c r="AZ336" s="1">
        <v>0</v>
      </c>
      <c r="GX336" s="1">
        <v>0</v>
      </c>
      <c r="GY336" s="1">
        <v>0</v>
      </c>
      <c r="GZ336" s="1" t="s">
        <v>449</v>
      </c>
      <c r="HA336" s="1">
        <v>0</v>
      </c>
      <c r="HD336" s="1">
        <v>0</v>
      </c>
      <c r="HF336" s="1">
        <v>0</v>
      </c>
      <c r="HG336" s="1">
        <v>0</v>
      </c>
      <c r="HH336" s="1">
        <v>0</v>
      </c>
      <c r="HI336" s="1">
        <v>0</v>
      </c>
      <c r="HJ336" s="1">
        <v>0</v>
      </c>
      <c r="HK336" s="1" t="b">
        <v>0</v>
      </c>
      <c r="HM336" s="1">
        <v>0</v>
      </c>
      <c r="HO336" s="1" t="s">
        <v>360</v>
      </c>
      <c r="HP336" s="1">
        <v>0</v>
      </c>
      <c r="HQ336" s="1">
        <v>0</v>
      </c>
      <c r="HR336" s="1">
        <v>0</v>
      </c>
    </row>
    <row r="337" spans="2:226">
      <c r="B337" s="1">
        <f>10000000+INDEX(编号表!$B$1:$B$112,MATCH(D337,编号表!$A$1:$A$112,0))*10000+I337</f>
        <v>10560003</v>
      </c>
      <c r="C337" s="1" t="s">
        <v>465</v>
      </c>
      <c r="D337" s="1" t="s">
        <v>466</v>
      </c>
      <c r="E337" s="1" t="s">
        <v>447</v>
      </c>
      <c r="F337" s="1" t="s">
        <v>466</v>
      </c>
      <c r="G337" s="1">
        <v>1</v>
      </c>
      <c r="H337" s="1" t="b">
        <v>0</v>
      </c>
      <c r="I337" s="1">
        <v>3</v>
      </c>
      <c r="J337" s="1" t="str">
        <f t="shared" si="7"/>
        <v>105600</v>
      </c>
      <c r="K337" s="1" t="s">
        <v>350</v>
      </c>
      <c r="L337" s="1">
        <f t="shared" si="21"/>
        <v>10560002</v>
      </c>
      <c r="M337" s="1">
        <f t="shared" si="20"/>
        <v>10560004</v>
      </c>
      <c r="N337" s="1" t="s">
        <v>467</v>
      </c>
      <c r="O337" s="1">
        <v>11002006</v>
      </c>
      <c r="P337" s="1">
        <v>0</v>
      </c>
      <c r="Q337" s="1">
        <v>0</v>
      </c>
      <c r="R337" s="1">
        <v>1</v>
      </c>
      <c r="T337" s="1">
        <v>100</v>
      </c>
      <c r="AY337" s="1" t="s">
        <v>449</v>
      </c>
      <c r="AZ337" s="1">
        <v>0</v>
      </c>
      <c r="GX337" s="1">
        <v>0</v>
      </c>
      <c r="GY337" s="1">
        <v>0</v>
      </c>
      <c r="GZ337" s="1" t="s">
        <v>449</v>
      </c>
      <c r="HA337" s="1">
        <v>0</v>
      </c>
      <c r="HD337" s="1">
        <v>0</v>
      </c>
      <c r="HF337" s="1">
        <v>0</v>
      </c>
      <c r="HG337" s="1">
        <v>0</v>
      </c>
      <c r="HH337" s="1">
        <v>0</v>
      </c>
      <c r="HI337" s="1">
        <v>0</v>
      </c>
      <c r="HJ337" s="1">
        <v>0</v>
      </c>
      <c r="HK337" s="1" t="b">
        <v>0</v>
      </c>
      <c r="HM337" s="1">
        <v>0</v>
      </c>
      <c r="HO337" s="1" t="s">
        <v>360</v>
      </c>
      <c r="HP337" s="1">
        <v>0</v>
      </c>
      <c r="HQ337" s="1">
        <v>0</v>
      </c>
      <c r="HR337" s="1">
        <v>0</v>
      </c>
    </row>
    <row r="338" spans="2:226">
      <c r="B338" s="1">
        <f>10000000+INDEX(编号表!$B$1:$B$112,MATCH(D338,编号表!$A$1:$A$112,0))*10000+I338</f>
        <v>10560004</v>
      </c>
      <c r="C338" s="1" t="s">
        <v>465</v>
      </c>
      <c r="D338" s="1" t="s">
        <v>466</v>
      </c>
      <c r="E338" s="1" t="s">
        <v>447</v>
      </c>
      <c r="F338" s="1" t="s">
        <v>466</v>
      </c>
      <c r="G338" s="1">
        <v>1</v>
      </c>
      <c r="H338" s="1" t="b">
        <v>0</v>
      </c>
      <c r="I338" s="1">
        <v>4</v>
      </c>
      <c r="J338" s="1" t="str">
        <f t="shared" si="7"/>
        <v>105600</v>
      </c>
      <c r="K338" s="1" t="s">
        <v>350</v>
      </c>
      <c r="L338" s="1">
        <f t="shared" si="21"/>
        <v>10560003</v>
      </c>
      <c r="M338" s="1">
        <f t="shared" si="20"/>
        <v>10560005</v>
      </c>
      <c r="N338" s="1" t="s">
        <v>467</v>
      </c>
      <c r="O338" s="1">
        <v>11002006</v>
      </c>
      <c r="P338" s="1">
        <v>0</v>
      </c>
      <c r="Q338" s="1">
        <v>0</v>
      </c>
      <c r="R338" s="1">
        <v>1</v>
      </c>
      <c r="T338" s="1">
        <v>100</v>
      </c>
      <c r="AY338" s="1" t="s">
        <v>449</v>
      </c>
      <c r="AZ338" s="1">
        <v>0</v>
      </c>
      <c r="GX338" s="1">
        <v>0</v>
      </c>
      <c r="GY338" s="1">
        <v>0</v>
      </c>
      <c r="GZ338" s="1" t="s">
        <v>449</v>
      </c>
      <c r="HA338" s="1">
        <v>0</v>
      </c>
      <c r="HD338" s="1">
        <v>0</v>
      </c>
      <c r="HF338" s="1">
        <v>0</v>
      </c>
      <c r="HG338" s="1">
        <v>0</v>
      </c>
      <c r="HH338" s="1">
        <v>0</v>
      </c>
      <c r="HI338" s="1">
        <v>0</v>
      </c>
      <c r="HJ338" s="1">
        <v>0</v>
      </c>
      <c r="HK338" s="1" t="b">
        <v>0</v>
      </c>
      <c r="HM338" s="1">
        <v>0</v>
      </c>
      <c r="HO338" s="1" t="s">
        <v>360</v>
      </c>
      <c r="HP338" s="1">
        <v>0</v>
      </c>
      <c r="HQ338" s="1">
        <v>0</v>
      </c>
      <c r="HR338" s="1">
        <v>0</v>
      </c>
    </row>
    <row r="339" spans="2:226">
      <c r="B339" s="1">
        <f>10000000+INDEX(编号表!$B$1:$B$112,MATCH(D339,编号表!$A$1:$A$112,0))*10000+I339</f>
        <v>10560005</v>
      </c>
      <c r="C339" s="1" t="s">
        <v>465</v>
      </c>
      <c r="D339" s="1" t="s">
        <v>466</v>
      </c>
      <c r="E339" s="1" t="s">
        <v>447</v>
      </c>
      <c r="F339" s="1" t="s">
        <v>466</v>
      </c>
      <c r="G339" s="1">
        <v>1</v>
      </c>
      <c r="H339" s="1" t="b">
        <v>0</v>
      </c>
      <c r="I339" s="1">
        <v>5</v>
      </c>
      <c r="J339" s="1" t="str">
        <f t="shared" si="7"/>
        <v>105600</v>
      </c>
      <c r="K339" s="1" t="s">
        <v>350</v>
      </c>
      <c r="L339" s="1">
        <f t="shared" si="21"/>
        <v>10560004</v>
      </c>
      <c r="M339" s="1">
        <f t="shared" si="20"/>
        <v>10560006</v>
      </c>
      <c r="N339" s="1" t="s">
        <v>467</v>
      </c>
      <c r="O339" s="1">
        <v>11002006</v>
      </c>
      <c r="P339" s="1">
        <v>0</v>
      </c>
      <c r="Q339" s="1">
        <v>0</v>
      </c>
      <c r="R339" s="1">
        <v>1</v>
      </c>
      <c r="T339" s="1">
        <v>100</v>
      </c>
      <c r="AY339" s="1" t="s">
        <v>449</v>
      </c>
      <c r="AZ339" s="1">
        <v>0</v>
      </c>
      <c r="GX339" s="1">
        <v>0</v>
      </c>
      <c r="GY339" s="1">
        <v>0</v>
      </c>
      <c r="GZ339" s="1" t="s">
        <v>449</v>
      </c>
      <c r="HA339" s="1">
        <v>0</v>
      </c>
      <c r="HD339" s="1">
        <v>0</v>
      </c>
      <c r="HF339" s="1">
        <v>0</v>
      </c>
      <c r="HG339" s="1">
        <v>0</v>
      </c>
      <c r="HH339" s="1">
        <v>0</v>
      </c>
      <c r="HI339" s="1">
        <v>0</v>
      </c>
      <c r="HJ339" s="1">
        <v>0</v>
      </c>
      <c r="HK339" s="1" t="b">
        <v>0</v>
      </c>
      <c r="HM339" s="1">
        <v>0</v>
      </c>
      <c r="HO339" s="1" t="s">
        <v>360</v>
      </c>
      <c r="HP339" s="1">
        <v>0</v>
      </c>
      <c r="HQ339" s="1">
        <v>0</v>
      </c>
      <c r="HR339" s="1">
        <v>0</v>
      </c>
    </row>
    <row r="340" spans="2:226">
      <c r="B340" s="1">
        <f>10000000+INDEX(编号表!$B$1:$B$112,MATCH(D340,编号表!$A$1:$A$112,0))*10000+I340</f>
        <v>10560006</v>
      </c>
      <c r="C340" s="1" t="s">
        <v>465</v>
      </c>
      <c r="D340" s="1" t="s">
        <v>466</v>
      </c>
      <c r="E340" s="1" t="s">
        <v>447</v>
      </c>
      <c r="F340" s="1" t="s">
        <v>466</v>
      </c>
      <c r="G340" s="1">
        <v>1</v>
      </c>
      <c r="H340" s="1" t="b">
        <v>0</v>
      </c>
      <c r="I340" s="1">
        <v>6</v>
      </c>
      <c r="J340" s="1" t="str">
        <f t="shared" si="7"/>
        <v>105600</v>
      </c>
      <c r="K340" s="1" t="s">
        <v>350</v>
      </c>
      <c r="L340" s="1">
        <f t="shared" si="21"/>
        <v>10560005</v>
      </c>
      <c r="M340" s="1">
        <f t="shared" si="20"/>
        <v>10560007</v>
      </c>
      <c r="N340" s="1" t="s">
        <v>467</v>
      </c>
      <c r="O340" s="1">
        <v>11002006</v>
      </c>
      <c r="P340" s="1">
        <v>0</v>
      </c>
      <c r="Q340" s="1">
        <v>0</v>
      </c>
      <c r="R340" s="1">
        <v>1</v>
      </c>
      <c r="T340" s="1">
        <v>100</v>
      </c>
      <c r="AY340" s="1" t="s">
        <v>449</v>
      </c>
      <c r="AZ340" s="1">
        <v>0</v>
      </c>
      <c r="GX340" s="1">
        <v>0</v>
      </c>
      <c r="GY340" s="1">
        <v>0</v>
      </c>
      <c r="GZ340" s="1" t="s">
        <v>449</v>
      </c>
      <c r="HA340" s="1">
        <v>0</v>
      </c>
      <c r="HD340" s="1">
        <v>0</v>
      </c>
      <c r="HF340" s="1">
        <v>0</v>
      </c>
      <c r="HG340" s="1">
        <v>0</v>
      </c>
      <c r="HH340" s="1">
        <v>0</v>
      </c>
      <c r="HI340" s="1">
        <v>0</v>
      </c>
      <c r="HJ340" s="1">
        <v>0</v>
      </c>
      <c r="HK340" s="1" t="b">
        <v>0</v>
      </c>
      <c r="HM340" s="1">
        <v>0</v>
      </c>
      <c r="HO340" s="1" t="s">
        <v>360</v>
      </c>
      <c r="HP340" s="1">
        <v>0</v>
      </c>
      <c r="HQ340" s="1">
        <v>0</v>
      </c>
      <c r="HR340" s="1">
        <v>0</v>
      </c>
    </row>
    <row r="341" spans="2:226">
      <c r="B341" s="1">
        <f>10000000+INDEX(编号表!$B$1:$B$112,MATCH(D341,编号表!$A$1:$A$112,0))*10000+I341</f>
        <v>10560007</v>
      </c>
      <c r="C341" s="1" t="s">
        <v>465</v>
      </c>
      <c r="D341" s="1" t="s">
        <v>466</v>
      </c>
      <c r="E341" s="1" t="s">
        <v>447</v>
      </c>
      <c r="F341" s="1" t="s">
        <v>466</v>
      </c>
      <c r="G341" s="1">
        <v>1</v>
      </c>
      <c r="H341" s="1" t="b">
        <v>0</v>
      </c>
      <c r="I341" s="1">
        <v>7</v>
      </c>
      <c r="J341" s="1" t="str">
        <f t="shared" si="7"/>
        <v>105600</v>
      </c>
      <c r="K341" s="1" t="s">
        <v>350</v>
      </c>
      <c r="L341" s="1">
        <f t="shared" si="21"/>
        <v>10560006</v>
      </c>
      <c r="M341" s="1">
        <f t="shared" si="20"/>
        <v>10560008</v>
      </c>
      <c r="N341" s="1" t="s">
        <v>467</v>
      </c>
      <c r="O341" s="1">
        <v>11002006</v>
      </c>
      <c r="P341" s="1">
        <v>0</v>
      </c>
      <c r="Q341" s="1">
        <v>0</v>
      </c>
      <c r="R341" s="1">
        <v>1</v>
      </c>
      <c r="T341" s="1">
        <v>100</v>
      </c>
      <c r="AY341" s="1" t="s">
        <v>449</v>
      </c>
      <c r="AZ341" s="1">
        <v>0</v>
      </c>
      <c r="GX341" s="1">
        <v>0</v>
      </c>
      <c r="GY341" s="1">
        <v>0</v>
      </c>
      <c r="GZ341" s="1" t="s">
        <v>449</v>
      </c>
      <c r="HA341" s="1">
        <v>0</v>
      </c>
      <c r="HD341" s="1">
        <v>0</v>
      </c>
      <c r="HF341" s="1">
        <v>0</v>
      </c>
      <c r="HG341" s="1">
        <v>0</v>
      </c>
      <c r="HH341" s="1">
        <v>0</v>
      </c>
      <c r="HI341" s="1">
        <v>0</v>
      </c>
      <c r="HJ341" s="1">
        <v>0</v>
      </c>
      <c r="HK341" s="1" t="b">
        <v>0</v>
      </c>
      <c r="HM341" s="1">
        <v>0</v>
      </c>
      <c r="HO341" s="1" t="s">
        <v>360</v>
      </c>
      <c r="HP341" s="1">
        <v>0</v>
      </c>
      <c r="HQ341" s="1">
        <v>0</v>
      </c>
      <c r="HR341" s="1">
        <v>0</v>
      </c>
    </row>
    <row r="342" spans="2:226">
      <c r="B342" s="1">
        <f>10000000+INDEX(编号表!$B$1:$B$112,MATCH(D342,编号表!$A$1:$A$112,0))*10000+I342</f>
        <v>10560008</v>
      </c>
      <c r="C342" s="1" t="s">
        <v>465</v>
      </c>
      <c r="D342" s="1" t="s">
        <v>466</v>
      </c>
      <c r="E342" s="1" t="s">
        <v>447</v>
      </c>
      <c r="F342" s="1" t="s">
        <v>466</v>
      </c>
      <c r="G342" s="1">
        <v>1</v>
      </c>
      <c r="H342" s="1" t="b">
        <v>0</v>
      </c>
      <c r="I342" s="1">
        <v>8</v>
      </c>
      <c r="J342" s="1" t="str">
        <f t="shared" si="7"/>
        <v>105600</v>
      </c>
      <c r="K342" s="1" t="s">
        <v>350</v>
      </c>
      <c r="L342" s="1">
        <f t="shared" si="21"/>
        <v>10560007</v>
      </c>
      <c r="N342" s="1" t="s">
        <v>467</v>
      </c>
      <c r="O342" s="1">
        <v>11002006</v>
      </c>
      <c r="P342" s="1">
        <v>0</v>
      </c>
      <c r="Q342" s="1">
        <v>0</v>
      </c>
      <c r="R342" s="1">
        <v>1</v>
      </c>
      <c r="T342" s="1">
        <v>100</v>
      </c>
      <c r="AY342" s="1" t="s">
        <v>449</v>
      </c>
      <c r="AZ342" s="1">
        <v>0</v>
      </c>
      <c r="GX342" s="1">
        <v>0</v>
      </c>
      <c r="GY342" s="1">
        <v>0</v>
      </c>
      <c r="GZ342" s="1" t="s">
        <v>449</v>
      </c>
      <c r="HA342" s="1">
        <v>0</v>
      </c>
      <c r="HD342" s="1">
        <v>0</v>
      </c>
      <c r="HF342" s="1">
        <v>0</v>
      </c>
      <c r="HG342" s="1">
        <v>0</v>
      </c>
      <c r="HH342" s="1">
        <v>0</v>
      </c>
      <c r="HI342" s="1">
        <v>0</v>
      </c>
      <c r="HJ342" s="1">
        <v>0</v>
      </c>
      <c r="HK342" s="1" t="b">
        <v>0</v>
      </c>
      <c r="HM342" s="1">
        <v>0</v>
      </c>
      <c r="HO342" s="1" t="s">
        <v>360</v>
      </c>
      <c r="HP342" s="1">
        <v>0</v>
      </c>
      <c r="HQ342" s="1">
        <v>0</v>
      </c>
      <c r="HR342" s="1">
        <v>0</v>
      </c>
    </row>
    <row r="343" spans="2:226">
      <c r="B343" s="1">
        <f>10000000+INDEX(编号表!$B$1:$B$112,MATCH(D343,编号表!$A$1:$A$112,0))*10000+I343</f>
        <v>10570001</v>
      </c>
      <c r="C343" s="1" t="s">
        <v>468</v>
      </c>
      <c r="D343" s="1" t="s">
        <v>468</v>
      </c>
      <c r="E343" s="1" t="s">
        <v>469</v>
      </c>
      <c r="F343" s="1" t="s">
        <v>470</v>
      </c>
      <c r="G343" s="1">
        <v>1</v>
      </c>
      <c r="H343" s="1" t="b">
        <v>0</v>
      </c>
      <c r="I343" s="1">
        <v>1</v>
      </c>
      <c r="J343" s="1">
        <v>105700</v>
      </c>
      <c r="K343" s="1" t="s">
        <v>350</v>
      </c>
      <c r="M343" s="1">
        <v>10570002</v>
      </c>
      <c r="N343" s="1" t="s">
        <v>471</v>
      </c>
      <c r="O343" s="1">
        <v>10902000</v>
      </c>
      <c r="P343" s="1">
        <v>0</v>
      </c>
      <c r="Q343" s="1">
        <v>0</v>
      </c>
      <c r="R343" s="1">
        <v>1</v>
      </c>
      <c r="T343" s="1">
        <v>100</v>
      </c>
      <c r="AY343" s="1" t="s">
        <v>449</v>
      </c>
      <c r="AZ343" s="1">
        <v>0</v>
      </c>
      <c r="GX343" s="1">
        <v>0</v>
      </c>
      <c r="GY343" s="1">
        <v>0</v>
      </c>
      <c r="GZ343" s="1" t="s">
        <v>449</v>
      </c>
      <c r="HA343" s="1">
        <v>0</v>
      </c>
      <c r="HD343" s="1">
        <v>0</v>
      </c>
      <c r="HF343" s="1">
        <v>0</v>
      </c>
      <c r="HG343" s="1">
        <v>0</v>
      </c>
      <c r="HH343" s="1">
        <v>0</v>
      </c>
      <c r="HI343" s="1">
        <v>0</v>
      </c>
      <c r="HJ343" s="1">
        <v>0</v>
      </c>
      <c r="HK343" s="1" t="b">
        <v>0</v>
      </c>
      <c r="HM343" s="1">
        <v>0</v>
      </c>
      <c r="HO343" s="1" t="s">
        <v>360</v>
      </c>
      <c r="HP343" s="1">
        <v>0</v>
      </c>
      <c r="HQ343" s="1">
        <v>0</v>
      </c>
      <c r="HR343" s="1">
        <v>0</v>
      </c>
    </row>
    <row r="344" spans="2:226">
      <c r="B344" s="1">
        <f>10000000+INDEX(编号表!$B$1:$B$112,MATCH(D344,编号表!$A$1:$A$112,0))*10000+I344</f>
        <v>10570002</v>
      </c>
      <c r="C344" s="1" t="s">
        <v>468</v>
      </c>
      <c r="D344" s="1" t="s">
        <v>468</v>
      </c>
      <c r="E344" s="1" t="s">
        <v>469</v>
      </c>
      <c r="F344" s="1" t="s">
        <v>470</v>
      </c>
      <c r="G344" s="1">
        <v>1</v>
      </c>
      <c r="H344" s="1" t="b">
        <v>0</v>
      </c>
      <c r="I344" s="1">
        <v>2</v>
      </c>
      <c r="J344" s="1">
        <v>105700</v>
      </c>
      <c r="K344" s="1" t="s">
        <v>350</v>
      </c>
      <c r="L344" s="1">
        <v>10570001</v>
      </c>
      <c r="M344" s="1">
        <v>10570003</v>
      </c>
      <c r="N344" s="1" t="s">
        <v>471</v>
      </c>
      <c r="O344" s="1">
        <v>10902000</v>
      </c>
      <c r="P344" s="1">
        <v>0</v>
      </c>
      <c r="Q344" s="1">
        <v>0</v>
      </c>
      <c r="R344" s="1">
        <v>1</v>
      </c>
      <c r="T344" s="1">
        <v>100</v>
      </c>
      <c r="AY344" s="1" t="s">
        <v>449</v>
      </c>
      <c r="AZ344" s="1">
        <v>0</v>
      </c>
      <c r="GX344" s="1">
        <v>0</v>
      </c>
      <c r="GY344" s="1">
        <v>0</v>
      </c>
      <c r="GZ344" s="1" t="s">
        <v>449</v>
      </c>
      <c r="HA344" s="1">
        <v>0</v>
      </c>
      <c r="HD344" s="1">
        <v>0</v>
      </c>
      <c r="HF344" s="1">
        <v>0</v>
      </c>
      <c r="HG344" s="1">
        <v>0</v>
      </c>
      <c r="HH344" s="1">
        <v>0</v>
      </c>
      <c r="HI344" s="1">
        <v>0</v>
      </c>
      <c r="HJ344" s="1">
        <v>0</v>
      </c>
      <c r="HK344" s="1" t="b">
        <v>0</v>
      </c>
      <c r="HM344" s="1">
        <v>0</v>
      </c>
      <c r="HO344" s="1" t="s">
        <v>360</v>
      </c>
      <c r="HP344" s="1">
        <v>0</v>
      </c>
      <c r="HQ344" s="1">
        <v>0</v>
      </c>
      <c r="HR344" s="1">
        <v>0</v>
      </c>
    </row>
    <row r="345" spans="2:226">
      <c r="B345" s="1">
        <f>10000000+INDEX(编号表!$B$1:$B$112,MATCH(D345,编号表!$A$1:$A$112,0))*10000+I345</f>
        <v>10570003</v>
      </c>
      <c r="C345" s="1" t="s">
        <v>468</v>
      </c>
      <c r="D345" s="1" t="s">
        <v>468</v>
      </c>
      <c r="E345" s="1" t="s">
        <v>469</v>
      </c>
      <c r="F345" s="1" t="s">
        <v>470</v>
      </c>
      <c r="G345" s="1">
        <v>1</v>
      </c>
      <c r="H345" s="1" t="b">
        <v>0</v>
      </c>
      <c r="I345" s="1">
        <v>3</v>
      </c>
      <c r="J345" s="1">
        <v>105700</v>
      </c>
      <c r="K345" s="1" t="s">
        <v>350</v>
      </c>
      <c r="L345" s="1">
        <v>10570002</v>
      </c>
      <c r="M345" s="1">
        <v>10570004</v>
      </c>
      <c r="N345" s="1" t="s">
        <v>471</v>
      </c>
      <c r="O345" s="1">
        <v>10902000</v>
      </c>
      <c r="P345" s="1">
        <v>0</v>
      </c>
      <c r="Q345" s="1">
        <v>0</v>
      </c>
      <c r="R345" s="1">
        <v>1</v>
      </c>
      <c r="T345" s="1">
        <v>100</v>
      </c>
      <c r="AY345" s="1" t="s">
        <v>449</v>
      </c>
      <c r="AZ345" s="1">
        <v>0</v>
      </c>
      <c r="GX345" s="1">
        <v>0</v>
      </c>
      <c r="GY345" s="1">
        <v>0</v>
      </c>
      <c r="GZ345" s="1" t="s">
        <v>449</v>
      </c>
      <c r="HA345" s="1">
        <v>0</v>
      </c>
      <c r="HD345" s="1">
        <v>0</v>
      </c>
      <c r="HF345" s="1">
        <v>0</v>
      </c>
      <c r="HG345" s="1">
        <v>0</v>
      </c>
      <c r="HH345" s="1">
        <v>0</v>
      </c>
      <c r="HI345" s="1">
        <v>0</v>
      </c>
      <c r="HJ345" s="1">
        <v>0</v>
      </c>
      <c r="HK345" s="1" t="b">
        <v>0</v>
      </c>
      <c r="HM345" s="1">
        <v>0</v>
      </c>
      <c r="HO345" s="1" t="s">
        <v>360</v>
      </c>
      <c r="HP345" s="1">
        <v>0</v>
      </c>
      <c r="HQ345" s="1">
        <v>0</v>
      </c>
      <c r="HR345" s="1">
        <v>0</v>
      </c>
    </row>
    <row r="346" spans="2:226">
      <c r="B346" s="1">
        <f>10000000+INDEX(编号表!$B$1:$B$112,MATCH(D346,编号表!$A$1:$A$112,0))*10000+I346</f>
        <v>10570004</v>
      </c>
      <c r="C346" s="1" t="s">
        <v>468</v>
      </c>
      <c r="D346" s="1" t="s">
        <v>468</v>
      </c>
      <c r="E346" s="1" t="s">
        <v>469</v>
      </c>
      <c r="F346" s="1" t="s">
        <v>470</v>
      </c>
      <c r="G346" s="1">
        <v>1</v>
      </c>
      <c r="H346" s="1" t="b">
        <v>0</v>
      </c>
      <c r="I346" s="1">
        <v>4</v>
      </c>
      <c r="J346" s="1">
        <v>105700</v>
      </c>
      <c r="K346" s="1" t="s">
        <v>350</v>
      </c>
      <c r="L346" s="1">
        <v>10570003</v>
      </c>
      <c r="M346" s="1">
        <v>10570005</v>
      </c>
      <c r="N346" s="1" t="s">
        <v>471</v>
      </c>
      <c r="O346" s="1">
        <v>10902000</v>
      </c>
      <c r="P346" s="1">
        <v>0</v>
      </c>
      <c r="Q346" s="1">
        <v>0</v>
      </c>
      <c r="R346" s="1">
        <v>1</v>
      </c>
      <c r="T346" s="1">
        <v>100</v>
      </c>
      <c r="AY346" s="1" t="s">
        <v>449</v>
      </c>
      <c r="AZ346" s="1">
        <v>0</v>
      </c>
      <c r="GX346" s="1">
        <v>0</v>
      </c>
      <c r="GY346" s="1">
        <v>0</v>
      </c>
      <c r="GZ346" s="1" t="s">
        <v>449</v>
      </c>
      <c r="HA346" s="1">
        <v>0</v>
      </c>
      <c r="HD346" s="1">
        <v>0</v>
      </c>
      <c r="HF346" s="1">
        <v>0</v>
      </c>
      <c r="HG346" s="1">
        <v>0</v>
      </c>
      <c r="HH346" s="1">
        <v>0</v>
      </c>
      <c r="HI346" s="1">
        <v>0</v>
      </c>
      <c r="HJ346" s="1">
        <v>0</v>
      </c>
      <c r="HK346" s="1" t="b">
        <v>0</v>
      </c>
      <c r="HM346" s="1">
        <v>0</v>
      </c>
      <c r="HO346" s="1" t="s">
        <v>360</v>
      </c>
      <c r="HP346" s="1">
        <v>0</v>
      </c>
      <c r="HQ346" s="1">
        <v>0</v>
      </c>
      <c r="HR346" s="1">
        <v>0</v>
      </c>
    </row>
    <row r="347" spans="2:226">
      <c r="B347" s="1">
        <f>10000000+INDEX(编号表!$B$1:$B$112,MATCH(D347,编号表!$A$1:$A$112,0))*10000+I347</f>
        <v>10570005</v>
      </c>
      <c r="C347" s="1" t="s">
        <v>468</v>
      </c>
      <c r="D347" s="1" t="s">
        <v>468</v>
      </c>
      <c r="E347" s="1" t="s">
        <v>469</v>
      </c>
      <c r="F347" s="1" t="s">
        <v>470</v>
      </c>
      <c r="G347" s="1">
        <v>1</v>
      </c>
      <c r="H347" s="1" t="b">
        <v>0</v>
      </c>
      <c r="I347" s="1">
        <v>5</v>
      </c>
      <c r="J347" s="1">
        <v>105700</v>
      </c>
      <c r="K347" s="1" t="s">
        <v>350</v>
      </c>
      <c r="L347" s="1">
        <v>10570004</v>
      </c>
      <c r="M347" s="1">
        <v>10570006</v>
      </c>
      <c r="N347" s="1" t="s">
        <v>471</v>
      </c>
      <c r="O347" s="1">
        <v>10902000</v>
      </c>
      <c r="P347" s="1">
        <v>0</v>
      </c>
      <c r="Q347" s="1">
        <v>0</v>
      </c>
      <c r="R347" s="1">
        <v>1</v>
      </c>
      <c r="T347" s="1">
        <v>100</v>
      </c>
      <c r="AY347" s="1" t="s">
        <v>449</v>
      </c>
      <c r="AZ347" s="1">
        <v>0</v>
      </c>
      <c r="GX347" s="1">
        <v>0</v>
      </c>
      <c r="GY347" s="1">
        <v>0</v>
      </c>
      <c r="GZ347" s="1" t="s">
        <v>449</v>
      </c>
      <c r="HA347" s="1">
        <v>0</v>
      </c>
      <c r="HD347" s="1">
        <v>0</v>
      </c>
      <c r="HF347" s="1">
        <v>0</v>
      </c>
      <c r="HG347" s="1">
        <v>0</v>
      </c>
      <c r="HH347" s="1">
        <v>0</v>
      </c>
      <c r="HI347" s="1">
        <v>0</v>
      </c>
      <c r="HJ347" s="1">
        <v>0</v>
      </c>
      <c r="HK347" s="1" t="b">
        <v>0</v>
      </c>
      <c r="HM347" s="1">
        <v>0</v>
      </c>
      <c r="HO347" s="1" t="s">
        <v>360</v>
      </c>
      <c r="HP347" s="1">
        <v>0</v>
      </c>
      <c r="HQ347" s="1">
        <v>0</v>
      </c>
      <c r="HR347" s="1">
        <v>0</v>
      </c>
    </row>
    <row r="348" spans="2:226">
      <c r="B348" s="1">
        <f>10000000+INDEX(编号表!$B$1:$B$112,MATCH(D348,编号表!$A$1:$A$112,0))*10000+I348</f>
        <v>10570006</v>
      </c>
      <c r="C348" s="1" t="s">
        <v>468</v>
      </c>
      <c r="D348" s="1" t="s">
        <v>468</v>
      </c>
      <c r="E348" s="1" t="s">
        <v>469</v>
      </c>
      <c r="F348" s="1" t="s">
        <v>470</v>
      </c>
      <c r="G348" s="1">
        <v>1</v>
      </c>
      <c r="H348" s="1" t="b">
        <v>0</v>
      </c>
      <c r="I348" s="1">
        <v>6</v>
      </c>
      <c r="J348" s="1">
        <v>105700</v>
      </c>
      <c r="K348" s="1" t="s">
        <v>350</v>
      </c>
      <c r="L348" s="1">
        <v>10570005</v>
      </c>
      <c r="M348" s="1">
        <v>10570007</v>
      </c>
      <c r="N348" s="1" t="s">
        <v>471</v>
      </c>
      <c r="O348" s="1">
        <v>10902000</v>
      </c>
      <c r="P348" s="1">
        <v>0</v>
      </c>
      <c r="Q348" s="1">
        <v>0</v>
      </c>
      <c r="R348" s="1">
        <v>1</v>
      </c>
      <c r="T348" s="1">
        <v>100</v>
      </c>
      <c r="AY348" s="1" t="s">
        <v>449</v>
      </c>
      <c r="AZ348" s="1">
        <v>0</v>
      </c>
      <c r="GX348" s="1">
        <v>0</v>
      </c>
      <c r="GY348" s="1">
        <v>0</v>
      </c>
      <c r="GZ348" s="1" t="s">
        <v>449</v>
      </c>
      <c r="HA348" s="1">
        <v>0</v>
      </c>
      <c r="HD348" s="1">
        <v>0</v>
      </c>
      <c r="HF348" s="1">
        <v>0</v>
      </c>
      <c r="HG348" s="1">
        <v>0</v>
      </c>
      <c r="HH348" s="1">
        <v>0</v>
      </c>
      <c r="HI348" s="1">
        <v>0</v>
      </c>
      <c r="HJ348" s="1">
        <v>0</v>
      </c>
      <c r="HK348" s="1" t="b">
        <v>0</v>
      </c>
      <c r="HM348" s="1">
        <v>0</v>
      </c>
      <c r="HO348" s="1" t="s">
        <v>360</v>
      </c>
      <c r="HP348" s="1">
        <v>0</v>
      </c>
      <c r="HQ348" s="1">
        <v>0</v>
      </c>
      <c r="HR348" s="1">
        <v>0</v>
      </c>
    </row>
    <row r="349" spans="2:226">
      <c r="B349" s="1">
        <f>10000000+INDEX(编号表!$B$1:$B$112,MATCH(D349,编号表!$A$1:$A$112,0))*10000+I349</f>
        <v>10570007</v>
      </c>
      <c r="C349" s="1" t="s">
        <v>468</v>
      </c>
      <c r="D349" s="1" t="s">
        <v>468</v>
      </c>
      <c r="E349" s="1" t="s">
        <v>469</v>
      </c>
      <c r="F349" s="1" t="s">
        <v>470</v>
      </c>
      <c r="G349" s="1">
        <v>1</v>
      </c>
      <c r="H349" s="1" t="b">
        <v>0</v>
      </c>
      <c r="I349" s="1">
        <v>7</v>
      </c>
      <c r="J349" s="1">
        <v>105700</v>
      </c>
      <c r="K349" s="1" t="s">
        <v>350</v>
      </c>
      <c r="L349" s="1">
        <v>10570006</v>
      </c>
      <c r="M349" s="1">
        <v>10570008</v>
      </c>
      <c r="N349" s="1" t="s">
        <v>471</v>
      </c>
      <c r="O349" s="1">
        <v>10902000</v>
      </c>
      <c r="P349" s="1">
        <v>0</v>
      </c>
      <c r="Q349" s="1">
        <v>0</v>
      </c>
      <c r="R349" s="1">
        <v>1</v>
      </c>
      <c r="T349" s="1">
        <v>100</v>
      </c>
      <c r="AY349" s="1" t="s">
        <v>449</v>
      </c>
      <c r="AZ349" s="1">
        <v>0</v>
      </c>
      <c r="GX349" s="1">
        <v>0</v>
      </c>
      <c r="GY349" s="1">
        <v>0</v>
      </c>
      <c r="GZ349" s="1" t="s">
        <v>449</v>
      </c>
      <c r="HA349" s="1">
        <v>0</v>
      </c>
      <c r="HD349" s="1">
        <v>0</v>
      </c>
      <c r="HF349" s="1">
        <v>0</v>
      </c>
      <c r="HG349" s="1">
        <v>0</v>
      </c>
      <c r="HH349" s="1">
        <v>0</v>
      </c>
      <c r="HI349" s="1">
        <v>0</v>
      </c>
      <c r="HJ349" s="1">
        <v>0</v>
      </c>
      <c r="HK349" s="1" t="b">
        <v>0</v>
      </c>
      <c r="HM349" s="1">
        <v>0</v>
      </c>
      <c r="HO349" s="1" t="s">
        <v>360</v>
      </c>
      <c r="HP349" s="1">
        <v>0</v>
      </c>
      <c r="HQ349" s="1">
        <v>0</v>
      </c>
      <c r="HR349" s="1">
        <v>0</v>
      </c>
    </row>
    <row r="350" spans="2:226">
      <c r="B350" s="1">
        <f>10000000+INDEX(编号表!$B$1:$B$112,MATCH(D350,编号表!$A$1:$A$112,0))*10000+I350</f>
        <v>10570008</v>
      </c>
      <c r="C350" s="1" t="s">
        <v>468</v>
      </c>
      <c r="D350" s="1" t="s">
        <v>468</v>
      </c>
      <c r="E350" s="1" t="s">
        <v>469</v>
      </c>
      <c r="F350" s="1" t="s">
        <v>470</v>
      </c>
      <c r="G350" s="1">
        <v>1</v>
      </c>
      <c r="H350" s="1" t="b">
        <v>0</v>
      </c>
      <c r="I350" s="1">
        <v>8</v>
      </c>
      <c r="J350" s="1">
        <v>105700</v>
      </c>
      <c r="K350" s="1" t="s">
        <v>350</v>
      </c>
      <c r="L350" s="1">
        <v>10570007</v>
      </c>
      <c r="M350" s="1">
        <v>10570009</v>
      </c>
      <c r="N350" s="1" t="s">
        <v>471</v>
      </c>
      <c r="O350" s="1">
        <v>10902000</v>
      </c>
      <c r="P350" s="1">
        <v>0</v>
      </c>
      <c r="Q350" s="1">
        <v>0</v>
      </c>
      <c r="R350" s="1">
        <v>1</v>
      </c>
      <c r="T350" s="1">
        <v>100</v>
      </c>
      <c r="AY350" s="1" t="s">
        <v>449</v>
      </c>
      <c r="AZ350" s="1">
        <v>0</v>
      </c>
      <c r="GX350" s="1">
        <v>0</v>
      </c>
      <c r="GY350" s="1">
        <v>0</v>
      </c>
      <c r="GZ350" s="1" t="s">
        <v>449</v>
      </c>
      <c r="HA350" s="1">
        <v>0</v>
      </c>
      <c r="HD350" s="1">
        <v>0</v>
      </c>
      <c r="HF350" s="1">
        <v>0</v>
      </c>
      <c r="HG350" s="1">
        <v>0</v>
      </c>
      <c r="HH350" s="1">
        <v>0</v>
      </c>
      <c r="HI350" s="1">
        <v>0</v>
      </c>
      <c r="HJ350" s="1">
        <v>0</v>
      </c>
      <c r="HK350" s="1" t="b">
        <v>0</v>
      </c>
      <c r="HM350" s="1">
        <v>0</v>
      </c>
      <c r="HO350" s="1" t="s">
        <v>360</v>
      </c>
      <c r="HP350" s="1">
        <v>0</v>
      </c>
      <c r="HQ350" s="1">
        <v>0</v>
      </c>
      <c r="HR350" s="1">
        <v>0</v>
      </c>
    </row>
    <row r="351" spans="2:226">
      <c r="B351" s="1">
        <f>10000000+INDEX(编号表!$B$1:$B$112,MATCH(D351,编号表!$A$1:$A$112,0))*10000+I351</f>
        <v>10570009</v>
      </c>
      <c r="C351" s="1" t="s">
        <v>468</v>
      </c>
      <c r="D351" s="1" t="s">
        <v>468</v>
      </c>
      <c r="E351" s="1" t="s">
        <v>469</v>
      </c>
      <c r="F351" s="1" t="s">
        <v>470</v>
      </c>
      <c r="G351" s="1">
        <v>1</v>
      </c>
      <c r="H351" s="1" t="b">
        <v>0</v>
      </c>
      <c r="I351" s="1">
        <v>9</v>
      </c>
      <c r="J351" s="1">
        <v>105700</v>
      </c>
      <c r="K351" s="1" t="s">
        <v>350</v>
      </c>
      <c r="L351" s="1">
        <v>10570008</v>
      </c>
      <c r="M351" s="1">
        <v>10570010</v>
      </c>
      <c r="N351" s="1" t="s">
        <v>471</v>
      </c>
      <c r="O351" s="1">
        <v>10902000</v>
      </c>
      <c r="P351" s="1">
        <v>0</v>
      </c>
      <c r="Q351" s="1">
        <v>0</v>
      </c>
      <c r="R351" s="1">
        <v>1</v>
      </c>
      <c r="T351" s="1">
        <v>100</v>
      </c>
      <c r="AY351" s="1" t="s">
        <v>449</v>
      </c>
      <c r="AZ351" s="1">
        <v>0</v>
      </c>
      <c r="GX351" s="1">
        <v>0</v>
      </c>
      <c r="GY351" s="1">
        <v>0</v>
      </c>
      <c r="GZ351" s="1" t="s">
        <v>449</v>
      </c>
      <c r="HA351" s="1">
        <v>0</v>
      </c>
      <c r="HD351" s="1">
        <v>0</v>
      </c>
      <c r="HF351" s="1">
        <v>0</v>
      </c>
      <c r="HG351" s="1">
        <v>0</v>
      </c>
      <c r="HH351" s="1">
        <v>0</v>
      </c>
      <c r="HI351" s="1">
        <v>0</v>
      </c>
      <c r="HJ351" s="1">
        <v>0</v>
      </c>
      <c r="HK351" s="1" t="b">
        <v>0</v>
      </c>
      <c r="HM351" s="1">
        <v>0</v>
      </c>
      <c r="HO351" s="1" t="s">
        <v>360</v>
      </c>
      <c r="HP351" s="1">
        <v>0</v>
      </c>
      <c r="HQ351" s="1">
        <v>0</v>
      </c>
      <c r="HR351" s="1">
        <v>0</v>
      </c>
    </row>
    <row r="352" spans="2:226">
      <c r="B352" s="1">
        <f>10000000+INDEX(编号表!$B$1:$B$112,MATCH(D352,编号表!$A$1:$A$112,0))*10000+I352</f>
        <v>10570010</v>
      </c>
      <c r="C352" s="1" t="s">
        <v>468</v>
      </c>
      <c r="D352" s="1" t="s">
        <v>468</v>
      </c>
      <c r="E352" s="1" t="s">
        <v>469</v>
      </c>
      <c r="F352" s="1" t="s">
        <v>470</v>
      </c>
      <c r="G352" s="1">
        <v>1</v>
      </c>
      <c r="H352" s="1" t="b">
        <v>0</v>
      </c>
      <c r="I352" s="1">
        <v>10</v>
      </c>
      <c r="J352" s="1">
        <v>105700</v>
      </c>
      <c r="K352" s="1" t="s">
        <v>350</v>
      </c>
      <c r="L352" s="1">
        <v>10570009</v>
      </c>
      <c r="N352" s="1" t="s">
        <v>471</v>
      </c>
      <c r="O352" s="1">
        <v>10902000</v>
      </c>
      <c r="P352" s="1">
        <v>0</v>
      </c>
      <c r="Q352" s="1">
        <v>0</v>
      </c>
      <c r="R352" s="1">
        <v>1</v>
      </c>
      <c r="T352" s="1">
        <v>100</v>
      </c>
      <c r="AY352" s="1" t="s">
        <v>449</v>
      </c>
      <c r="AZ352" s="1">
        <v>0</v>
      </c>
      <c r="GX352" s="1">
        <v>0</v>
      </c>
      <c r="GY352" s="1">
        <v>0</v>
      </c>
      <c r="GZ352" s="1" t="s">
        <v>449</v>
      </c>
      <c r="HA352" s="1">
        <v>0</v>
      </c>
      <c r="HD352" s="1">
        <v>0</v>
      </c>
      <c r="HF352" s="1">
        <v>0</v>
      </c>
      <c r="HG352" s="1">
        <v>0</v>
      </c>
      <c r="HH352" s="1">
        <v>0</v>
      </c>
      <c r="HI352" s="1">
        <v>0</v>
      </c>
      <c r="HJ352" s="1">
        <v>0</v>
      </c>
      <c r="HK352" s="1" t="b">
        <v>0</v>
      </c>
      <c r="HM352" s="1">
        <v>0</v>
      </c>
      <c r="HO352" s="1" t="s">
        <v>360</v>
      </c>
      <c r="HP352" s="1">
        <v>0</v>
      </c>
      <c r="HQ352" s="1">
        <v>0</v>
      </c>
      <c r="HR352" s="1">
        <v>0</v>
      </c>
    </row>
    <row r="353" spans="2:226">
      <c r="B353" s="1">
        <f>10000000+INDEX(编号表!$B$1:$B$112,MATCH(D353,编号表!$A$1:$A$112,0))*10000+I353</f>
        <v>10580001</v>
      </c>
      <c r="C353" s="1" t="s">
        <v>472</v>
      </c>
      <c r="D353" s="1" t="s">
        <v>472</v>
      </c>
      <c r="E353" s="1" t="s">
        <v>469</v>
      </c>
      <c r="F353" s="1" t="s">
        <v>470</v>
      </c>
      <c r="G353" s="1">
        <v>1</v>
      </c>
      <c r="H353" s="1" t="b">
        <v>0</v>
      </c>
      <c r="I353" s="1">
        <v>1</v>
      </c>
      <c r="J353" s="1">
        <v>105800</v>
      </c>
      <c r="K353" s="1" t="s">
        <v>350</v>
      </c>
      <c r="M353" s="1">
        <v>10580002</v>
      </c>
      <c r="N353" s="1" t="s">
        <v>473</v>
      </c>
      <c r="O353" s="1">
        <v>10902001</v>
      </c>
      <c r="P353" s="1">
        <v>0</v>
      </c>
      <c r="Q353" s="1">
        <v>0</v>
      </c>
      <c r="R353" s="1">
        <v>1</v>
      </c>
      <c r="T353" s="1">
        <v>100</v>
      </c>
      <c r="AY353" s="1" t="s">
        <v>449</v>
      </c>
      <c r="AZ353" s="1">
        <v>0</v>
      </c>
      <c r="GX353" s="1">
        <v>0</v>
      </c>
      <c r="GY353" s="1">
        <v>0</v>
      </c>
      <c r="GZ353" s="1" t="s">
        <v>449</v>
      </c>
      <c r="HA353" s="1">
        <v>0</v>
      </c>
      <c r="HD353" s="1">
        <v>0</v>
      </c>
      <c r="HF353" s="1">
        <v>0</v>
      </c>
      <c r="HG353" s="1">
        <v>0</v>
      </c>
      <c r="HH353" s="1">
        <v>0</v>
      </c>
      <c r="HI353" s="1">
        <v>0</v>
      </c>
      <c r="HJ353" s="1">
        <v>0</v>
      </c>
      <c r="HK353" s="1" t="b">
        <v>0</v>
      </c>
      <c r="HM353" s="1">
        <v>0</v>
      </c>
      <c r="HO353" s="1" t="s">
        <v>360</v>
      </c>
      <c r="HP353" s="1">
        <v>0</v>
      </c>
      <c r="HQ353" s="1">
        <v>0</v>
      </c>
      <c r="HR353" s="1">
        <v>0</v>
      </c>
    </row>
    <row r="354" spans="2:226">
      <c r="B354" s="1">
        <f>10000000+INDEX(编号表!$B$1:$B$112,MATCH(D354,编号表!$A$1:$A$112,0))*10000+I354</f>
        <v>10580002</v>
      </c>
      <c r="C354" s="1" t="s">
        <v>472</v>
      </c>
      <c r="D354" s="1" t="s">
        <v>472</v>
      </c>
      <c r="E354" s="1" t="s">
        <v>469</v>
      </c>
      <c r="F354" s="1" t="s">
        <v>470</v>
      </c>
      <c r="G354" s="1">
        <v>1</v>
      </c>
      <c r="H354" s="1" t="b">
        <v>0</v>
      </c>
      <c r="I354" s="1">
        <v>2</v>
      </c>
      <c r="J354" s="1">
        <v>105800</v>
      </c>
      <c r="K354" s="1" t="s">
        <v>350</v>
      </c>
      <c r="L354" s="1">
        <v>10580001</v>
      </c>
      <c r="M354" s="1">
        <v>10580003</v>
      </c>
      <c r="N354" s="1" t="s">
        <v>473</v>
      </c>
      <c r="O354" s="1">
        <v>10902001</v>
      </c>
      <c r="P354" s="1">
        <v>0</v>
      </c>
      <c r="Q354" s="1">
        <v>0</v>
      </c>
      <c r="R354" s="1">
        <v>1</v>
      </c>
      <c r="T354" s="1">
        <v>100</v>
      </c>
      <c r="AY354" s="1" t="s">
        <v>449</v>
      </c>
      <c r="AZ354" s="1">
        <v>0</v>
      </c>
      <c r="GX354" s="1">
        <v>0</v>
      </c>
      <c r="GY354" s="1">
        <v>0</v>
      </c>
      <c r="GZ354" s="1" t="s">
        <v>449</v>
      </c>
      <c r="HA354" s="1">
        <v>0</v>
      </c>
      <c r="HD354" s="1">
        <v>0</v>
      </c>
      <c r="HF354" s="1">
        <v>0</v>
      </c>
      <c r="HG354" s="1">
        <v>0</v>
      </c>
      <c r="HH354" s="1">
        <v>0</v>
      </c>
      <c r="HI354" s="1">
        <v>0</v>
      </c>
      <c r="HJ354" s="1">
        <v>0</v>
      </c>
      <c r="HK354" s="1" t="b">
        <v>0</v>
      </c>
      <c r="HM354" s="1">
        <v>0</v>
      </c>
      <c r="HO354" s="1" t="s">
        <v>360</v>
      </c>
      <c r="HP354" s="1">
        <v>0</v>
      </c>
      <c r="HQ354" s="1">
        <v>0</v>
      </c>
      <c r="HR354" s="1">
        <v>0</v>
      </c>
    </row>
    <row r="355" spans="2:226">
      <c r="B355" s="1">
        <f>10000000+INDEX(编号表!$B$1:$B$112,MATCH(D355,编号表!$A$1:$A$112,0))*10000+I355</f>
        <v>10580003</v>
      </c>
      <c r="C355" s="1" t="s">
        <v>472</v>
      </c>
      <c r="D355" s="1" t="s">
        <v>472</v>
      </c>
      <c r="E355" s="1" t="s">
        <v>469</v>
      </c>
      <c r="F355" s="1" t="s">
        <v>470</v>
      </c>
      <c r="G355" s="1">
        <v>1</v>
      </c>
      <c r="H355" s="1" t="b">
        <v>0</v>
      </c>
      <c r="I355" s="1">
        <v>3</v>
      </c>
      <c r="J355" s="1">
        <v>105800</v>
      </c>
      <c r="K355" s="1" t="s">
        <v>350</v>
      </c>
      <c r="L355" s="1">
        <v>10580002</v>
      </c>
      <c r="M355" s="1">
        <v>10580004</v>
      </c>
      <c r="N355" s="1" t="s">
        <v>473</v>
      </c>
      <c r="O355" s="1">
        <v>10902001</v>
      </c>
      <c r="P355" s="1">
        <v>0</v>
      </c>
      <c r="Q355" s="1">
        <v>0</v>
      </c>
      <c r="R355" s="1">
        <v>1</v>
      </c>
      <c r="T355" s="1">
        <v>100</v>
      </c>
      <c r="AY355" s="1" t="s">
        <v>449</v>
      </c>
      <c r="AZ355" s="1">
        <v>0</v>
      </c>
      <c r="GX355" s="1">
        <v>0</v>
      </c>
      <c r="GY355" s="1">
        <v>0</v>
      </c>
      <c r="GZ355" s="1" t="s">
        <v>449</v>
      </c>
      <c r="HA355" s="1">
        <v>0</v>
      </c>
      <c r="HD355" s="1">
        <v>0</v>
      </c>
      <c r="HF355" s="1">
        <v>0</v>
      </c>
      <c r="HG355" s="1">
        <v>0</v>
      </c>
      <c r="HH355" s="1">
        <v>0</v>
      </c>
      <c r="HI355" s="1">
        <v>0</v>
      </c>
      <c r="HJ355" s="1">
        <v>0</v>
      </c>
      <c r="HK355" s="1" t="b">
        <v>0</v>
      </c>
      <c r="HM355" s="1">
        <v>0</v>
      </c>
      <c r="HO355" s="1" t="s">
        <v>360</v>
      </c>
      <c r="HP355" s="1">
        <v>0</v>
      </c>
      <c r="HQ355" s="1">
        <v>0</v>
      </c>
      <c r="HR355" s="1">
        <v>0</v>
      </c>
    </row>
    <row r="356" spans="2:226">
      <c r="B356" s="1">
        <f>10000000+INDEX(编号表!$B$1:$B$112,MATCH(D356,编号表!$A$1:$A$112,0))*10000+I356</f>
        <v>10580004</v>
      </c>
      <c r="C356" s="1" t="s">
        <v>472</v>
      </c>
      <c r="D356" s="1" t="s">
        <v>472</v>
      </c>
      <c r="E356" s="1" t="s">
        <v>469</v>
      </c>
      <c r="F356" s="1" t="s">
        <v>470</v>
      </c>
      <c r="G356" s="1">
        <v>1</v>
      </c>
      <c r="H356" s="1" t="b">
        <v>0</v>
      </c>
      <c r="I356" s="1">
        <v>4</v>
      </c>
      <c r="J356" s="1">
        <v>105800</v>
      </c>
      <c r="K356" s="1" t="s">
        <v>350</v>
      </c>
      <c r="L356" s="1">
        <v>10580003</v>
      </c>
      <c r="M356" s="1">
        <v>10580005</v>
      </c>
      <c r="N356" s="1" t="s">
        <v>473</v>
      </c>
      <c r="O356" s="1">
        <v>10902001</v>
      </c>
      <c r="P356" s="1">
        <v>0</v>
      </c>
      <c r="Q356" s="1">
        <v>0</v>
      </c>
      <c r="R356" s="1">
        <v>1</v>
      </c>
      <c r="T356" s="1">
        <v>100</v>
      </c>
      <c r="AY356" s="1" t="s">
        <v>449</v>
      </c>
      <c r="AZ356" s="1">
        <v>0</v>
      </c>
      <c r="GX356" s="1">
        <v>0</v>
      </c>
      <c r="GY356" s="1">
        <v>0</v>
      </c>
      <c r="GZ356" s="1" t="s">
        <v>449</v>
      </c>
      <c r="HA356" s="1">
        <v>0</v>
      </c>
      <c r="HD356" s="1">
        <v>0</v>
      </c>
      <c r="HF356" s="1">
        <v>0</v>
      </c>
      <c r="HG356" s="1">
        <v>0</v>
      </c>
      <c r="HH356" s="1">
        <v>0</v>
      </c>
      <c r="HI356" s="1">
        <v>0</v>
      </c>
      <c r="HJ356" s="1">
        <v>0</v>
      </c>
      <c r="HK356" s="1" t="b">
        <v>0</v>
      </c>
      <c r="HM356" s="1">
        <v>0</v>
      </c>
      <c r="HO356" s="1" t="s">
        <v>360</v>
      </c>
      <c r="HP356" s="1">
        <v>0</v>
      </c>
      <c r="HQ356" s="1">
        <v>0</v>
      </c>
      <c r="HR356" s="1">
        <v>0</v>
      </c>
    </row>
    <row r="357" spans="2:226">
      <c r="B357" s="1">
        <f>10000000+INDEX(编号表!$B$1:$B$112,MATCH(D357,编号表!$A$1:$A$112,0))*10000+I357</f>
        <v>10580005</v>
      </c>
      <c r="C357" s="1" t="s">
        <v>472</v>
      </c>
      <c r="D357" s="1" t="s">
        <v>472</v>
      </c>
      <c r="E357" s="1" t="s">
        <v>469</v>
      </c>
      <c r="F357" s="1" t="s">
        <v>470</v>
      </c>
      <c r="G357" s="1">
        <v>1</v>
      </c>
      <c r="H357" s="1" t="b">
        <v>0</v>
      </c>
      <c r="I357" s="1">
        <v>5</v>
      </c>
      <c r="J357" s="1">
        <v>105800</v>
      </c>
      <c r="K357" s="1" t="s">
        <v>350</v>
      </c>
      <c r="L357" s="1">
        <v>10580004</v>
      </c>
      <c r="M357" s="1">
        <v>10580006</v>
      </c>
      <c r="N357" s="1" t="s">
        <v>473</v>
      </c>
      <c r="O357" s="1">
        <v>10902001</v>
      </c>
      <c r="P357" s="1">
        <v>0</v>
      </c>
      <c r="Q357" s="1">
        <v>0</v>
      </c>
      <c r="R357" s="1">
        <v>1</v>
      </c>
      <c r="T357" s="1">
        <v>100</v>
      </c>
      <c r="AY357" s="1" t="s">
        <v>449</v>
      </c>
      <c r="AZ357" s="1">
        <v>0</v>
      </c>
      <c r="GX357" s="1">
        <v>0</v>
      </c>
      <c r="GY357" s="1">
        <v>0</v>
      </c>
      <c r="GZ357" s="1" t="s">
        <v>449</v>
      </c>
      <c r="HA357" s="1">
        <v>0</v>
      </c>
      <c r="HD357" s="1">
        <v>0</v>
      </c>
      <c r="HF357" s="1">
        <v>0</v>
      </c>
      <c r="HG357" s="1">
        <v>0</v>
      </c>
      <c r="HH357" s="1">
        <v>0</v>
      </c>
      <c r="HI357" s="1">
        <v>0</v>
      </c>
      <c r="HJ357" s="1">
        <v>0</v>
      </c>
      <c r="HK357" s="1" t="b">
        <v>0</v>
      </c>
      <c r="HM357" s="1">
        <v>0</v>
      </c>
      <c r="HO357" s="1" t="s">
        <v>360</v>
      </c>
      <c r="HP357" s="1">
        <v>0</v>
      </c>
      <c r="HQ357" s="1">
        <v>0</v>
      </c>
      <c r="HR357" s="1">
        <v>0</v>
      </c>
    </row>
    <row r="358" spans="2:226">
      <c r="B358" s="1">
        <f>10000000+INDEX(编号表!$B$1:$B$112,MATCH(D358,编号表!$A$1:$A$112,0))*10000+I358</f>
        <v>10580006</v>
      </c>
      <c r="C358" s="1" t="s">
        <v>472</v>
      </c>
      <c r="D358" s="1" t="s">
        <v>472</v>
      </c>
      <c r="E358" s="1" t="s">
        <v>469</v>
      </c>
      <c r="F358" s="1" t="s">
        <v>470</v>
      </c>
      <c r="G358" s="1">
        <v>1</v>
      </c>
      <c r="H358" s="1" t="b">
        <v>0</v>
      </c>
      <c r="I358" s="1">
        <v>6</v>
      </c>
      <c r="J358" s="1">
        <v>105800</v>
      </c>
      <c r="K358" s="1" t="s">
        <v>350</v>
      </c>
      <c r="L358" s="1">
        <v>10580005</v>
      </c>
      <c r="M358" s="1">
        <v>10580007</v>
      </c>
      <c r="N358" s="1" t="s">
        <v>473</v>
      </c>
      <c r="O358" s="1">
        <v>10902001</v>
      </c>
      <c r="P358" s="1">
        <v>0</v>
      </c>
      <c r="Q358" s="1">
        <v>0</v>
      </c>
      <c r="R358" s="1">
        <v>1</v>
      </c>
      <c r="T358" s="1">
        <v>100</v>
      </c>
      <c r="AY358" s="1" t="s">
        <v>449</v>
      </c>
      <c r="AZ358" s="1">
        <v>0</v>
      </c>
      <c r="GX358" s="1">
        <v>0</v>
      </c>
      <c r="GY358" s="1">
        <v>0</v>
      </c>
      <c r="GZ358" s="1" t="s">
        <v>449</v>
      </c>
      <c r="HA358" s="1">
        <v>0</v>
      </c>
      <c r="HD358" s="1">
        <v>0</v>
      </c>
      <c r="HF358" s="1">
        <v>0</v>
      </c>
      <c r="HG358" s="1">
        <v>0</v>
      </c>
      <c r="HH358" s="1">
        <v>0</v>
      </c>
      <c r="HI358" s="1">
        <v>0</v>
      </c>
      <c r="HJ358" s="1">
        <v>0</v>
      </c>
      <c r="HK358" s="1" t="b">
        <v>0</v>
      </c>
      <c r="HM358" s="1">
        <v>0</v>
      </c>
      <c r="HO358" s="1" t="s">
        <v>360</v>
      </c>
      <c r="HP358" s="1">
        <v>0</v>
      </c>
      <c r="HQ358" s="1">
        <v>0</v>
      </c>
      <c r="HR358" s="1">
        <v>0</v>
      </c>
    </row>
    <row r="359" spans="2:226">
      <c r="B359" s="1">
        <f>10000000+INDEX(编号表!$B$1:$B$112,MATCH(D359,编号表!$A$1:$A$112,0))*10000+I359</f>
        <v>10580007</v>
      </c>
      <c r="C359" s="1" t="s">
        <v>472</v>
      </c>
      <c r="D359" s="1" t="s">
        <v>472</v>
      </c>
      <c r="E359" s="1" t="s">
        <v>469</v>
      </c>
      <c r="F359" s="1" t="s">
        <v>470</v>
      </c>
      <c r="G359" s="1">
        <v>1</v>
      </c>
      <c r="H359" s="1" t="b">
        <v>0</v>
      </c>
      <c r="I359" s="1">
        <v>7</v>
      </c>
      <c r="J359" s="1">
        <v>105800</v>
      </c>
      <c r="K359" s="1" t="s">
        <v>350</v>
      </c>
      <c r="L359" s="1">
        <v>10580006</v>
      </c>
      <c r="M359" s="1">
        <v>10580008</v>
      </c>
      <c r="N359" s="1" t="s">
        <v>473</v>
      </c>
      <c r="O359" s="1">
        <v>10902001</v>
      </c>
      <c r="P359" s="1">
        <v>0</v>
      </c>
      <c r="Q359" s="1">
        <v>0</v>
      </c>
      <c r="R359" s="1">
        <v>1</v>
      </c>
      <c r="T359" s="1">
        <v>100</v>
      </c>
      <c r="AY359" s="1" t="s">
        <v>449</v>
      </c>
      <c r="AZ359" s="1">
        <v>0</v>
      </c>
      <c r="GX359" s="1">
        <v>0</v>
      </c>
      <c r="GY359" s="1">
        <v>0</v>
      </c>
      <c r="GZ359" s="1" t="s">
        <v>449</v>
      </c>
      <c r="HA359" s="1">
        <v>0</v>
      </c>
      <c r="HD359" s="1">
        <v>0</v>
      </c>
      <c r="HF359" s="1">
        <v>0</v>
      </c>
      <c r="HG359" s="1">
        <v>0</v>
      </c>
      <c r="HH359" s="1">
        <v>0</v>
      </c>
      <c r="HI359" s="1">
        <v>0</v>
      </c>
      <c r="HJ359" s="1">
        <v>0</v>
      </c>
      <c r="HK359" s="1" t="b">
        <v>0</v>
      </c>
      <c r="HM359" s="1">
        <v>0</v>
      </c>
      <c r="HO359" s="1" t="s">
        <v>360</v>
      </c>
      <c r="HP359" s="1">
        <v>0</v>
      </c>
      <c r="HQ359" s="1">
        <v>0</v>
      </c>
      <c r="HR359" s="1">
        <v>0</v>
      </c>
    </row>
    <row r="360" spans="2:226">
      <c r="B360" s="1">
        <f>10000000+INDEX(编号表!$B$1:$B$112,MATCH(D360,编号表!$A$1:$A$112,0))*10000+I360</f>
        <v>10580008</v>
      </c>
      <c r="C360" s="1" t="s">
        <v>472</v>
      </c>
      <c r="D360" s="1" t="s">
        <v>472</v>
      </c>
      <c r="E360" s="1" t="s">
        <v>469</v>
      </c>
      <c r="F360" s="1" t="s">
        <v>470</v>
      </c>
      <c r="G360" s="1">
        <v>1</v>
      </c>
      <c r="H360" s="1" t="b">
        <v>0</v>
      </c>
      <c r="I360" s="1">
        <v>8</v>
      </c>
      <c r="J360" s="1">
        <v>105800</v>
      </c>
      <c r="K360" s="1" t="s">
        <v>350</v>
      </c>
      <c r="L360" s="1">
        <v>10580007</v>
      </c>
      <c r="M360" s="1">
        <v>10580009</v>
      </c>
      <c r="N360" s="1" t="s">
        <v>473</v>
      </c>
      <c r="O360" s="1">
        <v>10902001</v>
      </c>
      <c r="P360" s="1">
        <v>0</v>
      </c>
      <c r="Q360" s="1">
        <v>0</v>
      </c>
      <c r="R360" s="1">
        <v>1</v>
      </c>
      <c r="T360" s="1">
        <v>100</v>
      </c>
      <c r="AY360" s="1" t="s">
        <v>449</v>
      </c>
      <c r="AZ360" s="1">
        <v>0</v>
      </c>
      <c r="GX360" s="1">
        <v>0</v>
      </c>
      <c r="GY360" s="1">
        <v>0</v>
      </c>
      <c r="GZ360" s="1" t="s">
        <v>449</v>
      </c>
      <c r="HA360" s="1">
        <v>0</v>
      </c>
      <c r="HD360" s="1">
        <v>0</v>
      </c>
      <c r="HF360" s="1">
        <v>0</v>
      </c>
      <c r="HG360" s="1">
        <v>0</v>
      </c>
      <c r="HH360" s="1">
        <v>0</v>
      </c>
      <c r="HI360" s="1">
        <v>0</v>
      </c>
      <c r="HJ360" s="1">
        <v>0</v>
      </c>
      <c r="HK360" s="1" t="b">
        <v>0</v>
      </c>
      <c r="HM360" s="1">
        <v>0</v>
      </c>
      <c r="HO360" s="1" t="s">
        <v>360</v>
      </c>
      <c r="HP360" s="1">
        <v>0</v>
      </c>
      <c r="HQ360" s="1">
        <v>0</v>
      </c>
      <c r="HR360" s="1">
        <v>0</v>
      </c>
    </row>
    <row r="361" spans="2:226">
      <c r="B361" s="1">
        <f>10000000+INDEX(编号表!$B$1:$B$112,MATCH(D361,编号表!$A$1:$A$112,0))*10000+I361</f>
        <v>10580009</v>
      </c>
      <c r="C361" s="1" t="s">
        <v>472</v>
      </c>
      <c r="D361" s="1" t="s">
        <v>472</v>
      </c>
      <c r="E361" s="1" t="s">
        <v>469</v>
      </c>
      <c r="F361" s="1" t="s">
        <v>470</v>
      </c>
      <c r="G361" s="1">
        <v>1</v>
      </c>
      <c r="H361" s="1" t="b">
        <v>0</v>
      </c>
      <c r="I361" s="1">
        <v>9</v>
      </c>
      <c r="J361" s="1">
        <v>105800</v>
      </c>
      <c r="K361" s="1" t="s">
        <v>350</v>
      </c>
      <c r="L361" s="1">
        <v>10580008</v>
      </c>
      <c r="M361" s="1">
        <v>10580010</v>
      </c>
      <c r="N361" s="1" t="s">
        <v>473</v>
      </c>
      <c r="O361" s="1">
        <v>10902001</v>
      </c>
      <c r="P361" s="1">
        <v>0</v>
      </c>
      <c r="Q361" s="1">
        <v>0</v>
      </c>
      <c r="R361" s="1">
        <v>1</v>
      </c>
      <c r="T361" s="1">
        <v>100</v>
      </c>
      <c r="AY361" s="1" t="s">
        <v>449</v>
      </c>
      <c r="AZ361" s="1">
        <v>0</v>
      </c>
      <c r="GX361" s="1">
        <v>0</v>
      </c>
      <c r="GY361" s="1">
        <v>0</v>
      </c>
      <c r="GZ361" s="1" t="s">
        <v>449</v>
      </c>
      <c r="HA361" s="1">
        <v>0</v>
      </c>
      <c r="HD361" s="1">
        <v>0</v>
      </c>
      <c r="HF361" s="1">
        <v>0</v>
      </c>
      <c r="HG361" s="1">
        <v>0</v>
      </c>
      <c r="HH361" s="1">
        <v>0</v>
      </c>
      <c r="HI361" s="1">
        <v>0</v>
      </c>
      <c r="HJ361" s="1">
        <v>0</v>
      </c>
      <c r="HK361" s="1" t="b">
        <v>0</v>
      </c>
      <c r="HM361" s="1">
        <v>0</v>
      </c>
      <c r="HO361" s="1" t="s">
        <v>360</v>
      </c>
      <c r="HP361" s="1">
        <v>0</v>
      </c>
      <c r="HQ361" s="1">
        <v>0</v>
      </c>
      <c r="HR361" s="1">
        <v>0</v>
      </c>
    </row>
    <row r="362" spans="2:226">
      <c r="B362" s="1">
        <f>10000000+INDEX(编号表!$B$1:$B$112,MATCH(D362,编号表!$A$1:$A$112,0))*10000+I362</f>
        <v>10580010</v>
      </c>
      <c r="C362" s="1" t="s">
        <v>472</v>
      </c>
      <c r="D362" s="1" t="s">
        <v>472</v>
      </c>
      <c r="E362" s="1" t="s">
        <v>469</v>
      </c>
      <c r="F362" s="1" t="s">
        <v>470</v>
      </c>
      <c r="G362" s="1">
        <v>1</v>
      </c>
      <c r="H362" s="1" t="b">
        <v>0</v>
      </c>
      <c r="I362" s="1">
        <v>10</v>
      </c>
      <c r="J362" s="1">
        <v>105800</v>
      </c>
      <c r="K362" s="1" t="s">
        <v>350</v>
      </c>
      <c r="L362" s="1">
        <v>10580009</v>
      </c>
      <c r="N362" s="1" t="s">
        <v>473</v>
      </c>
      <c r="O362" s="1">
        <v>10902001</v>
      </c>
      <c r="P362" s="1">
        <v>0</v>
      </c>
      <c r="Q362" s="1">
        <v>0</v>
      </c>
      <c r="R362" s="1">
        <v>1</v>
      </c>
      <c r="T362" s="1">
        <v>100</v>
      </c>
      <c r="AY362" s="1" t="s">
        <v>449</v>
      </c>
      <c r="AZ362" s="1">
        <v>0</v>
      </c>
      <c r="GX362" s="1">
        <v>0</v>
      </c>
      <c r="GY362" s="1">
        <v>0</v>
      </c>
      <c r="GZ362" s="1" t="s">
        <v>449</v>
      </c>
      <c r="HA362" s="1">
        <v>0</v>
      </c>
      <c r="HD362" s="1">
        <v>0</v>
      </c>
      <c r="HF362" s="1">
        <v>0</v>
      </c>
      <c r="HG362" s="1">
        <v>0</v>
      </c>
      <c r="HH362" s="1">
        <v>0</v>
      </c>
      <c r="HI362" s="1">
        <v>0</v>
      </c>
      <c r="HJ362" s="1">
        <v>0</v>
      </c>
      <c r="HK362" s="1" t="b">
        <v>0</v>
      </c>
      <c r="HM362" s="1">
        <v>0</v>
      </c>
      <c r="HO362" s="1" t="s">
        <v>360</v>
      </c>
      <c r="HP362" s="1">
        <v>0</v>
      </c>
      <c r="HQ362" s="1">
        <v>0</v>
      </c>
      <c r="HR362" s="1">
        <v>0</v>
      </c>
    </row>
    <row r="363" spans="2:226">
      <c r="B363" s="1">
        <f>10000000+INDEX(编号表!$B$1:$B$112,MATCH(D363,编号表!$A$1:$A$112,0))*10000+I363</f>
        <v>10590001</v>
      </c>
      <c r="C363" s="1" t="s">
        <v>474</v>
      </c>
      <c r="D363" s="1" t="s">
        <v>474</v>
      </c>
      <c r="E363" s="1" t="s">
        <v>469</v>
      </c>
      <c r="F363" s="1" t="s">
        <v>470</v>
      </c>
      <c r="G363" s="1">
        <v>1</v>
      </c>
      <c r="H363" s="1" t="b">
        <v>0</v>
      </c>
      <c r="I363" s="1">
        <v>1</v>
      </c>
      <c r="J363" s="1">
        <v>105900</v>
      </c>
      <c r="K363" s="1" t="s">
        <v>350</v>
      </c>
      <c r="M363" s="1">
        <v>10590002</v>
      </c>
      <c r="N363" s="1" t="s">
        <v>475</v>
      </c>
      <c r="O363" s="1">
        <v>10902002</v>
      </c>
      <c r="P363" s="1">
        <v>0</v>
      </c>
      <c r="Q363" s="1">
        <v>0</v>
      </c>
      <c r="R363" s="1">
        <v>1</v>
      </c>
      <c r="T363" s="1">
        <v>100</v>
      </c>
      <c r="AY363" s="1" t="s">
        <v>449</v>
      </c>
      <c r="AZ363" s="1">
        <v>0</v>
      </c>
      <c r="GX363" s="1">
        <v>0</v>
      </c>
      <c r="GY363" s="1">
        <v>0</v>
      </c>
      <c r="GZ363" s="1" t="s">
        <v>449</v>
      </c>
      <c r="HA363" s="1">
        <v>0</v>
      </c>
      <c r="HD363" s="1">
        <v>0</v>
      </c>
      <c r="HF363" s="1">
        <v>0</v>
      </c>
      <c r="HG363" s="1">
        <v>0</v>
      </c>
      <c r="HH363" s="1">
        <v>0</v>
      </c>
      <c r="HI363" s="1">
        <v>0</v>
      </c>
      <c r="HJ363" s="1">
        <v>0</v>
      </c>
      <c r="HK363" s="1" t="b">
        <v>0</v>
      </c>
      <c r="HM363" s="1">
        <v>0</v>
      </c>
      <c r="HO363" s="1" t="s">
        <v>360</v>
      </c>
      <c r="HP363" s="1">
        <v>0</v>
      </c>
      <c r="HQ363" s="1">
        <v>0</v>
      </c>
      <c r="HR363" s="1">
        <v>0</v>
      </c>
    </row>
    <row r="364" spans="2:226">
      <c r="B364" s="1">
        <f>10000000+INDEX(编号表!$B$1:$B$112,MATCH(D364,编号表!$A$1:$A$112,0))*10000+I364</f>
        <v>10590002</v>
      </c>
      <c r="C364" s="1" t="s">
        <v>474</v>
      </c>
      <c r="D364" s="1" t="s">
        <v>474</v>
      </c>
      <c r="E364" s="1" t="s">
        <v>469</v>
      </c>
      <c r="F364" s="1" t="s">
        <v>470</v>
      </c>
      <c r="G364" s="1">
        <v>1</v>
      </c>
      <c r="H364" s="1" t="b">
        <v>0</v>
      </c>
      <c r="I364" s="1">
        <v>2</v>
      </c>
      <c r="J364" s="1">
        <v>105900</v>
      </c>
      <c r="K364" s="1" t="s">
        <v>350</v>
      </c>
      <c r="L364" s="1">
        <v>10590001</v>
      </c>
      <c r="M364" s="1">
        <v>10590003</v>
      </c>
      <c r="N364" s="1" t="s">
        <v>475</v>
      </c>
      <c r="O364" s="1">
        <v>10902002</v>
      </c>
      <c r="P364" s="1">
        <v>0</v>
      </c>
      <c r="Q364" s="1">
        <v>0</v>
      </c>
      <c r="R364" s="1">
        <v>1</v>
      </c>
      <c r="T364" s="1">
        <v>100</v>
      </c>
      <c r="AY364" s="1" t="s">
        <v>449</v>
      </c>
      <c r="AZ364" s="1">
        <v>0</v>
      </c>
      <c r="GX364" s="1">
        <v>0</v>
      </c>
      <c r="GY364" s="1">
        <v>0</v>
      </c>
      <c r="GZ364" s="1" t="s">
        <v>449</v>
      </c>
      <c r="HA364" s="1">
        <v>0</v>
      </c>
      <c r="HD364" s="1">
        <v>0</v>
      </c>
      <c r="HF364" s="1">
        <v>0</v>
      </c>
      <c r="HG364" s="1">
        <v>0</v>
      </c>
      <c r="HH364" s="1">
        <v>0</v>
      </c>
      <c r="HI364" s="1">
        <v>0</v>
      </c>
      <c r="HJ364" s="1">
        <v>0</v>
      </c>
      <c r="HK364" s="1" t="b">
        <v>0</v>
      </c>
      <c r="HM364" s="1">
        <v>0</v>
      </c>
      <c r="HO364" s="1" t="s">
        <v>360</v>
      </c>
      <c r="HP364" s="1">
        <v>0</v>
      </c>
      <c r="HQ364" s="1">
        <v>0</v>
      </c>
      <c r="HR364" s="1">
        <v>0</v>
      </c>
    </row>
    <row r="365" spans="2:226">
      <c r="B365" s="1">
        <f>10000000+INDEX(编号表!$B$1:$B$112,MATCH(D365,编号表!$A$1:$A$112,0))*10000+I365</f>
        <v>10590003</v>
      </c>
      <c r="C365" s="1" t="s">
        <v>474</v>
      </c>
      <c r="D365" s="1" t="s">
        <v>474</v>
      </c>
      <c r="E365" s="1" t="s">
        <v>469</v>
      </c>
      <c r="F365" s="1" t="s">
        <v>470</v>
      </c>
      <c r="G365" s="1">
        <v>1</v>
      </c>
      <c r="H365" s="1" t="b">
        <v>0</v>
      </c>
      <c r="I365" s="1">
        <v>3</v>
      </c>
      <c r="J365" s="1">
        <v>105900</v>
      </c>
      <c r="K365" s="1" t="s">
        <v>350</v>
      </c>
      <c r="L365" s="1">
        <v>10590002</v>
      </c>
      <c r="M365" s="1">
        <v>10590004</v>
      </c>
      <c r="N365" s="1" t="s">
        <v>475</v>
      </c>
      <c r="O365" s="1">
        <v>10902002</v>
      </c>
      <c r="P365" s="1">
        <v>0</v>
      </c>
      <c r="Q365" s="1">
        <v>0</v>
      </c>
      <c r="R365" s="1">
        <v>1</v>
      </c>
      <c r="T365" s="1">
        <v>100</v>
      </c>
      <c r="AY365" s="1" t="s">
        <v>449</v>
      </c>
      <c r="AZ365" s="1">
        <v>0</v>
      </c>
      <c r="GX365" s="1">
        <v>0</v>
      </c>
      <c r="GY365" s="1">
        <v>0</v>
      </c>
      <c r="GZ365" s="1" t="s">
        <v>449</v>
      </c>
      <c r="HA365" s="1">
        <v>0</v>
      </c>
      <c r="HD365" s="1">
        <v>0</v>
      </c>
      <c r="HF365" s="1">
        <v>0</v>
      </c>
      <c r="HG365" s="1">
        <v>0</v>
      </c>
      <c r="HH365" s="1">
        <v>0</v>
      </c>
      <c r="HI365" s="1">
        <v>0</v>
      </c>
      <c r="HJ365" s="1">
        <v>0</v>
      </c>
      <c r="HK365" s="1" t="b">
        <v>0</v>
      </c>
      <c r="HM365" s="1">
        <v>0</v>
      </c>
      <c r="HO365" s="1" t="s">
        <v>360</v>
      </c>
      <c r="HP365" s="1">
        <v>0</v>
      </c>
      <c r="HQ365" s="1">
        <v>0</v>
      </c>
      <c r="HR365" s="1">
        <v>0</v>
      </c>
    </row>
    <row r="366" spans="2:226">
      <c r="B366" s="1">
        <f>10000000+INDEX(编号表!$B$1:$B$112,MATCH(D366,编号表!$A$1:$A$112,0))*10000+I366</f>
        <v>10590004</v>
      </c>
      <c r="C366" s="1" t="s">
        <v>474</v>
      </c>
      <c r="D366" s="1" t="s">
        <v>474</v>
      </c>
      <c r="E366" s="1" t="s">
        <v>469</v>
      </c>
      <c r="F366" s="1" t="s">
        <v>470</v>
      </c>
      <c r="G366" s="1">
        <v>1</v>
      </c>
      <c r="H366" s="1" t="b">
        <v>0</v>
      </c>
      <c r="I366" s="1">
        <v>4</v>
      </c>
      <c r="J366" s="1">
        <v>105900</v>
      </c>
      <c r="K366" s="1" t="s">
        <v>350</v>
      </c>
      <c r="L366" s="1">
        <v>10590003</v>
      </c>
      <c r="M366" s="1">
        <v>10590005</v>
      </c>
      <c r="N366" s="1" t="s">
        <v>475</v>
      </c>
      <c r="O366" s="1">
        <v>10902002</v>
      </c>
      <c r="P366" s="1">
        <v>0</v>
      </c>
      <c r="Q366" s="1">
        <v>0</v>
      </c>
      <c r="R366" s="1">
        <v>1</v>
      </c>
      <c r="T366" s="1">
        <v>100</v>
      </c>
      <c r="AY366" s="1" t="s">
        <v>449</v>
      </c>
      <c r="AZ366" s="1">
        <v>0</v>
      </c>
      <c r="GX366" s="1">
        <v>0</v>
      </c>
      <c r="GY366" s="1">
        <v>0</v>
      </c>
      <c r="GZ366" s="1" t="s">
        <v>449</v>
      </c>
      <c r="HA366" s="1">
        <v>0</v>
      </c>
      <c r="HD366" s="1">
        <v>0</v>
      </c>
      <c r="HF366" s="1">
        <v>0</v>
      </c>
      <c r="HG366" s="1">
        <v>0</v>
      </c>
      <c r="HH366" s="1">
        <v>0</v>
      </c>
      <c r="HI366" s="1">
        <v>0</v>
      </c>
      <c r="HJ366" s="1">
        <v>0</v>
      </c>
      <c r="HK366" s="1" t="b">
        <v>0</v>
      </c>
      <c r="HM366" s="1">
        <v>0</v>
      </c>
      <c r="HO366" s="1" t="s">
        <v>360</v>
      </c>
      <c r="HP366" s="1">
        <v>0</v>
      </c>
      <c r="HQ366" s="1">
        <v>0</v>
      </c>
      <c r="HR366" s="1">
        <v>0</v>
      </c>
    </row>
    <row r="367" spans="2:226">
      <c r="B367" s="1">
        <f>10000000+INDEX(编号表!$B$1:$B$112,MATCH(D367,编号表!$A$1:$A$112,0))*10000+I367</f>
        <v>10590005</v>
      </c>
      <c r="C367" s="1" t="s">
        <v>474</v>
      </c>
      <c r="D367" s="1" t="s">
        <v>474</v>
      </c>
      <c r="E367" s="1" t="s">
        <v>469</v>
      </c>
      <c r="F367" s="1" t="s">
        <v>470</v>
      </c>
      <c r="G367" s="1">
        <v>1</v>
      </c>
      <c r="H367" s="1" t="b">
        <v>0</v>
      </c>
      <c r="I367" s="1">
        <v>5</v>
      </c>
      <c r="J367" s="1">
        <v>105900</v>
      </c>
      <c r="K367" s="1" t="s">
        <v>350</v>
      </c>
      <c r="L367" s="1">
        <v>10590004</v>
      </c>
      <c r="M367" s="1">
        <v>10590006</v>
      </c>
      <c r="N367" s="1" t="s">
        <v>475</v>
      </c>
      <c r="O367" s="1">
        <v>10902002</v>
      </c>
      <c r="P367" s="1">
        <v>0</v>
      </c>
      <c r="Q367" s="1">
        <v>0</v>
      </c>
      <c r="R367" s="1">
        <v>1</v>
      </c>
      <c r="T367" s="1">
        <v>100</v>
      </c>
      <c r="AY367" s="1" t="s">
        <v>449</v>
      </c>
      <c r="AZ367" s="1">
        <v>0</v>
      </c>
      <c r="GX367" s="1">
        <v>0</v>
      </c>
      <c r="GY367" s="1">
        <v>0</v>
      </c>
      <c r="GZ367" s="1" t="s">
        <v>449</v>
      </c>
      <c r="HA367" s="1">
        <v>0</v>
      </c>
      <c r="HD367" s="1">
        <v>0</v>
      </c>
      <c r="HF367" s="1">
        <v>0</v>
      </c>
      <c r="HG367" s="1">
        <v>0</v>
      </c>
      <c r="HH367" s="1">
        <v>0</v>
      </c>
      <c r="HI367" s="1">
        <v>0</v>
      </c>
      <c r="HJ367" s="1">
        <v>0</v>
      </c>
      <c r="HK367" s="1" t="b">
        <v>0</v>
      </c>
      <c r="HM367" s="1">
        <v>0</v>
      </c>
      <c r="HO367" s="1" t="s">
        <v>360</v>
      </c>
      <c r="HP367" s="1">
        <v>0</v>
      </c>
      <c r="HQ367" s="1">
        <v>0</v>
      </c>
      <c r="HR367" s="1">
        <v>0</v>
      </c>
    </row>
    <row r="368" spans="2:226">
      <c r="B368" s="1">
        <f>10000000+INDEX(编号表!$B$1:$B$112,MATCH(D368,编号表!$A$1:$A$112,0))*10000+I368</f>
        <v>10590006</v>
      </c>
      <c r="C368" s="1" t="s">
        <v>474</v>
      </c>
      <c r="D368" s="1" t="s">
        <v>474</v>
      </c>
      <c r="E368" s="1" t="s">
        <v>469</v>
      </c>
      <c r="F368" s="1" t="s">
        <v>470</v>
      </c>
      <c r="G368" s="1">
        <v>1</v>
      </c>
      <c r="H368" s="1" t="b">
        <v>0</v>
      </c>
      <c r="I368" s="1">
        <v>6</v>
      </c>
      <c r="J368" s="1">
        <v>105900</v>
      </c>
      <c r="K368" s="1" t="s">
        <v>350</v>
      </c>
      <c r="L368" s="1">
        <v>10590005</v>
      </c>
      <c r="M368" s="1">
        <v>10590007</v>
      </c>
      <c r="N368" s="1" t="s">
        <v>475</v>
      </c>
      <c r="O368" s="1">
        <v>10902002</v>
      </c>
      <c r="P368" s="1">
        <v>0</v>
      </c>
      <c r="Q368" s="1">
        <v>0</v>
      </c>
      <c r="R368" s="1">
        <v>1</v>
      </c>
      <c r="T368" s="1">
        <v>100</v>
      </c>
      <c r="AY368" s="1" t="s">
        <v>449</v>
      </c>
      <c r="AZ368" s="1">
        <v>0</v>
      </c>
      <c r="GX368" s="1">
        <v>0</v>
      </c>
      <c r="GY368" s="1">
        <v>0</v>
      </c>
      <c r="GZ368" s="1" t="s">
        <v>449</v>
      </c>
      <c r="HA368" s="1">
        <v>0</v>
      </c>
      <c r="HD368" s="1">
        <v>0</v>
      </c>
      <c r="HF368" s="1">
        <v>0</v>
      </c>
      <c r="HG368" s="1">
        <v>0</v>
      </c>
      <c r="HH368" s="1">
        <v>0</v>
      </c>
      <c r="HI368" s="1">
        <v>0</v>
      </c>
      <c r="HJ368" s="1">
        <v>0</v>
      </c>
      <c r="HK368" s="1" t="b">
        <v>0</v>
      </c>
      <c r="HM368" s="1">
        <v>0</v>
      </c>
      <c r="HO368" s="1" t="s">
        <v>360</v>
      </c>
      <c r="HP368" s="1">
        <v>0</v>
      </c>
      <c r="HQ368" s="1">
        <v>0</v>
      </c>
      <c r="HR368" s="1">
        <v>0</v>
      </c>
    </row>
    <row r="369" spans="2:226">
      <c r="B369" s="1">
        <f>10000000+INDEX(编号表!$B$1:$B$112,MATCH(D369,编号表!$A$1:$A$112,0))*10000+I369</f>
        <v>10590007</v>
      </c>
      <c r="C369" s="1" t="s">
        <v>474</v>
      </c>
      <c r="D369" s="1" t="s">
        <v>474</v>
      </c>
      <c r="E369" s="1" t="s">
        <v>469</v>
      </c>
      <c r="F369" s="1" t="s">
        <v>470</v>
      </c>
      <c r="G369" s="1">
        <v>1</v>
      </c>
      <c r="H369" s="1" t="b">
        <v>0</v>
      </c>
      <c r="I369" s="1">
        <v>7</v>
      </c>
      <c r="J369" s="1">
        <v>105900</v>
      </c>
      <c r="K369" s="1" t="s">
        <v>350</v>
      </c>
      <c r="L369" s="1">
        <v>10590006</v>
      </c>
      <c r="M369" s="1">
        <v>10590008</v>
      </c>
      <c r="N369" s="1" t="s">
        <v>475</v>
      </c>
      <c r="O369" s="1">
        <v>10902002</v>
      </c>
      <c r="P369" s="1">
        <v>0</v>
      </c>
      <c r="Q369" s="1">
        <v>0</v>
      </c>
      <c r="R369" s="1">
        <v>1</v>
      </c>
      <c r="T369" s="1">
        <v>100</v>
      </c>
      <c r="AY369" s="1" t="s">
        <v>449</v>
      </c>
      <c r="AZ369" s="1">
        <v>0</v>
      </c>
      <c r="GX369" s="1">
        <v>0</v>
      </c>
      <c r="GY369" s="1">
        <v>0</v>
      </c>
      <c r="GZ369" s="1" t="s">
        <v>449</v>
      </c>
      <c r="HA369" s="1">
        <v>0</v>
      </c>
      <c r="HD369" s="1">
        <v>0</v>
      </c>
      <c r="HF369" s="1">
        <v>0</v>
      </c>
      <c r="HG369" s="1">
        <v>0</v>
      </c>
      <c r="HH369" s="1">
        <v>0</v>
      </c>
      <c r="HI369" s="1">
        <v>0</v>
      </c>
      <c r="HJ369" s="1">
        <v>0</v>
      </c>
      <c r="HK369" s="1" t="b">
        <v>0</v>
      </c>
      <c r="HM369" s="1">
        <v>0</v>
      </c>
      <c r="HO369" s="1" t="s">
        <v>360</v>
      </c>
      <c r="HP369" s="1">
        <v>0</v>
      </c>
      <c r="HQ369" s="1">
        <v>0</v>
      </c>
      <c r="HR369" s="1">
        <v>0</v>
      </c>
    </row>
    <row r="370" spans="2:226">
      <c r="B370" s="1">
        <f>10000000+INDEX(编号表!$B$1:$B$112,MATCH(D370,编号表!$A$1:$A$112,0))*10000+I370</f>
        <v>10590008</v>
      </c>
      <c r="C370" s="1" t="s">
        <v>474</v>
      </c>
      <c r="D370" s="1" t="s">
        <v>474</v>
      </c>
      <c r="E370" s="1" t="s">
        <v>469</v>
      </c>
      <c r="F370" s="1" t="s">
        <v>470</v>
      </c>
      <c r="G370" s="1">
        <v>1</v>
      </c>
      <c r="H370" s="1" t="b">
        <v>0</v>
      </c>
      <c r="I370" s="1">
        <v>8</v>
      </c>
      <c r="J370" s="1">
        <v>105900</v>
      </c>
      <c r="K370" s="1" t="s">
        <v>350</v>
      </c>
      <c r="L370" s="1">
        <v>10590007</v>
      </c>
      <c r="M370" s="1">
        <v>10590009</v>
      </c>
      <c r="N370" s="1" t="s">
        <v>475</v>
      </c>
      <c r="O370" s="1">
        <v>10902002</v>
      </c>
      <c r="P370" s="1">
        <v>0</v>
      </c>
      <c r="Q370" s="1">
        <v>0</v>
      </c>
      <c r="R370" s="1">
        <v>1</v>
      </c>
      <c r="T370" s="1">
        <v>100</v>
      </c>
      <c r="AY370" s="1" t="s">
        <v>449</v>
      </c>
      <c r="AZ370" s="1">
        <v>0</v>
      </c>
      <c r="GX370" s="1">
        <v>0</v>
      </c>
      <c r="GY370" s="1">
        <v>0</v>
      </c>
      <c r="GZ370" s="1" t="s">
        <v>449</v>
      </c>
      <c r="HA370" s="1">
        <v>0</v>
      </c>
      <c r="HD370" s="1">
        <v>0</v>
      </c>
      <c r="HF370" s="1">
        <v>0</v>
      </c>
      <c r="HG370" s="1">
        <v>0</v>
      </c>
      <c r="HH370" s="1">
        <v>0</v>
      </c>
      <c r="HI370" s="1">
        <v>0</v>
      </c>
      <c r="HJ370" s="1">
        <v>0</v>
      </c>
      <c r="HK370" s="1" t="b">
        <v>0</v>
      </c>
      <c r="HM370" s="1">
        <v>0</v>
      </c>
      <c r="HO370" s="1" t="s">
        <v>360</v>
      </c>
      <c r="HP370" s="1">
        <v>0</v>
      </c>
      <c r="HQ370" s="1">
        <v>0</v>
      </c>
      <c r="HR370" s="1">
        <v>0</v>
      </c>
    </row>
    <row r="371" spans="2:226">
      <c r="B371" s="1">
        <f>10000000+INDEX(编号表!$B$1:$B$112,MATCH(D371,编号表!$A$1:$A$112,0))*10000+I371</f>
        <v>10590009</v>
      </c>
      <c r="C371" s="1" t="s">
        <v>474</v>
      </c>
      <c r="D371" s="1" t="s">
        <v>474</v>
      </c>
      <c r="E371" s="1" t="s">
        <v>469</v>
      </c>
      <c r="F371" s="1" t="s">
        <v>470</v>
      </c>
      <c r="G371" s="1">
        <v>1</v>
      </c>
      <c r="H371" s="1" t="b">
        <v>0</v>
      </c>
      <c r="I371" s="1">
        <v>9</v>
      </c>
      <c r="J371" s="1">
        <v>105900</v>
      </c>
      <c r="K371" s="1" t="s">
        <v>350</v>
      </c>
      <c r="L371" s="1">
        <v>10590008</v>
      </c>
      <c r="M371" s="1">
        <v>10590010</v>
      </c>
      <c r="N371" s="1" t="s">
        <v>475</v>
      </c>
      <c r="O371" s="1">
        <v>10902002</v>
      </c>
      <c r="P371" s="1">
        <v>0</v>
      </c>
      <c r="Q371" s="1">
        <v>0</v>
      </c>
      <c r="R371" s="1">
        <v>1</v>
      </c>
      <c r="T371" s="1">
        <v>100</v>
      </c>
      <c r="AY371" s="1" t="s">
        <v>449</v>
      </c>
      <c r="AZ371" s="1">
        <v>0</v>
      </c>
      <c r="GX371" s="1">
        <v>0</v>
      </c>
      <c r="GY371" s="1">
        <v>0</v>
      </c>
      <c r="GZ371" s="1" t="s">
        <v>449</v>
      </c>
      <c r="HA371" s="1">
        <v>0</v>
      </c>
      <c r="HD371" s="1">
        <v>0</v>
      </c>
      <c r="HF371" s="1">
        <v>0</v>
      </c>
      <c r="HG371" s="1">
        <v>0</v>
      </c>
      <c r="HH371" s="1">
        <v>0</v>
      </c>
      <c r="HI371" s="1">
        <v>0</v>
      </c>
      <c r="HJ371" s="1">
        <v>0</v>
      </c>
      <c r="HK371" s="1" t="b">
        <v>0</v>
      </c>
      <c r="HM371" s="1">
        <v>0</v>
      </c>
      <c r="HO371" s="1" t="s">
        <v>360</v>
      </c>
      <c r="HP371" s="1">
        <v>0</v>
      </c>
      <c r="HQ371" s="1">
        <v>0</v>
      </c>
      <c r="HR371" s="1">
        <v>0</v>
      </c>
    </row>
    <row r="372" spans="2:226">
      <c r="B372" s="1">
        <f>10000000+INDEX(编号表!$B$1:$B$112,MATCH(D372,编号表!$A$1:$A$112,0))*10000+I372</f>
        <v>10590010</v>
      </c>
      <c r="C372" s="1" t="s">
        <v>474</v>
      </c>
      <c r="D372" s="1" t="s">
        <v>474</v>
      </c>
      <c r="E372" s="1" t="s">
        <v>469</v>
      </c>
      <c r="F372" s="1" t="s">
        <v>470</v>
      </c>
      <c r="G372" s="1">
        <v>1</v>
      </c>
      <c r="H372" s="1" t="b">
        <v>0</v>
      </c>
      <c r="I372" s="1">
        <v>10</v>
      </c>
      <c r="J372" s="1">
        <v>105900</v>
      </c>
      <c r="K372" s="1" t="s">
        <v>350</v>
      </c>
      <c r="L372" s="1">
        <v>10590009</v>
      </c>
      <c r="N372" s="1" t="s">
        <v>475</v>
      </c>
      <c r="O372" s="1">
        <v>10902002</v>
      </c>
      <c r="P372" s="1">
        <v>0</v>
      </c>
      <c r="Q372" s="1">
        <v>0</v>
      </c>
      <c r="R372" s="1">
        <v>1</v>
      </c>
      <c r="T372" s="1">
        <v>100</v>
      </c>
      <c r="AY372" s="1" t="s">
        <v>449</v>
      </c>
      <c r="AZ372" s="1">
        <v>0</v>
      </c>
      <c r="GX372" s="1">
        <v>0</v>
      </c>
      <c r="GY372" s="1">
        <v>0</v>
      </c>
      <c r="GZ372" s="1" t="s">
        <v>449</v>
      </c>
      <c r="HA372" s="1">
        <v>0</v>
      </c>
      <c r="HD372" s="1">
        <v>0</v>
      </c>
      <c r="HF372" s="1">
        <v>0</v>
      </c>
      <c r="HG372" s="1">
        <v>0</v>
      </c>
      <c r="HH372" s="1">
        <v>0</v>
      </c>
      <c r="HI372" s="1">
        <v>0</v>
      </c>
      <c r="HJ372" s="1">
        <v>0</v>
      </c>
      <c r="HK372" s="1" t="b">
        <v>0</v>
      </c>
      <c r="HM372" s="1">
        <v>0</v>
      </c>
      <c r="HO372" s="1" t="s">
        <v>360</v>
      </c>
      <c r="HP372" s="1">
        <v>0</v>
      </c>
      <c r="HQ372" s="1">
        <v>0</v>
      </c>
      <c r="HR372" s="1">
        <v>0</v>
      </c>
    </row>
    <row r="373" spans="2:226">
      <c r="B373" s="1">
        <f>10000000+INDEX(编号表!$B$1:$B$112,MATCH(D373,编号表!$A$1:$A$112,0))*10000+I373</f>
        <v>10600001</v>
      </c>
      <c r="C373" s="1" t="s">
        <v>476</v>
      </c>
      <c r="D373" s="1" t="s">
        <v>476</v>
      </c>
      <c r="E373" s="1" t="s">
        <v>469</v>
      </c>
      <c r="F373" s="1" t="s">
        <v>470</v>
      </c>
      <c r="G373" s="1">
        <v>1</v>
      </c>
      <c r="H373" s="1" t="b">
        <v>0</v>
      </c>
      <c r="I373" s="1">
        <v>1</v>
      </c>
      <c r="J373" s="1">
        <v>106000</v>
      </c>
      <c r="K373" s="1" t="s">
        <v>350</v>
      </c>
      <c r="M373" s="1">
        <v>10600002</v>
      </c>
      <c r="N373" s="1" t="s">
        <v>477</v>
      </c>
      <c r="O373" s="1">
        <v>10902003</v>
      </c>
      <c r="P373" s="1">
        <v>0</v>
      </c>
      <c r="Q373" s="1">
        <v>0</v>
      </c>
      <c r="R373" s="1">
        <v>1</v>
      </c>
      <c r="T373" s="1">
        <v>100</v>
      </c>
      <c r="AY373" s="1" t="s">
        <v>449</v>
      </c>
      <c r="AZ373" s="1">
        <v>0</v>
      </c>
      <c r="GX373" s="1">
        <v>0</v>
      </c>
      <c r="GY373" s="1">
        <v>0</v>
      </c>
      <c r="GZ373" s="1" t="s">
        <v>449</v>
      </c>
      <c r="HA373" s="1">
        <v>0</v>
      </c>
      <c r="HD373" s="1">
        <v>0</v>
      </c>
      <c r="HF373" s="1">
        <v>0</v>
      </c>
      <c r="HG373" s="1">
        <v>0</v>
      </c>
      <c r="HH373" s="1">
        <v>0</v>
      </c>
      <c r="HI373" s="1">
        <v>0</v>
      </c>
      <c r="HJ373" s="1">
        <v>0</v>
      </c>
      <c r="HK373" s="1" t="b">
        <v>0</v>
      </c>
      <c r="HM373" s="1">
        <v>0</v>
      </c>
      <c r="HO373" s="1" t="s">
        <v>360</v>
      </c>
      <c r="HP373" s="1">
        <v>0</v>
      </c>
      <c r="HQ373" s="1">
        <v>0</v>
      </c>
      <c r="HR373" s="1">
        <v>0</v>
      </c>
    </row>
    <row r="374" spans="2:226">
      <c r="B374" s="1">
        <f>10000000+INDEX(编号表!$B$1:$B$112,MATCH(D374,编号表!$A$1:$A$112,0))*10000+I374</f>
        <v>10600002</v>
      </c>
      <c r="C374" s="1" t="s">
        <v>476</v>
      </c>
      <c r="D374" s="1" t="s">
        <v>476</v>
      </c>
      <c r="E374" s="1" t="s">
        <v>469</v>
      </c>
      <c r="F374" s="1" t="s">
        <v>470</v>
      </c>
      <c r="G374" s="1">
        <v>1</v>
      </c>
      <c r="H374" s="1" t="b">
        <v>0</v>
      </c>
      <c r="I374" s="1">
        <v>2</v>
      </c>
      <c r="J374" s="1">
        <v>106000</v>
      </c>
      <c r="K374" s="1" t="s">
        <v>350</v>
      </c>
      <c r="L374" s="1">
        <v>10600001</v>
      </c>
      <c r="M374" s="1">
        <v>10600003</v>
      </c>
      <c r="N374" s="1" t="s">
        <v>477</v>
      </c>
      <c r="O374" s="1">
        <v>10902003</v>
      </c>
      <c r="P374" s="1">
        <v>0</v>
      </c>
      <c r="Q374" s="1">
        <v>0</v>
      </c>
      <c r="R374" s="1">
        <v>1</v>
      </c>
      <c r="T374" s="1">
        <v>100</v>
      </c>
      <c r="AY374" s="1" t="s">
        <v>449</v>
      </c>
      <c r="AZ374" s="1">
        <v>0</v>
      </c>
      <c r="GX374" s="1">
        <v>0</v>
      </c>
      <c r="GY374" s="1">
        <v>0</v>
      </c>
      <c r="GZ374" s="1" t="s">
        <v>449</v>
      </c>
      <c r="HA374" s="1">
        <v>0</v>
      </c>
      <c r="HD374" s="1">
        <v>0</v>
      </c>
      <c r="HF374" s="1">
        <v>0</v>
      </c>
      <c r="HG374" s="1">
        <v>0</v>
      </c>
      <c r="HH374" s="1">
        <v>0</v>
      </c>
      <c r="HI374" s="1">
        <v>0</v>
      </c>
      <c r="HJ374" s="1">
        <v>0</v>
      </c>
      <c r="HK374" s="1" t="b">
        <v>0</v>
      </c>
      <c r="HM374" s="1">
        <v>0</v>
      </c>
      <c r="HO374" s="1" t="s">
        <v>360</v>
      </c>
      <c r="HP374" s="1">
        <v>0</v>
      </c>
      <c r="HQ374" s="1">
        <v>0</v>
      </c>
      <c r="HR374" s="1">
        <v>0</v>
      </c>
    </row>
    <row r="375" spans="2:226">
      <c r="B375" s="1">
        <f>10000000+INDEX(编号表!$B$1:$B$112,MATCH(D375,编号表!$A$1:$A$112,0))*10000+I375</f>
        <v>10600003</v>
      </c>
      <c r="C375" s="1" t="s">
        <v>476</v>
      </c>
      <c r="D375" s="1" t="s">
        <v>476</v>
      </c>
      <c r="E375" s="1" t="s">
        <v>469</v>
      </c>
      <c r="F375" s="1" t="s">
        <v>470</v>
      </c>
      <c r="G375" s="1">
        <v>1</v>
      </c>
      <c r="H375" s="1" t="b">
        <v>0</v>
      </c>
      <c r="I375" s="1">
        <v>3</v>
      </c>
      <c r="J375" s="1">
        <v>106000</v>
      </c>
      <c r="K375" s="1" t="s">
        <v>350</v>
      </c>
      <c r="L375" s="1">
        <v>10600002</v>
      </c>
      <c r="M375" s="1">
        <v>10600004</v>
      </c>
      <c r="N375" s="1" t="s">
        <v>477</v>
      </c>
      <c r="O375" s="1">
        <v>10902003</v>
      </c>
      <c r="P375" s="1">
        <v>0</v>
      </c>
      <c r="Q375" s="1">
        <v>0</v>
      </c>
      <c r="R375" s="1">
        <v>1</v>
      </c>
      <c r="T375" s="1">
        <v>100</v>
      </c>
      <c r="AY375" s="1" t="s">
        <v>449</v>
      </c>
      <c r="AZ375" s="1">
        <v>0</v>
      </c>
      <c r="GX375" s="1">
        <v>0</v>
      </c>
      <c r="GY375" s="1">
        <v>0</v>
      </c>
      <c r="GZ375" s="1" t="s">
        <v>449</v>
      </c>
      <c r="HA375" s="1">
        <v>0</v>
      </c>
      <c r="HD375" s="1">
        <v>0</v>
      </c>
      <c r="HF375" s="1">
        <v>0</v>
      </c>
      <c r="HG375" s="1">
        <v>0</v>
      </c>
      <c r="HH375" s="1">
        <v>0</v>
      </c>
      <c r="HI375" s="1">
        <v>0</v>
      </c>
      <c r="HJ375" s="1">
        <v>0</v>
      </c>
      <c r="HK375" s="1" t="b">
        <v>0</v>
      </c>
      <c r="HM375" s="1">
        <v>0</v>
      </c>
      <c r="HO375" s="1" t="s">
        <v>360</v>
      </c>
      <c r="HP375" s="1">
        <v>0</v>
      </c>
      <c r="HQ375" s="1">
        <v>0</v>
      </c>
      <c r="HR375" s="1">
        <v>0</v>
      </c>
    </row>
    <row r="376" spans="2:226">
      <c r="B376" s="1">
        <f>10000000+INDEX(编号表!$B$1:$B$112,MATCH(D376,编号表!$A$1:$A$112,0))*10000+I376</f>
        <v>10600004</v>
      </c>
      <c r="C376" s="1" t="s">
        <v>476</v>
      </c>
      <c r="D376" s="1" t="s">
        <v>476</v>
      </c>
      <c r="E376" s="1" t="s">
        <v>469</v>
      </c>
      <c r="F376" s="1" t="s">
        <v>470</v>
      </c>
      <c r="G376" s="1">
        <v>1</v>
      </c>
      <c r="H376" s="1" t="b">
        <v>0</v>
      </c>
      <c r="I376" s="1">
        <v>4</v>
      </c>
      <c r="J376" s="1">
        <v>106000</v>
      </c>
      <c r="K376" s="1" t="s">
        <v>350</v>
      </c>
      <c r="L376" s="1">
        <v>10600003</v>
      </c>
      <c r="M376" s="1">
        <v>10600005</v>
      </c>
      <c r="N376" s="1" t="s">
        <v>477</v>
      </c>
      <c r="O376" s="1">
        <v>10902003</v>
      </c>
      <c r="P376" s="1">
        <v>0</v>
      </c>
      <c r="Q376" s="1">
        <v>0</v>
      </c>
      <c r="R376" s="1">
        <v>1</v>
      </c>
      <c r="T376" s="1">
        <v>100</v>
      </c>
      <c r="AY376" s="1" t="s">
        <v>449</v>
      </c>
      <c r="AZ376" s="1">
        <v>0</v>
      </c>
      <c r="GX376" s="1">
        <v>0</v>
      </c>
      <c r="GY376" s="1">
        <v>0</v>
      </c>
      <c r="GZ376" s="1" t="s">
        <v>449</v>
      </c>
      <c r="HA376" s="1">
        <v>0</v>
      </c>
      <c r="HD376" s="1">
        <v>0</v>
      </c>
      <c r="HF376" s="1">
        <v>0</v>
      </c>
      <c r="HG376" s="1">
        <v>0</v>
      </c>
      <c r="HH376" s="1">
        <v>0</v>
      </c>
      <c r="HI376" s="1">
        <v>0</v>
      </c>
      <c r="HJ376" s="1">
        <v>0</v>
      </c>
      <c r="HK376" s="1" t="b">
        <v>0</v>
      </c>
      <c r="HM376" s="1">
        <v>0</v>
      </c>
      <c r="HO376" s="1" t="s">
        <v>360</v>
      </c>
      <c r="HP376" s="1">
        <v>0</v>
      </c>
      <c r="HQ376" s="1">
        <v>0</v>
      </c>
      <c r="HR376" s="1">
        <v>0</v>
      </c>
    </row>
    <row r="377" spans="2:226">
      <c r="B377" s="1">
        <f>10000000+INDEX(编号表!$B$1:$B$112,MATCH(D377,编号表!$A$1:$A$112,0))*10000+I377</f>
        <v>10600005</v>
      </c>
      <c r="C377" s="1" t="s">
        <v>476</v>
      </c>
      <c r="D377" s="1" t="s">
        <v>476</v>
      </c>
      <c r="E377" s="1" t="s">
        <v>469</v>
      </c>
      <c r="F377" s="1" t="s">
        <v>470</v>
      </c>
      <c r="G377" s="1">
        <v>1</v>
      </c>
      <c r="H377" s="1" t="b">
        <v>0</v>
      </c>
      <c r="I377" s="1">
        <v>5</v>
      </c>
      <c r="J377" s="1">
        <v>106000</v>
      </c>
      <c r="K377" s="1" t="s">
        <v>350</v>
      </c>
      <c r="L377" s="1">
        <v>10600004</v>
      </c>
      <c r="M377" s="1">
        <v>10600006</v>
      </c>
      <c r="N377" s="1" t="s">
        <v>477</v>
      </c>
      <c r="O377" s="1">
        <v>10902003</v>
      </c>
      <c r="P377" s="1">
        <v>0</v>
      </c>
      <c r="Q377" s="1">
        <v>0</v>
      </c>
      <c r="R377" s="1">
        <v>1</v>
      </c>
      <c r="T377" s="1">
        <v>100</v>
      </c>
      <c r="AY377" s="1" t="s">
        <v>449</v>
      </c>
      <c r="AZ377" s="1">
        <v>0</v>
      </c>
      <c r="GX377" s="1">
        <v>0</v>
      </c>
      <c r="GY377" s="1">
        <v>0</v>
      </c>
      <c r="GZ377" s="1" t="s">
        <v>449</v>
      </c>
      <c r="HA377" s="1">
        <v>0</v>
      </c>
      <c r="HD377" s="1">
        <v>0</v>
      </c>
      <c r="HF377" s="1">
        <v>0</v>
      </c>
      <c r="HG377" s="1">
        <v>0</v>
      </c>
      <c r="HH377" s="1">
        <v>0</v>
      </c>
      <c r="HI377" s="1">
        <v>0</v>
      </c>
      <c r="HJ377" s="1">
        <v>0</v>
      </c>
      <c r="HK377" s="1" t="b">
        <v>0</v>
      </c>
      <c r="HM377" s="1">
        <v>0</v>
      </c>
      <c r="HO377" s="1" t="s">
        <v>360</v>
      </c>
      <c r="HP377" s="1">
        <v>0</v>
      </c>
      <c r="HQ377" s="1">
        <v>0</v>
      </c>
      <c r="HR377" s="1">
        <v>0</v>
      </c>
    </row>
    <row r="378" spans="2:226">
      <c r="B378" s="1">
        <f>10000000+INDEX(编号表!$B$1:$B$112,MATCH(D378,编号表!$A$1:$A$112,0))*10000+I378</f>
        <v>10600006</v>
      </c>
      <c r="C378" s="1" t="s">
        <v>476</v>
      </c>
      <c r="D378" s="1" t="s">
        <v>476</v>
      </c>
      <c r="E378" s="1" t="s">
        <v>469</v>
      </c>
      <c r="F378" s="1" t="s">
        <v>470</v>
      </c>
      <c r="G378" s="1">
        <v>1</v>
      </c>
      <c r="H378" s="1" t="b">
        <v>0</v>
      </c>
      <c r="I378" s="1">
        <v>6</v>
      </c>
      <c r="J378" s="1">
        <v>106000</v>
      </c>
      <c r="K378" s="1" t="s">
        <v>350</v>
      </c>
      <c r="L378" s="1">
        <v>10600005</v>
      </c>
      <c r="M378" s="1">
        <v>10600007</v>
      </c>
      <c r="N378" s="1" t="s">
        <v>477</v>
      </c>
      <c r="O378" s="1">
        <v>10902003</v>
      </c>
      <c r="P378" s="1">
        <v>0</v>
      </c>
      <c r="Q378" s="1">
        <v>0</v>
      </c>
      <c r="R378" s="1">
        <v>1</v>
      </c>
      <c r="T378" s="1">
        <v>100</v>
      </c>
      <c r="AY378" s="1" t="s">
        <v>449</v>
      </c>
      <c r="AZ378" s="1">
        <v>0</v>
      </c>
      <c r="GX378" s="1">
        <v>0</v>
      </c>
      <c r="GY378" s="1">
        <v>0</v>
      </c>
      <c r="GZ378" s="1" t="s">
        <v>449</v>
      </c>
      <c r="HA378" s="1">
        <v>0</v>
      </c>
      <c r="HD378" s="1">
        <v>0</v>
      </c>
      <c r="HF378" s="1">
        <v>0</v>
      </c>
      <c r="HG378" s="1">
        <v>0</v>
      </c>
      <c r="HH378" s="1">
        <v>0</v>
      </c>
      <c r="HI378" s="1">
        <v>0</v>
      </c>
      <c r="HJ378" s="1">
        <v>0</v>
      </c>
      <c r="HK378" s="1" t="b">
        <v>0</v>
      </c>
      <c r="HM378" s="1">
        <v>0</v>
      </c>
      <c r="HO378" s="1" t="s">
        <v>360</v>
      </c>
      <c r="HP378" s="1">
        <v>0</v>
      </c>
      <c r="HQ378" s="1">
        <v>0</v>
      </c>
      <c r="HR378" s="1">
        <v>0</v>
      </c>
    </row>
    <row r="379" spans="2:226">
      <c r="B379" s="1">
        <f>10000000+INDEX(编号表!$B$1:$B$112,MATCH(D379,编号表!$A$1:$A$112,0))*10000+I379</f>
        <v>10600007</v>
      </c>
      <c r="C379" s="1" t="s">
        <v>476</v>
      </c>
      <c r="D379" s="1" t="s">
        <v>476</v>
      </c>
      <c r="E379" s="1" t="s">
        <v>469</v>
      </c>
      <c r="F379" s="1" t="s">
        <v>470</v>
      </c>
      <c r="G379" s="1">
        <v>1</v>
      </c>
      <c r="H379" s="1" t="b">
        <v>0</v>
      </c>
      <c r="I379" s="1">
        <v>7</v>
      </c>
      <c r="J379" s="1">
        <v>106000</v>
      </c>
      <c r="K379" s="1" t="s">
        <v>350</v>
      </c>
      <c r="L379" s="1">
        <v>10600006</v>
      </c>
      <c r="M379" s="1">
        <v>10600008</v>
      </c>
      <c r="N379" s="1" t="s">
        <v>477</v>
      </c>
      <c r="O379" s="1">
        <v>10902003</v>
      </c>
      <c r="P379" s="1">
        <v>0</v>
      </c>
      <c r="Q379" s="1">
        <v>0</v>
      </c>
      <c r="R379" s="1">
        <v>1</v>
      </c>
      <c r="T379" s="1">
        <v>100</v>
      </c>
      <c r="AY379" s="1" t="s">
        <v>449</v>
      </c>
      <c r="AZ379" s="1">
        <v>0</v>
      </c>
      <c r="GX379" s="1">
        <v>0</v>
      </c>
      <c r="GY379" s="1">
        <v>0</v>
      </c>
      <c r="GZ379" s="1" t="s">
        <v>449</v>
      </c>
      <c r="HA379" s="1">
        <v>0</v>
      </c>
      <c r="HD379" s="1">
        <v>0</v>
      </c>
      <c r="HF379" s="1">
        <v>0</v>
      </c>
      <c r="HG379" s="1">
        <v>0</v>
      </c>
      <c r="HH379" s="1">
        <v>0</v>
      </c>
      <c r="HI379" s="1">
        <v>0</v>
      </c>
      <c r="HJ379" s="1">
        <v>0</v>
      </c>
      <c r="HK379" s="1" t="b">
        <v>0</v>
      </c>
      <c r="HM379" s="1">
        <v>0</v>
      </c>
      <c r="HO379" s="1" t="s">
        <v>360</v>
      </c>
      <c r="HP379" s="1">
        <v>0</v>
      </c>
      <c r="HQ379" s="1">
        <v>0</v>
      </c>
      <c r="HR379" s="1">
        <v>0</v>
      </c>
    </row>
    <row r="380" spans="2:226">
      <c r="B380" s="1">
        <f>10000000+INDEX(编号表!$B$1:$B$112,MATCH(D380,编号表!$A$1:$A$112,0))*10000+I380</f>
        <v>10600008</v>
      </c>
      <c r="C380" s="1" t="s">
        <v>476</v>
      </c>
      <c r="D380" s="1" t="s">
        <v>476</v>
      </c>
      <c r="E380" s="1" t="s">
        <v>469</v>
      </c>
      <c r="F380" s="1" t="s">
        <v>470</v>
      </c>
      <c r="G380" s="1">
        <v>1</v>
      </c>
      <c r="H380" s="1" t="b">
        <v>0</v>
      </c>
      <c r="I380" s="1">
        <v>8</v>
      </c>
      <c r="J380" s="1">
        <v>106000</v>
      </c>
      <c r="K380" s="1" t="s">
        <v>350</v>
      </c>
      <c r="L380" s="1">
        <v>10600007</v>
      </c>
      <c r="M380" s="1">
        <v>10600009</v>
      </c>
      <c r="N380" s="1" t="s">
        <v>477</v>
      </c>
      <c r="O380" s="1">
        <v>10902003</v>
      </c>
      <c r="P380" s="1">
        <v>0</v>
      </c>
      <c r="Q380" s="1">
        <v>0</v>
      </c>
      <c r="R380" s="1">
        <v>1</v>
      </c>
      <c r="T380" s="1">
        <v>100</v>
      </c>
      <c r="AY380" s="1" t="s">
        <v>449</v>
      </c>
      <c r="AZ380" s="1">
        <v>0</v>
      </c>
      <c r="GX380" s="1">
        <v>0</v>
      </c>
      <c r="GY380" s="1">
        <v>0</v>
      </c>
      <c r="GZ380" s="1" t="s">
        <v>449</v>
      </c>
      <c r="HA380" s="1">
        <v>0</v>
      </c>
      <c r="HD380" s="1">
        <v>0</v>
      </c>
      <c r="HF380" s="1">
        <v>0</v>
      </c>
      <c r="HG380" s="1">
        <v>0</v>
      </c>
      <c r="HH380" s="1">
        <v>0</v>
      </c>
      <c r="HI380" s="1">
        <v>0</v>
      </c>
      <c r="HJ380" s="1">
        <v>0</v>
      </c>
      <c r="HK380" s="1" t="b">
        <v>0</v>
      </c>
      <c r="HM380" s="1">
        <v>0</v>
      </c>
      <c r="HO380" s="1" t="s">
        <v>360</v>
      </c>
      <c r="HP380" s="1">
        <v>0</v>
      </c>
      <c r="HQ380" s="1">
        <v>0</v>
      </c>
      <c r="HR380" s="1">
        <v>0</v>
      </c>
    </row>
    <row r="381" spans="2:226">
      <c r="B381" s="1">
        <f>10000000+INDEX(编号表!$B$1:$B$112,MATCH(D381,编号表!$A$1:$A$112,0))*10000+I381</f>
        <v>10600009</v>
      </c>
      <c r="C381" s="1" t="s">
        <v>476</v>
      </c>
      <c r="D381" s="1" t="s">
        <v>476</v>
      </c>
      <c r="E381" s="1" t="s">
        <v>469</v>
      </c>
      <c r="F381" s="1" t="s">
        <v>470</v>
      </c>
      <c r="G381" s="1">
        <v>1</v>
      </c>
      <c r="H381" s="1" t="b">
        <v>0</v>
      </c>
      <c r="I381" s="1">
        <v>9</v>
      </c>
      <c r="J381" s="1">
        <v>106000</v>
      </c>
      <c r="K381" s="1" t="s">
        <v>350</v>
      </c>
      <c r="L381" s="1">
        <v>10600008</v>
      </c>
      <c r="M381" s="1">
        <v>10600010</v>
      </c>
      <c r="N381" s="1" t="s">
        <v>477</v>
      </c>
      <c r="O381" s="1">
        <v>10902003</v>
      </c>
      <c r="P381" s="1">
        <v>0</v>
      </c>
      <c r="Q381" s="1">
        <v>0</v>
      </c>
      <c r="R381" s="1">
        <v>1</v>
      </c>
      <c r="T381" s="1">
        <v>100</v>
      </c>
      <c r="AY381" s="1" t="s">
        <v>449</v>
      </c>
      <c r="AZ381" s="1">
        <v>0</v>
      </c>
      <c r="GX381" s="1">
        <v>0</v>
      </c>
      <c r="GY381" s="1">
        <v>0</v>
      </c>
      <c r="GZ381" s="1" t="s">
        <v>449</v>
      </c>
      <c r="HA381" s="1">
        <v>0</v>
      </c>
      <c r="HD381" s="1">
        <v>0</v>
      </c>
      <c r="HF381" s="1">
        <v>0</v>
      </c>
      <c r="HG381" s="1">
        <v>0</v>
      </c>
      <c r="HH381" s="1">
        <v>0</v>
      </c>
      <c r="HI381" s="1">
        <v>0</v>
      </c>
      <c r="HJ381" s="1">
        <v>0</v>
      </c>
      <c r="HK381" s="1" t="b">
        <v>0</v>
      </c>
      <c r="HM381" s="1">
        <v>0</v>
      </c>
      <c r="HO381" s="1" t="s">
        <v>360</v>
      </c>
      <c r="HP381" s="1">
        <v>0</v>
      </c>
      <c r="HQ381" s="1">
        <v>0</v>
      </c>
      <c r="HR381" s="1">
        <v>0</v>
      </c>
    </row>
    <row r="382" spans="2:226">
      <c r="B382" s="1">
        <f>10000000+INDEX(编号表!$B$1:$B$112,MATCH(D382,编号表!$A$1:$A$112,0))*10000+I382</f>
        <v>10600010</v>
      </c>
      <c r="C382" s="1" t="s">
        <v>476</v>
      </c>
      <c r="D382" s="1" t="s">
        <v>476</v>
      </c>
      <c r="E382" s="1" t="s">
        <v>469</v>
      </c>
      <c r="F382" s="1" t="s">
        <v>470</v>
      </c>
      <c r="G382" s="1">
        <v>1</v>
      </c>
      <c r="H382" s="1" t="b">
        <v>0</v>
      </c>
      <c r="I382" s="1">
        <v>10</v>
      </c>
      <c r="J382" s="1">
        <v>106000</v>
      </c>
      <c r="K382" s="1" t="s">
        <v>350</v>
      </c>
      <c r="L382" s="1">
        <v>10600009</v>
      </c>
      <c r="N382" s="1" t="s">
        <v>477</v>
      </c>
      <c r="O382" s="1">
        <v>10902003</v>
      </c>
      <c r="P382" s="1">
        <v>0</v>
      </c>
      <c r="Q382" s="1">
        <v>0</v>
      </c>
      <c r="R382" s="1">
        <v>1</v>
      </c>
      <c r="T382" s="1">
        <v>100</v>
      </c>
      <c r="AY382" s="1" t="s">
        <v>449</v>
      </c>
      <c r="AZ382" s="1">
        <v>0</v>
      </c>
      <c r="GX382" s="1">
        <v>0</v>
      </c>
      <c r="GY382" s="1">
        <v>0</v>
      </c>
      <c r="GZ382" s="1" t="s">
        <v>449</v>
      </c>
      <c r="HA382" s="1">
        <v>0</v>
      </c>
      <c r="HD382" s="1">
        <v>0</v>
      </c>
      <c r="HF382" s="1">
        <v>0</v>
      </c>
      <c r="HG382" s="1">
        <v>0</v>
      </c>
      <c r="HH382" s="1">
        <v>0</v>
      </c>
      <c r="HI382" s="1">
        <v>0</v>
      </c>
      <c r="HJ382" s="1">
        <v>0</v>
      </c>
      <c r="HK382" s="1" t="b">
        <v>0</v>
      </c>
      <c r="HM382" s="1">
        <v>0</v>
      </c>
      <c r="HO382" s="1" t="s">
        <v>360</v>
      </c>
      <c r="HP382" s="1">
        <v>0</v>
      </c>
      <c r="HQ382" s="1">
        <v>0</v>
      </c>
      <c r="HR382" s="1">
        <v>0</v>
      </c>
    </row>
    <row r="383" spans="2:226">
      <c r="B383" s="1">
        <f>10000000+INDEX(编号表!$B$1:$B$112,MATCH(D383,编号表!$A$1:$A$112,0))*10000+I383</f>
        <v>10610001</v>
      </c>
      <c r="C383" s="1" t="s">
        <v>478</v>
      </c>
      <c r="D383" s="1" t="s">
        <v>478</v>
      </c>
      <c r="E383" s="1" t="s">
        <v>469</v>
      </c>
      <c r="F383" s="1" t="s">
        <v>470</v>
      </c>
      <c r="G383" s="1">
        <v>1</v>
      </c>
      <c r="H383" s="1" t="b">
        <v>0</v>
      </c>
      <c r="I383" s="1">
        <v>1</v>
      </c>
      <c r="J383" s="1">
        <v>106100</v>
      </c>
      <c r="K383" s="1" t="s">
        <v>350</v>
      </c>
      <c r="M383" s="1">
        <v>10610002</v>
      </c>
      <c r="N383" s="1" t="s">
        <v>479</v>
      </c>
      <c r="O383" s="1">
        <v>10902004</v>
      </c>
      <c r="P383" s="1">
        <v>0</v>
      </c>
      <c r="Q383" s="1">
        <v>0</v>
      </c>
      <c r="R383" s="1">
        <v>1</v>
      </c>
      <c r="T383" s="1">
        <v>100</v>
      </c>
      <c r="AY383" s="1" t="s">
        <v>449</v>
      </c>
      <c r="AZ383" s="1">
        <v>0</v>
      </c>
      <c r="GX383" s="1">
        <v>0</v>
      </c>
      <c r="GY383" s="1">
        <v>0</v>
      </c>
      <c r="GZ383" s="1" t="s">
        <v>449</v>
      </c>
      <c r="HA383" s="1">
        <v>0</v>
      </c>
      <c r="HD383" s="1">
        <v>0</v>
      </c>
      <c r="HF383" s="1">
        <v>0</v>
      </c>
      <c r="HG383" s="1">
        <v>0</v>
      </c>
      <c r="HH383" s="1">
        <v>0</v>
      </c>
      <c r="HI383" s="1">
        <v>0</v>
      </c>
      <c r="HJ383" s="1">
        <v>0</v>
      </c>
      <c r="HK383" s="1" t="b">
        <v>0</v>
      </c>
      <c r="HM383" s="1">
        <v>0</v>
      </c>
      <c r="HO383" s="1" t="s">
        <v>360</v>
      </c>
      <c r="HP383" s="1">
        <v>0</v>
      </c>
      <c r="HQ383" s="1">
        <v>0</v>
      </c>
      <c r="HR383" s="1">
        <v>0</v>
      </c>
    </row>
    <row r="384" spans="2:226">
      <c r="B384" s="1">
        <f>10000000+INDEX(编号表!$B$1:$B$112,MATCH(D384,编号表!$A$1:$A$112,0))*10000+I384</f>
        <v>10610002</v>
      </c>
      <c r="C384" s="1" t="s">
        <v>478</v>
      </c>
      <c r="D384" s="1" t="s">
        <v>478</v>
      </c>
      <c r="E384" s="1" t="s">
        <v>469</v>
      </c>
      <c r="F384" s="1" t="s">
        <v>470</v>
      </c>
      <c r="G384" s="1">
        <v>1</v>
      </c>
      <c r="H384" s="1" t="b">
        <v>0</v>
      </c>
      <c r="I384" s="1">
        <v>2</v>
      </c>
      <c r="J384" s="1">
        <v>106100</v>
      </c>
      <c r="K384" s="1" t="s">
        <v>350</v>
      </c>
      <c r="L384" s="1">
        <v>10610001</v>
      </c>
      <c r="M384" s="1">
        <v>10610003</v>
      </c>
      <c r="N384" s="1" t="s">
        <v>479</v>
      </c>
      <c r="O384" s="1">
        <v>10902004</v>
      </c>
      <c r="P384" s="1">
        <v>0</v>
      </c>
      <c r="Q384" s="1">
        <v>0</v>
      </c>
      <c r="R384" s="1">
        <v>1</v>
      </c>
      <c r="T384" s="1">
        <v>100</v>
      </c>
      <c r="AY384" s="1" t="s">
        <v>449</v>
      </c>
      <c r="AZ384" s="1">
        <v>0</v>
      </c>
      <c r="GX384" s="1">
        <v>0</v>
      </c>
      <c r="GY384" s="1">
        <v>0</v>
      </c>
      <c r="GZ384" s="1" t="s">
        <v>449</v>
      </c>
      <c r="HA384" s="1">
        <v>0</v>
      </c>
      <c r="HD384" s="1">
        <v>0</v>
      </c>
      <c r="HF384" s="1">
        <v>0</v>
      </c>
      <c r="HG384" s="1">
        <v>0</v>
      </c>
      <c r="HH384" s="1">
        <v>0</v>
      </c>
      <c r="HI384" s="1">
        <v>0</v>
      </c>
      <c r="HJ384" s="1">
        <v>0</v>
      </c>
      <c r="HK384" s="1" t="b">
        <v>0</v>
      </c>
      <c r="HM384" s="1">
        <v>0</v>
      </c>
      <c r="HO384" s="1" t="s">
        <v>360</v>
      </c>
      <c r="HP384" s="1">
        <v>0</v>
      </c>
      <c r="HQ384" s="1">
        <v>0</v>
      </c>
      <c r="HR384" s="1">
        <v>0</v>
      </c>
    </row>
    <row r="385" spans="2:226">
      <c r="B385" s="1">
        <f>10000000+INDEX(编号表!$B$1:$B$112,MATCH(D385,编号表!$A$1:$A$112,0))*10000+I385</f>
        <v>10610003</v>
      </c>
      <c r="C385" s="1" t="s">
        <v>478</v>
      </c>
      <c r="D385" s="1" t="s">
        <v>478</v>
      </c>
      <c r="E385" s="1" t="s">
        <v>469</v>
      </c>
      <c r="F385" s="1" t="s">
        <v>470</v>
      </c>
      <c r="G385" s="1">
        <v>1</v>
      </c>
      <c r="H385" s="1" t="b">
        <v>0</v>
      </c>
      <c r="I385" s="1">
        <v>3</v>
      </c>
      <c r="J385" s="1">
        <v>106100</v>
      </c>
      <c r="K385" s="1" t="s">
        <v>350</v>
      </c>
      <c r="L385" s="1">
        <v>10610002</v>
      </c>
      <c r="M385" s="1">
        <v>10610004</v>
      </c>
      <c r="N385" s="1" t="s">
        <v>479</v>
      </c>
      <c r="O385" s="1">
        <v>10902004</v>
      </c>
      <c r="P385" s="1">
        <v>0</v>
      </c>
      <c r="Q385" s="1">
        <v>0</v>
      </c>
      <c r="R385" s="1">
        <v>1</v>
      </c>
      <c r="T385" s="1">
        <v>100</v>
      </c>
      <c r="AY385" s="1" t="s">
        <v>449</v>
      </c>
      <c r="AZ385" s="1">
        <v>0</v>
      </c>
      <c r="GX385" s="1">
        <v>0</v>
      </c>
      <c r="GY385" s="1">
        <v>0</v>
      </c>
      <c r="GZ385" s="1" t="s">
        <v>449</v>
      </c>
      <c r="HA385" s="1">
        <v>0</v>
      </c>
      <c r="HD385" s="1">
        <v>0</v>
      </c>
      <c r="HF385" s="1">
        <v>0</v>
      </c>
      <c r="HG385" s="1">
        <v>0</v>
      </c>
      <c r="HH385" s="1">
        <v>0</v>
      </c>
      <c r="HI385" s="1">
        <v>0</v>
      </c>
      <c r="HJ385" s="1">
        <v>0</v>
      </c>
      <c r="HK385" s="1" t="b">
        <v>0</v>
      </c>
      <c r="HM385" s="1">
        <v>0</v>
      </c>
      <c r="HO385" s="1" t="s">
        <v>360</v>
      </c>
      <c r="HP385" s="1">
        <v>0</v>
      </c>
      <c r="HQ385" s="1">
        <v>0</v>
      </c>
      <c r="HR385" s="1">
        <v>0</v>
      </c>
    </row>
    <row r="386" spans="2:226">
      <c r="B386" s="1">
        <f>10000000+INDEX(编号表!$B$1:$B$112,MATCH(D386,编号表!$A$1:$A$112,0))*10000+I386</f>
        <v>10610004</v>
      </c>
      <c r="C386" s="1" t="s">
        <v>478</v>
      </c>
      <c r="D386" s="1" t="s">
        <v>478</v>
      </c>
      <c r="E386" s="1" t="s">
        <v>469</v>
      </c>
      <c r="F386" s="1" t="s">
        <v>470</v>
      </c>
      <c r="G386" s="1">
        <v>1</v>
      </c>
      <c r="H386" s="1" t="b">
        <v>0</v>
      </c>
      <c r="I386" s="1">
        <v>4</v>
      </c>
      <c r="J386" s="1">
        <v>106100</v>
      </c>
      <c r="K386" s="1" t="s">
        <v>350</v>
      </c>
      <c r="L386" s="1">
        <v>10610003</v>
      </c>
      <c r="M386" s="1">
        <v>10610005</v>
      </c>
      <c r="N386" s="1" t="s">
        <v>479</v>
      </c>
      <c r="O386" s="1">
        <v>10902004</v>
      </c>
      <c r="P386" s="1">
        <v>0</v>
      </c>
      <c r="Q386" s="1">
        <v>0</v>
      </c>
      <c r="R386" s="1">
        <v>1</v>
      </c>
      <c r="T386" s="1">
        <v>100</v>
      </c>
      <c r="AY386" s="1" t="s">
        <v>449</v>
      </c>
      <c r="AZ386" s="1">
        <v>0</v>
      </c>
      <c r="GX386" s="1">
        <v>0</v>
      </c>
      <c r="GY386" s="1">
        <v>0</v>
      </c>
      <c r="GZ386" s="1" t="s">
        <v>449</v>
      </c>
      <c r="HA386" s="1">
        <v>0</v>
      </c>
      <c r="HD386" s="1">
        <v>0</v>
      </c>
      <c r="HF386" s="1">
        <v>0</v>
      </c>
      <c r="HG386" s="1">
        <v>0</v>
      </c>
      <c r="HH386" s="1">
        <v>0</v>
      </c>
      <c r="HI386" s="1">
        <v>0</v>
      </c>
      <c r="HJ386" s="1">
        <v>0</v>
      </c>
      <c r="HK386" s="1" t="b">
        <v>0</v>
      </c>
      <c r="HM386" s="1">
        <v>0</v>
      </c>
      <c r="HO386" s="1" t="s">
        <v>360</v>
      </c>
      <c r="HP386" s="1">
        <v>0</v>
      </c>
      <c r="HQ386" s="1">
        <v>0</v>
      </c>
      <c r="HR386" s="1">
        <v>0</v>
      </c>
    </row>
    <row r="387" spans="2:226">
      <c r="B387" s="1">
        <f>10000000+INDEX(编号表!$B$1:$B$112,MATCH(D387,编号表!$A$1:$A$112,0))*10000+I387</f>
        <v>10610005</v>
      </c>
      <c r="C387" s="1" t="s">
        <v>478</v>
      </c>
      <c r="D387" s="1" t="s">
        <v>478</v>
      </c>
      <c r="E387" s="1" t="s">
        <v>469</v>
      </c>
      <c r="F387" s="1" t="s">
        <v>470</v>
      </c>
      <c r="G387" s="1">
        <v>1</v>
      </c>
      <c r="H387" s="1" t="b">
        <v>0</v>
      </c>
      <c r="I387" s="1">
        <v>5</v>
      </c>
      <c r="J387" s="1">
        <v>106100</v>
      </c>
      <c r="K387" s="1" t="s">
        <v>350</v>
      </c>
      <c r="L387" s="1">
        <v>10610004</v>
      </c>
      <c r="M387" s="1">
        <v>10610006</v>
      </c>
      <c r="N387" s="1" t="s">
        <v>479</v>
      </c>
      <c r="O387" s="1">
        <v>10902004</v>
      </c>
      <c r="P387" s="1">
        <v>0</v>
      </c>
      <c r="Q387" s="1">
        <v>0</v>
      </c>
      <c r="R387" s="1">
        <v>1</v>
      </c>
      <c r="T387" s="1">
        <v>100</v>
      </c>
      <c r="AY387" s="1" t="s">
        <v>449</v>
      </c>
      <c r="AZ387" s="1">
        <v>0</v>
      </c>
      <c r="GX387" s="1">
        <v>0</v>
      </c>
      <c r="GY387" s="1">
        <v>0</v>
      </c>
      <c r="GZ387" s="1" t="s">
        <v>449</v>
      </c>
      <c r="HA387" s="1">
        <v>0</v>
      </c>
      <c r="HD387" s="1">
        <v>0</v>
      </c>
      <c r="HF387" s="1">
        <v>0</v>
      </c>
      <c r="HG387" s="1">
        <v>0</v>
      </c>
      <c r="HH387" s="1">
        <v>0</v>
      </c>
      <c r="HI387" s="1">
        <v>0</v>
      </c>
      <c r="HJ387" s="1">
        <v>0</v>
      </c>
      <c r="HK387" s="1" t="b">
        <v>0</v>
      </c>
      <c r="HM387" s="1">
        <v>0</v>
      </c>
      <c r="HO387" s="1" t="s">
        <v>360</v>
      </c>
      <c r="HP387" s="1">
        <v>0</v>
      </c>
      <c r="HQ387" s="1">
        <v>0</v>
      </c>
      <c r="HR387" s="1">
        <v>0</v>
      </c>
    </row>
    <row r="388" spans="2:226">
      <c r="B388" s="1">
        <f>10000000+INDEX(编号表!$B$1:$B$112,MATCH(D388,编号表!$A$1:$A$112,0))*10000+I388</f>
        <v>10610006</v>
      </c>
      <c r="C388" s="1" t="s">
        <v>478</v>
      </c>
      <c r="D388" s="1" t="s">
        <v>478</v>
      </c>
      <c r="E388" s="1" t="s">
        <v>469</v>
      </c>
      <c r="F388" s="1" t="s">
        <v>470</v>
      </c>
      <c r="G388" s="1">
        <v>1</v>
      </c>
      <c r="H388" s="1" t="b">
        <v>0</v>
      </c>
      <c r="I388" s="1">
        <v>6</v>
      </c>
      <c r="J388" s="1">
        <v>106100</v>
      </c>
      <c r="K388" s="1" t="s">
        <v>350</v>
      </c>
      <c r="L388" s="1">
        <v>10610005</v>
      </c>
      <c r="M388" s="1">
        <v>10610007</v>
      </c>
      <c r="N388" s="1" t="s">
        <v>479</v>
      </c>
      <c r="O388" s="1">
        <v>10902004</v>
      </c>
      <c r="P388" s="1">
        <v>0</v>
      </c>
      <c r="Q388" s="1">
        <v>0</v>
      </c>
      <c r="R388" s="1">
        <v>1</v>
      </c>
      <c r="T388" s="1">
        <v>100</v>
      </c>
      <c r="AY388" s="1" t="s">
        <v>449</v>
      </c>
      <c r="AZ388" s="1">
        <v>0</v>
      </c>
      <c r="GX388" s="1">
        <v>0</v>
      </c>
      <c r="GY388" s="1">
        <v>0</v>
      </c>
      <c r="GZ388" s="1" t="s">
        <v>449</v>
      </c>
      <c r="HA388" s="1">
        <v>0</v>
      </c>
      <c r="HD388" s="1">
        <v>0</v>
      </c>
      <c r="HF388" s="1">
        <v>0</v>
      </c>
      <c r="HG388" s="1">
        <v>0</v>
      </c>
      <c r="HH388" s="1">
        <v>0</v>
      </c>
      <c r="HI388" s="1">
        <v>0</v>
      </c>
      <c r="HJ388" s="1">
        <v>0</v>
      </c>
      <c r="HK388" s="1" t="b">
        <v>0</v>
      </c>
      <c r="HM388" s="1">
        <v>0</v>
      </c>
      <c r="HO388" s="1" t="s">
        <v>360</v>
      </c>
      <c r="HP388" s="1">
        <v>0</v>
      </c>
      <c r="HQ388" s="1">
        <v>0</v>
      </c>
      <c r="HR388" s="1">
        <v>0</v>
      </c>
    </row>
    <row r="389" spans="2:226">
      <c r="B389" s="1">
        <f>10000000+INDEX(编号表!$B$1:$B$112,MATCH(D389,编号表!$A$1:$A$112,0))*10000+I389</f>
        <v>10610007</v>
      </c>
      <c r="C389" s="1" t="s">
        <v>478</v>
      </c>
      <c r="D389" s="1" t="s">
        <v>478</v>
      </c>
      <c r="E389" s="1" t="s">
        <v>469</v>
      </c>
      <c r="F389" s="1" t="s">
        <v>470</v>
      </c>
      <c r="G389" s="1">
        <v>1</v>
      </c>
      <c r="H389" s="1" t="b">
        <v>0</v>
      </c>
      <c r="I389" s="1">
        <v>7</v>
      </c>
      <c r="J389" s="1">
        <v>106100</v>
      </c>
      <c r="K389" s="1" t="s">
        <v>350</v>
      </c>
      <c r="L389" s="1">
        <v>10610006</v>
      </c>
      <c r="M389" s="1">
        <v>10610008</v>
      </c>
      <c r="N389" s="1" t="s">
        <v>479</v>
      </c>
      <c r="O389" s="1">
        <v>10902004</v>
      </c>
      <c r="P389" s="1">
        <v>0</v>
      </c>
      <c r="Q389" s="1">
        <v>0</v>
      </c>
      <c r="R389" s="1">
        <v>1</v>
      </c>
      <c r="T389" s="1">
        <v>100</v>
      </c>
      <c r="AY389" s="1" t="s">
        <v>449</v>
      </c>
      <c r="AZ389" s="1">
        <v>0</v>
      </c>
      <c r="GX389" s="1">
        <v>0</v>
      </c>
      <c r="GY389" s="1">
        <v>0</v>
      </c>
      <c r="GZ389" s="1" t="s">
        <v>449</v>
      </c>
      <c r="HA389" s="1">
        <v>0</v>
      </c>
      <c r="HD389" s="1">
        <v>0</v>
      </c>
      <c r="HF389" s="1">
        <v>0</v>
      </c>
      <c r="HG389" s="1">
        <v>0</v>
      </c>
      <c r="HH389" s="1">
        <v>0</v>
      </c>
      <c r="HI389" s="1">
        <v>0</v>
      </c>
      <c r="HJ389" s="1">
        <v>0</v>
      </c>
      <c r="HK389" s="1" t="b">
        <v>0</v>
      </c>
      <c r="HM389" s="1">
        <v>0</v>
      </c>
      <c r="HO389" s="1" t="s">
        <v>360</v>
      </c>
      <c r="HP389" s="1">
        <v>0</v>
      </c>
      <c r="HQ389" s="1">
        <v>0</v>
      </c>
      <c r="HR389" s="1">
        <v>0</v>
      </c>
    </row>
    <row r="390" spans="2:226">
      <c r="B390" s="1">
        <f>10000000+INDEX(编号表!$B$1:$B$112,MATCH(D390,编号表!$A$1:$A$112,0))*10000+I390</f>
        <v>10610008</v>
      </c>
      <c r="C390" s="1" t="s">
        <v>478</v>
      </c>
      <c r="D390" s="1" t="s">
        <v>478</v>
      </c>
      <c r="E390" s="1" t="s">
        <v>469</v>
      </c>
      <c r="F390" s="1" t="s">
        <v>470</v>
      </c>
      <c r="G390" s="1">
        <v>1</v>
      </c>
      <c r="H390" s="1" t="b">
        <v>0</v>
      </c>
      <c r="I390" s="1">
        <v>8</v>
      </c>
      <c r="J390" s="1">
        <v>106100</v>
      </c>
      <c r="K390" s="1" t="s">
        <v>350</v>
      </c>
      <c r="L390" s="1">
        <v>10610007</v>
      </c>
      <c r="M390" s="1">
        <v>10610009</v>
      </c>
      <c r="N390" s="1" t="s">
        <v>479</v>
      </c>
      <c r="O390" s="1">
        <v>10902004</v>
      </c>
      <c r="P390" s="1">
        <v>0</v>
      </c>
      <c r="Q390" s="1">
        <v>0</v>
      </c>
      <c r="R390" s="1">
        <v>1</v>
      </c>
      <c r="T390" s="1">
        <v>100</v>
      </c>
      <c r="AY390" s="1" t="s">
        <v>449</v>
      </c>
      <c r="AZ390" s="1">
        <v>0</v>
      </c>
      <c r="GX390" s="1">
        <v>0</v>
      </c>
      <c r="GY390" s="1">
        <v>0</v>
      </c>
      <c r="GZ390" s="1" t="s">
        <v>449</v>
      </c>
      <c r="HA390" s="1">
        <v>0</v>
      </c>
      <c r="HD390" s="1">
        <v>0</v>
      </c>
      <c r="HF390" s="1">
        <v>0</v>
      </c>
      <c r="HG390" s="1">
        <v>0</v>
      </c>
      <c r="HH390" s="1">
        <v>0</v>
      </c>
      <c r="HI390" s="1">
        <v>0</v>
      </c>
      <c r="HJ390" s="1">
        <v>0</v>
      </c>
      <c r="HK390" s="1" t="b">
        <v>0</v>
      </c>
      <c r="HM390" s="1">
        <v>0</v>
      </c>
      <c r="HO390" s="1" t="s">
        <v>360</v>
      </c>
      <c r="HP390" s="1">
        <v>0</v>
      </c>
      <c r="HQ390" s="1">
        <v>0</v>
      </c>
      <c r="HR390" s="1">
        <v>0</v>
      </c>
    </row>
    <row r="391" spans="2:226">
      <c r="B391" s="1">
        <f>10000000+INDEX(编号表!$B$1:$B$112,MATCH(D391,编号表!$A$1:$A$112,0))*10000+I391</f>
        <v>10610009</v>
      </c>
      <c r="C391" s="1" t="s">
        <v>478</v>
      </c>
      <c r="D391" s="1" t="s">
        <v>478</v>
      </c>
      <c r="E391" s="1" t="s">
        <v>469</v>
      </c>
      <c r="F391" s="1" t="s">
        <v>470</v>
      </c>
      <c r="G391" s="1">
        <v>1</v>
      </c>
      <c r="H391" s="1" t="b">
        <v>0</v>
      </c>
      <c r="I391" s="1">
        <v>9</v>
      </c>
      <c r="J391" s="1">
        <v>106100</v>
      </c>
      <c r="K391" s="1" t="s">
        <v>350</v>
      </c>
      <c r="L391" s="1">
        <v>10610008</v>
      </c>
      <c r="M391" s="1">
        <v>10610010</v>
      </c>
      <c r="N391" s="1" t="s">
        <v>479</v>
      </c>
      <c r="O391" s="1">
        <v>10902004</v>
      </c>
      <c r="P391" s="1">
        <v>0</v>
      </c>
      <c r="Q391" s="1">
        <v>0</v>
      </c>
      <c r="R391" s="1">
        <v>1</v>
      </c>
      <c r="T391" s="1">
        <v>100</v>
      </c>
      <c r="AY391" s="1" t="s">
        <v>449</v>
      </c>
      <c r="AZ391" s="1">
        <v>0</v>
      </c>
      <c r="GX391" s="1">
        <v>0</v>
      </c>
      <c r="GY391" s="1">
        <v>0</v>
      </c>
      <c r="GZ391" s="1" t="s">
        <v>449</v>
      </c>
      <c r="HA391" s="1">
        <v>0</v>
      </c>
      <c r="HD391" s="1">
        <v>0</v>
      </c>
      <c r="HF391" s="1">
        <v>0</v>
      </c>
      <c r="HG391" s="1">
        <v>0</v>
      </c>
      <c r="HH391" s="1">
        <v>0</v>
      </c>
      <c r="HI391" s="1">
        <v>0</v>
      </c>
      <c r="HJ391" s="1">
        <v>0</v>
      </c>
      <c r="HK391" s="1" t="b">
        <v>0</v>
      </c>
      <c r="HM391" s="1">
        <v>0</v>
      </c>
      <c r="HO391" s="1" t="s">
        <v>360</v>
      </c>
      <c r="HP391" s="1">
        <v>0</v>
      </c>
      <c r="HQ391" s="1">
        <v>0</v>
      </c>
      <c r="HR391" s="1">
        <v>0</v>
      </c>
    </row>
    <row r="392" spans="2:226">
      <c r="B392" s="1">
        <f>10000000+INDEX(编号表!$B$1:$B$112,MATCH(D392,编号表!$A$1:$A$112,0))*10000+I392</f>
        <v>10610010</v>
      </c>
      <c r="C392" s="1" t="s">
        <v>478</v>
      </c>
      <c r="D392" s="1" t="s">
        <v>478</v>
      </c>
      <c r="E392" s="1" t="s">
        <v>469</v>
      </c>
      <c r="F392" s="1" t="s">
        <v>470</v>
      </c>
      <c r="G392" s="1">
        <v>1</v>
      </c>
      <c r="H392" s="1" t="b">
        <v>0</v>
      </c>
      <c r="I392" s="1">
        <v>10</v>
      </c>
      <c r="J392" s="1">
        <v>106100</v>
      </c>
      <c r="K392" s="1" t="s">
        <v>350</v>
      </c>
      <c r="L392" s="1">
        <v>10610009</v>
      </c>
      <c r="N392" s="1" t="s">
        <v>479</v>
      </c>
      <c r="O392" s="1">
        <v>10902004</v>
      </c>
      <c r="P392" s="1">
        <v>0</v>
      </c>
      <c r="Q392" s="1">
        <v>0</v>
      </c>
      <c r="R392" s="1">
        <v>1</v>
      </c>
      <c r="T392" s="1">
        <v>100</v>
      </c>
      <c r="AY392" s="1" t="s">
        <v>449</v>
      </c>
      <c r="AZ392" s="1">
        <v>0</v>
      </c>
      <c r="GX392" s="1">
        <v>0</v>
      </c>
      <c r="GY392" s="1">
        <v>0</v>
      </c>
      <c r="GZ392" s="1" t="s">
        <v>449</v>
      </c>
      <c r="HA392" s="1">
        <v>0</v>
      </c>
      <c r="HD392" s="1">
        <v>0</v>
      </c>
      <c r="HF392" s="1">
        <v>0</v>
      </c>
      <c r="HG392" s="1">
        <v>0</v>
      </c>
      <c r="HH392" s="1">
        <v>0</v>
      </c>
      <c r="HI392" s="1">
        <v>0</v>
      </c>
      <c r="HJ392" s="1">
        <v>0</v>
      </c>
      <c r="HK392" s="1" t="b">
        <v>0</v>
      </c>
      <c r="HM392" s="1">
        <v>0</v>
      </c>
      <c r="HO392" s="1" t="s">
        <v>360</v>
      </c>
      <c r="HP392" s="1">
        <v>0</v>
      </c>
      <c r="HQ392" s="1">
        <v>0</v>
      </c>
      <c r="HR392" s="1">
        <v>0</v>
      </c>
    </row>
    <row r="393" spans="2:226">
      <c r="B393" s="1">
        <f>10000000+INDEX(编号表!$B$1:$B$112,MATCH(D393,编号表!$A$1:$A$112,0))*10000+I393</f>
        <v>10620001</v>
      </c>
      <c r="C393" s="1" t="s">
        <v>480</v>
      </c>
      <c r="D393" s="1" t="s">
        <v>480</v>
      </c>
      <c r="E393" s="1" t="s">
        <v>469</v>
      </c>
      <c r="F393" s="1" t="s">
        <v>470</v>
      </c>
      <c r="G393" s="1">
        <v>1</v>
      </c>
      <c r="H393" s="1" t="b">
        <v>0</v>
      </c>
      <c r="I393" s="1">
        <v>1</v>
      </c>
      <c r="J393" s="1">
        <v>106200</v>
      </c>
      <c r="K393" s="1" t="s">
        <v>350</v>
      </c>
      <c r="M393" s="1">
        <v>10620002</v>
      </c>
      <c r="N393" s="1" t="s">
        <v>481</v>
      </c>
      <c r="O393" s="1">
        <v>10902005</v>
      </c>
      <c r="P393" s="1">
        <v>0</v>
      </c>
      <c r="Q393" s="1">
        <v>0</v>
      </c>
      <c r="R393" s="1">
        <v>1</v>
      </c>
      <c r="T393" s="1">
        <v>100</v>
      </c>
      <c r="AY393" s="1" t="s">
        <v>449</v>
      </c>
      <c r="AZ393" s="1">
        <v>0</v>
      </c>
      <c r="GX393" s="1">
        <v>0</v>
      </c>
      <c r="GY393" s="1">
        <v>0</v>
      </c>
      <c r="GZ393" s="1" t="s">
        <v>449</v>
      </c>
      <c r="HA393" s="1">
        <v>0</v>
      </c>
      <c r="HD393" s="1">
        <v>0</v>
      </c>
      <c r="HF393" s="1">
        <v>0</v>
      </c>
      <c r="HG393" s="1">
        <v>0</v>
      </c>
      <c r="HH393" s="1">
        <v>0</v>
      </c>
      <c r="HI393" s="1">
        <v>0</v>
      </c>
      <c r="HJ393" s="1">
        <v>0</v>
      </c>
      <c r="HK393" s="1" t="b">
        <v>0</v>
      </c>
      <c r="HM393" s="1">
        <v>0</v>
      </c>
      <c r="HO393" s="1" t="s">
        <v>360</v>
      </c>
      <c r="HP393" s="1">
        <v>0</v>
      </c>
      <c r="HQ393" s="1">
        <v>0</v>
      </c>
      <c r="HR393" s="1">
        <v>0</v>
      </c>
    </row>
    <row r="394" spans="2:226">
      <c r="B394" s="1">
        <f>10000000+INDEX(编号表!$B$1:$B$112,MATCH(D394,编号表!$A$1:$A$112,0))*10000+I394</f>
        <v>10620002</v>
      </c>
      <c r="C394" s="1" t="s">
        <v>480</v>
      </c>
      <c r="D394" s="1" t="s">
        <v>480</v>
      </c>
      <c r="E394" s="1" t="s">
        <v>469</v>
      </c>
      <c r="F394" s="1" t="s">
        <v>470</v>
      </c>
      <c r="G394" s="1">
        <v>1</v>
      </c>
      <c r="H394" s="1" t="b">
        <v>0</v>
      </c>
      <c r="I394" s="1">
        <v>2</v>
      </c>
      <c r="J394" s="1">
        <v>106200</v>
      </c>
      <c r="K394" s="1" t="s">
        <v>350</v>
      </c>
      <c r="L394" s="1">
        <v>10620001</v>
      </c>
      <c r="M394" s="1">
        <v>10620003</v>
      </c>
      <c r="N394" s="1" t="s">
        <v>481</v>
      </c>
      <c r="O394" s="1">
        <v>10902005</v>
      </c>
      <c r="P394" s="1">
        <v>0</v>
      </c>
      <c r="Q394" s="1">
        <v>0</v>
      </c>
      <c r="R394" s="1">
        <v>1</v>
      </c>
      <c r="T394" s="1">
        <v>100</v>
      </c>
      <c r="AY394" s="1" t="s">
        <v>449</v>
      </c>
      <c r="AZ394" s="1">
        <v>0</v>
      </c>
      <c r="GX394" s="1">
        <v>0</v>
      </c>
      <c r="GY394" s="1">
        <v>0</v>
      </c>
      <c r="GZ394" s="1" t="s">
        <v>449</v>
      </c>
      <c r="HA394" s="1">
        <v>0</v>
      </c>
      <c r="HD394" s="1">
        <v>0</v>
      </c>
      <c r="HF394" s="1">
        <v>0</v>
      </c>
      <c r="HG394" s="1">
        <v>0</v>
      </c>
      <c r="HH394" s="1">
        <v>0</v>
      </c>
      <c r="HI394" s="1">
        <v>0</v>
      </c>
      <c r="HJ394" s="1">
        <v>0</v>
      </c>
      <c r="HK394" s="1" t="b">
        <v>0</v>
      </c>
      <c r="HM394" s="1">
        <v>0</v>
      </c>
      <c r="HO394" s="1" t="s">
        <v>360</v>
      </c>
      <c r="HP394" s="1">
        <v>0</v>
      </c>
      <c r="HQ394" s="1">
        <v>0</v>
      </c>
      <c r="HR394" s="1">
        <v>0</v>
      </c>
    </row>
    <row r="395" spans="2:226">
      <c r="B395" s="1">
        <f>10000000+INDEX(编号表!$B$1:$B$112,MATCH(D395,编号表!$A$1:$A$112,0))*10000+I395</f>
        <v>10620003</v>
      </c>
      <c r="C395" s="1" t="s">
        <v>480</v>
      </c>
      <c r="D395" s="1" t="s">
        <v>480</v>
      </c>
      <c r="E395" s="1" t="s">
        <v>469</v>
      </c>
      <c r="F395" s="1" t="s">
        <v>470</v>
      </c>
      <c r="G395" s="1">
        <v>1</v>
      </c>
      <c r="H395" s="1" t="b">
        <v>0</v>
      </c>
      <c r="I395" s="1">
        <v>3</v>
      </c>
      <c r="J395" s="1">
        <v>106200</v>
      </c>
      <c r="K395" s="1" t="s">
        <v>350</v>
      </c>
      <c r="L395" s="1">
        <v>10620002</v>
      </c>
      <c r="M395" s="1">
        <v>10620004</v>
      </c>
      <c r="N395" s="1" t="s">
        <v>481</v>
      </c>
      <c r="O395" s="1">
        <v>10902005</v>
      </c>
      <c r="P395" s="1">
        <v>0</v>
      </c>
      <c r="Q395" s="1">
        <v>0</v>
      </c>
      <c r="R395" s="1">
        <v>1</v>
      </c>
      <c r="T395" s="1">
        <v>100</v>
      </c>
      <c r="AY395" s="1" t="s">
        <v>449</v>
      </c>
      <c r="AZ395" s="1">
        <v>0</v>
      </c>
      <c r="GX395" s="1">
        <v>0</v>
      </c>
      <c r="GY395" s="1">
        <v>0</v>
      </c>
      <c r="GZ395" s="1" t="s">
        <v>449</v>
      </c>
      <c r="HA395" s="1">
        <v>0</v>
      </c>
      <c r="HD395" s="1">
        <v>0</v>
      </c>
      <c r="HF395" s="1">
        <v>0</v>
      </c>
      <c r="HG395" s="1">
        <v>0</v>
      </c>
      <c r="HH395" s="1">
        <v>0</v>
      </c>
      <c r="HI395" s="1">
        <v>0</v>
      </c>
      <c r="HJ395" s="1">
        <v>0</v>
      </c>
      <c r="HK395" s="1" t="b">
        <v>0</v>
      </c>
      <c r="HM395" s="1">
        <v>0</v>
      </c>
      <c r="HO395" s="1" t="s">
        <v>360</v>
      </c>
      <c r="HP395" s="1">
        <v>0</v>
      </c>
      <c r="HQ395" s="1">
        <v>0</v>
      </c>
      <c r="HR395" s="1">
        <v>0</v>
      </c>
    </row>
    <row r="396" spans="2:226">
      <c r="B396" s="1">
        <f>10000000+INDEX(编号表!$B$1:$B$112,MATCH(D396,编号表!$A$1:$A$112,0))*10000+I396</f>
        <v>10620004</v>
      </c>
      <c r="C396" s="1" t="s">
        <v>480</v>
      </c>
      <c r="D396" s="1" t="s">
        <v>480</v>
      </c>
      <c r="E396" s="1" t="s">
        <v>469</v>
      </c>
      <c r="F396" s="1" t="s">
        <v>470</v>
      </c>
      <c r="G396" s="1">
        <v>1</v>
      </c>
      <c r="H396" s="1" t="b">
        <v>0</v>
      </c>
      <c r="I396" s="1">
        <v>4</v>
      </c>
      <c r="J396" s="1">
        <v>106200</v>
      </c>
      <c r="K396" s="1" t="s">
        <v>350</v>
      </c>
      <c r="L396" s="1">
        <v>10620003</v>
      </c>
      <c r="M396" s="1">
        <v>10620005</v>
      </c>
      <c r="N396" s="1" t="s">
        <v>481</v>
      </c>
      <c r="O396" s="1">
        <v>10902005</v>
      </c>
      <c r="P396" s="1">
        <v>0</v>
      </c>
      <c r="Q396" s="1">
        <v>0</v>
      </c>
      <c r="R396" s="1">
        <v>1</v>
      </c>
      <c r="T396" s="1">
        <v>100</v>
      </c>
      <c r="AY396" s="1" t="s">
        <v>449</v>
      </c>
      <c r="AZ396" s="1">
        <v>0</v>
      </c>
      <c r="GX396" s="1">
        <v>0</v>
      </c>
      <c r="GY396" s="1">
        <v>0</v>
      </c>
      <c r="GZ396" s="1" t="s">
        <v>449</v>
      </c>
      <c r="HA396" s="1">
        <v>0</v>
      </c>
      <c r="HD396" s="1">
        <v>0</v>
      </c>
      <c r="HF396" s="1">
        <v>0</v>
      </c>
      <c r="HG396" s="1">
        <v>0</v>
      </c>
      <c r="HH396" s="1">
        <v>0</v>
      </c>
      <c r="HI396" s="1">
        <v>0</v>
      </c>
      <c r="HJ396" s="1">
        <v>0</v>
      </c>
      <c r="HK396" s="1" t="b">
        <v>0</v>
      </c>
      <c r="HM396" s="1">
        <v>0</v>
      </c>
      <c r="HO396" s="1" t="s">
        <v>360</v>
      </c>
      <c r="HP396" s="1">
        <v>0</v>
      </c>
      <c r="HQ396" s="1">
        <v>0</v>
      </c>
      <c r="HR396" s="1">
        <v>0</v>
      </c>
    </row>
    <row r="397" spans="2:226">
      <c r="B397" s="1">
        <f>10000000+INDEX(编号表!$B$1:$B$112,MATCH(D397,编号表!$A$1:$A$112,0))*10000+I397</f>
        <v>10620005</v>
      </c>
      <c r="C397" s="1" t="s">
        <v>480</v>
      </c>
      <c r="D397" s="1" t="s">
        <v>480</v>
      </c>
      <c r="E397" s="1" t="s">
        <v>469</v>
      </c>
      <c r="F397" s="1" t="s">
        <v>470</v>
      </c>
      <c r="G397" s="1">
        <v>1</v>
      </c>
      <c r="H397" s="1" t="b">
        <v>0</v>
      </c>
      <c r="I397" s="1">
        <v>5</v>
      </c>
      <c r="J397" s="1">
        <v>106200</v>
      </c>
      <c r="K397" s="1" t="s">
        <v>350</v>
      </c>
      <c r="L397" s="1">
        <v>10620004</v>
      </c>
      <c r="M397" s="1">
        <v>10620006</v>
      </c>
      <c r="N397" s="1" t="s">
        <v>481</v>
      </c>
      <c r="O397" s="1">
        <v>10902005</v>
      </c>
      <c r="P397" s="1">
        <v>0</v>
      </c>
      <c r="Q397" s="1">
        <v>0</v>
      </c>
      <c r="R397" s="1">
        <v>1</v>
      </c>
      <c r="T397" s="1">
        <v>100</v>
      </c>
      <c r="AY397" s="1" t="s">
        <v>449</v>
      </c>
      <c r="AZ397" s="1">
        <v>0</v>
      </c>
      <c r="GX397" s="1">
        <v>0</v>
      </c>
      <c r="GY397" s="1">
        <v>0</v>
      </c>
      <c r="GZ397" s="1" t="s">
        <v>449</v>
      </c>
      <c r="HA397" s="1">
        <v>0</v>
      </c>
      <c r="HD397" s="1">
        <v>0</v>
      </c>
      <c r="HF397" s="1">
        <v>0</v>
      </c>
      <c r="HG397" s="1">
        <v>0</v>
      </c>
      <c r="HH397" s="1">
        <v>0</v>
      </c>
      <c r="HI397" s="1">
        <v>0</v>
      </c>
      <c r="HJ397" s="1">
        <v>0</v>
      </c>
      <c r="HK397" s="1" t="b">
        <v>0</v>
      </c>
      <c r="HM397" s="1">
        <v>0</v>
      </c>
      <c r="HO397" s="1" t="s">
        <v>360</v>
      </c>
      <c r="HP397" s="1">
        <v>0</v>
      </c>
      <c r="HQ397" s="1">
        <v>0</v>
      </c>
      <c r="HR397" s="1">
        <v>0</v>
      </c>
    </row>
    <row r="398" spans="2:226">
      <c r="B398" s="1">
        <f>10000000+INDEX(编号表!$B$1:$B$112,MATCH(D398,编号表!$A$1:$A$112,0))*10000+I398</f>
        <v>10620006</v>
      </c>
      <c r="C398" s="1" t="s">
        <v>480</v>
      </c>
      <c r="D398" s="1" t="s">
        <v>480</v>
      </c>
      <c r="E398" s="1" t="s">
        <v>469</v>
      </c>
      <c r="F398" s="1" t="s">
        <v>470</v>
      </c>
      <c r="G398" s="1">
        <v>1</v>
      </c>
      <c r="H398" s="1" t="b">
        <v>0</v>
      </c>
      <c r="I398" s="1">
        <v>6</v>
      </c>
      <c r="J398" s="1">
        <v>106200</v>
      </c>
      <c r="K398" s="1" t="s">
        <v>350</v>
      </c>
      <c r="L398" s="1">
        <v>10620005</v>
      </c>
      <c r="M398" s="1">
        <v>10620007</v>
      </c>
      <c r="N398" s="1" t="s">
        <v>481</v>
      </c>
      <c r="O398" s="1">
        <v>10902005</v>
      </c>
      <c r="P398" s="1">
        <v>0</v>
      </c>
      <c r="Q398" s="1">
        <v>0</v>
      </c>
      <c r="R398" s="1">
        <v>1</v>
      </c>
      <c r="T398" s="1">
        <v>100</v>
      </c>
      <c r="AY398" s="1" t="s">
        <v>449</v>
      </c>
      <c r="AZ398" s="1">
        <v>0</v>
      </c>
      <c r="GX398" s="1">
        <v>0</v>
      </c>
      <c r="GY398" s="1">
        <v>0</v>
      </c>
      <c r="GZ398" s="1" t="s">
        <v>449</v>
      </c>
      <c r="HA398" s="1">
        <v>0</v>
      </c>
      <c r="HD398" s="1">
        <v>0</v>
      </c>
      <c r="HF398" s="1">
        <v>0</v>
      </c>
      <c r="HG398" s="1">
        <v>0</v>
      </c>
      <c r="HH398" s="1">
        <v>0</v>
      </c>
      <c r="HI398" s="1">
        <v>0</v>
      </c>
      <c r="HJ398" s="1">
        <v>0</v>
      </c>
      <c r="HK398" s="1" t="b">
        <v>0</v>
      </c>
      <c r="HM398" s="1">
        <v>0</v>
      </c>
      <c r="HO398" s="1" t="s">
        <v>360</v>
      </c>
      <c r="HP398" s="1">
        <v>0</v>
      </c>
      <c r="HQ398" s="1">
        <v>0</v>
      </c>
      <c r="HR398" s="1">
        <v>0</v>
      </c>
    </row>
    <row r="399" spans="2:226">
      <c r="B399" s="1">
        <f>10000000+INDEX(编号表!$B$1:$B$112,MATCH(D399,编号表!$A$1:$A$112,0))*10000+I399</f>
        <v>10620007</v>
      </c>
      <c r="C399" s="1" t="s">
        <v>480</v>
      </c>
      <c r="D399" s="1" t="s">
        <v>480</v>
      </c>
      <c r="E399" s="1" t="s">
        <v>469</v>
      </c>
      <c r="F399" s="1" t="s">
        <v>470</v>
      </c>
      <c r="G399" s="1">
        <v>1</v>
      </c>
      <c r="H399" s="1" t="b">
        <v>0</v>
      </c>
      <c r="I399" s="1">
        <v>7</v>
      </c>
      <c r="J399" s="1">
        <v>106200</v>
      </c>
      <c r="K399" s="1" t="s">
        <v>350</v>
      </c>
      <c r="L399" s="1">
        <v>10620006</v>
      </c>
      <c r="M399" s="1">
        <v>10620008</v>
      </c>
      <c r="N399" s="1" t="s">
        <v>481</v>
      </c>
      <c r="O399" s="1">
        <v>10902005</v>
      </c>
      <c r="P399" s="1">
        <v>0</v>
      </c>
      <c r="Q399" s="1">
        <v>0</v>
      </c>
      <c r="R399" s="1">
        <v>1</v>
      </c>
      <c r="T399" s="1">
        <v>100</v>
      </c>
      <c r="AY399" s="1" t="s">
        <v>449</v>
      </c>
      <c r="AZ399" s="1">
        <v>0</v>
      </c>
      <c r="GX399" s="1">
        <v>0</v>
      </c>
      <c r="GY399" s="1">
        <v>0</v>
      </c>
      <c r="GZ399" s="1" t="s">
        <v>449</v>
      </c>
      <c r="HA399" s="1">
        <v>0</v>
      </c>
      <c r="HD399" s="1">
        <v>0</v>
      </c>
      <c r="HF399" s="1">
        <v>0</v>
      </c>
      <c r="HG399" s="1">
        <v>0</v>
      </c>
      <c r="HH399" s="1">
        <v>0</v>
      </c>
      <c r="HI399" s="1">
        <v>0</v>
      </c>
      <c r="HJ399" s="1">
        <v>0</v>
      </c>
      <c r="HK399" s="1" t="b">
        <v>0</v>
      </c>
      <c r="HM399" s="1">
        <v>0</v>
      </c>
      <c r="HO399" s="1" t="s">
        <v>360</v>
      </c>
      <c r="HP399" s="1">
        <v>0</v>
      </c>
      <c r="HQ399" s="1">
        <v>0</v>
      </c>
      <c r="HR399" s="1">
        <v>0</v>
      </c>
    </row>
    <row r="400" spans="2:226">
      <c r="B400" s="1">
        <f>10000000+INDEX(编号表!$B$1:$B$112,MATCH(D400,编号表!$A$1:$A$112,0))*10000+I400</f>
        <v>10620008</v>
      </c>
      <c r="C400" s="1" t="s">
        <v>480</v>
      </c>
      <c r="D400" s="1" t="s">
        <v>480</v>
      </c>
      <c r="E400" s="1" t="s">
        <v>469</v>
      </c>
      <c r="F400" s="1" t="s">
        <v>470</v>
      </c>
      <c r="G400" s="1">
        <v>1</v>
      </c>
      <c r="H400" s="1" t="b">
        <v>0</v>
      </c>
      <c r="I400" s="1">
        <v>8</v>
      </c>
      <c r="J400" s="1">
        <v>106200</v>
      </c>
      <c r="K400" s="1" t="s">
        <v>350</v>
      </c>
      <c r="L400" s="1">
        <v>10620007</v>
      </c>
      <c r="M400" s="1">
        <v>10620009</v>
      </c>
      <c r="N400" s="1" t="s">
        <v>481</v>
      </c>
      <c r="O400" s="1">
        <v>10902005</v>
      </c>
      <c r="P400" s="1">
        <v>0</v>
      </c>
      <c r="Q400" s="1">
        <v>0</v>
      </c>
      <c r="R400" s="1">
        <v>1</v>
      </c>
      <c r="T400" s="1">
        <v>100</v>
      </c>
      <c r="AY400" s="1" t="s">
        <v>449</v>
      </c>
      <c r="AZ400" s="1">
        <v>0</v>
      </c>
      <c r="GX400" s="1">
        <v>0</v>
      </c>
      <c r="GY400" s="1">
        <v>0</v>
      </c>
      <c r="GZ400" s="1" t="s">
        <v>449</v>
      </c>
      <c r="HA400" s="1">
        <v>0</v>
      </c>
      <c r="HD400" s="1">
        <v>0</v>
      </c>
      <c r="HF400" s="1">
        <v>0</v>
      </c>
      <c r="HG400" s="1">
        <v>0</v>
      </c>
      <c r="HH400" s="1">
        <v>0</v>
      </c>
      <c r="HI400" s="1">
        <v>0</v>
      </c>
      <c r="HJ400" s="1">
        <v>0</v>
      </c>
      <c r="HK400" s="1" t="b">
        <v>0</v>
      </c>
      <c r="HM400" s="1">
        <v>0</v>
      </c>
      <c r="HO400" s="1" t="s">
        <v>360</v>
      </c>
      <c r="HP400" s="1">
        <v>0</v>
      </c>
      <c r="HQ400" s="1">
        <v>0</v>
      </c>
      <c r="HR400" s="1">
        <v>0</v>
      </c>
    </row>
    <row r="401" spans="2:226">
      <c r="B401" s="1">
        <f>10000000+INDEX(编号表!$B$1:$B$112,MATCH(D401,编号表!$A$1:$A$112,0))*10000+I401</f>
        <v>10620009</v>
      </c>
      <c r="C401" s="1" t="s">
        <v>480</v>
      </c>
      <c r="D401" s="1" t="s">
        <v>480</v>
      </c>
      <c r="E401" s="1" t="s">
        <v>469</v>
      </c>
      <c r="F401" s="1" t="s">
        <v>470</v>
      </c>
      <c r="G401" s="1">
        <v>1</v>
      </c>
      <c r="H401" s="1" t="b">
        <v>0</v>
      </c>
      <c r="I401" s="1">
        <v>9</v>
      </c>
      <c r="J401" s="1">
        <v>106200</v>
      </c>
      <c r="K401" s="1" t="s">
        <v>350</v>
      </c>
      <c r="L401" s="1">
        <v>10620008</v>
      </c>
      <c r="M401" s="1">
        <v>10620010</v>
      </c>
      <c r="N401" s="1" t="s">
        <v>481</v>
      </c>
      <c r="O401" s="1">
        <v>10902005</v>
      </c>
      <c r="P401" s="1">
        <v>0</v>
      </c>
      <c r="Q401" s="1">
        <v>0</v>
      </c>
      <c r="R401" s="1">
        <v>1</v>
      </c>
      <c r="T401" s="1">
        <v>100</v>
      </c>
      <c r="AY401" s="1" t="s">
        <v>449</v>
      </c>
      <c r="AZ401" s="1">
        <v>0</v>
      </c>
      <c r="GX401" s="1">
        <v>0</v>
      </c>
      <c r="GY401" s="1">
        <v>0</v>
      </c>
      <c r="GZ401" s="1" t="s">
        <v>449</v>
      </c>
      <c r="HA401" s="1">
        <v>0</v>
      </c>
      <c r="HD401" s="1">
        <v>0</v>
      </c>
      <c r="HF401" s="1">
        <v>0</v>
      </c>
      <c r="HG401" s="1">
        <v>0</v>
      </c>
      <c r="HH401" s="1">
        <v>0</v>
      </c>
      <c r="HI401" s="1">
        <v>0</v>
      </c>
      <c r="HJ401" s="1">
        <v>0</v>
      </c>
      <c r="HK401" s="1" t="b">
        <v>0</v>
      </c>
      <c r="HM401" s="1">
        <v>0</v>
      </c>
      <c r="HO401" s="1" t="s">
        <v>360</v>
      </c>
      <c r="HP401" s="1">
        <v>0</v>
      </c>
      <c r="HQ401" s="1">
        <v>0</v>
      </c>
      <c r="HR401" s="1">
        <v>0</v>
      </c>
    </row>
    <row r="402" spans="2:226">
      <c r="B402" s="1">
        <f>10000000+INDEX(编号表!$B$1:$B$112,MATCH(D402,编号表!$A$1:$A$112,0))*10000+I402</f>
        <v>10620010</v>
      </c>
      <c r="C402" s="1" t="s">
        <v>480</v>
      </c>
      <c r="D402" s="1" t="s">
        <v>480</v>
      </c>
      <c r="E402" s="1" t="s">
        <v>469</v>
      </c>
      <c r="F402" s="1" t="s">
        <v>470</v>
      </c>
      <c r="G402" s="1">
        <v>1</v>
      </c>
      <c r="H402" s="1" t="b">
        <v>0</v>
      </c>
      <c r="I402" s="1">
        <v>10</v>
      </c>
      <c r="J402" s="1">
        <v>106200</v>
      </c>
      <c r="K402" s="1" t="s">
        <v>350</v>
      </c>
      <c r="L402" s="1">
        <v>10620009</v>
      </c>
      <c r="N402" s="1" t="s">
        <v>481</v>
      </c>
      <c r="O402" s="1">
        <v>10902005</v>
      </c>
      <c r="P402" s="1">
        <v>0</v>
      </c>
      <c r="Q402" s="1">
        <v>0</v>
      </c>
      <c r="R402" s="1">
        <v>1</v>
      </c>
      <c r="T402" s="1">
        <v>100</v>
      </c>
      <c r="AY402" s="1" t="s">
        <v>449</v>
      </c>
      <c r="AZ402" s="1">
        <v>0</v>
      </c>
      <c r="GX402" s="1">
        <v>0</v>
      </c>
      <c r="GY402" s="1">
        <v>0</v>
      </c>
      <c r="GZ402" s="1" t="s">
        <v>449</v>
      </c>
      <c r="HA402" s="1">
        <v>0</v>
      </c>
      <c r="HD402" s="1">
        <v>0</v>
      </c>
      <c r="HF402" s="1">
        <v>0</v>
      </c>
      <c r="HG402" s="1">
        <v>0</v>
      </c>
      <c r="HH402" s="1">
        <v>0</v>
      </c>
      <c r="HI402" s="1">
        <v>0</v>
      </c>
      <c r="HJ402" s="1">
        <v>0</v>
      </c>
      <c r="HK402" s="1" t="b">
        <v>0</v>
      </c>
      <c r="HM402" s="1">
        <v>0</v>
      </c>
      <c r="HO402" s="1" t="s">
        <v>360</v>
      </c>
      <c r="HP402" s="1">
        <v>0</v>
      </c>
      <c r="HQ402" s="1">
        <v>0</v>
      </c>
      <c r="HR402" s="1">
        <v>0</v>
      </c>
    </row>
    <row r="403" spans="2:226">
      <c r="B403" s="1">
        <f>10000000+INDEX(编号表!$B$1:$B$112,MATCH(D403,编号表!$A$1:$A$112,0))*10000+I403</f>
        <v>10630001</v>
      </c>
      <c r="C403" s="1" t="s">
        <v>482</v>
      </c>
      <c r="D403" s="1" t="s">
        <v>482</v>
      </c>
      <c r="E403" s="1" t="s">
        <v>469</v>
      </c>
      <c r="F403" s="1" t="s">
        <v>470</v>
      </c>
      <c r="G403" s="1">
        <v>1</v>
      </c>
      <c r="H403" s="1" t="b">
        <v>0</v>
      </c>
      <c r="I403" s="1">
        <v>1</v>
      </c>
      <c r="J403" s="1">
        <v>106300</v>
      </c>
      <c r="K403" s="1" t="s">
        <v>350</v>
      </c>
      <c r="M403" s="1">
        <v>10630002</v>
      </c>
      <c r="N403" s="1" t="s">
        <v>483</v>
      </c>
      <c r="O403" s="1">
        <v>10902006</v>
      </c>
      <c r="P403" s="1">
        <v>0</v>
      </c>
      <c r="Q403" s="1">
        <v>0</v>
      </c>
      <c r="R403" s="1">
        <v>1</v>
      </c>
      <c r="T403" s="1">
        <v>100</v>
      </c>
      <c r="AY403" s="1" t="s">
        <v>449</v>
      </c>
      <c r="AZ403" s="1">
        <v>0</v>
      </c>
      <c r="GX403" s="1">
        <v>0</v>
      </c>
      <c r="GY403" s="1">
        <v>0</v>
      </c>
      <c r="GZ403" s="1" t="s">
        <v>449</v>
      </c>
      <c r="HA403" s="1">
        <v>0</v>
      </c>
      <c r="HD403" s="1">
        <v>0</v>
      </c>
      <c r="HF403" s="1">
        <v>0</v>
      </c>
      <c r="HG403" s="1">
        <v>0</v>
      </c>
      <c r="HH403" s="1">
        <v>0</v>
      </c>
      <c r="HI403" s="1">
        <v>0</v>
      </c>
      <c r="HJ403" s="1">
        <v>0</v>
      </c>
      <c r="HK403" s="1" t="b">
        <v>0</v>
      </c>
      <c r="HM403" s="1">
        <v>0</v>
      </c>
      <c r="HO403" s="1" t="s">
        <v>360</v>
      </c>
      <c r="HP403" s="1">
        <v>0</v>
      </c>
      <c r="HQ403" s="1">
        <v>0</v>
      </c>
      <c r="HR403" s="1">
        <v>0</v>
      </c>
    </row>
    <row r="404" spans="2:226">
      <c r="B404" s="1">
        <f>10000000+INDEX(编号表!$B$1:$B$112,MATCH(D404,编号表!$A$1:$A$112,0))*10000+I404</f>
        <v>10630002</v>
      </c>
      <c r="C404" s="1" t="s">
        <v>482</v>
      </c>
      <c r="D404" s="1" t="s">
        <v>482</v>
      </c>
      <c r="E404" s="1" t="s">
        <v>469</v>
      </c>
      <c r="F404" s="1" t="s">
        <v>470</v>
      </c>
      <c r="G404" s="1">
        <v>1</v>
      </c>
      <c r="H404" s="1" t="b">
        <v>0</v>
      </c>
      <c r="I404" s="1">
        <v>2</v>
      </c>
      <c r="J404" s="1">
        <v>106300</v>
      </c>
      <c r="K404" s="1" t="s">
        <v>350</v>
      </c>
      <c r="L404" s="1">
        <v>10630001</v>
      </c>
      <c r="M404" s="1">
        <v>10630003</v>
      </c>
      <c r="N404" s="1" t="s">
        <v>483</v>
      </c>
      <c r="O404" s="1">
        <v>10902006</v>
      </c>
      <c r="P404" s="1">
        <v>0</v>
      </c>
      <c r="Q404" s="1">
        <v>0</v>
      </c>
      <c r="R404" s="1">
        <v>1</v>
      </c>
      <c r="T404" s="1">
        <v>100</v>
      </c>
      <c r="AY404" s="1" t="s">
        <v>449</v>
      </c>
      <c r="AZ404" s="1">
        <v>0</v>
      </c>
      <c r="GX404" s="1">
        <v>0</v>
      </c>
      <c r="GY404" s="1">
        <v>0</v>
      </c>
      <c r="GZ404" s="1" t="s">
        <v>449</v>
      </c>
      <c r="HA404" s="1">
        <v>0</v>
      </c>
      <c r="HD404" s="1">
        <v>0</v>
      </c>
      <c r="HF404" s="1">
        <v>0</v>
      </c>
      <c r="HG404" s="1">
        <v>0</v>
      </c>
      <c r="HH404" s="1">
        <v>0</v>
      </c>
      <c r="HI404" s="1">
        <v>0</v>
      </c>
      <c r="HJ404" s="1">
        <v>0</v>
      </c>
      <c r="HK404" s="1" t="b">
        <v>0</v>
      </c>
      <c r="HM404" s="1">
        <v>0</v>
      </c>
      <c r="HO404" s="1" t="s">
        <v>360</v>
      </c>
      <c r="HP404" s="1">
        <v>0</v>
      </c>
      <c r="HQ404" s="1">
        <v>0</v>
      </c>
      <c r="HR404" s="1">
        <v>0</v>
      </c>
    </row>
    <row r="405" spans="2:226">
      <c r="B405" s="1">
        <f>10000000+INDEX(编号表!$B$1:$B$112,MATCH(D405,编号表!$A$1:$A$112,0))*10000+I405</f>
        <v>10630003</v>
      </c>
      <c r="C405" s="1" t="s">
        <v>482</v>
      </c>
      <c r="D405" s="1" t="s">
        <v>482</v>
      </c>
      <c r="E405" s="1" t="s">
        <v>469</v>
      </c>
      <c r="F405" s="1" t="s">
        <v>470</v>
      </c>
      <c r="G405" s="1">
        <v>1</v>
      </c>
      <c r="H405" s="1" t="b">
        <v>0</v>
      </c>
      <c r="I405" s="1">
        <v>3</v>
      </c>
      <c r="J405" s="1">
        <v>106300</v>
      </c>
      <c r="K405" s="1" t="s">
        <v>350</v>
      </c>
      <c r="L405" s="1">
        <v>10630002</v>
      </c>
      <c r="M405" s="1">
        <v>10630004</v>
      </c>
      <c r="N405" s="1" t="s">
        <v>483</v>
      </c>
      <c r="O405" s="1">
        <v>10902006</v>
      </c>
      <c r="P405" s="1">
        <v>0</v>
      </c>
      <c r="Q405" s="1">
        <v>0</v>
      </c>
      <c r="R405" s="1">
        <v>1</v>
      </c>
      <c r="T405" s="1">
        <v>100</v>
      </c>
      <c r="AY405" s="1" t="s">
        <v>449</v>
      </c>
      <c r="AZ405" s="1">
        <v>0</v>
      </c>
      <c r="GX405" s="1">
        <v>0</v>
      </c>
      <c r="GY405" s="1">
        <v>0</v>
      </c>
      <c r="GZ405" s="1" t="s">
        <v>449</v>
      </c>
      <c r="HA405" s="1">
        <v>0</v>
      </c>
      <c r="HD405" s="1">
        <v>0</v>
      </c>
      <c r="HF405" s="1">
        <v>0</v>
      </c>
      <c r="HG405" s="1">
        <v>0</v>
      </c>
      <c r="HH405" s="1">
        <v>0</v>
      </c>
      <c r="HI405" s="1">
        <v>0</v>
      </c>
      <c r="HJ405" s="1">
        <v>0</v>
      </c>
      <c r="HK405" s="1" t="b">
        <v>0</v>
      </c>
      <c r="HM405" s="1">
        <v>0</v>
      </c>
      <c r="HO405" s="1" t="s">
        <v>360</v>
      </c>
      <c r="HP405" s="1">
        <v>0</v>
      </c>
      <c r="HQ405" s="1">
        <v>0</v>
      </c>
      <c r="HR405" s="1">
        <v>0</v>
      </c>
    </row>
    <row r="406" spans="2:226">
      <c r="B406" s="1">
        <f>10000000+INDEX(编号表!$B$1:$B$112,MATCH(D406,编号表!$A$1:$A$112,0))*10000+I406</f>
        <v>10630004</v>
      </c>
      <c r="C406" s="1" t="s">
        <v>482</v>
      </c>
      <c r="D406" s="1" t="s">
        <v>482</v>
      </c>
      <c r="E406" s="1" t="s">
        <v>469</v>
      </c>
      <c r="F406" s="1" t="s">
        <v>470</v>
      </c>
      <c r="G406" s="1">
        <v>1</v>
      </c>
      <c r="H406" s="1" t="b">
        <v>0</v>
      </c>
      <c r="I406" s="1">
        <v>4</v>
      </c>
      <c r="J406" s="1">
        <v>106300</v>
      </c>
      <c r="K406" s="1" t="s">
        <v>350</v>
      </c>
      <c r="L406" s="1">
        <v>10630003</v>
      </c>
      <c r="M406" s="1">
        <v>10630005</v>
      </c>
      <c r="N406" s="1" t="s">
        <v>483</v>
      </c>
      <c r="O406" s="1">
        <v>10902006</v>
      </c>
      <c r="P406" s="1">
        <v>0</v>
      </c>
      <c r="Q406" s="1">
        <v>0</v>
      </c>
      <c r="R406" s="1">
        <v>1</v>
      </c>
      <c r="T406" s="1">
        <v>100</v>
      </c>
      <c r="AY406" s="1" t="s">
        <v>449</v>
      </c>
      <c r="AZ406" s="1">
        <v>0</v>
      </c>
      <c r="GX406" s="1">
        <v>0</v>
      </c>
      <c r="GY406" s="1">
        <v>0</v>
      </c>
      <c r="GZ406" s="1" t="s">
        <v>449</v>
      </c>
      <c r="HA406" s="1">
        <v>0</v>
      </c>
      <c r="HD406" s="1">
        <v>0</v>
      </c>
      <c r="HF406" s="1">
        <v>0</v>
      </c>
      <c r="HG406" s="1">
        <v>0</v>
      </c>
      <c r="HH406" s="1">
        <v>0</v>
      </c>
      <c r="HI406" s="1">
        <v>0</v>
      </c>
      <c r="HJ406" s="1">
        <v>0</v>
      </c>
      <c r="HK406" s="1" t="b">
        <v>0</v>
      </c>
      <c r="HM406" s="1">
        <v>0</v>
      </c>
      <c r="HO406" s="1" t="s">
        <v>360</v>
      </c>
      <c r="HP406" s="1">
        <v>0</v>
      </c>
      <c r="HQ406" s="1">
        <v>0</v>
      </c>
      <c r="HR406" s="1">
        <v>0</v>
      </c>
    </row>
    <row r="407" spans="2:226">
      <c r="B407" s="1">
        <f>10000000+INDEX(编号表!$B$1:$B$112,MATCH(D407,编号表!$A$1:$A$112,0))*10000+I407</f>
        <v>10630005</v>
      </c>
      <c r="C407" s="1" t="s">
        <v>482</v>
      </c>
      <c r="D407" s="1" t="s">
        <v>482</v>
      </c>
      <c r="E407" s="1" t="s">
        <v>469</v>
      </c>
      <c r="F407" s="1" t="s">
        <v>470</v>
      </c>
      <c r="G407" s="1">
        <v>1</v>
      </c>
      <c r="H407" s="1" t="b">
        <v>0</v>
      </c>
      <c r="I407" s="1">
        <v>5</v>
      </c>
      <c r="J407" s="1">
        <v>106300</v>
      </c>
      <c r="K407" s="1" t="s">
        <v>350</v>
      </c>
      <c r="L407" s="1">
        <v>10630004</v>
      </c>
      <c r="M407" s="1">
        <v>10630006</v>
      </c>
      <c r="N407" s="1" t="s">
        <v>483</v>
      </c>
      <c r="O407" s="1">
        <v>10902006</v>
      </c>
      <c r="P407" s="1">
        <v>0</v>
      </c>
      <c r="Q407" s="1">
        <v>0</v>
      </c>
      <c r="R407" s="1">
        <v>1</v>
      </c>
      <c r="T407" s="1">
        <v>100</v>
      </c>
      <c r="AY407" s="1" t="s">
        <v>449</v>
      </c>
      <c r="AZ407" s="1">
        <v>0</v>
      </c>
      <c r="GX407" s="1">
        <v>0</v>
      </c>
      <c r="GY407" s="1">
        <v>0</v>
      </c>
      <c r="GZ407" s="1" t="s">
        <v>449</v>
      </c>
      <c r="HA407" s="1">
        <v>0</v>
      </c>
      <c r="HD407" s="1">
        <v>0</v>
      </c>
      <c r="HF407" s="1">
        <v>0</v>
      </c>
      <c r="HG407" s="1">
        <v>0</v>
      </c>
      <c r="HH407" s="1">
        <v>0</v>
      </c>
      <c r="HI407" s="1">
        <v>0</v>
      </c>
      <c r="HJ407" s="1">
        <v>0</v>
      </c>
      <c r="HK407" s="1" t="b">
        <v>0</v>
      </c>
      <c r="HM407" s="1">
        <v>0</v>
      </c>
      <c r="HO407" s="1" t="s">
        <v>360</v>
      </c>
      <c r="HP407" s="1">
        <v>0</v>
      </c>
      <c r="HQ407" s="1">
        <v>0</v>
      </c>
      <c r="HR407" s="1">
        <v>0</v>
      </c>
    </row>
    <row r="408" spans="2:226">
      <c r="B408" s="1">
        <f>10000000+INDEX(编号表!$B$1:$B$112,MATCH(D408,编号表!$A$1:$A$112,0))*10000+I408</f>
        <v>10630006</v>
      </c>
      <c r="C408" s="1" t="s">
        <v>482</v>
      </c>
      <c r="D408" s="1" t="s">
        <v>482</v>
      </c>
      <c r="E408" s="1" t="s">
        <v>469</v>
      </c>
      <c r="F408" s="1" t="s">
        <v>470</v>
      </c>
      <c r="G408" s="1">
        <v>1</v>
      </c>
      <c r="H408" s="1" t="b">
        <v>0</v>
      </c>
      <c r="I408" s="1">
        <v>6</v>
      </c>
      <c r="J408" s="1">
        <v>106300</v>
      </c>
      <c r="K408" s="1" t="s">
        <v>350</v>
      </c>
      <c r="L408" s="1">
        <v>10630005</v>
      </c>
      <c r="M408" s="1">
        <v>10630007</v>
      </c>
      <c r="N408" s="1" t="s">
        <v>483</v>
      </c>
      <c r="O408" s="1">
        <v>10902006</v>
      </c>
      <c r="P408" s="1">
        <v>0</v>
      </c>
      <c r="Q408" s="1">
        <v>0</v>
      </c>
      <c r="R408" s="1">
        <v>1</v>
      </c>
      <c r="T408" s="1">
        <v>100</v>
      </c>
      <c r="AY408" s="1" t="s">
        <v>449</v>
      </c>
      <c r="AZ408" s="1">
        <v>0</v>
      </c>
      <c r="GX408" s="1">
        <v>0</v>
      </c>
      <c r="GY408" s="1">
        <v>0</v>
      </c>
      <c r="GZ408" s="1" t="s">
        <v>449</v>
      </c>
      <c r="HA408" s="1">
        <v>0</v>
      </c>
      <c r="HD408" s="1">
        <v>0</v>
      </c>
      <c r="HF408" s="1">
        <v>0</v>
      </c>
      <c r="HG408" s="1">
        <v>0</v>
      </c>
      <c r="HH408" s="1">
        <v>0</v>
      </c>
      <c r="HI408" s="1">
        <v>0</v>
      </c>
      <c r="HJ408" s="1">
        <v>0</v>
      </c>
      <c r="HK408" s="1" t="b">
        <v>0</v>
      </c>
      <c r="HM408" s="1">
        <v>0</v>
      </c>
      <c r="HO408" s="1" t="s">
        <v>360</v>
      </c>
      <c r="HP408" s="1">
        <v>0</v>
      </c>
      <c r="HQ408" s="1">
        <v>0</v>
      </c>
      <c r="HR408" s="1">
        <v>0</v>
      </c>
    </row>
    <row r="409" spans="2:226">
      <c r="B409" s="1">
        <f>10000000+INDEX(编号表!$B$1:$B$112,MATCH(D409,编号表!$A$1:$A$112,0))*10000+I409</f>
        <v>10630007</v>
      </c>
      <c r="C409" s="1" t="s">
        <v>482</v>
      </c>
      <c r="D409" s="1" t="s">
        <v>482</v>
      </c>
      <c r="E409" s="1" t="s">
        <v>469</v>
      </c>
      <c r="F409" s="1" t="s">
        <v>470</v>
      </c>
      <c r="G409" s="1">
        <v>1</v>
      </c>
      <c r="H409" s="1" t="b">
        <v>0</v>
      </c>
      <c r="I409" s="1">
        <v>7</v>
      </c>
      <c r="J409" s="1">
        <v>106300</v>
      </c>
      <c r="K409" s="1" t="s">
        <v>350</v>
      </c>
      <c r="L409" s="1">
        <v>10630006</v>
      </c>
      <c r="M409" s="1">
        <v>10630008</v>
      </c>
      <c r="N409" s="1" t="s">
        <v>483</v>
      </c>
      <c r="O409" s="1">
        <v>10902006</v>
      </c>
      <c r="P409" s="1">
        <v>0</v>
      </c>
      <c r="Q409" s="1">
        <v>0</v>
      </c>
      <c r="R409" s="1">
        <v>1</v>
      </c>
      <c r="T409" s="1">
        <v>100</v>
      </c>
      <c r="AY409" s="1" t="s">
        <v>449</v>
      </c>
      <c r="AZ409" s="1">
        <v>0</v>
      </c>
      <c r="GX409" s="1">
        <v>0</v>
      </c>
      <c r="GY409" s="1">
        <v>0</v>
      </c>
      <c r="GZ409" s="1" t="s">
        <v>449</v>
      </c>
      <c r="HA409" s="1">
        <v>0</v>
      </c>
      <c r="HD409" s="1">
        <v>0</v>
      </c>
      <c r="HF409" s="1">
        <v>0</v>
      </c>
      <c r="HG409" s="1">
        <v>0</v>
      </c>
      <c r="HH409" s="1">
        <v>0</v>
      </c>
      <c r="HI409" s="1">
        <v>0</v>
      </c>
      <c r="HJ409" s="1">
        <v>0</v>
      </c>
      <c r="HK409" s="1" t="b">
        <v>0</v>
      </c>
      <c r="HM409" s="1">
        <v>0</v>
      </c>
      <c r="HO409" s="1" t="s">
        <v>360</v>
      </c>
      <c r="HP409" s="1">
        <v>0</v>
      </c>
      <c r="HQ409" s="1">
        <v>0</v>
      </c>
      <c r="HR409" s="1">
        <v>0</v>
      </c>
    </row>
    <row r="410" spans="2:226">
      <c r="B410" s="1">
        <f>10000000+INDEX(编号表!$B$1:$B$112,MATCH(D410,编号表!$A$1:$A$112,0))*10000+I410</f>
        <v>10630008</v>
      </c>
      <c r="C410" s="1" t="s">
        <v>482</v>
      </c>
      <c r="D410" s="1" t="s">
        <v>482</v>
      </c>
      <c r="E410" s="1" t="s">
        <v>469</v>
      </c>
      <c r="F410" s="1" t="s">
        <v>470</v>
      </c>
      <c r="G410" s="1">
        <v>1</v>
      </c>
      <c r="H410" s="1" t="b">
        <v>0</v>
      </c>
      <c r="I410" s="1">
        <v>8</v>
      </c>
      <c r="J410" s="1">
        <v>106300</v>
      </c>
      <c r="K410" s="1" t="s">
        <v>350</v>
      </c>
      <c r="L410" s="1">
        <v>10630007</v>
      </c>
      <c r="M410" s="1">
        <v>10630009</v>
      </c>
      <c r="N410" s="1" t="s">
        <v>483</v>
      </c>
      <c r="O410" s="1">
        <v>10902006</v>
      </c>
      <c r="P410" s="1">
        <v>0</v>
      </c>
      <c r="Q410" s="1">
        <v>0</v>
      </c>
      <c r="R410" s="1">
        <v>1</v>
      </c>
      <c r="T410" s="1">
        <v>100</v>
      </c>
      <c r="AY410" s="1" t="s">
        <v>449</v>
      </c>
      <c r="AZ410" s="1">
        <v>0</v>
      </c>
      <c r="GX410" s="1">
        <v>0</v>
      </c>
      <c r="GY410" s="1">
        <v>0</v>
      </c>
      <c r="GZ410" s="1" t="s">
        <v>449</v>
      </c>
      <c r="HA410" s="1">
        <v>0</v>
      </c>
      <c r="HD410" s="1">
        <v>0</v>
      </c>
      <c r="HF410" s="1">
        <v>0</v>
      </c>
      <c r="HG410" s="1">
        <v>0</v>
      </c>
      <c r="HH410" s="1">
        <v>0</v>
      </c>
      <c r="HI410" s="1">
        <v>0</v>
      </c>
      <c r="HJ410" s="1">
        <v>0</v>
      </c>
      <c r="HK410" s="1" t="b">
        <v>0</v>
      </c>
      <c r="HM410" s="1">
        <v>0</v>
      </c>
      <c r="HO410" s="1" t="s">
        <v>360</v>
      </c>
      <c r="HP410" s="1">
        <v>0</v>
      </c>
      <c r="HQ410" s="1">
        <v>0</v>
      </c>
      <c r="HR410" s="1">
        <v>0</v>
      </c>
    </row>
    <row r="411" spans="2:226">
      <c r="B411" s="1">
        <f>10000000+INDEX(编号表!$B$1:$B$112,MATCH(D411,编号表!$A$1:$A$112,0))*10000+I411</f>
        <v>10630009</v>
      </c>
      <c r="C411" s="1" t="s">
        <v>482</v>
      </c>
      <c r="D411" s="1" t="s">
        <v>482</v>
      </c>
      <c r="E411" s="1" t="s">
        <v>469</v>
      </c>
      <c r="F411" s="1" t="s">
        <v>470</v>
      </c>
      <c r="G411" s="1">
        <v>1</v>
      </c>
      <c r="H411" s="1" t="b">
        <v>0</v>
      </c>
      <c r="I411" s="1">
        <v>9</v>
      </c>
      <c r="J411" s="1">
        <v>106300</v>
      </c>
      <c r="K411" s="1" t="s">
        <v>350</v>
      </c>
      <c r="L411" s="1">
        <v>10630008</v>
      </c>
      <c r="M411" s="1">
        <v>10630010</v>
      </c>
      <c r="N411" s="1" t="s">
        <v>483</v>
      </c>
      <c r="O411" s="1">
        <v>10902006</v>
      </c>
      <c r="P411" s="1">
        <v>0</v>
      </c>
      <c r="Q411" s="1">
        <v>0</v>
      </c>
      <c r="R411" s="1">
        <v>1</v>
      </c>
      <c r="T411" s="1">
        <v>100</v>
      </c>
      <c r="AY411" s="1" t="s">
        <v>449</v>
      </c>
      <c r="AZ411" s="1">
        <v>0</v>
      </c>
      <c r="GX411" s="1">
        <v>0</v>
      </c>
      <c r="GY411" s="1">
        <v>0</v>
      </c>
      <c r="GZ411" s="1" t="s">
        <v>449</v>
      </c>
      <c r="HA411" s="1">
        <v>0</v>
      </c>
      <c r="HD411" s="1">
        <v>0</v>
      </c>
      <c r="HF411" s="1">
        <v>0</v>
      </c>
      <c r="HG411" s="1">
        <v>0</v>
      </c>
      <c r="HH411" s="1">
        <v>0</v>
      </c>
      <c r="HI411" s="1">
        <v>0</v>
      </c>
      <c r="HJ411" s="1">
        <v>0</v>
      </c>
      <c r="HK411" s="1" t="b">
        <v>0</v>
      </c>
      <c r="HM411" s="1">
        <v>0</v>
      </c>
      <c r="HO411" s="1" t="s">
        <v>360</v>
      </c>
      <c r="HP411" s="1">
        <v>0</v>
      </c>
      <c r="HQ411" s="1">
        <v>0</v>
      </c>
      <c r="HR411" s="1">
        <v>0</v>
      </c>
    </row>
    <row r="412" spans="2:226">
      <c r="B412" s="1">
        <f>10000000+INDEX(编号表!$B$1:$B$112,MATCH(D412,编号表!$A$1:$A$112,0))*10000+I412</f>
        <v>10630010</v>
      </c>
      <c r="C412" s="1" t="s">
        <v>482</v>
      </c>
      <c r="D412" s="1" t="s">
        <v>482</v>
      </c>
      <c r="E412" s="1" t="s">
        <v>469</v>
      </c>
      <c r="F412" s="1" t="s">
        <v>470</v>
      </c>
      <c r="G412" s="1">
        <v>1</v>
      </c>
      <c r="H412" s="1" t="b">
        <v>0</v>
      </c>
      <c r="I412" s="1">
        <v>10</v>
      </c>
      <c r="J412" s="1">
        <v>106300</v>
      </c>
      <c r="K412" s="1" t="s">
        <v>350</v>
      </c>
      <c r="L412" s="1">
        <v>10630009</v>
      </c>
      <c r="N412" s="1" t="s">
        <v>483</v>
      </c>
      <c r="O412" s="1">
        <v>10902006</v>
      </c>
      <c r="P412" s="1">
        <v>0</v>
      </c>
      <c r="Q412" s="1">
        <v>0</v>
      </c>
      <c r="R412" s="1">
        <v>1</v>
      </c>
      <c r="T412" s="1">
        <v>100</v>
      </c>
      <c r="AY412" s="1" t="s">
        <v>449</v>
      </c>
      <c r="AZ412" s="1">
        <v>0</v>
      </c>
      <c r="GX412" s="1">
        <v>0</v>
      </c>
      <c r="GY412" s="1">
        <v>0</v>
      </c>
      <c r="GZ412" s="1" t="s">
        <v>449</v>
      </c>
      <c r="HA412" s="1">
        <v>0</v>
      </c>
      <c r="HD412" s="1">
        <v>0</v>
      </c>
      <c r="HF412" s="1">
        <v>0</v>
      </c>
      <c r="HG412" s="1">
        <v>0</v>
      </c>
      <c r="HH412" s="1">
        <v>0</v>
      </c>
      <c r="HI412" s="1">
        <v>0</v>
      </c>
      <c r="HJ412" s="1">
        <v>0</v>
      </c>
      <c r="HK412" s="1" t="b">
        <v>0</v>
      </c>
      <c r="HM412" s="1">
        <v>0</v>
      </c>
      <c r="HO412" s="1" t="s">
        <v>360</v>
      </c>
      <c r="HP412" s="1">
        <v>0</v>
      </c>
      <c r="HQ412" s="1">
        <v>0</v>
      </c>
      <c r="HR412" s="1">
        <v>0</v>
      </c>
    </row>
    <row r="413" spans="2:226">
      <c r="B413" s="1">
        <f>10000000+INDEX(编号表!$B$1:$B$112,MATCH(D413,编号表!$A$1:$A$112,0))*10000+I413</f>
        <v>10640001</v>
      </c>
      <c r="C413" s="1" t="s">
        <v>484</v>
      </c>
      <c r="D413" s="1" t="s">
        <v>484</v>
      </c>
      <c r="E413" s="1" t="s">
        <v>469</v>
      </c>
      <c r="F413" s="1" t="s">
        <v>470</v>
      </c>
      <c r="G413" s="1">
        <v>1</v>
      </c>
      <c r="H413" s="1" t="b">
        <v>0</v>
      </c>
      <c r="I413" s="1">
        <v>1</v>
      </c>
      <c r="J413" s="1">
        <v>106400</v>
      </c>
      <c r="K413" s="1" t="s">
        <v>350</v>
      </c>
      <c r="M413" s="1">
        <v>10640002</v>
      </c>
      <c r="N413" s="1" t="s">
        <v>485</v>
      </c>
      <c r="O413" s="1">
        <v>10902007</v>
      </c>
      <c r="P413" s="1">
        <v>0</v>
      </c>
      <c r="Q413" s="1">
        <v>0</v>
      </c>
      <c r="R413" s="1">
        <v>1</v>
      </c>
      <c r="T413" s="1">
        <v>100</v>
      </c>
      <c r="AY413" s="1" t="s">
        <v>449</v>
      </c>
      <c r="AZ413" s="1">
        <v>0</v>
      </c>
      <c r="GX413" s="1">
        <v>0</v>
      </c>
      <c r="GY413" s="1">
        <v>0</v>
      </c>
      <c r="GZ413" s="1" t="s">
        <v>449</v>
      </c>
      <c r="HA413" s="1">
        <v>0</v>
      </c>
      <c r="HD413" s="1">
        <v>0</v>
      </c>
      <c r="HF413" s="1">
        <v>0</v>
      </c>
      <c r="HG413" s="1">
        <v>0</v>
      </c>
      <c r="HH413" s="1">
        <v>0</v>
      </c>
      <c r="HI413" s="1">
        <v>0</v>
      </c>
      <c r="HJ413" s="1">
        <v>0</v>
      </c>
      <c r="HK413" s="1" t="b">
        <v>0</v>
      </c>
      <c r="HM413" s="1">
        <v>0</v>
      </c>
      <c r="HO413" s="1" t="s">
        <v>360</v>
      </c>
      <c r="HP413" s="1">
        <v>0</v>
      </c>
      <c r="HQ413" s="1">
        <v>0</v>
      </c>
      <c r="HR413" s="1">
        <v>0</v>
      </c>
    </row>
    <row r="414" spans="2:226">
      <c r="B414" s="1">
        <f>10000000+INDEX(编号表!$B$1:$B$112,MATCH(D414,编号表!$A$1:$A$112,0))*10000+I414</f>
        <v>10640002</v>
      </c>
      <c r="C414" s="1" t="s">
        <v>484</v>
      </c>
      <c r="D414" s="1" t="s">
        <v>484</v>
      </c>
      <c r="E414" s="1" t="s">
        <v>469</v>
      </c>
      <c r="F414" s="1" t="s">
        <v>470</v>
      </c>
      <c r="G414" s="1">
        <v>1</v>
      </c>
      <c r="H414" s="1" t="b">
        <v>0</v>
      </c>
      <c r="I414" s="1">
        <v>2</v>
      </c>
      <c r="J414" s="1">
        <v>106400</v>
      </c>
      <c r="K414" s="1" t="s">
        <v>350</v>
      </c>
      <c r="L414" s="1">
        <v>10640001</v>
      </c>
      <c r="M414" s="1">
        <v>10640003</v>
      </c>
      <c r="N414" s="1" t="s">
        <v>485</v>
      </c>
      <c r="O414" s="1">
        <v>10902007</v>
      </c>
      <c r="P414" s="1">
        <v>0</v>
      </c>
      <c r="Q414" s="1">
        <v>0</v>
      </c>
      <c r="R414" s="1">
        <v>1</v>
      </c>
      <c r="T414" s="1">
        <v>100</v>
      </c>
      <c r="AY414" s="1" t="s">
        <v>449</v>
      </c>
      <c r="AZ414" s="1">
        <v>0</v>
      </c>
      <c r="GX414" s="1">
        <v>0</v>
      </c>
      <c r="GY414" s="1">
        <v>0</v>
      </c>
      <c r="GZ414" s="1" t="s">
        <v>449</v>
      </c>
      <c r="HA414" s="1">
        <v>0</v>
      </c>
      <c r="HD414" s="1">
        <v>0</v>
      </c>
      <c r="HF414" s="1">
        <v>0</v>
      </c>
      <c r="HG414" s="1">
        <v>0</v>
      </c>
      <c r="HH414" s="1">
        <v>0</v>
      </c>
      <c r="HI414" s="1">
        <v>0</v>
      </c>
      <c r="HJ414" s="1">
        <v>0</v>
      </c>
      <c r="HK414" s="1" t="b">
        <v>0</v>
      </c>
      <c r="HM414" s="1">
        <v>0</v>
      </c>
      <c r="HO414" s="1" t="s">
        <v>360</v>
      </c>
      <c r="HP414" s="1">
        <v>0</v>
      </c>
      <c r="HQ414" s="1">
        <v>0</v>
      </c>
      <c r="HR414" s="1">
        <v>0</v>
      </c>
    </row>
    <row r="415" spans="2:226">
      <c r="B415" s="1">
        <f>10000000+INDEX(编号表!$B$1:$B$112,MATCH(D415,编号表!$A$1:$A$112,0))*10000+I415</f>
        <v>10640003</v>
      </c>
      <c r="C415" s="1" t="s">
        <v>484</v>
      </c>
      <c r="D415" s="1" t="s">
        <v>484</v>
      </c>
      <c r="E415" s="1" t="s">
        <v>469</v>
      </c>
      <c r="F415" s="1" t="s">
        <v>470</v>
      </c>
      <c r="G415" s="1">
        <v>1</v>
      </c>
      <c r="H415" s="1" t="b">
        <v>0</v>
      </c>
      <c r="I415" s="1">
        <v>3</v>
      </c>
      <c r="J415" s="1">
        <v>106400</v>
      </c>
      <c r="K415" s="1" t="s">
        <v>350</v>
      </c>
      <c r="L415" s="1">
        <v>10640002</v>
      </c>
      <c r="M415" s="1">
        <v>10640004</v>
      </c>
      <c r="N415" s="1" t="s">
        <v>485</v>
      </c>
      <c r="O415" s="1">
        <v>10902007</v>
      </c>
      <c r="P415" s="1">
        <v>0</v>
      </c>
      <c r="Q415" s="1">
        <v>0</v>
      </c>
      <c r="R415" s="1">
        <v>1</v>
      </c>
      <c r="T415" s="1">
        <v>100</v>
      </c>
      <c r="AY415" s="1" t="s">
        <v>449</v>
      </c>
      <c r="AZ415" s="1">
        <v>0</v>
      </c>
      <c r="GX415" s="1">
        <v>0</v>
      </c>
      <c r="GY415" s="1">
        <v>0</v>
      </c>
      <c r="GZ415" s="1" t="s">
        <v>449</v>
      </c>
      <c r="HA415" s="1">
        <v>0</v>
      </c>
      <c r="HD415" s="1">
        <v>0</v>
      </c>
      <c r="HF415" s="1">
        <v>0</v>
      </c>
      <c r="HG415" s="1">
        <v>0</v>
      </c>
      <c r="HH415" s="1">
        <v>0</v>
      </c>
      <c r="HI415" s="1">
        <v>0</v>
      </c>
      <c r="HJ415" s="1">
        <v>0</v>
      </c>
      <c r="HK415" s="1" t="b">
        <v>0</v>
      </c>
      <c r="HM415" s="1">
        <v>0</v>
      </c>
      <c r="HO415" s="1" t="s">
        <v>360</v>
      </c>
      <c r="HP415" s="1">
        <v>0</v>
      </c>
      <c r="HQ415" s="1">
        <v>0</v>
      </c>
      <c r="HR415" s="1">
        <v>0</v>
      </c>
    </row>
    <row r="416" spans="2:226">
      <c r="B416" s="1">
        <f>10000000+INDEX(编号表!$B$1:$B$112,MATCH(D416,编号表!$A$1:$A$112,0))*10000+I416</f>
        <v>10640004</v>
      </c>
      <c r="C416" s="1" t="s">
        <v>484</v>
      </c>
      <c r="D416" s="1" t="s">
        <v>484</v>
      </c>
      <c r="E416" s="1" t="s">
        <v>469</v>
      </c>
      <c r="F416" s="1" t="s">
        <v>470</v>
      </c>
      <c r="G416" s="1">
        <v>1</v>
      </c>
      <c r="H416" s="1" t="b">
        <v>0</v>
      </c>
      <c r="I416" s="1">
        <v>4</v>
      </c>
      <c r="J416" s="1">
        <v>106400</v>
      </c>
      <c r="K416" s="1" t="s">
        <v>350</v>
      </c>
      <c r="L416" s="1">
        <v>10640003</v>
      </c>
      <c r="M416" s="1">
        <v>10640005</v>
      </c>
      <c r="N416" s="1" t="s">
        <v>485</v>
      </c>
      <c r="O416" s="1">
        <v>10902007</v>
      </c>
      <c r="P416" s="1">
        <v>0</v>
      </c>
      <c r="Q416" s="1">
        <v>0</v>
      </c>
      <c r="R416" s="1">
        <v>1</v>
      </c>
      <c r="T416" s="1">
        <v>100</v>
      </c>
      <c r="AY416" s="1" t="s">
        <v>449</v>
      </c>
      <c r="AZ416" s="1">
        <v>0</v>
      </c>
      <c r="GX416" s="1">
        <v>0</v>
      </c>
      <c r="GY416" s="1">
        <v>0</v>
      </c>
      <c r="GZ416" s="1" t="s">
        <v>449</v>
      </c>
      <c r="HA416" s="1">
        <v>0</v>
      </c>
      <c r="HD416" s="1">
        <v>0</v>
      </c>
      <c r="HF416" s="1">
        <v>0</v>
      </c>
      <c r="HG416" s="1">
        <v>0</v>
      </c>
      <c r="HH416" s="1">
        <v>0</v>
      </c>
      <c r="HI416" s="1">
        <v>0</v>
      </c>
      <c r="HJ416" s="1">
        <v>0</v>
      </c>
      <c r="HK416" s="1" t="b">
        <v>0</v>
      </c>
      <c r="HM416" s="1">
        <v>0</v>
      </c>
      <c r="HO416" s="1" t="s">
        <v>360</v>
      </c>
      <c r="HP416" s="1">
        <v>0</v>
      </c>
      <c r="HQ416" s="1">
        <v>0</v>
      </c>
      <c r="HR416" s="1">
        <v>0</v>
      </c>
    </row>
    <row r="417" spans="2:226">
      <c r="B417" s="1">
        <f>10000000+INDEX(编号表!$B$1:$B$112,MATCH(D417,编号表!$A$1:$A$112,0))*10000+I417</f>
        <v>10640005</v>
      </c>
      <c r="C417" s="1" t="s">
        <v>484</v>
      </c>
      <c r="D417" s="1" t="s">
        <v>484</v>
      </c>
      <c r="E417" s="1" t="s">
        <v>469</v>
      </c>
      <c r="F417" s="1" t="s">
        <v>470</v>
      </c>
      <c r="G417" s="1">
        <v>1</v>
      </c>
      <c r="H417" s="1" t="b">
        <v>0</v>
      </c>
      <c r="I417" s="1">
        <v>5</v>
      </c>
      <c r="J417" s="1">
        <v>106400</v>
      </c>
      <c r="K417" s="1" t="s">
        <v>350</v>
      </c>
      <c r="L417" s="1">
        <v>10640004</v>
      </c>
      <c r="M417" s="1">
        <v>10640006</v>
      </c>
      <c r="N417" s="1" t="s">
        <v>485</v>
      </c>
      <c r="O417" s="1">
        <v>10902007</v>
      </c>
      <c r="P417" s="1">
        <v>0</v>
      </c>
      <c r="Q417" s="1">
        <v>0</v>
      </c>
      <c r="R417" s="1">
        <v>1</v>
      </c>
      <c r="T417" s="1">
        <v>100</v>
      </c>
      <c r="AY417" s="1" t="s">
        <v>449</v>
      </c>
      <c r="AZ417" s="1">
        <v>0</v>
      </c>
      <c r="GX417" s="1">
        <v>0</v>
      </c>
      <c r="GY417" s="1">
        <v>0</v>
      </c>
      <c r="GZ417" s="1" t="s">
        <v>449</v>
      </c>
      <c r="HA417" s="1">
        <v>0</v>
      </c>
      <c r="HD417" s="1">
        <v>0</v>
      </c>
      <c r="HF417" s="1">
        <v>0</v>
      </c>
      <c r="HG417" s="1">
        <v>0</v>
      </c>
      <c r="HH417" s="1">
        <v>0</v>
      </c>
      <c r="HI417" s="1">
        <v>0</v>
      </c>
      <c r="HJ417" s="1">
        <v>0</v>
      </c>
      <c r="HK417" s="1" t="b">
        <v>0</v>
      </c>
      <c r="HM417" s="1">
        <v>0</v>
      </c>
      <c r="HO417" s="1" t="s">
        <v>360</v>
      </c>
      <c r="HP417" s="1">
        <v>0</v>
      </c>
      <c r="HQ417" s="1">
        <v>0</v>
      </c>
      <c r="HR417" s="1">
        <v>0</v>
      </c>
    </row>
    <row r="418" spans="2:226">
      <c r="B418" s="1">
        <f>10000000+INDEX(编号表!$B$1:$B$112,MATCH(D418,编号表!$A$1:$A$112,0))*10000+I418</f>
        <v>10640006</v>
      </c>
      <c r="C418" s="1" t="s">
        <v>484</v>
      </c>
      <c r="D418" s="1" t="s">
        <v>484</v>
      </c>
      <c r="E418" s="1" t="s">
        <v>469</v>
      </c>
      <c r="F418" s="1" t="s">
        <v>470</v>
      </c>
      <c r="G418" s="1">
        <v>1</v>
      </c>
      <c r="H418" s="1" t="b">
        <v>0</v>
      </c>
      <c r="I418" s="1">
        <v>6</v>
      </c>
      <c r="J418" s="1">
        <v>106400</v>
      </c>
      <c r="K418" s="1" t="s">
        <v>350</v>
      </c>
      <c r="L418" s="1">
        <v>10640005</v>
      </c>
      <c r="M418" s="1">
        <v>10640007</v>
      </c>
      <c r="N418" s="1" t="s">
        <v>485</v>
      </c>
      <c r="O418" s="1">
        <v>10902007</v>
      </c>
      <c r="P418" s="1">
        <v>0</v>
      </c>
      <c r="Q418" s="1">
        <v>0</v>
      </c>
      <c r="R418" s="1">
        <v>1</v>
      </c>
      <c r="T418" s="1">
        <v>100</v>
      </c>
      <c r="AY418" s="1" t="s">
        <v>449</v>
      </c>
      <c r="AZ418" s="1">
        <v>0</v>
      </c>
      <c r="GX418" s="1">
        <v>0</v>
      </c>
      <c r="GY418" s="1">
        <v>0</v>
      </c>
      <c r="GZ418" s="1" t="s">
        <v>449</v>
      </c>
      <c r="HA418" s="1">
        <v>0</v>
      </c>
      <c r="HD418" s="1">
        <v>0</v>
      </c>
      <c r="HF418" s="1">
        <v>0</v>
      </c>
      <c r="HG418" s="1">
        <v>0</v>
      </c>
      <c r="HH418" s="1">
        <v>0</v>
      </c>
      <c r="HI418" s="1">
        <v>0</v>
      </c>
      <c r="HJ418" s="1">
        <v>0</v>
      </c>
      <c r="HK418" s="1" t="b">
        <v>0</v>
      </c>
      <c r="HM418" s="1">
        <v>0</v>
      </c>
      <c r="HO418" s="1" t="s">
        <v>360</v>
      </c>
      <c r="HP418" s="1">
        <v>0</v>
      </c>
      <c r="HQ418" s="1">
        <v>0</v>
      </c>
      <c r="HR418" s="1">
        <v>0</v>
      </c>
    </row>
    <row r="419" spans="2:226">
      <c r="B419" s="1">
        <f>10000000+INDEX(编号表!$B$1:$B$112,MATCH(D419,编号表!$A$1:$A$112,0))*10000+I419</f>
        <v>10640007</v>
      </c>
      <c r="C419" s="1" t="s">
        <v>484</v>
      </c>
      <c r="D419" s="1" t="s">
        <v>484</v>
      </c>
      <c r="E419" s="1" t="s">
        <v>469</v>
      </c>
      <c r="F419" s="1" t="s">
        <v>470</v>
      </c>
      <c r="G419" s="1">
        <v>1</v>
      </c>
      <c r="H419" s="1" t="b">
        <v>0</v>
      </c>
      <c r="I419" s="1">
        <v>7</v>
      </c>
      <c r="J419" s="1">
        <v>106400</v>
      </c>
      <c r="K419" s="1" t="s">
        <v>350</v>
      </c>
      <c r="L419" s="1">
        <v>10640006</v>
      </c>
      <c r="M419" s="1">
        <v>10640008</v>
      </c>
      <c r="N419" s="1" t="s">
        <v>485</v>
      </c>
      <c r="O419" s="1">
        <v>10902007</v>
      </c>
      <c r="P419" s="1">
        <v>0</v>
      </c>
      <c r="Q419" s="1">
        <v>0</v>
      </c>
      <c r="R419" s="1">
        <v>1</v>
      </c>
      <c r="T419" s="1">
        <v>100</v>
      </c>
      <c r="AY419" s="1" t="s">
        <v>449</v>
      </c>
      <c r="AZ419" s="1">
        <v>0</v>
      </c>
      <c r="GX419" s="1">
        <v>0</v>
      </c>
      <c r="GY419" s="1">
        <v>0</v>
      </c>
      <c r="GZ419" s="1" t="s">
        <v>449</v>
      </c>
      <c r="HA419" s="1">
        <v>0</v>
      </c>
      <c r="HD419" s="1">
        <v>0</v>
      </c>
      <c r="HF419" s="1">
        <v>0</v>
      </c>
      <c r="HG419" s="1">
        <v>0</v>
      </c>
      <c r="HH419" s="1">
        <v>0</v>
      </c>
      <c r="HI419" s="1">
        <v>0</v>
      </c>
      <c r="HJ419" s="1">
        <v>0</v>
      </c>
      <c r="HK419" s="1" t="b">
        <v>0</v>
      </c>
      <c r="HM419" s="1">
        <v>0</v>
      </c>
      <c r="HO419" s="1" t="s">
        <v>360</v>
      </c>
      <c r="HP419" s="1">
        <v>0</v>
      </c>
      <c r="HQ419" s="1">
        <v>0</v>
      </c>
      <c r="HR419" s="1">
        <v>0</v>
      </c>
    </row>
    <row r="420" spans="2:226">
      <c r="B420" s="1">
        <f>10000000+INDEX(编号表!$B$1:$B$112,MATCH(D420,编号表!$A$1:$A$112,0))*10000+I420</f>
        <v>10640008</v>
      </c>
      <c r="C420" s="1" t="s">
        <v>484</v>
      </c>
      <c r="D420" s="1" t="s">
        <v>484</v>
      </c>
      <c r="E420" s="1" t="s">
        <v>469</v>
      </c>
      <c r="F420" s="1" t="s">
        <v>470</v>
      </c>
      <c r="G420" s="1">
        <v>1</v>
      </c>
      <c r="H420" s="1" t="b">
        <v>0</v>
      </c>
      <c r="I420" s="1">
        <v>8</v>
      </c>
      <c r="J420" s="1">
        <v>106400</v>
      </c>
      <c r="K420" s="1" t="s">
        <v>350</v>
      </c>
      <c r="L420" s="1">
        <v>10640007</v>
      </c>
      <c r="M420" s="1">
        <v>10640009</v>
      </c>
      <c r="N420" s="1" t="s">
        <v>485</v>
      </c>
      <c r="O420" s="1">
        <v>10902007</v>
      </c>
      <c r="P420" s="1">
        <v>0</v>
      </c>
      <c r="Q420" s="1">
        <v>0</v>
      </c>
      <c r="R420" s="1">
        <v>1</v>
      </c>
      <c r="T420" s="1">
        <v>100</v>
      </c>
      <c r="AY420" s="1" t="s">
        <v>449</v>
      </c>
      <c r="AZ420" s="1">
        <v>0</v>
      </c>
      <c r="GX420" s="1">
        <v>0</v>
      </c>
      <c r="GY420" s="1">
        <v>0</v>
      </c>
      <c r="GZ420" s="1" t="s">
        <v>449</v>
      </c>
      <c r="HA420" s="1">
        <v>0</v>
      </c>
      <c r="HD420" s="1">
        <v>0</v>
      </c>
      <c r="HF420" s="1">
        <v>0</v>
      </c>
      <c r="HG420" s="1">
        <v>0</v>
      </c>
      <c r="HH420" s="1">
        <v>0</v>
      </c>
      <c r="HI420" s="1">
        <v>0</v>
      </c>
      <c r="HJ420" s="1">
        <v>0</v>
      </c>
      <c r="HK420" s="1" t="b">
        <v>0</v>
      </c>
      <c r="HM420" s="1">
        <v>0</v>
      </c>
      <c r="HO420" s="1" t="s">
        <v>360</v>
      </c>
      <c r="HP420" s="1">
        <v>0</v>
      </c>
      <c r="HQ420" s="1">
        <v>0</v>
      </c>
      <c r="HR420" s="1">
        <v>0</v>
      </c>
    </row>
    <row r="421" spans="2:226">
      <c r="B421" s="1">
        <f>10000000+INDEX(编号表!$B$1:$B$112,MATCH(D421,编号表!$A$1:$A$112,0))*10000+I421</f>
        <v>10640009</v>
      </c>
      <c r="C421" s="1" t="s">
        <v>484</v>
      </c>
      <c r="D421" s="1" t="s">
        <v>484</v>
      </c>
      <c r="E421" s="1" t="s">
        <v>469</v>
      </c>
      <c r="F421" s="1" t="s">
        <v>470</v>
      </c>
      <c r="G421" s="1">
        <v>1</v>
      </c>
      <c r="H421" s="1" t="b">
        <v>0</v>
      </c>
      <c r="I421" s="1">
        <v>9</v>
      </c>
      <c r="J421" s="1">
        <v>106400</v>
      </c>
      <c r="K421" s="1" t="s">
        <v>350</v>
      </c>
      <c r="L421" s="1">
        <v>10640008</v>
      </c>
      <c r="M421" s="1">
        <v>10640010</v>
      </c>
      <c r="N421" s="1" t="s">
        <v>485</v>
      </c>
      <c r="O421" s="1">
        <v>10902007</v>
      </c>
      <c r="P421" s="1">
        <v>0</v>
      </c>
      <c r="Q421" s="1">
        <v>0</v>
      </c>
      <c r="R421" s="1">
        <v>1</v>
      </c>
      <c r="T421" s="1">
        <v>100</v>
      </c>
      <c r="AY421" s="1" t="s">
        <v>449</v>
      </c>
      <c r="AZ421" s="1">
        <v>0</v>
      </c>
      <c r="GX421" s="1">
        <v>0</v>
      </c>
      <c r="GY421" s="1">
        <v>0</v>
      </c>
      <c r="GZ421" s="1" t="s">
        <v>449</v>
      </c>
      <c r="HA421" s="1">
        <v>0</v>
      </c>
      <c r="HD421" s="1">
        <v>0</v>
      </c>
      <c r="HF421" s="1">
        <v>0</v>
      </c>
      <c r="HG421" s="1">
        <v>0</v>
      </c>
      <c r="HH421" s="1">
        <v>0</v>
      </c>
      <c r="HI421" s="1">
        <v>0</v>
      </c>
      <c r="HJ421" s="1">
        <v>0</v>
      </c>
      <c r="HK421" s="1" t="b">
        <v>0</v>
      </c>
      <c r="HM421" s="1">
        <v>0</v>
      </c>
      <c r="HO421" s="1" t="s">
        <v>360</v>
      </c>
      <c r="HP421" s="1">
        <v>0</v>
      </c>
      <c r="HQ421" s="1">
        <v>0</v>
      </c>
      <c r="HR421" s="1">
        <v>0</v>
      </c>
    </row>
    <row r="422" spans="2:226">
      <c r="B422" s="1">
        <f>10000000+INDEX(编号表!$B$1:$B$112,MATCH(D422,编号表!$A$1:$A$112,0))*10000+I422</f>
        <v>10640010</v>
      </c>
      <c r="C422" s="1" t="s">
        <v>484</v>
      </c>
      <c r="D422" s="1" t="s">
        <v>484</v>
      </c>
      <c r="E422" s="1" t="s">
        <v>469</v>
      </c>
      <c r="F422" s="1" t="s">
        <v>470</v>
      </c>
      <c r="G422" s="1">
        <v>1</v>
      </c>
      <c r="H422" s="1" t="b">
        <v>0</v>
      </c>
      <c r="I422" s="1">
        <v>10</v>
      </c>
      <c r="J422" s="1">
        <v>106400</v>
      </c>
      <c r="K422" s="1" t="s">
        <v>350</v>
      </c>
      <c r="L422" s="1">
        <v>10640009</v>
      </c>
      <c r="N422" s="1" t="s">
        <v>485</v>
      </c>
      <c r="O422" s="1">
        <v>10902007</v>
      </c>
      <c r="P422" s="1">
        <v>0</v>
      </c>
      <c r="Q422" s="1">
        <v>0</v>
      </c>
      <c r="R422" s="1">
        <v>1</v>
      </c>
      <c r="T422" s="1">
        <v>100</v>
      </c>
      <c r="AY422" s="1" t="s">
        <v>449</v>
      </c>
      <c r="AZ422" s="1">
        <v>0</v>
      </c>
      <c r="GX422" s="1">
        <v>0</v>
      </c>
      <c r="GY422" s="1">
        <v>0</v>
      </c>
      <c r="GZ422" s="1" t="s">
        <v>449</v>
      </c>
      <c r="HA422" s="1">
        <v>0</v>
      </c>
      <c r="HD422" s="1">
        <v>0</v>
      </c>
      <c r="HF422" s="1">
        <v>0</v>
      </c>
      <c r="HG422" s="1">
        <v>0</v>
      </c>
      <c r="HH422" s="1">
        <v>0</v>
      </c>
      <c r="HI422" s="1">
        <v>0</v>
      </c>
      <c r="HJ422" s="1">
        <v>0</v>
      </c>
      <c r="HK422" s="1" t="b">
        <v>0</v>
      </c>
      <c r="HM422" s="1">
        <v>0</v>
      </c>
      <c r="HO422" s="1" t="s">
        <v>360</v>
      </c>
      <c r="HP422" s="1">
        <v>0</v>
      </c>
      <c r="HQ422" s="1">
        <v>0</v>
      </c>
      <c r="HR422" s="1">
        <v>0</v>
      </c>
    </row>
    <row r="423" spans="2:226">
      <c r="B423" s="1">
        <f>10000000+INDEX(编号表!$B$1:$B$112,MATCH(D423,编号表!$A$1:$A$112,0))*10000+I423</f>
        <v>10650001</v>
      </c>
      <c r="C423" s="1" t="s">
        <v>486</v>
      </c>
      <c r="D423" s="1" t="s">
        <v>486</v>
      </c>
      <c r="E423" s="1" t="s">
        <v>469</v>
      </c>
      <c r="F423" s="1" t="s">
        <v>470</v>
      </c>
      <c r="G423" s="1">
        <v>1</v>
      </c>
      <c r="H423" s="1" t="b">
        <v>0</v>
      </c>
      <c r="I423" s="1">
        <v>1</v>
      </c>
      <c r="J423" s="1">
        <v>106500</v>
      </c>
      <c r="K423" s="1" t="s">
        <v>350</v>
      </c>
      <c r="M423" s="1">
        <v>10650002</v>
      </c>
      <c r="N423" s="1" t="s">
        <v>487</v>
      </c>
      <c r="O423" s="1">
        <v>10902008</v>
      </c>
      <c r="P423" s="1">
        <v>0</v>
      </c>
      <c r="Q423" s="1">
        <v>0</v>
      </c>
      <c r="R423" s="1">
        <v>1</v>
      </c>
      <c r="T423" s="1">
        <v>100</v>
      </c>
      <c r="AY423" s="1" t="s">
        <v>449</v>
      </c>
      <c r="AZ423" s="1">
        <v>0</v>
      </c>
      <c r="GX423" s="1">
        <v>0</v>
      </c>
      <c r="GY423" s="1">
        <v>0</v>
      </c>
      <c r="GZ423" s="1" t="s">
        <v>449</v>
      </c>
      <c r="HA423" s="1">
        <v>0</v>
      </c>
      <c r="HD423" s="1">
        <v>0</v>
      </c>
      <c r="HF423" s="1">
        <v>0</v>
      </c>
      <c r="HG423" s="1">
        <v>0</v>
      </c>
      <c r="HH423" s="1">
        <v>0</v>
      </c>
      <c r="HI423" s="1">
        <v>0</v>
      </c>
      <c r="HJ423" s="1">
        <v>0</v>
      </c>
      <c r="HK423" s="1" t="b">
        <v>0</v>
      </c>
      <c r="HM423" s="1">
        <v>0</v>
      </c>
      <c r="HO423" s="1" t="s">
        <v>360</v>
      </c>
      <c r="HP423" s="1">
        <v>0</v>
      </c>
      <c r="HQ423" s="1">
        <v>0</v>
      </c>
      <c r="HR423" s="1">
        <v>0</v>
      </c>
    </row>
    <row r="424" spans="2:226">
      <c r="B424" s="1">
        <f>10000000+INDEX(编号表!$B$1:$B$112,MATCH(D424,编号表!$A$1:$A$112,0))*10000+I424</f>
        <v>10650002</v>
      </c>
      <c r="C424" s="1" t="s">
        <v>486</v>
      </c>
      <c r="D424" s="1" t="s">
        <v>486</v>
      </c>
      <c r="E424" s="1" t="s">
        <v>469</v>
      </c>
      <c r="F424" s="1" t="s">
        <v>470</v>
      </c>
      <c r="G424" s="1">
        <v>1</v>
      </c>
      <c r="H424" s="1" t="b">
        <v>0</v>
      </c>
      <c r="I424" s="1">
        <v>2</v>
      </c>
      <c r="J424" s="1">
        <v>106500</v>
      </c>
      <c r="K424" s="1" t="s">
        <v>350</v>
      </c>
      <c r="L424" s="1">
        <v>10650001</v>
      </c>
      <c r="M424" s="1">
        <v>10650003</v>
      </c>
      <c r="N424" s="1" t="s">
        <v>487</v>
      </c>
      <c r="O424" s="1">
        <v>10902008</v>
      </c>
      <c r="P424" s="1">
        <v>0</v>
      </c>
      <c r="Q424" s="1">
        <v>0</v>
      </c>
      <c r="R424" s="1">
        <v>1</v>
      </c>
      <c r="T424" s="1">
        <v>100</v>
      </c>
      <c r="AY424" s="1" t="s">
        <v>449</v>
      </c>
      <c r="AZ424" s="1">
        <v>0</v>
      </c>
      <c r="GX424" s="1">
        <v>0</v>
      </c>
      <c r="GY424" s="1">
        <v>0</v>
      </c>
      <c r="GZ424" s="1" t="s">
        <v>449</v>
      </c>
      <c r="HA424" s="1">
        <v>0</v>
      </c>
      <c r="HD424" s="1">
        <v>0</v>
      </c>
      <c r="HF424" s="1">
        <v>0</v>
      </c>
      <c r="HG424" s="1">
        <v>0</v>
      </c>
      <c r="HH424" s="1">
        <v>0</v>
      </c>
      <c r="HI424" s="1">
        <v>0</v>
      </c>
      <c r="HJ424" s="1">
        <v>0</v>
      </c>
      <c r="HK424" s="1" t="b">
        <v>0</v>
      </c>
      <c r="HM424" s="1">
        <v>0</v>
      </c>
      <c r="HO424" s="1" t="s">
        <v>360</v>
      </c>
      <c r="HP424" s="1">
        <v>0</v>
      </c>
      <c r="HQ424" s="1">
        <v>0</v>
      </c>
      <c r="HR424" s="1">
        <v>0</v>
      </c>
    </row>
    <row r="425" spans="2:226">
      <c r="B425" s="1">
        <f>10000000+INDEX(编号表!$B$1:$B$112,MATCH(D425,编号表!$A$1:$A$112,0))*10000+I425</f>
        <v>10650003</v>
      </c>
      <c r="C425" s="1" t="s">
        <v>486</v>
      </c>
      <c r="D425" s="1" t="s">
        <v>486</v>
      </c>
      <c r="E425" s="1" t="s">
        <v>469</v>
      </c>
      <c r="F425" s="1" t="s">
        <v>470</v>
      </c>
      <c r="G425" s="1">
        <v>1</v>
      </c>
      <c r="H425" s="1" t="b">
        <v>0</v>
      </c>
      <c r="I425" s="1">
        <v>3</v>
      </c>
      <c r="J425" s="1">
        <v>106500</v>
      </c>
      <c r="K425" s="1" t="s">
        <v>350</v>
      </c>
      <c r="L425" s="1">
        <v>10650002</v>
      </c>
      <c r="M425" s="1">
        <v>10650004</v>
      </c>
      <c r="N425" s="1" t="s">
        <v>487</v>
      </c>
      <c r="O425" s="1">
        <v>10902008</v>
      </c>
      <c r="P425" s="1">
        <v>0</v>
      </c>
      <c r="Q425" s="1">
        <v>0</v>
      </c>
      <c r="R425" s="1">
        <v>1</v>
      </c>
      <c r="T425" s="1">
        <v>100</v>
      </c>
      <c r="AY425" s="1" t="s">
        <v>449</v>
      </c>
      <c r="AZ425" s="1">
        <v>0</v>
      </c>
      <c r="GX425" s="1">
        <v>0</v>
      </c>
      <c r="GY425" s="1">
        <v>0</v>
      </c>
      <c r="GZ425" s="1" t="s">
        <v>449</v>
      </c>
      <c r="HA425" s="1">
        <v>0</v>
      </c>
      <c r="HD425" s="1">
        <v>0</v>
      </c>
      <c r="HF425" s="1">
        <v>0</v>
      </c>
      <c r="HG425" s="1">
        <v>0</v>
      </c>
      <c r="HH425" s="1">
        <v>0</v>
      </c>
      <c r="HI425" s="1">
        <v>0</v>
      </c>
      <c r="HJ425" s="1">
        <v>0</v>
      </c>
      <c r="HK425" s="1" t="b">
        <v>0</v>
      </c>
      <c r="HM425" s="1">
        <v>0</v>
      </c>
      <c r="HO425" s="1" t="s">
        <v>360</v>
      </c>
      <c r="HP425" s="1">
        <v>0</v>
      </c>
      <c r="HQ425" s="1">
        <v>0</v>
      </c>
      <c r="HR425" s="1">
        <v>0</v>
      </c>
    </row>
    <row r="426" spans="2:226">
      <c r="B426" s="1">
        <f>10000000+INDEX(编号表!$B$1:$B$112,MATCH(D426,编号表!$A$1:$A$112,0))*10000+I426</f>
        <v>10650004</v>
      </c>
      <c r="C426" s="1" t="s">
        <v>486</v>
      </c>
      <c r="D426" s="1" t="s">
        <v>486</v>
      </c>
      <c r="E426" s="1" t="s">
        <v>469</v>
      </c>
      <c r="F426" s="1" t="s">
        <v>470</v>
      </c>
      <c r="G426" s="1">
        <v>1</v>
      </c>
      <c r="H426" s="1" t="b">
        <v>0</v>
      </c>
      <c r="I426" s="1">
        <v>4</v>
      </c>
      <c r="J426" s="1">
        <v>106500</v>
      </c>
      <c r="K426" s="1" t="s">
        <v>350</v>
      </c>
      <c r="L426" s="1">
        <v>10650003</v>
      </c>
      <c r="M426" s="1">
        <v>10650005</v>
      </c>
      <c r="N426" s="1" t="s">
        <v>487</v>
      </c>
      <c r="O426" s="1">
        <v>10902008</v>
      </c>
      <c r="P426" s="1">
        <v>0</v>
      </c>
      <c r="Q426" s="1">
        <v>0</v>
      </c>
      <c r="R426" s="1">
        <v>1</v>
      </c>
      <c r="T426" s="1">
        <v>100</v>
      </c>
      <c r="AY426" s="1" t="s">
        <v>449</v>
      </c>
      <c r="AZ426" s="1">
        <v>0</v>
      </c>
      <c r="GX426" s="1">
        <v>0</v>
      </c>
      <c r="GY426" s="1">
        <v>0</v>
      </c>
      <c r="GZ426" s="1" t="s">
        <v>449</v>
      </c>
      <c r="HA426" s="1">
        <v>0</v>
      </c>
      <c r="HD426" s="1">
        <v>0</v>
      </c>
      <c r="HF426" s="1">
        <v>0</v>
      </c>
      <c r="HG426" s="1">
        <v>0</v>
      </c>
      <c r="HH426" s="1">
        <v>0</v>
      </c>
      <c r="HI426" s="1">
        <v>0</v>
      </c>
      <c r="HJ426" s="1">
        <v>0</v>
      </c>
      <c r="HK426" s="1" t="b">
        <v>0</v>
      </c>
      <c r="HM426" s="1">
        <v>0</v>
      </c>
      <c r="HO426" s="1" t="s">
        <v>360</v>
      </c>
      <c r="HP426" s="1">
        <v>0</v>
      </c>
      <c r="HQ426" s="1">
        <v>0</v>
      </c>
      <c r="HR426" s="1">
        <v>0</v>
      </c>
    </row>
    <row r="427" spans="2:226">
      <c r="B427" s="1">
        <f>10000000+INDEX(编号表!$B$1:$B$112,MATCH(D427,编号表!$A$1:$A$112,0))*10000+I427</f>
        <v>10650005</v>
      </c>
      <c r="C427" s="1" t="s">
        <v>486</v>
      </c>
      <c r="D427" s="1" t="s">
        <v>486</v>
      </c>
      <c r="E427" s="1" t="s">
        <v>469</v>
      </c>
      <c r="F427" s="1" t="s">
        <v>470</v>
      </c>
      <c r="G427" s="1">
        <v>1</v>
      </c>
      <c r="H427" s="1" t="b">
        <v>0</v>
      </c>
      <c r="I427" s="1">
        <v>5</v>
      </c>
      <c r="J427" s="1">
        <v>106500</v>
      </c>
      <c r="K427" s="1" t="s">
        <v>350</v>
      </c>
      <c r="L427" s="1">
        <v>10650004</v>
      </c>
      <c r="M427" s="1">
        <v>10650006</v>
      </c>
      <c r="N427" s="1" t="s">
        <v>487</v>
      </c>
      <c r="O427" s="1">
        <v>10902008</v>
      </c>
      <c r="P427" s="1">
        <v>0</v>
      </c>
      <c r="Q427" s="1">
        <v>0</v>
      </c>
      <c r="R427" s="1">
        <v>1</v>
      </c>
      <c r="T427" s="1">
        <v>100</v>
      </c>
      <c r="AY427" s="1" t="s">
        <v>449</v>
      </c>
      <c r="AZ427" s="1">
        <v>0</v>
      </c>
      <c r="GX427" s="1">
        <v>0</v>
      </c>
      <c r="GY427" s="1">
        <v>0</v>
      </c>
      <c r="GZ427" s="1" t="s">
        <v>449</v>
      </c>
      <c r="HA427" s="1">
        <v>0</v>
      </c>
      <c r="HD427" s="1">
        <v>0</v>
      </c>
      <c r="HF427" s="1">
        <v>0</v>
      </c>
      <c r="HG427" s="1">
        <v>0</v>
      </c>
      <c r="HH427" s="1">
        <v>0</v>
      </c>
      <c r="HI427" s="1">
        <v>0</v>
      </c>
      <c r="HJ427" s="1">
        <v>0</v>
      </c>
      <c r="HK427" s="1" t="b">
        <v>0</v>
      </c>
      <c r="HM427" s="1">
        <v>0</v>
      </c>
      <c r="HO427" s="1" t="s">
        <v>360</v>
      </c>
      <c r="HP427" s="1">
        <v>0</v>
      </c>
      <c r="HQ427" s="1">
        <v>0</v>
      </c>
      <c r="HR427" s="1">
        <v>0</v>
      </c>
    </row>
    <row r="428" spans="2:226">
      <c r="B428" s="1">
        <f>10000000+INDEX(编号表!$B$1:$B$112,MATCH(D428,编号表!$A$1:$A$112,0))*10000+I428</f>
        <v>10650006</v>
      </c>
      <c r="C428" s="1" t="s">
        <v>486</v>
      </c>
      <c r="D428" s="1" t="s">
        <v>486</v>
      </c>
      <c r="E428" s="1" t="s">
        <v>469</v>
      </c>
      <c r="F428" s="1" t="s">
        <v>470</v>
      </c>
      <c r="G428" s="1">
        <v>1</v>
      </c>
      <c r="H428" s="1" t="b">
        <v>0</v>
      </c>
      <c r="I428" s="1">
        <v>6</v>
      </c>
      <c r="J428" s="1">
        <v>106500</v>
      </c>
      <c r="K428" s="1" t="s">
        <v>350</v>
      </c>
      <c r="L428" s="1">
        <v>10650005</v>
      </c>
      <c r="M428" s="1">
        <v>10650007</v>
      </c>
      <c r="N428" s="1" t="s">
        <v>487</v>
      </c>
      <c r="O428" s="1">
        <v>10902008</v>
      </c>
      <c r="P428" s="1">
        <v>0</v>
      </c>
      <c r="Q428" s="1">
        <v>0</v>
      </c>
      <c r="R428" s="1">
        <v>1</v>
      </c>
      <c r="T428" s="1">
        <v>100</v>
      </c>
      <c r="AY428" s="1" t="s">
        <v>449</v>
      </c>
      <c r="AZ428" s="1">
        <v>0</v>
      </c>
      <c r="GX428" s="1">
        <v>0</v>
      </c>
      <c r="GY428" s="1">
        <v>0</v>
      </c>
      <c r="GZ428" s="1" t="s">
        <v>449</v>
      </c>
      <c r="HA428" s="1">
        <v>0</v>
      </c>
      <c r="HD428" s="1">
        <v>0</v>
      </c>
      <c r="HF428" s="1">
        <v>0</v>
      </c>
      <c r="HG428" s="1">
        <v>0</v>
      </c>
      <c r="HH428" s="1">
        <v>0</v>
      </c>
      <c r="HI428" s="1">
        <v>0</v>
      </c>
      <c r="HJ428" s="1">
        <v>0</v>
      </c>
      <c r="HK428" s="1" t="b">
        <v>0</v>
      </c>
      <c r="HM428" s="1">
        <v>0</v>
      </c>
      <c r="HO428" s="1" t="s">
        <v>360</v>
      </c>
      <c r="HP428" s="1">
        <v>0</v>
      </c>
      <c r="HQ428" s="1">
        <v>0</v>
      </c>
      <c r="HR428" s="1">
        <v>0</v>
      </c>
    </row>
    <row r="429" spans="2:226">
      <c r="B429" s="1">
        <f>10000000+INDEX(编号表!$B$1:$B$112,MATCH(D429,编号表!$A$1:$A$112,0))*10000+I429</f>
        <v>10650007</v>
      </c>
      <c r="C429" s="1" t="s">
        <v>486</v>
      </c>
      <c r="D429" s="1" t="s">
        <v>486</v>
      </c>
      <c r="E429" s="1" t="s">
        <v>469</v>
      </c>
      <c r="F429" s="1" t="s">
        <v>470</v>
      </c>
      <c r="G429" s="1">
        <v>1</v>
      </c>
      <c r="H429" s="1" t="b">
        <v>0</v>
      </c>
      <c r="I429" s="1">
        <v>7</v>
      </c>
      <c r="J429" s="1">
        <v>106500</v>
      </c>
      <c r="K429" s="1" t="s">
        <v>350</v>
      </c>
      <c r="L429" s="1">
        <v>10650006</v>
      </c>
      <c r="M429" s="1">
        <v>10650008</v>
      </c>
      <c r="N429" s="1" t="s">
        <v>487</v>
      </c>
      <c r="O429" s="1">
        <v>10902008</v>
      </c>
      <c r="P429" s="1">
        <v>0</v>
      </c>
      <c r="Q429" s="1">
        <v>0</v>
      </c>
      <c r="R429" s="1">
        <v>1</v>
      </c>
      <c r="T429" s="1">
        <v>100</v>
      </c>
      <c r="AY429" s="1" t="s">
        <v>449</v>
      </c>
      <c r="AZ429" s="1">
        <v>0</v>
      </c>
      <c r="GX429" s="1">
        <v>0</v>
      </c>
      <c r="GY429" s="1">
        <v>0</v>
      </c>
      <c r="GZ429" s="1" t="s">
        <v>449</v>
      </c>
      <c r="HA429" s="1">
        <v>0</v>
      </c>
      <c r="HD429" s="1">
        <v>0</v>
      </c>
      <c r="HF429" s="1">
        <v>0</v>
      </c>
      <c r="HG429" s="1">
        <v>0</v>
      </c>
      <c r="HH429" s="1">
        <v>0</v>
      </c>
      <c r="HI429" s="1">
        <v>0</v>
      </c>
      <c r="HJ429" s="1">
        <v>0</v>
      </c>
      <c r="HK429" s="1" t="b">
        <v>0</v>
      </c>
      <c r="HM429" s="1">
        <v>0</v>
      </c>
      <c r="HO429" s="1" t="s">
        <v>360</v>
      </c>
      <c r="HP429" s="1">
        <v>0</v>
      </c>
      <c r="HQ429" s="1">
        <v>0</v>
      </c>
      <c r="HR429" s="1">
        <v>0</v>
      </c>
    </row>
    <row r="430" spans="2:226">
      <c r="B430" s="1">
        <f>10000000+INDEX(编号表!$B$1:$B$112,MATCH(D430,编号表!$A$1:$A$112,0))*10000+I430</f>
        <v>10650008</v>
      </c>
      <c r="C430" s="1" t="s">
        <v>486</v>
      </c>
      <c r="D430" s="1" t="s">
        <v>486</v>
      </c>
      <c r="E430" s="1" t="s">
        <v>469</v>
      </c>
      <c r="F430" s="1" t="s">
        <v>470</v>
      </c>
      <c r="G430" s="1">
        <v>1</v>
      </c>
      <c r="H430" s="1" t="b">
        <v>0</v>
      </c>
      <c r="I430" s="1">
        <v>8</v>
      </c>
      <c r="J430" s="1">
        <v>106500</v>
      </c>
      <c r="K430" s="1" t="s">
        <v>350</v>
      </c>
      <c r="L430" s="1">
        <v>10650007</v>
      </c>
      <c r="M430" s="1">
        <v>10650009</v>
      </c>
      <c r="N430" s="1" t="s">
        <v>487</v>
      </c>
      <c r="O430" s="1">
        <v>10902008</v>
      </c>
      <c r="P430" s="1">
        <v>0</v>
      </c>
      <c r="Q430" s="1">
        <v>0</v>
      </c>
      <c r="R430" s="1">
        <v>1</v>
      </c>
      <c r="T430" s="1">
        <v>100</v>
      </c>
      <c r="AY430" s="1" t="s">
        <v>449</v>
      </c>
      <c r="AZ430" s="1">
        <v>0</v>
      </c>
      <c r="GX430" s="1">
        <v>0</v>
      </c>
      <c r="GY430" s="1">
        <v>0</v>
      </c>
      <c r="GZ430" s="1" t="s">
        <v>449</v>
      </c>
      <c r="HA430" s="1">
        <v>0</v>
      </c>
      <c r="HD430" s="1">
        <v>0</v>
      </c>
      <c r="HF430" s="1">
        <v>0</v>
      </c>
      <c r="HG430" s="1">
        <v>0</v>
      </c>
      <c r="HH430" s="1">
        <v>0</v>
      </c>
      <c r="HI430" s="1">
        <v>0</v>
      </c>
      <c r="HJ430" s="1">
        <v>0</v>
      </c>
      <c r="HK430" s="1" t="b">
        <v>0</v>
      </c>
      <c r="HM430" s="1">
        <v>0</v>
      </c>
      <c r="HO430" s="1" t="s">
        <v>360</v>
      </c>
      <c r="HP430" s="1">
        <v>0</v>
      </c>
      <c r="HQ430" s="1">
        <v>0</v>
      </c>
      <c r="HR430" s="1">
        <v>0</v>
      </c>
    </row>
    <row r="431" spans="2:226">
      <c r="B431" s="1">
        <f>10000000+INDEX(编号表!$B$1:$B$112,MATCH(D431,编号表!$A$1:$A$112,0))*10000+I431</f>
        <v>10650009</v>
      </c>
      <c r="C431" s="1" t="s">
        <v>486</v>
      </c>
      <c r="D431" s="1" t="s">
        <v>486</v>
      </c>
      <c r="E431" s="1" t="s">
        <v>469</v>
      </c>
      <c r="F431" s="1" t="s">
        <v>470</v>
      </c>
      <c r="G431" s="1">
        <v>1</v>
      </c>
      <c r="H431" s="1" t="b">
        <v>0</v>
      </c>
      <c r="I431" s="1">
        <v>9</v>
      </c>
      <c r="J431" s="1">
        <v>106500</v>
      </c>
      <c r="K431" s="1" t="s">
        <v>350</v>
      </c>
      <c r="L431" s="1">
        <v>10650008</v>
      </c>
      <c r="M431" s="1">
        <v>10650010</v>
      </c>
      <c r="N431" s="1" t="s">
        <v>487</v>
      </c>
      <c r="O431" s="1">
        <v>10902008</v>
      </c>
      <c r="P431" s="1">
        <v>0</v>
      </c>
      <c r="Q431" s="1">
        <v>0</v>
      </c>
      <c r="R431" s="1">
        <v>1</v>
      </c>
      <c r="T431" s="1">
        <v>100</v>
      </c>
      <c r="AY431" s="1" t="s">
        <v>449</v>
      </c>
      <c r="AZ431" s="1">
        <v>0</v>
      </c>
      <c r="GX431" s="1">
        <v>0</v>
      </c>
      <c r="GY431" s="1">
        <v>0</v>
      </c>
      <c r="GZ431" s="1" t="s">
        <v>449</v>
      </c>
      <c r="HA431" s="1">
        <v>0</v>
      </c>
      <c r="HD431" s="1">
        <v>0</v>
      </c>
      <c r="HF431" s="1">
        <v>0</v>
      </c>
      <c r="HG431" s="1">
        <v>0</v>
      </c>
      <c r="HH431" s="1">
        <v>0</v>
      </c>
      <c r="HI431" s="1">
        <v>0</v>
      </c>
      <c r="HJ431" s="1">
        <v>0</v>
      </c>
      <c r="HK431" s="1" t="b">
        <v>0</v>
      </c>
      <c r="HM431" s="1">
        <v>0</v>
      </c>
      <c r="HO431" s="1" t="s">
        <v>360</v>
      </c>
      <c r="HP431" s="1">
        <v>0</v>
      </c>
      <c r="HQ431" s="1">
        <v>0</v>
      </c>
      <c r="HR431" s="1">
        <v>0</v>
      </c>
    </row>
    <row r="432" spans="2:226">
      <c r="B432" s="1">
        <f>10000000+INDEX(编号表!$B$1:$B$112,MATCH(D432,编号表!$A$1:$A$112,0))*10000+I432</f>
        <v>10650010</v>
      </c>
      <c r="C432" s="1" t="s">
        <v>486</v>
      </c>
      <c r="D432" s="1" t="s">
        <v>486</v>
      </c>
      <c r="E432" s="1" t="s">
        <v>469</v>
      </c>
      <c r="F432" s="1" t="s">
        <v>470</v>
      </c>
      <c r="G432" s="1">
        <v>1</v>
      </c>
      <c r="H432" s="1" t="b">
        <v>0</v>
      </c>
      <c r="I432" s="1">
        <v>10</v>
      </c>
      <c r="J432" s="1">
        <v>106500</v>
      </c>
      <c r="K432" s="1" t="s">
        <v>350</v>
      </c>
      <c r="L432" s="1">
        <v>10650009</v>
      </c>
      <c r="N432" s="1" t="s">
        <v>487</v>
      </c>
      <c r="O432" s="1">
        <v>10902008</v>
      </c>
      <c r="P432" s="1">
        <v>0</v>
      </c>
      <c r="Q432" s="1">
        <v>0</v>
      </c>
      <c r="R432" s="1">
        <v>1</v>
      </c>
      <c r="T432" s="1">
        <v>100</v>
      </c>
      <c r="AY432" s="1" t="s">
        <v>449</v>
      </c>
      <c r="AZ432" s="1">
        <v>0</v>
      </c>
      <c r="GX432" s="1">
        <v>0</v>
      </c>
      <c r="GY432" s="1">
        <v>0</v>
      </c>
      <c r="GZ432" s="1" t="s">
        <v>449</v>
      </c>
      <c r="HA432" s="1">
        <v>0</v>
      </c>
      <c r="HD432" s="1">
        <v>0</v>
      </c>
      <c r="HF432" s="1">
        <v>0</v>
      </c>
      <c r="HG432" s="1">
        <v>0</v>
      </c>
      <c r="HH432" s="1">
        <v>0</v>
      </c>
      <c r="HI432" s="1">
        <v>0</v>
      </c>
      <c r="HJ432" s="1">
        <v>0</v>
      </c>
      <c r="HK432" s="1" t="b">
        <v>0</v>
      </c>
      <c r="HM432" s="1">
        <v>0</v>
      </c>
      <c r="HO432" s="1" t="s">
        <v>360</v>
      </c>
      <c r="HP432" s="1">
        <v>0</v>
      </c>
      <c r="HQ432" s="1">
        <v>0</v>
      </c>
      <c r="HR432" s="1">
        <v>0</v>
      </c>
    </row>
    <row r="433" spans="2:226">
      <c r="B433" s="1">
        <f>10000000+INDEX(编号表!$B$1:$B$112,MATCH(D433,编号表!$A$1:$A$112,0))*10000+I433</f>
        <v>10660001</v>
      </c>
      <c r="C433" s="1" t="s">
        <v>488</v>
      </c>
      <c r="D433" s="1" t="s">
        <v>488</v>
      </c>
      <c r="E433" s="1" t="s">
        <v>469</v>
      </c>
      <c r="F433" s="1" t="s">
        <v>489</v>
      </c>
      <c r="G433" s="1">
        <v>1</v>
      </c>
      <c r="H433" s="1" t="b">
        <v>0</v>
      </c>
      <c r="I433" s="1">
        <v>1</v>
      </c>
      <c r="J433" s="1">
        <v>106600</v>
      </c>
      <c r="K433" s="1" t="s">
        <v>350</v>
      </c>
      <c r="M433" s="1">
        <v>10660002</v>
      </c>
      <c r="N433" s="1" t="s">
        <v>490</v>
      </c>
      <c r="O433" s="1">
        <v>10902009</v>
      </c>
      <c r="P433" s="1">
        <v>0</v>
      </c>
      <c r="Q433" s="1">
        <v>0</v>
      </c>
      <c r="R433" s="1">
        <v>1</v>
      </c>
      <c r="AY433" s="1" t="s">
        <v>449</v>
      </c>
      <c r="AZ433" s="1">
        <v>0</v>
      </c>
      <c r="GX433" s="1">
        <v>0</v>
      </c>
      <c r="GY433" s="1">
        <v>0</v>
      </c>
      <c r="GZ433" s="1" t="s">
        <v>449</v>
      </c>
      <c r="HA433" s="1">
        <v>0</v>
      </c>
      <c r="HD433" s="1">
        <v>0</v>
      </c>
      <c r="HF433" s="1">
        <v>0</v>
      </c>
      <c r="HG433" s="1">
        <v>0</v>
      </c>
      <c r="HH433" s="1">
        <v>0</v>
      </c>
      <c r="HI433" s="1">
        <v>0</v>
      </c>
      <c r="HJ433" s="1">
        <v>0</v>
      </c>
      <c r="HK433" s="1" t="b">
        <v>0</v>
      </c>
      <c r="HM433" s="1">
        <v>0</v>
      </c>
      <c r="HO433" s="1" t="s">
        <v>360</v>
      </c>
      <c r="HP433" s="1">
        <v>0</v>
      </c>
      <c r="HQ433" s="1">
        <v>0</v>
      </c>
      <c r="HR433" s="1">
        <v>0</v>
      </c>
    </row>
    <row r="434" spans="2:226">
      <c r="B434" s="1">
        <f>10000000+INDEX(编号表!$B$1:$B$112,MATCH(D434,编号表!$A$1:$A$112,0))*10000+I434</f>
        <v>10660002</v>
      </c>
      <c r="C434" s="1" t="s">
        <v>488</v>
      </c>
      <c r="D434" s="1" t="s">
        <v>488</v>
      </c>
      <c r="E434" s="1" t="s">
        <v>469</v>
      </c>
      <c r="F434" s="1" t="s">
        <v>489</v>
      </c>
      <c r="G434" s="1">
        <v>1</v>
      </c>
      <c r="H434" s="1" t="b">
        <v>0</v>
      </c>
      <c r="I434" s="1">
        <v>2</v>
      </c>
      <c r="J434" s="1">
        <v>106600</v>
      </c>
      <c r="K434" s="1" t="s">
        <v>350</v>
      </c>
      <c r="L434" s="1">
        <v>10660001</v>
      </c>
      <c r="M434" s="1">
        <v>10660003</v>
      </c>
      <c r="N434" s="1" t="s">
        <v>490</v>
      </c>
      <c r="O434" s="1">
        <v>10902009</v>
      </c>
      <c r="P434" s="1">
        <v>0</v>
      </c>
      <c r="Q434" s="1">
        <v>0</v>
      </c>
      <c r="R434" s="1">
        <v>1</v>
      </c>
      <c r="AY434" s="1" t="s">
        <v>449</v>
      </c>
      <c r="AZ434" s="1">
        <v>0</v>
      </c>
      <c r="GX434" s="1">
        <v>0</v>
      </c>
      <c r="GY434" s="1">
        <v>0</v>
      </c>
      <c r="GZ434" s="1" t="s">
        <v>449</v>
      </c>
      <c r="HA434" s="1">
        <v>0</v>
      </c>
      <c r="HD434" s="1">
        <v>0</v>
      </c>
      <c r="HF434" s="1">
        <v>0</v>
      </c>
      <c r="HG434" s="1">
        <v>0</v>
      </c>
      <c r="HH434" s="1">
        <v>0</v>
      </c>
      <c r="HI434" s="1">
        <v>0</v>
      </c>
      <c r="HJ434" s="1">
        <v>0</v>
      </c>
      <c r="HK434" s="1" t="b">
        <v>0</v>
      </c>
      <c r="HM434" s="1">
        <v>0</v>
      </c>
      <c r="HO434" s="1" t="s">
        <v>360</v>
      </c>
      <c r="HP434" s="1">
        <v>0</v>
      </c>
      <c r="HQ434" s="1">
        <v>0</v>
      </c>
      <c r="HR434" s="1">
        <v>0</v>
      </c>
    </row>
    <row r="435" spans="2:226">
      <c r="B435" s="1">
        <f>10000000+INDEX(编号表!$B$1:$B$112,MATCH(D435,编号表!$A$1:$A$112,0))*10000+I435</f>
        <v>10660003</v>
      </c>
      <c r="C435" s="1" t="s">
        <v>488</v>
      </c>
      <c r="D435" s="1" t="s">
        <v>488</v>
      </c>
      <c r="E435" s="1" t="s">
        <v>469</v>
      </c>
      <c r="F435" s="1" t="s">
        <v>489</v>
      </c>
      <c r="G435" s="1">
        <v>1</v>
      </c>
      <c r="H435" s="1" t="b">
        <v>0</v>
      </c>
      <c r="I435" s="1">
        <v>3</v>
      </c>
      <c r="J435" s="1">
        <v>106600</v>
      </c>
      <c r="K435" s="1" t="s">
        <v>350</v>
      </c>
      <c r="L435" s="1">
        <v>10660002</v>
      </c>
      <c r="M435" s="1">
        <v>10660004</v>
      </c>
      <c r="N435" s="1" t="s">
        <v>490</v>
      </c>
      <c r="O435" s="1">
        <v>10902009</v>
      </c>
      <c r="P435" s="1">
        <v>0</v>
      </c>
      <c r="Q435" s="1">
        <v>0</v>
      </c>
      <c r="R435" s="1">
        <v>1</v>
      </c>
      <c r="AY435" s="1" t="s">
        <v>449</v>
      </c>
      <c r="AZ435" s="1">
        <v>0</v>
      </c>
      <c r="GX435" s="1">
        <v>0</v>
      </c>
      <c r="GY435" s="1">
        <v>0</v>
      </c>
      <c r="GZ435" s="1" t="s">
        <v>449</v>
      </c>
      <c r="HA435" s="1">
        <v>0</v>
      </c>
      <c r="HD435" s="1">
        <v>0</v>
      </c>
      <c r="HF435" s="1">
        <v>0</v>
      </c>
      <c r="HG435" s="1">
        <v>0</v>
      </c>
      <c r="HH435" s="1">
        <v>0</v>
      </c>
      <c r="HI435" s="1">
        <v>0</v>
      </c>
      <c r="HJ435" s="1">
        <v>0</v>
      </c>
      <c r="HK435" s="1" t="b">
        <v>0</v>
      </c>
      <c r="HM435" s="1">
        <v>0</v>
      </c>
      <c r="HO435" s="1" t="s">
        <v>360</v>
      </c>
      <c r="HP435" s="1">
        <v>0</v>
      </c>
      <c r="HQ435" s="1">
        <v>0</v>
      </c>
      <c r="HR435" s="1">
        <v>0</v>
      </c>
    </row>
    <row r="436" spans="2:226">
      <c r="B436" s="1">
        <f>10000000+INDEX(编号表!$B$1:$B$112,MATCH(D436,编号表!$A$1:$A$112,0))*10000+I436</f>
        <v>10660004</v>
      </c>
      <c r="C436" s="1" t="s">
        <v>488</v>
      </c>
      <c r="D436" s="1" t="s">
        <v>488</v>
      </c>
      <c r="E436" s="1" t="s">
        <v>469</v>
      </c>
      <c r="F436" s="1" t="s">
        <v>489</v>
      </c>
      <c r="G436" s="1">
        <v>1</v>
      </c>
      <c r="H436" s="1" t="b">
        <v>0</v>
      </c>
      <c r="I436" s="1">
        <v>4</v>
      </c>
      <c r="J436" s="1">
        <v>106600</v>
      </c>
      <c r="K436" s="1" t="s">
        <v>350</v>
      </c>
      <c r="L436" s="1">
        <v>10660003</v>
      </c>
      <c r="M436" s="1">
        <v>10660005</v>
      </c>
      <c r="N436" s="1" t="s">
        <v>490</v>
      </c>
      <c r="O436" s="1">
        <v>10902009</v>
      </c>
      <c r="P436" s="1">
        <v>0</v>
      </c>
      <c r="Q436" s="1">
        <v>0</v>
      </c>
      <c r="R436" s="1">
        <v>1</v>
      </c>
      <c r="AY436" s="1" t="s">
        <v>449</v>
      </c>
      <c r="AZ436" s="1">
        <v>0</v>
      </c>
      <c r="GX436" s="1">
        <v>0</v>
      </c>
      <c r="GY436" s="1">
        <v>0</v>
      </c>
      <c r="GZ436" s="1" t="s">
        <v>449</v>
      </c>
      <c r="HA436" s="1">
        <v>0</v>
      </c>
      <c r="HD436" s="1">
        <v>0</v>
      </c>
      <c r="HF436" s="1">
        <v>0</v>
      </c>
      <c r="HG436" s="1">
        <v>0</v>
      </c>
      <c r="HH436" s="1">
        <v>0</v>
      </c>
      <c r="HI436" s="1">
        <v>0</v>
      </c>
      <c r="HJ436" s="1">
        <v>0</v>
      </c>
      <c r="HK436" s="1" t="b">
        <v>0</v>
      </c>
      <c r="HM436" s="1">
        <v>0</v>
      </c>
      <c r="HO436" s="1" t="s">
        <v>360</v>
      </c>
      <c r="HP436" s="1">
        <v>0</v>
      </c>
      <c r="HQ436" s="1">
        <v>0</v>
      </c>
      <c r="HR436" s="1">
        <v>0</v>
      </c>
    </row>
    <row r="437" spans="2:226">
      <c r="B437" s="1">
        <f>10000000+INDEX(编号表!$B$1:$B$112,MATCH(D437,编号表!$A$1:$A$112,0))*10000+I437</f>
        <v>10660005</v>
      </c>
      <c r="C437" s="1" t="s">
        <v>488</v>
      </c>
      <c r="D437" s="1" t="s">
        <v>488</v>
      </c>
      <c r="E437" s="1" t="s">
        <v>469</v>
      </c>
      <c r="F437" s="1" t="s">
        <v>489</v>
      </c>
      <c r="G437" s="1">
        <v>1</v>
      </c>
      <c r="H437" s="1" t="b">
        <v>0</v>
      </c>
      <c r="I437" s="1">
        <v>5</v>
      </c>
      <c r="J437" s="1">
        <v>106600</v>
      </c>
      <c r="K437" s="1" t="s">
        <v>350</v>
      </c>
      <c r="L437" s="1">
        <v>10660004</v>
      </c>
      <c r="M437" s="1">
        <v>10660006</v>
      </c>
      <c r="N437" s="1" t="s">
        <v>490</v>
      </c>
      <c r="O437" s="1">
        <v>10902009</v>
      </c>
      <c r="P437" s="1">
        <v>0</v>
      </c>
      <c r="Q437" s="1">
        <v>0</v>
      </c>
      <c r="R437" s="1">
        <v>1</v>
      </c>
      <c r="AY437" s="1" t="s">
        <v>449</v>
      </c>
      <c r="AZ437" s="1">
        <v>0</v>
      </c>
      <c r="GX437" s="1">
        <v>0</v>
      </c>
      <c r="GY437" s="1">
        <v>0</v>
      </c>
      <c r="GZ437" s="1" t="s">
        <v>449</v>
      </c>
      <c r="HA437" s="1">
        <v>0</v>
      </c>
      <c r="HD437" s="1">
        <v>0</v>
      </c>
      <c r="HF437" s="1">
        <v>0</v>
      </c>
      <c r="HG437" s="1">
        <v>0</v>
      </c>
      <c r="HH437" s="1">
        <v>0</v>
      </c>
      <c r="HI437" s="1">
        <v>0</v>
      </c>
      <c r="HJ437" s="1">
        <v>0</v>
      </c>
      <c r="HK437" s="1" t="b">
        <v>0</v>
      </c>
      <c r="HM437" s="1">
        <v>0</v>
      </c>
      <c r="HO437" s="1" t="s">
        <v>360</v>
      </c>
      <c r="HP437" s="1">
        <v>0</v>
      </c>
      <c r="HQ437" s="1">
        <v>0</v>
      </c>
      <c r="HR437" s="1">
        <v>0</v>
      </c>
    </row>
    <row r="438" spans="2:226">
      <c r="B438" s="1">
        <f>10000000+INDEX(编号表!$B$1:$B$112,MATCH(D438,编号表!$A$1:$A$112,0))*10000+I438</f>
        <v>10660006</v>
      </c>
      <c r="C438" s="1" t="s">
        <v>488</v>
      </c>
      <c r="D438" s="1" t="s">
        <v>488</v>
      </c>
      <c r="E438" s="1" t="s">
        <v>469</v>
      </c>
      <c r="F438" s="1" t="s">
        <v>489</v>
      </c>
      <c r="G438" s="1">
        <v>1</v>
      </c>
      <c r="H438" s="1" t="b">
        <v>0</v>
      </c>
      <c r="I438" s="1">
        <v>6</v>
      </c>
      <c r="J438" s="1">
        <v>106600</v>
      </c>
      <c r="K438" s="1" t="s">
        <v>350</v>
      </c>
      <c r="L438" s="1">
        <v>10660005</v>
      </c>
      <c r="M438" s="1">
        <v>10660007</v>
      </c>
      <c r="N438" s="1" t="s">
        <v>490</v>
      </c>
      <c r="O438" s="1">
        <v>10902009</v>
      </c>
      <c r="P438" s="1">
        <v>0</v>
      </c>
      <c r="Q438" s="1">
        <v>0</v>
      </c>
      <c r="R438" s="1">
        <v>1</v>
      </c>
      <c r="AY438" s="1" t="s">
        <v>449</v>
      </c>
      <c r="AZ438" s="1">
        <v>0</v>
      </c>
      <c r="GX438" s="1">
        <v>0</v>
      </c>
      <c r="GY438" s="1">
        <v>0</v>
      </c>
      <c r="GZ438" s="1" t="s">
        <v>449</v>
      </c>
      <c r="HA438" s="1">
        <v>0</v>
      </c>
      <c r="HD438" s="1">
        <v>0</v>
      </c>
      <c r="HF438" s="1">
        <v>0</v>
      </c>
      <c r="HG438" s="1">
        <v>0</v>
      </c>
      <c r="HH438" s="1">
        <v>0</v>
      </c>
      <c r="HI438" s="1">
        <v>0</v>
      </c>
      <c r="HJ438" s="1">
        <v>0</v>
      </c>
      <c r="HK438" s="1" t="b">
        <v>0</v>
      </c>
      <c r="HM438" s="1">
        <v>0</v>
      </c>
      <c r="HO438" s="1" t="s">
        <v>360</v>
      </c>
      <c r="HP438" s="1">
        <v>0</v>
      </c>
      <c r="HQ438" s="1">
        <v>0</v>
      </c>
      <c r="HR438" s="1">
        <v>0</v>
      </c>
    </row>
    <row r="439" spans="2:226">
      <c r="B439" s="1">
        <f>10000000+INDEX(编号表!$B$1:$B$112,MATCH(D439,编号表!$A$1:$A$112,0))*10000+I439</f>
        <v>10660007</v>
      </c>
      <c r="C439" s="1" t="s">
        <v>488</v>
      </c>
      <c r="D439" s="1" t="s">
        <v>488</v>
      </c>
      <c r="E439" s="1" t="s">
        <v>469</v>
      </c>
      <c r="F439" s="1" t="s">
        <v>489</v>
      </c>
      <c r="G439" s="1">
        <v>1</v>
      </c>
      <c r="H439" s="1" t="b">
        <v>0</v>
      </c>
      <c r="I439" s="1">
        <v>7</v>
      </c>
      <c r="J439" s="1">
        <v>106600</v>
      </c>
      <c r="K439" s="1" t="s">
        <v>350</v>
      </c>
      <c r="L439" s="1">
        <v>10660006</v>
      </c>
      <c r="M439" s="1">
        <v>10660008</v>
      </c>
      <c r="N439" s="1" t="s">
        <v>490</v>
      </c>
      <c r="O439" s="1">
        <v>10902009</v>
      </c>
      <c r="P439" s="1">
        <v>0</v>
      </c>
      <c r="Q439" s="1">
        <v>0</v>
      </c>
      <c r="R439" s="1">
        <v>1</v>
      </c>
      <c r="AY439" s="1" t="s">
        <v>449</v>
      </c>
      <c r="AZ439" s="1">
        <v>0</v>
      </c>
      <c r="GX439" s="1">
        <v>0</v>
      </c>
      <c r="GY439" s="1">
        <v>0</v>
      </c>
      <c r="GZ439" s="1" t="s">
        <v>449</v>
      </c>
      <c r="HA439" s="1">
        <v>0</v>
      </c>
      <c r="HD439" s="1">
        <v>0</v>
      </c>
      <c r="HF439" s="1">
        <v>0</v>
      </c>
      <c r="HG439" s="1">
        <v>0</v>
      </c>
      <c r="HH439" s="1">
        <v>0</v>
      </c>
      <c r="HI439" s="1">
        <v>0</v>
      </c>
      <c r="HJ439" s="1">
        <v>0</v>
      </c>
      <c r="HK439" s="1" t="b">
        <v>0</v>
      </c>
      <c r="HM439" s="1">
        <v>0</v>
      </c>
      <c r="HO439" s="1" t="s">
        <v>360</v>
      </c>
      <c r="HP439" s="1">
        <v>0</v>
      </c>
      <c r="HQ439" s="1">
        <v>0</v>
      </c>
      <c r="HR439" s="1">
        <v>0</v>
      </c>
    </row>
    <row r="440" spans="2:226">
      <c r="B440" s="1">
        <f>10000000+INDEX(编号表!$B$1:$B$112,MATCH(D440,编号表!$A$1:$A$112,0))*10000+I440</f>
        <v>10660008</v>
      </c>
      <c r="C440" s="1" t="s">
        <v>488</v>
      </c>
      <c r="D440" s="1" t="s">
        <v>488</v>
      </c>
      <c r="E440" s="1" t="s">
        <v>469</v>
      </c>
      <c r="F440" s="1" t="s">
        <v>489</v>
      </c>
      <c r="G440" s="1">
        <v>1</v>
      </c>
      <c r="H440" s="1" t="b">
        <v>0</v>
      </c>
      <c r="I440" s="1">
        <v>8</v>
      </c>
      <c r="J440" s="1">
        <v>106600</v>
      </c>
      <c r="K440" s="1" t="s">
        <v>350</v>
      </c>
      <c r="L440" s="1">
        <v>10660007</v>
      </c>
      <c r="M440" s="1">
        <v>10660009</v>
      </c>
      <c r="N440" s="1" t="s">
        <v>490</v>
      </c>
      <c r="O440" s="1">
        <v>10902009</v>
      </c>
      <c r="P440" s="1">
        <v>0</v>
      </c>
      <c r="Q440" s="1">
        <v>0</v>
      </c>
      <c r="R440" s="1">
        <v>1</v>
      </c>
      <c r="AY440" s="1" t="s">
        <v>449</v>
      </c>
      <c r="AZ440" s="1">
        <v>0</v>
      </c>
      <c r="GX440" s="1">
        <v>0</v>
      </c>
      <c r="GY440" s="1">
        <v>0</v>
      </c>
      <c r="GZ440" s="1" t="s">
        <v>449</v>
      </c>
      <c r="HA440" s="1">
        <v>0</v>
      </c>
      <c r="HD440" s="1">
        <v>0</v>
      </c>
      <c r="HF440" s="1">
        <v>0</v>
      </c>
      <c r="HG440" s="1">
        <v>0</v>
      </c>
      <c r="HH440" s="1">
        <v>0</v>
      </c>
      <c r="HI440" s="1">
        <v>0</v>
      </c>
      <c r="HJ440" s="1">
        <v>0</v>
      </c>
      <c r="HK440" s="1" t="b">
        <v>0</v>
      </c>
      <c r="HM440" s="1">
        <v>0</v>
      </c>
      <c r="HO440" s="1" t="s">
        <v>360</v>
      </c>
      <c r="HP440" s="1">
        <v>0</v>
      </c>
      <c r="HQ440" s="1">
        <v>0</v>
      </c>
      <c r="HR440" s="1">
        <v>0</v>
      </c>
    </row>
    <row r="441" spans="2:226">
      <c r="B441" s="1">
        <f>10000000+INDEX(编号表!$B$1:$B$112,MATCH(D441,编号表!$A$1:$A$112,0))*10000+I441</f>
        <v>10660009</v>
      </c>
      <c r="C441" s="1" t="s">
        <v>488</v>
      </c>
      <c r="D441" s="1" t="s">
        <v>488</v>
      </c>
      <c r="E441" s="1" t="s">
        <v>469</v>
      </c>
      <c r="F441" s="1" t="s">
        <v>489</v>
      </c>
      <c r="G441" s="1">
        <v>1</v>
      </c>
      <c r="H441" s="1" t="b">
        <v>0</v>
      </c>
      <c r="I441" s="1">
        <v>9</v>
      </c>
      <c r="J441" s="1">
        <v>106600</v>
      </c>
      <c r="K441" s="1" t="s">
        <v>350</v>
      </c>
      <c r="L441" s="1">
        <v>10660008</v>
      </c>
      <c r="M441" s="1">
        <v>10660010</v>
      </c>
      <c r="N441" s="1" t="s">
        <v>490</v>
      </c>
      <c r="O441" s="1">
        <v>10902009</v>
      </c>
      <c r="P441" s="1">
        <v>0</v>
      </c>
      <c r="Q441" s="1">
        <v>0</v>
      </c>
      <c r="R441" s="1">
        <v>1</v>
      </c>
      <c r="AY441" s="1" t="s">
        <v>449</v>
      </c>
      <c r="AZ441" s="1">
        <v>0</v>
      </c>
      <c r="GX441" s="1">
        <v>0</v>
      </c>
      <c r="GY441" s="1">
        <v>0</v>
      </c>
      <c r="GZ441" s="1" t="s">
        <v>449</v>
      </c>
      <c r="HA441" s="1">
        <v>0</v>
      </c>
      <c r="HD441" s="1">
        <v>0</v>
      </c>
      <c r="HF441" s="1">
        <v>0</v>
      </c>
      <c r="HG441" s="1">
        <v>0</v>
      </c>
      <c r="HH441" s="1">
        <v>0</v>
      </c>
      <c r="HI441" s="1">
        <v>0</v>
      </c>
      <c r="HJ441" s="1">
        <v>0</v>
      </c>
      <c r="HK441" s="1" t="b">
        <v>0</v>
      </c>
      <c r="HM441" s="1">
        <v>0</v>
      </c>
      <c r="HO441" s="1" t="s">
        <v>360</v>
      </c>
      <c r="HP441" s="1">
        <v>0</v>
      </c>
      <c r="HQ441" s="1">
        <v>0</v>
      </c>
      <c r="HR441" s="1">
        <v>0</v>
      </c>
    </row>
    <row r="442" spans="2:226">
      <c r="B442" s="1">
        <f>10000000+INDEX(编号表!$B$1:$B$112,MATCH(D442,编号表!$A$1:$A$112,0))*10000+I442</f>
        <v>10660010</v>
      </c>
      <c r="C442" s="1" t="s">
        <v>488</v>
      </c>
      <c r="D442" s="1" t="s">
        <v>488</v>
      </c>
      <c r="E442" s="1" t="s">
        <v>469</v>
      </c>
      <c r="F442" s="1" t="s">
        <v>489</v>
      </c>
      <c r="G442" s="1">
        <v>1</v>
      </c>
      <c r="H442" s="1" t="b">
        <v>0</v>
      </c>
      <c r="I442" s="1">
        <v>10</v>
      </c>
      <c r="J442" s="1">
        <v>106600</v>
      </c>
      <c r="K442" s="1" t="s">
        <v>350</v>
      </c>
      <c r="L442" s="1">
        <v>10660009</v>
      </c>
      <c r="N442" s="1" t="s">
        <v>490</v>
      </c>
      <c r="O442" s="1">
        <v>10902009</v>
      </c>
      <c r="P442" s="1">
        <v>0</v>
      </c>
      <c r="Q442" s="1">
        <v>0</v>
      </c>
      <c r="R442" s="1">
        <v>1</v>
      </c>
      <c r="AY442" s="1" t="s">
        <v>449</v>
      </c>
      <c r="AZ442" s="1">
        <v>0</v>
      </c>
      <c r="GX442" s="1">
        <v>0</v>
      </c>
      <c r="GY442" s="1">
        <v>0</v>
      </c>
      <c r="GZ442" s="1" t="s">
        <v>449</v>
      </c>
      <c r="HA442" s="1">
        <v>0</v>
      </c>
      <c r="HD442" s="1">
        <v>0</v>
      </c>
      <c r="HF442" s="1">
        <v>0</v>
      </c>
      <c r="HG442" s="1">
        <v>0</v>
      </c>
      <c r="HH442" s="1">
        <v>0</v>
      </c>
      <c r="HI442" s="1">
        <v>0</v>
      </c>
      <c r="HJ442" s="1">
        <v>0</v>
      </c>
      <c r="HK442" s="1" t="b">
        <v>0</v>
      </c>
      <c r="HM442" s="1">
        <v>0</v>
      </c>
      <c r="HO442" s="1" t="s">
        <v>360</v>
      </c>
      <c r="HP442" s="1">
        <v>0</v>
      </c>
      <c r="HQ442" s="1">
        <v>0</v>
      </c>
      <c r="HR442" s="1">
        <v>0</v>
      </c>
    </row>
    <row r="443" spans="2:226">
      <c r="B443" s="1">
        <f>10000000+INDEX(编号表!$B$1:$B$112,MATCH(D443,编号表!$A$1:$A$112,0))*10000+I443</f>
        <v>10670001</v>
      </c>
      <c r="C443" s="1" t="s">
        <v>491</v>
      </c>
      <c r="D443" s="1" t="s">
        <v>491</v>
      </c>
      <c r="E443" s="1" t="s">
        <v>469</v>
      </c>
      <c r="F443" s="1" t="s">
        <v>492</v>
      </c>
      <c r="G443" s="1">
        <v>1</v>
      </c>
      <c r="H443" s="1" t="b">
        <v>0</v>
      </c>
      <c r="I443" s="1">
        <v>1</v>
      </c>
      <c r="J443" s="1">
        <v>106700</v>
      </c>
      <c r="K443" s="1" t="s">
        <v>350</v>
      </c>
      <c r="M443" s="1">
        <v>10670002</v>
      </c>
      <c r="N443" s="1" t="s">
        <v>493</v>
      </c>
      <c r="O443" s="1">
        <v>10902010</v>
      </c>
      <c r="P443" s="1">
        <v>0</v>
      </c>
      <c r="Q443" s="1">
        <v>0</v>
      </c>
      <c r="R443" s="1">
        <v>1</v>
      </c>
      <c r="AY443" s="1" t="s">
        <v>449</v>
      </c>
      <c r="AZ443" s="1">
        <v>0</v>
      </c>
      <c r="GX443" s="1">
        <v>0</v>
      </c>
      <c r="GY443" s="1">
        <v>0</v>
      </c>
      <c r="GZ443" s="1" t="s">
        <v>449</v>
      </c>
      <c r="HA443" s="1">
        <v>0</v>
      </c>
      <c r="HD443" s="1">
        <v>0</v>
      </c>
      <c r="HF443" s="1">
        <v>0</v>
      </c>
      <c r="HG443" s="1">
        <v>0</v>
      </c>
      <c r="HH443" s="1">
        <v>0</v>
      </c>
      <c r="HI443" s="1">
        <v>0</v>
      </c>
      <c r="HJ443" s="1">
        <v>0</v>
      </c>
      <c r="HK443" s="1" t="b">
        <v>0</v>
      </c>
      <c r="HM443" s="1">
        <v>0</v>
      </c>
      <c r="HO443" s="1" t="s">
        <v>360</v>
      </c>
      <c r="HP443" s="1">
        <v>0</v>
      </c>
      <c r="HQ443" s="1">
        <v>0</v>
      </c>
      <c r="HR443" s="1">
        <v>0</v>
      </c>
    </row>
    <row r="444" spans="2:226">
      <c r="B444" s="1">
        <f>10000000+INDEX(编号表!$B$1:$B$112,MATCH(D444,编号表!$A$1:$A$112,0))*10000+I444</f>
        <v>10670002</v>
      </c>
      <c r="C444" s="1" t="s">
        <v>491</v>
      </c>
      <c r="D444" s="1" t="s">
        <v>491</v>
      </c>
      <c r="E444" s="1" t="s">
        <v>469</v>
      </c>
      <c r="F444" s="1" t="s">
        <v>492</v>
      </c>
      <c r="G444" s="1">
        <v>1</v>
      </c>
      <c r="H444" s="1" t="b">
        <v>0</v>
      </c>
      <c r="I444" s="1">
        <v>2</v>
      </c>
      <c r="J444" s="1">
        <v>106700</v>
      </c>
      <c r="K444" s="1" t="s">
        <v>350</v>
      </c>
      <c r="L444" s="1">
        <v>10670001</v>
      </c>
      <c r="M444" s="1">
        <v>10670003</v>
      </c>
      <c r="N444" s="1" t="s">
        <v>493</v>
      </c>
      <c r="O444" s="1">
        <v>10902010</v>
      </c>
      <c r="P444" s="1">
        <v>0</v>
      </c>
      <c r="Q444" s="1">
        <v>0</v>
      </c>
      <c r="R444" s="1">
        <v>1</v>
      </c>
      <c r="AY444" s="1" t="s">
        <v>449</v>
      </c>
      <c r="AZ444" s="1">
        <v>0</v>
      </c>
      <c r="GX444" s="1">
        <v>0</v>
      </c>
      <c r="GY444" s="1">
        <v>0</v>
      </c>
      <c r="GZ444" s="1" t="s">
        <v>449</v>
      </c>
      <c r="HA444" s="1">
        <v>0</v>
      </c>
      <c r="HD444" s="1">
        <v>0</v>
      </c>
      <c r="HF444" s="1">
        <v>0</v>
      </c>
      <c r="HG444" s="1">
        <v>0</v>
      </c>
      <c r="HH444" s="1">
        <v>0</v>
      </c>
      <c r="HI444" s="1">
        <v>0</v>
      </c>
      <c r="HJ444" s="1">
        <v>0</v>
      </c>
      <c r="HK444" s="1" t="b">
        <v>0</v>
      </c>
      <c r="HM444" s="1">
        <v>0</v>
      </c>
      <c r="HO444" s="1" t="s">
        <v>360</v>
      </c>
      <c r="HP444" s="1">
        <v>0</v>
      </c>
      <c r="HQ444" s="1">
        <v>0</v>
      </c>
      <c r="HR444" s="1">
        <v>0</v>
      </c>
    </row>
    <row r="445" spans="2:226">
      <c r="B445" s="1">
        <f>10000000+INDEX(编号表!$B$1:$B$112,MATCH(D445,编号表!$A$1:$A$112,0))*10000+I445</f>
        <v>10670003</v>
      </c>
      <c r="C445" s="1" t="s">
        <v>491</v>
      </c>
      <c r="D445" s="1" t="s">
        <v>491</v>
      </c>
      <c r="E445" s="1" t="s">
        <v>469</v>
      </c>
      <c r="F445" s="1" t="s">
        <v>492</v>
      </c>
      <c r="G445" s="1">
        <v>1</v>
      </c>
      <c r="H445" s="1" t="b">
        <v>0</v>
      </c>
      <c r="I445" s="1">
        <v>3</v>
      </c>
      <c r="J445" s="1">
        <v>106700</v>
      </c>
      <c r="K445" s="1" t="s">
        <v>350</v>
      </c>
      <c r="L445" s="1">
        <v>10670002</v>
      </c>
      <c r="M445" s="1">
        <v>10670004</v>
      </c>
      <c r="N445" s="1" t="s">
        <v>493</v>
      </c>
      <c r="O445" s="1">
        <v>10902010</v>
      </c>
      <c r="P445" s="1">
        <v>0</v>
      </c>
      <c r="Q445" s="1">
        <v>0</v>
      </c>
      <c r="R445" s="1">
        <v>1</v>
      </c>
      <c r="AY445" s="1" t="s">
        <v>449</v>
      </c>
      <c r="AZ445" s="1">
        <v>0</v>
      </c>
      <c r="GX445" s="1">
        <v>0</v>
      </c>
      <c r="GY445" s="1">
        <v>0</v>
      </c>
      <c r="GZ445" s="1" t="s">
        <v>449</v>
      </c>
      <c r="HA445" s="1">
        <v>0</v>
      </c>
      <c r="HD445" s="1">
        <v>0</v>
      </c>
      <c r="HF445" s="1">
        <v>0</v>
      </c>
      <c r="HG445" s="1">
        <v>0</v>
      </c>
      <c r="HH445" s="1">
        <v>0</v>
      </c>
      <c r="HI445" s="1">
        <v>0</v>
      </c>
      <c r="HJ445" s="1">
        <v>0</v>
      </c>
      <c r="HK445" s="1" t="b">
        <v>0</v>
      </c>
      <c r="HM445" s="1">
        <v>0</v>
      </c>
      <c r="HO445" s="1" t="s">
        <v>360</v>
      </c>
      <c r="HP445" s="1">
        <v>0</v>
      </c>
      <c r="HQ445" s="1">
        <v>0</v>
      </c>
      <c r="HR445" s="1">
        <v>0</v>
      </c>
    </row>
    <row r="446" spans="2:226">
      <c r="B446" s="1">
        <f>10000000+INDEX(编号表!$B$1:$B$112,MATCH(D446,编号表!$A$1:$A$112,0))*10000+I446</f>
        <v>10670004</v>
      </c>
      <c r="C446" s="1" t="s">
        <v>491</v>
      </c>
      <c r="D446" s="1" t="s">
        <v>491</v>
      </c>
      <c r="E446" s="1" t="s">
        <v>469</v>
      </c>
      <c r="F446" s="1" t="s">
        <v>492</v>
      </c>
      <c r="G446" s="1">
        <v>1</v>
      </c>
      <c r="H446" s="1" t="b">
        <v>0</v>
      </c>
      <c r="I446" s="1">
        <v>4</v>
      </c>
      <c r="J446" s="1">
        <v>106700</v>
      </c>
      <c r="K446" s="1" t="s">
        <v>350</v>
      </c>
      <c r="L446" s="1">
        <v>10670003</v>
      </c>
      <c r="M446" s="1">
        <v>10670005</v>
      </c>
      <c r="N446" s="1" t="s">
        <v>493</v>
      </c>
      <c r="O446" s="1">
        <v>10902010</v>
      </c>
      <c r="P446" s="1">
        <v>0</v>
      </c>
      <c r="Q446" s="1">
        <v>0</v>
      </c>
      <c r="R446" s="1">
        <v>1</v>
      </c>
      <c r="AY446" s="1" t="s">
        <v>449</v>
      </c>
      <c r="AZ446" s="1">
        <v>0</v>
      </c>
      <c r="GX446" s="1">
        <v>0</v>
      </c>
      <c r="GY446" s="1">
        <v>0</v>
      </c>
      <c r="GZ446" s="1" t="s">
        <v>449</v>
      </c>
      <c r="HA446" s="1">
        <v>0</v>
      </c>
      <c r="HD446" s="1">
        <v>0</v>
      </c>
      <c r="HF446" s="1">
        <v>0</v>
      </c>
      <c r="HG446" s="1">
        <v>0</v>
      </c>
      <c r="HH446" s="1">
        <v>0</v>
      </c>
      <c r="HI446" s="1">
        <v>0</v>
      </c>
      <c r="HJ446" s="1">
        <v>0</v>
      </c>
      <c r="HK446" s="1" t="b">
        <v>0</v>
      </c>
      <c r="HM446" s="1">
        <v>0</v>
      </c>
      <c r="HO446" s="1" t="s">
        <v>360</v>
      </c>
      <c r="HP446" s="1">
        <v>0</v>
      </c>
      <c r="HQ446" s="1">
        <v>0</v>
      </c>
      <c r="HR446" s="1">
        <v>0</v>
      </c>
    </row>
    <row r="447" spans="2:226">
      <c r="B447" s="1">
        <f>10000000+INDEX(编号表!$B$1:$B$112,MATCH(D447,编号表!$A$1:$A$112,0))*10000+I447</f>
        <v>10670005</v>
      </c>
      <c r="C447" s="1" t="s">
        <v>491</v>
      </c>
      <c r="D447" s="1" t="s">
        <v>491</v>
      </c>
      <c r="E447" s="1" t="s">
        <v>469</v>
      </c>
      <c r="F447" s="1" t="s">
        <v>492</v>
      </c>
      <c r="G447" s="1">
        <v>1</v>
      </c>
      <c r="H447" s="1" t="b">
        <v>0</v>
      </c>
      <c r="I447" s="1">
        <v>5</v>
      </c>
      <c r="J447" s="1">
        <v>106700</v>
      </c>
      <c r="K447" s="1" t="s">
        <v>350</v>
      </c>
      <c r="L447" s="1">
        <v>10670004</v>
      </c>
      <c r="M447" s="1">
        <v>10670006</v>
      </c>
      <c r="N447" s="1" t="s">
        <v>493</v>
      </c>
      <c r="O447" s="1">
        <v>10902010</v>
      </c>
      <c r="P447" s="1">
        <v>0</v>
      </c>
      <c r="Q447" s="1">
        <v>0</v>
      </c>
      <c r="R447" s="1">
        <v>1</v>
      </c>
      <c r="AY447" s="1" t="s">
        <v>449</v>
      </c>
      <c r="AZ447" s="1">
        <v>0</v>
      </c>
      <c r="GX447" s="1">
        <v>0</v>
      </c>
      <c r="GY447" s="1">
        <v>0</v>
      </c>
      <c r="GZ447" s="1" t="s">
        <v>449</v>
      </c>
      <c r="HA447" s="1">
        <v>0</v>
      </c>
      <c r="HD447" s="1">
        <v>0</v>
      </c>
      <c r="HF447" s="1">
        <v>0</v>
      </c>
      <c r="HG447" s="1">
        <v>0</v>
      </c>
      <c r="HH447" s="1">
        <v>0</v>
      </c>
      <c r="HI447" s="1">
        <v>0</v>
      </c>
      <c r="HJ447" s="1">
        <v>0</v>
      </c>
      <c r="HK447" s="1" t="b">
        <v>0</v>
      </c>
      <c r="HM447" s="1">
        <v>0</v>
      </c>
      <c r="HO447" s="1" t="s">
        <v>360</v>
      </c>
      <c r="HP447" s="1">
        <v>0</v>
      </c>
      <c r="HQ447" s="1">
        <v>0</v>
      </c>
      <c r="HR447" s="1">
        <v>0</v>
      </c>
    </row>
    <row r="448" spans="2:226">
      <c r="B448" s="1">
        <f>10000000+INDEX(编号表!$B$1:$B$112,MATCH(D448,编号表!$A$1:$A$112,0))*10000+I448</f>
        <v>10670006</v>
      </c>
      <c r="C448" s="1" t="s">
        <v>491</v>
      </c>
      <c r="D448" s="1" t="s">
        <v>491</v>
      </c>
      <c r="E448" s="1" t="s">
        <v>469</v>
      </c>
      <c r="F448" s="1" t="s">
        <v>492</v>
      </c>
      <c r="G448" s="1">
        <v>1</v>
      </c>
      <c r="H448" s="1" t="b">
        <v>0</v>
      </c>
      <c r="I448" s="1">
        <v>6</v>
      </c>
      <c r="J448" s="1">
        <v>106700</v>
      </c>
      <c r="K448" s="1" t="s">
        <v>350</v>
      </c>
      <c r="L448" s="1">
        <v>10670005</v>
      </c>
      <c r="M448" s="1">
        <v>10670007</v>
      </c>
      <c r="N448" s="1" t="s">
        <v>493</v>
      </c>
      <c r="O448" s="1">
        <v>10902010</v>
      </c>
      <c r="P448" s="1">
        <v>0</v>
      </c>
      <c r="Q448" s="1">
        <v>0</v>
      </c>
      <c r="R448" s="1">
        <v>1</v>
      </c>
      <c r="AY448" s="1" t="s">
        <v>449</v>
      </c>
      <c r="AZ448" s="1">
        <v>0</v>
      </c>
      <c r="GX448" s="1">
        <v>0</v>
      </c>
      <c r="GY448" s="1">
        <v>0</v>
      </c>
      <c r="GZ448" s="1" t="s">
        <v>449</v>
      </c>
      <c r="HA448" s="1">
        <v>0</v>
      </c>
      <c r="HD448" s="1">
        <v>0</v>
      </c>
      <c r="HF448" s="1">
        <v>0</v>
      </c>
      <c r="HG448" s="1">
        <v>0</v>
      </c>
      <c r="HH448" s="1">
        <v>0</v>
      </c>
      <c r="HI448" s="1">
        <v>0</v>
      </c>
      <c r="HJ448" s="1">
        <v>0</v>
      </c>
      <c r="HK448" s="1" t="b">
        <v>0</v>
      </c>
      <c r="HM448" s="1">
        <v>0</v>
      </c>
      <c r="HO448" s="1" t="s">
        <v>360</v>
      </c>
      <c r="HP448" s="1">
        <v>0</v>
      </c>
      <c r="HQ448" s="1">
        <v>0</v>
      </c>
      <c r="HR448" s="1">
        <v>0</v>
      </c>
    </row>
    <row r="449" spans="2:226">
      <c r="B449" s="1">
        <f>10000000+INDEX(编号表!$B$1:$B$112,MATCH(D449,编号表!$A$1:$A$112,0))*10000+I449</f>
        <v>10670007</v>
      </c>
      <c r="C449" s="1" t="s">
        <v>491</v>
      </c>
      <c r="D449" s="1" t="s">
        <v>491</v>
      </c>
      <c r="E449" s="1" t="s">
        <v>469</v>
      </c>
      <c r="F449" s="1" t="s">
        <v>492</v>
      </c>
      <c r="G449" s="1">
        <v>1</v>
      </c>
      <c r="H449" s="1" t="b">
        <v>0</v>
      </c>
      <c r="I449" s="1">
        <v>7</v>
      </c>
      <c r="J449" s="1">
        <v>106700</v>
      </c>
      <c r="K449" s="1" t="s">
        <v>350</v>
      </c>
      <c r="L449" s="1">
        <v>10670006</v>
      </c>
      <c r="M449" s="1">
        <v>10670008</v>
      </c>
      <c r="N449" s="1" t="s">
        <v>493</v>
      </c>
      <c r="O449" s="1">
        <v>10902010</v>
      </c>
      <c r="P449" s="1">
        <v>0</v>
      </c>
      <c r="Q449" s="1">
        <v>0</v>
      </c>
      <c r="R449" s="1">
        <v>1</v>
      </c>
      <c r="AY449" s="1" t="s">
        <v>449</v>
      </c>
      <c r="AZ449" s="1">
        <v>0</v>
      </c>
      <c r="GX449" s="1">
        <v>0</v>
      </c>
      <c r="GY449" s="1">
        <v>0</v>
      </c>
      <c r="GZ449" s="1" t="s">
        <v>449</v>
      </c>
      <c r="HA449" s="1">
        <v>0</v>
      </c>
      <c r="HD449" s="1">
        <v>0</v>
      </c>
      <c r="HF449" s="1">
        <v>0</v>
      </c>
      <c r="HG449" s="1">
        <v>0</v>
      </c>
      <c r="HH449" s="1">
        <v>0</v>
      </c>
      <c r="HI449" s="1">
        <v>0</v>
      </c>
      <c r="HJ449" s="1">
        <v>0</v>
      </c>
      <c r="HK449" s="1" t="b">
        <v>0</v>
      </c>
      <c r="HM449" s="1">
        <v>0</v>
      </c>
      <c r="HO449" s="1" t="s">
        <v>360</v>
      </c>
      <c r="HP449" s="1">
        <v>0</v>
      </c>
      <c r="HQ449" s="1">
        <v>0</v>
      </c>
      <c r="HR449" s="1">
        <v>0</v>
      </c>
    </row>
    <row r="450" spans="2:226">
      <c r="B450" s="1">
        <f>10000000+INDEX(编号表!$B$1:$B$112,MATCH(D450,编号表!$A$1:$A$112,0))*10000+I450</f>
        <v>10670008</v>
      </c>
      <c r="C450" s="1" t="s">
        <v>491</v>
      </c>
      <c r="D450" s="1" t="s">
        <v>491</v>
      </c>
      <c r="E450" s="1" t="s">
        <v>469</v>
      </c>
      <c r="F450" s="1" t="s">
        <v>492</v>
      </c>
      <c r="G450" s="1">
        <v>1</v>
      </c>
      <c r="H450" s="1" t="b">
        <v>0</v>
      </c>
      <c r="I450" s="1">
        <v>8</v>
      </c>
      <c r="J450" s="1">
        <v>106700</v>
      </c>
      <c r="K450" s="1" t="s">
        <v>350</v>
      </c>
      <c r="L450" s="1">
        <v>10670007</v>
      </c>
      <c r="M450" s="1">
        <v>10670009</v>
      </c>
      <c r="N450" s="1" t="s">
        <v>493</v>
      </c>
      <c r="O450" s="1">
        <v>10902010</v>
      </c>
      <c r="P450" s="1">
        <v>0</v>
      </c>
      <c r="Q450" s="1">
        <v>0</v>
      </c>
      <c r="R450" s="1">
        <v>1</v>
      </c>
      <c r="AY450" s="1" t="s">
        <v>449</v>
      </c>
      <c r="AZ450" s="1">
        <v>0</v>
      </c>
      <c r="GX450" s="1">
        <v>0</v>
      </c>
      <c r="GY450" s="1">
        <v>0</v>
      </c>
      <c r="GZ450" s="1" t="s">
        <v>449</v>
      </c>
      <c r="HA450" s="1">
        <v>0</v>
      </c>
      <c r="HD450" s="1">
        <v>0</v>
      </c>
      <c r="HF450" s="1">
        <v>0</v>
      </c>
      <c r="HG450" s="1">
        <v>0</v>
      </c>
      <c r="HH450" s="1">
        <v>0</v>
      </c>
      <c r="HI450" s="1">
        <v>0</v>
      </c>
      <c r="HJ450" s="1">
        <v>0</v>
      </c>
      <c r="HK450" s="1" t="b">
        <v>0</v>
      </c>
      <c r="HM450" s="1">
        <v>0</v>
      </c>
      <c r="HO450" s="1" t="s">
        <v>360</v>
      </c>
      <c r="HP450" s="1">
        <v>0</v>
      </c>
      <c r="HQ450" s="1">
        <v>0</v>
      </c>
      <c r="HR450" s="1">
        <v>0</v>
      </c>
    </row>
    <row r="451" spans="2:226">
      <c r="B451" s="1">
        <f>10000000+INDEX(编号表!$B$1:$B$112,MATCH(D451,编号表!$A$1:$A$112,0))*10000+I451</f>
        <v>10670009</v>
      </c>
      <c r="C451" s="1" t="s">
        <v>491</v>
      </c>
      <c r="D451" s="1" t="s">
        <v>491</v>
      </c>
      <c r="E451" s="1" t="s">
        <v>469</v>
      </c>
      <c r="F451" s="1" t="s">
        <v>492</v>
      </c>
      <c r="G451" s="1">
        <v>1</v>
      </c>
      <c r="H451" s="1" t="b">
        <v>0</v>
      </c>
      <c r="I451" s="1">
        <v>9</v>
      </c>
      <c r="J451" s="1">
        <v>106700</v>
      </c>
      <c r="K451" s="1" t="s">
        <v>350</v>
      </c>
      <c r="L451" s="1">
        <v>10670008</v>
      </c>
      <c r="M451" s="1">
        <v>10670010</v>
      </c>
      <c r="N451" s="1" t="s">
        <v>493</v>
      </c>
      <c r="O451" s="1">
        <v>10902010</v>
      </c>
      <c r="P451" s="1">
        <v>0</v>
      </c>
      <c r="Q451" s="1">
        <v>0</v>
      </c>
      <c r="R451" s="1">
        <v>1</v>
      </c>
      <c r="AY451" s="1" t="s">
        <v>449</v>
      </c>
      <c r="AZ451" s="1">
        <v>0</v>
      </c>
      <c r="GX451" s="1">
        <v>0</v>
      </c>
      <c r="GY451" s="1">
        <v>0</v>
      </c>
      <c r="GZ451" s="1" t="s">
        <v>449</v>
      </c>
      <c r="HA451" s="1">
        <v>0</v>
      </c>
      <c r="HD451" s="1">
        <v>0</v>
      </c>
      <c r="HF451" s="1">
        <v>0</v>
      </c>
      <c r="HG451" s="1">
        <v>0</v>
      </c>
      <c r="HH451" s="1">
        <v>0</v>
      </c>
      <c r="HI451" s="1">
        <v>0</v>
      </c>
      <c r="HJ451" s="1">
        <v>0</v>
      </c>
      <c r="HK451" s="1" t="b">
        <v>0</v>
      </c>
      <c r="HM451" s="1">
        <v>0</v>
      </c>
      <c r="HO451" s="1" t="s">
        <v>360</v>
      </c>
      <c r="HP451" s="1">
        <v>0</v>
      </c>
      <c r="HQ451" s="1">
        <v>0</v>
      </c>
      <c r="HR451" s="1">
        <v>0</v>
      </c>
    </row>
    <row r="452" spans="2:226">
      <c r="B452" s="1">
        <f>10000000+INDEX(编号表!$B$1:$B$112,MATCH(D452,编号表!$A$1:$A$112,0))*10000+I452</f>
        <v>10670010</v>
      </c>
      <c r="C452" s="1" t="s">
        <v>491</v>
      </c>
      <c r="D452" s="1" t="s">
        <v>491</v>
      </c>
      <c r="E452" s="1" t="s">
        <v>469</v>
      </c>
      <c r="F452" s="1" t="s">
        <v>492</v>
      </c>
      <c r="G452" s="1">
        <v>1</v>
      </c>
      <c r="H452" s="1" t="b">
        <v>0</v>
      </c>
      <c r="I452" s="1">
        <v>10</v>
      </c>
      <c r="J452" s="1">
        <v>106700</v>
      </c>
      <c r="K452" s="1" t="s">
        <v>350</v>
      </c>
      <c r="L452" s="1">
        <v>10670009</v>
      </c>
      <c r="N452" s="1" t="s">
        <v>493</v>
      </c>
      <c r="O452" s="1">
        <v>10902010</v>
      </c>
      <c r="P452" s="1">
        <v>0</v>
      </c>
      <c r="Q452" s="1">
        <v>0</v>
      </c>
      <c r="R452" s="1">
        <v>1</v>
      </c>
      <c r="AY452" s="1" t="s">
        <v>449</v>
      </c>
      <c r="AZ452" s="1">
        <v>0</v>
      </c>
      <c r="GX452" s="1">
        <v>0</v>
      </c>
      <c r="GY452" s="1">
        <v>0</v>
      </c>
      <c r="GZ452" s="1" t="s">
        <v>449</v>
      </c>
      <c r="HA452" s="1">
        <v>0</v>
      </c>
      <c r="HD452" s="1">
        <v>0</v>
      </c>
      <c r="HF452" s="1">
        <v>0</v>
      </c>
      <c r="HG452" s="1">
        <v>0</v>
      </c>
      <c r="HH452" s="1">
        <v>0</v>
      </c>
      <c r="HI452" s="1">
        <v>0</v>
      </c>
      <c r="HJ452" s="1">
        <v>0</v>
      </c>
      <c r="HK452" s="1" t="b">
        <v>0</v>
      </c>
      <c r="HM452" s="1">
        <v>0</v>
      </c>
      <c r="HO452" s="1" t="s">
        <v>360</v>
      </c>
      <c r="HP452" s="1">
        <v>0</v>
      </c>
      <c r="HQ452" s="1">
        <v>0</v>
      </c>
      <c r="HR452" s="1">
        <v>0</v>
      </c>
    </row>
    <row r="453" spans="2:226">
      <c r="B453" s="1">
        <f>10000000+INDEX(编号表!$B$1:$B$112,MATCH(D453,编号表!$A$1:$A$112,0))*10000+I453</f>
        <v>10680001</v>
      </c>
      <c r="C453" s="1" t="s">
        <v>494</v>
      </c>
      <c r="D453" s="1" t="s">
        <v>494</v>
      </c>
      <c r="E453" s="1" t="s">
        <v>469</v>
      </c>
      <c r="F453" s="1" t="s">
        <v>495</v>
      </c>
      <c r="G453" s="1">
        <v>1</v>
      </c>
      <c r="H453" s="1" t="b">
        <v>0</v>
      </c>
      <c r="I453" s="1">
        <v>1</v>
      </c>
      <c r="J453" s="1">
        <v>106800</v>
      </c>
      <c r="K453" s="1" t="s">
        <v>350</v>
      </c>
      <c r="M453" s="1">
        <v>10680002</v>
      </c>
      <c r="N453" s="1" t="s">
        <v>496</v>
      </c>
      <c r="O453" s="1">
        <v>10902011</v>
      </c>
      <c r="P453" s="1">
        <v>0</v>
      </c>
      <c r="Q453" s="1">
        <v>0</v>
      </c>
      <c r="R453" s="1">
        <v>1</v>
      </c>
      <c r="T453" s="1">
        <v>100</v>
      </c>
      <c r="AY453" s="1" t="s">
        <v>449</v>
      </c>
      <c r="AZ453" s="1">
        <v>0</v>
      </c>
      <c r="GX453" s="1">
        <v>0</v>
      </c>
      <c r="GY453" s="1">
        <v>0</v>
      </c>
      <c r="GZ453" s="1" t="s">
        <v>449</v>
      </c>
      <c r="HA453" s="1">
        <v>0</v>
      </c>
      <c r="HD453" s="1">
        <v>0</v>
      </c>
      <c r="HF453" s="1">
        <v>0</v>
      </c>
      <c r="HG453" s="1">
        <v>0</v>
      </c>
      <c r="HH453" s="1">
        <v>0</v>
      </c>
      <c r="HI453" s="1">
        <v>0</v>
      </c>
      <c r="HJ453" s="1">
        <v>0</v>
      </c>
      <c r="HK453" s="1" t="b">
        <v>0</v>
      </c>
      <c r="HM453" s="1">
        <v>0</v>
      </c>
      <c r="HO453" s="1" t="s">
        <v>360</v>
      </c>
      <c r="HP453" s="1">
        <v>0</v>
      </c>
      <c r="HQ453" s="1">
        <v>0</v>
      </c>
      <c r="HR453" s="1">
        <v>0</v>
      </c>
    </row>
    <row r="454" spans="2:226">
      <c r="B454" s="1">
        <f>10000000+INDEX(编号表!$B$1:$B$112,MATCH(D454,编号表!$A$1:$A$112,0))*10000+I454</f>
        <v>10680002</v>
      </c>
      <c r="C454" s="1" t="s">
        <v>494</v>
      </c>
      <c r="D454" s="1" t="s">
        <v>494</v>
      </c>
      <c r="E454" s="1" t="s">
        <v>469</v>
      </c>
      <c r="F454" s="1" t="s">
        <v>495</v>
      </c>
      <c r="G454" s="1">
        <v>1</v>
      </c>
      <c r="H454" s="1" t="b">
        <v>0</v>
      </c>
      <c r="I454" s="1">
        <v>2</v>
      </c>
      <c r="J454" s="1">
        <v>106800</v>
      </c>
      <c r="K454" s="1" t="s">
        <v>350</v>
      </c>
      <c r="L454" s="1">
        <v>10680001</v>
      </c>
      <c r="M454" s="1">
        <v>10680003</v>
      </c>
      <c r="N454" s="1" t="s">
        <v>496</v>
      </c>
      <c r="O454" s="1">
        <v>10902011</v>
      </c>
      <c r="P454" s="1">
        <v>0</v>
      </c>
      <c r="Q454" s="1">
        <v>0</v>
      </c>
      <c r="R454" s="1">
        <v>1</v>
      </c>
      <c r="T454" s="1">
        <v>100</v>
      </c>
      <c r="AY454" s="1" t="s">
        <v>449</v>
      </c>
      <c r="AZ454" s="1">
        <v>0</v>
      </c>
      <c r="GX454" s="1">
        <v>0</v>
      </c>
      <c r="GY454" s="1">
        <v>0</v>
      </c>
      <c r="GZ454" s="1" t="s">
        <v>449</v>
      </c>
      <c r="HA454" s="1">
        <v>0</v>
      </c>
      <c r="HD454" s="1">
        <v>0</v>
      </c>
      <c r="HF454" s="1">
        <v>0</v>
      </c>
      <c r="HG454" s="1">
        <v>0</v>
      </c>
      <c r="HH454" s="1">
        <v>0</v>
      </c>
      <c r="HI454" s="1">
        <v>0</v>
      </c>
      <c r="HJ454" s="1">
        <v>0</v>
      </c>
      <c r="HK454" s="1" t="b">
        <v>0</v>
      </c>
      <c r="HM454" s="1">
        <v>0</v>
      </c>
      <c r="HO454" s="1" t="s">
        <v>360</v>
      </c>
      <c r="HP454" s="1">
        <v>0</v>
      </c>
      <c r="HQ454" s="1">
        <v>0</v>
      </c>
      <c r="HR454" s="1">
        <v>0</v>
      </c>
    </row>
    <row r="455" spans="2:226">
      <c r="B455" s="1">
        <f>10000000+INDEX(编号表!$B$1:$B$112,MATCH(D455,编号表!$A$1:$A$112,0))*10000+I455</f>
        <v>10680003</v>
      </c>
      <c r="C455" s="1" t="s">
        <v>494</v>
      </c>
      <c r="D455" s="1" t="s">
        <v>494</v>
      </c>
      <c r="E455" s="1" t="s">
        <v>469</v>
      </c>
      <c r="F455" s="1" t="s">
        <v>495</v>
      </c>
      <c r="G455" s="1">
        <v>1</v>
      </c>
      <c r="H455" s="1" t="b">
        <v>0</v>
      </c>
      <c r="I455" s="1">
        <v>3</v>
      </c>
      <c r="J455" s="1">
        <v>106800</v>
      </c>
      <c r="K455" s="1" t="s">
        <v>350</v>
      </c>
      <c r="L455" s="1">
        <v>10680002</v>
      </c>
      <c r="M455" s="1">
        <v>10680004</v>
      </c>
      <c r="N455" s="1" t="s">
        <v>496</v>
      </c>
      <c r="O455" s="1">
        <v>10902011</v>
      </c>
      <c r="P455" s="1">
        <v>0</v>
      </c>
      <c r="Q455" s="1">
        <v>0</v>
      </c>
      <c r="R455" s="1">
        <v>1</v>
      </c>
      <c r="T455" s="1">
        <v>100</v>
      </c>
      <c r="AY455" s="1" t="s">
        <v>449</v>
      </c>
      <c r="AZ455" s="1">
        <v>0</v>
      </c>
      <c r="GX455" s="1">
        <v>0</v>
      </c>
      <c r="GY455" s="1">
        <v>0</v>
      </c>
      <c r="GZ455" s="1" t="s">
        <v>449</v>
      </c>
      <c r="HA455" s="1">
        <v>0</v>
      </c>
      <c r="HD455" s="1">
        <v>0</v>
      </c>
      <c r="HF455" s="1">
        <v>0</v>
      </c>
      <c r="HG455" s="1">
        <v>0</v>
      </c>
      <c r="HH455" s="1">
        <v>0</v>
      </c>
      <c r="HI455" s="1">
        <v>0</v>
      </c>
      <c r="HJ455" s="1">
        <v>0</v>
      </c>
      <c r="HK455" s="1" t="b">
        <v>0</v>
      </c>
      <c r="HM455" s="1">
        <v>0</v>
      </c>
      <c r="HO455" s="1" t="s">
        <v>360</v>
      </c>
      <c r="HP455" s="1">
        <v>0</v>
      </c>
      <c r="HQ455" s="1">
        <v>0</v>
      </c>
      <c r="HR455" s="1">
        <v>0</v>
      </c>
    </row>
    <row r="456" spans="2:226">
      <c r="B456" s="1">
        <f>10000000+INDEX(编号表!$B$1:$B$112,MATCH(D456,编号表!$A$1:$A$112,0))*10000+I456</f>
        <v>10680004</v>
      </c>
      <c r="C456" s="1" t="s">
        <v>494</v>
      </c>
      <c r="D456" s="1" t="s">
        <v>494</v>
      </c>
      <c r="E456" s="1" t="s">
        <v>469</v>
      </c>
      <c r="F456" s="1" t="s">
        <v>495</v>
      </c>
      <c r="G456" s="1">
        <v>1</v>
      </c>
      <c r="H456" s="1" t="b">
        <v>0</v>
      </c>
      <c r="I456" s="1">
        <v>4</v>
      </c>
      <c r="J456" s="1">
        <v>106800</v>
      </c>
      <c r="K456" s="1" t="s">
        <v>350</v>
      </c>
      <c r="L456" s="1">
        <v>10680003</v>
      </c>
      <c r="M456" s="1">
        <v>10680005</v>
      </c>
      <c r="N456" s="1" t="s">
        <v>496</v>
      </c>
      <c r="O456" s="1">
        <v>10902011</v>
      </c>
      <c r="P456" s="1">
        <v>0</v>
      </c>
      <c r="Q456" s="1">
        <v>0</v>
      </c>
      <c r="R456" s="1">
        <v>1</v>
      </c>
      <c r="T456" s="1">
        <v>100</v>
      </c>
      <c r="AY456" s="1" t="s">
        <v>449</v>
      </c>
      <c r="AZ456" s="1">
        <v>0</v>
      </c>
      <c r="GX456" s="1">
        <v>0</v>
      </c>
      <c r="GY456" s="1">
        <v>0</v>
      </c>
      <c r="GZ456" s="1" t="s">
        <v>449</v>
      </c>
      <c r="HA456" s="1">
        <v>0</v>
      </c>
      <c r="HD456" s="1">
        <v>0</v>
      </c>
      <c r="HF456" s="1">
        <v>0</v>
      </c>
      <c r="HG456" s="1">
        <v>0</v>
      </c>
      <c r="HH456" s="1">
        <v>0</v>
      </c>
      <c r="HI456" s="1">
        <v>0</v>
      </c>
      <c r="HJ456" s="1">
        <v>0</v>
      </c>
      <c r="HK456" s="1" t="b">
        <v>0</v>
      </c>
      <c r="HM456" s="1">
        <v>0</v>
      </c>
      <c r="HO456" s="1" t="s">
        <v>360</v>
      </c>
      <c r="HP456" s="1">
        <v>0</v>
      </c>
      <c r="HQ456" s="1">
        <v>0</v>
      </c>
      <c r="HR456" s="1">
        <v>0</v>
      </c>
    </row>
    <row r="457" spans="2:226">
      <c r="B457" s="1">
        <f>10000000+INDEX(编号表!$B$1:$B$112,MATCH(D457,编号表!$A$1:$A$112,0))*10000+I457</f>
        <v>10680005</v>
      </c>
      <c r="C457" s="1" t="s">
        <v>494</v>
      </c>
      <c r="D457" s="1" t="s">
        <v>494</v>
      </c>
      <c r="E457" s="1" t="s">
        <v>469</v>
      </c>
      <c r="F457" s="1" t="s">
        <v>495</v>
      </c>
      <c r="G457" s="1">
        <v>1</v>
      </c>
      <c r="H457" s="1" t="b">
        <v>0</v>
      </c>
      <c r="I457" s="1">
        <v>5</v>
      </c>
      <c r="J457" s="1">
        <v>106800</v>
      </c>
      <c r="K457" s="1" t="s">
        <v>350</v>
      </c>
      <c r="L457" s="1">
        <v>10680004</v>
      </c>
      <c r="M457" s="1">
        <v>10680006</v>
      </c>
      <c r="N457" s="1" t="s">
        <v>496</v>
      </c>
      <c r="O457" s="1">
        <v>10902011</v>
      </c>
      <c r="P457" s="1">
        <v>0</v>
      </c>
      <c r="Q457" s="1">
        <v>0</v>
      </c>
      <c r="R457" s="1">
        <v>1</v>
      </c>
      <c r="T457" s="1">
        <v>100</v>
      </c>
      <c r="AY457" s="1" t="s">
        <v>449</v>
      </c>
      <c r="AZ457" s="1">
        <v>0</v>
      </c>
      <c r="GX457" s="1">
        <v>0</v>
      </c>
      <c r="GY457" s="1">
        <v>0</v>
      </c>
      <c r="GZ457" s="1" t="s">
        <v>449</v>
      </c>
      <c r="HA457" s="1">
        <v>0</v>
      </c>
      <c r="HD457" s="1">
        <v>0</v>
      </c>
      <c r="HF457" s="1">
        <v>0</v>
      </c>
      <c r="HG457" s="1">
        <v>0</v>
      </c>
      <c r="HH457" s="1">
        <v>0</v>
      </c>
      <c r="HI457" s="1">
        <v>0</v>
      </c>
      <c r="HJ457" s="1">
        <v>0</v>
      </c>
      <c r="HK457" s="1" t="b">
        <v>0</v>
      </c>
      <c r="HM457" s="1">
        <v>0</v>
      </c>
      <c r="HO457" s="1" t="s">
        <v>360</v>
      </c>
      <c r="HP457" s="1">
        <v>0</v>
      </c>
      <c r="HQ457" s="1">
        <v>0</v>
      </c>
      <c r="HR457" s="1">
        <v>0</v>
      </c>
    </row>
    <row r="458" spans="2:226">
      <c r="B458" s="1">
        <f>10000000+INDEX(编号表!$B$1:$B$112,MATCH(D458,编号表!$A$1:$A$112,0))*10000+I458</f>
        <v>10680006</v>
      </c>
      <c r="C458" s="1" t="s">
        <v>494</v>
      </c>
      <c r="D458" s="1" t="s">
        <v>494</v>
      </c>
      <c r="E458" s="1" t="s">
        <v>469</v>
      </c>
      <c r="F458" s="1" t="s">
        <v>495</v>
      </c>
      <c r="G458" s="1">
        <v>1</v>
      </c>
      <c r="H458" s="1" t="b">
        <v>0</v>
      </c>
      <c r="I458" s="1">
        <v>6</v>
      </c>
      <c r="J458" s="1">
        <v>106800</v>
      </c>
      <c r="K458" s="1" t="s">
        <v>350</v>
      </c>
      <c r="L458" s="1">
        <v>10680005</v>
      </c>
      <c r="M458" s="1">
        <v>10680007</v>
      </c>
      <c r="N458" s="1" t="s">
        <v>496</v>
      </c>
      <c r="O458" s="1">
        <v>10902011</v>
      </c>
      <c r="P458" s="1">
        <v>0</v>
      </c>
      <c r="Q458" s="1">
        <v>0</v>
      </c>
      <c r="R458" s="1">
        <v>1</v>
      </c>
      <c r="T458" s="1">
        <v>100</v>
      </c>
      <c r="AY458" s="1" t="s">
        <v>449</v>
      </c>
      <c r="AZ458" s="1">
        <v>0</v>
      </c>
      <c r="GX458" s="1">
        <v>0</v>
      </c>
      <c r="GY458" s="1">
        <v>0</v>
      </c>
      <c r="GZ458" s="1" t="s">
        <v>449</v>
      </c>
      <c r="HA458" s="1">
        <v>0</v>
      </c>
      <c r="HD458" s="1">
        <v>0</v>
      </c>
      <c r="HF458" s="1">
        <v>0</v>
      </c>
      <c r="HG458" s="1">
        <v>0</v>
      </c>
      <c r="HH458" s="1">
        <v>0</v>
      </c>
      <c r="HI458" s="1">
        <v>0</v>
      </c>
      <c r="HJ458" s="1">
        <v>0</v>
      </c>
      <c r="HK458" s="1" t="b">
        <v>0</v>
      </c>
      <c r="HM458" s="1">
        <v>0</v>
      </c>
      <c r="HO458" s="1" t="s">
        <v>360</v>
      </c>
      <c r="HP458" s="1">
        <v>0</v>
      </c>
      <c r="HQ458" s="1">
        <v>0</v>
      </c>
      <c r="HR458" s="1">
        <v>0</v>
      </c>
    </row>
    <row r="459" spans="2:226">
      <c r="B459" s="1">
        <f>10000000+INDEX(编号表!$B$1:$B$112,MATCH(D459,编号表!$A$1:$A$112,0))*10000+I459</f>
        <v>10680007</v>
      </c>
      <c r="C459" s="1" t="s">
        <v>494</v>
      </c>
      <c r="D459" s="1" t="s">
        <v>494</v>
      </c>
      <c r="E459" s="1" t="s">
        <v>469</v>
      </c>
      <c r="F459" s="1" t="s">
        <v>495</v>
      </c>
      <c r="G459" s="1">
        <v>1</v>
      </c>
      <c r="H459" s="1" t="b">
        <v>0</v>
      </c>
      <c r="I459" s="1">
        <v>7</v>
      </c>
      <c r="J459" s="1">
        <v>106800</v>
      </c>
      <c r="K459" s="1" t="s">
        <v>350</v>
      </c>
      <c r="L459" s="1">
        <v>10680006</v>
      </c>
      <c r="M459" s="1">
        <v>10680008</v>
      </c>
      <c r="N459" s="1" t="s">
        <v>496</v>
      </c>
      <c r="O459" s="1">
        <v>10902011</v>
      </c>
      <c r="P459" s="1">
        <v>0</v>
      </c>
      <c r="Q459" s="1">
        <v>0</v>
      </c>
      <c r="R459" s="1">
        <v>1</v>
      </c>
      <c r="T459" s="1">
        <v>100</v>
      </c>
      <c r="AY459" s="1" t="s">
        <v>449</v>
      </c>
      <c r="AZ459" s="1">
        <v>0</v>
      </c>
      <c r="GX459" s="1">
        <v>0</v>
      </c>
      <c r="GY459" s="1">
        <v>0</v>
      </c>
      <c r="GZ459" s="1" t="s">
        <v>449</v>
      </c>
      <c r="HA459" s="1">
        <v>0</v>
      </c>
      <c r="HD459" s="1">
        <v>0</v>
      </c>
      <c r="HF459" s="1">
        <v>0</v>
      </c>
      <c r="HG459" s="1">
        <v>0</v>
      </c>
      <c r="HH459" s="1">
        <v>0</v>
      </c>
      <c r="HI459" s="1">
        <v>0</v>
      </c>
      <c r="HJ459" s="1">
        <v>0</v>
      </c>
      <c r="HK459" s="1" t="b">
        <v>0</v>
      </c>
      <c r="HM459" s="1">
        <v>0</v>
      </c>
      <c r="HO459" s="1" t="s">
        <v>360</v>
      </c>
      <c r="HP459" s="1">
        <v>0</v>
      </c>
      <c r="HQ459" s="1">
        <v>0</v>
      </c>
      <c r="HR459" s="1">
        <v>0</v>
      </c>
    </row>
    <row r="460" spans="2:226">
      <c r="B460" s="1">
        <f>10000000+INDEX(编号表!$B$1:$B$112,MATCH(D460,编号表!$A$1:$A$112,0))*10000+I460</f>
        <v>10680008</v>
      </c>
      <c r="C460" s="1" t="s">
        <v>494</v>
      </c>
      <c r="D460" s="1" t="s">
        <v>494</v>
      </c>
      <c r="E460" s="1" t="s">
        <v>469</v>
      </c>
      <c r="F460" s="1" t="s">
        <v>495</v>
      </c>
      <c r="G460" s="1">
        <v>1</v>
      </c>
      <c r="H460" s="1" t="b">
        <v>0</v>
      </c>
      <c r="I460" s="1">
        <v>8</v>
      </c>
      <c r="J460" s="1">
        <v>106800</v>
      </c>
      <c r="K460" s="1" t="s">
        <v>350</v>
      </c>
      <c r="L460" s="1">
        <v>10680007</v>
      </c>
      <c r="M460" s="1">
        <v>10680009</v>
      </c>
      <c r="N460" s="1" t="s">
        <v>496</v>
      </c>
      <c r="O460" s="1">
        <v>10902011</v>
      </c>
      <c r="P460" s="1">
        <v>0</v>
      </c>
      <c r="Q460" s="1">
        <v>0</v>
      </c>
      <c r="R460" s="1">
        <v>1</v>
      </c>
      <c r="T460" s="1">
        <v>100</v>
      </c>
      <c r="AY460" s="1" t="s">
        <v>449</v>
      </c>
      <c r="AZ460" s="1">
        <v>0</v>
      </c>
      <c r="GX460" s="1">
        <v>0</v>
      </c>
      <c r="GY460" s="1">
        <v>0</v>
      </c>
      <c r="GZ460" s="1" t="s">
        <v>449</v>
      </c>
      <c r="HA460" s="1">
        <v>0</v>
      </c>
      <c r="HD460" s="1">
        <v>0</v>
      </c>
      <c r="HF460" s="1">
        <v>0</v>
      </c>
      <c r="HG460" s="1">
        <v>0</v>
      </c>
      <c r="HH460" s="1">
        <v>0</v>
      </c>
      <c r="HI460" s="1">
        <v>0</v>
      </c>
      <c r="HJ460" s="1">
        <v>0</v>
      </c>
      <c r="HK460" s="1" t="b">
        <v>0</v>
      </c>
      <c r="HM460" s="1">
        <v>0</v>
      </c>
      <c r="HO460" s="1" t="s">
        <v>360</v>
      </c>
      <c r="HP460" s="1">
        <v>0</v>
      </c>
      <c r="HQ460" s="1">
        <v>0</v>
      </c>
      <c r="HR460" s="1">
        <v>0</v>
      </c>
    </row>
    <row r="461" spans="2:226">
      <c r="B461" s="1">
        <f>10000000+INDEX(编号表!$B$1:$B$112,MATCH(D461,编号表!$A$1:$A$112,0))*10000+I461</f>
        <v>10680009</v>
      </c>
      <c r="C461" s="1" t="s">
        <v>494</v>
      </c>
      <c r="D461" s="1" t="s">
        <v>494</v>
      </c>
      <c r="E461" s="1" t="s">
        <v>469</v>
      </c>
      <c r="F461" s="1" t="s">
        <v>495</v>
      </c>
      <c r="G461" s="1">
        <v>1</v>
      </c>
      <c r="H461" s="1" t="b">
        <v>0</v>
      </c>
      <c r="I461" s="1">
        <v>9</v>
      </c>
      <c r="J461" s="1">
        <v>106800</v>
      </c>
      <c r="K461" s="1" t="s">
        <v>350</v>
      </c>
      <c r="L461" s="1">
        <v>10680008</v>
      </c>
      <c r="M461" s="1">
        <v>10680010</v>
      </c>
      <c r="N461" s="1" t="s">
        <v>496</v>
      </c>
      <c r="O461" s="1">
        <v>10902011</v>
      </c>
      <c r="P461" s="1">
        <v>0</v>
      </c>
      <c r="Q461" s="1">
        <v>0</v>
      </c>
      <c r="R461" s="1">
        <v>1</v>
      </c>
      <c r="T461" s="1">
        <v>100</v>
      </c>
      <c r="AY461" s="1" t="s">
        <v>449</v>
      </c>
      <c r="AZ461" s="1">
        <v>0</v>
      </c>
      <c r="GX461" s="1">
        <v>0</v>
      </c>
      <c r="GY461" s="1">
        <v>0</v>
      </c>
      <c r="GZ461" s="1" t="s">
        <v>449</v>
      </c>
      <c r="HA461" s="1">
        <v>0</v>
      </c>
      <c r="HD461" s="1">
        <v>0</v>
      </c>
      <c r="HF461" s="1">
        <v>0</v>
      </c>
      <c r="HG461" s="1">
        <v>0</v>
      </c>
      <c r="HH461" s="1">
        <v>0</v>
      </c>
      <c r="HI461" s="1">
        <v>0</v>
      </c>
      <c r="HJ461" s="1">
        <v>0</v>
      </c>
      <c r="HK461" s="1" t="b">
        <v>0</v>
      </c>
      <c r="HM461" s="1">
        <v>0</v>
      </c>
      <c r="HO461" s="1" t="s">
        <v>360</v>
      </c>
      <c r="HP461" s="1">
        <v>0</v>
      </c>
      <c r="HQ461" s="1">
        <v>0</v>
      </c>
      <c r="HR461" s="1">
        <v>0</v>
      </c>
    </row>
    <row r="462" spans="2:226">
      <c r="B462" s="1">
        <f>10000000+INDEX(编号表!$B$1:$B$112,MATCH(D462,编号表!$A$1:$A$112,0))*10000+I462</f>
        <v>10680010</v>
      </c>
      <c r="C462" s="1" t="s">
        <v>494</v>
      </c>
      <c r="D462" s="1" t="s">
        <v>494</v>
      </c>
      <c r="E462" s="1" t="s">
        <v>469</v>
      </c>
      <c r="F462" s="1" t="s">
        <v>495</v>
      </c>
      <c r="G462" s="1">
        <v>1</v>
      </c>
      <c r="H462" s="1" t="b">
        <v>0</v>
      </c>
      <c r="I462" s="1">
        <v>10</v>
      </c>
      <c r="J462" s="1">
        <v>106800</v>
      </c>
      <c r="K462" s="1" t="s">
        <v>350</v>
      </c>
      <c r="L462" s="1">
        <v>10680009</v>
      </c>
      <c r="N462" s="1" t="s">
        <v>496</v>
      </c>
      <c r="O462" s="1">
        <v>10902011</v>
      </c>
      <c r="P462" s="1">
        <v>0</v>
      </c>
      <c r="Q462" s="1">
        <v>0</v>
      </c>
      <c r="R462" s="1">
        <v>1</v>
      </c>
      <c r="T462" s="1">
        <v>100</v>
      </c>
      <c r="AY462" s="1" t="s">
        <v>449</v>
      </c>
      <c r="AZ462" s="1">
        <v>0</v>
      </c>
      <c r="GX462" s="1">
        <v>0</v>
      </c>
      <c r="GY462" s="1">
        <v>0</v>
      </c>
      <c r="GZ462" s="1" t="s">
        <v>449</v>
      </c>
      <c r="HA462" s="1">
        <v>0</v>
      </c>
      <c r="HD462" s="1">
        <v>0</v>
      </c>
      <c r="HF462" s="1">
        <v>0</v>
      </c>
      <c r="HG462" s="1">
        <v>0</v>
      </c>
      <c r="HH462" s="1">
        <v>0</v>
      </c>
      <c r="HI462" s="1">
        <v>0</v>
      </c>
      <c r="HJ462" s="1">
        <v>0</v>
      </c>
      <c r="HK462" s="1" t="b">
        <v>0</v>
      </c>
      <c r="HM462" s="1">
        <v>0</v>
      </c>
      <c r="HO462" s="1" t="s">
        <v>360</v>
      </c>
      <c r="HP462" s="1">
        <v>0</v>
      </c>
      <c r="HQ462" s="1">
        <v>0</v>
      </c>
      <c r="HR462" s="1">
        <v>0</v>
      </c>
    </row>
    <row r="463" spans="2:226">
      <c r="B463" s="1">
        <f>10000000+INDEX(编号表!$B$1:$B$112,MATCH(D463,编号表!$A$1:$A$112,0))*10000+I463</f>
        <v>10690001</v>
      </c>
      <c r="C463" s="1" t="s">
        <v>497</v>
      </c>
      <c r="D463" s="1" t="s">
        <v>497</v>
      </c>
      <c r="E463" s="1" t="s">
        <v>469</v>
      </c>
      <c r="F463" s="1" t="s">
        <v>495</v>
      </c>
      <c r="G463" s="1">
        <v>1</v>
      </c>
      <c r="H463" s="1" t="b">
        <v>0</v>
      </c>
      <c r="I463" s="1">
        <v>1</v>
      </c>
      <c r="J463" s="1">
        <v>106900</v>
      </c>
      <c r="K463" s="1" t="s">
        <v>350</v>
      </c>
      <c r="M463" s="1">
        <v>10690002</v>
      </c>
      <c r="N463" s="1" t="s">
        <v>498</v>
      </c>
      <c r="O463" s="1">
        <v>10902012</v>
      </c>
      <c r="P463" s="1">
        <v>0</v>
      </c>
      <c r="Q463" s="1">
        <v>0</v>
      </c>
      <c r="R463" s="1">
        <v>1</v>
      </c>
      <c r="T463" s="1">
        <v>100</v>
      </c>
      <c r="AY463" s="1" t="s">
        <v>449</v>
      </c>
      <c r="AZ463" s="1">
        <v>0</v>
      </c>
      <c r="GX463" s="1">
        <v>0</v>
      </c>
      <c r="GY463" s="1">
        <v>0</v>
      </c>
      <c r="GZ463" s="1" t="s">
        <v>449</v>
      </c>
      <c r="HA463" s="1">
        <v>0</v>
      </c>
      <c r="HD463" s="1">
        <v>0</v>
      </c>
      <c r="HF463" s="1">
        <v>0</v>
      </c>
      <c r="HG463" s="1">
        <v>0</v>
      </c>
      <c r="HH463" s="1">
        <v>0</v>
      </c>
      <c r="HI463" s="1">
        <v>0</v>
      </c>
      <c r="HJ463" s="1">
        <v>0</v>
      </c>
      <c r="HK463" s="1" t="b">
        <v>0</v>
      </c>
      <c r="HM463" s="1">
        <v>0</v>
      </c>
      <c r="HO463" s="1" t="s">
        <v>360</v>
      </c>
      <c r="HP463" s="1">
        <v>0</v>
      </c>
      <c r="HQ463" s="1">
        <v>0</v>
      </c>
      <c r="HR463" s="1">
        <v>0</v>
      </c>
    </row>
    <row r="464" spans="2:226">
      <c r="B464" s="1">
        <f>10000000+INDEX(编号表!$B$1:$B$112,MATCH(D464,编号表!$A$1:$A$112,0))*10000+I464</f>
        <v>10690002</v>
      </c>
      <c r="C464" s="1" t="s">
        <v>497</v>
      </c>
      <c r="D464" s="1" t="s">
        <v>497</v>
      </c>
      <c r="E464" s="1" t="s">
        <v>469</v>
      </c>
      <c r="F464" s="1" t="s">
        <v>495</v>
      </c>
      <c r="G464" s="1">
        <v>1</v>
      </c>
      <c r="H464" s="1" t="b">
        <v>0</v>
      </c>
      <c r="I464" s="1">
        <v>2</v>
      </c>
      <c r="J464" s="1">
        <v>106900</v>
      </c>
      <c r="K464" s="1" t="s">
        <v>350</v>
      </c>
      <c r="L464" s="1">
        <v>10690001</v>
      </c>
      <c r="M464" s="1">
        <v>10690003</v>
      </c>
      <c r="N464" s="1" t="s">
        <v>498</v>
      </c>
      <c r="O464" s="1">
        <v>10902012</v>
      </c>
      <c r="P464" s="1">
        <v>0</v>
      </c>
      <c r="Q464" s="1">
        <v>0</v>
      </c>
      <c r="R464" s="1">
        <v>1</v>
      </c>
      <c r="T464" s="1">
        <v>100</v>
      </c>
      <c r="AY464" s="1" t="s">
        <v>449</v>
      </c>
      <c r="AZ464" s="1">
        <v>0</v>
      </c>
      <c r="GX464" s="1">
        <v>0</v>
      </c>
      <c r="GY464" s="1">
        <v>0</v>
      </c>
      <c r="GZ464" s="1" t="s">
        <v>449</v>
      </c>
      <c r="HA464" s="1">
        <v>0</v>
      </c>
      <c r="HD464" s="1">
        <v>0</v>
      </c>
      <c r="HF464" s="1">
        <v>0</v>
      </c>
      <c r="HG464" s="1">
        <v>0</v>
      </c>
      <c r="HH464" s="1">
        <v>0</v>
      </c>
      <c r="HI464" s="1">
        <v>0</v>
      </c>
      <c r="HJ464" s="1">
        <v>0</v>
      </c>
      <c r="HK464" s="1" t="b">
        <v>0</v>
      </c>
      <c r="HM464" s="1">
        <v>0</v>
      </c>
      <c r="HO464" s="1" t="s">
        <v>360</v>
      </c>
      <c r="HP464" s="1">
        <v>0</v>
      </c>
      <c r="HQ464" s="1">
        <v>0</v>
      </c>
      <c r="HR464" s="1">
        <v>0</v>
      </c>
    </row>
    <row r="465" spans="2:226">
      <c r="B465" s="1">
        <f>10000000+INDEX(编号表!$B$1:$B$112,MATCH(D465,编号表!$A$1:$A$112,0))*10000+I465</f>
        <v>10690003</v>
      </c>
      <c r="C465" s="1" t="s">
        <v>497</v>
      </c>
      <c r="D465" s="1" t="s">
        <v>497</v>
      </c>
      <c r="E465" s="1" t="s">
        <v>469</v>
      </c>
      <c r="F465" s="1" t="s">
        <v>495</v>
      </c>
      <c r="G465" s="1">
        <v>1</v>
      </c>
      <c r="H465" s="1" t="b">
        <v>0</v>
      </c>
      <c r="I465" s="1">
        <v>3</v>
      </c>
      <c r="J465" s="1">
        <v>106900</v>
      </c>
      <c r="K465" s="1" t="s">
        <v>350</v>
      </c>
      <c r="L465" s="1">
        <v>10690002</v>
      </c>
      <c r="M465" s="1">
        <v>10690004</v>
      </c>
      <c r="N465" s="1" t="s">
        <v>498</v>
      </c>
      <c r="O465" s="1">
        <v>10902012</v>
      </c>
      <c r="P465" s="1">
        <v>0</v>
      </c>
      <c r="Q465" s="1">
        <v>0</v>
      </c>
      <c r="R465" s="1">
        <v>1</v>
      </c>
      <c r="T465" s="1">
        <v>100</v>
      </c>
      <c r="AY465" s="1" t="s">
        <v>449</v>
      </c>
      <c r="AZ465" s="1">
        <v>0</v>
      </c>
      <c r="GX465" s="1">
        <v>0</v>
      </c>
      <c r="GY465" s="1">
        <v>0</v>
      </c>
      <c r="GZ465" s="1" t="s">
        <v>449</v>
      </c>
      <c r="HA465" s="1">
        <v>0</v>
      </c>
      <c r="HD465" s="1">
        <v>0</v>
      </c>
      <c r="HF465" s="1">
        <v>0</v>
      </c>
      <c r="HG465" s="1">
        <v>0</v>
      </c>
      <c r="HH465" s="1">
        <v>0</v>
      </c>
      <c r="HI465" s="1">
        <v>0</v>
      </c>
      <c r="HJ465" s="1">
        <v>0</v>
      </c>
      <c r="HK465" s="1" t="b">
        <v>0</v>
      </c>
      <c r="HM465" s="1">
        <v>0</v>
      </c>
      <c r="HO465" s="1" t="s">
        <v>360</v>
      </c>
      <c r="HP465" s="1">
        <v>0</v>
      </c>
      <c r="HQ465" s="1">
        <v>0</v>
      </c>
      <c r="HR465" s="1">
        <v>0</v>
      </c>
    </row>
    <row r="466" spans="2:226">
      <c r="B466" s="1">
        <f>10000000+INDEX(编号表!$B$1:$B$112,MATCH(D466,编号表!$A$1:$A$112,0))*10000+I466</f>
        <v>10690004</v>
      </c>
      <c r="C466" s="1" t="s">
        <v>497</v>
      </c>
      <c r="D466" s="1" t="s">
        <v>497</v>
      </c>
      <c r="E466" s="1" t="s">
        <v>469</v>
      </c>
      <c r="F466" s="1" t="s">
        <v>495</v>
      </c>
      <c r="G466" s="1">
        <v>1</v>
      </c>
      <c r="H466" s="1" t="b">
        <v>0</v>
      </c>
      <c r="I466" s="1">
        <v>4</v>
      </c>
      <c r="J466" s="1">
        <v>106900</v>
      </c>
      <c r="K466" s="1" t="s">
        <v>350</v>
      </c>
      <c r="L466" s="1">
        <v>10690003</v>
      </c>
      <c r="M466" s="1">
        <v>10690005</v>
      </c>
      <c r="N466" s="1" t="s">
        <v>498</v>
      </c>
      <c r="O466" s="1">
        <v>10902012</v>
      </c>
      <c r="P466" s="1">
        <v>0</v>
      </c>
      <c r="Q466" s="1">
        <v>0</v>
      </c>
      <c r="R466" s="1">
        <v>1</v>
      </c>
      <c r="T466" s="1">
        <v>100</v>
      </c>
      <c r="AY466" s="1" t="s">
        <v>449</v>
      </c>
      <c r="AZ466" s="1">
        <v>0</v>
      </c>
      <c r="GX466" s="1">
        <v>0</v>
      </c>
      <c r="GY466" s="1">
        <v>0</v>
      </c>
      <c r="GZ466" s="1" t="s">
        <v>449</v>
      </c>
      <c r="HA466" s="1">
        <v>0</v>
      </c>
      <c r="HD466" s="1">
        <v>0</v>
      </c>
      <c r="HF466" s="1">
        <v>0</v>
      </c>
      <c r="HG466" s="1">
        <v>0</v>
      </c>
      <c r="HH466" s="1">
        <v>0</v>
      </c>
      <c r="HI466" s="1">
        <v>0</v>
      </c>
      <c r="HJ466" s="1">
        <v>0</v>
      </c>
      <c r="HK466" s="1" t="b">
        <v>0</v>
      </c>
      <c r="HM466" s="1">
        <v>0</v>
      </c>
      <c r="HO466" s="1" t="s">
        <v>360</v>
      </c>
      <c r="HP466" s="1">
        <v>0</v>
      </c>
      <c r="HQ466" s="1">
        <v>0</v>
      </c>
      <c r="HR466" s="1">
        <v>0</v>
      </c>
    </row>
    <row r="467" spans="2:226">
      <c r="B467" s="1">
        <f>10000000+INDEX(编号表!$B$1:$B$112,MATCH(D467,编号表!$A$1:$A$112,0))*10000+I467</f>
        <v>10690005</v>
      </c>
      <c r="C467" s="1" t="s">
        <v>497</v>
      </c>
      <c r="D467" s="1" t="s">
        <v>497</v>
      </c>
      <c r="E467" s="1" t="s">
        <v>469</v>
      </c>
      <c r="F467" s="1" t="s">
        <v>495</v>
      </c>
      <c r="G467" s="1">
        <v>1</v>
      </c>
      <c r="H467" s="1" t="b">
        <v>0</v>
      </c>
      <c r="I467" s="1">
        <v>5</v>
      </c>
      <c r="J467" s="1">
        <v>106900</v>
      </c>
      <c r="K467" s="1" t="s">
        <v>350</v>
      </c>
      <c r="L467" s="1">
        <v>10690004</v>
      </c>
      <c r="M467" s="1">
        <v>10690006</v>
      </c>
      <c r="N467" s="1" t="s">
        <v>498</v>
      </c>
      <c r="O467" s="1">
        <v>10902012</v>
      </c>
      <c r="P467" s="1">
        <v>0</v>
      </c>
      <c r="Q467" s="1">
        <v>0</v>
      </c>
      <c r="R467" s="1">
        <v>1</v>
      </c>
      <c r="T467" s="1">
        <v>100</v>
      </c>
      <c r="AY467" s="1" t="s">
        <v>449</v>
      </c>
      <c r="AZ467" s="1">
        <v>0</v>
      </c>
      <c r="GX467" s="1">
        <v>0</v>
      </c>
      <c r="GY467" s="1">
        <v>0</v>
      </c>
      <c r="GZ467" s="1" t="s">
        <v>449</v>
      </c>
      <c r="HA467" s="1">
        <v>0</v>
      </c>
      <c r="HD467" s="1">
        <v>0</v>
      </c>
      <c r="HF467" s="1">
        <v>0</v>
      </c>
      <c r="HG467" s="1">
        <v>0</v>
      </c>
      <c r="HH467" s="1">
        <v>0</v>
      </c>
      <c r="HI467" s="1">
        <v>0</v>
      </c>
      <c r="HJ467" s="1">
        <v>0</v>
      </c>
      <c r="HK467" s="1" t="b">
        <v>0</v>
      </c>
      <c r="HM467" s="1">
        <v>0</v>
      </c>
      <c r="HO467" s="1" t="s">
        <v>360</v>
      </c>
      <c r="HP467" s="1">
        <v>0</v>
      </c>
      <c r="HQ467" s="1">
        <v>0</v>
      </c>
      <c r="HR467" s="1">
        <v>0</v>
      </c>
    </row>
    <row r="468" spans="2:226">
      <c r="B468" s="1">
        <f>10000000+INDEX(编号表!$B$1:$B$112,MATCH(D468,编号表!$A$1:$A$112,0))*10000+I468</f>
        <v>10690006</v>
      </c>
      <c r="C468" s="1" t="s">
        <v>497</v>
      </c>
      <c r="D468" s="1" t="s">
        <v>497</v>
      </c>
      <c r="E468" s="1" t="s">
        <v>469</v>
      </c>
      <c r="F468" s="1" t="s">
        <v>495</v>
      </c>
      <c r="G468" s="1">
        <v>1</v>
      </c>
      <c r="H468" s="1" t="b">
        <v>0</v>
      </c>
      <c r="I468" s="1">
        <v>6</v>
      </c>
      <c r="J468" s="1">
        <v>106900</v>
      </c>
      <c r="K468" s="1" t="s">
        <v>350</v>
      </c>
      <c r="L468" s="1">
        <v>10690005</v>
      </c>
      <c r="M468" s="1">
        <v>10690007</v>
      </c>
      <c r="N468" s="1" t="s">
        <v>498</v>
      </c>
      <c r="O468" s="1">
        <v>10902012</v>
      </c>
      <c r="P468" s="1">
        <v>0</v>
      </c>
      <c r="Q468" s="1">
        <v>0</v>
      </c>
      <c r="R468" s="1">
        <v>1</v>
      </c>
      <c r="T468" s="1">
        <v>100</v>
      </c>
      <c r="AY468" s="1" t="s">
        <v>449</v>
      </c>
      <c r="AZ468" s="1">
        <v>0</v>
      </c>
      <c r="GX468" s="1">
        <v>0</v>
      </c>
      <c r="GY468" s="1">
        <v>0</v>
      </c>
      <c r="GZ468" s="1" t="s">
        <v>449</v>
      </c>
      <c r="HA468" s="1">
        <v>0</v>
      </c>
      <c r="HD468" s="1">
        <v>0</v>
      </c>
      <c r="HF468" s="1">
        <v>0</v>
      </c>
      <c r="HG468" s="1">
        <v>0</v>
      </c>
      <c r="HH468" s="1">
        <v>0</v>
      </c>
      <c r="HI468" s="1">
        <v>0</v>
      </c>
      <c r="HJ468" s="1">
        <v>0</v>
      </c>
      <c r="HK468" s="1" t="b">
        <v>0</v>
      </c>
      <c r="HM468" s="1">
        <v>0</v>
      </c>
      <c r="HO468" s="1" t="s">
        <v>360</v>
      </c>
      <c r="HP468" s="1">
        <v>0</v>
      </c>
      <c r="HQ468" s="1">
        <v>0</v>
      </c>
      <c r="HR468" s="1">
        <v>0</v>
      </c>
    </row>
    <row r="469" spans="2:226">
      <c r="B469" s="1">
        <f>10000000+INDEX(编号表!$B$1:$B$112,MATCH(D469,编号表!$A$1:$A$112,0))*10000+I469</f>
        <v>10690007</v>
      </c>
      <c r="C469" s="1" t="s">
        <v>497</v>
      </c>
      <c r="D469" s="1" t="s">
        <v>497</v>
      </c>
      <c r="E469" s="1" t="s">
        <v>469</v>
      </c>
      <c r="F469" s="1" t="s">
        <v>495</v>
      </c>
      <c r="G469" s="1">
        <v>1</v>
      </c>
      <c r="H469" s="1" t="b">
        <v>0</v>
      </c>
      <c r="I469" s="1">
        <v>7</v>
      </c>
      <c r="J469" s="1">
        <v>106900</v>
      </c>
      <c r="K469" s="1" t="s">
        <v>350</v>
      </c>
      <c r="L469" s="1">
        <v>10690006</v>
      </c>
      <c r="M469" s="1">
        <v>10690008</v>
      </c>
      <c r="N469" s="1" t="s">
        <v>498</v>
      </c>
      <c r="O469" s="1">
        <v>10902012</v>
      </c>
      <c r="P469" s="1">
        <v>0</v>
      </c>
      <c r="Q469" s="1">
        <v>0</v>
      </c>
      <c r="R469" s="1">
        <v>1</v>
      </c>
      <c r="T469" s="1">
        <v>100</v>
      </c>
      <c r="AY469" s="1" t="s">
        <v>449</v>
      </c>
      <c r="AZ469" s="1">
        <v>0</v>
      </c>
      <c r="GX469" s="1">
        <v>0</v>
      </c>
      <c r="GY469" s="1">
        <v>0</v>
      </c>
      <c r="GZ469" s="1" t="s">
        <v>449</v>
      </c>
      <c r="HA469" s="1">
        <v>0</v>
      </c>
      <c r="HD469" s="1">
        <v>0</v>
      </c>
      <c r="HF469" s="1">
        <v>0</v>
      </c>
      <c r="HG469" s="1">
        <v>0</v>
      </c>
      <c r="HH469" s="1">
        <v>0</v>
      </c>
      <c r="HI469" s="1">
        <v>0</v>
      </c>
      <c r="HJ469" s="1">
        <v>0</v>
      </c>
      <c r="HK469" s="1" t="b">
        <v>0</v>
      </c>
      <c r="HM469" s="1">
        <v>0</v>
      </c>
      <c r="HO469" s="1" t="s">
        <v>360</v>
      </c>
      <c r="HP469" s="1">
        <v>0</v>
      </c>
      <c r="HQ469" s="1">
        <v>0</v>
      </c>
      <c r="HR469" s="1">
        <v>0</v>
      </c>
    </row>
    <row r="470" spans="2:226">
      <c r="B470" s="1">
        <f>10000000+INDEX(编号表!$B$1:$B$112,MATCH(D470,编号表!$A$1:$A$112,0))*10000+I470</f>
        <v>10690008</v>
      </c>
      <c r="C470" s="1" t="s">
        <v>497</v>
      </c>
      <c r="D470" s="1" t="s">
        <v>497</v>
      </c>
      <c r="E470" s="1" t="s">
        <v>469</v>
      </c>
      <c r="F470" s="1" t="s">
        <v>495</v>
      </c>
      <c r="G470" s="1">
        <v>1</v>
      </c>
      <c r="H470" s="1" t="b">
        <v>0</v>
      </c>
      <c r="I470" s="1">
        <v>8</v>
      </c>
      <c r="J470" s="1">
        <v>106900</v>
      </c>
      <c r="K470" s="1" t="s">
        <v>350</v>
      </c>
      <c r="L470" s="1">
        <v>10690007</v>
      </c>
      <c r="M470" s="1">
        <v>10690009</v>
      </c>
      <c r="N470" s="1" t="s">
        <v>498</v>
      </c>
      <c r="O470" s="1">
        <v>10902012</v>
      </c>
      <c r="P470" s="1">
        <v>0</v>
      </c>
      <c r="Q470" s="1">
        <v>0</v>
      </c>
      <c r="R470" s="1">
        <v>1</v>
      </c>
      <c r="T470" s="1">
        <v>100</v>
      </c>
      <c r="AY470" s="1" t="s">
        <v>449</v>
      </c>
      <c r="AZ470" s="1">
        <v>0</v>
      </c>
      <c r="GX470" s="1">
        <v>0</v>
      </c>
      <c r="GY470" s="1">
        <v>0</v>
      </c>
      <c r="GZ470" s="1" t="s">
        <v>449</v>
      </c>
      <c r="HA470" s="1">
        <v>0</v>
      </c>
      <c r="HD470" s="1">
        <v>0</v>
      </c>
      <c r="HF470" s="1">
        <v>0</v>
      </c>
      <c r="HG470" s="1">
        <v>0</v>
      </c>
      <c r="HH470" s="1">
        <v>0</v>
      </c>
      <c r="HI470" s="1">
        <v>0</v>
      </c>
      <c r="HJ470" s="1">
        <v>0</v>
      </c>
      <c r="HK470" s="1" t="b">
        <v>0</v>
      </c>
      <c r="HM470" s="1">
        <v>0</v>
      </c>
      <c r="HO470" s="1" t="s">
        <v>360</v>
      </c>
      <c r="HP470" s="1">
        <v>0</v>
      </c>
      <c r="HQ470" s="1">
        <v>0</v>
      </c>
      <c r="HR470" s="1">
        <v>0</v>
      </c>
    </row>
    <row r="471" spans="2:226">
      <c r="B471" s="1">
        <f>10000000+INDEX(编号表!$B$1:$B$112,MATCH(D471,编号表!$A$1:$A$112,0))*10000+I471</f>
        <v>10690009</v>
      </c>
      <c r="C471" s="1" t="s">
        <v>497</v>
      </c>
      <c r="D471" s="1" t="s">
        <v>497</v>
      </c>
      <c r="E471" s="1" t="s">
        <v>469</v>
      </c>
      <c r="F471" s="1" t="s">
        <v>495</v>
      </c>
      <c r="G471" s="1">
        <v>1</v>
      </c>
      <c r="H471" s="1" t="b">
        <v>0</v>
      </c>
      <c r="I471" s="1">
        <v>9</v>
      </c>
      <c r="J471" s="1">
        <v>106900</v>
      </c>
      <c r="K471" s="1" t="s">
        <v>350</v>
      </c>
      <c r="L471" s="1">
        <v>10690008</v>
      </c>
      <c r="M471" s="1">
        <v>10690010</v>
      </c>
      <c r="N471" s="1" t="s">
        <v>498</v>
      </c>
      <c r="O471" s="1">
        <v>10902012</v>
      </c>
      <c r="P471" s="1">
        <v>0</v>
      </c>
      <c r="Q471" s="1">
        <v>0</v>
      </c>
      <c r="R471" s="1">
        <v>1</v>
      </c>
      <c r="T471" s="1">
        <v>100</v>
      </c>
      <c r="AY471" s="1" t="s">
        <v>449</v>
      </c>
      <c r="AZ471" s="1">
        <v>0</v>
      </c>
      <c r="GX471" s="1">
        <v>0</v>
      </c>
      <c r="GY471" s="1">
        <v>0</v>
      </c>
      <c r="GZ471" s="1" t="s">
        <v>449</v>
      </c>
      <c r="HA471" s="1">
        <v>0</v>
      </c>
      <c r="HD471" s="1">
        <v>0</v>
      </c>
      <c r="HF471" s="1">
        <v>0</v>
      </c>
      <c r="HG471" s="1">
        <v>0</v>
      </c>
      <c r="HH471" s="1">
        <v>0</v>
      </c>
      <c r="HI471" s="1">
        <v>0</v>
      </c>
      <c r="HJ471" s="1">
        <v>0</v>
      </c>
      <c r="HK471" s="1" t="b">
        <v>0</v>
      </c>
      <c r="HM471" s="1">
        <v>0</v>
      </c>
      <c r="HO471" s="1" t="s">
        <v>360</v>
      </c>
      <c r="HP471" s="1">
        <v>0</v>
      </c>
      <c r="HQ471" s="1">
        <v>0</v>
      </c>
      <c r="HR471" s="1">
        <v>0</v>
      </c>
    </row>
    <row r="472" spans="2:226">
      <c r="B472" s="1">
        <f>10000000+INDEX(编号表!$B$1:$B$112,MATCH(D472,编号表!$A$1:$A$112,0))*10000+I472</f>
        <v>10690010</v>
      </c>
      <c r="C472" s="1" t="s">
        <v>497</v>
      </c>
      <c r="D472" s="1" t="s">
        <v>497</v>
      </c>
      <c r="E472" s="1" t="s">
        <v>469</v>
      </c>
      <c r="F472" s="1" t="s">
        <v>495</v>
      </c>
      <c r="G472" s="1">
        <v>1</v>
      </c>
      <c r="H472" s="1" t="b">
        <v>0</v>
      </c>
      <c r="I472" s="1">
        <v>10</v>
      </c>
      <c r="J472" s="1">
        <v>106900</v>
      </c>
      <c r="K472" s="1" t="s">
        <v>350</v>
      </c>
      <c r="L472" s="1">
        <v>10690009</v>
      </c>
      <c r="N472" s="1" t="s">
        <v>498</v>
      </c>
      <c r="O472" s="1">
        <v>10902012</v>
      </c>
      <c r="P472" s="1">
        <v>0</v>
      </c>
      <c r="Q472" s="1">
        <v>0</v>
      </c>
      <c r="R472" s="1">
        <v>1</v>
      </c>
      <c r="T472" s="1">
        <v>100</v>
      </c>
      <c r="AY472" s="1" t="s">
        <v>449</v>
      </c>
      <c r="AZ472" s="1">
        <v>0</v>
      </c>
      <c r="GX472" s="1">
        <v>0</v>
      </c>
      <c r="GY472" s="1">
        <v>0</v>
      </c>
      <c r="GZ472" s="1" t="s">
        <v>449</v>
      </c>
      <c r="HA472" s="1">
        <v>0</v>
      </c>
      <c r="HD472" s="1">
        <v>0</v>
      </c>
      <c r="HF472" s="1">
        <v>0</v>
      </c>
      <c r="HG472" s="1">
        <v>0</v>
      </c>
      <c r="HH472" s="1">
        <v>0</v>
      </c>
      <c r="HI472" s="1">
        <v>0</v>
      </c>
      <c r="HJ472" s="1">
        <v>0</v>
      </c>
      <c r="HK472" s="1" t="b">
        <v>0</v>
      </c>
      <c r="HM472" s="1">
        <v>0</v>
      </c>
      <c r="HO472" s="1" t="s">
        <v>360</v>
      </c>
      <c r="HP472" s="1">
        <v>0</v>
      </c>
      <c r="HQ472" s="1">
        <v>0</v>
      </c>
      <c r="HR472" s="1">
        <v>0</v>
      </c>
    </row>
    <row r="473" spans="2:226">
      <c r="B473" s="1">
        <f>10000000+INDEX(编号表!$B$1:$B$112,MATCH(D473,编号表!$A$1:$A$112,0))*10000+I473</f>
        <v>10700001</v>
      </c>
      <c r="C473" s="1" t="s">
        <v>499</v>
      </c>
      <c r="D473" s="1" t="s">
        <v>499</v>
      </c>
      <c r="E473" s="1" t="s">
        <v>469</v>
      </c>
      <c r="F473" s="1" t="s">
        <v>349</v>
      </c>
      <c r="G473" s="1">
        <v>1</v>
      </c>
      <c r="H473" s="1" t="b">
        <v>0</v>
      </c>
      <c r="I473" s="1">
        <v>1</v>
      </c>
      <c r="J473" s="1">
        <v>107000</v>
      </c>
      <c r="K473" s="1" t="s">
        <v>350</v>
      </c>
      <c r="M473" s="1">
        <v>10700002</v>
      </c>
      <c r="N473" s="1" t="s">
        <v>500</v>
      </c>
      <c r="O473" s="1">
        <v>10902013</v>
      </c>
      <c r="P473" s="1">
        <v>0</v>
      </c>
      <c r="Q473" s="1">
        <v>0</v>
      </c>
      <c r="R473" s="1">
        <v>1</v>
      </c>
      <c r="T473" s="1">
        <v>100</v>
      </c>
      <c r="AY473" s="1" t="s">
        <v>449</v>
      </c>
      <c r="AZ473" s="1">
        <v>0</v>
      </c>
      <c r="GX473" s="1">
        <v>0</v>
      </c>
      <c r="GY473" s="1">
        <v>0</v>
      </c>
      <c r="GZ473" s="1" t="s">
        <v>449</v>
      </c>
      <c r="HA473" s="1">
        <v>0</v>
      </c>
      <c r="HD473" s="1">
        <v>0</v>
      </c>
      <c r="HF473" s="1">
        <v>0</v>
      </c>
      <c r="HG473" s="1">
        <v>0</v>
      </c>
      <c r="HH473" s="1">
        <v>0</v>
      </c>
      <c r="HI473" s="1">
        <v>0</v>
      </c>
      <c r="HJ473" s="1">
        <v>0</v>
      </c>
      <c r="HK473" s="1" t="b">
        <v>0</v>
      </c>
      <c r="HM473" s="1">
        <v>0</v>
      </c>
      <c r="HO473" s="1" t="s">
        <v>360</v>
      </c>
      <c r="HP473" s="1">
        <v>0</v>
      </c>
      <c r="HQ473" s="1">
        <v>0</v>
      </c>
      <c r="HR473" s="1">
        <v>0</v>
      </c>
    </row>
    <row r="474" spans="2:226">
      <c r="B474" s="1">
        <f>10000000+INDEX(编号表!$B$1:$B$112,MATCH(D474,编号表!$A$1:$A$112,0))*10000+I474</f>
        <v>10700002</v>
      </c>
      <c r="C474" s="1" t="s">
        <v>499</v>
      </c>
      <c r="D474" s="1" t="s">
        <v>499</v>
      </c>
      <c r="E474" s="1" t="s">
        <v>469</v>
      </c>
      <c r="F474" s="1" t="s">
        <v>349</v>
      </c>
      <c r="G474" s="1">
        <v>1</v>
      </c>
      <c r="H474" s="1" t="b">
        <v>0</v>
      </c>
      <c r="I474" s="1">
        <v>2</v>
      </c>
      <c r="J474" s="1">
        <v>107000</v>
      </c>
      <c r="K474" s="1" t="s">
        <v>350</v>
      </c>
      <c r="L474" s="1">
        <v>10700001</v>
      </c>
      <c r="M474" s="1">
        <v>10700003</v>
      </c>
      <c r="N474" s="1" t="s">
        <v>500</v>
      </c>
      <c r="O474" s="1">
        <v>10902013</v>
      </c>
      <c r="P474" s="1">
        <v>0</v>
      </c>
      <c r="Q474" s="1">
        <v>0</v>
      </c>
      <c r="R474" s="1">
        <v>1</v>
      </c>
      <c r="T474" s="1">
        <v>100</v>
      </c>
      <c r="AY474" s="1" t="s">
        <v>449</v>
      </c>
      <c r="AZ474" s="1">
        <v>0</v>
      </c>
      <c r="GX474" s="1">
        <v>0</v>
      </c>
      <c r="GY474" s="1">
        <v>0</v>
      </c>
      <c r="GZ474" s="1" t="s">
        <v>449</v>
      </c>
      <c r="HA474" s="1">
        <v>0</v>
      </c>
      <c r="HD474" s="1">
        <v>0</v>
      </c>
      <c r="HF474" s="1">
        <v>0</v>
      </c>
      <c r="HG474" s="1">
        <v>0</v>
      </c>
      <c r="HH474" s="1">
        <v>0</v>
      </c>
      <c r="HI474" s="1">
        <v>0</v>
      </c>
      <c r="HJ474" s="1">
        <v>0</v>
      </c>
      <c r="HK474" s="1" t="b">
        <v>0</v>
      </c>
      <c r="HM474" s="1">
        <v>0</v>
      </c>
      <c r="HO474" s="1" t="s">
        <v>360</v>
      </c>
      <c r="HP474" s="1">
        <v>0</v>
      </c>
      <c r="HQ474" s="1">
        <v>0</v>
      </c>
      <c r="HR474" s="1">
        <v>0</v>
      </c>
    </row>
    <row r="475" spans="2:226">
      <c r="B475" s="1">
        <f>10000000+INDEX(编号表!$B$1:$B$112,MATCH(D475,编号表!$A$1:$A$112,0))*10000+I475</f>
        <v>10700003</v>
      </c>
      <c r="C475" s="1" t="s">
        <v>499</v>
      </c>
      <c r="D475" s="1" t="s">
        <v>499</v>
      </c>
      <c r="E475" s="1" t="s">
        <v>469</v>
      </c>
      <c r="F475" s="1" t="s">
        <v>349</v>
      </c>
      <c r="G475" s="1">
        <v>1</v>
      </c>
      <c r="H475" s="1" t="b">
        <v>0</v>
      </c>
      <c r="I475" s="1">
        <v>3</v>
      </c>
      <c r="J475" s="1">
        <v>107000</v>
      </c>
      <c r="K475" s="1" t="s">
        <v>350</v>
      </c>
      <c r="L475" s="1">
        <v>10700002</v>
      </c>
      <c r="M475" s="1">
        <v>10700004</v>
      </c>
      <c r="N475" s="1" t="s">
        <v>500</v>
      </c>
      <c r="O475" s="1">
        <v>10902013</v>
      </c>
      <c r="P475" s="1">
        <v>0</v>
      </c>
      <c r="Q475" s="1">
        <v>0</v>
      </c>
      <c r="R475" s="1">
        <v>1</v>
      </c>
      <c r="T475" s="1">
        <v>100</v>
      </c>
      <c r="AY475" s="1" t="s">
        <v>449</v>
      </c>
      <c r="AZ475" s="1">
        <v>0</v>
      </c>
      <c r="GX475" s="1">
        <v>0</v>
      </c>
      <c r="GY475" s="1">
        <v>0</v>
      </c>
      <c r="GZ475" s="1" t="s">
        <v>449</v>
      </c>
      <c r="HA475" s="1">
        <v>0</v>
      </c>
      <c r="HD475" s="1">
        <v>0</v>
      </c>
      <c r="HF475" s="1">
        <v>0</v>
      </c>
      <c r="HG475" s="1">
        <v>0</v>
      </c>
      <c r="HH475" s="1">
        <v>0</v>
      </c>
      <c r="HI475" s="1">
        <v>0</v>
      </c>
      <c r="HJ475" s="1">
        <v>0</v>
      </c>
      <c r="HK475" s="1" t="b">
        <v>0</v>
      </c>
      <c r="HM475" s="1">
        <v>0</v>
      </c>
      <c r="HO475" s="1" t="s">
        <v>360</v>
      </c>
      <c r="HP475" s="1">
        <v>0</v>
      </c>
      <c r="HQ475" s="1">
        <v>0</v>
      </c>
      <c r="HR475" s="1">
        <v>0</v>
      </c>
    </row>
    <row r="476" spans="2:226">
      <c r="B476" s="1">
        <f>10000000+INDEX(编号表!$B$1:$B$112,MATCH(D476,编号表!$A$1:$A$112,0))*10000+I476</f>
        <v>10700004</v>
      </c>
      <c r="C476" s="1" t="s">
        <v>499</v>
      </c>
      <c r="D476" s="1" t="s">
        <v>499</v>
      </c>
      <c r="E476" s="1" t="s">
        <v>469</v>
      </c>
      <c r="F476" s="1" t="s">
        <v>349</v>
      </c>
      <c r="G476" s="1">
        <v>1</v>
      </c>
      <c r="H476" s="1" t="b">
        <v>0</v>
      </c>
      <c r="I476" s="1">
        <v>4</v>
      </c>
      <c r="J476" s="1">
        <v>107000</v>
      </c>
      <c r="K476" s="1" t="s">
        <v>350</v>
      </c>
      <c r="L476" s="1">
        <v>10700003</v>
      </c>
      <c r="M476" s="1">
        <v>10700005</v>
      </c>
      <c r="N476" s="1" t="s">
        <v>500</v>
      </c>
      <c r="O476" s="1">
        <v>10902013</v>
      </c>
      <c r="P476" s="1">
        <v>0</v>
      </c>
      <c r="Q476" s="1">
        <v>0</v>
      </c>
      <c r="R476" s="1">
        <v>1</v>
      </c>
      <c r="T476" s="1">
        <v>100</v>
      </c>
      <c r="AY476" s="1" t="s">
        <v>449</v>
      </c>
      <c r="AZ476" s="1">
        <v>0</v>
      </c>
      <c r="GX476" s="1">
        <v>0</v>
      </c>
      <c r="GY476" s="1">
        <v>0</v>
      </c>
      <c r="GZ476" s="1" t="s">
        <v>449</v>
      </c>
      <c r="HA476" s="1">
        <v>0</v>
      </c>
      <c r="HD476" s="1">
        <v>0</v>
      </c>
      <c r="HF476" s="1">
        <v>0</v>
      </c>
      <c r="HG476" s="1">
        <v>0</v>
      </c>
      <c r="HH476" s="1">
        <v>0</v>
      </c>
      <c r="HI476" s="1">
        <v>0</v>
      </c>
      <c r="HJ476" s="1">
        <v>0</v>
      </c>
      <c r="HK476" s="1" t="b">
        <v>0</v>
      </c>
      <c r="HM476" s="1">
        <v>0</v>
      </c>
      <c r="HO476" s="1" t="s">
        <v>360</v>
      </c>
      <c r="HP476" s="1">
        <v>0</v>
      </c>
      <c r="HQ476" s="1">
        <v>0</v>
      </c>
      <c r="HR476" s="1">
        <v>0</v>
      </c>
    </row>
    <row r="477" spans="2:226">
      <c r="B477" s="1">
        <f>10000000+INDEX(编号表!$B$1:$B$112,MATCH(D477,编号表!$A$1:$A$112,0))*10000+I477</f>
        <v>10700005</v>
      </c>
      <c r="C477" s="1" t="s">
        <v>499</v>
      </c>
      <c r="D477" s="1" t="s">
        <v>499</v>
      </c>
      <c r="E477" s="1" t="s">
        <v>469</v>
      </c>
      <c r="F477" s="1" t="s">
        <v>349</v>
      </c>
      <c r="G477" s="1">
        <v>1</v>
      </c>
      <c r="H477" s="1" t="b">
        <v>0</v>
      </c>
      <c r="I477" s="1">
        <v>5</v>
      </c>
      <c r="J477" s="1">
        <v>107000</v>
      </c>
      <c r="K477" s="1" t="s">
        <v>350</v>
      </c>
      <c r="L477" s="1">
        <v>10700004</v>
      </c>
      <c r="M477" s="1">
        <v>10700006</v>
      </c>
      <c r="N477" s="1" t="s">
        <v>500</v>
      </c>
      <c r="O477" s="1">
        <v>10902013</v>
      </c>
      <c r="P477" s="1">
        <v>0</v>
      </c>
      <c r="Q477" s="1">
        <v>0</v>
      </c>
      <c r="R477" s="1">
        <v>1</v>
      </c>
      <c r="T477" s="1">
        <v>100</v>
      </c>
      <c r="AY477" s="1" t="s">
        <v>449</v>
      </c>
      <c r="AZ477" s="1">
        <v>0</v>
      </c>
      <c r="GX477" s="1">
        <v>0</v>
      </c>
      <c r="GY477" s="1">
        <v>0</v>
      </c>
      <c r="GZ477" s="1" t="s">
        <v>449</v>
      </c>
      <c r="HA477" s="1">
        <v>0</v>
      </c>
      <c r="HD477" s="1">
        <v>0</v>
      </c>
      <c r="HF477" s="1">
        <v>0</v>
      </c>
      <c r="HG477" s="1">
        <v>0</v>
      </c>
      <c r="HH477" s="1">
        <v>0</v>
      </c>
      <c r="HI477" s="1">
        <v>0</v>
      </c>
      <c r="HJ477" s="1">
        <v>0</v>
      </c>
      <c r="HK477" s="1" t="b">
        <v>0</v>
      </c>
      <c r="HM477" s="1">
        <v>0</v>
      </c>
      <c r="HO477" s="1" t="s">
        <v>360</v>
      </c>
      <c r="HP477" s="1">
        <v>0</v>
      </c>
      <c r="HQ477" s="1">
        <v>0</v>
      </c>
      <c r="HR477" s="1">
        <v>0</v>
      </c>
    </row>
    <row r="478" spans="2:226">
      <c r="B478" s="1">
        <f>10000000+INDEX(编号表!$B$1:$B$112,MATCH(D478,编号表!$A$1:$A$112,0))*10000+I478</f>
        <v>10700006</v>
      </c>
      <c r="C478" s="1" t="s">
        <v>499</v>
      </c>
      <c r="D478" s="1" t="s">
        <v>499</v>
      </c>
      <c r="E478" s="1" t="s">
        <v>469</v>
      </c>
      <c r="F478" s="1" t="s">
        <v>349</v>
      </c>
      <c r="G478" s="1">
        <v>1</v>
      </c>
      <c r="H478" s="1" t="b">
        <v>0</v>
      </c>
      <c r="I478" s="1">
        <v>6</v>
      </c>
      <c r="J478" s="1">
        <v>107000</v>
      </c>
      <c r="K478" s="1" t="s">
        <v>350</v>
      </c>
      <c r="L478" s="1">
        <v>10700005</v>
      </c>
      <c r="M478" s="1">
        <v>10700007</v>
      </c>
      <c r="N478" s="1" t="s">
        <v>500</v>
      </c>
      <c r="O478" s="1">
        <v>10902013</v>
      </c>
      <c r="P478" s="1">
        <v>0</v>
      </c>
      <c r="Q478" s="1">
        <v>0</v>
      </c>
      <c r="R478" s="1">
        <v>1</v>
      </c>
      <c r="T478" s="1">
        <v>100</v>
      </c>
      <c r="AY478" s="1" t="s">
        <v>449</v>
      </c>
      <c r="AZ478" s="1">
        <v>0</v>
      </c>
      <c r="GX478" s="1">
        <v>0</v>
      </c>
      <c r="GY478" s="1">
        <v>0</v>
      </c>
      <c r="GZ478" s="1" t="s">
        <v>449</v>
      </c>
      <c r="HA478" s="1">
        <v>0</v>
      </c>
      <c r="HD478" s="1">
        <v>0</v>
      </c>
      <c r="HF478" s="1">
        <v>0</v>
      </c>
      <c r="HG478" s="1">
        <v>0</v>
      </c>
      <c r="HH478" s="1">
        <v>0</v>
      </c>
      <c r="HI478" s="1">
        <v>0</v>
      </c>
      <c r="HJ478" s="1">
        <v>0</v>
      </c>
      <c r="HK478" s="1" t="b">
        <v>0</v>
      </c>
      <c r="HM478" s="1">
        <v>0</v>
      </c>
      <c r="HO478" s="1" t="s">
        <v>360</v>
      </c>
      <c r="HP478" s="1">
        <v>0</v>
      </c>
      <c r="HQ478" s="1">
        <v>0</v>
      </c>
      <c r="HR478" s="1">
        <v>0</v>
      </c>
    </row>
    <row r="479" spans="2:226">
      <c r="B479" s="1">
        <f>10000000+INDEX(编号表!$B$1:$B$112,MATCH(D479,编号表!$A$1:$A$112,0))*10000+I479</f>
        <v>10700007</v>
      </c>
      <c r="C479" s="1" t="s">
        <v>499</v>
      </c>
      <c r="D479" s="1" t="s">
        <v>499</v>
      </c>
      <c r="E479" s="1" t="s">
        <v>469</v>
      </c>
      <c r="F479" s="1" t="s">
        <v>349</v>
      </c>
      <c r="G479" s="1">
        <v>1</v>
      </c>
      <c r="H479" s="1" t="b">
        <v>0</v>
      </c>
      <c r="I479" s="1">
        <v>7</v>
      </c>
      <c r="J479" s="1">
        <v>107000</v>
      </c>
      <c r="K479" s="1" t="s">
        <v>350</v>
      </c>
      <c r="L479" s="1">
        <v>10700006</v>
      </c>
      <c r="M479" s="1">
        <v>10700008</v>
      </c>
      <c r="N479" s="1" t="s">
        <v>500</v>
      </c>
      <c r="O479" s="1">
        <v>10902013</v>
      </c>
      <c r="P479" s="1">
        <v>0</v>
      </c>
      <c r="Q479" s="1">
        <v>0</v>
      </c>
      <c r="R479" s="1">
        <v>1</v>
      </c>
      <c r="T479" s="1">
        <v>100</v>
      </c>
      <c r="AY479" s="1" t="s">
        <v>449</v>
      </c>
      <c r="AZ479" s="1">
        <v>0</v>
      </c>
      <c r="GX479" s="1">
        <v>0</v>
      </c>
      <c r="GY479" s="1">
        <v>0</v>
      </c>
      <c r="GZ479" s="1" t="s">
        <v>449</v>
      </c>
      <c r="HA479" s="1">
        <v>0</v>
      </c>
      <c r="HD479" s="1">
        <v>0</v>
      </c>
      <c r="HF479" s="1">
        <v>0</v>
      </c>
      <c r="HG479" s="1">
        <v>0</v>
      </c>
      <c r="HH479" s="1">
        <v>0</v>
      </c>
      <c r="HI479" s="1">
        <v>0</v>
      </c>
      <c r="HJ479" s="1">
        <v>0</v>
      </c>
      <c r="HK479" s="1" t="b">
        <v>0</v>
      </c>
      <c r="HM479" s="1">
        <v>0</v>
      </c>
      <c r="HO479" s="1" t="s">
        <v>360</v>
      </c>
      <c r="HP479" s="1">
        <v>0</v>
      </c>
      <c r="HQ479" s="1">
        <v>0</v>
      </c>
      <c r="HR479" s="1">
        <v>0</v>
      </c>
    </row>
    <row r="480" spans="2:226">
      <c r="B480" s="1">
        <f>10000000+INDEX(编号表!$B$1:$B$112,MATCH(D480,编号表!$A$1:$A$112,0))*10000+I480</f>
        <v>10700008</v>
      </c>
      <c r="C480" s="1" t="s">
        <v>499</v>
      </c>
      <c r="D480" s="1" t="s">
        <v>499</v>
      </c>
      <c r="E480" s="1" t="s">
        <v>469</v>
      </c>
      <c r="F480" s="1" t="s">
        <v>349</v>
      </c>
      <c r="G480" s="1">
        <v>1</v>
      </c>
      <c r="H480" s="1" t="b">
        <v>0</v>
      </c>
      <c r="I480" s="1">
        <v>8</v>
      </c>
      <c r="J480" s="1">
        <v>107000</v>
      </c>
      <c r="K480" s="1" t="s">
        <v>350</v>
      </c>
      <c r="L480" s="1">
        <v>10700007</v>
      </c>
      <c r="M480" s="1">
        <v>10700009</v>
      </c>
      <c r="N480" s="1" t="s">
        <v>500</v>
      </c>
      <c r="O480" s="1">
        <v>10902013</v>
      </c>
      <c r="P480" s="1">
        <v>0</v>
      </c>
      <c r="Q480" s="1">
        <v>0</v>
      </c>
      <c r="R480" s="1">
        <v>1</v>
      </c>
      <c r="T480" s="1">
        <v>100</v>
      </c>
      <c r="AY480" s="1" t="s">
        <v>449</v>
      </c>
      <c r="AZ480" s="1">
        <v>0</v>
      </c>
      <c r="GX480" s="1">
        <v>0</v>
      </c>
      <c r="GY480" s="1">
        <v>0</v>
      </c>
      <c r="GZ480" s="1" t="s">
        <v>449</v>
      </c>
      <c r="HA480" s="1">
        <v>0</v>
      </c>
      <c r="HD480" s="1">
        <v>0</v>
      </c>
      <c r="HF480" s="1">
        <v>0</v>
      </c>
      <c r="HG480" s="1">
        <v>0</v>
      </c>
      <c r="HH480" s="1">
        <v>0</v>
      </c>
      <c r="HI480" s="1">
        <v>0</v>
      </c>
      <c r="HJ480" s="1">
        <v>0</v>
      </c>
      <c r="HK480" s="1" t="b">
        <v>0</v>
      </c>
      <c r="HM480" s="1">
        <v>0</v>
      </c>
      <c r="HO480" s="1" t="s">
        <v>360</v>
      </c>
      <c r="HP480" s="1">
        <v>0</v>
      </c>
      <c r="HQ480" s="1">
        <v>0</v>
      </c>
      <c r="HR480" s="1">
        <v>0</v>
      </c>
    </row>
    <row r="481" spans="2:226">
      <c r="B481" s="1">
        <f>10000000+INDEX(编号表!$B$1:$B$112,MATCH(D481,编号表!$A$1:$A$112,0))*10000+I481</f>
        <v>10700009</v>
      </c>
      <c r="C481" s="1" t="s">
        <v>499</v>
      </c>
      <c r="D481" s="1" t="s">
        <v>499</v>
      </c>
      <c r="E481" s="1" t="s">
        <v>469</v>
      </c>
      <c r="F481" s="1" t="s">
        <v>349</v>
      </c>
      <c r="G481" s="1">
        <v>1</v>
      </c>
      <c r="H481" s="1" t="b">
        <v>0</v>
      </c>
      <c r="I481" s="1">
        <v>9</v>
      </c>
      <c r="J481" s="1">
        <v>107000</v>
      </c>
      <c r="K481" s="1" t="s">
        <v>350</v>
      </c>
      <c r="L481" s="1">
        <v>10700008</v>
      </c>
      <c r="M481" s="1">
        <v>10700010</v>
      </c>
      <c r="N481" s="1" t="s">
        <v>500</v>
      </c>
      <c r="O481" s="1">
        <v>10902013</v>
      </c>
      <c r="P481" s="1">
        <v>0</v>
      </c>
      <c r="Q481" s="1">
        <v>0</v>
      </c>
      <c r="R481" s="1">
        <v>1</v>
      </c>
      <c r="T481" s="1">
        <v>100</v>
      </c>
      <c r="AY481" s="1" t="s">
        <v>449</v>
      </c>
      <c r="AZ481" s="1">
        <v>0</v>
      </c>
      <c r="GX481" s="1">
        <v>0</v>
      </c>
      <c r="GY481" s="1">
        <v>0</v>
      </c>
      <c r="GZ481" s="1" t="s">
        <v>449</v>
      </c>
      <c r="HA481" s="1">
        <v>0</v>
      </c>
      <c r="HD481" s="1">
        <v>0</v>
      </c>
      <c r="HF481" s="1">
        <v>0</v>
      </c>
      <c r="HG481" s="1">
        <v>0</v>
      </c>
      <c r="HH481" s="1">
        <v>0</v>
      </c>
      <c r="HI481" s="1">
        <v>0</v>
      </c>
      <c r="HJ481" s="1">
        <v>0</v>
      </c>
      <c r="HK481" s="1" t="b">
        <v>0</v>
      </c>
      <c r="HM481" s="1">
        <v>0</v>
      </c>
      <c r="HO481" s="1" t="s">
        <v>360</v>
      </c>
      <c r="HP481" s="1">
        <v>0</v>
      </c>
      <c r="HQ481" s="1">
        <v>0</v>
      </c>
      <c r="HR481" s="1">
        <v>0</v>
      </c>
    </row>
    <row r="482" spans="2:226">
      <c r="B482" s="1">
        <f>10000000+INDEX(编号表!$B$1:$B$112,MATCH(D482,编号表!$A$1:$A$112,0))*10000+I482</f>
        <v>10700010</v>
      </c>
      <c r="C482" s="1" t="s">
        <v>499</v>
      </c>
      <c r="D482" s="1" t="s">
        <v>499</v>
      </c>
      <c r="E482" s="1" t="s">
        <v>469</v>
      </c>
      <c r="F482" s="1" t="s">
        <v>349</v>
      </c>
      <c r="G482" s="1">
        <v>1</v>
      </c>
      <c r="H482" s="1" t="b">
        <v>0</v>
      </c>
      <c r="I482" s="1">
        <v>10</v>
      </c>
      <c r="J482" s="1">
        <v>107000</v>
      </c>
      <c r="K482" s="1" t="s">
        <v>350</v>
      </c>
      <c r="L482" s="1">
        <v>10700009</v>
      </c>
      <c r="N482" s="1" t="s">
        <v>500</v>
      </c>
      <c r="O482" s="1">
        <v>10902013</v>
      </c>
      <c r="P482" s="1">
        <v>0</v>
      </c>
      <c r="Q482" s="1">
        <v>0</v>
      </c>
      <c r="R482" s="1">
        <v>1</v>
      </c>
      <c r="T482" s="1">
        <v>100</v>
      </c>
      <c r="AY482" s="1" t="s">
        <v>449</v>
      </c>
      <c r="AZ482" s="1">
        <v>0</v>
      </c>
      <c r="GX482" s="1">
        <v>0</v>
      </c>
      <c r="GY482" s="1">
        <v>0</v>
      </c>
      <c r="GZ482" s="1" t="s">
        <v>449</v>
      </c>
      <c r="HA482" s="1">
        <v>0</v>
      </c>
      <c r="HD482" s="1">
        <v>0</v>
      </c>
      <c r="HF482" s="1">
        <v>0</v>
      </c>
      <c r="HG482" s="1">
        <v>0</v>
      </c>
      <c r="HH482" s="1">
        <v>0</v>
      </c>
      <c r="HI482" s="1">
        <v>0</v>
      </c>
      <c r="HJ482" s="1">
        <v>0</v>
      </c>
      <c r="HK482" s="1" t="b">
        <v>0</v>
      </c>
      <c r="HM482" s="1">
        <v>0</v>
      </c>
      <c r="HO482" s="1" t="s">
        <v>360</v>
      </c>
      <c r="HP482" s="1">
        <v>0</v>
      </c>
      <c r="HQ482" s="1">
        <v>0</v>
      </c>
      <c r="HR482" s="1">
        <v>0</v>
      </c>
    </row>
    <row r="483" spans="2:226">
      <c r="B483" s="1">
        <f>10000000+INDEX(编号表!$B$1:$B$112,MATCH(D483,编号表!$A$1:$A$112,0))*10000+I483</f>
        <v>10710001</v>
      </c>
      <c r="C483" s="1" t="s">
        <v>501</v>
      </c>
      <c r="D483" s="1" t="s">
        <v>501</v>
      </c>
      <c r="E483" s="1" t="s">
        <v>469</v>
      </c>
      <c r="F483" s="1" t="s">
        <v>397</v>
      </c>
      <c r="G483" s="1">
        <v>1</v>
      </c>
      <c r="H483" s="1" t="b">
        <v>0</v>
      </c>
      <c r="I483" s="1">
        <v>1</v>
      </c>
      <c r="J483" s="1">
        <v>107100</v>
      </c>
      <c r="K483" s="1" t="s">
        <v>350</v>
      </c>
      <c r="M483" s="1">
        <v>10710002</v>
      </c>
      <c r="N483" s="1" t="s">
        <v>502</v>
      </c>
      <c r="O483" s="1">
        <v>10902014</v>
      </c>
      <c r="P483" s="1">
        <v>0</v>
      </c>
      <c r="Q483" s="1">
        <v>0</v>
      </c>
      <c r="R483" s="1">
        <v>1</v>
      </c>
      <c r="T483" s="1">
        <v>100</v>
      </c>
      <c r="AY483" s="1" t="s">
        <v>449</v>
      </c>
      <c r="AZ483" s="1">
        <v>0</v>
      </c>
      <c r="GX483" s="1">
        <v>0</v>
      </c>
      <c r="GY483" s="1">
        <v>0</v>
      </c>
      <c r="GZ483" s="1" t="s">
        <v>449</v>
      </c>
      <c r="HA483" s="1">
        <v>0</v>
      </c>
      <c r="HD483" s="1">
        <v>0</v>
      </c>
      <c r="HF483" s="1">
        <v>0</v>
      </c>
      <c r="HG483" s="1">
        <v>0</v>
      </c>
      <c r="HH483" s="1">
        <v>0</v>
      </c>
      <c r="HI483" s="1">
        <v>0</v>
      </c>
      <c r="HJ483" s="1">
        <v>0</v>
      </c>
      <c r="HK483" s="1" t="b">
        <v>0</v>
      </c>
      <c r="HM483" s="1">
        <v>0</v>
      </c>
      <c r="HO483" s="1" t="s">
        <v>360</v>
      </c>
      <c r="HP483" s="1">
        <v>0</v>
      </c>
      <c r="HQ483" s="1">
        <v>0</v>
      </c>
      <c r="HR483" s="1">
        <v>0</v>
      </c>
    </row>
    <row r="484" spans="2:226">
      <c r="B484" s="1">
        <f>10000000+INDEX(编号表!$B$1:$B$112,MATCH(D484,编号表!$A$1:$A$112,0))*10000+I484</f>
        <v>10710002</v>
      </c>
      <c r="C484" s="1" t="s">
        <v>501</v>
      </c>
      <c r="D484" s="1" t="s">
        <v>501</v>
      </c>
      <c r="E484" s="1" t="s">
        <v>469</v>
      </c>
      <c r="F484" s="1" t="s">
        <v>397</v>
      </c>
      <c r="G484" s="1">
        <v>1</v>
      </c>
      <c r="H484" s="1" t="b">
        <v>0</v>
      </c>
      <c r="I484" s="1">
        <v>2</v>
      </c>
      <c r="J484" s="1">
        <v>107100</v>
      </c>
      <c r="K484" s="1" t="s">
        <v>350</v>
      </c>
      <c r="L484" s="1">
        <v>10710001</v>
      </c>
      <c r="M484" s="1">
        <v>10710003</v>
      </c>
      <c r="N484" s="1" t="s">
        <v>502</v>
      </c>
      <c r="O484" s="1">
        <v>10902014</v>
      </c>
      <c r="P484" s="1">
        <v>0</v>
      </c>
      <c r="Q484" s="1">
        <v>0</v>
      </c>
      <c r="R484" s="1">
        <v>1</v>
      </c>
      <c r="T484" s="1">
        <v>100</v>
      </c>
      <c r="AY484" s="1" t="s">
        <v>449</v>
      </c>
      <c r="AZ484" s="1">
        <v>0</v>
      </c>
      <c r="GX484" s="1">
        <v>0</v>
      </c>
      <c r="GY484" s="1">
        <v>0</v>
      </c>
      <c r="GZ484" s="1" t="s">
        <v>449</v>
      </c>
      <c r="HA484" s="1">
        <v>0</v>
      </c>
      <c r="HD484" s="1">
        <v>0</v>
      </c>
      <c r="HF484" s="1">
        <v>0</v>
      </c>
      <c r="HG484" s="1">
        <v>0</v>
      </c>
      <c r="HH484" s="1">
        <v>0</v>
      </c>
      <c r="HI484" s="1">
        <v>0</v>
      </c>
      <c r="HJ484" s="1">
        <v>0</v>
      </c>
      <c r="HK484" s="1" t="b">
        <v>0</v>
      </c>
      <c r="HM484" s="1">
        <v>0</v>
      </c>
      <c r="HO484" s="1" t="s">
        <v>360</v>
      </c>
      <c r="HP484" s="1">
        <v>0</v>
      </c>
      <c r="HQ484" s="1">
        <v>0</v>
      </c>
      <c r="HR484" s="1">
        <v>0</v>
      </c>
    </row>
    <row r="485" spans="2:226">
      <c r="B485" s="1">
        <f>10000000+INDEX(编号表!$B$1:$B$112,MATCH(D485,编号表!$A$1:$A$112,0))*10000+I485</f>
        <v>10710003</v>
      </c>
      <c r="C485" s="1" t="s">
        <v>501</v>
      </c>
      <c r="D485" s="1" t="s">
        <v>501</v>
      </c>
      <c r="E485" s="1" t="s">
        <v>469</v>
      </c>
      <c r="F485" s="1" t="s">
        <v>397</v>
      </c>
      <c r="G485" s="1">
        <v>1</v>
      </c>
      <c r="H485" s="1" t="b">
        <v>0</v>
      </c>
      <c r="I485" s="1">
        <v>3</v>
      </c>
      <c r="J485" s="1">
        <v>107100</v>
      </c>
      <c r="K485" s="1" t="s">
        <v>350</v>
      </c>
      <c r="L485" s="1">
        <v>10710002</v>
      </c>
      <c r="M485" s="1">
        <v>10710004</v>
      </c>
      <c r="N485" s="1" t="s">
        <v>502</v>
      </c>
      <c r="O485" s="1">
        <v>10902014</v>
      </c>
      <c r="P485" s="1">
        <v>0</v>
      </c>
      <c r="Q485" s="1">
        <v>0</v>
      </c>
      <c r="R485" s="1">
        <v>1</v>
      </c>
      <c r="T485" s="1">
        <v>100</v>
      </c>
      <c r="AY485" s="1" t="s">
        <v>449</v>
      </c>
      <c r="AZ485" s="1">
        <v>0</v>
      </c>
      <c r="GX485" s="1">
        <v>0</v>
      </c>
      <c r="GY485" s="1">
        <v>0</v>
      </c>
      <c r="GZ485" s="1" t="s">
        <v>449</v>
      </c>
      <c r="HA485" s="1">
        <v>0</v>
      </c>
      <c r="HD485" s="1">
        <v>0</v>
      </c>
      <c r="HF485" s="1">
        <v>0</v>
      </c>
      <c r="HG485" s="1">
        <v>0</v>
      </c>
      <c r="HH485" s="1">
        <v>0</v>
      </c>
      <c r="HI485" s="1">
        <v>0</v>
      </c>
      <c r="HJ485" s="1">
        <v>0</v>
      </c>
      <c r="HK485" s="1" t="b">
        <v>0</v>
      </c>
      <c r="HM485" s="1">
        <v>0</v>
      </c>
      <c r="HO485" s="1" t="s">
        <v>360</v>
      </c>
      <c r="HP485" s="1">
        <v>0</v>
      </c>
      <c r="HQ485" s="1">
        <v>0</v>
      </c>
      <c r="HR485" s="1">
        <v>0</v>
      </c>
    </row>
    <row r="486" spans="2:226">
      <c r="B486" s="1">
        <f>10000000+INDEX(编号表!$B$1:$B$112,MATCH(D486,编号表!$A$1:$A$112,0))*10000+I486</f>
        <v>10710004</v>
      </c>
      <c r="C486" s="1" t="s">
        <v>501</v>
      </c>
      <c r="D486" s="1" t="s">
        <v>501</v>
      </c>
      <c r="E486" s="1" t="s">
        <v>469</v>
      </c>
      <c r="F486" s="1" t="s">
        <v>397</v>
      </c>
      <c r="G486" s="1">
        <v>1</v>
      </c>
      <c r="H486" s="1" t="b">
        <v>0</v>
      </c>
      <c r="I486" s="1">
        <v>4</v>
      </c>
      <c r="J486" s="1">
        <v>107100</v>
      </c>
      <c r="K486" s="1" t="s">
        <v>350</v>
      </c>
      <c r="L486" s="1">
        <v>10710003</v>
      </c>
      <c r="M486" s="1">
        <v>10710005</v>
      </c>
      <c r="N486" s="1" t="s">
        <v>502</v>
      </c>
      <c r="O486" s="1">
        <v>10902014</v>
      </c>
      <c r="P486" s="1">
        <v>0</v>
      </c>
      <c r="Q486" s="1">
        <v>0</v>
      </c>
      <c r="R486" s="1">
        <v>1</v>
      </c>
      <c r="T486" s="1">
        <v>100</v>
      </c>
      <c r="AY486" s="1" t="s">
        <v>449</v>
      </c>
      <c r="AZ486" s="1">
        <v>0</v>
      </c>
      <c r="GX486" s="1">
        <v>0</v>
      </c>
      <c r="GY486" s="1">
        <v>0</v>
      </c>
      <c r="GZ486" s="1" t="s">
        <v>449</v>
      </c>
      <c r="HA486" s="1">
        <v>0</v>
      </c>
      <c r="HD486" s="1">
        <v>0</v>
      </c>
      <c r="HF486" s="1">
        <v>0</v>
      </c>
      <c r="HG486" s="1">
        <v>0</v>
      </c>
      <c r="HH486" s="1">
        <v>0</v>
      </c>
      <c r="HI486" s="1">
        <v>0</v>
      </c>
      <c r="HJ486" s="1">
        <v>0</v>
      </c>
      <c r="HK486" s="1" t="b">
        <v>0</v>
      </c>
      <c r="HM486" s="1">
        <v>0</v>
      </c>
      <c r="HO486" s="1" t="s">
        <v>360</v>
      </c>
      <c r="HP486" s="1">
        <v>0</v>
      </c>
      <c r="HQ486" s="1">
        <v>0</v>
      </c>
      <c r="HR486" s="1">
        <v>0</v>
      </c>
    </row>
    <row r="487" spans="2:226">
      <c r="B487" s="1">
        <f>10000000+INDEX(编号表!$B$1:$B$112,MATCH(D487,编号表!$A$1:$A$112,0))*10000+I487</f>
        <v>10710005</v>
      </c>
      <c r="C487" s="1" t="s">
        <v>501</v>
      </c>
      <c r="D487" s="1" t="s">
        <v>501</v>
      </c>
      <c r="E487" s="1" t="s">
        <v>469</v>
      </c>
      <c r="F487" s="1" t="s">
        <v>397</v>
      </c>
      <c r="G487" s="1">
        <v>1</v>
      </c>
      <c r="H487" s="1" t="b">
        <v>0</v>
      </c>
      <c r="I487" s="1">
        <v>5</v>
      </c>
      <c r="J487" s="1">
        <v>107100</v>
      </c>
      <c r="K487" s="1" t="s">
        <v>350</v>
      </c>
      <c r="L487" s="1">
        <v>10710004</v>
      </c>
      <c r="M487" s="1">
        <v>10710006</v>
      </c>
      <c r="N487" s="1" t="s">
        <v>502</v>
      </c>
      <c r="O487" s="1">
        <v>10902014</v>
      </c>
      <c r="P487" s="1">
        <v>0</v>
      </c>
      <c r="Q487" s="1">
        <v>0</v>
      </c>
      <c r="R487" s="1">
        <v>1</v>
      </c>
      <c r="T487" s="1">
        <v>100</v>
      </c>
      <c r="AY487" s="1" t="s">
        <v>449</v>
      </c>
      <c r="AZ487" s="1">
        <v>0</v>
      </c>
      <c r="GX487" s="1">
        <v>0</v>
      </c>
      <c r="GY487" s="1">
        <v>0</v>
      </c>
      <c r="GZ487" s="1" t="s">
        <v>449</v>
      </c>
      <c r="HA487" s="1">
        <v>0</v>
      </c>
      <c r="HD487" s="1">
        <v>0</v>
      </c>
      <c r="HF487" s="1">
        <v>0</v>
      </c>
      <c r="HG487" s="1">
        <v>0</v>
      </c>
      <c r="HH487" s="1">
        <v>0</v>
      </c>
      <c r="HI487" s="1">
        <v>0</v>
      </c>
      <c r="HJ487" s="1">
        <v>0</v>
      </c>
      <c r="HK487" s="1" t="b">
        <v>0</v>
      </c>
      <c r="HM487" s="1">
        <v>0</v>
      </c>
      <c r="HO487" s="1" t="s">
        <v>360</v>
      </c>
      <c r="HP487" s="1">
        <v>0</v>
      </c>
      <c r="HQ487" s="1">
        <v>0</v>
      </c>
      <c r="HR487" s="1">
        <v>0</v>
      </c>
    </row>
    <row r="488" spans="2:226">
      <c r="B488" s="1">
        <f>10000000+INDEX(编号表!$B$1:$B$112,MATCH(D488,编号表!$A$1:$A$112,0))*10000+I488</f>
        <v>10710006</v>
      </c>
      <c r="C488" s="1" t="s">
        <v>501</v>
      </c>
      <c r="D488" s="1" t="s">
        <v>501</v>
      </c>
      <c r="E488" s="1" t="s">
        <v>469</v>
      </c>
      <c r="F488" s="1" t="s">
        <v>397</v>
      </c>
      <c r="G488" s="1">
        <v>1</v>
      </c>
      <c r="H488" s="1" t="b">
        <v>0</v>
      </c>
      <c r="I488" s="1">
        <v>6</v>
      </c>
      <c r="J488" s="1">
        <v>107100</v>
      </c>
      <c r="K488" s="1" t="s">
        <v>350</v>
      </c>
      <c r="L488" s="1">
        <v>10710005</v>
      </c>
      <c r="M488" s="1">
        <v>10710007</v>
      </c>
      <c r="N488" s="1" t="s">
        <v>502</v>
      </c>
      <c r="O488" s="1">
        <v>10902014</v>
      </c>
      <c r="P488" s="1">
        <v>0</v>
      </c>
      <c r="Q488" s="1">
        <v>0</v>
      </c>
      <c r="R488" s="1">
        <v>1</v>
      </c>
      <c r="T488" s="1">
        <v>100</v>
      </c>
      <c r="AY488" s="1" t="s">
        <v>449</v>
      </c>
      <c r="AZ488" s="1">
        <v>0</v>
      </c>
      <c r="GX488" s="1">
        <v>0</v>
      </c>
      <c r="GY488" s="1">
        <v>0</v>
      </c>
      <c r="GZ488" s="1" t="s">
        <v>449</v>
      </c>
      <c r="HA488" s="1">
        <v>0</v>
      </c>
      <c r="HD488" s="1">
        <v>0</v>
      </c>
      <c r="HF488" s="1">
        <v>0</v>
      </c>
      <c r="HG488" s="1">
        <v>0</v>
      </c>
      <c r="HH488" s="1">
        <v>0</v>
      </c>
      <c r="HI488" s="1">
        <v>0</v>
      </c>
      <c r="HJ488" s="1">
        <v>0</v>
      </c>
      <c r="HK488" s="1" t="b">
        <v>0</v>
      </c>
      <c r="HM488" s="1">
        <v>0</v>
      </c>
      <c r="HO488" s="1" t="s">
        <v>360</v>
      </c>
      <c r="HP488" s="1">
        <v>0</v>
      </c>
      <c r="HQ488" s="1">
        <v>0</v>
      </c>
      <c r="HR488" s="1">
        <v>0</v>
      </c>
    </row>
    <row r="489" spans="2:226">
      <c r="B489" s="1">
        <f>10000000+INDEX(编号表!$B$1:$B$112,MATCH(D489,编号表!$A$1:$A$112,0))*10000+I489</f>
        <v>10710007</v>
      </c>
      <c r="C489" s="1" t="s">
        <v>501</v>
      </c>
      <c r="D489" s="1" t="s">
        <v>501</v>
      </c>
      <c r="E489" s="1" t="s">
        <v>469</v>
      </c>
      <c r="F489" s="1" t="s">
        <v>397</v>
      </c>
      <c r="G489" s="1">
        <v>1</v>
      </c>
      <c r="H489" s="1" t="b">
        <v>0</v>
      </c>
      <c r="I489" s="1">
        <v>7</v>
      </c>
      <c r="J489" s="1">
        <v>107100</v>
      </c>
      <c r="K489" s="1" t="s">
        <v>350</v>
      </c>
      <c r="L489" s="1">
        <v>10710006</v>
      </c>
      <c r="M489" s="1">
        <v>10710008</v>
      </c>
      <c r="N489" s="1" t="s">
        <v>502</v>
      </c>
      <c r="O489" s="1">
        <v>10902014</v>
      </c>
      <c r="P489" s="1">
        <v>0</v>
      </c>
      <c r="Q489" s="1">
        <v>0</v>
      </c>
      <c r="R489" s="1">
        <v>1</v>
      </c>
      <c r="T489" s="1">
        <v>100</v>
      </c>
      <c r="AY489" s="1" t="s">
        <v>449</v>
      </c>
      <c r="AZ489" s="1">
        <v>0</v>
      </c>
      <c r="GX489" s="1">
        <v>0</v>
      </c>
      <c r="GY489" s="1">
        <v>0</v>
      </c>
      <c r="GZ489" s="1" t="s">
        <v>449</v>
      </c>
      <c r="HA489" s="1">
        <v>0</v>
      </c>
      <c r="HD489" s="1">
        <v>0</v>
      </c>
      <c r="HF489" s="1">
        <v>0</v>
      </c>
      <c r="HG489" s="1">
        <v>0</v>
      </c>
      <c r="HH489" s="1">
        <v>0</v>
      </c>
      <c r="HI489" s="1">
        <v>0</v>
      </c>
      <c r="HJ489" s="1">
        <v>0</v>
      </c>
      <c r="HK489" s="1" t="b">
        <v>0</v>
      </c>
      <c r="HM489" s="1">
        <v>0</v>
      </c>
      <c r="HO489" s="1" t="s">
        <v>360</v>
      </c>
      <c r="HP489" s="1">
        <v>0</v>
      </c>
      <c r="HQ489" s="1">
        <v>0</v>
      </c>
      <c r="HR489" s="1">
        <v>0</v>
      </c>
    </row>
    <row r="490" spans="2:226">
      <c r="B490" s="1">
        <f>10000000+INDEX(编号表!$B$1:$B$112,MATCH(D490,编号表!$A$1:$A$112,0))*10000+I490</f>
        <v>10710008</v>
      </c>
      <c r="C490" s="1" t="s">
        <v>501</v>
      </c>
      <c r="D490" s="1" t="s">
        <v>501</v>
      </c>
      <c r="E490" s="1" t="s">
        <v>469</v>
      </c>
      <c r="F490" s="1" t="s">
        <v>397</v>
      </c>
      <c r="G490" s="1">
        <v>1</v>
      </c>
      <c r="H490" s="1" t="b">
        <v>0</v>
      </c>
      <c r="I490" s="1">
        <v>8</v>
      </c>
      <c r="J490" s="1">
        <v>107100</v>
      </c>
      <c r="K490" s="1" t="s">
        <v>350</v>
      </c>
      <c r="L490" s="1">
        <v>10710007</v>
      </c>
      <c r="M490" s="1">
        <v>10710009</v>
      </c>
      <c r="N490" s="1" t="s">
        <v>502</v>
      </c>
      <c r="O490" s="1">
        <v>10902014</v>
      </c>
      <c r="P490" s="1">
        <v>0</v>
      </c>
      <c r="Q490" s="1">
        <v>0</v>
      </c>
      <c r="R490" s="1">
        <v>1</v>
      </c>
      <c r="T490" s="1">
        <v>100</v>
      </c>
      <c r="AY490" s="1" t="s">
        <v>449</v>
      </c>
      <c r="AZ490" s="1">
        <v>0</v>
      </c>
      <c r="GX490" s="1">
        <v>0</v>
      </c>
      <c r="GY490" s="1">
        <v>0</v>
      </c>
      <c r="GZ490" s="1" t="s">
        <v>449</v>
      </c>
      <c r="HA490" s="1">
        <v>0</v>
      </c>
      <c r="HD490" s="1">
        <v>0</v>
      </c>
      <c r="HF490" s="1">
        <v>0</v>
      </c>
      <c r="HG490" s="1">
        <v>0</v>
      </c>
      <c r="HH490" s="1">
        <v>0</v>
      </c>
      <c r="HI490" s="1">
        <v>0</v>
      </c>
      <c r="HJ490" s="1">
        <v>0</v>
      </c>
      <c r="HK490" s="1" t="b">
        <v>0</v>
      </c>
      <c r="HM490" s="1">
        <v>0</v>
      </c>
      <c r="HO490" s="1" t="s">
        <v>360</v>
      </c>
      <c r="HP490" s="1">
        <v>0</v>
      </c>
      <c r="HQ490" s="1">
        <v>0</v>
      </c>
      <c r="HR490" s="1">
        <v>0</v>
      </c>
    </row>
    <row r="491" spans="2:226">
      <c r="B491" s="1">
        <f>10000000+INDEX(编号表!$B$1:$B$112,MATCH(D491,编号表!$A$1:$A$112,0))*10000+I491</f>
        <v>10710009</v>
      </c>
      <c r="C491" s="1" t="s">
        <v>501</v>
      </c>
      <c r="D491" s="1" t="s">
        <v>501</v>
      </c>
      <c r="E491" s="1" t="s">
        <v>469</v>
      </c>
      <c r="F491" s="1" t="s">
        <v>397</v>
      </c>
      <c r="G491" s="1">
        <v>1</v>
      </c>
      <c r="H491" s="1" t="b">
        <v>0</v>
      </c>
      <c r="I491" s="1">
        <v>9</v>
      </c>
      <c r="J491" s="1">
        <v>107100</v>
      </c>
      <c r="K491" s="1" t="s">
        <v>350</v>
      </c>
      <c r="L491" s="1">
        <v>10710008</v>
      </c>
      <c r="M491" s="1">
        <v>10710010</v>
      </c>
      <c r="N491" s="1" t="s">
        <v>502</v>
      </c>
      <c r="O491" s="1">
        <v>10902014</v>
      </c>
      <c r="P491" s="1">
        <v>0</v>
      </c>
      <c r="Q491" s="1">
        <v>0</v>
      </c>
      <c r="R491" s="1">
        <v>1</v>
      </c>
      <c r="T491" s="1">
        <v>100</v>
      </c>
      <c r="AY491" s="1" t="s">
        <v>449</v>
      </c>
      <c r="AZ491" s="1">
        <v>0</v>
      </c>
      <c r="GX491" s="1">
        <v>0</v>
      </c>
      <c r="GY491" s="1">
        <v>0</v>
      </c>
      <c r="GZ491" s="1" t="s">
        <v>449</v>
      </c>
      <c r="HA491" s="1">
        <v>0</v>
      </c>
      <c r="HD491" s="1">
        <v>0</v>
      </c>
      <c r="HF491" s="1">
        <v>0</v>
      </c>
      <c r="HG491" s="1">
        <v>0</v>
      </c>
      <c r="HH491" s="1">
        <v>0</v>
      </c>
      <c r="HI491" s="1">
        <v>0</v>
      </c>
      <c r="HJ491" s="1">
        <v>0</v>
      </c>
      <c r="HK491" s="1" t="b">
        <v>0</v>
      </c>
      <c r="HM491" s="1">
        <v>0</v>
      </c>
      <c r="HO491" s="1" t="s">
        <v>360</v>
      </c>
      <c r="HP491" s="1">
        <v>0</v>
      </c>
      <c r="HQ491" s="1">
        <v>0</v>
      </c>
      <c r="HR491" s="1">
        <v>0</v>
      </c>
    </row>
    <row r="492" spans="2:226">
      <c r="B492" s="1">
        <f>10000000+INDEX(编号表!$B$1:$B$112,MATCH(D492,编号表!$A$1:$A$112,0))*10000+I492</f>
        <v>10710010</v>
      </c>
      <c r="C492" s="1" t="s">
        <v>501</v>
      </c>
      <c r="D492" s="1" t="s">
        <v>501</v>
      </c>
      <c r="E492" s="1" t="s">
        <v>469</v>
      </c>
      <c r="F492" s="1" t="s">
        <v>397</v>
      </c>
      <c r="G492" s="1">
        <v>1</v>
      </c>
      <c r="H492" s="1" t="b">
        <v>0</v>
      </c>
      <c r="I492" s="1">
        <v>10</v>
      </c>
      <c r="J492" s="1">
        <v>107100</v>
      </c>
      <c r="K492" s="1" t="s">
        <v>350</v>
      </c>
      <c r="L492" s="1">
        <v>10710009</v>
      </c>
      <c r="N492" s="1" t="s">
        <v>502</v>
      </c>
      <c r="O492" s="1">
        <v>10902014</v>
      </c>
      <c r="P492" s="1">
        <v>0</v>
      </c>
      <c r="Q492" s="1">
        <v>0</v>
      </c>
      <c r="R492" s="1">
        <v>1</v>
      </c>
      <c r="T492" s="1">
        <v>100</v>
      </c>
      <c r="AY492" s="1" t="s">
        <v>449</v>
      </c>
      <c r="AZ492" s="1">
        <v>0</v>
      </c>
      <c r="GX492" s="1">
        <v>0</v>
      </c>
      <c r="GY492" s="1">
        <v>0</v>
      </c>
      <c r="GZ492" s="1" t="s">
        <v>449</v>
      </c>
      <c r="HA492" s="1">
        <v>0</v>
      </c>
      <c r="HD492" s="1">
        <v>0</v>
      </c>
      <c r="HF492" s="1">
        <v>0</v>
      </c>
      <c r="HG492" s="1">
        <v>0</v>
      </c>
      <c r="HH492" s="1">
        <v>0</v>
      </c>
      <c r="HI492" s="1">
        <v>0</v>
      </c>
      <c r="HJ492" s="1">
        <v>0</v>
      </c>
      <c r="HK492" s="1" t="b">
        <v>0</v>
      </c>
      <c r="HM492" s="1">
        <v>0</v>
      </c>
      <c r="HO492" s="1" t="s">
        <v>360</v>
      </c>
      <c r="HP492" s="1">
        <v>0</v>
      </c>
      <c r="HQ492" s="1">
        <v>0</v>
      </c>
      <c r="HR492" s="1">
        <v>0</v>
      </c>
    </row>
    <row r="493" spans="2:226">
      <c r="B493" s="1">
        <f>10000000+INDEX(编号表!$B$1:$B$112,MATCH(D493,编号表!$A$1:$A$112,0))*10000+I493</f>
        <v>10720001</v>
      </c>
      <c r="C493" s="1" t="s">
        <v>503</v>
      </c>
      <c r="D493" s="1" t="s">
        <v>503</v>
      </c>
      <c r="E493" s="1" t="s">
        <v>469</v>
      </c>
      <c r="F493" s="1" t="s">
        <v>362</v>
      </c>
      <c r="G493" s="1">
        <v>1</v>
      </c>
      <c r="H493" s="1" t="b">
        <v>0</v>
      </c>
      <c r="I493" s="1">
        <v>1</v>
      </c>
      <c r="J493" s="1">
        <v>107200</v>
      </c>
      <c r="K493" s="1" t="s">
        <v>350</v>
      </c>
      <c r="M493" s="1">
        <v>10720002</v>
      </c>
      <c r="N493" s="1" t="s">
        <v>504</v>
      </c>
      <c r="O493" s="1">
        <v>10902015</v>
      </c>
      <c r="P493" s="1">
        <v>0</v>
      </c>
      <c r="Q493" s="1">
        <v>0</v>
      </c>
      <c r="R493" s="1">
        <v>1</v>
      </c>
      <c r="T493" s="1">
        <v>100</v>
      </c>
      <c r="AY493" s="1" t="s">
        <v>449</v>
      </c>
      <c r="AZ493" s="1">
        <v>0</v>
      </c>
      <c r="GX493" s="1">
        <v>0</v>
      </c>
      <c r="GY493" s="1">
        <v>0</v>
      </c>
      <c r="GZ493" s="1" t="s">
        <v>449</v>
      </c>
      <c r="HA493" s="1">
        <v>0</v>
      </c>
      <c r="HD493" s="1">
        <v>0</v>
      </c>
      <c r="HF493" s="1">
        <v>0</v>
      </c>
      <c r="HG493" s="1">
        <v>0</v>
      </c>
      <c r="HH493" s="1">
        <v>0</v>
      </c>
      <c r="HI493" s="1">
        <v>0</v>
      </c>
      <c r="HJ493" s="1">
        <v>0</v>
      </c>
      <c r="HK493" s="1" t="b">
        <v>0</v>
      </c>
      <c r="HM493" s="1">
        <v>0</v>
      </c>
      <c r="HO493" s="1" t="s">
        <v>360</v>
      </c>
      <c r="HP493" s="1">
        <v>0</v>
      </c>
      <c r="HQ493" s="1">
        <v>0</v>
      </c>
      <c r="HR493" s="1">
        <v>0</v>
      </c>
    </row>
    <row r="494" spans="2:226">
      <c r="B494" s="1">
        <f>10000000+INDEX(编号表!$B$1:$B$112,MATCH(D494,编号表!$A$1:$A$112,0))*10000+I494</f>
        <v>10720002</v>
      </c>
      <c r="C494" s="1" t="s">
        <v>503</v>
      </c>
      <c r="D494" s="1" t="s">
        <v>503</v>
      </c>
      <c r="E494" s="1" t="s">
        <v>469</v>
      </c>
      <c r="F494" s="1" t="s">
        <v>362</v>
      </c>
      <c r="G494" s="1">
        <v>1</v>
      </c>
      <c r="H494" s="1" t="b">
        <v>0</v>
      </c>
      <c r="I494" s="1">
        <v>2</v>
      </c>
      <c r="J494" s="1">
        <v>107200</v>
      </c>
      <c r="K494" s="1" t="s">
        <v>350</v>
      </c>
      <c r="L494" s="1">
        <v>10720001</v>
      </c>
      <c r="M494" s="1">
        <v>10720003</v>
      </c>
      <c r="N494" s="1" t="s">
        <v>504</v>
      </c>
      <c r="O494" s="1">
        <v>10902015</v>
      </c>
      <c r="P494" s="1">
        <v>0</v>
      </c>
      <c r="Q494" s="1">
        <v>0</v>
      </c>
      <c r="R494" s="1">
        <v>1</v>
      </c>
      <c r="T494" s="1">
        <v>100</v>
      </c>
      <c r="AY494" s="1" t="s">
        <v>449</v>
      </c>
      <c r="AZ494" s="1">
        <v>0</v>
      </c>
      <c r="GX494" s="1">
        <v>0</v>
      </c>
      <c r="GY494" s="1">
        <v>0</v>
      </c>
      <c r="GZ494" s="1" t="s">
        <v>449</v>
      </c>
      <c r="HA494" s="1">
        <v>0</v>
      </c>
      <c r="HD494" s="1">
        <v>0</v>
      </c>
      <c r="HF494" s="1">
        <v>0</v>
      </c>
      <c r="HG494" s="1">
        <v>0</v>
      </c>
      <c r="HH494" s="1">
        <v>0</v>
      </c>
      <c r="HI494" s="1">
        <v>0</v>
      </c>
      <c r="HJ494" s="1">
        <v>0</v>
      </c>
      <c r="HK494" s="1" t="b">
        <v>0</v>
      </c>
      <c r="HM494" s="1">
        <v>0</v>
      </c>
      <c r="HO494" s="1" t="s">
        <v>360</v>
      </c>
      <c r="HP494" s="1">
        <v>0</v>
      </c>
      <c r="HQ494" s="1">
        <v>0</v>
      </c>
      <c r="HR494" s="1">
        <v>0</v>
      </c>
    </row>
    <row r="495" spans="2:226">
      <c r="B495" s="1">
        <f>10000000+INDEX(编号表!$B$1:$B$112,MATCH(D495,编号表!$A$1:$A$112,0))*10000+I495</f>
        <v>10720003</v>
      </c>
      <c r="C495" s="1" t="s">
        <v>503</v>
      </c>
      <c r="D495" s="1" t="s">
        <v>503</v>
      </c>
      <c r="E495" s="1" t="s">
        <v>469</v>
      </c>
      <c r="F495" s="1" t="s">
        <v>362</v>
      </c>
      <c r="G495" s="1">
        <v>1</v>
      </c>
      <c r="H495" s="1" t="b">
        <v>0</v>
      </c>
      <c r="I495" s="1">
        <v>3</v>
      </c>
      <c r="J495" s="1">
        <v>107200</v>
      </c>
      <c r="K495" s="1" t="s">
        <v>350</v>
      </c>
      <c r="L495" s="1">
        <v>10720002</v>
      </c>
      <c r="M495" s="1">
        <v>10720004</v>
      </c>
      <c r="N495" s="1" t="s">
        <v>504</v>
      </c>
      <c r="O495" s="1">
        <v>10902015</v>
      </c>
      <c r="P495" s="1">
        <v>0</v>
      </c>
      <c r="Q495" s="1">
        <v>0</v>
      </c>
      <c r="R495" s="1">
        <v>1</v>
      </c>
      <c r="T495" s="1">
        <v>100</v>
      </c>
      <c r="AY495" s="1" t="s">
        <v>449</v>
      </c>
      <c r="AZ495" s="1">
        <v>0</v>
      </c>
      <c r="GX495" s="1">
        <v>0</v>
      </c>
      <c r="GY495" s="1">
        <v>0</v>
      </c>
      <c r="GZ495" s="1" t="s">
        <v>449</v>
      </c>
      <c r="HA495" s="1">
        <v>0</v>
      </c>
      <c r="HD495" s="1">
        <v>0</v>
      </c>
      <c r="HF495" s="1">
        <v>0</v>
      </c>
      <c r="HG495" s="1">
        <v>0</v>
      </c>
      <c r="HH495" s="1">
        <v>0</v>
      </c>
      <c r="HI495" s="1">
        <v>0</v>
      </c>
      <c r="HJ495" s="1">
        <v>0</v>
      </c>
      <c r="HK495" s="1" t="b">
        <v>0</v>
      </c>
      <c r="HM495" s="1">
        <v>0</v>
      </c>
      <c r="HO495" s="1" t="s">
        <v>360</v>
      </c>
      <c r="HP495" s="1">
        <v>0</v>
      </c>
      <c r="HQ495" s="1">
        <v>0</v>
      </c>
      <c r="HR495" s="1">
        <v>0</v>
      </c>
    </row>
    <row r="496" spans="2:226">
      <c r="B496" s="1">
        <f>10000000+INDEX(编号表!$B$1:$B$112,MATCH(D496,编号表!$A$1:$A$112,0))*10000+I496</f>
        <v>10720004</v>
      </c>
      <c r="C496" s="1" t="s">
        <v>503</v>
      </c>
      <c r="D496" s="1" t="s">
        <v>503</v>
      </c>
      <c r="E496" s="1" t="s">
        <v>469</v>
      </c>
      <c r="F496" s="1" t="s">
        <v>362</v>
      </c>
      <c r="G496" s="1">
        <v>1</v>
      </c>
      <c r="H496" s="1" t="b">
        <v>0</v>
      </c>
      <c r="I496" s="1">
        <v>4</v>
      </c>
      <c r="J496" s="1">
        <v>107200</v>
      </c>
      <c r="K496" s="1" t="s">
        <v>350</v>
      </c>
      <c r="L496" s="1">
        <v>10720003</v>
      </c>
      <c r="M496" s="1">
        <v>10720005</v>
      </c>
      <c r="N496" s="1" t="s">
        <v>504</v>
      </c>
      <c r="O496" s="1">
        <v>10902015</v>
      </c>
      <c r="P496" s="1">
        <v>0</v>
      </c>
      <c r="Q496" s="1">
        <v>0</v>
      </c>
      <c r="R496" s="1">
        <v>1</v>
      </c>
      <c r="T496" s="1">
        <v>100</v>
      </c>
      <c r="AY496" s="1" t="s">
        <v>449</v>
      </c>
      <c r="AZ496" s="1">
        <v>0</v>
      </c>
      <c r="GX496" s="1">
        <v>0</v>
      </c>
      <c r="GY496" s="1">
        <v>0</v>
      </c>
      <c r="GZ496" s="1" t="s">
        <v>449</v>
      </c>
      <c r="HA496" s="1">
        <v>0</v>
      </c>
      <c r="HD496" s="1">
        <v>0</v>
      </c>
      <c r="HF496" s="1">
        <v>0</v>
      </c>
      <c r="HG496" s="1">
        <v>0</v>
      </c>
      <c r="HH496" s="1">
        <v>0</v>
      </c>
      <c r="HI496" s="1">
        <v>0</v>
      </c>
      <c r="HJ496" s="1">
        <v>0</v>
      </c>
      <c r="HK496" s="1" t="b">
        <v>0</v>
      </c>
      <c r="HM496" s="1">
        <v>0</v>
      </c>
      <c r="HO496" s="1" t="s">
        <v>360</v>
      </c>
      <c r="HP496" s="1">
        <v>0</v>
      </c>
      <c r="HQ496" s="1">
        <v>0</v>
      </c>
      <c r="HR496" s="1">
        <v>0</v>
      </c>
    </row>
    <row r="497" spans="2:226">
      <c r="B497" s="1">
        <f>10000000+INDEX(编号表!$B$1:$B$112,MATCH(D497,编号表!$A$1:$A$112,0))*10000+I497</f>
        <v>10720005</v>
      </c>
      <c r="C497" s="1" t="s">
        <v>503</v>
      </c>
      <c r="D497" s="1" t="s">
        <v>503</v>
      </c>
      <c r="E497" s="1" t="s">
        <v>469</v>
      </c>
      <c r="F497" s="1" t="s">
        <v>362</v>
      </c>
      <c r="G497" s="1">
        <v>1</v>
      </c>
      <c r="H497" s="1" t="b">
        <v>0</v>
      </c>
      <c r="I497" s="1">
        <v>5</v>
      </c>
      <c r="J497" s="1">
        <v>107200</v>
      </c>
      <c r="K497" s="1" t="s">
        <v>350</v>
      </c>
      <c r="L497" s="1">
        <v>10720004</v>
      </c>
      <c r="M497" s="1">
        <v>10720006</v>
      </c>
      <c r="N497" s="1" t="s">
        <v>504</v>
      </c>
      <c r="O497" s="1">
        <v>10902015</v>
      </c>
      <c r="P497" s="1">
        <v>0</v>
      </c>
      <c r="Q497" s="1">
        <v>0</v>
      </c>
      <c r="R497" s="1">
        <v>1</v>
      </c>
      <c r="T497" s="1">
        <v>100</v>
      </c>
      <c r="AY497" s="1" t="s">
        <v>449</v>
      </c>
      <c r="AZ497" s="1">
        <v>0</v>
      </c>
      <c r="GX497" s="1">
        <v>0</v>
      </c>
      <c r="GY497" s="1">
        <v>0</v>
      </c>
      <c r="GZ497" s="1" t="s">
        <v>449</v>
      </c>
      <c r="HA497" s="1">
        <v>0</v>
      </c>
      <c r="HD497" s="1">
        <v>0</v>
      </c>
      <c r="HF497" s="1">
        <v>0</v>
      </c>
      <c r="HG497" s="1">
        <v>0</v>
      </c>
      <c r="HH497" s="1">
        <v>0</v>
      </c>
      <c r="HI497" s="1">
        <v>0</v>
      </c>
      <c r="HJ497" s="1">
        <v>0</v>
      </c>
      <c r="HK497" s="1" t="b">
        <v>0</v>
      </c>
      <c r="HM497" s="1">
        <v>0</v>
      </c>
      <c r="HO497" s="1" t="s">
        <v>360</v>
      </c>
      <c r="HP497" s="1">
        <v>0</v>
      </c>
      <c r="HQ497" s="1">
        <v>0</v>
      </c>
      <c r="HR497" s="1">
        <v>0</v>
      </c>
    </row>
    <row r="498" spans="2:226">
      <c r="B498" s="1">
        <f>10000000+INDEX(编号表!$B$1:$B$112,MATCH(D498,编号表!$A$1:$A$112,0))*10000+I498</f>
        <v>10720006</v>
      </c>
      <c r="C498" s="1" t="s">
        <v>503</v>
      </c>
      <c r="D498" s="1" t="s">
        <v>503</v>
      </c>
      <c r="E498" s="1" t="s">
        <v>469</v>
      </c>
      <c r="F498" s="1" t="s">
        <v>362</v>
      </c>
      <c r="G498" s="1">
        <v>1</v>
      </c>
      <c r="H498" s="1" t="b">
        <v>0</v>
      </c>
      <c r="I498" s="1">
        <v>6</v>
      </c>
      <c r="J498" s="1">
        <v>107200</v>
      </c>
      <c r="K498" s="1" t="s">
        <v>350</v>
      </c>
      <c r="L498" s="1">
        <v>10720005</v>
      </c>
      <c r="M498" s="1">
        <v>10720007</v>
      </c>
      <c r="N498" s="1" t="s">
        <v>504</v>
      </c>
      <c r="O498" s="1">
        <v>10902015</v>
      </c>
      <c r="P498" s="1">
        <v>0</v>
      </c>
      <c r="Q498" s="1">
        <v>0</v>
      </c>
      <c r="R498" s="1">
        <v>1</v>
      </c>
      <c r="T498" s="1">
        <v>100</v>
      </c>
      <c r="AY498" s="1" t="s">
        <v>449</v>
      </c>
      <c r="AZ498" s="1">
        <v>0</v>
      </c>
      <c r="GX498" s="1">
        <v>0</v>
      </c>
      <c r="GY498" s="1">
        <v>0</v>
      </c>
      <c r="GZ498" s="1" t="s">
        <v>449</v>
      </c>
      <c r="HA498" s="1">
        <v>0</v>
      </c>
      <c r="HD498" s="1">
        <v>0</v>
      </c>
      <c r="HF498" s="1">
        <v>0</v>
      </c>
      <c r="HG498" s="1">
        <v>0</v>
      </c>
      <c r="HH498" s="1">
        <v>0</v>
      </c>
      <c r="HI498" s="1">
        <v>0</v>
      </c>
      <c r="HJ498" s="1">
        <v>0</v>
      </c>
      <c r="HK498" s="1" t="b">
        <v>0</v>
      </c>
      <c r="HM498" s="1">
        <v>0</v>
      </c>
      <c r="HO498" s="1" t="s">
        <v>360</v>
      </c>
      <c r="HP498" s="1">
        <v>0</v>
      </c>
      <c r="HQ498" s="1">
        <v>0</v>
      </c>
      <c r="HR498" s="1">
        <v>0</v>
      </c>
    </row>
    <row r="499" spans="2:226">
      <c r="B499" s="1">
        <f>10000000+INDEX(编号表!$B$1:$B$112,MATCH(D499,编号表!$A$1:$A$112,0))*10000+I499</f>
        <v>10720007</v>
      </c>
      <c r="C499" s="1" t="s">
        <v>503</v>
      </c>
      <c r="D499" s="1" t="s">
        <v>503</v>
      </c>
      <c r="E499" s="1" t="s">
        <v>469</v>
      </c>
      <c r="F499" s="1" t="s">
        <v>362</v>
      </c>
      <c r="G499" s="1">
        <v>1</v>
      </c>
      <c r="H499" s="1" t="b">
        <v>0</v>
      </c>
      <c r="I499" s="1">
        <v>7</v>
      </c>
      <c r="J499" s="1">
        <v>107200</v>
      </c>
      <c r="K499" s="1" t="s">
        <v>350</v>
      </c>
      <c r="L499" s="1">
        <v>10720006</v>
      </c>
      <c r="M499" s="1">
        <v>10720008</v>
      </c>
      <c r="N499" s="1" t="s">
        <v>504</v>
      </c>
      <c r="O499" s="1">
        <v>10902015</v>
      </c>
      <c r="P499" s="1">
        <v>0</v>
      </c>
      <c r="Q499" s="1">
        <v>0</v>
      </c>
      <c r="R499" s="1">
        <v>1</v>
      </c>
      <c r="T499" s="1">
        <v>100</v>
      </c>
      <c r="AY499" s="1" t="s">
        <v>449</v>
      </c>
      <c r="AZ499" s="1">
        <v>0</v>
      </c>
      <c r="GX499" s="1">
        <v>0</v>
      </c>
      <c r="GY499" s="1">
        <v>0</v>
      </c>
      <c r="GZ499" s="1" t="s">
        <v>449</v>
      </c>
      <c r="HA499" s="1">
        <v>0</v>
      </c>
      <c r="HD499" s="1">
        <v>0</v>
      </c>
      <c r="HF499" s="1">
        <v>0</v>
      </c>
      <c r="HG499" s="1">
        <v>0</v>
      </c>
      <c r="HH499" s="1">
        <v>0</v>
      </c>
      <c r="HI499" s="1">
        <v>0</v>
      </c>
      <c r="HJ499" s="1">
        <v>0</v>
      </c>
      <c r="HK499" s="1" t="b">
        <v>0</v>
      </c>
      <c r="HM499" s="1">
        <v>0</v>
      </c>
      <c r="HO499" s="1" t="s">
        <v>360</v>
      </c>
      <c r="HP499" s="1">
        <v>0</v>
      </c>
      <c r="HQ499" s="1">
        <v>0</v>
      </c>
      <c r="HR499" s="1">
        <v>0</v>
      </c>
    </row>
    <row r="500" spans="2:226">
      <c r="B500" s="1">
        <f>10000000+INDEX(编号表!$B$1:$B$112,MATCH(D500,编号表!$A$1:$A$112,0))*10000+I500</f>
        <v>10720008</v>
      </c>
      <c r="C500" s="1" t="s">
        <v>503</v>
      </c>
      <c r="D500" s="1" t="s">
        <v>503</v>
      </c>
      <c r="E500" s="1" t="s">
        <v>469</v>
      </c>
      <c r="F500" s="1" t="s">
        <v>362</v>
      </c>
      <c r="G500" s="1">
        <v>1</v>
      </c>
      <c r="H500" s="1" t="b">
        <v>0</v>
      </c>
      <c r="I500" s="1">
        <v>8</v>
      </c>
      <c r="J500" s="1">
        <v>107200</v>
      </c>
      <c r="K500" s="1" t="s">
        <v>350</v>
      </c>
      <c r="L500" s="1">
        <v>10720007</v>
      </c>
      <c r="M500" s="1">
        <v>10720009</v>
      </c>
      <c r="N500" s="1" t="s">
        <v>504</v>
      </c>
      <c r="O500" s="1">
        <v>10902015</v>
      </c>
      <c r="P500" s="1">
        <v>0</v>
      </c>
      <c r="Q500" s="1">
        <v>0</v>
      </c>
      <c r="R500" s="1">
        <v>1</v>
      </c>
      <c r="T500" s="1">
        <v>100</v>
      </c>
      <c r="AY500" s="1" t="s">
        <v>449</v>
      </c>
      <c r="AZ500" s="1">
        <v>0</v>
      </c>
      <c r="GX500" s="1">
        <v>0</v>
      </c>
      <c r="GY500" s="1">
        <v>0</v>
      </c>
      <c r="GZ500" s="1" t="s">
        <v>449</v>
      </c>
      <c r="HA500" s="1">
        <v>0</v>
      </c>
      <c r="HD500" s="1">
        <v>0</v>
      </c>
      <c r="HF500" s="1">
        <v>0</v>
      </c>
      <c r="HG500" s="1">
        <v>0</v>
      </c>
      <c r="HH500" s="1">
        <v>0</v>
      </c>
      <c r="HI500" s="1">
        <v>0</v>
      </c>
      <c r="HJ500" s="1">
        <v>0</v>
      </c>
      <c r="HK500" s="1" t="b">
        <v>0</v>
      </c>
      <c r="HM500" s="1">
        <v>0</v>
      </c>
      <c r="HO500" s="1" t="s">
        <v>360</v>
      </c>
      <c r="HP500" s="1">
        <v>0</v>
      </c>
      <c r="HQ500" s="1">
        <v>0</v>
      </c>
      <c r="HR500" s="1">
        <v>0</v>
      </c>
    </row>
    <row r="501" spans="2:226">
      <c r="B501" s="1">
        <f>10000000+INDEX(编号表!$B$1:$B$112,MATCH(D501,编号表!$A$1:$A$112,0))*10000+I501</f>
        <v>10720009</v>
      </c>
      <c r="C501" s="1" t="s">
        <v>503</v>
      </c>
      <c r="D501" s="1" t="s">
        <v>503</v>
      </c>
      <c r="E501" s="1" t="s">
        <v>469</v>
      </c>
      <c r="F501" s="1" t="s">
        <v>362</v>
      </c>
      <c r="G501" s="1">
        <v>1</v>
      </c>
      <c r="H501" s="1" t="b">
        <v>0</v>
      </c>
      <c r="I501" s="1">
        <v>9</v>
      </c>
      <c r="J501" s="1">
        <v>107200</v>
      </c>
      <c r="K501" s="1" t="s">
        <v>350</v>
      </c>
      <c r="L501" s="1">
        <v>10720008</v>
      </c>
      <c r="M501" s="1">
        <v>10720010</v>
      </c>
      <c r="N501" s="1" t="s">
        <v>504</v>
      </c>
      <c r="O501" s="1">
        <v>10902015</v>
      </c>
      <c r="P501" s="1">
        <v>0</v>
      </c>
      <c r="Q501" s="1">
        <v>0</v>
      </c>
      <c r="R501" s="1">
        <v>1</v>
      </c>
      <c r="T501" s="1">
        <v>100</v>
      </c>
      <c r="AY501" s="1" t="s">
        <v>449</v>
      </c>
      <c r="AZ501" s="1">
        <v>0</v>
      </c>
      <c r="GX501" s="1">
        <v>0</v>
      </c>
      <c r="GY501" s="1">
        <v>0</v>
      </c>
      <c r="GZ501" s="1" t="s">
        <v>449</v>
      </c>
      <c r="HA501" s="1">
        <v>0</v>
      </c>
      <c r="HD501" s="1">
        <v>0</v>
      </c>
      <c r="HF501" s="1">
        <v>0</v>
      </c>
      <c r="HG501" s="1">
        <v>0</v>
      </c>
      <c r="HH501" s="1">
        <v>0</v>
      </c>
      <c r="HI501" s="1">
        <v>0</v>
      </c>
      <c r="HJ501" s="1">
        <v>0</v>
      </c>
      <c r="HK501" s="1" t="b">
        <v>0</v>
      </c>
      <c r="HM501" s="1">
        <v>0</v>
      </c>
      <c r="HO501" s="1" t="s">
        <v>360</v>
      </c>
      <c r="HP501" s="1">
        <v>0</v>
      </c>
      <c r="HQ501" s="1">
        <v>0</v>
      </c>
      <c r="HR501" s="1">
        <v>0</v>
      </c>
    </row>
    <row r="502" spans="2:226">
      <c r="B502" s="1">
        <f>10000000+INDEX(编号表!$B$1:$B$112,MATCH(D502,编号表!$A$1:$A$112,0))*10000+I502</f>
        <v>10720010</v>
      </c>
      <c r="C502" s="1" t="s">
        <v>503</v>
      </c>
      <c r="D502" s="1" t="s">
        <v>503</v>
      </c>
      <c r="E502" s="1" t="s">
        <v>469</v>
      </c>
      <c r="F502" s="1" t="s">
        <v>362</v>
      </c>
      <c r="G502" s="1">
        <v>1</v>
      </c>
      <c r="H502" s="1" t="b">
        <v>0</v>
      </c>
      <c r="I502" s="1">
        <v>10</v>
      </c>
      <c r="J502" s="1">
        <v>107200</v>
      </c>
      <c r="K502" s="1" t="s">
        <v>350</v>
      </c>
      <c r="L502" s="1">
        <v>10720009</v>
      </c>
      <c r="N502" s="1" t="s">
        <v>504</v>
      </c>
      <c r="O502" s="1">
        <v>10902015</v>
      </c>
      <c r="P502" s="1">
        <v>0</v>
      </c>
      <c r="Q502" s="1">
        <v>0</v>
      </c>
      <c r="R502" s="1">
        <v>1</v>
      </c>
      <c r="T502" s="1">
        <v>100</v>
      </c>
      <c r="AY502" s="1" t="s">
        <v>449</v>
      </c>
      <c r="AZ502" s="1">
        <v>0</v>
      </c>
      <c r="GX502" s="1">
        <v>0</v>
      </c>
      <c r="GY502" s="1">
        <v>0</v>
      </c>
      <c r="GZ502" s="1" t="s">
        <v>449</v>
      </c>
      <c r="HA502" s="1">
        <v>0</v>
      </c>
      <c r="HD502" s="1">
        <v>0</v>
      </c>
      <c r="HF502" s="1">
        <v>0</v>
      </c>
      <c r="HG502" s="1">
        <v>0</v>
      </c>
      <c r="HH502" s="1">
        <v>0</v>
      </c>
      <c r="HI502" s="1">
        <v>0</v>
      </c>
      <c r="HJ502" s="1">
        <v>0</v>
      </c>
      <c r="HK502" s="1" t="b">
        <v>0</v>
      </c>
      <c r="HM502" s="1">
        <v>0</v>
      </c>
      <c r="HO502" s="1" t="s">
        <v>360</v>
      </c>
      <c r="HP502" s="1">
        <v>0</v>
      </c>
      <c r="HQ502" s="1">
        <v>0</v>
      </c>
      <c r="HR502" s="1">
        <v>0</v>
      </c>
    </row>
    <row r="503" spans="2:226">
      <c r="B503" s="1">
        <f>10000000+INDEX(编号表!$B$1:$B$112,MATCH(D503,编号表!$A$1:$A$112,0))*10000+I503</f>
        <v>10730001</v>
      </c>
      <c r="C503" s="1" t="s">
        <v>505</v>
      </c>
      <c r="D503" s="1" t="s">
        <v>505</v>
      </c>
      <c r="E503" s="1" t="s">
        <v>469</v>
      </c>
      <c r="F503" s="1" t="s">
        <v>378</v>
      </c>
      <c r="G503" s="1">
        <v>1</v>
      </c>
      <c r="H503" s="1" t="b">
        <v>0</v>
      </c>
      <c r="I503" s="1">
        <v>1</v>
      </c>
      <c r="J503" s="1">
        <v>107300</v>
      </c>
      <c r="K503" s="1" t="s">
        <v>350</v>
      </c>
      <c r="M503" s="1">
        <v>10730002</v>
      </c>
      <c r="N503" s="1" t="s">
        <v>506</v>
      </c>
      <c r="O503" s="1">
        <v>10902016</v>
      </c>
      <c r="P503" s="1">
        <v>0</v>
      </c>
      <c r="Q503" s="1">
        <v>0</v>
      </c>
      <c r="R503" s="1">
        <v>1</v>
      </c>
      <c r="T503" s="1">
        <v>100</v>
      </c>
      <c r="AY503" s="1" t="s">
        <v>449</v>
      </c>
      <c r="AZ503" s="1">
        <v>0</v>
      </c>
      <c r="GX503" s="1">
        <v>0</v>
      </c>
      <c r="GY503" s="1">
        <v>0</v>
      </c>
      <c r="GZ503" s="1" t="s">
        <v>449</v>
      </c>
      <c r="HA503" s="1">
        <v>0</v>
      </c>
      <c r="HD503" s="1">
        <v>0</v>
      </c>
      <c r="HF503" s="1">
        <v>0</v>
      </c>
      <c r="HG503" s="1">
        <v>0</v>
      </c>
      <c r="HH503" s="1">
        <v>0</v>
      </c>
      <c r="HI503" s="1">
        <v>0</v>
      </c>
      <c r="HJ503" s="1">
        <v>0</v>
      </c>
      <c r="HK503" s="1" t="b">
        <v>0</v>
      </c>
      <c r="HM503" s="1">
        <v>0</v>
      </c>
      <c r="HO503" s="1" t="s">
        <v>360</v>
      </c>
      <c r="HP503" s="1">
        <v>0</v>
      </c>
      <c r="HQ503" s="1">
        <v>0</v>
      </c>
      <c r="HR503" s="1">
        <v>0</v>
      </c>
    </row>
    <row r="504" spans="2:226">
      <c r="B504" s="1">
        <f>10000000+INDEX(编号表!$B$1:$B$112,MATCH(D504,编号表!$A$1:$A$112,0))*10000+I504</f>
        <v>10730002</v>
      </c>
      <c r="C504" s="1" t="s">
        <v>505</v>
      </c>
      <c r="D504" s="1" t="s">
        <v>505</v>
      </c>
      <c r="E504" s="1" t="s">
        <v>469</v>
      </c>
      <c r="F504" s="1" t="s">
        <v>378</v>
      </c>
      <c r="G504" s="1">
        <v>1</v>
      </c>
      <c r="H504" s="1" t="b">
        <v>0</v>
      </c>
      <c r="I504" s="1">
        <v>2</v>
      </c>
      <c r="J504" s="1">
        <v>107300</v>
      </c>
      <c r="K504" s="1" t="s">
        <v>350</v>
      </c>
      <c r="L504" s="1">
        <v>10730001</v>
      </c>
      <c r="M504" s="1">
        <v>10730003</v>
      </c>
      <c r="N504" s="1" t="s">
        <v>506</v>
      </c>
      <c r="O504" s="1">
        <v>10902016</v>
      </c>
      <c r="P504" s="1">
        <v>0</v>
      </c>
      <c r="Q504" s="1">
        <v>0</v>
      </c>
      <c r="R504" s="1">
        <v>1</v>
      </c>
      <c r="T504" s="1">
        <v>100</v>
      </c>
      <c r="AY504" s="1" t="s">
        <v>449</v>
      </c>
      <c r="AZ504" s="1">
        <v>0</v>
      </c>
      <c r="GX504" s="1">
        <v>0</v>
      </c>
      <c r="GY504" s="1">
        <v>0</v>
      </c>
      <c r="GZ504" s="1" t="s">
        <v>449</v>
      </c>
      <c r="HA504" s="1">
        <v>0</v>
      </c>
      <c r="HD504" s="1">
        <v>0</v>
      </c>
      <c r="HF504" s="1">
        <v>0</v>
      </c>
      <c r="HG504" s="1">
        <v>0</v>
      </c>
      <c r="HH504" s="1">
        <v>0</v>
      </c>
      <c r="HI504" s="1">
        <v>0</v>
      </c>
      <c r="HJ504" s="1">
        <v>0</v>
      </c>
      <c r="HK504" s="1" t="b">
        <v>0</v>
      </c>
      <c r="HM504" s="1">
        <v>0</v>
      </c>
      <c r="HO504" s="1" t="s">
        <v>360</v>
      </c>
      <c r="HP504" s="1">
        <v>0</v>
      </c>
      <c r="HQ504" s="1">
        <v>0</v>
      </c>
      <c r="HR504" s="1">
        <v>0</v>
      </c>
    </row>
    <row r="505" spans="2:226">
      <c r="B505" s="1">
        <f>10000000+INDEX(编号表!$B$1:$B$112,MATCH(D505,编号表!$A$1:$A$112,0))*10000+I505</f>
        <v>10730003</v>
      </c>
      <c r="C505" s="1" t="s">
        <v>505</v>
      </c>
      <c r="D505" s="1" t="s">
        <v>505</v>
      </c>
      <c r="E505" s="1" t="s">
        <v>469</v>
      </c>
      <c r="F505" s="1" t="s">
        <v>378</v>
      </c>
      <c r="G505" s="1">
        <v>1</v>
      </c>
      <c r="H505" s="1" t="b">
        <v>0</v>
      </c>
      <c r="I505" s="1">
        <v>3</v>
      </c>
      <c r="J505" s="1">
        <v>107300</v>
      </c>
      <c r="K505" s="1" t="s">
        <v>350</v>
      </c>
      <c r="L505" s="1">
        <v>10730002</v>
      </c>
      <c r="M505" s="1">
        <v>10730004</v>
      </c>
      <c r="N505" s="1" t="s">
        <v>506</v>
      </c>
      <c r="O505" s="1">
        <v>10902016</v>
      </c>
      <c r="P505" s="1">
        <v>0</v>
      </c>
      <c r="Q505" s="1">
        <v>0</v>
      </c>
      <c r="R505" s="1">
        <v>1</v>
      </c>
      <c r="T505" s="1">
        <v>100</v>
      </c>
      <c r="AY505" s="1" t="s">
        <v>449</v>
      </c>
      <c r="AZ505" s="1">
        <v>0</v>
      </c>
      <c r="GX505" s="1">
        <v>0</v>
      </c>
      <c r="GY505" s="1">
        <v>0</v>
      </c>
      <c r="GZ505" s="1" t="s">
        <v>449</v>
      </c>
      <c r="HA505" s="1">
        <v>0</v>
      </c>
      <c r="HD505" s="1">
        <v>0</v>
      </c>
      <c r="HF505" s="1">
        <v>0</v>
      </c>
      <c r="HG505" s="1">
        <v>0</v>
      </c>
      <c r="HH505" s="1">
        <v>0</v>
      </c>
      <c r="HI505" s="1">
        <v>0</v>
      </c>
      <c r="HJ505" s="1">
        <v>0</v>
      </c>
      <c r="HK505" s="1" t="b">
        <v>0</v>
      </c>
      <c r="HM505" s="1">
        <v>0</v>
      </c>
      <c r="HO505" s="1" t="s">
        <v>360</v>
      </c>
      <c r="HP505" s="1">
        <v>0</v>
      </c>
      <c r="HQ505" s="1">
        <v>0</v>
      </c>
      <c r="HR505" s="1">
        <v>0</v>
      </c>
    </row>
    <row r="506" spans="2:226">
      <c r="B506" s="1">
        <f>10000000+INDEX(编号表!$B$1:$B$112,MATCH(D506,编号表!$A$1:$A$112,0))*10000+I506</f>
        <v>10730004</v>
      </c>
      <c r="C506" s="1" t="s">
        <v>505</v>
      </c>
      <c r="D506" s="1" t="s">
        <v>505</v>
      </c>
      <c r="E506" s="1" t="s">
        <v>469</v>
      </c>
      <c r="F506" s="1" t="s">
        <v>378</v>
      </c>
      <c r="G506" s="1">
        <v>1</v>
      </c>
      <c r="H506" s="1" t="b">
        <v>0</v>
      </c>
      <c r="I506" s="1">
        <v>4</v>
      </c>
      <c r="J506" s="1">
        <v>107300</v>
      </c>
      <c r="K506" s="1" t="s">
        <v>350</v>
      </c>
      <c r="L506" s="1">
        <v>10730003</v>
      </c>
      <c r="M506" s="1">
        <v>10730005</v>
      </c>
      <c r="N506" s="1" t="s">
        <v>506</v>
      </c>
      <c r="O506" s="1">
        <v>10902016</v>
      </c>
      <c r="P506" s="1">
        <v>0</v>
      </c>
      <c r="Q506" s="1">
        <v>0</v>
      </c>
      <c r="R506" s="1">
        <v>1</v>
      </c>
      <c r="T506" s="1">
        <v>100</v>
      </c>
      <c r="AY506" s="1" t="s">
        <v>449</v>
      </c>
      <c r="AZ506" s="1">
        <v>0</v>
      </c>
      <c r="GX506" s="1">
        <v>0</v>
      </c>
      <c r="GY506" s="1">
        <v>0</v>
      </c>
      <c r="GZ506" s="1" t="s">
        <v>449</v>
      </c>
      <c r="HA506" s="1">
        <v>0</v>
      </c>
      <c r="HD506" s="1">
        <v>0</v>
      </c>
      <c r="HF506" s="1">
        <v>0</v>
      </c>
      <c r="HG506" s="1">
        <v>0</v>
      </c>
      <c r="HH506" s="1">
        <v>0</v>
      </c>
      <c r="HI506" s="1">
        <v>0</v>
      </c>
      <c r="HJ506" s="1">
        <v>0</v>
      </c>
      <c r="HK506" s="1" t="b">
        <v>0</v>
      </c>
      <c r="HM506" s="1">
        <v>0</v>
      </c>
      <c r="HO506" s="1" t="s">
        <v>360</v>
      </c>
      <c r="HP506" s="1">
        <v>0</v>
      </c>
      <c r="HQ506" s="1">
        <v>0</v>
      </c>
      <c r="HR506" s="1">
        <v>0</v>
      </c>
    </row>
    <row r="507" spans="2:226">
      <c r="B507" s="1">
        <f>10000000+INDEX(编号表!$B$1:$B$112,MATCH(D507,编号表!$A$1:$A$112,0))*10000+I507</f>
        <v>10730005</v>
      </c>
      <c r="C507" s="1" t="s">
        <v>505</v>
      </c>
      <c r="D507" s="1" t="s">
        <v>505</v>
      </c>
      <c r="E507" s="1" t="s">
        <v>469</v>
      </c>
      <c r="F507" s="1" t="s">
        <v>378</v>
      </c>
      <c r="G507" s="1">
        <v>1</v>
      </c>
      <c r="H507" s="1" t="b">
        <v>0</v>
      </c>
      <c r="I507" s="1">
        <v>5</v>
      </c>
      <c r="J507" s="1">
        <v>107300</v>
      </c>
      <c r="K507" s="1" t="s">
        <v>350</v>
      </c>
      <c r="L507" s="1">
        <v>10730004</v>
      </c>
      <c r="M507" s="1">
        <v>10730006</v>
      </c>
      <c r="N507" s="1" t="s">
        <v>506</v>
      </c>
      <c r="O507" s="1">
        <v>10902016</v>
      </c>
      <c r="P507" s="1">
        <v>0</v>
      </c>
      <c r="Q507" s="1">
        <v>0</v>
      </c>
      <c r="R507" s="1">
        <v>1</v>
      </c>
      <c r="T507" s="1">
        <v>100</v>
      </c>
      <c r="AY507" s="1" t="s">
        <v>449</v>
      </c>
      <c r="AZ507" s="1">
        <v>0</v>
      </c>
      <c r="GX507" s="1">
        <v>0</v>
      </c>
      <c r="GY507" s="1">
        <v>0</v>
      </c>
      <c r="GZ507" s="1" t="s">
        <v>449</v>
      </c>
      <c r="HA507" s="1">
        <v>0</v>
      </c>
      <c r="HD507" s="1">
        <v>0</v>
      </c>
      <c r="HF507" s="1">
        <v>0</v>
      </c>
      <c r="HG507" s="1">
        <v>0</v>
      </c>
      <c r="HH507" s="1">
        <v>0</v>
      </c>
      <c r="HI507" s="1">
        <v>0</v>
      </c>
      <c r="HJ507" s="1">
        <v>0</v>
      </c>
      <c r="HK507" s="1" t="b">
        <v>0</v>
      </c>
      <c r="HM507" s="1">
        <v>0</v>
      </c>
      <c r="HO507" s="1" t="s">
        <v>360</v>
      </c>
      <c r="HP507" s="1">
        <v>0</v>
      </c>
      <c r="HQ507" s="1">
        <v>0</v>
      </c>
      <c r="HR507" s="1">
        <v>0</v>
      </c>
    </row>
    <row r="508" spans="2:226">
      <c r="B508" s="1">
        <f>10000000+INDEX(编号表!$B$1:$B$112,MATCH(D508,编号表!$A$1:$A$112,0))*10000+I508</f>
        <v>10730006</v>
      </c>
      <c r="C508" s="1" t="s">
        <v>505</v>
      </c>
      <c r="D508" s="1" t="s">
        <v>505</v>
      </c>
      <c r="E508" s="1" t="s">
        <v>469</v>
      </c>
      <c r="F508" s="1" t="s">
        <v>378</v>
      </c>
      <c r="G508" s="1">
        <v>1</v>
      </c>
      <c r="H508" s="1" t="b">
        <v>0</v>
      </c>
      <c r="I508" s="1">
        <v>6</v>
      </c>
      <c r="J508" s="1">
        <v>107300</v>
      </c>
      <c r="K508" s="1" t="s">
        <v>350</v>
      </c>
      <c r="L508" s="1">
        <v>10730005</v>
      </c>
      <c r="M508" s="1">
        <v>10730007</v>
      </c>
      <c r="N508" s="1" t="s">
        <v>506</v>
      </c>
      <c r="O508" s="1">
        <v>10902016</v>
      </c>
      <c r="P508" s="1">
        <v>0</v>
      </c>
      <c r="Q508" s="1">
        <v>0</v>
      </c>
      <c r="R508" s="1">
        <v>1</v>
      </c>
      <c r="T508" s="1">
        <v>100</v>
      </c>
      <c r="AY508" s="1" t="s">
        <v>449</v>
      </c>
      <c r="AZ508" s="1">
        <v>0</v>
      </c>
      <c r="GX508" s="1">
        <v>0</v>
      </c>
      <c r="GY508" s="1">
        <v>0</v>
      </c>
      <c r="GZ508" s="1" t="s">
        <v>449</v>
      </c>
      <c r="HA508" s="1">
        <v>0</v>
      </c>
      <c r="HD508" s="1">
        <v>0</v>
      </c>
      <c r="HF508" s="1">
        <v>0</v>
      </c>
      <c r="HG508" s="1">
        <v>0</v>
      </c>
      <c r="HH508" s="1">
        <v>0</v>
      </c>
      <c r="HI508" s="1">
        <v>0</v>
      </c>
      <c r="HJ508" s="1">
        <v>0</v>
      </c>
      <c r="HK508" s="1" t="b">
        <v>0</v>
      </c>
      <c r="HM508" s="1">
        <v>0</v>
      </c>
      <c r="HO508" s="1" t="s">
        <v>360</v>
      </c>
      <c r="HP508" s="1">
        <v>0</v>
      </c>
      <c r="HQ508" s="1">
        <v>0</v>
      </c>
      <c r="HR508" s="1">
        <v>0</v>
      </c>
    </row>
    <row r="509" spans="2:226">
      <c r="B509" s="1">
        <f>10000000+INDEX(编号表!$B$1:$B$112,MATCH(D509,编号表!$A$1:$A$112,0))*10000+I509</f>
        <v>10730007</v>
      </c>
      <c r="C509" s="1" t="s">
        <v>505</v>
      </c>
      <c r="D509" s="1" t="s">
        <v>505</v>
      </c>
      <c r="E509" s="1" t="s">
        <v>469</v>
      </c>
      <c r="F509" s="1" t="s">
        <v>378</v>
      </c>
      <c r="G509" s="1">
        <v>1</v>
      </c>
      <c r="H509" s="1" t="b">
        <v>0</v>
      </c>
      <c r="I509" s="1">
        <v>7</v>
      </c>
      <c r="J509" s="1">
        <v>107300</v>
      </c>
      <c r="K509" s="1" t="s">
        <v>350</v>
      </c>
      <c r="L509" s="1">
        <v>10730006</v>
      </c>
      <c r="M509" s="1">
        <v>10730008</v>
      </c>
      <c r="N509" s="1" t="s">
        <v>506</v>
      </c>
      <c r="O509" s="1">
        <v>10902016</v>
      </c>
      <c r="P509" s="1">
        <v>0</v>
      </c>
      <c r="Q509" s="1">
        <v>0</v>
      </c>
      <c r="R509" s="1">
        <v>1</v>
      </c>
      <c r="T509" s="1">
        <v>100</v>
      </c>
      <c r="AY509" s="1" t="s">
        <v>449</v>
      </c>
      <c r="AZ509" s="1">
        <v>0</v>
      </c>
      <c r="GX509" s="1">
        <v>0</v>
      </c>
      <c r="GY509" s="1">
        <v>0</v>
      </c>
      <c r="GZ509" s="1" t="s">
        <v>449</v>
      </c>
      <c r="HA509" s="1">
        <v>0</v>
      </c>
      <c r="HD509" s="1">
        <v>0</v>
      </c>
      <c r="HF509" s="1">
        <v>0</v>
      </c>
      <c r="HG509" s="1">
        <v>0</v>
      </c>
      <c r="HH509" s="1">
        <v>0</v>
      </c>
      <c r="HI509" s="1">
        <v>0</v>
      </c>
      <c r="HJ509" s="1">
        <v>0</v>
      </c>
      <c r="HK509" s="1" t="b">
        <v>0</v>
      </c>
      <c r="HM509" s="1">
        <v>0</v>
      </c>
      <c r="HO509" s="1" t="s">
        <v>360</v>
      </c>
      <c r="HP509" s="1">
        <v>0</v>
      </c>
      <c r="HQ509" s="1">
        <v>0</v>
      </c>
      <c r="HR509" s="1">
        <v>0</v>
      </c>
    </row>
    <row r="510" spans="2:226">
      <c r="B510" s="1">
        <f>10000000+INDEX(编号表!$B$1:$B$112,MATCH(D510,编号表!$A$1:$A$112,0))*10000+I510</f>
        <v>10730008</v>
      </c>
      <c r="C510" s="1" t="s">
        <v>505</v>
      </c>
      <c r="D510" s="1" t="s">
        <v>505</v>
      </c>
      <c r="E510" s="1" t="s">
        <v>469</v>
      </c>
      <c r="F510" s="1" t="s">
        <v>378</v>
      </c>
      <c r="G510" s="1">
        <v>1</v>
      </c>
      <c r="H510" s="1" t="b">
        <v>0</v>
      </c>
      <c r="I510" s="1">
        <v>8</v>
      </c>
      <c r="J510" s="1">
        <v>107300</v>
      </c>
      <c r="K510" s="1" t="s">
        <v>350</v>
      </c>
      <c r="L510" s="1">
        <v>10730007</v>
      </c>
      <c r="M510" s="1">
        <v>10730009</v>
      </c>
      <c r="N510" s="1" t="s">
        <v>506</v>
      </c>
      <c r="O510" s="1">
        <v>10902016</v>
      </c>
      <c r="P510" s="1">
        <v>0</v>
      </c>
      <c r="Q510" s="1">
        <v>0</v>
      </c>
      <c r="R510" s="1">
        <v>1</v>
      </c>
      <c r="T510" s="1">
        <v>100</v>
      </c>
      <c r="AY510" s="1" t="s">
        <v>449</v>
      </c>
      <c r="AZ510" s="1">
        <v>0</v>
      </c>
      <c r="GX510" s="1">
        <v>0</v>
      </c>
      <c r="GY510" s="1">
        <v>0</v>
      </c>
      <c r="GZ510" s="1" t="s">
        <v>449</v>
      </c>
      <c r="HA510" s="1">
        <v>0</v>
      </c>
      <c r="HD510" s="1">
        <v>0</v>
      </c>
      <c r="HF510" s="1">
        <v>0</v>
      </c>
      <c r="HG510" s="1">
        <v>0</v>
      </c>
      <c r="HH510" s="1">
        <v>0</v>
      </c>
      <c r="HI510" s="1">
        <v>0</v>
      </c>
      <c r="HJ510" s="1">
        <v>0</v>
      </c>
      <c r="HK510" s="1" t="b">
        <v>0</v>
      </c>
      <c r="HM510" s="1">
        <v>0</v>
      </c>
      <c r="HO510" s="1" t="s">
        <v>360</v>
      </c>
      <c r="HP510" s="1">
        <v>0</v>
      </c>
      <c r="HQ510" s="1">
        <v>0</v>
      </c>
      <c r="HR510" s="1">
        <v>0</v>
      </c>
    </row>
    <row r="511" spans="2:226">
      <c r="B511" s="1">
        <f>10000000+INDEX(编号表!$B$1:$B$112,MATCH(D511,编号表!$A$1:$A$112,0))*10000+I511</f>
        <v>10730009</v>
      </c>
      <c r="C511" s="1" t="s">
        <v>505</v>
      </c>
      <c r="D511" s="1" t="s">
        <v>505</v>
      </c>
      <c r="E511" s="1" t="s">
        <v>469</v>
      </c>
      <c r="F511" s="1" t="s">
        <v>378</v>
      </c>
      <c r="G511" s="1">
        <v>1</v>
      </c>
      <c r="H511" s="1" t="b">
        <v>0</v>
      </c>
      <c r="I511" s="1">
        <v>9</v>
      </c>
      <c r="J511" s="1">
        <v>107300</v>
      </c>
      <c r="K511" s="1" t="s">
        <v>350</v>
      </c>
      <c r="L511" s="1">
        <v>10730008</v>
      </c>
      <c r="M511" s="1">
        <v>10730010</v>
      </c>
      <c r="N511" s="1" t="s">
        <v>506</v>
      </c>
      <c r="O511" s="1">
        <v>10902016</v>
      </c>
      <c r="P511" s="1">
        <v>0</v>
      </c>
      <c r="Q511" s="1">
        <v>0</v>
      </c>
      <c r="R511" s="1">
        <v>1</v>
      </c>
      <c r="T511" s="1">
        <v>100</v>
      </c>
      <c r="AY511" s="1" t="s">
        <v>449</v>
      </c>
      <c r="AZ511" s="1">
        <v>0</v>
      </c>
      <c r="GX511" s="1">
        <v>0</v>
      </c>
      <c r="GY511" s="1">
        <v>0</v>
      </c>
      <c r="GZ511" s="1" t="s">
        <v>449</v>
      </c>
      <c r="HA511" s="1">
        <v>0</v>
      </c>
      <c r="HD511" s="1">
        <v>0</v>
      </c>
      <c r="HF511" s="1">
        <v>0</v>
      </c>
      <c r="HG511" s="1">
        <v>0</v>
      </c>
      <c r="HH511" s="1">
        <v>0</v>
      </c>
      <c r="HI511" s="1">
        <v>0</v>
      </c>
      <c r="HJ511" s="1">
        <v>0</v>
      </c>
      <c r="HK511" s="1" t="b">
        <v>0</v>
      </c>
      <c r="HM511" s="1">
        <v>0</v>
      </c>
      <c r="HO511" s="1" t="s">
        <v>360</v>
      </c>
      <c r="HP511" s="1">
        <v>0</v>
      </c>
      <c r="HQ511" s="1">
        <v>0</v>
      </c>
      <c r="HR511" s="1">
        <v>0</v>
      </c>
    </row>
    <row r="512" spans="2:226">
      <c r="B512" s="1">
        <f>10000000+INDEX(编号表!$B$1:$B$112,MATCH(D512,编号表!$A$1:$A$112,0))*10000+I512</f>
        <v>10730010</v>
      </c>
      <c r="C512" s="1" t="s">
        <v>505</v>
      </c>
      <c r="D512" s="1" t="s">
        <v>505</v>
      </c>
      <c r="E512" s="1" t="s">
        <v>469</v>
      </c>
      <c r="F512" s="1" t="s">
        <v>378</v>
      </c>
      <c r="G512" s="1">
        <v>1</v>
      </c>
      <c r="H512" s="1" t="b">
        <v>0</v>
      </c>
      <c r="I512" s="1">
        <v>10</v>
      </c>
      <c r="J512" s="1">
        <v>107300</v>
      </c>
      <c r="K512" s="1" t="s">
        <v>350</v>
      </c>
      <c r="L512" s="1">
        <v>10730009</v>
      </c>
      <c r="N512" s="1" t="s">
        <v>506</v>
      </c>
      <c r="O512" s="1">
        <v>10902016</v>
      </c>
      <c r="P512" s="1">
        <v>0</v>
      </c>
      <c r="Q512" s="1">
        <v>0</v>
      </c>
      <c r="R512" s="1">
        <v>1</v>
      </c>
      <c r="T512" s="1">
        <v>100</v>
      </c>
      <c r="AY512" s="1" t="s">
        <v>449</v>
      </c>
      <c r="AZ512" s="1">
        <v>0</v>
      </c>
      <c r="GX512" s="1">
        <v>0</v>
      </c>
      <c r="GY512" s="1">
        <v>0</v>
      </c>
      <c r="GZ512" s="1" t="s">
        <v>449</v>
      </c>
      <c r="HA512" s="1">
        <v>0</v>
      </c>
      <c r="HD512" s="1">
        <v>0</v>
      </c>
      <c r="HF512" s="1">
        <v>0</v>
      </c>
      <c r="HG512" s="1">
        <v>0</v>
      </c>
      <c r="HH512" s="1">
        <v>0</v>
      </c>
      <c r="HI512" s="1">
        <v>0</v>
      </c>
      <c r="HJ512" s="1">
        <v>0</v>
      </c>
      <c r="HK512" s="1" t="b">
        <v>0</v>
      </c>
      <c r="HM512" s="1">
        <v>0</v>
      </c>
      <c r="HO512" s="1" t="s">
        <v>360</v>
      </c>
      <c r="HP512" s="1">
        <v>0</v>
      </c>
      <c r="HQ512" s="1">
        <v>0</v>
      </c>
      <c r="HR512" s="1">
        <v>0</v>
      </c>
    </row>
    <row r="513" spans="2:226">
      <c r="B513" s="1">
        <f>10000000+INDEX(编号表!$B$1:$B$112,MATCH(D513,编号表!$A$1:$A$112,0))*10000+I513</f>
        <v>10740001</v>
      </c>
      <c r="C513" s="1" t="s">
        <v>507</v>
      </c>
      <c r="D513" s="1" t="s">
        <v>507</v>
      </c>
      <c r="E513" s="1" t="s">
        <v>469</v>
      </c>
      <c r="F513" s="1" t="s">
        <v>385</v>
      </c>
      <c r="G513" s="1">
        <v>1</v>
      </c>
      <c r="H513" s="1" t="b">
        <v>0</v>
      </c>
      <c r="I513" s="1">
        <v>1</v>
      </c>
      <c r="J513" s="1">
        <v>107400</v>
      </c>
      <c r="K513" s="1" t="s">
        <v>350</v>
      </c>
      <c r="M513" s="1">
        <v>10740002</v>
      </c>
      <c r="N513" s="1" t="s">
        <v>508</v>
      </c>
      <c r="O513" s="1">
        <v>10902017</v>
      </c>
      <c r="P513" s="1">
        <v>0</v>
      </c>
      <c r="Q513" s="1">
        <v>0</v>
      </c>
      <c r="R513" s="1">
        <v>1</v>
      </c>
      <c r="T513" s="1">
        <v>100</v>
      </c>
      <c r="AY513" s="1" t="s">
        <v>449</v>
      </c>
      <c r="AZ513" s="1">
        <v>0</v>
      </c>
      <c r="GX513" s="1">
        <v>0</v>
      </c>
      <c r="GY513" s="1">
        <v>0</v>
      </c>
      <c r="GZ513" s="1" t="s">
        <v>449</v>
      </c>
      <c r="HA513" s="1">
        <v>0</v>
      </c>
      <c r="HD513" s="1">
        <v>0</v>
      </c>
      <c r="HF513" s="1">
        <v>0</v>
      </c>
      <c r="HG513" s="1">
        <v>0</v>
      </c>
      <c r="HH513" s="1">
        <v>0</v>
      </c>
      <c r="HI513" s="1">
        <v>0</v>
      </c>
      <c r="HJ513" s="1">
        <v>0</v>
      </c>
      <c r="HK513" s="1" t="b">
        <v>0</v>
      </c>
      <c r="HM513" s="1">
        <v>0</v>
      </c>
      <c r="HO513" s="1" t="s">
        <v>360</v>
      </c>
      <c r="HP513" s="1">
        <v>0</v>
      </c>
      <c r="HQ513" s="1">
        <v>0</v>
      </c>
      <c r="HR513" s="1">
        <v>0</v>
      </c>
    </row>
    <row r="514" spans="2:226">
      <c r="B514" s="1">
        <f>10000000+INDEX(编号表!$B$1:$B$112,MATCH(D514,编号表!$A$1:$A$112,0))*10000+I514</f>
        <v>10740002</v>
      </c>
      <c r="C514" s="1" t="s">
        <v>507</v>
      </c>
      <c r="D514" s="1" t="s">
        <v>507</v>
      </c>
      <c r="E514" s="1" t="s">
        <v>469</v>
      </c>
      <c r="F514" s="1" t="s">
        <v>385</v>
      </c>
      <c r="G514" s="1">
        <v>1</v>
      </c>
      <c r="H514" s="1" t="b">
        <v>0</v>
      </c>
      <c r="I514" s="1">
        <v>2</v>
      </c>
      <c r="J514" s="1">
        <v>107400</v>
      </c>
      <c r="K514" s="1" t="s">
        <v>350</v>
      </c>
      <c r="L514" s="1">
        <v>10740001</v>
      </c>
      <c r="M514" s="1">
        <v>10740003</v>
      </c>
      <c r="N514" s="1" t="s">
        <v>508</v>
      </c>
      <c r="O514" s="1">
        <v>10902017</v>
      </c>
      <c r="P514" s="1">
        <v>0</v>
      </c>
      <c r="Q514" s="1">
        <v>0</v>
      </c>
      <c r="R514" s="1">
        <v>1</v>
      </c>
      <c r="T514" s="1">
        <v>100</v>
      </c>
      <c r="AY514" s="1" t="s">
        <v>449</v>
      </c>
      <c r="AZ514" s="1">
        <v>0</v>
      </c>
      <c r="GX514" s="1">
        <v>0</v>
      </c>
      <c r="GY514" s="1">
        <v>0</v>
      </c>
      <c r="GZ514" s="1" t="s">
        <v>449</v>
      </c>
      <c r="HA514" s="1">
        <v>0</v>
      </c>
      <c r="HD514" s="1">
        <v>0</v>
      </c>
      <c r="HF514" s="1">
        <v>0</v>
      </c>
      <c r="HG514" s="1">
        <v>0</v>
      </c>
      <c r="HH514" s="1">
        <v>0</v>
      </c>
      <c r="HI514" s="1">
        <v>0</v>
      </c>
      <c r="HJ514" s="1">
        <v>0</v>
      </c>
      <c r="HK514" s="1" t="b">
        <v>0</v>
      </c>
      <c r="HM514" s="1">
        <v>0</v>
      </c>
      <c r="HO514" s="1" t="s">
        <v>360</v>
      </c>
      <c r="HP514" s="1">
        <v>0</v>
      </c>
      <c r="HQ514" s="1">
        <v>0</v>
      </c>
      <c r="HR514" s="1">
        <v>0</v>
      </c>
    </row>
    <row r="515" spans="2:226">
      <c r="B515" s="1">
        <f>10000000+INDEX(编号表!$B$1:$B$112,MATCH(D515,编号表!$A$1:$A$112,0))*10000+I515</f>
        <v>10740003</v>
      </c>
      <c r="C515" s="1" t="s">
        <v>507</v>
      </c>
      <c r="D515" s="1" t="s">
        <v>507</v>
      </c>
      <c r="E515" s="1" t="s">
        <v>469</v>
      </c>
      <c r="F515" s="1" t="s">
        <v>385</v>
      </c>
      <c r="G515" s="1">
        <v>1</v>
      </c>
      <c r="H515" s="1" t="b">
        <v>0</v>
      </c>
      <c r="I515" s="1">
        <v>3</v>
      </c>
      <c r="J515" s="1">
        <v>107400</v>
      </c>
      <c r="K515" s="1" t="s">
        <v>350</v>
      </c>
      <c r="L515" s="1">
        <v>10740002</v>
      </c>
      <c r="M515" s="1">
        <v>10740004</v>
      </c>
      <c r="N515" s="1" t="s">
        <v>508</v>
      </c>
      <c r="O515" s="1">
        <v>10902017</v>
      </c>
      <c r="P515" s="1">
        <v>0</v>
      </c>
      <c r="Q515" s="1">
        <v>0</v>
      </c>
      <c r="R515" s="1">
        <v>1</v>
      </c>
      <c r="T515" s="1">
        <v>100</v>
      </c>
      <c r="AY515" s="1" t="s">
        <v>449</v>
      </c>
      <c r="AZ515" s="1">
        <v>0</v>
      </c>
      <c r="GX515" s="1">
        <v>0</v>
      </c>
      <c r="GY515" s="1">
        <v>0</v>
      </c>
      <c r="GZ515" s="1" t="s">
        <v>449</v>
      </c>
      <c r="HA515" s="1">
        <v>0</v>
      </c>
      <c r="HD515" s="1">
        <v>0</v>
      </c>
      <c r="HF515" s="1">
        <v>0</v>
      </c>
      <c r="HG515" s="1">
        <v>0</v>
      </c>
      <c r="HH515" s="1">
        <v>0</v>
      </c>
      <c r="HI515" s="1">
        <v>0</v>
      </c>
      <c r="HJ515" s="1">
        <v>0</v>
      </c>
      <c r="HK515" s="1" t="b">
        <v>0</v>
      </c>
      <c r="HM515" s="1">
        <v>0</v>
      </c>
      <c r="HO515" s="1" t="s">
        <v>360</v>
      </c>
      <c r="HP515" s="1">
        <v>0</v>
      </c>
      <c r="HQ515" s="1">
        <v>0</v>
      </c>
      <c r="HR515" s="1">
        <v>0</v>
      </c>
    </row>
    <row r="516" spans="2:226">
      <c r="B516" s="1">
        <f>10000000+INDEX(编号表!$B$1:$B$112,MATCH(D516,编号表!$A$1:$A$112,0))*10000+I516</f>
        <v>10740004</v>
      </c>
      <c r="C516" s="1" t="s">
        <v>507</v>
      </c>
      <c r="D516" s="1" t="s">
        <v>507</v>
      </c>
      <c r="E516" s="1" t="s">
        <v>469</v>
      </c>
      <c r="F516" s="1" t="s">
        <v>385</v>
      </c>
      <c r="G516" s="1">
        <v>1</v>
      </c>
      <c r="H516" s="1" t="b">
        <v>0</v>
      </c>
      <c r="I516" s="1">
        <v>4</v>
      </c>
      <c r="J516" s="1">
        <v>107400</v>
      </c>
      <c r="K516" s="1" t="s">
        <v>350</v>
      </c>
      <c r="L516" s="1">
        <v>10740003</v>
      </c>
      <c r="M516" s="1">
        <v>10740005</v>
      </c>
      <c r="N516" s="1" t="s">
        <v>508</v>
      </c>
      <c r="O516" s="1">
        <v>10902017</v>
      </c>
      <c r="P516" s="1">
        <v>0</v>
      </c>
      <c r="Q516" s="1">
        <v>0</v>
      </c>
      <c r="R516" s="1">
        <v>1</v>
      </c>
      <c r="T516" s="1">
        <v>100</v>
      </c>
      <c r="AY516" s="1" t="s">
        <v>449</v>
      </c>
      <c r="AZ516" s="1">
        <v>0</v>
      </c>
      <c r="GX516" s="1">
        <v>0</v>
      </c>
      <c r="GY516" s="1">
        <v>0</v>
      </c>
      <c r="GZ516" s="1" t="s">
        <v>449</v>
      </c>
      <c r="HA516" s="1">
        <v>0</v>
      </c>
      <c r="HD516" s="1">
        <v>0</v>
      </c>
      <c r="HF516" s="1">
        <v>0</v>
      </c>
      <c r="HG516" s="1">
        <v>0</v>
      </c>
      <c r="HH516" s="1">
        <v>0</v>
      </c>
      <c r="HI516" s="1">
        <v>0</v>
      </c>
      <c r="HJ516" s="1">
        <v>0</v>
      </c>
      <c r="HK516" s="1" t="b">
        <v>0</v>
      </c>
      <c r="HM516" s="1">
        <v>0</v>
      </c>
      <c r="HO516" s="1" t="s">
        <v>360</v>
      </c>
      <c r="HP516" s="1">
        <v>0</v>
      </c>
      <c r="HQ516" s="1">
        <v>0</v>
      </c>
      <c r="HR516" s="1">
        <v>0</v>
      </c>
    </row>
    <row r="517" spans="2:226">
      <c r="B517" s="1">
        <f>10000000+INDEX(编号表!$B$1:$B$112,MATCH(D517,编号表!$A$1:$A$112,0))*10000+I517</f>
        <v>10740005</v>
      </c>
      <c r="C517" s="1" t="s">
        <v>507</v>
      </c>
      <c r="D517" s="1" t="s">
        <v>507</v>
      </c>
      <c r="E517" s="1" t="s">
        <v>469</v>
      </c>
      <c r="F517" s="1" t="s">
        <v>385</v>
      </c>
      <c r="G517" s="1">
        <v>1</v>
      </c>
      <c r="H517" s="1" t="b">
        <v>0</v>
      </c>
      <c r="I517" s="1">
        <v>5</v>
      </c>
      <c r="J517" s="1">
        <v>107400</v>
      </c>
      <c r="K517" s="1" t="s">
        <v>350</v>
      </c>
      <c r="L517" s="1">
        <v>10740004</v>
      </c>
      <c r="M517" s="1">
        <v>10740006</v>
      </c>
      <c r="N517" s="1" t="s">
        <v>508</v>
      </c>
      <c r="O517" s="1">
        <v>10902017</v>
      </c>
      <c r="P517" s="1">
        <v>0</v>
      </c>
      <c r="Q517" s="1">
        <v>0</v>
      </c>
      <c r="R517" s="1">
        <v>1</v>
      </c>
      <c r="T517" s="1">
        <v>100</v>
      </c>
      <c r="AY517" s="1" t="s">
        <v>449</v>
      </c>
      <c r="AZ517" s="1">
        <v>0</v>
      </c>
      <c r="GX517" s="1">
        <v>0</v>
      </c>
      <c r="GY517" s="1">
        <v>0</v>
      </c>
      <c r="GZ517" s="1" t="s">
        <v>449</v>
      </c>
      <c r="HA517" s="1">
        <v>0</v>
      </c>
      <c r="HD517" s="1">
        <v>0</v>
      </c>
      <c r="HF517" s="1">
        <v>0</v>
      </c>
      <c r="HG517" s="1">
        <v>0</v>
      </c>
      <c r="HH517" s="1">
        <v>0</v>
      </c>
      <c r="HI517" s="1">
        <v>0</v>
      </c>
      <c r="HJ517" s="1">
        <v>0</v>
      </c>
      <c r="HK517" s="1" t="b">
        <v>0</v>
      </c>
      <c r="HM517" s="1">
        <v>0</v>
      </c>
      <c r="HO517" s="1" t="s">
        <v>360</v>
      </c>
      <c r="HP517" s="1">
        <v>0</v>
      </c>
      <c r="HQ517" s="1">
        <v>0</v>
      </c>
      <c r="HR517" s="1">
        <v>0</v>
      </c>
    </row>
    <row r="518" spans="2:226">
      <c r="B518" s="1">
        <f>10000000+INDEX(编号表!$B$1:$B$112,MATCH(D518,编号表!$A$1:$A$112,0))*10000+I518</f>
        <v>10740006</v>
      </c>
      <c r="C518" s="1" t="s">
        <v>507</v>
      </c>
      <c r="D518" s="1" t="s">
        <v>507</v>
      </c>
      <c r="E518" s="1" t="s">
        <v>469</v>
      </c>
      <c r="F518" s="1" t="s">
        <v>385</v>
      </c>
      <c r="G518" s="1">
        <v>1</v>
      </c>
      <c r="H518" s="1" t="b">
        <v>0</v>
      </c>
      <c r="I518" s="1">
        <v>6</v>
      </c>
      <c r="J518" s="1">
        <v>107400</v>
      </c>
      <c r="K518" s="1" t="s">
        <v>350</v>
      </c>
      <c r="L518" s="1">
        <v>10740005</v>
      </c>
      <c r="M518" s="1">
        <v>10740007</v>
      </c>
      <c r="N518" s="1" t="s">
        <v>508</v>
      </c>
      <c r="O518" s="1">
        <v>10902017</v>
      </c>
      <c r="P518" s="1">
        <v>0</v>
      </c>
      <c r="Q518" s="1">
        <v>0</v>
      </c>
      <c r="R518" s="1">
        <v>1</v>
      </c>
      <c r="T518" s="1">
        <v>100</v>
      </c>
      <c r="AY518" s="1" t="s">
        <v>449</v>
      </c>
      <c r="AZ518" s="1">
        <v>0</v>
      </c>
      <c r="GX518" s="1">
        <v>0</v>
      </c>
      <c r="GY518" s="1">
        <v>0</v>
      </c>
      <c r="GZ518" s="1" t="s">
        <v>449</v>
      </c>
      <c r="HA518" s="1">
        <v>0</v>
      </c>
      <c r="HD518" s="1">
        <v>0</v>
      </c>
      <c r="HF518" s="1">
        <v>0</v>
      </c>
      <c r="HG518" s="1">
        <v>0</v>
      </c>
      <c r="HH518" s="1">
        <v>0</v>
      </c>
      <c r="HI518" s="1">
        <v>0</v>
      </c>
      <c r="HJ518" s="1">
        <v>0</v>
      </c>
      <c r="HK518" s="1" t="b">
        <v>0</v>
      </c>
      <c r="HM518" s="1">
        <v>0</v>
      </c>
      <c r="HO518" s="1" t="s">
        <v>360</v>
      </c>
      <c r="HP518" s="1">
        <v>0</v>
      </c>
      <c r="HQ518" s="1">
        <v>0</v>
      </c>
      <c r="HR518" s="1">
        <v>0</v>
      </c>
    </row>
    <row r="519" spans="2:226">
      <c r="B519" s="1">
        <f>10000000+INDEX(编号表!$B$1:$B$112,MATCH(D519,编号表!$A$1:$A$112,0))*10000+I519</f>
        <v>10740007</v>
      </c>
      <c r="C519" s="1" t="s">
        <v>507</v>
      </c>
      <c r="D519" s="1" t="s">
        <v>507</v>
      </c>
      <c r="E519" s="1" t="s">
        <v>469</v>
      </c>
      <c r="F519" s="1" t="s">
        <v>385</v>
      </c>
      <c r="G519" s="1">
        <v>1</v>
      </c>
      <c r="H519" s="1" t="b">
        <v>0</v>
      </c>
      <c r="I519" s="1">
        <v>7</v>
      </c>
      <c r="J519" s="1">
        <v>107400</v>
      </c>
      <c r="K519" s="1" t="s">
        <v>350</v>
      </c>
      <c r="L519" s="1">
        <v>10740006</v>
      </c>
      <c r="M519" s="1">
        <v>10740008</v>
      </c>
      <c r="N519" s="1" t="s">
        <v>508</v>
      </c>
      <c r="O519" s="1">
        <v>10902017</v>
      </c>
      <c r="P519" s="1">
        <v>0</v>
      </c>
      <c r="Q519" s="1">
        <v>0</v>
      </c>
      <c r="R519" s="1">
        <v>1</v>
      </c>
      <c r="T519" s="1">
        <v>100</v>
      </c>
      <c r="AY519" s="1" t="s">
        <v>449</v>
      </c>
      <c r="AZ519" s="1">
        <v>0</v>
      </c>
      <c r="GX519" s="1">
        <v>0</v>
      </c>
      <c r="GY519" s="1">
        <v>0</v>
      </c>
      <c r="GZ519" s="1" t="s">
        <v>449</v>
      </c>
      <c r="HA519" s="1">
        <v>0</v>
      </c>
      <c r="HD519" s="1">
        <v>0</v>
      </c>
      <c r="HF519" s="1">
        <v>0</v>
      </c>
      <c r="HG519" s="1">
        <v>0</v>
      </c>
      <c r="HH519" s="1">
        <v>0</v>
      </c>
      <c r="HI519" s="1">
        <v>0</v>
      </c>
      <c r="HJ519" s="1">
        <v>0</v>
      </c>
      <c r="HK519" s="1" t="b">
        <v>0</v>
      </c>
      <c r="HM519" s="1">
        <v>0</v>
      </c>
      <c r="HO519" s="1" t="s">
        <v>360</v>
      </c>
      <c r="HP519" s="1">
        <v>0</v>
      </c>
      <c r="HQ519" s="1">
        <v>0</v>
      </c>
      <c r="HR519" s="1">
        <v>0</v>
      </c>
    </row>
    <row r="520" spans="2:226">
      <c r="B520" s="1">
        <f>10000000+INDEX(编号表!$B$1:$B$112,MATCH(D520,编号表!$A$1:$A$112,0))*10000+I520</f>
        <v>10740008</v>
      </c>
      <c r="C520" s="1" t="s">
        <v>507</v>
      </c>
      <c r="D520" s="1" t="s">
        <v>507</v>
      </c>
      <c r="E520" s="1" t="s">
        <v>469</v>
      </c>
      <c r="F520" s="1" t="s">
        <v>385</v>
      </c>
      <c r="G520" s="1">
        <v>1</v>
      </c>
      <c r="H520" s="1" t="b">
        <v>0</v>
      </c>
      <c r="I520" s="1">
        <v>8</v>
      </c>
      <c r="J520" s="1">
        <v>107400</v>
      </c>
      <c r="K520" s="1" t="s">
        <v>350</v>
      </c>
      <c r="L520" s="1">
        <v>10740007</v>
      </c>
      <c r="M520" s="1">
        <v>10740009</v>
      </c>
      <c r="N520" s="1" t="s">
        <v>508</v>
      </c>
      <c r="O520" s="1">
        <v>10902017</v>
      </c>
      <c r="P520" s="1">
        <v>0</v>
      </c>
      <c r="Q520" s="1">
        <v>0</v>
      </c>
      <c r="R520" s="1">
        <v>1</v>
      </c>
      <c r="T520" s="1">
        <v>100</v>
      </c>
      <c r="AY520" s="1" t="s">
        <v>449</v>
      </c>
      <c r="AZ520" s="1">
        <v>0</v>
      </c>
      <c r="GX520" s="1">
        <v>0</v>
      </c>
      <c r="GY520" s="1">
        <v>0</v>
      </c>
      <c r="GZ520" s="1" t="s">
        <v>449</v>
      </c>
      <c r="HA520" s="1">
        <v>0</v>
      </c>
      <c r="HD520" s="1">
        <v>0</v>
      </c>
      <c r="HF520" s="1">
        <v>0</v>
      </c>
      <c r="HG520" s="1">
        <v>0</v>
      </c>
      <c r="HH520" s="1">
        <v>0</v>
      </c>
      <c r="HI520" s="1">
        <v>0</v>
      </c>
      <c r="HJ520" s="1">
        <v>0</v>
      </c>
      <c r="HK520" s="1" t="b">
        <v>0</v>
      </c>
      <c r="HM520" s="1">
        <v>0</v>
      </c>
      <c r="HO520" s="1" t="s">
        <v>360</v>
      </c>
      <c r="HP520" s="1">
        <v>0</v>
      </c>
      <c r="HQ520" s="1">
        <v>0</v>
      </c>
      <c r="HR520" s="1">
        <v>0</v>
      </c>
    </row>
    <row r="521" spans="2:226">
      <c r="B521" s="1">
        <f>10000000+INDEX(编号表!$B$1:$B$112,MATCH(D521,编号表!$A$1:$A$112,0))*10000+I521</f>
        <v>10740009</v>
      </c>
      <c r="C521" s="1" t="s">
        <v>507</v>
      </c>
      <c r="D521" s="1" t="s">
        <v>507</v>
      </c>
      <c r="E521" s="1" t="s">
        <v>469</v>
      </c>
      <c r="F521" s="1" t="s">
        <v>385</v>
      </c>
      <c r="G521" s="1">
        <v>1</v>
      </c>
      <c r="H521" s="1" t="b">
        <v>0</v>
      </c>
      <c r="I521" s="1">
        <v>9</v>
      </c>
      <c r="J521" s="1">
        <v>107400</v>
      </c>
      <c r="K521" s="1" t="s">
        <v>350</v>
      </c>
      <c r="L521" s="1">
        <v>10740008</v>
      </c>
      <c r="M521" s="1">
        <v>10740010</v>
      </c>
      <c r="N521" s="1" t="s">
        <v>508</v>
      </c>
      <c r="O521" s="1">
        <v>10902017</v>
      </c>
      <c r="P521" s="1">
        <v>0</v>
      </c>
      <c r="Q521" s="1">
        <v>0</v>
      </c>
      <c r="R521" s="1">
        <v>1</v>
      </c>
      <c r="T521" s="1">
        <v>100</v>
      </c>
      <c r="AY521" s="1" t="s">
        <v>449</v>
      </c>
      <c r="AZ521" s="1">
        <v>0</v>
      </c>
      <c r="GX521" s="1">
        <v>0</v>
      </c>
      <c r="GY521" s="1">
        <v>0</v>
      </c>
      <c r="GZ521" s="1" t="s">
        <v>449</v>
      </c>
      <c r="HA521" s="1">
        <v>0</v>
      </c>
      <c r="HD521" s="1">
        <v>0</v>
      </c>
      <c r="HF521" s="1">
        <v>0</v>
      </c>
      <c r="HG521" s="1">
        <v>0</v>
      </c>
      <c r="HH521" s="1">
        <v>0</v>
      </c>
      <c r="HI521" s="1">
        <v>0</v>
      </c>
      <c r="HJ521" s="1">
        <v>0</v>
      </c>
      <c r="HK521" s="1" t="b">
        <v>0</v>
      </c>
      <c r="HM521" s="1">
        <v>0</v>
      </c>
      <c r="HO521" s="1" t="s">
        <v>360</v>
      </c>
      <c r="HP521" s="1">
        <v>0</v>
      </c>
      <c r="HQ521" s="1">
        <v>0</v>
      </c>
      <c r="HR521" s="1">
        <v>0</v>
      </c>
    </row>
    <row r="522" spans="2:226">
      <c r="B522" s="1">
        <f>10000000+INDEX(编号表!$B$1:$B$112,MATCH(D522,编号表!$A$1:$A$112,0))*10000+I522</f>
        <v>10740010</v>
      </c>
      <c r="C522" s="1" t="s">
        <v>507</v>
      </c>
      <c r="D522" s="1" t="s">
        <v>507</v>
      </c>
      <c r="E522" s="1" t="s">
        <v>469</v>
      </c>
      <c r="F522" s="1" t="s">
        <v>385</v>
      </c>
      <c r="G522" s="1">
        <v>1</v>
      </c>
      <c r="H522" s="1" t="b">
        <v>0</v>
      </c>
      <c r="I522" s="1">
        <v>10</v>
      </c>
      <c r="J522" s="1">
        <v>107400</v>
      </c>
      <c r="K522" s="1" t="s">
        <v>350</v>
      </c>
      <c r="L522" s="1">
        <v>10740009</v>
      </c>
      <c r="N522" s="1" t="s">
        <v>508</v>
      </c>
      <c r="O522" s="1">
        <v>10902017</v>
      </c>
      <c r="P522" s="1">
        <v>0</v>
      </c>
      <c r="Q522" s="1">
        <v>0</v>
      </c>
      <c r="R522" s="1">
        <v>1</v>
      </c>
      <c r="T522" s="1">
        <v>100</v>
      </c>
      <c r="AY522" s="1" t="s">
        <v>449</v>
      </c>
      <c r="AZ522" s="1">
        <v>0</v>
      </c>
      <c r="GX522" s="1">
        <v>0</v>
      </c>
      <c r="GY522" s="1">
        <v>0</v>
      </c>
      <c r="GZ522" s="1" t="s">
        <v>449</v>
      </c>
      <c r="HA522" s="1">
        <v>0</v>
      </c>
      <c r="HD522" s="1">
        <v>0</v>
      </c>
      <c r="HF522" s="1">
        <v>0</v>
      </c>
      <c r="HG522" s="1">
        <v>0</v>
      </c>
      <c r="HH522" s="1">
        <v>0</v>
      </c>
      <c r="HI522" s="1">
        <v>0</v>
      </c>
      <c r="HJ522" s="1">
        <v>0</v>
      </c>
      <c r="HK522" s="1" t="b">
        <v>0</v>
      </c>
      <c r="HM522" s="1">
        <v>0</v>
      </c>
      <c r="HO522" s="1" t="s">
        <v>360</v>
      </c>
      <c r="HP522" s="1">
        <v>0</v>
      </c>
      <c r="HQ522" s="1">
        <v>0</v>
      </c>
      <c r="HR522" s="1">
        <v>0</v>
      </c>
    </row>
    <row r="523" spans="2:226">
      <c r="B523" s="1">
        <f>10000000+INDEX(编号表!$B$1:$B$112,MATCH(D523,编号表!$A$1:$A$112,0))*10000+I523</f>
        <v>10750001</v>
      </c>
      <c r="C523" s="1" t="s">
        <v>509</v>
      </c>
      <c r="D523" s="1" t="s">
        <v>509</v>
      </c>
      <c r="E523" s="1" t="s">
        <v>469</v>
      </c>
      <c r="F523" s="1" t="s">
        <v>388</v>
      </c>
      <c r="G523" s="1">
        <v>1</v>
      </c>
      <c r="H523" s="1" t="b">
        <v>0</v>
      </c>
      <c r="I523" s="1">
        <v>1</v>
      </c>
      <c r="J523" s="1">
        <v>107500</v>
      </c>
      <c r="K523" s="1" t="s">
        <v>350</v>
      </c>
      <c r="M523" s="1">
        <v>10750002</v>
      </c>
      <c r="N523" s="1" t="s">
        <v>510</v>
      </c>
      <c r="O523" s="1">
        <v>10902018</v>
      </c>
      <c r="P523" s="1">
        <v>0</v>
      </c>
      <c r="Q523" s="1">
        <v>0</v>
      </c>
      <c r="R523" s="1">
        <v>1</v>
      </c>
      <c r="T523" s="1">
        <v>100</v>
      </c>
      <c r="AY523" s="1" t="s">
        <v>449</v>
      </c>
      <c r="AZ523" s="1">
        <v>0</v>
      </c>
      <c r="GX523" s="1">
        <v>0</v>
      </c>
      <c r="GY523" s="1">
        <v>0</v>
      </c>
      <c r="GZ523" s="1" t="s">
        <v>449</v>
      </c>
      <c r="HA523" s="1">
        <v>0</v>
      </c>
      <c r="HD523" s="1">
        <v>0</v>
      </c>
      <c r="HF523" s="1">
        <v>0</v>
      </c>
      <c r="HG523" s="1">
        <v>0</v>
      </c>
      <c r="HH523" s="1">
        <v>0</v>
      </c>
      <c r="HI523" s="1">
        <v>0</v>
      </c>
      <c r="HJ523" s="1">
        <v>0</v>
      </c>
      <c r="HK523" s="1" t="b">
        <v>0</v>
      </c>
      <c r="HM523" s="1">
        <v>0</v>
      </c>
      <c r="HO523" s="1" t="s">
        <v>360</v>
      </c>
      <c r="HP523" s="1">
        <v>0</v>
      </c>
      <c r="HQ523" s="1">
        <v>0</v>
      </c>
      <c r="HR523" s="1">
        <v>0</v>
      </c>
    </row>
    <row r="524" spans="2:226">
      <c r="B524" s="1">
        <f>10000000+INDEX(编号表!$B$1:$B$112,MATCH(D524,编号表!$A$1:$A$112,0))*10000+I524</f>
        <v>10750002</v>
      </c>
      <c r="C524" s="1" t="s">
        <v>509</v>
      </c>
      <c r="D524" s="1" t="s">
        <v>509</v>
      </c>
      <c r="E524" s="1" t="s">
        <v>469</v>
      </c>
      <c r="F524" s="1" t="s">
        <v>388</v>
      </c>
      <c r="G524" s="1">
        <v>1</v>
      </c>
      <c r="H524" s="1" t="b">
        <v>0</v>
      </c>
      <c r="I524" s="1">
        <v>2</v>
      </c>
      <c r="J524" s="1">
        <v>107500</v>
      </c>
      <c r="K524" s="1" t="s">
        <v>350</v>
      </c>
      <c r="L524" s="1">
        <v>10750001</v>
      </c>
      <c r="M524" s="1">
        <v>10750003</v>
      </c>
      <c r="N524" s="1" t="s">
        <v>510</v>
      </c>
      <c r="O524" s="1">
        <v>10902018</v>
      </c>
      <c r="P524" s="1">
        <v>0</v>
      </c>
      <c r="Q524" s="1">
        <v>0</v>
      </c>
      <c r="R524" s="1">
        <v>1</v>
      </c>
      <c r="T524" s="1">
        <v>100</v>
      </c>
      <c r="AY524" s="1" t="s">
        <v>449</v>
      </c>
      <c r="AZ524" s="1">
        <v>0</v>
      </c>
      <c r="GX524" s="1">
        <v>0</v>
      </c>
      <c r="GY524" s="1">
        <v>0</v>
      </c>
      <c r="GZ524" s="1" t="s">
        <v>449</v>
      </c>
      <c r="HA524" s="1">
        <v>0</v>
      </c>
      <c r="HD524" s="1">
        <v>0</v>
      </c>
      <c r="HF524" s="1">
        <v>0</v>
      </c>
      <c r="HG524" s="1">
        <v>0</v>
      </c>
      <c r="HH524" s="1">
        <v>0</v>
      </c>
      <c r="HI524" s="1">
        <v>0</v>
      </c>
      <c r="HJ524" s="1">
        <v>0</v>
      </c>
      <c r="HK524" s="1" t="b">
        <v>0</v>
      </c>
      <c r="HM524" s="1">
        <v>0</v>
      </c>
      <c r="HO524" s="1" t="s">
        <v>360</v>
      </c>
      <c r="HP524" s="1">
        <v>0</v>
      </c>
      <c r="HQ524" s="1">
        <v>0</v>
      </c>
      <c r="HR524" s="1">
        <v>0</v>
      </c>
    </row>
    <row r="525" spans="2:226">
      <c r="B525" s="1">
        <f>10000000+INDEX(编号表!$B$1:$B$112,MATCH(D525,编号表!$A$1:$A$112,0))*10000+I525</f>
        <v>10750003</v>
      </c>
      <c r="C525" s="1" t="s">
        <v>509</v>
      </c>
      <c r="D525" s="1" t="s">
        <v>509</v>
      </c>
      <c r="E525" s="1" t="s">
        <v>469</v>
      </c>
      <c r="F525" s="1" t="s">
        <v>388</v>
      </c>
      <c r="G525" s="1">
        <v>1</v>
      </c>
      <c r="H525" s="1" t="b">
        <v>0</v>
      </c>
      <c r="I525" s="1">
        <v>3</v>
      </c>
      <c r="J525" s="1">
        <v>107500</v>
      </c>
      <c r="K525" s="1" t="s">
        <v>350</v>
      </c>
      <c r="L525" s="1">
        <v>10750002</v>
      </c>
      <c r="M525" s="1">
        <v>10750004</v>
      </c>
      <c r="N525" s="1" t="s">
        <v>510</v>
      </c>
      <c r="O525" s="1">
        <v>10902018</v>
      </c>
      <c r="P525" s="1">
        <v>0</v>
      </c>
      <c r="Q525" s="1">
        <v>0</v>
      </c>
      <c r="R525" s="1">
        <v>1</v>
      </c>
      <c r="T525" s="1">
        <v>100</v>
      </c>
      <c r="AY525" s="1" t="s">
        <v>449</v>
      </c>
      <c r="AZ525" s="1">
        <v>0</v>
      </c>
      <c r="GX525" s="1">
        <v>0</v>
      </c>
      <c r="GY525" s="1">
        <v>0</v>
      </c>
      <c r="GZ525" s="1" t="s">
        <v>449</v>
      </c>
      <c r="HA525" s="1">
        <v>0</v>
      </c>
      <c r="HD525" s="1">
        <v>0</v>
      </c>
      <c r="HF525" s="1">
        <v>0</v>
      </c>
      <c r="HG525" s="1">
        <v>0</v>
      </c>
      <c r="HH525" s="1">
        <v>0</v>
      </c>
      <c r="HI525" s="1">
        <v>0</v>
      </c>
      <c r="HJ525" s="1">
        <v>0</v>
      </c>
      <c r="HK525" s="1" t="b">
        <v>0</v>
      </c>
      <c r="HM525" s="1">
        <v>0</v>
      </c>
      <c r="HO525" s="1" t="s">
        <v>360</v>
      </c>
      <c r="HP525" s="1">
        <v>0</v>
      </c>
      <c r="HQ525" s="1">
        <v>0</v>
      </c>
      <c r="HR525" s="1">
        <v>0</v>
      </c>
    </row>
    <row r="526" spans="2:226">
      <c r="B526" s="1">
        <f>10000000+INDEX(编号表!$B$1:$B$112,MATCH(D526,编号表!$A$1:$A$112,0))*10000+I526</f>
        <v>10750004</v>
      </c>
      <c r="C526" s="1" t="s">
        <v>509</v>
      </c>
      <c r="D526" s="1" t="s">
        <v>509</v>
      </c>
      <c r="E526" s="1" t="s">
        <v>469</v>
      </c>
      <c r="F526" s="1" t="s">
        <v>388</v>
      </c>
      <c r="G526" s="1">
        <v>1</v>
      </c>
      <c r="H526" s="1" t="b">
        <v>0</v>
      </c>
      <c r="I526" s="1">
        <v>4</v>
      </c>
      <c r="J526" s="1">
        <v>107500</v>
      </c>
      <c r="K526" s="1" t="s">
        <v>350</v>
      </c>
      <c r="L526" s="1">
        <v>10750003</v>
      </c>
      <c r="M526" s="1">
        <v>10750005</v>
      </c>
      <c r="N526" s="1" t="s">
        <v>510</v>
      </c>
      <c r="O526" s="1">
        <v>10902018</v>
      </c>
      <c r="P526" s="1">
        <v>0</v>
      </c>
      <c r="Q526" s="1">
        <v>0</v>
      </c>
      <c r="R526" s="1">
        <v>1</v>
      </c>
      <c r="T526" s="1">
        <v>100</v>
      </c>
      <c r="AY526" s="1" t="s">
        <v>449</v>
      </c>
      <c r="AZ526" s="1">
        <v>0</v>
      </c>
      <c r="GX526" s="1">
        <v>0</v>
      </c>
      <c r="GY526" s="1">
        <v>0</v>
      </c>
      <c r="GZ526" s="1" t="s">
        <v>449</v>
      </c>
      <c r="HA526" s="1">
        <v>0</v>
      </c>
      <c r="HD526" s="1">
        <v>0</v>
      </c>
      <c r="HF526" s="1">
        <v>0</v>
      </c>
      <c r="HG526" s="1">
        <v>0</v>
      </c>
      <c r="HH526" s="1">
        <v>0</v>
      </c>
      <c r="HI526" s="1">
        <v>0</v>
      </c>
      <c r="HJ526" s="1">
        <v>0</v>
      </c>
      <c r="HK526" s="1" t="b">
        <v>0</v>
      </c>
      <c r="HM526" s="1">
        <v>0</v>
      </c>
      <c r="HO526" s="1" t="s">
        <v>360</v>
      </c>
      <c r="HP526" s="1">
        <v>0</v>
      </c>
      <c r="HQ526" s="1">
        <v>0</v>
      </c>
      <c r="HR526" s="1">
        <v>0</v>
      </c>
    </row>
    <row r="527" spans="2:226">
      <c r="B527" s="1">
        <f>10000000+INDEX(编号表!$B$1:$B$112,MATCH(D527,编号表!$A$1:$A$112,0))*10000+I527</f>
        <v>10750005</v>
      </c>
      <c r="C527" s="1" t="s">
        <v>509</v>
      </c>
      <c r="D527" s="1" t="s">
        <v>509</v>
      </c>
      <c r="E527" s="1" t="s">
        <v>469</v>
      </c>
      <c r="F527" s="1" t="s">
        <v>388</v>
      </c>
      <c r="G527" s="1">
        <v>1</v>
      </c>
      <c r="H527" s="1" t="b">
        <v>0</v>
      </c>
      <c r="I527" s="1">
        <v>5</v>
      </c>
      <c r="J527" s="1">
        <v>107500</v>
      </c>
      <c r="K527" s="1" t="s">
        <v>350</v>
      </c>
      <c r="L527" s="1">
        <v>10750004</v>
      </c>
      <c r="M527" s="1">
        <v>10750006</v>
      </c>
      <c r="N527" s="1" t="s">
        <v>510</v>
      </c>
      <c r="O527" s="1">
        <v>10902018</v>
      </c>
      <c r="P527" s="1">
        <v>0</v>
      </c>
      <c r="Q527" s="1">
        <v>0</v>
      </c>
      <c r="R527" s="1">
        <v>1</v>
      </c>
      <c r="T527" s="1">
        <v>100</v>
      </c>
      <c r="AY527" s="1" t="s">
        <v>449</v>
      </c>
      <c r="AZ527" s="1">
        <v>0</v>
      </c>
      <c r="GX527" s="1">
        <v>0</v>
      </c>
      <c r="GY527" s="1">
        <v>0</v>
      </c>
      <c r="GZ527" s="1" t="s">
        <v>449</v>
      </c>
      <c r="HA527" s="1">
        <v>0</v>
      </c>
      <c r="HD527" s="1">
        <v>0</v>
      </c>
      <c r="HF527" s="1">
        <v>0</v>
      </c>
      <c r="HG527" s="1">
        <v>0</v>
      </c>
      <c r="HH527" s="1">
        <v>0</v>
      </c>
      <c r="HI527" s="1">
        <v>0</v>
      </c>
      <c r="HJ527" s="1">
        <v>0</v>
      </c>
      <c r="HK527" s="1" t="b">
        <v>0</v>
      </c>
      <c r="HM527" s="1">
        <v>0</v>
      </c>
      <c r="HO527" s="1" t="s">
        <v>360</v>
      </c>
      <c r="HP527" s="1">
        <v>0</v>
      </c>
      <c r="HQ527" s="1">
        <v>0</v>
      </c>
      <c r="HR527" s="1">
        <v>0</v>
      </c>
    </row>
    <row r="528" spans="2:226">
      <c r="B528" s="1">
        <f>10000000+INDEX(编号表!$B$1:$B$112,MATCH(D528,编号表!$A$1:$A$112,0))*10000+I528</f>
        <v>10750006</v>
      </c>
      <c r="C528" s="1" t="s">
        <v>509</v>
      </c>
      <c r="D528" s="1" t="s">
        <v>509</v>
      </c>
      <c r="E528" s="1" t="s">
        <v>469</v>
      </c>
      <c r="F528" s="1" t="s">
        <v>388</v>
      </c>
      <c r="G528" s="1">
        <v>1</v>
      </c>
      <c r="H528" s="1" t="b">
        <v>0</v>
      </c>
      <c r="I528" s="1">
        <v>6</v>
      </c>
      <c r="J528" s="1">
        <v>107500</v>
      </c>
      <c r="K528" s="1" t="s">
        <v>350</v>
      </c>
      <c r="L528" s="1">
        <v>10750005</v>
      </c>
      <c r="M528" s="1">
        <v>10750007</v>
      </c>
      <c r="N528" s="1" t="s">
        <v>510</v>
      </c>
      <c r="O528" s="1">
        <v>10902018</v>
      </c>
      <c r="P528" s="1">
        <v>0</v>
      </c>
      <c r="Q528" s="1">
        <v>0</v>
      </c>
      <c r="R528" s="1">
        <v>1</v>
      </c>
      <c r="T528" s="1">
        <v>100</v>
      </c>
      <c r="AY528" s="1" t="s">
        <v>449</v>
      </c>
      <c r="AZ528" s="1">
        <v>0</v>
      </c>
      <c r="GX528" s="1">
        <v>0</v>
      </c>
      <c r="GY528" s="1">
        <v>0</v>
      </c>
      <c r="GZ528" s="1" t="s">
        <v>449</v>
      </c>
      <c r="HA528" s="1">
        <v>0</v>
      </c>
      <c r="HD528" s="1">
        <v>0</v>
      </c>
      <c r="HF528" s="1">
        <v>0</v>
      </c>
      <c r="HG528" s="1">
        <v>0</v>
      </c>
      <c r="HH528" s="1">
        <v>0</v>
      </c>
      <c r="HI528" s="1">
        <v>0</v>
      </c>
      <c r="HJ528" s="1">
        <v>0</v>
      </c>
      <c r="HK528" s="1" t="b">
        <v>0</v>
      </c>
      <c r="HM528" s="1">
        <v>0</v>
      </c>
      <c r="HO528" s="1" t="s">
        <v>360</v>
      </c>
      <c r="HP528" s="1">
        <v>0</v>
      </c>
      <c r="HQ528" s="1">
        <v>0</v>
      </c>
      <c r="HR528" s="1">
        <v>0</v>
      </c>
    </row>
    <row r="529" spans="2:226">
      <c r="B529" s="1">
        <f>10000000+INDEX(编号表!$B$1:$B$112,MATCH(D529,编号表!$A$1:$A$112,0))*10000+I529</f>
        <v>10750007</v>
      </c>
      <c r="C529" s="1" t="s">
        <v>509</v>
      </c>
      <c r="D529" s="1" t="s">
        <v>509</v>
      </c>
      <c r="E529" s="1" t="s">
        <v>469</v>
      </c>
      <c r="F529" s="1" t="s">
        <v>388</v>
      </c>
      <c r="G529" s="1">
        <v>1</v>
      </c>
      <c r="H529" s="1" t="b">
        <v>0</v>
      </c>
      <c r="I529" s="1">
        <v>7</v>
      </c>
      <c r="J529" s="1">
        <v>107500</v>
      </c>
      <c r="K529" s="1" t="s">
        <v>350</v>
      </c>
      <c r="L529" s="1">
        <v>10750006</v>
      </c>
      <c r="M529" s="1">
        <v>10750008</v>
      </c>
      <c r="N529" s="1" t="s">
        <v>510</v>
      </c>
      <c r="O529" s="1">
        <v>10902018</v>
      </c>
      <c r="P529" s="1">
        <v>0</v>
      </c>
      <c r="Q529" s="1">
        <v>0</v>
      </c>
      <c r="R529" s="1">
        <v>1</v>
      </c>
      <c r="T529" s="1">
        <v>100</v>
      </c>
      <c r="AY529" s="1" t="s">
        <v>449</v>
      </c>
      <c r="AZ529" s="1">
        <v>0</v>
      </c>
      <c r="GX529" s="1">
        <v>0</v>
      </c>
      <c r="GY529" s="1">
        <v>0</v>
      </c>
      <c r="GZ529" s="1" t="s">
        <v>449</v>
      </c>
      <c r="HA529" s="1">
        <v>0</v>
      </c>
      <c r="HD529" s="1">
        <v>0</v>
      </c>
      <c r="HF529" s="1">
        <v>0</v>
      </c>
      <c r="HG529" s="1">
        <v>0</v>
      </c>
      <c r="HH529" s="1">
        <v>0</v>
      </c>
      <c r="HI529" s="1">
        <v>0</v>
      </c>
      <c r="HJ529" s="1">
        <v>0</v>
      </c>
      <c r="HK529" s="1" t="b">
        <v>0</v>
      </c>
      <c r="HM529" s="1">
        <v>0</v>
      </c>
      <c r="HO529" s="1" t="s">
        <v>360</v>
      </c>
      <c r="HP529" s="1">
        <v>0</v>
      </c>
      <c r="HQ529" s="1">
        <v>0</v>
      </c>
      <c r="HR529" s="1">
        <v>0</v>
      </c>
    </row>
    <row r="530" spans="2:226">
      <c r="B530" s="1">
        <f>10000000+INDEX(编号表!$B$1:$B$112,MATCH(D530,编号表!$A$1:$A$112,0))*10000+I530</f>
        <v>10750008</v>
      </c>
      <c r="C530" s="1" t="s">
        <v>509</v>
      </c>
      <c r="D530" s="1" t="s">
        <v>509</v>
      </c>
      <c r="E530" s="1" t="s">
        <v>469</v>
      </c>
      <c r="F530" s="1" t="s">
        <v>388</v>
      </c>
      <c r="G530" s="1">
        <v>1</v>
      </c>
      <c r="H530" s="1" t="b">
        <v>0</v>
      </c>
      <c r="I530" s="1">
        <v>8</v>
      </c>
      <c r="J530" s="1">
        <v>107500</v>
      </c>
      <c r="K530" s="1" t="s">
        <v>350</v>
      </c>
      <c r="L530" s="1">
        <v>10750007</v>
      </c>
      <c r="M530" s="1">
        <v>10750009</v>
      </c>
      <c r="N530" s="1" t="s">
        <v>510</v>
      </c>
      <c r="O530" s="1">
        <v>10902018</v>
      </c>
      <c r="P530" s="1">
        <v>0</v>
      </c>
      <c r="Q530" s="1">
        <v>0</v>
      </c>
      <c r="R530" s="1">
        <v>1</v>
      </c>
      <c r="T530" s="1">
        <v>100</v>
      </c>
      <c r="AY530" s="1" t="s">
        <v>449</v>
      </c>
      <c r="AZ530" s="1">
        <v>0</v>
      </c>
      <c r="GX530" s="1">
        <v>0</v>
      </c>
      <c r="GY530" s="1">
        <v>0</v>
      </c>
      <c r="GZ530" s="1" t="s">
        <v>449</v>
      </c>
      <c r="HA530" s="1">
        <v>0</v>
      </c>
      <c r="HD530" s="1">
        <v>0</v>
      </c>
      <c r="HF530" s="1">
        <v>0</v>
      </c>
      <c r="HG530" s="1">
        <v>0</v>
      </c>
      <c r="HH530" s="1">
        <v>0</v>
      </c>
      <c r="HI530" s="1">
        <v>0</v>
      </c>
      <c r="HJ530" s="1">
        <v>0</v>
      </c>
      <c r="HK530" s="1" t="b">
        <v>0</v>
      </c>
      <c r="HM530" s="1">
        <v>0</v>
      </c>
      <c r="HO530" s="1" t="s">
        <v>360</v>
      </c>
      <c r="HP530" s="1">
        <v>0</v>
      </c>
      <c r="HQ530" s="1">
        <v>0</v>
      </c>
      <c r="HR530" s="1">
        <v>0</v>
      </c>
    </row>
    <row r="531" spans="2:226">
      <c r="B531" s="1">
        <f>10000000+INDEX(编号表!$B$1:$B$112,MATCH(D531,编号表!$A$1:$A$112,0))*10000+I531</f>
        <v>10750009</v>
      </c>
      <c r="C531" s="1" t="s">
        <v>509</v>
      </c>
      <c r="D531" s="1" t="s">
        <v>509</v>
      </c>
      <c r="E531" s="1" t="s">
        <v>469</v>
      </c>
      <c r="F531" s="1" t="s">
        <v>388</v>
      </c>
      <c r="G531" s="1">
        <v>1</v>
      </c>
      <c r="H531" s="1" t="b">
        <v>0</v>
      </c>
      <c r="I531" s="1">
        <v>9</v>
      </c>
      <c r="J531" s="1">
        <v>107500</v>
      </c>
      <c r="K531" s="1" t="s">
        <v>350</v>
      </c>
      <c r="L531" s="1">
        <v>10750008</v>
      </c>
      <c r="M531" s="1">
        <v>10750010</v>
      </c>
      <c r="N531" s="1" t="s">
        <v>510</v>
      </c>
      <c r="O531" s="1">
        <v>10902018</v>
      </c>
      <c r="P531" s="1">
        <v>0</v>
      </c>
      <c r="Q531" s="1">
        <v>0</v>
      </c>
      <c r="R531" s="1">
        <v>1</v>
      </c>
      <c r="T531" s="1">
        <v>100</v>
      </c>
      <c r="AY531" s="1" t="s">
        <v>449</v>
      </c>
      <c r="AZ531" s="1">
        <v>0</v>
      </c>
      <c r="GX531" s="1">
        <v>0</v>
      </c>
      <c r="GY531" s="1">
        <v>0</v>
      </c>
      <c r="GZ531" s="1" t="s">
        <v>449</v>
      </c>
      <c r="HA531" s="1">
        <v>0</v>
      </c>
      <c r="HD531" s="1">
        <v>0</v>
      </c>
      <c r="HF531" s="1">
        <v>0</v>
      </c>
      <c r="HG531" s="1">
        <v>0</v>
      </c>
      <c r="HH531" s="1">
        <v>0</v>
      </c>
      <c r="HI531" s="1">
        <v>0</v>
      </c>
      <c r="HJ531" s="1">
        <v>0</v>
      </c>
      <c r="HK531" s="1" t="b">
        <v>0</v>
      </c>
      <c r="HM531" s="1">
        <v>0</v>
      </c>
      <c r="HO531" s="1" t="s">
        <v>360</v>
      </c>
      <c r="HP531" s="1">
        <v>0</v>
      </c>
      <c r="HQ531" s="1">
        <v>0</v>
      </c>
      <c r="HR531" s="1">
        <v>0</v>
      </c>
    </row>
    <row r="532" spans="2:226">
      <c r="B532" s="1">
        <f>10000000+INDEX(编号表!$B$1:$B$112,MATCH(D532,编号表!$A$1:$A$112,0))*10000+I532</f>
        <v>10750010</v>
      </c>
      <c r="C532" s="1" t="s">
        <v>509</v>
      </c>
      <c r="D532" s="1" t="s">
        <v>509</v>
      </c>
      <c r="E532" s="1" t="s">
        <v>469</v>
      </c>
      <c r="F532" s="1" t="s">
        <v>388</v>
      </c>
      <c r="G532" s="1">
        <v>1</v>
      </c>
      <c r="H532" s="1" t="b">
        <v>0</v>
      </c>
      <c r="I532" s="1">
        <v>10</v>
      </c>
      <c r="J532" s="1">
        <v>107500</v>
      </c>
      <c r="K532" s="1" t="s">
        <v>350</v>
      </c>
      <c r="L532" s="1">
        <v>10750009</v>
      </c>
      <c r="N532" s="1" t="s">
        <v>510</v>
      </c>
      <c r="O532" s="1">
        <v>10902018</v>
      </c>
      <c r="P532" s="1">
        <v>0</v>
      </c>
      <c r="Q532" s="1">
        <v>0</v>
      </c>
      <c r="R532" s="1">
        <v>1</v>
      </c>
      <c r="T532" s="1">
        <v>100</v>
      </c>
      <c r="AY532" s="1" t="s">
        <v>449</v>
      </c>
      <c r="AZ532" s="1">
        <v>0</v>
      </c>
      <c r="GX532" s="1">
        <v>0</v>
      </c>
      <c r="GY532" s="1">
        <v>0</v>
      </c>
      <c r="GZ532" s="1" t="s">
        <v>449</v>
      </c>
      <c r="HA532" s="1">
        <v>0</v>
      </c>
      <c r="HD532" s="1">
        <v>0</v>
      </c>
      <c r="HF532" s="1">
        <v>0</v>
      </c>
      <c r="HG532" s="1">
        <v>0</v>
      </c>
      <c r="HH532" s="1">
        <v>0</v>
      </c>
      <c r="HI532" s="1">
        <v>0</v>
      </c>
      <c r="HJ532" s="1">
        <v>0</v>
      </c>
      <c r="HK532" s="1" t="b">
        <v>0</v>
      </c>
      <c r="HM532" s="1">
        <v>0</v>
      </c>
      <c r="HO532" s="1" t="s">
        <v>360</v>
      </c>
      <c r="HP532" s="1">
        <v>0</v>
      </c>
      <c r="HQ532" s="1">
        <v>0</v>
      </c>
      <c r="HR532" s="1">
        <v>0</v>
      </c>
    </row>
    <row r="533" spans="2:226">
      <c r="B533" s="1">
        <f>10000000+INDEX(编号表!$B$1:$B$112,MATCH(D533,编号表!$A$1:$A$112,0))*10000+I533</f>
        <v>10760001</v>
      </c>
      <c r="C533" s="1" t="s">
        <v>511</v>
      </c>
      <c r="D533" s="1" t="s">
        <v>511</v>
      </c>
      <c r="E533" s="1" t="s">
        <v>469</v>
      </c>
      <c r="F533" s="1" t="s">
        <v>391</v>
      </c>
      <c r="G533" s="1">
        <v>1</v>
      </c>
      <c r="H533" s="1" t="b">
        <v>0</v>
      </c>
      <c r="I533" s="1">
        <v>1</v>
      </c>
      <c r="J533" s="1">
        <v>107600</v>
      </c>
      <c r="K533" s="1" t="s">
        <v>350</v>
      </c>
      <c r="M533" s="1">
        <v>10760002</v>
      </c>
      <c r="N533" s="1" t="s">
        <v>512</v>
      </c>
      <c r="O533" s="1">
        <v>10902019</v>
      </c>
      <c r="P533" s="1">
        <v>0</v>
      </c>
      <c r="Q533" s="1">
        <v>0</v>
      </c>
      <c r="R533" s="1">
        <v>1</v>
      </c>
      <c r="T533" s="1">
        <v>100</v>
      </c>
      <c r="AY533" s="1" t="s">
        <v>449</v>
      </c>
      <c r="AZ533" s="1">
        <v>0</v>
      </c>
      <c r="GX533" s="1">
        <v>0</v>
      </c>
      <c r="GY533" s="1">
        <v>0</v>
      </c>
      <c r="GZ533" s="1" t="s">
        <v>449</v>
      </c>
      <c r="HA533" s="1">
        <v>0</v>
      </c>
      <c r="HD533" s="1">
        <v>0</v>
      </c>
      <c r="HF533" s="1">
        <v>0</v>
      </c>
      <c r="HG533" s="1">
        <v>0</v>
      </c>
      <c r="HH533" s="1">
        <v>0</v>
      </c>
      <c r="HI533" s="1">
        <v>0</v>
      </c>
      <c r="HJ533" s="1">
        <v>0</v>
      </c>
      <c r="HK533" s="1" t="b">
        <v>0</v>
      </c>
      <c r="HM533" s="1">
        <v>0</v>
      </c>
      <c r="HO533" s="1" t="s">
        <v>360</v>
      </c>
      <c r="HP533" s="1">
        <v>0</v>
      </c>
      <c r="HQ533" s="1">
        <v>0</v>
      </c>
      <c r="HR533" s="1">
        <v>0</v>
      </c>
    </row>
    <row r="534" spans="2:226">
      <c r="B534" s="1">
        <f>10000000+INDEX(编号表!$B$1:$B$112,MATCH(D534,编号表!$A$1:$A$112,0))*10000+I534</f>
        <v>10760002</v>
      </c>
      <c r="C534" s="1" t="s">
        <v>511</v>
      </c>
      <c r="D534" s="1" t="s">
        <v>511</v>
      </c>
      <c r="E534" s="1" t="s">
        <v>469</v>
      </c>
      <c r="F534" s="1" t="s">
        <v>391</v>
      </c>
      <c r="G534" s="1">
        <v>1</v>
      </c>
      <c r="H534" s="1" t="b">
        <v>0</v>
      </c>
      <c r="I534" s="1">
        <v>2</v>
      </c>
      <c r="J534" s="1">
        <v>107600</v>
      </c>
      <c r="K534" s="1" t="s">
        <v>350</v>
      </c>
      <c r="L534" s="1">
        <v>10760001</v>
      </c>
      <c r="M534" s="1">
        <v>10760003</v>
      </c>
      <c r="N534" s="1" t="s">
        <v>512</v>
      </c>
      <c r="O534" s="1">
        <v>10902019</v>
      </c>
      <c r="P534" s="1">
        <v>0</v>
      </c>
      <c r="Q534" s="1">
        <v>0</v>
      </c>
      <c r="R534" s="1">
        <v>1</v>
      </c>
      <c r="T534" s="1">
        <v>100</v>
      </c>
      <c r="AY534" s="1" t="s">
        <v>449</v>
      </c>
      <c r="AZ534" s="1">
        <v>0</v>
      </c>
      <c r="GX534" s="1">
        <v>0</v>
      </c>
      <c r="GY534" s="1">
        <v>0</v>
      </c>
      <c r="GZ534" s="1" t="s">
        <v>449</v>
      </c>
      <c r="HA534" s="1">
        <v>0</v>
      </c>
      <c r="HD534" s="1">
        <v>0</v>
      </c>
      <c r="HF534" s="1">
        <v>0</v>
      </c>
      <c r="HG534" s="1">
        <v>0</v>
      </c>
      <c r="HH534" s="1">
        <v>0</v>
      </c>
      <c r="HI534" s="1">
        <v>0</v>
      </c>
      <c r="HJ534" s="1">
        <v>0</v>
      </c>
      <c r="HK534" s="1" t="b">
        <v>0</v>
      </c>
      <c r="HM534" s="1">
        <v>0</v>
      </c>
      <c r="HO534" s="1" t="s">
        <v>360</v>
      </c>
      <c r="HP534" s="1">
        <v>0</v>
      </c>
      <c r="HQ534" s="1">
        <v>0</v>
      </c>
      <c r="HR534" s="1">
        <v>0</v>
      </c>
    </row>
    <row r="535" spans="2:226">
      <c r="B535" s="1">
        <f>10000000+INDEX(编号表!$B$1:$B$112,MATCH(D535,编号表!$A$1:$A$112,0))*10000+I535</f>
        <v>10760003</v>
      </c>
      <c r="C535" s="1" t="s">
        <v>511</v>
      </c>
      <c r="D535" s="1" t="s">
        <v>511</v>
      </c>
      <c r="E535" s="1" t="s">
        <v>469</v>
      </c>
      <c r="F535" s="1" t="s">
        <v>391</v>
      </c>
      <c r="G535" s="1">
        <v>1</v>
      </c>
      <c r="H535" s="1" t="b">
        <v>0</v>
      </c>
      <c r="I535" s="1">
        <v>3</v>
      </c>
      <c r="J535" s="1">
        <v>107600</v>
      </c>
      <c r="K535" s="1" t="s">
        <v>350</v>
      </c>
      <c r="L535" s="1">
        <v>10760002</v>
      </c>
      <c r="M535" s="1">
        <v>10760004</v>
      </c>
      <c r="N535" s="1" t="s">
        <v>512</v>
      </c>
      <c r="O535" s="1">
        <v>10902019</v>
      </c>
      <c r="P535" s="1">
        <v>0</v>
      </c>
      <c r="Q535" s="1">
        <v>0</v>
      </c>
      <c r="R535" s="1">
        <v>1</v>
      </c>
      <c r="T535" s="1">
        <v>100</v>
      </c>
      <c r="AY535" s="1" t="s">
        <v>449</v>
      </c>
      <c r="AZ535" s="1">
        <v>0</v>
      </c>
      <c r="GX535" s="1">
        <v>0</v>
      </c>
      <c r="GY535" s="1">
        <v>0</v>
      </c>
      <c r="GZ535" s="1" t="s">
        <v>449</v>
      </c>
      <c r="HA535" s="1">
        <v>0</v>
      </c>
      <c r="HD535" s="1">
        <v>0</v>
      </c>
      <c r="HF535" s="1">
        <v>0</v>
      </c>
      <c r="HG535" s="1">
        <v>0</v>
      </c>
      <c r="HH535" s="1">
        <v>0</v>
      </c>
      <c r="HI535" s="1">
        <v>0</v>
      </c>
      <c r="HJ535" s="1">
        <v>0</v>
      </c>
      <c r="HK535" s="1" t="b">
        <v>0</v>
      </c>
      <c r="HM535" s="1">
        <v>0</v>
      </c>
      <c r="HO535" s="1" t="s">
        <v>360</v>
      </c>
      <c r="HP535" s="1">
        <v>0</v>
      </c>
      <c r="HQ535" s="1">
        <v>0</v>
      </c>
      <c r="HR535" s="1">
        <v>0</v>
      </c>
    </row>
    <row r="536" spans="2:226">
      <c r="B536" s="1">
        <f>10000000+INDEX(编号表!$B$1:$B$112,MATCH(D536,编号表!$A$1:$A$112,0))*10000+I536</f>
        <v>10760004</v>
      </c>
      <c r="C536" s="1" t="s">
        <v>511</v>
      </c>
      <c r="D536" s="1" t="s">
        <v>511</v>
      </c>
      <c r="E536" s="1" t="s">
        <v>469</v>
      </c>
      <c r="F536" s="1" t="s">
        <v>391</v>
      </c>
      <c r="G536" s="1">
        <v>1</v>
      </c>
      <c r="H536" s="1" t="b">
        <v>0</v>
      </c>
      <c r="I536" s="1">
        <v>4</v>
      </c>
      <c r="J536" s="1">
        <v>107600</v>
      </c>
      <c r="K536" s="1" t="s">
        <v>350</v>
      </c>
      <c r="L536" s="1">
        <v>10760003</v>
      </c>
      <c r="M536" s="1">
        <v>10760005</v>
      </c>
      <c r="N536" s="1" t="s">
        <v>512</v>
      </c>
      <c r="O536" s="1">
        <v>10902019</v>
      </c>
      <c r="P536" s="1">
        <v>0</v>
      </c>
      <c r="Q536" s="1">
        <v>0</v>
      </c>
      <c r="R536" s="1">
        <v>1</v>
      </c>
      <c r="T536" s="1">
        <v>100</v>
      </c>
      <c r="AY536" s="1" t="s">
        <v>449</v>
      </c>
      <c r="AZ536" s="1">
        <v>0</v>
      </c>
      <c r="GX536" s="1">
        <v>0</v>
      </c>
      <c r="GY536" s="1">
        <v>0</v>
      </c>
      <c r="GZ536" s="1" t="s">
        <v>449</v>
      </c>
      <c r="HA536" s="1">
        <v>0</v>
      </c>
      <c r="HD536" s="1">
        <v>0</v>
      </c>
      <c r="HF536" s="1">
        <v>0</v>
      </c>
      <c r="HG536" s="1">
        <v>0</v>
      </c>
      <c r="HH536" s="1">
        <v>0</v>
      </c>
      <c r="HI536" s="1">
        <v>0</v>
      </c>
      <c r="HJ536" s="1">
        <v>0</v>
      </c>
      <c r="HK536" s="1" t="b">
        <v>0</v>
      </c>
      <c r="HM536" s="1">
        <v>0</v>
      </c>
      <c r="HO536" s="1" t="s">
        <v>360</v>
      </c>
      <c r="HP536" s="1">
        <v>0</v>
      </c>
      <c r="HQ536" s="1">
        <v>0</v>
      </c>
      <c r="HR536" s="1">
        <v>0</v>
      </c>
    </row>
    <row r="537" spans="2:226">
      <c r="B537" s="1">
        <f>10000000+INDEX(编号表!$B$1:$B$112,MATCH(D537,编号表!$A$1:$A$112,0))*10000+I537</f>
        <v>10760005</v>
      </c>
      <c r="C537" s="1" t="s">
        <v>511</v>
      </c>
      <c r="D537" s="1" t="s">
        <v>511</v>
      </c>
      <c r="E537" s="1" t="s">
        <v>469</v>
      </c>
      <c r="F537" s="1" t="s">
        <v>391</v>
      </c>
      <c r="G537" s="1">
        <v>1</v>
      </c>
      <c r="H537" s="1" t="b">
        <v>0</v>
      </c>
      <c r="I537" s="1">
        <v>5</v>
      </c>
      <c r="J537" s="1">
        <v>107600</v>
      </c>
      <c r="K537" s="1" t="s">
        <v>350</v>
      </c>
      <c r="L537" s="1">
        <v>10760004</v>
      </c>
      <c r="M537" s="1">
        <v>10760006</v>
      </c>
      <c r="N537" s="1" t="s">
        <v>512</v>
      </c>
      <c r="O537" s="1">
        <v>10902019</v>
      </c>
      <c r="P537" s="1">
        <v>0</v>
      </c>
      <c r="Q537" s="1">
        <v>0</v>
      </c>
      <c r="R537" s="1">
        <v>1</v>
      </c>
      <c r="T537" s="1">
        <v>100</v>
      </c>
      <c r="AY537" s="1" t="s">
        <v>449</v>
      </c>
      <c r="AZ537" s="1">
        <v>0</v>
      </c>
      <c r="GX537" s="1">
        <v>0</v>
      </c>
      <c r="GY537" s="1">
        <v>0</v>
      </c>
      <c r="GZ537" s="1" t="s">
        <v>449</v>
      </c>
      <c r="HA537" s="1">
        <v>0</v>
      </c>
      <c r="HD537" s="1">
        <v>0</v>
      </c>
      <c r="HF537" s="1">
        <v>0</v>
      </c>
      <c r="HG537" s="1">
        <v>0</v>
      </c>
      <c r="HH537" s="1">
        <v>0</v>
      </c>
      <c r="HI537" s="1">
        <v>0</v>
      </c>
      <c r="HJ537" s="1">
        <v>0</v>
      </c>
      <c r="HK537" s="1" t="b">
        <v>0</v>
      </c>
      <c r="HM537" s="1">
        <v>0</v>
      </c>
      <c r="HO537" s="1" t="s">
        <v>360</v>
      </c>
      <c r="HP537" s="1">
        <v>0</v>
      </c>
      <c r="HQ537" s="1">
        <v>0</v>
      </c>
      <c r="HR537" s="1">
        <v>0</v>
      </c>
    </row>
    <row r="538" spans="2:226">
      <c r="B538" s="1">
        <f>10000000+INDEX(编号表!$B$1:$B$112,MATCH(D538,编号表!$A$1:$A$112,0))*10000+I538</f>
        <v>10760006</v>
      </c>
      <c r="C538" s="1" t="s">
        <v>511</v>
      </c>
      <c r="D538" s="1" t="s">
        <v>511</v>
      </c>
      <c r="E538" s="1" t="s">
        <v>469</v>
      </c>
      <c r="F538" s="1" t="s">
        <v>391</v>
      </c>
      <c r="G538" s="1">
        <v>1</v>
      </c>
      <c r="H538" s="1" t="b">
        <v>0</v>
      </c>
      <c r="I538" s="1">
        <v>6</v>
      </c>
      <c r="J538" s="1">
        <v>107600</v>
      </c>
      <c r="K538" s="1" t="s">
        <v>350</v>
      </c>
      <c r="L538" s="1">
        <v>10760005</v>
      </c>
      <c r="M538" s="1">
        <v>10760007</v>
      </c>
      <c r="N538" s="1" t="s">
        <v>512</v>
      </c>
      <c r="O538" s="1">
        <v>10902019</v>
      </c>
      <c r="P538" s="1">
        <v>0</v>
      </c>
      <c r="Q538" s="1">
        <v>0</v>
      </c>
      <c r="R538" s="1">
        <v>1</v>
      </c>
      <c r="T538" s="1">
        <v>100</v>
      </c>
      <c r="AY538" s="1" t="s">
        <v>449</v>
      </c>
      <c r="AZ538" s="1">
        <v>0</v>
      </c>
      <c r="GX538" s="1">
        <v>0</v>
      </c>
      <c r="GY538" s="1">
        <v>0</v>
      </c>
      <c r="GZ538" s="1" t="s">
        <v>449</v>
      </c>
      <c r="HA538" s="1">
        <v>0</v>
      </c>
      <c r="HD538" s="1">
        <v>0</v>
      </c>
      <c r="HF538" s="1">
        <v>0</v>
      </c>
      <c r="HG538" s="1">
        <v>0</v>
      </c>
      <c r="HH538" s="1">
        <v>0</v>
      </c>
      <c r="HI538" s="1">
        <v>0</v>
      </c>
      <c r="HJ538" s="1">
        <v>0</v>
      </c>
      <c r="HK538" s="1" t="b">
        <v>0</v>
      </c>
      <c r="HM538" s="1">
        <v>0</v>
      </c>
      <c r="HO538" s="1" t="s">
        <v>360</v>
      </c>
      <c r="HP538" s="1">
        <v>0</v>
      </c>
      <c r="HQ538" s="1">
        <v>0</v>
      </c>
      <c r="HR538" s="1">
        <v>0</v>
      </c>
    </row>
    <row r="539" spans="2:226">
      <c r="B539" s="1">
        <f>10000000+INDEX(编号表!$B$1:$B$112,MATCH(D539,编号表!$A$1:$A$112,0))*10000+I539</f>
        <v>10760007</v>
      </c>
      <c r="C539" s="1" t="s">
        <v>511</v>
      </c>
      <c r="D539" s="1" t="s">
        <v>511</v>
      </c>
      <c r="E539" s="1" t="s">
        <v>469</v>
      </c>
      <c r="F539" s="1" t="s">
        <v>391</v>
      </c>
      <c r="G539" s="1">
        <v>1</v>
      </c>
      <c r="H539" s="1" t="b">
        <v>0</v>
      </c>
      <c r="I539" s="1">
        <v>7</v>
      </c>
      <c r="J539" s="1">
        <v>107600</v>
      </c>
      <c r="K539" s="1" t="s">
        <v>350</v>
      </c>
      <c r="L539" s="1">
        <v>10760006</v>
      </c>
      <c r="M539" s="1">
        <v>10760008</v>
      </c>
      <c r="N539" s="1" t="s">
        <v>512</v>
      </c>
      <c r="O539" s="1">
        <v>10902019</v>
      </c>
      <c r="P539" s="1">
        <v>0</v>
      </c>
      <c r="Q539" s="1">
        <v>0</v>
      </c>
      <c r="R539" s="1">
        <v>1</v>
      </c>
      <c r="T539" s="1">
        <v>100</v>
      </c>
      <c r="AY539" s="1" t="s">
        <v>449</v>
      </c>
      <c r="AZ539" s="1">
        <v>0</v>
      </c>
      <c r="GX539" s="1">
        <v>0</v>
      </c>
      <c r="GY539" s="1">
        <v>0</v>
      </c>
      <c r="GZ539" s="1" t="s">
        <v>449</v>
      </c>
      <c r="HA539" s="1">
        <v>0</v>
      </c>
      <c r="HD539" s="1">
        <v>0</v>
      </c>
      <c r="HF539" s="1">
        <v>0</v>
      </c>
      <c r="HG539" s="1">
        <v>0</v>
      </c>
      <c r="HH539" s="1">
        <v>0</v>
      </c>
      <c r="HI539" s="1">
        <v>0</v>
      </c>
      <c r="HJ539" s="1">
        <v>0</v>
      </c>
      <c r="HK539" s="1" t="b">
        <v>0</v>
      </c>
      <c r="HM539" s="1">
        <v>0</v>
      </c>
      <c r="HO539" s="1" t="s">
        <v>360</v>
      </c>
      <c r="HP539" s="1">
        <v>0</v>
      </c>
      <c r="HQ539" s="1">
        <v>0</v>
      </c>
      <c r="HR539" s="1">
        <v>0</v>
      </c>
    </row>
    <row r="540" spans="2:226">
      <c r="B540" s="1">
        <f>10000000+INDEX(编号表!$B$1:$B$112,MATCH(D540,编号表!$A$1:$A$112,0))*10000+I540</f>
        <v>10760008</v>
      </c>
      <c r="C540" s="1" t="s">
        <v>511</v>
      </c>
      <c r="D540" s="1" t="s">
        <v>511</v>
      </c>
      <c r="E540" s="1" t="s">
        <v>469</v>
      </c>
      <c r="F540" s="1" t="s">
        <v>391</v>
      </c>
      <c r="G540" s="1">
        <v>1</v>
      </c>
      <c r="H540" s="1" t="b">
        <v>0</v>
      </c>
      <c r="I540" s="1">
        <v>8</v>
      </c>
      <c r="J540" s="1">
        <v>107600</v>
      </c>
      <c r="K540" s="1" t="s">
        <v>350</v>
      </c>
      <c r="L540" s="1">
        <v>10760007</v>
      </c>
      <c r="M540" s="1">
        <v>10760009</v>
      </c>
      <c r="N540" s="1" t="s">
        <v>512</v>
      </c>
      <c r="O540" s="1">
        <v>10902019</v>
      </c>
      <c r="P540" s="1">
        <v>0</v>
      </c>
      <c r="Q540" s="1">
        <v>0</v>
      </c>
      <c r="R540" s="1">
        <v>1</v>
      </c>
      <c r="T540" s="1">
        <v>100</v>
      </c>
      <c r="AY540" s="1" t="s">
        <v>449</v>
      </c>
      <c r="AZ540" s="1">
        <v>0</v>
      </c>
      <c r="GX540" s="1">
        <v>0</v>
      </c>
      <c r="GY540" s="1">
        <v>0</v>
      </c>
      <c r="GZ540" s="1" t="s">
        <v>449</v>
      </c>
      <c r="HA540" s="1">
        <v>0</v>
      </c>
      <c r="HD540" s="1">
        <v>0</v>
      </c>
      <c r="HF540" s="1">
        <v>0</v>
      </c>
      <c r="HG540" s="1">
        <v>0</v>
      </c>
      <c r="HH540" s="1">
        <v>0</v>
      </c>
      <c r="HI540" s="1">
        <v>0</v>
      </c>
      <c r="HJ540" s="1">
        <v>0</v>
      </c>
      <c r="HK540" s="1" t="b">
        <v>0</v>
      </c>
      <c r="HM540" s="1">
        <v>0</v>
      </c>
      <c r="HO540" s="1" t="s">
        <v>360</v>
      </c>
      <c r="HP540" s="1">
        <v>0</v>
      </c>
      <c r="HQ540" s="1">
        <v>0</v>
      </c>
      <c r="HR540" s="1">
        <v>0</v>
      </c>
    </row>
    <row r="541" spans="2:226">
      <c r="B541" s="1">
        <f>10000000+INDEX(编号表!$B$1:$B$112,MATCH(D541,编号表!$A$1:$A$112,0))*10000+I541</f>
        <v>10760009</v>
      </c>
      <c r="C541" s="1" t="s">
        <v>511</v>
      </c>
      <c r="D541" s="1" t="s">
        <v>511</v>
      </c>
      <c r="E541" s="1" t="s">
        <v>469</v>
      </c>
      <c r="F541" s="1" t="s">
        <v>391</v>
      </c>
      <c r="G541" s="1">
        <v>1</v>
      </c>
      <c r="H541" s="1" t="b">
        <v>0</v>
      </c>
      <c r="I541" s="1">
        <v>9</v>
      </c>
      <c r="J541" s="1">
        <v>107600</v>
      </c>
      <c r="K541" s="1" t="s">
        <v>350</v>
      </c>
      <c r="L541" s="1">
        <v>10760008</v>
      </c>
      <c r="M541" s="1">
        <v>10760010</v>
      </c>
      <c r="N541" s="1" t="s">
        <v>512</v>
      </c>
      <c r="O541" s="1">
        <v>10902019</v>
      </c>
      <c r="P541" s="1">
        <v>0</v>
      </c>
      <c r="Q541" s="1">
        <v>0</v>
      </c>
      <c r="R541" s="1">
        <v>1</v>
      </c>
      <c r="T541" s="1">
        <v>100</v>
      </c>
      <c r="AY541" s="1" t="s">
        <v>449</v>
      </c>
      <c r="AZ541" s="1">
        <v>0</v>
      </c>
      <c r="GX541" s="1">
        <v>0</v>
      </c>
      <c r="GY541" s="1">
        <v>0</v>
      </c>
      <c r="GZ541" s="1" t="s">
        <v>449</v>
      </c>
      <c r="HA541" s="1">
        <v>0</v>
      </c>
      <c r="HD541" s="1">
        <v>0</v>
      </c>
      <c r="HF541" s="1">
        <v>0</v>
      </c>
      <c r="HG541" s="1">
        <v>0</v>
      </c>
      <c r="HH541" s="1">
        <v>0</v>
      </c>
      <c r="HI541" s="1">
        <v>0</v>
      </c>
      <c r="HJ541" s="1">
        <v>0</v>
      </c>
      <c r="HK541" s="1" t="b">
        <v>0</v>
      </c>
      <c r="HM541" s="1">
        <v>0</v>
      </c>
      <c r="HO541" s="1" t="s">
        <v>360</v>
      </c>
      <c r="HP541" s="1">
        <v>0</v>
      </c>
      <c r="HQ541" s="1">
        <v>0</v>
      </c>
      <c r="HR541" s="1">
        <v>0</v>
      </c>
    </row>
    <row r="542" spans="2:226">
      <c r="B542" s="1">
        <f>10000000+INDEX(编号表!$B$1:$B$112,MATCH(D542,编号表!$A$1:$A$112,0))*10000+I542</f>
        <v>10760010</v>
      </c>
      <c r="C542" s="1" t="s">
        <v>511</v>
      </c>
      <c r="D542" s="1" t="s">
        <v>511</v>
      </c>
      <c r="E542" s="1" t="s">
        <v>469</v>
      </c>
      <c r="F542" s="1" t="s">
        <v>391</v>
      </c>
      <c r="G542" s="1">
        <v>1</v>
      </c>
      <c r="H542" s="1" t="b">
        <v>0</v>
      </c>
      <c r="I542" s="1">
        <v>10</v>
      </c>
      <c r="J542" s="1">
        <v>107600</v>
      </c>
      <c r="K542" s="1" t="s">
        <v>350</v>
      </c>
      <c r="L542" s="1">
        <v>10760009</v>
      </c>
      <c r="N542" s="1" t="s">
        <v>512</v>
      </c>
      <c r="O542" s="1">
        <v>10902019</v>
      </c>
      <c r="P542" s="1">
        <v>0</v>
      </c>
      <c r="Q542" s="1">
        <v>0</v>
      </c>
      <c r="R542" s="1">
        <v>1</v>
      </c>
      <c r="T542" s="1">
        <v>100</v>
      </c>
      <c r="AY542" s="1" t="s">
        <v>449</v>
      </c>
      <c r="AZ542" s="1">
        <v>0</v>
      </c>
      <c r="GX542" s="1">
        <v>0</v>
      </c>
      <c r="GY542" s="1">
        <v>0</v>
      </c>
      <c r="GZ542" s="1" t="s">
        <v>449</v>
      </c>
      <c r="HA542" s="1">
        <v>0</v>
      </c>
      <c r="HD542" s="1">
        <v>0</v>
      </c>
      <c r="HF542" s="1">
        <v>0</v>
      </c>
      <c r="HG542" s="1">
        <v>0</v>
      </c>
      <c r="HH542" s="1">
        <v>0</v>
      </c>
      <c r="HI542" s="1">
        <v>0</v>
      </c>
      <c r="HJ542" s="1">
        <v>0</v>
      </c>
      <c r="HK542" s="1" t="b">
        <v>0</v>
      </c>
      <c r="HM542" s="1">
        <v>0</v>
      </c>
      <c r="HO542" s="1" t="s">
        <v>360</v>
      </c>
      <c r="HP542" s="1">
        <v>0</v>
      </c>
      <c r="HQ542" s="1">
        <v>0</v>
      </c>
      <c r="HR542" s="1">
        <v>0</v>
      </c>
    </row>
    <row r="543" spans="2:226">
      <c r="B543" s="1">
        <f>10000000+INDEX(编号表!$B$1:$B$112,MATCH(D543,编号表!$A$1:$A$112,0))*10000+I543</f>
        <v>10770001</v>
      </c>
      <c r="C543" s="1" t="s">
        <v>513</v>
      </c>
      <c r="D543" s="1" t="s">
        <v>513</v>
      </c>
      <c r="E543" s="1" t="s">
        <v>469</v>
      </c>
      <c r="F543" s="1" t="s">
        <v>394</v>
      </c>
      <c r="G543" s="1">
        <v>1</v>
      </c>
      <c r="H543" s="1" t="b">
        <v>0</v>
      </c>
      <c r="I543" s="1">
        <v>1</v>
      </c>
      <c r="J543" s="1">
        <v>107700</v>
      </c>
      <c r="K543" s="1" t="s">
        <v>350</v>
      </c>
      <c r="M543" s="1">
        <v>10770002</v>
      </c>
      <c r="N543" s="1" t="s">
        <v>514</v>
      </c>
      <c r="O543" s="1">
        <v>10902020</v>
      </c>
      <c r="P543" s="1">
        <v>0</v>
      </c>
      <c r="Q543" s="1">
        <v>0</v>
      </c>
      <c r="R543" s="1">
        <v>1</v>
      </c>
      <c r="T543" s="1">
        <v>100</v>
      </c>
      <c r="AY543" s="1" t="s">
        <v>449</v>
      </c>
      <c r="AZ543" s="1">
        <v>0</v>
      </c>
      <c r="GX543" s="1">
        <v>0</v>
      </c>
      <c r="GY543" s="1">
        <v>0</v>
      </c>
      <c r="GZ543" s="1" t="s">
        <v>449</v>
      </c>
      <c r="HA543" s="1">
        <v>0</v>
      </c>
      <c r="HD543" s="1">
        <v>0</v>
      </c>
      <c r="HF543" s="1">
        <v>0</v>
      </c>
      <c r="HG543" s="1">
        <v>0</v>
      </c>
      <c r="HH543" s="1">
        <v>0</v>
      </c>
      <c r="HI543" s="1">
        <v>0</v>
      </c>
      <c r="HJ543" s="1">
        <v>0</v>
      </c>
      <c r="HK543" s="1" t="b">
        <v>0</v>
      </c>
      <c r="HM543" s="1">
        <v>0</v>
      </c>
      <c r="HO543" s="1" t="s">
        <v>360</v>
      </c>
      <c r="HP543" s="1">
        <v>0</v>
      </c>
      <c r="HQ543" s="1">
        <v>0</v>
      </c>
      <c r="HR543" s="1">
        <v>0</v>
      </c>
    </row>
    <row r="544" spans="2:226">
      <c r="B544" s="1">
        <f>10000000+INDEX(编号表!$B$1:$B$112,MATCH(D544,编号表!$A$1:$A$112,0))*10000+I544</f>
        <v>10770002</v>
      </c>
      <c r="C544" s="1" t="s">
        <v>513</v>
      </c>
      <c r="D544" s="1" t="s">
        <v>513</v>
      </c>
      <c r="E544" s="1" t="s">
        <v>469</v>
      </c>
      <c r="F544" s="1" t="s">
        <v>394</v>
      </c>
      <c r="G544" s="1">
        <v>1</v>
      </c>
      <c r="H544" s="1" t="b">
        <v>0</v>
      </c>
      <c r="I544" s="1">
        <v>2</v>
      </c>
      <c r="J544" s="1">
        <v>107700</v>
      </c>
      <c r="K544" s="1" t="s">
        <v>350</v>
      </c>
      <c r="L544" s="1">
        <v>10770001</v>
      </c>
      <c r="M544" s="1">
        <v>10770003</v>
      </c>
      <c r="N544" s="1" t="s">
        <v>514</v>
      </c>
      <c r="O544" s="1">
        <v>10902020</v>
      </c>
      <c r="P544" s="1">
        <v>0</v>
      </c>
      <c r="Q544" s="1">
        <v>0</v>
      </c>
      <c r="R544" s="1">
        <v>1</v>
      </c>
      <c r="T544" s="1">
        <v>100</v>
      </c>
      <c r="AY544" s="1" t="s">
        <v>449</v>
      </c>
      <c r="AZ544" s="1">
        <v>0</v>
      </c>
      <c r="GX544" s="1">
        <v>0</v>
      </c>
      <c r="GY544" s="1">
        <v>0</v>
      </c>
      <c r="GZ544" s="1" t="s">
        <v>449</v>
      </c>
      <c r="HA544" s="1">
        <v>0</v>
      </c>
      <c r="HD544" s="1">
        <v>0</v>
      </c>
      <c r="HF544" s="1">
        <v>0</v>
      </c>
      <c r="HG544" s="1">
        <v>0</v>
      </c>
      <c r="HH544" s="1">
        <v>0</v>
      </c>
      <c r="HI544" s="1">
        <v>0</v>
      </c>
      <c r="HJ544" s="1">
        <v>0</v>
      </c>
      <c r="HK544" s="1" t="b">
        <v>0</v>
      </c>
      <c r="HM544" s="1">
        <v>0</v>
      </c>
      <c r="HO544" s="1" t="s">
        <v>360</v>
      </c>
      <c r="HP544" s="1">
        <v>0</v>
      </c>
      <c r="HQ544" s="1">
        <v>0</v>
      </c>
      <c r="HR544" s="1">
        <v>0</v>
      </c>
    </row>
    <row r="545" spans="2:226">
      <c r="B545" s="1">
        <f>10000000+INDEX(编号表!$B$1:$B$112,MATCH(D545,编号表!$A$1:$A$112,0))*10000+I545</f>
        <v>10770003</v>
      </c>
      <c r="C545" s="1" t="s">
        <v>513</v>
      </c>
      <c r="D545" s="1" t="s">
        <v>513</v>
      </c>
      <c r="E545" s="1" t="s">
        <v>469</v>
      </c>
      <c r="F545" s="1" t="s">
        <v>394</v>
      </c>
      <c r="G545" s="1">
        <v>1</v>
      </c>
      <c r="H545" s="1" t="b">
        <v>0</v>
      </c>
      <c r="I545" s="1">
        <v>3</v>
      </c>
      <c r="J545" s="1">
        <v>107700</v>
      </c>
      <c r="K545" s="1" t="s">
        <v>350</v>
      </c>
      <c r="L545" s="1">
        <v>10770002</v>
      </c>
      <c r="M545" s="1">
        <v>10770004</v>
      </c>
      <c r="N545" s="1" t="s">
        <v>514</v>
      </c>
      <c r="O545" s="1">
        <v>10902020</v>
      </c>
      <c r="P545" s="1">
        <v>0</v>
      </c>
      <c r="Q545" s="1">
        <v>0</v>
      </c>
      <c r="R545" s="1">
        <v>1</v>
      </c>
      <c r="T545" s="1">
        <v>100</v>
      </c>
      <c r="AY545" s="1" t="s">
        <v>449</v>
      </c>
      <c r="AZ545" s="1">
        <v>0</v>
      </c>
      <c r="GX545" s="1">
        <v>0</v>
      </c>
      <c r="GY545" s="1">
        <v>0</v>
      </c>
      <c r="GZ545" s="1" t="s">
        <v>449</v>
      </c>
      <c r="HA545" s="1">
        <v>0</v>
      </c>
      <c r="HD545" s="1">
        <v>0</v>
      </c>
      <c r="HF545" s="1">
        <v>0</v>
      </c>
      <c r="HG545" s="1">
        <v>0</v>
      </c>
      <c r="HH545" s="1">
        <v>0</v>
      </c>
      <c r="HI545" s="1">
        <v>0</v>
      </c>
      <c r="HJ545" s="1">
        <v>0</v>
      </c>
      <c r="HK545" s="1" t="b">
        <v>0</v>
      </c>
      <c r="HM545" s="1">
        <v>0</v>
      </c>
      <c r="HO545" s="1" t="s">
        <v>360</v>
      </c>
      <c r="HP545" s="1">
        <v>0</v>
      </c>
      <c r="HQ545" s="1">
        <v>0</v>
      </c>
      <c r="HR545" s="1">
        <v>0</v>
      </c>
    </row>
    <row r="546" spans="2:226">
      <c r="B546" s="1">
        <f>10000000+INDEX(编号表!$B$1:$B$112,MATCH(D546,编号表!$A$1:$A$112,0))*10000+I546</f>
        <v>10770004</v>
      </c>
      <c r="C546" s="1" t="s">
        <v>513</v>
      </c>
      <c r="D546" s="1" t="s">
        <v>513</v>
      </c>
      <c r="E546" s="1" t="s">
        <v>469</v>
      </c>
      <c r="F546" s="1" t="s">
        <v>394</v>
      </c>
      <c r="G546" s="1">
        <v>1</v>
      </c>
      <c r="H546" s="1" t="b">
        <v>0</v>
      </c>
      <c r="I546" s="1">
        <v>4</v>
      </c>
      <c r="J546" s="1">
        <v>107700</v>
      </c>
      <c r="K546" s="1" t="s">
        <v>350</v>
      </c>
      <c r="L546" s="1">
        <v>10770003</v>
      </c>
      <c r="M546" s="1">
        <v>10770005</v>
      </c>
      <c r="N546" s="1" t="s">
        <v>514</v>
      </c>
      <c r="O546" s="1">
        <v>10902020</v>
      </c>
      <c r="P546" s="1">
        <v>0</v>
      </c>
      <c r="Q546" s="1">
        <v>0</v>
      </c>
      <c r="R546" s="1">
        <v>1</v>
      </c>
      <c r="T546" s="1">
        <v>100</v>
      </c>
      <c r="AY546" s="1" t="s">
        <v>449</v>
      </c>
      <c r="AZ546" s="1">
        <v>0</v>
      </c>
      <c r="GX546" s="1">
        <v>0</v>
      </c>
      <c r="GY546" s="1">
        <v>0</v>
      </c>
      <c r="GZ546" s="1" t="s">
        <v>449</v>
      </c>
      <c r="HA546" s="1">
        <v>0</v>
      </c>
      <c r="HD546" s="1">
        <v>0</v>
      </c>
      <c r="HF546" s="1">
        <v>0</v>
      </c>
      <c r="HG546" s="1">
        <v>0</v>
      </c>
      <c r="HH546" s="1">
        <v>0</v>
      </c>
      <c r="HI546" s="1">
        <v>0</v>
      </c>
      <c r="HJ546" s="1">
        <v>0</v>
      </c>
      <c r="HK546" s="1" t="b">
        <v>0</v>
      </c>
      <c r="HM546" s="1">
        <v>0</v>
      </c>
      <c r="HO546" s="1" t="s">
        <v>360</v>
      </c>
      <c r="HP546" s="1">
        <v>0</v>
      </c>
      <c r="HQ546" s="1">
        <v>0</v>
      </c>
      <c r="HR546" s="1">
        <v>0</v>
      </c>
    </row>
    <row r="547" spans="2:226">
      <c r="B547" s="1">
        <f>10000000+INDEX(编号表!$B$1:$B$112,MATCH(D547,编号表!$A$1:$A$112,0))*10000+I547</f>
        <v>10770005</v>
      </c>
      <c r="C547" s="1" t="s">
        <v>513</v>
      </c>
      <c r="D547" s="1" t="s">
        <v>513</v>
      </c>
      <c r="E547" s="1" t="s">
        <v>469</v>
      </c>
      <c r="F547" s="1" t="s">
        <v>394</v>
      </c>
      <c r="G547" s="1">
        <v>1</v>
      </c>
      <c r="H547" s="1" t="b">
        <v>0</v>
      </c>
      <c r="I547" s="1">
        <v>5</v>
      </c>
      <c r="J547" s="1">
        <v>107700</v>
      </c>
      <c r="K547" s="1" t="s">
        <v>350</v>
      </c>
      <c r="L547" s="1">
        <v>10770004</v>
      </c>
      <c r="M547" s="1">
        <v>10770006</v>
      </c>
      <c r="N547" s="1" t="s">
        <v>514</v>
      </c>
      <c r="O547" s="1">
        <v>10902020</v>
      </c>
      <c r="P547" s="1">
        <v>0</v>
      </c>
      <c r="Q547" s="1">
        <v>0</v>
      </c>
      <c r="R547" s="1">
        <v>1</v>
      </c>
      <c r="T547" s="1">
        <v>100</v>
      </c>
      <c r="AY547" s="1" t="s">
        <v>449</v>
      </c>
      <c r="AZ547" s="1">
        <v>0</v>
      </c>
      <c r="GX547" s="1">
        <v>0</v>
      </c>
      <c r="GY547" s="1">
        <v>0</v>
      </c>
      <c r="GZ547" s="1" t="s">
        <v>449</v>
      </c>
      <c r="HA547" s="1">
        <v>0</v>
      </c>
      <c r="HD547" s="1">
        <v>0</v>
      </c>
      <c r="HF547" s="1">
        <v>0</v>
      </c>
      <c r="HG547" s="1">
        <v>0</v>
      </c>
      <c r="HH547" s="1">
        <v>0</v>
      </c>
      <c r="HI547" s="1">
        <v>0</v>
      </c>
      <c r="HJ547" s="1">
        <v>0</v>
      </c>
      <c r="HK547" s="1" t="b">
        <v>0</v>
      </c>
      <c r="HM547" s="1">
        <v>0</v>
      </c>
      <c r="HO547" s="1" t="s">
        <v>360</v>
      </c>
      <c r="HP547" s="1">
        <v>0</v>
      </c>
      <c r="HQ547" s="1">
        <v>0</v>
      </c>
      <c r="HR547" s="1">
        <v>0</v>
      </c>
    </row>
    <row r="548" spans="2:226">
      <c r="B548" s="1">
        <f>10000000+INDEX(编号表!$B$1:$B$112,MATCH(D548,编号表!$A$1:$A$112,0))*10000+I548</f>
        <v>10770006</v>
      </c>
      <c r="C548" s="1" t="s">
        <v>513</v>
      </c>
      <c r="D548" s="1" t="s">
        <v>513</v>
      </c>
      <c r="E548" s="1" t="s">
        <v>469</v>
      </c>
      <c r="F548" s="1" t="s">
        <v>394</v>
      </c>
      <c r="G548" s="1">
        <v>1</v>
      </c>
      <c r="H548" s="1" t="b">
        <v>0</v>
      </c>
      <c r="I548" s="1">
        <v>6</v>
      </c>
      <c r="J548" s="1">
        <v>107700</v>
      </c>
      <c r="K548" s="1" t="s">
        <v>350</v>
      </c>
      <c r="L548" s="1">
        <v>10770005</v>
      </c>
      <c r="M548" s="1">
        <v>10770007</v>
      </c>
      <c r="N548" s="1" t="s">
        <v>514</v>
      </c>
      <c r="O548" s="1">
        <v>10902020</v>
      </c>
      <c r="P548" s="1">
        <v>0</v>
      </c>
      <c r="Q548" s="1">
        <v>0</v>
      </c>
      <c r="R548" s="1">
        <v>1</v>
      </c>
      <c r="T548" s="1">
        <v>100</v>
      </c>
      <c r="AY548" s="1" t="s">
        <v>449</v>
      </c>
      <c r="AZ548" s="1">
        <v>0</v>
      </c>
      <c r="GX548" s="1">
        <v>0</v>
      </c>
      <c r="GY548" s="1">
        <v>0</v>
      </c>
      <c r="GZ548" s="1" t="s">
        <v>449</v>
      </c>
      <c r="HA548" s="1">
        <v>0</v>
      </c>
      <c r="HD548" s="1">
        <v>0</v>
      </c>
      <c r="HF548" s="1">
        <v>0</v>
      </c>
      <c r="HG548" s="1">
        <v>0</v>
      </c>
      <c r="HH548" s="1">
        <v>0</v>
      </c>
      <c r="HI548" s="1">
        <v>0</v>
      </c>
      <c r="HJ548" s="1">
        <v>0</v>
      </c>
      <c r="HK548" s="1" t="b">
        <v>0</v>
      </c>
      <c r="HM548" s="1">
        <v>0</v>
      </c>
      <c r="HO548" s="1" t="s">
        <v>360</v>
      </c>
      <c r="HP548" s="1">
        <v>0</v>
      </c>
      <c r="HQ548" s="1">
        <v>0</v>
      </c>
      <c r="HR548" s="1">
        <v>0</v>
      </c>
    </row>
    <row r="549" spans="2:226">
      <c r="B549" s="1">
        <f>10000000+INDEX(编号表!$B$1:$B$112,MATCH(D549,编号表!$A$1:$A$112,0))*10000+I549</f>
        <v>10770007</v>
      </c>
      <c r="C549" s="1" t="s">
        <v>513</v>
      </c>
      <c r="D549" s="1" t="s">
        <v>513</v>
      </c>
      <c r="E549" s="1" t="s">
        <v>469</v>
      </c>
      <c r="F549" s="1" t="s">
        <v>394</v>
      </c>
      <c r="G549" s="1">
        <v>1</v>
      </c>
      <c r="H549" s="1" t="b">
        <v>0</v>
      </c>
      <c r="I549" s="1">
        <v>7</v>
      </c>
      <c r="J549" s="1">
        <v>107700</v>
      </c>
      <c r="K549" s="1" t="s">
        <v>350</v>
      </c>
      <c r="L549" s="1">
        <v>10770006</v>
      </c>
      <c r="M549" s="1">
        <v>10770008</v>
      </c>
      <c r="N549" s="1" t="s">
        <v>514</v>
      </c>
      <c r="O549" s="1">
        <v>10902020</v>
      </c>
      <c r="P549" s="1">
        <v>0</v>
      </c>
      <c r="Q549" s="1">
        <v>0</v>
      </c>
      <c r="R549" s="1">
        <v>1</v>
      </c>
      <c r="T549" s="1">
        <v>100</v>
      </c>
      <c r="AY549" s="1" t="s">
        <v>449</v>
      </c>
      <c r="AZ549" s="1">
        <v>0</v>
      </c>
      <c r="GX549" s="1">
        <v>0</v>
      </c>
      <c r="GY549" s="1">
        <v>0</v>
      </c>
      <c r="GZ549" s="1" t="s">
        <v>449</v>
      </c>
      <c r="HA549" s="1">
        <v>0</v>
      </c>
      <c r="HD549" s="1">
        <v>0</v>
      </c>
      <c r="HF549" s="1">
        <v>0</v>
      </c>
      <c r="HG549" s="1">
        <v>0</v>
      </c>
      <c r="HH549" s="1">
        <v>0</v>
      </c>
      <c r="HI549" s="1">
        <v>0</v>
      </c>
      <c r="HJ549" s="1">
        <v>0</v>
      </c>
      <c r="HK549" s="1" t="b">
        <v>0</v>
      </c>
      <c r="HM549" s="1">
        <v>0</v>
      </c>
      <c r="HO549" s="1" t="s">
        <v>360</v>
      </c>
      <c r="HP549" s="1">
        <v>0</v>
      </c>
      <c r="HQ549" s="1">
        <v>0</v>
      </c>
      <c r="HR549" s="1">
        <v>0</v>
      </c>
    </row>
    <row r="550" spans="2:226">
      <c r="B550" s="1">
        <f>10000000+INDEX(编号表!$B$1:$B$112,MATCH(D550,编号表!$A$1:$A$112,0))*10000+I550</f>
        <v>10770008</v>
      </c>
      <c r="C550" s="1" t="s">
        <v>513</v>
      </c>
      <c r="D550" s="1" t="s">
        <v>513</v>
      </c>
      <c r="E550" s="1" t="s">
        <v>469</v>
      </c>
      <c r="F550" s="1" t="s">
        <v>394</v>
      </c>
      <c r="G550" s="1">
        <v>1</v>
      </c>
      <c r="H550" s="1" t="b">
        <v>0</v>
      </c>
      <c r="I550" s="1">
        <v>8</v>
      </c>
      <c r="J550" s="1">
        <v>107700</v>
      </c>
      <c r="K550" s="1" t="s">
        <v>350</v>
      </c>
      <c r="L550" s="1">
        <v>10770007</v>
      </c>
      <c r="M550" s="1">
        <v>10770009</v>
      </c>
      <c r="N550" s="1" t="s">
        <v>514</v>
      </c>
      <c r="O550" s="1">
        <v>10902020</v>
      </c>
      <c r="P550" s="1">
        <v>0</v>
      </c>
      <c r="Q550" s="1">
        <v>0</v>
      </c>
      <c r="R550" s="1">
        <v>1</v>
      </c>
      <c r="T550" s="1">
        <v>100</v>
      </c>
      <c r="AY550" s="1" t="s">
        <v>449</v>
      </c>
      <c r="AZ550" s="1">
        <v>0</v>
      </c>
      <c r="GX550" s="1">
        <v>0</v>
      </c>
      <c r="GY550" s="1">
        <v>0</v>
      </c>
      <c r="GZ550" s="1" t="s">
        <v>449</v>
      </c>
      <c r="HA550" s="1">
        <v>0</v>
      </c>
      <c r="HD550" s="1">
        <v>0</v>
      </c>
      <c r="HF550" s="1">
        <v>0</v>
      </c>
      <c r="HG550" s="1">
        <v>0</v>
      </c>
      <c r="HH550" s="1">
        <v>0</v>
      </c>
      <c r="HI550" s="1">
        <v>0</v>
      </c>
      <c r="HJ550" s="1">
        <v>0</v>
      </c>
      <c r="HK550" s="1" t="b">
        <v>0</v>
      </c>
      <c r="HM550" s="1">
        <v>0</v>
      </c>
      <c r="HO550" s="1" t="s">
        <v>360</v>
      </c>
      <c r="HP550" s="1">
        <v>0</v>
      </c>
      <c r="HQ550" s="1">
        <v>0</v>
      </c>
      <c r="HR550" s="1">
        <v>0</v>
      </c>
    </row>
    <row r="551" spans="2:226">
      <c r="B551" s="1">
        <f>10000000+INDEX(编号表!$B$1:$B$112,MATCH(D551,编号表!$A$1:$A$112,0))*10000+I551</f>
        <v>10770009</v>
      </c>
      <c r="C551" s="1" t="s">
        <v>513</v>
      </c>
      <c r="D551" s="1" t="s">
        <v>513</v>
      </c>
      <c r="E551" s="1" t="s">
        <v>469</v>
      </c>
      <c r="F551" s="1" t="s">
        <v>394</v>
      </c>
      <c r="G551" s="1">
        <v>1</v>
      </c>
      <c r="H551" s="1" t="b">
        <v>0</v>
      </c>
      <c r="I551" s="1">
        <v>9</v>
      </c>
      <c r="J551" s="1">
        <v>107700</v>
      </c>
      <c r="K551" s="1" t="s">
        <v>350</v>
      </c>
      <c r="L551" s="1">
        <v>10770008</v>
      </c>
      <c r="M551" s="1">
        <v>10770010</v>
      </c>
      <c r="N551" s="1" t="s">
        <v>514</v>
      </c>
      <c r="O551" s="1">
        <v>10902020</v>
      </c>
      <c r="P551" s="1">
        <v>0</v>
      </c>
      <c r="Q551" s="1">
        <v>0</v>
      </c>
      <c r="R551" s="1">
        <v>1</v>
      </c>
      <c r="T551" s="1">
        <v>100</v>
      </c>
      <c r="AY551" s="1" t="s">
        <v>449</v>
      </c>
      <c r="AZ551" s="1">
        <v>0</v>
      </c>
      <c r="GX551" s="1">
        <v>0</v>
      </c>
      <c r="GY551" s="1">
        <v>0</v>
      </c>
      <c r="GZ551" s="1" t="s">
        <v>449</v>
      </c>
      <c r="HA551" s="1">
        <v>0</v>
      </c>
      <c r="HD551" s="1">
        <v>0</v>
      </c>
      <c r="HF551" s="1">
        <v>0</v>
      </c>
      <c r="HG551" s="1">
        <v>0</v>
      </c>
      <c r="HH551" s="1">
        <v>0</v>
      </c>
      <c r="HI551" s="1">
        <v>0</v>
      </c>
      <c r="HJ551" s="1">
        <v>0</v>
      </c>
      <c r="HK551" s="1" t="b">
        <v>0</v>
      </c>
      <c r="HM551" s="1">
        <v>0</v>
      </c>
      <c r="HO551" s="1" t="s">
        <v>360</v>
      </c>
      <c r="HP551" s="1">
        <v>0</v>
      </c>
      <c r="HQ551" s="1">
        <v>0</v>
      </c>
      <c r="HR551" s="1">
        <v>0</v>
      </c>
    </row>
    <row r="552" spans="2:226">
      <c r="B552" s="1">
        <f>10000000+INDEX(编号表!$B$1:$B$112,MATCH(D552,编号表!$A$1:$A$112,0))*10000+I552</f>
        <v>10770010</v>
      </c>
      <c r="C552" s="1" t="s">
        <v>513</v>
      </c>
      <c r="D552" s="1" t="s">
        <v>513</v>
      </c>
      <c r="E552" s="1" t="s">
        <v>469</v>
      </c>
      <c r="F552" s="1" t="s">
        <v>394</v>
      </c>
      <c r="G552" s="1">
        <v>1</v>
      </c>
      <c r="H552" s="1" t="b">
        <v>0</v>
      </c>
      <c r="I552" s="1">
        <v>10</v>
      </c>
      <c r="J552" s="1">
        <v>107700</v>
      </c>
      <c r="K552" s="1" t="s">
        <v>350</v>
      </c>
      <c r="L552" s="1">
        <v>10770009</v>
      </c>
      <c r="N552" s="1" t="s">
        <v>514</v>
      </c>
      <c r="O552" s="1">
        <v>10902020</v>
      </c>
      <c r="P552" s="1">
        <v>0</v>
      </c>
      <c r="Q552" s="1">
        <v>0</v>
      </c>
      <c r="R552" s="1">
        <v>1</v>
      </c>
      <c r="T552" s="1">
        <v>100</v>
      </c>
      <c r="AY552" s="1" t="s">
        <v>449</v>
      </c>
      <c r="AZ552" s="1">
        <v>0</v>
      </c>
      <c r="GX552" s="1">
        <v>0</v>
      </c>
      <c r="GY552" s="1">
        <v>0</v>
      </c>
      <c r="GZ552" s="1" t="s">
        <v>449</v>
      </c>
      <c r="HA552" s="1">
        <v>0</v>
      </c>
      <c r="HD552" s="1">
        <v>0</v>
      </c>
      <c r="HF552" s="1">
        <v>0</v>
      </c>
      <c r="HG552" s="1">
        <v>0</v>
      </c>
      <c r="HH552" s="1">
        <v>0</v>
      </c>
      <c r="HI552" s="1">
        <v>0</v>
      </c>
      <c r="HJ552" s="1">
        <v>0</v>
      </c>
      <c r="HK552" s="1" t="b">
        <v>0</v>
      </c>
      <c r="HM552" s="1">
        <v>0</v>
      </c>
      <c r="HO552" s="1" t="s">
        <v>360</v>
      </c>
      <c r="HP552" s="1">
        <v>0</v>
      </c>
      <c r="HQ552" s="1">
        <v>0</v>
      </c>
      <c r="HR552" s="1">
        <v>0</v>
      </c>
    </row>
    <row r="553" spans="2:226">
      <c r="B553" s="1">
        <f>10000000+INDEX(编号表!$B$1:$B$112,MATCH(D553,编号表!$A$1:$A$112,0))*10000+I553</f>
        <v>10780001</v>
      </c>
      <c r="C553" s="1" t="s">
        <v>515</v>
      </c>
      <c r="D553" s="1" t="s">
        <v>515</v>
      </c>
      <c r="E553" s="1" t="s">
        <v>469</v>
      </c>
      <c r="F553" s="1" t="s">
        <v>516</v>
      </c>
      <c r="G553" s="1">
        <v>1</v>
      </c>
      <c r="H553" s="1" t="b">
        <v>0</v>
      </c>
      <c r="I553" s="1">
        <v>1</v>
      </c>
      <c r="J553" s="1">
        <v>107800</v>
      </c>
      <c r="K553" s="1" t="s">
        <v>350</v>
      </c>
      <c r="M553" s="1">
        <v>10780002</v>
      </c>
      <c r="N553" s="1" t="s">
        <v>517</v>
      </c>
      <c r="O553" s="1">
        <v>10902021</v>
      </c>
      <c r="P553" s="1">
        <v>0</v>
      </c>
      <c r="Q553" s="1">
        <v>0</v>
      </c>
      <c r="R553" s="1">
        <v>1</v>
      </c>
      <c r="T553" s="1">
        <v>100</v>
      </c>
      <c r="AY553" s="1" t="s">
        <v>449</v>
      </c>
      <c r="AZ553" s="1">
        <v>0</v>
      </c>
      <c r="GX553" s="1">
        <v>0</v>
      </c>
      <c r="GY553" s="1">
        <v>0</v>
      </c>
      <c r="GZ553" s="1" t="s">
        <v>449</v>
      </c>
      <c r="HA553" s="1">
        <v>0</v>
      </c>
      <c r="HD553" s="1">
        <v>0</v>
      </c>
      <c r="HF553" s="1">
        <v>0</v>
      </c>
      <c r="HG553" s="1">
        <v>0</v>
      </c>
      <c r="HH553" s="1">
        <v>0</v>
      </c>
      <c r="HI553" s="1">
        <v>0</v>
      </c>
      <c r="HJ553" s="1">
        <v>0</v>
      </c>
      <c r="HK553" s="1" t="b">
        <v>0</v>
      </c>
      <c r="HM553" s="1">
        <v>0</v>
      </c>
      <c r="HO553" s="1" t="s">
        <v>360</v>
      </c>
      <c r="HP553" s="1">
        <v>0</v>
      </c>
      <c r="HQ553" s="1">
        <v>0</v>
      </c>
      <c r="HR553" s="1">
        <v>0</v>
      </c>
    </row>
    <row r="554" spans="2:226">
      <c r="B554" s="1">
        <f>10000000+INDEX(编号表!$B$1:$B$112,MATCH(D554,编号表!$A$1:$A$112,0))*10000+I554</f>
        <v>10780002</v>
      </c>
      <c r="C554" s="1" t="s">
        <v>515</v>
      </c>
      <c r="D554" s="1" t="s">
        <v>515</v>
      </c>
      <c r="E554" s="1" t="s">
        <v>469</v>
      </c>
      <c r="F554" s="1" t="s">
        <v>516</v>
      </c>
      <c r="G554" s="1">
        <v>1</v>
      </c>
      <c r="H554" s="1" t="b">
        <v>0</v>
      </c>
      <c r="I554" s="1">
        <v>2</v>
      </c>
      <c r="J554" s="1">
        <v>107800</v>
      </c>
      <c r="K554" s="1" t="s">
        <v>350</v>
      </c>
      <c r="L554" s="1">
        <v>10780001</v>
      </c>
      <c r="M554" s="1">
        <v>10780003</v>
      </c>
      <c r="N554" s="1" t="s">
        <v>517</v>
      </c>
      <c r="O554" s="1">
        <v>10902021</v>
      </c>
      <c r="P554" s="1">
        <v>0</v>
      </c>
      <c r="Q554" s="1">
        <v>0</v>
      </c>
      <c r="R554" s="1">
        <v>1</v>
      </c>
      <c r="T554" s="1">
        <v>100</v>
      </c>
      <c r="AY554" s="1" t="s">
        <v>449</v>
      </c>
      <c r="AZ554" s="1">
        <v>0</v>
      </c>
      <c r="GX554" s="1">
        <v>0</v>
      </c>
      <c r="GY554" s="1">
        <v>0</v>
      </c>
      <c r="GZ554" s="1" t="s">
        <v>449</v>
      </c>
      <c r="HA554" s="1">
        <v>0</v>
      </c>
      <c r="HD554" s="1">
        <v>0</v>
      </c>
      <c r="HF554" s="1">
        <v>0</v>
      </c>
      <c r="HG554" s="1">
        <v>0</v>
      </c>
      <c r="HH554" s="1">
        <v>0</v>
      </c>
      <c r="HI554" s="1">
        <v>0</v>
      </c>
      <c r="HJ554" s="1">
        <v>0</v>
      </c>
      <c r="HK554" s="1" t="b">
        <v>0</v>
      </c>
      <c r="HM554" s="1">
        <v>0</v>
      </c>
      <c r="HO554" s="1" t="s">
        <v>360</v>
      </c>
      <c r="HP554" s="1">
        <v>0</v>
      </c>
      <c r="HQ554" s="1">
        <v>0</v>
      </c>
      <c r="HR554" s="1">
        <v>0</v>
      </c>
    </row>
    <row r="555" spans="2:226">
      <c r="B555" s="1">
        <f>10000000+INDEX(编号表!$B$1:$B$112,MATCH(D555,编号表!$A$1:$A$112,0))*10000+I555</f>
        <v>10780003</v>
      </c>
      <c r="C555" s="1" t="s">
        <v>515</v>
      </c>
      <c r="D555" s="1" t="s">
        <v>515</v>
      </c>
      <c r="E555" s="1" t="s">
        <v>469</v>
      </c>
      <c r="F555" s="1" t="s">
        <v>516</v>
      </c>
      <c r="G555" s="1">
        <v>1</v>
      </c>
      <c r="H555" s="1" t="b">
        <v>0</v>
      </c>
      <c r="I555" s="1">
        <v>3</v>
      </c>
      <c r="J555" s="1">
        <v>107800</v>
      </c>
      <c r="K555" s="1" t="s">
        <v>350</v>
      </c>
      <c r="L555" s="1">
        <v>10780002</v>
      </c>
      <c r="M555" s="1">
        <v>10780004</v>
      </c>
      <c r="N555" s="1" t="s">
        <v>517</v>
      </c>
      <c r="O555" s="1">
        <v>10902021</v>
      </c>
      <c r="P555" s="1">
        <v>0</v>
      </c>
      <c r="Q555" s="1">
        <v>0</v>
      </c>
      <c r="R555" s="1">
        <v>1</v>
      </c>
      <c r="T555" s="1">
        <v>100</v>
      </c>
      <c r="AY555" s="1" t="s">
        <v>449</v>
      </c>
      <c r="AZ555" s="1">
        <v>0</v>
      </c>
      <c r="GX555" s="1">
        <v>0</v>
      </c>
      <c r="GY555" s="1">
        <v>0</v>
      </c>
      <c r="GZ555" s="1" t="s">
        <v>449</v>
      </c>
      <c r="HA555" s="1">
        <v>0</v>
      </c>
      <c r="HD555" s="1">
        <v>0</v>
      </c>
      <c r="HF555" s="1">
        <v>0</v>
      </c>
      <c r="HG555" s="1">
        <v>0</v>
      </c>
      <c r="HH555" s="1">
        <v>0</v>
      </c>
      <c r="HI555" s="1">
        <v>0</v>
      </c>
      <c r="HJ555" s="1">
        <v>0</v>
      </c>
      <c r="HK555" s="1" t="b">
        <v>0</v>
      </c>
      <c r="HM555" s="1">
        <v>0</v>
      </c>
      <c r="HO555" s="1" t="s">
        <v>360</v>
      </c>
      <c r="HP555" s="1">
        <v>0</v>
      </c>
      <c r="HQ555" s="1">
        <v>0</v>
      </c>
      <c r="HR555" s="1">
        <v>0</v>
      </c>
    </row>
    <row r="556" spans="2:226">
      <c r="B556" s="1">
        <f>10000000+INDEX(编号表!$B$1:$B$112,MATCH(D556,编号表!$A$1:$A$112,0))*10000+I556</f>
        <v>10780004</v>
      </c>
      <c r="C556" s="1" t="s">
        <v>515</v>
      </c>
      <c r="D556" s="1" t="s">
        <v>515</v>
      </c>
      <c r="E556" s="1" t="s">
        <v>469</v>
      </c>
      <c r="F556" s="1" t="s">
        <v>516</v>
      </c>
      <c r="G556" s="1">
        <v>1</v>
      </c>
      <c r="H556" s="1" t="b">
        <v>0</v>
      </c>
      <c r="I556" s="1">
        <v>4</v>
      </c>
      <c r="J556" s="1">
        <v>107800</v>
      </c>
      <c r="K556" s="1" t="s">
        <v>350</v>
      </c>
      <c r="L556" s="1">
        <v>10780003</v>
      </c>
      <c r="M556" s="1">
        <v>10780005</v>
      </c>
      <c r="N556" s="1" t="s">
        <v>517</v>
      </c>
      <c r="O556" s="1">
        <v>10902021</v>
      </c>
      <c r="P556" s="1">
        <v>0</v>
      </c>
      <c r="Q556" s="1">
        <v>0</v>
      </c>
      <c r="R556" s="1">
        <v>1</v>
      </c>
      <c r="T556" s="1">
        <v>100</v>
      </c>
      <c r="AY556" s="1" t="s">
        <v>449</v>
      </c>
      <c r="AZ556" s="1">
        <v>0</v>
      </c>
      <c r="GX556" s="1">
        <v>0</v>
      </c>
      <c r="GY556" s="1">
        <v>0</v>
      </c>
      <c r="GZ556" s="1" t="s">
        <v>449</v>
      </c>
      <c r="HA556" s="1">
        <v>0</v>
      </c>
      <c r="HD556" s="1">
        <v>0</v>
      </c>
      <c r="HF556" s="1">
        <v>0</v>
      </c>
      <c r="HG556" s="1">
        <v>0</v>
      </c>
      <c r="HH556" s="1">
        <v>0</v>
      </c>
      <c r="HI556" s="1">
        <v>0</v>
      </c>
      <c r="HJ556" s="1">
        <v>0</v>
      </c>
      <c r="HK556" s="1" t="b">
        <v>0</v>
      </c>
      <c r="HM556" s="1">
        <v>0</v>
      </c>
      <c r="HO556" s="1" t="s">
        <v>360</v>
      </c>
      <c r="HP556" s="1">
        <v>0</v>
      </c>
      <c r="HQ556" s="1">
        <v>0</v>
      </c>
      <c r="HR556" s="1">
        <v>0</v>
      </c>
    </row>
    <row r="557" spans="2:226">
      <c r="B557" s="1">
        <f>10000000+INDEX(编号表!$B$1:$B$112,MATCH(D557,编号表!$A$1:$A$112,0))*10000+I557</f>
        <v>10780005</v>
      </c>
      <c r="C557" s="1" t="s">
        <v>515</v>
      </c>
      <c r="D557" s="1" t="s">
        <v>515</v>
      </c>
      <c r="E557" s="1" t="s">
        <v>469</v>
      </c>
      <c r="F557" s="1" t="s">
        <v>516</v>
      </c>
      <c r="G557" s="1">
        <v>1</v>
      </c>
      <c r="H557" s="1" t="b">
        <v>0</v>
      </c>
      <c r="I557" s="1">
        <v>5</v>
      </c>
      <c r="J557" s="1">
        <v>107800</v>
      </c>
      <c r="K557" s="1" t="s">
        <v>350</v>
      </c>
      <c r="L557" s="1">
        <v>10780004</v>
      </c>
      <c r="M557" s="1">
        <v>10780006</v>
      </c>
      <c r="N557" s="1" t="s">
        <v>517</v>
      </c>
      <c r="O557" s="1">
        <v>10902021</v>
      </c>
      <c r="P557" s="1">
        <v>0</v>
      </c>
      <c r="Q557" s="1">
        <v>0</v>
      </c>
      <c r="R557" s="1">
        <v>1</v>
      </c>
      <c r="T557" s="1">
        <v>100</v>
      </c>
      <c r="AY557" s="1" t="s">
        <v>449</v>
      </c>
      <c r="AZ557" s="1">
        <v>0</v>
      </c>
      <c r="GX557" s="1">
        <v>0</v>
      </c>
      <c r="GY557" s="1">
        <v>0</v>
      </c>
      <c r="GZ557" s="1" t="s">
        <v>449</v>
      </c>
      <c r="HA557" s="1">
        <v>0</v>
      </c>
      <c r="HD557" s="1">
        <v>0</v>
      </c>
      <c r="HF557" s="1">
        <v>0</v>
      </c>
      <c r="HG557" s="1">
        <v>0</v>
      </c>
      <c r="HH557" s="1">
        <v>0</v>
      </c>
      <c r="HI557" s="1">
        <v>0</v>
      </c>
      <c r="HJ557" s="1">
        <v>0</v>
      </c>
      <c r="HK557" s="1" t="b">
        <v>0</v>
      </c>
      <c r="HM557" s="1">
        <v>0</v>
      </c>
      <c r="HO557" s="1" t="s">
        <v>360</v>
      </c>
      <c r="HP557" s="1">
        <v>0</v>
      </c>
      <c r="HQ557" s="1">
        <v>0</v>
      </c>
      <c r="HR557" s="1">
        <v>0</v>
      </c>
    </row>
    <row r="558" spans="2:226">
      <c r="B558" s="1">
        <f>10000000+INDEX(编号表!$B$1:$B$112,MATCH(D558,编号表!$A$1:$A$112,0))*10000+I558</f>
        <v>10780006</v>
      </c>
      <c r="C558" s="1" t="s">
        <v>515</v>
      </c>
      <c r="D558" s="1" t="s">
        <v>515</v>
      </c>
      <c r="E558" s="1" t="s">
        <v>469</v>
      </c>
      <c r="F558" s="1" t="s">
        <v>516</v>
      </c>
      <c r="G558" s="1">
        <v>1</v>
      </c>
      <c r="H558" s="1" t="b">
        <v>0</v>
      </c>
      <c r="I558" s="1">
        <v>6</v>
      </c>
      <c r="J558" s="1">
        <v>107800</v>
      </c>
      <c r="K558" s="1" t="s">
        <v>350</v>
      </c>
      <c r="L558" s="1">
        <v>10780005</v>
      </c>
      <c r="M558" s="1">
        <v>10780007</v>
      </c>
      <c r="N558" s="1" t="s">
        <v>517</v>
      </c>
      <c r="O558" s="1">
        <v>10902021</v>
      </c>
      <c r="P558" s="1">
        <v>0</v>
      </c>
      <c r="Q558" s="1">
        <v>0</v>
      </c>
      <c r="R558" s="1">
        <v>1</v>
      </c>
      <c r="T558" s="1">
        <v>100</v>
      </c>
      <c r="AY558" s="1" t="s">
        <v>449</v>
      </c>
      <c r="AZ558" s="1">
        <v>0</v>
      </c>
      <c r="GX558" s="1">
        <v>0</v>
      </c>
      <c r="GY558" s="1">
        <v>0</v>
      </c>
      <c r="GZ558" s="1" t="s">
        <v>449</v>
      </c>
      <c r="HA558" s="1">
        <v>0</v>
      </c>
      <c r="HD558" s="1">
        <v>0</v>
      </c>
      <c r="HF558" s="1">
        <v>0</v>
      </c>
      <c r="HG558" s="1">
        <v>0</v>
      </c>
      <c r="HH558" s="1">
        <v>0</v>
      </c>
      <c r="HI558" s="1">
        <v>0</v>
      </c>
      <c r="HJ558" s="1">
        <v>0</v>
      </c>
      <c r="HK558" s="1" t="b">
        <v>0</v>
      </c>
      <c r="HM558" s="1">
        <v>0</v>
      </c>
      <c r="HO558" s="1" t="s">
        <v>360</v>
      </c>
      <c r="HP558" s="1">
        <v>0</v>
      </c>
      <c r="HQ558" s="1">
        <v>0</v>
      </c>
      <c r="HR558" s="1">
        <v>0</v>
      </c>
    </row>
    <row r="559" spans="2:226">
      <c r="B559" s="1">
        <f>10000000+INDEX(编号表!$B$1:$B$112,MATCH(D559,编号表!$A$1:$A$112,0))*10000+I559</f>
        <v>10780007</v>
      </c>
      <c r="C559" s="1" t="s">
        <v>515</v>
      </c>
      <c r="D559" s="1" t="s">
        <v>515</v>
      </c>
      <c r="E559" s="1" t="s">
        <v>469</v>
      </c>
      <c r="F559" s="1" t="s">
        <v>516</v>
      </c>
      <c r="G559" s="1">
        <v>1</v>
      </c>
      <c r="H559" s="1" t="b">
        <v>0</v>
      </c>
      <c r="I559" s="1">
        <v>7</v>
      </c>
      <c r="J559" s="1">
        <v>107800</v>
      </c>
      <c r="K559" s="1" t="s">
        <v>350</v>
      </c>
      <c r="L559" s="1">
        <v>10780006</v>
      </c>
      <c r="M559" s="1">
        <v>10780008</v>
      </c>
      <c r="N559" s="1" t="s">
        <v>517</v>
      </c>
      <c r="O559" s="1">
        <v>10902021</v>
      </c>
      <c r="P559" s="1">
        <v>0</v>
      </c>
      <c r="Q559" s="1">
        <v>0</v>
      </c>
      <c r="R559" s="1">
        <v>1</v>
      </c>
      <c r="T559" s="1">
        <v>100</v>
      </c>
      <c r="AY559" s="1" t="s">
        <v>449</v>
      </c>
      <c r="AZ559" s="1">
        <v>0</v>
      </c>
      <c r="GX559" s="1">
        <v>0</v>
      </c>
      <c r="GY559" s="1">
        <v>0</v>
      </c>
      <c r="GZ559" s="1" t="s">
        <v>449</v>
      </c>
      <c r="HA559" s="1">
        <v>0</v>
      </c>
      <c r="HD559" s="1">
        <v>0</v>
      </c>
      <c r="HF559" s="1">
        <v>0</v>
      </c>
      <c r="HG559" s="1">
        <v>0</v>
      </c>
      <c r="HH559" s="1">
        <v>0</v>
      </c>
      <c r="HI559" s="1">
        <v>0</v>
      </c>
      <c r="HJ559" s="1">
        <v>0</v>
      </c>
      <c r="HK559" s="1" t="b">
        <v>0</v>
      </c>
      <c r="HM559" s="1">
        <v>0</v>
      </c>
      <c r="HO559" s="1" t="s">
        <v>360</v>
      </c>
      <c r="HP559" s="1">
        <v>0</v>
      </c>
      <c r="HQ559" s="1">
        <v>0</v>
      </c>
      <c r="HR559" s="1">
        <v>0</v>
      </c>
    </row>
    <row r="560" spans="2:226">
      <c r="B560" s="1">
        <f>10000000+INDEX(编号表!$B$1:$B$112,MATCH(D560,编号表!$A$1:$A$112,0))*10000+I560</f>
        <v>10780008</v>
      </c>
      <c r="C560" s="1" t="s">
        <v>515</v>
      </c>
      <c r="D560" s="1" t="s">
        <v>515</v>
      </c>
      <c r="E560" s="1" t="s">
        <v>469</v>
      </c>
      <c r="F560" s="1" t="s">
        <v>516</v>
      </c>
      <c r="G560" s="1">
        <v>1</v>
      </c>
      <c r="H560" s="1" t="b">
        <v>0</v>
      </c>
      <c r="I560" s="1">
        <v>8</v>
      </c>
      <c r="J560" s="1">
        <v>107800</v>
      </c>
      <c r="K560" s="1" t="s">
        <v>350</v>
      </c>
      <c r="L560" s="1">
        <v>10780007</v>
      </c>
      <c r="M560" s="1">
        <v>10780009</v>
      </c>
      <c r="N560" s="1" t="s">
        <v>517</v>
      </c>
      <c r="O560" s="1">
        <v>10902021</v>
      </c>
      <c r="P560" s="1">
        <v>0</v>
      </c>
      <c r="Q560" s="1">
        <v>0</v>
      </c>
      <c r="R560" s="1">
        <v>1</v>
      </c>
      <c r="T560" s="1">
        <v>100</v>
      </c>
      <c r="AY560" s="1" t="s">
        <v>449</v>
      </c>
      <c r="AZ560" s="1">
        <v>0</v>
      </c>
      <c r="GX560" s="1">
        <v>0</v>
      </c>
      <c r="GY560" s="1">
        <v>0</v>
      </c>
      <c r="GZ560" s="1" t="s">
        <v>449</v>
      </c>
      <c r="HA560" s="1">
        <v>0</v>
      </c>
      <c r="HD560" s="1">
        <v>0</v>
      </c>
      <c r="HF560" s="1">
        <v>0</v>
      </c>
      <c r="HG560" s="1">
        <v>0</v>
      </c>
      <c r="HH560" s="1">
        <v>0</v>
      </c>
      <c r="HI560" s="1">
        <v>0</v>
      </c>
      <c r="HJ560" s="1">
        <v>0</v>
      </c>
      <c r="HK560" s="1" t="b">
        <v>0</v>
      </c>
      <c r="HM560" s="1">
        <v>0</v>
      </c>
      <c r="HO560" s="1" t="s">
        <v>360</v>
      </c>
      <c r="HP560" s="1">
        <v>0</v>
      </c>
      <c r="HQ560" s="1">
        <v>0</v>
      </c>
      <c r="HR560" s="1">
        <v>0</v>
      </c>
    </row>
    <row r="561" spans="2:226">
      <c r="B561" s="1">
        <f>10000000+INDEX(编号表!$B$1:$B$112,MATCH(D561,编号表!$A$1:$A$112,0))*10000+I561</f>
        <v>10780009</v>
      </c>
      <c r="C561" s="1" t="s">
        <v>515</v>
      </c>
      <c r="D561" s="1" t="s">
        <v>515</v>
      </c>
      <c r="E561" s="1" t="s">
        <v>469</v>
      </c>
      <c r="F561" s="1" t="s">
        <v>516</v>
      </c>
      <c r="G561" s="1">
        <v>1</v>
      </c>
      <c r="H561" s="1" t="b">
        <v>0</v>
      </c>
      <c r="I561" s="1">
        <v>9</v>
      </c>
      <c r="J561" s="1">
        <v>107800</v>
      </c>
      <c r="K561" s="1" t="s">
        <v>350</v>
      </c>
      <c r="L561" s="1">
        <v>10780008</v>
      </c>
      <c r="M561" s="1">
        <v>10780010</v>
      </c>
      <c r="N561" s="1" t="s">
        <v>517</v>
      </c>
      <c r="O561" s="1">
        <v>10902021</v>
      </c>
      <c r="P561" s="1">
        <v>0</v>
      </c>
      <c r="Q561" s="1">
        <v>0</v>
      </c>
      <c r="R561" s="1">
        <v>1</v>
      </c>
      <c r="T561" s="1">
        <v>100</v>
      </c>
      <c r="AY561" s="1" t="s">
        <v>449</v>
      </c>
      <c r="AZ561" s="1">
        <v>0</v>
      </c>
      <c r="GX561" s="1">
        <v>0</v>
      </c>
      <c r="GY561" s="1">
        <v>0</v>
      </c>
      <c r="GZ561" s="1" t="s">
        <v>449</v>
      </c>
      <c r="HA561" s="1">
        <v>0</v>
      </c>
      <c r="HD561" s="1">
        <v>0</v>
      </c>
      <c r="HF561" s="1">
        <v>0</v>
      </c>
      <c r="HG561" s="1">
        <v>0</v>
      </c>
      <c r="HH561" s="1">
        <v>0</v>
      </c>
      <c r="HI561" s="1">
        <v>0</v>
      </c>
      <c r="HJ561" s="1">
        <v>0</v>
      </c>
      <c r="HK561" s="1" t="b">
        <v>0</v>
      </c>
      <c r="HM561" s="1">
        <v>0</v>
      </c>
      <c r="HO561" s="1" t="s">
        <v>360</v>
      </c>
      <c r="HP561" s="1">
        <v>0</v>
      </c>
      <c r="HQ561" s="1">
        <v>0</v>
      </c>
      <c r="HR561" s="1">
        <v>0</v>
      </c>
    </row>
    <row r="562" spans="2:226">
      <c r="B562" s="1">
        <f>10000000+INDEX(编号表!$B$1:$B$112,MATCH(D562,编号表!$A$1:$A$112,0))*10000+I562</f>
        <v>10780010</v>
      </c>
      <c r="C562" s="1" t="s">
        <v>515</v>
      </c>
      <c r="D562" s="1" t="s">
        <v>515</v>
      </c>
      <c r="E562" s="1" t="s">
        <v>469</v>
      </c>
      <c r="F562" s="1" t="s">
        <v>516</v>
      </c>
      <c r="G562" s="1">
        <v>1</v>
      </c>
      <c r="H562" s="1" t="b">
        <v>0</v>
      </c>
      <c r="I562" s="1">
        <v>10</v>
      </c>
      <c r="J562" s="1">
        <v>107800</v>
      </c>
      <c r="K562" s="1" t="s">
        <v>350</v>
      </c>
      <c r="L562" s="1">
        <v>10780009</v>
      </c>
      <c r="N562" s="1" t="s">
        <v>517</v>
      </c>
      <c r="O562" s="1">
        <v>10902021</v>
      </c>
      <c r="P562" s="1">
        <v>0</v>
      </c>
      <c r="Q562" s="1">
        <v>0</v>
      </c>
      <c r="R562" s="1">
        <v>1</v>
      </c>
      <c r="T562" s="1">
        <v>100</v>
      </c>
      <c r="AY562" s="1" t="s">
        <v>449</v>
      </c>
      <c r="AZ562" s="1">
        <v>0</v>
      </c>
      <c r="GX562" s="1">
        <v>0</v>
      </c>
      <c r="GY562" s="1">
        <v>0</v>
      </c>
      <c r="GZ562" s="1" t="s">
        <v>449</v>
      </c>
      <c r="HA562" s="1">
        <v>0</v>
      </c>
      <c r="HD562" s="1">
        <v>0</v>
      </c>
      <c r="HF562" s="1">
        <v>0</v>
      </c>
      <c r="HG562" s="1">
        <v>0</v>
      </c>
      <c r="HH562" s="1">
        <v>0</v>
      </c>
      <c r="HI562" s="1">
        <v>0</v>
      </c>
      <c r="HJ562" s="1">
        <v>0</v>
      </c>
      <c r="HK562" s="1" t="b">
        <v>0</v>
      </c>
      <c r="HM562" s="1">
        <v>0</v>
      </c>
      <c r="HO562" s="1" t="s">
        <v>360</v>
      </c>
      <c r="HP562" s="1">
        <v>0</v>
      </c>
      <c r="HQ562" s="1">
        <v>0</v>
      </c>
      <c r="HR562" s="1">
        <v>0</v>
      </c>
    </row>
    <row r="563" spans="2:226">
      <c r="B563" s="1">
        <f>10000000+INDEX(编号表!$B$1:$B$112,MATCH(D563,编号表!$A$1:$A$112,0))*10000+I563</f>
        <v>10790001</v>
      </c>
      <c r="C563" s="1" t="s">
        <v>518</v>
      </c>
      <c r="D563" s="1" t="s">
        <v>518</v>
      </c>
      <c r="E563" s="1" t="s">
        <v>469</v>
      </c>
      <c r="F563" s="1" t="s">
        <v>446</v>
      </c>
      <c r="G563" s="1">
        <v>1</v>
      </c>
      <c r="H563" s="1" t="b">
        <v>0</v>
      </c>
      <c r="I563" s="1">
        <v>1</v>
      </c>
      <c r="J563" s="1">
        <v>107900</v>
      </c>
      <c r="K563" s="1" t="s">
        <v>350</v>
      </c>
      <c r="M563" s="1">
        <v>10790002</v>
      </c>
      <c r="N563" s="1" t="s">
        <v>519</v>
      </c>
      <c r="O563" s="1">
        <v>10902022</v>
      </c>
      <c r="P563" s="1">
        <v>0</v>
      </c>
      <c r="Q563" s="1">
        <v>0</v>
      </c>
      <c r="R563" s="1">
        <v>1</v>
      </c>
      <c r="T563" s="1">
        <v>100</v>
      </c>
      <c r="AY563" s="1" t="s">
        <v>449</v>
      </c>
      <c r="AZ563" s="1">
        <v>0</v>
      </c>
      <c r="GX563" s="1">
        <v>0</v>
      </c>
      <c r="GY563" s="1">
        <v>0</v>
      </c>
      <c r="GZ563" s="1" t="s">
        <v>449</v>
      </c>
      <c r="HA563" s="1">
        <v>0</v>
      </c>
      <c r="HD563" s="1">
        <v>0</v>
      </c>
      <c r="HF563" s="1">
        <v>0</v>
      </c>
      <c r="HG563" s="1">
        <v>0</v>
      </c>
      <c r="HH563" s="1">
        <v>0</v>
      </c>
      <c r="HI563" s="1">
        <v>0</v>
      </c>
      <c r="HJ563" s="1">
        <v>0</v>
      </c>
      <c r="HK563" s="1" t="b">
        <v>0</v>
      </c>
      <c r="HM563" s="1">
        <v>0</v>
      </c>
      <c r="HO563" s="1" t="s">
        <v>360</v>
      </c>
      <c r="HP563" s="1">
        <v>0</v>
      </c>
      <c r="HQ563" s="1">
        <v>0</v>
      </c>
      <c r="HR563" s="1">
        <v>0</v>
      </c>
    </row>
    <row r="564" spans="2:226">
      <c r="B564" s="1">
        <f>10000000+INDEX(编号表!$B$1:$B$112,MATCH(D564,编号表!$A$1:$A$112,0))*10000+I564</f>
        <v>10790002</v>
      </c>
      <c r="C564" s="1" t="s">
        <v>518</v>
      </c>
      <c r="D564" s="1" t="s">
        <v>518</v>
      </c>
      <c r="E564" s="1" t="s">
        <v>469</v>
      </c>
      <c r="F564" s="1" t="s">
        <v>446</v>
      </c>
      <c r="G564" s="1">
        <v>1</v>
      </c>
      <c r="H564" s="1" t="b">
        <v>0</v>
      </c>
      <c r="I564" s="1">
        <v>2</v>
      </c>
      <c r="J564" s="1">
        <v>107900</v>
      </c>
      <c r="K564" s="1" t="s">
        <v>350</v>
      </c>
      <c r="L564" s="1">
        <v>10790001</v>
      </c>
      <c r="M564" s="1">
        <v>10790003</v>
      </c>
      <c r="N564" s="1" t="s">
        <v>519</v>
      </c>
      <c r="O564" s="1">
        <v>10902022</v>
      </c>
      <c r="P564" s="1">
        <v>0</v>
      </c>
      <c r="Q564" s="1">
        <v>0</v>
      </c>
      <c r="R564" s="1">
        <v>1</v>
      </c>
      <c r="T564" s="1">
        <v>100</v>
      </c>
      <c r="AY564" s="1" t="s">
        <v>449</v>
      </c>
      <c r="AZ564" s="1">
        <v>0</v>
      </c>
      <c r="GX564" s="1">
        <v>0</v>
      </c>
      <c r="GY564" s="1">
        <v>0</v>
      </c>
      <c r="GZ564" s="1" t="s">
        <v>449</v>
      </c>
      <c r="HA564" s="1">
        <v>0</v>
      </c>
      <c r="HD564" s="1">
        <v>0</v>
      </c>
      <c r="HF564" s="1">
        <v>0</v>
      </c>
      <c r="HG564" s="1">
        <v>0</v>
      </c>
      <c r="HH564" s="1">
        <v>0</v>
      </c>
      <c r="HI564" s="1">
        <v>0</v>
      </c>
      <c r="HJ564" s="1">
        <v>0</v>
      </c>
      <c r="HK564" s="1" t="b">
        <v>0</v>
      </c>
      <c r="HM564" s="1">
        <v>0</v>
      </c>
      <c r="HO564" s="1" t="s">
        <v>360</v>
      </c>
      <c r="HP564" s="1">
        <v>0</v>
      </c>
      <c r="HQ564" s="1">
        <v>0</v>
      </c>
      <c r="HR564" s="1">
        <v>0</v>
      </c>
    </row>
    <row r="565" spans="2:226">
      <c r="B565" s="1">
        <f>10000000+INDEX(编号表!$B$1:$B$112,MATCH(D565,编号表!$A$1:$A$112,0))*10000+I565</f>
        <v>10790003</v>
      </c>
      <c r="C565" s="1" t="s">
        <v>518</v>
      </c>
      <c r="D565" s="1" t="s">
        <v>518</v>
      </c>
      <c r="E565" s="1" t="s">
        <v>469</v>
      </c>
      <c r="F565" s="1" t="s">
        <v>446</v>
      </c>
      <c r="G565" s="1">
        <v>1</v>
      </c>
      <c r="H565" s="1" t="b">
        <v>0</v>
      </c>
      <c r="I565" s="1">
        <v>3</v>
      </c>
      <c r="J565" s="1">
        <v>107900</v>
      </c>
      <c r="K565" s="1" t="s">
        <v>350</v>
      </c>
      <c r="L565" s="1">
        <v>10790002</v>
      </c>
      <c r="M565" s="1">
        <v>10790004</v>
      </c>
      <c r="N565" s="1" t="s">
        <v>519</v>
      </c>
      <c r="O565" s="1">
        <v>10902022</v>
      </c>
      <c r="P565" s="1">
        <v>0</v>
      </c>
      <c r="Q565" s="1">
        <v>0</v>
      </c>
      <c r="R565" s="1">
        <v>1</v>
      </c>
      <c r="T565" s="1">
        <v>100</v>
      </c>
      <c r="AY565" s="1" t="s">
        <v>449</v>
      </c>
      <c r="AZ565" s="1">
        <v>0</v>
      </c>
      <c r="GX565" s="1">
        <v>0</v>
      </c>
      <c r="GY565" s="1">
        <v>0</v>
      </c>
      <c r="GZ565" s="1" t="s">
        <v>449</v>
      </c>
      <c r="HA565" s="1">
        <v>0</v>
      </c>
      <c r="HD565" s="1">
        <v>0</v>
      </c>
      <c r="HF565" s="1">
        <v>0</v>
      </c>
      <c r="HG565" s="1">
        <v>0</v>
      </c>
      <c r="HH565" s="1">
        <v>0</v>
      </c>
      <c r="HI565" s="1">
        <v>0</v>
      </c>
      <c r="HJ565" s="1">
        <v>0</v>
      </c>
      <c r="HK565" s="1" t="b">
        <v>0</v>
      </c>
      <c r="HM565" s="1">
        <v>0</v>
      </c>
      <c r="HO565" s="1" t="s">
        <v>360</v>
      </c>
      <c r="HP565" s="1">
        <v>0</v>
      </c>
      <c r="HQ565" s="1">
        <v>0</v>
      </c>
      <c r="HR565" s="1">
        <v>0</v>
      </c>
    </row>
    <row r="566" spans="2:226">
      <c r="B566" s="1">
        <f>10000000+INDEX(编号表!$B$1:$B$112,MATCH(D566,编号表!$A$1:$A$112,0))*10000+I566</f>
        <v>10790004</v>
      </c>
      <c r="C566" s="1" t="s">
        <v>518</v>
      </c>
      <c r="D566" s="1" t="s">
        <v>518</v>
      </c>
      <c r="E566" s="1" t="s">
        <v>469</v>
      </c>
      <c r="F566" s="1" t="s">
        <v>446</v>
      </c>
      <c r="G566" s="1">
        <v>1</v>
      </c>
      <c r="H566" s="1" t="b">
        <v>0</v>
      </c>
      <c r="I566" s="1">
        <v>4</v>
      </c>
      <c r="J566" s="1">
        <v>107900</v>
      </c>
      <c r="K566" s="1" t="s">
        <v>350</v>
      </c>
      <c r="L566" s="1">
        <v>10790003</v>
      </c>
      <c r="M566" s="1">
        <v>10790005</v>
      </c>
      <c r="N566" s="1" t="s">
        <v>519</v>
      </c>
      <c r="O566" s="1">
        <v>10902022</v>
      </c>
      <c r="P566" s="1">
        <v>0</v>
      </c>
      <c r="Q566" s="1">
        <v>0</v>
      </c>
      <c r="R566" s="1">
        <v>1</v>
      </c>
      <c r="T566" s="1">
        <v>100</v>
      </c>
      <c r="AY566" s="1" t="s">
        <v>449</v>
      </c>
      <c r="AZ566" s="1">
        <v>0</v>
      </c>
      <c r="GX566" s="1">
        <v>0</v>
      </c>
      <c r="GY566" s="1">
        <v>0</v>
      </c>
      <c r="GZ566" s="1" t="s">
        <v>449</v>
      </c>
      <c r="HA566" s="1">
        <v>0</v>
      </c>
      <c r="HD566" s="1">
        <v>0</v>
      </c>
      <c r="HF566" s="1">
        <v>0</v>
      </c>
      <c r="HG566" s="1">
        <v>0</v>
      </c>
      <c r="HH566" s="1">
        <v>0</v>
      </c>
      <c r="HI566" s="1">
        <v>0</v>
      </c>
      <c r="HJ566" s="1">
        <v>0</v>
      </c>
      <c r="HK566" s="1" t="b">
        <v>0</v>
      </c>
      <c r="HM566" s="1">
        <v>0</v>
      </c>
      <c r="HO566" s="1" t="s">
        <v>360</v>
      </c>
      <c r="HP566" s="1">
        <v>0</v>
      </c>
      <c r="HQ566" s="1">
        <v>0</v>
      </c>
      <c r="HR566" s="1">
        <v>0</v>
      </c>
    </row>
    <row r="567" spans="2:226">
      <c r="B567" s="1">
        <f>10000000+INDEX(编号表!$B$1:$B$112,MATCH(D567,编号表!$A$1:$A$112,0))*10000+I567</f>
        <v>10790005</v>
      </c>
      <c r="C567" s="1" t="s">
        <v>518</v>
      </c>
      <c r="D567" s="1" t="s">
        <v>518</v>
      </c>
      <c r="E567" s="1" t="s">
        <v>469</v>
      </c>
      <c r="F567" s="1" t="s">
        <v>446</v>
      </c>
      <c r="G567" s="1">
        <v>1</v>
      </c>
      <c r="H567" s="1" t="b">
        <v>0</v>
      </c>
      <c r="I567" s="1">
        <v>5</v>
      </c>
      <c r="J567" s="1">
        <v>107900</v>
      </c>
      <c r="K567" s="1" t="s">
        <v>350</v>
      </c>
      <c r="L567" s="1">
        <v>10790004</v>
      </c>
      <c r="M567" s="1">
        <v>10790006</v>
      </c>
      <c r="N567" s="1" t="s">
        <v>519</v>
      </c>
      <c r="O567" s="1">
        <v>10902022</v>
      </c>
      <c r="P567" s="1">
        <v>0</v>
      </c>
      <c r="Q567" s="1">
        <v>0</v>
      </c>
      <c r="R567" s="1">
        <v>1</v>
      </c>
      <c r="T567" s="1">
        <v>100</v>
      </c>
      <c r="AY567" s="1" t="s">
        <v>449</v>
      </c>
      <c r="AZ567" s="1">
        <v>0</v>
      </c>
      <c r="GX567" s="1">
        <v>0</v>
      </c>
      <c r="GY567" s="1">
        <v>0</v>
      </c>
      <c r="GZ567" s="1" t="s">
        <v>449</v>
      </c>
      <c r="HA567" s="1">
        <v>0</v>
      </c>
      <c r="HD567" s="1">
        <v>0</v>
      </c>
      <c r="HF567" s="1">
        <v>0</v>
      </c>
      <c r="HG567" s="1">
        <v>0</v>
      </c>
      <c r="HH567" s="1">
        <v>0</v>
      </c>
      <c r="HI567" s="1">
        <v>0</v>
      </c>
      <c r="HJ567" s="1">
        <v>0</v>
      </c>
      <c r="HK567" s="1" t="b">
        <v>0</v>
      </c>
      <c r="HM567" s="1">
        <v>0</v>
      </c>
      <c r="HO567" s="1" t="s">
        <v>360</v>
      </c>
      <c r="HP567" s="1">
        <v>0</v>
      </c>
      <c r="HQ567" s="1">
        <v>0</v>
      </c>
      <c r="HR567" s="1">
        <v>0</v>
      </c>
    </row>
    <row r="568" spans="2:226">
      <c r="B568" s="1">
        <f>10000000+INDEX(编号表!$B$1:$B$112,MATCH(D568,编号表!$A$1:$A$112,0))*10000+I568</f>
        <v>10790006</v>
      </c>
      <c r="C568" s="1" t="s">
        <v>518</v>
      </c>
      <c r="D568" s="1" t="s">
        <v>518</v>
      </c>
      <c r="E568" s="1" t="s">
        <v>469</v>
      </c>
      <c r="F568" s="1" t="s">
        <v>446</v>
      </c>
      <c r="G568" s="1">
        <v>1</v>
      </c>
      <c r="H568" s="1" t="b">
        <v>0</v>
      </c>
      <c r="I568" s="1">
        <v>6</v>
      </c>
      <c r="J568" s="1">
        <v>107900</v>
      </c>
      <c r="K568" s="1" t="s">
        <v>350</v>
      </c>
      <c r="L568" s="1">
        <v>10790005</v>
      </c>
      <c r="M568" s="1">
        <v>10790007</v>
      </c>
      <c r="N568" s="1" t="s">
        <v>519</v>
      </c>
      <c r="O568" s="1">
        <v>10902022</v>
      </c>
      <c r="P568" s="1">
        <v>0</v>
      </c>
      <c r="Q568" s="1">
        <v>0</v>
      </c>
      <c r="R568" s="1">
        <v>1</v>
      </c>
      <c r="T568" s="1">
        <v>100</v>
      </c>
      <c r="AY568" s="1" t="s">
        <v>449</v>
      </c>
      <c r="AZ568" s="1">
        <v>0</v>
      </c>
      <c r="GX568" s="1">
        <v>0</v>
      </c>
      <c r="GY568" s="1">
        <v>0</v>
      </c>
      <c r="GZ568" s="1" t="s">
        <v>449</v>
      </c>
      <c r="HA568" s="1">
        <v>0</v>
      </c>
      <c r="HD568" s="1">
        <v>0</v>
      </c>
      <c r="HF568" s="1">
        <v>0</v>
      </c>
      <c r="HG568" s="1">
        <v>0</v>
      </c>
      <c r="HH568" s="1">
        <v>0</v>
      </c>
      <c r="HI568" s="1">
        <v>0</v>
      </c>
      <c r="HJ568" s="1">
        <v>0</v>
      </c>
      <c r="HK568" s="1" t="b">
        <v>0</v>
      </c>
      <c r="HM568" s="1">
        <v>0</v>
      </c>
      <c r="HO568" s="1" t="s">
        <v>360</v>
      </c>
      <c r="HP568" s="1">
        <v>0</v>
      </c>
      <c r="HQ568" s="1">
        <v>0</v>
      </c>
      <c r="HR568" s="1">
        <v>0</v>
      </c>
    </row>
    <row r="569" spans="2:226">
      <c r="B569" s="1">
        <f>10000000+INDEX(编号表!$B$1:$B$112,MATCH(D569,编号表!$A$1:$A$112,0))*10000+I569</f>
        <v>10790007</v>
      </c>
      <c r="C569" s="1" t="s">
        <v>518</v>
      </c>
      <c r="D569" s="1" t="s">
        <v>518</v>
      </c>
      <c r="E569" s="1" t="s">
        <v>469</v>
      </c>
      <c r="F569" s="1" t="s">
        <v>446</v>
      </c>
      <c r="G569" s="1">
        <v>1</v>
      </c>
      <c r="H569" s="1" t="b">
        <v>0</v>
      </c>
      <c r="I569" s="1">
        <v>7</v>
      </c>
      <c r="J569" s="1">
        <v>107900</v>
      </c>
      <c r="K569" s="1" t="s">
        <v>350</v>
      </c>
      <c r="L569" s="1">
        <v>10790006</v>
      </c>
      <c r="M569" s="1">
        <v>10790008</v>
      </c>
      <c r="N569" s="1" t="s">
        <v>519</v>
      </c>
      <c r="O569" s="1">
        <v>10902022</v>
      </c>
      <c r="P569" s="1">
        <v>0</v>
      </c>
      <c r="Q569" s="1">
        <v>0</v>
      </c>
      <c r="R569" s="1">
        <v>1</v>
      </c>
      <c r="T569" s="1">
        <v>100</v>
      </c>
      <c r="AY569" s="1" t="s">
        <v>449</v>
      </c>
      <c r="AZ569" s="1">
        <v>0</v>
      </c>
      <c r="GX569" s="1">
        <v>0</v>
      </c>
      <c r="GY569" s="1">
        <v>0</v>
      </c>
      <c r="GZ569" s="1" t="s">
        <v>449</v>
      </c>
      <c r="HA569" s="1">
        <v>0</v>
      </c>
      <c r="HD569" s="1">
        <v>0</v>
      </c>
      <c r="HF569" s="1">
        <v>0</v>
      </c>
      <c r="HG569" s="1">
        <v>0</v>
      </c>
      <c r="HH569" s="1">
        <v>0</v>
      </c>
      <c r="HI569" s="1">
        <v>0</v>
      </c>
      <c r="HJ569" s="1">
        <v>0</v>
      </c>
      <c r="HK569" s="1" t="b">
        <v>0</v>
      </c>
      <c r="HM569" s="1">
        <v>0</v>
      </c>
      <c r="HO569" s="1" t="s">
        <v>360</v>
      </c>
      <c r="HP569" s="1">
        <v>0</v>
      </c>
      <c r="HQ569" s="1">
        <v>0</v>
      </c>
      <c r="HR569" s="1">
        <v>0</v>
      </c>
    </row>
    <row r="570" spans="2:226">
      <c r="B570" s="1">
        <f>10000000+INDEX(编号表!$B$1:$B$112,MATCH(D570,编号表!$A$1:$A$112,0))*10000+I570</f>
        <v>10790008</v>
      </c>
      <c r="C570" s="1" t="s">
        <v>518</v>
      </c>
      <c r="D570" s="1" t="s">
        <v>518</v>
      </c>
      <c r="E570" s="1" t="s">
        <v>469</v>
      </c>
      <c r="F570" s="1" t="s">
        <v>446</v>
      </c>
      <c r="G570" s="1">
        <v>1</v>
      </c>
      <c r="H570" s="1" t="b">
        <v>0</v>
      </c>
      <c r="I570" s="1">
        <v>8</v>
      </c>
      <c r="J570" s="1">
        <v>107900</v>
      </c>
      <c r="K570" s="1" t="s">
        <v>350</v>
      </c>
      <c r="L570" s="1">
        <v>10790007</v>
      </c>
      <c r="M570" s="1">
        <v>10790009</v>
      </c>
      <c r="N570" s="1" t="s">
        <v>519</v>
      </c>
      <c r="O570" s="1">
        <v>10902022</v>
      </c>
      <c r="P570" s="1">
        <v>0</v>
      </c>
      <c r="Q570" s="1">
        <v>0</v>
      </c>
      <c r="R570" s="1">
        <v>1</v>
      </c>
      <c r="T570" s="1">
        <v>100</v>
      </c>
      <c r="AY570" s="1" t="s">
        <v>449</v>
      </c>
      <c r="AZ570" s="1">
        <v>0</v>
      </c>
      <c r="GX570" s="1">
        <v>0</v>
      </c>
      <c r="GY570" s="1">
        <v>0</v>
      </c>
      <c r="GZ570" s="1" t="s">
        <v>449</v>
      </c>
      <c r="HA570" s="1">
        <v>0</v>
      </c>
      <c r="HD570" s="1">
        <v>0</v>
      </c>
      <c r="HF570" s="1">
        <v>0</v>
      </c>
      <c r="HG570" s="1">
        <v>0</v>
      </c>
      <c r="HH570" s="1">
        <v>0</v>
      </c>
      <c r="HI570" s="1">
        <v>0</v>
      </c>
      <c r="HJ570" s="1">
        <v>0</v>
      </c>
      <c r="HK570" s="1" t="b">
        <v>0</v>
      </c>
      <c r="HM570" s="1">
        <v>0</v>
      </c>
      <c r="HO570" s="1" t="s">
        <v>360</v>
      </c>
      <c r="HP570" s="1">
        <v>0</v>
      </c>
      <c r="HQ570" s="1">
        <v>0</v>
      </c>
      <c r="HR570" s="1">
        <v>0</v>
      </c>
    </row>
    <row r="571" spans="2:226">
      <c r="B571" s="1">
        <f>10000000+INDEX(编号表!$B$1:$B$112,MATCH(D571,编号表!$A$1:$A$112,0))*10000+I571</f>
        <v>10790009</v>
      </c>
      <c r="C571" s="1" t="s">
        <v>518</v>
      </c>
      <c r="D571" s="1" t="s">
        <v>518</v>
      </c>
      <c r="E571" s="1" t="s">
        <v>469</v>
      </c>
      <c r="F571" s="1" t="s">
        <v>446</v>
      </c>
      <c r="G571" s="1">
        <v>1</v>
      </c>
      <c r="H571" s="1" t="b">
        <v>0</v>
      </c>
      <c r="I571" s="1">
        <v>9</v>
      </c>
      <c r="J571" s="1">
        <v>107900</v>
      </c>
      <c r="K571" s="1" t="s">
        <v>350</v>
      </c>
      <c r="L571" s="1">
        <v>10790008</v>
      </c>
      <c r="M571" s="1">
        <v>10790010</v>
      </c>
      <c r="N571" s="1" t="s">
        <v>519</v>
      </c>
      <c r="O571" s="1">
        <v>10902022</v>
      </c>
      <c r="P571" s="1">
        <v>0</v>
      </c>
      <c r="Q571" s="1">
        <v>0</v>
      </c>
      <c r="R571" s="1">
        <v>1</v>
      </c>
      <c r="T571" s="1">
        <v>100</v>
      </c>
      <c r="AY571" s="1" t="s">
        <v>449</v>
      </c>
      <c r="AZ571" s="1">
        <v>0</v>
      </c>
      <c r="GX571" s="1">
        <v>0</v>
      </c>
      <c r="GY571" s="1">
        <v>0</v>
      </c>
      <c r="GZ571" s="1" t="s">
        <v>449</v>
      </c>
      <c r="HA571" s="1">
        <v>0</v>
      </c>
      <c r="HD571" s="1">
        <v>0</v>
      </c>
      <c r="HF571" s="1">
        <v>0</v>
      </c>
      <c r="HG571" s="1">
        <v>0</v>
      </c>
      <c r="HH571" s="1">
        <v>0</v>
      </c>
      <c r="HI571" s="1">
        <v>0</v>
      </c>
      <c r="HJ571" s="1">
        <v>0</v>
      </c>
      <c r="HK571" s="1" t="b">
        <v>0</v>
      </c>
      <c r="HM571" s="1">
        <v>0</v>
      </c>
      <c r="HO571" s="1" t="s">
        <v>360</v>
      </c>
      <c r="HP571" s="1">
        <v>0</v>
      </c>
      <c r="HQ571" s="1">
        <v>0</v>
      </c>
      <c r="HR571" s="1">
        <v>0</v>
      </c>
    </row>
    <row r="572" spans="2:226">
      <c r="B572" s="1">
        <f>10000000+INDEX(编号表!$B$1:$B$112,MATCH(D572,编号表!$A$1:$A$112,0))*10000+I572</f>
        <v>10790010</v>
      </c>
      <c r="C572" s="1" t="s">
        <v>518</v>
      </c>
      <c r="D572" s="1" t="s">
        <v>518</v>
      </c>
      <c r="E572" s="1" t="s">
        <v>469</v>
      </c>
      <c r="F572" s="1" t="s">
        <v>446</v>
      </c>
      <c r="G572" s="1">
        <v>1</v>
      </c>
      <c r="H572" s="1" t="b">
        <v>0</v>
      </c>
      <c r="I572" s="1">
        <v>10</v>
      </c>
      <c r="J572" s="1">
        <v>107900</v>
      </c>
      <c r="K572" s="1" t="s">
        <v>350</v>
      </c>
      <c r="L572" s="1">
        <v>10790009</v>
      </c>
      <c r="N572" s="1" t="s">
        <v>519</v>
      </c>
      <c r="O572" s="1">
        <v>10902022</v>
      </c>
      <c r="P572" s="1">
        <v>0</v>
      </c>
      <c r="Q572" s="1">
        <v>0</v>
      </c>
      <c r="R572" s="1">
        <v>1</v>
      </c>
      <c r="T572" s="1">
        <v>100</v>
      </c>
      <c r="AY572" s="1" t="s">
        <v>449</v>
      </c>
      <c r="AZ572" s="1">
        <v>0</v>
      </c>
      <c r="GX572" s="1">
        <v>0</v>
      </c>
      <c r="GY572" s="1">
        <v>0</v>
      </c>
      <c r="GZ572" s="1" t="s">
        <v>449</v>
      </c>
      <c r="HA572" s="1">
        <v>0</v>
      </c>
      <c r="HD572" s="1">
        <v>0</v>
      </c>
      <c r="HF572" s="1">
        <v>0</v>
      </c>
      <c r="HG572" s="1">
        <v>0</v>
      </c>
      <c r="HH572" s="1">
        <v>0</v>
      </c>
      <c r="HI572" s="1">
        <v>0</v>
      </c>
      <c r="HJ572" s="1">
        <v>0</v>
      </c>
      <c r="HK572" s="1" t="b">
        <v>0</v>
      </c>
      <c r="HM572" s="1">
        <v>0</v>
      </c>
      <c r="HO572" s="1" t="s">
        <v>360</v>
      </c>
      <c r="HP572" s="1">
        <v>0</v>
      </c>
      <c r="HQ572" s="1">
        <v>0</v>
      </c>
      <c r="HR572" s="1">
        <v>0</v>
      </c>
    </row>
    <row r="573" spans="2:226">
      <c r="B573" s="1">
        <f>10000000+INDEX(编号表!$B$1:$B$112,MATCH(D573,编号表!$A$1:$A$112,0))*10000+I573</f>
        <v>10800001</v>
      </c>
      <c r="C573" s="1" t="s">
        <v>520</v>
      </c>
      <c r="D573" s="1" t="s">
        <v>520</v>
      </c>
      <c r="E573" s="1" t="s">
        <v>469</v>
      </c>
      <c r="F573" s="1" t="s">
        <v>451</v>
      </c>
      <c r="G573" s="1">
        <v>1</v>
      </c>
      <c r="H573" s="1" t="b">
        <v>0</v>
      </c>
      <c r="I573" s="1">
        <v>1</v>
      </c>
      <c r="J573" s="1">
        <v>108000</v>
      </c>
      <c r="K573" s="1" t="s">
        <v>350</v>
      </c>
      <c r="M573" s="1">
        <v>10800002</v>
      </c>
      <c r="N573" s="1" t="s">
        <v>521</v>
      </c>
      <c r="O573" s="1">
        <v>10902023</v>
      </c>
      <c r="P573" s="1">
        <v>0</v>
      </c>
      <c r="Q573" s="1">
        <v>0</v>
      </c>
      <c r="R573" s="1">
        <v>1</v>
      </c>
      <c r="T573" s="1">
        <v>100</v>
      </c>
      <c r="AY573" s="1" t="s">
        <v>449</v>
      </c>
      <c r="AZ573" s="1">
        <v>0</v>
      </c>
      <c r="GX573" s="1">
        <v>0</v>
      </c>
      <c r="GY573" s="1">
        <v>0</v>
      </c>
      <c r="GZ573" s="1" t="s">
        <v>449</v>
      </c>
      <c r="HA573" s="1">
        <v>0</v>
      </c>
      <c r="HD573" s="1">
        <v>0</v>
      </c>
      <c r="HF573" s="1">
        <v>0</v>
      </c>
      <c r="HG573" s="1">
        <v>0</v>
      </c>
      <c r="HH573" s="1">
        <v>0</v>
      </c>
      <c r="HI573" s="1">
        <v>0</v>
      </c>
      <c r="HJ573" s="1">
        <v>0</v>
      </c>
      <c r="HK573" s="1" t="b">
        <v>0</v>
      </c>
      <c r="HM573" s="1">
        <v>0</v>
      </c>
      <c r="HO573" s="1" t="s">
        <v>360</v>
      </c>
      <c r="HP573" s="1">
        <v>0</v>
      </c>
      <c r="HQ573" s="1">
        <v>0</v>
      </c>
      <c r="HR573" s="1">
        <v>0</v>
      </c>
    </row>
    <row r="574" spans="2:226">
      <c r="B574" s="1">
        <f>10000000+INDEX(编号表!$B$1:$B$112,MATCH(D574,编号表!$A$1:$A$112,0))*10000+I574</f>
        <v>10800002</v>
      </c>
      <c r="C574" s="1" t="s">
        <v>520</v>
      </c>
      <c r="D574" s="1" t="s">
        <v>520</v>
      </c>
      <c r="E574" s="1" t="s">
        <v>469</v>
      </c>
      <c r="F574" s="1" t="s">
        <v>451</v>
      </c>
      <c r="G574" s="1">
        <v>1</v>
      </c>
      <c r="H574" s="1" t="b">
        <v>0</v>
      </c>
      <c r="I574" s="1">
        <v>2</v>
      </c>
      <c r="J574" s="1">
        <v>108000</v>
      </c>
      <c r="K574" s="1" t="s">
        <v>350</v>
      </c>
      <c r="L574" s="1">
        <v>10800001</v>
      </c>
      <c r="M574" s="1">
        <v>10800003</v>
      </c>
      <c r="N574" s="1" t="s">
        <v>521</v>
      </c>
      <c r="O574" s="1">
        <v>10902023</v>
      </c>
      <c r="P574" s="1">
        <v>0</v>
      </c>
      <c r="Q574" s="1">
        <v>0</v>
      </c>
      <c r="R574" s="1">
        <v>1</v>
      </c>
      <c r="T574" s="1">
        <v>100</v>
      </c>
      <c r="AY574" s="1" t="s">
        <v>449</v>
      </c>
      <c r="AZ574" s="1">
        <v>0</v>
      </c>
      <c r="GX574" s="1">
        <v>0</v>
      </c>
      <c r="GY574" s="1">
        <v>0</v>
      </c>
      <c r="GZ574" s="1" t="s">
        <v>449</v>
      </c>
      <c r="HA574" s="1">
        <v>0</v>
      </c>
      <c r="HD574" s="1">
        <v>0</v>
      </c>
      <c r="HF574" s="1">
        <v>0</v>
      </c>
      <c r="HG574" s="1">
        <v>0</v>
      </c>
      <c r="HH574" s="1">
        <v>0</v>
      </c>
      <c r="HI574" s="1">
        <v>0</v>
      </c>
      <c r="HJ574" s="1">
        <v>0</v>
      </c>
      <c r="HK574" s="1" t="b">
        <v>0</v>
      </c>
      <c r="HM574" s="1">
        <v>0</v>
      </c>
      <c r="HO574" s="1" t="s">
        <v>360</v>
      </c>
      <c r="HP574" s="1">
        <v>0</v>
      </c>
      <c r="HQ574" s="1">
        <v>0</v>
      </c>
      <c r="HR574" s="1">
        <v>0</v>
      </c>
    </row>
    <row r="575" spans="2:226">
      <c r="B575" s="1">
        <f>10000000+INDEX(编号表!$B$1:$B$112,MATCH(D575,编号表!$A$1:$A$112,0))*10000+I575</f>
        <v>10800003</v>
      </c>
      <c r="C575" s="1" t="s">
        <v>520</v>
      </c>
      <c r="D575" s="1" t="s">
        <v>520</v>
      </c>
      <c r="E575" s="1" t="s">
        <v>469</v>
      </c>
      <c r="F575" s="1" t="s">
        <v>451</v>
      </c>
      <c r="G575" s="1">
        <v>1</v>
      </c>
      <c r="H575" s="1" t="b">
        <v>0</v>
      </c>
      <c r="I575" s="1">
        <v>3</v>
      </c>
      <c r="J575" s="1">
        <v>108000</v>
      </c>
      <c r="K575" s="1" t="s">
        <v>350</v>
      </c>
      <c r="L575" s="1">
        <v>10800002</v>
      </c>
      <c r="M575" s="1">
        <v>10800004</v>
      </c>
      <c r="N575" s="1" t="s">
        <v>521</v>
      </c>
      <c r="O575" s="1">
        <v>10902023</v>
      </c>
      <c r="P575" s="1">
        <v>0</v>
      </c>
      <c r="Q575" s="1">
        <v>0</v>
      </c>
      <c r="R575" s="1">
        <v>1</v>
      </c>
      <c r="T575" s="1">
        <v>100</v>
      </c>
      <c r="AY575" s="1" t="s">
        <v>449</v>
      </c>
      <c r="AZ575" s="1">
        <v>0</v>
      </c>
      <c r="GX575" s="1">
        <v>0</v>
      </c>
      <c r="GY575" s="1">
        <v>0</v>
      </c>
      <c r="GZ575" s="1" t="s">
        <v>449</v>
      </c>
      <c r="HA575" s="1">
        <v>0</v>
      </c>
      <c r="HD575" s="1">
        <v>0</v>
      </c>
      <c r="HF575" s="1">
        <v>0</v>
      </c>
      <c r="HG575" s="1">
        <v>0</v>
      </c>
      <c r="HH575" s="1">
        <v>0</v>
      </c>
      <c r="HI575" s="1">
        <v>0</v>
      </c>
      <c r="HJ575" s="1">
        <v>0</v>
      </c>
      <c r="HK575" s="1" t="b">
        <v>0</v>
      </c>
      <c r="HM575" s="1">
        <v>0</v>
      </c>
      <c r="HO575" s="1" t="s">
        <v>360</v>
      </c>
      <c r="HP575" s="1">
        <v>0</v>
      </c>
      <c r="HQ575" s="1">
        <v>0</v>
      </c>
      <c r="HR575" s="1">
        <v>0</v>
      </c>
    </row>
    <row r="576" spans="2:226">
      <c r="B576" s="1">
        <f>10000000+INDEX(编号表!$B$1:$B$112,MATCH(D576,编号表!$A$1:$A$112,0))*10000+I576</f>
        <v>10800004</v>
      </c>
      <c r="C576" s="1" t="s">
        <v>520</v>
      </c>
      <c r="D576" s="1" t="s">
        <v>520</v>
      </c>
      <c r="E576" s="1" t="s">
        <v>469</v>
      </c>
      <c r="F576" s="1" t="s">
        <v>451</v>
      </c>
      <c r="G576" s="1">
        <v>1</v>
      </c>
      <c r="H576" s="1" t="b">
        <v>0</v>
      </c>
      <c r="I576" s="1">
        <v>4</v>
      </c>
      <c r="J576" s="1">
        <v>108000</v>
      </c>
      <c r="K576" s="1" t="s">
        <v>350</v>
      </c>
      <c r="L576" s="1">
        <v>10800003</v>
      </c>
      <c r="M576" s="1">
        <v>10800005</v>
      </c>
      <c r="N576" s="1" t="s">
        <v>521</v>
      </c>
      <c r="O576" s="1">
        <v>10902023</v>
      </c>
      <c r="P576" s="1">
        <v>0</v>
      </c>
      <c r="Q576" s="1">
        <v>0</v>
      </c>
      <c r="R576" s="1">
        <v>1</v>
      </c>
      <c r="T576" s="1">
        <v>100</v>
      </c>
      <c r="AY576" s="1" t="s">
        <v>449</v>
      </c>
      <c r="AZ576" s="1">
        <v>0</v>
      </c>
      <c r="GX576" s="1">
        <v>0</v>
      </c>
      <c r="GY576" s="1">
        <v>0</v>
      </c>
      <c r="GZ576" s="1" t="s">
        <v>449</v>
      </c>
      <c r="HA576" s="1">
        <v>0</v>
      </c>
      <c r="HD576" s="1">
        <v>0</v>
      </c>
      <c r="HF576" s="1">
        <v>0</v>
      </c>
      <c r="HG576" s="1">
        <v>0</v>
      </c>
      <c r="HH576" s="1">
        <v>0</v>
      </c>
      <c r="HI576" s="1">
        <v>0</v>
      </c>
      <c r="HJ576" s="1">
        <v>0</v>
      </c>
      <c r="HK576" s="1" t="b">
        <v>0</v>
      </c>
      <c r="HM576" s="1">
        <v>0</v>
      </c>
      <c r="HO576" s="1" t="s">
        <v>360</v>
      </c>
      <c r="HP576" s="1">
        <v>0</v>
      </c>
      <c r="HQ576" s="1">
        <v>0</v>
      </c>
      <c r="HR576" s="1">
        <v>0</v>
      </c>
    </row>
    <row r="577" spans="2:226">
      <c r="B577" s="1">
        <f>10000000+INDEX(编号表!$B$1:$B$112,MATCH(D577,编号表!$A$1:$A$112,0))*10000+I577</f>
        <v>10800005</v>
      </c>
      <c r="C577" s="1" t="s">
        <v>520</v>
      </c>
      <c r="D577" s="1" t="s">
        <v>520</v>
      </c>
      <c r="E577" s="1" t="s">
        <v>469</v>
      </c>
      <c r="F577" s="1" t="s">
        <v>451</v>
      </c>
      <c r="G577" s="1">
        <v>1</v>
      </c>
      <c r="H577" s="1" t="b">
        <v>0</v>
      </c>
      <c r="I577" s="1">
        <v>5</v>
      </c>
      <c r="J577" s="1">
        <v>108000</v>
      </c>
      <c r="K577" s="1" t="s">
        <v>350</v>
      </c>
      <c r="L577" s="1">
        <v>10800004</v>
      </c>
      <c r="M577" s="1">
        <v>10800006</v>
      </c>
      <c r="N577" s="1" t="s">
        <v>521</v>
      </c>
      <c r="O577" s="1">
        <v>10902023</v>
      </c>
      <c r="P577" s="1">
        <v>0</v>
      </c>
      <c r="Q577" s="1">
        <v>0</v>
      </c>
      <c r="R577" s="1">
        <v>1</v>
      </c>
      <c r="T577" s="1">
        <v>100</v>
      </c>
      <c r="AY577" s="1" t="s">
        <v>449</v>
      </c>
      <c r="AZ577" s="1">
        <v>0</v>
      </c>
      <c r="GX577" s="1">
        <v>0</v>
      </c>
      <c r="GY577" s="1">
        <v>0</v>
      </c>
      <c r="GZ577" s="1" t="s">
        <v>449</v>
      </c>
      <c r="HA577" s="1">
        <v>0</v>
      </c>
      <c r="HD577" s="1">
        <v>0</v>
      </c>
      <c r="HF577" s="1">
        <v>0</v>
      </c>
      <c r="HG577" s="1">
        <v>0</v>
      </c>
      <c r="HH577" s="1">
        <v>0</v>
      </c>
      <c r="HI577" s="1">
        <v>0</v>
      </c>
      <c r="HJ577" s="1">
        <v>0</v>
      </c>
      <c r="HK577" s="1" t="b">
        <v>0</v>
      </c>
      <c r="HM577" s="1">
        <v>0</v>
      </c>
      <c r="HO577" s="1" t="s">
        <v>360</v>
      </c>
      <c r="HP577" s="1">
        <v>0</v>
      </c>
      <c r="HQ577" s="1">
        <v>0</v>
      </c>
      <c r="HR577" s="1">
        <v>0</v>
      </c>
    </row>
    <row r="578" spans="2:226">
      <c r="B578" s="1">
        <f>10000000+INDEX(编号表!$B$1:$B$112,MATCH(D578,编号表!$A$1:$A$112,0))*10000+I578</f>
        <v>10800006</v>
      </c>
      <c r="C578" s="1" t="s">
        <v>520</v>
      </c>
      <c r="D578" s="1" t="s">
        <v>520</v>
      </c>
      <c r="E578" s="1" t="s">
        <v>469</v>
      </c>
      <c r="F578" s="1" t="s">
        <v>451</v>
      </c>
      <c r="G578" s="1">
        <v>1</v>
      </c>
      <c r="H578" s="1" t="b">
        <v>0</v>
      </c>
      <c r="I578" s="1">
        <v>6</v>
      </c>
      <c r="J578" s="1">
        <v>108000</v>
      </c>
      <c r="K578" s="1" t="s">
        <v>350</v>
      </c>
      <c r="L578" s="1">
        <v>10800005</v>
      </c>
      <c r="M578" s="1">
        <v>10800007</v>
      </c>
      <c r="N578" s="1" t="s">
        <v>521</v>
      </c>
      <c r="O578" s="1">
        <v>10902023</v>
      </c>
      <c r="P578" s="1">
        <v>0</v>
      </c>
      <c r="Q578" s="1">
        <v>0</v>
      </c>
      <c r="R578" s="1">
        <v>1</v>
      </c>
      <c r="T578" s="1">
        <v>100</v>
      </c>
      <c r="AY578" s="1" t="s">
        <v>449</v>
      </c>
      <c r="AZ578" s="1">
        <v>0</v>
      </c>
      <c r="GX578" s="1">
        <v>0</v>
      </c>
      <c r="GY578" s="1">
        <v>0</v>
      </c>
      <c r="GZ578" s="1" t="s">
        <v>449</v>
      </c>
      <c r="HA578" s="1">
        <v>0</v>
      </c>
      <c r="HD578" s="1">
        <v>0</v>
      </c>
      <c r="HF578" s="1">
        <v>0</v>
      </c>
      <c r="HG578" s="1">
        <v>0</v>
      </c>
      <c r="HH578" s="1">
        <v>0</v>
      </c>
      <c r="HI578" s="1">
        <v>0</v>
      </c>
      <c r="HJ578" s="1">
        <v>0</v>
      </c>
      <c r="HK578" s="1" t="b">
        <v>0</v>
      </c>
      <c r="HM578" s="1">
        <v>0</v>
      </c>
      <c r="HO578" s="1" t="s">
        <v>360</v>
      </c>
      <c r="HP578" s="1">
        <v>0</v>
      </c>
      <c r="HQ578" s="1">
        <v>0</v>
      </c>
      <c r="HR578" s="1">
        <v>0</v>
      </c>
    </row>
    <row r="579" spans="2:226">
      <c r="B579" s="1">
        <f>10000000+INDEX(编号表!$B$1:$B$112,MATCH(D579,编号表!$A$1:$A$112,0))*10000+I579</f>
        <v>10800007</v>
      </c>
      <c r="C579" s="1" t="s">
        <v>520</v>
      </c>
      <c r="D579" s="1" t="s">
        <v>520</v>
      </c>
      <c r="E579" s="1" t="s">
        <v>469</v>
      </c>
      <c r="F579" s="1" t="s">
        <v>451</v>
      </c>
      <c r="G579" s="1">
        <v>1</v>
      </c>
      <c r="H579" s="1" t="b">
        <v>0</v>
      </c>
      <c r="I579" s="1">
        <v>7</v>
      </c>
      <c r="J579" s="1">
        <v>108000</v>
      </c>
      <c r="K579" s="1" t="s">
        <v>350</v>
      </c>
      <c r="L579" s="1">
        <v>10800006</v>
      </c>
      <c r="M579" s="1">
        <v>10800008</v>
      </c>
      <c r="N579" s="1" t="s">
        <v>521</v>
      </c>
      <c r="O579" s="1">
        <v>10902023</v>
      </c>
      <c r="P579" s="1">
        <v>0</v>
      </c>
      <c r="Q579" s="1">
        <v>0</v>
      </c>
      <c r="R579" s="1">
        <v>1</v>
      </c>
      <c r="T579" s="1">
        <v>100</v>
      </c>
      <c r="AY579" s="1" t="s">
        <v>449</v>
      </c>
      <c r="AZ579" s="1">
        <v>0</v>
      </c>
      <c r="GX579" s="1">
        <v>0</v>
      </c>
      <c r="GY579" s="1">
        <v>0</v>
      </c>
      <c r="GZ579" s="1" t="s">
        <v>449</v>
      </c>
      <c r="HA579" s="1">
        <v>0</v>
      </c>
      <c r="HD579" s="1">
        <v>0</v>
      </c>
      <c r="HF579" s="1">
        <v>0</v>
      </c>
      <c r="HG579" s="1">
        <v>0</v>
      </c>
      <c r="HH579" s="1">
        <v>0</v>
      </c>
      <c r="HI579" s="1">
        <v>0</v>
      </c>
      <c r="HJ579" s="1">
        <v>0</v>
      </c>
      <c r="HK579" s="1" t="b">
        <v>0</v>
      </c>
      <c r="HM579" s="1">
        <v>0</v>
      </c>
      <c r="HO579" s="1" t="s">
        <v>360</v>
      </c>
      <c r="HP579" s="1">
        <v>0</v>
      </c>
      <c r="HQ579" s="1">
        <v>0</v>
      </c>
      <c r="HR579" s="1">
        <v>0</v>
      </c>
    </row>
    <row r="580" spans="2:226">
      <c r="B580" s="1">
        <f>10000000+INDEX(编号表!$B$1:$B$112,MATCH(D580,编号表!$A$1:$A$112,0))*10000+I580</f>
        <v>10800008</v>
      </c>
      <c r="C580" s="1" t="s">
        <v>520</v>
      </c>
      <c r="D580" s="1" t="s">
        <v>520</v>
      </c>
      <c r="E580" s="1" t="s">
        <v>469</v>
      </c>
      <c r="F580" s="1" t="s">
        <v>451</v>
      </c>
      <c r="G580" s="1">
        <v>1</v>
      </c>
      <c r="H580" s="1" t="b">
        <v>0</v>
      </c>
      <c r="I580" s="1">
        <v>8</v>
      </c>
      <c r="J580" s="1">
        <v>108000</v>
      </c>
      <c r="K580" s="1" t="s">
        <v>350</v>
      </c>
      <c r="L580" s="1">
        <v>10800007</v>
      </c>
      <c r="M580" s="1">
        <v>10800009</v>
      </c>
      <c r="N580" s="1" t="s">
        <v>521</v>
      </c>
      <c r="O580" s="1">
        <v>10902023</v>
      </c>
      <c r="P580" s="1">
        <v>0</v>
      </c>
      <c r="Q580" s="1">
        <v>0</v>
      </c>
      <c r="R580" s="1">
        <v>1</v>
      </c>
      <c r="T580" s="1">
        <v>100</v>
      </c>
      <c r="AY580" s="1" t="s">
        <v>449</v>
      </c>
      <c r="AZ580" s="1">
        <v>0</v>
      </c>
      <c r="GX580" s="1">
        <v>0</v>
      </c>
      <c r="GY580" s="1">
        <v>0</v>
      </c>
      <c r="GZ580" s="1" t="s">
        <v>449</v>
      </c>
      <c r="HA580" s="1">
        <v>0</v>
      </c>
      <c r="HD580" s="1">
        <v>0</v>
      </c>
      <c r="HF580" s="1">
        <v>0</v>
      </c>
      <c r="HG580" s="1">
        <v>0</v>
      </c>
      <c r="HH580" s="1">
        <v>0</v>
      </c>
      <c r="HI580" s="1">
        <v>0</v>
      </c>
      <c r="HJ580" s="1">
        <v>0</v>
      </c>
      <c r="HK580" s="1" t="b">
        <v>0</v>
      </c>
      <c r="HM580" s="1">
        <v>0</v>
      </c>
      <c r="HO580" s="1" t="s">
        <v>360</v>
      </c>
      <c r="HP580" s="1">
        <v>0</v>
      </c>
      <c r="HQ580" s="1">
        <v>0</v>
      </c>
      <c r="HR580" s="1">
        <v>0</v>
      </c>
    </row>
    <row r="581" spans="2:226">
      <c r="B581" s="1">
        <f>10000000+INDEX(编号表!$B$1:$B$112,MATCH(D581,编号表!$A$1:$A$112,0))*10000+I581</f>
        <v>10800009</v>
      </c>
      <c r="C581" s="1" t="s">
        <v>520</v>
      </c>
      <c r="D581" s="1" t="s">
        <v>520</v>
      </c>
      <c r="E581" s="1" t="s">
        <v>469</v>
      </c>
      <c r="F581" s="1" t="s">
        <v>451</v>
      </c>
      <c r="G581" s="1">
        <v>1</v>
      </c>
      <c r="H581" s="1" t="b">
        <v>0</v>
      </c>
      <c r="I581" s="1">
        <v>9</v>
      </c>
      <c r="J581" s="1">
        <v>108000</v>
      </c>
      <c r="K581" s="1" t="s">
        <v>350</v>
      </c>
      <c r="L581" s="1">
        <v>10800008</v>
      </c>
      <c r="M581" s="1">
        <v>10800010</v>
      </c>
      <c r="N581" s="1" t="s">
        <v>521</v>
      </c>
      <c r="O581" s="1">
        <v>10902023</v>
      </c>
      <c r="P581" s="1">
        <v>0</v>
      </c>
      <c r="Q581" s="1">
        <v>0</v>
      </c>
      <c r="R581" s="1">
        <v>1</v>
      </c>
      <c r="T581" s="1">
        <v>100</v>
      </c>
      <c r="AY581" s="1" t="s">
        <v>449</v>
      </c>
      <c r="AZ581" s="1">
        <v>0</v>
      </c>
      <c r="GX581" s="1">
        <v>0</v>
      </c>
      <c r="GY581" s="1">
        <v>0</v>
      </c>
      <c r="GZ581" s="1" t="s">
        <v>449</v>
      </c>
      <c r="HA581" s="1">
        <v>0</v>
      </c>
      <c r="HD581" s="1">
        <v>0</v>
      </c>
      <c r="HF581" s="1">
        <v>0</v>
      </c>
      <c r="HG581" s="1">
        <v>0</v>
      </c>
      <c r="HH581" s="1">
        <v>0</v>
      </c>
      <c r="HI581" s="1">
        <v>0</v>
      </c>
      <c r="HJ581" s="1">
        <v>0</v>
      </c>
      <c r="HK581" s="1" t="b">
        <v>0</v>
      </c>
      <c r="HM581" s="1">
        <v>0</v>
      </c>
      <c r="HO581" s="1" t="s">
        <v>360</v>
      </c>
      <c r="HP581" s="1">
        <v>0</v>
      </c>
      <c r="HQ581" s="1">
        <v>0</v>
      </c>
      <c r="HR581" s="1">
        <v>0</v>
      </c>
    </row>
    <row r="582" spans="2:226">
      <c r="B582" s="1">
        <f>10000000+INDEX(编号表!$B$1:$B$112,MATCH(D582,编号表!$A$1:$A$112,0))*10000+I582</f>
        <v>10800010</v>
      </c>
      <c r="C582" s="1" t="s">
        <v>520</v>
      </c>
      <c r="D582" s="1" t="s">
        <v>520</v>
      </c>
      <c r="E582" s="1" t="s">
        <v>469</v>
      </c>
      <c r="F582" s="1" t="s">
        <v>451</v>
      </c>
      <c r="G582" s="1">
        <v>1</v>
      </c>
      <c r="H582" s="1" t="b">
        <v>0</v>
      </c>
      <c r="I582" s="1">
        <v>10</v>
      </c>
      <c r="J582" s="1">
        <v>108000</v>
      </c>
      <c r="K582" s="1" t="s">
        <v>350</v>
      </c>
      <c r="L582" s="1">
        <v>10800009</v>
      </c>
      <c r="N582" s="1" t="s">
        <v>521</v>
      </c>
      <c r="O582" s="1">
        <v>10902023</v>
      </c>
      <c r="P582" s="1">
        <v>0</v>
      </c>
      <c r="Q582" s="1">
        <v>0</v>
      </c>
      <c r="R582" s="1">
        <v>1</v>
      </c>
      <c r="T582" s="1">
        <v>100</v>
      </c>
      <c r="AY582" s="1" t="s">
        <v>449</v>
      </c>
      <c r="AZ582" s="1">
        <v>0</v>
      </c>
      <c r="GX582" s="1">
        <v>0</v>
      </c>
      <c r="GY582" s="1">
        <v>0</v>
      </c>
      <c r="GZ582" s="1" t="s">
        <v>449</v>
      </c>
      <c r="HA582" s="1">
        <v>0</v>
      </c>
      <c r="HD582" s="1">
        <v>0</v>
      </c>
      <c r="HF582" s="1">
        <v>0</v>
      </c>
      <c r="HG582" s="1">
        <v>0</v>
      </c>
      <c r="HH582" s="1">
        <v>0</v>
      </c>
      <c r="HI582" s="1">
        <v>0</v>
      </c>
      <c r="HJ582" s="1">
        <v>0</v>
      </c>
      <c r="HK582" s="1" t="b">
        <v>0</v>
      </c>
      <c r="HM582" s="1">
        <v>0</v>
      </c>
      <c r="HO582" s="1" t="s">
        <v>360</v>
      </c>
      <c r="HP582" s="1">
        <v>0</v>
      </c>
      <c r="HQ582" s="1">
        <v>0</v>
      </c>
      <c r="HR582" s="1">
        <v>0</v>
      </c>
    </row>
    <row r="583" spans="2:226">
      <c r="B583" s="1">
        <f>10000000+INDEX(编号表!$B$1:$B$112,MATCH(D583,编号表!$A$1:$A$112,0))*10000+I583</f>
        <v>10810001</v>
      </c>
      <c r="C583" s="1" t="s">
        <v>522</v>
      </c>
      <c r="D583" s="1" t="s">
        <v>522</v>
      </c>
      <c r="E583" s="1" t="s">
        <v>469</v>
      </c>
      <c r="F583" s="1" t="s">
        <v>454</v>
      </c>
      <c r="G583" s="1">
        <v>1</v>
      </c>
      <c r="H583" s="1" t="b">
        <v>0</v>
      </c>
      <c r="I583" s="1">
        <v>1</v>
      </c>
      <c r="J583" s="1">
        <v>108100</v>
      </c>
      <c r="K583" s="1" t="s">
        <v>350</v>
      </c>
      <c r="M583" s="1">
        <v>10810002</v>
      </c>
      <c r="N583" s="1" t="s">
        <v>523</v>
      </c>
      <c r="O583" s="1">
        <v>10902024</v>
      </c>
      <c r="P583" s="1">
        <v>0</v>
      </c>
      <c r="Q583" s="1">
        <v>0</v>
      </c>
      <c r="R583" s="1">
        <v>1</v>
      </c>
      <c r="T583" s="1">
        <v>100</v>
      </c>
      <c r="AY583" s="1" t="s">
        <v>449</v>
      </c>
      <c r="AZ583" s="1">
        <v>0</v>
      </c>
      <c r="GX583" s="1">
        <v>0</v>
      </c>
      <c r="GY583" s="1">
        <v>0</v>
      </c>
      <c r="GZ583" s="1" t="s">
        <v>449</v>
      </c>
      <c r="HA583" s="1">
        <v>0</v>
      </c>
      <c r="HD583" s="1">
        <v>0</v>
      </c>
      <c r="HF583" s="1">
        <v>0</v>
      </c>
      <c r="HG583" s="1">
        <v>0</v>
      </c>
      <c r="HH583" s="1">
        <v>0</v>
      </c>
      <c r="HI583" s="1">
        <v>0</v>
      </c>
      <c r="HJ583" s="1">
        <v>0</v>
      </c>
      <c r="HK583" s="1" t="b">
        <v>0</v>
      </c>
      <c r="HM583" s="1">
        <v>0</v>
      </c>
      <c r="HO583" s="1" t="s">
        <v>360</v>
      </c>
      <c r="HP583" s="1">
        <v>0</v>
      </c>
      <c r="HQ583" s="1">
        <v>0</v>
      </c>
      <c r="HR583" s="1">
        <v>0</v>
      </c>
    </row>
    <row r="584" spans="2:226">
      <c r="B584" s="1">
        <f>10000000+INDEX(编号表!$B$1:$B$112,MATCH(D584,编号表!$A$1:$A$112,0))*10000+I584</f>
        <v>10810002</v>
      </c>
      <c r="C584" s="1" t="s">
        <v>522</v>
      </c>
      <c r="D584" s="1" t="s">
        <v>522</v>
      </c>
      <c r="E584" s="1" t="s">
        <v>469</v>
      </c>
      <c r="F584" s="1" t="s">
        <v>454</v>
      </c>
      <c r="G584" s="1">
        <v>1</v>
      </c>
      <c r="H584" s="1" t="b">
        <v>0</v>
      </c>
      <c r="I584" s="1">
        <v>2</v>
      </c>
      <c r="J584" s="1">
        <v>108100</v>
      </c>
      <c r="K584" s="1" t="s">
        <v>350</v>
      </c>
      <c r="L584" s="1">
        <v>10810001</v>
      </c>
      <c r="M584" s="1">
        <v>10810003</v>
      </c>
      <c r="N584" s="1" t="s">
        <v>523</v>
      </c>
      <c r="O584" s="1">
        <v>10902024</v>
      </c>
      <c r="P584" s="1">
        <v>0</v>
      </c>
      <c r="Q584" s="1">
        <v>0</v>
      </c>
      <c r="R584" s="1">
        <v>1</v>
      </c>
      <c r="T584" s="1">
        <v>100</v>
      </c>
      <c r="AY584" s="1" t="s">
        <v>449</v>
      </c>
      <c r="AZ584" s="1">
        <v>0</v>
      </c>
      <c r="GX584" s="1">
        <v>0</v>
      </c>
      <c r="GY584" s="1">
        <v>0</v>
      </c>
      <c r="GZ584" s="1" t="s">
        <v>449</v>
      </c>
      <c r="HA584" s="1">
        <v>0</v>
      </c>
      <c r="HD584" s="1">
        <v>0</v>
      </c>
      <c r="HF584" s="1">
        <v>0</v>
      </c>
      <c r="HG584" s="1">
        <v>0</v>
      </c>
      <c r="HH584" s="1">
        <v>0</v>
      </c>
      <c r="HI584" s="1">
        <v>0</v>
      </c>
      <c r="HJ584" s="1">
        <v>0</v>
      </c>
      <c r="HK584" s="1" t="b">
        <v>0</v>
      </c>
      <c r="HM584" s="1">
        <v>0</v>
      </c>
      <c r="HO584" s="1" t="s">
        <v>360</v>
      </c>
      <c r="HP584" s="1">
        <v>0</v>
      </c>
      <c r="HQ584" s="1">
        <v>0</v>
      </c>
      <c r="HR584" s="1">
        <v>0</v>
      </c>
    </row>
    <row r="585" spans="2:226">
      <c r="B585" s="1">
        <f>10000000+INDEX(编号表!$B$1:$B$112,MATCH(D585,编号表!$A$1:$A$112,0))*10000+I585</f>
        <v>10810003</v>
      </c>
      <c r="C585" s="1" t="s">
        <v>522</v>
      </c>
      <c r="D585" s="1" t="s">
        <v>522</v>
      </c>
      <c r="E585" s="1" t="s">
        <v>469</v>
      </c>
      <c r="F585" s="1" t="s">
        <v>454</v>
      </c>
      <c r="G585" s="1">
        <v>1</v>
      </c>
      <c r="H585" s="1" t="b">
        <v>0</v>
      </c>
      <c r="I585" s="1">
        <v>3</v>
      </c>
      <c r="J585" s="1">
        <v>108100</v>
      </c>
      <c r="K585" s="1" t="s">
        <v>350</v>
      </c>
      <c r="L585" s="1">
        <v>10810002</v>
      </c>
      <c r="M585" s="1">
        <v>10810004</v>
      </c>
      <c r="N585" s="1" t="s">
        <v>523</v>
      </c>
      <c r="O585" s="1">
        <v>10902024</v>
      </c>
      <c r="P585" s="1">
        <v>0</v>
      </c>
      <c r="Q585" s="1">
        <v>0</v>
      </c>
      <c r="R585" s="1">
        <v>1</v>
      </c>
      <c r="T585" s="1">
        <v>100</v>
      </c>
      <c r="AY585" s="1" t="s">
        <v>449</v>
      </c>
      <c r="AZ585" s="1">
        <v>0</v>
      </c>
      <c r="GX585" s="1">
        <v>0</v>
      </c>
      <c r="GY585" s="1">
        <v>0</v>
      </c>
      <c r="GZ585" s="1" t="s">
        <v>449</v>
      </c>
      <c r="HA585" s="1">
        <v>0</v>
      </c>
      <c r="HD585" s="1">
        <v>0</v>
      </c>
      <c r="HF585" s="1">
        <v>0</v>
      </c>
      <c r="HG585" s="1">
        <v>0</v>
      </c>
      <c r="HH585" s="1">
        <v>0</v>
      </c>
      <c r="HI585" s="1">
        <v>0</v>
      </c>
      <c r="HJ585" s="1">
        <v>0</v>
      </c>
      <c r="HK585" s="1" t="b">
        <v>0</v>
      </c>
      <c r="HM585" s="1">
        <v>0</v>
      </c>
      <c r="HO585" s="1" t="s">
        <v>360</v>
      </c>
      <c r="HP585" s="1">
        <v>0</v>
      </c>
      <c r="HQ585" s="1">
        <v>0</v>
      </c>
      <c r="HR585" s="1">
        <v>0</v>
      </c>
    </row>
    <row r="586" spans="2:226">
      <c r="B586" s="1">
        <f>10000000+INDEX(编号表!$B$1:$B$112,MATCH(D586,编号表!$A$1:$A$112,0))*10000+I586</f>
        <v>10810004</v>
      </c>
      <c r="C586" s="1" t="s">
        <v>522</v>
      </c>
      <c r="D586" s="1" t="s">
        <v>522</v>
      </c>
      <c r="E586" s="1" t="s">
        <v>469</v>
      </c>
      <c r="F586" s="1" t="s">
        <v>454</v>
      </c>
      <c r="G586" s="1">
        <v>1</v>
      </c>
      <c r="H586" s="1" t="b">
        <v>0</v>
      </c>
      <c r="I586" s="1">
        <v>4</v>
      </c>
      <c r="J586" s="1">
        <v>108100</v>
      </c>
      <c r="K586" s="1" t="s">
        <v>350</v>
      </c>
      <c r="L586" s="1">
        <v>10810003</v>
      </c>
      <c r="M586" s="1">
        <v>10810005</v>
      </c>
      <c r="N586" s="1" t="s">
        <v>523</v>
      </c>
      <c r="O586" s="1">
        <v>10902024</v>
      </c>
      <c r="P586" s="1">
        <v>0</v>
      </c>
      <c r="Q586" s="1">
        <v>0</v>
      </c>
      <c r="R586" s="1">
        <v>1</v>
      </c>
      <c r="T586" s="1">
        <v>100</v>
      </c>
      <c r="AY586" s="1" t="s">
        <v>449</v>
      </c>
      <c r="AZ586" s="1">
        <v>0</v>
      </c>
      <c r="GX586" s="1">
        <v>0</v>
      </c>
      <c r="GY586" s="1">
        <v>0</v>
      </c>
      <c r="GZ586" s="1" t="s">
        <v>449</v>
      </c>
      <c r="HA586" s="1">
        <v>0</v>
      </c>
      <c r="HD586" s="1">
        <v>0</v>
      </c>
      <c r="HF586" s="1">
        <v>0</v>
      </c>
      <c r="HG586" s="1">
        <v>0</v>
      </c>
      <c r="HH586" s="1">
        <v>0</v>
      </c>
      <c r="HI586" s="1">
        <v>0</v>
      </c>
      <c r="HJ586" s="1">
        <v>0</v>
      </c>
      <c r="HK586" s="1" t="b">
        <v>0</v>
      </c>
      <c r="HM586" s="1">
        <v>0</v>
      </c>
      <c r="HO586" s="1" t="s">
        <v>360</v>
      </c>
      <c r="HP586" s="1">
        <v>0</v>
      </c>
      <c r="HQ586" s="1">
        <v>0</v>
      </c>
      <c r="HR586" s="1">
        <v>0</v>
      </c>
    </row>
    <row r="587" spans="2:226">
      <c r="B587" s="1">
        <f>10000000+INDEX(编号表!$B$1:$B$112,MATCH(D587,编号表!$A$1:$A$112,0))*10000+I587</f>
        <v>10810005</v>
      </c>
      <c r="C587" s="1" t="s">
        <v>522</v>
      </c>
      <c r="D587" s="1" t="s">
        <v>522</v>
      </c>
      <c r="E587" s="1" t="s">
        <v>469</v>
      </c>
      <c r="F587" s="1" t="s">
        <v>454</v>
      </c>
      <c r="G587" s="1">
        <v>1</v>
      </c>
      <c r="H587" s="1" t="b">
        <v>0</v>
      </c>
      <c r="I587" s="1">
        <v>5</v>
      </c>
      <c r="J587" s="1">
        <v>108100</v>
      </c>
      <c r="K587" s="1" t="s">
        <v>350</v>
      </c>
      <c r="L587" s="1">
        <v>10810004</v>
      </c>
      <c r="M587" s="1">
        <v>10810006</v>
      </c>
      <c r="N587" s="1" t="s">
        <v>523</v>
      </c>
      <c r="O587" s="1">
        <v>10902024</v>
      </c>
      <c r="P587" s="1">
        <v>0</v>
      </c>
      <c r="Q587" s="1">
        <v>0</v>
      </c>
      <c r="R587" s="1">
        <v>1</v>
      </c>
      <c r="T587" s="1">
        <v>100</v>
      </c>
      <c r="AY587" s="1" t="s">
        <v>449</v>
      </c>
      <c r="AZ587" s="1">
        <v>0</v>
      </c>
      <c r="GX587" s="1">
        <v>0</v>
      </c>
      <c r="GY587" s="1">
        <v>0</v>
      </c>
      <c r="GZ587" s="1" t="s">
        <v>449</v>
      </c>
      <c r="HA587" s="1">
        <v>0</v>
      </c>
      <c r="HD587" s="1">
        <v>0</v>
      </c>
      <c r="HF587" s="1">
        <v>0</v>
      </c>
      <c r="HG587" s="1">
        <v>0</v>
      </c>
      <c r="HH587" s="1">
        <v>0</v>
      </c>
      <c r="HI587" s="1">
        <v>0</v>
      </c>
      <c r="HJ587" s="1">
        <v>0</v>
      </c>
      <c r="HK587" s="1" t="b">
        <v>0</v>
      </c>
      <c r="HM587" s="1">
        <v>0</v>
      </c>
      <c r="HO587" s="1" t="s">
        <v>360</v>
      </c>
      <c r="HP587" s="1">
        <v>0</v>
      </c>
      <c r="HQ587" s="1">
        <v>0</v>
      </c>
      <c r="HR587" s="1">
        <v>0</v>
      </c>
    </row>
    <row r="588" spans="2:226">
      <c r="B588" s="1">
        <f>10000000+INDEX(编号表!$B$1:$B$112,MATCH(D588,编号表!$A$1:$A$112,0))*10000+I588</f>
        <v>10810006</v>
      </c>
      <c r="C588" s="1" t="s">
        <v>522</v>
      </c>
      <c r="D588" s="1" t="s">
        <v>522</v>
      </c>
      <c r="E588" s="1" t="s">
        <v>469</v>
      </c>
      <c r="F588" s="1" t="s">
        <v>454</v>
      </c>
      <c r="G588" s="1">
        <v>1</v>
      </c>
      <c r="H588" s="1" t="b">
        <v>0</v>
      </c>
      <c r="I588" s="1">
        <v>6</v>
      </c>
      <c r="J588" s="1">
        <v>108100</v>
      </c>
      <c r="K588" s="1" t="s">
        <v>350</v>
      </c>
      <c r="L588" s="1">
        <v>10810005</v>
      </c>
      <c r="M588" s="1">
        <v>10810007</v>
      </c>
      <c r="N588" s="1" t="s">
        <v>523</v>
      </c>
      <c r="O588" s="1">
        <v>10902024</v>
      </c>
      <c r="P588" s="1">
        <v>0</v>
      </c>
      <c r="Q588" s="1">
        <v>0</v>
      </c>
      <c r="R588" s="1">
        <v>1</v>
      </c>
      <c r="T588" s="1">
        <v>100</v>
      </c>
      <c r="AY588" s="1" t="s">
        <v>449</v>
      </c>
      <c r="AZ588" s="1">
        <v>0</v>
      </c>
      <c r="GX588" s="1">
        <v>0</v>
      </c>
      <c r="GY588" s="1">
        <v>0</v>
      </c>
      <c r="GZ588" s="1" t="s">
        <v>449</v>
      </c>
      <c r="HA588" s="1">
        <v>0</v>
      </c>
      <c r="HD588" s="1">
        <v>0</v>
      </c>
      <c r="HF588" s="1">
        <v>0</v>
      </c>
      <c r="HG588" s="1">
        <v>0</v>
      </c>
      <c r="HH588" s="1">
        <v>0</v>
      </c>
      <c r="HI588" s="1">
        <v>0</v>
      </c>
      <c r="HJ588" s="1">
        <v>0</v>
      </c>
      <c r="HK588" s="1" t="b">
        <v>0</v>
      </c>
      <c r="HM588" s="1">
        <v>0</v>
      </c>
      <c r="HO588" s="1" t="s">
        <v>360</v>
      </c>
      <c r="HP588" s="1">
        <v>0</v>
      </c>
      <c r="HQ588" s="1">
        <v>0</v>
      </c>
      <c r="HR588" s="1">
        <v>0</v>
      </c>
    </row>
    <row r="589" spans="2:226">
      <c r="B589" s="1">
        <f>10000000+INDEX(编号表!$B$1:$B$112,MATCH(D589,编号表!$A$1:$A$112,0))*10000+I589</f>
        <v>10810007</v>
      </c>
      <c r="C589" s="1" t="s">
        <v>522</v>
      </c>
      <c r="D589" s="1" t="s">
        <v>522</v>
      </c>
      <c r="E589" s="1" t="s">
        <v>469</v>
      </c>
      <c r="F589" s="1" t="s">
        <v>454</v>
      </c>
      <c r="G589" s="1">
        <v>1</v>
      </c>
      <c r="H589" s="1" t="b">
        <v>0</v>
      </c>
      <c r="I589" s="1">
        <v>7</v>
      </c>
      <c r="J589" s="1">
        <v>108100</v>
      </c>
      <c r="K589" s="1" t="s">
        <v>350</v>
      </c>
      <c r="L589" s="1">
        <v>10810006</v>
      </c>
      <c r="M589" s="1">
        <v>10810008</v>
      </c>
      <c r="N589" s="1" t="s">
        <v>523</v>
      </c>
      <c r="O589" s="1">
        <v>10902024</v>
      </c>
      <c r="P589" s="1">
        <v>0</v>
      </c>
      <c r="Q589" s="1">
        <v>0</v>
      </c>
      <c r="R589" s="1">
        <v>1</v>
      </c>
      <c r="T589" s="1">
        <v>100</v>
      </c>
      <c r="AY589" s="1" t="s">
        <v>449</v>
      </c>
      <c r="AZ589" s="1">
        <v>0</v>
      </c>
      <c r="GX589" s="1">
        <v>0</v>
      </c>
      <c r="GY589" s="1">
        <v>0</v>
      </c>
      <c r="GZ589" s="1" t="s">
        <v>449</v>
      </c>
      <c r="HA589" s="1">
        <v>0</v>
      </c>
      <c r="HD589" s="1">
        <v>0</v>
      </c>
      <c r="HF589" s="1">
        <v>0</v>
      </c>
      <c r="HG589" s="1">
        <v>0</v>
      </c>
      <c r="HH589" s="1">
        <v>0</v>
      </c>
      <c r="HI589" s="1">
        <v>0</v>
      </c>
      <c r="HJ589" s="1">
        <v>0</v>
      </c>
      <c r="HK589" s="1" t="b">
        <v>0</v>
      </c>
      <c r="HM589" s="1">
        <v>0</v>
      </c>
      <c r="HO589" s="1" t="s">
        <v>360</v>
      </c>
      <c r="HP589" s="1">
        <v>0</v>
      </c>
      <c r="HQ589" s="1">
        <v>0</v>
      </c>
      <c r="HR589" s="1">
        <v>0</v>
      </c>
    </row>
    <row r="590" spans="2:226">
      <c r="B590" s="1">
        <f>10000000+INDEX(编号表!$B$1:$B$112,MATCH(D590,编号表!$A$1:$A$112,0))*10000+I590</f>
        <v>10810008</v>
      </c>
      <c r="C590" s="1" t="s">
        <v>522</v>
      </c>
      <c r="D590" s="1" t="s">
        <v>522</v>
      </c>
      <c r="E590" s="1" t="s">
        <v>469</v>
      </c>
      <c r="F590" s="1" t="s">
        <v>454</v>
      </c>
      <c r="G590" s="1">
        <v>1</v>
      </c>
      <c r="H590" s="1" t="b">
        <v>0</v>
      </c>
      <c r="I590" s="1">
        <v>8</v>
      </c>
      <c r="J590" s="1">
        <v>108100</v>
      </c>
      <c r="K590" s="1" t="s">
        <v>350</v>
      </c>
      <c r="L590" s="1">
        <v>10810007</v>
      </c>
      <c r="M590" s="1">
        <v>10810009</v>
      </c>
      <c r="N590" s="1" t="s">
        <v>523</v>
      </c>
      <c r="O590" s="1">
        <v>10902024</v>
      </c>
      <c r="P590" s="1">
        <v>0</v>
      </c>
      <c r="Q590" s="1">
        <v>0</v>
      </c>
      <c r="R590" s="1">
        <v>1</v>
      </c>
      <c r="T590" s="1">
        <v>100</v>
      </c>
      <c r="AY590" s="1" t="s">
        <v>449</v>
      </c>
      <c r="AZ590" s="1">
        <v>0</v>
      </c>
      <c r="GX590" s="1">
        <v>0</v>
      </c>
      <c r="GY590" s="1">
        <v>0</v>
      </c>
      <c r="GZ590" s="1" t="s">
        <v>449</v>
      </c>
      <c r="HA590" s="1">
        <v>0</v>
      </c>
      <c r="HD590" s="1">
        <v>0</v>
      </c>
      <c r="HF590" s="1">
        <v>0</v>
      </c>
      <c r="HG590" s="1">
        <v>0</v>
      </c>
      <c r="HH590" s="1">
        <v>0</v>
      </c>
      <c r="HI590" s="1">
        <v>0</v>
      </c>
      <c r="HJ590" s="1">
        <v>0</v>
      </c>
      <c r="HK590" s="1" t="b">
        <v>0</v>
      </c>
      <c r="HM590" s="1">
        <v>0</v>
      </c>
      <c r="HO590" s="1" t="s">
        <v>360</v>
      </c>
      <c r="HP590" s="1">
        <v>0</v>
      </c>
      <c r="HQ590" s="1">
        <v>0</v>
      </c>
      <c r="HR590" s="1">
        <v>0</v>
      </c>
    </row>
    <row r="591" spans="2:226">
      <c r="B591" s="1">
        <f>10000000+INDEX(编号表!$B$1:$B$112,MATCH(D591,编号表!$A$1:$A$112,0))*10000+I591</f>
        <v>10810009</v>
      </c>
      <c r="C591" s="1" t="s">
        <v>522</v>
      </c>
      <c r="D591" s="1" t="s">
        <v>522</v>
      </c>
      <c r="E591" s="1" t="s">
        <v>469</v>
      </c>
      <c r="F591" s="1" t="s">
        <v>454</v>
      </c>
      <c r="G591" s="1">
        <v>1</v>
      </c>
      <c r="H591" s="1" t="b">
        <v>0</v>
      </c>
      <c r="I591" s="1">
        <v>9</v>
      </c>
      <c r="J591" s="1">
        <v>108100</v>
      </c>
      <c r="K591" s="1" t="s">
        <v>350</v>
      </c>
      <c r="L591" s="1">
        <v>10810008</v>
      </c>
      <c r="M591" s="1">
        <v>10810010</v>
      </c>
      <c r="N591" s="1" t="s">
        <v>523</v>
      </c>
      <c r="O591" s="1">
        <v>10902024</v>
      </c>
      <c r="P591" s="1">
        <v>0</v>
      </c>
      <c r="Q591" s="1">
        <v>0</v>
      </c>
      <c r="R591" s="1">
        <v>1</v>
      </c>
      <c r="T591" s="1">
        <v>100</v>
      </c>
      <c r="AY591" s="1" t="s">
        <v>449</v>
      </c>
      <c r="AZ591" s="1">
        <v>0</v>
      </c>
      <c r="GX591" s="1">
        <v>0</v>
      </c>
      <c r="GY591" s="1">
        <v>0</v>
      </c>
      <c r="GZ591" s="1" t="s">
        <v>449</v>
      </c>
      <c r="HA591" s="1">
        <v>0</v>
      </c>
      <c r="HD591" s="1">
        <v>0</v>
      </c>
      <c r="HF591" s="1">
        <v>0</v>
      </c>
      <c r="HG591" s="1">
        <v>0</v>
      </c>
      <c r="HH591" s="1">
        <v>0</v>
      </c>
      <c r="HI591" s="1">
        <v>0</v>
      </c>
      <c r="HJ591" s="1">
        <v>0</v>
      </c>
      <c r="HK591" s="1" t="b">
        <v>0</v>
      </c>
      <c r="HM591" s="1">
        <v>0</v>
      </c>
      <c r="HO591" s="1" t="s">
        <v>360</v>
      </c>
      <c r="HP591" s="1">
        <v>0</v>
      </c>
      <c r="HQ591" s="1">
        <v>0</v>
      </c>
      <c r="HR591" s="1">
        <v>0</v>
      </c>
    </row>
    <row r="592" spans="2:226">
      <c r="B592" s="1">
        <f>10000000+INDEX(编号表!$B$1:$B$112,MATCH(D592,编号表!$A$1:$A$112,0))*10000+I592</f>
        <v>10810010</v>
      </c>
      <c r="C592" s="1" t="s">
        <v>522</v>
      </c>
      <c r="D592" s="1" t="s">
        <v>522</v>
      </c>
      <c r="E592" s="1" t="s">
        <v>469</v>
      </c>
      <c r="F592" s="1" t="s">
        <v>454</v>
      </c>
      <c r="G592" s="1">
        <v>1</v>
      </c>
      <c r="H592" s="1" t="b">
        <v>0</v>
      </c>
      <c r="I592" s="1">
        <v>10</v>
      </c>
      <c r="J592" s="1">
        <v>108100</v>
      </c>
      <c r="K592" s="1" t="s">
        <v>350</v>
      </c>
      <c r="L592" s="1">
        <v>10810009</v>
      </c>
      <c r="N592" s="1" t="s">
        <v>523</v>
      </c>
      <c r="O592" s="1">
        <v>10902024</v>
      </c>
      <c r="P592" s="1">
        <v>0</v>
      </c>
      <c r="Q592" s="1">
        <v>0</v>
      </c>
      <c r="R592" s="1">
        <v>1</v>
      </c>
      <c r="T592" s="1">
        <v>100</v>
      </c>
      <c r="AY592" s="1" t="s">
        <v>449</v>
      </c>
      <c r="AZ592" s="1">
        <v>0</v>
      </c>
      <c r="GX592" s="1">
        <v>0</v>
      </c>
      <c r="GY592" s="1">
        <v>0</v>
      </c>
      <c r="GZ592" s="1" t="s">
        <v>449</v>
      </c>
      <c r="HA592" s="1">
        <v>0</v>
      </c>
      <c r="HD592" s="1">
        <v>0</v>
      </c>
      <c r="HF592" s="1">
        <v>0</v>
      </c>
      <c r="HG592" s="1">
        <v>0</v>
      </c>
      <c r="HH592" s="1">
        <v>0</v>
      </c>
      <c r="HI592" s="1">
        <v>0</v>
      </c>
      <c r="HJ592" s="1">
        <v>0</v>
      </c>
      <c r="HK592" s="1" t="b">
        <v>0</v>
      </c>
      <c r="HM592" s="1">
        <v>0</v>
      </c>
      <c r="HO592" s="1" t="s">
        <v>360</v>
      </c>
      <c r="HP592" s="1">
        <v>0</v>
      </c>
      <c r="HQ592" s="1">
        <v>0</v>
      </c>
      <c r="HR592" s="1">
        <v>0</v>
      </c>
    </row>
    <row r="593" spans="2:226">
      <c r="B593" s="1">
        <f>10000000+INDEX(编号表!$B$1:$B$112,MATCH(D593,编号表!$A$1:$A$112,0))*10000+I593</f>
        <v>10820001</v>
      </c>
      <c r="C593" s="1" t="s">
        <v>524</v>
      </c>
      <c r="D593" s="1" t="s">
        <v>524</v>
      </c>
      <c r="E593" s="1" t="s">
        <v>469</v>
      </c>
      <c r="F593" s="1" t="s">
        <v>457</v>
      </c>
      <c r="G593" s="1">
        <v>1</v>
      </c>
      <c r="H593" s="1" t="b">
        <v>0</v>
      </c>
      <c r="I593" s="1">
        <v>1</v>
      </c>
      <c r="J593" s="1">
        <v>108200</v>
      </c>
      <c r="K593" s="1" t="s">
        <v>350</v>
      </c>
      <c r="M593" s="1">
        <v>10820002</v>
      </c>
      <c r="N593" s="1" t="s">
        <v>525</v>
      </c>
      <c r="O593" s="1">
        <v>10902025</v>
      </c>
      <c r="P593" s="1">
        <v>0</v>
      </c>
      <c r="Q593" s="1">
        <v>0</v>
      </c>
      <c r="R593" s="1">
        <v>1</v>
      </c>
      <c r="T593" s="1">
        <v>100</v>
      </c>
      <c r="AY593" s="1" t="s">
        <v>449</v>
      </c>
      <c r="AZ593" s="1">
        <v>0</v>
      </c>
      <c r="GX593" s="1">
        <v>0</v>
      </c>
      <c r="GY593" s="1">
        <v>0</v>
      </c>
      <c r="GZ593" s="1" t="s">
        <v>449</v>
      </c>
      <c r="HA593" s="1">
        <v>0</v>
      </c>
      <c r="HD593" s="1">
        <v>0</v>
      </c>
      <c r="HF593" s="1">
        <v>0</v>
      </c>
      <c r="HG593" s="1">
        <v>0</v>
      </c>
      <c r="HH593" s="1">
        <v>0</v>
      </c>
      <c r="HI593" s="1">
        <v>0</v>
      </c>
      <c r="HJ593" s="1">
        <v>0</v>
      </c>
      <c r="HK593" s="1" t="b">
        <v>0</v>
      </c>
      <c r="HM593" s="1">
        <v>0</v>
      </c>
      <c r="HO593" s="1" t="s">
        <v>360</v>
      </c>
      <c r="HP593" s="1">
        <v>0</v>
      </c>
      <c r="HQ593" s="1">
        <v>0</v>
      </c>
      <c r="HR593" s="1">
        <v>0</v>
      </c>
    </row>
    <row r="594" spans="2:226">
      <c r="B594" s="1">
        <f>10000000+INDEX(编号表!$B$1:$B$112,MATCH(D594,编号表!$A$1:$A$112,0))*10000+I594</f>
        <v>10820002</v>
      </c>
      <c r="C594" s="1" t="s">
        <v>524</v>
      </c>
      <c r="D594" s="1" t="s">
        <v>524</v>
      </c>
      <c r="E594" s="1" t="s">
        <v>469</v>
      </c>
      <c r="F594" s="1" t="s">
        <v>457</v>
      </c>
      <c r="G594" s="1">
        <v>1</v>
      </c>
      <c r="H594" s="1" t="b">
        <v>0</v>
      </c>
      <c r="I594" s="1">
        <v>2</v>
      </c>
      <c r="J594" s="1">
        <v>108200</v>
      </c>
      <c r="K594" s="1" t="s">
        <v>350</v>
      </c>
      <c r="L594" s="1">
        <v>10820001</v>
      </c>
      <c r="M594" s="1">
        <v>10820003</v>
      </c>
      <c r="N594" s="1" t="s">
        <v>525</v>
      </c>
      <c r="O594" s="1">
        <v>10902025</v>
      </c>
      <c r="P594" s="1">
        <v>0</v>
      </c>
      <c r="Q594" s="1">
        <v>0</v>
      </c>
      <c r="R594" s="1">
        <v>1</v>
      </c>
      <c r="T594" s="1">
        <v>100</v>
      </c>
      <c r="AY594" s="1" t="s">
        <v>449</v>
      </c>
      <c r="AZ594" s="1">
        <v>0</v>
      </c>
      <c r="GX594" s="1">
        <v>0</v>
      </c>
      <c r="GY594" s="1">
        <v>0</v>
      </c>
      <c r="GZ594" s="1" t="s">
        <v>449</v>
      </c>
      <c r="HA594" s="1">
        <v>0</v>
      </c>
      <c r="HD594" s="1">
        <v>0</v>
      </c>
      <c r="HF594" s="1">
        <v>0</v>
      </c>
      <c r="HG594" s="1">
        <v>0</v>
      </c>
      <c r="HH594" s="1">
        <v>0</v>
      </c>
      <c r="HI594" s="1">
        <v>0</v>
      </c>
      <c r="HJ594" s="1">
        <v>0</v>
      </c>
      <c r="HK594" s="1" t="b">
        <v>0</v>
      </c>
      <c r="HM594" s="1">
        <v>0</v>
      </c>
      <c r="HO594" s="1" t="s">
        <v>360</v>
      </c>
      <c r="HP594" s="1">
        <v>0</v>
      </c>
      <c r="HQ594" s="1">
        <v>0</v>
      </c>
      <c r="HR594" s="1">
        <v>0</v>
      </c>
    </row>
    <row r="595" spans="2:226">
      <c r="B595" s="1">
        <f>10000000+INDEX(编号表!$B$1:$B$112,MATCH(D595,编号表!$A$1:$A$112,0))*10000+I595</f>
        <v>10820003</v>
      </c>
      <c r="C595" s="1" t="s">
        <v>524</v>
      </c>
      <c r="D595" s="1" t="s">
        <v>524</v>
      </c>
      <c r="E595" s="1" t="s">
        <v>469</v>
      </c>
      <c r="F595" s="1" t="s">
        <v>457</v>
      </c>
      <c r="G595" s="1">
        <v>1</v>
      </c>
      <c r="H595" s="1" t="b">
        <v>0</v>
      </c>
      <c r="I595" s="1">
        <v>3</v>
      </c>
      <c r="J595" s="1">
        <v>108200</v>
      </c>
      <c r="K595" s="1" t="s">
        <v>350</v>
      </c>
      <c r="L595" s="1">
        <v>10820002</v>
      </c>
      <c r="M595" s="1">
        <v>10820004</v>
      </c>
      <c r="N595" s="1" t="s">
        <v>525</v>
      </c>
      <c r="O595" s="1">
        <v>10902025</v>
      </c>
      <c r="P595" s="1">
        <v>0</v>
      </c>
      <c r="Q595" s="1">
        <v>0</v>
      </c>
      <c r="R595" s="1">
        <v>1</v>
      </c>
      <c r="T595" s="1">
        <v>100</v>
      </c>
      <c r="AY595" s="1" t="s">
        <v>449</v>
      </c>
      <c r="AZ595" s="1">
        <v>0</v>
      </c>
      <c r="GX595" s="1">
        <v>0</v>
      </c>
      <c r="GY595" s="1">
        <v>0</v>
      </c>
      <c r="GZ595" s="1" t="s">
        <v>449</v>
      </c>
      <c r="HA595" s="1">
        <v>0</v>
      </c>
      <c r="HD595" s="1">
        <v>0</v>
      </c>
      <c r="HF595" s="1">
        <v>0</v>
      </c>
      <c r="HG595" s="1">
        <v>0</v>
      </c>
      <c r="HH595" s="1">
        <v>0</v>
      </c>
      <c r="HI595" s="1">
        <v>0</v>
      </c>
      <c r="HJ595" s="1">
        <v>0</v>
      </c>
      <c r="HK595" s="1" t="b">
        <v>0</v>
      </c>
      <c r="HM595" s="1">
        <v>0</v>
      </c>
      <c r="HO595" s="1" t="s">
        <v>360</v>
      </c>
      <c r="HP595" s="1">
        <v>0</v>
      </c>
      <c r="HQ595" s="1">
        <v>0</v>
      </c>
      <c r="HR595" s="1">
        <v>0</v>
      </c>
    </row>
    <row r="596" spans="2:226">
      <c r="B596" s="1">
        <f>10000000+INDEX(编号表!$B$1:$B$112,MATCH(D596,编号表!$A$1:$A$112,0))*10000+I596</f>
        <v>10820004</v>
      </c>
      <c r="C596" s="1" t="s">
        <v>524</v>
      </c>
      <c r="D596" s="1" t="s">
        <v>524</v>
      </c>
      <c r="E596" s="1" t="s">
        <v>469</v>
      </c>
      <c r="F596" s="1" t="s">
        <v>457</v>
      </c>
      <c r="G596" s="1">
        <v>1</v>
      </c>
      <c r="H596" s="1" t="b">
        <v>0</v>
      </c>
      <c r="I596" s="1">
        <v>4</v>
      </c>
      <c r="J596" s="1">
        <v>108200</v>
      </c>
      <c r="K596" s="1" t="s">
        <v>350</v>
      </c>
      <c r="L596" s="1">
        <v>10820003</v>
      </c>
      <c r="M596" s="1">
        <v>10820005</v>
      </c>
      <c r="N596" s="1" t="s">
        <v>525</v>
      </c>
      <c r="O596" s="1">
        <v>10902025</v>
      </c>
      <c r="P596" s="1">
        <v>0</v>
      </c>
      <c r="Q596" s="1">
        <v>0</v>
      </c>
      <c r="R596" s="1">
        <v>1</v>
      </c>
      <c r="T596" s="1">
        <v>100</v>
      </c>
      <c r="AY596" s="1" t="s">
        <v>449</v>
      </c>
      <c r="AZ596" s="1">
        <v>0</v>
      </c>
      <c r="GX596" s="1">
        <v>0</v>
      </c>
      <c r="GY596" s="1">
        <v>0</v>
      </c>
      <c r="GZ596" s="1" t="s">
        <v>449</v>
      </c>
      <c r="HA596" s="1">
        <v>0</v>
      </c>
      <c r="HD596" s="1">
        <v>0</v>
      </c>
      <c r="HF596" s="1">
        <v>0</v>
      </c>
      <c r="HG596" s="1">
        <v>0</v>
      </c>
      <c r="HH596" s="1">
        <v>0</v>
      </c>
      <c r="HI596" s="1">
        <v>0</v>
      </c>
      <c r="HJ596" s="1">
        <v>0</v>
      </c>
      <c r="HK596" s="1" t="b">
        <v>0</v>
      </c>
      <c r="HM596" s="1">
        <v>0</v>
      </c>
      <c r="HO596" s="1" t="s">
        <v>360</v>
      </c>
      <c r="HP596" s="1">
        <v>0</v>
      </c>
      <c r="HQ596" s="1">
        <v>0</v>
      </c>
      <c r="HR596" s="1">
        <v>0</v>
      </c>
    </row>
    <row r="597" spans="2:226">
      <c r="B597" s="1">
        <f>10000000+INDEX(编号表!$B$1:$B$112,MATCH(D597,编号表!$A$1:$A$112,0))*10000+I597</f>
        <v>10820005</v>
      </c>
      <c r="C597" s="1" t="s">
        <v>524</v>
      </c>
      <c r="D597" s="1" t="s">
        <v>524</v>
      </c>
      <c r="E597" s="1" t="s">
        <v>469</v>
      </c>
      <c r="F597" s="1" t="s">
        <v>457</v>
      </c>
      <c r="G597" s="1">
        <v>1</v>
      </c>
      <c r="H597" s="1" t="b">
        <v>0</v>
      </c>
      <c r="I597" s="1">
        <v>5</v>
      </c>
      <c r="J597" s="1">
        <v>108200</v>
      </c>
      <c r="K597" s="1" t="s">
        <v>350</v>
      </c>
      <c r="L597" s="1">
        <v>10820004</v>
      </c>
      <c r="M597" s="1">
        <v>10820006</v>
      </c>
      <c r="N597" s="1" t="s">
        <v>525</v>
      </c>
      <c r="O597" s="1">
        <v>10902025</v>
      </c>
      <c r="P597" s="1">
        <v>0</v>
      </c>
      <c r="Q597" s="1">
        <v>0</v>
      </c>
      <c r="R597" s="1">
        <v>1</v>
      </c>
      <c r="T597" s="1">
        <v>100</v>
      </c>
      <c r="AY597" s="1" t="s">
        <v>449</v>
      </c>
      <c r="AZ597" s="1">
        <v>0</v>
      </c>
      <c r="GX597" s="1">
        <v>0</v>
      </c>
      <c r="GY597" s="1">
        <v>0</v>
      </c>
      <c r="GZ597" s="1" t="s">
        <v>449</v>
      </c>
      <c r="HA597" s="1">
        <v>0</v>
      </c>
      <c r="HD597" s="1">
        <v>0</v>
      </c>
      <c r="HF597" s="1">
        <v>0</v>
      </c>
      <c r="HG597" s="1">
        <v>0</v>
      </c>
      <c r="HH597" s="1">
        <v>0</v>
      </c>
      <c r="HI597" s="1">
        <v>0</v>
      </c>
      <c r="HJ597" s="1">
        <v>0</v>
      </c>
      <c r="HK597" s="1" t="b">
        <v>0</v>
      </c>
      <c r="HM597" s="1">
        <v>0</v>
      </c>
      <c r="HO597" s="1" t="s">
        <v>360</v>
      </c>
      <c r="HP597" s="1">
        <v>0</v>
      </c>
      <c r="HQ597" s="1">
        <v>0</v>
      </c>
      <c r="HR597" s="1">
        <v>0</v>
      </c>
    </row>
    <row r="598" spans="2:226">
      <c r="B598" s="1">
        <f>10000000+INDEX(编号表!$B$1:$B$112,MATCH(D598,编号表!$A$1:$A$112,0))*10000+I598</f>
        <v>10820006</v>
      </c>
      <c r="C598" s="1" t="s">
        <v>524</v>
      </c>
      <c r="D598" s="1" t="s">
        <v>524</v>
      </c>
      <c r="E598" s="1" t="s">
        <v>469</v>
      </c>
      <c r="F598" s="1" t="s">
        <v>457</v>
      </c>
      <c r="G598" s="1">
        <v>1</v>
      </c>
      <c r="H598" s="1" t="b">
        <v>0</v>
      </c>
      <c r="I598" s="1">
        <v>6</v>
      </c>
      <c r="J598" s="1">
        <v>108200</v>
      </c>
      <c r="K598" s="1" t="s">
        <v>350</v>
      </c>
      <c r="L598" s="1">
        <v>10820005</v>
      </c>
      <c r="M598" s="1">
        <v>10820007</v>
      </c>
      <c r="N598" s="1" t="s">
        <v>525</v>
      </c>
      <c r="O598" s="1">
        <v>10902025</v>
      </c>
      <c r="P598" s="1">
        <v>0</v>
      </c>
      <c r="Q598" s="1">
        <v>0</v>
      </c>
      <c r="R598" s="1">
        <v>1</v>
      </c>
      <c r="T598" s="1">
        <v>100</v>
      </c>
      <c r="AY598" s="1" t="s">
        <v>449</v>
      </c>
      <c r="AZ598" s="1">
        <v>0</v>
      </c>
      <c r="GX598" s="1">
        <v>0</v>
      </c>
      <c r="GY598" s="1">
        <v>0</v>
      </c>
      <c r="GZ598" s="1" t="s">
        <v>449</v>
      </c>
      <c r="HA598" s="1">
        <v>0</v>
      </c>
      <c r="HD598" s="1">
        <v>0</v>
      </c>
      <c r="HF598" s="1">
        <v>0</v>
      </c>
      <c r="HG598" s="1">
        <v>0</v>
      </c>
      <c r="HH598" s="1">
        <v>0</v>
      </c>
      <c r="HI598" s="1">
        <v>0</v>
      </c>
      <c r="HJ598" s="1">
        <v>0</v>
      </c>
      <c r="HK598" s="1" t="b">
        <v>0</v>
      </c>
      <c r="HM598" s="1">
        <v>0</v>
      </c>
      <c r="HO598" s="1" t="s">
        <v>360</v>
      </c>
      <c r="HP598" s="1">
        <v>0</v>
      </c>
      <c r="HQ598" s="1">
        <v>0</v>
      </c>
      <c r="HR598" s="1">
        <v>0</v>
      </c>
    </row>
    <row r="599" spans="2:226">
      <c r="B599" s="1">
        <f>10000000+INDEX(编号表!$B$1:$B$112,MATCH(D599,编号表!$A$1:$A$112,0))*10000+I599</f>
        <v>10820007</v>
      </c>
      <c r="C599" s="1" t="s">
        <v>524</v>
      </c>
      <c r="D599" s="1" t="s">
        <v>524</v>
      </c>
      <c r="E599" s="1" t="s">
        <v>469</v>
      </c>
      <c r="F599" s="1" t="s">
        <v>457</v>
      </c>
      <c r="G599" s="1">
        <v>1</v>
      </c>
      <c r="H599" s="1" t="b">
        <v>0</v>
      </c>
      <c r="I599" s="1">
        <v>7</v>
      </c>
      <c r="J599" s="1">
        <v>108200</v>
      </c>
      <c r="K599" s="1" t="s">
        <v>350</v>
      </c>
      <c r="L599" s="1">
        <v>10820006</v>
      </c>
      <c r="M599" s="1">
        <v>10820008</v>
      </c>
      <c r="N599" s="1" t="s">
        <v>525</v>
      </c>
      <c r="O599" s="1">
        <v>10902025</v>
      </c>
      <c r="P599" s="1">
        <v>0</v>
      </c>
      <c r="Q599" s="1">
        <v>0</v>
      </c>
      <c r="R599" s="1">
        <v>1</v>
      </c>
      <c r="T599" s="1">
        <v>100</v>
      </c>
      <c r="AY599" s="1" t="s">
        <v>449</v>
      </c>
      <c r="AZ599" s="1">
        <v>0</v>
      </c>
      <c r="GX599" s="1">
        <v>0</v>
      </c>
      <c r="GY599" s="1">
        <v>0</v>
      </c>
      <c r="GZ599" s="1" t="s">
        <v>449</v>
      </c>
      <c r="HA599" s="1">
        <v>0</v>
      </c>
      <c r="HD599" s="1">
        <v>0</v>
      </c>
      <c r="HF599" s="1">
        <v>0</v>
      </c>
      <c r="HG599" s="1">
        <v>0</v>
      </c>
      <c r="HH599" s="1">
        <v>0</v>
      </c>
      <c r="HI599" s="1">
        <v>0</v>
      </c>
      <c r="HJ599" s="1">
        <v>0</v>
      </c>
      <c r="HK599" s="1" t="b">
        <v>0</v>
      </c>
      <c r="HM599" s="1">
        <v>0</v>
      </c>
      <c r="HO599" s="1" t="s">
        <v>360</v>
      </c>
      <c r="HP599" s="1">
        <v>0</v>
      </c>
      <c r="HQ599" s="1">
        <v>0</v>
      </c>
      <c r="HR599" s="1">
        <v>0</v>
      </c>
    </row>
    <row r="600" spans="2:226">
      <c r="B600" s="1">
        <f>10000000+INDEX(编号表!$B$1:$B$112,MATCH(D600,编号表!$A$1:$A$112,0))*10000+I600</f>
        <v>10820008</v>
      </c>
      <c r="C600" s="1" t="s">
        <v>524</v>
      </c>
      <c r="D600" s="1" t="s">
        <v>524</v>
      </c>
      <c r="E600" s="1" t="s">
        <v>469</v>
      </c>
      <c r="F600" s="1" t="s">
        <v>457</v>
      </c>
      <c r="G600" s="1">
        <v>1</v>
      </c>
      <c r="H600" s="1" t="b">
        <v>0</v>
      </c>
      <c r="I600" s="1">
        <v>8</v>
      </c>
      <c r="J600" s="1">
        <v>108200</v>
      </c>
      <c r="K600" s="1" t="s">
        <v>350</v>
      </c>
      <c r="L600" s="1">
        <v>10820007</v>
      </c>
      <c r="M600" s="1">
        <v>10820009</v>
      </c>
      <c r="N600" s="1" t="s">
        <v>525</v>
      </c>
      <c r="O600" s="1">
        <v>10902025</v>
      </c>
      <c r="P600" s="1">
        <v>0</v>
      </c>
      <c r="Q600" s="1">
        <v>0</v>
      </c>
      <c r="R600" s="1">
        <v>1</v>
      </c>
      <c r="T600" s="1">
        <v>100</v>
      </c>
      <c r="AY600" s="1" t="s">
        <v>449</v>
      </c>
      <c r="AZ600" s="1">
        <v>0</v>
      </c>
      <c r="GX600" s="1">
        <v>0</v>
      </c>
      <c r="GY600" s="1">
        <v>0</v>
      </c>
      <c r="GZ600" s="1" t="s">
        <v>449</v>
      </c>
      <c r="HA600" s="1">
        <v>0</v>
      </c>
      <c r="HD600" s="1">
        <v>0</v>
      </c>
      <c r="HF600" s="1">
        <v>0</v>
      </c>
      <c r="HG600" s="1">
        <v>0</v>
      </c>
      <c r="HH600" s="1">
        <v>0</v>
      </c>
      <c r="HI600" s="1">
        <v>0</v>
      </c>
      <c r="HJ600" s="1">
        <v>0</v>
      </c>
      <c r="HK600" s="1" t="b">
        <v>0</v>
      </c>
      <c r="HM600" s="1">
        <v>0</v>
      </c>
      <c r="HO600" s="1" t="s">
        <v>360</v>
      </c>
      <c r="HP600" s="1">
        <v>0</v>
      </c>
      <c r="HQ600" s="1">
        <v>0</v>
      </c>
      <c r="HR600" s="1">
        <v>0</v>
      </c>
    </row>
    <row r="601" spans="2:226">
      <c r="B601" s="1">
        <f>10000000+INDEX(编号表!$B$1:$B$112,MATCH(D601,编号表!$A$1:$A$112,0))*10000+I601</f>
        <v>10820009</v>
      </c>
      <c r="C601" s="1" t="s">
        <v>524</v>
      </c>
      <c r="D601" s="1" t="s">
        <v>524</v>
      </c>
      <c r="E601" s="1" t="s">
        <v>469</v>
      </c>
      <c r="F601" s="1" t="s">
        <v>457</v>
      </c>
      <c r="G601" s="1">
        <v>1</v>
      </c>
      <c r="H601" s="1" t="b">
        <v>0</v>
      </c>
      <c r="I601" s="1">
        <v>9</v>
      </c>
      <c r="J601" s="1">
        <v>108200</v>
      </c>
      <c r="K601" s="1" t="s">
        <v>350</v>
      </c>
      <c r="L601" s="1">
        <v>10820008</v>
      </c>
      <c r="M601" s="1">
        <v>10820010</v>
      </c>
      <c r="N601" s="1" t="s">
        <v>525</v>
      </c>
      <c r="O601" s="1">
        <v>10902025</v>
      </c>
      <c r="P601" s="1">
        <v>0</v>
      </c>
      <c r="Q601" s="1">
        <v>0</v>
      </c>
      <c r="R601" s="1">
        <v>1</v>
      </c>
      <c r="T601" s="1">
        <v>100</v>
      </c>
      <c r="AY601" s="1" t="s">
        <v>449</v>
      </c>
      <c r="AZ601" s="1">
        <v>0</v>
      </c>
      <c r="GX601" s="1">
        <v>0</v>
      </c>
      <c r="GY601" s="1">
        <v>0</v>
      </c>
      <c r="GZ601" s="1" t="s">
        <v>449</v>
      </c>
      <c r="HA601" s="1">
        <v>0</v>
      </c>
      <c r="HD601" s="1">
        <v>0</v>
      </c>
      <c r="HF601" s="1">
        <v>0</v>
      </c>
      <c r="HG601" s="1">
        <v>0</v>
      </c>
      <c r="HH601" s="1">
        <v>0</v>
      </c>
      <c r="HI601" s="1">
        <v>0</v>
      </c>
      <c r="HJ601" s="1">
        <v>0</v>
      </c>
      <c r="HK601" s="1" t="b">
        <v>0</v>
      </c>
      <c r="HM601" s="1">
        <v>0</v>
      </c>
      <c r="HO601" s="1" t="s">
        <v>360</v>
      </c>
      <c r="HP601" s="1">
        <v>0</v>
      </c>
      <c r="HQ601" s="1">
        <v>0</v>
      </c>
      <c r="HR601" s="1">
        <v>0</v>
      </c>
    </row>
    <row r="602" spans="2:226">
      <c r="B602" s="1">
        <f>10000000+INDEX(编号表!$B$1:$B$112,MATCH(D602,编号表!$A$1:$A$112,0))*10000+I602</f>
        <v>10820010</v>
      </c>
      <c r="C602" s="1" t="s">
        <v>524</v>
      </c>
      <c r="D602" s="1" t="s">
        <v>524</v>
      </c>
      <c r="E602" s="1" t="s">
        <v>469</v>
      </c>
      <c r="F602" s="1" t="s">
        <v>457</v>
      </c>
      <c r="G602" s="1">
        <v>1</v>
      </c>
      <c r="H602" s="1" t="b">
        <v>0</v>
      </c>
      <c r="I602" s="1">
        <v>10</v>
      </c>
      <c r="J602" s="1">
        <v>108200</v>
      </c>
      <c r="K602" s="1" t="s">
        <v>350</v>
      </c>
      <c r="L602" s="1">
        <v>10820009</v>
      </c>
      <c r="N602" s="1" t="s">
        <v>525</v>
      </c>
      <c r="O602" s="1">
        <v>10902025</v>
      </c>
      <c r="P602" s="1">
        <v>0</v>
      </c>
      <c r="Q602" s="1">
        <v>0</v>
      </c>
      <c r="R602" s="1">
        <v>1</v>
      </c>
      <c r="T602" s="1">
        <v>100</v>
      </c>
      <c r="AY602" s="1" t="s">
        <v>449</v>
      </c>
      <c r="AZ602" s="1">
        <v>0</v>
      </c>
      <c r="GX602" s="1">
        <v>0</v>
      </c>
      <c r="GY602" s="1">
        <v>0</v>
      </c>
      <c r="GZ602" s="1" t="s">
        <v>449</v>
      </c>
      <c r="HA602" s="1">
        <v>0</v>
      </c>
      <c r="HD602" s="1">
        <v>0</v>
      </c>
      <c r="HF602" s="1">
        <v>0</v>
      </c>
      <c r="HG602" s="1">
        <v>0</v>
      </c>
      <c r="HH602" s="1">
        <v>0</v>
      </c>
      <c r="HI602" s="1">
        <v>0</v>
      </c>
      <c r="HJ602" s="1">
        <v>0</v>
      </c>
      <c r="HK602" s="1" t="b">
        <v>0</v>
      </c>
      <c r="HM602" s="1">
        <v>0</v>
      </c>
      <c r="HO602" s="1" t="s">
        <v>360</v>
      </c>
      <c r="HP602" s="1">
        <v>0</v>
      </c>
      <c r="HQ602" s="1">
        <v>0</v>
      </c>
      <c r="HR602" s="1">
        <v>0</v>
      </c>
    </row>
    <row r="603" spans="2:226">
      <c r="B603" s="1">
        <f>10000000+INDEX(编号表!$B$1:$B$112,MATCH(D603,编号表!$A$1:$A$112,0))*10000+I603</f>
        <v>10830001</v>
      </c>
      <c r="C603" s="1" t="s">
        <v>526</v>
      </c>
      <c r="D603" s="1" t="s">
        <v>526</v>
      </c>
      <c r="E603" s="1" t="s">
        <v>469</v>
      </c>
      <c r="F603" s="1" t="s">
        <v>460</v>
      </c>
      <c r="G603" s="1">
        <v>1</v>
      </c>
      <c r="H603" s="1" t="b">
        <v>0</v>
      </c>
      <c r="I603" s="1">
        <v>1</v>
      </c>
      <c r="J603" s="1">
        <v>108300</v>
      </c>
      <c r="K603" s="1" t="s">
        <v>350</v>
      </c>
      <c r="M603" s="1">
        <v>10830002</v>
      </c>
      <c r="N603" s="1" t="s">
        <v>527</v>
      </c>
      <c r="O603" s="1">
        <v>10902026</v>
      </c>
      <c r="P603" s="1">
        <v>0</v>
      </c>
      <c r="Q603" s="1">
        <v>0</v>
      </c>
      <c r="R603" s="1">
        <v>1</v>
      </c>
      <c r="T603" s="1">
        <v>100</v>
      </c>
      <c r="AY603" s="1" t="s">
        <v>449</v>
      </c>
      <c r="AZ603" s="1">
        <v>0</v>
      </c>
      <c r="GX603" s="1">
        <v>0</v>
      </c>
      <c r="GY603" s="1">
        <v>0</v>
      </c>
      <c r="GZ603" s="1" t="s">
        <v>449</v>
      </c>
      <c r="HA603" s="1">
        <v>0</v>
      </c>
      <c r="HD603" s="1">
        <v>0</v>
      </c>
      <c r="HF603" s="1">
        <v>0</v>
      </c>
      <c r="HG603" s="1">
        <v>0</v>
      </c>
      <c r="HH603" s="1">
        <v>0</v>
      </c>
      <c r="HI603" s="1">
        <v>0</v>
      </c>
      <c r="HJ603" s="1">
        <v>0</v>
      </c>
      <c r="HK603" s="1" t="b">
        <v>0</v>
      </c>
      <c r="HM603" s="1">
        <v>0</v>
      </c>
      <c r="HO603" s="1" t="s">
        <v>360</v>
      </c>
      <c r="HP603" s="1">
        <v>0</v>
      </c>
      <c r="HQ603" s="1">
        <v>0</v>
      </c>
      <c r="HR603" s="1">
        <v>0</v>
      </c>
    </row>
    <row r="604" spans="2:226">
      <c r="B604" s="1">
        <f>10000000+INDEX(编号表!$B$1:$B$112,MATCH(D604,编号表!$A$1:$A$112,0))*10000+I604</f>
        <v>10830002</v>
      </c>
      <c r="C604" s="1" t="s">
        <v>526</v>
      </c>
      <c r="D604" s="1" t="s">
        <v>526</v>
      </c>
      <c r="E604" s="1" t="s">
        <v>469</v>
      </c>
      <c r="F604" s="1" t="s">
        <v>460</v>
      </c>
      <c r="G604" s="1">
        <v>1</v>
      </c>
      <c r="H604" s="1" t="b">
        <v>0</v>
      </c>
      <c r="I604" s="1">
        <v>2</v>
      </c>
      <c r="J604" s="1">
        <v>108300</v>
      </c>
      <c r="K604" s="1" t="s">
        <v>350</v>
      </c>
      <c r="L604" s="1">
        <v>10830001</v>
      </c>
      <c r="M604" s="1">
        <v>10830003</v>
      </c>
      <c r="N604" s="1" t="s">
        <v>527</v>
      </c>
      <c r="O604" s="1">
        <v>10902026</v>
      </c>
      <c r="P604" s="1">
        <v>0</v>
      </c>
      <c r="Q604" s="1">
        <v>0</v>
      </c>
      <c r="R604" s="1">
        <v>1</v>
      </c>
      <c r="T604" s="1">
        <v>100</v>
      </c>
      <c r="AY604" s="1" t="s">
        <v>449</v>
      </c>
      <c r="AZ604" s="1">
        <v>0</v>
      </c>
      <c r="GX604" s="1">
        <v>0</v>
      </c>
      <c r="GY604" s="1">
        <v>0</v>
      </c>
      <c r="GZ604" s="1" t="s">
        <v>449</v>
      </c>
      <c r="HA604" s="1">
        <v>0</v>
      </c>
      <c r="HD604" s="1">
        <v>0</v>
      </c>
      <c r="HF604" s="1">
        <v>0</v>
      </c>
      <c r="HG604" s="1">
        <v>0</v>
      </c>
      <c r="HH604" s="1">
        <v>0</v>
      </c>
      <c r="HI604" s="1">
        <v>0</v>
      </c>
      <c r="HJ604" s="1">
        <v>0</v>
      </c>
      <c r="HK604" s="1" t="b">
        <v>0</v>
      </c>
      <c r="HM604" s="1">
        <v>0</v>
      </c>
      <c r="HO604" s="1" t="s">
        <v>360</v>
      </c>
      <c r="HP604" s="1">
        <v>0</v>
      </c>
      <c r="HQ604" s="1">
        <v>0</v>
      </c>
      <c r="HR604" s="1">
        <v>0</v>
      </c>
    </row>
    <row r="605" spans="2:226">
      <c r="B605" s="1">
        <f>10000000+INDEX(编号表!$B$1:$B$112,MATCH(D605,编号表!$A$1:$A$112,0))*10000+I605</f>
        <v>10830003</v>
      </c>
      <c r="C605" s="1" t="s">
        <v>526</v>
      </c>
      <c r="D605" s="1" t="s">
        <v>526</v>
      </c>
      <c r="E605" s="1" t="s">
        <v>469</v>
      </c>
      <c r="F605" s="1" t="s">
        <v>460</v>
      </c>
      <c r="G605" s="1">
        <v>1</v>
      </c>
      <c r="H605" s="1" t="b">
        <v>0</v>
      </c>
      <c r="I605" s="1">
        <v>3</v>
      </c>
      <c r="J605" s="1">
        <v>108300</v>
      </c>
      <c r="K605" s="1" t="s">
        <v>350</v>
      </c>
      <c r="L605" s="1">
        <v>10830002</v>
      </c>
      <c r="M605" s="1">
        <v>10830004</v>
      </c>
      <c r="N605" s="1" t="s">
        <v>527</v>
      </c>
      <c r="O605" s="1">
        <v>10902026</v>
      </c>
      <c r="P605" s="1">
        <v>0</v>
      </c>
      <c r="Q605" s="1">
        <v>0</v>
      </c>
      <c r="R605" s="1">
        <v>1</v>
      </c>
      <c r="T605" s="1">
        <v>100</v>
      </c>
      <c r="AY605" s="1" t="s">
        <v>449</v>
      </c>
      <c r="AZ605" s="1">
        <v>0</v>
      </c>
      <c r="GX605" s="1">
        <v>0</v>
      </c>
      <c r="GY605" s="1">
        <v>0</v>
      </c>
      <c r="GZ605" s="1" t="s">
        <v>449</v>
      </c>
      <c r="HA605" s="1">
        <v>0</v>
      </c>
      <c r="HD605" s="1">
        <v>0</v>
      </c>
      <c r="HF605" s="1">
        <v>0</v>
      </c>
      <c r="HG605" s="1">
        <v>0</v>
      </c>
      <c r="HH605" s="1">
        <v>0</v>
      </c>
      <c r="HI605" s="1">
        <v>0</v>
      </c>
      <c r="HJ605" s="1">
        <v>0</v>
      </c>
      <c r="HK605" s="1" t="b">
        <v>0</v>
      </c>
      <c r="HM605" s="1">
        <v>0</v>
      </c>
      <c r="HO605" s="1" t="s">
        <v>360</v>
      </c>
      <c r="HP605" s="1">
        <v>0</v>
      </c>
      <c r="HQ605" s="1">
        <v>0</v>
      </c>
      <c r="HR605" s="1">
        <v>0</v>
      </c>
    </row>
    <row r="606" spans="2:226">
      <c r="B606" s="1">
        <f>10000000+INDEX(编号表!$B$1:$B$112,MATCH(D606,编号表!$A$1:$A$112,0))*10000+I606</f>
        <v>10830004</v>
      </c>
      <c r="C606" s="1" t="s">
        <v>526</v>
      </c>
      <c r="D606" s="1" t="s">
        <v>526</v>
      </c>
      <c r="E606" s="1" t="s">
        <v>469</v>
      </c>
      <c r="F606" s="1" t="s">
        <v>460</v>
      </c>
      <c r="G606" s="1">
        <v>1</v>
      </c>
      <c r="H606" s="1" t="b">
        <v>0</v>
      </c>
      <c r="I606" s="1">
        <v>4</v>
      </c>
      <c r="J606" s="1">
        <v>108300</v>
      </c>
      <c r="K606" s="1" t="s">
        <v>350</v>
      </c>
      <c r="L606" s="1">
        <v>10830003</v>
      </c>
      <c r="M606" s="1">
        <v>10830005</v>
      </c>
      <c r="N606" s="1" t="s">
        <v>527</v>
      </c>
      <c r="O606" s="1">
        <v>10902026</v>
      </c>
      <c r="P606" s="1">
        <v>0</v>
      </c>
      <c r="Q606" s="1">
        <v>0</v>
      </c>
      <c r="R606" s="1">
        <v>1</v>
      </c>
      <c r="T606" s="1">
        <v>100</v>
      </c>
      <c r="AY606" s="1" t="s">
        <v>449</v>
      </c>
      <c r="AZ606" s="1">
        <v>0</v>
      </c>
      <c r="GX606" s="1">
        <v>0</v>
      </c>
      <c r="GY606" s="1">
        <v>0</v>
      </c>
      <c r="GZ606" s="1" t="s">
        <v>449</v>
      </c>
      <c r="HA606" s="1">
        <v>0</v>
      </c>
      <c r="HD606" s="1">
        <v>0</v>
      </c>
      <c r="HF606" s="1">
        <v>0</v>
      </c>
      <c r="HG606" s="1">
        <v>0</v>
      </c>
      <c r="HH606" s="1">
        <v>0</v>
      </c>
      <c r="HI606" s="1">
        <v>0</v>
      </c>
      <c r="HJ606" s="1">
        <v>0</v>
      </c>
      <c r="HK606" s="1" t="b">
        <v>0</v>
      </c>
      <c r="HM606" s="1">
        <v>0</v>
      </c>
      <c r="HO606" s="1" t="s">
        <v>360</v>
      </c>
      <c r="HP606" s="1">
        <v>0</v>
      </c>
      <c r="HQ606" s="1">
        <v>0</v>
      </c>
      <c r="HR606" s="1">
        <v>0</v>
      </c>
    </row>
    <row r="607" spans="2:226">
      <c r="B607" s="1">
        <f>10000000+INDEX(编号表!$B$1:$B$112,MATCH(D607,编号表!$A$1:$A$112,0))*10000+I607</f>
        <v>10830005</v>
      </c>
      <c r="C607" s="1" t="s">
        <v>526</v>
      </c>
      <c r="D607" s="1" t="s">
        <v>526</v>
      </c>
      <c r="E607" s="1" t="s">
        <v>469</v>
      </c>
      <c r="F607" s="1" t="s">
        <v>460</v>
      </c>
      <c r="G607" s="1">
        <v>1</v>
      </c>
      <c r="H607" s="1" t="b">
        <v>0</v>
      </c>
      <c r="I607" s="1">
        <v>5</v>
      </c>
      <c r="J607" s="1">
        <v>108300</v>
      </c>
      <c r="K607" s="1" t="s">
        <v>350</v>
      </c>
      <c r="L607" s="1">
        <v>10830004</v>
      </c>
      <c r="M607" s="1">
        <v>10830006</v>
      </c>
      <c r="N607" s="1" t="s">
        <v>527</v>
      </c>
      <c r="O607" s="1">
        <v>10902026</v>
      </c>
      <c r="P607" s="1">
        <v>0</v>
      </c>
      <c r="Q607" s="1">
        <v>0</v>
      </c>
      <c r="R607" s="1">
        <v>1</v>
      </c>
      <c r="T607" s="1">
        <v>100</v>
      </c>
      <c r="AY607" s="1" t="s">
        <v>449</v>
      </c>
      <c r="AZ607" s="1">
        <v>0</v>
      </c>
      <c r="GX607" s="1">
        <v>0</v>
      </c>
      <c r="GY607" s="1">
        <v>0</v>
      </c>
      <c r="GZ607" s="1" t="s">
        <v>449</v>
      </c>
      <c r="HA607" s="1">
        <v>0</v>
      </c>
      <c r="HD607" s="1">
        <v>0</v>
      </c>
      <c r="HF607" s="1">
        <v>0</v>
      </c>
      <c r="HG607" s="1">
        <v>0</v>
      </c>
      <c r="HH607" s="1">
        <v>0</v>
      </c>
      <c r="HI607" s="1">
        <v>0</v>
      </c>
      <c r="HJ607" s="1">
        <v>0</v>
      </c>
      <c r="HK607" s="1" t="b">
        <v>0</v>
      </c>
      <c r="HM607" s="1">
        <v>0</v>
      </c>
      <c r="HO607" s="1" t="s">
        <v>360</v>
      </c>
      <c r="HP607" s="1">
        <v>0</v>
      </c>
      <c r="HQ607" s="1">
        <v>0</v>
      </c>
      <c r="HR607" s="1">
        <v>0</v>
      </c>
    </row>
    <row r="608" spans="2:226">
      <c r="B608" s="1">
        <f>10000000+INDEX(编号表!$B$1:$B$112,MATCH(D608,编号表!$A$1:$A$112,0))*10000+I608</f>
        <v>10830006</v>
      </c>
      <c r="C608" s="1" t="s">
        <v>526</v>
      </c>
      <c r="D608" s="1" t="s">
        <v>526</v>
      </c>
      <c r="E608" s="1" t="s">
        <v>469</v>
      </c>
      <c r="F608" s="1" t="s">
        <v>460</v>
      </c>
      <c r="G608" s="1">
        <v>1</v>
      </c>
      <c r="H608" s="1" t="b">
        <v>0</v>
      </c>
      <c r="I608" s="1">
        <v>6</v>
      </c>
      <c r="J608" s="1">
        <v>108300</v>
      </c>
      <c r="K608" s="1" t="s">
        <v>350</v>
      </c>
      <c r="L608" s="1">
        <v>10830005</v>
      </c>
      <c r="M608" s="1">
        <v>10830007</v>
      </c>
      <c r="N608" s="1" t="s">
        <v>527</v>
      </c>
      <c r="O608" s="1">
        <v>10902026</v>
      </c>
      <c r="P608" s="1">
        <v>0</v>
      </c>
      <c r="Q608" s="1">
        <v>0</v>
      </c>
      <c r="R608" s="1">
        <v>1</v>
      </c>
      <c r="T608" s="1">
        <v>100</v>
      </c>
      <c r="AY608" s="1" t="s">
        <v>449</v>
      </c>
      <c r="AZ608" s="1">
        <v>0</v>
      </c>
      <c r="GX608" s="1">
        <v>0</v>
      </c>
      <c r="GY608" s="1">
        <v>0</v>
      </c>
      <c r="GZ608" s="1" t="s">
        <v>449</v>
      </c>
      <c r="HA608" s="1">
        <v>0</v>
      </c>
      <c r="HD608" s="1">
        <v>0</v>
      </c>
      <c r="HF608" s="1">
        <v>0</v>
      </c>
      <c r="HG608" s="1">
        <v>0</v>
      </c>
      <c r="HH608" s="1">
        <v>0</v>
      </c>
      <c r="HI608" s="1">
        <v>0</v>
      </c>
      <c r="HJ608" s="1">
        <v>0</v>
      </c>
      <c r="HK608" s="1" t="b">
        <v>0</v>
      </c>
      <c r="HM608" s="1">
        <v>0</v>
      </c>
      <c r="HO608" s="1" t="s">
        <v>360</v>
      </c>
      <c r="HP608" s="1">
        <v>0</v>
      </c>
      <c r="HQ608" s="1">
        <v>0</v>
      </c>
      <c r="HR608" s="1">
        <v>0</v>
      </c>
    </row>
    <row r="609" spans="2:226">
      <c r="B609" s="1">
        <f>10000000+INDEX(编号表!$B$1:$B$112,MATCH(D609,编号表!$A$1:$A$112,0))*10000+I609</f>
        <v>10830007</v>
      </c>
      <c r="C609" s="1" t="s">
        <v>526</v>
      </c>
      <c r="D609" s="1" t="s">
        <v>526</v>
      </c>
      <c r="E609" s="1" t="s">
        <v>469</v>
      </c>
      <c r="F609" s="1" t="s">
        <v>460</v>
      </c>
      <c r="G609" s="1">
        <v>1</v>
      </c>
      <c r="H609" s="1" t="b">
        <v>0</v>
      </c>
      <c r="I609" s="1">
        <v>7</v>
      </c>
      <c r="J609" s="1">
        <v>108300</v>
      </c>
      <c r="K609" s="1" t="s">
        <v>350</v>
      </c>
      <c r="L609" s="1">
        <v>10830006</v>
      </c>
      <c r="M609" s="1">
        <v>10830008</v>
      </c>
      <c r="N609" s="1" t="s">
        <v>527</v>
      </c>
      <c r="O609" s="1">
        <v>10902026</v>
      </c>
      <c r="P609" s="1">
        <v>0</v>
      </c>
      <c r="Q609" s="1">
        <v>0</v>
      </c>
      <c r="R609" s="1">
        <v>1</v>
      </c>
      <c r="T609" s="1">
        <v>100</v>
      </c>
      <c r="AY609" s="1" t="s">
        <v>449</v>
      </c>
      <c r="AZ609" s="1">
        <v>0</v>
      </c>
      <c r="GX609" s="1">
        <v>0</v>
      </c>
      <c r="GY609" s="1">
        <v>0</v>
      </c>
      <c r="GZ609" s="1" t="s">
        <v>449</v>
      </c>
      <c r="HA609" s="1">
        <v>0</v>
      </c>
      <c r="HD609" s="1">
        <v>0</v>
      </c>
      <c r="HF609" s="1">
        <v>0</v>
      </c>
      <c r="HG609" s="1">
        <v>0</v>
      </c>
      <c r="HH609" s="1">
        <v>0</v>
      </c>
      <c r="HI609" s="1">
        <v>0</v>
      </c>
      <c r="HJ609" s="1">
        <v>0</v>
      </c>
      <c r="HK609" s="1" t="b">
        <v>0</v>
      </c>
      <c r="HM609" s="1">
        <v>0</v>
      </c>
      <c r="HO609" s="1" t="s">
        <v>360</v>
      </c>
      <c r="HP609" s="1">
        <v>0</v>
      </c>
      <c r="HQ609" s="1">
        <v>0</v>
      </c>
      <c r="HR609" s="1">
        <v>0</v>
      </c>
    </row>
    <row r="610" spans="2:226">
      <c r="B610" s="1">
        <f>10000000+INDEX(编号表!$B$1:$B$112,MATCH(D610,编号表!$A$1:$A$112,0))*10000+I610</f>
        <v>10830008</v>
      </c>
      <c r="C610" s="1" t="s">
        <v>526</v>
      </c>
      <c r="D610" s="1" t="s">
        <v>526</v>
      </c>
      <c r="E610" s="1" t="s">
        <v>469</v>
      </c>
      <c r="F610" s="1" t="s">
        <v>460</v>
      </c>
      <c r="G610" s="1">
        <v>1</v>
      </c>
      <c r="H610" s="1" t="b">
        <v>0</v>
      </c>
      <c r="I610" s="1">
        <v>8</v>
      </c>
      <c r="J610" s="1">
        <v>108300</v>
      </c>
      <c r="K610" s="1" t="s">
        <v>350</v>
      </c>
      <c r="L610" s="1">
        <v>10830007</v>
      </c>
      <c r="M610" s="1">
        <v>10830009</v>
      </c>
      <c r="N610" s="1" t="s">
        <v>527</v>
      </c>
      <c r="O610" s="1">
        <v>10902026</v>
      </c>
      <c r="P610" s="1">
        <v>0</v>
      </c>
      <c r="Q610" s="1">
        <v>0</v>
      </c>
      <c r="R610" s="1">
        <v>1</v>
      </c>
      <c r="T610" s="1">
        <v>100</v>
      </c>
      <c r="AY610" s="1" t="s">
        <v>449</v>
      </c>
      <c r="AZ610" s="1">
        <v>0</v>
      </c>
      <c r="GX610" s="1">
        <v>0</v>
      </c>
      <c r="GY610" s="1">
        <v>0</v>
      </c>
      <c r="GZ610" s="1" t="s">
        <v>449</v>
      </c>
      <c r="HA610" s="1">
        <v>0</v>
      </c>
      <c r="HD610" s="1">
        <v>0</v>
      </c>
      <c r="HF610" s="1">
        <v>0</v>
      </c>
      <c r="HG610" s="1">
        <v>0</v>
      </c>
      <c r="HH610" s="1">
        <v>0</v>
      </c>
      <c r="HI610" s="1">
        <v>0</v>
      </c>
      <c r="HJ610" s="1">
        <v>0</v>
      </c>
      <c r="HK610" s="1" t="b">
        <v>0</v>
      </c>
      <c r="HM610" s="1">
        <v>0</v>
      </c>
      <c r="HO610" s="1" t="s">
        <v>360</v>
      </c>
      <c r="HP610" s="1">
        <v>0</v>
      </c>
      <c r="HQ610" s="1">
        <v>0</v>
      </c>
      <c r="HR610" s="1">
        <v>0</v>
      </c>
    </row>
    <row r="611" spans="2:226">
      <c r="B611" s="1">
        <f>10000000+INDEX(编号表!$B$1:$B$112,MATCH(D611,编号表!$A$1:$A$112,0))*10000+I611</f>
        <v>10830009</v>
      </c>
      <c r="C611" s="1" t="s">
        <v>526</v>
      </c>
      <c r="D611" s="1" t="s">
        <v>526</v>
      </c>
      <c r="E611" s="1" t="s">
        <v>469</v>
      </c>
      <c r="F611" s="1" t="s">
        <v>460</v>
      </c>
      <c r="G611" s="1">
        <v>1</v>
      </c>
      <c r="H611" s="1" t="b">
        <v>0</v>
      </c>
      <c r="I611" s="1">
        <v>9</v>
      </c>
      <c r="J611" s="1">
        <v>108300</v>
      </c>
      <c r="K611" s="1" t="s">
        <v>350</v>
      </c>
      <c r="L611" s="1">
        <v>10830008</v>
      </c>
      <c r="M611" s="1">
        <v>10830010</v>
      </c>
      <c r="N611" s="1" t="s">
        <v>527</v>
      </c>
      <c r="O611" s="1">
        <v>10902026</v>
      </c>
      <c r="P611" s="1">
        <v>0</v>
      </c>
      <c r="Q611" s="1">
        <v>0</v>
      </c>
      <c r="R611" s="1">
        <v>1</v>
      </c>
      <c r="T611" s="1">
        <v>100</v>
      </c>
      <c r="AY611" s="1" t="s">
        <v>449</v>
      </c>
      <c r="AZ611" s="1">
        <v>0</v>
      </c>
      <c r="GX611" s="1">
        <v>0</v>
      </c>
      <c r="GY611" s="1">
        <v>0</v>
      </c>
      <c r="GZ611" s="1" t="s">
        <v>449</v>
      </c>
      <c r="HA611" s="1">
        <v>0</v>
      </c>
      <c r="HD611" s="1">
        <v>0</v>
      </c>
      <c r="HF611" s="1">
        <v>0</v>
      </c>
      <c r="HG611" s="1">
        <v>0</v>
      </c>
      <c r="HH611" s="1">
        <v>0</v>
      </c>
      <c r="HI611" s="1">
        <v>0</v>
      </c>
      <c r="HJ611" s="1">
        <v>0</v>
      </c>
      <c r="HK611" s="1" t="b">
        <v>0</v>
      </c>
      <c r="HM611" s="1">
        <v>0</v>
      </c>
      <c r="HO611" s="1" t="s">
        <v>360</v>
      </c>
      <c r="HP611" s="1">
        <v>0</v>
      </c>
      <c r="HQ611" s="1">
        <v>0</v>
      </c>
      <c r="HR611" s="1">
        <v>0</v>
      </c>
    </row>
    <row r="612" spans="2:226">
      <c r="B612" s="1">
        <f>10000000+INDEX(编号表!$B$1:$B$112,MATCH(D612,编号表!$A$1:$A$112,0))*10000+I612</f>
        <v>10830010</v>
      </c>
      <c r="C612" s="1" t="s">
        <v>526</v>
      </c>
      <c r="D612" s="1" t="s">
        <v>526</v>
      </c>
      <c r="E612" s="1" t="s">
        <v>469</v>
      </c>
      <c r="F612" s="1" t="s">
        <v>460</v>
      </c>
      <c r="G612" s="1">
        <v>1</v>
      </c>
      <c r="H612" s="1" t="b">
        <v>0</v>
      </c>
      <c r="I612" s="1">
        <v>10</v>
      </c>
      <c r="J612" s="1">
        <v>108300</v>
      </c>
      <c r="K612" s="1" t="s">
        <v>350</v>
      </c>
      <c r="L612" s="1">
        <v>10830009</v>
      </c>
      <c r="N612" s="1" t="s">
        <v>527</v>
      </c>
      <c r="O612" s="1">
        <v>10902026</v>
      </c>
      <c r="P612" s="1">
        <v>0</v>
      </c>
      <c r="Q612" s="1">
        <v>0</v>
      </c>
      <c r="R612" s="1">
        <v>1</v>
      </c>
      <c r="T612" s="1">
        <v>100</v>
      </c>
      <c r="AY612" s="1" t="s">
        <v>449</v>
      </c>
      <c r="AZ612" s="1">
        <v>0</v>
      </c>
      <c r="GX612" s="1">
        <v>0</v>
      </c>
      <c r="GY612" s="1">
        <v>0</v>
      </c>
      <c r="GZ612" s="1" t="s">
        <v>449</v>
      </c>
      <c r="HA612" s="1">
        <v>0</v>
      </c>
      <c r="HD612" s="1">
        <v>0</v>
      </c>
      <c r="HF612" s="1">
        <v>0</v>
      </c>
      <c r="HG612" s="1">
        <v>0</v>
      </c>
      <c r="HH612" s="1">
        <v>0</v>
      </c>
      <c r="HI612" s="1">
        <v>0</v>
      </c>
      <c r="HJ612" s="1">
        <v>0</v>
      </c>
      <c r="HK612" s="1" t="b">
        <v>0</v>
      </c>
      <c r="HM612" s="1">
        <v>0</v>
      </c>
      <c r="HO612" s="1" t="s">
        <v>360</v>
      </c>
      <c r="HP612" s="1">
        <v>0</v>
      </c>
      <c r="HQ612" s="1">
        <v>0</v>
      </c>
      <c r="HR612" s="1">
        <v>0</v>
      </c>
    </row>
    <row r="613" spans="2:226">
      <c r="B613" s="1">
        <f>10000000+INDEX(编号表!$B$1:$B$112,MATCH(D613,编号表!$A$1:$A$112,0))*10000+I613</f>
        <v>10840001</v>
      </c>
      <c r="C613" s="1" t="s">
        <v>528</v>
      </c>
      <c r="D613" s="1" t="s">
        <v>528</v>
      </c>
      <c r="E613" s="1" t="s">
        <v>469</v>
      </c>
      <c r="F613" s="1" t="s">
        <v>463</v>
      </c>
      <c r="G613" s="1">
        <v>1</v>
      </c>
      <c r="H613" s="1" t="b">
        <v>0</v>
      </c>
      <c r="I613" s="1">
        <v>1</v>
      </c>
      <c r="J613" s="1">
        <v>108400</v>
      </c>
      <c r="K613" s="1" t="s">
        <v>350</v>
      </c>
      <c r="M613" s="1">
        <v>10840002</v>
      </c>
      <c r="N613" s="1" t="s">
        <v>529</v>
      </c>
      <c r="O613" s="1">
        <v>10902027</v>
      </c>
      <c r="P613" s="1">
        <v>0</v>
      </c>
      <c r="Q613" s="1">
        <v>0</v>
      </c>
      <c r="R613" s="1">
        <v>1</v>
      </c>
      <c r="T613" s="1">
        <v>100</v>
      </c>
      <c r="AY613" s="1" t="s">
        <v>449</v>
      </c>
      <c r="AZ613" s="1">
        <v>0</v>
      </c>
      <c r="GX613" s="1">
        <v>0</v>
      </c>
      <c r="GY613" s="1">
        <v>0</v>
      </c>
      <c r="GZ613" s="1" t="s">
        <v>449</v>
      </c>
      <c r="HA613" s="1">
        <v>0</v>
      </c>
      <c r="HD613" s="1">
        <v>0</v>
      </c>
      <c r="HF613" s="1">
        <v>0</v>
      </c>
      <c r="HG613" s="1">
        <v>0</v>
      </c>
      <c r="HH613" s="1">
        <v>0</v>
      </c>
      <c r="HI613" s="1">
        <v>0</v>
      </c>
      <c r="HJ613" s="1">
        <v>0</v>
      </c>
      <c r="HK613" s="1" t="b">
        <v>0</v>
      </c>
      <c r="HM613" s="1">
        <v>0</v>
      </c>
      <c r="HO613" s="1" t="s">
        <v>360</v>
      </c>
      <c r="HP613" s="1">
        <v>0</v>
      </c>
      <c r="HQ613" s="1">
        <v>0</v>
      </c>
      <c r="HR613" s="1">
        <v>0</v>
      </c>
    </row>
    <row r="614" spans="2:226">
      <c r="B614" s="1">
        <f>10000000+INDEX(编号表!$B$1:$B$112,MATCH(D614,编号表!$A$1:$A$112,0))*10000+I614</f>
        <v>10840002</v>
      </c>
      <c r="C614" s="1" t="s">
        <v>528</v>
      </c>
      <c r="D614" s="1" t="s">
        <v>528</v>
      </c>
      <c r="E614" s="1" t="s">
        <v>469</v>
      </c>
      <c r="F614" s="1" t="s">
        <v>463</v>
      </c>
      <c r="G614" s="1">
        <v>1</v>
      </c>
      <c r="H614" s="1" t="b">
        <v>0</v>
      </c>
      <c r="I614" s="1">
        <v>2</v>
      </c>
      <c r="J614" s="1">
        <v>108400</v>
      </c>
      <c r="K614" s="1" t="s">
        <v>350</v>
      </c>
      <c r="L614" s="1">
        <v>10840001</v>
      </c>
      <c r="M614" s="1">
        <v>10840003</v>
      </c>
      <c r="N614" s="1" t="s">
        <v>529</v>
      </c>
      <c r="O614" s="1">
        <v>10902027</v>
      </c>
      <c r="P614" s="1">
        <v>0</v>
      </c>
      <c r="Q614" s="1">
        <v>0</v>
      </c>
      <c r="R614" s="1">
        <v>1</v>
      </c>
      <c r="T614" s="1">
        <v>100</v>
      </c>
      <c r="AY614" s="1" t="s">
        <v>449</v>
      </c>
      <c r="AZ614" s="1">
        <v>0</v>
      </c>
      <c r="GX614" s="1">
        <v>0</v>
      </c>
      <c r="GY614" s="1">
        <v>0</v>
      </c>
      <c r="GZ614" s="1" t="s">
        <v>449</v>
      </c>
      <c r="HA614" s="1">
        <v>0</v>
      </c>
      <c r="HD614" s="1">
        <v>0</v>
      </c>
      <c r="HF614" s="1">
        <v>0</v>
      </c>
      <c r="HG614" s="1">
        <v>0</v>
      </c>
      <c r="HH614" s="1">
        <v>0</v>
      </c>
      <c r="HI614" s="1">
        <v>0</v>
      </c>
      <c r="HJ614" s="1">
        <v>0</v>
      </c>
      <c r="HK614" s="1" t="b">
        <v>0</v>
      </c>
      <c r="HM614" s="1">
        <v>0</v>
      </c>
      <c r="HO614" s="1" t="s">
        <v>360</v>
      </c>
      <c r="HP614" s="1">
        <v>0</v>
      </c>
      <c r="HQ614" s="1">
        <v>0</v>
      </c>
      <c r="HR614" s="1">
        <v>0</v>
      </c>
    </row>
    <row r="615" spans="2:226">
      <c r="B615" s="1">
        <f>10000000+INDEX(编号表!$B$1:$B$112,MATCH(D615,编号表!$A$1:$A$112,0))*10000+I615</f>
        <v>10840003</v>
      </c>
      <c r="C615" s="1" t="s">
        <v>528</v>
      </c>
      <c r="D615" s="1" t="s">
        <v>528</v>
      </c>
      <c r="E615" s="1" t="s">
        <v>469</v>
      </c>
      <c r="F615" s="1" t="s">
        <v>463</v>
      </c>
      <c r="G615" s="1">
        <v>1</v>
      </c>
      <c r="H615" s="1" t="b">
        <v>0</v>
      </c>
      <c r="I615" s="1">
        <v>3</v>
      </c>
      <c r="J615" s="1">
        <v>108400</v>
      </c>
      <c r="K615" s="1" t="s">
        <v>350</v>
      </c>
      <c r="L615" s="1">
        <v>10840002</v>
      </c>
      <c r="M615" s="1">
        <v>10840004</v>
      </c>
      <c r="N615" s="1" t="s">
        <v>529</v>
      </c>
      <c r="O615" s="1">
        <v>10902027</v>
      </c>
      <c r="P615" s="1">
        <v>0</v>
      </c>
      <c r="Q615" s="1">
        <v>0</v>
      </c>
      <c r="R615" s="1">
        <v>1</v>
      </c>
      <c r="T615" s="1">
        <v>100</v>
      </c>
      <c r="AY615" s="1" t="s">
        <v>449</v>
      </c>
      <c r="AZ615" s="1">
        <v>0</v>
      </c>
      <c r="GX615" s="1">
        <v>0</v>
      </c>
      <c r="GY615" s="1">
        <v>0</v>
      </c>
      <c r="GZ615" s="1" t="s">
        <v>449</v>
      </c>
      <c r="HA615" s="1">
        <v>0</v>
      </c>
      <c r="HD615" s="1">
        <v>0</v>
      </c>
      <c r="HF615" s="1">
        <v>0</v>
      </c>
      <c r="HG615" s="1">
        <v>0</v>
      </c>
      <c r="HH615" s="1">
        <v>0</v>
      </c>
      <c r="HI615" s="1">
        <v>0</v>
      </c>
      <c r="HJ615" s="1">
        <v>0</v>
      </c>
      <c r="HK615" s="1" t="b">
        <v>0</v>
      </c>
      <c r="HM615" s="1">
        <v>0</v>
      </c>
      <c r="HO615" s="1" t="s">
        <v>360</v>
      </c>
      <c r="HP615" s="1">
        <v>0</v>
      </c>
      <c r="HQ615" s="1">
        <v>0</v>
      </c>
      <c r="HR615" s="1">
        <v>0</v>
      </c>
    </row>
    <row r="616" spans="2:226">
      <c r="B616" s="1">
        <f>10000000+INDEX(编号表!$B$1:$B$112,MATCH(D616,编号表!$A$1:$A$112,0))*10000+I616</f>
        <v>10840004</v>
      </c>
      <c r="C616" s="1" t="s">
        <v>528</v>
      </c>
      <c r="D616" s="1" t="s">
        <v>528</v>
      </c>
      <c r="E616" s="1" t="s">
        <v>469</v>
      </c>
      <c r="F616" s="1" t="s">
        <v>463</v>
      </c>
      <c r="G616" s="1">
        <v>1</v>
      </c>
      <c r="H616" s="1" t="b">
        <v>0</v>
      </c>
      <c r="I616" s="1">
        <v>4</v>
      </c>
      <c r="J616" s="1">
        <v>108400</v>
      </c>
      <c r="K616" s="1" t="s">
        <v>350</v>
      </c>
      <c r="L616" s="1">
        <v>10840003</v>
      </c>
      <c r="M616" s="1">
        <v>10840005</v>
      </c>
      <c r="N616" s="1" t="s">
        <v>529</v>
      </c>
      <c r="O616" s="1">
        <v>10902027</v>
      </c>
      <c r="P616" s="1">
        <v>0</v>
      </c>
      <c r="Q616" s="1">
        <v>0</v>
      </c>
      <c r="R616" s="1">
        <v>1</v>
      </c>
      <c r="T616" s="1">
        <v>100</v>
      </c>
      <c r="AY616" s="1" t="s">
        <v>449</v>
      </c>
      <c r="AZ616" s="1">
        <v>0</v>
      </c>
      <c r="GX616" s="1">
        <v>0</v>
      </c>
      <c r="GY616" s="1">
        <v>0</v>
      </c>
      <c r="GZ616" s="1" t="s">
        <v>449</v>
      </c>
      <c r="HA616" s="1">
        <v>0</v>
      </c>
      <c r="HD616" s="1">
        <v>0</v>
      </c>
      <c r="HF616" s="1">
        <v>0</v>
      </c>
      <c r="HG616" s="1">
        <v>0</v>
      </c>
      <c r="HH616" s="1">
        <v>0</v>
      </c>
      <c r="HI616" s="1">
        <v>0</v>
      </c>
      <c r="HJ616" s="1">
        <v>0</v>
      </c>
      <c r="HK616" s="1" t="b">
        <v>0</v>
      </c>
      <c r="HM616" s="1">
        <v>0</v>
      </c>
      <c r="HO616" s="1" t="s">
        <v>360</v>
      </c>
      <c r="HP616" s="1">
        <v>0</v>
      </c>
      <c r="HQ616" s="1">
        <v>0</v>
      </c>
      <c r="HR616" s="1">
        <v>0</v>
      </c>
    </row>
    <row r="617" spans="2:226">
      <c r="B617" s="1">
        <f>10000000+INDEX(编号表!$B$1:$B$112,MATCH(D617,编号表!$A$1:$A$112,0))*10000+I617</f>
        <v>10840005</v>
      </c>
      <c r="C617" s="1" t="s">
        <v>528</v>
      </c>
      <c r="D617" s="1" t="s">
        <v>528</v>
      </c>
      <c r="E617" s="1" t="s">
        <v>469</v>
      </c>
      <c r="F617" s="1" t="s">
        <v>463</v>
      </c>
      <c r="G617" s="1">
        <v>1</v>
      </c>
      <c r="H617" s="1" t="b">
        <v>0</v>
      </c>
      <c r="I617" s="1">
        <v>5</v>
      </c>
      <c r="J617" s="1">
        <v>108400</v>
      </c>
      <c r="K617" s="1" t="s">
        <v>350</v>
      </c>
      <c r="L617" s="1">
        <v>10840004</v>
      </c>
      <c r="M617" s="1">
        <v>10840006</v>
      </c>
      <c r="N617" s="1" t="s">
        <v>529</v>
      </c>
      <c r="O617" s="1">
        <v>10902027</v>
      </c>
      <c r="P617" s="1">
        <v>0</v>
      </c>
      <c r="Q617" s="1">
        <v>0</v>
      </c>
      <c r="R617" s="1">
        <v>1</v>
      </c>
      <c r="T617" s="1">
        <v>100</v>
      </c>
      <c r="AY617" s="1" t="s">
        <v>449</v>
      </c>
      <c r="AZ617" s="1">
        <v>0</v>
      </c>
      <c r="GX617" s="1">
        <v>0</v>
      </c>
      <c r="GY617" s="1">
        <v>0</v>
      </c>
      <c r="GZ617" s="1" t="s">
        <v>449</v>
      </c>
      <c r="HA617" s="1">
        <v>0</v>
      </c>
      <c r="HD617" s="1">
        <v>0</v>
      </c>
      <c r="HF617" s="1">
        <v>0</v>
      </c>
      <c r="HG617" s="1">
        <v>0</v>
      </c>
      <c r="HH617" s="1">
        <v>0</v>
      </c>
      <c r="HI617" s="1">
        <v>0</v>
      </c>
      <c r="HJ617" s="1">
        <v>0</v>
      </c>
      <c r="HK617" s="1" t="b">
        <v>0</v>
      </c>
      <c r="HM617" s="1">
        <v>0</v>
      </c>
      <c r="HO617" s="1" t="s">
        <v>360</v>
      </c>
      <c r="HP617" s="1">
        <v>0</v>
      </c>
      <c r="HQ617" s="1">
        <v>0</v>
      </c>
      <c r="HR617" s="1">
        <v>0</v>
      </c>
    </row>
    <row r="618" spans="2:226">
      <c r="B618" s="1">
        <f>10000000+INDEX(编号表!$B$1:$B$112,MATCH(D618,编号表!$A$1:$A$112,0))*10000+I618</f>
        <v>10840006</v>
      </c>
      <c r="C618" s="1" t="s">
        <v>528</v>
      </c>
      <c r="D618" s="1" t="s">
        <v>528</v>
      </c>
      <c r="E618" s="1" t="s">
        <v>469</v>
      </c>
      <c r="F618" s="1" t="s">
        <v>463</v>
      </c>
      <c r="G618" s="1">
        <v>1</v>
      </c>
      <c r="H618" s="1" t="b">
        <v>0</v>
      </c>
      <c r="I618" s="1">
        <v>6</v>
      </c>
      <c r="J618" s="1">
        <v>108400</v>
      </c>
      <c r="K618" s="1" t="s">
        <v>350</v>
      </c>
      <c r="L618" s="1">
        <v>10840005</v>
      </c>
      <c r="M618" s="1">
        <v>10840007</v>
      </c>
      <c r="N618" s="1" t="s">
        <v>529</v>
      </c>
      <c r="O618" s="1">
        <v>10902027</v>
      </c>
      <c r="P618" s="1">
        <v>0</v>
      </c>
      <c r="Q618" s="1">
        <v>0</v>
      </c>
      <c r="R618" s="1">
        <v>1</v>
      </c>
      <c r="T618" s="1">
        <v>100</v>
      </c>
      <c r="AY618" s="1" t="s">
        <v>449</v>
      </c>
      <c r="AZ618" s="1">
        <v>0</v>
      </c>
      <c r="GX618" s="1">
        <v>0</v>
      </c>
      <c r="GY618" s="1">
        <v>0</v>
      </c>
      <c r="GZ618" s="1" t="s">
        <v>449</v>
      </c>
      <c r="HA618" s="1">
        <v>0</v>
      </c>
      <c r="HD618" s="1">
        <v>0</v>
      </c>
      <c r="HF618" s="1">
        <v>0</v>
      </c>
      <c r="HG618" s="1">
        <v>0</v>
      </c>
      <c r="HH618" s="1">
        <v>0</v>
      </c>
      <c r="HI618" s="1">
        <v>0</v>
      </c>
      <c r="HJ618" s="1">
        <v>0</v>
      </c>
      <c r="HK618" s="1" t="b">
        <v>0</v>
      </c>
      <c r="HM618" s="1">
        <v>0</v>
      </c>
      <c r="HO618" s="1" t="s">
        <v>360</v>
      </c>
      <c r="HP618" s="1">
        <v>0</v>
      </c>
      <c r="HQ618" s="1">
        <v>0</v>
      </c>
      <c r="HR618" s="1">
        <v>0</v>
      </c>
    </row>
    <row r="619" spans="2:226">
      <c r="B619" s="1">
        <f>10000000+INDEX(编号表!$B$1:$B$112,MATCH(D619,编号表!$A$1:$A$112,0))*10000+I619</f>
        <v>10840007</v>
      </c>
      <c r="C619" s="1" t="s">
        <v>528</v>
      </c>
      <c r="D619" s="1" t="s">
        <v>528</v>
      </c>
      <c r="E619" s="1" t="s">
        <v>469</v>
      </c>
      <c r="F619" s="1" t="s">
        <v>463</v>
      </c>
      <c r="G619" s="1">
        <v>1</v>
      </c>
      <c r="H619" s="1" t="b">
        <v>0</v>
      </c>
      <c r="I619" s="1">
        <v>7</v>
      </c>
      <c r="J619" s="1">
        <v>108400</v>
      </c>
      <c r="K619" s="1" t="s">
        <v>350</v>
      </c>
      <c r="L619" s="1">
        <v>10840006</v>
      </c>
      <c r="M619" s="1">
        <v>10840008</v>
      </c>
      <c r="N619" s="1" t="s">
        <v>529</v>
      </c>
      <c r="O619" s="1">
        <v>10902027</v>
      </c>
      <c r="P619" s="1">
        <v>0</v>
      </c>
      <c r="Q619" s="1">
        <v>0</v>
      </c>
      <c r="R619" s="1">
        <v>1</v>
      </c>
      <c r="T619" s="1">
        <v>100</v>
      </c>
      <c r="AY619" s="1" t="s">
        <v>449</v>
      </c>
      <c r="AZ619" s="1">
        <v>0</v>
      </c>
      <c r="GX619" s="1">
        <v>0</v>
      </c>
      <c r="GY619" s="1">
        <v>0</v>
      </c>
      <c r="GZ619" s="1" t="s">
        <v>449</v>
      </c>
      <c r="HA619" s="1">
        <v>0</v>
      </c>
      <c r="HD619" s="1">
        <v>0</v>
      </c>
      <c r="HF619" s="1">
        <v>0</v>
      </c>
      <c r="HG619" s="1">
        <v>0</v>
      </c>
      <c r="HH619" s="1">
        <v>0</v>
      </c>
      <c r="HI619" s="1">
        <v>0</v>
      </c>
      <c r="HJ619" s="1">
        <v>0</v>
      </c>
      <c r="HK619" s="1" t="b">
        <v>0</v>
      </c>
      <c r="HM619" s="1">
        <v>0</v>
      </c>
      <c r="HO619" s="1" t="s">
        <v>360</v>
      </c>
      <c r="HP619" s="1">
        <v>0</v>
      </c>
      <c r="HQ619" s="1">
        <v>0</v>
      </c>
      <c r="HR619" s="1">
        <v>0</v>
      </c>
    </row>
    <row r="620" spans="2:226">
      <c r="B620" s="1">
        <f>10000000+INDEX(编号表!$B$1:$B$112,MATCH(D620,编号表!$A$1:$A$112,0))*10000+I620</f>
        <v>10840008</v>
      </c>
      <c r="C620" s="1" t="s">
        <v>528</v>
      </c>
      <c r="D620" s="1" t="s">
        <v>528</v>
      </c>
      <c r="E620" s="1" t="s">
        <v>469</v>
      </c>
      <c r="F620" s="1" t="s">
        <v>463</v>
      </c>
      <c r="G620" s="1">
        <v>1</v>
      </c>
      <c r="H620" s="1" t="b">
        <v>0</v>
      </c>
      <c r="I620" s="1">
        <v>8</v>
      </c>
      <c r="J620" s="1">
        <v>108400</v>
      </c>
      <c r="K620" s="1" t="s">
        <v>350</v>
      </c>
      <c r="L620" s="1">
        <v>10840007</v>
      </c>
      <c r="M620" s="1">
        <v>10840009</v>
      </c>
      <c r="N620" s="1" t="s">
        <v>529</v>
      </c>
      <c r="O620" s="1">
        <v>10902027</v>
      </c>
      <c r="P620" s="1">
        <v>0</v>
      </c>
      <c r="Q620" s="1">
        <v>0</v>
      </c>
      <c r="R620" s="1">
        <v>1</v>
      </c>
      <c r="T620" s="1">
        <v>100</v>
      </c>
      <c r="AY620" s="1" t="s">
        <v>449</v>
      </c>
      <c r="AZ620" s="1">
        <v>0</v>
      </c>
      <c r="GX620" s="1">
        <v>0</v>
      </c>
      <c r="GY620" s="1">
        <v>0</v>
      </c>
      <c r="GZ620" s="1" t="s">
        <v>449</v>
      </c>
      <c r="HA620" s="1">
        <v>0</v>
      </c>
      <c r="HD620" s="1">
        <v>0</v>
      </c>
      <c r="HF620" s="1">
        <v>0</v>
      </c>
      <c r="HG620" s="1">
        <v>0</v>
      </c>
      <c r="HH620" s="1">
        <v>0</v>
      </c>
      <c r="HI620" s="1">
        <v>0</v>
      </c>
      <c r="HJ620" s="1">
        <v>0</v>
      </c>
      <c r="HK620" s="1" t="b">
        <v>0</v>
      </c>
      <c r="HM620" s="1">
        <v>0</v>
      </c>
      <c r="HO620" s="1" t="s">
        <v>360</v>
      </c>
      <c r="HP620" s="1">
        <v>0</v>
      </c>
      <c r="HQ620" s="1">
        <v>0</v>
      </c>
      <c r="HR620" s="1">
        <v>0</v>
      </c>
    </row>
    <row r="621" spans="2:226">
      <c r="B621" s="1">
        <f>10000000+INDEX(编号表!$B$1:$B$112,MATCH(D621,编号表!$A$1:$A$112,0))*10000+I621</f>
        <v>10840009</v>
      </c>
      <c r="C621" s="1" t="s">
        <v>528</v>
      </c>
      <c r="D621" s="1" t="s">
        <v>528</v>
      </c>
      <c r="E621" s="1" t="s">
        <v>469</v>
      </c>
      <c r="F621" s="1" t="s">
        <v>463</v>
      </c>
      <c r="G621" s="1">
        <v>1</v>
      </c>
      <c r="H621" s="1" t="b">
        <v>0</v>
      </c>
      <c r="I621" s="1">
        <v>9</v>
      </c>
      <c r="J621" s="1">
        <v>108400</v>
      </c>
      <c r="K621" s="1" t="s">
        <v>350</v>
      </c>
      <c r="L621" s="1">
        <v>10840008</v>
      </c>
      <c r="M621" s="1">
        <v>10840010</v>
      </c>
      <c r="N621" s="1" t="s">
        <v>529</v>
      </c>
      <c r="O621" s="1">
        <v>10902027</v>
      </c>
      <c r="P621" s="1">
        <v>0</v>
      </c>
      <c r="Q621" s="1">
        <v>0</v>
      </c>
      <c r="R621" s="1">
        <v>1</v>
      </c>
      <c r="T621" s="1">
        <v>100</v>
      </c>
      <c r="AY621" s="1" t="s">
        <v>449</v>
      </c>
      <c r="AZ621" s="1">
        <v>0</v>
      </c>
      <c r="GX621" s="1">
        <v>0</v>
      </c>
      <c r="GY621" s="1">
        <v>0</v>
      </c>
      <c r="GZ621" s="1" t="s">
        <v>449</v>
      </c>
      <c r="HA621" s="1">
        <v>0</v>
      </c>
      <c r="HD621" s="1">
        <v>0</v>
      </c>
      <c r="HF621" s="1">
        <v>0</v>
      </c>
      <c r="HG621" s="1">
        <v>0</v>
      </c>
      <c r="HH621" s="1">
        <v>0</v>
      </c>
      <c r="HI621" s="1">
        <v>0</v>
      </c>
      <c r="HJ621" s="1">
        <v>0</v>
      </c>
      <c r="HK621" s="1" t="b">
        <v>0</v>
      </c>
      <c r="HM621" s="1">
        <v>0</v>
      </c>
      <c r="HO621" s="1" t="s">
        <v>360</v>
      </c>
      <c r="HP621" s="1">
        <v>0</v>
      </c>
      <c r="HQ621" s="1">
        <v>0</v>
      </c>
      <c r="HR621" s="1">
        <v>0</v>
      </c>
    </row>
    <row r="622" spans="2:226">
      <c r="B622" s="1">
        <f>10000000+INDEX(编号表!$B$1:$B$112,MATCH(D622,编号表!$A$1:$A$112,0))*10000+I622</f>
        <v>10840010</v>
      </c>
      <c r="C622" s="1" t="s">
        <v>528</v>
      </c>
      <c r="D622" s="1" t="s">
        <v>528</v>
      </c>
      <c r="E622" s="1" t="s">
        <v>469</v>
      </c>
      <c r="F622" s="1" t="s">
        <v>463</v>
      </c>
      <c r="G622" s="1">
        <v>1</v>
      </c>
      <c r="H622" s="1" t="b">
        <v>0</v>
      </c>
      <c r="I622" s="1">
        <v>10</v>
      </c>
      <c r="J622" s="1">
        <v>108400</v>
      </c>
      <c r="K622" s="1" t="s">
        <v>350</v>
      </c>
      <c r="L622" s="1">
        <v>10840009</v>
      </c>
      <c r="N622" s="1" t="s">
        <v>529</v>
      </c>
      <c r="O622" s="1">
        <v>10902027</v>
      </c>
      <c r="P622" s="1">
        <v>0</v>
      </c>
      <c r="Q622" s="1">
        <v>0</v>
      </c>
      <c r="R622" s="1">
        <v>1</v>
      </c>
      <c r="T622" s="1">
        <v>100</v>
      </c>
      <c r="AY622" s="1" t="s">
        <v>449</v>
      </c>
      <c r="AZ622" s="1">
        <v>0</v>
      </c>
      <c r="GX622" s="1">
        <v>0</v>
      </c>
      <c r="GY622" s="1">
        <v>0</v>
      </c>
      <c r="GZ622" s="1" t="s">
        <v>449</v>
      </c>
      <c r="HA622" s="1">
        <v>0</v>
      </c>
      <c r="HD622" s="1">
        <v>0</v>
      </c>
      <c r="HF622" s="1">
        <v>0</v>
      </c>
      <c r="HG622" s="1">
        <v>0</v>
      </c>
      <c r="HH622" s="1">
        <v>0</v>
      </c>
      <c r="HI622" s="1">
        <v>0</v>
      </c>
      <c r="HJ622" s="1">
        <v>0</v>
      </c>
      <c r="HK622" s="1" t="b">
        <v>0</v>
      </c>
      <c r="HM622" s="1">
        <v>0</v>
      </c>
      <c r="HO622" s="1" t="s">
        <v>360</v>
      </c>
      <c r="HP622" s="1">
        <v>0</v>
      </c>
      <c r="HQ622" s="1">
        <v>0</v>
      </c>
      <c r="HR622" s="1">
        <v>0</v>
      </c>
    </row>
    <row r="623" spans="2:226">
      <c r="B623" s="1">
        <f>10000000+INDEX(编号表!$B$1:$B$112,MATCH(D623,编号表!$A$1:$A$112,0))*10000+I623</f>
        <v>10850001</v>
      </c>
      <c r="C623" s="1" t="s">
        <v>530</v>
      </c>
      <c r="D623" s="1" t="s">
        <v>530</v>
      </c>
      <c r="E623" s="1" t="s">
        <v>469</v>
      </c>
      <c r="F623" s="1" t="s">
        <v>466</v>
      </c>
      <c r="G623" s="1">
        <v>1</v>
      </c>
      <c r="H623" s="1" t="b">
        <v>0</v>
      </c>
      <c r="I623" s="1">
        <v>1</v>
      </c>
      <c r="J623" s="1">
        <v>108500</v>
      </c>
      <c r="K623" s="1" t="s">
        <v>350</v>
      </c>
      <c r="M623" s="1">
        <v>10850002</v>
      </c>
      <c r="N623" s="1" t="s">
        <v>531</v>
      </c>
      <c r="O623" s="1">
        <v>10902028</v>
      </c>
      <c r="P623" s="1">
        <v>0</v>
      </c>
      <c r="Q623" s="1">
        <v>0</v>
      </c>
      <c r="R623" s="1">
        <v>1</v>
      </c>
      <c r="T623" s="1">
        <v>100</v>
      </c>
      <c r="AY623" s="1" t="s">
        <v>449</v>
      </c>
      <c r="AZ623" s="1">
        <v>0</v>
      </c>
      <c r="GX623" s="1">
        <v>0</v>
      </c>
      <c r="GY623" s="1">
        <v>0</v>
      </c>
      <c r="GZ623" s="1" t="s">
        <v>449</v>
      </c>
      <c r="HA623" s="1">
        <v>0</v>
      </c>
      <c r="HD623" s="1">
        <v>0</v>
      </c>
      <c r="HF623" s="1">
        <v>0</v>
      </c>
      <c r="HG623" s="1">
        <v>0</v>
      </c>
      <c r="HH623" s="1">
        <v>0</v>
      </c>
      <c r="HI623" s="1">
        <v>0</v>
      </c>
      <c r="HJ623" s="1">
        <v>0</v>
      </c>
      <c r="HK623" s="1" t="b">
        <v>0</v>
      </c>
      <c r="HM623" s="1">
        <v>0</v>
      </c>
      <c r="HO623" s="1" t="s">
        <v>360</v>
      </c>
      <c r="HP623" s="1">
        <v>0</v>
      </c>
      <c r="HQ623" s="1">
        <v>0</v>
      </c>
      <c r="HR623" s="1">
        <v>0</v>
      </c>
    </row>
    <row r="624" spans="2:226">
      <c r="B624" s="1">
        <f>10000000+INDEX(编号表!$B$1:$B$112,MATCH(D624,编号表!$A$1:$A$112,0))*10000+I624</f>
        <v>10850002</v>
      </c>
      <c r="C624" s="1" t="s">
        <v>530</v>
      </c>
      <c r="D624" s="1" t="s">
        <v>530</v>
      </c>
      <c r="E624" s="1" t="s">
        <v>469</v>
      </c>
      <c r="F624" s="1" t="s">
        <v>466</v>
      </c>
      <c r="G624" s="1">
        <v>1</v>
      </c>
      <c r="H624" s="1" t="b">
        <v>0</v>
      </c>
      <c r="I624" s="1">
        <v>2</v>
      </c>
      <c r="J624" s="1">
        <v>108500</v>
      </c>
      <c r="K624" s="1" t="s">
        <v>350</v>
      </c>
      <c r="L624" s="1">
        <v>10850001</v>
      </c>
      <c r="M624" s="1">
        <v>10850003</v>
      </c>
      <c r="N624" s="1" t="s">
        <v>531</v>
      </c>
      <c r="O624" s="1">
        <v>10902028</v>
      </c>
      <c r="P624" s="1">
        <v>0</v>
      </c>
      <c r="Q624" s="1">
        <v>0</v>
      </c>
      <c r="R624" s="1">
        <v>1</v>
      </c>
      <c r="T624" s="1">
        <v>100</v>
      </c>
      <c r="AY624" s="1" t="s">
        <v>449</v>
      </c>
      <c r="AZ624" s="1">
        <v>0</v>
      </c>
      <c r="GX624" s="1">
        <v>0</v>
      </c>
      <c r="GY624" s="1">
        <v>0</v>
      </c>
      <c r="GZ624" s="1" t="s">
        <v>449</v>
      </c>
      <c r="HA624" s="1">
        <v>0</v>
      </c>
      <c r="HD624" s="1">
        <v>0</v>
      </c>
      <c r="HF624" s="1">
        <v>0</v>
      </c>
      <c r="HG624" s="1">
        <v>0</v>
      </c>
      <c r="HH624" s="1">
        <v>0</v>
      </c>
      <c r="HI624" s="1">
        <v>0</v>
      </c>
      <c r="HJ624" s="1">
        <v>0</v>
      </c>
      <c r="HK624" s="1" t="b">
        <v>0</v>
      </c>
      <c r="HM624" s="1">
        <v>0</v>
      </c>
      <c r="HO624" s="1" t="s">
        <v>360</v>
      </c>
      <c r="HP624" s="1">
        <v>0</v>
      </c>
      <c r="HQ624" s="1">
        <v>0</v>
      </c>
      <c r="HR624" s="1">
        <v>0</v>
      </c>
    </row>
    <row r="625" spans="1:228">
      <c r="B625" s="1">
        <f>10000000+INDEX(编号表!$B$1:$B$112,MATCH(D625,编号表!$A$1:$A$112,0))*10000+I625</f>
        <v>10850003</v>
      </c>
      <c r="C625" s="1" t="s">
        <v>530</v>
      </c>
      <c r="D625" s="1" t="s">
        <v>530</v>
      </c>
      <c r="E625" s="1" t="s">
        <v>469</v>
      </c>
      <c r="F625" s="1" t="s">
        <v>466</v>
      </c>
      <c r="G625" s="1">
        <v>1</v>
      </c>
      <c r="H625" s="1" t="b">
        <v>0</v>
      </c>
      <c r="I625" s="1">
        <v>3</v>
      </c>
      <c r="J625" s="1">
        <v>108500</v>
      </c>
      <c r="K625" s="1" t="s">
        <v>350</v>
      </c>
      <c r="L625" s="1">
        <v>10850002</v>
      </c>
      <c r="M625" s="1">
        <v>10850004</v>
      </c>
      <c r="N625" s="1" t="s">
        <v>531</v>
      </c>
      <c r="O625" s="1">
        <v>10902028</v>
      </c>
      <c r="P625" s="1">
        <v>0</v>
      </c>
      <c r="Q625" s="1">
        <v>0</v>
      </c>
      <c r="R625" s="1">
        <v>1</v>
      </c>
      <c r="T625" s="1">
        <v>100</v>
      </c>
      <c r="AY625" s="1" t="s">
        <v>449</v>
      </c>
      <c r="AZ625" s="1">
        <v>0</v>
      </c>
      <c r="GX625" s="1">
        <v>0</v>
      </c>
      <c r="GY625" s="1">
        <v>0</v>
      </c>
      <c r="GZ625" s="1" t="s">
        <v>449</v>
      </c>
      <c r="HA625" s="1">
        <v>0</v>
      </c>
      <c r="HD625" s="1">
        <v>0</v>
      </c>
      <c r="HF625" s="1">
        <v>0</v>
      </c>
      <c r="HG625" s="1">
        <v>0</v>
      </c>
      <c r="HH625" s="1">
        <v>0</v>
      </c>
      <c r="HI625" s="1">
        <v>0</v>
      </c>
      <c r="HJ625" s="1">
        <v>0</v>
      </c>
      <c r="HK625" s="1" t="b">
        <v>0</v>
      </c>
      <c r="HM625" s="1">
        <v>0</v>
      </c>
      <c r="HO625" s="1" t="s">
        <v>360</v>
      </c>
      <c r="HP625" s="1">
        <v>0</v>
      </c>
      <c r="HQ625" s="1">
        <v>0</v>
      </c>
      <c r="HR625" s="1">
        <v>0</v>
      </c>
    </row>
    <row r="626" spans="1:228">
      <c r="B626" s="1">
        <f>10000000+INDEX(编号表!$B$1:$B$112,MATCH(D626,编号表!$A$1:$A$112,0))*10000+I626</f>
        <v>10850004</v>
      </c>
      <c r="C626" s="1" t="s">
        <v>530</v>
      </c>
      <c r="D626" s="1" t="s">
        <v>530</v>
      </c>
      <c r="E626" s="1" t="s">
        <v>469</v>
      </c>
      <c r="F626" s="1" t="s">
        <v>466</v>
      </c>
      <c r="G626" s="1">
        <v>1</v>
      </c>
      <c r="H626" s="1" t="b">
        <v>0</v>
      </c>
      <c r="I626" s="1">
        <v>4</v>
      </c>
      <c r="J626" s="1">
        <v>108500</v>
      </c>
      <c r="K626" s="1" t="s">
        <v>350</v>
      </c>
      <c r="L626" s="1">
        <v>10850003</v>
      </c>
      <c r="M626" s="1">
        <v>10850005</v>
      </c>
      <c r="N626" s="1" t="s">
        <v>531</v>
      </c>
      <c r="O626" s="1">
        <v>10902028</v>
      </c>
      <c r="P626" s="1">
        <v>0</v>
      </c>
      <c r="Q626" s="1">
        <v>0</v>
      </c>
      <c r="R626" s="1">
        <v>1</v>
      </c>
      <c r="T626" s="1">
        <v>100</v>
      </c>
      <c r="AY626" s="1" t="s">
        <v>449</v>
      </c>
      <c r="AZ626" s="1">
        <v>0</v>
      </c>
      <c r="GX626" s="1">
        <v>0</v>
      </c>
      <c r="GY626" s="1">
        <v>0</v>
      </c>
      <c r="GZ626" s="1" t="s">
        <v>449</v>
      </c>
      <c r="HA626" s="1">
        <v>0</v>
      </c>
      <c r="HD626" s="1">
        <v>0</v>
      </c>
      <c r="HF626" s="1">
        <v>0</v>
      </c>
      <c r="HG626" s="1">
        <v>0</v>
      </c>
      <c r="HH626" s="1">
        <v>0</v>
      </c>
      <c r="HI626" s="1">
        <v>0</v>
      </c>
      <c r="HJ626" s="1">
        <v>0</v>
      </c>
      <c r="HK626" s="1" t="b">
        <v>0</v>
      </c>
      <c r="HM626" s="1">
        <v>0</v>
      </c>
      <c r="HO626" s="1" t="s">
        <v>360</v>
      </c>
      <c r="HP626" s="1">
        <v>0</v>
      </c>
      <c r="HQ626" s="1">
        <v>0</v>
      </c>
      <c r="HR626" s="1">
        <v>0</v>
      </c>
    </row>
    <row r="627" spans="1:228">
      <c r="B627" s="1">
        <f>10000000+INDEX(编号表!$B$1:$B$112,MATCH(D627,编号表!$A$1:$A$112,0))*10000+I627</f>
        <v>10850005</v>
      </c>
      <c r="C627" s="1" t="s">
        <v>530</v>
      </c>
      <c r="D627" s="1" t="s">
        <v>530</v>
      </c>
      <c r="E627" s="1" t="s">
        <v>469</v>
      </c>
      <c r="F627" s="1" t="s">
        <v>466</v>
      </c>
      <c r="G627" s="1">
        <v>1</v>
      </c>
      <c r="H627" s="1" t="b">
        <v>0</v>
      </c>
      <c r="I627" s="1">
        <v>5</v>
      </c>
      <c r="J627" s="1">
        <v>108500</v>
      </c>
      <c r="K627" s="1" t="s">
        <v>350</v>
      </c>
      <c r="L627" s="1">
        <v>10850004</v>
      </c>
      <c r="M627" s="1">
        <v>10850006</v>
      </c>
      <c r="N627" s="1" t="s">
        <v>531</v>
      </c>
      <c r="O627" s="1">
        <v>10902028</v>
      </c>
      <c r="P627" s="1">
        <v>0</v>
      </c>
      <c r="Q627" s="1">
        <v>0</v>
      </c>
      <c r="R627" s="1">
        <v>1</v>
      </c>
      <c r="T627" s="1">
        <v>100</v>
      </c>
      <c r="AY627" s="1" t="s">
        <v>449</v>
      </c>
      <c r="AZ627" s="1">
        <v>0</v>
      </c>
      <c r="GX627" s="1">
        <v>0</v>
      </c>
      <c r="GY627" s="1">
        <v>0</v>
      </c>
      <c r="GZ627" s="1" t="s">
        <v>449</v>
      </c>
      <c r="HA627" s="1">
        <v>0</v>
      </c>
      <c r="HD627" s="1">
        <v>0</v>
      </c>
      <c r="HF627" s="1">
        <v>0</v>
      </c>
      <c r="HG627" s="1">
        <v>0</v>
      </c>
      <c r="HH627" s="1">
        <v>0</v>
      </c>
      <c r="HI627" s="1">
        <v>0</v>
      </c>
      <c r="HJ627" s="1">
        <v>0</v>
      </c>
      <c r="HK627" s="1" t="b">
        <v>0</v>
      </c>
      <c r="HM627" s="1">
        <v>0</v>
      </c>
      <c r="HO627" s="1" t="s">
        <v>360</v>
      </c>
      <c r="HP627" s="1">
        <v>0</v>
      </c>
      <c r="HQ627" s="1">
        <v>0</v>
      </c>
      <c r="HR627" s="1">
        <v>0</v>
      </c>
    </row>
    <row r="628" spans="1:228">
      <c r="B628" s="1">
        <f>10000000+INDEX(编号表!$B$1:$B$112,MATCH(D628,编号表!$A$1:$A$112,0))*10000+I628</f>
        <v>10850006</v>
      </c>
      <c r="C628" s="1" t="s">
        <v>530</v>
      </c>
      <c r="D628" s="1" t="s">
        <v>530</v>
      </c>
      <c r="E628" s="1" t="s">
        <v>469</v>
      </c>
      <c r="F628" s="1" t="s">
        <v>466</v>
      </c>
      <c r="G628" s="1">
        <v>1</v>
      </c>
      <c r="H628" s="1" t="b">
        <v>0</v>
      </c>
      <c r="I628" s="1">
        <v>6</v>
      </c>
      <c r="J628" s="1">
        <v>108500</v>
      </c>
      <c r="K628" s="1" t="s">
        <v>350</v>
      </c>
      <c r="L628" s="1">
        <v>10850005</v>
      </c>
      <c r="M628" s="1">
        <v>10850007</v>
      </c>
      <c r="N628" s="1" t="s">
        <v>531</v>
      </c>
      <c r="O628" s="1">
        <v>10902028</v>
      </c>
      <c r="P628" s="1">
        <v>0</v>
      </c>
      <c r="Q628" s="1">
        <v>0</v>
      </c>
      <c r="R628" s="1">
        <v>1</v>
      </c>
      <c r="T628" s="1">
        <v>100</v>
      </c>
      <c r="AY628" s="1" t="s">
        <v>449</v>
      </c>
      <c r="AZ628" s="1">
        <v>0</v>
      </c>
      <c r="GX628" s="1">
        <v>0</v>
      </c>
      <c r="GY628" s="1">
        <v>0</v>
      </c>
      <c r="GZ628" s="1" t="s">
        <v>449</v>
      </c>
      <c r="HA628" s="1">
        <v>0</v>
      </c>
      <c r="HD628" s="1">
        <v>0</v>
      </c>
      <c r="HF628" s="1">
        <v>0</v>
      </c>
      <c r="HG628" s="1">
        <v>0</v>
      </c>
      <c r="HH628" s="1">
        <v>0</v>
      </c>
      <c r="HI628" s="1">
        <v>0</v>
      </c>
      <c r="HJ628" s="1">
        <v>0</v>
      </c>
      <c r="HK628" s="1" t="b">
        <v>0</v>
      </c>
      <c r="HM628" s="1">
        <v>0</v>
      </c>
      <c r="HO628" s="1" t="s">
        <v>360</v>
      </c>
      <c r="HP628" s="1">
        <v>0</v>
      </c>
      <c r="HQ628" s="1">
        <v>0</v>
      </c>
      <c r="HR628" s="1">
        <v>0</v>
      </c>
    </row>
    <row r="629" spans="1:228">
      <c r="B629" s="1">
        <f>10000000+INDEX(编号表!$B$1:$B$112,MATCH(D629,编号表!$A$1:$A$112,0))*10000+I629</f>
        <v>10850007</v>
      </c>
      <c r="C629" s="1" t="s">
        <v>530</v>
      </c>
      <c r="D629" s="1" t="s">
        <v>530</v>
      </c>
      <c r="E629" s="1" t="s">
        <v>469</v>
      </c>
      <c r="F629" s="1" t="s">
        <v>466</v>
      </c>
      <c r="G629" s="1">
        <v>1</v>
      </c>
      <c r="H629" s="1" t="b">
        <v>0</v>
      </c>
      <c r="I629" s="1">
        <v>7</v>
      </c>
      <c r="J629" s="1">
        <v>108500</v>
      </c>
      <c r="K629" s="1" t="s">
        <v>350</v>
      </c>
      <c r="L629" s="1">
        <v>10850006</v>
      </c>
      <c r="M629" s="1">
        <v>10850008</v>
      </c>
      <c r="N629" s="1" t="s">
        <v>531</v>
      </c>
      <c r="O629" s="1">
        <v>10902028</v>
      </c>
      <c r="P629" s="1">
        <v>0</v>
      </c>
      <c r="Q629" s="1">
        <v>0</v>
      </c>
      <c r="R629" s="1">
        <v>1</v>
      </c>
      <c r="T629" s="1">
        <v>100</v>
      </c>
      <c r="AY629" s="1" t="s">
        <v>449</v>
      </c>
      <c r="AZ629" s="1">
        <v>0</v>
      </c>
      <c r="GX629" s="1">
        <v>0</v>
      </c>
      <c r="GY629" s="1">
        <v>0</v>
      </c>
      <c r="GZ629" s="1" t="s">
        <v>449</v>
      </c>
      <c r="HA629" s="1">
        <v>0</v>
      </c>
      <c r="HD629" s="1">
        <v>0</v>
      </c>
      <c r="HF629" s="1">
        <v>0</v>
      </c>
      <c r="HG629" s="1">
        <v>0</v>
      </c>
      <c r="HH629" s="1">
        <v>0</v>
      </c>
      <c r="HI629" s="1">
        <v>0</v>
      </c>
      <c r="HJ629" s="1">
        <v>0</v>
      </c>
      <c r="HK629" s="1" t="b">
        <v>0</v>
      </c>
      <c r="HM629" s="1">
        <v>0</v>
      </c>
      <c r="HO629" s="1" t="s">
        <v>360</v>
      </c>
      <c r="HP629" s="1">
        <v>0</v>
      </c>
      <c r="HQ629" s="1">
        <v>0</v>
      </c>
      <c r="HR629" s="1">
        <v>0</v>
      </c>
    </row>
    <row r="630" spans="1:228">
      <c r="B630" s="1">
        <f>10000000+INDEX(编号表!$B$1:$B$112,MATCH(D630,编号表!$A$1:$A$112,0))*10000+I630</f>
        <v>10850008</v>
      </c>
      <c r="C630" s="1" t="s">
        <v>530</v>
      </c>
      <c r="D630" s="1" t="s">
        <v>530</v>
      </c>
      <c r="E630" s="1" t="s">
        <v>469</v>
      </c>
      <c r="F630" s="1" t="s">
        <v>466</v>
      </c>
      <c r="G630" s="1">
        <v>1</v>
      </c>
      <c r="H630" s="1" t="b">
        <v>0</v>
      </c>
      <c r="I630" s="1">
        <v>8</v>
      </c>
      <c r="J630" s="1">
        <v>108500</v>
      </c>
      <c r="K630" s="1" t="s">
        <v>350</v>
      </c>
      <c r="L630" s="1">
        <v>10850007</v>
      </c>
      <c r="M630" s="1">
        <v>10850009</v>
      </c>
      <c r="N630" s="1" t="s">
        <v>531</v>
      </c>
      <c r="O630" s="1">
        <v>10902028</v>
      </c>
      <c r="P630" s="1">
        <v>0</v>
      </c>
      <c r="Q630" s="1">
        <v>0</v>
      </c>
      <c r="R630" s="1">
        <v>1</v>
      </c>
      <c r="T630" s="1">
        <v>100</v>
      </c>
      <c r="AY630" s="1" t="s">
        <v>449</v>
      </c>
      <c r="AZ630" s="1">
        <v>0</v>
      </c>
      <c r="GX630" s="1">
        <v>0</v>
      </c>
      <c r="GY630" s="1">
        <v>0</v>
      </c>
      <c r="GZ630" s="1" t="s">
        <v>449</v>
      </c>
      <c r="HA630" s="1">
        <v>0</v>
      </c>
      <c r="HD630" s="1">
        <v>0</v>
      </c>
      <c r="HF630" s="1">
        <v>0</v>
      </c>
      <c r="HG630" s="1">
        <v>0</v>
      </c>
      <c r="HH630" s="1">
        <v>0</v>
      </c>
      <c r="HI630" s="1">
        <v>0</v>
      </c>
      <c r="HJ630" s="1">
        <v>0</v>
      </c>
      <c r="HK630" s="1" t="b">
        <v>0</v>
      </c>
      <c r="HM630" s="1">
        <v>0</v>
      </c>
      <c r="HO630" s="1" t="s">
        <v>360</v>
      </c>
      <c r="HP630" s="1">
        <v>0</v>
      </c>
      <c r="HQ630" s="1">
        <v>0</v>
      </c>
      <c r="HR630" s="1">
        <v>0</v>
      </c>
    </row>
    <row r="631" spans="1:228">
      <c r="B631" s="1">
        <f>10000000+INDEX(编号表!$B$1:$B$112,MATCH(D631,编号表!$A$1:$A$112,0))*10000+I631</f>
        <v>10850009</v>
      </c>
      <c r="C631" s="1" t="s">
        <v>530</v>
      </c>
      <c r="D631" s="1" t="s">
        <v>530</v>
      </c>
      <c r="E631" s="1" t="s">
        <v>469</v>
      </c>
      <c r="F631" s="1" t="s">
        <v>466</v>
      </c>
      <c r="G631" s="1">
        <v>1</v>
      </c>
      <c r="H631" s="1" t="b">
        <v>0</v>
      </c>
      <c r="I631" s="1">
        <v>9</v>
      </c>
      <c r="J631" s="1">
        <v>108500</v>
      </c>
      <c r="K631" s="1" t="s">
        <v>350</v>
      </c>
      <c r="L631" s="1">
        <v>10850008</v>
      </c>
      <c r="M631" s="1">
        <v>10850010</v>
      </c>
      <c r="N631" s="1" t="s">
        <v>531</v>
      </c>
      <c r="O631" s="1">
        <v>10902028</v>
      </c>
      <c r="P631" s="1">
        <v>0</v>
      </c>
      <c r="Q631" s="1">
        <v>0</v>
      </c>
      <c r="R631" s="1">
        <v>1</v>
      </c>
      <c r="T631" s="1">
        <v>100</v>
      </c>
      <c r="AY631" s="1" t="s">
        <v>449</v>
      </c>
      <c r="AZ631" s="1">
        <v>0</v>
      </c>
      <c r="GX631" s="1">
        <v>0</v>
      </c>
      <c r="GY631" s="1">
        <v>0</v>
      </c>
      <c r="GZ631" s="1" t="s">
        <v>449</v>
      </c>
      <c r="HA631" s="1">
        <v>0</v>
      </c>
      <c r="HD631" s="1">
        <v>0</v>
      </c>
      <c r="HF631" s="1">
        <v>0</v>
      </c>
      <c r="HG631" s="1">
        <v>0</v>
      </c>
      <c r="HH631" s="1">
        <v>0</v>
      </c>
      <c r="HI631" s="1">
        <v>0</v>
      </c>
      <c r="HJ631" s="1">
        <v>0</v>
      </c>
      <c r="HK631" s="1" t="b">
        <v>0</v>
      </c>
      <c r="HM631" s="1">
        <v>0</v>
      </c>
      <c r="HO631" s="1" t="s">
        <v>360</v>
      </c>
      <c r="HP631" s="1">
        <v>0</v>
      </c>
      <c r="HQ631" s="1">
        <v>0</v>
      </c>
      <c r="HR631" s="1">
        <v>0</v>
      </c>
    </row>
    <row r="632" spans="1:228">
      <c r="B632" s="1">
        <f>10000000+INDEX(编号表!$B$1:$B$112,MATCH(D632,编号表!$A$1:$A$112,0))*10000+I632</f>
        <v>10850010</v>
      </c>
      <c r="C632" s="1" t="s">
        <v>530</v>
      </c>
      <c r="D632" s="1" t="s">
        <v>530</v>
      </c>
      <c r="E632" s="1" t="s">
        <v>469</v>
      </c>
      <c r="F632" s="1" t="s">
        <v>466</v>
      </c>
      <c r="G632" s="1">
        <v>1</v>
      </c>
      <c r="H632" s="1" t="b">
        <v>0</v>
      </c>
      <c r="I632" s="1">
        <v>10</v>
      </c>
      <c r="J632" s="1">
        <v>108500</v>
      </c>
      <c r="K632" s="1" t="s">
        <v>350</v>
      </c>
      <c r="L632" s="1">
        <v>10850009</v>
      </c>
      <c r="N632" s="1" t="s">
        <v>531</v>
      </c>
      <c r="O632" s="1">
        <v>10902028</v>
      </c>
      <c r="P632" s="1">
        <v>0</v>
      </c>
      <c r="Q632" s="1">
        <v>0</v>
      </c>
      <c r="R632" s="1">
        <v>1</v>
      </c>
      <c r="T632" s="1">
        <v>100</v>
      </c>
      <c r="AY632" s="1" t="s">
        <v>449</v>
      </c>
      <c r="AZ632" s="1">
        <v>0</v>
      </c>
      <c r="GX632" s="1">
        <v>0</v>
      </c>
      <c r="GY632" s="1">
        <v>0</v>
      </c>
      <c r="GZ632" s="1" t="s">
        <v>449</v>
      </c>
      <c r="HA632" s="1">
        <v>0</v>
      </c>
      <c r="HD632" s="1">
        <v>0</v>
      </c>
      <c r="HF632" s="1">
        <v>0</v>
      </c>
      <c r="HG632" s="1">
        <v>0</v>
      </c>
      <c r="HH632" s="1">
        <v>0</v>
      </c>
      <c r="HI632" s="1">
        <v>0</v>
      </c>
      <c r="HJ632" s="1">
        <v>0</v>
      </c>
      <c r="HK632" s="1" t="b">
        <v>0</v>
      </c>
      <c r="HM632" s="1">
        <v>0</v>
      </c>
      <c r="HO632" s="1" t="s">
        <v>360</v>
      </c>
      <c r="HP632" s="1">
        <v>0</v>
      </c>
      <c r="HQ632" s="1">
        <v>0</v>
      </c>
      <c r="HR632" s="1">
        <v>0</v>
      </c>
    </row>
    <row r="633" spans="1:228">
      <c r="B633" s="1">
        <f>10000000+INDEX(编号表!$B$1:$B$112,MATCH(D633,编号表!$A$1:$A$112,0))*10000+I633</f>
        <v>11000001</v>
      </c>
      <c r="C633" s="1" t="s">
        <v>532</v>
      </c>
      <c r="D633" s="1" t="s">
        <v>532</v>
      </c>
      <c r="E633" s="1" t="s">
        <v>360</v>
      </c>
      <c r="F633" s="1" t="s">
        <v>360</v>
      </c>
      <c r="G633" s="1">
        <v>0</v>
      </c>
      <c r="H633" s="1" t="b">
        <v>0</v>
      </c>
      <c r="I633" s="1">
        <v>1</v>
      </c>
      <c r="J633" s="1">
        <v>110000</v>
      </c>
      <c r="K633" s="1" t="s">
        <v>350</v>
      </c>
      <c r="M633" s="1">
        <v>0</v>
      </c>
      <c r="N633" s="1" t="s">
        <v>533</v>
      </c>
      <c r="O633" s="1">
        <v>0</v>
      </c>
      <c r="P633" s="1">
        <v>0</v>
      </c>
      <c r="Q633" s="1">
        <v>0</v>
      </c>
      <c r="R633" s="1">
        <v>0</v>
      </c>
      <c r="T633" s="1">
        <v>0</v>
      </c>
      <c r="V633" s="1">
        <v>0</v>
      </c>
      <c r="W633" s="1">
        <v>0</v>
      </c>
      <c r="X633" s="1" t="s">
        <v>352</v>
      </c>
      <c r="Y633" s="1" t="s">
        <v>376</v>
      </c>
      <c r="Z633" s="1" t="s">
        <v>354</v>
      </c>
      <c r="AA633" s="1">
        <v>0</v>
      </c>
      <c r="AB633" s="1">
        <v>1</v>
      </c>
      <c r="AC633" s="1">
        <v>0</v>
      </c>
      <c r="AD633" s="1" t="s">
        <v>355</v>
      </c>
      <c r="AY633" s="1" t="s">
        <v>356</v>
      </c>
      <c r="AZ633" s="1">
        <v>10000</v>
      </c>
      <c r="BA633" s="1" t="s">
        <v>357</v>
      </c>
      <c r="BB633" s="1" t="s">
        <v>354</v>
      </c>
      <c r="BC633" s="1">
        <v>10000</v>
      </c>
      <c r="BD633" s="1">
        <v>0</v>
      </c>
      <c r="BE633" s="1" t="s">
        <v>358</v>
      </c>
      <c r="BF633" s="1">
        <v>0</v>
      </c>
      <c r="BG633" s="1" t="s">
        <v>356</v>
      </c>
      <c r="BH633" s="1">
        <v>10000</v>
      </c>
      <c r="BI633" s="1">
        <v>0</v>
      </c>
      <c r="BJ633" s="1" t="b">
        <v>1</v>
      </c>
      <c r="BK633" s="1">
        <v>0</v>
      </c>
      <c r="BL633" s="1">
        <v>10000</v>
      </c>
      <c r="BM633"/>
      <c r="BN633"/>
      <c r="BO633"/>
      <c r="BP633"/>
      <c r="BQ633"/>
      <c r="BR633"/>
      <c r="BS633"/>
      <c r="BT633"/>
      <c r="BU633"/>
      <c r="BV633"/>
      <c r="BW633"/>
      <c r="BX633"/>
      <c r="BY633"/>
      <c r="BZ633"/>
      <c r="CA633"/>
      <c r="CB633"/>
      <c r="CC633"/>
      <c r="CD633"/>
      <c r="CE633"/>
      <c r="CF633"/>
      <c r="CG633"/>
      <c r="CH633"/>
      <c r="CI633"/>
      <c r="CJ633"/>
      <c r="CK633"/>
      <c r="CL633"/>
      <c r="CM633"/>
      <c r="CN633"/>
      <c r="CO633"/>
      <c r="CP633"/>
      <c r="CQ633"/>
      <c r="CR633"/>
      <c r="CS633"/>
      <c r="CT633"/>
      <c r="CU633"/>
      <c r="CV633"/>
      <c r="CW633"/>
      <c r="CZ633"/>
      <c r="DA633"/>
      <c r="DB633"/>
      <c r="DC633"/>
      <c r="DD633"/>
      <c r="DE633"/>
      <c r="DF633"/>
      <c r="DG633"/>
      <c r="DH633"/>
      <c r="DI633"/>
      <c r="DJ633"/>
      <c r="DK633"/>
      <c r="DL633"/>
      <c r="DM633"/>
      <c r="DN633"/>
      <c r="DO633"/>
      <c r="DP633"/>
      <c r="DQ633"/>
      <c r="DR633"/>
      <c r="DS633"/>
      <c r="DT633"/>
      <c r="DU633"/>
      <c r="DV633"/>
      <c r="DW633"/>
      <c r="DX633"/>
      <c r="DY633"/>
      <c r="DZ633"/>
      <c r="EA633"/>
      <c r="EB633"/>
      <c r="EC633"/>
      <c r="ED633"/>
      <c r="EE633"/>
      <c r="EF633"/>
      <c r="EG633"/>
      <c r="EH633"/>
      <c r="EI633"/>
      <c r="EJ633"/>
      <c r="EK633"/>
      <c r="EL633"/>
      <c r="EM633"/>
      <c r="EN633"/>
      <c r="EO633"/>
      <c r="EP633"/>
      <c r="EQ633"/>
      <c r="ER633"/>
      <c r="ES633"/>
      <c r="ET633"/>
      <c r="EU633"/>
      <c r="EV633"/>
      <c r="EY633"/>
      <c r="EZ633"/>
      <c r="FA633"/>
      <c r="FB633"/>
      <c r="FC633"/>
      <c r="FD633"/>
      <c r="FE633"/>
      <c r="FF633"/>
      <c r="FG633"/>
      <c r="FH633"/>
      <c r="FI633"/>
      <c r="FJ633"/>
      <c r="FK633"/>
      <c r="FL633"/>
      <c r="FM633"/>
      <c r="FN633"/>
      <c r="FO633"/>
      <c r="FP633"/>
      <c r="FQ633"/>
      <c r="FR633"/>
      <c r="FS633"/>
      <c r="FT633"/>
      <c r="FU633"/>
      <c r="FV633"/>
      <c r="FW633"/>
      <c r="FX633"/>
      <c r="FY633"/>
      <c r="FZ633"/>
      <c r="GA633"/>
      <c r="GB633"/>
      <c r="GC633"/>
      <c r="GD633"/>
      <c r="GE633"/>
      <c r="GF633"/>
      <c r="GG633"/>
      <c r="GH633"/>
      <c r="GI633"/>
      <c r="GJ633"/>
      <c r="GK633"/>
      <c r="GL633"/>
      <c r="GM633"/>
      <c r="GN633"/>
      <c r="GO633"/>
      <c r="GP633"/>
      <c r="GQ633"/>
      <c r="GR633"/>
      <c r="GS633"/>
      <c r="GT633"/>
      <c r="GU633"/>
      <c r="GX633" s="1">
        <v>0</v>
      </c>
      <c r="GY633" s="1">
        <v>0</v>
      </c>
      <c r="GZ633" s="1" t="s">
        <v>359</v>
      </c>
      <c r="HA633" s="1">
        <v>0</v>
      </c>
      <c r="HD633" s="1">
        <v>1</v>
      </c>
      <c r="HE633">
        <v>1500</v>
      </c>
      <c r="HF633" s="1" t="b">
        <v>1</v>
      </c>
      <c r="HG633" s="1">
        <v>0</v>
      </c>
      <c r="HH633" s="1">
        <v>0</v>
      </c>
      <c r="HI633" s="1">
        <v>0</v>
      </c>
      <c r="HJ633" s="1">
        <v>0</v>
      </c>
      <c r="HK633" s="1" t="b">
        <v>0</v>
      </c>
      <c r="HM633" s="1">
        <v>10001</v>
      </c>
      <c r="HO633" s="1" t="s">
        <v>360</v>
      </c>
      <c r="HP633" s="1">
        <v>0</v>
      </c>
      <c r="HQ633" s="1">
        <v>0</v>
      </c>
      <c r="HR633" s="1">
        <v>0</v>
      </c>
      <c r="HT633" t="b">
        <v>1</v>
      </c>
    </row>
    <row r="634" spans="1:228">
      <c r="A634"/>
      <c r="B634" s="1">
        <f>10000000+INDEX(编号表!$B$1:$B$112,MATCH(D634,编号表!$A$1:$A$112,0))*10000+I634</f>
        <v>10290001</v>
      </c>
      <c r="C634" s="5" t="s">
        <v>534</v>
      </c>
      <c r="D634" s="5" t="s">
        <v>534</v>
      </c>
      <c r="E634" s="5" t="s">
        <v>360</v>
      </c>
      <c r="F634" s="5" t="s">
        <v>391</v>
      </c>
      <c r="G634" s="5" t="b">
        <v>0</v>
      </c>
      <c r="H634" s="5" t="b">
        <v>1</v>
      </c>
      <c r="I634" s="5">
        <v>1</v>
      </c>
      <c r="J634" s="5">
        <v>102900</v>
      </c>
      <c r="K634" s="5" t="s">
        <v>350</v>
      </c>
      <c r="L634" s="5">
        <v>0</v>
      </c>
      <c r="M634" s="5">
        <v>0</v>
      </c>
      <c r="N634" s="5" t="s">
        <v>535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/>
      <c r="V634" s="5">
        <v>0</v>
      </c>
      <c r="W634" s="5">
        <v>0</v>
      </c>
      <c r="X634" s="5" t="s">
        <v>352</v>
      </c>
      <c r="Y634" s="5" t="s">
        <v>365</v>
      </c>
      <c r="Z634" s="5" t="s">
        <v>354</v>
      </c>
      <c r="AA634" s="5">
        <v>0</v>
      </c>
      <c r="AB634" s="5">
        <v>0</v>
      </c>
      <c r="AC634" s="5" t="b">
        <v>0</v>
      </c>
      <c r="AD634" s="5" t="s">
        <v>355</v>
      </c>
      <c r="AE634" s="5">
        <v>150</v>
      </c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 t="s">
        <v>381</v>
      </c>
      <c r="AZ634" s="5">
        <v>10000</v>
      </c>
      <c r="BA634" s="5" t="s">
        <v>357</v>
      </c>
      <c r="BB634" s="5" t="s">
        <v>354</v>
      </c>
      <c r="BC634" s="5">
        <v>10000</v>
      </c>
      <c r="BD634" s="5">
        <v>0</v>
      </c>
      <c r="BE634" s="5" t="s">
        <v>358</v>
      </c>
      <c r="BF634" s="5">
        <v>0</v>
      </c>
      <c r="BG634" s="5" t="s">
        <v>382</v>
      </c>
      <c r="BH634" s="5">
        <v>10000</v>
      </c>
      <c r="BI634" s="5">
        <v>3</v>
      </c>
      <c r="BJ634" s="5" t="b">
        <v>1</v>
      </c>
      <c r="BK634" s="5">
        <v>0</v>
      </c>
      <c r="BL634" s="5">
        <v>10000</v>
      </c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  <c r="EC634" s="5"/>
      <c r="ED634" s="5"/>
      <c r="EE634" s="5"/>
      <c r="EF634" s="5"/>
      <c r="EG634" s="5"/>
      <c r="EH634" s="5"/>
      <c r="EI634" s="5"/>
      <c r="EJ634" s="5"/>
      <c r="EK634" s="5"/>
      <c r="EL634" s="5"/>
      <c r="EM634" s="5"/>
      <c r="EN634" s="5"/>
      <c r="EO634" s="5"/>
      <c r="EP634" s="5"/>
      <c r="EQ634" s="5"/>
      <c r="ER634" s="5"/>
      <c r="ES634" s="5"/>
      <c r="ET634" s="5"/>
      <c r="EU634" s="5"/>
      <c r="EV634" s="5"/>
      <c r="EY634" s="5"/>
      <c r="EZ634" s="5"/>
      <c r="FA634" s="5"/>
      <c r="FB634" s="5"/>
      <c r="FC634" s="5"/>
      <c r="FD634" s="5"/>
      <c r="FE634" s="5"/>
      <c r="FF634" s="5"/>
      <c r="FG634" s="5"/>
      <c r="FH634" s="5"/>
      <c r="FI634" s="5"/>
      <c r="FJ634" s="5"/>
      <c r="FK634" s="5"/>
      <c r="FL634" s="5"/>
      <c r="FM634" s="5"/>
      <c r="FN634" s="5"/>
      <c r="FO634" s="5"/>
      <c r="FP634" s="5"/>
      <c r="FQ634" s="5"/>
      <c r="FR634" s="5"/>
      <c r="FS634" s="5"/>
      <c r="FT634" s="5"/>
      <c r="FU634" s="5"/>
      <c r="FV634" s="5"/>
      <c r="FW634" s="5"/>
      <c r="FX634" s="5"/>
      <c r="FY634" s="5"/>
      <c r="FZ634" s="5"/>
      <c r="GA634" s="5"/>
      <c r="GB634" s="5"/>
      <c r="GC634" s="5"/>
      <c r="GD634" s="5"/>
      <c r="GE634" s="5"/>
      <c r="GF634" s="5"/>
      <c r="GG634" s="5"/>
      <c r="GH634" s="5"/>
      <c r="GI634" s="5"/>
      <c r="GJ634" s="5"/>
      <c r="GK634" s="5"/>
      <c r="GL634" s="5"/>
      <c r="GM634" s="5"/>
      <c r="GN634" s="5"/>
      <c r="GO634" s="5"/>
      <c r="GP634" s="5"/>
      <c r="GQ634" s="5"/>
      <c r="GR634" s="5"/>
      <c r="GS634" s="5"/>
      <c r="GT634" s="5"/>
      <c r="GU634" s="5"/>
      <c r="GX634" s="5">
        <v>0</v>
      </c>
      <c r="GY634" s="5">
        <v>0</v>
      </c>
      <c r="GZ634" s="5" t="s">
        <v>367</v>
      </c>
      <c r="HA634" s="5">
        <v>0</v>
      </c>
      <c r="HB634" s="5"/>
      <c r="HC634" s="5"/>
      <c r="HD634" s="5" t="b">
        <v>0</v>
      </c>
      <c r="HE634" s="5">
        <v>0</v>
      </c>
      <c r="HF634" s="5" t="b">
        <v>1</v>
      </c>
      <c r="HG634" s="5">
        <v>0</v>
      </c>
      <c r="HH634" s="5">
        <v>0</v>
      </c>
      <c r="HI634" s="5">
        <v>0</v>
      </c>
      <c r="HJ634" s="5">
        <v>0</v>
      </c>
      <c r="HK634" s="5" t="b">
        <v>0</v>
      </c>
      <c r="HL634" s="5">
        <v>0</v>
      </c>
      <c r="HM634" s="5">
        <v>0</v>
      </c>
      <c r="HN634" s="5" t="s">
        <v>367</v>
      </c>
      <c r="HO634" s="5" t="s">
        <v>360</v>
      </c>
      <c r="HP634" s="5">
        <v>0</v>
      </c>
      <c r="HQ634" s="5">
        <v>0</v>
      </c>
      <c r="HR634" s="5">
        <v>0</v>
      </c>
      <c r="HS634" s="5">
        <v>0</v>
      </c>
      <c r="HT634" s="5" t="b">
        <v>0</v>
      </c>
    </row>
    <row r="635" spans="1:228">
      <c r="A635"/>
      <c r="B635" s="1">
        <f>10000000+INDEX(编号表!$B$1:$B$112,MATCH(D635,编号表!$A$1:$A$112,0))*10000+I635</f>
        <v>10290002</v>
      </c>
      <c r="C635" s="5" t="s">
        <v>534</v>
      </c>
      <c r="D635" s="5" t="s">
        <v>534</v>
      </c>
      <c r="E635" s="5" t="s">
        <v>360</v>
      </c>
      <c r="F635" s="5" t="s">
        <v>391</v>
      </c>
      <c r="G635" s="5" t="b">
        <v>0</v>
      </c>
      <c r="H635" s="5" t="b">
        <v>1</v>
      </c>
      <c r="I635" s="5">
        <v>2</v>
      </c>
      <c r="J635" s="5">
        <v>102900</v>
      </c>
      <c r="K635" s="5" t="s">
        <v>350</v>
      </c>
      <c r="L635" s="5">
        <v>0</v>
      </c>
      <c r="M635" s="5">
        <v>0</v>
      </c>
      <c r="N635" s="5" t="s">
        <v>535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/>
      <c r="V635" s="5">
        <v>0</v>
      </c>
      <c r="W635" s="5">
        <v>0</v>
      </c>
      <c r="X635" s="5" t="s">
        <v>352</v>
      </c>
      <c r="Y635" s="5" t="s">
        <v>365</v>
      </c>
      <c r="Z635" s="5" t="s">
        <v>354</v>
      </c>
      <c r="AA635" s="5">
        <v>0</v>
      </c>
      <c r="AB635" s="5">
        <v>0</v>
      </c>
      <c r="AC635" s="5" t="b">
        <v>0</v>
      </c>
      <c r="AD635" s="5" t="s">
        <v>355</v>
      </c>
      <c r="AE635" s="5">
        <v>150</v>
      </c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 t="s">
        <v>381</v>
      </c>
      <c r="AZ635" s="5">
        <v>10400</v>
      </c>
      <c r="BA635" s="5" t="s">
        <v>357</v>
      </c>
      <c r="BB635" s="5" t="s">
        <v>354</v>
      </c>
      <c r="BC635" s="5">
        <v>10000</v>
      </c>
      <c r="BD635" s="5">
        <v>0</v>
      </c>
      <c r="BE635" s="5" t="s">
        <v>358</v>
      </c>
      <c r="BF635" s="5">
        <v>0</v>
      </c>
      <c r="BG635" s="5" t="s">
        <v>382</v>
      </c>
      <c r="BH635" s="5">
        <v>10000</v>
      </c>
      <c r="BI635" s="5">
        <v>4</v>
      </c>
      <c r="BJ635" s="5" t="b">
        <v>1</v>
      </c>
      <c r="BK635" s="5">
        <v>0</v>
      </c>
      <c r="BL635" s="5">
        <v>10000</v>
      </c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  <c r="EC635" s="5"/>
      <c r="ED635" s="5"/>
      <c r="EE635" s="5"/>
      <c r="EF635" s="5"/>
      <c r="EG635" s="5"/>
      <c r="EH635" s="5"/>
      <c r="EI635" s="5"/>
      <c r="EJ635" s="5"/>
      <c r="EK635" s="5"/>
      <c r="EL635" s="5"/>
      <c r="EM635" s="5"/>
      <c r="EN635" s="5"/>
      <c r="EO635" s="5"/>
      <c r="EP635" s="5"/>
      <c r="EQ635" s="5"/>
      <c r="ER635" s="5"/>
      <c r="ES635" s="5"/>
      <c r="ET635" s="5"/>
      <c r="EU635" s="5"/>
      <c r="EV635" s="5"/>
      <c r="EY635" s="5"/>
      <c r="EZ635" s="5"/>
      <c r="FA635" s="5"/>
      <c r="FB635" s="5"/>
      <c r="FC635" s="5"/>
      <c r="FD635" s="5"/>
      <c r="FE635" s="5"/>
      <c r="FF635" s="5"/>
      <c r="FG635" s="5"/>
      <c r="FH635" s="5"/>
      <c r="FI635" s="5"/>
      <c r="FJ635" s="5"/>
      <c r="FK635" s="5"/>
      <c r="FL635" s="5"/>
      <c r="FM635" s="5"/>
      <c r="FN635" s="5"/>
      <c r="FO635" s="5"/>
      <c r="FP635" s="5"/>
      <c r="FQ635" s="5"/>
      <c r="FR635" s="5"/>
      <c r="FS635" s="5"/>
      <c r="FT635" s="5"/>
      <c r="FU635" s="5"/>
      <c r="FV635" s="5"/>
      <c r="FW635" s="5"/>
      <c r="FX635" s="5"/>
      <c r="FY635" s="5"/>
      <c r="FZ635" s="5"/>
      <c r="GA635" s="5"/>
      <c r="GB635" s="5"/>
      <c r="GC635" s="5"/>
      <c r="GD635" s="5"/>
      <c r="GE635" s="5"/>
      <c r="GF635" s="5"/>
      <c r="GG635" s="5"/>
      <c r="GH635" s="5"/>
      <c r="GI635" s="5"/>
      <c r="GJ635" s="5"/>
      <c r="GK635" s="5"/>
      <c r="GL635" s="5"/>
      <c r="GM635" s="5"/>
      <c r="GN635" s="5"/>
      <c r="GO635" s="5"/>
      <c r="GP635" s="5"/>
      <c r="GQ635" s="5"/>
      <c r="GR635" s="5"/>
      <c r="GS635" s="5"/>
      <c r="GT635" s="5"/>
      <c r="GU635" s="5"/>
      <c r="GX635" s="5">
        <v>0</v>
      </c>
      <c r="GY635" s="5">
        <v>0</v>
      </c>
      <c r="GZ635" s="5" t="s">
        <v>367</v>
      </c>
      <c r="HA635" s="5">
        <v>0</v>
      </c>
      <c r="HB635" s="5"/>
      <c r="HC635" s="5"/>
      <c r="HD635" s="5" t="b">
        <v>0</v>
      </c>
      <c r="HE635" s="5">
        <v>0</v>
      </c>
      <c r="HF635" s="5" t="b">
        <v>1</v>
      </c>
      <c r="HG635" s="5">
        <v>0</v>
      </c>
      <c r="HH635" s="5">
        <v>0</v>
      </c>
      <c r="HI635" s="5">
        <v>0</v>
      </c>
      <c r="HJ635" s="5">
        <v>0</v>
      </c>
      <c r="HK635" s="5" t="b">
        <v>0</v>
      </c>
      <c r="HL635" s="5">
        <v>0</v>
      </c>
      <c r="HM635" s="5">
        <v>0</v>
      </c>
      <c r="HN635" s="5" t="s">
        <v>367</v>
      </c>
      <c r="HO635" s="5" t="s">
        <v>360</v>
      </c>
      <c r="HP635" s="5">
        <v>0</v>
      </c>
      <c r="HQ635" s="5">
        <v>0</v>
      </c>
      <c r="HR635" s="5">
        <v>0</v>
      </c>
      <c r="HS635" s="5">
        <v>0</v>
      </c>
      <c r="HT635" s="5" t="b">
        <v>0</v>
      </c>
    </row>
    <row r="636" spans="1:228">
      <c r="A636"/>
      <c r="B636" s="1">
        <f>10000000+INDEX(编号表!$B$1:$B$112,MATCH(D636,编号表!$A$1:$A$112,0))*10000+I636</f>
        <v>10290003</v>
      </c>
      <c r="C636" s="5" t="s">
        <v>534</v>
      </c>
      <c r="D636" s="5" t="s">
        <v>534</v>
      </c>
      <c r="E636" s="5" t="s">
        <v>360</v>
      </c>
      <c r="F636" s="5" t="s">
        <v>391</v>
      </c>
      <c r="G636" s="5" t="b">
        <v>0</v>
      </c>
      <c r="H636" s="5" t="b">
        <v>1</v>
      </c>
      <c r="I636" s="5">
        <v>3</v>
      </c>
      <c r="J636" s="5">
        <v>102900</v>
      </c>
      <c r="K636" s="5" t="s">
        <v>350</v>
      </c>
      <c r="L636" s="5">
        <v>0</v>
      </c>
      <c r="M636" s="5">
        <v>0</v>
      </c>
      <c r="N636" s="5" t="s">
        <v>535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/>
      <c r="V636" s="5">
        <v>0</v>
      </c>
      <c r="W636" s="5">
        <v>0</v>
      </c>
      <c r="X636" s="5" t="s">
        <v>352</v>
      </c>
      <c r="Y636" s="5" t="s">
        <v>365</v>
      </c>
      <c r="Z636" s="5" t="s">
        <v>354</v>
      </c>
      <c r="AA636" s="5">
        <v>0</v>
      </c>
      <c r="AB636" s="5">
        <v>0</v>
      </c>
      <c r="AC636" s="5" t="b">
        <v>0</v>
      </c>
      <c r="AD636" s="5" t="s">
        <v>355</v>
      </c>
      <c r="AE636" s="5">
        <v>150</v>
      </c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 t="s">
        <v>381</v>
      </c>
      <c r="AZ636" s="5">
        <v>10800</v>
      </c>
      <c r="BA636" s="5" t="s">
        <v>357</v>
      </c>
      <c r="BB636" s="5" t="s">
        <v>354</v>
      </c>
      <c r="BC636" s="5">
        <v>10000</v>
      </c>
      <c r="BD636" s="5">
        <v>0</v>
      </c>
      <c r="BE636" s="5" t="s">
        <v>358</v>
      </c>
      <c r="BF636" s="5">
        <v>0</v>
      </c>
      <c r="BG636" s="5" t="s">
        <v>382</v>
      </c>
      <c r="BH636" s="5">
        <v>10000</v>
      </c>
      <c r="BI636" s="5">
        <v>5</v>
      </c>
      <c r="BJ636" s="5" t="b">
        <v>1</v>
      </c>
      <c r="BK636" s="5">
        <v>0</v>
      </c>
      <c r="BL636" s="5">
        <v>10000</v>
      </c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  <c r="EC636" s="5"/>
      <c r="ED636" s="5"/>
      <c r="EE636" s="5"/>
      <c r="EF636" s="5"/>
      <c r="EG636" s="5"/>
      <c r="EH636" s="5"/>
      <c r="EI636" s="5"/>
      <c r="EJ636" s="5"/>
      <c r="EK636" s="5"/>
      <c r="EL636" s="5"/>
      <c r="EM636" s="5"/>
      <c r="EN636" s="5"/>
      <c r="EO636" s="5"/>
      <c r="EP636" s="5"/>
      <c r="EQ636" s="5"/>
      <c r="ER636" s="5"/>
      <c r="ES636" s="5"/>
      <c r="ET636" s="5"/>
      <c r="EU636" s="5"/>
      <c r="EV636" s="5"/>
      <c r="EY636" s="5"/>
      <c r="EZ636" s="5"/>
      <c r="FA636" s="5"/>
      <c r="FB636" s="5"/>
      <c r="FC636" s="5"/>
      <c r="FD636" s="5"/>
      <c r="FE636" s="5"/>
      <c r="FF636" s="5"/>
      <c r="FG636" s="5"/>
      <c r="FH636" s="5"/>
      <c r="FI636" s="5"/>
      <c r="FJ636" s="5"/>
      <c r="FK636" s="5"/>
      <c r="FL636" s="5"/>
      <c r="FM636" s="5"/>
      <c r="FN636" s="5"/>
      <c r="FO636" s="5"/>
      <c r="FP636" s="5"/>
      <c r="FQ636" s="5"/>
      <c r="FR636" s="5"/>
      <c r="FS636" s="5"/>
      <c r="FT636" s="5"/>
      <c r="FU636" s="5"/>
      <c r="FV636" s="5"/>
      <c r="FW636" s="5"/>
      <c r="FX636" s="5"/>
      <c r="FY636" s="5"/>
      <c r="FZ636" s="5"/>
      <c r="GA636" s="5"/>
      <c r="GB636" s="5"/>
      <c r="GC636" s="5"/>
      <c r="GD636" s="5"/>
      <c r="GE636" s="5"/>
      <c r="GF636" s="5"/>
      <c r="GG636" s="5"/>
      <c r="GH636" s="5"/>
      <c r="GI636" s="5"/>
      <c r="GJ636" s="5"/>
      <c r="GK636" s="5"/>
      <c r="GL636" s="5"/>
      <c r="GM636" s="5"/>
      <c r="GN636" s="5"/>
      <c r="GO636" s="5"/>
      <c r="GP636" s="5"/>
      <c r="GQ636" s="5"/>
      <c r="GR636" s="5"/>
      <c r="GS636" s="5"/>
      <c r="GT636" s="5"/>
      <c r="GU636" s="5"/>
      <c r="GX636" s="5">
        <v>0</v>
      </c>
      <c r="GY636" s="5">
        <v>0</v>
      </c>
      <c r="GZ636" s="5" t="s">
        <v>367</v>
      </c>
      <c r="HA636" s="5">
        <v>0</v>
      </c>
      <c r="HB636" s="5"/>
      <c r="HC636" s="5"/>
      <c r="HD636" s="5" t="b">
        <v>0</v>
      </c>
      <c r="HE636" s="5">
        <v>0</v>
      </c>
      <c r="HF636" s="5" t="b">
        <v>1</v>
      </c>
      <c r="HG636" s="5">
        <v>0</v>
      </c>
      <c r="HH636" s="5">
        <v>0</v>
      </c>
      <c r="HI636" s="5">
        <v>0</v>
      </c>
      <c r="HJ636" s="5">
        <v>0</v>
      </c>
      <c r="HK636" s="5" t="b">
        <v>0</v>
      </c>
      <c r="HL636" s="5">
        <v>0</v>
      </c>
      <c r="HM636" s="5">
        <v>0</v>
      </c>
      <c r="HN636" s="5" t="s">
        <v>367</v>
      </c>
      <c r="HO636" s="5" t="s">
        <v>360</v>
      </c>
      <c r="HP636" s="5">
        <v>0</v>
      </c>
      <c r="HQ636" s="5">
        <v>0</v>
      </c>
      <c r="HR636" s="5">
        <v>0</v>
      </c>
      <c r="HS636" s="5">
        <v>0</v>
      </c>
      <c r="HT636" s="5" t="b">
        <v>0</v>
      </c>
    </row>
    <row r="637" spans="1:228">
      <c r="A637"/>
      <c r="B637" s="1">
        <f>10000000+INDEX(编号表!$B$1:$B$112,MATCH(D637,编号表!$A$1:$A$112,0))*10000+I637</f>
        <v>10290004</v>
      </c>
      <c r="C637" s="5" t="s">
        <v>534</v>
      </c>
      <c r="D637" s="5" t="s">
        <v>534</v>
      </c>
      <c r="E637" s="5" t="s">
        <v>360</v>
      </c>
      <c r="F637" s="5" t="s">
        <v>391</v>
      </c>
      <c r="G637" s="5" t="b">
        <v>0</v>
      </c>
      <c r="H637" s="5" t="b">
        <v>1</v>
      </c>
      <c r="I637" s="5">
        <v>4</v>
      </c>
      <c r="J637" s="5">
        <v>102900</v>
      </c>
      <c r="K637" s="5" t="s">
        <v>350</v>
      </c>
      <c r="L637" s="5">
        <v>0</v>
      </c>
      <c r="M637" s="5">
        <v>0</v>
      </c>
      <c r="N637" s="5" t="s">
        <v>535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/>
      <c r="V637" s="5">
        <v>0</v>
      </c>
      <c r="W637" s="5">
        <v>0</v>
      </c>
      <c r="X637" s="5" t="s">
        <v>352</v>
      </c>
      <c r="Y637" s="5" t="s">
        <v>365</v>
      </c>
      <c r="Z637" s="5" t="s">
        <v>354</v>
      </c>
      <c r="AA637" s="5">
        <v>0</v>
      </c>
      <c r="AB637" s="5">
        <v>0</v>
      </c>
      <c r="AC637" s="5" t="b">
        <v>0</v>
      </c>
      <c r="AD637" s="5" t="s">
        <v>355</v>
      </c>
      <c r="AE637" s="5">
        <v>150</v>
      </c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 t="s">
        <v>381</v>
      </c>
      <c r="AZ637" s="5">
        <v>11200</v>
      </c>
      <c r="BA637" s="5" t="s">
        <v>357</v>
      </c>
      <c r="BB637" s="5" t="s">
        <v>354</v>
      </c>
      <c r="BC637" s="5">
        <v>10000</v>
      </c>
      <c r="BD637" s="5">
        <v>0</v>
      </c>
      <c r="BE637" s="5" t="s">
        <v>358</v>
      </c>
      <c r="BF637" s="5">
        <v>0</v>
      </c>
      <c r="BG637" s="5" t="s">
        <v>382</v>
      </c>
      <c r="BH637" s="5">
        <v>10000</v>
      </c>
      <c r="BI637" s="5">
        <v>6</v>
      </c>
      <c r="BJ637" s="5" t="b">
        <v>1</v>
      </c>
      <c r="BK637" s="5">
        <v>0</v>
      </c>
      <c r="BL637" s="5">
        <v>10000</v>
      </c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  <c r="EC637" s="5"/>
      <c r="ED637" s="5"/>
      <c r="EE637" s="5"/>
      <c r="EF637" s="5"/>
      <c r="EG637" s="5"/>
      <c r="EH637" s="5"/>
      <c r="EI637" s="5"/>
      <c r="EJ637" s="5"/>
      <c r="EK637" s="5"/>
      <c r="EL637" s="5"/>
      <c r="EM637" s="5"/>
      <c r="EN637" s="5"/>
      <c r="EO637" s="5"/>
      <c r="EP637" s="5"/>
      <c r="EQ637" s="5"/>
      <c r="ER637" s="5"/>
      <c r="ES637" s="5"/>
      <c r="ET637" s="5"/>
      <c r="EU637" s="5"/>
      <c r="EV637" s="5"/>
      <c r="EY637" s="5"/>
      <c r="EZ637" s="5"/>
      <c r="FA637" s="5"/>
      <c r="FB637" s="5"/>
      <c r="FC637" s="5"/>
      <c r="FD637" s="5"/>
      <c r="FE637" s="5"/>
      <c r="FF637" s="5"/>
      <c r="FG637" s="5"/>
      <c r="FH637" s="5"/>
      <c r="FI637" s="5"/>
      <c r="FJ637" s="5"/>
      <c r="FK637" s="5"/>
      <c r="FL637" s="5"/>
      <c r="FM637" s="5"/>
      <c r="FN637" s="5"/>
      <c r="FO637" s="5"/>
      <c r="FP637" s="5"/>
      <c r="FQ637" s="5"/>
      <c r="FR637" s="5"/>
      <c r="FS637" s="5"/>
      <c r="FT637" s="5"/>
      <c r="FU637" s="5"/>
      <c r="FV637" s="5"/>
      <c r="FW637" s="5"/>
      <c r="FX637" s="5"/>
      <c r="FY637" s="5"/>
      <c r="FZ637" s="5"/>
      <c r="GA637" s="5"/>
      <c r="GB637" s="5"/>
      <c r="GC637" s="5"/>
      <c r="GD637" s="5"/>
      <c r="GE637" s="5"/>
      <c r="GF637" s="5"/>
      <c r="GG637" s="5"/>
      <c r="GH637" s="5"/>
      <c r="GI637" s="5"/>
      <c r="GJ637" s="5"/>
      <c r="GK637" s="5"/>
      <c r="GL637" s="5"/>
      <c r="GM637" s="5"/>
      <c r="GN637" s="5"/>
      <c r="GO637" s="5"/>
      <c r="GP637" s="5"/>
      <c r="GQ637" s="5"/>
      <c r="GR637" s="5"/>
      <c r="GS637" s="5"/>
      <c r="GT637" s="5"/>
      <c r="GU637" s="5"/>
      <c r="GX637" s="5">
        <v>0</v>
      </c>
      <c r="GY637" s="5">
        <v>0</v>
      </c>
      <c r="GZ637" s="5" t="s">
        <v>367</v>
      </c>
      <c r="HA637" s="5">
        <v>0</v>
      </c>
      <c r="HB637" s="5"/>
      <c r="HC637" s="5"/>
      <c r="HD637" s="5" t="b">
        <v>0</v>
      </c>
      <c r="HE637" s="5">
        <v>0</v>
      </c>
      <c r="HF637" s="5" t="b">
        <v>1</v>
      </c>
      <c r="HG637" s="5">
        <v>0</v>
      </c>
      <c r="HH637" s="5">
        <v>0</v>
      </c>
      <c r="HI637" s="5">
        <v>0</v>
      </c>
      <c r="HJ637" s="5">
        <v>0</v>
      </c>
      <c r="HK637" s="5" t="b">
        <v>0</v>
      </c>
      <c r="HL637" s="5">
        <v>0</v>
      </c>
      <c r="HM637" s="5">
        <v>0</v>
      </c>
      <c r="HN637" s="5" t="s">
        <v>367</v>
      </c>
      <c r="HO637" s="5" t="s">
        <v>360</v>
      </c>
      <c r="HP637" s="5">
        <v>0</v>
      </c>
      <c r="HQ637" s="5">
        <v>0</v>
      </c>
      <c r="HR637" s="5">
        <v>0</v>
      </c>
      <c r="HS637" s="5">
        <v>0</v>
      </c>
      <c r="HT637" s="5" t="b">
        <v>0</v>
      </c>
    </row>
    <row r="638" spans="1:228">
      <c r="A638"/>
      <c r="B638" s="1">
        <f>10000000+INDEX(编号表!$B$1:$B$112,MATCH(D638,编号表!$A$1:$A$112,0))*10000+I638</f>
        <v>10290005</v>
      </c>
      <c r="C638" s="5" t="s">
        <v>534</v>
      </c>
      <c r="D638" s="5" t="s">
        <v>534</v>
      </c>
      <c r="E638" s="5" t="s">
        <v>360</v>
      </c>
      <c r="F638" s="5" t="s">
        <v>391</v>
      </c>
      <c r="G638" s="5" t="b">
        <v>0</v>
      </c>
      <c r="H638" s="5" t="b">
        <v>1</v>
      </c>
      <c r="I638" s="5">
        <v>5</v>
      </c>
      <c r="J638" s="5">
        <v>102900</v>
      </c>
      <c r="K638" s="5" t="s">
        <v>350</v>
      </c>
      <c r="L638" s="5">
        <v>0</v>
      </c>
      <c r="M638" s="5">
        <v>0</v>
      </c>
      <c r="N638" s="5" t="s">
        <v>535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/>
      <c r="V638" s="5">
        <v>0</v>
      </c>
      <c r="W638" s="5">
        <v>0</v>
      </c>
      <c r="X638" s="5" t="s">
        <v>352</v>
      </c>
      <c r="Y638" s="5" t="s">
        <v>365</v>
      </c>
      <c r="Z638" s="5" t="s">
        <v>354</v>
      </c>
      <c r="AA638" s="5">
        <v>0</v>
      </c>
      <c r="AB638" s="5">
        <v>0</v>
      </c>
      <c r="AC638" s="5" t="b">
        <v>0</v>
      </c>
      <c r="AD638" s="5" t="s">
        <v>355</v>
      </c>
      <c r="AE638" s="5">
        <v>150</v>
      </c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 t="s">
        <v>381</v>
      </c>
      <c r="AZ638" s="5">
        <v>11300</v>
      </c>
      <c r="BA638" s="5" t="s">
        <v>357</v>
      </c>
      <c r="BB638" s="5" t="s">
        <v>354</v>
      </c>
      <c r="BC638" s="5">
        <v>10000</v>
      </c>
      <c r="BD638" s="5">
        <v>0</v>
      </c>
      <c r="BE638" s="5" t="s">
        <v>358</v>
      </c>
      <c r="BF638" s="5">
        <v>0</v>
      </c>
      <c r="BG638" s="5" t="s">
        <v>382</v>
      </c>
      <c r="BH638" s="5">
        <v>10000</v>
      </c>
      <c r="BI638" s="5">
        <v>6</v>
      </c>
      <c r="BJ638" s="5" t="b">
        <v>1</v>
      </c>
      <c r="BK638" s="5">
        <v>0</v>
      </c>
      <c r="BL638" s="5">
        <v>10000</v>
      </c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  <c r="EC638" s="5"/>
      <c r="ED638" s="5"/>
      <c r="EE638" s="5"/>
      <c r="EF638" s="5"/>
      <c r="EG638" s="5"/>
      <c r="EH638" s="5"/>
      <c r="EI638" s="5"/>
      <c r="EJ638" s="5"/>
      <c r="EK638" s="5"/>
      <c r="EL638" s="5"/>
      <c r="EM638" s="5"/>
      <c r="EN638" s="5"/>
      <c r="EO638" s="5"/>
      <c r="EP638" s="5"/>
      <c r="EQ638" s="5"/>
      <c r="ER638" s="5"/>
      <c r="ES638" s="5"/>
      <c r="ET638" s="5"/>
      <c r="EU638" s="5"/>
      <c r="EV638" s="5"/>
      <c r="EY638" s="5"/>
      <c r="EZ638" s="5"/>
      <c r="FA638" s="5"/>
      <c r="FB638" s="5"/>
      <c r="FC638" s="5"/>
      <c r="FD638" s="5"/>
      <c r="FE638" s="5"/>
      <c r="FF638" s="5"/>
      <c r="FG638" s="5"/>
      <c r="FH638" s="5"/>
      <c r="FI638" s="5"/>
      <c r="FJ638" s="5"/>
      <c r="FK638" s="5"/>
      <c r="FL638" s="5"/>
      <c r="FM638" s="5"/>
      <c r="FN638" s="5"/>
      <c r="FO638" s="5"/>
      <c r="FP638" s="5"/>
      <c r="FQ638" s="5"/>
      <c r="FR638" s="5"/>
      <c r="FS638" s="5"/>
      <c r="FT638" s="5"/>
      <c r="FU638" s="5"/>
      <c r="FV638" s="5"/>
      <c r="FW638" s="5"/>
      <c r="FX638" s="5"/>
      <c r="FY638" s="5"/>
      <c r="FZ638" s="5"/>
      <c r="GA638" s="5"/>
      <c r="GB638" s="5"/>
      <c r="GC638" s="5"/>
      <c r="GD638" s="5"/>
      <c r="GE638" s="5"/>
      <c r="GF638" s="5"/>
      <c r="GG638" s="5"/>
      <c r="GH638" s="5"/>
      <c r="GI638" s="5"/>
      <c r="GJ638" s="5"/>
      <c r="GK638" s="5"/>
      <c r="GL638" s="5"/>
      <c r="GM638" s="5"/>
      <c r="GN638" s="5"/>
      <c r="GO638" s="5"/>
      <c r="GP638" s="5"/>
      <c r="GQ638" s="5"/>
      <c r="GR638" s="5"/>
      <c r="GS638" s="5"/>
      <c r="GT638" s="5"/>
      <c r="GU638" s="5"/>
      <c r="GX638" s="5">
        <v>0</v>
      </c>
      <c r="GY638" s="5">
        <v>0</v>
      </c>
      <c r="GZ638" s="5" t="s">
        <v>367</v>
      </c>
      <c r="HA638" s="5">
        <v>0</v>
      </c>
      <c r="HB638" s="5"/>
      <c r="HC638" s="5"/>
      <c r="HD638" s="5" t="b">
        <v>0</v>
      </c>
      <c r="HE638" s="5">
        <v>0</v>
      </c>
      <c r="HF638" s="5" t="b">
        <v>1</v>
      </c>
      <c r="HG638" s="5">
        <v>0</v>
      </c>
      <c r="HH638" s="5">
        <v>0</v>
      </c>
      <c r="HI638" s="5">
        <v>0</v>
      </c>
      <c r="HJ638" s="5">
        <v>0</v>
      </c>
      <c r="HK638" s="5" t="b">
        <v>0</v>
      </c>
      <c r="HL638" s="5">
        <v>0</v>
      </c>
      <c r="HM638" s="5">
        <v>0</v>
      </c>
      <c r="HN638" s="5" t="s">
        <v>367</v>
      </c>
      <c r="HO638" s="5" t="s">
        <v>360</v>
      </c>
      <c r="HP638" s="5">
        <v>0</v>
      </c>
      <c r="HQ638" s="5">
        <v>0</v>
      </c>
      <c r="HR638" s="5">
        <v>0</v>
      </c>
      <c r="HS638" s="5">
        <v>0</v>
      </c>
      <c r="HT638" s="5" t="b">
        <v>0</v>
      </c>
    </row>
    <row r="639" spans="1:228">
      <c r="A639"/>
      <c r="B639" s="1">
        <f>10000000+INDEX(编号表!$B$1:$B$112,MATCH(D639,编号表!$A$1:$A$112,0))*10000+I639</f>
        <v>10290006</v>
      </c>
      <c r="C639" s="5" t="s">
        <v>534</v>
      </c>
      <c r="D639" s="5" t="s">
        <v>534</v>
      </c>
      <c r="E639" s="5" t="s">
        <v>360</v>
      </c>
      <c r="F639" s="5" t="s">
        <v>391</v>
      </c>
      <c r="G639" s="5" t="b">
        <v>0</v>
      </c>
      <c r="H639" s="5" t="b">
        <v>1</v>
      </c>
      <c r="I639" s="5">
        <v>6</v>
      </c>
      <c r="J639" s="5">
        <v>102900</v>
      </c>
      <c r="K639" s="5" t="s">
        <v>350</v>
      </c>
      <c r="L639" s="5">
        <v>0</v>
      </c>
      <c r="M639" s="5">
        <v>0</v>
      </c>
      <c r="N639" s="5" t="s">
        <v>535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/>
      <c r="V639" s="5">
        <v>0</v>
      </c>
      <c r="W639" s="5">
        <v>0</v>
      </c>
      <c r="X639" s="5" t="s">
        <v>352</v>
      </c>
      <c r="Y639" s="5" t="s">
        <v>365</v>
      </c>
      <c r="Z639" s="5" t="s">
        <v>354</v>
      </c>
      <c r="AA639" s="5">
        <v>0</v>
      </c>
      <c r="AB639" s="5">
        <v>0</v>
      </c>
      <c r="AC639" s="5" t="b">
        <v>0</v>
      </c>
      <c r="AD639" s="5" t="s">
        <v>355</v>
      </c>
      <c r="AE639" s="5">
        <v>150</v>
      </c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 t="s">
        <v>381</v>
      </c>
      <c r="AZ639" s="5">
        <v>11600</v>
      </c>
      <c r="BA639" s="5" t="s">
        <v>357</v>
      </c>
      <c r="BB639" s="5" t="s">
        <v>354</v>
      </c>
      <c r="BC639" s="5">
        <v>10000</v>
      </c>
      <c r="BD639" s="5">
        <v>0</v>
      </c>
      <c r="BE639" s="5" t="s">
        <v>358</v>
      </c>
      <c r="BF639" s="5">
        <v>0</v>
      </c>
      <c r="BG639" s="5" t="s">
        <v>382</v>
      </c>
      <c r="BH639" s="5">
        <v>10000</v>
      </c>
      <c r="BI639" s="5">
        <v>7</v>
      </c>
      <c r="BJ639" s="5" t="b">
        <v>1</v>
      </c>
      <c r="BK639" s="5">
        <v>0</v>
      </c>
      <c r="BL639" s="5">
        <v>10000</v>
      </c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  <c r="EC639" s="5"/>
      <c r="ED639" s="5"/>
      <c r="EE639" s="5"/>
      <c r="EF639" s="5"/>
      <c r="EG639" s="5"/>
      <c r="EH639" s="5"/>
      <c r="EI639" s="5"/>
      <c r="EJ639" s="5"/>
      <c r="EK639" s="5"/>
      <c r="EL639" s="5"/>
      <c r="EM639" s="5"/>
      <c r="EN639" s="5"/>
      <c r="EO639" s="5"/>
      <c r="EP639" s="5"/>
      <c r="EQ639" s="5"/>
      <c r="ER639" s="5"/>
      <c r="ES639" s="5"/>
      <c r="ET639" s="5"/>
      <c r="EU639" s="5"/>
      <c r="EV639" s="5"/>
      <c r="EY639" s="5"/>
      <c r="EZ639" s="5"/>
      <c r="FA639" s="5"/>
      <c r="FB639" s="5"/>
      <c r="FC639" s="5"/>
      <c r="FD639" s="5"/>
      <c r="FE639" s="5"/>
      <c r="FF639" s="5"/>
      <c r="FG639" s="5"/>
      <c r="FH639" s="5"/>
      <c r="FI639" s="5"/>
      <c r="FJ639" s="5"/>
      <c r="FK639" s="5"/>
      <c r="FL639" s="5"/>
      <c r="FM639" s="5"/>
      <c r="FN639" s="5"/>
      <c r="FO639" s="5"/>
      <c r="FP639" s="5"/>
      <c r="FQ639" s="5"/>
      <c r="FR639" s="5"/>
      <c r="FS639" s="5"/>
      <c r="FT639" s="5"/>
      <c r="FU639" s="5"/>
      <c r="FV639" s="5"/>
      <c r="FW639" s="5"/>
      <c r="FX639" s="5"/>
      <c r="FY639" s="5"/>
      <c r="FZ639" s="5"/>
      <c r="GA639" s="5"/>
      <c r="GB639" s="5"/>
      <c r="GC639" s="5"/>
      <c r="GD639" s="5"/>
      <c r="GE639" s="5"/>
      <c r="GF639" s="5"/>
      <c r="GG639" s="5"/>
      <c r="GH639" s="5"/>
      <c r="GI639" s="5"/>
      <c r="GJ639" s="5"/>
      <c r="GK639" s="5"/>
      <c r="GL639" s="5"/>
      <c r="GM639" s="5"/>
      <c r="GN639" s="5"/>
      <c r="GO639" s="5"/>
      <c r="GP639" s="5"/>
      <c r="GQ639" s="5"/>
      <c r="GR639" s="5"/>
      <c r="GS639" s="5"/>
      <c r="GT639" s="5"/>
      <c r="GU639" s="5"/>
      <c r="GX639" s="5">
        <v>0</v>
      </c>
      <c r="GY639" s="5">
        <v>0</v>
      </c>
      <c r="GZ639" s="5" t="s">
        <v>367</v>
      </c>
      <c r="HA639" s="5">
        <v>0</v>
      </c>
      <c r="HB639" s="5"/>
      <c r="HC639" s="5"/>
      <c r="HD639" s="5" t="b">
        <v>0</v>
      </c>
      <c r="HE639" s="5">
        <v>0</v>
      </c>
      <c r="HF639" s="5" t="b">
        <v>1</v>
      </c>
      <c r="HG639" s="5">
        <v>0</v>
      </c>
      <c r="HH639" s="5">
        <v>0</v>
      </c>
      <c r="HI639" s="5">
        <v>0</v>
      </c>
      <c r="HJ639" s="5">
        <v>0</v>
      </c>
      <c r="HK639" s="5" t="b">
        <v>0</v>
      </c>
      <c r="HL639" s="5">
        <v>0</v>
      </c>
      <c r="HM639" s="5">
        <v>0</v>
      </c>
      <c r="HN639" s="5" t="s">
        <v>367</v>
      </c>
      <c r="HO639" s="5" t="s">
        <v>360</v>
      </c>
      <c r="HP639" s="5">
        <v>0</v>
      </c>
      <c r="HQ639" s="5">
        <v>0</v>
      </c>
      <c r="HR639" s="5">
        <v>0</v>
      </c>
      <c r="HS639" s="5">
        <v>0</v>
      </c>
      <c r="HT639" s="5" t="b">
        <v>0</v>
      </c>
    </row>
    <row r="640" spans="1:228">
      <c r="A640"/>
      <c r="B640" s="1">
        <f>10000000+INDEX(编号表!$B$1:$B$112,MATCH(D640,编号表!$A$1:$A$112,0))*10000+I640</f>
        <v>10290007</v>
      </c>
      <c r="C640" s="5" t="s">
        <v>534</v>
      </c>
      <c r="D640" s="5" t="s">
        <v>534</v>
      </c>
      <c r="E640" s="5" t="s">
        <v>360</v>
      </c>
      <c r="F640" s="5" t="s">
        <v>391</v>
      </c>
      <c r="G640" s="5" t="b">
        <v>0</v>
      </c>
      <c r="H640" s="5" t="b">
        <v>1</v>
      </c>
      <c r="I640" s="5">
        <v>7</v>
      </c>
      <c r="J640" s="5">
        <v>102900</v>
      </c>
      <c r="K640" s="5" t="s">
        <v>350</v>
      </c>
      <c r="L640" s="5">
        <v>0</v>
      </c>
      <c r="M640" s="5">
        <v>0</v>
      </c>
      <c r="N640" s="5" t="s">
        <v>535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/>
      <c r="V640" s="5">
        <v>0</v>
      </c>
      <c r="W640" s="5">
        <v>0</v>
      </c>
      <c r="X640" s="5" t="s">
        <v>352</v>
      </c>
      <c r="Y640" s="5" t="s">
        <v>365</v>
      </c>
      <c r="Z640" s="5" t="s">
        <v>354</v>
      </c>
      <c r="AA640" s="5">
        <v>0</v>
      </c>
      <c r="AB640" s="5">
        <v>0</v>
      </c>
      <c r="AC640" s="5" t="b">
        <v>0</v>
      </c>
      <c r="AD640" s="5" t="s">
        <v>355</v>
      </c>
      <c r="AE640" s="5">
        <v>150</v>
      </c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 t="s">
        <v>381</v>
      </c>
      <c r="AZ640" s="5">
        <v>11700</v>
      </c>
      <c r="BA640" s="5" t="s">
        <v>357</v>
      </c>
      <c r="BB640" s="5" t="s">
        <v>354</v>
      </c>
      <c r="BC640" s="5">
        <v>10000</v>
      </c>
      <c r="BD640" s="5">
        <v>0</v>
      </c>
      <c r="BE640" s="5" t="s">
        <v>358</v>
      </c>
      <c r="BF640" s="5">
        <v>0</v>
      </c>
      <c r="BG640" s="5" t="s">
        <v>382</v>
      </c>
      <c r="BH640" s="5">
        <v>10000</v>
      </c>
      <c r="BI640" s="5">
        <v>9</v>
      </c>
      <c r="BJ640" s="5" t="b">
        <v>1</v>
      </c>
      <c r="BK640" s="5">
        <v>0</v>
      </c>
      <c r="BL640" s="5">
        <v>10000</v>
      </c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  <c r="EC640" s="5"/>
      <c r="ED640" s="5"/>
      <c r="EE640" s="5"/>
      <c r="EF640" s="5"/>
      <c r="EG640" s="5"/>
      <c r="EH640" s="5"/>
      <c r="EI640" s="5"/>
      <c r="EJ640" s="5"/>
      <c r="EK640" s="5"/>
      <c r="EL640" s="5"/>
      <c r="EM640" s="5"/>
      <c r="EN640" s="5"/>
      <c r="EO640" s="5"/>
      <c r="EP640" s="5"/>
      <c r="EQ640" s="5"/>
      <c r="ER640" s="5"/>
      <c r="ES640" s="5"/>
      <c r="ET640" s="5"/>
      <c r="EU640" s="5"/>
      <c r="EV640" s="5"/>
      <c r="EY640" s="5"/>
      <c r="EZ640" s="5"/>
      <c r="FA640" s="5"/>
      <c r="FB640" s="5"/>
      <c r="FC640" s="5"/>
      <c r="FD640" s="5"/>
      <c r="FE640" s="5"/>
      <c r="FF640" s="5"/>
      <c r="FG640" s="5"/>
      <c r="FH640" s="5"/>
      <c r="FI640" s="5"/>
      <c r="FJ640" s="5"/>
      <c r="FK640" s="5"/>
      <c r="FL640" s="5"/>
      <c r="FM640" s="5"/>
      <c r="FN640" s="5"/>
      <c r="FO640" s="5"/>
      <c r="FP640" s="5"/>
      <c r="FQ640" s="5"/>
      <c r="FR640" s="5"/>
      <c r="FS640" s="5"/>
      <c r="FT640" s="5"/>
      <c r="FU640" s="5"/>
      <c r="FV640" s="5"/>
      <c r="FW640" s="5"/>
      <c r="FX640" s="5"/>
      <c r="FY640" s="5"/>
      <c r="FZ640" s="5"/>
      <c r="GA640" s="5"/>
      <c r="GB640" s="5"/>
      <c r="GC640" s="5"/>
      <c r="GD640" s="5"/>
      <c r="GE640" s="5"/>
      <c r="GF640" s="5"/>
      <c r="GG640" s="5"/>
      <c r="GH640" s="5"/>
      <c r="GI640" s="5"/>
      <c r="GJ640" s="5"/>
      <c r="GK640" s="5"/>
      <c r="GL640" s="5"/>
      <c r="GM640" s="5"/>
      <c r="GN640" s="5"/>
      <c r="GO640" s="5"/>
      <c r="GP640" s="5"/>
      <c r="GQ640" s="5"/>
      <c r="GR640" s="5"/>
      <c r="GS640" s="5"/>
      <c r="GT640" s="5"/>
      <c r="GU640" s="5"/>
      <c r="GX640" s="5">
        <v>0</v>
      </c>
      <c r="GY640" s="5">
        <v>0</v>
      </c>
      <c r="GZ640" s="5" t="s">
        <v>367</v>
      </c>
      <c r="HA640" s="5">
        <v>0</v>
      </c>
      <c r="HB640" s="5"/>
      <c r="HC640" s="5"/>
      <c r="HD640" s="5" t="b">
        <v>0</v>
      </c>
      <c r="HE640" s="5">
        <v>0</v>
      </c>
      <c r="HF640" s="5" t="b">
        <v>1</v>
      </c>
      <c r="HG640" s="5">
        <v>0</v>
      </c>
      <c r="HH640" s="5">
        <v>0</v>
      </c>
      <c r="HI640" s="5">
        <v>0</v>
      </c>
      <c r="HJ640" s="5">
        <v>0</v>
      </c>
      <c r="HK640" s="5" t="b">
        <v>0</v>
      </c>
      <c r="HL640" s="5">
        <v>0</v>
      </c>
      <c r="HM640" s="5">
        <v>0</v>
      </c>
      <c r="HN640" s="5" t="s">
        <v>367</v>
      </c>
      <c r="HO640" s="5" t="s">
        <v>360</v>
      </c>
      <c r="HP640" s="5">
        <v>0</v>
      </c>
      <c r="HQ640" s="5">
        <v>0</v>
      </c>
      <c r="HR640" s="5">
        <v>0</v>
      </c>
      <c r="HS640" s="5">
        <v>0</v>
      </c>
      <c r="HT640" s="5" t="b">
        <v>0</v>
      </c>
    </row>
    <row r="641" spans="1:228">
      <c r="A641"/>
      <c r="B641" s="1">
        <f>10000000+INDEX(编号表!$B$1:$B$112,MATCH(D641,编号表!$A$1:$A$112,0))*10000+I641</f>
        <v>10290008</v>
      </c>
      <c r="C641" s="5" t="s">
        <v>534</v>
      </c>
      <c r="D641" s="5" t="s">
        <v>534</v>
      </c>
      <c r="E641" s="5" t="s">
        <v>360</v>
      </c>
      <c r="F641" s="5" t="s">
        <v>391</v>
      </c>
      <c r="G641" s="5" t="b">
        <v>0</v>
      </c>
      <c r="H641" s="5" t="b">
        <v>1</v>
      </c>
      <c r="I641" s="5">
        <v>8</v>
      </c>
      <c r="J641" s="5">
        <v>102900</v>
      </c>
      <c r="K641" s="5" t="s">
        <v>350</v>
      </c>
      <c r="L641" s="5">
        <v>0</v>
      </c>
      <c r="M641" s="5">
        <v>0</v>
      </c>
      <c r="N641" s="5" t="s">
        <v>535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/>
      <c r="V641" s="5">
        <v>0</v>
      </c>
      <c r="W641" s="5">
        <v>0</v>
      </c>
      <c r="X641" s="5" t="s">
        <v>352</v>
      </c>
      <c r="Y641" s="5" t="s">
        <v>365</v>
      </c>
      <c r="Z641" s="5" t="s">
        <v>354</v>
      </c>
      <c r="AA641" s="5">
        <v>0</v>
      </c>
      <c r="AB641" s="5">
        <v>0</v>
      </c>
      <c r="AC641" s="5" t="b">
        <v>0</v>
      </c>
      <c r="AD641" s="5" t="s">
        <v>355</v>
      </c>
      <c r="AE641" s="5">
        <v>150</v>
      </c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 t="s">
        <v>381</v>
      </c>
      <c r="AZ641" s="5">
        <v>11800</v>
      </c>
      <c r="BA641" s="5" t="s">
        <v>357</v>
      </c>
      <c r="BB641" s="5" t="s">
        <v>354</v>
      </c>
      <c r="BC641" s="5">
        <v>10000</v>
      </c>
      <c r="BD641" s="5">
        <v>0</v>
      </c>
      <c r="BE641" s="5" t="s">
        <v>358</v>
      </c>
      <c r="BF641" s="5">
        <v>0</v>
      </c>
      <c r="BG641" s="5" t="s">
        <v>382</v>
      </c>
      <c r="BH641" s="5">
        <v>10000</v>
      </c>
      <c r="BI641" s="5">
        <v>10</v>
      </c>
      <c r="BJ641" s="5" t="b">
        <v>1</v>
      </c>
      <c r="BK641" s="5">
        <v>0</v>
      </c>
      <c r="BL641" s="5">
        <v>10000</v>
      </c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  <c r="EC641" s="5"/>
      <c r="ED641" s="5"/>
      <c r="EE641" s="5"/>
      <c r="EF641" s="5"/>
      <c r="EG641" s="5"/>
      <c r="EH641" s="5"/>
      <c r="EI641" s="5"/>
      <c r="EJ641" s="5"/>
      <c r="EK641" s="5"/>
      <c r="EL641" s="5"/>
      <c r="EM641" s="5"/>
      <c r="EN641" s="5"/>
      <c r="EO641" s="5"/>
      <c r="EP641" s="5"/>
      <c r="EQ641" s="5"/>
      <c r="ER641" s="5"/>
      <c r="ES641" s="5"/>
      <c r="ET641" s="5"/>
      <c r="EU641" s="5"/>
      <c r="EV641" s="5"/>
      <c r="EY641" s="5"/>
      <c r="EZ641" s="5"/>
      <c r="FA641" s="5"/>
      <c r="FB641" s="5"/>
      <c r="FC641" s="5"/>
      <c r="FD641" s="5"/>
      <c r="FE641" s="5"/>
      <c r="FF641" s="5"/>
      <c r="FG641" s="5"/>
      <c r="FH641" s="5"/>
      <c r="FI641" s="5"/>
      <c r="FJ641" s="5"/>
      <c r="FK641" s="5"/>
      <c r="FL641" s="5"/>
      <c r="FM641" s="5"/>
      <c r="FN641" s="5"/>
      <c r="FO641" s="5"/>
      <c r="FP641" s="5"/>
      <c r="FQ641" s="5"/>
      <c r="FR641" s="5"/>
      <c r="FS641" s="5"/>
      <c r="FT641" s="5"/>
      <c r="FU641" s="5"/>
      <c r="FV641" s="5"/>
      <c r="FW641" s="5"/>
      <c r="FX641" s="5"/>
      <c r="FY641" s="5"/>
      <c r="FZ641" s="5"/>
      <c r="GA641" s="5"/>
      <c r="GB641" s="5"/>
      <c r="GC641" s="5"/>
      <c r="GD641" s="5"/>
      <c r="GE641" s="5"/>
      <c r="GF641" s="5"/>
      <c r="GG641" s="5"/>
      <c r="GH641" s="5"/>
      <c r="GI641" s="5"/>
      <c r="GJ641" s="5"/>
      <c r="GK641" s="5"/>
      <c r="GL641" s="5"/>
      <c r="GM641" s="5"/>
      <c r="GN641" s="5"/>
      <c r="GO641" s="5"/>
      <c r="GP641" s="5"/>
      <c r="GQ641" s="5"/>
      <c r="GR641" s="5"/>
      <c r="GS641" s="5"/>
      <c r="GT641" s="5"/>
      <c r="GU641" s="5"/>
      <c r="GX641" s="5">
        <v>0</v>
      </c>
      <c r="GY641" s="5">
        <v>0</v>
      </c>
      <c r="GZ641" s="5" t="s">
        <v>367</v>
      </c>
      <c r="HA641" s="5">
        <v>0</v>
      </c>
      <c r="HB641" s="5"/>
      <c r="HC641" s="5"/>
      <c r="HD641" s="5" t="b">
        <v>0</v>
      </c>
      <c r="HE641" s="5">
        <v>0</v>
      </c>
      <c r="HF641" s="5" t="b">
        <v>1</v>
      </c>
      <c r="HG641" s="5">
        <v>0</v>
      </c>
      <c r="HH641" s="5">
        <v>0</v>
      </c>
      <c r="HI641" s="5">
        <v>0</v>
      </c>
      <c r="HJ641" s="5">
        <v>0</v>
      </c>
      <c r="HK641" s="5" t="b">
        <v>0</v>
      </c>
      <c r="HL641" s="5">
        <v>0</v>
      </c>
      <c r="HM641" s="5">
        <v>0</v>
      </c>
      <c r="HN641" s="5" t="s">
        <v>367</v>
      </c>
      <c r="HO641" s="5" t="s">
        <v>360</v>
      </c>
      <c r="HP641" s="5">
        <v>0</v>
      </c>
      <c r="HQ641" s="5">
        <v>0</v>
      </c>
      <c r="HR641" s="5">
        <v>0</v>
      </c>
      <c r="HS641" s="5">
        <v>0</v>
      </c>
      <c r="HT641" s="5" t="b">
        <v>0</v>
      </c>
    </row>
    <row r="642" spans="1:228">
      <c r="A642"/>
      <c r="B642" s="1">
        <f>10000000+INDEX(编号表!$B$1:$B$112,MATCH(D642,编号表!$A$1:$A$112,0))*10000+I642</f>
        <v>10290009</v>
      </c>
      <c r="C642" s="5" t="s">
        <v>534</v>
      </c>
      <c r="D642" s="5" t="s">
        <v>534</v>
      </c>
      <c r="E642" s="5" t="s">
        <v>360</v>
      </c>
      <c r="F642" s="5" t="s">
        <v>391</v>
      </c>
      <c r="G642" s="5" t="b">
        <v>0</v>
      </c>
      <c r="H642" s="5" t="b">
        <v>1</v>
      </c>
      <c r="I642" s="5">
        <v>9</v>
      </c>
      <c r="J642" s="5">
        <v>102900</v>
      </c>
      <c r="K642" s="5" t="s">
        <v>350</v>
      </c>
      <c r="L642" s="5">
        <v>0</v>
      </c>
      <c r="M642" s="5">
        <v>0</v>
      </c>
      <c r="N642" s="5" t="s">
        <v>535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/>
      <c r="V642" s="5">
        <v>0</v>
      </c>
      <c r="W642" s="5">
        <v>0</v>
      </c>
      <c r="X642" s="5" t="s">
        <v>352</v>
      </c>
      <c r="Y642" s="5" t="s">
        <v>365</v>
      </c>
      <c r="Z642" s="5" t="s">
        <v>354</v>
      </c>
      <c r="AA642" s="5">
        <v>0</v>
      </c>
      <c r="AB642" s="5">
        <v>0</v>
      </c>
      <c r="AC642" s="5" t="b">
        <v>0</v>
      </c>
      <c r="AD642" s="5" t="s">
        <v>355</v>
      </c>
      <c r="AE642" s="5">
        <v>150</v>
      </c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 t="s">
        <v>381</v>
      </c>
      <c r="AZ642" s="5">
        <v>11900</v>
      </c>
      <c r="BA642" s="5" t="s">
        <v>357</v>
      </c>
      <c r="BB642" s="5" t="s">
        <v>354</v>
      </c>
      <c r="BC642" s="5">
        <v>10000</v>
      </c>
      <c r="BD642" s="5">
        <v>0</v>
      </c>
      <c r="BE642" s="5" t="s">
        <v>358</v>
      </c>
      <c r="BF642" s="5">
        <v>0</v>
      </c>
      <c r="BG642" s="5" t="s">
        <v>382</v>
      </c>
      <c r="BH642" s="5">
        <v>10000</v>
      </c>
      <c r="BI642" s="5">
        <v>12</v>
      </c>
      <c r="BJ642" s="5" t="b">
        <v>1</v>
      </c>
      <c r="BK642" s="5">
        <v>0</v>
      </c>
      <c r="BL642" s="5">
        <v>10000</v>
      </c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  <c r="EC642" s="5"/>
      <c r="ED642" s="5"/>
      <c r="EE642" s="5"/>
      <c r="EF642" s="5"/>
      <c r="EG642" s="5"/>
      <c r="EH642" s="5"/>
      <c r="EI642" s="5"/>
      <c r="EJ642" s="5"/>
      <c r="EK642" s="5"/>
      <c r="EL642" s="5"/>
      <c r="EM642" s="5"/>
      <c r="EN642" s="5"/>
      <c r="EO642" s="5"/>
      <c r="EP642" s="5"/>
      <c r="EQ642" s="5"/>
      <c r="ER642" s="5"/>
      <c r="ES642" s="5"/>
      <c r="ET642" s="5"/>
      <c r="EU642" s="5"/>
      <c r="EV642" s="5"/>
      <c r="EY642" s="5"/>
      <c r="EZ642" s="5"/>
      <c r="FA642" s="5"/>
      <c r="FB642" s="5"/>
      <c r="FC642" s="5"/>
      <c r="FD642" s="5"/>
      <c r="FE642" s="5"/>
      <c r="FF642" s="5"/>
      <c r="FG642" s="5"/>
      <c r="FH642" s="5"/>
      <c r="FI642" s="5"/>
      <c r="FJ642" s="5"/>
      <c r="FK642" s="5"/>
      <c r="FL642" s="5"/>
      <c r="FM642" s="5"/>
      <c r="FN642" s="5"/>
      <c r="FO642" s="5"/>
      <c r="FP642" s="5"/>
      <c r="FQ642" s="5"/>
      <c r="FR642" s="5"/>
      <c r="FS642" s="5"/>
      <c r="FT642" s="5"/>
      <c r="FU642" s="5"/>
      <c r="FV642" s="5"/>
      <c r="FW642" s="5"/>
      <c r="FX642" s="5"/>
      <c r="FY642" s="5"/>
      <c r="FZ642" s="5"/>
      <c r="GA642" s="5"/>
      <c r="GB642" s="5"/>
      <c r="GC642" s="5"/>
      <c r="GD642" s="5"/>
      <c r="GE642" s="5"/>
      <c r="GF642" s="5"/>
      <c r="GG642" s="5"/>
      <c r="GH642" s="5"/>
      <c r="GI642" s="5"/>
      <c r="GJ642" s="5"/>
      <c r="GK642" s="5"/>
      <c r="GL642" s="5"/>
      <c r="GM642" s="5"/>
      <c r="GN642" s="5"/>
      <c r="GO642" s="5"/>
      <c r="GP642" s="5"/>
      <c r="GQ642" s="5"/>
      <c r="GR642" s="5"/>
      <c r="GS642" s="5"/>
      <c r="GT642" s="5"/>
      <c r="GU642" s="5"/>
      <c r="GX642" s="5">
        <v>0</v>
      </c>
      <c r="GY642" s="5">
        <v>0</v>
      </c>
      <c r="GZ642" s="5" t="s">
        <v>367</v>
      </c>
      <c r="HA642" s="5">
        <v>0</v>
      </c>
      <c r="HB642" s="5"/>
      <c r="HC642" s="5"/>
      <c r="HD642" s="5" t="b">
        <v>0</v>
      </c>
      <c r="HE642" s="5">
        <v>0</v>
      </c>
      <c r="HF642" s="5" t="b">
        <v>1</v>
      </c>
      <c r="HG642" s="5">
        <v>0</v>
      </c>
      <c r="HH642" s="5">
        <v>0</v>
      </c>
      <c r="HI642" s="5">
        <v>0</v>
      </c>
      <c r="HJ642" s="5">
        <v>0</v>
      </c>
      <c r="HK642" s="5" t="b">
        <v>0</v>
      </c>
      <c r="HL642" s="5">
        <v>0</v>
      </c>
      <c r="HM642" s="5">
        <v>0</v>
      </c>
      <c r="HN642" s="5" t="s">
        <v>367</v>
      </c>
      <c r="HO642" s="5" t="s">
        <v>360</v>
      </c>
      <c r="HP642" s="5">
        <v>0</v>
      </c>
      <c r="HQ642" s="5">
        <v>0</v>
      </c>
      <c r="HR642" s="5">
        <v>0</v>
      </c>
      <c r="HS642" s="5">
        <v>0</v>
      </c>
      <c r="HT642" s="5" t="b">
        <v>0</v>
      </c>
    </row>
    <row r="643" spans="1:228">
      <c r="A643"/>
      <c r="B643" s="1">
        <f>10000000+INDEX(编号表!$B$1:$B$112,MATCH(D643,编号表!$A$1:$A$112,0))*10000+I643</f>
        <v>10290010</v>
      </c>
      <c r="C643" s="5" t="s">
        <v>534</v>
      </c>
      <c r="D643" s="5" t="s">
        <v>534</v>
      </c>
      <c r="E643" s="5" t="s">
        <v>360</v>
      </c>
      <c r="F643" s="5" t="s">
        <v>391</v>
      </c>
      <c r="G643" s="5" t="b">
        <v>0</v>
      </c>
      <c r="H643" s="5" t="b">
        <v>1</v>
      </c>
      <c r="I643" s="5">
        <v>10</v>
      </c>
      <c r="J643" s="5">
        <v>102900</v>
      </c>
      <c r="K643" s="5" t="s">
        <v>350</v>
      </c>
      <c r="L643" s="5">
        <v>0</v>
      </c>
      <c r="M643" s="5">
        <v>0</v>
      </c>
      <c r="N643" s="5" t="s">
        <v>535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/>
      <c r="V643" s="5">
        <v>0</v>
      </c>
      <c r="W643" s="5">
        <v>0</v>
      </c>
      <c r="X643" s="5" t="s">
        <v>352</v>
      </c>
      <c r="Y643" s="5" t="s">
        <v>365</v>
      </c>
      <c r="Z643" s="5" t="s">
        <v>354</v>
      </c>
      <c r="AA643" s="5">
        <v>0</v>
      </c>
      <c r="AB643" s="5">
        <v>0</v>
      </c>
      <c r="AC643" s="5" t="b">
        <v>0</v>
      </c>
      <c r="AD643" s="5" t="s">
        <v>355</v>
      </c>
      <c r="AE643" s="5">
        <v>150</v>
      </c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 t="s">
        <v>381</v>
      </c>
      <c r="AZ643" s="5">
        <v>12000</v>
      </c>
      <c r="BA643" s="5" t="s">
        <v>357</v>
      </c>
      <c r="BB643" s="5" t="s">
        <v>354</v>
      </c>
      <c r="BC643" s="5">
        <v>10000</v>
      </c>
      <c r="BD643" s="5">
        <v>0</v>
      </c>
      <c r="BE643" s="5" t="s">
        <v>358</v>
      </c>
      <c r="BF643" s="5">
        <v>0</v>
      </c>
      <c r="BG643" s="5" t="s">
        <v>382</v>
      </c>
      <c r="BH643" s="5">
        <v>10000</v>
      </c>
      <c r="BI643" s="5">
        <v>15</v>
      </c>
      <c r="BJ643" s="5" t="b">
        <v>1</v>
      </c>
      <c r="BK643" s="5">
        <v>0</v>
      </c>
      <c r="BL643" s="5">
        <v>10000</v>
      </c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  <c r="EC643" s="5"/>
      <c r="ED643" s="5"/>
      <c r="EE643" s="5"/>
      <c r="EF643" s="5"/>
      <c r="EG643" s="5"/>
      <c r="EH643" s="5"/>
      <c r="EI643" s="5"/>
      <c r="EJ643" s="5"/>
      <c r="EK643" s="5"/>
      <c r="EL643" s="5"/>
      <c r="EM643" s="5"/>
      <c r="EN643" s="5"/>
      <c r="EO643" s="5"/>
      <c r="EP643" s="5"/>
      <c r="EQ643" s="5"/>
      <c r="ER643" s="5"/>
      <c r="ES643" s="5"/>
      <c r="ET643" s="5"/>
      <c r="EU643" s="5"/>
      <c r="EV643" s="5"/>
      <c r="EY643" s="5"/>
      <c r="EZ643" s="5"/>
      <c r="FA643" s="5"/>
      <c r="FB643" s="5"/>
      <c r="FC643" s="5"/>
      <c r="FD643" s="5"/>
      <c r="FE643" s="5"/>
      <c r="FF643" s="5"/>
      <c r="FG643" s="5"/>
      <c r="FH643" s="5"/>
      <c r="FI643" s="5"/>
      <c r="FJ643" s="5"/>
      <c r="FK643" s="5"/>
      <c r="FL643" s="5"/>
      <c r="FM643" s="5"/>
      <c r="FN643" s="5"/>
      <c r="FO643" s="5"/>
      <c r="FP643" s="5"/>
      <c r="FQ643" s="5"/>
      <c r="FR643" s="5"/>
      <c r="FS643" s="5"/>
      <c r="FT643" s="5"/>
      <c r="FU643" s="5"/>
      <c r="FV643" s="5"/>
      <c r="FW643" s="5"/>
      <c r="FX643" s="5"/>
      <c r="FY643" s="5"/>
      <c r="FZ643" s="5"/>
      <c r="GA643" s="5"/>
      <c r="GB643" s="5"/>
      <c r="GC643" s="5"/>
      <c r="GD643" s="5"/>
      <c r="GE643" s="5"/>
      <c r="GF643" s="5"/>
      <c r="GG643" s="5"/>
      <c r="GH643" s="5"/>
      <c r="GI643" s="5"/>
      <c r="GJ643" s="5"/>
      <c r="GK643" s="5"/>
      <c r="GL643" s="5"/>
      <c r="GM643" s="5"/>
      <c r="GN643" s="5"/>
      <c r="GO643" s="5"/>
      <c r="GP643" s="5"/>
      <c r="GQ643" s="5"/>
      <c r="GR643" s="5"/>
      <c r="GS643" s="5"/>
      <c r="GT643" s="5"/>
      <c r="GU643" s="5"/>
      <c r="GX643" s="5">
        <v>0</v>
      </c>
      <c r="GY643" s="5">
        <v>0</v>
      </c>
      <c r="GZ643" s="5" t="s">
        <v>367</v>
      </c>
      <c r="HA643" s="5">
        <v>0</v>
      </c>
      <c r="HB643" s="5"/>
      <c r="HC643" s="5"/>
      <c r="HD643" s="5" t="b">
        <v>0</v>
      </c>
      <c r="HE643" s="5">
        <v>0</v>
      </c>
      <c r="HF643" s="5" t="b">
        <v>1</v>
      </c>
      <c r="HG643" s="5">
        <v>0</v>
      </c>
      <c r="HH643" s="5">
        <v>0</v>
      </c>
      <c r="HI643" s="5">
        <v>0</v>
      </c>
      <c r="HJ643" s="5">
        <v>0</v>
      </c>
      <c r="HK643" s="5" t="b">
        <v>0</v>
      </c>
      <c r="HL643" s="5">
        <v>0</v>
      </c>
      <c r="HM643" s="5">
        <v>0</v>
      </c>
      <c r="HN643" s="5" t="s">
        <v>367</v>
      </c>
      <c r="HO643" s="5" t="s">
        <v>360</v>
      </c>
      <c r="HP643" s="5">
        <v>0</v>
      </c>
      <c r="HQ643" s="5">
        <v>0</v>
      </c>
      <c r="HR643" s="5">
        <v>0</v>
      </c>
      <c r="HS643" s="5">
        <v>0</v>
      </c>
      <c r="HT643" s="5" t="b">
        <v>0</v>
      </c>
    </row>
    <row r="644" spans="1:228">
      <c r="A644"/>
      <c r="B644" s="1">
        <f>10000000+INDEX(编号表!$B$1:$B$112,MATCH(D644,编号表!$A$1:$A$112,0))*10000+I644</f>
        <v>10300001</v>
      </c>
      <c r="C644" s="5" t="s">
        <v>536</v>
      </c>
      <c r="D644" s="5" t="s">
        <v>536</v>
      </c>
      <c r="E644" s="5" t="s">
        <v>360</v>
      </c>
      <c r="F644" s="5" t="s">
        <v>349</v>
      </c>
      <c r="G644" s="5" t="b">
        <v>0</v>
      </c>
      <c r="H644" s="5" t="b">
        <v>1</v>
      </c>
      <c r="I644" s="5">
        <v>1</v>
      </c>
      <c r="J644" s="5">
        <v>103000</v>
      </c>
      <c r="K644" s="5" t="s">
        <v>350</v>
      </c>
      <c r="L644" s="5">
        <v>0</v>
      </c>
      <c r="M644" s="5">
        <v>0</v>
      </c>
      <c r="N644" s="5" t="s">
        <v>535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/>
      <c r="V644" s="5">
        <v>0</v>
      </c>
      <c r="W644" s="5">
        <v>0</v>
      </c>
      <c r="X644" s="5" t="s">
        <v>352</v>
      </c>
      <c r="Y644" s="5" t="s">
        <v>365</v>
      </c>
      <c r="Z644" s="5" t="s">
        <v>354</v>
      </c>
      <c r="AA644" s="5">
        <v>0</v>
      </c>
      <c r="AB644" s="5">
        <v>0</v>
      </c>
      <c r="AC644" s="5" t="b">
        <v>0</v>
      </c>
      <c r="AD644" s="5" t="s">
        <v>355</v>
      </c>
      <c r="AE644" s="5">
        <v>100</v>
      </c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 t="s">
        <v>356</v>
      </c>
      <c r="AZ644" s="5">
        <v>10000</v>
      </c>
      <c r="BA644" s="5" t="s">
        <v>357</v>
      </c>
      <c r="BB644" s="5" t="s">
        <v>354</v>
      </c>
      <c r="BC644" s="5">
        <v>10000</v>
      </c>
      <c r="BD644" s="5">
        <v>0</v>
      </c>
      <c r="BE644" s="5" t="s">
        <v>358</v>
      </c>
      <c r="BF644" s="5">
        <v>0</v>
      </c>
      <c r="BG644" s="5" t="s">
        <v>356</v>
      </c>
      <c r="BH644" s="5">
        <v>10000</v>
      </c>
      <c r="BI644" s="5">
        <v>3</v>
      </c>
      <c r="BJ644" s="5" t="b">
        <v>1</v>
      </c>
      <c r="BK644" s="5">
        <v>0</v>
      </c>
      <c r="BL644" s="5">
        <v>10000</v>
      </c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  <c r="EC644" s="5"/>
      <c r="ED644" s="5"/>
      <c r="EE644" s="5"/>
      <c r="EF644" s="5"/>
      <c r="EG644" s="5"/>
      <c r="EH644" s="5"/>
      <c r="EI644" s="5"/>
      <c r="EJ644" s="5"/>
      <c r="EK644" s="5"/>
      <c r="EL644" s="5"/>
      <c r="EM644" s="5"/>
      <c r="EN644" s="5"/>
      <c r="EO644" s="5"/>
      <c r="EP644" s="5"/>
      <c r="EQ644" s="5"/>
      <c r="ER644" s="5"/>
      <c r="ES644" s="5"/>
      <c r="ET644" s="5"/>
      <c r="EU644" s="5"/>
      <c r="EV644" s="5"/>
      <c r="EY644" s="5"/>
      <c r="EZ644" s="5"/>
      <c r="FA644" s="5"/>
      <c r="FB644" s="5"/>
      <c r="FC644" s="5"/>
      <c r="FD644" s="5"/>
      <c r="FE644" s="5"/>
      <c r="FF644" s="5"/>
      <c r="FG644" s="5"/>
      <c r="FH644" s="5"/>
      <c r="FI644" s="5"/>
      <c r="FJ644" s="5"/>
      <c r="FK644" s="5"/>
      <c r="FL644" s="5"/>
      <c r="FM644" s="5"/>
      <c r="FN644" s="5"/>
      <c r="FO644" s="5"/>
      <c r="FP644" s="5"/>
      <c r="FQ644" s="5"/>
      <c r="FR644" s="5"/>
      <c r="FS644" s="5"/>
      <c r="FT644" s="5"/>
      <c r="FU644" s="5"/>
      <c r="FV644" s="5"/>
      <c r="FW644" s="5"/>
      <c r="FX644" s="5"/>
      <c r="FY644" s="5"/>
      <c r="FZ644" s="5"/>
      <c r="GA644" s="5"/>
      <c r="GB644" s="5"/>
      <c r="GC644" s="5"/>
      <c r="GD644" s="5"/>
      <c r="GE644" s="5"/>
      <c r="GF644" s="5"/>
      <c r="GG644" s="5"/>
      <c r="GH644" s="5"/>
      <c r="GI644" s="5"/>
      <c r="GJ644" s="5"/>
      <c r="GK644" s="5"/>
      <c r="GL644" s="5"/>
      <c r="GM644" s="5"/>
      <c r="GN644" s="5"/>
      <c r="GO644" s="5"/>
      <c r="GP644" s="5"/>
      <c r="GQ644" s="5"/>
      <c r="GR644" s="5"/>
      <c r="GS644" s="5"/>
      <c r="GT644" s="5"/>
      <c r="GU644" s="5"/>
      <c r="GX644" s="5">
        <v>0</v>
      </c>
      <c r="GY644" s="5">
        <v>0</v>
      </c>
      <c r="GZ644" s="5" t="s">
        <v>367</v>
      </c>
      <c r="HA644" s="5">
        <v>0</v>
      </c>
      <c r="HB644" s="5"/>
      <c r="HC644" s="5"/>
      <c r="HD644" s="5" t="b">
        <v>0</v>
      </c>
      <c r="HE644" s="5">
        <v>0</v>
      </c>
      <c r="HF644" s="5" t="b">
        <v>1</v>
      </c>
      <c r="HG644" s="5">
        <v>0</v>
      </c>
      <c r="HH644" s="5">
        <v>0</v>
      </c>
      <c r="HI644" s="5">
        <v>0</v>
      </c>
      <c r="HJ644" s="5">
        <v>0</v>
      </c>
      <c r="HK644" s="5" t="b">
        <v>0</v>
      </c>
      <c r="HL644" s="5">
        <v>0</v>
      </c>
      <c r="HM644" s="5">
        <v>0</v>
      </c>
      <c r="HN644" s="5" t="s">
        <v>367</v>
      </c>
      <c r="HO644" s="5" t="s">
        <v>360</v>
      </c>
      <c r="HP644" s="5">
        <v>0</v>
      </c>
      <c r="HQ644" s="5">
        <v>0</v>
      </c>
      <c r="HR644" s="5">
        <v>0</v>
      </c>
      <c r="HS644" s="5">
        <v>0</v>
      </c>
      <c r="HT644" s="5" t="b">
        <v>0</v>
      </c>
    </row>
    <row r="645" spans="1:228">
      <c r="A645"/>
      <c r="B645" s="1">
        <f>10000000+INDEX(编号表!$B$1:$B$112,MATCH(D645,编号表!$A$1:$A$112,0))*10000+I645</f>
        <v>10300002</v>
      </c>
      <c r="C645" s="5" t="s">
        <v>536</v>
      </c>
      <c r="D645" s="5" t="s">
        <v>536</v>
      </c>
      <c r="E645" s="5" t="s">
        <v>360</v>
      </c>
      <c r="F645" s="5" t="s">
        <v>349</v>
      </c>
      <c r="G645" s="5" t="b">
        <v>0</v>
      </c>
      <c r="H645" s="5" t="b">
        <v>1</v>
      </c>
      <c r="I645" s="5">
        <v>2</v>
      </c>
      <c r="J645" s="5">
        <v>103000</v>
      </c>
      <c r="K645" s="5" t="s">
        <v>350</v>
      </c>
      <c r="L645" s="5">
        <v>0</v>
      </c>
      <c r="M645" s="5">
        <v>0</v>
      </c>
      <c r="N645" s="5" t="s">
        <v>535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/>
      <c r="V645" s="5">
        <v>0</v>
      </c>
      <c r="W645" s="5">
        <v>0</v>
      </c>
      <c r="X645" s="5" t="s">
        <v>352</v>
      </c>
      <c r="Y645" s="5" t="s">
        <v>365</v>
      </c>
      <c r="Z645" s="5" t="s">
        <v>354</v>
      </c>
      <c r="AA645" s="5">
        <v>0</v>
      </c>
      <c r="AB645" s="5">
        <v>0</v>
      </c>
      <c r="AC645" s="5" t="b">
        <v>0</v>
      </c>
      <c r="AD645" s="5" t="s">
        <v>355</v>
      </c>
      <c r="AE645" s="5">
        <v>100</v>
      </c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 t="s">
        <v>356</v>
      </c>
      <c r="AZ645" s="5">
        <v>10400</v>
      </c>
      <c r="BA645" s="5" t="s">
        <v>357</v>
      </c>
      <c r="BB645" s="5" t="s">
        <v>354</v>
      </c>
      <c r="BC645" s="5">
        <v>10000</v>
      </c>
      <c r="BD645" s="5">
        <v>0</v>
      </c>
      <c r="BE645" s="5" t="s">
        <v>358</v>
      </c>
      <c r="BF645" s="5">
        <v>0</v>
      </c>
      <c r="BG645" s="5" t="s">
        <v>356</v>
      </c>
      <c r="BH645" s="5">
        <v>10000</v>
      </c>
      <c r="BI645" s="5">
        <v>4</v>
      </c>
      <c r="BJ645" s="5" t="b">
        <v>1</v>
      </c>
      <c r="BK645" s="5">
        <v>0</v>
      </c>
      <c r="BL645" s="5">
        <v>10000</v>
      </c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  <c r="EC645" s="5"/>
      <c r="ED645" s="5"/>
      <c r="EE645" s="5"/>
      <c r="EF645" s="5"/>
      <c r="EG645" s="5"/>
      <c r="EH645" s="5"/>
      <c r="EI645" s="5"/>
      <c r="EJ645" s="5"/>
      <c r="EK645" s="5"/>
      <c r="EL645" s="5"/>
      <c r="EM645" s="5"/>
      <c r="EN645" s="5"/>
      <c r="EO645" s="5"/>
      <c r="EP645" s="5"/>
      <c r="EQ645" s="5"/>
      <c r="ER645" s="5"/>
      <c r="ES645" s="5"/>
      <c r="ET645" s="5"/>
      <c r="EU645" s="5"/>
      <c r="EV645" s="5"/>
      <c r="EY645" s="5"/>
      <c r="EZ645" s="5"/>
      <c r="FA645" s="5"/>
      <c r="FB645" s="5"/>
      <c r="FC645" s="5"/>
      <c r="FD645" s="5"/>
      <c r="FE645" s="5"/>
      <c r="FF645" s="5"/>
      <c r="FG645" s="5"/>
      <c r="FH645" s="5"/>
      <c r="FI645" s="5"/>
      <c r="FJ645" s="5"/>
      <c r="FK645" s="5"/>
      <c r="FL645" s="5"/>
      <c r="FM645" s="5"/>
      <c r="FN645" s="5"/>
      <c r="FO645" s="5"/>
      <c r="FP645" s="5"/>
      <c r="FQ645" s="5"/>
      <c r="FR645" s="5"/>
      <c r="FS645" s="5"/>
      <c r="FT645" s="5"/>
      <c r="FU645" s="5"/>
      <c r="FV645" s="5"/>
      <c r="FW645" s="5"/>
      <c r="FX645" s="5"/>
      <c r="FY645" s="5"/>
      <c r="FZ645" s="5"/>
      <c r="GA645" s="5"/>
      <c r="GB645" s="5"/>
      <c r="GC645" s="5"/>
      <c r="GD645" s="5"/>
      <c r="GE645" s="5"/>
      <c r="GF645" s="5"/>
      <c r="GG645" s="5"/>
      <c r="GH645" s="5"/>
      <c r="GI645" s="5"/>
      <c r="GJ645" s="5"/>
      <c r="GK645" s="5"/>
      <c r="GL645" s="5"/>
      <c r="GM645" s="5"/>
      <c r="GN645" s="5"/>
      <c r="GO645" s="5"/>
      <c r="GP645" s="5"/>
      <c r="GQ645" s="5"/>
      <c r="GR645" s="5"/>
      <c r="GS645" s="5"/>
      <c r="GT645" s="5"/>
      <c r="GU645" s="5"/>
      <c r="GX645" s="5">
        <v>0</v>
      </c>
      <c r="GY645" s="5">
        <v>0</v>
      </c>
      <c r="GZ645" s="5" t="s">
        <v>367</v>
      </c>
      <c r="HA645" s="5">
        <v>0</v>
      </c>
      <c r="HB645" s="5"/>
      <c r="HC645" s="5"/>
      <c r="HD645" s="5" t="b">
        <v>0</v>
      </c>
      <c r="HE645" s="5">
        <v>0</v>
      </c>
      <c r="HF645" s="5" t="b">
        <v>1</v>
      </c>
      <c r="HG645" s="5">
        <v>0</v>
      </c>
      <c r="HH645" s="5">
        <v>0</v>
      </c>
      <c r="HI645" s="5">
        <v>0</v>
      </c>
      <c r="HJ645" s="5">
        <v>0</v>
      </c>
      <c r="HK645" s="5" t="b">
        <v>0</v>
      </c>
      <c r="HL645" s="5">
        <v>0</v>
      </c>
      <c r="HM645" s="5">
        <v>0</v>
      </c>
      <c r="HN645" s="5" t="s">
        <v>367</v>
      </c>
      <c r="HO645" s="5" t="s">
        <v>360</v>
      </c>
      <c r="HP645" s="5">
        <v>0</v>
      </c>
      <c r="HQ645" s="5">
        <v>0</v>
      </c>
      <c r="HR645" s="5">
        <v>0</v>
      </c>
      <c r="HS645" s="5">
        <v>0</v>
      </c>
      <c r="HT645" s="5" t="b">
        <v>0</v>
      </c>
    </row>
    <row r="646" spans="1:228">
      <c r="A646"/>
      <c r="B646" s="1">
        <f>10000000+INDEX(编号表!$B$1:$B$112,MATCH(D646,编号表!$A$1:$A$112,0))*10000+I646</f>
        <v>10300003</v>
      </c>
      <c r="C646" s="5" t="s">
        <v>536</v>
      </c>
      <c r="D646" s="5" t="s">
        <v>536</v>
      </c>
      <c r="E646" s="5" t="s">
        <v>360</v>
      </c>
      <c r="F646" s="5" t="s">
        <v>349</v>
      </c>
      <c r="G646" s="5" t="b">
        <v>0</v>
      </c>
      <c r="H646" s="5" t="b">
        <v>1</v>
      </c>
      <c r="I646" s="5">
        <v>3</v>
      </c>
      <c r="J646" s="5">
        <v>103000</v>
      </c>
      <c r="K646" s="5" t="s">
        <v>350</v>
      </c>
      <c r="L646" s="5">
        <v>0</v>
      </c>
      <c r="M646" s="5">
        <v>0</v>
      </c>
      <c r="N646" s="5" t="s">
        <v>535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/>
      <c r="V646" s="5">
        <v>0</v>
      </c>
      <c r="W646" s="5">
        <v>0</v>
      </c>
      <c r="X646" s="5" t="s">
        <v>352</v>
      </c>
      <c r="Y646" s="5" t="s">
        <v>365</v>
      </c>
      <c r="Z646" s="5" t="s">
        <v>354</v>
      </c>
      <c r="AA646" s="5">
        <v>0</v>
      </c>
      <c r="AB646" s="5">
        <v>0</v>
      </c>
      <c r="AC646" s="5" t="b">
        <v>0</v>
      </c>
      <c r="AD646" s="5" t="s">
        <v>355</v>
      </c>
      <c r="AE646" s="5">
        <v>100</v>
      </c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 t="s">
        <v>356</v>
      </c>
      <c r="AZ646" s="5">
        <v>10800</v>
      </c>
      <c r="BA646" s="5" t="s">
        <v>357</v>
      </c>
      <c r="BB646" s="5" t="s">
        <v>354</v>
      </c>
      <c r="BC646" s="5">
        <v>10000</v>
      </c>
      <c r="BD646" s="5">
        <v>0</v>
      </c>
      <c r="BE646" s="5" t="s">
        <v>358</v>
      </c>
      <c r="BF646" s="5">
        <v>0</v>
      </c>
      <c r="BG646" s="5" t="s">
        <v>356</v>
      </c>
      <c r="BH646" s="5">
        <v>10000</v>
      </c>
      <c r="BI646" s="5">
        <v>5</v>
      </c>
      <c r="BJ646" s="5" t="b">
        <v>1</v>
      </c>
      <c r="BK646" s="5">
        <v>0</v>
      </c>
      <c r="BL646" s="5">
        <v>10000</v>
      </c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  <c r="EC646" s="5"/>
      <c r="ED646" s="5"/>
      <c r="EE646" s="5"/>
      <c r="EF646" s="5"/>
      <c r="EG646" s="5"/>
      <c r="EH646" s="5"/>
      <c r="EI646" s="5"/>
      <c r="EJ646" s="5"/>
      <c r="EK646" s="5"/>
      <c r="EL646" s="5"/>
      <c r="EM646" s="5"/>
      <c r="EN646" s="5"/>
      <c r="EO646" s="5"/>
      <c r="EP646" s="5"/>
      <c r="EQ646" s="5"/>
      <c r="ER646" s="5"/>
      <c r="ES646" s="5"/>
      <c r="ET646" s="5"/>
      <c r="EU646" s="5"/>
      <c r="EV646" s="5"/>
      <c r="EY646" s="5"/>
      <c r="EZ646" s="5"/>
      <c r="FA646" s="5"/>
      <c r="FB646" s="5"/>
      <c r="FC646" s="5"/>
      <c r="FD646" s="5"/>
      <c r="FE646" s="5"/>
      <c r="FF646" s="5"/>
      <c r="FG646" s="5"/>
      <c r="FH646" s="5"/>
      <c r="FI646" s="5"/>
      <c r="FJ646" s="5"/>
      <c r="FK646" s="5"/>
      <c r="FL646" s="5"/>
      <c r="FM646" s="5"/>
      <c r="FN646" s="5"/>
      <c r="FO646" s="5"/>
      <c r="FP646" s="5"/>
      <c r="FQ646" s="5"/>
      <c r="FR646" s="5"/>
      <c r="FS646" s="5"/>
      <c r="FT646" s="5"/>
      <c r="FU646" s="5"/>
      <c r="FV646" s="5"/>
      <c r="FW646" s="5"/>
      <c r="FX646" s="5"/>
      <c r="FY646" s="5"/>
      <c r="FZ646" s="5"/>
      <c r="GA646" s="5"/>
      <c r="GB646" s="5"/>
      <c r="GC646" s="5"/>
      <c r="GD646" s="5"/>
      <c r="GE646" s="5"/>
      <c r="GF646" s="5"/>
      <c r="GG646" s="5"/>
      <c r="GH646" s="5"/>
      <c r="GI646" s="5"/>
      <c r="GJ646" s="5"/>
      <c r="GK646" s="5"/>
      <c r="GL646" s="5"/>
      <c r="GM646" s="5"/>
      <c r="GN646" s="5"/>
      <c r="GO646" s="5"/>
      <c r="GP646" s="5"/>
      <c r="GQ646" s="5"/>
      <c r="GR646" s="5"/>
      <c r="GS646" s="5"/>
      <c r="GT646" s="5"/>
      <c r="GU646" s="5"/>
      <c r="GX646" s="5">
        <v>0</v>
      </c>
      <c r="GY646" s="5">
        <v>0</v>
      </c>
      <c r="GZ646" s="5" t="s">
        <v>367</v>
      </c>
      <c r="HA646" s="5">
        <v>0</v>
      </c>
      <c r="HB646" s="5"/>
      <c r="HC646" s="5"/>
      <c r="HD646" s="5" t="b">
        <v>0</v>
      </c>
      <c r="HE646" s="5">
        <v>0</v>
      </c>
      <c r="HF646" s="5" t="b">
        <v>1</v>
      </c>
      <c r="HG646" s="5">
        <v>0</v>
      </c>
      <c r="HH646" s="5">
        <v>0</v>
      </c>
      <c r="HI646" s="5">
        <v>0</v>
      </c>
      <c r="HJ646" s="5">
        <v>0</v>
      </c>
      <c r="HK646" s="5" t="b">
        <v>0</v>
      </c>
      <c r="HL646" s="5">
        <v>0</v>
      </c>
      <c r="HM646" s="5">
        <v>0</v>
      </c>
      <c r="HN646" s="5" t="s">
        <v>367</v>
      </c>
      <c r="HO646" s="5" t="s">
        <v>360</v>
      </c>
      <c r="HP646" s="5">
        <v>0</v>
      </c>
      <c r="HQ646" s="5">
        <v>0</v>
      </c>
      <c r="HR646" s="5">
        <v>0</v>
      </c>
      <c r="HS646" s="5">
        <v>0</v>
      </c>
      <c r="HT646" s="5" t="b">
        <v>0</v>
      </c>
    </row>
    <row r="647" spans="1:228">
      <c r="A647"/>
      <c r="B647" s="1">
        <f>10000000+INDEX(编号表!$B$1:$B$112,MATCH(D647,编号表!$A$1:$A$112,0))*10000+I647</f>
        <v>10300004</v>
      </c>
      <c r="C647" s="5" t="s">
        <v>536</v>
      </c>
      <c r="D647" s="5" t="s">
        <v>536</v>
      </c>
      <c r="E647" s="5" t="s">
        <v>360</v>
      </c>
      <c r="F647" s="5" t="s">
        <v>349</v>
      </c>
      <c r="G647" s="5" t="b">
        <v>0</v>
      </c>
      <c r="H647" s="5" t="b">
        <v>1</v>
      </c>
      <c r="I647" s="5">
        <v>4</v>
      </c>
      <c r="J647" s="5">
        <v>103000</v>
      </c>
      <c r="K647" s="5" t="s">
        <v>350</v>
      </c>
      <c r="L647" s="5">
        <v>0</v>
      </c>
      <c r="M647" s="5">
        <v>0</v>
      </c>
      <c r="N647" s="5" t="s">
        <v>535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/>
      <c r="V647" s="5">
        <v>0</v>
      </c>
      <c r="W647" s="5">
        <v>0</v>
      </c>
      <c r="X647" s="5" t="s">
        <v>352</v>
      </c>
      <c r="Y647" s="5" t="s">
        <v>365</v>
      </c>
      <c r="Z647" s="5" t="s">
        <v>354</v>
      </c>
      <c r="AA647" s="5">
        <v>0</v>
      </c>
      <c r="AB647" s="5">
        <v>0</v>
      </c>
      <c r="AC647" s="5" t="b">
        <v>0</v>
      </c>
      <c r="AD647" s="5" t="s">
        <v>355</v>
      </c>
      <c r="AE647" s="5">
        <v>100</v>
      </c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 t="s">
        <v>356</v>
      </c>
      <c r="AZ647" s="5">
        <v>11200</v>
      </c>
      <c r="BA647" s="5" t="s">
        <v>357</v>
      </c>
      <c r="BB647" s="5" t="s">
        <v>354</v>
      </c>
      <c r="BC647" s="5">
        <v>10000</v>
      </c>
      <c r="BD647" s="5">
        <v>0</v>
      </c>
      <c r="BE647" s="5" t="s">
        <v>358</v>
      </c>
      <c r="BF647" s="5">
        <v>0</v>
      </c>
      <c r="BG647" s="5" t="s">
        <v>356</v>
      </c>
      <c r="BH647" s="5">
        <v>10000</v>
      </c>
      <c r="BI647" s="5">
        <v>6</v>
      </c>
      <c r="BJ647" s="5" t="b">
        <v>1</v>
      </c>
      <c r="BK647" s="5">
        <v>0</v>
      </c>
      <c r="BL647" s="5">
        <v>10000</v>
      </c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  <c r="EC647" s="5"/>
      <c r="ED647" s="5"/>
      <c r="EE647" s="5"/>
      <c r="EF647" s="5"/>
      <c r="EG647" s="5"/>
      <c r="EH647" s="5"/>
      <c r="EI647" s="5"/>
      <c r="EJ647" s="5"/>
      <c r="EK647" s="5"/>
      <c r="EL647" s="5"/>
      <c r="EM647" s="5"/>
      <c r="EN647" s="5"/>
      <c r="EO647" s="5"/>
      <c r="EP647" s="5"/>
      <c r="EQ647" s="5"/>
      <c r="ER647" s="5"/>
      <c r="ES647" s="5"/>
      <c r="ET647" s="5"/>
      <c r="EU647" s="5"/>
      <c r="EV647" s="5"/>
      <c r="EY647" s="5"/>
      <c r="EZ647" s="5"/>
      <c r="FA647" s="5"/>
      <c r="FB647" s="5"/>
      <c r="FC647" s="5"/>
      <c r="FD647" s="5"/>
      <c r="FE647" s="5"/>
      <c r="FF647" s="5"/>
      <c r="FG647" s="5"/>
      <c r="FH647" s="5"/>
      <c r="FI647" s="5"/>
      <c r="FJ647" s="5"/>
      <c r="FK647" s="5"/>
      <c r="FL647" s="5"/>
      <c r="FM647" s="5"/>
      <c r="FN647" s="5"/>
      <c r="FO647" s="5"/>
      <c r="FP647" s="5"/>
      <c r="FQ647" s="5"/>
      <c r="FR647" s="5"/>
      <c r="FS647" s="5"/>
      <c r="FT647" s="5"/>
      <c r="FU647" s="5"/>
      <c r="FV647" s="5"/>
      <c r="FW647" s="5"/>
      <c r="FX647" s="5"/>
      <c r="FY647" s="5"/>
      <c r="FZ647" s="5"/>
      <c r="GA647" s="5"/>
      <c r="GB647" s="5"/>
      <c r="GC647" s="5"/>
      <c r="GD647" s="5"/>
      <c r="GE647" s="5"/>
      <c r="GF647" s="5"/>
      <c r="GG647" s="5"/>
      <c r="GH647" s="5"/>
      <c r="GI647" s="5"/>
      <c r="GJ647" s="5"/>
      <c r="GK647" s="5"/>
      <c r="GL647" s="5"/>
      <c r="GM647" s="5"/>
      <c r="GN647" s="5"/>
      <c r="GO647" s="5"/>
      <c r="GP647" s="5"/>
      <c r="GQ647" s="5"/>
      <c r="GR647" s="5"/>
      <c r="GS647" s="5"/>
      <c r="GT647" s="5"/>
      <c r="GU647" s="5"/>
      <c r="GX647" s="5">
        <v>0</v>
      </c>
      <c r="GY647" s="5">
        <v>0</v>
      </c>
      <c r="GZ647" s="5" t="s">
        <v>367</v>
      </c>
      <c r="HA647" s="5">
        <v>0</v>
      </c>
      <c r="HB647" s="5"/>
      <c r="HC647" s="5"/>
      <c r="HD647" s="5" t="b">
        <v>0</v>
      </c>
      <c r="HE647" s="5">
        <v>0</v>
      </c>
      <c r="HF647" s="5" t="b">
        <v>1</v>
      </c>
      <c r="HG647" s="5">
        <v>0</v>
      </c>
      <c r="HH647" s="5">
        <v>0</v>
      </c>
      <c r="HI647" s="5">
        <v>0</v>
      </c>
      <c r="HJ647" s="5">
        <v>0</v>
      </c>
      <c r="HK647" s="5" t="b">
        <v>0</v>
      </c>
      <c r="HL647" s="5">
        <v>0</v>
      </c>
      <c r="HM647" s="5">
        <v>0</v>
      </c>
      <c r="HN647" s="5" t="s">
        <v>367</v>
      </c>
      <c r="HO647" s="5" t="s">
        <v>360</v>
      </c>
      <c r="HP647" s="5">
        <v>0</v>
      </c>
      <c r="HQ647" s="5">
        <v>0</v>
      </c>
      <c r="HR647" s="5">
        <v>0</v>
      </c>
      <c r="HS647" s="5">
        <v>0</v>
      </c>
      <c r="HT647" s="5" t="b">
        <v>0</v>
      </c>
    </row>
    <row r="648" spans="1:228">
      <c r="A648"/>
      <c r="B648" s="1">
        <f>10000000+INDEX(编号表!$B$1:$B$112,MATCH(D648,编号表!$A$1:$A$112,0))*10000+I648</f>
        <v>10300005</v>
      </c>
      <c r="C648" s="5" t="s">
        <v>536</v>
      </c>
      <c r="D648" s="5" t="s">
        <v>536</v>
      </c>
      <c r="E648" s="5" t="s">
        <v>360</v>
      </c>
      <c r="F648" s="5" t="s">
        <v>349</v>
      </c>
      <c r="G648" s="5" t="b">
        <v>0</v>
      </c>
      <c r="H648" s="5" t="b">
        <v>1</v>
      </c>
      <c r="I648" s="5">
        <v>5</v>
      </c>
      <c r="J648" s="5">
        <v>103000</v>
      </c>
      <c r="K648" s="5" t="s">
        <v>350</v>
      </c>
      <c r="L648" s="5">
        <v>0</v>
      </c>
      <c r="M648" s="5">
        <v>0</v>
      </c>
      <c r="N648" s="5" t="s">
        <v>535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/>
      <c r="V648" s="5">
        <v>0</v>
      </c>
      <c r="W648" s="5">
        <v>0</v>
      </c>
      <c r="X648" s="5" t="s">
        <v>352</v>
      </c>
      <c r="Y648" s="5" t="s">
        <v>365</v>
      </c>
      <c r="Z648" s="5" t="s">
        <v>354</v>
      </c>
      <c r="AA648" s="5">
        <v>0</v>
      </c>
      <c r="AB648" s="5">
        <v>0</v>
      </c>
      <c r="AC648" s="5" t="b">
        <v>0</v>
      </c>
      <c r="AD648" s="5" t="s">
        <v>355</v>
      </c>
      <c r="AE648" s="5">
        <v>100</v>
      </c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 t="s">
        <v>356</v>
      </c>
      <c r="AZ648" s="5">
        <v>11300</v>
      </c>
      <c r="BA648" s="5" t="s">
        <v>357</v>
      </c>
      <c r="BB648" s="5" t="s">
        <v>354</v>
      </c>
      <c r="BC648" s="5">
        <v>10000</v>
      </c>
      <c r="BD648" s="5">
        <v>0</v>
      </c>
      <c r="BE648" s="5" t="s">
        <v>358</v>
      </c>
      <c r="BF648" s="5">
        <v>0</v>
      </c>
      <c r="BG648" s="5" t="s">
        <v>356</v>
      </c>
      <c r="BH648" s="5">
        <v>10000</v>
      </c>
      <c r="BI648" s="5">
        <v>6</v>
      </c>
      <c r="BJ648" s="5" t="b">
        <v>1</v>
      </c>
      <c r="BK648" s="5">
        <v>0</v>
      </c>
      <c r="BL648" s="5">
        <v>10000</v>
      </c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  <c r="EC648" s="5"/>
      <c r="ED648" s="5"/>
      <c r="EE648" s="5"/>
      <c r="EF648" s="5"/>
      <c r="EG648" s="5"/>
      <c r="EH648" s="5"/>
      <c r="EI648" s="5"/>
      <c r="EJ648" s="5"/>
      <c r="EK648" s="5"/>
      <c r="EL648" s="5"/>
      <c r="EM648" s="5"/>
      <c r="EN648" s="5"/>
      <c r="EO648" s="5"/>
      <c r="EP648" s="5"/>
      <c r="EQ648" s="5"/>
      <c r="ER648" s="5"/>
      <c r="ES648" s="5"/>
      <c r="ET648" s="5"/>
      <c r="EU648" s="5"/>
      <c r="EV648" s="5"/>
      <c r="EY648" s="5"/>
      <c r="EZ648" s="5"/>
      <c r="FA648" s="5"/>
      <c r="FB648" s="5"/>
      <c r="FC648" s="5"/>
      <c r="FD648" s="5"/>
      <c r="FE648" s="5"/>
      <c r="FF648" s="5"/>
      <c r="FG648" s="5"/>
      <c r="FH648" s="5"/>
      <c r="FI648" s="5"/>
      <c r="FJ648" s="5"/>
      <c r="FK648" s="5"/>
      <c r="FL648" s="5"/>
      <c r="FM648" s="5"/>
      <c r="FN648" s="5"/>
      <c r="FO648" s="5"/>
      <c r="FP648" s="5"/>
      <c r="FQ648" s="5"/>
      <c r="FR648" s="5"/>
      <c r="FS648" s="5"/>
      <c r="FT648" s="5"/>
      <c r="FU648" s="5"/>
      <c r="FV648" s="5"/>
      <c r="FW648" s="5"/>
      <c r="FX648" s="5"/>
      <c r="FY648" s="5"/>
      <c r="FZ648" s="5"/>
      <c r="GA648" s="5"/>
      <c r="GB648" s="5"/>
      <c r="GC648" s="5"/>
      <c r="GD648" s="5"/>
      <c r="GE648" s="5"/>
      <c r="GF648" s="5"/>
      <c r="GG648" s="5"/>
      <c r="GH648" s="5"/>
      <c r="GI648" s="5"/>
      <c r="GJ648" s="5"/>
      <c r="GK648" s="5"/>
      <c r="GL648" s="5"/>
      <c r="GM648" s="5"/>
      <c r="GN648" s="5"/>
      <c r="GO648" s="5"/>
      <c r="GP648" s="5"/>
      <c r="GQ648" s="5"/>
      <c r="GR648" s="5"/>
      <c r="GS648" s="5"/>
      <c r="GT648" s="5"/>
      <c r="GU648" s="5"/>
      <c r="GX648" s="5">
        <v>0</v>
      </c>
      <c r="GY648" s="5">
        <v>0</v>
      </c>
      <c r="GZ648" s="5" t="s">
        <v>367</v>
      </c>
      <c r="HA648" s="5">
        <v>0</v>
      </c>
      <c r="HB648" s="5"/>
      <c r="HC648" s="5"/>
      <c r="HD648" s="5" t="b">
        <v>0</v>
      </c>
      <c r="HE648" s="5">
        <v>0</v>
      </c>
      <c r="HF648" s="5" t="b">
        <v>1</v>
      </c>
      <c r="HG648" s="5">
        <v>0</v>
      </c>
      <c r="HH648" s="5">
        <v>0</v>
      </c>
      <c r="HI648" s="5">
        <v>0</v>
      </c>
      <c r="HJ648" s="5">
        <v>0</v>
      </c>
      <c r="HK648" s="5" t="b">
        <v>0</v>
      </c>
      <c r="HL648" s="5">
        <v>0</v>
      </c>
      <c r="HM648" s="5">
        <v>0</v>
      </c>
      <c r="HN648" s="5" t="s">
        <v>367</v>
      </c>
      <c r="HO648" s="5" t="s">
        <v>360</v>
      </c>
      <c r="HP648" s="5">
        <v>0</v>
      </c>
      <c r="HQ648" s="5">
        <v>0</v>
      </c>
      <c r="HR648" s="5">
        <v>0</v>
      </c>
      <c r="HS648" s="5">
        <v>0</v>
      </c>
      <c r="HT648" s="5" t="b">
        <v>0</v>
      </c>
    </row>
    <row r="649" spans="1:228">
      <c r="A649"/>
      <c r="B649" s="1">
        <f>10000000+INDEX(编号表!$B$1:$B$112,MATCH(D649,编号表!$A$1:$A$112,0))*10000+I649</f>
        <v>10300006</v>
      </c>
      <c r="C649" s="5" t="s">
        <v>536</v>
      </c>
      <c r="D649" s="5" t="s">
        <v>536</v>
      </c>
      <c r="E649" s="5" t="s">
        <v>360</v>
      </c>
      <c r="F649" s="5" t="s">
        <v>349</v>
      </c>
      <c r="G649" s="5" t="b">
        <v>0</v>
      </c>
      <c r="H649" s="5" t="b">
        <v>1</v>
      </c>
      <c r="I649" s="5">
        <v>6</v>
      </c>
      <c r="J649" s="5">
        <v>103000</v>
      </c>
      <c r="K649" s="5" t="s">
        <v>350</v>
      </c>
      <c r="L649" s="5">
        <v>0</v>
      </c>
      <c r="M649" s="5">
        <v>0</v>
      </c>
      <c r="N649" s="5" t="s">
        <v>535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/>
      <c r="V649" s="5">
        <v>0</v>
      </c>
      <c r="W649" s="5">
        <v>0</v>
      </c>
      <c r="X649" s="5" t="s">
        <v>352</v>
      </c>
      <c r="Y649" s="5" t="s">
        <v>365</v>
      </c>
      <c r="Z649" s="5" t="s">
        <v>354</v>
      </c>
      <c r="AA649" s="5">
        <v>0</v>
      </c>
      <c r="AB649" s="5">
        <v>0</v>
      </c>
      <c r="AC649" s="5" t="b">
        <v>0</v>
      </c>
      <c r="AD649" s="5" t="s">
        <v>355</v>
      </c>
      <c r="AE649" s="5">
        <v>100</v>
      </c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 t="s">
        <v>356</v>
      </c>
      <c r="AZ649" s="5">
        <v>11600</v>
      </c>
      <c r="BA649" s="5" t="s">
        <v>357</v>
      </c>
      <c r="BB649" s="5" t="s">
        <v>354</v>
      </c>
      <c r="BC649" s="5">
        <v>10000</v>
      </c>
      <c r="BD649" s="5">
        <v>0</v>
      </c>
      <c r="BE649" s="5" t="s">
        <v>358</v>
      </c>
      <c r="BF649" s="5">
        <v>0</v>
      </c>
      <c r="BG649" s="5" t="s">
        <v>356</v>
      </c>
      <c r="BH649" s="5">
        <v>10000</v>
      </c>
      <c r="BI649" s="5">
        <v>7</v>
      </c>
      <c r="BJ649" s="5" t="b">
        <v>1</v>
      </c>
      <c r="BK649" s="5">
        <v>0</v>
      </c>
      <c r="BL649" s="5">
        <v>10000</v>
      </c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  <c r="EC649" s="5"/>
      <c r="ED649" s="5"/>
      <c r="EE649" s="5"/>
      <c r="EF649" s="5"/>
      <c r="EG649" s="5"/>
      <c r="EH649" s="5"/>
      <c r="EI649" s="5"/>
      <c r="EJ649" s="5"/>
      <c r="EK649" s="5"/>
      <c r="EL649" s="5"/>
      <c r="EM649" s="5"/>
      <c r="EN649" s="5"/>
      <c r="EO649" s="5"/>
      <c r="EP649" s="5"/>
      <c r="EQ649" s="5"/>
      <c r="ER649" s="5"/>
      <c r="ES649" s="5"/>
      <c r="ET649" s="5"/>
      <c r="EU649" s="5"/>
      <c r="EV649" s="5"/>
      <c r="EY649" s="5"/>
      <c r="EZ649" s="5"/>
      <c r="FA649" s="5"/>
      <c r="FB649" s="5"/>
      <c r="FC649" s="5"/>
      <c r="FD649" s="5"/>
      <c r="FE649" s="5"/>
      <c r="FF649" s="5"/>
      <c r="FG649" s="5"/>
      <c r="FH649" s="5"/>
      <c r="FI649" s="5"/>
      <c r="FJ649" s="5"/>
      <c r="FK649" s="5"/>
      <c r="FL649" s="5"/>
      <c r="FM649" s="5"/>
      <c r="FN649" s="5"/>
      <c r="FO649" s="5"/>
      <c r="FP649" s="5"/>
      <c r="FQ649" s="5"/>
      <c r="FR649" s="5"/>
      <c r="FS649" s="5"/>
      <c r="FT649" s="5"/>
      <c r="FU649" s="5"/>
      <c r="FV649" s="5"/>
      <c r="FW649" s="5"/>
      <c r="FX649" s="5"/>
      <c r="FY649" s="5"/>
      <c r="FZ649" s="5"/>
      <c r="GA649" s="5"/>
      <c r="GB649" s="5"/>
      <c r="GC649" s="5"/>
      <c r="GD649" s="5"/>
      <c r="GE649" s="5"/>
      <c r="GF649" s="5"/>
      <c r="GG649" s="5"/>
      <c r="GH649" s="5"/>
      <c r="GI649" s="5"/>
      <c r="GJ649" s="5"/>
      <c r="GK649" s="5"/>
      <c r="GL649" s="5"/>
      <c r="GM649" s="5"/>
      <c r="GN649" s="5"/>
      <c r="GO649" s="5"/>
      <c r="GP649" s="5"/>
      <c r="GQ649" s="5"/>
      <c r="GR649" s="5"/>
      <c r="GS649" s="5"/>
      <c r="GT649" s="5"/>
      <c r="GU649" s="5"/>
      <c r="GX649" s="5">
        <v>0</v>
      </c>
      <c r="GY649" s="5">
        <v>0</v>
      </c>
      <c r="GZ649" s="5" t="s">
        <v>367</v>
      </c>
      <c r="HA649" s="5">
        <v>0</v>
      </c>
      <c r="HB649" s="5"/>
      <c r="HC649" s="5"/>
      <c r="HD649" s="5" t="b">
        <v>0</v>
      </c>
      <c r="HE649" s="5">
        <v>0</v>
      </c>
      <c r="HF649" s="5" t="b">
        <v>1</v>
      </c>
      <c r="HG649" s="5">
        <v>0</v>
      </c>
      <c r="HH649" s="5">
        <v>0</v>
      </c>
      <c r="HI649" s="5">
        <v>0</v>
      </c>
      <c r="HJ649" s="5">
        <v>0</v>
      </c>
      <c r="HK649" s="5" t="b">
        <v>0</v>
      </c>
      <c r="HL649" s="5">
        <v>0</v>
      </c>
      <c r="HM649" s="5">
        <v>0</v>
      </c>
      <c r="HN649" s="5" t="s">
        <v>367</v>
      </c>
      <c r="HO649" s="5" t="s">
        <v>360</v>
      </c>
      <c r="HP649" s="5">
        <v>0</v>
      </c>
      <c r="HQ649" s="5">
        <v>0</v>
      </c>
      <c r="HR649" s="5">
        <v>0</v>
      </c>
      <c r="HS649" s="5">
        <v>0</v>
      </c>
      <c r="HT649" s="5" t="b">
        <v>0</v>
      </c>
    </row>
    <row r="650" spans="1:228">
      <c r="A650"/>
      <c r="B650" s="1">
        <f>10000000+INDEX(编号表!$B$1:$B$112,MATCH(D650,编号表!$A$1:$A$112,0))*10000+I650</f>
        <v>10300007</v>
      </c>
      <c r="C650" s="5" t="s">
        <v>536</v>
      </c>
      <c r="D650" s="5" t="s">
        <v>536</v>
      </c>
      <c r="E650" s="5" t="s">
        <v>360</v>
      </c>
      <c r="F650" s="5" t="s">
        <v>349</v>
      </c>
      <c r="G650" s="5" t="b">
        <v>0</v>
      </c>
      <c r="H650" s="5" t="b">
        <v>1</v>
      </c>
      <c r="I650" s="5">
        <v>7</v>
      </c>
      <c r="J650" s="5">
        <v>103000</v>
      </c>
      <c r="K650" s="5" t="s">
        <v>350</v>
      </c>
      <c r="L650" s="5">
        <v>0</v>
      </c>
      <c r="M650" s="5">
        <v>0</v>
      </c>
      <c r="N650" s="5" t="s">
        <v>535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/>
      <c r="V650" s="5">
        <v>0</v>
      </c>
      <c r="W650" s="5">
        <v>0</v>
      </c>
      <c r="X650" s="5" t="s">
        <v>352</v>
      </c>
      <c r="Y650" s="5" t="s">
        <v>365</v>
      </c>
      <c r="Z650" s="5" t="s">
        <v>354</v>
      </c>
      <c r="AA650" s="5">
        <v>0</v>
      </c>
      <c r="AB650" s="5">
        <v>0</v>
      </c>
      <c r="AC650" s="5" t="b">
        <v>0</v>
      </c>
      <c r="AD650" s="5" t="s">
        <v>355</v>
      </c>
      <c r="AE650" s="5">
        <v>100</v>
      </c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 t="s">
        <v>356</v>
      </c>
      <c r="AZ650" s="5">
        <v>11700</v>
      </c>
      <c r="BA650" s="5" t="s">
        <v>357</v>
      </c>
      <c r="BB650" s="5" t="s">
        <v>354</v>
      </c>
      <c r="BC650" s="5">
        <v>10000</v>
      </c>
      <c r="BD650" s="5">
        <v>0</v>
      </c>
      <c r="BE650" s="5" t="s">
        <v>358</v>
      </c>
      <c r="BF650" s="5">
        <v>0</v>
      </c>
      <c r="BG650" s="5" t="s">
        <v>356</v>
      </c>
      <c r="BH650" s="5">
        <v>10000</v>
      </c>
      <c r="BI650" s="5">
        <v>9</v>
      </c>
      <c r="BJ650" s="5" t="b">
        <v>1</v>
      </c>
      <c r="BK650" s="5">
        <v>0</v>
      </c>
      <c r="BL650" s="5">
        <v>10000</v>
      </c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  <c r="EC650" s="5"/>
      <c r="ED650" s="5"/>
      <c r="EE650" s="5"/>
      <c r="EF650" s="5"/>
      <c r="EG650" s="5"/>
      <c r="EH650" s="5"/>
      <c r="EI650" s="5"/>
      <c r="EJ650" s="5"/>
      <c r="EK650" s="5"/>
      <c r="EL650" s="5"/>
      <c r="EM650" s="5"/>
      <c r="EN650" s="5"/>
      <c r="EO650" s="5"/>
      <c r="EP650" s="5"/>
      <c r="EQ650" s="5"/>
      <c r="ER650" s="5"/>
      <c r="ES650" s="5"/>
      <c r="ET650" s="5"/>
      <c r="EU650" s="5"/>
      <c r="EV650" s="5"/>
      <c r="EY650" s="5"/>
      <c r="EZ650" s="5"/>
      <c r="FA650" s="5"/>
      <c r="FB650" s="5"/>
      <c r="FC650" s="5"/>
      <c r="FD650" s="5"/>
      <c r="FE650" s="5"/>
      <c r="FF650" s="5"/>
      <c r="FG650" s="5"/>
      <c r="FH650" s="5"/>
      <c r="FI650" s="5"/>
      <c r="FJ650" s="5"/>
      <c r="FK650" s="5"/>
      <c r="FL650" s="5"/>
      <c r="FM650" s="5"/>
      <c r="FN650" s="5"/>
      <c r="FO650" s="5"/>
      <c r="FP650" s="5"/>
      <c r="FQ650" s="5"/>
      <c r="FR650" s="5"/>
      <c r="FS650" s="5"/>
      <c r="FT650" s="5"/>
      <c r="FU650" s="5"/>
      <c r="FV650" s="5"/>
      <c r="FW650" s="5"/>
      <c r="FX650" s="5"/>
      <c r="FY650" s="5"/>
      <c r="FZ650" s="5"/>
      <c r="GA650" s="5"/>
      <c r="GB650" s="5"/>
      <c r="GC650" s="5"/>
      <c r="GD650" s="5"/>
      <c r="GE650" s="5"/>
      <c r="GF650" s="5"/>
      <c r="GG650" s="5"/>
      <c r="GH650" s="5"/>
      <c r="GI650" s="5"/>
      <c r="GJ650" s="5"/>
      <c r="GK650" s="5"/>
      <c r="GL650" s="5"/>
      <c r="GM650" s="5"/>
      <c r="GN650" s="5"/>
      <c r="GO650" s="5"/>
      <c r="GP650" s="5"/>
      <c r="GQ650" s="5"/>
      <c r="GR650" s="5"/>
      <c r="GS650" s="5"/>
      <c r="GT650" s="5"/>
      <c r="GU650" s="5"/>
      <c r="GX650" s="5">
        <v>0</v>
      </c>
      <c r="GY650" s="5">
        <v>0</v>
      </c>
      <c r="GZ650" s="5" t="s">
        <v>367</v>
      </c>
      <c r="HA650" s="5">
        <v>0</v>
      </c>
      <c r="HB650" s="5"/>
      <c r="HC650" s="5"/>
      <c r="HD650" s="5" t="b">
        <v>0</v>
      </c>
      <c r="HE650" s="5">
        <v>0</v>
      </c>
      <c r="HF650" s="5" t="b">
        <v>1</v>
      </c>
      <c r="HG650" s="5">
        <v>0</v>
      </c>
      <c r="HH650" s="5">
        <v>0</v>
      </c>
      <c r="HI650" s="5">
        <v>0</v>
      </c>
      <c r="HJ650" s="5">
        <v>0</v>
      </c>
      <c r="HK650" s="5" t="b">
        <v>0</v>
      </c>
      <c r="HL650" s="5">
        <v>0</v>
      </c>
      <c r="HM650" s="5">
        <v>0</v>
      </c>
      <c r="HN650" s="5" t="s">
        <v>367</v>
      </c>
      <c r="HO650" s="5" t="s">
        <v>360</v>
      </c>
      <c r="HP650" s="5">
        <v>0</v>
      </c>
      <c r="HQ650" s="5">
        <v>0</v>
      </c>
      <c r="HR650" s="5">
        <v>0</v>
      </c>
      <c r="HS650" s="5">
        <v>0</v>
      </c>
      <c r="HT650" s="5" t="b">
        <v>0</v>
      </c>
    </row>
    <row r="651" spans="1:228">
      <c r="A651"/>
      <c r="B651" s="1">
        <f>10000000+INDEX(编号表!$B$1:$B$112,MATCH(D651,编号表!$A$1:$A$112,0))*10000+I651</f>
        <v>10300008</v>
      </c>
      <c r="C651" s="5" t="s">
        <v>536</v>
      </c>
      <c r="D651" s="5" t="s">
        <v>536</v>
      </c>
      <c r="E651" s="5" t="s">
        <v>360</v>
      </c>
      <c r="F651" s="5" t="s">
        <v>349</v>
      </c>
      <c r="G651" s="5" t="b">
        <v>0</v>
      </c>
      <c r="H651" s="5" t="b">
        <v>1</v>
      </c>
      <c r="I651" s="5">
        <v>8</v>
      </c>
      <c r="J651" s="5">
        <v>103000</v>
      </c>
      <c r="K651" s="5" t="s">
        <v>350</v>
      </c>
      <c r="L651" s="5">
        <v>0</v>
      </c>
      <c r="M651" s="5">
        <v>0</v>
      </c>
      <c r="N651" s="5" t="s">
        <v>535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/>
      <c r="V651" s="5">
        <v>0</v>
      </c>
      <c r="W651" s="5">
        <v>0</v>
      </c>
      <c r="X651" s="5" t="s">
        <v>352</v>
      </c>
      <c r="Y651" s="5" t="s">
        <v>365</v>
      </c>
      <c r="Z651" s="5" t="s">
        <v>354</v>
      </c>
      <c r="AA651" s="5">
        <v>0</v>
      </c>
      <c r="AB651" s="5">
        <v>0</v>
      </c>
      <c r="AC651" s="5" t="b">
        <v>0</v>
      </c>
      <c r="AD651" s="5" t="s">
        <v>355</v>
      </c>
      <c r="AE651" s="5">
        <v>100</v>
      </c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 t="s">
        <v>356</v>
      </c>
      <c r="AZ651" s="5">
        <v>11800</v>
      </c>
      <c r="BA651" s="5" t="s">
        <v>357</v>
      </c>
      <c r="BB651" s="5" t="s">
        <v>354</v>
      </c>
      <c r="BC651" s="5">
        <v>10000</v>
      </c>
      <c r="BD651" s="5">
        <v>0</v>
      </c>
      <c r="BE651" s="5" t="s">
        <v>358</v>
      </c>
      <c r="BF651" s="5">
        <v>0</v>
      </c>
      <c r="BG651" s="5" t="s">
        <v>356</v>
      </c>
      <c r="BH651" s="5">
        <v>10000</v>
      </c>
      <c r="BI651" s="5">
        <v>10</v>
      </c>
      <c r="BJ651" s="5" t="b">
        <v>1</v>
      </c>
      <c r="BK651" s="5">
        <v>0</v>
      </c>
      <c r="BL651" s="5">
        <v>10000</v>
      </c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  <c r="EC651" s="5"/>
      <c r="ED651" s="5"/>
      <c r="EE651" s="5"/>
      <c r="EF651" s="5"/>
      <c r="EG651" s="5"/>
      <c r="EH651" s="5"/>
      <c r="EI651" s="5"/>
      <c r="EJ651" s="5"/>
      <c r="EK651" s="5"/>
      <c r="EL651" s="5"/>
      <c r="EM651" s="5"/>
      <c r="EN651" s="5"/>
      <c r="EO651" s="5"/>
      <c r="EP651" s="5"/>
      <c r="EQ651" s="5"/>
      <c r="ER651" s="5"/>
      <c r="ES651" s="5"/>
      <c r="ET651" s="5"/>
      <c r="EU651" s="5"/>
      <c r="EV651" s="5"/>
      <c r="EY651" s="5"/>
      <c r="EZ651" s="5"/>
      <c r="FA651" s="5"/>
      <c r="FB651" s="5"/>
      <c r="FC651" s="5"/>
      <c r="FD651" s="5"/>
      <c r="FE651" s="5"/>
      <c r="FF651" s="5"/>
      <c r="FG651" s="5"/>
      <c r="FH651" s="5"/>
      <c r="FI651" s="5"/>
      <c r="FJ651" s="5"/>
      <c r="FK651" s="5"/>
      <c r="FL651" s="5"/>
      <c r="FM651" s="5"/>
      <c r="FN651" s="5"/>
      <c r="FO651" s="5"/>
      <c r="FP651" s="5"/>
      <c r="FQ651" s="5"/>
      <c r="FR651" s="5"/>
      <c r="FS651" s="5"/>
      <c r="FT651" s="5"/>
      <c r="FU651" s="5"/>
      <c r="FV651" s="5"/>
      <c r="FW651" s="5"/>
      <c r="FX651" s="5"/>
      <c r="FY651" s="5"/>
      <c r="FZ651" s="5"/>
      <c r="GA651" s="5"/>
      <c r="GB651" s="5"/>
      <c r="GC651" s="5"/>
      <c r="GD651" s="5"/>
      <c r="GE651" s="5"/>
      <c r="GF651" s="5"/>
      <c r="GG651" s="5"/>
      <c r="GH651" s="5"/>
      <c r="GI651" s="5"/>
      <c r="GJ651" s="5"/>
      <c r="GK651" s="5"/>
      <c r="GL651" s="5"/>
      <c r="GM651" s="5"/>
      <c r="GN651" s="5"/>
      <c r="GO651" s="5"/>
      <c r="GP651" s="5"/>
      <c r="GQ651" s="5"/>
      <c r="GR651" s="5"/>
      <c r="GS651" s="5"/>
      <c r="GT651" s="5"/>
      <c r="GU651" s="5"/>
      <c r="GX651" s="5">
        <v>0</v>
      </c>
      <c r="GY651" s="5">
        <v>0</v>
      </c>
      <c r="GZ651" s="5" t="s">
        <v>367</v>
      </c>
      <c r="HA651" s="5">
        <v>0</v>
      </c>
      <c r="HB651" s="5"/>
      <c r="HC651" s="5"/>
      <c r="HD651" s="5" t="b">
        <v>0</v>
      </c>
      <c r="HE651" s="5">
        <v>0</v>
      </c>
      <c r="HF651" s="5" t="b">
        <v>1</v>
      </c>
      <c r="HG651" s="5">
        <v>0</v>
      </c>
      <c r="HH651" s="5">
        <v>0</v>
      </c>
      <c r="HI651" s="5">
        <v>0</v>
      </c>
      <c r="HJ651" s="5">
        <v>0</v>
      </c>
      <c r="HK651" s="5" t="b">
        <v>0</v>
      </c>
      <c r="HL651" s="5">
        <v>0</v>
      </c>
      <c r="HM651" s="5">
        <v>0</v>
      </c>
      <c r="HN651" s="5" t="s">
        <v>367</v>
      </c>
      <c r="HO651" s="5" t="s">
        <v>360</v>
      </c>
      <c r="HP651" s="5">
        <v>0</v>
      </c>
      <c r="HQ651" s="5">
        <v>0</v>
      </c>
      <c r="HR651" s="5">
        <v>0</v>
      </c>
      <c r="HS651" s="5">
        <v>0</v>
      </c>
      <c r="HT651" s="5" t="b">
        <v>0</v>
      </c>
    </row>
    <row r="652" spans="1:228">
      <c r="A652"/>
      <c r="B652" s="1">
        <f>10000000+INDEX(编号表!$B$1:$B$112,MATCH(D652,编号表!$A$1:$A$112,0))*10000+I652</f>
        <v>10300009</v>
      </c>
      <c r="C652" s="5" t="s">
        <v>536</v>
      </c>
      <c r="D652" s="5" t="s">
        <v>536</v>
      </c>
      <c r="E652" s="5" t="s">
        <v>360</v>
      </c>
      <c r="F652" s="5" t="s">
        <v>349</v>
      </c>
      <c r="G652" s="5" t="b">
        <v>0</v>
      </c>
      <c r="H652" s="5" t="b">
        <v>1</v>
      </c>
      <c r="I652" s="5">
        <v>9</v>
      </c>
      <c r="J652" s="5">
        <v>103000</v>
      </c>
      <c r="K652" s="5" t="s">
        <v>350</v>
      </c>
      <c r="L652" s="5">
        <v>0</v>
      </c>
      <c r="M652" s="5">
        <v>0</v>
      </c>
      <c r="N652" s="5" t="s">
        <v>535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/>
      <c r="V652" s="5">
        <v>0</v>
      </c>
      <c r="W652" s="5">
        <v>0</v>
      </c>
      <c r="X652" s="5" t="s">
        <v>352</v>
      </c>
      <c r="Y652" s="5" t="s">
        <v>365</v>
      </c>
      <c r="Z652" s="5" t="s">
        <v>354</v>
      </c>
      <c r="AA652" s="5">
        <v>0</v>
      </c>
      <c r="AB652" s="5">
        <v>0</v>
      </c>
      <c r="AC652" s="5" t="b">
        <v>0</v>
      </c>
      <c r="AD652" s="5" t="s">
        <v>355</v>
      </c>
      <c r="AE652" s="5">
        <v>100</v>
      </c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 t="s">
        <v>356</v>
      </c>
      <c r="AZ652" s="5">
        <v>11900</v>
      </c>
      <c r="BA652" s="5" t="s">
        <v>357</v>
      </c>
      <c r="BB652" s="5" t="s">
        <v>354</v>
      </c>
      <c r="BC652" s="5">
        <v>10000</v>
      </c>
      <c r="BD652" s="5">
        <v>0</v>
      </c>
      <c r="BE652" s="5" t="s">
        <v>358</v>
      </c>
      <c r="BF652" s="5">
        <v>0</v>
      </c>
      <c r="BG652" s="5" t="s">
        <v>356</v>
      </c>
      <c r="BH652" s="5">
        <v>10000</v>
      </c>
      <c r="BI652" s="5">
        <v>12</v>
      </c>
      <c r="BJ652" s="5" t="b">
        <v>1</v>
      </c>
      <c r="BK652" s="5">
        <v>0</v>
      </c>
      <c r="BL652" s="5">
        <v>10000</v>
      </c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  <c r="EC652" s="5"/>
      <c r="ED652" s="5"/>
      <c r="EE652" s="5"/>
      <c r="EF652" s="5"/>
      <c r="EG652" s="5"/>
      <c r="EH652" s="5"/>
      <c r="EI652" s="5"/>
      <c r="EJ652" s="5"/>
      <c r="EK652" s="5"/>
      <c r="EL652" s="5"/>
      <c r="EM652" s="5"/>
      <c r="EN652" s="5"/>
      <c r="EO652" s="5"/>
      <c r="EP652" s="5"/>
      <c r="EQ652" s="5"/>
      <c r="ER652" s="5"/>
      <c r="ES652" s="5"/>
      <c r="ET652" s="5"/>
      <c r="EU652" s="5"/>
      <c r="EV652" s="5"/>
      <c r="EY652" s="5"/>
      <c r="EZ652" s="5"/>
      <c r="FA652" s="5"/>
      <c r="FB652" s="5"/>
      <c r="FC652" s="5"/>
      <c r="FD652" s="5"/>
      <c r="FE652" s="5"/>
      <c r="FF652" s="5"/>
      <c r="FG652" s="5"/>
      <c r="FH652" s="5"/>
      <c r="FI652" s="5"/>
      <c r="FJ652" s="5"/>
      <c r="FK652" s="5"/>
      <c r="FL652" s="5"/>
      <c r="FM652" s="5"/>
      <c r="FN652" s="5"/>
      <c r="FO652" s="5"/>
      <c r="FP652" s="5"/>
      <c r="FQ652" s="5"/>
      <c r="FR652" s="5"/>
      <c r="FS652" s="5"/>
      <c r="FT652" s="5"/>
      <c r="FU652" s="5"/>
      <c r="FV652" s="5"/>
      <c r="FW652" s="5"/>
      <c r="FX652" s="5"/>
      <c r="FY652" s="5"/>
      <c r="FZ652" s="5"/>
      <c r="GA652" s="5"/>
      <c r="GB652" s="5"/>
      <c r="GC652" s="5"/>
      <c r="GD652" s="5"/>
      <c r="GE652" s="5"/>
      <c r="GF652" s="5"/>
      <c r="GG652" s="5"/>
      <c r="GH652" s="5"/>
      <c r="GI652" s="5"/>
      <c r="GJ652" s="5"/>
      <c r="GK652" s="5"/>
      <c r="GL652" s="5"/>
      <c r="GM652" s="5"/>
      <c r="GN652" s="5"/>
      <c r="GO652" s="5"/>
      <c r="GP652" s="5"/>
      <c r="GQ652" s="5"/>
      <c r="GR652" s="5"/>
      <c r="GS652" s="5"/>
      <c r="GT652" s="5"/>
      <c r="GU652" s="5"/>
      <c r="GX652" s="5">
        <v>0</v>
      </c>
      <c r="GY652" s="5">
        <v>0</v>
      </c>
      <c r="GZ652" s="5" t="s">
        <v>367</v>
      </c>
      <c r="HA652" s="5">
        <v>0</v>
      </c>
      <c r="HB652" s="5"/>
      <c r="HC652" s="5"/>
      <c r="HD652" s="5" t="b">
        <v>0</v>
      </c>
      <c r="HE652" s="5">
        <v>0</v>
      </c>
      <c r="HF652" s="5" t="b">
        <v>1</v>
      </c>
      <c r="HG652" s="5">
        <v>0</v>
      </c>
      <c r="HH652" s="5">
        <v>0</v>
      </c>
      <c r="HI652" s="5">
        <v>0</v>
      </c>
      <c r="HJ652" s="5">
        <v>0</v>
      </c>
      <c r="HK652" s="5" t="b">
        <v>0</v>
      </c>
      <c r="HL652" s="5">
        <v>0</v>
      </c>
      <c r="HM652" s="5">
        <v>0</v>
      </c>
      <c r="HN652" s="5" t="s">
        <v>367</v>
      </c>
      <c r="HO652" s="5" t="s">
        <v>360</v>
      </c>
      <c r="HP652" s="5">
        <v>0</v>
      </c>
      <c r="HQ652" s="5">
        <v>0</v>
      </c>
      <c r="HR652" s="5">
        <v>0</v>
      </c>
      <c r="HS652" s="5">
        <v>0</v>
      </c>
      <c r="HT652" s="5" t="b">
        <v>0</v>
      </c>
    </row>
    <row r="653" spans="1:228">
      <c r="A653"/>
      <c r="B653" s="1">
        <f>10000000+INDEX(编号表!$B$1:$B$112,MATCH(D653,编号表!$A$1:$A$112,0))*10000+I653</f>
        <v>10300010</v>
      </c>
      <c r="C653" s="5" t="s">
        <v>536</v>
      </c>
      <c r="D653" s="5" t="s">
        <v>536</v>
      </c>
      <c r="E653" s="5" t="s">
        <v>360</v>
      </c>
      <c r="F653" s="5" t="s">
        <v>349</v>
      </c>
      <c r="G653" s="5" t="b">
        <v>0</v>
      </c>
      <c r="H653" s="5" t="b">
        <v>1</v>
      </c>
      <c r="I653" s="5">
        <v>10</v>
      </c>
      <c r="J653" s="5">
        <v>103000</v>
      </c>
      <c r="K653" s="5" t="s">
        <v>350</v>
      </c>
      <c r="L653" s="5">
        <v>0</v>
      </c>
      <c r="M653" s="5">
        <v>0</v>
      </c>
      <c r="N653" s="5" t="s">
        <v>535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/>
      <c r="V653" s="5">
        <v>0</v>
      </c>
      <c r="W653" s="5">
        <v>0</v>
      </c>
      <c r="X653" s="5" t="s">
        <v>352</v>
      </c>
      <c r="Y653" s="5" t="s">
        <v>365</v>
      </c>
      <c r="Z653" s="5" t="s">
        <v>354</v>
      </c>
      <c r="AA653" s="5">
        <v>0</v>
      </c>
      <c r="AB653" s="5">
        <v>0</v>
      </c>
      <c r="AC653" s="5" t="b">
        <v>0</v>
      </c>
      <c r="AD653" s="5" t="s">
        <v>355</v>
      </c>
      <c r="AE653" s="5">
        <v>100</v>
      </c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 t="s">
        <v>356</v>
      </c>
      <c r="AZ653" s="5">
        <v>12000</v>
      </c>
      <c r="BA653" s="5" t="s">
        <v>357</v>
      </c>
      <c r="BB653" s="5" t="s">
        <v>354</v>
      </c>
      <c r="BC653" s="5">
        <v>10000</v>
      </c>
      <c r="BD653" s="5">
        <v>0</v>
      </c>
      <c r="BE653" s="5" t="s">
        <v>358</v>
      </c>
      <c r="BF653" s="5">
        <v>0</v>
      </c>
      <c r="BG653" s="5" t="s">
        <v>356</v>
      </c>
      <c r="BH653" s="5">
        <v>10000</v>
      </c>
      <c r="BI653" s="5">
        <v>15</v>
      </c>
      <c r="BJ653" s="5" t="b">
        <v>1</v>
      </c>
      <c r="BK653" s="5">
        <v>0</v>
      </c>
      <c r="BL653" s="5">
        <v>10000</v>
      </c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  <c r="EC653" s="5"/>
      <c r="ED653" s="5"/>
      <c r="EE653" s="5"/>
      <c r="EF653" s="5"/>
      <c r="EG653" s="5"/>
      <c r="EH653" s="5"/>
      <c r="EI653" s="5"/>
      <c r="EJ653" s="5"/>
      <c r="EK653" s="5"/>
      <c r="EL653" s="5"/>
      <c r="EM653" s="5"/>
      <c r="EN653" s="5"/>
      <c r="EO653" s="5"/>
      <c r="EP653" s="5"/>
      <c r="EQ653" s="5"/>
      <c r="ER653" s="5"/>
      <c r="ES653" s="5"/>
      <c r="ET653" s="5"/>
      <c r="EU653" s="5"/>
      <c r="EV653" s="5"/>
      <c r="EY653" s="5"/>
      <c r="EZ653" s="5"/>
      <c r="FA653" s="5"/>
      <c r="FB653" s="5"/>
      <c r="FC653" s="5"/>
      <c r="FD653" s="5"/>
      <c r="FE653" s="5"/>
      <c r="FF653" s="5"/>
      <c r="FG653" s="5"/>
      <c r="FH653" s="5"/>
      <c r="FI653" s="5"/>
      <c r="FJ653" s="5"/>
      <c r="FK653" s="5"/>
      <c r="FL653" s="5"/>
      <c r="FM653" s="5"/>
      <c r="FN653" s="5"/>
      <c r="FO653" s="5"/>
      <c r="FP653" s="5"/>
      <c r="FQ653" s="5"/>
      <c r="FR653" s="5"/>
      <c r="FS653" s="5"/>
      <c r="FT653" s="5"/>
      <c r="FU653" s="5"/>
      <c r="FV653" s="5"/>
      <c r="FW653" s="5"/>
      <c r="FX653" s="5"/>
      <c r="FY653" s="5"/>
      <c r="FZ653" s="5"/>
      <c r="GA653" s="5"/>
      <c r="GB653" s="5"/>
      <c r="GC653" s="5"/>
      <c r="GD653" s="5"/>
      <c r="GE653" s="5"/>
      <c r="GF653" s="5"/>
      <c r="GG653" s="5"/>
      <c r="GH653" s="5"/>
      <c r="GI653" s="5"/>
      <c r="GJ653" s="5"/>
      <c r="GK653" s="5"/>
      <c r="GL653" s="5"/>
      <c r="GM653" s="5"/>
      <c r="GN653" s="5"/>
      <c r="GO653" s="5"/>
      <c r="GP653" s="5"/>
      <c r="GQ653" s="5"/>
      <c r="GR653" s="5"/>
      <c r="GS653" s="5"/>
      <c r="GT653" s="5"/>
      <c r="GU653" s="5"/>
      <c r="GX653" s="5">
        <v>0</v>
      </c>
      <c r="GY653" s="5">
        <v>0</v>
      </c>
      <c r="GZ653" s="5" t="s">
        <v>367</v>
      </c>
      <c r="HA653" s="5">
        <v>0</v>
      </c>
      <c r="HB653" s="5"/>
      <c r="HC653" s="5"/>
      <c r="HD653" s="5" t="b">
        <v>0</v>
      </c>
      <c r="HE653" s="5">
        <v>0</v>
      </c>
      <c r="HF653" s="5" t="b">
        <v>1</v>
      </c>
      <c r="HG653" s="5">
        <v>0</v>
      </c>
      <c r="HH653" s="5">
        <v>0</v>
      </c>
      <c r="HI653" s="5">
        <v>0</v>
      </c>
      <c r="HJ653" s="5">
        <v>0</v>
      </c>
      <c r="HK653" s="5" t="b">
        <v>0</v>
      </c>
      <c r="HL653" s="5">
        <v>0</v>
      </c>
      <c r="HM653" s="5">
        <v>0</v>
      </c>
      <c r="HN653" s="5" t="s">
        <v>367</v>
      </c>
      <c r="HO653" s="5" t="s">
        <v>360</v>
      </c>
      <c r="HP653" s="5">
        <v>0</v>
      </c>
      <c r="HQ653" s="5">
        <v>0</v>
      </c>
      <c r="HR653" s="5">
        <v>0</v>
      </c>
      <c r="HS653" s="5">
        <v>0</v>
      </c>
      <c r="HT653" s="5" t="b">
        <v>0</v>
      </c>
    </row>
    <row r="654" spans="1:228">
      <c r="A654"/>
      <c r="B654" s="1">
        <f>10000000+INDEX(编号表!$B$1:$B$112,MATCH(D654,编号表!$A$1:$A$112,0))*10000+I654</f>
        <v>10310001</v>
      </c>
      <c r="C654" s="5" t="s">
        <v>537</v>
      </c>
      <c r="D654" s="5" t="s">
        <v>537</v>
      </c>
      <c r="E654" s="5" t="s">
        <v>360</v>
      </c>
      <c r="F654" s="5" t="s">
        <v>349</v>
      </c>
      <c r="G654" s="5" t="b">
        <v>0</v>
      </c>
      <c r="H654" s="5" t="b">
        <v>1</v>
      </c>
      <c r="I654" s="5">
        <v>1</v>
      </c>
      <c r="J654" s="5">
        <v>103100</v>
      </c>
      <c r="K654" s="5" t="s">
        <v>350</v>
      </c>
      <c r="L654" s="5">
        <v>0</v>
      </c>
      <c r="M654" s="5">
        <v>0</v>
      </c>
      <c r="N654" s="5" t="s">
        <v>535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/>
      <c r="V654" s="5">
        <v>0</v>
      </c>
      <c r="W654" s="5">
        <v>0</v>
      </c>
      <c r="X654" s="5" t="s">
        <v>352</v>
      </c>
      <c r="Y654" s="5" t="s">
        <v>365</v>
      </c>
      <c r="Z654" s="5" t="s">
        <v>354</v>
      </c>
      <c r="AA654" s="5">
        <v>0</v>
      </c>
      <c r="AB654" s="5">
        <v>0</v>
      </c>
      <c r="AC654" s="5" t="b">
        <v>0</v>
      </c>
      <c r="AD654" s="5" t="s">
        <v>355</v>
      </c>
      <c r="AE654" s="5">
        <v>100</v>
      </c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 t="s">
        <v>356</v>
      </c>
      <c r="AZ654" s="5">
        <v>10000</v>
      </c>
      <c r="BA654" s="5" t="s">
        <v>357</v>
      </c>
      <c r="BB654" s="5" t="s">
        <v>354</v>
      </c>
      <c r="BC654" s="5">
        <v>10000</v>
      </c>
      <c r="BD654" s="5">
        <v>0</v>
      </c>
      <c r="BE654" s="5" t="s">
        <v>358</v>
      </c>
      <c r="BF654" s="5">
        <v>0</v>
      </c>
      <c r="BG654" s="5" t="s">
        <v>356</v>
      </c>
      <c r="BH654" s="5">
        <v>8500</v>
      </c>
      <c r="BI654" s="5">
        <v>3</v>
      </c>
      <c r="BJ654" s="5" t="b">
        <v>1</v>
      </c>
      <c r="BK654" s="5">
        <v>0</v>
      </c>
      <c r="BL654" s="5">
        <v>10000</v>
      </c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Z654" s="5" t="s">
        <v>357</v>
      </c>
      <c r="DA654" s="5" t="s">
        <v>354</v>
      </c>
      <c r="DB654" s="5">
        <v>10000</v>
      </c>
      <c r="DC654" s="5">
        <v>250</v>
      </c>
      <c r="DD654" s="5" t="s">
        <v>358</v>
      </c>
      <c r="DE654" s="5">
        <v>0</v>
      </c>
      <c r="DF654" s="5" t="s">
        <v>356</v>
      </c>
      <c r="DG654" s="5">
        <v>5000</v>
      </c>
      <c r="DH654" s="5">
        <v>0</v>
      </c>
      <c r="DI654" s="5" t="b">
        <v>1</v>
      </c>
      <c r="DJ654" s="5">
        <v>0</v>
      </c>
      <c r="DK654" s="5">
        <v>10000</v>
      </c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  <c r="EC654" s="5"/>
      <c r="ED654" s="5"/>
      <c r="EE654" s="5"/>
      <c r="EF654" s="5"/>
      <c r="EG654" s="5"/>
      <c r="EH654" s="5"/>
      <c r="EI654" s="5"/>
      <c r="EJ654" s="5"/>
      <c r="EK654" s="5"/>
      <c r="EL654" s="5"/>
      <c r="EM654" s="5"/>
      <c r="EN654" s="5"/>
      <c r="EO654" s="5"/>
      <c r="EP654" s="5"/>
      <c r="EQ654" s="5"/>
      <c r="ER654" s="5"/>
      <c r="ES654" s="5"/>
      <c r="ET654" s="5"/>
      <c r="EU654" s="5"/>
      <c r="EV654" s="5"/>
      <c r="EY654" s="5"/>
      <c r="EZ654" s="5"/>
      <c r="FA654" s="5"/>
      <c r="FB654" s="5"/>
      <c r="FC654" s="5"/>
      <c r="FD654" s="5"/>
      <c r="FE654" s="5"/>
      <c r="FF654" s="5"/>
      <c r="FG654" s="5"/>
      <c r="FH654" s="5"/>
      <c r="FI654" s="5"/>
      <c r="FJ654" s="5"/>
      <c r="FK654" s="5"/>
      <c r="FL654" s="5"/>
      <c r="FM654" s="5"/>
      <c r="FN654" s="5"/>
      <c r="FO654" s="5"/>
      <c r="FP654" s="5"/>
      <c r="FQ654" s="5"/>
      <c r="FR654" s="5"/>
      <c r="FS654" s="5"/>
      <c r="FT654" s="5"/>
      <c r="FU654" s="5"/>
      <c r="FV654" s="5"/>
      <c r="FW654" s="5"/>
      <c r="FX654" s="5"/>
      <c r="FY654" s="5"/>
      <c r="FZ654" s="5"/>
      <c r="GA654" s="5"/>
      <c r="GB654" s="5"/>
      <c r="GC654" s="5"/>
      <c r="GD654" s="5"/>
      <c r="GE654" s="5"/>
      <c r="GF654" s="5"/>
      <c r="GG654" s="5"/>
      <c r="GH654" s="5"/>
      <c r="GI654" s="5"/>
      <c r="GJ654" s="5"/>
      <c r="GK654" s="5"/>
      <c r="GL654" s="5"/>
      <c r="GM654" s="5"/>
      <c r="GN654" s="5"/>
      <c r="GO654" s="5"/>
      <c r="GP654" s="5"/>
      <c r="GQ654" s="5"/>
      <c r="GR654" s="5"/>
      <c r="GS654" s="5"/>
      <c r="GT654" s="5"/>
      <c r="GU654" s="5"/>
      <c r="GX654" s="5">
        <v>0</v>
      </c>
      <c r="GY654" s="5">
        <v>0</v>
      </c>
      <c r="GZ654" s="5" t="s">
        <v>367</v>
      </c>
      <c r="HA654" s="5">
        <v>0</v>
      </c>
      <c r="HB654" s="5"/>
      <c r="HC654" s="5"/>
      <c r="HD654" s="5" t="b">
        <v>0</v>
      </c>
      <c r="HE654" s="5">
        <v>0</v>
      </c>
      <c r="HF654" s="5" t="b">
        <v>1</v>
      </c>
      <c r="HG654" s="5">
        <v>0</v>
      </c>
      <c r="HH654" s="5">
        <v>0</v>
      </c>
      <c r="HI654" s="5">
        <v>0</v>
      </c>
      <c r="HJ654" s="5">
        <v>0</v>
      </c>
      <c r="HK654" s="5" t="b">
        <v>0</v>
      </c>
      <c r="HL654" s="5">
        <v>0</v>
      </c>
      <c r="HM654" s="5">
        <v>0</v>
      </c>
      <c r="HN654" s="5" t="s">
        <v>367</v>
      </c>
      <c r="HO654" s="5" t="s">
        <v>360</v>
      </c>
      <c r="HP654" s="5">
        <v>0</v>
      </c>
      <c r="HQ654" s="5">
        <v>0</v>
      </c>
      <c r="HR654" s="5">
        <v>0</v>
      </c>
      <c r="HS654" s="5">
        <v>0</v>
      </c>
      <c r="HT654" s="5" t="b">
        <v>0</v>
      </c>
    </row>
    <row r="655" spans="1:228">
      <c r="A655"/>
      <c r="B655" s="1">
        <f>10000000+INDEX(编号表!$B$1:$B$112,MATCH(D655,编号表!$A$1:$A$112,0))*10000+I655</f>
        <v>10310002</v>
      </c>
      <c r="C655" s="5" t="s">
        <v>537</v>
      </c>
      <c r="D655" s="5" t="s">
        <v>537</v>
      </c>
      <c r="E655" s="5" t="s">
        <v>360</v>
      </c>
      <c r="F655" s="5" t="s">
        <v>349</v>
      </c>
      <c r="G655" s="5" t="b">
        <v>0</v>
      </c>
      <c r="H655" s="5" t="b">
        <v>1</v>
      </c>
      <c r="I655" s="5">
        <v>2</v>
      </c>
      <c r="J655" s="5">
        <v>103100</v>
      </c>
      <c r="K655" s="5" t="s">
        <v>350</v>
      </c>
      <c r="L655" s="5">
        <v>0</v>
      </c>
      <c r="M655" s="5">
        <v>0</v>
      </c>
      <c r="N655" s="5" t="s">
        <v>535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/>
      <c r="V655" s="5">
        <v>0</v>
      </c>
      <c r="W655" s="5">
        <v>0</v>
      </c>
      <c r="X655" s="5" t="s">
        <v>352</v>
      </c>
      <c r="Y655" s="5" t="s">
        <v>365</v>
      </c>
      <c r="Z655" s="5" t="s">
        <v>354</v>
      </c>
      <c r="AA655" s="5">
        <v>0</v>
      </c>
      <c r="AB655" s="5">
        <v>0</v>
      </c>
      <c r="AC655" s="5" t="b">
        <v>0</v>
      </c>
      <c r="AD655" s="5" t="s">
        <v>355</v>
      </c>
      <c r="AE655" s="5">
        <v>100</v>
      </c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 t="s">
        <v>356</v>
      </c>
      <c r="AZ655" s="5">
        <v>10400</v>
      </c>
      <c r="BA655" s="5" t="s">
        <v>357</v>
      </c>
      <c r="BB655" s="5" t="s">
        <v>354</v>
      </c>
      <c r="BC655" s="5">
        <v>10000</v>
      </c>
      <c r="BD655" s="5">
        <v>0</v>
      </c>
      <c r="BE655" s="5" t="s">
        <v>358</v>
      </c>
      <c r="BF655" s="5">
        <v>0</v>
      </c>
      <c r="BG655" s="5" t="s">
        <v>356</v>
      </c>
      <c r="BH655" s="5">
        <v>8500</v>
      </c>
      <c r="BI655" s="5">
        <v>4</v>
      </c>
      <c r="BJ655" s="5" t="b">
        <v>1</v>
      </c>
      <c r="BK655" s="5">
        <v>0</v>
      </c>
      <c r="BL655" s="5">
        <v>10000</v>
      </c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Z655" s="5" t="s">
        <v>357</v>
      </c>
      <c r="DA655" s="5" t="s">
        <v>354</v>
      </c>
      <c r="DB655" s="5">
        <v>10000</v>
      </c>
      <c r="DC655" s="5">
        <v>250</v>
      </c>
      <c r="DD655" s="5" t="s">
        <v>358</v>
      </c>
      <c r="DE655" s="5">
        <v>0</v>
      </c>
      <c r="DF655" s="5" t="s">
        <v>356</v>
      </c>
      <c r="DG655" s="5">
        <v>5000</v>
      </c>
      <c r="DH655" s="5">
        <v>0</v>
      </c>
      <c r="DI655" s="5" t="b">
        <v>1</v>
      </c>
      <c r="DJ655" s="5">
        <v>0</v>
      </c>
      <c r="DK655" s="5">
        <v>10000</v>
      </c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  <c r="EC655" s="5"/>
      <c r="ED655" s="5"/>
      <c r="EE655" s="5"/>
      <c r="EF655" s="5"/>
      <c r="EG655" s="5"/>
      <c r="EH655" s="5"/>
      <c r="EI655" s="5"/>
      <c r="EJ655" s="5"/>
      <c r="EK655" s="5"/>
      <c r="EL655" s="5"/>
      <c r="EM655" s="5"/>
      <c r="EN655" s="5"/>
      <c r="EO655" s="5"/>
      <c r="EP655" s="5"/>
      <c r="EQ655" s="5"/>
      <c r="ER655" s="5"/>
      <c r="ES655" s="5"/>
      <c r="ET655" s="5"/>
      <c r="EU655" s="5"/>
      <c r="EV655" s="5"/>
      <c r="EY655" s="5"/>
      <c r="EZ655" s="5"/>
      <c r="FA655" s="5"/>
      <c r="FB655" s="5"/>
      <c r="FC655" s="5"/>
      <c r="FD655" s="5"/>
      <c r="FE655" s="5"/>
      <c r="FF655" s="5"/>
      <c r="FG655" s="5"/>
      <c r="FH655" s="5"/>
      <c r="FI655" s="5"/>
      <c r="FJ655" s="5"/>
      <c r="FK655" s="5"/>
      <c r="FL655" s="5"/>
      <c r="FM655" s="5"/>
      <c r="FN655" s="5"/>
      <c r="FO655" s="5"/>
      <c r="FP655" s="5"/>
      <c r="FQ655" s="5"/>
      <c r="FR655" s="5"/>
      <c r="FS655" s="5"/>
      <c r="FT655" s="5"/>
      <c r="FU655" s="5"/>
      <c r="FV655" s="5"/>
      <c r="FW655" s="5"/>
      <c r="FX655" s="5"/>
      <c r="FY655" s="5"/>
      <c r="FZ655" s="5"/>
      <c r="GA655" s="5"/>
      <c r="GB655" s="5"/>
      <c r="GC655" s="5"/>
      <c r="GD655" s="5"/>
      <c r="GE655" s="5"/>
      <c r="GF655" s="5"/>
      <c r="GG655" s="5"/>
      <c r="GH655" s="5"/>
      <c r="GI655" s="5"/>
      <c r="GJ655" s="5"/>
      <c r="GK655" s="5"/>
      <c r="GL655" s="5"/>
      <c r="GM655" s="5"/>
      <c r="GN655" s="5"/>
      <c r="GO655" s="5"/>
      <c r="GP655" s="5"/>
      <c r="GQ655" s="5"/>
      <c r="GR655" s="5"/>
      <c r="GS655" s="5"/>
      <c r="GT655" s="5"/>
      <c r="GU655" s="5"/>
      <c r="GX655" s="5">
        <v>0</v>
      </c>
      <c r="GY655" s="5">
        <v>0</v>
      </c>
      <c r="GZ655" s="5" t="s">
        <v>367</v>
      </c>
      <c r="HA655" s="5">
        <v>0</v>
      </c>
      <c r="HB655" s="5"/>
      <c r="HC655" s="5"/>
      <c r="HD655" s="5" t="b">
        <v>0</v>
      </c>
      <c r="HE655" s="5">
        <v>0</v>
      </c>
      <c r="HF655" s="5" t="b">
        <v>1</v>
      </c>
      <c r="HG655" s="5">
        <v>0</v>
      </c>
      <c r="HH655" s="5">
        <v>0</v>
      </c>
      <c r="HI655" s="5">
        <v>0</v>
      </c>
      <c r="HJ655" s="5">
        <v>0</v>
      </c>
      <c r="HK655" s="5" t="b">
        <v>0</v>
      </c>
      <c r="HL655" s="5">
        <v>0</v>
      </c>
      <c r="HM655" s="5">
        <v>0</v>
      </c>
      <c r="HN655" s="5" t="s">
        <v>367</v>
      </c>
      <c r="HO655" s="5" t="s">
        <v>360</v>
      </c>
      <c r="HP655" s="5">
        <v>0</v>
      </c>
      <c r="HQ655" s="5">
        <v>0</v>
      </c>
      <c r="HR655" s="5">
        <v>0</v>
      </c>
      <c r="HS655" s="5">
        <v>0</v>
      </c>
      <c r="HT655" s="5" t="b">
        <v>0</v>
      </c>
    </row>
    <row r="656" spans="1:228">
      <c r="A656"/>
      <c r="B656" s="1">
        <f>10000000+INDEX(编号表!$B$1:$B$112,MATCH(D656,编号表!$A$1:$A$112,0))*10000+I656</f>
        <v>10310003</v>
      </c>
      <c r="C656" s="5" t="s">
        <v>537</v>
      </c>
      <c r="D656" s="5" t="s">
        <v>537</v>
      </c>
      <c r="E656" s="5" t="s">
        <v>360</v>
      </c>
      <c r="F656" s="5" t="s">
        <v>349</v>
      </c>
      <c r="G656" s="5" t="b">
        <v>0</v>
      </c>
      <c r="H656" s="5" t="b">
        <v>1</v>
      </c>
      <c r="I656" s="5">
        <v>3</v>
      </c>
      <c r="J656" s="5">
        <v>103100</v>
      </c>
      <c r="K656" s="5" t="s">
        <v>350</v>
      </c>
      <c r="L656" s="5">
        <v>0</v>
      </c>
      <c r="M656" s="5">
        <v>0</v>
      </c>
      <c r="N656" s="5" t="s">
        <v>535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/>
      <c r="V656" s="5">
        <v>0</v>
      </c>
      <c r="W656" s="5">
        <v>0</v>
      </c>
      <c r="X656" s="5" t="s">
        <v>352</v>
      </c>
      <c r="Y656" s="5" t="s">
        <v>365</v>
      </c>
      <c r="Z656" s="5" t="s">
        <v>354</v>
      </c>
      <c r="AA656" s="5">
        <v>0</v>
      </c>
      <c r="AB656" s="5">
        <v>0</v>
      </c>
      <c r="AC656" s="5" t="b">
        <v>0</v>
      </c>
      <c r="AD656" s="5" t="s">
        <v>355</v>
      </c>
      <c r="AE656" s="5">
        <v>100</v>
      </c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 t="s">
        <v>356</v>
      </c>
      <c r="AZ656" s="5">
        <v>10800</v>
      </c>
      <c r="BA656" s="5" t="s">
        <v>357</v>
      </c>
      <c r="BB656" s="5" t="s">
        <v>354</v>
      </c>
      <c r="BC656" s="5">
        <v>10000</v>
      </c>
      <c r="BD656" s="5">
        <v>0</v>
      </c>
      <c r="BE656" s="5" t="s">
        <v>358</v>
      </c>
      <c r="BF656" s="5">
        <v>0</v>
      </c>
      <c r="BG656" s="5" t="s">
        <v>356</v>
      </c>
      <c r="BH656" s="5">
        <v>8500</v>
      </c>
      <c r="BI656" s="5">
        <v>5</v>
      </c>
      <c r="BJ656" s="5" t="b">
        <v>1</v>
      </c>
      <c r="BK656" s="5">
        <v>0</v>
      </c>
      <c r="BL656" s="5">
        <v>10000</v>
      </c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Z656" s="5" t="s">
        <v>357</v>
      </c>
      <c r="DA656" s="5" t="s">
        <v>354</v>
      </c>
      <c r="DB656" s="5">
        <v>10000</v>
      </c>
      <c r="DC656" s="5">
        <v>250</v>
      </c>
      <c r="DD656" s="5" t="s">
        <v>358</v>
      </c>
      <c r="DE656" s="5">
        <v>0</v>
      </c>
      <c r="DF656" s="5" t="s">
        <v>356</v>
      </c>
      <c r="DG656" s="5">
        <v>5000</v>
      </c>
      <c r="DH656" s="5">
        <v>0</v>
      </c>
      <c r="DI656" s="5" t="b">
        <v>1</v>
      </c>
      <c r="DJ656" s="5">
        <v>0</v>
      </c>
      <c r="DK656" s="5">
        <v>10000</v>
      </c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  <c r="EC656" s="5"/>
      <c r="ED656" s="5"/>
      <c r="EE656" s="5"/>
      <c r="EF656" s="5"/>
      <c r="EG656" s="5"/>
      <c r="EH656" s="5"/>
      <c r="EI656" s="5"/>
      <c r="EJ656" s="5"/>
      <c r="EK656" s="5"/>
      <c r="EL656" s="5"/>
      <c r="EM656" s="5"/>
      <c r="EN656" s="5"/>
      <c r="EO656" s="5"/>
      <c r="EP656" s="5"/>
      <c r="EQ656" s="5"/>
      <c r="ER656" s="5"/>
      <c r="ES656" s="5"/>
      <c r="ET656" s="5"/>
      <c r="EU656" s="5"/>
      <c r="EV656" s="5"/>
      <c r="EY656" s="5"/>
      <c r="EZ656" s="5"/>
      <c r="FA656" s="5"/>
      <c r="FB656" s="5"/>
      <c r="FC656" s="5"/>
      <c r="FD656" s="5"/>
      <c r="FE656" s="5"/>
      <c r="FF656" s="5"/>
      <c r="FG656" s="5"/>
      <c r="FH656" s="5"/>
      <c r="FI656" s="5"/>
      <c r="FJ656" s="5"/>
      <c r="FK656" s="5"/>
      <c r="FL656" s="5"/>
      <c r="FM656" s="5"/>
      <c r="FN656" s="5"/>
      <c r="FO656" s="5"/>
      <c r="FP656" s="5"/>
      <c r="FQ656" s="5"/>
      <c r="FR656" s="5"/>
      <c r="FS656" s="5"/>
      <c r="FT656" s="5"/>
      <c r="FU656" s="5"/>
      <c r="FV656" s="5"/>
      <c r="FW656" s="5"/>
      <c r="FX656" s="5"/>
      <c r="FY656" s="5"/>
      <c r="FZ656" s="5"/>
      <c r="GA656" s="5"/>
      <c r="GB656" s="5"/>
      <c r="GC656" s="5"/>
      <c r="GD656" s="5"/>
      <c r="GE656" s="5"/>
      <c r="GF656" s="5"/>
      <c r="GG656" s="5"/>
      <c r="GH656" s="5"/>
      <c r="GI656" s="5"/>
      <c r="GJ656" s="5"/>
      <c r="GK656" s="5"/>
      <c r="GL656" s="5"/>
      <c r="GM656" s="5"/>
      <c r="GN656" s="5"/>
      <c r="GO656" s="5"/>
      <c r="GP656" s="5"/>
      <c r="GQ656" s="5"/>
      <c r="GR656" s="5"/>
      <c r="GS656" s="5"/>
      <c r="GT656" s="5"/>
      <c r="GU656" s="5"/>
      <c r="GX656" s="5">
        <v>0</v>
      </c>
      <c r="GY656" s="5">
        <v>0</v>
      </c>
      <c r="GZ656" s="5" t="s">
        <v>367</v>
      </c>
      <c r="HA656" s="5">
        <v>0</v>
      </c>
      <c r="HB656" s="5"/>
      <c r="HC656" s="5"/>
      <c r="HD656" s="5" t="b">
        <v>0</v>
      </c>
      <c r="HE656" s="5">
        <v>0</v>
      </c>
      <c r="HF656" s="5" t="b">
        <v>1</v>
      </c>
      <c r="HG656" s="5">
        <v>0</v>
      </c>
      <c r="HH656" s="5">
        <v>0</v>
      </c>
      <c r="HI656" s="5">
        <v>0</v>
      </c>
      <c r="HJ656" s="5">
        <v>0</v>
      </c>
      <c r="HK656" s="5" t="b">
        <v>0</v>
      </c>
      <c r="HL656" s="5">
        <v>0</v>
      </c>
      <c r="HM656" s="5">
        <v>0</v>
      </c>
      <c r="HN656" s="5" t="s">
        <v>367</v>
      </c>
      <c r="HO656" s="5" t="s">
        <v>360</v>
      </c>
      <c r="HP656" s="5">
        <v>0</v>
      </c>
      <c r="HQ656" s="5">
        <v>0</v>
      </c>
      <c r="HR656" s="5">
        <v>0</v>
      </c>
      <c r="HS656" s="5">
        <v>0</v>
      </c>
      <c r="HT656" s="5" t="b">
        <v>0</v>
      </c>
    </row>
    <row r="657" spans="1:228">
      <c r="A657"/>
      <c r="B657" s="1">
        <f>10000000+INDEX(编号表!$B$1:$B$112,MATCH(D657,编号表!$A$1:$A$112,0))*10000+I657</f>
        <v>10310004</v>
      </c>
      <c r="C657" s="5" t="s">
        <v>537</v>
      </c>
      <c r="D657" s="5" t="s">
        <v>537</v>
      </c>
      <c r="E657" s="5" t="s">
        <v>360</v>
      </c>
      <c r="F657" s="5" t="s">
        <v>349</v>
      </c>
      <c r="G657" s="5" t="b">
        <v>0</v>
      </c>
      <c r="H657" s="5" t="b">
        <v>1</v>
      </c>
      <c r="I657" s="5">
        <v>4</v>
      </c>
      <c r="J657" s="5">
        <v>103100</v>
      </c>
      <c r="K657" s="5" t="s">
        <v>350</v>
      </c>
      <c r="L657" s="5">
        <v>0</v>
      </c>
      <c r="M657" s="5">
        <v>0</v>
      </c>
      <c r="N657" s="5" t="s">
        <v>535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/>
      <c r="V657" s="5">
        <v>0</v>
      </c>
      <c r="W657" s="5">
        <v>0</v>
      </c>
      <c r="X657" s="5" t="s">
        <v>352</v>
      </c>
      <c r="Y657" s="5" t="s">
        <v>365</v>
      </c>
      <c r="Z657" s="5" t="s">
        <v>354</v>
      </c>
      <c r="AA657" s="5">
        <v>0</v>
      </c>
      <c r="AB657" s="5">
        <v>0</v>
      </c>
      <c r="AC657" s="5" t="b">
        <v>0</v>
      </c>
      <c r="AD657" s="5" t="s">
        <v>355</v>
      </c>
      <c r="AE657" s="5">
        <v>100</v>
      </c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 t="s">
        <v>356</v>
      </c>
      <c r="AZ657" s="5">
        <v>11200</v>
      </c>
      <c r="BA657" s="5" t="s">
        <v>357</v>
      </c>
      <c r="BB657" s="5" t="s">
        <v>354</v>
      </c>
      <c r="BC657" s="5">
        <v>10000</v>
      </c>
      <c r="BD657" s="5">
        <v>0</v>
      </c>
      <c r="BE657" s="5" t="s">
        <v>358</v>
      </c>
      <c r="BF657" s="5">
        <v>0</v>
      </c>
      <c r="BG657" s="5" t="s">
        <v>356</v>
      </c>
      <c r="BH657" s="5">
        <v>8500</v>
      </c>
      <c r="BI657" s="5">
        <v>6</v>
      </c>
      <c r="BJ657" s="5" t="b">
        <v>1</v>
      </c>
      <c r="BK657" s="5">
        <v>0</v>
      </c>
      <c r="BL657" s="5">
        <v>10000</v>
      </c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Z657" s="5" t="s">
        <v>357</v>
      </c>
      <c r="DA657" s="5" t="s">
        <v>354</v>
      </c>
      <c r="DB657" s="5">
        <v>10000</v>
      </c>
      <c r="DC657" s="5">
        <v>250</v>
      </c>
      <c r="DD657" s="5" t="s">
        <v>358</v>
      </c>
      <c r="DE657" s="5">
        <v>0</v>
      </c>
      <c r="DF657" s="5" t="s">
        <v>356</v>
      </c>
      <c r="DG657" s="5">
        <v>5000</v>
      </c>
      <c r="DH657" s="5">
        <v>1</v>
      </c>
      <c r="DI657" s="5" t="b">
        <v>1</v>
      </c>
      <c r="DJ657" s="5">
        <v>0</v>
      </c>
      <c r="DK657" s="5">
        <v>10000</v>
      </c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  <c r="EC657" s="5"/>
      <c r="ED657" s="5"/>
      <c r="EE657" s="5"/>
      <c r="EF657" s="5"/>
      <c r="EG657" s="5"/>
      <c r="EH657" s="5"/>
      <c r="EI657" s="5"/>
      <c r="EJ657" s="5"/>
      <c r="EK657" s="5"/>
      <c r="EL657" s="5"/>
      <c r="EM657" s="5"/>
      <c r="EN657" s="5"/>
      <c r="EO657" s="5"/>
      <c r="EP657" s="5"/>
      <c r="EQ657" s="5"/>
      <c r="ER657" s="5"/>
      <c r="ES657" s="5"/>
      <c r="ET657" s="5"/>
      <c r="EU657" s="5"/>
      <c r="EV657" s="5"/>
      <c r="EY657" s="5"/>
      <c r="EZ657" s="5"/>
      <c r="FA657" s="5"/>
      <c r="FB657" s="5"/>
      <c r="FC657" s="5"/>
      <c r="FD657" s="5"/>
      <c r="FE657" s="5"/>
      <c r="FF657" s="5"/>
      <c r="FG657" s="5"/>
      <c r="FH657" s="5"/>
      <c r="FI657" s="5"/>
      <c r="FJ657" s="5"/>
      <c r="FK657" s="5"/>
      <c r="FL657" s="5"/>
      <c r="FM657" s="5"/>
      <c r="FN657" s="5"/>
      <c r="FO657" s="5"/>
      <c r="FP657" s="5"/>
      <c r="FQ657" s="5"/>
      <c r="FR657" s="5"/>
      <c r="FS657" s="5"/>
      <c r="FT657" s="5"/>
      <c r="FU657" s="5"/>
      <c r="FV657" s="5"/>
      <c r="FW657" s="5"/>
      <c r="FX657" s="5"/>
      <c r="FY657" s="5"/>
      <c r="FZ657" s="5"/>
      <c r="GA657" s="5"/>
      <c r="GB657" s="5"/>
      <c r="GC657" s="5"/>
      <c r="GD657" s="5"/>
      <c r="GE657" s="5"/>
      <c r="GF657" s="5"/>
      <c r="GG657" s="5"/>
      <c r="GH657" s="5"/>
      <c r="GI657" s="5"/>
      <c r="GJ657" s="5"/>
      <c r="GK657" s="5"/>
      <c r="GL657" s="5"/>
      <c r="GM657" s="5"/>
      <c r="GN657" s="5"/>
      <c r="GO657" s="5"/>
      <c r="GP657" s="5"/>
      <c r="GQ657" s="5"/>
      <c r="GR657" s="5"/>
      <c r="GS657" s="5"/>
      <c r="GT657" s="5"/>
      <c r="GU657" s="5"/>
      <c r="GX657" s="5">
        <v>0</v>
      </c>
      <c r="GY657" s="5">
        <v>0</v>
      </c>
      <c r="GZ657" s="5" t="s">
        <v>367</v>
      </c>
      <c r="HA657" s="5">
        <v>0</v>
      </c>
      <c r="HB657" s="5"/>
      <c r="HC657" s="5"/>
      <c r="HD657" s="5" t="b">
        <v>0</v>
      </c>
      <c r="HE657" s="5">
        <v>0</v>
      </c>
      <c r="HF657" s="5" t="b">
        <v>1</v>
      </c>
      <c r="HG657" s="5">
        <v>0</v>
      </c>
      <c r="HH657" s="5">
        <v>0</v>
      </c>
      <c r="HI657" s="5">
        <v>0</v>
      </c>
      <c r="HJ657" s="5">
        <v>0</v>
      </c>
      <c r="HK657" s="5" t="b">
        <v>0</v>
      </c>
      <c r="HL657" s="5">
        <v>0</v>
      </c>
      <c r="HM657" s="5">
        <v>0</v>
      </c>
      <c r="HN657" s="5" t="s">
        <v>367</v>
      </c>
      <c r="HO657" s="5" t="s">
        <v>360</v>
      </c>
      <c r="HP657" s="5">
        <v>0</v>
      </c>
      <c r="HQ657" s="5">
        <v>0</v>
      </c>
      <c r="HR657" s="5">
        <v>0</v>
      </c>
      <c r="HS657" s="5">
        <v>0</v>
      </c>
      <c r="HT657" s="5" t="b">
        <v>0</v>
      </c>
    </row>
    <row r="658" spans="1:228">
      <c r="A658"/>
      <c r="B658" s="1">
        <f>10000000+INDEX(编号表!$B$1:$B$112,MATCH(D658,编号表!$A$1:$A$112,0))*10000+I658</f>
        <v>10310005</v>
      </c>
      <c r="C658" s="5" t="s">
        <v>537</v>
      </c>
      <c r="D658" s="5" t="s">
        <v>537</v>
      </c>
      <c r="E658" s="5" t="s">
        <v>360</v>
      </c>
      <c r="F658" s="5" t="s">
        <v>349</v>
      </c>
      <c r="G658" s="5" t="b">
        <v>0</v>
      </c>
      <c r="H658" s="5" t="b">
        <v>1</v>
      </c>
      <c r="I658" s="5">
        <v>5</v>
      </c>
      <c r="J658" s="5">
        <v>103100</v>
      </c>
      <c r="K658" s="5" t="s">
        <v>350</v>
      </c>
      <c r="L658" s="5">
        <v>0</v>
      </c>
      <c r="M658" s="5">
        <v>0</v>
      </c>
      <c r="N658" s="5" t="s">
        <v>535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/>
      <c r="V658" s="5">
        <v>0</v>
      </c>
      <c r="W658" s="5">
        <v>0</v>
      </c>
      <c r="X658" s="5" t="s">
        <v>352</v>
      </c>
      <c r="Y658" s="5" t="s">
        <v>365</v>
      </c>
      <c r="Z658" s="5" t="s">
        <v>354</v>
      </c>
      <c r="AA658" s="5">
        <v>0</v>
      </c>
      <c r="AB658" s="5">
        <v>0</v>
      </c>
      <c r="AC658" s="5" t="b">
        <v>0</v>
      </c>
      <c r="AD658" s="5" t="s">
        <v>355</v>
      </c>
      <c r="AE658" s="5">
        <v>100</v>
      </c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 t="s">
        <v>356</v>
      </c>
      <c r="AZ658" s="5">
        <v>11300</v>
      </c>
      <c r="BA658" s="5" t="s">
        <v>357</v>
      </c>
      <c r="BB658" s="5" t="s">
        <v>354</v>
      </c>
      <c r="BC658" s="5">
        <v>10000</v>
      </c>
      <c r="BD658" s="5">
        <v>0</v>
      </c>
      <c r="BE658" s="5" t="s">
        <v>358</v>
      </c>
      <c r="BF658" s="5">
        <v>0</v>
      </c>
      <c r="BG658" s="5" t="s">
        <v>356</v>
      </c>
      <c r="BH658" s="5">
        <v>8500</v>
      </c>
      <c r="BI658" s="5">
        <v>6</v>
      </c>
      <c r="BJ658" s="5" t="b">
        <v>1</v>
      </c>
      <c r="BK658" s="5">
        <v>0</v>
      </c>
      <c r="BL658" s="5">
        <v>10000</v>
      </c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Z658" s="5" t="s">
        <v>357</v>
      </c>
      <c r="DA658" s="5" t="s">
        <v>354</v>
      </c>
      <c r="DB658" s="5">
        <v>10000</v>
      </c>
      <c r="DC658" s="5">
        <v>250</v>
      </c>
      <c r="DD658" s="5" t="s">
        <v>358</v>
      </c>
      <c r="DE658" s="5">
        <v>0</v>
      </c>
      <c r="DF658" s="5" t="s">
        <v>356</v>
      </c>
      <c r="DG658" s="5">
        <v>5000</v>
      </c>
      <c r="DH658" s="5">
        <v>1</v>
      </c>
      <c r="DI658" s="5" t="b">
        <v>1</v>
      </c>
      <c r="DJ658" s="5">
        <v>0</v>
      </c>
      <c r="DK658" s="5">
        <v>10000</v>
      </c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  <c r="EC658" s="5"/>
      <c r="ED658" s="5"/>
      <c r="EE658" s="5"/>
      <c r="EF658" s="5"/>
      <c r="EG658" s="5"/>
      <c r="EH658" s="5"/>
      <c r="EI658" s="5"/>
      <c r="EJ658" s="5"/>
      <c r="EK658" s="5"/>
      <c r="EL658" s="5"/>
      <c r="EM658" s="5"/>
      <c r="EN658" s="5"/>
      <c r="EO658" s="5"/>
      <c r="EP658" s="5"/>
      <c r="EQ658" s="5"/>
      <c r="ER658" s="5"/>
      <c r="ES658" s="5"/>
      <c r="ET658" s="5"/>
      <c r="EU658" s="5"/>
      <c r="EV658" s="5"/>
      <c r="EY658" s="5"/>
      <c r="EZ658" s="5"/>
      <c r="FA658" s="5"/>
      <c r="FB658" s="5"/>
      <c r="FC658" s="5"/>
      <c r="FD658" s="5"/>
      <c r="FE658" s="5"/>
      <c r="FF658" s="5"/>
      <c r="FG658" s="5"/>
      <c r="FH658" s="5"/>
      <c r="FI658" s="5"/>
      <c r="FJ658" s="5"/>
      <c r="FK658" s="5"/>
      <c r="FL658" s="5"/>
      <c r="FM658" s="5"/>
      <c r="FN658" s="5"/>
      <c r="FO658" s="5"/>
      <c r="FP658" s="5"/>
      <c r="FQ658" s="5"/>
      <c r="FR658" s="5"/>
      <c r="FS658" s="5"/>
      <c r="FT658" s="5"/>
      <c r="FU658" s="5"/>
      <c r="FV658" s="5"/>
      <c r="FW658" s="5"/>
      <c r="FX658" s="5"/>
      <c r="FY658" s="5"/>
      <c r="FZ658" s="5"/>
      <c r="GA658" s="5"/>
      <c r="GB658" s="5"/>
      <c r="GC658" s="5"/>
      <c r="GD658" s="5"/>
      <c r="GE658" s="5"/>
      <c r="GF658" s="5"/>
      <c r="GG658" s="5"/>
      <c r="GH658" s="5"/>
      <c r="GI658" s="5"/>
      <c r="GJ658" s="5"/>
      <c r="GK658" s="5"/>
      <c r="GL658" s="5"/>
      <c r="GM658" s="5"/>
      <c r="GN658" s="5"/>
      <c r="GO658" s="5"/>
      <c r="GP658" s="5"/>
      <c r="GQ658" s="5"/>
      <c r="GR658" s="5"/>
      <c r="GS658" s="5"/>
      <c r="GT658" s="5"/>
      <c r="GU658" s="5"/>
      <c r="GX658" s="5">
        <v>0</v>
      </c>
      <c r="GY658" s="5">
        <v>0</v>
      </c>
      <c r="GZ658" s="5" t="s">
        <v>367</v>
      </c>
      <c r="HA658" s="5">
        <v>0</v>
      </c>
      <c r="HB658" s="5"/>
      <c r="HC658" s="5"/>
      <c r="HD658" s="5" t="b">
        <v>0</v>
      </c>
      <c r="HE658" s="5">
        <v>0</v>
      </c>
      <c r="HF658" s="5" t="b">
        <v>1</v>
      </c>
      <c r="HG658" s="5">
        <v>0</v>
      </c>
      <c r="HH658" s="5">
        <v>0</v>
      </c>
      <c r="HI658" s="5">
        <v>0</v>
      </c>
      <c r="HJ658" s="5">
        <v>0</v>
      </c>
      <c r="HK658" s="5" t="b">
        <v>0</v>
      </c>
      <c r="HL658" s="5">
        <v>0</v>
      </c>
      <c r="HM658" s="5">
        <v>0</v>
      </c>
      <c r="HN658" s="5" t="s">
        <v>367</v>
      </c>
      <c r="HO658" s="5" t="s">
        <v>360</v>
      </c>
      <c r="HP658" s="5">
        <v>0</v>
      </c>
      <c r="HQ658" s="5">
        <v>0</v>
      </c>
      <c r="HR658" s="5">
        <v>0</v>
      </c>
      <c r="HS658" s="5">
        <v>0</v>
      </c>
      <c r="HT658" s="5" t="b">
        <v>0</v>
      </c>
    </row>
    <row r="659" spans="1:228">
      <c r="A659"/>
      <c r="B659" s="1">
        <f>10000000+INDEX(编号表!$B$1:$B$112,MATCH(D659,编号表!$A$1:$A$112,0))*10000+I659</f>
        <v>10310006</v>
      </c>
      <c r="C659" s="5" t="s">
        <v>537</v>
      </c>
      <c r="D659" s="5" t="s">
        <v>537</v>
      </c>
      <c r="E659" s="5" t="s">
        <v>360</v>
      </c>
      <c r="F659" s="5" t="s">
        <v>349</v>
      </c>
      <c r="G659" s="5" t="b">
        <v>0</v>
      </c>
      <c r="H659" s="5" t="b">
        <v>1</v>
      </c>
      <c r="I659" s="5">
        <v>6</v>
      </c>
      <c r="J659" s="5">
        <v>103100</v>
      </c>
      <c r="K659" s="5" t="s">
        <v>350</v>
      </c>
      <c r="L659" s="5">
        <v>0</v>
      </c>
      <c r="M659" s="5">
        <v>0</v>
      </c>
      <c r="N659" s="5" t="s">
        <v>535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/>
      <c r="V659" s="5">
        <v>0</v>
      </c>
      <c r="W659" s="5">
        <v>0</v>
      </c>
      <c r="X659" s="5" t="s">
        <v>352</v>
      </c>
      <c r="Y659" s="5" t="s">
        <v>365</v>
      </c>
      <c r="Z659" s="5" t="s">
        <v>354</v>
      </c>
      <c r="AA659" s="5">
        <v>0</v>
      </c>
      <c r="AB659" s="5">
        <v>0</v>
      </c>
      <c r="AC659" s="5" t="b">
        <v>0</v>
      </c>
      <c r="AD659" s="5" t="s">
        <v>355</v>
      </c>
      <c r="AE659" s="5">
        <v>100</v>
      </c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 t="s">
        <v>356</v>
      </c>
      <c r="AZ659" s="5">
        <v>11600</v>
      </c>
      <c r="BA659" s="5" t="s">
        <v>357</v>
      </c>
      <c r="BB659" s="5" t="s">
        <v>354</v>
      </c>
      <c r="BC659" s="5">
        <v>10000</v>
      </c>
      <c r="BD659" s="5">
        <v>0</v>
      </c>
      <c r="BE659" s="5" t="s">
        <v>358</v>
      </c>
      <c r="BF659" s="5">
        <v>0</v>
      </c>
      <c r="BG659" s="5" t="s">
        <v>356</v>
      </c>
      <c r="BH659" s="5">
        <v>8500</v>
      </c>
      <c r="BI659" s="5">
        <v>7</v>
      </c>
      <c r="BJ659" s="5" t="b">
        <v>1</v>
      </c>
      <c r="BK659" s="5">
        <v>0</v>
      </c>
      <c r="BL659" s="5">
        <v>10000</v>
      </c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Z659" s="5" t="s">
        <v>357</v>
      </c>
      <c r="DA659" s="5" t="s">
        <v>354</v>
      </c>
      <c r="DB659" s="5">
        <v>10000</v>
      </c>
      <c r="DC659" s="5">
        <v>250</v>
      </c>
      <c r="DD659" s="5" t="s">
        <v>358</v>
      </c>
      <c r="DE659" s="5">
        <v>0</v>
      </c>
      <c r="DF659" s="5" t="s">
        <v>356</v>
      </c>
      <c r="DG659" s="5">
        <v>5000</v>
      </c>
      <c r="DH659" s="5">
        <v>1</v>
      </c>
      <c r="DI659" s="5" t="b">
        <v>1</v>
      </c>
      <c r="DJ659" s="5">
        <v>0</v>
      </c>
      <c r="DK659" s="5">
        <v>10000</v>
      </c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  <c r="EC659" s="5"/>
      <c r="ED659" s="5"/>
      <c r="EE659" s="5"/>
      <c r="EF659" s="5"/>
      <c r="EG659" s="5"/>
      <c r="EH659" s="5"/>
      <c r="EI659" s="5"/>
      <c r="EJ659" s="5"/>
      <c r="EK659" s="5"/>
      <c r="EL659" s="5"/>
      <c r="EM659" s="5"/>
      <c r="EN659" s="5"/>
      <c r="EO659" s="5"/>
      <c r="EP659" s="5"/>
      <c r="EQ659" s="5"/>
      <c r="ER659" s="5"/>
      <c r="ES659" s="5"/>
      <c r="ET659" s="5"/>
      <c r="EU659" s="5"/>
      <c r="EV659" s="5"/>
      <c r="EY659" s="5"/>
      <c r="EZ659" s="5"/>
      <c r="FA659" s="5"/>
      <c r="FB659" s="5"/>
      <c r="FC659" s="5"/>
      <c r="FD659" s="5"/>
      <c r="FE659" s="5"/>
      <c r="FF659" s="5"/>
      <c r="FG659" s="5"/>
      <c r="FH659" s="5"/>
      <c r="FI659" s="5"/>
      <c r="FJ659" s="5"/>
      <c r="FK659" s="5"/>
      <c r="FL659" s="5"/>
      <c r="FM659" s="5"/>
      <c r="FN659" s="5"/>
      <c r="FO659" s="5"/>
      <c r="FP659" s="5"/>
      <c r="FQ659" s="5"/>
      <c r="FR659" s="5"/>
      <c r="FS659" s="5"/>
      <c r="FT659" s="5"/>
      <c r="FU659" s="5"/>
      <c r="FV659" s="5"/>
      <c r="FW659" s="5"/>
      <c r="FX659" s="5"/>
      <c r="FY659" s="5"/>
      <c r="FZ659" s="5"/>
      <c r="GA659" s="5"/>
      <c r="GB659" s="5"/>
      <c r="GC659" s="5"/>
      <c r="GD659" s="5"/>
      <c r="GE659" s="5"/>
      <c r="GF659" s="5"/>
      <c r="GG659" s="5"/>
      <c r="GH659" s="5"/>
      <c r="GI659" s="5"/>
      <c r="GJ659" s="5"/>
      <c r="GK659" s="5"/>
      <c r="GL659" s="5"/>
      <c r="GM659" s="5"/>
      <c r="GN659" s="5"/>
      <c r="GO659" s="5"/>
      <c r="GP659" s="5"/>
      <c r="GQ659" s="5"/>
      <c r="GR659" s="5"/>
      <c r="GS659" s="5"/>
      <c r="GT659" s="5"/>
      <c r="GU659" s="5"/>
      <c r="GX659" s="5">
        <v>0</v>
      </c>
      <c r="GY659" s="5">
        <v>0</v>
      </c>
      <c r="GZ659" s="5" t="s">
        <v>367</v>
      </c>
      <c r="HA659" s="5">
        <v>0</v>
      </c>
      <c r="HB659" s="5"/>
      <c r="HC659" s="5"/>
      <c r="HD659" s="5" t="b">
        <v>0</v>
      </c>
      <c r="HE659" s="5">
        <v>0</v>
      </c>
      <c r="HF659" s="5" t="b">
        <v>1</v>
      </c>
      <c r="HG659" s="5">
        <v>0</v>
      </c>
      <c r="HH659" s="5">
        <v>0</v>
      </c>
      <c r="HI659" s="5">
        <v>0</v>
      </c>
      <c r="HJ659" s="5">
        <v>0</v>
      </c>
      <c r="HK659" s="5" t="b">
        <v>0</v>
      </c>
      <c r="HL659" s="5">
        <v>0</v>
      </c>
      <c r="HM659" s="5">
        <v>0</v>
      </c>
      <c r="HN659" s="5" t="s">
        <v>367</v>
      </c>
      <c r="HO659" s="5" t="s">
        <v>360</v>
      </c>
      <c r="HP659" s="5">
        <v>0</v>
      </c>
      <c r="HQ659" s="5">
        <v>0</v>
      </c>
      <c r="HR659" s="5">
        <v>0</v>
      </c>
      <c r="HS659" s="5">
        <v>0</v>
      </c>
      <c r="HT659" s="5" t="b">
        <v>0</v>
      </c>
    </row>
    <row r="660" spans="1:228">
      <c r="A660"/>
      <c r="B660" s="1">
        <f>10000000+INDEX(编号表!$B$1:$B$112,MATCH(D660,编号表!$A$1:$A$112,0))*10000+I660</f>
        <v>10310007</v>
      </c>
      <c r="C660" s="5" t="s">
        <v>537</v>
      </c>
      <c r="D660" s="5" t="s">
        <v>537</v>
      </c>
      <c r="E660" s="5" t="s">
        <v>360</v>
      </c>
      <c r="F660" s="5" t="s">
        <v>349</v>
      </c>
      <c r="G660" s="5" t="b">
        <v>0</v>
      </c>
      <c r="H660" s="5" t="b">
        <v>1</v>
      </c>
      <c r="I660" s="5">
        <v>7</v>
      </c>
      <c r="J660" s="5">
        <v>103100</v>
      </c>
      <c r="K660" s="5" t="s">
        <v>350</v>
      </c>
      <c r="L660" s="5">
        <v>0</v>
      </c>
      <c r="M660" s="5">
        <v>0</v>
      </c>
      <c r="N660" s="5" t="s">
        <v>535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/>
      <c r="V660" s="5">
        <v>0</v>
      </c>
      <c r="W660" s="5">
        <v>0</v>
      </c>
      <c r="X660" s="5" t="s">
        <v>352</v>
      </c>
      <c r="Y660" s="5" t="s">
        <v>365</v>
      </c>
      <c r="Z660" s="5" t="s">
        <v>354</v>
      </c>
      <c r="AA660" s="5">
        <v>0</v>
      </c>
      <c r="AB660" s="5">
        <v>0</v>
      </c>
      <c r="AC660" s="5" t="b">
        <v>0</v>
      </c>
      <c r="AD660" s="5" t="s">
        <v>355</v>
      </c>
      <c r="AE660" s="5">
        <v>100</v>
      </c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 t="s">
        <v>356</v>
      </c>
      <c r="AZ660" s="5">
        <v>11700</v>
      </c>
      <c r="BA660" s="5" t="s">
        <v>357</v>
      </c>
      <c r="BB660" s="5" t="s">
        <v>354</v>
      </c>
      <c r="BC660" s="5">
        <v>10000</v>
      </c>
      <c r="BD660" s="5">
        <v>0</v>
      </c>
      <c r="BE660" s="5" t="s">
        <v>358</v>
      </c>
      <c r="BF660" s="5">
        <v>0</v>
      </c>
      <c r="BG660" s="5" t="s">
        <v>356</v>
      </c>
      <c r="BH660" s="5">
        <v>8500</v>
      </c>
      <c r="BI660" s="5">
        <v>9</v>
      </c>
      <c r="BJ660" s="5" t="b">
        <v>1</v>
      </c>
      <c r="BK660" s="5">
        <v>0</v>
      </c>
      <c r="BL660" s="5">
        <v>10000</v>
      </c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Z660" s="5" t="s">
        <v>357</v>
      </c>
      <c r="DA660" s="5" t="s">
        <v>354</v>
      </c>
      <c r="DB660" s="5">
        <v>10000</v>
      </c>
      <c r="DC660" s="5">
        <v>250</v>
      </c>
      <c r="DD660" s="5" t="s">
        <v>358</v>
      </c>
      <c r="DE660" s="5">
        <v>0</v>
      </c>
      <c r="DF660" s="5" t="s">
        <v>356</v>
      </c>
      <c r="DG660" s="5">
        <v>5000</v>
      </c>
      <c r="DH660" s="5">
        <v>1</v>
      </c>
      <c r="DI660" s="5" t="b">
        <v>1</v>
      </c>
      <c r="DJ660" s="5">
        <v>0</v>
      </c>
      <c r="DK660" s="5">
        <v>10000</v>
      </c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  <c r="EC660" s="5"/>
      <c r="ED660" s="5"/>
      <c r="EE660" s="5"/>
      <c r="EF660" s="5"/>
      <c r="EG660" s="5"/>
      <c r="EH660" s="5"/>
      <c r="EI660" s="5"/>
      <c r="EJ660" s="5"/>
      <c r="EK660" s="5"/>
      <c r="EL660" s="5"/>
      <c r="EM660" s="5"/>
      <c r="EN660" s="5"/>
      <c r="EO660" s="5"/>
      <c r="EP660" s="5"/>
      <c r="EQ660" s="5"/>
      <c r="ER660" s="5"/>
      <c r="ES660" s="5"/>
      <c r="ET660" s="5"/>
      <c r="EU660" s="5"/>
      <c r="EV660" s="5"/>
      <c r="EY660" s="5"/>
      <c r="EZ660" s="5"/>
      <c r="FA660" s="5"/>
      <c r="FB660" s="5"/>
      <c r="FC660" s="5"/>
      <c r="FD660" s="5"/>
      <c r="FE660" s="5"/>
      <c r="FF660" s="5"/>
      <c r="FG660" s="5"/>
      <c r="FH660" s="5"/>
      <c r="FI660" s="5"/>
      <c r="FJ660" s="5"/>
      <c r="FK660" s="5"/>
      <c r="FL660" s="5"/>
      <c r="FM660" s="5"/>
      <c r="FN660" s="5"/>
      <c r="FO660" s="5"/>
      <c r="FP660" s="5"/>
      <c r="FQ660" s="5"/>
      <c r="FR660" s="5"/>
      <c r="FS660" s="5"/>
      <c r="FT660" s="5"/>
      <c r="FU660" s="5"/>
      <c r="FV660" s="5"/>
      <c r="FW660" s="5"/>
      <c r="FX660" s="5"/>
      <c r="FY660" s="5"/>
      <c r="FZ660" s="5"/>
      <c r="GA660" s="5"/>
      <c r="GB660" s="5"/>
      <c r="GC660" s="5"/>
      <c r="GD660" s="5"/>
      <c r="GE660" s="5"/>
      <c r="GF660" s="5"/>
      <c r="GG660" s="5"/>
      <c r="GH660" s="5"/>
      <c r="GI660" s="5"/>
      <c r="GJ660" s="5"/>
      <c r="GK660" s="5"/>
      <c r="GL660" s="5"/>
      <c r="GM660" s="5"/>
      <c r="GN660" s="5"/>
      <c r="GO660" s="5"/>
      <c r="GP660" s="5"/>
      <c r="GQ660" s="5"/>
      <c r="GR660" s="5"/>
      <c r="GS660" s="5"/>
      <c r="GT660" s="5"/>
      <c r="GU660" s="5"/>
      <c r="GX660" s="5">
        <v>0</v>
      </c>
      <c r="GY660" s="5">
        <v>0</v>
      </c>
      <c r="GZ660" s="5" t="s">
        <v>367</v>
      </c>
      <c r="HA660" s="5">
        <v>0</v>
      </c>
      <c r="HB660" s="5"/>
      <c r="HC660" s="5"/>
      <c r="HD660" s="5" t="b">
        <v>0</v>
      </c>
      <c r="HE660" s="5">
        <v>0</v>
      </c>
      <c r="HF660" s="5" t="b">
        <v>1</v>
      </c>
      <c r="HG660" s="5">
        <v>0</v>
      </c>
      <c r="HH660" s="5">
        <v>0</v>
      </c>
      <c r="HI660" s="5">
        <v>0</v>
      </c>
      <c r="HJ660" s="5">
        <v>0</v>
      </c>
      <c r="HK660" s="5" t="b">
        <v>0</v>
      </c>
      <c r="HL660" s="5">
        <v>0</v>
      </c>
      <c r="HM660" s="5">
        <v>0</v>
      </c>
      <c r="HN660" s="5" t="s">
        <v>367</v>
      </c>
      <c r="HO660" s="5" t="s">
        <v>360</v>
      </c>
      <c r="HP660" s="5">
        <v>0</v>
      </c>
      <c r="HQ660" s="5">
        <v>0</v>
      </c>
      <c r="HR660" s="5">
        <v>0</v>
      </c>
      <c r="HS660" s="5">
        <v>0</v>
      </c>
      <c r="HT660" s="5" t="b">
        <v>0</v>
      </c>
    </row>
    <row r="661" spans="1:228">
      <c r="A661"/>
      <c r="B661" s="1">
        <f>10000000+INDEX(编号表!$B$1:$B$112,MATCH(D661,编号表!$A$1:$A$112,0))*10000+I661</f>
        <v>10310008</v>
      </c>
      <c r="C661" s="5" t="s">
        <v>537</v>
      </c>
      <c r="D661" s="5" t="s">
        <v>537</v>
      </c>
      <c r="E661" s="5" t="s">
        <v>360</v>
      </c>
      <c r="F661" s="5" t="s">
        <v>349</v>
      </c>
      <c r="G661" s="5" t="b">
        <v>0</v>
      </c>
      <c r="H661" s="5" t="b">
        <v>1</v>
      </c>
      <c r="I661" s="5">
        <v>8</v>
      </c>
      <c r="J661" s="5">
        <v>103100</v>
      </c>
      <c r="K661" s="5" t="s">
        <v>350</v>
      </c>
      <c r="L661" s="5">
        <v>0</v>
      </c>
      <c r="M661" s="5">
        <v>0</v>
      </c>
      <c r="N661" s="5" t="s">
        <v>535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/>
      <c r="V661" s="5">
        <v>0</v>
      </c>
      <c r="W661" s="5">
        <v>0</v>
      </c>
      <c r="X661" s="5" t="s">
        <v>352</v>
      </c>
      <c r="Y661" s="5" t="s">
        <v>365</v>
      </c>
      <c r="Z661" s="5" t="s">
        <v>354</v>
      </c>
      <c r="AA661" s="5">
        <v>0</v>
      </c>
      <c r="AB661" s="5">
        <v>0</v>
      </c>
      <c r="AC661" s="5" t="b">
        <v>0</v>
      </c>
      <c r="AD661" s="5" t="s">
        <v>355</v>
      </c>
      <c r="AE661" s="5">
        <v>100</v>
      </c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 t="s">
        <v>356</v>
      </c>
      <c r="AZ661" s="5">
        <v>11800</v>
      </c>
      <c r="BA661" s="5" t="s">
        <v>357</v>
      </c>
      <c r="BB661" s="5" t="s">
        <v>354</v>
      </c>
      <c r="BC661" s="5">
        <v>10000</v>
      </c>
      <c r="BD661" s="5">
        <v>0</v>
      </c>
      <c r="BE661" s="5" t="s">
        <v>358</v>
      </c>
      <c r="BF661" s="5">
        <v>0</v>
      </c>
      <c r="BG661" s="5" t="s">
        <v>356</v>
      </c>
      <c r="BH661" s="5">
        <v>8500</v>
      </c>
      <c r="BI661" s="5">
        <v>10</v>
      </c>
      <c r="BJ661" s="5" t="b">
        <v>1</v>
      </c>
      <c r="BK661" s="5">
        <v>0</v>
      </c>
      <c r="BL661" s="5">
        <v>10000</v>
      </c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Z661" s="5" t="s">
        <v>357</v>
      </c>
      <c r="DA661" s="5" t="s">
        <v>354</v>
      </c>
      <c r="DB661" s="5">
        <v>10000</v>
      </c>
      <c r="DC661" s="5">
        <v>250</v>
      </c>
      <c r="DD661" s="5" t="s">
        <v>358</v>
      </c>
      <c r="DE661" s="5">
        <v>0</v>
      </c>
      <c r="DF661" s="5" t="s">
        <v>356</v>
      </c>
      <c r="DG661" s="5">
        <v>5000</v>
      </c>
      <c r="DH661" s="5">
        <v>2</v>
      </c>
      <c r="DI661" s="5" t="b">
        <v>1</v>
      </c>
      <c r="DJ661" s="5">
        <v>0</v>
      </c>
      <c r="DK661" s="5">
        <v>10000</v>
      </c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  <c r="EC661" s="5"/>
      <c r="ED661" s="5"/>
      <c r="EE661" s="5"/>
      <c r="EF661" s="5"/>
      <c r="EG661" s="5"/>
      <c r="EH661" s="5"/>
      <c r="EI661" s="5"/>
      <c r="EJ661" s="5"/>
      <c r="EK661" s="5"/>
      <c r="EL661" s="5"/>
      <c r="EM661" s="5"/>
      <c r="EN661" s="5"/>
      <c r="EO661" s="5"/>
      <c r="EP661" s="5"/>
      <c r="EQ661" s="5"/>
      <c r="ER661" s="5"/>
      <c r="ES661" s="5"/>
      <c r="ET661" s="5"/>
      <c r="EU661" s="5"/>
      <c r="EV661" s="5"/>
      <c r="EY661" s="5"/>
      <c r="EZ661" s="5"/>
      <c r="FA661" s="5"/>
      <c r="FB661" s="5"/>
      <c r="FC661" s="5"/>
      <c r="FD661" s="5"/>
      <c r="FE661" s="5"/>
      <c r="FF661" s="5"/>
      <c r="FG661" s="5"/>
      <c r="FH661" s="5"/>
      <c r="FI661" s="5"/>
      <c r="FJ661" s="5"/>
      <c r="FK661" s="5"/>
      <c r="FL661" s="5"/>
      <c r="FM661" s="5"/>
      <c r="FN661" s="5"/>
      <c r="FO661" s="5"/>
      <c r="FP661" s="5"/>
      <c r="FQ661" s="5"/>
      <c r="FR661" s="5"/>
      <c r="FS661" s="5"/>
      <c r="FT661" s="5"/>
      <c r="FU661" s="5"/>
      <c r="FV661" s="5"/>
      <c r="FW661" s="5"/>
      <c r="FX661" s="5"/>
      <c r="FY661" s="5"/>
      <c r="FZ661" s="5"/>
      <c r="GA661" s="5"/>
      <c r="GB661" s="5"/>
      <c r="GC661" s="5"/>
      <c r="GD661" s="5"/>
      <c r="GE661" s="5"/>
      <c r="GF661" s="5"/>
      <c r="GG661" s="5"/>
      <c r="GH661" s="5"/>
      <c r="GI661" s="5"/>
      <c r="GJ661" s="5"/>
      <c r="GK661" s="5"/>
      <c r="GL661" s="5"/>
      <c r="GM661" s="5"/>
      <c r="GN661" s="5"/>
      <c r="GO661" s="5"/>
      <c r="GP661" s="5"/>
      <c r="GQ661" s="5"/>
      <c r="GR661" s="5"/>
      <c r="GS661" s="5"/>
      <c r="GT661" s="5"/>
      <c r="GU661" s="5"/>
      <c r="GX661" s="5">
        <v>0</v>
      </c>
      <c r="GY661" s="5">
        <v>0</v>
      </c>
      <c r="GZ661" s="5" t="s">
        <v>367</v>
      </c>
      <c r="HA661" s="5">
        <v>0</v>
      </c>
      <c r="HB661" s="5"/>
      <c r="HC661" s="5"/>
      <c r="HD661" s="5" t="b">
        <v>0</v>
      </c>
      <c r="HE661" s="5">
        <v>0</v>
      </c>
      <c r="HF661" s="5" t="b">
        <v>1</v>
      </c>
      <c r="HG661" s="5">
        <v>0</v>
      </c>
      <c r="HH661" s="5">
        <v>0</v>
      </c>
      <c r="HI661" s="5">
        <v>0</v>
      </c>
      <c r="HJ661" s="5">
        <v>0</v>
      </c>
      <c r="HK661" s="5" t="b">
        <v>0</v>
      </c>
      <c r="HL661" s="5">
        <v>0</v>
      </c>
      <c r="HM661" s="5">
        <v>0</v>
      </c>
      <c r="HN661" s="5" t="s">
        <v>367</v>
      </c>
      <c r="HO661" s="5" t="s">
        <v>360</v>
      </c>
      <c r="HP661" s="5">
        <v>0</v>
      </c>
      <c r="HQ661" s="5">
        <v>0</v>
      </c>
      <c r="HR661" s="5">
        <v>0</v>
      </c>
      <c r="HS661" s="5">
        <v>0</v>
      </c>
      <c r="HT661" s="5" t="b">
        <v>0</v>
      </c>
    </row>
    <row r="662" spans="1:228">
      <c r="A662"/>
      <c r="B662" s="1">
        <f>10000000+INDEX(编号表!$B$1:$B$112,MATCH(D662,编号表!$A$1:$A$112,0))*10000+I662</f>
        <v>10310009</v>
      </c>
      <c r="C662" s="5" t="s">
        <v>537</v>
      </c>
      <c r="D662" s="5" t="s">
        <v>537</v>
      </c>
      <c r="E662" s="5" t="s">
        <v>360</v>
      </c>
      <c r="F662" s="5" t="s">
        <v>349</v>
      </c>
      <c r="G662" s="5" t="b">
        <v>0</v>
      </c>
      <c r="H662" s="5" t="b">
        <v>1</v>
      </c>
      <c r="I662" s="5">
        <v>9</v>
      </c>
      <c r="J662" s="5">
        <v>103100</v>
      </c>
      <c r="K662" s="5" t="s">
        <v>350</v>
      </c>
      <c r="L662" s="5">
        <v>0</v>
      </c>
      <c r="M662" s="5">
        <v>0</v>
      </c>
      <c r="N662" s="5" t="s">
        <v>535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/>
      <c r="V662" s="5">
        <v>0</v>
      </c>
      <c r="W662" s="5">
        <v>0</v>
      </c>
      <c r="X662" s="5" t="s">
        <v>352</v>
      </c>
      <c r="Y662" s="5" t="s">
        <v>365</v>
      </c>
      <c r="Z662" s="5" t="s">
        <v>354</v>
      </c>
      <c r="AA662" s="5">
        <v>0</v>
      </c>
      <c r="AB662" s="5">
        <v>0</v>
      </c>
      <c r="AC662" s="5" t="b">
        <v>0</v>
      </c>
      <c r="AD662" s="5" t="s">
        <v>355</v>
      </c>
      <c r="AE662" s="5">
        <v>100</v>
      </c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 t="s">
        <v>356</v>
      </c>
      <c r="AZ662" s="5">
        <v>11900</v>
      </c>
      <c r="BA662" s="5" t="s">
        <v>357</v>
      </c>
      <c r="BB662" s="5" t="s">
        <v>354</v>
      </c>
      <c r="BC662" s="5">
        <v>10000</v>
      </c>
      <c r="BD662" s="5">
        <v>0</v>
      </c>
      <c r="BE662" s="5" t="s">
        <v>358</v>
      </c>
      <c r="BF662" s="5">
        <v>0</v>
      </c>
      <c r="BG662" s="5" t="s">
        <v>356</v>
      </c>
      <c r="BH662" s="5">
        <v>8500</v>
      </c>
      <c r="BI662" s="5">
        <v>12</v>
      </c>
      <c r="BJ662" s="5" t="b">
        <v>1</v>
      </c>
      <c r="BK662" s="5">
        <v>0</v>
      </c>
      <c r="BL662" s="5">
        <v>10000</v>
      </c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Z662" s="5" t="s">
        <v>357</v>
      </c>
      <c r="DA662" s="5" t="s">
        <v>354</v>
      </c>
      <c r="DB662" s="5">
        <v>10000</v>
      </c>
      <c r="DC662" s="5">
        <v>250</v>
      </c>
      <c r="DD662" s="5" t="s">
        <v>358</v>
      </c>
      <c r="DE662" s="5">
        <v>0</v>
      </c>
      <c r="DF662" s="5" t="s">
        <v>356</v>
      </c>
      <c r="DG662" s="5">
        <v>5000</v>
      </c>
      <c r="DH662" s="5">
        <v>2</v>
      </c>
      <c r="DI662" s="5" t="b">
        <v>1</v>
      </c>
      <c r="DJ662" s="5">
        <v>0</v>
      </c>
      <c r="DK662" s="5">
        <v>10000</v>
      </c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  <c r="EC662" s="5"/>
      <c r="ED662" s="5"/>
      <c r="EE662" s="5"/>
      <c r="EF662" s="5"/>
      <c r="EG662" s="5"/>
      <c r="EH662" s="5"/>
      <c r="EI662" s="5"/>
      <c r="EJ662" s="5"/>
      <c r="EK662" s="5"/>
      <c r="EL662" s="5"/>
      <c r="EM662" s="5"/>
      <c r="EN662" s="5"/>
      <c r="EO662" s="5"/>
      <c r="EP662" s="5"/>
      <c r="EQ662" s="5"/>
      <c r="ER662" s="5"/>
      <c r="ES662" s="5"/>
      <c r="ET662" s="5"/>
      <c r="EU662" s="5"/>
      <c r="EV662" s="5"/>
      <c r="EY662" s="5"/>
      <c r="EZ662" s="5"/>
      <c r="FA662" s="5"/>
      <c r="FB662" s="5"/>
      <c r="FC662" s="5"/>
      <c r="FD662" s="5"/>
      <c r="FE662" s="5"/>
      <c r="FF662" s="5"/>
      <c r="FG662" s="5"/>
      <c r="FH662" s="5"/>
      <c r="FI662" s="5"/>
      <c r="FJ662" s="5"/>
      <c r="FK662" s="5"/>
      <c r="FL662" s="5"/>
      <c r="FM662" s="5"/>
      <c r="FN662" s="5"/>
      <c r="FO662" s="5"/>
      <c r="FP662" s="5"/>
      <c r="FQ662" s="5"/>
      <c r="FR662" s="5"/>
      <c r="FS662" s="5"/>
      <c r="FT662" s="5"/>
      <c r="FU662" s="5"/>
      <c r="FV662" s="5"/>
      <c r="FW662" s="5"/>
      <c r="FX662" s="5"/>
      <c r="FY662" s="5"/>
      <c r="FZ662" s="5"/>
      <c r="GA662" s="5"/>
      <c r="GB662" s="5"/>
      <c r="GC662" s="5"/>
      <c r="GD662" s="5"/>
      <c r="GE662" s="5"/>
      <c r="GF662" s="5"/>
      <c r="GG662" s="5"/>
      <c r="GH662" s="5"/>
      <c r="GI662" s="5"/>
      <c r="GJ662" s="5"/>
      <c r="GK662" s="5"/>
      <c r="GL662" s="5"/>
      <c r="GM662" s="5"/>
      <c r="GN662" s="5"/>
      <c r="GO662" s="5"/>
      <c r="GP662" s="5"/>
      <c r="GQ662" s="5"/>
      <c r="GR662" s="5"/>
      <c r="GS662" s="5"/>
      <c r="GT662" s="5"/>
      <c r="GU662" s="5"/>
      <c r="GX662" s="5">
        <v>0</v>
      </c>
      <c r="GY662" s="5">
        <v>0</v>
      </c>
      <c r="GZ662" s="5" t="s">
        <v>367</v>
      </c>
      <c r="HA662" s="5">
        <v>0</v>
      </c>
      <c r="HB662" s="5"/>
      <c r="HC662" s="5"/>
      <c r="HD662" s="5" t="b">
        <v>0</v>
      </c>
      <c r="HE662" s="5">
        <v>0</v>
      </c>
      <c r="HF662" s="5" t="b">
        <v>1</v>
      </c>
      <c r="HG662" s="5">
        <v>0</v>
      </c>
      <c r="HH662" s="5">
        <v>0</v>
      </c>
      <c r="HI662" s="5">
        <v>0</v>
      </c>
      <c r="HJ662" s="5">
        <v>0</v>
      </c>
      <c r="HK662" s="5" t="b">
        <v>0</v>
      </c>
      <c r="HL662" s="5">
        <v>0</v>
      </c>
      <c r="HM662" s="5">
        <v>0</v>
      </c>
      <c r="HN662" s="5" t="s">
        <v>367</v>
      </c>
      <c r="HO662" s="5" t="s">
        <v>360</v>
      </c>
      <c r="HP662" s="5">
        <v>0</v>
      </c>
      <c r="HQ662" s="5">
        <v>0</v>
      </c>
      <c r="HR662" s="5">
        <v>0</v>
      </c>
      <c r="HS662" s="5">
        <v>0</v>
      </c>
      <c r="HT662" s="5" t="b">
        <v>0</v>
      </c>
    </row>
    <row r="663" spans="1:228">
      <c r="A663"/>
      <c r="B663" s="1">
        <f>10000000+INDEX(编号表!$B$1:$B$112,MATCH(D663,编号表!$A$1:$A$112,0))*10000+I663</f>
        <v>10310010</v>
      </c>
      <c r="C663" s="5" t="s">
        <v>537</v>
      </c>
      <c r="D663" s="5" t="s">
        <v>537</v>
      </c>
      <c r="E663" s="5" t="s">
        <v>360</v>
      </c>
      <c r="F663" s="5" t="s">
        <v>349</v>
      </c>
      <c r="G663" s="5" t="b">
        <v>0</v>
      </c>
      <c r="H663" s="5" t="b">
        <v>1</v>
      </c>
      <c r="I663" s="5">
        <v>10</v>
      </c>
      <c r="J663" s="5">
        <v>103100</v>
      </c>
      <c r="K663" s="5" t="s">
        <v>350</v>
      </c>
      <c r="L663" s="5">
        <v>0</v>
      </c>
      <c r="M663" s="5">
        <v>0</v>
      </c>
      <c r="N663" s="5" t="s">
        <v>535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/>
      <c r="V663" s="5">
        <v>0</v>
      </c>
      <c r="W663" s="5">
        <v>0</v>
      </c>
      <c r="X663" s="5" t="s">
        <v>352</v>
      </c>
      <c r="Y663" s="5" t="s">
        <v>365</v>
      </c>
      <c r="Z663" s="5" t="s">
        <v>354</v>
      </c>
      <c r="AA663" s="5">
        <v>0</v>
      </c>
      <c r="AB663" s="5">
        <v>0</v>
      </c>
      <c r="AC663" s="5" t="b">
        <v>0</v>
      </c>
      <c r="AD663" s="5" t="s">
        <v>355</v>
      </c>
      <c r="AE663" s="5">
        <v>100</v>
      </c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 t="s">
        <v>356</v>
      </c>
      <c r="AZ663" s="5">
        <v>12000</v>
      </c>
      <c r="BA663" s="5" t="s">
        <v>357</v>
      </c>
      <c r="BB663" s="5" t="s">
        <v>354</v>
      </c>
      <c r="BC663" s="5">
        <v>10000</v>
      </c>
      <c r="BD663" s="5">
        <v>0</v>
      </c>
      <c r="BE663" s="5" t="s">
        <v>358</v>
      </c>
      <c r="BF663" s="5">
        <v>0</v>
      </c>
      <c r="BG663" s="5" t="s">
        <v>356</v>
      </c>
      <c r="BH663" s="5">
        <v>8500</v>
      </c>
      <c r="BI663" s="5">
        <v>15</v>
      </c>
      <c r="BJ663" s="5" t="b">
        <v>1</v>
      </c>
      <c r="BK663" s="5">
        <v>0</v>
      </c>
      <c r="BL663" s="5">
        <v>10000</v>
      </c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Z663" s="5" t="s">
        <v>357</v>
      </c>
      <c r="DA663" s="5" t="s">
        <v>354</v>
      </c>
      <c r="DB663" s="5">
        <v>10000</v>
      </c>
      <c r="DC663" s="5">
        <v>250</v>
      </c>
      <c r="DD663" s="5" t="s">
        <v>358</v>
      </c>
      <c r="DE663" s="5">
        <v>0</v>
      </c>
      <c r="DF663" s="5" t="s">
        <v>356</v>
      </c>
      <c r="DG663" s="5">
        <v>5000</v>
      </c>
      <c r="DH663" s="5">
        <v>2</v>
      </c>
      <c r="DI663" s="5" t="b">
        <v>1</v>
      </c>
      <c r="DJ663" s="5">
        <v>0</v>
      </c>
      <c r="DK663" s="5">
        <v>10000</v>
      </c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  <c r="EC663" s="5"/>
      <c r="ED663" s="5"/>
      <c r="EE663" s="5"/>
      <c r="EF663" s="5"/>
      <c r="EG663" s="5"/>
      <c r="EH663" s="5"/>
      <c r="EI663" s="5"/>
      <c r="EJ663" s="5"/>
      <c r="EK663" s="5"/>
      <c r="EL663" s="5"/>
      <c r="EM663" s="5"/>
      <c r="EN663" s="5"/>
      <c r="EO663" s="5"/>
      <c r="EP663" s="5"/>
      <c r="EQ663" s="5"/>
      <c r="ER663" s="5"/>
      <c r="ES663" s="5"/>
      <c r="ET663" s="5"/>
      <c r="EU663" s="5"/>
      <c r="EV663" s="5"/>
      <c r="EY663" s="5"/>
      <c r="EZ663" s="5"/>
      <c r="FA663" s="5"/>
      <c r="FB663" s="5"/>
      <c r="FC663" s="5"/>
      <c r="FD663" s="5"/>
      <c r="FE663" s="5"/>
      <c r="FF663" s="5"/>
      <c r="FG663" s="5"/>
      <c r="FH663" s="5"/>
      <c r="FI663" s="5"/>
      <c r="FJ663" s="5"/>
      <c r="FK663" s="5"/>
      <c r="FL663" s="5"/>
      <c r="FM663" s="5"/>
      <c r="FN663" s="5"/>
      <c r="FO663" s="5"/>
      <c r="FP663" s="5"/>
      <c r="FQ663" s="5"/>
      <c r="FR663" s="5"/>
      <c r="FS663" s="5"/>
      <c r="FT663" s="5"/>
      <c r="FU663" s="5"/>
      <c r="FV663" s="5"/>
      <c r="FW663" s="5"/>
      <c r="FX663" s="5"/>
      <c r="FY663" s="5"/>
      <c r="FZ663" s="5"/>
      <c r="GA663" s="5"/>
      <c r="GB663" s="5"/>
      <c r="GC663" s="5"/>
      <c r="GD663" s="5"/>
      <c r="GE663" s="5"/>
      <c r="GF663" s="5"/>
      <c r="GG663" s="5"/>
      <c r="GH663" s="5"/>
      <c r="GI663" s="5"/>
      <c r="GJ663" s="5"/>
      <c r="GK663" s="5"/>
      <c r="GL663" s="5"/>
      <c r="GM663" s="5"/>
      <c r="GN663" s="5"/>
      <c r="GO663" s="5"/>
      <c r="GP663" s="5"/>
      <c r="GQ663" s="5"/>
      <c r="GR663" s="5"/>
      <c r="GS663" s="5"/>
      <c r="GT663" s="5"/>
      <c r="GU663" s="5"/>
      <c r="GX663" s="5">
        <v>0</v>
      </c>
      <c r="GY663" s="5">
        <v>0</v>
      </c>
      <c r="GZ663" s="5" t="s">
        <v>367</v>
      </c>
      <c r="HA663" s="5">
        <v>0</v>
      </c>
      <c r="HB663" s="5"/>
      <c r="HC663" s="5"/>
      <c r="HD663" s="5" t="b">
        <v>0</v>
      </c>
      <c r="HE663" s="5">
        <v>0</v>
      </c>
      <c r="HF663" s="5" t="b">
        <v>1</v>
      </c>
      <c r="HG663" s="5">
        <v>0</v>
      </c>
      <c r="HH663" s="5">
        <v>0</v>
      </c>
      <c r="HI663" s="5">
        <v>0</v>
      </c>
      <c r="HJ663" s="5">
        <v>0</v>
      </c>
      <c r="HK663" s="5" t="b">
        <v>0</v>
      </c>
      <c r="HL663" s="5">
        <v>0</v>
      </c>
      <c r="HM663" s="5">
        <v>0</v>
      </c>
      <c r="HN663" s="5" t="s">
        <v>367</v>
      </c>
      <c r="HO663" s="5" t="s">
        <v>360</v>
      </c>
      <c r="HP663" s="5">
        <v>0</v>
      </c>
      <c r="HQ663" s="5">
        <v>0</v>
      </c>
      <c r="HR663" s="5">
        <v>0</v>
      </c>
      <c r="HS663" s="5">
        <v>0</v>
      </c>
      <c r="HT663" s="5" t="b">
        <v>0</v>
      </c>
    </row>
    <row r="664" spans="1:228">
      <c r="A664"/>
      <c r="B664" s="1">
        <f>10000000+INDEX(编号表!$B$1:$B$112,MATCH(D664,编号表!$A$1:$A$112,0))*10000+I664</f>
        <v>10320001</v>
      </c>
      <c r="C664" s="5" t="s">
        <v>538</v>
      </c>
      <c r="D664" s="5" t="s">
        <v>538</v>
      </c>
      <c r="E664" s="5" t="s">
        <v>360</v>
      </c>
      <c r="F664" s="5" t="s">
        <v>349</v>
      </c>
      <c r="G664" s="5" t="b">
        <v>0</v>
      </c>
      <c r="H664" s="5" t="b">
        <v>1</v>
      </c>
      <c r="I664" s="5">
        <v>1</v>
      </c>
      <c r="J664" s="5">
        <v>103200</v>
      </c>
      <c r="K664" s="5" t="s">
        <v>350</v>
      </c>
      <c r="L664" s="5">
        <v>0</v>
      </c>
      <c r="M664" s="5">
        <v>0</v>
      </c>
      <c r="N664" s="5" t="s">
        <v>535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/>
      <c r="V664" s="5">
        <v>0</v>
      </c>
      <c r="W664" s="5">
        <v>0</v>
      </c>
      <c r="X664" s="5" t="s">
        <v>352</v>
      </c>
      <c r="Y664" s="5" t="s">
        <v>365</v>
      </c>
      <c r="Z664" s="5" t="s">
        <v>354</v>
      </c>
      <c r="AA664" s="5">
        <v>0</v>
      </c>
      <c r="AB664" s="5">
        <v>0</v>
      </c>
      <c r="AC664" s="5" t="b">
        <v>0</v>
      </c>
      <c r="AD664" s="5" t="s">
        <v>355</v>
      </c>
      <c r="AE664" s="5">
        <v>160</v>
      </c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 t="s">
        <v>356</v>
      </c>
      <c r="AZ664" s="5">
        <v>10000</v>
      </c>
      <c r="BA664" s="5" t="s">
        <v>357</v>
      </c>
      <c r="BB664" s="5" t="s">
        <v>354</v>
      </c>
      <c r="BC664" s="5">
        <v>10000</v>
      </c>
      <c r="BD664" s="5">
        <v>0</v>
      </c>
      <c r="BE664" s="5" t="s">
        <v>358</v>
      </c>
      <c r="BF664" s="5">
        <v>0</v>
      </c>
      <c r="BG664" s="5" t="s">
        <v>356</v>
      </c>
      <c r="BH664" s="5">
        <v>800</v>
      </c>
      <c r="BI664" s="5">
        <v>0</v>
      </c>
      <c r="BJ664" s="5" t="b">
        <v>1</v>
      </c>
      <c r="BK664" s="5">
        <v>0</v>
      </c>
      <c r="BL664" s="5">
        <v>10000</v>
      </c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  <c r="EC664" s="5"/>
      <c r="ED664" s="5"/>
      <c r="EE664" s="5"/>
      <c r="EF664" s="5"/>
      <c r="EG664" s="5"/>
      <c r="EH664" s="5"/>
      <c r="EI664" s="5"/>
      <c r="EJ664" s="5"/>
      <c r="EK664" s="5"/>
      <c r="EL664" s="5"/>
      <c r="EM664" s="5"/>
      <c r="EN664" s="5"/>
      <c r="EO664" s="5"/>
      <c r="EP664" s="5"/>
      <c r="EQ664" s="5"/>
      <c r="ER664" s="5"/>
      <c r="ES664" s="5"/>
      <c r="ET664" s="5"/>
      <c r="EU664" s="5"/>
      <c r="EV664" s="5"/>
      <c r="EY664" s="5"/>
      <c r="EZ664" s="5"/>
      <c r="FA664" s="5"/>
      <c r="FB664" s="5"/>
      <c r="FC664" s="5"/>
      <c r="FD664" s="5"/>
      <c r="FE664" s="5"/>
      <c r="FF664" s="5"/>
      <c r="FG664" s="5"/>
      <c r="FH664" s="5"/>
      <c r="FI664" s="5"/>
      <c r="FJ664" s="5"/>
      <c r="FK664" s="5"/>
      <c r="FL664" s="5"/>
      <c r="FM664" s="5"/>
      <c r="FN664" s="5"/>
      <c r="FO664" s="5"/>
      <c r="FP664" s="5"/>
      <c r="FQ664" s="5"/>
      <c r="FR664" s="5"/>
      <c r="FS664" s="5"/>
      <c r="FT664" s="5"/>
      <c r="FU664" s="5"/>
      <c r="FV664" s="5"/>
      <c r="FW664" s="5"/>
      <c r="FX664" s="5"/>
      <c r="FY664" s="5"/>
      <c r="FZ664" s="5"/>
      <c r="GA664" s="5"/>
      <c r="GB664" s="5"/>
      <c r="GC664" s="5"/>
      <c r="GD664" s="5"/>
      <c r="GE664" s="5"/>
      <c r="GF664" s="5"/>
      <c r="GG664" s="5"/>
      <c r="GH664" s="5"/>
      <c r="GI664" s="5"/>
      <c r="GJ664" s="5"/>
      <c r="GK664" s="5"/>
      <c r="GL664" s="5"/>
      <c r="GM664" s="5"/>
      <c r="GN664" s="5"/>
      <c r="GO664" s="5"/>
      <c r="GP664" s="5"/>
      <c r="GQ664" s="5"/>
      <c r="GR664" s="5"/>
      <c r="GS664" s="5"/>
      <c r="GT664" s="5"/>
      <c r="GU664" s="5"/>
      <c r="GX664" s="5">
        <v>0</v>
      </c>
      <c r="GY664" s="5">
        <v>0</v>
      </c>
      <c r="GZ664" s="5" t="s">
        <v>367</v>
      </c>
      <c r="HA664" s="5">
        <v>0</v>
      </c>
      <c r="HB664" s="5"/>
      <c r="HC664" s="5"/>
      <c r="HD664" s="5" t="b">
        <v>0</v>
      </c>
      <c r="HE664" s="5">
        <v>0</v>
      </c>
      <c r="HF664" s="5" t="b">
        <v>1</v>
      </c>
      <c r="HG664" s="5">
        <v>0</v>
      </c>
      <c r="HH664" s="5">
        <v>0</v>
      </c>
      <c r="HI664" s="5">
        <v>0</v>
      </c>
      <c r="HJ664" s="5">
        <v>0</v>
      </c>
      <c r="HK664" s="5" t="b">
        <v>0</v>
      </c>
      <c r="HL664" s="5">
        <v>0</v>
      </c>
      <c r="HM664" s="5">
        <v>0</v>
      </c>
      <c r="HN664" s="5" t="s">
        <v>367</v>
      </c>
      <c r="HO664" s="5" t="s">
        <v>360</v>
      </c>
      <c r="HP664" s="5">
        <v>0</v>
      </c>
      <c r="HQ664" s="5">
        <v>0</v>
      </c>
      <c r="HR664" s="5">
        <v>0</v>
      </c>
      <c r="HS664" s="5">
        <v>0</v>
      </c>
      <c r="HT664" s="5" t="b">
        <v>0</v>
      </c>
    </row>
    <row r="665" spans="1:228">
      <c r="A665"/>
      <c r="B665" s="1">
        <f>10000000+INDEX(编号表!$B$1:$B$112,MATCH(D665,编号表!$A$1:$A$112,0))*10000+I665</f>
        <v>10320002</v>
      </c>
      <c r="C665" s="5" t="s">
        <v>538</v>
      </c>
      <c r="D665" s="5" t="s">
        <v>538</v>
      </c>
      <c r="E665" s="5" t="s">
        <v>360</v>
      </c>
      <c r="F665" s="5" t="s">
        <v>349</v>
      </c>
      <c r="G665" s="5" t="b">
        <v>0</v>
      </c>
      <c r="H665" s="5" t="b">
        <v>1</v>
      </c>
      <c r="I665" s="5">
        <v>2</v>
      </c>
      <c r="J665" s="5">
        <v>103200</v>
      </c>
      <c r="K665" s="5" t="s">
        <v>350</v>
      </c>
      <c r="L665" s="5">
        <v>0</v>
      </c>
      <c r="M665" s="5">
        <v>0</v>
      </c>
      <c r="N665" s="5" t="s">
        <v>535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/>
      <c r="V665" s="5">
        <v>0</v>
      </c>
      <c r="W665" s="5">
        <v>0</v>
      </c>
      <c r="X665" s="5" t="s">
        <v>352</v>
      </c>
      <c r="Y665" s="5" t="s">
        <v>365</v>
      </c>
      <c r="Z665" s="5" t="s">
        <v>354</v>
      </c>
      <c r="AA665" s="5">
        <v>0</v>
      </c>
      <c r="AB665" s="5">
        <v>0</v>
      </c>
      <c r="AC665" s="5" t="b">
        <v>0</v>
      </c>
      <c r="AD665" s="5" t="s">
        <v>355</v>
      </c>
      <c r="AE665" s="5">
        <v>160</v>
      </c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 t="s">
        <v>356</v>
      </c>
      <c r="AZ665" s="5">
        <v>10400</v>
      </c>
      <c r="BA665" s="5" t="s">
        <v>357</v>
      </c>
      <c r="BB665" s="5" t="s">
        <v>354</v>
      </c>
      <c r="BC665" s="5">
        <v>10000</v>
      </c>
      <c r="BD665" s="5">
        <v>0</v>
      </c>
      <c r="BE665" s="5" t="s">
        <v>358</v>
      </c>
      <c r="BF665" s="5">
        <v>0</v>
      </c>
      <c r="BG665" s="5" t="s">
        <v>356</v>
      </c>
      <c r="BH665" s="5">
        <v>800</v>
      </c>
      <c r="BI665" s="5">
        <v>0</v>
      </c>
      <c r="BJ665" s="5" t="b">
        <v>1</v>
      </c>
      <c r="BK665" s="5">
        <v>0</v>
      </c>
      <c r="BL665" s="5">
        <v>10000</v>
      </c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  <c r="EC665" s="5"/>
      <c r="ED665" s="5"/>
      <c r="EE665" s="5"/>
      <c r="EF665" s="5"/>
      <c r="EG665" s="5"/>
      <c r="EH665" s="5"/>
      <c r="EI665" s="5"/>
      <c r="EJ665" s="5"/>
      <c r="EK665" s="5"/>
      <c r="EL665" s="5"/>
      <c r="EM665" s="5"/>
      <c r="EN665" s="5"/>
      <c r="EO665" s="5"/>
      <c r="EP665" s="5"/>
      <c r="EQ665" s="5"/>
      <c r="ER665" s="5"/>
      <c r="ES665" s="5"/>
      <c r="ET665" s="5"/>
      <c r="EU665" s="5"/>
      <c r="EV665" s="5"/>
      <c r="EY665" s="5"/>
      <c r="EZ665" s="5"/>
      <c r="FA665" s="5"/>
      <c r="FB665" s="5"/>
      <c r="FC665" s="5"/>
      <c r="FD665" s="5"/>
      <c r="FE665" s="5"/>
      <c r="FF665" s="5"/>
      <c r="FG665" s="5"/>
      <c r="FH665" s="5"/>
      <c r="FI665" s="5"/>
      <c r="FJ665" s="5"/>
      <c r="FK665" s="5"/>
      <c r="FL665" s="5"/>
      <c r="FM665" s="5"/>
      <c r="FN665" s="5"/>
      <c r="FO665" s="5"/>
      <c r="FP665" s="5"/>
      <c r="FQ665" s="5"/>
      <c r="FR665" s="5"/>
      <c r="FS665" s="5"/>
      <c r="FT665" s="5"/>
      <c r="FU665" s="5"/>
      <c r="FV665" s="5"/>
      <c r="FW665" s="5"/>
      <c r="FX665" s="5"/>
      <c r="FY665" s="5"/>
      <c r="FZ665" s="5"/>
      <c r="GA665" s="5"/>
      <c r="GB665" s="5"/>
      <c r="GC665" s="5"/>
      <c r="GD665" s="5"/>
      <c r="GE665" s="5"/>
      <c r="GF665" s="5"/>
      <c r="GG665" s="5"/>
      <c r="GH665" s="5"/>
      <c r="GI665" s="5"/>
      <c r="GJ665" s="5"/>
      <c r="GK665" s="5"/>
      <c r="GL665" s="5"/>
      <c r="GM665" s="5"/>
      <c r="GN665" s="5"/>
      <c r="GO665" s="5"/>
      <c r="GP665" s="5"/>
      <c r="GQ665" s="5"/>
      <c r="GR665" s="5"/>
      <c r="GS665" s="5"/>
      <c r="GT665" s="5"/>
      <c r="GU665" s="5"/>
      <c r="GX665" s="5">
        <v>0</v>
      </c>
      <c r="GY665" s="5">
        <v>0</v>
      </c>
      <c r="GZ665" s="5" t="s">
        <v>367</v>
      </c>
      <c r="HA665" s="5">
        <v>0</v>
      </c>
      <c r="HB665" s="5"/>
      <c r="HC665" s="5"/>
      <c r="HD665" s="5" t="b">
        <v>0</v>
      </c>
      <c r="HE665" s="5">
        <v>0</v>
      </c>
      <c r="HF665" s="5" t="b">
        <v>1</v>
      </c>
      <c r="HG665" s="5">
        <v>0</v>
      </c>
      <c r="HH665" s="5">
        <v>0</v>
      </c>
      <c r="HI665" s="5">
        <v>0</v>
      </c>
      <c r="HJ665" s="5">
        <v>0</v>
      </c>
      <c r="HK665" s="5" t="b">
        <v>0</v>
      </c>
      <c r="HL665" s="5">
        <v>0</v>
      </c>
      <c r="HM665" s="5">
        <v>0</v>
      </c>
      <c r="HN665" s="5" t="s">
        <v>367</v>
      </c>
      <c r="HO665" s="5" t="s">
        <v>360</v>
      </c>
      <c r="HP665" s="5">
        <v>0</v>
      </c>
      <c r="HQ665" s="5">
        <v>0</v>
      </c>
      <c r="HR665" s="5">
        <v>0</v>
      </c>
      <c r="HS665" s="5">
        <v>0</v>
      </c>
      <c r="HT665" s="5" t="b">
        <v>0</v>
      </c>
    </row>
    <row r="666" spans="1:228">
      <c r="A666"/>
      <c r="B666" s="1">
        <f>10000000+INDEX(编号表!$B$1:$B$112,MATCH(D666,编号表!$A$1:$A$112,0))*10000+I666</f>
        <v>10320003</v>
      </c>
      <c r="C666" s="5" t="s">
        <v>538</v>
      </c>
      <c r="D666" s="5" t="s">
        <v>538</v>
      </c>
      <c r="E666" s="5" t="s">
        <v>360</v>
      </c>
      <c r="F666" s="5" t="s">
        <v>349</v>
      </c>
      <c r="G666" s="5" t="b">
        <v>0</v>
      </c>
      <c r="H666" s="5" t="b">
        <v>1</v>
      </c>
      <c r="I666" s="5">
        <v>3</v>
      </c>
      <c r="J666" s="5">
        <v>103200</v>
      </c>
      <c r="K666" s="5" t="s">
        <v>350</v>
      </c>
      <c r="L666" s="5">
        <v>0</v>
      </c>
      <c r="M666" s="5">
        <v>0</v>
      </c>
      <c r="N666" s="5" t="s">
        <v>535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/>
      <c r="V666" s="5">
        <v>0</v>
      </c>
      <c r="W666" s="5">
        <v>0</v>
      </c>
      <c r="X666" s="5" t="s">
        <v>352</v>
      </c>
      <c r="Y666" s="5" t="s">
        <v>365</v>
      </c>
      <c r="Z666" s="5" t="s">
        <v>354</v>
      </c>
      <c r="AA666" s="5">
        <v>0</v>
      </c>
      <c r="AB666" s="5">
        <v>0</v>
      </c>
      <c r="AC666" s="5" t="b">
        <v>0</v>
      </c>
      <c r="AD666" s="5" t="s">
        <v>355</v>
      </c>
      <c r="AE666" s="5">
        <v>160</v>
      </c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 t="s">
        <v>356</v>
      </c>
      <c r="AZ666" s="5">
        <v>10800</v>
      </c>
      <c r="BA666" s="5" t="s">
        <v>357</v>
      </c>
      <c r="BB666" s="5" t="s">
        <v>354</v>
      </c>
      <c r="BC666" s="5">
        <v>10000</v>
      </c>
      <c r="BD666" s="5">
        <v>0</v>
      </c>
      <c r="BE666" s="5" t="s">
        <v>358</v>
      </c>
      <c r="BF666" s="5">
        <v>0</v>
      </c>
      <c r="BG666" s="5" t="s">
        <v>356</v>
      </c>
      <c r="BH666" s="5">
        <v>800</v>
      </c>
      <c r="BI666" s="5">
        <v>0</v>
      </c>
      <c r="BJ666" s="5" t="b">
        <v>1</v>
      </c>
      <c r="BK666" s="5">
        <v>0</v>
      </c>
      <c r="BL666" s="5">
        <v>10000</v>
      </c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  <c r="EC666" s="5"/>
      <c r="ED666" s="5"/>
      <c r="EE666" s="5"/>
      <c r="EF666" s="5"/>
      <c r="EG666" s="5"/>
      <c r="EH666" s="5"/>
      <c r="EI666" s="5"/>
      <c r="EJ666" s="5"/>
      <c r="EK666" s="5"/>
      <c r="EL666" s="5"/>
      <c r="EM666" s="5"/>
      <c r="EN666" s="5"/>
      <c r="EO666" s="5"/>
      <c r="EP666" s="5"/>
      <c r="EQ666" s="5"/>
      <c r="ER666" s="5"/>
      <c r="ES666" s="5"/>
      <c r="ET666" s="5"/>
      <c r="EU666" s="5"/>
      <c r="EV666" s="5"/>
      <c r="EY666" s="5"/>
      <c r="EZ666" s="5"/>
      <c r="FA666" s="5"/>
      <c r="FB666" s="5"/>
      <c r="FC666" s="5"/>
      <c r="FD666" s="5"/>
      <c r="FE666" s="5"/>
      <c r="FF666" s="5"/>
      <c r="FG666" s="5"/>
      <c r="FH666" s="5"/>
      <c r="FI666" s="5"/>
      <c r="FJ666" s="5"/>
      <c r="FK666" s="5"/>
      <c r="FL666" s="5"/>
      <c r="FM666" s="5"/>
      <c r="FN666" s="5"/>
      <c r="FO666" s="5"/>
      <c r="FP666" s="5"/>
      <c r="FQ666" s="5"/>
      <c r="FR666" s="5"/>
      <c r="FS666" s="5"/>
      <c r="FT666" s="5"/>
      <c r="FU666" s="5"/>
      <c r="FV666" s="5"/>
      <c r="FW666" s="5"/>
      <c r="FX666" s="5"/>
      <c r="FY666" s="5"/>
      <c r="FZ666" s="5"/>
      <c r="GA666" s="5"/>
      <c r="GB666" s="5"/>
      <c r="GC666" s="5"/>
      <c r="GD666" s="5"/>
      <c r="GE666" s="5"/>
      <c r="GF666" s="5"/>
      <c r="GG666" s="5"/>
      <c r="GH666" s="5"/>
      <c r="GI666" s="5"/>
      <c r="GJ666" s="5"/>
      <c r="GK666" s="5"/>
      <c r="GL666" s="5"/>
      <c r="GM666" s="5"/>
      <c r="GN666" s="5"/>
      <c r="GO666" s="5"/>
      <c r="GP666" s="5"/>
      <c r="GQ666" s="5"/>
      <c r="GR666" s="5"/>
      <c r="GS666" s="5"/>
      <c r="GT666" s="5"/>
      <c r="GU666" s="5"/>
      <c r="GX666" s="5">
        <v>0</v>
      </c>
      <c r="GY666" s="5">
        <v>0</v>
      </c>
      <c r="GZ666" s="5" t="s">
        <v>367</v>
      </c>
      <c r="HA666" s="5">
        <v>0</v>
      </c>
      <c r="HB666" s="5"/>
      <c r="HC666" s="5"/>
      <c r="HD666" s="5" t="b">
        <v>0</v>
      </c>
      <c r="HE666" s="5">
        <v>0</v>
      </c>
      <c r="HF666" s="5" t="b">
        <v>1</v>
      </c>
      <c r="HG666" s="5">
        <v>0</v>
      </c>
      <c r="HH666" s="5">
        <v>0</v>
      </c>
      <c r="HI666" s="5">
        <v>0</v>
      </c>
      <c r="HJ666" s="5">
        <v>0</v>
      </c>
      <c r="HK666" s="5" t="b">
        <v>0</v>
      </c>
      <c r="HL666" s="5">
        <v>0</v>
      </c>
      <c r="HM666" s="5">
        <v>0</v>
      </c>
      <c r="HN666" s="5" t="s">
        <v>367</v>
      </c>
      <c r="HO666" s="5" t="s">
        <v>360</v>
      </c>
      <c r="HP666" s="5">
        <v>0</v>
      </c>
      <c r="HQ666" s="5">
        <v>0</v>
      </c>
      <c r="HR666" s="5">
        <v>0</v>
      </c>
      <c r="HS666" s="5">
        <v>0</v>
      </c>
      <c r="HT666" s="5" t="b">
        <v>0</v>
      </c>
    </row>
    <row r="667" spans="1:228">
      <c r="A667"/>
      <c r="B667" s="1">
        <f>10000000+INDEX(编号表!$B$1:$B$112,MATCH(D667,编号表!$A$1:$A$112,0))*10000+I667</f>
        <v>10320004</v>
      </c>
      <c r="C667" s="5" t="s">
        <v>538</v>
      </c>
      <c r="D667" s="5" t="s">
        <v>538</v>
      </c>
      <c r="E667" s="5" t="s">
        <v>360</v>
      </c>
      <c r="F667" s="5" t="s">
        <v>349</v>
      </c>
      <c r="G667" s="5" t="b">
        <v>0</v>
      </c>
      <c r="H667" s="5" t="b">
        <v>1</v>
      </c>
      <c r="I667" s="5">
        <v>4</v>
      </c>
      <c r="J667" s="5">
        <v>103200</v>
      </c>
      <c r="K667" s="5" t="s">
        <v>350</v>
      </c>
      <c r="L667" s="5">
        <v>0</v>
      </c>
      <c r="M667" s="5">
        <v>0</v>
      </c>
      <c r="N667" s="5" t="s">
        <v>535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/>
      <c r="V667" s="5">
        <v>0</v>
      </c>
      <c r="W667" s="5">
        <v>0</v>
      </c>
      <c r="X667" s="5" t="s">
        <v>352</v>
      </c>
      <c r="Y667" s="5" t="s">
        <v>365</v>
      </c>
      <c r="Z667" s="5" t="s">
        <v>354</v>
      </c>
      <c r="AA667" s="5">
        <v>0</v>
      </c>
      <c r="AB667" s="5">
        <v>0</v>
      </c>
      <c r="AC667" s="5" t="b">
        <v>0</v>
      </c>
      <c r="AD667" s="5" t="s">
        <v>355</v>
      </c>
      <c r="AE667" s="5">
        <v>160</v>
      </c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 t="s">
        <v>356</v>
      </c>
      <c r="AZ667" s="5">
        <v>11200</v>
      </c>
      <c r="BA667" s="5" t="s">
        <v>357</v>
      </c>
      <c r="BB667" s="5" t="s">
        <v>354</v>
      </c>
      <c r="BC667" s="5">
        <v>10000</v>
      </c>
      <c r="BD667" s="5">
        <v>0</v>
      </c>
      <c r="BE667" s="5" t="s">
        <v>358</v>
      </c>
      <c r="BF667" s="5">
        <v>0</v>
      </c>
      <c r="BG667" s="5" t="s">
        <v>356</v>
      </c>
      <c r="BH667" s="5">
        <v>800</v>
      </c>
      <c r="BI667" s="5">
        <v>1</v>
      </c>
      <c r="BJ667" s="5" t="b">
        <v>1</v>
      </c>
      <c r="BK667" s="5">
        <v>0</v>
      </c>
      <c r="BL667" s="5">
        <v>10000</v>
      </c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  <c r="EC667" s="5"/>
      <c r="ED667" s="5"/>
      <c r="EE667" s="5"/>
      <c r="EF667" s="5"/>
      <c r="EG667" s="5"/>
      <c r="EH667" s="5"/>
      <c r="EI667" s="5"/>
      <c r="EJ667" s="5"/>
      <c r="EK667" s="5"/>
      <c r="EL667" s="5"/>
      <c r="EM667" s="5"/>
      <c r="EN667" s="5"/>
      <c r="EO667" s="5"/>
      <c r="EP667" s="5"/>
      <c r="EQ667" s="5"/>
      <c r="ER667" s="5"/>
      <c r="ES667" s="5"/>
      <c r="ET667" s="5"/>
      <c r="EU667" s="5"/>
      <c r="EV667" s="5"/>
      <c r="EY667" s="5"/>
      <c r="EZ667" s="5"/>
      <c r="FA667" s="5"/>
      <c r="FB667" s="5"/>
      <c r="FC667" s="5"/>
      <c r="FD667" s="5"/>
      <c r="FE667" s="5"/>
      <c r="FF667" s="5"/>
      <c r="FG667" s="5"/>
      <c r="FH667" s="5"/>
      <c r="FI667" s="5"/>
      <c r="FJ667" s="5"/>
      <c r="FK667" s="5"/>
      <c r="FL667" s="5"/>
      <c r="FM667" s="5"/>
      <c r="FN667" s="5"/>
      <c r="FO667" s="5"/>
      <c r="FP667" s="5"/>
      <c r="FQ667" s="5"/>
      <c r="FR667" s="5"/>
      <c r="FS667" s="5"/>
      <c r="FT667" s="5"/>
      <c r="FU667" s="5"/>
      <c r="FV667" s="5"/>
      <c r="FW667" s="5"/>
      <c r="FX667" s="5"/>
      <c r="FY667" s="5"/>
      <c r="FZ667" s="5"/>
      <c r="GA667" s="5"/>
      <c r="GB667" s="5"/>
      <c r="GC667" s="5"/>
      <c r="GD667" s="5"/>
      <c r="GE667" s="5"/>
      <c r="GF667" s="5"/>
      <c r="GG667" s="5"/>
      <c r="GH667" s="5"/>
      <c r="GI667" s="5"/>
      <c r="GJ667" s="5"/>
      <c r="GK667" s="5"/>
      <c r="GL667" s="5"/>
      <c r="GM667" s="5"/>
      <c r="GN667" s="5"/>
      <c r="GO667" s="5"/>
      <c r="GP667" s="5"/>
      <c r="GQ667" s="5"/>
      <c r="GR667" s="5"/>
      <c r="GS667" s="5"/>
      <c r="GT667" s="5"/>
      <c r="GU667" s="5"/>
      <c r="GX667" s="5">
        <v>0</v>
      </c>
      <c r="GY667" s="5">
        <v>0</v>
      </c>
      <c r="GZ667" s="5" t="s">
        <v>367</v>
      </c>
      <c r="HA667" s="5">
        <v>0</v>
      </c>
      <c r="HB667" s="5"/>
      <c r="HC667" s="5"/>
      <c r="HD667" s="5" t="b">
        <v>0</v>
      </c>
      <c r="HE667" s="5">
        <v>0</v>
      </c>
      <c r="HF667" s="5" t="b">
        <v>1</v>
      </c>
      <c r="HG667" s="5">
        <v>0</v>
      </c>
      <c r="HH667" s="5">
        <v>0</v>
      </c>
      <c r="HI667" s="5">
        <v>0</v>
      </c>
      <c r="HJ667" s="5">
        <v>0</v>
      </c>
      <c r="HK667" s="5" t="b">
        <v>0</v>
      </c>
      <c r="HL667" s="5">
        <v>0</v>
      </c>
      <c r="HM667" s="5">
        <v>0</v>
      </c>
      <c r="HN667" s="5" t="s">
        <v>367</v>
      </c>
      <c r="HO667" s="5" t="s">
        <v>360</v>
      </c>
      <c r="HP667" s="5">
        <v>0</v>
      </c>
      <c r="HQ667" s="5">
        <v>0</v>
      </c>
      <c r="HR667" s="5">
        <v>0</v>
      </c>
      <c r="HS667" s="5">
        <v>0</v>
      </c>
      <c r="HT667" s="5" t="b">
        <v>0</v>
      </c>
    </row>
    <row r="668" spans="1:228">
      <c r="A668"/>
      <c r="B668" s="1">
        <f>10000000+INDEX(编号表!$B$1:$B$112,MATCH(D668,编号表!$A$1:$A$112,0))*10000+I668</f>
        <v>10320005</v>
      </c>
      <c r="C668" s="5" t="s">
        <v>538</v>
      </c>
      <c r="D668" s="5" t="s">
        <v>538</v>
      </c>
      <c r="E668" s="5" t="s">
        <v>360</v>
      </c>
      <c r="F668" s="5" t="s">
        <v>349</v>
      </c>
      <c r="G668" s="5" t="b">
        <v>0</v>
      </c>
      <c r="H668" s="5" t="b">
        <v>1</v>
      </c>
      <c r="I668" s="5">
        <v>5</v>
      </c>
      <c r="J668" s="5">
        <v>103200</v>
      </c>
      <c r="K668" s="5" t="s">
        <v>350</v>
      </c>
      <c r="L668" s="5">
        <v>0</v>
      </c>
      <c r="M668" s="5">
        <v>0</v>
      </c>
      <c r="N668" s="5" t="s">
        <v>535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/>
      <c r="V668" s="5">
        <v>0</v>
      </c>
      <c r="W668" s="5">
        <v>0</v>
      </c>
      <c r="X668" s="5" t="s">
        <v>352</v>
      </c>
      <c r="Y668" s="5" t="s">
        <v>365</v>
      </c>
      <c r="Z668" s="5" t="s">
        <v>354</v>
      </c>
      <c r="AA668" s="5">
        <v>0</v>
      </c>
      <c r="AB668" s="5">
        <v>0</v>
      </c>
      <c r="AC668" s="5" t="b">
        <v>0</v>
      </c>
      <c r="AD668" s="5" t="s">
        <v>355</v>
      </c>
      <c r="AE668" s="5">
        <v>160</v>
      </c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 t="s">
        <v>356</v>
      </c>
      <c r="AZ668" s="5">
        <v>11300</v>
      </c>
      <c r="BA668" s="5" t="s">
        <v>357</v>
      </c>
      <c r="BB668" s="5" t="s">
        <v>354</v>
      </c>
      <c r="BC668" s="5">
        <v>10000</v>
      </c>
      <c r="BD668" s="5">
        <v>0</v>
      </c>
      <c r="BE668" s="5" t="s">
        <v>358</v>
      </c>
      <c r="BF668" s="5">
        <v>0</v>
      </c>
      <c r="BG668" s="5" t="s">
        <v>356</v>
      </c>
      <c r="BH668" s="5">
        <v>800</v>
      </c>
      <c r="BI668" s="5">
        <v>1</v>
      </c>
      <c r="BJ668" s="5" t="b">
        <v>1</v>
      </c>
      <c r="BK668" s="5">
        <v>0</v>
      </c>
      <c r="BL668" s="5">
        <v>10000</v>
      </c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  <c r="EC668" s="5"/>
      <c r="ED668" s="5"/>
      <c r="EE668" s="5"/>
      <c r="EF668" s="5"/>
      <c r="EG668" s="5"/>
      <c r="EH668" s="5"/>
      <c r="EI668" s="5"/>
      <c r="EJ668" s="5"/>
      <c r="EK668" s="5"/>
      <c r="EL668" s="5"/>
      <c r="EM668" s="5"/>
      <c r="EN668" s="5"/>
      <c r="EO668" s="5"/>
      <c r="EP668" s="5"/>
      <c r="EQ668" s="5"/>
      <c r="ER668" s="5"/>
      <c r="ES668" s="5"/>
      <c r="ET668" s="5"/>
      <c r="EU668" s="5"/>
      <c r="EV668" s="5"/>
      <c r="EY668" s="5"/>
      <c r="EZ668" s="5"/>
      <c r="FA668" s="5"/>
      <c r="FB668" s="5"/>
      <c r="FC668" s="5"/>
      <c r="FD668" s="5"/>
      <c r="FE668" s="5"/>
      <c r="FF668" s="5"/>
      <c r="FG668" s="5"/>
      <c r="FH668" s="5"/>
      <c r="FI668" s="5"/>
      <c r="FJ668" s="5"/>
      <c r="FK668" s="5"/>
      <c r="FL668" s="5"/>
      <c r="FM668" s="5"/>
      <c r="FN668" s="5"/>
      <c r="FO668" s="5"/>
      <c r="FP668" s="5"/>
      <c r="FQ668" s="5"/>
      <c r="FR668" s="5"/>
      <c r="FS668" s="5"/>
      <c r="FT668" s="5"/>
      <c r="FU668" s="5"/>
      <c r="FV668" s="5"/>
      <c r="FW668" s="5"/>
      <c r="FX668" s="5"/>
      <c r="FY668" s="5"/>
      <c r="FZ668" s="5"/>
      <c r="GA668" s="5"/>
      <c r="GB668" s="5"/>
      <c r="GC668" s="5"/>
      <c r="GD668" s="5"/>
      <c r="GE668" s="5"/>
      <c r="GF668" s="5"/>
      <c r="GG668" s="5"/>
      <c r="GH668" s="5"/>
      <c r="GI668" s="5"/>
      <c r="GJ668" s="5"/>
      <c r="GK668" s="5"/>
      <c r="GL668" s="5"/>
      <c r="GM668" s="5"/>
      <c r="GN668" s="5"/>
      <c r="GO668" s="5"/>
      <c r="GP668" s="5"/>
      <c r="GQ668" s="5"/>
      <c r="GR668" s="5"/>
      <c r="GS668" s="5"/>
      <c r="GT668" s="5"/>
      <c r="GU668" s="5"/>
      <c r="GX668" s="5">
        <v>0</v>
      </c>
      <c r="GY668" s="5">
        <v>0</v>
      </c>
      <c r="GZ668" s="5" t="s">
        <v>367</v>
      </c>
      <c r="HA668" s="5">
        <v>0</v>
      </c>
      <c r="HB668" s="5"/>
      <c r="HC668" s="5"/>
      <c r="HD668" s="5" t="b">
        <v>0</v>
      </c>
      <c r="HE668" s="5">
        <v>0</v>
      </c>
      <c r="HF668" s="5" t="b">
        <v>1</v>
      </c>
      <c r="HG668" s="5">
        <v>0</v>
      </c>
      <c r="HH668" s="5">
        <v>0</v>
      </c>
      <c r="HI668" s="5">
        <v>0</v>
      </c>
      <c r="HJ668" s="5">
        <v>0</v>
      </c>
      <c r="HK668" s="5" t="b">
        <v>0</v>
      </c>
      <c r="HL668" s="5">
        <v>0</v>
      </c>
      <c r="HM668" s="5">
        <v>0</v>
      </c>
      <c r="HN668" s="5" t="s">
        <v>367</v>
      </c>
      <c r="HO668" s="5" t="s">
        <v>360</v>
      </c>
      <c r="HP668" s="5">
        <v>0</v>
      </c>
      <c r="HQ668" s="5">
        <v>0</v>
      </c>
      <c r="HR668" s="5">
        <v>0</v>
      </c>
      <c r="HS668" s="5">
        <v>0</v>
      </c>
      <c r="HT668" s="5" t="b">
        <v>0</v>
      </c>
    </row>
    <row r="669" spans="1:228">
      <c r="A669"/>
      <c r="B669" s="1">
        <f>10000000+INDEX(编号表!$B$1:$B$112,MATCH(D669,编号表!$A$1:$A$112,0))*10000+I669</f>
        <v>10320006</v>
      </c>
      <c r="C669" s="5" t="s">
        <v>538</v>
      </c>
      <c r="D669" s="5" t="s">
        <v>538</v>
      </c>
      <c r="E669" s="5" t="s">
        <v>360</v>
      </c>
      <c r="F669" s="5" t="s">
        <v>349</v>
      </c>
      <c r="G669" s="5" t="b">
        <v>0</v>
      </c>
      <c r="H669" s="5" t="b">
        <v>1</v>
      </c>
      <c r="I669" s="5">
        <v>6</v>
      </c>
      <c r="J669" s="5">
        <v>103200</v>
      </c>
      <c r="K669" s="5" t="s">
        <v>350</v>
      </c>
      <c r="L669" s="5">
        <v>0</v>
      </c>
      <c r="M669" s="5">
        <v>0</v>
      </c>
      <c r="N669" s="5" t="s">
        <v>535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/>
      <c r="V669" s="5">
        <v>0</v>
      </c>
      <c r="W669" s="5">
        <v>0</v>
      </c>
      <c r="X669" s="5" t="s">
        <v>352</v>
      </c>
      <c r="Y669" s="5" t="s">
        <v>365</v>
      </c>
      <c r="Z669" s="5" t="s">
        <v>354</v>
      </c>
      <c r="AA669" s="5">
        <v>0</v>
      </c>
      <c r="AB669" s="5">
        <v>0</v>
      </c>
      <c r="AC669" s="5" t="b">
        <v>0</v>
      </c>
      <c r="AD669" s="5" t="s">
        <v>355</v>
      </c>
      <c r="AE669" s="5">
        <v>160</v>
      </c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 t="s">
        <v>356</v>
      </c>
      <c r="AZ669" s="5">
        <v>11600</v>
      </c>
      <c r="BA669" s="5" t="s">
        <v>357</v>
      </c>
      <c r="BB669" s="5" t="s">
        <v>354</v>
      </c>
      <c r="BC669" s="5">
        <v>10000</v>
      </c>
      <c r="BD669" s="5">
        <v>0</v>
      </c>
      <c r="BE669" s="5" t="s">
        <v>358</v>
      </c>
      <c r="BF669" s="5">
        <v>0</v>
      </c>
      <c r="BG669" s="5" t="s">
        <v>356</v>
      </c>
      <c r="BH669" s="5">
        <v>800</v>
      </c>
      <c r="BI669" s="5">
        <v>1</v>
      </c>
      <c r="BJ669" s="5" t="b">
        <v>1</v>
      </c>
      <c r="BK669" s="5">
        <v>0</v>
      </c>
      <c r="BL669" s="5">
        <v>10000</v>
      </c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  <c r="EC669" s="5"/>
      <c r="ED669" s="5"/>
      <c r="EE669" s="5"/>
      <c r="EF669" s="5"/>
      <c r="EG669" s="5"/>
      <c r="EH669" s="5"/>
      <c r="EI669" s="5"/>
      <c r="EJ669" s="5"/>
      <c r="EK669" s="5"/>
      <c r="EL669" s="5"/>
      <c r="EM669" s="5"/>
      <c r="EN669" s="5"/>
      <c r="EO669" s="5"/>
      <c r="EP669" s="5"/>
      <c r="EQ669" s="5"/>
      <c r="ER669" s="5"/>
      <c r="ES669" s="5"/>
      <c r="ET669" s="5"/>
      <c r="EU669" s="5"/>
      <c r="EV669" s="5"/>
      <c r="EY669" s="5"/>
      <c r="EZ669" s="5"/>
      <c r="FA669" s="5"/>
      <c r="FB669" s="5"/>
      <c r="FC669" s="5"/>
      <c r="FD669" s="5"/>
      <c r="FE669" s="5"/>
      <c r="FF669" s="5"/>
      <c r="FG669" s="5"/>
      <c r="FH669" s="5"/>
      <c r="FI669" s="5"/>
      <c r="FJ669" s="5"/>
      <c r="FK669" s="5"/>
      <c r="FL669" s="5"/>
      <c r="FM669" s="5"/>
      <c r="FN669" s="5"/>
      <c r="FO669" s="5"/>
      <c r="FP669" s="5"/>
      <c r="FQ669" s="5"/>
      <c r="FR669" s="5"/>
      <c r="FS669" s="5"/>
      <c r="FT669" s="5"/>
      <c r="FU669" s="5"/>
      <c r="FV669" s="5"/>
      <c r="FW669" s="5"/>
      <c r="FX669" s="5"/>
      <c r="FY669" s="5"/>
      <c r="FZ669" s="5"/>
      <c r="GA669" s="5"/>
      <c r="GB669" s="5"/>
      <c r="GC669" s="5"/>
      <c r="GD669" s="5"/>
      <c r="GE669" s="5"/>
      <c r="GF669" s="5"/>
      <c r="GG669" s="5"/>
      <c r="GH669" s="5"/>
      <c r="GI669" s="5"/>
      <c r="GJ669" s="5"/>
      <c r="GK669" s="5"/>
      <c r="GL669" s="5"/>
      <c r="GM669" s="5"/>
      <c r="GN669" s="5"/>
      <c r="GO669" s="5"/>
      <c r="GP669" s="5"/>
      <c r="GQ669" s="5"/>
      <c r="GR669" s="5"/>
      <c r="GS669" s="5"/>
      <c r="GT669" s="5"/>
      <c r="GU669" s="5"/>
      <c r="GX669" s="5">
        <v>0</v>
      </c>
      <c r="GY669" s="5">
        <v>0</v>
      </c>
      <c r="GZ669" s="5" t="s">
        <v>367</v>
      </c>
      <c r="HA669" s="5">
        <v>0</v>
      </c>
      <c r="HB669" s="5"/>
      <c r="HC669" s="5"/>
      <c r="HD669" s="5" t="b">
        <v>0</v>
      </c>
      <c r="HE669" s="5">
        <v>0</v>
      </c>
      <c r="HF669" s="5" t="b">
        <v>1</v>
      </c>
      <c r="HG669" s="5">
        <v>0</v>
      </c>
      <c r="HH669" s="5">
        <v>0</v>
      </c>
      <c r="HI669" s="5">
        <v>0</v>
      </c>
      <c r="HJ669" s="5">
        <v>0</v>
      </c>
      <c r="HK669" s="5" t="b">
        <v>0</v>
      </c>
      <c r="HL669" s="5">
        <v>0</v>
      </c>
      <c r="HM669" s="5">
        <v>0</v>
      </c>
      <c r="HN669" s="5" t="s">
        <v>367</v>
      </c>
      <c r="HO669" s="5" t="s">
        <v>360</v>
      </c>
      <c r="HP669" s="5">
        <v>0</v>
      </c>
      <c r="HQ669" s="5">
        <v>0</v>
      </c>
      <c r="HR669" s="5">
        <v>0</v>
      </c>
      <c r="HS669" s="5">
        <v>0</v>
      </c>
      <c r="HT669" s="5" t="b">
        <v>0</v>
      </c>
    </row>
    <row r="670" spans="1:228">
      <c r="A670"/>
      <c r="B670" s="1">
        <f>10000000+INDEX(编号表!$B$1:$B$112,MATCH(D670,编号表!$A$1:$A$112,0))*10000+I670</f>
        <v>10320007</v>
      </c>
      <c r="C670" s="5" t="s">
        <v>538</v>
      </c>
      <c r="D670" s="5" t="s">
        <v>538</v>
      </c>
      <c r="E670" s="5" t="s">
        <v>360</v>
      </c>
      <c r="F670" s="5" t="s">
        <v>349</v>
      </c>
      <c r="G670" s="5" t="b">
        <v>0</v>
      </c>
      <c r="H670" s="5" t="b">
        <v>1</v>
      </c>
      <c r="I670" s="5">
        <v>7</v>
      </c>
      <c r="J670" s="5">
        <v>103200</v>
      </c>
      <c r="K670" s="5" t="s">
        <v>350</v>
      </c>
      <c r="L670" s="5">
        <v>0</v>
      </c>
      <c r="M670" s="5">
        <v>0</v>
      </c>
      <c r="N670" s="5" t="s">
        <v>535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/>
      <c r="V670" s="5">
        <v>0</v>
      </c>
      <c r="W670" s="5">
        <v>0</v>
      </c>
      <c r="X670" s="5" t="s">
        <v>352</v>
      </c>
      <c r="Y670" s="5" t="s">
        <v>365</v>
      </c>
      <c r="Z670" s="5" t="s">
        <v>354</v>
      </c>
      <c r="AA670" s="5">
        <v>0</v>
      </c>
      <c r="AB670" s="5">
        <v>0</v>
      </c>
      <c r="AC670" s="5" t="b">
        <v>0</v>
      </c>
      <c r="AD670" s="5" t="s">
        <v>355</v>
      </c>
      <c r="AE670" s="5">
        <v>160</v>
      </c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 t="s">
        <v>356</v>
      </c>
      <c r="AZ670" s="5">
        <v>11700</v>
      </c>
      <c r="BA670" s="5" t="s">
        <v>357</v>
      </c>
      <c r="BB670" s="5" t="s">
        <v>354</v>
      </c>
      <c r="BC670" s="5">
        <v>10000</v>
      </c>
      <c r="BD670" s="5">
        <v>0</v>
      </c>
      <c r="BE670" s="5" t="s">
        <v>358</v>
      </c>
      <c r="BF670" s="5">
        <v>0</v>
      </c>
      <c r="BG670" s="5" t="s">
        <v>356</v>
      </c>
      <c r="BH670" s="5">
        <v>800</v>
      </c>
      <c r="BI670" s="5">
        <v>1</v>
      </c>
      <c r="BJ670" s="5" t="b">
        <v>1</v>
      </c>
      <c r="BK670" s="5">
        <v>0</v>
      </c>
      <c r="BL670" s="5">
        <v>10000</v>
      </c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  <c r="EC670" s="5"/>
      <c r="ED670" s="5"/>
      <c r="EE670" s="5"/>
      <c r="EF670" s="5"/>
      <c r="EG670" s="5"/>
      <c r="EH670" s="5"/>
      <c r="EI670" s="5"/>
      <c r="EJ670" s="5"/>
      <c r="EK670" s="5"/>
      <c r="EL670" s="5"/>
      <c r="EM670" s="5"/>
      <c r="EN670" s="5"/>
      <c r="EO670" s="5"/>
      <c r="EP670" s="5"/>
      <c r="EQ670" s="5"/>
      <c r="ER670" s="5"/>
      <c r="ES670" s="5"/>
      <c r="ET670" s="5"/>
      <c r="EU670" s="5"/>
      <c r="EV670" s="5"/>
      <c r="EY670" s="5"/>
      <c r="EZ670" s="5"/>
      <c r="FA670" s="5"/>
      <c r="FB670" s="5"/>
      <c r="FC670" s="5"/>
      <c r="FD670" s="5"/>
      <c r="FE670" s="5"/>
      <c r="FF670" s="5"/>
      <c r="FG670" s="5"/>
      <c r="FH670" s="5"/>
      <c r="FI670" s="5"/>
      <c r="FJ670" s="5"/>
      <c r="FK670" s="5"/>
      <c r="FL670" s="5"/>
      <c r="FM670" s="5"/>
      <c r="FN670" s="5"/>
      <c r="FO670" s="5"/>
      <c r="FP670" s="5"/>
      <c r="FQ670" s="5"/>
      <c r="FR670" s="5"/>
      <c r="FS670" s="5"/>
      <c r="FT670" s="5"/>
      <c r="FU670" s="5"/>
      <c r="FV670" s="5"/>
      <c r="FW670" s="5"/>
      <c r="FX670" s="5"/>
      <c r="FY670" s="5"/>
      <c r="FZ670" s="5"/>
      <c r="GA670" s="5"/>
      <c r="GB670" s="5"/>
      <c r="GC670" s="5"/>
      <c r="GD670" s="5"/>
      <c r="GE670" s="5"/>
      <c r="GF670" s="5"/>
      <c r="GG670" s="5"/>
      <c r="GH670" s="5"/>
      <c r="GI670" s="5"/>
      <c r="GJ670" s="5"/>
      <c r="GK670" s="5"/>
      <c r="GL670" s="5"/>
      <c r="GM670" s="5"/>
      <c r="GN670" s="5"/>
      <c r="GO670" s="5"/>
      <c r="GP670" s="5"/>
      <c r="GQ670" s="5"/>
      <c r="GR670" s="5"/>
      <c r="GS670" s="5"/>
      <c r="GT670" s="5"/>
      <c r="GU670" s="5"/>
      <c r="GX670" s="5">
        <v>0</v>
      </c>
      <c r="GY670" s="5">
        <v>0</v>
      </c>
      <c r="GZ670" s="5" t="s">
        <v>367</v>
      </c>
      <c r="HA670" s="5">
        <v>0</v>
      </c>
      <c r="HB670" s="5"/>
      <c r="HC670" s="5"/>
      <c r="HD670" s="5" t="b">
        <v>0</v>
      </c>
      <c r="HE670" s="5">
        <v>0</v>
      </c>
      <c r="HF670" s="5" t="b">
        <v>1</v>
      </c>
      <c r="HG670" s="5">
        <v>0</v>
      </c>
      <c r="HH670" s="5">
        <v>0</v>
      </c>
      <c r="HI670" s="5">
        <v>0</v>
      </c>
      <c r="HJ670" s="5">
        <v>0</v>
      </c>
      <c r="HK670" s="5" t="b">
        <v>0</v>
      </c>
      <c r="HL670" s="5">
        <v>0</v>
      </c>
      <c r="HM670" s="5">
        <v>0</v>
      </c>
      <c r="HN670" s="5" t="s">
        <v>367</v>
      </c>
      <c r="HO670" s="5" t="s">
        <v>360</v>
      </c>
      <c r="HP670" s="5">
        <v>0</v>
      </c>
      <c r="HQ670" s="5">
        <v>0</v>
      </c>
      <c r="HR670" s="5">
        <v>0</v>
      </c>
      <c r="HS670" s="5">
        <v>0</v>
      </c>
      <c r="HT670" s="5" t="b">
        <v>0</v>
      </c>
    </row>
    <row r="671" spans="1:228">
      <c r="A671"/>
      <c r="B671" s="1">
        <f>10000000+INDEX(编号表!$B$1:$B$112,MATCH(D671,编号表!$A$1:$A$112,0))*10000+I671</f>
        <v>10320008</v>
      </c>
      <c r="C671" s="5" t="s">
        <v>538</v>
      </c>
      <c r="D671" s="5" t="s">
        <v>538</v>
      </c>
      <c r="E671" s="5" t="s">
        <v>360</v>
      </c>
      <c r="F671" s="5" t="s">
        <v>349</v>
      </c>
      <c r="G671" s="5" t="b">
        <v>0</v>
      </c>
      <c r="H671" s="5" t="b">
        <v>1</v>
      </c>
      <c r="I671" s="5">
        <v>8</v>
      </c>
      <c r="J671" s="5">
        <v>103200</v>
      </c>
      <c r="K671" s="5" t="s">
        <v>350</v>
      </c>
      <c r="L671" s="5">
        <v>0</v>
      </c>
      <c r="M671" s="5">
        <v>0</v>
      </c>
      <c r="N671" s="5" t="s">
        <v>535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/>
      <c r="V671" s="5">
        <v>0</v>
      </c>
      <c r="W671" s="5">
        <v>0</v>
      </c>
      <c r="X671" s="5" t="s">
        <v>352</v>
      </c>
      <c r="Y671" s="5" t="s">
        <v>365</v>
      </c>
      <c r="Z671" s="5" t="s">
        <v>354</v>
      </c>
      <c r="AA671" s="5">
        <v>0</v>
      </c>
      <c r="AB671" s="5">
        <v>0</v>
      </c>
      <c r="AC671" s="5" t="b">
        <v>0</v>
      </c>
      <c r="AD671" s="5" t="s">
        <v>355</v>
      </c>
      <c r="AE671" s="5">
        <v>160</v>
      </c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 t="s">
        <v>356</v>
      </c>
      <c r="AZ671" s="5">
        <v>11800</v>
      </c>
      <c r="BA671" s="5" t="s">
        <v>357</v>
      </c>
      <c r="BB671" s="5" t="s">
        <v>354</v>
      </c>
      <c r="BC671" s="5">
        <v>10000</v>
      </c>
      <c r="BD671" s="5">
        <v>0</v>
      </c>
      <c r="BE671" s="5" t="s">
        <v>358</v>
      </c>
      <c r="BF671" s="5">
        <v>0</v>
      </c>
      <c r="BG671" s="5" t="s">
        <v>356</v>
      </c>
      <c r="BH671" s="5">
        <v>800</v>
      </c>
      <c r="BI671" s="5">
        <v>2</v>
      </c>
      <c r="BJ671" s="5" t="b">
        <v>1</v>
      </c>
      <c r="BK671" s="5">
        <v>0</v>
      </c>
      <c r="BL671" s="5">
        <v>10000</v>
      </c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  <c r="EC671" s="5"/>
      <c r="ED671" s="5"/>
      <c r="EE671" s="5"/>
      <c r="EF671" s="5"/>
      <c r="EG671" s="5"/>
      <c r="EH671" s="5"/>
      <c r="EI671" s="5"/>
      <c r="EJ671" s="5"/>
      <c r="EK671" s="5"/>
      <c r="EL671" s="5"/>
      <c r="EM671" s="5"/>
      <c r="EN671" s="5"/>
      <c r="EO671" s="5"/>
      <c r="EP671" s="5"/>
      <c r="EQ671" s="5"/>
      <c r="ER671" s="5"/>
      <c r="ES671" s="5"/>
      <c r="ET671" s="5"/>
      <c r="EU671" s="5"/>
      <c r="EV671" s="5"/>
      <c r="EY671" s="5"/>
      <c r="EZ671" s="5"/>
      <c r="FA671" s="5"/>
      <c r="FB671" s="5"/>
      <c r="FC671" s="5"/>
      <c r="FD671" s="5"/>
      <c r="FE671" s="5"/>
      <c r="FF671" s="5"/>
      <c r="FG671" s="5"/>
      <c r="FH671" s="5"/>
      <c r="FI671" s="5"/>
      <c r="FJ671" s="5"/>
      <c r="FK671" s="5"/>
      <c r="FL671" s="5"/>
      <c r="FM671" s="5"/>
      <c r="FN671" s="5"/>
      <c r="FO671" s="5"/>
      <c r="FP671" s="5"/>
      <c r="FQ671" s="5"/>
      <c r="FR671" s="5"/>
      <c r="FS671" s="5"/>
      <c r="FT671" s="5"/>
      <c r="FU671" s="5"/>
      <c r="FV671" s="5"/>
      <c r="FW671" s="5"/>
      <c r="FX671" s="5"/>
      <c r="FY671" s="5"/>
      <c r="FZ671" s="5"/>
      <c r="GA671" s="5"/>
      <c r="GB671" s="5"/>
      <c r="GC671" s="5"/>
      <c r="GD671" s="5"/>
      <c r="GE671" s="5"/>
      <c r="GF671" s="5"/>
      <c r="GG671" s="5"/>
      <c r="GH671" s="5"/>
      <c r="GI671" s="5"/>
      <c r="GJ671" s="5"/>
      <c r="GK671" s="5"/>
      <c r="GL671" s="5"/>
      <c r="GM671" s="5"/>
      <c r="GN671" s="5"/>
      <c r="GO671" s="5"/>
      <c r="GP671" s="5"/>
      <c r="GQ671" s="5"/>
      <c r="GR671" s="5"/>
      <c r="GS671" s="5"/>
      <c r="GT671" s="5"/>
      <c r="GU671" s="5"/>
      <c r="GX671" s="5">
        <v>0</v>
      </c>
      <c r="GY671" s="5">
        <v>0</v>
      </c>
      <c r="GZ671" s="5" t="s">
        <v>367</v>
      </c>
      <c r="HA671" s="5">
        <v>0</v>
      </c>
      <c r="HB671" s="5"/>
      <c r="HC671" s="5"/>
      <c r="HD671" s="5" t="b">
        <v>0</v>
      </c>
      <c r="HE671" s="5">
        <v>0</v>
      </c>
      <c r="HF671" s="5" t="b">
        <v>1</v>
      </c>
      <c r="HG671" s="5">
        <v>0</v>
      </c>
      <c r="HH671" s="5">
        <v>0</v>
      </c>
      <c r="HI671" s="5">
        <v>0</v>
      </c>
      <c r="HJ671" s="5">
        <v>0</v>
      </c>
      <c r="HK671" s="5" t="b">
        <v>0</v>
      </c>
      <c r="HL671" s="5">
        <v>0</v>
      </c>
      <c r="HM671" s="5">
        <v>0</v>
      </c>
      <c r="HN671" s="5" t="s">
        <v>367</v>
      </c>
      <c r="HO671" s="5" t="s">
        <v>360</v>
      </c>
      <c r="HP671" s="5">
        <v>0</v>
      </c>
      <c r="HQ671" s="5">
        <v>0</v>
      </c>
      <c r="HR671" s="5">
        <v>0</v>
      </c>
      <c r="HS671" s="5">
        <v>0</v>
      </c>
      <c r="HT671" s="5" t="b">
        <v>0</v>
      </c>
    </row>
    <row r="672" spans="1:228">
      <c r="A672"/>
      <c r="B672" s="1">
        <f>10000000+INDEX(编号表!$B$1:$B$112,MATCH(D672,编号表!$A$1:$A$112,0))*10000+I672</f>
        <v>10320009</v>
      </c>
      <c r="C672" s="5" t="s">
        <v>538</v>
      </c>
      <c r="D672" s="5" t="s">
        <v>538</v>
      </c>
      <c r="E672" s="5" t="s">
        <v>360</v>
      </c>
      <c r="F672" s="5" t="s">
        <v>349</v>
      </c>
      <c r="G672" s="5" t="b">
        <v>0</v>
      </c>
      <c r="H672" s="5" t="b">
        <v>1</v>
      </c>
      <c r="I672" s="5">
        <v>9</v>
      </c>
      <c r="J672" s="5">
        <v>103200</v>
      </c>
      <c r="K672" s="5" t="s">
        <v>350</v>
      </c>
      <c r="L672" s="5">
        <v>0</v>
      </c>
      <c r="M672" s="5">
        <v>0</v>
      </c>
      <c r="N672" s="5" t="s">
        <v>535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/>
      <c r="V672" s="5">
        <v>0</v>
      </c>
      <c r="W672" s="5">
        <v>0</v>
      </c>
      <c r="X672" s="5" t="s">
        <v>352</v>
      </c>
      <c r="Y672" s="5" t="s">
        <v>365</v>
      </c>
      <c r="Z672" s="5" t="s">
        <v>354</v>
      </c>
      <c r="AA672" s="5">
        <v>0</v>
      </c>
      <c r="AB672" s="5">
        <v>0</v>
      </c>
      <c r="AC672" s="5" t="b">
        <v>0</v>
      </c>
      <c r="AD672" s="5" t="s">
        <v>355</v>
      </c>
      <c r="AE672" s="5">
        <v>160</v>
      </c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 t="s">
        <v>356</v>
      </c>
      <c r="AZ672" s="5">
        <v>11900</v>
      </c>
      <c r="BA672" s="5" t="s">
        <v>357</v>
      </c>
      <c r="BB672" s="5" t="s">
        <v>354</v>
      </c>
      <c r="BC672" s="5">
        <v>10000</v>
      </c>
      <c r="BD672" s="5">
        <v>0</v>
      </c>
      <c r="BE672" s="5" t="s">
        <v>358</v>
      </c>
      <c r="BF672" s="5">
        <v>0</v>
      </c>
      <c r="BG672" s="5" t="s">
        <v>356</v>
      </c>
      <c r="BH672" s="5">
        <v>800</v>
      </c>
      <c r="BI672" s="5">
        <v>2</v>
      </c>
      <c r="BJ672" s="5" t="b">
        <v>1</v>
      </c>
      <c r="BK672" s="5">
        <v>0</v>
      </c>
      <c r="BL672" s="5">
        <v>10000</v>
      </c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  <c r="EC672" s="5"/>
      <c r="ED672" s="5"/>
      <c r="EE672" s="5"/>
      <c r="EF672" s="5"/>
      <c r="EG672" s="5"/>
      <c r="EH672" s="5"/>
      <c r="EI672" s="5"/>
      <c r="EJ672" s="5"/>
      <c r="EK672" s="5"/>
      <c r="EL672" s="5"/>
      <c r="EM672" s="5"/>
      <c r="EN672" s="5"/>
      <c r="EO672" s="5"/>
      <c r="EP672" s="5"/>
      <c r="EQ672" s="5"/>
      <c r="ER672" s="5"/>
      <c r="ES672" s="5"/>
      <c r="ET672" s="5"/>
      <c r="EU672" s="5"/>
      <c r="EV672" s="5"/>
      <c r="EY672" s="5"/>
      <c r="EZ672" s="5"/>
      <c r="FA672" s="5"/>
      <c r="FB672" s="5"/>
      <c r="FC672" s="5"/>
      <c r="FD672" s="5"/>
      <c r="FE672" s="5"/>
      <c r="FF672" s="5"/>
      <c r="FG672" s="5"/>
      <c r="FH672" s="5"/>
      <c r="FI672" s="5"/>
      <c r="FJ672" s="5"/>
      <c r="FK672" s="5"/>
      <c r="FL672" s="5"/>
      <c r="FM672" s="5"/>
      <c r="FN672" s="5"/>
      <c r="FO672" s="5"/>
      <c r="FP672" s="5"/>
      <c r="FQ672" s="5"/>
      <c r="FR672" s="5"/>
      <c r="FS672" s="5"/>
      <c r="FT672" s="5"/>
      <c r="FU672" s="5"/>
      <c r="FV672" s="5"/>
      <c r="FW672" s="5"/>
      <c r="FX672" s="5"/>
      <c r="FY672" s="5"/>
      <c r="FZ672" s="5"/>
      <c r="GA672" s="5"/>
      <c r="GB672" s="5"/>
      <c r="GC672" s="5"/>
      <c r="GD672" s="5"/>
      <c r="GE672" s="5"/>
      <c r="GF672" s="5"/>
      <c r="GG672" s="5"/>
      <c r="GH672" s="5"/>
      <c r="GI672" s="5"/>
      <c r="GJ672" s="5"/>
      <c r="GK672" s="5"/>
      <c r="GL672" s="5"/>
      <c r="GM672" s="5"/>
      <c r="GN672" s="5"/>
      <c r="GO672" s="5"/>
      <c r="GP672" s="5"/>
      <c r="GQ672" s="5"/>
      <c r="GR672" s="5"/>
      <c r="GS672" s="5"/>
      <c r="GT672" s="5"/>
      <c r="GU672" s="5"/>
      <c r="GX672" s="5">
        <v>0</v>
      </c>
      <c r="GY672" s="5">
        <v>0</v>
      </c>
      <c r="GZ672" s="5" t="s">
        <v>367</v>
      </c>
      <c r="HA672" s="5">
        <v>0</v>
      </c>
      <c r="HB672" s="5"/>
      <c r="HC672" s="5"/>
      <c r="HD672" s="5" t="b">
        <v>0</v>
      </c>
      <c r="HE672" s="5">
        <v>0</v>
      </c>
      <c r="HF672" s="5" t="b">
        <v>1</v>
      </c>
      <c r="HG672" s="5">
        <v>0</v>
      </c>
      <c r="HH672" s="5">
        <v>0</v>
      </c>
      <c r="HI672" s="5">
        <v>0</v>
      </c>
      <c r="HJ672" s="5">
        <v>0</v>
      </c>
      <c r="HK672" s="5" t="b">
        <v>0</v>
      </c>
      <c r="HL672" s="5">
        <v>0</v>
      </c>
      <c r="HM672" s="5">
        <v>0</v>
      </c>
      <c r="HN672" s="5" t="s">
        <v>367</v>
      </c>
      <c r="HO672" s="5" t="s">
        <v>360</v>
      </c>
      <c r="HP672" s="5">
        <v>0</v>
      </c>
      <c r="HQ672" s="5">
        <v>0</v>
      </c>
      <c r="HR672" s="5">
        <v>0</v>
      </c>
      <c r="HS672" s="5">
        <v>0</v>
      </c>
      <c r="HT672" s="5" t="b">
        <v>0</v>
      </c>
    </row>
    <row r="673" spans="1:228">
      <c r="A673"/>
      <c r="B673" s="1">
        <f>10000000+INDEX(编号表!$B$1:$B$112,MATCH(D673,编号表!$A$1:$A$112,0))*10000+I673</f>
        <v>10320010</v>
      </c>
      <c r="C673" s="5" t="s">
        <v>538</v>
      </c>
      <c r="D673" s="5" t="s">
        <v>538</v>
      </c>
      <c r="E673" s="5" t="s">
        <v>360</v>
      </c>
      <c r="F673" s="5" t="s">
        <v>349</v>
      </c>
      <c r="G673" s="5" t="b">
        <v>0</v>
      </c>
      <c r="H673" s="5" t="b">
        <v>1</v>
      </c>
      <c r="I673" s="5">
        <v>10</v>
      </c>
      <c r="J673" s="5">
        <v>103200</v>
      </c>
      <c r="K673" s="5" t="s">
        <v>350</v>
      </c>
      <c r="L673" s="5">
        <v>0</v>
      </c>
      <c r="M673" s="5">
        <v>0</v>
      </c>
      <c r="N673" s="5" t="s">
        <v>535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/>
      <c r="V673" s="5">
        <v>0</v>
      </c>
      <c r="W673" s="5">
        <v>0</v>
      </c>
      <c r="X673" s="5" t="s">
        <v>352</v>
      </c>
      <c r="Y673" s="5" t="s">
        <v>365</v>
      </c>
      <c r="Z673" s="5" t="s">
        <v>354</v>
      </c>
      <c r="AA673" s="5">
        <v>0</v>
      </c>
      <c r="AB673" s="5">
        <v>0</v>
      </c>
      <c r="AC673" s="5" t="b">
        <v>0</v>
      </c>
      <c r="AD673" s="5" t="s">
        <v>355</v>
      </c>
      <c r="AE673" s="5">
        <v>160</v>
      </c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 t="s">
        <v>356</v>
      </c>
      <c r="AZ673" s="5">
        <v>12000</v>
      </c>
      <c r="BA673" s="5" t="s">
        <v>357</v>
      </c>
      <c r="BB673" s="5" t="s">
        <v>354</v>
      </c>
      <c r="BC673" s="5">
        <v>10000</v>
      </c>
      <c r="BD673" s="5">
        <v>0</v>
      </c>
      <c r="BE673" s="5" t="s">
        <v>358</v>
      </c>
      <c r="BF673" s="5">
        <v>0</v>
      </c>
      <c r="BG673" s="5" t="s">
        <v>356</v>
      </c>
      <c r="BH673" s="5">
        <v>800</v>
      </c>
      <c r="BI673" s="5">
        <v>2</v>
      </c>
      <c r="BJ673" s="5" t="b">
        <v>1</v>
      </c>
      <c r="BK673" s="5">
        <v>0</v>
      </c>
      <c r="BL673" s="5">
        <v>10000</v>
      </c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  <c r="EC673" s="5"/>
      <c r="ED673" s="5"/>
      <c r="EE673" s="5"/>
      <c r="EF673" s="5"/>
      <c r="EG673" s="5"/>
      <c r="EH673" s="5"/>
      <c r="EI673" s="5"/>
      <c r="EJ673" s="5"/>
      <c r="EK673" s="5"/>
      <c r="EL673" s="5"/>
      <c r="EM673" s="5"/>
      <c r="EN673" s="5"/>
      <c r="EO673" s="5"/>
      <c r="EP673" s="5"/>
      <c r="EQ673" s="5"/>
      <c r="ER673" s="5"/>
      <c r="ES673" s="5"/>
      <c r="ET673" s="5"/>
      <c r="EU673" s="5"/>
      <c r="EV673" s="5"/>
      <c r="EY673" s="5"/>
      <c r="EZ673" s="5"/>
      <c r="FA673" s="5"/>
      <c r="FB673" s="5"/>
      <c r="FC673" s="5"/>
      <c r="FD673" s="5"/>
      <c r="FE673" s="5"/>
      <c r="FF673" s="5"/>
      <c r="FG673" s="5"/>
      <c r="FH673" s="5"/>
      <c r="FI673" s="5"/>
      <c r="FJ673" s="5"/>
      <c r="FK673" s="5"/>
      <c r="FL673" s="5"/>
      <c r="FM673" s="5"/>
      <c r="FN673" s="5"/>
      <c r="FO673" s="5"/>
      <c r="FP673" s="5"/>
      <c r="FQ673" s="5"/>
      <c r="FR673" s="5"/>
      <c r="FS673" s="5"/>
      <c r="FT673" s="5"/>
      <c r="FU673" s="5"/>
      <c r="FV673" s="5"/>
      <c r="FW673" s="5"/>
      <c r="FX673" s="5"/>
      <c r="FY673" s="5"/>
      <c r="FZ673" s="5"/>
      <c r="GA673" s="5"/>
      <c r="GB673" s="5"/>
      <c r="GC673" s="5"/>
      <c r="GD673" s="5"/>
      <c r="GE673" s="5"/>
      <c r="GF673" s="5"/>
      <c r="GG673" s="5"/>
      <c r="GH673" s="5"/>
      <c r="GI673" s="5"/>
      <c r="GJ673" s="5"/>
      <c r="GK673" s="5"/>
      <c r="GL673" s="5"/>
      <c r="GM673" s="5"/>
      <c r="GN673" s="5"/>
      <c r="GO673" s="5"/>
      <c r="GP673" s="5"/>
      <c r="GQ673" s="5"/>
      <c r="GR673" s="5"/>
      <c r="GS673" s="5"/>
      <c r="GT673" s="5"/>
      <c r="GU673" s="5"/>
      <c r="GX673" s="5">
        <v>0</v>
      </c>
      <c r="GY673" s="5">
        <v>0</v>
      </c>
      <c r="GZ673" s="5" t="s">
        <v>367</v>
      </c>
      <c r="HA673" s="5">
        <v>0</v>
      </c>
      <c r="HB673" s="5"/>
      <c r="HC673" s="5"/>
      <c r="HD673" s="5" t="b">
        <v>0</v>
      </c>
      <c r="HE673" s="5">
        <v>0</v>
      </c>
      <c r="HF673" s="5" t="b">
        <v>1</v>
      </c>
      <c r="HG673" s="5">
        <v>0</v>
      </c>
      <c r="HH673" s="5">
        <v>0</v>
      </c>
      <c r="HI673" s="5">
        <v>0</v>
      </c>
      <c r="HJ673" s="5">
        <v>0</v>
      </c>
      <c r="HK673" s="5" t="b">
        <v>0</v>
      </c>
      <c r="HL673" s="5">
        <v>0</v>
      </c>
      <c r="HM673" s="5">
        <v>0</v>
      </c>
      <c r="HN673" s="5" t="s">
        <v>367</v>
      </c>
      <c r="HO673" s="5" t="s">
        <v>360</v>
      </c>
      <c r="HP673" s="5">
        <v>0</v>
      </c>
      <c r="HQ673" s="5">
        <v>0</v>
      </c>
      <c r="HR673" s="5">
        <v>0</v>
      </c>
      <c r="HS673" s="5">
        <v>0</v>
      </c>
      <c r="HT673" s="5" t="b">
        <v>0</v>
      </c>
    </row>
    <row r="674" spans="1:228">
      <c r="A674"/>
      <c r="B674" s="1">
        <f>10000000+INDEX(编号表!$B$1:$B$112,MATCH(D674,编号表!$A$1:$A$112,0))*10000+I674</f>
        <v>10330001</v>
      </c>
      <c r="C674" s="5" t="s">
        <v>539</v>
      </c>
      <c r="D674" s="5" t="s">
        <v>539</v>
      </c>
      <c r="E674" s="5" t="s">
        <v>360</v>
      </c>
      <c r="F674" s="5" t="s">
        <v>349</v>
      </c>
      <c r="G674" s="5" t="b">
        <v>0</v>
      </c>
      <c r="H674" s="5" t="b">
        <v>1</v>
      </c>
      <c r="I674" s="5">
        <v>1</v>
      </c>
      <c r="J674" s="5">
        <v>103300</v>
      </c>
      <c r="K674" s="5" t="s">
        <v>350</v>
      </c>
      <c r="L674" s="5">
        <v>0</v>
      </c>
      <c r="M674" s="5">
        <v>0</v>
      </c>
      <c r="N674" s="5" t="s">
        <v>535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/>
      <c r="V674" s="5">
        <v>0</v>
      </c>
      <c r="W674" s="5">
        <v>0</v>
      </c>
      <c r="X674" s="5" t="inlineStr">
        <is>
          <t xml:space="preserve">目标方向</t>
        </is>
      </c>
      <c r="Y674" s="5" t="inlineStr">
        <is>
          <t xml:space="preserve">线形</t>
        </is>
      </c>
      <c r="Z674" s="5" t="inlineStr">
        <is>
          <t xml:space="preserve">敌对</t>
        </is>
      </c>
      <c r="AA674" s="5">
        <v>0</v>
      </c>
      <c r="AB674" s="5">
        <v>0</v>
      </c>
      <c r="AC674" s="5" t="b">
        <v>0</v>
      </c>
      <c r="AD674" s="5" t="inlineStr">
        <is>
          <t xml:space="preserve">最近</t>
        </is>
      </c>
      <c r="AE674" s="5"/>
      <c r="AF674" s="5"/>
      <c r="AG674" s="5"/>
      <c r="AH674" s="5">
        <v>750</v>
      </c>
      <c r="AI674" s="5">
        <v>300</v>
      </c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 t="s">
        <v>356</v>
      </c>
      <c r="AZ674" s="5">
        <v>10000</v>
      </c>
      <c r="BA674" s="5" t="s">
        <v>357</v>
      </c>
      <c r="BB674" s="5" t="s">
        <v>354</v>
      </c>
      <c r="BC674" s="5">
        <v>10000</v>
      </c>
      <c r="BD674" s="5">
        <v>0</v>
      </c>
      <c r="BE674" s="5" t="s">
        <v>358</v>
      </c>
      <c r="BF674" s="5">
        <v>0</v>
      </c>
      <c r="BG674" s="5" t="s">
        <v>356</v>
      </c>
      <c r="BH674" s="5">
        <v>900</v>
      </c>
      <c r="BI674" s="5">
        <v>0</v>
      </c>
      <c r="BJ674" s="5" t="b">
        <v>1</v>
      </c>
      <c r="BK674" s="5">
        <v>0</v>
      </c>
      <c r="BL674" s="5">
        <v>10000</v>
      </c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  <c r="EC674" s="5"/>
      <c r="ED674" s="5"/>
      <c r="EE674" s="5"/>
      <c r="EF674" s="5"/>
      <c r="EG674" s="5"/>
      <c r="EH674" s="5"/>
      <c r="EI674" s="5"/>
      <c r="EJ674" s="5"/>
      <c r="EK674" s="5"/>
      <c r="EL674" s="5"/>
      <c r="EM674" s="5"/>
      <c r="EN674" s="5"/>
      <c r="EO674" s="5"/>
      <c r="EP674" s="5"/>
      <c r="EQ674" s="5"/>
      <c r="ER674" s="5"/>
      <c r="ES674" s="5"/>
      <c r="ET674" s="5"/>
      <c r="EU674" s="5"/>
      <c r="EV674" s="5"/>
      <c r="EY674" s="5"/>
      <c r="EZ674" s="5"/>
      <c r="FA674" s="5"/>
      <c r="FB674" s="5"/>
      <c r="FC674" s="5"/>
      <c r="FD674" s="5"/>
      <c r="FE674" s="5"/>
      <c r="FF674" s="5"/>
      <c r="FG674" s="5"/>
      <c r="FH674" s="5"/>
      <c r="FI674" s="5"/>
      <c r="FJ674" s="5"/>
      <c r="FK674" s="5"/>
      <c r="FL674" s="5"/>
      <c r="FM674" s="5"/>
      <c r="FN674" s="5"/>
      <c r="FO674" s="5"/>
      <c r="FP674" s="5"/>
      <c r="FQ674" s="5"/>
      <c r="FR674" s="5"/>
      <c r="FS674" s="5"/>
      <c r="FT674" s="5"/>
      <c r="FU674" s="5"/>
      <c r="FV674" s="5"/>
      <c r="FW674" s="5"/>
      <c r="FX674" s="5"/>
      <c r="FY674" s="5"/>
      <c r="FZ674" s="5"/>
      <c r="GA674" s="5"/>
      <c r="GB674" s="5"/>
      <c r="GC674" s="5"/>
      <c r="GD674" s="5"/>
      <c r="GE674" s="5"/>
      <c r="GF674" s="5"/>
      <c r="GG674" s="5"/>
      <c r="GH674" s="5"/>
      <c r="GI674" s="5"/>
      <c r="GJ674" s="5"/>
      <c r="GK674" s="5"/>
      <c r="GL674" s="5"/>
      <c r="GM674" s="5"/>
      <c r="GN674" s="5"/>
      <c r="GO674" s="5"/>
      <c r="GP674" s="5"/>
      <c r="GQ674" s="5"/>
      <c r="GR674" s="5"/>
      <c r="GS674" s="5"/>
      <c r="GT674" s="5"/>
      <c r="GU674" s="5"/>
      <c r="GX674" s="5">
        <v>0</v>
      </c>
      <c r="GY674" s="5">
        <v>0</v>
      </c>
      <c r="GZ674" s="5" t="s">
        <v>367</v>
      </c>
      <c r="HA674" s="5">
        <v>0</v>
      </c>
      <c r="HB674" s="5"/>
      <c r="HC674" s="5"/>
      <c r="HD674" s="5" t="b">
        <v>0</v>
      </c>
      <c r="HE674" s="5">
        <v>0</v>
      </c>
      <c r="HF674" s="5" t="b">
        <v>1</v>
      </c>
      <c r="HG674" s="5">
        <v>0</v>
      </c>
      <c r="HH674" s="5">
        <v>0</v>
      </c>
      <c r="HI674" s="5">
        <v>0</v>
      </c>
      <c r="HJ674" s="5">
        <v>0</v>
      </c>
      <c r="HK674" s="5" t="b">
        <v>0</v>
      </c>
      <c r="HL674" s="5">
        <v>0</v>
      </c>
      <c r="HM674" s="5">
        <v>0</v>
      </c>
      <c r="HN674" s="5" t="s">
        <v>367</v>
      </c>
      <c r="HO674" s="5" t="s">
        <v>360</v>
      </c>
      <c r="HP674" s="5">
        <v>0</v>
      </c>
      <c r="HQ674" s="5">
        <v>0</v>
      </c>
      <c r="HR674" s="5">
        <v>0</v>
      </c>
      <c r="HS674" s="5">
        <v>0</v>
      </c>
      <c r="HT674" s="5" t="b">
        <v>0</v>
      </c>
      <c r="HW674" t="b">
        <v>1</v>
      </c>
    </row>
    <row r="675" spans="1:228">
      <c r="A675"/>
      <c r="B675" s="1">
        <f>10000000+INDEX(编号表!$B$1:$B$112,MATCH(D675,编号表!$A$1:$A$112,0))*10000+I675</f>
        <v>10330002</v>
      </c>
      <c r="C675" s="5" t="s">
        <v>539</v>
      </c>
      <c r="D675" s="5" t="s">
        <v>539</v>
      </c>
      <c r="E675" s="5" t="s">
        <v>360</v>
      </c>
      <c r="F675" s="5" t="s">
        <v>349</v>
      </c>
      <c r="G675" s="5" t="b">
        <v>0</v>
      </c>
      <c r="H675" s="5" t="b">
        <v>1</v>
      </c>
      <c r="I675" s="5">
        <v>2</v>
      </c>
      <c r="J675" s="5">
        <v>103300</v>
      </c>
      <c r="K675" s="5" t="s">
        <v>350</v>
      </c>
      <c r="L675" s="5">
        <v>0</v>
      </c>
      <c r="M675" s="5">
        <v>0</v>
      </c>
      <c r="N675" s="5" t="s">
        <v>535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/>
      <c r="V675" s="5">
        <v>0</v>
      </c>
      <c r="W675" s="5">
        <v>0</v>
      </c>
      <c r="X675" s="5" t="inlineStr">
        <is>
          <t xml:space="preserve">目标方向</t>
        </is>
      </c>
      <c r="Y675" s="5" t="inlineStr">
        <is>
          <t xml:space="preserve">线形</t>
        </is>
      </c>
      <c r="Z675" s="5" t="inlineStr">
        <is>
          <t xml:space="preserve">敌对</t>
        </is>
      </c>
      <c r="AA675" s="5">
        <v>0</v>
      </c>
      <c r="AB675" s="5">
        <v>0</v>
      </c>
      <c r="AC675" s="5" t="b">
        <v>0</v>
      </c>
      <c r="AD675" s="5" t="inlineStr">
        <is>
          <t xml:space="preserve">最近</t>
        </is>
      </c>
      <c r="AE675" s="5"/>
      <c r="AF675" s="5"/>
      <c r="AG675" s="5"/>
      <c r="AH675" s="5">
        <v>750</v>
      </c>
      <c r="AI675" s="5">
        <v>300</v>
      </c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 t="s">
        <v>356</v>
      </c>
      <c r="AZ675" s="5">
        <v>10400</v>
      </c>
      <c r="BA675" s="5" t="s">
        <v>357</v>
      </c>
      <c r="BB675" s="5" t="s">
        <v>354</v>
      </c>
      <c r="BC675" s="5">
        <v>10000</v>
      </c>
      <c r="BD675" s="5">
        <v>0</v>
      </c>
      <c r="BE675" s="5" t="s">
        <v>358</v>
      </c>
      <c r="BF675" s="5">
        <v>0</v>
      </c>
      <c r="BG675" s="5" t="s">
        <v>356</v>
      </c>
      <c r="BH675" s="5">
        <v>900</v>
      </c>
      <c r="BI675" s="5">
        <v>0</v>
      </c>
      <c r="BJ675" s="5" t="b">
        <v>1</v>
      </c>
      <c r="BK675" s="5">
        <v>0</v>
      </c>
      <c r="BL675" s="5">
        <v>10000</v>
      </c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  <c r="EC675" s="5"/>
      <c r="ED675" s="5"/>
      <c r="EE675" s="5"/>
      <c r="EF675" s="5"/>
      <c r="EG675" s="5"/>
      <c r="EH675" s="5"/>
      <c r="EI675" s="5"/>
      <c r="EJ675" s="5"/>
      <c r="EK675" s="5"/>
      <c r="EL675" s="5"/>
      <c r="EM675" s="5"/>
      <c r="EN675" s="5"/>
      <c r="EO675" s="5"/>
      <c r="EP675" s="5"/>
      <c r="EQ675" s="5"/>
      <c r="ER675" s="5"/>
      <c r="ES675" s="5"/>
      <c r="ET675" s="5"/>
      <c r="EU675" s="5"/>
      <c r="EV675" s="5"/>
      <c r="EY675" s="5"/>
      <c r="EZ675" s="5"/>
      <c r="FA675" s="5"/>
      <c r="FB675" s="5"/>
      <c r="FC675" s="5"/>
      <c r="FD675" s="5"/>
      <c r="FE675" s="5"/>
      <c r="FF675" s="5"/>
      <c r="FG675" s="5"/>
      <c r="FH675" s="5"/>
      <c r="FI675" s="5"/>
      <c r="FJ675" s="5"/>
      <c r="FK675" s="5"/>
      <c r="FL675" s="5"/>
      <c r="FM675" s="5"/>
      <c r="FN675" s="5"/>
      <c r="FO675" s="5"/>
      <c r="FP675" s="5"/>
      <c r="FQ675" s="5"/>
      <c r="FR675" s="5"/>
      <c r="FS675" s="5"/>
      <c r="FT675" s="5"/>
      <c r="FU675" s="5"/>
      <c r="FV675" s="5"/>
      <c r="FW675" s="5"/>
      <c r="FX675" s="5"/>
      <c r="FY675" s="5"/>
      <c r="FZ675" s="5"/>
      <c r="GA675" s="5"/>
      <c r="GB675" s="5"/>
      <c r="GC675" s="5"/>
      <c r="GD675" s="5"/>
      <c r="GE675" s="5"/>
      <c r="GF675" s="5"/>
      <c r="GG675" s="5"/>
      <c r="GH675" s="5"/>
      <c r="GI675" s="5"/>
      <c r="GJ675" s="5"/>
      <c r="GK675" s="5"/>
      <c r="GL675" s="5"/>
      <c r="GM675" s="5"/>
      <c r="GN675" s="5"/>
      <c r="GO675" s="5"/>
      <c r="GP675" s="5"/>
      <c r="GQ675" s="5"/>
      <c r="GR675" s="5"/>
      <c r="GS675" s="5"/>
      <c r="GT675" s="5"/>
      <c r="GU675" s="5"/>
      <c r="GX675" s="5">
        <v>0</v>
      </c>
      <c r="GY675" s="5">
        <v>0</v>
      </c>
      <c r="GZ675" s="5" t="s">
        <v>367</v>
      </c>
      <c r="HA675" s="5">
        <v>0</v>
      </c>
      <c r="HB675" s="5"/>
      <c r="HC675" s="5"/>
      <c r="HD675" s="5" t="b">
        <v>0</v>
      </c>
      <c r="HE675" s="5">
        <v>0</v>
      </c>
      <c r="HF675" s="5" t="b">
        <v>1</v>
      </c>
      <c r="HG675" s="5">
        <v>0</v>
      </c>
      <c r="HH675" s="5">
        <v>0</v>
      </c>
      <c r="HI675" s="5">
        <v>0</v>
      </c>
      <c r="HJ675" s="5">
        <v>0</v>
      </c>
      <c r="HK675" s="5" t="b">
        <v>0</v>
      </c>
      <c r="HL675" s="5">
        <v>0</v>
      </c>
      <c r="HM675" s="5">
        <v>0</v>
      </c>
      <c r="HN675" s="5" t="s">
        <v>367</v>
      </c>
      <c r="HO675" s="5" t="s">
        <v>360</v>
      </c>
      <c r="HP675" s="5">
        <v>0</v>
      </c>
      <c r="HQ675" s="5">
        <v>0</v>
      </c>
      <c r="HR675" s="5">
        <v>0</v>
      </c>
      <c r="HS675" s="5">
        <v>0</v>
      </c>
      <c r="HT675" s="5" t="b">
        <v>0</v>
      </c>
      <c r="HW675" t="b">
        <v>1</v>
      </c>
    </row>
    <row r="676" spans="1:228">
      <c r="A676"/>
      <c r="B676" s="1">
        <f>10000000+INDEX(编号表!$B$1:$B$112,MATCH(D676,编号表!$A$1:$A$112,0))*10000+I676</f>
        <v>10330003</v>
      </c>
      <c r="C676" s="5" t="s">
        <v>539</v>
      </c>
      <c r="D676" s="5" t="s">
        <v>539</v>
      </c>
      <c r="E676" s="5" t="s">
        <v>360</v>
      </c>
      <c r="F676" s="5" t="s">
        <v>349</v>
      </c>
      <c r="G676" s="5" t="b">
        <v>0</v>
      </c>
      <c r="H676" s="5" t="b">
        <v>1</v>
      </c>
      <c r="I676" s="5">
        <v>3</v>
      </c>
      <c r="J676" s="5">
        <v>103300</v>
      </c>
      <c r="K676" s="5" t="s">
        <v>350</v>
      </c>
      <c r="L676" s="5">
        <v>0</v>
      </c>
      <c r="M676" s="5">
        <v>0</v>
      </c>
      <c r="N676" s="5" t="s">
        <v>535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/>
      <c r="V676" s="5">
        <v>0</v>
      </c>
      <c r="W676" s="5">
        <v>0</v>
      </c>
      <c r="X676" s="5" t="inlineStr">
        <is>
          <t xml:space="preserve">目标方向</t>
        </is>
      </c>
      <c r="Y676" s="5" t="inlineStr">
        <is>
          <t xml:space="preserve">线形</t>
        </is>
      </c>
      <c r="Z676" s="5" t="inlineStr">
        <is>
          <t xml:space="preserve">敌对</t>
        </is>
      </c>
      <c r="AA676" s="5">
        <v>0</v>
      </c>
      <c r="AB676" s="5">
        <v>0</v>
      </c>
      <c r="AC676" s="5" t="b">
        <v>0</v>
      </c>
      <c r="AD676" s="5" t="inlineStr">
        <is>
          <t xml:space="preserve">最近</t>
        </is>
      </c>
      <c r="AE676" s="5"/>
      <c r="AF676" s="5"/>
      <c r="AG676" s="5"/>
      <c r="AH676" s="5">
        <v>750</v>
      </c>
      <c r="AI676" s="5">
        <v>300</v>
      </c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 t="s">
        <v>356</v>
      </c>
      <c r="AZ676" s="5">
        <v>10800</v>
      </c>
      <c r="BA676" s="5" t="s">
        <v>357</v>
      </c>
      <c r="BB676" s="5" t="s">
        <v>354</v>
      </c>
      <c r="BC676" s="5">
        <v>10000</v>
      </c>
      <c r="BD676" s="5">
        <v>0</v>
      </c>
      <c r="BE676" s="5" t="s">
        <v>358</v>
      </c>
      <c r="BF676" s="5">
        <v>0</v>
      </c>
      <c r="BG676" s="5" t="s">
        <v>356</v>
      </c>
      <c r="BH676" s="5">
        <v>900</v>
      </c>
      <c r="BI676" s="5">
        <v>0</v>
      </c>
      <c r="BJ676" s="5" t="b">
        <v>1</v>
      </c>
      <c r="BK676" s="5">
        <v>0</v>
      </c>
      <c r="BL676" s="5">
        <v>10000</v>
      </c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  <c r="EC676" s="5"/>
      <c r="ED676" s="5"/>
      <c r="EE676" s="5"/>
      <c r="EF676" s="5"/>
      <c r="EG676" s="5"/>
      <c r="EH676" s="5"/>
      <c r="EI676" s="5"/>
      <c r="EJ676" s="5"/>
      <c r="EK676" s="5"/>
      <c r="EL676" s="5"/>
      <c r="EM676" s="5"/>
      <c r="EN676" s="5"/>
      <c r="EO676" s="5"/>
      <c r="EP676" s="5"/>
      <c r="EQ676" s="5"/>
      <c r="ER676" s="5"/>
      <c r="ES676" s="5"/>
      <c r="ET676" s="5"/>
      <c r="EU676" s="5"/>
      <c r="EV676" s="5"/>
      <c r="EY676" s="5"/>
      <c r="EZ676" s="5"/>
      <c r="FA676" s="5"/>
      <c r="FB676" s="5"/>
      <c r="FC676" s="5"/>
      <c r="FD676" s="5"/>
      <c r="FE676" s="5"/>
      <c r="FF676" s="5"/>
      <c r="FG676" s="5"/>
      <c r="FH676" s="5"/>
      <c r="FI676" s="5"/>
      <c r="FJ676" s="5"/>
      <c r="FK676" s="5"/>
      <c r="FL676" s="5"/>
      <c r="FM676" s="5"/>
      <c r="FN676" s="5"/>
      <c r="FO676" s="5"/>
      <c r="FP676" s="5"/>
      <c r="FQ676" s="5"/>
      <c r="FR676" s="5"/>
      <c r="FS676" s="5"/>
      <c r="FT676" s="5"/>
      <c r="FU676" s="5"/>
      <c r="FV676" s="5"/>
      <c r="FW676" s="5"/>
      <c r="FX676" s="5"/>
      <c r="FY676" s="5"/>
      <c r="FZ676" s="5"/>
      <c r="GA676" s="5"/>
      <c r="GB676" s="5"/>
      <c r="GC676" s="5"/>
      <c r="GD676" s="5"/>
      <c r="GE676" s="5"/>
      <c r="GF676" s="5"/>
      <c r="GG676" s="5"/>
      <c r="GH676" s="5"/>
      <c r="GI676" s="5"/>
      <c r="GJ676" s="5"/>
      <c r="GK676" s="5"/>
      <c r="GL676" s="5"/>
      <c r="GM676" s="5"/>
      <c r="GN676" s="5"/>
      <c r="GO676" s="5"/>
      <c r="GP676" s="5"/>
      <c r="GQ676" s="5"/>
      <c r="GR676" s="5"/>
      <c r="GS676" s="5"/>
      <c r="GT676" s="5"/>
      <c r="GU676" s="5"/>
      <c r="GX676" s="5">
        <v>0</v>
      </c>
      <c r="GY676" s="5">
        <v>0</v>
      </c>
      <c r="GZ676" s="5" t="s">
        <v>367</v>
      </c>
      <c r="HA676" s="5">
        <v>0</v>
      </c>
      <c r="HB676" s="5"/>
      <c r="HC676" s="5"/>
      <c r="HD676" s="5" t="b">
        <v>0</v>
      </c>
      <c r="HE676" s="5">
        <v>0</v>
      </c>
      <c r="HF676" s="5" t="b">
        <v>1</v>
      </c>
      <c r="HG676" s="5">
        <v>0</v>
      </c>
      <c r="HH676" s="5">
        <v>0</v>
      </c>
      <c r="HI676" s="5">
        <v>0</v>
      </c>
      <c r="HJ676" s="5">
        <v>0</v>
      </c>
      <c r="HK676" s="5" t="b">
        <v>0</v>
      </c>
      <c r="HL676" s="5">
        <v>0</v>
      </c>
      <c r="HM676" s="5">
        <v>0</v>
      </c>
      <c r="HN676" s="5" t="s">
        <v>367</v>
      </c>
      <c r="HO676" s="5" t="s">
        <v>360</v>
      </c>
      <c r="HP676" s="5">
        <v>0</v>
      </c>
      <c r="HQ676" s="5">
        <v>0</v>
      </c>
      <c r="HR676" s="5">
        <v>0</v>
      </c>
      <c r="HS676" s="5">
        <v>0</v>
      </c>
      <c r="HT676" s="5" t="b">
        <v>0</v>
      </c>
      <c r="HW676" t="b">
        <v>1</v>
      </c>
    </row>
    <row r="677" spans="1:228">
      <c r="A677"/>
      <c r="B677" s="1">
        <f>10000000+INDEX(编号表!$B$1:$B$112,MATCH(D677,编号表!$A$1:$A$112,0))*10000+I677</f>
        <v>10330004</v>
      </c>
      <c r="C677" s="5" t="s">
        <v>539</v>
      </c>
      <c r="D677" s="5" t="s">
        <v>539</v>
      </c>
      <c r="E677" s="5" t="s">
        <v>360</v>
      </c>
      <c r="F677" s="5" t="s">
        <v>349</v>
      </c>
      <c r="G677" s="5" t="b">
        <v>0</v>
      </c>
      <c r="H677" s="5" t="b">
        <v>1</v>
      </c>
      <c r="I677" s="5">
        <v>4</v>
      </c>
      <c r="J677" s="5">
        <v>103300</v>
      </c>
      <c r="K677" s="5" t="s">
        <v>350</v>
      </c>
      <c r="L677" s="5">
        <v>0</v>
      </c>
      <c r="M677" s="5">
        <v>0</v>
      </c>
      <c r="N677" s="5" t="s">
        <v>535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/>
      <c r="V677" s="5">
        <v>0</v>
      </c>
      <c r="W677" s="5">
        <v>0</v>
      </c>
      <c r="X677" s="5" t="inlineStr">
        <is>
          <t xml:space="preserve">目标方向</t>
        </is>
      </c>
      <c r="Y677" s="5" t="inlineStr">
        <is>
          <t xml:space="preserve">线形</t>
        </is>
      </c>
      <c r="Z677" s="5" t="inlineStr">
        <is>
          <t xml:space="preserve">敌对</t>
        </is>
      </c>
      <c r="AA677" s="5">
        <v>0</v>
      </c>
      <c r="AB677" s="5">
        <v>0</v>
      </c>
      <c r="AC677" s="5" t="b">
        <v>0</v>
      </c>
      <c r="AD677" s="5" t="inlineStr">
        <is>
          <t xml:space="preserve">最近</t>
        </is>
      </c>
      <c r="AE677" s="5"/>
      <c r="AF677" s="5"/>
      <c r="AG677" s="5"/>
      <c r="AH677" s="5">
        <v>750</v>
      </c>
      <c r="AI677" s="5">
        <v>300</v>
      </c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 t="s">
        <v>356</v>
      </c>
      <c r="AZ677" s="5">
        <v>11200</v>
      </c>
      <c r="BA677" s="5" t="s">
        <v>357</v>
      </c>
      <c r="BB677" s="5" t="s">
        <v>354</v>
      </c>
      <c r="BC677" s="5">
        <v>10000</v>
      </c>
      <c r="BD677" s="5">
        <v>0</v>
      </c>
      <c r="BE677" s="5" t="s">
        <v>358</v>
      </c>
      <c r="BF677" s="5">
        <v>0</v>
      </c>
      <c r="BG677" s="5" t="s">
        <v>356</v>
      </c>
      <c r="BH677" s="5">
        <v>900</v>
      </c>
      <c r="BI677" s="5">
        <v>1</v>
      </c>
      <c r="BJ677" s="5" t="b">
        <v>1</v>
      </c>
      <c r="BK677" s="5">
        <v>0</v>
      </c>
      <c r="BL677" s="5">
        <v>10000</v>
      </c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  <c r="EC677" s="5"/>
      <c r="ED677" s="5"/>
      <c r="EE677" s="5"/>
      <c r="EF677" s="5"/>
      <c r="EG677" s="5"/>
      <c r="EH677" s="5"/>
      <c r="EI677" s="5"/>
      <c r="EJ677" s="5"/>
      <c r="EK677" s="5"/>
      <c r="EL677" s="5"/>
      <c r="EM677" s="5"/>
      <c r="EN677" s="5"/>
      <c r="EO677" s="5"/>
      <c r="EP677" s="5"/>
      <c r="EQ677" s="5"/>
      <c r="ER677" s="5"/>
      <c r="ES677" s="5"/>
      <c r="ET677" s="5"/>
      <c r="EU677" s="5"/>
      <c r="EV677" s="5"/>
      <c r="EY677" s="5"/>
      <c r="EZ677" s="5"/>
      <c r="FA677" s="5"/>
      <c r="FB677" s="5"/>
      <c r="FC677" s="5"/>
      <c r="FD677" s="5"/>
      <c r="FE677" s="5"/>
      <c r="FF677" s="5"/>
      <c r="FG677" s="5"/>
      <c r="FH677" s="5"/>
      <c r="FI677" s="5"/>
      <c r="FJ677" s="5"/>
      <c r="FK677" s="5"/>
      <c r="FL677" s="5"/>
      <c r="FM677" s="5"/>
      <c r="FN677" s="5"/>
      <c r="FO677" s="5"/>
      <c r="FP677" s="5"/>
      <c r="FQ677" s="5"/>
      <c r="FR677" s="5"/>
      <c r="FS677" s="5"/>
      <c r="FT677" s="5"/>
      <c r="FU677" s="5"/>
      <c r="FV677" s="5"/>
      <c r="FW677" s="5"/>
      <c r="FX677" s="5"/>
      <c r="FY677" s="5"/>
      <c r="FZ677" s="5"/>
      <c r="GA677" s="5"/>
      <c r="GB677" s="5"/>
      <c r="GC677" s="5"/>
      <c r="GD677" s="5"/>
      <c r="GE677" s="5"/>
      <c r="GF677" s="5"/>
      <c r="GG677" s="5"/>
      <c r="GH677" s="5"/>
      <c r="GI677" s="5"/>
      <c r="GJ677" s="5"/>
      <c r="GK677" s="5"/>
      <c r="GL677" s="5"/>
      <c r="GM677" s="5"/>
      <c r="GN677" s="5"/>
      <c r="GO677" s="5"/>
      <c r="GP677" s="5"/>
      <c r="GQ677" s="5"/>
      <c r="GR677" s="5"/>
      <c r="GS677" s="5"/>
      <c r="GT677" s="5"/>
      <c r="GU677" s="5"/>
      <c r="GX677" s="5">
        <v>0</v>
      </c>
      <c r="GY677" s="5">
        <v>0</v>
      </c>
      <c r="GZ677" s="5" t="s">
        <v>367</v>
      </c>
      <c r="HA677" s="5">
        <v>0</v>
      </c>
      <c r="HB677" s="5"/>
      <c r="HC677" s="5"/>
      <c r="HD677" s="5" t="b">
        <v>0</v>
      </c>
      <c r="HE677" s="5">
        <v>0</v>
      </c>
      <c r="HF677" s="5" t="b">
        <v>1</v>
      </c>
      <c r="HG677" s="5">
        <v>0</v>
      </c>
      <c r="HH677" s="5">
        <v>0</v>
      </c>
      <c r="HI677" s="5">
        <v>0</v>
      </c>
      <c r="HJ677" s="5">
        <v>0</v>
      </c>
      <c r="HK677" s="5" t="b">
        <v>0</v>
      </c>
      <c r="HL677" s="5">
        <v>0</v>
      </c>
      <c r="HM677" s="5">
        <v>0</v>
      </c>
      <c r="HN677" s="5" t="s">
        <v>367</v>
      </c>
      <c r="HO677" s="5" t="s">
        <v>360</v>
      </c>
      <c r="HP677" s="5">
        <v>0</v>
      </c>
      <c r="HQ677" s="5">
        <v>0</v>
      </c>
      <c r="HR677" s="5">
        <v>0</v>
      </c>
      <c r="HS677" s="5">
        <v>0</v>
      </c>
      <c r="HT677" s="5" t="b">
        <v>0</v>
      </c>
      <c r="HW677" t="b">
        <v>1</v>
      </c>
    </row>
    <row r="678" spans="1:228">
      <c r="A678"/>
      <c r="B678" s="1">
        <f>10000000+INDEX(编号表!$B$1:$B$112,MATCH(D678,编号表!$A$1:$A$112,0))*10000+I678</f>
        <v>10330005</v>
      </c>
      <c r="C678" s="5" t="s">
        <v>539</v>
      </c>
      <c r="D678" s="5" t="s">
        <v>539</v>
      </c>
      <c r="E678" s="5" t="s">
        <v>360</v>
      </c>
      <c r="F678" s="5" t="s">
        <v>349</v>
      </c>
      <c r="G678" s="5" t="b">
        <v>0</v>
      </c>
      <c r="H678" s="5" t="b">
        <v>1</v>
      </c>
      <c r="I678" s="5">
        <v>5</v>
      </c>
      <c r="J678" s="5">
        <v>103300</v>
      </c>
      <c r="K678" s="5" t="s">
        <v>350</v>
      </c>
      <c r="L678" s="5">
        <v>0</v>
      </c>
      <c r="M678" s="5">
        <v>0</v>
      </c>
      <c r="N678" s="5" t="s">
        <v>535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/>
      <c r="V678" s="5">
        <v>0</v>
      </c>
      <c r="W678" s="5">
        <v>0</v>
      </c>
      <c r="X678" s="5" t="inlineStr">
        <is>
          <t xml:space="preserve">目标方向</t>
        </is>
      </c>
      <c r="Y678" s="5" t="inlineStr">
        <is>
          <t xml:space="preserve">线形</t>
        </is>
      </c>
      <c r="Z678" s="5" t="inlineStr">
        <is>
          <t xml:space="preserve">敌对</t>
        </is>
      </c>
      <c r="AA678" s="5">
        <v>0</v>
      </c>
      <c r="AB678" s="5">
        <v>0</v>
      </c>
      <c r="AC678" s="5" t="b">
        <v>0</v>
      </c>
      <c r="AD678" s="5" t="inlineStr">
        <is>
          <t xml:space="preserve">最近</t>
        </is>
      </c>
      <c r="AE678" s="5"/>
      <c r="AF678" s="5"/>
      <c r="AG678" s="5"/>
      <c r="AH678" s="5">
        <v>750</v>
      </c>
      <c r="AI678" s="5">
        <v>300</v>
      </c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 t="s">
        <v>356</v>
      </c>
      <c r="AZ678" s="5">
        <v>11300</v>
      </c>
      <c r="BA678" s="5" t="s">
        <v>357</v>
      </c>
      <c r="BB678" s="5" t="s">
        <v>354</v>
      </c>
      <c r="BC678" s="5">
        <v>10000</v>
      </c>
      <c r="BD678" s="5">
        <v>0</v>
      </c>
      <c r="BE678" s="5" t="s">
        <v>358</v>
      </c>
      <c r="BF678" s="5">
        <v>0</v>
      </c>
      <c r="BG678" s="5" t="s">
        <v>356</v>
      </c>
      <c r="BH678" s="5">
        <v>900</v>
      </c>
      <c r="BI678" s="5">
        <v>1</v>
      </c>
      <c r="BJ678" s="5" t="b">
        <v>1</v>
      </c>
      <c r="BK678" s="5">
        <v>0</v>
      </c>
      <c r="BL678" s="5">
        <v>10000</v>
      </c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  <c r="EC678" s="5"/>
      <c r="ED678" s="5"/>
      <c r="EE678" s="5"/>
      <c r="EF678" s="5"/>
      <c r="EG678" s="5"/>
      <c r="EH678" s="5"/>
      <c r="EI678" s="5"/>
      <c r="EJ678" s="5"/>
      <c r="EK678" s="5"/>
      <c r="EL678" s="5"/>
      <c r="EM678" s="5"/>
      <c r="EN678" s="5"/>
      <c r="EO678" s="5"/>
      <c r="EP678" s="5"/>
      <c r="EQ678" s="5"/>
      <c r="ER678" s="5"/>
      <c r="ES678" s="5"/>
      <c r="ET678" s="5"/>
      <c r="EU678" s="5"/>
      <c r="EV678" s="5"/>
      <c r="EY678" s="5"/>
      <c r="EZ678" s="5"/>
      <c r="FA678" s="5"/>
      <c r="FB678" s="5"/>
      <c r="FC678" s="5"/>
      <c r="FD678" s="5"/>
      <c r="FE678" s="5"/>
      <c r="FF678" s="5"/>
      <c r="FG678" s="5"/>
      <c r="FH678" s="5"/>
      <c r="FI678" s="5"/>
      <c r="FJ678" s="5"/>
      <c r="FK678" s="5"/>
      <c r="FL678" s="5"/>
      <c r="FM678" s="5"/>
      <c r="FN678" s="5"/>
      <c r="FO678" s="5"/>
      <c r="FP678" s="5"/>
      <c r="FQ678" s="5"/>
      <c r="FR678" s="5"/>
      <c r="FS678" s="5"/>
      <c r="FT678" s="5"/>
      <c r="FU678" s="5"/>
      <c r="FV678" s="5"/>
      <c r="FW678" s="5"/>
      <c r="FX678" s="5"/>
      <c r="FY678" s="5"/>
      <c r="FZ678" s="5"/>
      <c r="GA678" s="5"/>
      <c r="GB678" s="5"/>
      <c r="GC678" s="5"/>
      <c r="GD678" s="5"/>
      <c r="GE678" s="5"/>
      <c r="GF678" s="5"/>
      <c r="GG678" s="5"/>
      <c r="GH678" s="5"/>
      <c r="GI678" s="5"/>
      <c r="GJ678" s="5"/>
      <c r="GK678" s="5"/>
      <c r="GL678" s="5"/>
      <c r="GM678" s="5"/>
      <c r="GN678" s="5"/>
      <c r="GO678" s="5"/>
      <c r="GP678" s="5"/>
      <c r="GQ678" s="5"/>
      <c r="GR678" s="5"/>
      <c r="GS678" s="5"/>
      <c r="GT678" s="5"/>
      <c r="GU678" s="5"/>
      <c r="GX678" s="5">
        <v>0</v>
      </c>
      <c r="GY678" s="5">
        <v>0</v>
      </c>
      <c r="GZ678" s="5" t="s">
        <v>367</v>
      </c>
      <c r="HA678" s="5">
        <v>0</v>
      </c>
      <c r="HB678" s="5"/>
      <c r="HC678" s="5"/>
      <c r="HD678" s="5" t="b">
        <v>0</v>
      </c>
      <c r="HE678" s="5">
        <v>0</v>
      </c>
      <c r="HF678" s="5" t="b">
        <v>1</v>
      </c>
      <c r="HG678" s="5">
        <v>0</v>
      </c>
      <c r="HH678" s="5">
        <v>0</v>
      </c>
      <c r="HI678" s="5">
        <v>0</v>
      </c>
      <c r="HJ678" s="5">
        <v>0</v>
      </c>
      <c r="HK678" s="5" t="b">
        <v>0</v>
      </c>
      <c r="HL678" s="5">
        <v>0</v>
      </c>
      <c r="HM678" s="5">
        <v>0</v>
      </c>
      <c r="HN678" s="5" t="s">
        <v>367</v>
      </c>
      <c r="HO678" s="5" t="s">
        <v>360</v>
      </c>
      <c r="HP678" s="5">
        <v>0</v>
      </c>
      <c r="HQ678" s="5">
        <v>0</v>
      </c>
      <c r="HR678" s="5">
        <v>0</v>
      </c>
      <c r="HS678" s="5">
        <v>0</v>
      </c>
      <c r="HT678" s="5" t="b">
        <v>0</v>
      </c>
      <c r="HW678" t="b">
        <v>1</v>
      </c>
    </row>
    <row r="679" spans="1:228">
      <c r="A679"/>
      <c r="B679" s="1">
        <f>10000000+INDEX(编号表!$B$1:$B$112,MATCH(D679,编号表!$A$1:$A$112,0))*10000+I679</f>
        <v>10330006</v>
      </c>
      <c r="C679" s="5" t="s">
        <v>539</v>
      </c>
      <c r="D679" s="5" t="s">
        <v>539</v>
      </c>
      <c r="E679" s="5" t="s">
        <v>360</v>
      </c>
      <c r="F679" s="5" t="s">
        <v>349</v>
      </c>
      <c r="G679" s="5" t="b">
        <v>0</v>
      </c>
      <c r="H679" s="5" t="b">
        <v>1</v>
      </c>
      <c r="I679" s="5">
        <v>6</v>
      </c>
      <c r="J679" s="5">
        <v>103300</v>
      </c>
      <c r="K679" s="5" t="s">
        <v>350</v>
      </c>
      <c r="L679" s="5">
        <v>0</v>
      </c>
      <c r="M679" s="5">
        <v>0</v>
      </c>
      <c r="N679" s="5" t="s">
        <v>535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/>
      <c r="V679" s="5">
        <v>0</v>
      </c>
      <c r="W679" s="5">
        <v>0</v>
      </c>
      <c r="X679" s="5" t="inlineStr">
        <is>
          <t xml:space="preserve">目标方向</t>
        </is>
      </c>
      <c r="Y679" s="5" t="inlineStr">
        <is>
          <t xml:space="preserve">线形</t>
        </is>
      </c>
      <c r="Z679" s="5" t="inlineStr">
        <is>
          <t xml:space="preserve">敌对</t>
        </is>
      </c>
      <c r="AA679" s="5">
        <v>0</v>
      </c>
      <c r="AB679" s="5">
        <v>0</v>
      </c>
      <c r="AC679" s="5" t="b">
        <v>0</v>
      </c>
      <c r="AD679" s="5" t="inlineStr">
        <is>
          <t xml:space="preserve">最近</t>
        </is>
      </c>
      <c r="AE679" s="5"/>
      <c r="AF679" s="5"/>
      <c r="AG679" s="5"/>
      <c r="AH679" s="5">
        <v>750</v>
      </c>
      <c r="AI679" s="5">
        <v>300</v>
      </c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 t="s">
        <v>356</v>
      </c>
      <c r="AZ679" s="5">
        <v>11600</v>
      </c>
      <c r="BA679" s="5" t="s">
        <v>357</v>
      </c>
      <c r="BB679" s="5" t="s">
        <v>354</v>
      </c>
      <c r="BC679" s="5">
        <v>10000</v>
      </c>
      <c r="BD679" s="5">
        <v>0</v>
      </c>
      <c r="BE679" s="5" t="s">
        <v>358</v>
      </c>
      <c r="BF679" s="5">
        <v>0</v>
      </c>
      <c r="BG679" s="5" t="s">
        <v>356</v>
      </c>
      <c r="BH679" s="5">
        <v>900</v>
      </c>
      <c r="BI679" s="5">
        <v>1</v>
      </c>
      <c r="BJ679" s="5" t="b">
        <v>1</v>
      </c>
      <c r="BK679" s="5">
        <v>0</v>
      </c>
      <c r="BL679" s="5">
        <v>10000</v>
      </c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  <c r="EC679" s="5"/>
      <c r="ED679" s="5"/>
      <c r="EE679" s="5"/>
      <c r="EF679" s="5"/>
      <c r="EG679" s="5"/>
      <c r="EH679" s="5"/>
      <c r="EI679" s="5"/>
      <c r="EJ679" s="5"/>
      <c r="EK679" s="5"/>
      <c r="EL679" s="5"/>
      <c r="EM679" s="5"/>
      <c r="EN679" s="5"/>
      <c r="EO679" s="5"/>
      <c r="EP679" s="5"/>
      <c r="EQ679" s="5"/>
      <c r="ER679" s="5"/>
      <c r="ES679" s="5"/>
      <c r="ET679" s="5"/>
      <c r="EU679" s="5"/>
      <c r="EV679" s="5"/>
      <c r="EY679" s="5"/>
      <c r="EZ679" s="5"/>
      <c r="FA679" s="5"/>
      <c r="FB679" s="5"/>
      <c r="FC679" s="5"/>
      <c r="FD679" s="5"/>
      <c r="FE679" s="5"/>
      <c r="FF679" s="5"/>
      <c r="FG679" s="5"/>
      <c r="FH679" s="5"/>
      <c r="FI679" s="5"/>
      <c r="FJ679" s="5"/>
      <c r="FK679" s="5"/>
      <c r="FL679" s="5"/>
      <c r="FM679" s="5"/>
      <c r="FN679" s="5"/>
      <c r="FO679" s="5"/>
      <c r="FP679" s="5"/>
      <c r="FQ679" s="5"/>
      <c r="FR679" s="5"/>
      <c r="FS679" s="5"/>
      <c r="FT679" s="5"/>
      <c r="FU679" s="5"/>
      <c r="FV679" s="5"/>
      <c r="FW679" s="5"/>
      <c r="FX679" s="5"/>
      <c r="FY679" s="5"/>
      <c r="FZ679" s="5"/>
      <c r="GA679" s="5"/>
      <c r="GB679" s="5"/>
      <c r="GC679" s="5"/>
      <c r="GD679" s="5"/>
      <c r="GE679" s="5"/>
      <c r="GF679" s="5"/>
      <c r="GG679" s="5"/>
      <c r="GH679" s="5"/>
      <c r="GI679" s="5"/>
      <c r="GJ679" s="5"/>
      <c r="GK679" s="5"/>
      <c r="GL679" s="5"/>
      <c r="GM679" s="5"/>
      <c r="GN679" s="5"/>
      <c r="GO679" s="5"/>
      <c r="GP679" s="5"/>
      <c r="GQ679" s="5"/>
      <c r="GR679" s="5"/>
      <c r="GS679" s="5"/>
      <c r="GT679" s="5"/>
      <c r="GU679" s="5"/>
      <c r="GX679" s="5">
        <v>0</v>
      </c>
      <c r="GY679" s="5">
        <v>0</v>
      </c>
      <c r="GZ679" s="5" t="s">
        <v>367</v>
      </c>
      <c r="HA679" s="5">
        <v>0</v>
      </c>
      <c r="HB679" s="5"/>
      <c r="HC679" s="5"/>
      <c r="HD679" s="5" t="b">
        <v>0</v>
      </c>
      <c r="HE679" s="5">
        <v>0</v>
      </c>
      <c r="HF679" s="5" t="b">
        <v>1</v>
      </c>
      <c r="HG679" s="5">
        <v>0</v>
      </c>
      <c r="HH679" s="5">
        <v>0</v>
      </c>
      <c r="HI679" s="5">
        <v>0</v>
      </c>
      <c r="HJ679" s="5">
        <v>0</v>
      </c>
      <c r="HK679" s="5" t="b">
        <v>0</v>
      </c>
      <c r="HL679" s="5">
        <v>0</v>
      </c>
      <c r="HM679" s="5">
        <v>0</v>
      </c>
      <c r="HN679" s="5" t="s">
        <v>367</v>
      </c>
      <c r="HO679" s="5" t="s">
        <v>360</v>
      </c>
      <c r="HP679" s="5">
        <v>0</v>
      </c>
      <c r="HQ679" s="5">
        <v>0</v>
      </c>
      <c r="HR679" s="5">
        <v>0</v>
      </c>
      <c r="HS679" s="5">
        <v>0</v>
      </c>
      <c r="HT679" s="5" t="b">
        <v>0</v>
      </c>
      <c r="HW679" t="b">
        <v>1</v>
      </c>
    </row>
    <row r="680" spans="1:228">
      <c r="A680"/>
      <c r="B680" s="1">
        <f>10000000+INDEX(编号表!$B$1:$B$112,MATCH(D680,编号表!$A$1:$A$112,0))*10000+I680</f>
        <v>10330007</v>
      </c>
      <c r="C680" s="5" t="s">
        <v>539</v>
      </c>
      <c r="D680" s="5" t="s">
        <v>539</v>
      </c>
      <c r="E680" s="5" t="s">
        <v>360</v>
      </c>
      <c r="F680" s="5" t="s">
        <v>349</v>
      </c>
      <c r="G680" s="5" t="b">
        <v>0</v>
      </c>
      <c r="H680" s="5" t="b">
        <v>1</v>
      </c>
      <c r="I680" s="5">
        <v>7</v>
      </c>
      <c r="J680" s="5">
        <v>103300</v>
      </c>
      <c r="K680" s="5" t="s">
        <v>350</v>
      </c>
      <c r="L680" s="5">
        <v>0</v>
      </c>
      <c r="M680" s="5">
        <v>0</v>
      </c>
      <c r="N680" s="5" t="s">
        <v>535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/>
      <c r="V680" s="5">
        <v>0</v>
      </c>
      <c r="W680" s="5">
        <v>0</v>
      </c>
      <c r="X680" s="5" t="inlineStr">
        <is>
          <t xml:space="preserve">目标方向</t>
        </is>
      </c>
      <c r="Y680" s="5" t="inlineStr">
        <is>
          <t xml:space="preserve">线形</t>
        </is>
      </c>
      <c r="Z680" s="5" t="inlineStr">
        <is>
          <t xml:space="preserve">敌对</t>
        </is>
      </c>
      <c r="AA680" s="5">
        <v>0</v>
      </c>
      <c r="AB680" s="5">
        <v>0</v>
      </c>
      <c r="AC680" s="5" t="b">
        <v>0</v>
      </c>
      <c r="AD680" s="5" t="inlineStr">
        <is>
          <t xml:space="preserve">最近</t>
        </is>
      </c>
      <c r="AE680" s="5"/>
      <c r="AF680" s="5"/>
      <c r="AG680" s="5"/>
      <c r="AH680" s="5">
        <v>750</v>
      </c>
      <c r="AI680" s="5">
        <v>300</v>
      </c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 t="s">
        <v>356</v>
      </c>
      <c r="AZ680" s="5">
        <v>11700</v>
      </c>
      <c r="BA680" s="5" t="s">
        <v>357</v>
      </c>
      <c r="BB680" s="5" t="s">
        <v>354</v>
      </c>
      <c r="BC680" s="5">
        <v>10000</v>
      </c>
      <c r="BD680" s="5">
        <v>0</v>
      </c>
      <c r="BE680" s="5" t="s">
        <v>358</v>
      </c>
      <c r="BF680" s="5">
        <v>0</v>
      </c>
      <c r="BG680" s="5" t="s">
        <v>356</v>
      </c>
      <c r="BH680" s="5">
        <v>900</v>
      </c>
      <c r="BI680" s="5">
        <v>1</v>
      </c>
      <c r="BJ680" s="5" t="b">
        <v>1</v>
      </c>
      <c r="BK680" s="5">
        <v>0</v>
      </c>
      <c r="BL680" s="5">
        <v>10000</v>
      </c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  <c r="EC680" s="5"/>
      <c r="ED680" s="5"/>
      <c r="EE680" s="5"/>
      <c r="EF680" s="5"/>
      <c r="EG680" s="5"/>
      <c r="EH680" s="5"/>
      <c r="EI680" s="5"/>
      <c r="EJ680" s="5"/>
      <c r="EK680" s="5"/>
      <c r="EL680" s="5"/>
      <c r="EM680" s="5"/>
      <c r="EN680" s="5"/>
      <c r="EO680" s="5"/>
      <c r="EP680" s="5"/>
      <c r="EQ680" s="5"/>
      <c r="ER680" s="5"/>
      <c r="ES680" s="5"/>
      <c r="ET680" s="5"/>
      <c r="EU680" s="5"/>
      <c r="EV680" s="5"/>
      <c r="EY680" s="5"/>
      <c r="EZ680" s="5"/>
      <c r="FA680" s="5"/>
      <c r="FB680" s="5"/>
      <c r="FC680" s="5"/>
      <c r="FD680" s="5"/>
      <c r="FE680" s="5"/>
      <c r="FF680" s="5"/>
      <c r="FG680" s="5"/>
      <c r="FH680" s="5"/>
      <c r="FI680" s="5"/>
      <c r="FJ680" s="5"/>
      <c r="FK680" s="5"/>
      <c r="FL680" s="5"/>
      <c r="FM680" s="5"/>
      <c r="FN680" s="5"/>
      <c r="FO680" s="5"/>
      <c r="FP680" s="5"/>
      <c r="FQ680" s="5"/>
      <c r="FR680" s="5"/>
      <c r="FS680" s="5"/>
      <c r="FT680" s="5"/>
      <c r="FU680" s="5"/>
      <c r="FV680" s="5"/>
      <c r="FW680" s="5"/>
      <c r="FX680" s="5"/>
      <c r="FY680" s="5"/>
      <c r="FZ680" s="5"/>
      <c r="GA680" s="5"/>
      <c r="GB680" s="5"/>
      <c r="GC680" s="5"/>
      <c r="GD680" s="5"/>
      <c r="GE680" s="5"/>
      <c r="GF680" s="5"/>
      <c r="GG680" s="5"/>
      <c r="GH680" s="5"/>
      <c r="GI680" s="5"/>
      <c r="GJ680" s="5"/>
      <c r="GK680" s="5"/>
      <c r="GL680" s="5"/>
      <c r="GM680" s="5"/>
      <c r="GN680" s="5"/>
      <c r="GO680" s="5"/>
      <c r="GP680" s="5"/>
      <c r="GQ680" s="5"/>
      <c r="GR680" s="5"/>
      <c r="GS680" s="5"/>
      <c r="GT680" s="5"/>
      <c r="GU680" s="5"/>
      <c r="GX680" s="5">
        <v>0</v>
      </c>
      <c r="GY680" s="5">
        <v>0</v>
      </c>
      <c r="GZ680" s="5" t="s">
        <v>367</v>
      </c>
      <c r="HA680" s="5">
        <v>0</v>
      </c>
      <c r="HB680" s="5"/>
      <c r="HC680" s="5"/>
      <c r="HD680" s="5" t="b">
        <v>0</v>
      </c>
      <c r="HE680" s="5">
        <v>0</v>
      </c>
      <c r="HF680" s="5" t="b">
        <v>1</v>
      </c>
      <c r="HG680" s="5">
        <v>0</v>
      </c>
      <c r="HH680" s="5">
        <v>0</v>
      </c>
      <c r="HI680" s="5">
        <v>0</v>
      </c>
      <c r="HJ680" s="5">
        <v>0</v>
      </c>
      <c r="HK680" s="5" t="b">
        <v>0</v>
      </c>
      <c r="HL680" s="5">
        <v>0</v>
      </c>
      <c r="HM680" s="5">
        <v>0</v>
      </c>
      <c r="HN680" s="5" t="s">
        <v>367</v>
      </c>
      <c r="HO680" s="5" t="s">
        <v>360</v>
      </c>
      <c r="HP680" s="5">
        <v>0</v>
      </c>
      <c r="HQ680" s="5">
        <v>0</v>
      </c>
      <c r="HR680" s="5">
        <v>0</v>
      </c>
      <c r="HS680" s="5">
        <v>0</v>
      </c>
      <c r="HT680" s="5" t="b">
        <v>0</v>
      </c>
      <c r="HW680" t="b">
        <v>1</v>
      </c>
    </row>
    <row r="681" spans="1:228">
      <c r="A681"/>
      <c r="B681" s="1">
        <f>10000000+INDEX(编号表!$B$1:$B$112,MATCH(D681,编号表!$A$1:$A$112,0))*10000+I681</f>
        <v>10330008</v>
      </c>
      <c r="C681" s="5" t="s">
        <v>539</v>
      </c>
      <c r="D681" s="5" t="s">
        <v>539</v>
      </c>
      <c r="E681" s="5" t="s">
        <v>360</v>
      </c>
      <c r="F681" s="5" t="s">
        <v>349</v>
      </c>
      <c r="G681" s="5" t="b">
        <v>0</v>
      </c>
      <c r="H681" s="5" t="b">
        <v>1</v>
      </c>
      <c r="I681" s="5">
        <v>8</v>
      </c>
      <c r="J681" s="5">
        <v>103300</v>
      </c>
      <c r="K681" s="5" t="s">
        <v>350</v>
      </c>
      <c r="L681" s="5">
        <v>0</v>
      </c>
      <c r="M681" s="5">
        <v>0</v>
      </c>
      <c r="N681" s="5" t="s">
        <v>535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/>
      <c r="V681" s="5">
        <v>0</v>
      </c>
      <c r="W681" s="5">
        <v>0</v>
      </c>
      <c r="X681" s="5" t="inlineStr">
        <is>
          <t xml:space="preserve">目标方向</t>
        </is>
      </c>
      <c r="Y681" s="5" t="inlineStr">
        <is>
          <t xml:space="preserve">线形</t>
        </is>
      </c>
      <c r="Z681" s="5" t="inlineStr">
        <is>
          <t xml:space="preserve">敌对</t>
        </is>
      </c>
      <c r="AA681" s="5">
        <v>0</v>
      </c>
      <c r="AB681" s="5">
        <v>0</v>
      </c>
      <c r="AC681" s="5" t="b">
        <v>0</v>
      </c>
      <c r="AD681" s="5" t="inlineStr">
        <is>
          <t xml:space="preserve">最近</t>
        </is>
      </c>
      <c r="AE681" s="5"/>
      <c r="AF681" s="5"/>
      <c r="AG681" s="5"/>
      <c r="AH681" s="5">
        <v>750</v>
      </c>
      <c r="AI681" s="5">
        <v>300</v>
      </c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 t="s">
        <v>356</v>
      </c>
      <c r="AZ681" s="5">
        <v>11800</v>
      </c>
      <c r="BA681" s="5" t="s">
        <v>357</v>
      </c>
      <c r="BB681" s="5" t="s">
        <v>354</v>
      </c>
      <c r="BC681" s="5">
        <v>10000</v>
      </c>
      <c r="BD681" s="5">
        <v>0</v>
      </c>
      <c r="BE681" s="5" t="s">
        <v>358</v>
      </c>
      <c r="BF681" s="5">
        <v>0</v>
      </c>
      <c r="BG681" s="5" t="s">
        <v>356</v>
      </c>
      <c r="BH681" s="5">
        <v>900</v>
      </c>
      <c r="BI681" s="5">
        <v>2</v>
      </c>
      <c r="BJ681" s="5" t="b">
        <v>1</v>
      </c>
      <c r="BK681" s="5">
        <v>0</v>
      </c>
      <c r="BL681" s="5">
        <v>10000</v>
      </c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  <c r="EC681" s="5"/>
      <c r="ED681" s="5"/>
      <c r="EE681" s="5"/>
      <c r="EF681" s="5"/>
      <c r="EG681" s="5"/>
      <c r="EH681" s="5"/>
      <c r="EI681" s="5"/>
      <c r="EJ681" s="5"/>
      <c r="EK681" s="5"/>
      <c r="EL681" s="5"/>
      <c r="EM681" s="5"/>
      <c r="EN681" s="5"/>
      <c r="EO681" s="5"/>
      <c r="EP681" s="5"/>
      <c r="EQ681" s="5"/>
      <c r="ER681" s="5"/>
      <c r="ES681" s="5"/>
      <c r="ET681" s="5"/>
      <c r="EU681" s="5"/>
      <c r="EV681" s="5"/>
      <c r="EY681" s="5"/>
      <c r="EZ681" s="5"/>
      <c r="FA681" s="5"/>
      <c r="FB681" s="5"/>
      <c r="FC681" s="5"/>
      <c r="FD681" s="5"/>
      <c r="FE681" s="5"/>
      <c r="FF681" s="5"/>
      <c r="FG681" s="5"/>
      <c r="FH681" s="5"/>
      <c r="FI681" s="5"/>
      <c r="FJ681" s="5"/>
      <c r="FK681" s="5"/>
      <c r="FL681" s="5"/>
      <c r="FM681" s="5"/>
      <c r="FN681" s="5"/>
      <c r="FO681" s="5"/>
      <c r="FP681" s="5"/>
      <c r="FQ681" s="5"/>
      <c r="FR681" s="5"/>
      <c r="FS681" s="5"/>
      <c r="FT681" s="5"/>
      <c r="FU681" s="5"/>
      <c r="FV681" s="5"/>
      <c r="FW681" s="5"/>
      <c r="FX681" s="5"/>
      <c r="FY681" s="5"/>
      <c r="FZ681" s="5"/>
      <c r="GA681" s="5"/>
      <c r="GB681" s="5"/>
      <c r="GC681" s="5"/>
      <c r="GD681" s="5"/>
      <c r="GE681" s="5"/>
      <c r="GF681" s="5"/>
      <c r="GG681" s="5"/>
      <c r="GH681" s="5"/>
      <c r="GI681" s="5"/>
      <c r="GJ681" s="5"/>
      <c r="GK681" s="5"/>
      <c r="GL681" s="5"/>
      <c r="GM681" s="5"/>
      <c r="GN681" s="5"/>
      <c r="GO681" s="5"/>
      <c r="GP681" s="5"/>
      <c r="GQ681" s="5"/>
      <c r="GR681" s="5"/>
      <c r="GS681" s="5"/>
      <c r="GT681" s="5"/>
      <c r="GU681" s="5"/>
      <c r="GX681" s="5">
        <v>0</v>
      </c>
      <c r="GY681" s="5">
        <v>0</v>
      </c>
      <c r="GZ681" s="5" t="s">
        <v>367</v>
      </c>
      <c r="HA681" s="5">
        <v>0</v>
      </c>
      <c r="HB681" s="5"/>
      <c r="HC681" s="5"/>
      <c r="HD681" s="5" t="b">
        <v>0</v>
      </c>
      <c r="HE681" s="5">
        <v>0</v>
      </c>
      <c r="HF681" s="5" t="b">
        <v>1</v>
      </c>
      <c r="HG681" s="5">
        <v>0</v>
      </c>
      <c r="HH681" s="5">
        <v>0</v>
      </c>
      <c r="HI681" s="5">
        <v>0</v>
      </c>
      <c r="HJ681" s="5">
        <v>0</v>
      </c>
      <c r="HK681" s="5" t="b">
        <v>0</v>
      </c>
      <c r="HL681" s="5">
        <v>0</v>
      </c>
      <c r="HM681" s="5">
        <v>0</v>
      </c>
      <c r="HN681" s="5" t="s">
        <v>367</v>
      </c>
      <c r="HO681" s="5" t="s">
        <v>360</v>
      </c>
      <c r="HP681" s="5">
        <v>0</v>
      </c>
      <c r="HQ681" s="5">
        <v>0</v>
      </c>
      <c r="HR681" s="5">
        <v>0</v>
      </c>
      <c r="HS681" s="5">
        <v>0</v>
      </c>
      <c r="HT681" s="5" t="b">
        <v>0</v>
      </c>
      <c r="HW681" t="b">
        <v>1</v>
      </c>
    </row>
    <row r="682" spans="1:228">
      <c r="A682"/>
      <c r="B682" s="1">
        <f>10000000+INDEX(编号表!$B$1:$B$112,MATCH(D682,编号表!$A$1:$A$112,0))*10000+I682</f>
        <v>10330009</v>
      </c>
      <c r="C682" s="5" t="s">
        <v>539</v>
      </c>
      <c r="D682" s="5" t="s">
        <v>539</v>
      </c>
      <c r="E682" s="5" t="s">
        <v>360</v>
      </c>
      <c r="F682" s="5" t="s">
        <v>349</v>
      </c>
      <c r="G682" s="5" t="b">
        <v>0</v>
      </c>
      <c r="H682" s="5" t="b">
        <v>1</v>
      </c>
      <c r="I682" s="5">
        <v>9</v>
      </c>
      <c r="J682" s="5">
        <v>103300</v>
      </c>
      <c r="K682" s="5" t="s">
        <v>350</v>
      </c>
      <c r="L682" s="5">
        <v>0</v>
      </c>
      <c r="M682" s="5">
        <v>0</v>
      </c>
      <c r="N682" s="5" t="s">
        <v>535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/>
      <c r="V682" s="5">
        <v>0</v>
      </c>
      <c r="W682" s="5">
        <v>0</v>
      </c>
      <c r="X682" s="5" t="inlineStr">
        <is>
          <t xml:space="preserve">目标方向</t>
        </is>
      </c>
      <c r="Y682" s="5" t="inlineStr">
        <is>
          <t xml:space="preserve">线形</t>
        </is>
      </c>
      <c r="Z682" s="5" t="inlineStr">
        <is>
          <t xml:space="preserve">敌对</t>
        </is>
      </c>
      <c r="AA682" s="5">
        <v>0</v>
      </c>
      <c r="AB682" s="5">
        <v>0</v>
      </c>
      <c r="AC682" s="5" t="b">
        <v>0</v>
      </c>
      <c r="AD682" s="5" t="inlineStr">
        <is>
          <t xml:space="preserve">最近</t>
        </is>
      </c>
      <c r="AE682" s="5"/>
      <c r="AF682" s="5"/>
      <c r="AG682" s="5"/>
      <c r="AH682" s="5">
        <v>750</v>
      </c>
      <c r="AI682" s="5">
        <v>300</v>
      </c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 t="s">
        <v>356</v>
      </c>
      <c r="AZ682" s="5">
        <v>11900</v>
      </c>
      <c r="BA682" s="5" t="s">
        <v>357</v>
      </c>
      <c r="BB682" s="5" t="s">
        <v>354</v>
      </c>
      <c r="BC682" s="5">
        <v>10000</v>
      </c>
      <c r="BD682" s="5">
        <v>0</v>
      </c>
      <c r="BE682" s="5" t="s">
        <v>358</v>
      </c>
      <c r="BF682" s="5">
        <v>0</v>
      </c>
      <c r="BG682" s="5" t="s">
        <v>356</v>
      </c>
      <c r="BH682" s="5">
        <v>900</v>
      </c>
      <c r="BI682" s="5">
        <v>2</v>
      </c>
      <c r="BJ682" s="5" t="b">
        <v>1</v>
      </c>
      <c r="BK682" s="5">
        <v>0</v>
      </c>
      <c r="BL682" s="5">
        <v>10000</v>
      </c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  <c r="DJ682" s="5"/>
      <c r="DK682" s="5"/>
      <c r="DL682" s="5"/>
      <c r="DM682" s="5"/>
      <c r="DN682" s="5"/>
      <c r="DO682" s="5"/>
      <c r="DP682" s="5"/>
      <c r="DQ682" s="5"/>
      <c r="DR682" s="5"/>
      <c r="DS682" s="5"/>
      <c r="DT682" s="5"/>
      <c r="DU682" s="5"/>
      <c r="DV682" s="5"/>
      <c r="DW682" s="5"/>
      <c r="DX682" s="5"/>
      <c r="DY682" s="5"/>
      <c r="DZ682" s="5"/>
      <c r="EA682" s="5"/>
      <c r="EB682" s="5"/>
      <c r="EC682" s="5"/>
      <c r="ED682" s="5"/>
      <c r="EE682" s="5"/>
      <c r="EF682" s="5"/>
      <c r="EG682" s="5"/>
      <c r="EH682" s="5"/>
      <c r="EI682" s="5"/>
      <c r="EJ682" s="5"/>
      <c r="EK682" s="5"/>
      <c r="EL682" s="5"/>
      <c r="EM682" s="5"/>
      <c r="EN682" s="5"/>
      <c r="EO682" s="5"/>
      <c r="EP682" s="5"/>
      <c r="EQ682" s="5"/>
      <c r="ER682" s="5"/>
      <c r="ES682" s="5"/>
      <c r="ET682" s="5"/>
      <c r="EU682" s="5"/>
      <c r="EV682" s="5"/>
      <c r="EY682" s="5"/>
      <c r="EZ682" s="5"/>
      <c r="FA682" s="5"/>
      <c r="FB682" s="5"/>
      <c r="FC682" s="5"/>
      <c r="FD682" s="5"/>
      <c r="FE682" s="5"/>
      <c r="FF682" s="5"/>
      <c r="FG682" s="5"/>
      <c r="FH682" s="5"/>
      <c r="FI682" s="5"/>
      <c r="FJ682" s="5"/>
      <c r="FK682" s="5"/>
      <c r="FL682" s="5"/>
      <c r="FM682" s="5"/>
      <c r="FN682" s="5"/>
      <c r="FO682" s="5"/>
      <c r="FP682" s="5"/>
      <c r="FQ682" s="5"/>
      <c r="FR682" s="5"/>
      <c r="FS682" s="5"/>
      <c r="FT682" s="5"/>
      <c r="FU682" s="5"/>
      <c r="FV682" s="5"/>
      <c r="FW682" s="5"/>
      <c r="FX682" s="5"/>
      <c r="FY682" s="5"/>
      <c r="FZ682" s="5"/>
      <c r="GA682" s="5"/>
      <c r="GB682" s="5"/>
      <c r="GC682" s="5"/>
      <c r="GD682" s="5"/>
      <c r="GE682" s="5"/>
      <c r="GF682" s="5"/>
      <c r="GG682" s="5"/>
      <c r="GH682" s="5"/>
      <c r="GI682" s="5"/>
      <c r="GJ682" s="5"/>
      <c r="GK682" s="5"/>
      <c r="GL682" s="5"/>
      <c r="GM682" s="5"/>
      <c r="GN682" s="5"/>
      <c r="GO682" s="5"/>
      <c r="GP682" s="5"/>
      <c r="GQ682" s="5"/>
      <c r="GR682" s="5"/>
      <c r="GS682" s="5"/>
      <c r="GT682" s="5"/>
      <c r="GU682" s="5"/>
      <c r="GX682" s="5">
        <v>0</v>
      </c>
      <c r="GY682" s="5">
        <v>0</v>
      </c>
      <c r="GZ682" s="5" t="s">
        <v>367</v>
      </c>
      <c r="HA682" s="5">
        <v>0</v>
      </c>
      <c r="HB682" s="5"/>
      <c r="HC682" s="5"/>
      <c r="HD682" s="5" t="b">
        <v>0</v>
      </c>
      <c r="HE682" s="5">
        <v>0</v>
      </c>
      <c r="HF682" s="5" t="b">
        <v>1</v>
      </c>
      <c r="HG682" s="5">
        <v>0</v>
      </c>
      <c r="HH682" s="5">
        <v>0</v>
      </c>
      <c r="HI682" s="5">
        <v>0</v>
      </c>
      <c r="HJ682" s="5">
        <v>0</v>
      </c>
      <c r="HK682" s="5" t="b">
        <v>0</v>
      </c>
      <c r="HL682" s="5">
        <v>0</v>
      </c>
      <c r="HM682" s="5">
        <v>0</v>
      </c>
      <c r="HN682" s="5" t="s">
        <v>367</v>
      </c>
      <c r="HO682" s="5" t="s">
        <v>360</v>
      </c>
      <c r="HP682" s="5">
        <v>0</v>
      </c>
      <c r="HQ682" s="5">
        <v>0</v>
      </c>
      <c r="HR682" s="5">
        <v>0</v>
      </c>
      <c r="HS682" s="5">
        <v>0</v>
      </c>
      <c r="HT682" s="5" t="b">
        <v>0</v>
      </c>
      <c r="HW682" t="b">
        <v>1</v>
      </c>
    </row>
    <row r="683" spans="1:228">
      <c r="A683"/>
      <c r="B683" s="1">
        <f>10000000+INDEX(编号表!$B$1:$B$112,MATCH(D683,编号表!$A$1:$A$112,0))*10000+I683</f>
        <v>10330010</v>
      </c>
      <c r="C683" s="5" t="s">
        <v>539</v>
      </c>
      <c r="D683" s="5" t="s">
        <v>539</v>
      </c>
      <c r="E683" s="5" t="s">
        <v>360</v>
      </c>
      <c r="F683" s="5" t="s">
        <v>349</v>
      </c>
      <c r="G683" s="5" t="b">
        <v>0</v>
      </c>
      <c r="H683" s="5" t="b">
        <v>1</v>
      </c>
      <c r="I683" s="5">
        <v>10</v>
      </c>
      <c r="J683" s="5">
        <v>103300</v>
      </c>
      <c r="K683" s="5" t="s">
        <v>350</v>
      </c>
      <c r="L683" s="5">
        <v>0</v>
      </c>
      <c r="M683" s="5">
        <v>0</v>
      </c>
      <c r="N683" s="5" t="s">
        <v>535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/>
      <c r="V683" s="5">
        <v>0</v>
      </c>
      <c r="W683" s="5">
        <v>0</v>
      </c>
      <c r="X683" s="5" t="inlineStr">
        <is>
          <t xml:space="preserve">目标方向</t>
        </is>
      </c>
      <c r="Y683" s="5" t="inlineStr">
        <is>
          <t xml:space="preserve">线形</t>
        </is>
      </c>
      <c r="Z683" s="5" t="inlineStr">
        <is>
          <t xml:space="preserve">敌对</t>
        </is>
      </c>
      <c r="AA683" s="5">
        <v>0</v>
      </c>
      <c r="AB683" s="5">
        <v>0</v>
      </c>
      <c r="AC683" s="5" t="b">
        <v>0</v>
      </c>
      <c r="AD683" s="5" t="inlineStr">
        <is>
          <t xml:space="preserve">最近</t>
        </is>
      </c>
      <c r="AE683" s="5"/>
      <c r="AF683" s="5"/>
      <c r="AG683" s="5"/>
      <c r="AH683" s="5">
        <v>750</v>
      </c>
      <c r="AI683" s="5">
        <v>300</v>
      </c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 t="s">
        <v>356</v>
      </c>
      <c r="AZ683" s="5">
        <v>12000</v>
      </c>
      <c r="BA683" s="5" t="s">
        <v>357</v>
      </c>
      <c r="BB683" s="5" t="s">
        <v>354</v>
      </c>
      <c r="BC683" s="5">
        <v>10000</v>
      </c>
      <c r="BD683" s="5">
        <v>0</v>
      </c>
      <c r="BE683" s="5" t="s">
        <v>358</v>
      </c>
      <c r="BF683" s="5">
        <v>0</v>
      </c>
      <c r="BG683" s="5" t="s">
        <v>356</v>
      </c>
      <c r="BH683" s="5">
        <v>900</v>
      </c>
      <c r="BI683" s="5">
        <v>2</v>
      </c>
      <c r="BJ683" s="5" t="b">
        <v>1</v>
      </c>
      <c r="BK683" s="5">
        <v>0</v>
      </c>
      <c r="BL683" s="5">
        <v>10000</v>
      </c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  <c r="DJ683" s="5"/>
      <c r="DK683" s="5"/>
      <c r="DL683" s="5"/>
      <c r="DM683" s="5"/>
      <c r="DN683" s="5"/>
      <c r="DO683" s="5"/>
      <c r="DP683" s="5"/>
      <c r="DQ683" s="5"/>
      <c r="DR683" s="5"/>
      <c r="DS683" s="5"/>
      <c r="DT683" s="5"/>
      <c r="DU683" s="5"/>
      <c r="DV683" s="5"/>
      <c r="DW683" s="5"/>
      <c r="DX683" s="5"/>
      <c r="DY683" s="5"/>
      <c r="DZ683" s="5"/>
      <c r="EA683" s="5"/>
      <c r="EB683" s="5"/>
      <c r="EC683" s="5"/>
      <c r="ED683" s="5"/>
      <c r="EE683" s="5"/>
      <c r="EF683" s="5"/>
      <c r="EG683" s="5"/>
      <c r="EH683" s="5"/>
      <c r="EI683" s="5"/>
      <c r="EJ683" s="5"/>
      <c r="EK683" s="5"/>
      <c r="EL683" s="5"/>
      <c r="EM683" s="5"/>
      <c r="EN683" s="5"/>
      <c r="EO683" s="5"/>
      <c r="EP683" s="5"/>
      <c r="EQ683" s="5"/>
      <c r="ER683" s="5"/>
      <c r="ES683" s="5"/>
      <c r="ET683" s="5"/>
      <c r="EU683" s="5"/>
      <c r="EV683" s="5"/>
      <c r="EY683" s="5"/>
      <c r="EZ683" s="5"/>
      <c r="FA683" s="5"/>
      <c r="FB683" s="5"/>
      <c r="FC683" s="5"/>
      <c r="FD683" s="5"/>
      <c r="FE683" s="5"/>
      <c r="FF683" s="5"/>
      <c r="FG683" s="5"/>
      <c r="FH683" s="5"/>
      <c r="FI683" s="5"/>
      <c r="FJ683" s="5"/>
      <c r="FK683" s="5"/>
      <c r="FL683" s="5"/>
      <c r="FM683" s="5"/>
      <c r="FN683" s="5"/>
      <c r="FO683" s="5"/>
      <c r="FP683" s="5"/>
      <c r="FQ683" s="5"/>
      <c r="FR683" s="5"/>
      <c r="FS683" s="5"/>
      <c r="FT683" s="5"/>
      <c r="FU683" s="5"/>
      <c r="FV683" s="5"/>
      <c r="FW683" s="5"/>
      <c r="FX683" s="5"/>
      <c r="FY683" s="5"/>
      <c r="FZ683" s="5"/>
      <c r="GA683" s="5"/>
      <c r="GB683" s="5"/>
      <c r="GC683" s="5"/>
      <c r="GD683" s="5"/>
      <c r="GE683" s="5"/>
      <c r="GF683" s="5"/>
      <c r="GG683" s="5"/>
      <c r="GH683" s="5"/>
      <c r="GI683" s="5"/>
      <c r="GJ683" s="5"/>
      <c r="GK683" s="5"/>
      <c r="GL683" s="5"/>
      <c r="GM683" s="5"/>
      <c r="GN683" s="5"/>
      <c r="GO683" s="5"/>
      <c r="GP683" s="5"/>
      <c r="GQ683" s="5"/>
      <c r="GR683" s="5"/>
      <c r="GS683" s="5"/>
      <c r="GT683" s="5"/>
      <c r="GU683" s="5"/>
      <c r="GX683" s="5">
        <v>0</v>
      </c>
      <c r="GY683" s="5">
        <v>0</v>
      </c>
      <c r="GZ683" s="5" t="s">
        <v>367</v>
      </c>
      <c r="HA683" s="5">
        <v>0</v>
      </c>
      <c r="HB683" s="5"/>
      <c r="HC683" s="5"/>
      <c r="HD683" s="5" t="b">
        <v>0</v>
      </c>
      <c r="HE683" s="5">
        <v>0</v>
      </c>
      <c r="HF683" s="5" t="b">
        <v>1</v>
      </c>
      <c r="HG683" s="5">
        <v>0</v>
      </c>
      <c r="HH683" s="5">
        <v>0</v>
      </c>
      <c r="HI683" s="5">
        <v>0</v>
      </c>
      <c r="HJ683" s="5">
        <v>0</v>
      </c>
      <c r="HK683" s="5" t="b">
        <v>0</v>
      </c>
      <c r="HL683" s="5">
        <v>0</v>
      </c>
      <c r="HM683" s="5">
        <v>0</v>
      </c>
      <c r="HN683" s="5" t="s">
        <v>367</v>
      </c>
      <c r="HO683" s="5" t="s">
        <v>360</v>
      </c>
      <c r="HP683" s="5">
        <v>0</v>
      </c>
      <c r="HQ683" s="5">
        <v>0</v>
      </c>
      <c r="HR683" s="5">
        <v>0</v>
      </c>
      <c r="HS683" s="5">
        <v>0</v>
      </c>
      <c r="HT683" s="5" t="b">
        <v>0</v>
      </c>
      <c r="HW683" t="b">
        <v>1</v>
      </c>
    </row>
    <row r="684" spans="1:228">
      <c r="A684"/>
      <c r="B684" s="1">
        <f>10000000+INDEX(编号表!$B$1:$B$112,MATCH(D684,编号表!$A$1:$A$112,0))*10000+I684</f>
        <v>10340001</v>
      </c>
      <c r="C684" s="5" t="s">
        <v>540</v>
      </c>
      <c r="D684" s="5" t="s">
        <v>540</v>
      </c>
      <c r="E684" s="5" t="s">
        <v>360</v>
      </c>
      <c r="F684" s="5" t="s">
        <v>391</v>
      </c>
      <c r="G684" s="5" t="b">
        <v>0</v>
      </c>
      <c r="H684" s="5" t="b">
        <v>1</v>
      </c>
      <c r="I684" s="5">
        <v>1</v>
      </c>
      <c r="J684" s="5">
        <v>103400</v>
      </c>
      <c r="K684" s="5" t="s">
        <v>350</v>
      </c>
      <c r="L684" s="5">
        <v>0</v>
      </c>
      <c r="M684" s="5">
        <v>0</v>
      </c>
      <c r="N684" s="5" t="s">
        <v>535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/>
      <c r="V684" s="5">
        <v>0</v>
      </c>
      <c r="W684" s="5">
        <v>0</v>
      </c>
      <c r="X684" s="5" t="s">
        <v>360</v>
      </c>
      <c r="Y684" s="5" t="s">
        <v>365</v>
      </c>
      <c r="Z684" s="5" t="s">
        <v>354</v>
      </c>
      <c r="AA684" s="5">
        <v>0</v>
      </c>
      <c r="AB684" s="5">
        <v>12</v>
      </c>
      <c r="AC684" s="5" t="b">
        <v>0</v>
      </c>
      <c r="AD684" s="5" t="s">
        <v>355</v>
      </c>
      <c r="AE684" s="5">
        <v>280</v>
      </c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 t="s">
        <v>381</v>
      </c>
      <c r="AZ684" s="5">
        <v>10000</v>
      </c>
      <c r="BA684" s="5" t="s">
        <v>357</v>
      </c>
      <c r="BB684" s="5" t="s">
        <v>354</v>
      </c>
      <c r="BC684" s="5">
        <v>10000</v>
      </c>
      <c r="BD684" s="5">
        <v>0</v>
      </c>
      <c r="BE684" s="5" t="s">
        <v>358</v>
      </c>
      <c r="BF684" s="5">
        <v>0</v>
      </c>
      <c r="BG684" s="5" t="s">
        <v>382</v>
      </c>
      <c r="BH684" s="5">
        <v>2500</v>
      </c>
      <c r="BI684" s="5">
        <v>0</v>
      </c>
      <c r="BJ684" s="5" t="b">
        <v>1</v>
      </c>
      <c r="BK684" s="5">
        <v>0</v>
      </c>
      <c r="BL684" s="5">
        <v>10000</v>
      </c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  <c r="DJ684" s="5"/>
      <c r="DK684" s="5"/>
      <c r="DL684" s="5"/>
      <c r="DM684" s="5"/>
      <c r="DN684" s="5"/>
      <c r="DO684" s="5"/>
      <c r="DP684" s="5"/>
      <c r="DQ684" s="5"/>
      <c r="DR684" s="5"/>
      <c r="DS684" s="5"/>
      <c r="DT684" s="5"/>
      <c r="DU684" s="5"/>
      <c r="DV684" s="5"/>
      <c r="DW684" s="5"/>
      <c r="DX684" s="5"/>
      <c r="DY684" s="5"/>
      <c r="DZ684" s="5"/>
      <c r="EA684" s="5"/>
      <c r="EB684" s="5"/>
      <c r="EC684" s="5"/>
      <c r="ED684" s="5"/>
      <c r="EE684" s="5"/>
      <c r="EF684" s="5"/>
      <c r="EG684" s="5"/>
      <c r="EH684" s="5"/>
      <c r="EI684" s="5"/>
      <c r="EJ684" s="5"/>
      <c r="EK684" s="5"/>
      <c r="EL684" s="5"/>
      <c r="EM684" s="5"/>
      <c r="EN684" s="5"/>
      <c r="EO684" s="5"/>
      <c r="EP684" s="5"/>
      <c r="EQ684" s="5"/>
      <c r="ER684" s="5"/>
      <c r="ES684" s="5"/>
      <c r="ET684" s="5"/>
      <c r="EU684" s="5"/>
      <c r="EV684" s="5"/>
      <c r="EY684" s="5"/>
      <c r="EZ684" s="5"/>
      <c r="FA684" s="5"/>
      <c r="FB684" s="5"/>
      <c r="FC684" s="5"/>
      <c r="FD684" s="5"/>
      <c r="FE684" s="5"/>
      <c r="FF684" s="5"/>
      <c r="FG684" s="5"/>
      <c r="FH684" s="5"/>
      <c r="FI684" s="5"/>
      <c r="FJ684" s="5"/>
      <c r="FK684" s="5"/>
      <c r="FL684" s="5"/>
      <c r="FM684" s="5"/>
      <c r="FN684" s="5"/>
      <c r="FO684" s="5"/>
      <c r="FP684" s="5"/>
      <c r="FQ684" s="5"/>
      <c r="FR684" s="5"/>
      <c r="FS684" s="5"/>
      <c r="FT684" s="5"/>
      <c r="FU684" s="5"/>
      <c r="FV684" s="5"/>
      <c r="FW684" s="5"/>
      <c r="FX684" s="5"/>
      <c r="FY684" s="5"/>
      <c r="FZ684" s="5"/>
      <c r="GA684" s="5"/>
      <c r="GB684" s="5"/>
      <c r="GC684" s="5"/>
      <c r="GD684" s="5"/>
      <c r="GE684" s="5"/>
      <c r="GF684" s="5"/>
      <c r="GG684" s="5"/>
      <c r="GH684" s="5"/>
      <c r="GI684" s="5"/>
      <c r="GJ684" s="5"/>
      <c r="GK684" s="5"/>
      <c r="GL684" s="5"/>
      <c r="GM684" s="5"/>
      <c r="GN684" s="5"/>
      <c r="GO684" s="5"/>
      <c r="GP684" s="5"/>
      <c r="GQ684" s="5"/>
      <c r="GR684" s="5"/>
      <c r="GS684" s="5"/>
      <c r="GT684" s="5"/>
      <c r="GU684" s="5"/>
      <c r="GX684" s="5">
        <v>0</v>
      </c>
      <c r="GY684" s="5">
        <v>0</v>
      </c>
      <c r="GZ684" s="5" t="s">
        <v>367</v>
      </c>
      <c r="HA684" s="5">
        <v>0</v>
      </c>
      <c r="HB684" s="5"/>
      <c r="HC684" s="5"/>
      <c r="HD684" s="5" t="b">
        <v>0</v>
      </c>
      <c r="HE684" s="5">
        <v>0</v>
      </c>
      <c r="HF684" s="5" t="b">
        <v>1</v>
      </c>
      <c r="HG684" s="5">
        <v>0</v>
      </c>
      <c r="HH684" s="5">
        <v>0</v>
      </c>
      <c r="HI684" s="5">
        <v>0</v>
      </c>
      <c r="HJ684" s="5">
        <v>0</v>
      </c>
      <c r="HK684" s="5" t="b">
        <v>0</v>
      </c>
      <c r="HL684" s="5">
        <v>0</v>
      </c>
      <c r="HM684" s="5">
        <v>0</v>
      </c>
      <c r="HN684" s="5" t="s">
        <v>367</v>
      </c>
      <c r="HO684" s="5" t="s">
        <v>360</v>
      </c>
      <c r="HP684" s="5">
        <v>0</v>
      </c>
      <c r="HQ684" s="5">
        <v>0</v>
      </c>
      <c r="HR684" s="5">
        <v>0</v>
      </c>
      <c r="HS684" s="5">
        <v>0</v>
      </c>
      <c r="HT684" s="5" t="b">
        <v>0</v>
      </c>
    </row>
    <row r="685" spans="1:228">
      <c r="A685"/>
      <c r="B685" s="1">
        <f>10000000+INDEX(编号表!$B$1:$B$112,MATCH(D685,编号表!$A$1:$A$112,0))*10000+I685</f>
        <v>10340002</v>
      </c>
      <c r="C685" s="5" t="s">
        <v>540</v>
      </c>
      <c r="D685" s="5" t="s">
        <v>540</v>
      </c>
      <c r="E685" s="5" t="s">
        <v>360</v>
      </c>
      <c r="F685" s="5" t="s">
        <v>391</v>
      </c>
      <c r="G685" s="5" t="b">
        <v>0</v>
      </c>
      <c r="H685" s="5" t="b">
        <v>1</v>
      </c>
      <c r="I685" s="5">
        <v>2</v>
      </c>
      <c r="J685" s="5">
        <v>103400</v>
      </c>
      <c r="K685" s="5" t="s">
        <v>350</v>
      </c>
      <c r="L685" s="5">
        <v>0</v>
      </c>
      <c r="M685" s="5">
        <v>0</v>
      </c>
      <c r="N685" s="5" t="s">
        <v>535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/>
      <c r="V685" s="5">
        <v>0</v>
      </c>
      <c r="W685" s="5">
        <v>0</v>
      </c>
      <c r="X685" s="5" t="s">
        <v>360</v>
      </c>
      <c r="Y685" s="5" t="s">
        <v>365</v>
      </c>
      <c r="Z685" s="5" t="s">
        <v>354</v>
      </c>
      <c r="AA685" s="5">
        <v>0</v>
      </c>
      <c r="AB685" s="5">
        <v>12</v>
      </c>
      <c r="AC685" s="5" t="b">
        <v>0</v>
      </c>
      <c r="AD685" s="5" t="s">
        <v>355</v>
      </c>
      <c r="AE685" s="5">
        <v>280</v>
      </c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 t="s">
        <v>381</v>
      </c>
      <c r="AZ685" s="5">
        <v>10400</v>
      </c>
      <c r="BA685" s="5" t="s">
        <v>357</v>
      </c>
      <c r="BB685" s="5" t="s">
        <v>354</v>
      </c>
      <c r="BC685" s="5">
        <v>10000</v>
      </c>
      <c r="BD685" s="5">
        <v>0</v>
      </c>
      <c r="BE685" s="5" t="s">
        <v>358</v>
      </c>
      <c r="BF685" s="5">
        <v>0</v>
      </c>
      <c r="BG685" s="5" t="s">
        <v>382</v>
      </c>
      <c r="BH685" s="5">
        <v>2500</v>
      </c>
      <c r="BI685" s="5">
        <v>0</v>
      </c>
      <c r="BJ685" s="5" t="b">
        <v>1</v>
      </c>
      <c r="BK685" s="5">
        <v>0</v>
      </c>
      <c r="BL685" s="5">
        <v>10000</v>
      </c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  <c r="DJ685" s="5"/>
      <c r="DK685" s="5"/>
      <c r="DL685" s="5"/>
      <c r="DM685" s="5"/>
      <c r="DN685" s="5"/>
      <c r="DO685" s="5"/>
      <c r="DP685" s="5"/>
      <c r="DQ685" s="5"/>
      <c r="DR685" s="5"/>
      <c r="DS685" s="5"/>
      <c r="DT685" s="5"/>
      <c r="DU685" s="5"/>
      <c r="DV685" s="5"/>
      <c r="DW685" s="5"/>
      <c r="DX685" s="5"/>
      <c r="DY685" s="5"/>
      <c r="DZ685" s="5"/>
      <c r="EA685" s="5"/>
      <c r="EB685" s="5"/>
      <c r="EC685" s="5"/>
      <c r="ED685" s="5"/>
      <c r="EE685" s="5"/>
      <c r="EF685" s="5"/>
      <c r="EG685" s="5"/>
      <c r="EH685" s="5"/>
      <c r="EI685" s="5"/>
      <c r="EJ685" s="5"/>
      <c r="EK685" s="5"/>
      <c r="EL685" s="5"/>
      <c r="EM685" s="5"/>
      <c r="EN685" s="5"/>
      <c r="EO685" s="5"/>
      <c r="EP685" s="5"/>
      <c r="EQ685" s="5"/>
      <c r="ER685" s="5"/>
      <c r="ES685" s="5"/>
      <c r="ET685" s="5"/>
      <c r="EU685" s="5"/>
      <c r="EV685" s="5"/>
      <c r="EY685" s="5"/>
      <c r="EZ685" s="5"/>
      <c r="FA685" s="5"/>
      <c r="FB685" s="5"/>
      <c r="FC685" s="5"/>
      <c r="FD685" s="5"/>
      <c r="FE685" s="5"/>
      <c r="FF685" s="5"/>
      <c r="FG685" s="5"/>
      <c r="FH685" s="5"/>
      <c r="FI685" s="5"/>
      <c r="FJ685" s="5"/>
      <c r="FK685" s="5"/>
      <c r="FL685" s="5"/>
      <c r="FM685" s="5"/>
      <c r="FN685" s="5"/>
      <c r="FO685" s="5"/>
      <c r="FP685" s="5"/>
      <c r="FQ685" s="5"/>
      <c r="FR685" s="5"/>
      <c r="FS685" s="5"/>
      <c r="FT685" s="5"/>
      <c r="FU685" s="5"/>
      <c r="FV685" s="5"/>
      <c r="FW685" s="5"/>
      <c r="FX685" s="5"/>
      <c r="FY685" s="5"/>
      <c r="FZ685" s="5"/>
      <c r="GA685" s="5"/>
      <c r="GB685" s="5"/>
      <c r="GC685" s="5"/>
      <c r="GD685" s="5"/>
      <c r="GE685" s="5"/>
      <c r="GF685" s="5"/>
      <c r="GG685" s="5"/>
      <c r="GH685" s="5"/>
      <c r="GI685" s="5"/>
      <c r="GJ685" s="5"/>
      <c r="GK685" s="5"/>
      <c r="GL685" s="5"/>
      <c r="GM685" s="5"/>
      <c r="GN685" s="5"/>
      <c r="GO685" s="5"/>
      <c r="GP685" s="5"/>
      <c r="GQ685" s="5"/>
      <c r="GR685" s="5"/>
      <c r="GS685" s="5"/>
      <c r="GT685" s="5"/>
      <c r="GU685" s="5"/>
      <c r="GX685" s="5">
        <v>0</v>
      </c>
      <c r="GY685" s="5">
        <v>0</v>
      </c>
      <c r="GZ685" s="5" t="s">
        <v>367</v>
      </c>
      <c r="HA685" s="5">
        <v>0</v>
      </c>
      <c r="HB685" s="5"/>
      <c r="HC685" s="5"/>
      <c r="HD685" s="5" t="b">
        <v>0</v>
      </c>
      <c r="HE685" s="5">
        <v>0</v>
      </c>
      <c r="HF685" s="5" t="b">
        <v>1</v>
      </c>
      <c r="HG685" s="5">
        <v>0</v>
      </c>
      <c r="HH685" s="5">
        <v>0</v>
      </c>
      <c r="HI685" s="5">
        <v>0</v>
      </c>
      <c r="HJ685" s="5">
        <v>0</v>
      </c>
      <c r="HK685" s="5" t="b">
        <v>0</v>
      </c>
      <c r="HL685" s="5">
        <v>0</v>
      </c>
      <c r="HM685" s="5">
        <v>0</v>
      </c>
      <c r="HN685" s="5" t="s">
        <v>367</v>
      </c>
      <c r="HO685" s="5" t="s">
        <v>360</v>
      </c>
      <c r="HP685" s="5">
        <v>0</v>
      </c>
      <c r="HQ685" s="5">
        <v>0</v>
      </c>
      <c r="HR685" s="5">
        <v>0</v>
      </c>
      <c r="HS685" s="5">
        <v>0</v>
      </c>
      <c r="HT685" s="5" t="b">
        <v>0</v>
      </c>
    </row>
    <row r="686" spans="1:228">
      <c r="A686"/>
      <c r="B686" s="1">
        <f>10000000+INDEX(编号表!$B$1:$B$112,MATCH(D686,编号表!$A$1:$A$112,0))*10000+I686</f>
        <v>10340003</v>
      </c>
      <c r="C686" s="5" t="s">
        <v>540</v>
      </c>
      <c r="D686" s="5" t="s">
        <v>540</v>
      </c>
      <c r="E686" s="5" t="s">
        <v>360</v>
      </c>
      <c r="F686" s="5" t="s">
        <v>391</v>
      </c>
      <c r="G686" s="5" t="b">
        <v>0</v>
      </c>
      <c r="H686" s="5" t="b">
        <v>1</v>
      </c>
      <c r="I686" s="5">
        <v>3</v>
      </c>
      <c r="J686" s="5">
        <v>103400</v>
      </c>
      <c r="K686" s="5" t="s">
        <v>350</v>
      </c>
      <c r="L686" s="5">
        <v>0</v>
      </c>
      <c r="M686" s="5">
        <v>0</v>
      </c>
      <c r="N686" s="5" t="s">
        <v>535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/>
      <c r="V686" s="5">
        <v>0</v>
      </c>
      <c r="W686" s="5">
        <v>0</v>
      </c>
      <c r="X686" s="5" t="s">
        <v>360</v>
      </c>
      <c r="Y686" s="5" t="s">
        <v>365</v>
      </c>
      <c r="Z686" s="5" t="s">
        <v>354</v>
      </c>
      <c r="AA686" s="5">
        <v>0</v>
      </c>
      <c r="AB686" s="5">
        <v>12</v>
      </c>
      <c r="AC686" s="5" t="b">
        <v>0</v>
      </c>
      <c r="AD686" s="5" t="s">
        <v>355</v>
      </c>
      <c r="AE686" s="5">
        <v>280</v>
      </c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 t="s">
        <v>381</v>
      </c>
      <c r="AZ686" s="5">
        <v>10800</v>
      </c>
      <c r="BA686" s="5" t="s">
        <v>357</v>
      </c>
      <c r="BB686" s="5" t="s">
        <v>354</v>
      </c>
      <c r="BC686" s="5">
        <v>10000</v>
      </c>
      <c r="BD686" s="5">
        <v>0</v>
      </c>
      <c r="BE686" s="5" t="s">
        <v>358</v>
      </c>
      <c r="BF686" s="5">
        <v>0</v>
      </c>
      <c r="BG686" s="5" t="s">
        <v>382</v>
      </c>
      <c r="BH686" s="5">
        <v>2500</v>
      </c>
      <c r="BI686" s="5">
        <v>0</v>
      </c>
      <c r="BJ686" s="5" t="b">
        <v>1</v>
      </c>
      <c r="BK686" s="5">
        <v>0</v>
      </c>
      <c r="BL686" s="5">
        <v>10000</v>
      </c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  <c r="DJ686" s="5"/>
      <c r="DK686" s="5"/>
      <c r="DL686" s="5"/>
      <c r="DM686" s="5"/>
      <c r="DN686" s="5"/>
      <c r="DO686" s="5"/>
      <c r="DP686" s="5"/>
      <c r="DQ686" s="5"/>
      <c r="DR686" s="5"/>
      <c r="DS686" s="5"/>
      <c r="DT686" s="5"/>
      <c r="DU686" s="5"/>
      <c r="DV686" s="5"/>
      <c r="DW686" s="5"/>
      <c r="DX686" s="5"/>
      <c r="DY686" s="5"/>
      <c r="DZ686" s="5"/>
      <c r="EA686" s="5"/>
      <c r="EB686" s="5"/>
      <c r="EC686" s="5"/>
      <c r="ED686" s="5"/>
      <c r="EE686" s="5"/>
      <c r="EF686" s="5"/>
      <c r="EG686" s="5"/>
      <c r="EH686" s="5"/>
      <c r="EI686" s="5"/>
      <c r="EJ686" s="5"/>
      <c r="EK686" s="5"/>
      <c r="EL686" s="5"/>
      <c r="EM686" s="5"/>
      <c r="EN686" s="5"/>
      <c r="EO686" s="5"/>
      <c r="EP686" s="5"/>
      <c r="EQ686" s="5"/>
      <c r="ER686" s="5"/>
      <c r="ES686" s="5"/>
      <c r="ET686" s="5"/>
      <c r="EU686" s="5"/>
      <c r="EV686" s="5"/>
      <c r="EY686" s="5"/>
      <c r="EZ686" s="5"/>
      <c r="FA686" s="5"/>
      <c r="FB686" s="5"/>
      <c r="FC686" s="5"/>
      <c r="FD686" s="5"/>
      <c r="FE686" s="5"/>
      <c r="FF686" s="5"/>
      <c r="FG686" s="5"/>
      <c r="FH686" s="5"/>
      <c r="FI686" s="5"/>
      <c r="FJ686" s="5"/>
      <c r="FK686" s="5"/>
      <c r="FL686" s="5"/>
      <c r="FM686" s="5"/>
      <c r="FN686" s="5"/>
      <c r="FO686" s="5"/>
      <c r="FP686" s="5"/>
      <c r="FQ686" s="5"/>
      <c r="FR686" s="5"/>
      <c r="FS686" s="5"/>
      <c r="FT686" s="5"/>
      <c r="FU686" s="5"/>
      <c r="FV686" s="5"/>
      <c r="FW686" s="5"/>
      <c r="FX686" s="5"/>
      <c r="FY686" s="5"/>
      <c r="FZ686" s="5"/>
      <c r="GA686" s="5"/>
      <c r="GB686" s="5"/>
      <c r="GC686" s="5"/>
      <c r="GD686" s="5"/>
      <c r="GE686" s="5"/>
      <c r="GF686" s="5"/>
      <c r="GG686" s="5"/>
      <c r="GH686" s="5"/>
      <c r="GI686" s="5"/>
      <c r="GJ686" s="5"/>
      <c r="GK686" s="5"/>
      <c r="GL686" s="5"/>
      <c r="GM686" s="5"/>
      <c r="GN686" s="5"/>
      <c r="GO686" s="5"/>
      <c r="GP686" s="5"/>
      <c r="GQ686" s="5"/>
      <c r="GR686" s="5"/>
      <c r="GS686" s="5"/>
      <c r="GT686" s="5"/>
      <c r="GU686" s="5"/>
      <c r="GX686" s="5">
        <v>0</v>
      </c>
      <c r="GY686" s="5">
        <v>0</v>
      </c>
      <c r="GZ686" s="5" t="s">
        <v>367</v>
      </c>
      <c r="HA686" s="5">
        <v>0</v>
      </c>
      <c r="HB686" s="5"/>
      <c r="HC686" s="5"/>
      <c r="HD686" s="5" t="b">
        <v>0</v>
      </c>
      <c r="HE686" s="5">
        <v>0</v>
      </c>
      <c r="HF686" s="5" t="b">
        <v>1</v>
      </c>
      <c r="HG686" s="5">
        <v>0</v>
      </c>
      <c r="HH686" s="5">
        <v>0</v>
      </c>
      <c r="HI686" s="5">
        <v>0</v>
      </c>
      <c r="HJ686" s="5">
        <v>0</v>
      </c>
      <c r="HK686" s="5" t="b">
        <v>0</v>
      </c>
      <c r="HL686" s="5">
        <v>0</v>
      </c>
      <c r="HM686" s="5">
        <v>0</v>
      </c>
      <c r="HN686" s="5" t="s">
        <v>367</v>
      </c>
      <c r="HO686" s="5" t="s">
        <v>360</v>
      </c>
      <c r="HP686" s="5">
        <v>0</v>
      </c>
      <c r="HQ686" s="5">
        <v>0</v>
      </c>
      <c r="HR686" s="5">
        <v>0</v>
      </c>
      <c r="HS686" s="5">
        <v>0</v>
      </c>
      <c r="HT686" s="5" t="b">
        <v>0</v>
      </c>
    </row>
    <row r="687" spans="1:228">
      <c r="A687"/>
      <c r="B687" s="1">
        <f>10000000+INDEX(编号表!$B$1:$B$112,MATCH(D687,编号表!$A$1:$A$112,0))*10000+I687</f>
        <v>10340004</v>
      </c>
      <c r="C687" s="5" t="s">
        <v>540</v>
      </c>
      <c r="D687" s="5" t="s">
        <v>540</v>
      </c>
      <c r="E687" s="5" t="s">
        <v>360</v>
      </c>
      <c r="F687" s="5" t="s">
        <v>391</v>
      </c>
      <c r="G687" s="5" t="b">
        <v>0</v>
      </c>
      <c r="H687" s="5" t="b">
        <v>1</v>
      </c>
      <c r="I687" s="5">
        <v>4</v>
      </c>
      <c r="J687" s="5">
        <v>103400</v>
      </c>
      <c r="K687" s="5" t="s">
        <v>350</v>
      </c>
      <c r="L687" s="5">
        <v>0</v>
      </c>
      <c r="M687" s="5">
        <v>0</v>
      </c>
      <c r="N687" s="5" t="s">
        <v>535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/>
      <c r="V687" s="5">
        <v>0</v>
      </c>
      <c r="W687" s="5">
        <v>0</v>
      </c>
      <c r="X687" s="5" t="s">
        <v>360</v>
      </c>
      <c r="Y687" s="5" t="s">
        <v>365</v>
      </c>
      <c r="Z687" s="5" t="s">
        <v>354</v>
      </c>
      <c r="AA687" s="5">
        <v>0</v>
      </c>
      <c r="AB687" s="5">
        <v>12</v>
      </c>
      <c r="AC687" s="5" t="b">
        <v>0</v>
      </c>
      <c r="AD687" s="5" t="s">
        <v>355</v>
      </c>
      <c r="AE687" s="5">
        <v>280</v>
      </c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 t="s">
        <v>381</v>
      </c>
      <c r="AZ687" s="5">
        <v>11200</v>
      </c>
      <c r="BA687" s="5" t="s">
        <v>357</v>
      </c>
      <c r="BB687" s="5" t="s">
        <v>354</v>
      </c>
      <c r="BC687" s="5">
        <v>10000</v>
      </c>
      <c r="BD687" s="5">
        <v>0</v>
      </c>
      <c r="BE687" s="5" t="s">
        <v>358</v>
      </c>
      <c r="BF687" s="5">
        <v>0</v>
      </c>
      <c r="BG687" s="5" t="s">
        <v>382</v>
      </c>
      <c r="BH687" s="5">
        <v>2500</v>
      </c>
      <c r="BI687" s="5">
        <v>1</v>
      </c>
      <c r="BJ687" s="5" t="b">
        <v>1</v>
      </c>
      <c r="BK687" s="5">
        <v>0</v>
      </c>
      <c r="BL687" s="5">
        <v>10000</v>
      </c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  <c r="DJ687" s="5"/>
      <c r="DK687" s="5"/>
      <c r="DL687" s="5"/>
      <c r="DM687" s="5"/>
      <c r="DN687" s="5"/>
      <c r="DO687" s="5"/>
      <c r="DP687" s="5"/>
      <c r="DQ687" s="5"/>
      <c r="DR687" s="5"/>
      <c r="DS687" s="5"/>
      <c r="DT687" s="5"/>
      <c r="DU687" s="5"/>
      <c r="DV687" s="5"/>
      <c r="DW687" s="5"/>
      <c r="DX687" s="5"/>
      <c r="DY687" s="5"/>
      <c r="DZ687" s="5"/>
      <c r="EA687" s="5"/>
      <c r="EB687" s="5"/>
      <c r="EC687" s="5"/>
      <c r="ED687" s="5"/>
      <c r="EE687" s="5"/>
      <c r="EF687" s="5"/>
      <c r="EG687" s="5"/>
      <c r="EH687" s="5"/>
      <c r="EI687" s="5"/>
      <c r="EJ687" s="5"/>
      <c r="EK687" s="5"/>
      <c r="EL687" s="5"/>
      <c r="EM687" s="5"/>
      <c r="EN687" s="5"/>
      <c r="EO687" s="5"/>
      <c r="EP687" s="5"/>
      <c r="EQ687" s="5"/>
      <c r="ER687" s="5"/>
      <c r="ES687" s="5"/>
      <c r="ET687" s="5"/>
      <c r="EU687" s="5"/>
      <c r="EV687" s="5"/>
      <c r="EY687" s="5"/>
      <c r="EZ687" s="5"/>
      <c r="FA687" s="5"/>
      <c r="FB687" s="5"/>
      <c r="FC687" s="5"/>
      <c r="FD687" s="5"/>
      <c r="FE687" s="5"/>
      <c r="FF687" s="5"/>
      <c r="FG687" s="5"/>
      <c r="FH687" s="5"/>
      <c r="FI687" s="5"/>
      <c r="FJ687" s="5"/>
      <c r="FK687" s="5"/>
      <c r="FL687" s="5"/>
      <c r="FM687" s="5"/>
      <c r="FN687" s="5"/>
      <c r="FO687" s="5"/>
      <c r="FP687" s="5"/>
      <c r="FQ687" s="5"/>
      <c r="FR687" s="5"/>
      <c r="FS687" s="5"/>
      <c r="FT687" s="5"/>
      <c r="FU687" s="5"/>
      <c r="FV687" s="5"/>
      <c r="FW687" s="5"/>
      <c r="FX687" s="5"/>
      <c r="FY687" s="5"/>
      <c r="FZ687" s="5"/>
      <c r="GA687" s="5"/>
      <c r="GB687" s="5"/>
      <c r="GC687" s="5"/>
      <c r="GD687" s="5"/>
      <c r="GE687" s="5"/>
      <c r="GF687" s="5"/>
      <c r="GG687" s="5"/>
      <c r="GH687" s="5"/>
      <c r="GI687" s="5"/>
      <c r="GJ687" s="5"/>
      <c r="GK687" s="5"/>
      <c r="GL687" s="5"/>
      <c r="GM687" s="5"/>
      <c r="GN687" s="5"/>
      <c r="GO687" s="5"/>
      <c r="GP687" s="5"/>
      <c r="GQ687" s="5"/>
      <c r="GR687" s="5"/>
      <c r="GS687" s="5"/>
      <c r="GT687" s="5"/>
      <c r="GU687" s="5"/>
      <c r="GX687" s="5">
        <v>0</v>
      </c>
      <c r="GY687" s="5">
        <v>0</v>
      </c>
      <c r="GZ687" s="5" t="s">
        <v>367</v>
      </c>
      <c r="HA687" s="5">
        <v>0</v>
      </c>
      <c r="HB687" s="5"/>
      <c r="HC687" s="5"/>
      <c r="HD687" s="5" t="b">
        <v>0</v>
      </c>
      <c r="HE687" s="5">
        <v>0</v>
      </c>
      <c r="HF687" s="5" t="b">
        <v>1</v>
      </c>
      <c r="HG687" s="5">
        <v>0</v>
      </c>
      <c r="HH687" s="5">
        <v>0</v>
      </c>
      <c r="HI687" s="5">
        <v>0</v>
      </c>
      <c r="HJ687" s="5">
        <v>0</v>
      </c>
      <c r="HK687" s="5" t="b">
        <v>0</v>
      </c>
      <c r="HL687" s="5">
        <v>0</v>
      </c>
      <c r="HM687" s="5">
        <v>0</v>
      </c>
      <c r="HN687" s="5" t="s">
        <v>367</v>
      </c>
      <c r="HO687" s="5" t="s">
        <v>360</v>
      </c>
      <c r="HP687" s="5">
        <v>0</v>
      </c>
      <c r="HQ687" s="5">
        <v>0</v>
      </c>
      <c r="HR687" s="5">
        <v>0</v>
      </c>
      <c r="HS687" s="5">
        <v>0</v>
      </c>
      <c r="HT687" s="5" t="b">
        <v>0</v>
      </c>
    </row>
    <row r="688" spans="1:228">
      <c r="A688"/>
      <c r="B688" s="1">
        <f>10000000+INDEX(编号表!$B$1:$B$112,MATCH(D688,编号表!$A$1:$A$112,0))*10000+I688</f>
        <v>10340005</v>
      </c>
      <c r="C688" s="5" t="s">
        <v>540</v>
      </c>
      <c r="D688" s="5" t="s">
        <v>540</v>
      </c>
      <c r="E688" s="5" t="s">
        <v>360</v>
      </c>
      <c r="F688" s="5" t="s">
        <v>391</v>
      </c>
      <c r="G688" s="5" t="b">
        <v>0</v>
      </c>
      <c r="H688" s="5" t="b">
        <v>1</v>
      </c>
      <c r="I688" s="5">
        <v>5</v>
      </c>
      <c r="J688" s="5">
        <v>103400</v>
      </c>
      <c r="K688" s="5" t="s">
        <v>350</v>
      </c>
      <c r="L688" s="5">
        <v>0</v>
      </c>
      <c r="M688" s="5">
        <v>0</v>
      </c>
      <c r="N688" s="5" t="s">
        <v>535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/>
      <c r="V688" s="5">
        <v>0</v>
      </c>
      <c r="W688" s="5">
        <v>0</v>
      </c>
      <c r="X688" s="5" t="s">
        <v>360</v>
      </c>
      <c r="Y688" s="5" t="s">
        <v>365</v>
      </c>
      <c r="Z688" s="5" t="s">
        <v>354</v>
      </c>
      <c r="AA688" s="5">
        <v>0</v>
      </c>
      <c r="AB688" s="5">
        <v>12</v>
      </c>
      <c r="AC688" s="5" t="b">
        <v>0</v>
      </c>
      <c r="AD688" s="5" t="s">
        <v>355</v>
      </c>
      <c r="AE688" s="5">
        <v>280</v>
      </c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 t="s">
        <v>381</v>
      </c>
      <c r="AZ688" s="5">
        <v>11300</v>
      </c>
      <c r="BA688" s="5" t="s">
        <v>357</v>
      </c>
      <c r="BB688" s="5" t="s">
        <v>354</v>
      </c>
      <c r="BC688" s="5">
        <v>10000</v>
      </c>
      <c r="BD688" s="5">
        <v>0</v>
      </c>
      <c r="BE688" s="5" t="s">
        <v>358</v>
      </c>
      <c r="BF688" s="5">
        <v>0</v>
      </c>
      <c r="BG688" s="5" t="s">
        <v>382</v>
      </c>
      <c r="BH688" s="5">
        <v>2500</v>
      </c>
      <c r="BI688" s="5">
        <v>1</v>
      </c>
      <c r="BJ688" s="5" t="b">
        <v>1</v>
      </c>
      <c r="BK688" s="5">
        <v>0</v>
      </c>
      <c r="BL688" s="5">
        <v>10000</v>
      </c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  <c r="DJ688" s="5"/>
      <c r="DK688" s="5"/>
      <c r="DL688" s="5"/>
      <c r="DM688" s="5"/>
      <c r="DN688" s="5"/>
      <c r="DO688" s="5"/>
      <c r="DP688" s="5"/>
      <c r="DQ688" s="5"/>
      <c r="DR688" s="5"/>
      <c r="DS688" s="5"/>
      <c r="DT688" s="5"/>
      <c r="DU688" s="5"/>
      <c r="DV688" s="5"/>
      <c r="DW688" s="5"/>
      <c r="DX688" s="5"/>
      <c r="DY688" s="5"/>
      <c r="DZ688" s="5"/>
      <c r="EA688" s="5"/>
      <c r="EB688" s="5"/>
      <c r="EC688" s="5"/>
      <c r="ED688" s="5"/>
      <c r="EE688" s="5"/>
      <c r="EF688" s="5"/>
      <c r="EG688" s="5"/>
      <c r="EH688" s="5"/>
      <c r="EI688" s="5"/>
      <c r="EJ688" s="5"/>
      <c r="EK688" s="5"/>
      <c r="EL688" s="5"/>
      <c r="EM688" s="5"/>
      <c r="EN688" s="5"/>
      <c r="EO688" s="5"/>
      <c r="EP688" s="5"/>
      <c r="EQ688" s="5"/>
      <c r="ER688" s="5"/>
      <c r="ES688" s="5"/>
      <c r="ET688" s="5"/>
      <c r="EU688" s="5"/>
      <c r="EV688" s="5"/>
      <c r="EY688" s="5"/>
      <c r="EZ688" s="5"/>
      <c r="FA688" s="5"/>
      <c r="FB688" s="5"/>
      <c r="FC688" s="5"/>
      <c r="FD688" s="5"/>
      <c r="FE688" s="5"/>
      <c r="FF688" s="5"/>
      <c r="FG688" s="5"/>
      <c r="FH688" s="5"/>
      <c r="FI688" s="5"/>
      <c r="FJ688" s="5"/>
      <c r="FK688" s="5"/>
      <c r="FL688" s="5"/>
      <c r="FM688" s="5"/>
      <c r="FN688" s="5"/>
      <c r="FO688" s="5"/>
      <c r="FP688" s="5"/>
      <c r="FQ688" s="5"/>
      <c r="FR688" s="5"/>
      <c r="FS688" s="5"/>
      <c r="FT688" s="5"/>
      <c r="FU688" s="5"/>
      <c r="FV688" s="5"/>
      <c r="FW688" s="5"/>
      <c r="FX688" s="5"/>
      <c r="FY688" s="5"/>
      <c r="FZ688" s="5"/>
      <c r="GA688" s="5"/>
      <c r="GB688" s="5"/>
      <c r="GC688" s="5"/>
      <c r="GD688" s="5"/>
      <c r="GE688" s="5"/>
      <c r="GF688" s="5"/>
      <c r="GG688" s="5"/>
      <c r="GH688" s="5"/>
      <c r="GI688" s="5"/>
      <c r="GJ688" s="5"/>
      <c r="GK688" s="5"/>
      <c r="GL688" s="5"/>
      <c r="GM688" s="5"/>
      <c r="GN688" s="5"/>
      <c r="GO688" s="5"/>
      <c r="GP688" s="5"/>
      <c r="GQ688" s="5"/>
      <c r="GR688" s="5"/>
      <c r="GS688" s="5"/>
      <c r="GT688" s="5"/>
      <c r="GU688" s="5"/>
      <c r="GX688" s="5">
        <v>0</v>
      </c>
      <c r="GY688" s="5">
        <v>0</v>
      </c>
      <c r="GZ688" s="5" t="s">
        <v>367</v>
      </c>
      <c r="HA688" s="5">
        <v>0</v>
      </c>
      <c r="HB688" s="5"/>
      <c r="HC688" s="5"/>
      <c r="HD688" s="5" t="b">
        <v>0</v>
      </c>
      <c r="HE688" s="5">
        <v>0</v>
      </c>
      <c r="HF688" s="5" t="b">
        <v>1</v>
      </c>
      <c r="HG688" s="5">
        <v>0</v>
      </c>
      <c r="HH688" s="5">
        <v>0</v>
      </c>
      <c r="HI688" s="5">
        <v>0</v>
      </c>
      <c r="HJ688" s="5">
        <v>0</v>
      </c>
      <c r="HK688" s="5" t="b">
        <v>0</v>
      </c>
      <c r="HL688" s="5">
        <v>0</v>
      </c>
      <c r="HM688" s="5">
        <v>0</v>
      </c>
      <c r="HN688" s="5" t="s">
        <v>367</v>
      </c>
      <c r="HO688" s="5" t="s">
        <v>360</v>
      </c>
      <c r="HP688" s="5">
        <v>0</v>
      </c>
      <c r="HQ688" s="5">
        <v>0</v>
      </c>
      <c r="HR688" s="5">
        <v>0</v>
      </c>
      <c r="HS688" s="5">
        <v>0</v>
      </c>
      <c r="HT688" s="5" t="b">
        <v>0</v>
      </c>
    </row>
    <row r="689" spans="1:228">
      <c r="A689"/>
      <c r="B689" s="1">
        <f>10000000+INDEX(编号表!$B$1:$B$112,MATCH(D689,编号表!$A$1:$A$112,0))*10000+I689</f>
        <v>10340006</v>
      </c>
      <c r="C689" s="5" t="s">
        <v>540</v>
      </c>
      <c r="D689" s="5" t="s">
        <v>540</v>
      </c>
      <c r="E689" s="5" t="s">
        <v>360</v>
      </c>
      <c r="F689" s="5" t="s">
        <v>391</v>
      </c>
      <c r="G689" s="5" t="b">
        <v>0</v>
      </c>
      <c r="H689" s="5" t="b">
        <v>1</v>
      </c>
      <c r="I689" s="5">
        <v>6</v>
      </c>
      <c r="J689" s="5">
        <v>103400</v>
      </c>
      <c r="K689" s="5" t="s">
        <v>350</v>
      </c>
      <c r="L689" s="5">
        <v>0</v>
      </c>
      <c r="M689" s="5">
        <v>0</v>
      </c>
      <c r="N689" s="5" t="s">
        <v>535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/>
      <c r="V689" s="5">
        <v>0</v>
      </c>
      <c r="W689" s="5">
        <v>0</v>
      </c>
      <c r="X689" s="5" t="s">
        <v>360</v>
      </c>
      <c r="Y689" s="5" t="s">
        <v>365</v>
      </c>
      <c r="Z689" s="5" t="s">
        <v>354</v>
      </c>
      <c r="AA689" s="5">
        <v>0</v>
      </c>
      <c r="AB689" s="5">
        <v>12</v>
      </c>
      <c r="AC689" s="5" t="b">
        <v>0</v>
      </c>
      <c r="AD689" s="5" t="s">
        <v>355</v>
      </c>
      <c r="AE689" s="5">
        <v>280</v>
      </c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 t="s">
        <v>381</v>
      </c>
      <c r="AZ689" s="5">
        <v>11600</v>
      </c>
      <c r="BA689" s="5" t="s">
        <v>357</v>
      </c>
      <c r="BB689" s="5" t="s">
        <v>354</v>
      </c>
      <c r="BC689" s="5">
        <v>10000</v>
      </c>
      <c r="BD689" s="5">
        <v>0</v>
      </c>
      <c r="BE689" s="5" t="s">
        <v>358</v>
      </c>
      <c r="BF689" s="5">
        <v>0</v>
      </c>
      <c r="BG689" s="5" t="s">
        <v>382</v>
      </c>
      <c r="BH689" s="5">
        <v>2500</v>
      </c>
      <c r="BI689" s="5">
        <v>1</v>
      </c>
      <c r="BJ689" s="5" t="b">
        <v>1</v>
      </c>
      <c r="BK689" s="5">
        <v>0</v>
      </c>
      <c r="BL689" s="5">
        <v>10000</v>
      </c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  <c r="DJ689" s="5"/>
      <c r="DK689" s="5"/>
      <c r="DL689" s="5"/>
      <c r="DM689" s="5"/>
      <c r="DN689" s="5"/>
      <c r="DO689" s="5"/>
      <c r="DP689" s="5"/>
      <c r="DQ689" s="5"/>
      <c r="DR689" s="5"/>
      <c r="DS689" s="5"/>
      <c r="DT689" s="5"/>
      <c r="DU689" s="5"/>
      <c r="DV689" s="5"/>
      <c r="DW689" s="5"/>
      <c r="DX689" s="5"/>
      <c r="DY689" s="5"/>
      <c r="DZ689" s="5"/>
      <c r="EA689" s="5"/>
      <c r="EB689" s="5"/>
      <c r="EC689" s="5"/>
      <c r="ED689" s="5"/>
      <c r="EE689" s="5"/>
      <c r="EF689" s="5"/>
      <c r="EG689" s="5"/>
      <c r="EH689" s="5"/>
      <c r="EI689" s="5"/>
      <c r="EJ689" s="5"/>
      <c r="EK689" s="5"/>
      <c r="EL689" s="5"/>
      <c r="EM689" s="5"/>
      <c r="EN689" s="5"/>
      <c r="EO689" s="5"/>
      <c r="EP689" s="5"/>
      <c r="EQ689" s="5"/>
      <c r="ER689" s="5"/>
      <c r="ES689" s="5"/>
      <c r="ET689" s="5"/>
      <c r="EU689" s="5"/>
      <c r="EV689" s="5"/>
      <c r="EY689" s="5"/>
      <c r="EZ689" s="5"/>
      <c r="FA689" s="5"/>
      <c r="FB689" s="5"/>
      <c r="FC689" s="5"/>
      <c r="FD689" s="5"/>
      <c r="FE689" s="5"/>
      <c r="FF689" s="5"/>
      <c r="FG689" s="5"/>
      <c r="FH689" s="5"/>
      <c r="FI689" s="5"/>
      <c r="FJ689" s="5"/>
      <c r="FK689" s="5"/>
      <c r="FL689" s="5"/>
      <c r="FM689" s="5"/>
      <c r="FN689" s="5"/>
      <c r="FO689" s="5"/>
      <c r="FP689" s="5"/>
      <c r="FQ689" s="5"/>
      <c r="FR689" s="5"/>
      <c r="FS689" s="5"/>
      <c r="FT689" s="5"/>
      <c r="FU689" s="5"/>
      <c r="FV689" s="5"/>
      <c r="FW689" s="5"/>
      <c r="FX689" s="5"/>
      <c r="FY689" s="5"/>
      <c r="FZ689" s="5"/>
      <c r="GA689" s="5"/>
      <c r="GB689" s="5"/>
      <c r="GC689" s="5"/>
      <c r="GD689" s="5"/>
      <c r="GE689" s="5"/>
      <c r="GF689" s="5"/>
      <c r="GG689" s="5"/>
      <c r="GH689" s="5"/>
      <c r="GI689" s="5"/>
      <c r="GJ689" s="5"/>
      <c r="GK689" s="5"/>
      <c r="GL689" s="5"/>
      <c r="GM689" s="5"/>
      <c r="GN689" s="5"/>
      <c r="GO689" s="5"/>
      <c r="GP689" s="5"/>
      <c r="GQ689" s="5"/>
      <c r="GR689" s="5"/>
      <c r="GS689" s="5"/>
      <c r="GT689" s="5"/>
      <c r="GU689" s="5"/>
      <c r="GX689" s="5">
        <v>0</v>
      </c>
      <c r="GY689" s="5">
        <v>0</v>
      </c>
      <c r="GZ689" s="5" t="s">
        <v>367</v>
      </c>
      <c r="HA689" s="5">
        <v>0</v>
      </c>
      <c r="HB689" s="5"/>
      <c r="HC689" s="5"/>
      <c r="HD689" s="5" t="b">
        <v>0</v>
      </c>
      <c r="HE689" s="5">
        <v>0</v>
      </c>
      <c r="HF689" s="5" t="b">
        <v>1</v>
      </c>
      <c r="HG689" s="5">
        <v>0</v>
      </c>
      <c r="HH689" s="5">
        <v>0</v>
      </c>
      <c r="HI689" s="5">
        <v>0</v>
      </c>
      <c r="HJ689" s="5">
        <v>0</v>
      </c>
      <c r="HK689" s="5" t="b">
        <v>0</v>
      </c>
      <c r="HL689" s="5">
        <v>0</v>
      </c>
      <c r="HM689" s="5">
        <v>0</v>
      </c>
      <c r="HN689" s="5" t="s">
        <v>367</v>
      </c>
      <c r="HO689" s="5" t="s">
        <v>360</v>
      </c>
      <c r="HP689" s="5">
        <v>0</v>
      </c>
      <c r="HQ689" s="5">
        <v>0</v>
      </c>
      <c r="HR689" s="5">
        <v>0</v>
      </c>
      <c r="HS689" s="5">
        <v>0</v>
      </c>
      <c r="HT689" s="5" t="b">
        <v>0</v>
      </c>
    </row>
    <row r="690" spans="1:228">
      <c r="A690"/>
      <c r="B690" s="1">
        <f>10000000+INDEX(编号表!$B$1:$B$112,MATCH(D690,编号表!$A$1:$A$112,0))*10000+I690</f>
        <v>10340007</v>
      </c>
      <c r="C690" s="5" t="s">
        <v>540</v>
      </c>
      <c r="D690" s="5" t="s">
        <v>540</v>
      </c>
      <c r="E690" s="5" t="s">
        <v>360</v>
      </c>
      <c r="F690" s="5" t="s">
        <v>391</v>
      </c>
      <c r="G690" s="5" t="b">
        <v>0</v>
      </c>
      <c r="H690" s="5" t="b">
        <v>1</v>
      </c>
      <c r="I690" s="5">
        <v>7</v>
      </c>
      <c r="J690" s="5">
        <v>103400</v>
      </c>
      <c r="K690" s="5" t="s">
        <v>350</v>
      </c>
      <c r="L690" s="5">
        <v>0</v>
      </c>
      <c r="M690" s="5">
        <v>0</v>
      </c>
      <c r="N690" s="5" t="s">
        <v>535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/>
      <c r="V690" s="5">
        <v>0</v>
      </c>
      <c r="W690" s="5">
        <v>0</v>
      </c>
      <c r="X690" s="5" t="s">
        <v>360</v>
      </c>
      <c r="Y690" s="5" t="s">
        <v>365</v>
      </c>
      <c r="Z690" s="5" t="s">
        <v>354</v>
      </c>
      <c r="AA690" s="5">
        <v>0</v>
      </c>
      <c r="AB690" s="5">
        <v>12</v>
      </c>
      <c r="AC690" s="5" t="b">
        <v>0</v>
      </c>
      <c r="AD690" s="5" t="s">
        <v>355</v>
      </c>
      <c r="AE690" s="5">
        <v>280</v>
      </c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 t="s">
        <v>381</v>
      </c>
      <c r="AZ690" s="5">
        <v>11700</v>
      </c>
      <c r="BA690" s="5" t="s">
        <v>357</v>
      </c>
      <c r="BB690" s="5" t="s">
        <v>354</v>
      </c>
      <c r="BC690" s="5">
        <v>10000</v>
      </c>
      <c r="BD690" s="5">
        <v>0</v>
      </c>
      <c r="BE690" s="5" t="s">
        <v>358</v>
      </c>
      <c r="BF690" s="5">
        <v>0</v>
      </c>
      <c r="BG690" s="5" t="s">
        <v>382</v>
      </c>
      <c r="BH690" s="5">
        <v>2500</v>
      </c>
      <c r="BI690" s="5">
        <v>1</v>
      </c>
      <c r="BJ690" s="5" t="b">
        <v>1</v>
      </c>
      <c r="BK690" s="5">
        <v>0</v>
      </c>
      <c r="BL690" s="5">
        <v>10000</v>
      </c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  <c r="DJ690" s="5"/>
      <c r="DK690" s="5"/>
      <c r="DL690" s="5"/>
      <c r="DM690" s="5"/>
      <c r="DN690" s="5"/>
      <c r="DO690" s="5"/>
      <c r="DP690" s="5"/>
      <c r="DQ690" s="5"/>
      <c r="DR690" s="5"/>
      <c r="DS690" s="5"/>
      <c r="DT690" s="5"/>
      <c r="DU690" s="5"/>
      <c r="DV690" s="5"/>
      <c r="DW690" s="5"/>
      <c r="DX690" s="5"/>
      <c r="DY690" s="5"/>
      <c r="DZ690" s="5"/>
      <c r="EA690" s="5"/>
      <c r="EB690" s="5"/>
      <c r="EC690" s="5"/>
      <c r="ED690" s="5"/>
      <c r="EE690" s="5"/>
      <c r="EF690" s="5"/>
      <c r="EG690" s="5"/>
      <c r="EH690" s="5"/>
      <c r="EI690" s="5"/>
      <c r="EJ690" s="5"/>
      <c r="EK690" s="5"/>
      <c r="EL690" s="5"/>
      <c r="EM690" s="5"/>
      <c r="EN690" s="5"/>
      <c r="EO690" s="5"/>
      <c r="EP690" s="5"/>
      <c r="EQ690" s="5"/>
      <c r="ER690" s="5"/>
      <c r="ES690" s="5"/>
      <c r="ET690" s="5"/>
      <c r="EU690" s="5"/>
      <c r="EV690" s="5"/>
      <c r="EY690" s="5"/>
      <c r="EZ690" s="5"/>
      <c r="FA690" s="5"/>
      <c r="FB690" s="5"/>
      <c r="FC690" s="5"/>
      <c r="FD690" s="5"/>
      <c r="FE690" s="5"/>
      <c r="FF690" s="5"/>
      <c r="FG690" s="5"/>
      <c r="FH690" s="5"/>
      <c r="FI690" s="5"/>
      <c r="FJ690" s="5"/>
      <c r="FK690" s="5"/>
      <c r="FL690" s="5"/>
      <c r="FM690" s="5"/>
      <c r="FN690" s="5"/>
      <c r="FO690" s="5"/>
      <c r="FP690" s="5"/>
      <c r="FQ690" s="5"/>
      <c r="FR690" s="5"/>
      <c r="FS690" s="5"/>
      <c r="FT690" s="5"/>
      <c r="FU690" s="5"/>
      <c r="FV690" s="5"/>
      <c r="FW690" s="5"/>
      <c r="FX690" s="5"/>
      <c r="FY690" s="5"/>
      <c r="FZ690" s="5"/>
      <c r="GA690" s="5"/>
      <c r="GB690" s="5"/>
      <c r="GC690" s="5"/>
      <c r="GD690" s="5"/>
      <c r="GE690" s="5"/>
      <c r="GF690" s="5"/>
      <c r="GG690" s="5"/>
      <c r="GH690" s="5"/>
      <c r="GI690" s="5"/>
      <c r="GJ690" s="5"/>
      <c r="GK690" s="5"/>
      <c r="GL690" s="5"/>
      <c r="GM690" s="5"/>
      <c r="GN690" s="5"/>
      <c r="GO690" s="5"/>
      <c r="GP690" s="5"/>
      <c r="GQ690" s="5"/>
      <c r="GR690" s="5"/>
      <c r="GS690" s="5"/>
      <c r="GT690" s="5"/>
      <c r="GU690" s="5"/>
      <c r="GX690" s="5">
        <v>0</v>
      </c>
      <c r="GY690" s="5">
        <v>0</v>
      </c>
      <c r="GZ690" s="5" t="s">
        <v>367</v>
      </c>
      <c r="HA690" s="5">
        <v>0</v>
      </c>
      <c r="HB690" s="5"/>
      <c r="HC690" s="5"/>
      <c r="HD690" s="5" t="b">
        <v>0</v>
      </c>
      <c r="HE690" s="5">
        <v>0</v>
      </c>
      <c r="HF690" s="5" t="b">
        <v>1</v>
      </c>
      <c r="HG690" s="5">
        <v>0</v>
      </c>
      <c r="HH690" s="5">
        <v>0</v>
      </c>
      <c r="HI690" s="5">
        <v>0</v>
      </c>
      <c r="HJ690" s="5">
        <v>0</v>
      </c>
      <c r="HK690" s="5" t="b">
        <v>0</v>
      </c>
      <c r="HL690" s="5">
        <v>0</v>
      </c>
      <c r="HM690" s="5">
        <v>0</v>
      </c>
      <c r="HN690" s="5" t="s">
        <v>367</v>
      </c>
      <c r="HO690" s="5" t="s">
        <v>360</v>
      </c>
      <c r="HP690" s="5">
        <v>0</v>
      </c>
      <c r="HQ690" s="5">
        <v>0</v>
      </c>
      <c r="HR690" s="5">
        <v>0</v>
      </c>
      <c r="HS690" s="5">
        <v>0</v>
      </c>
      <c r="HT690" s="5" t="b">
        <v>0</v>
      </c>
    </row>
    <row r="691" spans="1:228">
      <c r="A691"/>
      <c r="B691" s="1">
        <f>10000000+INDEX(编号表!$B$1:$B$112,MATCH(D691,编号表!$A$1:$A$112,0))*10000+I691</f>
        <v>10340008</v>
      </c>
      <c r="C691" s="5" t="s">
        <v>540</v>
      </c>
      <c r="D691" s="5" t="s">
        <v>540</v>
      </c>
      <c r="E691" s="5" t="s">
        <v>360</v>
      </c>
      <c r="F691" s="5" t="s">
        <v>391</v>
      </c>
      <c r="G691" s="5" t="b">
        <v>0</v>
      </c>
      <c r="H691" s="5" t="b">
        <v>1</v>
      </c>
      <c r="I691" s="5">
        <v>8</v>
      </c>
      <c r="J691" s="5">
        <v>103400</v>
      </c>
      <c r="K691" s="5" t="s">
        <v>350</v>
      </c>
      <c r="L691" s="5">
        <v>0</v>
      </c>
      <c r="M691" s="5">
        <v>0</v>
      </c>
      <c r="N691" s="5" t="s">
        <v>535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/>
      <c r="V691" s="5">
        <v>0</v>
      </c>
      <c r="W691" s="5">
        <v>0</v>
      </c>
      <c r="X691" s="5" t="s">
        <v>360</v>
      </c>
      <c r="Y691" s="5" t="s">
        <v>365</v>
      </c>
      <c r="Z691" s="5" t="s">
        <v>354</v>
      </c>
      <c r="AA691" s="5">
        <v>0</v>
      </c>
      <c r="AB691" s="5">
        <v>12</v>
      </c>
      <c r="AC691" s="5" t="b">
        <v>0</v>
      </c>
      <c r="AD691" s="5" t="s">
        <v>355</v>
      </c>
      <c r="AE691" s="5">
        <v>280</v>
      </c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 t="s">
        <v>381</v>
      </c>
      <c r="AZ691" s="5">
        <v>11800</v>
      </c>
      <c r="BA691" s="5" t="s">
        <v>357</v>
      </c>
      <c r="BB691" s="5" t="s">
        <v>354</v>
      </c>
      <c r="BC691" s="5">
        <v>10000</v>
      </c>
      <c r="BD691" s="5">
        <v>0</v>
      </c>
      <c r="BE691" s="5" t="s">
        <v>358</v>
      </c>
      <c r="BF691" s="5">
        <v>0</v>
      </c>
      <c r="BG691" s="5" t="s">
        <v>382</v>
      </c>
      <c r="BH691" s="5">
        <v>2500</v>
      </c>
      <c r="BI691" s="5">
        <v>2</v>
      </c>
      <c r="BJ691" s="5" t="b">
        <v>1</v>
      </c>
      <c r="BK691" s="5">
        <v>0</v>
      </c>
      <c r="BL691" s="5">
        <v>10000</v>
      </c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  <c r="DJ691" s="5"/>
      <c r="DK691" s="5"/>
      <c r="DL691" s="5"/>
      <c r="DM691" s="5"/>
      <c r="DN691" s="5"/>
      <c r="DO691" s="5"/>
      <c r="DP691" s="5"/>
      <c r="DQ691" s="5"/>
      <c r="DR691" s="5"/>
      <c r="DS691" s="5"/>
      <c r="DT691" s="5"/>
      <c r="DU691" s="5"/>
      <c r="DV691" s="5"/>
      <c r="DW691" s="5"/>
      <c r="DX691" s="5"/>
      <c r="DY691" s="5"/>
      <c r="DZ691" s="5"/>
      <c r="EA691" s="5"/>
      <c r="EB691" s="5"/>
      <c r="EC691" s="5"/>
      <c r="ED691" s="5"/>
      <c r="EE691" s="5"/>
      <c r="EF691" s="5"/>
      <c r="EG691" s="5"/>
      <c r="EH691" s="5"/>
      <c r="EI691" s="5"/>
      <c r="EJ691" s="5"/>
      <c r="EK691" s="5"/>
      <c r="EL691" s="5"/>
      <c r="EM691" s="5"/>
      <c r="EN691" s="5"/>
      <c r="EO691" s="5"/>
      <c r="EP691" s="5"/>
      <c r="EQ691" s="5"/>
      <c r="ER691" s="5"/>
      <c r="ES691" s="5"/>
      <c r="ET691" s="5"/>
      <c r="EU691" s="5"/>
      <c r="EV691" s="5"/>
      <c r="EY691" s="5"/>
      <c r="EZ691" s="5"/>
      <c r="FA691" s="5"/>
      <c r="FB691" s="5"/>
      <c r="FC691" s="5"/>
      <c r="FD691" s="5"/>
      <c r="FE691" s="5"/>
      <c r="FF691" s="5"/>
      <c r="FG691" s="5"/>
      <c r="FH691" s="5"/>
      <c r="FI691" s="5"/>
      <c r="FJ691" s="5"/>
      <c r="FK691" s="5"/>
      <c r="FL691" s="5"/>
      <c r="FM691" s="5"/>
      <c r="FN691" s="5"/>
      <c r="FO691" s="5"/>
      <c r="FP691" s="5"/>
      <c r="FQ691" s="5"/>
      <c r="FR691" s="5"/>
      <c r="FS691" s="5"/>
      <c r="FT691" s="5"/>
      <c r="FU691" s="5"/>
      <c r="FV691" s="5"/>
      <c r="FW691" s="5"/>
      <c r="FX691" s="5"/>
      <c r="FY691" s="5"/>
      <c r="FZ691" s="5"/>
      <c r="GA691" s="5"/>
      <c r="GB691" s="5"/>
      <c r="GC691" s="5"/>
      <c r="GD691" s="5"/>
      <c r="GE691" s="5"/>
      <c r="GF691" s="5"/>
      <c r="GG691" s="5"/>
      <c r="GH691" s="5"/>
      <c r="GI691" s="5"/>
      <c r="GJ691" s="5"/>
      <c r="GK691" s="5"/>
      <c r="GL691" s="5"/>
      <c r="GM691" s="5"/>
      <c r="GN691" s="5"/>
      <c r="GO691" s="5"/>
      <c r="GP691" s="5"/>
      <c r="GQ691" s="5"/>
      <c r="GR691" s="5"/>
      <c r="GS691" s="5"/>
      <c r="GT691" s="5"/>
      <c r="GU691" s="5"/>
      <c r="GX691" s="5">
        <v>0</v>
      </c>
      <c r="GY691" s="5">
        <v>0</v>
      </c>
      <c r="GZ691" s="5" t="s">
        <v>367</v>
      </c>
      <c r="HA691" s="5">
        <v>0</v>
      </c>
      <c r="HB691" s="5"/>
      <c r="HC691" s="5"/>
      <c r="HD691" s="5" t="b">
        <v>0</v>
      </c>
      <c r="HE691" s="5">
        <v>0</v>
      </c>
      <c r="HF691" s="5" t="b">
        <v>1</v>
      </c>
      <c r="HG691" s="5">
        <v>0</v>
      </c>
      <c r="HH691" s="5">
        <v>0</v>
      </c>
      <c r="HI691" s="5">
        <v>0</v>
      </c>
      <c r="HJ691" s="5">
        <v>0</v>
      </c>
      <c r="HK691" s="5" t="b">
        <v>0</v>
      </c>
      <c r="HL691" s="5">
        <v>0</v>
      </c>
      <c r="HM691" s="5">
        <v>0</v>
      </c>
      <c r="HN691" s="5" t="s">
        <v>367</v>
      </c>
      <c r="HO691" s="5" t="s">
        <v>360</v>
      </c>
      <c r="HP691" s="5">
        <v>0</v>
      </c>
      <c r="HQ691" s="5">
        <v>0</v>
      </c>
      <c r="HR691" s="5">
        <v>0</v>
      </c>
      <c r="HS691" s="5">
        <v>0</v>
      </c>
      <c r="HT691" s="5" t="b">
        <v>0</v>
      </c>
    </row>
    <row r="692" spans="1:228">
      <c r="A692"/>
      <c r="B692" s="1">
        <f>10000000+INDEX(编号表!$B$1:$B$112,MATCH(D692,编号表!$A$1:$A$112,0))*10000+I692</f>
        <v>10340009</v>
      </c>
      <c r="C692" s="5" t="s">
        <v>540</v>
      </c>
      <c r="D692" s="5" t="s">
        <v>540</v>
      </c>
      <c r="E692" s="5" t="s">
        <v>360</v>
      </c>
      <c r="F692" s="5" t="s">
        <v>391</v>
      </c>
      <c r="G692" s="5" t="b">
        <v>0</v>
      </c>
      <c r="H692" s="5" t="b">
        <v>1</v>
      </c>
      <c r="I692" s="5">
        <v>9</v>
      </c>
      <c r="J692" s="5">
        <v>103400</v>
      </c>
      <c r="K692" s="5" t="s">
        <v>350</v>
      </c>
      <c r="L692" s="5">
        <v>0</v>
      </c>
      <c r="M692" s="5">
        <v>0</v>
      </c>
      <c r="N692" s="5" t="s">
        <v>535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/>
      <c r="V692" s="5">
        <v>0</v>
      </c>
      <c r="W692" s="5">
        <v>0</v>
      </c>
      <c r="X692" s="5" t="s">
        <v>360</v>
      </c>
      <c r="Y692" s="5" t="s">
        <v>365</v>
      </c>
      <c r="Z692" s="5" t="s">
        <v>354</v>
      </c>
      <c r="AA692" s="5">
        <v>0</v>
      </c>
      <c r="AB692" s="5">
        <v>12</v>
      </c>
      <c r="AC692" s="5" t="b">
        <v>0</v>
      </c>
      <c r="AD692" s="5" t="s">
        <v>355</v>
      </c>
      <c r="AE692" s="5">
        <v>280</v>
      </c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 t="s">
        <v>381</v>
      </c>
      <c r="AZ692" s="5">
        <v>11900</v>
      </c>
      <c r="BA692" s="5" t="s">
        <v>357</v>
      </c>
      <c r="BB692" s="5" t="s">
        <v>354</v>
      </c>
      <c r="BC692" s="5">
        <v>10000</v>
      </c>
      <c r="BD692" s="5">
        <v>0</v>
      </c>
      <c r="BE692" s="5" t="s">
        <v>358</v>
      </c>
      <c r="BF692" s="5">
        <v>0</v>
      </c>
      <c r="BG692" s="5" t="s">
        <v>382</v>
      </c>
      <c r="BH692" s="5">
        <v>2500</v>
      </c>
      <c r="BI692" s="5">
        <v>2</v>
      </c>
      <c r="BJ692" s="5" t="b">
        <v>1</v>
      </c>
      <c r="BK692" s="5">
        <v>0</v>
      </c>
      <c r="BL692" s="5">
        <v>10000</v>
      </c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  <c r="DJ692" s="5"/>
      <c r="DK692" s="5"/>
      <c r="DL692" s="5"/>
      <c r="DM692" s="5"/>
      <c r="DN692" s="5"/>
      <c r="DO692" s="5"/>
      <c r="DP692" s="5"/>
      <c r="DQ692" s="5"/>
      <c r="DR692" s="5"/>
      <c r="DS692" s="5"/>
      <c r="DT692" s="5"/>
      <c r="DU692" s="5"/>
      <c r="DV692" s="5"/>
      <c r="DW692" s="5"/>
      <c r="DX692" s="5"/>
      <c r="DY692" s="5"/>
      <c r="DZ692" s="5"/>
      <c r="EA692" s="5"/>
      <c r="EB692" s="5"/>
      <c r="EC692" s="5"/>
      <c r="ED692" s="5"/>
      <c r="EE692" s="5"/>
      <c r="EF692" s="5"/>
      <c r="EG692" s="5"/>
      <c r="EH692" s="5"/>
      <c r="EI692" s="5"/>
      <c r="EJ692" s="5"/>
      <c r="EK692" s="5"/>
      <c r="EL692" s="5"/>
      <c r="EM692" s="5"/>
      <c r="EN692" s="5"/>
      <c r="EO692" s="5"/>
      <c r="EP692" s="5"/>
      <c r="EQ692" s="5"/>
      <c r="ER692" s="5"/>
      <c r="ES692" s="5"/>
      <c r="ET692" s="5"/>
      <c r="EU692" s="5"/>
      <c r="EV692" s="5"/>
      <c r="EY692" s="5"/>
      <c r="EZ692" s="5"/>
      <c r="FA692" s="5"/>
      <c r="FB692" s="5"/>
      <c r="FC692" s="5"/>
      <c r="FD692" s="5"/>
      <c r="FE692" s="5"/>
      <c r="FF692" s="5"/>
      <c r="FG692" s="5"/>
      <c r="FH692" s="5"/>
      <c r="FI692" s="5"/>
      <c r="FJ692" s="5"/>
      <c r="FK692" s="5"/>
      <c r="FL692" s="5"/>
      <c r="FM692" s="5"/>
      <c r="FN692" s="5"/>
      <c r="FO692" s="5"/>
      <c r="FP692" s="5"/>
      <c r="FQ692" s="5"/>
      <c r="FR692" s="5"/>
      <c r="FS692" s="5"/>
      <c r="FT692" s="5"/>
      <c r="FU692" s="5"/>
      <c r="FV692" s="5"/>
      <c r="FW692" s="5"/>
      <c r="FX692" s="5"/>
      <c r="FY692" s="5"/>
      <c r="FZ692" s="5"/>
      <c r="GA692" s="5"/>
      <c r="GB692" s="5"/>
      <c r="GC692" s="5"/>
      <c r="GD692" s="5"/>
      <c r="GE692" s="5"/>
      <c r="GF692" s="5"/>
      <c r="GG692" s="5"/>
      <c r="GH692" s="5"/>
      <c r="GI692" s="5"/>
      <c r="GJ692" s="5"/>
      <c r="GK692" s="5"/>
      <c r="GL692" s="5"/>
      <c r="GM692" s="5"/>
      <c r="GN692" s="5"/>
      <c r="GO692" s="5"/>
      <c r="GP692" s="5"/>
      <c r="GQ692" s="5"/>
      <c r="GR692" s="5"/>
      <c r="GS692" s="5"/>
      <c r="GT692" s="5"/>
      <c r="GU692" s="5"/>
      <c r="GX692" s="5">
        <v>0</v>
      </c>
      <c r="GY692" s="5">
        <v>0</v>
      </c>
      <c r="GZ692" s="5" t="s">
        <v>367</v>
      </c>
      <c r="HA692" s="5">
        <v>0</v>
      </c>
      <c r="HB692" s="5"/>
      <c r="HC692" s="5"/>
      <c r="HD692" s="5" t="b">
        <v>0</v>
      </c>
      <c r="HE692" s="5">
        <v>0</v>
      </c>
      <c r="HF692" s="5" t="b">
        <v>1</v>
      </c>
      <c r="HG692" s="5">
        <v>0</v>
      </c>
      <c r="HH692" s="5">
        <v>0</v>
      </c>
      <c r="HI692" s="5">
        <v>0</v>
      </c>
      <c r="HJ692" s="5">
        <v>0</v>
      </c>
      <c r="HK692" s="5" t="b">
        <v>0</v>
      </c>
      <c r="HL692" s="5">
        <v>0</v>
      </c>
      <c r="HM692" s="5">
        <v>0</v>
      </c>
      <c r="HN692" s="5" t="s">
        <v>367</v>
      </c>
      <c r="HO692" s="5" t="s">
        <v>360</v>
      </c>
      <c r="HP692" s="5">
        <v>0</v>
      </c>
      <c r="HQ692" s="5">
        <v>0</v>
      </c>
      <c r="HR692" s="5">
        <v>0</v>
      </c>
      <c r="HS692" s="5">
        <v>0</v>
      </c>
      <c r="HT692" s="5" t="b">
        <v>0</v>
      </c>
    </row>
    <row r="693" spans="1:228">
      <c r="A693"/>
      <c r="B693" s="1">
        <f>10000000+INDEX(编号表!$B$1:$B$112,MATCH(D693,编号表!$A$1:$A$112,0))*10000+I693</f>
        <v>10340010</v>
      </c>
      <c r="C693" s="5" t="s">
        <v>540</v>
      </c>
      <c r="D693" s="5" t="s">
        <v>540</v>
      </c>
      <c r="E693" s="5" t="s">
        <v>360</v>
      </c>
      <c r="F693" s="5" t="s">
        <v>391</v>
      </c>
      <c r="G693" s="5" t="b">
        <v>0</v>
      </c>
      <c r="H693" s="5" t="b">
        <v>1</v>
      </c>
      <c r="I693" s="5">
        <v>10</v>
      </c>
      <c r="J693" s="5">
        <v>103400</v>
      </c>
      <c r="K693" s="5" t="s">
        <v>350</v>
      </c>
      <c r="L693" s="5">
        <v>0</v>
      </c>
      <c r="M693" s="5">
        <v>0</v>
      </c>
      <c r="N693" s="5" t="s">
        <v>535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/>
      <c r="V693" s="5">
        <v>0</v>
      </c>
      <c r="W693" s="5">
        <v>0</v>
      </c>
      <c r="X693" s="5" t="s">
        <v>360</v>
      </c>
      <c r="Y693" s="5" t="s">
        <v>365</v>
      </c>
      <c r="Z693" s="5" t="s">
        <v>354</v>
      </c>
      <c r="AA693" s="5">
        <v>0</v>
      </c>
      <c r="AB693" s="5">
        <v>12</v>
      </c>
      <c r="AC693" s="5" t="b">
        <v>0</v>
      </c>
      <c r="AD693" s="5" t="s">
        <v>355</v>
      </c>
      <c r="AE693" s="5">
        <v>280</v>
      </c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 t="s">
        <v>381</v>
      </c>
      <c r="AZ693" s="5">
        <v>12000</v>
      </c>
      <c r="BA693" s="5" t="s">
        <v>357</v>
      </c>
      <c r="BB693" s="5" t="s">
        <v>354</v>
      </c>
      <c r="BC693" s="5">
        <v>10000</v>
      </c>
      <c r="BD693" s="5">
        <v>0</v>
      </c>
      <c r="BE693" s="5" t="s">
        <v>358</v>
      </c>
      <c r="BF693" s="5">
        <v>0</v>
      </c>
      <c r="BG693" s="5" t="s">
        <v>382</v>
      </c>
      <c r="BH693" s="5">
        <v>2500</v>
      </c>
      <c r="BI693" s="5">
        <v>2</v>
      </c>
      <c r="BJ693" s="5" t="b">
        <v>1</v>
      </c>
      <c r="BK693" s="5">
        <v>0</v>
      </c>
      <c r="BL693" s="5">
        <v>10000</v>
      </c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  <c r="DJ693" s="5"/>
      <c r="DK693" s="5"/>
      <c r="DL693" s="5"/>
      <c r="DM693" s="5"/>
      <c r="DN693" s="5"/>
      <c r="DO693" s="5"/>
      <c r="DP693" s="5"/>
      <c r="DQ693" s="5"/>
      <c r="DR693" s="5"/>
      <c r="DS693" s="5"/>
      <c r="DT693" s="5"/>
      <c r="DU693" s="5"/>
      <c r="DV693" s="5"/>
      <c r="DW693" s="5"/>
      <c r="DX693" s="5"/>
      <c r="DY693" s="5"/>
      <c r="DZ693" s="5"/>
      <c r="EA693" s="5"/>
      <c r="EB693" s="5"/>
      <c r="EC693" s="5"/>
      <c r="ED693" s="5"/>
      <c r="EE693" s="5"/>
      <c r="EF693" s="5"/>
      <c r="EG693" s="5"/>
      <c r="EH693" s="5"/>
      <c r="EI693" s="5"/>
      <c r="EJ693" s="5"/>
      <c r="EK693" s="5"/>
      <c r="EL693" s="5"/>
      <c r="EM693" s="5"/>
      <c r="EN693" s="5"/>
      <c r="EO693" s="5"/>
      <c r="EP693" s="5"/>
      <c r="EQ693" s="5"/>
      <c r="ER693" s="5"/>
      <c r="ES693" s="5"/>
      <c r="ET693" s="5"/>
      <c r="EU693" s="5"/>
      <c r="EV693" s="5"/>
      <c r="EY693" s="5"/>
      <c r="EZ693" s="5"/>
      <c r="FA693" s="5"/>
      <c r="FB693" s="5"/>
      <c r="FC693" s="5"/>
      <c r="FD693" s="5"/>
      <c r="FE693" s="5"/>
      <c r="FF693" s="5"/>
      <c r="FG693" s="5"/>
      <c r="FH693" s="5"/>
      <c r="FI693" s="5"/>
      <c r="FJ693" s="5"/>
      <c r="FK693" s="5"/>
      <c r="FL693" s="5"/>
      <c r="FM693" s="5"/>
      <c r="FN693" s="5"/>
      <c r="FO693" s="5"/>
      <c r="FP693" s="5"/>
      <c r="FQ693" s="5"/>
      <c r="FR693" s="5"/>
      <c r="FS693" s="5"/>
      <c r="FT693" s="5"/>
      <c r="FU693" s="5"/>
      <c r="FV693" s="5"/>
      <c r="FW693" s="5"/>
      <c r="FX693" s="5"/>
      <c r="FY693" s="5"/>
      <c r="FZ693" s="5"/>
      <c r="GA693" s="5"/>
      <c r="GB693" s="5"/>
      <c r="GC693" s="5"/>
      <c r="GD693" s="5"/>
      <c r="GE693" s="5"/>
      <c r="GF693" s="5"/>
      <c r="GG693" s="5"/>
      <c r="GH693" s="5"/>
      <c r="GI693" s="5"/>
      <c r="GJ693" s="5"/>
      <c r="GK693" s="5"/>
      <c r="GL693" s="5"/>
      <c r="GM693" s="5"/>
      <c r="GN693" s="5"/>
      <c r="GO693" s="5"/>
      <c r="GP693" s="5"/>
      <c r="GQ693" s="5"/>
      <c r="GR693" s="5"/>
      <c r="GS693" s="5"/>
      <c r="GT693" s="5"/>
      <c r="GU693" s="5"/>
      <c r="GX693" s="5">
        <v>0</v>
      </c>
      <c r="GY693" s="5">
        <v>0</v>
      </c>
      <c r="GZ693" s="5" t="s">
        <v>367</v>
      </c>
      <c r="HA693" s="5">
        <v>0</v>
      </c>
      <c r="HB693" s="5"/>
      <c r="HC693" s="5"/>
      <c r="HD693" s="5" t="b">
        <v>0</v>
      </c>
      <c r="HE693" s="5">
        <v>0</v>
      </c>
      <c r="HF693" s="5" t="b">
        <v>1</v>
      </c>
      <c r="HG693" s="5">
        <v>0</v>
      </c>
      <c r="HH693" s="5">
        <v>0</v>
      </c>
      <c r="HI693" s="5">
        <v>0</v>
      </c>
      <c r="HJ693" s="5">
        <v>0</v>
      </c>
      <c r="HK693" s="5" t="b">
        <v>0</v>
      </c>
      <c r="HL693" s="5">
        <v>0</v>
      </c>
      <c r="HM693" s="5">
        <v>0</v>
      </c>
      <c r="HN693" s="5" t="s">
        <v>367</v>
      </c>
      <c r="HO693" s="5" t="s">
        <v>360</v>
      </c>
      <c r="HP693" s="5">
        <v>0</v>
      </c>
      <c r="HQ693" s="5">
        <v>0</v>
      </c>
      <c r="HR693" s="5">
        <v>0</v>
      </c>
      <c r="HS693" s="5">
        <v>0</v>
      </c>
      <c r="HT693" s="5" t="b">
        <v>0</v>
      </c>
    </row>
    <row r="694" spans="1:228">
      <c r="A694"/>
      <c r="B694" s="1">
        <f>10000000+INDEX(编号表!$B$1:$B$112,MATCH(D694,编号表!$A$1:$A$112,0))*10000+I694</f>
        <v>10350001</v>
      </c>
      <c r="C694" s="5" t="s">
        <v>541</v>
      </c>
      <c r="D694" s="5" t="s">
        <v>541</v>
      </c>
      <c r="E694" s="5" t="s">
        <v>360</v>
      </c>
      <c r="F694" s="5" t="s">
        <v>388</v>
      </c>
      <c r="G694" s="5" t="b">
        <v>0</v>
      </c>
      <c r="H694" s="5" t="b">
        <v>1</v>
      </c>
      <c r="I694" s="5">
        <v>1</v>
      </c>
      <c r="J694" s="5">
        <v>103500</v>
      </c>
      <c r="K694" s="5" t="s">
        <v>350</v>
      </c>
      <c r="L694" s="5">
        <v>0</v>
      </c>
      <c r="M694" s="5">
        <v>0</v>
      </c>
      <c r="N694" s="5" t="s">
        <v>535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/>
      <c r="V694" s="5">
        <v>0</v>
      </c>
      <c r="W694" s="5">
        <v>0</v>
      </c>
      <c r="X694" s="5" t="s">
        <v>360</v>
      </c>
      <c r="Y694" s="5" t="s">
        <v>365</v>
      </c>
      <c r="Z694" s="5" t="s">
        <v>354</v>
      </c>
      <c r="AA694" s="5">
        <v>0</v>
      </c>
      <c r="AB694" s="5">
        <v>12</v>
      </c>
      <c r="AC694" s="5" t="b">
        <v>0</v>
      </c>
      <c r="AD694" s="5" t="s">
        <v>355</v>
      </c>
      <c r="AE694" s="5">
        <v>320</v>
      </c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 t="s">
        <v>367</v>
      </c>
      <c r="AZ694" s="5">
        <v>10000</v>
      </c>
      <c r="BA694" s="5" t="s">
        <v>417</v>
      </c>
      <c r="BB694" s="5" t="s">
        <v>354</v>
      </c>
      <c r="BC694" s="5">
        <v>10000</v>
      </c>
      <c r="BD694" s="5">
        <v>0</v>
      </c>
      <c r="BE694" s="5" t="s">
        <v>358</v>
      </c>
      <c r="BF694" s="5">
        <v>0</v>
      </c>
      <c r="BG694" s="5"/>
      <c r="BH694" s="5"/>
      <c r="BI694" s="5"/>
      <c r="BJ694" s="5"/>
      <c r="BK694" s="5"/>
      <c r="BL694" s="5"/>
      <c r="BM694" s="5">
        <v>21002101</v>
      </c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  <c r="DJ694" s="5"/>
      <c r="DK694" s="5"/>
      <c r="DL694" s="5"/>
      <c r="DM694" s="5"/>
      <c r="DN694" s="5"/>
      <c r="DO694" s="5"/>
      <c r="DP694" s="5"/>
      <c r="DQ694" s="5"/>
      <c r="DR694" s="5"/>
      <c r="DS694" s="5"/>
      <c r="DT694" s="5"/>
      <c r="DU694" s="5"/>
      <c r="DV694" s="5"/>
      <c r="DW694" s="5"/>
      <c r="DX694" s="5"/>
      <c r="DY694" s="5"/>
      <c r="DZ694" s="5"/>
      <c r="EA694" s="5"/>
      <c r="EB694" s="5"/>
      <c r="EC694" s="5"/>
      <c r="ED694" s="5"/>
      <c r="EE694" s="5"/>
      <c r="EF694" s="5"/>
      <c r="EG694" s="5"/>
      <c r="EH694" s="5"/>
      <c r="EI694" s="5"/>
      <c r="EJ694" s="5"/>
      <c r="EK694" s="5"/>
      <c r="EL694" s="5"/>
      <c r="EM694" s="5"/>
      <c r="EN694" s="5"/>
      <c r="EO694" s="5"/>
      <c r="EP694" s="5"/>
      <c r="EQ694" s="5"/>
      <c r="ER694" s="5"/>
      <c r="ES694" s="5"/>
      <c r="ET694" s="5"/>
      <c r="EU694" s="5"/>
      <c r="EV694" s="5"/>
      <c r="EY694" s="5"/>
      <c r="EZ694" s="5"/>
      <c r="FA694" s="5"/>
      <c r="FB694" s="5"/>
      <c r="FC694" s="5"/>
      <c r="FD694" s="5"/>
      <c r="FE694" s="5"/>
      <c r="FF694" s="5"/>
      <c r="FG694" s="5"/>
      <c r="FH694" s="5"/>
      <c r="FI694" s="5"/>
      <c r="FJ694" s="5"/>
      <c r="FK694" s="5"/>
      <c r="FL694" s="5"/>
      <c r="FM694" s="5"/>
      <c r="FN694" s="5"/>
      <c r="FO694" s="5"/>
      <c r="FP694" s="5"/>
      <c r="FQ694" s="5"/>
      <c r="FR694" s="5"/>
      <c r="FS694" s="5"/>
      <c r="FT694" s="5"/>
      <c r="FU694" s="5"/>
      <c r="FV694" s="5"/>
      <c r="FW694" s="5"/>
      <c r="FX694" s="5"/>
      <c r="FY694" s="5"/>
      <c r="FZ694" s="5"/>
      <c r="GA694" s="5"/>
      <c r="GB694" s="5"/>
      <c r="GC694" s="5"/>
      <c r="GD694" s="5"/>
      <c r="GE694" s="5"/>
      <c r="GF694" s="5"/>
      <c r="GG694" s="5"/>
      <c r="GH694" s="5"/>
      <c r="GI694" s="5"/>
      <c r="GJ694" s="5"/>
      <c r="GK694" s="5"/>
      <c r="GL694" s="5"/>
      <c r="GM694" s="5"/>
      <c r="GN694" s="5"/>
      <c r="GO694" s="5"/>
      <c r="GP694" s="5"/>
      <c r="GQ694" s="5"/>
      <c r="GR694" s="5"/>
      <c r="GS694" s="5"/>
      <c r="GT694" s="5"/>
      <c r="GU694" s="5"/>
      <c r="GX694" s="5">
        <v>0</v>
      </c>
      <c r="GY694" s="5">
        <v>0</v>
      </c>
      <c r="GZ694" s="5" t="s">
        <v>367</v>
      </c>
      <c r="HA694" s="5">
        <v>0</v>
      </c>
      <c r="HB694" s="5"/>
      <c r="HC694" s="5"/>
      <c r="HD694" s="5" t="b">
        <v>0</v>
      </c>
      <c r="HE694" s="5">
        <v>0</v>
      </c>
      <c r="HF694" s="5" t="b">
        <v>1</v>
      </c>
      <c r="HG694" s="5">
        <v>0</v>
      </c>
      <c r="HH694" s="5">
        <v>0</v>
      </c>
      <c r="HI694" s="5">
        <v>0</v>
      </c>
      <c r="HJ694" s="5">
        <v>0</v>
      </c>
      <c r="HK694" s="5" t="b">
        <v>0</v>
      </c>
      <c r="HL694" s="5">
        <v>0</v>
      </c>
      <c r="HM694" s="5">
        <v>0</v>
      </c>
      <c r="HN694" s="5" t="s">
        <v>367</v>
      </c>
      <c r="HO694" s="5" t="s">
        <v>360</v>
      </c>
      <c r="HP694" s="5">
        <v>0</v>
      </c>
      <c r="HQ694" s="5">
        <v>0</v>
      </c>
      <c r="HR694" s="5">
        <v>0</v>
      </c>
      <c r="HS694" s="5">
        <v>0</v>
      </c>
      <c r="HT694" s="5" t="b">
        <v>0</v>
      </c>
    </row>
    <row r="695" spans="1:228">
      <c r="A695"/>
      <c r="B695" s="1">
        <f>10000000+INDEX(编号表!$B$1:$B$112,MATCH(D695,编号表!$A$1:$A$112,0))*10000+I695</f>
        <v>10350002</v>
      </c>
      <c r="C695" s="5" t="s">
        <v>541</v>
      </c>
      <c r="D695" s="5" t="s">
        <v>541</v>
      </c>
      <c r="E695" s="5" t="s">
        <v>360</v>
      </c>
      <c r="F695" s="5" t="s">
        <v>388</v>
      </c>
      <c r="G695" s="5" t="b">
        <v>0</v>
      </c>
      <c r="H695" s="5" t="b">
        <v>1</v>
      </c>
      <c r="I695" s="5">
        <v>2</v>
      </c>
      <c r="J695" s="5">
        <v>103500</v>
      </c>
      <c r="K695" s="5" t="s">
        <v>350</v>
      </c>
      <c r="L695" s="5">
        <v>0</v>
      </c>
      <c r="M695" s="5">
        <v>0</v>
      </c>
      <c r="N695" s="5" t="s">
        <v>535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/>
      <c r="V695" s="5">
        <v>0</v>
      </c>
      <c r="W695" s="5">
        <v>0</v>
      </c>
      <c r="X695" s="5" t="s">
        <v>360</v>
      </c>
      <c r="Y695" s="5" t="s">
        <v>365</v>
      </c>
      <c r="Z695" s="5" t="s">
        <v>354</v>
      </c>
      <c r="AA695" s="5">
        <v>0</v>
      </c>
      <c r="AB695" s="5">
        <v>12</v>
      </c>
      <c r="AC695" s="5" t="b">
        <v>0</v>
      </c>
      <c r="AD695" s="5" t="s">
        <v>355</v>
      </c>
      <c r="AE695" s="5">
        <v>320</v>
      </c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 t="s">
        <v>367</v>
      </c>
      <c r="AZ695" s="5">
        <v>10400</v>
      </c>
      <c r="BA695" s="5" t="s">
        <v>417</v>
      </c>
      <c r="BB695" s="5" t="s">
        <v>354</v>
      </c>
      <c r="BC695" s="5">
        <v>10000</v>
      </c>
      <c r="BD695" s="5">
        <v>0</v>
      </c>
      <c r="BE695" s="5" t="s">
        <v>358</v>
      </c>
      <c r="BF695" s="5">
        <v>0</v>
      </c>
      <c r="BG695" s="5"/>
      <c r="BH695" s="5"/>
      <c r="BI695" s="5"/>
      <c r="BJ695" s="5"/>
      <c r="BK695" s="5"/>
      <c r="BL695" s="5"/>
      <c r="BM695" s="5">
        <v>21002102</v>
      </c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  <c r="DJ695" s="5"/>
      <c r="DK695" s="5"/>
      <c r="DL695" s="5"/>
      <c r="DM695" s="5"/>
      <c r="DN695" s="5"/>
      <c r="DO695" s="5"/>
      <c r="DP695" s="5"/>
      <c r="DQ695" s="5"/>
      <c r="DR695" s="5"/>
      <c r="DS695" s="5"/>
      <c r="DT695" s="5"/>
      <c r="DU695" s="5"/>
      <c r="DV695" s="5"/>
      <c r="DW695" s="5"/>
      <c r="DX695" s="5"/>
      <c r="DY695" s="5"/>
      <c r="DZ695" s="5"/>
      <c r="EA695" s="5"/>
      <c r="EB695" s="5"/>
      <c r="EC695" s="5"/>
      <c r="ED695" s="5"/>
      <c r="EE695" s="5"/>
      <c r="EF695" s="5"/>
      <c r="EG695" s="5"/>
      <c r="EH695" s="5"/>
      <c r="EI695" s="5"/>
      <c r="EJ695" s="5"/>
      <c r="EK695" s="5"/>
      <c r="EL695" s="5"/>
      <c r="EM695" s="5"/>
      <c r="EN695" s="5"/>
      <c r="EO695" s="5"/>
      <c r="EP695" s="5"/>
      <c r="EQ695" s="5"/>
      <c r="ER695" s="5"/>
      <c r="ES695" s="5"/>
      <c r="ET695" s="5"/>
      <c r="EU695" s="5"/>
      <c r="EV695" s="5"/>
      <c r="EY695" s="5"/>
      <c r="EZ695" s="5"/>
      <c r="FA695" s="5"/>
      <c r="FB695" s="5"/>
      <c r="FC695" s="5"/>
      <c r="FD695" s="5"/>
      <c r="FE695" s="5"/>
      <c r="FF695" s="5"/>
      <c r="FG695" s="5"/>
      <c r="FH695" s="5"/>
      <c r="FI695" s="5"/>
      <c r="FJ695" s="5"/>
      <c r="FK695" s="5"/>
      <c r="FL695" s="5"/>
      <c r="FM695" s="5"/>
      <c r="FN695" s="5"/>
      <c r="FO695" s="5"/>
      <c r="FP695" s="5"/>
      <c r="FQ695" s="5"/>
      <c r="FR695" s="5"/>
      <c r="FS695" s="5"/>
      <c r="FT695" s="5"/>
      <c r="FU695" s="5"/>
      <c r="FV695" s="5"/>
      <c r="FW695" s="5"/>
      <c r="FX695" s="5"/>
      <c r="FY695" s="5"/>
      <c r="FZ695" s="5"/>
      <c r="GA695" s="5"/>
      <c r="GB695" s="5"/>
      <c r="GC695" s="5"/>
      <c r="GD695" s="5"/>
      <c r="GE695" s="5"/>
      <c r="GF695" s="5"/>
      <c r="GG695" s="5"/>
      <c r="GH695" s="5"/>
      <c r="GI695" s="5"/>
      <c r="GJ695" s="5"/>
      <c r="GK695" s="5"/>
      <c r="GL695" s="5"/>
      <c r="GM695" s="5"/>
      <c r="GN695" s="5"/>
      <c r="GO695" s="5"/>
      <c r="GP695" s="5"/>
      <c r="GQ695" s="5"/>
      <c r="GR695" s="5"/>
      <c r="GS695" s="5"/>
      <c r="GT695" s="5"/>
      <c r="GU695" s="5"/>
      <c r="GX695" s="5">
        <v>0</v>
      </c>
      <c r="GY695" s="5">
        <v>0</v>
      </c>
      <c r="GZ695" s="5" t="s">
        <v>367</v>
      </c>
      <c r="HA695" s="5">
        <v>0</v>
      </c>
      <c r="HB695" s="5"/>
      <c r="HC695" s="5"/>
      <c r="HD695" s="5" t="b">
        <v>0</v>
      </c>
      <c r="HE695" s="5">
        <v>0</v>
      </c>
      <c r="HF695" s="5" t="b">
        <v>1</v>
      </c>
      <c r="HG695" s="5">
        <v>0</v>
      </c>
      <c r="HH695" s="5">
        <v>0</v>
      </c>
      <c r="HI695" s="5">
        <v>0</v>
      </c>
      <c r="HJ695" s="5">
        <v>0</v>
      </c>
      <c r="HK695" s="5" t="b">
        <v>0</v>
      </c>
      <c r="HL695" s="5">
        <v>0</v>
      </c>
      <c r="HM695" s="5">
        <v>0</v>
      </c>
      <c r="HN695" s="5" t="s">
        <v>367</v>
      </c>
      <c r="HO695" s="5" t="s">
        <v>360</v>
      </c>
      <c r="HP695" s="5">
        <v>0</v>
      </c>
      <c r="HQ695" s="5">
        <v>0</v>
      </c>
      <c r="HR695" s="5">
        <v>0</v>
      </c>
      <c r="HS695" s="5">
        <v>0</v>
      </c>
      <c r="HT695" s="5" t="b">
        <v>0</v>
      </c>
    </row>
    <row r="696" spans="1:228">
      <c r="A696"/>
      <c r="B696" s="1">
        <f>10000000+INDEX(编号表!$B$1:$B$112,MATCH(D696,编号表!$A$1:$A$112,0))*10000+I696</f>
        <v>10350003</v>
      </c>
      <c r="C696" s="5" t="s">
        <v>541</v>
      </c>
      <c r="D696" s="5" t="s">
        <v>541</v>
      </c>
      <c r="E696" s="5" t="s">
        <v>360</v>
      </c>
      <c r="F696" s="5" t="s">
        <v>388</v>
      </c>
      <c r="G696" s="5" t="b">
        <v>0</v>
      </c>
      <c r="H696" s="5" t="b">
        <v>1</v>
      </c>
      <c r="I696" s="5">
        <v>3</v>
      </c>
      <c r="J696" s="5">
        <v>103500</v>
      </c>
      <c r="K696" s="5" t="s">
        <v>350</v>
      </c>
      <c r="L696" s="5">
        <v>0</v>
      </c>
      <c r="M696" s="5">
        <v>0</v>
      </c>
      <c r="N696" s="5" t="s">
        <v>535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/>
      <c r="V696" s="5">
        <v>0</v>
      </c>
      <c r="W696" s="5">
        <v>0</v>
      </c>
      <c r="X696" s="5" t="s">
        <v>360</v>
      </c>
      <c r="Y696" s="5" t="s">
        <v>365</v>
      </c>
      <c r="Z696" s="5" t="s">
        <v>354</v>
      </c>
      <c r="AA696" s="5">
        <v>0</v>
      </c>
      <c r="AB696" s="5">
        <v>12</v>
      </c>
      <c r="AC696" s="5" t="b">
        <v>0</v>
      </c>
      <c r="AD696" s="5" t="s">
        <v>355</v>
      </c>
      <c r="AE696" s="5">
        <v>320</v>
      </c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 t="s">
        <v>367</v>
      </c>
      <c r="AZ696" s="5">
        <v>10800</v>
      </c>
      <c r="BA696" s="5" t="s">
        <v>417</v>
      </c>
      <c r="BB696" s="5" t="s">
        <v>354</v>
      </c>
      <c r="BC696" s="5">
        <v>10000</v>
      </c>
      <c r="BD696" s="5">
        <v>0</v>
      </c>
      <c r="BE696" s="5" t="s">
        <v>358</v>
      </c>
      <c r="BF696" s="5">
        <v>0</v>
      </c>
      <c r="BG696" s="5"/>
      <c r="BH696" s="5"/>
      <c r="BI696" s="5"/>
      <c r="BJ696" s="5"/>
      <c r="BK696" s="5"/>
      <c r="BL696" s="5"/>
      <c r="BM696" s="5">
        <v>21002103</v>
      </c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  <c r="DJ696" s="5"/>
      <c r="DK696" s="5"/>
      <c r="DL696" s="5"/>
      <c r="DM696" s="5"/>
      <c r="DN696" s="5"/>
      <c r="DO696" s="5"/>
      <c r="DP696" s="5"/>
      <c r="DQ696" s="5"/>
      <c r="DR696" s="5"/>
      <c r="DS696" s="5"/>
      <c r="DT696" s="5"/>
      <c r="DU696" s="5"/>
      <c r="DV696" s="5"/>
      <c r="DW696" s="5"/>
      <c r="DX696" s="5"/>
      <c r="DY696" s="5"/>
      <c r="DZ696" s="5"/>
      <c r="EA696" s="5"/>
      <c r="EB696" s="5"/>
      <c r="EC696" s="5"/>
      <c r="ED696" s="5"/>
      <c r="EE696" s="5"/>
      <c r="EF696" s="5"/>
      <c r="EG696" s="5"/>
      <c r="EH696" s="5"/>
      <c r="EI696" s="5"/>
      <c r="EJ696" s="5"/>
      <c r="EK696" s="5"/>
      <c r="EL696" s="5"/>
      <c r="EM696" s="5"/>
      <c r="EN696" s="5"/>
      <c r="EO696" s="5"/>
      <c r="EP696" s="5"/>
      <c r="EQ696" s="5"/>
      <c r="ER696" s="5"/>
      <c r="ES696" s="5"/>
      <c r="ET696" s="5"/>
      <c r="EU696" s="5"/>
      <c r="EV696" s="5"/>
      <c r="EY696" s="5"/>
      <c r="EZ696" s="5"/>
      <c r="FA696" s="5"/>
      <c r="FB696" s="5"/>
      <c r="FC696" s="5"/>
      <c r="FD696" s="5"/>
      <c r="FE696" s="5"/>
      <c r="FF696" s="5"/>
      <c r="FG696" s="5"/>
      <c r="FH696" s="5"/>
      <c r="FI696" s="5"/>
      <c r="FJ696" s="5"/>
      <c r="FK696" s="5"/>
      <c r="FL696" s="5"/>
      <c r="FM696" s="5"/>
      <c r="FN696" s="5"/>
      <c r="FO696" s="5"/>
      <c r="FP696" s="5"/>
      <c r="FQ696" s="5"/>
      <c r="FR696" s="5"/>
      <c r="FS696" s="5"/>
      <c r="FT696" s="5"/>
      <c r="FU696" s="5"/>
      <c r="FV696" s="5"/>
      <c r="FW696" s="5"/>
      <c r="FX696" s="5"/>
      <c r="FY696" s="5"/>
      <c r="FZ696" s="5"/>
      <c r="GA696" s="5"/>
      <c r="GB696" s="5"/>
      <c r="GC696" s="5"/>
      <c r="GD696" s="5"/>
      <c r="GE696" s="5"/>
      <c r="GF696" s="5"/>
      <c r="GG696" s="5"/>
      <c r="GH696" s="5"/>
      <c r="GI696" s="5"/>
      <c r="GJ696" s="5"/>
      <c r="GK696" s="5"/>
      <c r="GL696" s="5"/>
      <c r="GM696" s="5"/>
      <c r="GN696" s="5"/>
      <c r="GO696" s="5"/>
      <c r="GP696" s="5"/>
      <c r="GQ696" s="5"/>
      <c r="GR696" s="5"/>
      <c r="GS696" s="5"/>
      <c r="GT696" s="5"/>
      <c r="GU696" s="5"/>
      <c r="GX696" s="5">
        <v>0</v>
      </c>
      <c r="GY696" s="5">
        <v>0</v>
      </c>
      <c r="GZ696" s="5" t="s">
        <v>367</v>
      </c>
      <c r="HA696" s="5">
        <v>0</v>
      </c>
      <c r="HB696" s="5"/>
      <c r="HC696" s="5"/>
      <c r="HD696" s="5" t="b">
        <v>0</v>
      </c>
      <c r="HE696" s="5">
        <v>0</v>
      </c>
      <c r="HF696" s="5" t="b">
        <v>1</v>
      </c>
      <c r="HG696" s="5">
        <v>0</v>
      </c>
      <c r="HH696" s="5">
        <v>0</v>
      </c>
      <c r="HI696" s="5">
        <v>0</v>
      </c>
      <c r="HJ696" s="5">
        <v>0</v>
      </c>
      <c r="HK696" s="5" t="b">
        <v>0</v>
      </c>
      <c r="HL696" s="5">
        <v>0</v>
      </c>
      <c r="HM696" s="5">
        <v>0</v>
      </c>
      <c r="HN696" s="5" t="s">
        <v>367</v>
      </c>
      <c r="HO696" s="5" t="s">
        <v>360</v>
      </c>
      <c r="HP696" s="5">
        <v>0</v>
      </c>
      <c r="HQ696" s="5">
        <v>0</v>
      </c>
      <c r="HR696" s="5">
        <v>0</v>
      </c>
      <c r="HS696" s="5">
        <v>0</v>
      </c>
      <c r="HT696" s="5" t="b">
        <v>0</v>
      </c>
    </row>
    <row r="697" spans="1:228">
      <c r="A697"/>
      <c r="B697" s="1">
        <f>10000000+INDEX(编号表!$B$1:$B$112,MATCH(D697,编号表!$A$1:$A$112,0))*10000+I697</f>
        <v>10350004</v>
      </c>
      <c r="C697" s="5" t="s">
        <v>541</v>
      </c>
      <c r="D697" s="5" t="s">
        <v>541</v>
      </c>
      <c r="E697" s="5" t="s">
        <v>360</v>
      </c>
      <c r="F697" s="5" t="s">
        <v>388</v>
      </c>
      <c r="G697" s="5" t="b">
        <v>0</v>
      </c>
      <c r="H697" s="5" t="b">
        <v>1</v>
      </c>
      <c r="I697" s="5">
        <v>4</v>
      </c>
      <c r="J697" s="5">
        <v>103500</v>
      </c>
      <c r="K697" s="5" t="s">
        <v>350</v>
      </c>
      <c r="L697" s="5">
        <v>0</v>
      </c>
      <c r="M697" s="5">
        <v>0</v>
      </c>
      <c r="N697" s="5" t="s">
        <v>535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/>
      <c r="V697" s="5">
        <v>0</v>
      </c>
      <c r="W697" s="5">
        <v>0</v>
      </c>
      <c r="X697" s="5" t="s">
        <v>360</v>
      </c>
      <c r="Y697" s="5" t="s">
        <v>365</v>
      </c>
      <c r="Z697" s="5" t="s">
        <v>354</v>
      </c>
      <c r="AA697" s="5">
        <v>0</v>
      </c>
      <c r="AB697" s="5">
        <v>12</v>
      </c>
      <c r="AC697" s="5" t="b">
        <v>0</v>
      </c>
      <c r="AD697" s="5" t="s">
        <v>355</v>
      </c>
      <c r="AE697" s="5">
        <v>320</v>
      </c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 t="s">
        <v>367</v>
      </c>
      <c r="AZ697" s="5">
        <v>11200</v>
      </c>
      <c r="BA697" s="5" t="s">
        <v>417</v>
      </c>
      <c r="BB697" s="5" t="s">
        <v>354</v>
      </c>
      <c r="BC697" s="5">
        <v>10000</v>
      </c>
      <c r="BD697" s="5">
        <v>0</v>
      </c>
      <c r="BE697" s="5" t="s">
        <v>358</v>
      </c>
      <c r="BF697" s="5">
        <v>0</v>
      </c>
      <c r="BG697" s="5"/>
      <c r="BH697" s="5"/>
      <c r="BI697" s="5"/>
      <c r="BJ697" s="5"/>
      <c r="BK697" s="5"/>
      <c r="BL697" s="5"/>
      <c r="BM697" s="5">
        <v>21002104</v>
      </c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  <c r="DJ697" s="5"/>
      <c r="DK697" s="5"/>
      <c r="DL697" s="5"/>
      <c r="DM697" s="5"/>
      <c r="DN697" s="5"/>
      <c r="DO697" s="5"/>
      <c r="DP697" s="5"/>
      <c r="DQ697" s="5"/>
      <c r="DR697" s="5"/>
      <c r="DS697" s="5"/>
      <c r="DT697" s="5"/>
      <c r="DU697" s="5"/>
      <c r="DV697" s="5"/>
      <c r="DW697" s="5"/>
      <c r="DX697" s="5"/>
      <c r="DY697" s="5"/>
      <c r="DZ697" s="5"/>
      <c r="EA697" s="5"/>
      <c r="EB697" s="5"/>
      <c r="EC697" s="5"/>
      <c r="ED697" s="5"/>
      <c r="EE697" s="5"/>
      <c r="EF697" s="5"/>
      <c r="EG697" s="5"/>
      <c r="EH697" s="5"/>
      <c r="EI697" s="5"/>
      <c r="EJ697" s="5"/>
      <c r="EK697" s="5"/>
      <c r="EL697" s="5"/>
      <c r="EM697" s="5"/>
      <c r="EN697" s="5"/>
      <c r="EO697" s="5"/>
      <c r="EP697" s="5"/>
      <c r="EQ697" s="5"/>
      <c r="ER697" s="5"/>
      <c r="ES697" s="5"/>
      <c r="ET697" s="5"/>
      <c r="EU697" s="5"/>
      <c r="EV697" s="5"/>
      <c r="EY697" s="5"/>
      <c r="EZ697" s="5"/>
      <c r="FA697" s="5"/>
      <c r="FB697" s="5"/>
      <c r="FC697" s="5"/>
      <c r="FD697" s="5"/>
      <c r="FE697" s="5"/>
      <c r="FF697" s="5"/>
      <c r="FG697" s="5"/>
      <c r="FH697" s="5"/>
      <c r="FI697" s="5"/>
      <c r="FJ697" s="5"/>
      <c r="FK697" s="5"/>
      <c r="FL697" s="5"/>
      <c r="FM697" s="5"/>
      <c r="FN697" s="5"/>
      <c r="FO697" s="5"/>
      <c r="FP697" s="5"/>
      <c r="FQ697" s="5"/>
      <c r="FR697" s="5"/>
      <c r="FS697" s="5"/>
      <c r="FT697" s="5"/>
      <c r="FU697" s="5"/>
      <c r="FV697" s="5"/>
      <c r="FW697" s="5"/>
      <c r="FX697" s="5"/>
      <c r="FY697" s="5"/>
      <c r="FZ697" s="5"/>
      <c r="GA697" s="5"/>
      <c r="GB697" s="5"/>
      <c r="GC697" s="5"/>
      <c r="GD697" s="5"/>
      <c r="GE697" s="5"/>
      <c r="GF697" s="5"/>
      <c r="GG697" s="5"/>
      <c r="GH697" s="5"/>
      <c r="GI697" s="5"/>
      <c r="GJ697" s="5"/>
      <c r="GK697" s="5"/>
      <c r="GL697" s="5"/>
      <c r="GM697" s="5"/>
      <c r="GN697" s="5"/>
      <c r="GO697" s="5"/>
      <c r="GP697" s="5"/>
      <c r="GQ697" s="5"/>
      <c r="GR697" s="5"/>
      <c r="GS697" s="5"/>
      <c r="GT697" s="5"/>
      <c r="GU697" s="5"/>
      <c r="GX697" s="5">
        <v>0</v>
      </c>
      <c r="GY697" s="5">
        <v>0</v>
      </c>
      <c r="GZ697" s="5" t="s">
        <v>367</v>
      </c>
      <c r="HA697" s="5">
        <v>0</v>
      </c>
      <c r="HB697" s="5"/>
      <c r="HC697" s="5"/>
      <c r="HD697" s="5" t="b">
        <v>0</v>
      </c>
      <c r="HE697" s="5">
        <v>0</v>
      </c>
      <c r="HF697" s="5" t="b">
        <v>1</v>
      </c>
      <c r="HG697" s="5">
        <v>0</v>
      </c>
      <c r="HH697" s="5">
        <v>0</v>
      </c>
      <c r="HI697" s="5">
        <v>0</v>
      </c>
      <c r="HJ697" s="5">
        <v>0</v>
      </c>
      <c r="HK697" s="5" t="b">
        <v>0</v>
      </c>
      <c r="HL697" s="5">
        <v>0</v>
      </c>
      <c r="HM697" s="5">
        <v>0</v>
      </c>
      <c r="HN697" s="5" t="s">
        <v>367</v>
      </c>
      <c r="HO697" s="5" t="s">
        <v>360</v>
      </c>
      <c r="HP697" s="5">
        <v>0</v>
      </c>
      <c r="HQ697" s="5">
        <v>0</v>
      </c>
      <c r="HR697" s="5">
        <v>0</v>
      </c>
      <c r="HS697" s="5">
        <v>0</v>
      </c>
      <c r="HT697" s="5" t="b">
        <v>0</v>
      </c>
    </row>
    <row r="698" spans="1:228">
      <c r="A698"/>
      <c r="B698" s="1">
        <f>10000000+INDEX(编号表!$B$1:$B$112,MATCH(D698,编号表!$A$1:$A$112,0))*10000+I698</f>
        <v>10350005</v>
      </c>
      <c r="C698" s="5" t="s">
        <v>541</v>
      </c>
      <c r="D698" s="5" t="s">
        <v>541</v>
      </c>
      <c r="E698" s="5" t="s">
        <v>360</v>
      </c>
      <c r="F698" s="5" t="s">
        <v>388</v>
      </c>
      <c r="G698" s="5" t="b">
        <v>0</v>
      </c>
      <c r="H698" s="5" t="b">
        <v>1</v>
      </c>
      <c r="I698" s="5">
        <v>5</v>
      </c>
      <c r="J698" s="5">
        <v>103500</v>
      </c>
      <c r="K698" s="5" t="s">
        <v>350</v>
      </c>
      <c r="L698" s="5">
        <v>0</v>
      </c>
      <c r="M698" s="5">
        <v>0</v>
      </c>
      <c r="N698" s="5" t="s">
        <v>535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/>
      <c r="V698" s="5">
        <v>0</v>
      </c>
      <c r="W698" s="5">
        <v>0</v>
      </c>
      <c r="X698" s="5" t="s">
        <v>360</v>
      </c>
      <c r="Y698" s="5" t="s">
        <v>365</v>
      </c>
      <c r="Z698" s="5" t="s">
        <v>354</v>
      </c>
      <c r="AA698" s="5">
        <v>0</v>
      </c>
      <c r="AB698" s="5">
        <v>12</v>
      </c>
      <c r="AC698" s="5" t="b">
        <v>0</v>
      </c>
      <c r="AD698" s="5" t="s">
        <v>355</v>
      </c>
      <c r="AE698" s="5">
        <v>320</v>
      </c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 t="s">
        <v>367</v>
      </c>
      <c r="AZ698" s="5">
        <v>11300</v>
      </c>
      <c r="BA698" s="5" t="s">
        <v>417</v>
      </c>
      <c r="BB698" s="5" t="s">
        <v>354</v>
      </c>
      <c r="BC698" s="5">
        <v>10000</v>
      </c>
      <c r="BD698" s="5">
        <v>0</v>
      </c>
      <c r="BE698" s="5" t="s">
        <v>358</v>
      </c>
      <c r="BF698" s="5">
        <v>0</v>
      </c>
      <c r="BG698" s="5"/>
      <c r="BH698" s="5"/>
      <c r="BI698" s="5"/>
      <c r="BJ698" s="5"/>
      <c r="BK698" s="5"/>
      <c r="BL698" s="5"/>
      <c r="BM698" s="5">
        <v>21002105</v>
      </c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  <c r="DJ698" s="5"/>
      <c r="DK698" s="5"/>
      <c r="DL698" s="5"/>
      <c r="DM698" s="5"/>
      <c r="DN698" s="5"/>
      <c r="DO698" s="5"/>
      <c r="DP698" s="5"/>
      <c r="DQ698" s="5"/>
      <c r="DR698" s="5"/>
      <c r="DS698" s="5"/>
      <c r="DT698" s="5"/>
      <c r="DU698" s="5"/>
      <c r="DV698" s="5"/>
      <c r="DW698" s="5"/>
      <c r="DX698" s="5"/>
      <c r="DY698" s="5"/>
      <c r="DZ698" s="5"/>
      <c r="EA698" s="5"/>
      <c r="EB698" s="5"/>
      <c r="EC698" s="5"/>
      <c r="ED698" s="5"/>
      <c r="EE698" s="5"/>
      <c r="EF698" s="5"/>
      <c r="EG698" s="5"/>
      <c r="EH698" s="5"/>
      <c r="EI698" s="5"/>
      <c r="EJ698" s="5"/>
      <c r="EK698" s="5"/>
      <c r="EL698" s="5"/>
      <c r="EM698" s="5"/>
      <c r="EN698" s="5"/>
      <c r="EO698" s="5"/>
      <c r="EP698" s="5"/>
      <c r="EQ698" s="5"/>
      <c r="ER698" s="5"/>
      <c r="ES698" s="5"/>
      <c r="ET698" s="5"/>
      <c r="EU698" s="5"/>
      <c r="EV698" s="5"/>
      <c r="EY698" s="5"/>
      <c r="EZ698" s="5"/>
      <c r="FA698" s="5"/>
      <c r="FB698" s="5"/>
      <c r="FC698" s="5"/>
      <c r="FD698" s="5"/>
      <c r="FE698" s="5"/>
      <c r="FF698" s="5"/>
      <c r="FG698" s="5"/>
      <c r="FH698" s="5"/>
      <c r="FI698" s="5"/>
      <c r="FJ698" s="5"/>
      <c r="FK698" s="5"/>
      <c r="FL698" s="5"/>
      <c r="FM698" s="5"/>
      <c r="FN698" s="5"/>
      <c r="FO698" s="5"/>
      <c r="FP698" s="5"/>
      <c r="FQ698" s="5"/>
      <c r="FR698" s="5"/>
      <c r="FS698" s="5"/>
      <c r="FT698" s="5"/>
      <c r="FU698" s="5"/>
      <c r="FV698" s="5"/>
      <c r="FW698" s="5"/>
      <c r="FX698" s="5"/>
      <c r="FY698" s="5"/>
      <c r="FZ698" s="5"/>
      <c r="GA698" s="5"/>
      <c r="GB698" s="5"/>
      <c r="GC698" s="5"/>
      <c r="GD698" s="5"/>
      <c r="GE698" s="5"/>
      <c r="GF698" s="5"/>
      <c r="GG698" s="5"/>
      <c r="GH698" s="5"/>
      <c r="GI698" s="5"/>
      <c r="GJ698" s="5"/>
      <c r="GK698" s="5"/>
      <c r="GL698" s="5"/>
      <c r="GM698" s="5"/>
      <c r="GN698" s="5"/>
      <c r="GO698" s="5"/>
      <c r="GP698" s="5"/>
      <c r="GQ698" s="5"/>
      <c r="GR698" s="5"/>
      <c r="GS698" s="5"/>
      <c r="GT698" s="5"/>
      <c r="GU698" s="5"/>
      <c r="GX698" s="5">
        <v>0</v>
      </c>
      <c r="GY698" s="5">
        <v>0</v>
      </c>
      <c r="GZ698" s="5" t="s">
        <v>367</v>
      </c>
      <c r="HA698" s="5">
        <v>0</v>
      </c>
      <c r="HB698" s="5"/>
      <c r="HC698" s="5"/>
      <c r="HD698" s="5" t="b">
        <v>0</v>
      </c>
      <c r="HE698" s="5">
        <v>0</v>
      </c>
      <c r="HF698" s="5" t="b">
        <v>1</v>
      </c>
      <c r="HG698" s="5">
        <v>0</v>
      </c>
      <c r="HH698" s="5">
        <v>0</v>
      </c>
      <c r="HI698" s="5">
        <v>0</v>
      </c>
      <c r="HJ698" s="5">
        <v>0</v>
      </c>
      <c r="HK698" s="5" t="b">
        <v>0</v>
      </c>
      <c r="HL698" s="5">
        <v>0</v>
      </c>
      <c r="HM698" s="5">
        <v>0</v>
      </c>
      <c r="HN698" s="5" t="s">
        <v>367</v>
      </c>
      <c r="HO698" s="5" t="s">
        <v>360</v>
      </c>
      <c r="HP698" s="5">
        <v>0</v>
      </c>
      <c r="HQ698" s="5">
        <v>0</v>
      </c>
      <c r="HR698" s="5">
        <v>0</v>
      </c>
      <c r="HS698" s="5">
        <v>0</v>
      </c>
      <c r="HT698" s="5" t="b">
        <v>0</v>
      </c>
    </row>
    <row r="699" spans="1:228">
      <c r="A699"/>
      <c r="B699" s="1">
        <f>10000000+INDEX(编号表!$B$1:$B$112,MATCH(D699,编号表!$A$1:$A$112,0))*10000+I699</f>
        <v>10350006</v>
      </c>
      <c r="C699" s="5" t="s">
        <v>541</v>
      </c>
      <c r="D699" s="5" t="s">
        <v>541</v>
      </c>
      <c r="E699" s="5" t="s">
        <v>360</v>
      </c>
      <c r="F699" s="5" t="s">
        <v>388</v>
      </c>
      <c r="G699" s="5" t="b">
        <v>0</v>
      </c>
      <c r="H699" s="5" t="b">
        <v>1</v>
      </c>
      <c r="I699" s="5">
        <v>6</v>
      </c>
      <c r="J699" s="5">
        <v>103500</v>
      </c>
      <c r="K699" s="5" t="s">
        <v>350</v>
      </c>
      <c r="L699" s="5">
        <v>0</v>
      </c>
      <c r="M699" s="5">
        <v>0</v>
      </c>
      <c r="N699" s="5" t="s">
        <v>535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/>
      <c r="V699" s="5">
        <v>0</v>
      </c>
      <c r="W699" s="5">
        <v>0</v>
      </c>
      <c r="X699" s="5" t="s">
        <v>360</v>
      </c>
      <c r="Y699" s="5" t="s">
        <v>365</v>
      </c>
      <c r="Z699" s="5" t="s">
        <v>354</v>
      </c>
      <c r="AA699" s="5">
        <v>0</v>
      </c>
      <c r="AB699" s="5">
        <v>12</v>
      </c>
      <c r="AC699" s="5" t="b">
        <v>0</v>
      </c>
      <c r="AD699" s="5" t="s">
        <v>355</v>
      </c>
      <c r="AE699" s="5">
        <v>320</v>
      </c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 t="s">
        <v>367</v>
      </c>
      <c r="AZ699" s="5">
        <v>11600</v>
      </c>
      <c r="BA699" s="5" t="s">
        <v>417</v>
      </c>
      <c r="BB699" s="5" t="s">
        <v>354</v>
      </c>
      <c r="BC699" s="5">
        <v>10000</v>
      </c>
      <c r="BD699" s="5">
        <v>0</v>
      </c>
      <c r="BE699" s="5" t="s">
        <v>358</v>
      </c>
      <c r="BF699" s="5">
        <v>0</v>
      </c>
      <c r="BG699" s="5"/>
      <c r="BH699" s="5"/>
      <c r="BI699" s="5"/>
      <c r="BJ699" s="5"/>
      <c r="BK699" s="5"/>
      <c r="BL699" s="5"/>
      <c r="BM699" s="5">
        <v>21002106</v>
      </c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  <c r="DJ699" s="5"/>
      <c r="DK699" s="5"/>
      <c r="DL699" s="5"/>
      <c r="DM699" s="5"/>
      <c r="DN699" s="5"/>
      <c r="DO699" s="5"/>
      <c r="DP699" s="5"/>
      <c r="DQ699" s="5"/>
      <c r="DR699" s="5"/>
      <c r="DS699" s="5"/>
      <c r="DT699" s="5"/>
      <c r="DU699" s="5"/>
      <c r="DV699" s="5"/>
      <c r="DW699" s="5"/>
      <c r="DX699" s="5"/>
      <c r="DY699" s="5"/>
      <c r="DZ699" s="5"/>
      <c r="EA699" s="5"/>
      <c r="EB699" s="5"/>
      <c r="EC699" s="5"/>
      <c r="ED699" s="5"/>
      <c r="EE699" s="5"/>
      <c r="EF699" s="5"/>
      <c r="EG699" s="5"/>
      <c r="EH699" s="5"/>
      <c r="EI699" s="5"/>
      <c r="EJ699" s="5"/>
      <c r="EK699" s="5"/>
      <c r="EL699" s="5"/>
      <c r="EM699" s="5"/>
      <c r="EN699" s="5"/>
      <c r="EO699" s="5"/>
      <c r="EP699" s="5"/>
      <c r="EQ699" s="5"/>
      <c r="ER699" s="5"/>
      <c r="ES699" s="5"/>
      <c r="ET699" s="5"/>
      <c r="EU699" s="5"/>
      <c r="EV699" s="5"/>
      <c r="EY699" s="5"/>
      <c r="EZ699" s="5"/>
      <c r="FA699" s="5"/>
      <c r="FB699" s="5"/>
      <c r="FC699" s="5"/>
      <c r="FD699" s="5"/>
      <c r="FE699" s="5"/>
      <c r="FF699" s="5"/>
      <c r="FG699" s="5"/>
      <c r="FH699" s="5"/>
      <c r="FI699" s="5"/>
      <c r="FJ699" s="5"/>
      <c r="FK699" s="5"/>
      <c r="FL699" s="5"/>
      <c r="FM699" s="5"/>
      <c r="FN699" s="5"/>
      <c r="FO699" s="5"/>
      <c r="FP699" s="5"/>
      <c r="FQ699" s="5"/>
      <c r="FR699" s="5"/>
      <c r="FS699" s="5"/>
      <c r="FT699" s="5"/>
      <c r="FU699" s="5"/>
      <c r="FV699" s="5"/>
      <c r="FW699" s="5"/>
      <c r="FX699" s="5"/>
      <c r="FY699" s="5"/>
      <c r="FZ699" s="5"/>
      <c r="GA699" s="5"/>
      <c r="GB699" s="5"/>
      <c r="GC699" s="5"/>
      <c r="GD699" s="5"/>
      <c r="GE699" s="5"/>
      <c r="GF699" s="5"/>
      <c r="GG699" s="5"/>
      <c r="GH699" s="5"/>
      <c r="GI699" s="5"/>
      <c r="GJ699" s="5"/>
      <c r="GK699" s="5"/>
      <c r="GL699" s="5"/>
      <c r="GM699" s="5"/>
      <c r="GN699" s="5"/>
      <c r="GO699" s="5"/>
      <c r="GP699" s="5"/>
      <c r="GQ699" s="5"/>
      <c r="GR699" s="5"/>
      <c r="GS699" s="5"/>
      <c r="GT699" s="5"/>
      <c r="GU699" s="5"/>
      <c r="GX699" s="5">
        <v>0</v>
      </c>
      <c r="GY699" s="5">
        <v>0</v>
      </c>
      <c r="GZ699" s="5" t="s">
        <v>367</v>
      </c>
      <c r="HA699" s="5">
        <v>0</v>
      </c>
      <c r="HB699" s="5"/>
      <c r="HC699" s="5"/>
      <c r="HD699" s="5" t="b">
        <v>0</v>
      </c>
      <c r="HE699" s="5">
        <v>0</v>
      </c>
      <c r="HF699" s="5" t="b">
        <v>1</v>
      </c>
      <c r="HG699" s="5">
        <v>0</v>
      </c>
      <c r="HH699" s="5">
        <v>0</v>
      </c>
      <c r="HI699" s="5">
        <v>0</v>
      </c>
      <c r="HJ699" s="5">
        <v>0</v>
      </c>
      <c r="HK699" s="5" t="b">
        <v>0</v>
      </c>
      <c r="HL699" s="5">
        <v>0</v>
      </c>
      <c r="HM699" s="5">
        <v>0</v>
      </c>
      <c r="HN699" s="5" t="s">
        <v>367</v>
      </c>
      <c r="HO699" s="5" t="s">
        <v>360</v>
      </c>
      <c r="HP699" s="5">
        <v>0</v>
      </c>
      <c r="HQ699" s="5">
        <v>0</v>
      </c>
      <c r="HR699" s="5">
        <v>0</v>
      </c>
      <c r="HS699" s="5">
        <v>0</v>
      </c>
      <c r="HT699" s="5" t="b">
        <v>0</v>
      </c>
    </row>
    <row r="700" spans="1:228">
      <c r="A700"/>
      <c r="B700" s="1">
        <f>10000000+INDEX(编号表!$B$1:$B$112,MATCH(D700,编号表!$A$1:$A$112,0))*10000+I700</f>
        <v>10350007</v>
      </c>
      <c r="C700" s="5" t="s">
        <v>541</v>
      </c>
      <c r="D700" s="5" t="s">
        <v>541</v>
      </c>
      <c r="E700" s="5" t="s">
        <v>360</v>
      </c>
      <c r="F700" s="5" t="s">
        <v>388</v>
      </c>
      <c r="G700" s="5" t="b">
        <v>0</v>
      </c>
      <c r="H700" s="5" t="b">
        <v>1</v>
      </c>
      <c r="I700" s="5">
        <v>7</v>
      </c>
      <c r="J700" s="5">
        <v>103500</v>
      </c>
      <c r="K700" s="5" t="s">
        <v>350</v>
      </c>
      <c r="L700" s="5">
        <v>0</v>
      </c>
      <c r="M700" s="5">
        <v>0</v>
      </c>
      <c r="N700" s="5" t="s">
        <v>535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/>
      <c r="V700" s="5">
        <v>0</v>
      </c>
      <c r="W700" s="5">
        <v>0</v>
      </c>
      <c r="X700" s="5" t="s">
        <v>360</v>
      </c>
      <c r="Y700" s="5" t="s">
        <v>365</v>
      </c>
      <c r="Z700" s="5" t="s">
        <v>354</v>
      </c>
      <c r="AA700" s="5">
        <v>0</v>
      </c>
      <c r="AB700" s="5">
        <v>12</v>
      </c>
      <c r="AC700" s="5" t="b">
        <v>0</v>
      </c>
      <c r="AD700" s="5" t="s">
        <v>355</v>
      </c>
      <c r="AE700" s="5">
        <v>320</v>
      </c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 t="s">
        <v>367</v>
      </c>
      <c r="AZ700" s="5">
        <v>11700</v>
      </c>
      <c r="BA700" s="5" t="s">
        <v>417</v>
      </c>
      <c r="BB700" s="5" t="s">
        <v>354</v>
      </c>
      <c r="BC700" s="5">
        <v>10000</v>
      </c>
      <c r="BD700" s="5">
        <v>0</v>
      </c>
      <c r="BE700" s="5" t="s">
        <v>358</v>
      </c>
      <c r="BF700" s="5">
        <v>0</v>
      </c>
      <c r="BG700" s="5"/>
      <c r="BH700" s="5"/>
      <c r="BI700" s="5"/>
      <c r="BJ700" s="5"/>
      <c r="BK700" s="5"/>
      <c r="BL700" s="5"/>
      <c r="BM700" s="5">
        <v>21002107</v>
      </c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  <c r="DJ700" s="5"/>
      <c r="DK700" s="5"/>
      <c r="DL700" s="5"/>
      <c r="DM700" s="5"/>
      <c r="DN700" s="5"/>
      <c r="DO700" s="5"/>
      <c r="DP700" s="5"/>
      <c r="DQ700" s="5"/>
      <c r="DR700" s="5"/>
      <c r="DS700" s="5"/>
      <c r="DT700" s="5"/>
      <c r="DU700" s="5"/>
      <c r="DV700" s="5"/>
      <c r="DW700" s="5"/>
      <c r="DX700" s="5"/>
      <c r="DY700" s="5"/>
      <c r="DZ700" s="5"/>
      <c r="EA700" s="5"/>
      <c r="EB700" s="5"/>
      <c r="EC700" s="5"/>
      <c r="ED700" s="5"/>
      <c r="EE700" s="5"/>
      <c r="EF700" s="5"/>
      <c r="EG700" s="5"/>
      <c r="EH700" s="5"/>
      <c r="EI700" s="5"/>
      <c r="EJ700" s="5"/>
      <c r="EK700" s="5"/>
      <c r="EL700" s="5"/>
      <c r="EM700" s="5"/>
      <c r="EN700" s="5"/>
      <c r="EO700" s="5"/>
      <c r="EP700" s="5"/>
      <c r="EQ700" s="5"/>
      <c r="ER700" s="5"/>
      <c r="ES700" s="5"/>
      <c r="ET700" s="5"/>
      <c r="EU700" s="5"/>
      <c r="EV700" s="5"/>
      <c r="EY700" s="5"/>
      <c r="EZ700" s="5"/>
      <c r="FA700" s="5"/>
      <c r="FB700" s="5"/>
      <c r="FC700" s="5"/>
      <c r="FD700" s="5"/>
      <c r="FE700" s="5"/>
      <c r="FF700" s="5"/>
      <c r="FG700" s="5"/>
      <c r="FH700" s="5"/>
      <c r="FI700" s="5"/>
      <c r="FJ700" s="5"/>
      <c r="FK700" s="5"/>
      <c r="FL700" s="5"/>
      <c r="FM700" s="5"/>
      <c r="FN700" s="5"/>
      <c r="FO700" s="5"/>
      <c r="FP700" s="5"/>
      <c r="FQ700" s="5"/>
      <c r="FR700" s="5"/>
      <c r="FS700" s="5"/>
      <c r="FT700" s="5"/>
      <c r="FU700" s="5"/>
      <c r="FV700" s="5"/>
      <c r="FW700" s="5"/>
      <c r="FX700" s="5"/>
      <c r="FY700" s="5"/>
      <c r="FZ700" s="5"/>
      <c r="GA700" s="5"/>
      <c r="GB700" s="5"/>
      <c r="GC700" s="5"/>
      <c r="GD700" s="5"/>
      <c r="GE700" s="5"/>
      <c r="GF700" s="5"/>
      <c r="GG700" s="5"/>
      <c r="GH700" s="5"/>
      <c r="GI700" s="5"/>
      <c r="GJ700" s="5"/>
      <c r="GK700" s="5"/>
      <c r="GL700" s="5"/>
      <c r="GM700" s="5"/>
      <c r="GN700" s="5"/>
      <c r="GO700" s="5"/>
      <c r="GP700" s="5"/>
      <c r="GQ700" s="5"/>
      <c r="GR700" s="5"/>
      <c r="GS700" s="5"/>
      <c r="GT700" s="5"/>
      <c r="GU700" s="5"/>
      <c r="GX700" s="5">
        <v>0</v>
      </c>
      <c r="GY700" s="5">
        <v>0</v>
      </c>
      <c r="GZ700" s="5" t="s">
        <v>367</v>
      </c>
      <c r="HA700" s="5">
        <v>0</v>
      </c>
      <c r="HB700" s="5"/>
      <c r="HC700" s="5"/>
      <c r="HD700" s="5" t="b">
        <v>0</v>
      </c>
      <c r="HE700" s="5">
        <v>0</v>
      </c>
      <c r="HF700" s="5" t="b">
        <v>1</v>
      </c>
      <c r="HG700" s="5">
        <v>0</v>
      </c>
      <c r="HH700" s="5">
        <v>0</v>
      </c>
      <c r="HI700" s="5">
        <v>0</v>
      </c>
      <c r="HJ700" s="5">
        <v>0</v>
      </c>
      <c r="HK700" s="5" t="b">
        <v>0</v>
      </c>
      <c r="HL700" s="5">
        <v>0</v>
      </c>
      <c r="HM700" s="5">
        <v>0</v>
      </c>
      <c r="HN700" s="5" t="s">
        <v>367</v>
      </c>
      <c r="HO700" s="5" t="s">
        <v>360</v>
      </c>
      <c r="HP700" s="5">
        <v>0</v>
      </c>
      <c r="HQ700" s="5">
        <v>0</v>
      </c>
      <c r="HR700" s="5">
        <v>0</v>
      </c>
      <c r="HS700" s="5">
        <v>0</v>
      </c>
      <c r="HT700" s="5" t="b">
        <v>0</v>
      </c>
    </row>
    <row r="701" spans="1:228">
      <c r="A701"/>
      <c r="B701" s="1">
        <f>10000000+INDEX(编号表!$B$1:$B$112,MATCH(D701,编号表!$A$1:$A$112,0))*10000+I701</f>
        <v>10350008</v>
      </c>
      <c r="C701" s="5" t="s">
        <v>541</v>
      </c>
      <c r="D701" s="5" t="s">
        <v>541</v>
      </c>
      <c r="E701" s="5" t="s">
        <v>360</v>
      </c>
      <c r="F701" s="5" t="s">
        <v>388</v>
      </c>
      <c r="G701" s="5" t="b">
        <v>0</v>
      </c>
      <c r="H701" s="5" t="b">
        <v>1</v>
      </c>
      <c r="I701" s="5">
        <v>8</v>
      </c>
      <c r="J701" s="5">
        <v>103500</v>
      </c>
      <c r="K701" s="5" t="s">
        <v>350</v>
      </c>
      <c r="L701" s="5">
        <v>0</v>
      </c>
      <c r="M701" s="5">
        <v>0</v>
      </c>
      <c r="N701" s="5" t="s">
        <v>535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/>
      <c r="V701" s="5">
        <v>0</v>
      </c>
      <c r="W701" s="5">
        <v>0</v>
      </c>
      <c r="X701" s="5" t="s">
        <v>360</v>
      </c>
      <c r="Y701" s="5" t="s">
        <v>365</v>
      </c>
      <c r="Z701" s="5" t="s">
        <v>354</v>
      </c>
      <c r="AA701" s="5">
        <v>0</v>
      </c>
      <c r="AB701" s="5">
        <v>12</v>
      </c>
      <c r="AC701" s="5" t="b">
        <v>0</v>
      </c>
      <c r="AD701" s="5" t="s">
        <v>355</v>
      </c>
      <c r="AE701" s="5">
        <v>320</v>
      </c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 t="s">
        <v>367</v>
      </c>
      <c r="AZ701" s="5">
        <v>11800</v>
      </c>
      <c r="BA701" s="5" t="s">
        <v>417</v>
      </c>
      <c r="BB701" s="5" t="s">
        <v>354</v>
      </c>
      <c r="BC701" s="5">
        <v>10000</v>
      </c>
      <c r="BD701" s="5">
        <v>0</v>
      </c>
      <c r="BE701" s="5" t="s">
        <v>358</v>
      </c>
      <c r="BF701" s="5">
        <v>0</v>
      </c>
      <c r="BG701" s="5"/>
      <c r="BH701" s="5"/>
      <c r="BI701" s="5"/>
      <c r="BJ701" s="5"/>
      <c r="BK701" s="5"/>
      <c r="BL701" s="5"/>
      <c r="BM701" s="5">
        <v>21002108</v>
      </c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  <c r="DJ701" s="5"/>
      <c r="DK701" s="5"/>
      <c r="DL701" s="5"/>
      <c r="DM701" s="5"/>
      <c r="DN701" s="5"/>
      <c r="DO701" s="5"/>
      <c r="DP701" s="5"/>
      <c r="DQ701" s="5"/>
      <c r="DR701" s="5"/>
      <c r="DS701" s="5"/>
      <c r="DT701" s="5"/>
      <c r="DU701" s="5"/>
      <c r="DV701" s="5"/>
      <c r="DW701" s="5"/>
      <c r="DX701" s="5"/>
      <c r="DY701" s="5"/>
      <c r="DZ701" s="5"/>
      <c r="EA701" s="5"/>
      <c r="EB701" s="5"/>
      <c r="EC701" s="5"/>
      <c r="ED701" s="5"/>
      <c r="EE701" s="5"/>
      <c r="EF701" s="5"/>
      <c r="EG701" s="5"/>
      <c r="EH701" s="5"/>
      <c r="EI701" s="5"/>
      <c r="EJ701" s="5"/>
      <c r="EK701" s="5"/>
      <c r="EL701" s="5"/>
      <c r="EM701" s="5"/>
      <c r="EN701" s="5"/>
      <c r="EO701" s="5"/>
      <c r="EP701" s="5"/>
      <c r="EQ701" s="5"/>
      <c r="ER701" s="5"/>
      <c r="ES701" s="5"/>
      <c r="ET701" s="5"/>
      <c r="EU701" s="5"/>
      <c r="EV701" s="5"/>
      <c r="EY701" s="5"/>
      <c r="EZ701" s="5"/>
      <c r="FA701" s="5"/>
      <c r="FB701" s="5"/>
      <c r="FC701" s="5"/>
      <c r="FD701" s="5"/>
      <c r="FE701" s="5"/>
      <c r="FF701" s="5"/>
      <c r="FG701" s="5"/>
      <c r="FH701" s="5"/>
      <c r="FI701" s="5"/>
      <c r="FJ701" s="5"/>
      <c r="FK701" s="5"/>
      <c r="FL701" s="5"/>
      <c r="FM701" s="5"/>
      <c r="FN701" s="5"/>
      <c r="FO701" s="5"/>
      <c r="FP701" s="5"/>
      <c r="FQ701" s="5"/>
      <c r="FR701" s="5"/>
      <c r="FS701" s="5"/>
      <c r="FT701" s="5"/>
      <c r="FU701" s="5"/>
      <c r="FV701" s="5"/>
      <c r="FW701" s="5"/>
      <c r="FX701" s="5"/>
      <c r="FY701" s="5"/>
      <c r="FZ701" s="5"/>
      <c r="GA701" s="5"/>
      <c r="GB701" s="5"/>
      <c r="GC701" s="5"/>
      <c r="GD701" s="5"/>
      <c r="GE701" s="5"/>
      <c r="GF701" s="5"/>
      <c r="GG701" s="5"/>
      <c r="GH701" s="5"/>
      <c r="GI701" s="5"/>
      <c r="GJ701" s="5"/>
      <c r="GK701" s="5"/>
      <c r="GL701" s="5"/>
      <c r="GM701" s="5"/>
      <c r="GN701" s="5"/>
      <c r="GO701" s="5"/>
      <c r="GP701" s="5"/>
      <c r="GQ701" s="5"/>
      <c r="GR701" s="5"/>
      <c r="GS701" s="5"/>
      <c r="GT701" s="5"/>
      <c r="GU701" s="5"/>
      <c r="GX701" s="5">
        <v>0</v>
      </c>
      <c r="GY701" s="5">
        <v>0</v>
      </c>
      <c r="GZ701" s="5" t="s">
        <v>367</v>
      </c>
      <c r="HA701" s="5">
        <v>0</v>
      </c>
      <c r="HB701" s="5"/>
      <c r="HC701" s="5"/>
      <c r="HD701" s="5" t="b">
        <v>0</v>
      </c>
      <c r="HE701" s="5">
        <v>0</v>
      </c>
      <c r="HF701" s="5" t="b">
        <v>1</v>
      </c>
      <c r="HG701" s="5">
        <v>0</v>
      </c>
      <c r="HH701" s="5">
        <v>0</v>
      </c>
      <c r="HI701" s="5">
        <v>0</v>
      </c>
      <c r="HJ701" s="5">
        <v>0</v>
      </c>
      <c r="HK701" s="5" t="b">
        <v>0</v>
      </c>
      <c r="HL701" s="5">
        <v>0</v>
      </c>
      <c r="HM701" s="5">
        <v>0</v>
      </c>
      <c r="HN701" s="5" t="s">
        <v>367</v>
      </c>
      <c r="HO701" s="5" t="s">
        <v>360</v>
      </c>
      <c r="HP701" s="5">
        <v>0</v>
      </c>
      <c r="HQ701" s="5">
        <v>0</v>
      </c>
      <c r="HR701" s="5">
        <v>0</v>
      </c>
      <c r="HS701" s="5">
        <v>0</v>
      </c>
      <c r="HT701" s="5" t="b">
        <v>0</v>
      </c>
    </row>
    <row r="702" spans="1:228">
      <c r="A702"/>
      <c r="B702" s="1">
        <f>10000000+INDEX(编号表!$B$1:$B$112,MATCH(D702,编号表!$A$1:$A$112,0))*10000+I702</f>
        <v>10350009</v>
      </c>
      <c r="C702" s="5" t="s">
        <v>541</v>
      </c>
      <c r="D702" s="5" t="s">
        <v>541</v>
      </c>
      <c r="E702" s="5" t="s">
        <v>360</v>
      </c>
      <c r="F702" s="5" t="s">
        <v>388</v>
      </c>
      <c r="G702" s="5" t="b">
        <v>0</v>
      </c>
      <c r="H702" s="5" t="b">
        <v>1</v>
      </c>
      <c r="I702" s="5">
        <v>9</v>
      </c>
      <c r="J702" s="5">
        <v>103500</v>
      </c>
      <c r="K702" s="5" t="s">
        <v>350</v>
      </c>
      <c r="L702" s="5">
        <v>0</v>
      </c>
      <c r="M702" s="5">
        <v>0</v>
      </c>
      <c r="N702" s="5" t="s">
        <v>535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/>
      <c r="V702" s="5">
        <v>0</v>
      </c>
      <c r="W702" s="5">
        <v>0</v>
      </c>
      <c r="X702" s="5" t="s">
        <v>360</v>
      </c>
      <c r="Y702" s="5" t="s">
        <v>365</v>
      </c>
      <c r="Z702" s="5" t="s">
        <v>354</v>
      </c>
      <c r="AA702" s="5">
        <v>0</v>
      </c>
      <c r="AB702" s="5">
        <v>12</v>
      </c>
      <c r="AC702" s="5" t="b">
        <v>0</v>
      </c>
      <c r="AD702" s="5" t="s">
        <v>355</v>
      </c>
      <c r="AE702" s="5">
        <v>320</v>
      </c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 t="s">
        <v>367</v>
      </c>
      <c r="AZ702" s="5">
        <v>11900</v>
      </c>
      <c r="BA702" s="5" t="s">
        <v>417</v>
      </c>
      <c r="BB702" s="5" t="s">
        <v>354</v>
      </c>
      <c r="BC702" s="5">
        <v>10000</v>
      </c>
      <c r="BD702" s="5">
        <v>0</v>
      </c>
      <c r="BE702" s="5" t="s">
        <v>358</v>
      </c>
      <c r="BF702" s="5">
        <v>0</v>
      </c>
      <c r="BG702" s="5"/>
      <c r="BH702" s="5"/>
      <c r="BI702" s="5"/>
      <c r="BJ702" s="5"/>
      <c r="BK702" s="5"/>
      <c r="BL702" s="5"/>
      <c r="BM702" s="5">
        <v>21002109</v>
      </c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  <c r="DJ702" s="5"/>
      <c r="DK702" s="5"/>
      <c r="DL702" s="5"/>
      <c r="DM702" s="5"/>
      <c r="DN702" s="5"/>
      <c r="DO702" s="5"/>
      <c r="DP702" s="5"/>
      <c r="DQ702" s="5"/>
      <c r="DR702" s="5"/>
      <c r="DS702" s="5"/>
      <c r="DT702" s="5"/>
      <c r="DU702" s="5"/>
      <c r="DV702" s="5"/>
      <c r="DW702" s="5"/>
      <c r="DX702" s="5"/>
      <c r="DY702" s="5"/>
      <c r="DZ702" s="5"/>
      <c r="EA702" s="5"/>
      <c r="EB702" s="5"/>
      <c r="EC702" s="5"/>
      <c r="ED702" s="5"/>
      <c r="EE702" s="5"/>
      <c r="EF702" s="5"/>
      <c r="EG702" s="5"/>
      <c r="EH702" s="5"/>
      <c r="EI702" s="5"/>
      <c r="EJ702" s="5"/>
      <c r="EK702" s="5"/>
      <c r="EL702" s="5"/>
      <c r="EM702" s="5"/>
      <c r="EN702" s="5"/>
      <c r="EO702" s="5"/>
      <c r="EP702" s="5"/>
      <c r="EQ702" s="5"/>
      <c r="ER702" s="5"/>
      <c r="ES702" s="5"/>
      <c r="ET702" s="5"/>
      <c r="EU702" s="5"/>
      <c r="EV702" s="5"/>
      <c r="EY702" s="5"/>
      <c r="EZ702" s="5"/>
      <c r="FA702" s="5"/>
      <c r="FB702" s="5"/>
      <c r="FC702" s="5"/>
      <c r="FD702" s="5"/>
      <c r="FE702" s="5"/>
      <c r="FF702" s="5"/>
      <c r="FG702" s="5"/>
      <c r="FH702" s="5"/>
      <c r="FI702" s="5"/>
      <c r="FJ702" s="5"/>
      <c r="FK702" s="5"/>
      <c r="FL702" s="5"/>
      <c r="FM702" s="5"/>
      <c r="FN702" s="5"/>
      <c r="FO702" s="5"/>
      <c r="FP702" s="5"/>
      <c r="FQ702" s="5"/>
      <c r="FR702" s="5"/>
      <c r="FS702" s="5"/>
      <c r="FT702" s="5"/>
      <c r="FU702" s="5"/>
      <c r="FV702" s="5"/>
      <c r="FW702" s="5"/>
      <c r="FX702" s="5"/>
      <c r="FY702" s="5"/>
      <c r="FZ702" s="5"/>
      <c r="GA702" s="5"/>
      <c r="GB702" s="5"/>
      <c r="GC702" s="5"/>
      <c r="GD702" s="5"/>
      <c r="GE702" s="5"/>
      <c r="GF702" s="5"/>
      <c r="GG702" s="5"/>
      <c r="GH702" s="5"/>
      <c r="GI702" s="5"/>
      <c r="GJ702" s="5"/>
      <c r="GK702" s="5"/>
      <c r="GL702" s="5"/>
      <c r="GM702" s="5"/>
      <c r="GN702" s="5"/>
      <c r="GO702" s="5"/>
      <c r="GP702" s="5"/>
      <c r="GQ702" s="5"/>
      <c r="GR702" s="5"/>
      <c r="GS702" s="5"/>
      <c r="GT702" s="5"/>
      <c r="GU702" s="5"/>
      <c r="GX702" s="5">
        <v>0</v>
      </c>
      <c r="GY702" s="5">
        <v>0</v>
      </c>
      <c r="GZ702" s="5" t="s">
        <v>367</v>
      </c>
      <c r="HA702" s="5">
        <v>0</v>
      </c>
      <c r="HB702" s="5"/>
      <c r="HC702" s="5"/>
      <c r="HD702" s="5" t="b">
        <v>0</v>
      </c>
      <c r="HE702" s="5">
        <v>0</v>
      </c>
      <c r="HF702" s="5" t="b">
        <v>1</v>
      </c>
      <c r="HG702" s="5">
        <v>0</v>
      </c>
      <c r="HH702" s="5">
        <v>0</v>
      </c>
      <c r="HI702" s="5">
        <v>0</v>
      </c>
      <c r="HJ702" s="5">
        <v>0</v>
      </c>
      <c r="HK702" s="5" t="b">
        <v>0</v>
      </c>
      <c r="HL702" s="5">
        <v>0</v>
      </c>
      <c r="HM702" s="5">
        <v>0</v>
      </c>
      <c r="HN702" s="5" t="s">
        <v>367</v>
      </c>
      <c r="HO702" s="5" t="s">
        <v>360</v>
      </c>
      <c r="HP702" s="5">
        <v>0</v>
      </c>
      <c r="HQ702" s="5">
        <v>0</v>
      </c>
      <c r="HR702" s="5">
        <v>0</v>
      </c>
      <c r="HS702" s="5">
        <v>0</v>
      </c>
      <c r="HT702" s="5" t="b">
        <v>0</v>
      </c>
    </row>
    <row r="703" spans="1:228">
      <c r="A703"/>
      <c r="B703" s="1">
        <f>10000000+INDEX(编号表!$B$1:$B$112,MATCH(D703,编号表!$A$1:$A$112,0))*10000+I703</f>
        <v>10350010</v>
      </c>
      <c r="C703" s="5" t="s">
        <v>541</v>
      </c>
      <c r="D703" s="5" t="s">
        <v>541</v>
      </c>
      <c r="E703" s="5" t="s">
        <v>360</v>
      </c>
      <c r="F703" s="5" t="s">
        <v>388</v>
      </c>
      <c r="G703" s="5" t="b">
        <v>0</v>
      </c>
      <c r="H703" s="5" t="b">
        <v>1</v>
      </c>
      <c r="I703" s="5">
        <v>10</v>
      </c>
      <c r="J703" s="5">
        <v>103500</v>
      </c>
      <c r="K703" s="5" t="s">
        <v>350</v>
      </c>
      <c r="L703" s="5">
        <v>0</v>
      </c>
      <c r="M703" s="5">
        <v>0</v>
      </c>
      <c r="N703" s="5" t="s">
        <v>535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/>
      <c r="V703" s="5">
        <v>0</v>
      </c>
      <c r="W703" s="5">
        <v>0</v>
      </c>
      <c r="X703" s="5" t="s">
        <v>360</v>
      </c>
      <c r="Y703" s="5" t="s">
        <v>365</v>
      </c>
      <c r="Z703" s="5" t="s">
        <v>354</v>
      </c>
      <c r="AA703" s="5">
        <v>0</v>
      </c>
      <c r="AB703" s="5">
        <v>12</v>
      </c>
      <c r="AC703" s="5" t="b">
        <v>0</v>
      </c>
      <c r="AD703" s="5" t="s">
        <v>355</v>
      </c>
      <c r="AE703" s="5">
        <v>320</v>
      </c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 t="s">
        <v>367</v>
      </c>
      <c r="AZ703" s="5">
        <v>12000</v>
      </c>
      <c r="BA703" s="5" t="s">
        <v>417</v>
      </c>
      <c r="BB703" s="5" t="s">
        <v>354</v>
      </c>
      <c r="BC703" s="5">
        <v>10000</v>
      </c>
      <c r="BD703" s="5">
        <v>0</v>
      </c>
      <c r="BE703" s="5" t="s">
        <v>358</v>
      </c>
      <c r="BF703" s="5">
        <v>0</v>
      </c>
      <c r="BG703" s="5"/>
      <c r="BH703" s="5"/>
      <c r="BI703" s="5"/>
      <c r="BJ703" s="5"/>
      <c r="BK703" s="5"/>
      <c r="BL703" s="5"/>
      <c r="BM703" s="5">
        <v>21002110</v>
      </c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  <c r="DJ703" s="5"/>
      <c r="DK703" s="5"/>
      <c r="DL703" s="5"/>
      <c r="DM703" s="5"/>
      <c r="DN703" s="5"/>
      <c r="DO703" s="5"/>
      <c r="DP703" s="5"/>
      <c r="DQ703" s="5"/>
      <c r="DR703" s="5"/>
      <c r="DS703" s="5"/>
      <c r="DT703" s="5"/>
      <c r="DU703" s="5"/>
      <c r="DV703" s="5"/>
      <c r="DW703" s="5"/>
      <c r="DX703" s="5"/>
      <c r="DY703" s="5"/>
      <c r="DZ703" s="5"/>
      <c r="EA703" s="5"/>
      <c r="EB703" s="5"/>
      <c r="EC703" s="5"/>
      <c r="ED703" s="5"/>
      <c r="EE703" s="5"/>
      <c r="EF703" s="5"/>
      <c r="EG703" s="5"/>
      <c r="EH703" s="5"/>
      <c r="EI703" s="5"/>
      <c r="EJ703" s="5"/>
      <c r="EK703" s="5"/>
      <c r="EL703" s="5"/>
      <c r="EM703" s="5"/>
      <c r="EN703" s="5"/>
      <c r="EO703" s="5"/>
      <c r="EP703" s="5"/>
      <c r="EQ703" s="5"/>
      <c r="ER703" s="5"/>
      <c r="ES703" s="5"/>
      <c r="ET703" s="5"/>
      <c r="EU703" s="5"/>
      <c r="EV703" s="5"/>
      <c r="EY703" s="5"/>
      <c r="EZ703" s="5"/>
      <c r="FA703" s="5"/>
      <c r="FB703" s="5"/>
      <c r="FC703" s="5"/>
      <c r="FD703" s="5"/>
      <c r="FE703" s="5"/>
      <c r="FF703" s="5"/>
      <c r="FG703" s="5"/>
      <c r="FH703" s="5"/>
      <c r="FI703" s="5"/>
      <c r="FJ703" s="5"/>
      <c r="FK703" s="5"/>
      <c r="FL703" s="5"/>
      <c r="FM703" s="5"/>
      <c r="FN703" s="5"/>
      <c r="FO703" s="5"/>
      <c r="FP703" s="5"/>
      <c r="FQ703" s="5"/>
      <c r="FR703" s="5"/>
      <c r="FS703" s="5"/>
      <c r="FT703" s="5"/>
      <c r="FU703" s="5"/>
      <c r="FV703" s="5"/>
      <c r="FW703" s="5"/>
      <c r="FX703" s="5"/>
      <c r="FY703" s="5"/>
      <c r="FZ703" s="5"/>
      <c r="GA703" s="5"/>
      <c r="GB703" s="5"/>
      <c r="GC703" s="5"/>
      <c r="GD703" s="5"/>
      <c r="GE703" s="5"/>
      <c r="GF703" s="5"/>
      <c r="GG703" s="5"/>
      <c r="GH703" s="5"/>
      <c r="GI703" s="5"/>
      <c r="GJ703" s="5"/>
      <c r="GK703" s="5"/>
      <c r="GL703" s="5"/>
      <c r="GM703" s="5"/>
      <c r="GN703" s="5"/>
      <c r="GO703" s="5"/>
      <c r="GP703" s="5"/>
      <c r="GQ703" s="5"/>
      <c r="GR703" s="5"/>
      <c r="GS703" s="5"/>
      <c r="GT703" s="5"/>
      <c r="GU703" s="5"/>
      <c r="GX703" s="5">
        <v>0</v>
      </c>
      <c r="GY703" s="5">
        <v>0</v>
      </c>
      <c r="GZ703" s="5" t="s">
        <v>367</v>
      </c>
      <c r="HA703" s="5">
        <v>0</v>
      </c>
      <c r="HB703" s="5"/>
      <c r="HC703" s="5"/>
      <c r="HD703" s="5" t="b">
        <v>0</v>
      </c>
      <c r="HE703" s="5">
        <v>0</v>
      </c>
      <c r="HF703" s="5" t="b">
        <v>1</v>
      </c>
      <c r="HG703" s="5">
        <v>0</v>
      </c>
      <c r="HH703" s="5">
        <v>0</v>
      </c>
      <c r="HI703" s="5">
        <v>0</v>
      </c>
      <c r="HJ703" s="5">
        <v>0</v>
      </c>
      <c r="HK703" s="5" t="b">
        <v>0</v>
      </c>
      <c r="HL703" s="5">
        <v>0</v>
      </c>
      <c r="HM703" s="5">
        <v>0</v>
      </c>
      <c r="HN703" s="5" t="s">
        <v>367</v>
      </c>
      <c r="HO703" s="5" t="s">
        <v>360</v>
      </c>
      <c r="HP703" s="5">
        <v>0</v>
      </c>
      <c r="HQ703" s="5">
        <v>0</v>
      </c>
      <c r="HR703" s="5">
        <v>0</v>
      </c>
      <c r="HS703" s="5">
        <v>0</v>
      </c>
      <c r="HT703" s="5" t="b">
        <v>0</v>
      </c>
    </row>
    <row r="704" spans="1:228">
      <c r="A704"/>
      <c r="B704" s="1">
        <f>10000000+INDEX(编号表!$B$1:$B$112,MATCH(D704,编号表!$A$1:$A$112,0))*10000+I704</f>
        <v>10360001</v>
      </c>
      <c r="C704" s="5" t="s">
        <v>542</v>
      </c>
      <c r="D704" s="5" t="s">
        <v>542</v>
      </c>
      <c r="E704" s="5" t="s">
        <v>360</v>
      </c>
      <c r="F704" s="5" t="s">
        <v>394</v>
      </c>
      <c r="G704" s="5" t="b">
        <v>0</v>
      </c>
      <c r="H704" s="5" t="b">
        <v>1</v>
      </c>
      <c r="I704" s="5">
        <v>1</v>
      </c>
      <c r="J704" s="5">
        <v>103600</v>
      </c>
      <c r="K704" s="5" t="s">
        <v>350</v>
      </c>
      <c r="L704" s="5">
        <v>0</v>
      </c>
      <c r="M704" s="5">
        <v>0</v>
      </c>
      <c r="N704" s="5" t="s">
        <v>535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/>
      <c r="V704" s="5">
        <v>0</v>
      </c>
      <c r="W704" s="5">
        <v>0</v>
      </c>
      <c r="X704" s="5" t="s">
        <v>360</v>
      </c>
      <c r="Y704" s="5" t="s">
        <v>365</v>
      </c>
      <c r="Z704" s="5" t="s">
        <v>354</v>
      </c>
      <c r="AA704" s="5">
        <v>0</v>
      </c>
      <c r="AB704" s="5">
        <v>12</v>
      </c>
      <c r="AC704" s="5" t="b">
        <v>0</v>
      </c>
      <c r="AD704" s="5" t="s">
        <v>355</v>
      </c>
      <c r="AE704" s="5">
        <v>300</v>
      </c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 t="s">
        <v>367</v>
      </c>
      <c r="AZ704" s="5">
        <v>10000</v>
      </c>
      <c r="BA704" s="5" t="s">
        <v>441</v>
      </c>
      <c r="BB704" s="5" t="s">
        <v>354</v>
      </c>
      <c r="BC704" s="5">
        <v>10000</v>
      </c>
      <c r="BD704" s="5">
        <v>0</v>
      </c>
      <c r="BE704" s="5" t="s">
        <v>358</v>
      </c>
      <c r="BF704" s="5">
        <v>0</v>
      </c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 t="s">
        <v>543</v>
      </c>
      <c r="CA704" s="5">
        <v>110</v>
      </c>
      <c r="CB704" s="5" t="s">
        <v>373</v>
      </c>
      <c r="CC704" s="5" t="s">
        <v>544</v>
      </c>
      <c r="CD704" s="5" t="b">
        <v>0</v>
      </c>
      <c r="CE704" s="5">
        <v>650</v>
      </c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  <c r="DJ704" s="5"/>
      <c r="DK704" s="5"/>
      <c r="DL704" s="5"/>
      <c r="DM704" s="5"/>
      <c r="DN704" s="5"/>
      <c r="DO704" s="5"/>
      <c r="DP704" s="5"/>
      <c r="DQ704" s="5"/>
      <c r="DR704" s="5"/>
      <c r="DS704" s="5"/>
      <c r="DT704" s="5"/>
      <c r="DU704" s="5"/>
      <c r="DV704" s="5"/>
      <c r="DW704" s="5"/>
      <c r="DX704" s="5"/>
      <c r="DY704" s="5"/>
      <c r="DZ704" s="5"/>
      <c r="EA704" s="5"/>
      <c r="EB704" s="5"/>
      <c r="EC704" s="5"/>
      <c r="ED704" s="5"/>
      <c r="EE704" s="5"/>
      <c r="EF704" s="5"/>
      <c r="EG704" s="5"/>
      <c r="EH704" s="5"/>
      <c r="EI704" s="5"/>
      <c r="EJ704" s="5"/>
      <c r="EK704" s="5"/>
      <c r="EL704" s="5"/>
      <c r="EM704" s="5"/>
      <c r="EN704" s="5"/>
      <c r="EO704" s="5"/>
      <c r="EP704" s="5"/>
      <c r="EQ704" s="5"/>
      <c r="ER704" s="5"/>
      <c r="ES704" s="5"/>
      <c r="ET704" s="5"/>
      <c r="EU704" s="5"/>
      <c r="EV704" s="5"/>
      <c r="EY704" s="5"/>
      <c r="EZ704" s="5"/>
      <c r="FA704" s="5"/>
      <c r="FB704" s="5"/>
      <c r="FC704" s="5"/>
      <c r="FD704" s="5"/>
      <c r="FE704" s="5"/>
      <c r="FF704" s="5"/>
      <c r="FG704" s="5"/>
      <c r="FH704" s="5"/>
      <c r="FI704" s="5"/>
      <c r="FJ704" s="5"/>
      <c r="FK704" s="5"/>
      <c r="FL704" s="5"/>
      <c r="FM704" s="5"/>
      <c r="FN704" s="5"/>
      <c r="FO704" s="5"/>
      <c r="FP704" s="5"/>
      <c r="FQ704" s="5"/>
      <c r="FR704" s="5"/>
      <c r="FS704" s="5"/>
      <c r="FT704" s="5"/>
      <c r="FU704" s="5"/>
      <c r="FV704" s="5"/>
      <c r="FW704" s="5"/>
      <c r="FX704" s="5"/>
      <c r="FY704" s="5"/>
      <c r="FZ704" s="5"/>
      <c r="GA704" s="5"/>
      <c r="GB704" s="5"/>
      <c r="GC704" s="5"/>
      <c r="GD704" s="5"/>
      <c r="GE704" s="5"/>
      <c r="GF704" s="5"/>
      <c r="GG704" s="5"/>
      <c r="GH704" s="5"/>
      <c r="GI704" s="5"/>
      <c r="GJ704" s="5"/>
      <c r="GK704" s="5"/>
      <c r="GL704" s="5"/>
      <c r="GM704" s="5"/>
      <c r="GN704" s="5"/>
      <c r="GO704" s="5"/>
      <c r="GP704" s="5"/>
      <c r="GQ704" s="5"/>
      <c r="GR704" s="5"/>
      <c r="GS704" s="5"/>
      <c r="GT704" s="5"/>
      <c r="GU704" s="5"/>
      <c r="GX704" s="5">
        <v>0</v>
      </c>
      <c r="GY704" s="5">
        <v>0</v>
      </c>
      <c r="GZ704" s="5" t="s">
        <v>367</v>
      </c>
      <c r="HA704" s="5">
        <v>0</v>
      </c>
      <c r="HB704" s="5"/>
      <c r="HC704" s="5"/>
      <c r="HD704" s="5" t="b">
        <v>0</v>
      </c>
      <c r="HE704" s="5">
        <v>0</v>
      </c>
      <c r="HF704" s="5" t="b">
        <v>1</v>
      </c>
      <c r="HG704" s="5">
        <v>0</v>
      </c>
      <c r="HH704" s="5">
        <v>0</v>
      </c>
      <c r="HI704" s="5">
        <v>0</v>
      </c>
      <c r="HJ704" s="5">
        <v>0</v>
      </c>
      <c r="HK704" s="5" t="b">
        <v>0</v>
      </c>
      <c r="HL704" s="5">
        <v>0</v>
      </c>
      <c r="HM704" s="5">
        <v>0</v>
      </c>
      <c r="HN704" s="5" t="s">
        <v>367</v>
      </c>
      <c r="HO704" s="5" t="s">
        <v>360</v>
      </c>
      <c r="HP704" s="5">
        <v>0</v>
      </c>
      <c r="HQ704" s="5">
        <v>0</v>
      </c>
      <c r="HR704" s="5">
        <v>0</v>
      </c>
      <c r="HS704" s="5">
        <v>0</v>
      </c>
      <c r="HT704" s="5" t="b">
        <v>0</v>
      </c>
    </row>
    <row r="705" spans="1:228">
      <c r="A705"/>
      <c r="B705" s="1">
        <f>10000000+INDEX(编号表!$B$1:$B$112,MATCH(D705,编号表!$A$1:$A$112,0))*10000+I705</f>
        <v>10360002</v>
      </c>
      <c r="C705" s="5" t="s">
        <v>542</v>
      </c>
      <c r="D705" s="5" t="s">
        <v>542</v>
      </c>
      <c r="E705" s="5" t="s">
        <v>360</v>
      </c>
      <c r="F705" s="5" t="s">
        <v>394</v>
      </c>
      <c r="G705" s="5" t="b">
        <v>0</v>
      </c>
      <c r="H705" s="5" t="b">
        <v>1</v>
      </c>
      <c r="I705" s="5">
        <v>2</v>
      </c>
      <c r="J705" s="5">
        <v>103600</v>
      </c>
      <c r="K705" s="5" t="s">
        <v>350</v>
      </c>
      <c r="L705" s="5">
        <v>0</v>
      </c>
      <c r="M705" s="5">
        <v>0</v>
      </c>
      <c r="N705" s="5" t="s">
        <v>535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/>
      <c r="V705" s="5">
        <v>0</v>
      </c>
      <c r="W705" s="5">
        <v>0</v>
      </c>
      <c r="X705" s="5" t="s">
        <v>360</v>
      </c>
      <c r="Y705" s="5" t="s">
        <v>365</v>
      </c>
      <c r="Z705" s="5" t="s">
        <v>354</v>
      </c>
      <c r="AA705" s="5">
        <v>0</v>
      </c>
      <c r="AB705" s="5">
        <v>12</v>
      </c>
      <c r="AC705" s="5" t="b">
        <v>0</v>
      </c>
      <c r="AD705" s="5" t="s">
        <v>355</v>
      </c>
      <c r="AE705" s="5">
        <v>300</v>
      </c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 t="s">
        <v>367</v>
      </c>
      <c r="AZ705" s="5">
        <v>10400</v>
      </c>
      <c r="BA705" s="5" t="s">
        <v>441</v>
      </c>
      <c r="BB705" s="5" t="s">
        <v>354</v>
      </c>
      <c r="BC705" s="5">
        <v>10000</v>
      </c>
      <c r="BD705" s="5">
        <v>0</v>
      </c>
      <c r="BE705" s="5" t="s">
        <v>358</v>
      </c>
      <c r="BF705" s="5">
        <v>0</v>
      </c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 t="s">
        <v>543</v>
      </c>
      <c r="CA705" s="5">
        <v>110</v>
      </c>
      <c r="CB705" s="5" t="s">
        <v>373</v>
      </c>
      <c r="CC705" s="5" t="s">
        <v>544</v>
      </c>
      <c r="CD705" s="5" t="b">
        <v>0</v>
      </c>
      <c r="CE705" s="5">
        <v>650</v>
      </c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  <c r="DJ705" s="5"/>
      <c r="DK705" s="5"/>
      <c r="DL705" s="5"/>
      <c r="DM705" s="5"/>
      <c r="DN705" s="5"/>
      <c r="DO705" s="5"/>
      <c r="DP705" s="5"/>
      <c r="DQ705" s="5"/>
      <c r="DR705" s="5"/>
      <c r="DS705" s="5"/>
      <c r="DT705" s="5"/>
      <c r="DU705" s="5"/>
      <c r="DV705" s="5"/>
      <c r="DW705" s="5"/>
      <c r="DX705" s="5"/>
      <c r="DY705" s="5"/>
      <c r="DZ705" s="5"/>
      <c r="EA705" s="5"/>
      <c r="EB705" s="5"/>
      <c r="EC705" s="5"/>
      <c r="ED705" s="5"/>
      <c r="EE705" s="5"/>
      <c r="EF705" s="5"/>
      <c r="EG705" s="5"/>
      <c r="EH705" s="5"/>
      <c r="EI705" s="5"/>
      <c r="EJ705" s="5"/>
      <c r="EK705" s="5"/>
      <c r="EL705" s="5"/>
      <c r="EM705" s="5"/>
      <c r="EN705" s="5"/>
      <c r="EO705" s="5"/>
      <c r="EP705" s="5"/>
      <c r="EQ705" s="5"/>
      <c r="ER705" s="5"/>
      <c r="ES705" s="5"/>
      <c r="ET705" s="5"/>
      <c r="EU705" s="5"/>
      <c r="EV705" s="5"/>
      <c r="EY705" s="5"/>
      <c r="EZ705" s="5"/>
      <c r="FA705" s="5"/>
      <c r="FB705" s="5"/>
      <c r="FC705" s="5"/>
      <c r="FD705" s="5"/>
      <c r="FE705" s="5"/>
      <c r="FF705" s="5"/>
      <c r="FG705" s="5"/>
      <c r="FH705" s="5"/>
      <c r="FI705" s="5"/>
      <c r="FJ705" s="5"/>
      <c r="FK705" s="5"/>
      <c r="FL705" s="5"/>
      <c r="FM705" s="5"/>
      <c r="FN705" s="5"/>
      <c r="FO705" s="5"/>
      <c r="FP705" s="5"/>
      <c r="FQ705" s="5"/>
      <c r="FR705" s="5"/>
      <c r="FS705" s="5"/>
      <c r="FT705" s="5"/>
      <c r="FU705" s="5"/>
      <c r="FV705" s="5"/>
      <c r="FW705" s="5"/>
      <c r="FX705" s="5"/>
      <c r="FY705" s="5"/>
      <c r="FZ705" s="5"/>
      <c r="GA705" s="5"/>
      <c r="GB705" s="5"/>
      <c r="GC705" s="5"/>
      <c r="GD705" s="5"/>
      <c r="GE705" s="5"/>
      <c r="GF705" s="5"/>
      <c r="GG705" s="5"/>
      <c r="GH705" s="5"/>
      <c r="GI705" s="5"/>
      <c r="GJ705" s="5"/>
      <c r="GK705" s="5"/>
      <c r="GL705" s="5"/>
      <c r="GM705" s="5"/>
      <c r="GN705" s="5"/>
      <c r="GO705" s="5"/>
      <c r="GP705" s="5"/>
      <c r="GQ705" s="5"/>
      <c r="GR705" s="5"/>
      <c r="GS705" s="5"/>
      <c r="GT705" s="5"/>
      <c r="GU705" s="5"/>
      <c r="GX705" s="5">
        <v>0</v>
      </c>
      <c r="GY705" s="5">
        <v>0</v>
      </c>
      <c r="GZ705" s="5" t="s">
        <v>367</v>
      </c>
      <c r="HA705" s="5">
        <v>0</v>
      </c>
      <c r="HB705" s="5"/>
      <c r="HC705" s="5"/>
      <c r="HD705" s="5" t="b">
        <v>0</v>
      </c>
      <c r="HE705" s="5">
        <v>0</v>
      </c>
      <c r="HF705" s="5" t="b">
        <v>1</v>
      </c>
      <c r="HG705" s="5">
        <v>0</v>
      </c>
      <c r="HH705" s="5">
        <v>0</v>
      </c>
      <c r="HI705" s="5">
        <v>0</v>
      </c>
      <c r="HJ705" s="5">
        <v>0</v>
      </c>
      <c r="HK705" s="5" t="b">
        <v>0</v>
      </c>
      <c r="HL705" s="5">
        <v>0</v>
      </c>
      <c r="HM705" s="5">
        <v>0</v>
      </c>
      <c r="HN705" s="5" t="s">
        <v>367</v>
      </c>
      <c r="HO705" s="5" t="s">
        <v>360</v>
      </c>
      <c r="HP705" s="5">
        <v>0</v>
      </c>
      <c r="HQ705" s="5">
        <v>0</v>
      </c>
      <c r="HR705" s="5">
        <v>0</v>
      </c>
      <c r="HS705" s="5">
        <v>0</v>
      </c>
      <c r="HT705" s="5" t="b">
        <v>0</v>
      </c>
    </row>
    <row r="706" spans="1:228">
      <c r="A706"/>
      <c r="B706" s="1">
        <f>10000000+INDEX(编号表!$B$1:$B$112,MATCH(D706,编号表!$A$1:$A$112,0))*10000+I706</f>
        <v>10360003</v>
      </c>
      <c r="C706" s="5" t="s">
        <v>542</v>
      </c>
      <c r="D706" s="5" t="s">
        <v>542</v>
      </c>
      <c r="E706" s="5" t="s">
        <v>360</v>
      </c>
      <c r="F706" s="5" t="s">
        <v>394</v>
      </c>
      <c r="G706" s="5" t="b">
        <v>0</v>
      </c>
      <c r="H706" s="5" t="b">
        <v>1</v>
      </c>
      <c r="I706" s="5">
        <v>3</v>
      </c>
      <c r="J706" s="5">
        <v>103600</v>
      </c>
      <c r="K706" s="5" t="s">
        <v>350</v>
      </c>
      <c r="L706" s="5">
        <v>0</v>
      </c>
      <c r="M706" s="5">
        <v>0</v>
      </c>
      <c r="N706" s="5" t="s">
        <v>535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/>
      <c r="V706" s="5">
        <v>0</v>
      </c>
      <c r="W706" s="5">
        <v>0</v>
      </c>
      <c r="X706" s="5" t="s">
        <v>360</v>
      </c>
      <c r="Y706" s="5" t="s">
        <v>365</v>
      </c>
      <c r="Z706" s="5" t="s">
        <v>354</v>
      </c>
      <c r="AA706" s="5">
        <v>0</v>
      </c>
      <c r="AB706" s="5">
        <v>12</v>
      </c>
      <c r="AC706" s="5" t="b">
        <v>0</v>
      </c>
      <c r="AD706" s="5" t="s">
        <v>355</v>
      </c>
      <c r="AE706" s="5">
        <v>300</v>
      </c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 t="s">
        <v>367</v>
      </c>
      <c r="AZ706" s="5">
        <v>10800</v>
      </c>
      <c r="BA706" s="5" t="s">
        <v>441</v>
      </c>
      <c r="BB706" s="5" t="s">
        <v>354</v>
      </c>
      <c r="BC706" s="5">
        <v>10000</v>
      </c>
      <c r="BD706" s="5">
        <v>0</v>
      </c>
      <c r="BE706" s="5" t="s">
        <v>358</v>
      </c>
      <c r="BF706" s="5">
        <v>0</v>
      </c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 t="s">
        <v>543</v>
      </c>
      <c r="CA706" s="5">
        <v>110</v>
      </c>
      <c r="CB706" s="5" t="s">
        <v>373</v>
      </c>
      <c r="CC706" s="5" t="s">
        <v>544</v>
      </c>
      <c r="CD706" s="5" t="b">
        <v>0</v>
      </c>
      <c r="CE706" s="5">
        <v>650</v>
      </c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  <c r="DJ706" s="5"/>
      <c r="DK706" s="5"/>
      <c r="DL706" s="5"/>
      <c r="DM706" s="5"/>
      <c r="DN706" s="5"/>
      <c r="DO706" s="5"/>
      <c r="DP706" s="5"/>
      <c r="DQ706" s="5"/>
      <c r="DR706" s="5"/>
      <c r="DS706" s="5"/>
      <c r="DT706" s="5"/>
      <c r="DU706" s="5"/>
      <c r="DV706" s="5"/>
      <c r="DW706" s="5"/>
      <c r="DX706" s="5"/>
      <c r="DY706" s="5"/>
      <c r="DZ706" s="5"/>
      <c r="EA706" s="5"/>
      <c r="EB706" s="5"/>
      <c r="EC706" s="5"/>
      <c r="ED706" s="5"/>
      <c r="EE706" s="5"/>
      <c r="EF706" s="5"/>
      <c r="EG706" s="5"/>
      <c r="EH706" s="5"/>
      <c r="EI706" s="5"/>
      <c r="EJ706" s="5"/>
      <c r="EK706" s="5"/>
      <c r="EL706" s="5"/>
      <c r="EM706" s="5"/>
      <c r="EN706" s="5"/>
      <c r="EO706" s="5"/>
      <c r="EP706" s="5"/>
      <c r="EQ706" s="5"/>
      <c r="ER706" s="5"/>
      <c r="ES706" s="5"/>
      <c r="ET706" s="5"/>
      <c r="EU706" s="5"/>
      <c r="EV706" s="5"/>
      <c r="EY706" s="5"/>
      <c r="EZ706" s="5"/>
      <c r="FA706" s="5"/>
      <c r="FB706" s="5"/>
      <c r="FC706" s="5"/>
      <c r="FD706" s="5"/>
      <c r="FE706" s="5"/>
      <c r="FF706" s="5"/>
      <c r="FG706" s="5"/>
      <c r="FH706" s="5"/>
      <c r="FI706" s="5"/>
      <c r="FJ706" s="5"/>
      <c r="FK706" s="5"/>
      <c r="FL706" s="5"/>
      <c r="FM706" s="5"/>
      <c r="FN706" s="5"/>
      <c r="FO706" s="5"/>
      <c r="FP706" s="5"/>
      <c r="FQ706" s="5"/>
      <c r="FR706" s="5"/>
      <c r="FS706" s="5"/>
      <c r="FT706" s="5"/>
      <c r="FU706" s="5"/>
      <c r="FV706" s="5"/>
      <c r="FW706" s="5"/>
      <c r="FX706" s="5"/>
      <c r="FY706" s="5"/>
      <c r="FZ706" s="5"/>
      <c r="GA706" s="5"/>
      <c r="GB706" s="5"/>
      <c r="GC706" s="5"/>
      <c r="GD706" s="5"/>
      <c r="GE706" s="5"/>
      <c r="GF706" s="5"/>
      <c r="GG706" s="5"/>
      <c r="GH706" s="5"/>
      <c r="GI706" s="5"/>
      <c r="GJ706" s="5"/>
      <c r="GK706" s="5"/>
      <c r="GL706" s="5"/>
      <c r="GM706" s="5"/>
      <c r="GN706" s="5"/>
      <c r="GO706" s="5"/>
      <c r="GP706" s="5"/>
      <c r="GQ706" s="5"/>
      <c r="GR706" s="5"/>
      <c r="GS706" s="5"/>
      <c r="GT706" s="5"/>
      <c r="GU706" s="5"/>
      <c r="GX706" s="5">
        <v>0</v>
      </c>
      <c r="GY706" s="5">
        <v>0</v>
      </c>
      <c r="GZ706" s="5" t="s">
        <v>367</v>
      </c>
      <c r="HA706" s="5">
        <v>0</v>
      </c>
      <c r="HB706" s="5"/>
      <c r="HC706" s="5"/>
      <c r="HD706" s="5" t="b">
        <v>0</v>
      </c>
      <c r="HE706" s="5">
        <v>0</v>
      </c>
      <c r="HF706" s="5" t="b">
        <v>1</v>
      </c>
      <c r="HG706" s="5">
        <v>0</v>
      </c>
      <c r="HH706" s="5">
        <v>0</v>
      </c>
      <c r="HI706" s="5">
        <v>0</v>
      </c>
      <c r="HJ706" s="5">
        <v>0</v>
      </c>
      <c r="HK706" s="5" t="b">
        <v>0</v>
      </c>
      <c r="HL706" s="5">
        <v>0</v>
      </c>
      <c r="HM706" s="5">
        <v>0</v>
      </c>
      <c r="HN706" s="5" t="s">
        <v>367</v>
      </c>
      <c r="HO706" s="5" t="s">
        <v>360</v>
      </c>
      <c r="HP706" s="5">
        <v>0</v>
      </c>
      <c r="HQ706" s="5">
        <v>0</v>
      </c>
      <c r="HR706" s="5">
        <v>0</v>
      </c>
      <c r="HS706" s="5">
        <v>0</v>
      </c>
      <c r="HT706" s="5" t="b">
        <v>0</v>
      </c>
    </row>
    <row r="707" spans="1:228">
      <c r="A707"/>
      <c r="B707" s="1">
        <f>10000000+INDEX(编号表!$B$1:$B$112,MATCH(D707,编号表!$A$1:$A$112,0))*10000+I707</f>
        <v>10360004</v>
      </c>
      <c r="C707" s="5" t="s">
        <v>542</v>
      </c>
      <c r="D707" s="5" t="s">
        <v>542</v>
      </c>
      <c r="E707" s="5" t="s">
        <v>360</v>
      </c>
      <c r="F707" s="5" t="s">
        <v>394</v>
      </c>
      <c r="G707" s="5" t="b">
        <v>0</v>
      </c>
      <c r="H707" s="5" t="b">
        <v>1</v>
      </c>
      <c r="I707" s="5">
        <v>4</v>
      </c>
      <c r="J707" s="5">
        <v>103600</v>
      </c>
      <c r="K707" s="5" t="s">
        <v>350</v>
      </c>
      <c r="L707" s="5">
        <v>0</v>
      </c>
      <c r="M707" s="5">
        <v>0</v>
      </c>
      <c r="N707" s="5" t="s">
        <v>535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/>
      <c r="V707" s="5">
        <v>0</v>
      </c>
      <c r="W707" s="5">
        <v>0</v>
      </c>
      <c r="X707" s="5" t="s">
        <v>360</v>
      </c>
      <c r="Y707" s="5" t="s">
        <v>365</v>
      </c>
      <c r="Z707" s="5" t="s">
        <v>354</v>
      </c>
      <c r="AA707" s="5">
        <v>0</v>
      </c>
      <c r="AB707" s="5">
        <v>12</v>
      </c>
      <c r="AC707" s="5" t="b">
        <v>0</v>
      </c>
      <c r="AD707" s="5" t="s">
        <v>355</v>
      </c>
      <c r="AE707" s="5">
        <v>300</v>
      </c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 t="s">
        <v>367</v>
      </c>
      <c r="AZ707" s="5">
        <v>11200</v>
      </c>
      <c r="BA707" s="5" t="s">
        <v>441</v>
      </c>
      <c r="BB707" s="5" t="s">
        <v>354</v>
      </c>
      <c r="BC707" s="5">
        <v>10000</v>
      </c>
      <c r="BD707" s="5">
        <v>0</v>
      </c>
      <c r="BE707" s="5" t="s">
        <v>358</v>
      </c>
      <c r="BF707" s="5">
        <v>0</v>
      </c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 t="s">
        <v>543</v>
      </c>
      <c r="CA707" s="5">
        <v>110</v>
      </c>
      <c r="CB707" s="5" t="s">
        <v>373</v>
      </c>
      <c r="CC707" s="5" t="s">
        <v>544</v>
      </c>
      <c r="CD707" s="5" t="b">
        <v>0</v>
      </c>
      <c r="CE707" s="5">
        <v>650</v>
      </c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  <c r="DJ707" s="5"/>
      <c r="DK707" s="5"/>
      <c r="DL707" s="5"/>
      <c r="DM707" s="5"/>
      <c r="DN707" s="5"/>
      <c r="DO707" s="5"/>
      <c r="DP707" s="5"/>
      <c r="DQ707" s="5"/>
      <c r="DR707" s="5"/>
      <c r="DS707" s="5"/>
      <c r="DT707" s="5"/>
      <c r="DU707" s="5"/>
      <c r="DV707" s="5"/>
      <c r="DW707" s="5"/>
      <c r="DX707" s="5"/>
      <c r="DY707" s="5"/>
      <c r="DZ707" s="5"/>
      <c r="EA707" s="5"/>
      <c r="EB707" s="5"/>
      <c r="EC707" s="5"/>
      <c r="ED707" s="5"/>
      <c r="EE707" s="5"/>
      <c r="EF707" s="5"/>
      <c r="EG707" s="5"/>
      <c r="EH707" s="5"/>
      <c r="EI707" s="5"/>
      <c r="EJ707" s="5"/>
      <c r="EK707" s="5"/>
      <c r="EL707" s="5"/>
      <c r="EM707" s="5"/>
      <c r="EN707" s="5"/>
      <c r="EO707" s="5"/>
      <c r="EP707" s="5"/>
      <c r="EQ707" s="5"/>
      <c r="ER707" s="5"/>
      <c r="ES707" s="5"/>
      <c r="ET707" s="5"/>
      <c r="EU707" s="5"/>
      <c r="EV707" s="5"/>
      <c r="EY707" s="5"/>
      <c r="EZ707" s="5"/>
      <c r="FA707" s="5"/>
      <c r="FB707" s="5"/>
      <c r="FC707" s="5"/>
      <c r="FD707" s="5"/>
      <c r="FE707" s="5"/>
      <c r="FF707" s="5"/>
      <c r="FG707" s="5"/>
      <c r="FH707" s="5"/>
      <c r="FI707" s="5"/>
      <c r="FJ707" s="5"/>
      <c r="FK707" s="5"/>
      <c r="FL707" s="5"/>
      <c r="FM707" s="5"/>
      <c r="FN707" s="5"/>
      <c r="FO707" s="5"/>
      <c r="FP707" s="5"/>
      <c r="FQ707" s="5"/>
      <c r="FR707" s="5"/>
      <c r="FS707" s="5"/>
      <c r="FT707" s="5"/>
      <c r="FU707" s="5"/>
      <c r="FV707" s="5"/>
      <c r="FW707" s="5"/>
      <c r="FX707" s="5"/>
      <c r="FY707" s="5"/>
      <c r="FZ707" s="5"/>
      <c r="GA707" s="5"/>
      <c r="GB707" s="5"/>
      <c r="GC707" s="5"/>
      <c r="GD707" s="5"/>
      <c r="GE707" s="5"/>
      <c r="GF707" s="5"/>
      <c r="GG707" s="5"/>
      <c r="GH707" s="5"/>
      <c r="GI707" s="5"/>
      <c r="GJ707" s="5"/>
      <c r="GK707" s="5"/>
      <c r="GL707" s="5"/>
      <c r="GM707" s="5"/>
      <c r="GN707" s="5"/>
      <c r="GO707" s="5"/>
      <c r="GP707" s="5"/>
      <c r="GQ707" s="5"/>
      <c r="GR707" s="5"/>
      <c r="GS707" s="5"/>
      <c r="GT707" s="5"/>
      <c r="GU707" s="5"/>
      <c r="GX707" s="5">
        <v>0</v>
      </c>
      <c r="GY707" s="5">
        <v>0</v>
      </c>
      <c r="GZ707" s="5" t="s">
        <v>367</v>
      </c>
      <c r="HA707" s="5">
        <v>0</v>
      </c>
      <c r="HB707" s="5"/>
      <c r="HC707" s="5"/>
      <c r="HD707" s="5" t="b">
        <v>0</v>
      </c>
      <c r="HE707" s="5">
        <v>0</v>
      </c>
      <c r="HF707" s="5" t="b">
        <v>1</v>
      </c>
      <c r="HG707" s="5">
        <v>0</v>
      </c>
      <c r="HH707" s="5">
        <v>0</v>
      </c>
      <c r="HI707" s="5">
        <v>0</v>
      </c>
      <c r="HJ707" s="5">
        <v>0</v>
      </c>
      <c r="HK707" s="5" t="b">
        <v>0</v>
      </c>
      <c r="HL707" s="5">
        <v>0</v>
      </c>
      <c r="HM707" s="5">
        <v>0</v>
      </c>
      <c r="HN707" s="5" t="s">
        <v>367</v>
      </c>
      <c r="HO707" s="5" t="s">
        <v>360</v>
      </c>
      <c r="HP707" s="5">
        <v>0</v>
      </c>
      <c r="HQ707" s="5">
        <v>0</v>
      </c>
      <c r="HR707" s="5">
        <v>0</v>
      </c>
      <c r="HS707" s="5">
        <v>0</v>
      </c>
      <c r="HT707" s="5" t="b">
        <v>0</v>
      </c>
    </row>
    <row r="708" spans="1:228">
      <c r="A708"/>
      <c r="B708" s="1">
        <f>10000000+INDEX(编号表!$B$1:$B$112,MATCH(D708,编号表!$A$1:$A$112,0))*10000+I708</f>
        <v>10360005</v>
      </c>
      <c r="C708" s="5" t="s">
        <v>542</v>
      </c>
      <c r="D708" s="5" t="s">
        <v>542</v>
      </c>
      <c r="E708" s="5" t="s">
        <v>360</v>
      </c>
      <c r="F708" s="5" t="s">
        <v>394</v>
      </c>
      <c r="G708" s="5" t="b">
        <v>0</v>
      </c>
      <c r="H708" s="5" t="b">
        <v>1</v>
      </c>
      <c r="I708" s="5">
        <v>5</v>
      </c>
      <c r="J708" s="5">
        <v>103600</v>
      </c>
      <c r="K708" s="5" t="s">
        <v>350</v>
      </c>
      <c r="L708" s="5">
        <v>0</v>
      </c>
      <c r="M708" s="5">
        <v>0</v>
      </c>
      <c r="N708" s="5" t="s">
        <v>535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/>
      <c r="V708" s="5">
        <v>0</v>
      </c>
      <c r="W708" s="5">
        <v>0</v>
      </c>
      <c r="X708" s="5" t="s">
        <v>360</v>
      </c>
      <c r="Y708" s="5" t="s">
        <v>365</v>
      </c>
      <c r="Z708" s="5" t="s">
        <v>354</v>
      </c>
      <c r="AA708" s="5">
        <v>0</v>
      </c>
      <c r="AB708" s="5">
        <v>12</v>
      </c>
      <c r="AC708" s="5" t="b">
        <v>0</v>
      </c>
      <c r="AD708" s="5" t="s">
        <v>355</v>
      </c>
      <c r="AE708" s="5">
        <v>300</v>
      </c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 t="s">
        <v>367</v>
      </c>
      <c r="AZ708" s="5">
        <v>11300</v>
      </c>
      <c r="BA708" s="5" t="s">
        <v>441</v>
      </c>
      <c r="BB708" s="5" t="s">
        <v>354</v>
      </c>
      <c r="BC708" s="5">
        <v>10000</v>
      </c>
      <c r="BD708" s="5">
        <v>0</v>
      </c>
      <c r="BE708" s="5" t="s">
        <v>358</v>
      </c>
      <c r="BF708" s="5">
        <v>0</v>
      </c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 t="s">
        <v>543</v>
      </c>
      <c r="CA708" s="5">
        <v>110</v>
      </c>
      <c r="CB708" s="5" t="s">
        <v>373</v>
      </c>
      <c r="CC708" s="5" t="s">
        <v>544</v>
      </c>
      <c r="CD708" s="5" t="b">
        <v>0</v>
      </c>
      <c r="CE708" s="5">
        <v>650</v>
      </c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  <c r="DJ708" s="5"/>
      <c r="DK708" s="5"/>
      <c r="DL708" s="5"/>
      <c r="DM708" s="5"/>
      <c r="DN708" s="5"/>
      <c r="DO708" s="5"/>
      <c r="DP708" s="5"/>
      <c r="DQ708" s="5"/>
      <c r="DR708" s="5"/>
      <c r="DS708" s="5"/>
      <c r="DT708" s="5"/>
      <c r="DU708" s="5"/>
      <c r="DV708" s="5"/>
      <c r="DW708" s="5"/>
      <c r="DX708" s="5"/>
      <c r="DY708" s="5"/>
      <c r="DZ708" s="5"/>
      <c r="EA708" s="5"/>
      <c r="EB708" s="5"/>
      <c r="EC708" s="5"/>
      <c r="ED708" s="5"/>
      <c r="EE708" s="5"/>
      <c r="EF708" s="5"/>
      <c r="EG708" s="5"/>
      <c r="EH708" s="5"/>
      <c r="EI708" s="5"/>
      <c r="EJ708" s="5"/>
      <c r="EK708" s="5"/>
      <c r="EL708" s="5"/>
      <c r="EM708" s="5"/>
      <c r="EN708" s="5"/>
      <c r="EO708" s="5"/>
      <c r="EP708" s="5"/>
      <c r="EQ708" s="5"/>
      <c r="ER708" s="5"/>
      <c r="ES708" s="5"/>
      <c r="ET708" s="5"/>
      <c r="EU708" s="5"/>
      <c r="EV708" s="5"/>
      <c r="EY708" s="5"/>
      <c r="EZ708" s="5"/>
      <c r="FA708" s="5"/>
      <c r="FB708" s="5"/>
      <c r="FC708" s="5"/>
      <c r="FD708" s="5"/>
      <c r="FE708" s="5"/>
      <c r="FF708" s="5"/>
      <c r="FG708" s="5"/>
      <c r="FH708" s="5"/>
      <c r="FI708" s="5"/>
      <c r="FJ708" s="5"/>
      <c r="FK708" s="5"/>
      <c r="FL708" s="5"/>
      <c r="FM708" s="5"/>
      <c r="FN708" s="5"/>
      <c r="FO708" s="5"/>
      <c r="FP708" s="5"/>
      <c r="FQ708" s="5"/>
      <c r="FR708" s="5"/>
      <c r="FS708" s="5"/>
      <c r="FT708" s="5"/>
      <c r="FU708" s="5"/>
      <c r="FV708" s="5"/>
      <c r="FW708" s="5"/>
      <c r="FX708" s="5"/>
      <c r="FY708" s="5"/>
      <c r="FZ708" s="5"/>
      <c r="GA708" s="5"/>
      <c r="GB708" s="5"/>
      <c r="GC708" s="5"/>
      <c r="GD708" s="5"/>
      <c r="GE708" s="5"/>
      <c r="GF708" s="5"/>
      <c r="GG708" s="5"/>
      <c r="GH708" s="5"/>
      <c r="GI708" s="5"/>
      <c r="GJ708" s="5"/>
      <c r="GK708" s="5"/>
      <c r="GL708" s="5"/>
      <c r="GM708" s="5"/>
      <c r="GN708" s="5"/>
      <c r="GO708" s="5"/>
      <c r="GP708" s="5"/>
      <c r="GQ708" s="5"/>
      <c r="GR708" s="5"/>
      <c r="GS708" s="5"/>
      <c r="GT708" s="5"/>
      <c r="GU708" s="5"/>
      <c r="GX708" s="5">
        <v>0</v>
      </c>
      <c r="GY708" s="5">
        <v>0</v>
      </c>
      <c r="GZ708" s="5" t="s">
        <v>367</v>
      </c>
      <c r="HA708" s="5">
        <v>0</v>
      </c>
      <c r="HB708" s="5"/>
      <c r="HC708" s="5"/>
      <c r="HD708" s="5" t="b">
        <v>0</v>
      </c>
      <c r="HE708" s="5">
        <v>0</v>
      </c>
      <c r="HF708" s="5" t="b">
        <v>1</v>
      </c>
      <c r="HG708" s="5">
        <v>0</v>
      </c>
      <c r="HH708" s="5">
        <v>0</v>
      </c>
      <c r="HI708" s="5">
        <v>0</v>
      </c>
      <c r="HJ708" s="5">
        <v>0</v>
      </c>
      <c r="HK708" s="5" t="b">
        <v>0</v>
      </c>
      <c r="HL708" s="5">
        <v>0</v>
      </c>
      <c r="HM708" s="5">
        <v>0</v>
      </c>
      <c r="HN708" s="5" t="s">
        <v>367</v>
      </c>
      <c r="HO708" s="5" t="s">
        <v>360</v>
      </c>
      <c r="HP708" s="5">
        <v>0</v>
      </c>
      <c r="HQ708" s="5">
        <v>0</v>
      </c>
      <c r="HR708" s="5">
        <v>0</v>
      </c>
      <c r="HS708" s="5">
        <v>0</v>
      </c>
      <c r="HT708" s="5" t="b">
        <v>0</v>
      </c>
    </row>
    <row r="709" spans="1:228">
      <c r="A709"/>
      <c r="B709" s="1">
        <f>10000000+INDEX(编号表!$B$1:$B$112,MATCH(D709,编号表!$A$1:$A$112,0))*10000+I709</f>
        <v>10360006</v>
      </c>
      <c r="C709" s="5" t="s">
        <v>542</v>
      </c>
      <c r="D709" s="5" t="s">
        <v>542</v>
      </c>
      <c r="E709" s="5" t="s">
        <v>360</v>
      </c>
      <c r="F709" s="5" t="s">
        <v>394</v>
      </c>
      <c r="G709" s="5" t="b">
        <v>0</v>
      </c>
      <c r="H709" s="5" t="b">
        <v>1</v>
      </c>
      <c r="I709" s="5">
        <v>6</v>
      </c>
      <c r="J709" s="5">
        <v>103600</v>
      </c>
      <c r="K709" s="5" t="s">
        <v>350</v>
      </c>
      <c r="L709" s="5">
        <v>0</v>
      </c>
      <c r="M709" s="5">
        <v>0</v>
      </c>
      <c r="N709" s="5" t="s">
        <v>535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/>
      <c r="V709" s="5">
        <v>0</v>
      </c>
      <c r="W709" s="5">
        <v>0</v>
      </c>
      <c r="X709" s="5" t="s">
        <v>360</v>
      </c>
      <c r="Y709" s="5" t="s">
        <v>365</v>
      </c>
      <c r="Z709" s="5" t="s">
        <v>354</v>
      </c>
      <c r="AA709" s="5">
        <v>0</v>
      </c>
      <c r="AB709" s="5">
        <v>12</v>
      </c>
      <c r="AC709" s="5" t="b">
        <v>0</v>
      </c>
      <c r="AD709" s="5" t="s">
        <v>355</v>
      </c>
      <c r="AE709" s="5">
        <v>300</v>
      </c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 t="s">
        <v>367</v>
      </c>
      <c r="AZ709" s="5">
        <v>11600</v>
      </c>
      <c r="BA709" s="5" t="s">
        <v>441</v>
      </c>
      <c r="BB709" s="5" t="s">
        <v>354</v>
      </c>
      <c r="BC709" s="5">
        <v>10000</v>
      </c>
      <c r="BD709" s="5">
        <v>0</v>
      </c>
      <c r="BE709" s="5" t="s">
        <v>358</v>
      </c>
      <c r="BF709" s="5">
        <v>0</v>
      </c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 t="s">
        <v>543</v>
      </c>
      <c r="CA709" s="5">
        <v>110</v>
      </c>
      <c r="CB709" s="5" t="s">
        <v>373</v>
      </c>
      <c r="CC709" s="5" t="s">
        <v>544</v>
      </c>
      <c r="CD709" s="5" t="b">
        <v>0</v>
      </c>
      <c r="CE709" s="5">
        <v>650</v>
      </c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  <c r="DJ709" s="5"/>
      <c r="DK709" s="5"/>
      <c r="DL709" s="5"/>
      <c r="DM709" s="5"/>
      <c r="DN709" s="5"/>
      <c r="DO709" s="5"/>
      <c r="DP709" s="5"/>
      <c r="DQ709" s="5"/>
      <c r="DR709" s="5"/>
      <c r="DS709" s="5"/>
      <c r="DT709" s="5"/>
      <c r="DU709" s="5"/>
      <c r="DV709" s="5"/>
      <c r="DW709" s="5"/>
      <c r="DX709" s="5"/>
      <c r="DY709" s="5"/>
      <c r="DZ709" s="5"/>
      <c r="EA709" s="5"/>
      <c r="EB709" s="5"/>
      <c r="EC709" s="5"/>
      <c r="ED709" s="5"/>
      <c r="EE709" s="5"/>
      <c r="EF709" s="5"/>
      <c r="EG709" s="5"/>
      <c r="EH709" s="5"/>
      <c r="EI709" s="5"/>
      <c r="EJ709" s="5"/>
      <c r="EK709" s="5"/>
      <c r="EL709" s="5"/>
      <c r="EM709" s="5"/>
      <c r="EN709" s="5"/>
      <c r="EO709" s="5"/>
      <c r="EP709" s="5"/>
      <c r="EQ709" s="5"/>
      <c r="ER709" s="5"/>
      <c r="ES709" s="5"/>
      <c r="ET709" s="5"/>
      <c r="EU709" s="5"/>
      <c r="EV709" s="5"/>
      <c r="EY709" s="5"/>
      <c r="EZ709" s="5"/>
      <c r="FA709" s="5"/>
      <c r="FB709" s="5"/>
      <c r="FC709" s="5"/>
      <c r="FD709" s="5"/>
      <c r="FE709" s="5"/>
      <c r="FF709" s="5"/>
      <c r="FG709" s="5"/>
      <c r="FH709" s="5"/>
      <c r="FI709" s="5"/>
      <c r="FJ709" s="5"/>
      <c r="FK709" s="5"/>
      <c r="FL709" s="5"/>
      <c r="FM709" s="5"/>
      <c r="FN709" s="5"/>
      <c r="FO709" s="5"/>
      <c r="FP709" s="5"/>
      <c r="FQ709" s="5"/>
      <c r="FR709" s="5"/>
      <c r="FS709" s="5"/>
      <c r="FT709" s="5"/>
      <c r="FU709" s="5"/>
      <c r="FV709" s="5"/>
      <c r="FW709" s="5"/>
      <c r="FX709" s="5"/>
      <c r="FY709" s="5"/>
      <c r="FZ709" s="5"/>
      <c r="GA709" s="5"/>
      <c r="GB709" s="5"/>
      <c r="GC709" s="5"/>
      <c r="GD709" s="5"/>
      <c r="GE709" s="5"/>
      <c r="GF709" s="5"/>
      <c r="GG709" s="5"/>
      <c r="GH709" s="5"/>
      <c r="GI709" s="5"/>
      <c r="GJ709" s="5"/>
      <c r="GK709" s="5"/>
      <c r="GL709" s="5"/>
      <c r="GM709" s="5"/>
      <c r="GN709" s="5"/>
      <c r="GO709" s="5"/>
      <c r="GP709" s="5"/>
      <c r="GQ709" s="5"/>
      <c r="GR709" s="5"/>
      <c r="GS709" s="5"/>
      <c r="GT709" s="5"/>
      <c r="GU709" s="5"/>
      <c r="GX709" s="5">
        <v>0</v>
      </c>
      <c r="GY709" s="5">
        <v>0</v>
      </c>
      <c r="GZ709" s="5" t="s">
        <v>367</v>
      </c>
      <c r="HA709" s="5">
        <v>0</v>
      </c>
      <c r="HB709" s="5"/>
      <c r="HC709" s="5"/>
      <c r="HD709" s="5" t="b">
        <v>0</v>
      </c>
      <c r="HE709" s="5">
        <v>0</v>
      </c>
      <c r="HF709" s="5" t="b">
        <v>1</v>
      </c>
      <c r="HG709" s="5">
        <v>0</v>
      </c>
      <c r="HH709" s="5">
        <v>0</v>
      </c>
      <c r="HI709" s="5">
        <v>0</v>
      </c>
      <c r="HJ709" s="5">
        <v>0</v>
      </c>
      <c r="HK709" s="5" t="b">
        <v>0</v>
      </c>
      <c r="HL709" s="5">
        <v>0</v>
      </c>
      <c r="HM709" s="5">
        <v>0</v>
      </c>
      <c r="HN709" s="5" t="s">
        <v>367</v>
      </c>
      <c r="HO709" s="5" t="s">
        <v>360</v>
      </c>
      <c r="HP709" s="5">
        <v>0</v>
      </c>
      <c r="HQ709" s="5">
        <v>0</v>
      </c>
      <c r="HR709" s="5">
        <v>0</v>
      </c>
      <c r="HS709" s="5">
        <v>0</v>
      </c>
      <c r="HT709" s="5" t="b">
        <v>0</v>
      </c>
    </row>
    <row r="710" spans="1:228">
      <c r="A710"/>
      <c r="B710" s="1">
        <f>10000000+INDEX(编号表!$B$1:$B$112,MATCH(D710,编号表!$A$1:$A$112,0))*10000+I710</f>
        <v>10360007</v>
      </c>
      <c r="C710" s="5" t="s">
        <v>542</v>
      </c>
      <c r="D710" s="5" t="s">
        <v>542</v>
      </c>
      <c r="E710" s="5" t="s">
        <v>360</v>
      </c>
      <c r="F710" s="5" t="s">
        <v>394</v>
      </c>
      <c r="G710" s="5" t="b">
        <v>0</v>
      </c>
      <c r="H710" s="5" t="b">
        <v>1</v>
      </c>
      <c r="I710" s="5">
        <v>7</v>
      </c>
      <c r="J710" s="5">
        <v>103600</v>
      </c>
      <c r="K710" s="5" t="s">
        <v>350</v>
      </c>
      <c r="L710" s="5">
        <v>0</v>
      </c>
      <c r="M710" s="5">
        <v>0</v>
      </c>
      <c r="N710" s="5" t="s">
        <v>535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/>
      <c r="V710" s="5">
        <v>0</v>
      </c>
      <c r="W710" s="5">
        <v>0</v>
      </c>
      <c r="X710" s="5" t="s">
        <v>360</v>
      </c>
      <c r="Y710" s="5" t="s">
        <v>365</v>
      </c>
      <c r="Z710" s="5" t="s">
        <v>354</v>
      </c>
      <c r="AA710" s="5">
        <v>0</v>
      </c>
      <c r="AB710" s="5">
        <v>12</v>
      </c>
      <c r="AC710" s="5" t="b">
        <v>0</v>
      </c>
      <c r="AD710" s="5" t="s">
        <v>355</v>
      </c>
      <c r="AE710" s="5">
        <v>300</v>
      </c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 t="s">
        <v>367</v>
      </c>
      <c r="AZ710" s="5">
        <v>11700</v>
      </c>
      <c r="BA710" s="5" t="s">
        <v>441</v>
      </c>
      <c r="BB710" s="5" t="s">
        <v>354</v>
      </c>
      <c r="BC710" s="5">
        <v>10000</v>
      </c>
      <c r="BD710" s="5">
        <v>0</v>
      </c>
      <c r="BE710" s="5" t="s">
        <v>358</v>
      </c>
      <c r="BF710" s="5">
        <v>0</v>
      </c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 t="s">
        <v>543</v>
      </c>
      <c r="CA710" s="5">
        <v>110</v>
      </c>
      <c r="CB710" s="5" t="s">
        <v>373</v>
      </c>
      <c r="CC710" s="5" t="s">
        <v>544</v>
      </c>
      <c r="CD710" s="5" t="b">
        <v>0</v>
      </c>
      <c r="CE710" s="5">
        <v>650</v>
      </c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  <c r="DJ710" s="5"/>
      <c r="DK710" s="5"/>
      <c r="DL710" s="5"/>
      <c r="DM710" s="5"/>
      <c r="DN710" s="5"/>
      <c r="DO710" s="5"/>
      <c r="DP710" s="5"/>
      <c r="DQ710" s="5"/>
      <c r="DR710" s="5"/>
      <c r="DS710" s="5"/>
      <c r="DT710" s="5"/>
      <c r="DU710" s="5"/>
      <c r="DV710" s="5"/>
      <c r="DW710" s="5"/>
      <c r="DX710" s="5"/>
      <c r="DY710" s="5"/>
      <c r="DZ710" s="5"/>
      <c r="EA710" s="5"/>
      <c r="EB710" s="5"/>
      <c r="EC710" s="5"/>
      <c r="ED710" s="5"/>
      <c r="EE710" s="5"/>
      <c r="EF710" s="5"/>
      <c r="EG710" s="5"/>
      <c r="EH710" s="5"/>
      <c r="EI710" s="5"/>
      <c r="EJ710" s="5"/>
      <c r="EK710" s="5"/>
      <c r="EL710" s="5"/>
      <c r="EM710" s="5"/>
      <c r="EN710" s="5"/>
      <c r="EO710" s="5"/>
      <c r="EP710" s="5"/>
      <c r="EQ710" s="5"/>
      <c r="ER710" s="5"/>
      <c r="ES710" s="5"/>
      <c r="ET710" s="5"/>
      <c r="EU710" s="5"/>
      <c r="EV710" s="5"/>
      <c r="EY710" s="5"/>
      <c r="EZ710" s="5"/>
      <c r="FA710" s="5"/>
      <c r="FB710" s="5"/>
      <c r="FC710" s="5"/>
      <c r="FD710" s="5"/>
      <c r="FE710" s="5"/>
      <c r="FF710" s="5"/>
      <c r="FG710" s="5"/>
      <c r="FH710" s="5"/>
      <c r="FI710" s="5"/>
      <c r="FJ710" s="5"/>
      <c r="FK710" s="5"/>
      <c r="FL710" s="5"/>
      <c r="FM710" s="5"/>
      <c r="FN710" s="5"/>
      <c r="FO710" s="5"/>
      <c r="FP710" s="5"/>
      <c r="FQ710" s="5"/>
      <c r="FR710" s="5"/>
      <c r="FS710" s="5"/>
      <c r="FT710" s="5"/>
      <c r="FU710" s="5"/>
      <c r="FV710" s="5"/>
      <c r="FW710" s="5"/>
      <c r="FX710" s="5"/>
      <c r="FY710" s="5"/>
      <c r="FZ710" s="5"/>
      <c r="GA710" s="5"/>
      <c r="GB710" s="5"/>
      <c r="GC710" s="5"/>
      <c r="GD710" s="5"/>
      <c r="GE710" s="5"/>
      <c r="GF710" s="5"/>
      <c r="GG710" s="5"/>
      <c r="GH710" s="5"/>
      <c r="GI710" s="5"/>
      <c r="GJ710" s="5"/>
      <c r="GK710" s="5"/>
      <c r="GL710" s="5"/>
      <c r="GM710" s="5"/>
      <c r="GN710" s="5"/>
      <c r="GO710" s="5"/>
      <c r="GP710" s="5"/>
      <c r="GQ710" s="5"/>
      <c r="GR710" s="5"/>
      <c r="GS710" s="5"/>
      <c r="GT710" s="5"/>
      <c r="GU710" s="5"/>
      <c r="GX710" s="5">
        <v>0</v>
      </c>
      <c r="GY710" s="5">
        <v>0</v>
      </c>
      <c r="GZ710" s="5" t="s">
        <v>367</v>
      </c>
      <c r="HA710" s="5">
        <v>0</v>
      </c>
      <c r="HB710" s="5"/>
      <c r="HC710" s="5"/>
      <c r="HD710" s="5" t="b">
        <v>0</v>
      </c>
      <c r="HE710" s="5">
        <v>0</v>
      </c>
      <c r="HF710" s="5" t="b">
        <v>1</v>
      </c>
      <c r="HG710" s="5">
        <v>0</v>
      </c>
      <c r="HH710" s="5">
        <v>0</v>
      </c>
      <c r="HI710" s="5">
        <v>0</v>
      </c>
      <c r="HJ710" s="5">
        <v>0</v>
      </c>
      <c r="HK710" s="5" t="b">
        <v>0</v>
      </c>
      <c r="HL710" s="5">
        <v>0</v>
      </c>
      <c r="HM710" s="5">
        <v>0</v>
      </c>
      <c r="HN710" s="5" t="s">
        <v>367</v>
      </c>
      <c r="HO710" s="5" t="s">
        <v>360</v>
      </c>
      <c r="HP710" s="5">
        <v>0</v>
      </c>
      <c r="HQ710" s="5">
        <v>0</v>
      </c>
      <c r="HR710" s="5">
        <v>0</v>
      </c>
      <c r="HS710" s="5">
        <v>0</v>
      </c>
      <c r="HT710" s="5" t="b">
        <v>0</v>
      </c>
    </row>
    <row r="711" spans="1:228">
      <c r="A711"/>
      <c r="B711" s="1">
        <f>10000000+INDEX(编号表!$B$1:$B$112,MATCH(D711,编号表!$A$1:$A$112,0))*10000+I711</f>
        <v>10360008</v>
      </c>
      <c r="C711" s="5" t="s">
        <v>542</v>
      </c>
      <c r="D711" s="5" t="s">
        <v>542</v>
      </c>
      <c r="E711" s="5" t="s">
        <v>360</v>
      </c>
      <c r="F711" s="5" t="s">
        <v>394</v>
      </c>
      <c r="G711" s="5" t="b">
        <v>0</v>
      </c>
      <c r="H711" s="5" t="b">
        <v>1</v>
      </c>
      <c r="I711" s="5">
        <v>8</v>
      </c>
      <c r="J711" s="5">
        <v>103600</v>
      </c>
      <c r="K711" s="5" t="s">
        <v>350</v>
      </c>
      <c r="L711" s="5">
        <v>0</v>
      </c>
      <c r="M711" s="5">
        <v>0</v>
      </c>
      <c r="N711" s="5" t="s">
        <v>535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/>
      <c r="V711" s="5">
        <v>0</v>
      </c>
      <c r="W711" s="5">
        <v>0</v>
      </c>
      <c r="X711" s="5" t="s">
        <v>360</v>
      </c>
      <c r="Y711" s="5" t="s">
        <v>365</v>
      </c>
      <c r="Z711" s="5" t="s">
        <v>354</v>
      </c>
      <c r="AA711" s="5">
        <v>0</v>
      </c>
      <c r="AB711" s="5">
        <v>12</v>
      </c>
      <c r="AC711" s="5" t="b">
        <v>0</v>
      </c>
      <c r="AD711" s="5" t="s">
        <v>355</v>
      </c>
      <c r="AE711" s="5">
        <v>300</v>
      </c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 t="s">
        <v>367</v>
      </c>
      <c r="AZ711" s="5">
        <v>11800</v>
      </c>
      <c r="BA711" s="5" t="s">
        <v>441</v>
      </c>
      <c r="BB711" s="5" t="s">
        <v>354</v>
      </c>
      <c r="BC711" s="5">
        <v>10000</v>
      </c>
      <c r="BD711" s="5">
        <v>0</v>
      </c>
      <c r="BE711" s="5" t="s">
        <v>358</v>
      </c>
      <c r="BF711" s="5">
        <v>0</v>
      </c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 t="s">
        <v>543</v>
      </c>
      <c r="CA711" s="5">
        <v>110</v>
      </c>
      <c r="CB711" s="5" t="s">
        <v>373</v>
      </c>
      <c r="CC711" s="5" t="s">
        <v>544</v>
      </c>
      <c r="CD711" s="5" t="b">
        <v>0</v>
      </c>
      <c r="CE711" s="5">
        <v>650</v>
      </c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  <c r="DJ711" s="5"/>
      <c r="DK711" s="5"/>
      <c r="DL711" s="5"/>
      <c r="DM711" s="5"/>
      <c r="DN711" s="5"/>
      <c r="DO711" s="5"/>
      <c r="DP711" s="5"/>
      <c r="DQ711" s="5"/>
      <c r="DR711" s="5"/>
      <c r="DS711" s="5"/>
      <c r="DT711" s="5"/>
      <c r="DU711" s="5"/>
      <c r="DV711" s="5"/>
      <c r="DW711" s="5"/>
      <c r="DX711" s="5"/>
      <c r="DY711" s="5"/>
      <c r="DZ711" s="5"/>
      <c r="EA711" s="5"/>
      <c r="EB711" s="5"/>
      <c r="EC711" s="5"/>
      <c r="ED711" s="5"/>
      <c r="EE711" s="5"/>
      <c r="EF711" s="5"/>
      <c r="EG711" s="5"/>
      <c r="EH711" s="5"/>
      <c r="EI711" s="5"/>
      <c r="EJ711" s="5"/>
      <c r="EK711" s="5"/>
      <c r="EL711" s="5"/>
      <c r="EM711" s="5"/>
      <c r="EN711" s="5"/>
      <c r="EO711" s="5"/>
      <c r="EP711" s="5"/>
      <c r="EQ711" s="5"/>
      <c r="ER711" s="5"/>
      <c r="ES711" s="5"/>
      <c r="ET711" s="5"/>
      <c r="EU711" s="5"/>
      <c r="EV711" s="5"/>
      <c r="EY711" s="5"/>
      <c r="EZ711" s="5"/>
      <c r="FA711" s="5"/>
      <c r="FB711" s="5"/>
      <c r="FC711" s="5"/>
      <c r="FD711" s="5"/>
      <c r="FE711" s="5"/>
      <c r="FF711" s="5"/>
      <c r="FG711" s="5"/>
      <c r="FH711" s="5"/>
      <c r="FI711" s="5"/>
      <c r="FJ711" s="5"/>
      <c r="FK711" s="5"/>
      <c r="FL711" s="5"/>
      <c r="FM711" s="5"/>
      <c r="FN711" s="5"/>
      <c r="FO711" s="5"/>
      <c r="FP711" s="5"/>
      <c r="FQ711" s="5"/>
      <c r="FR711" s="5"/>
      <c r="FS711" s="5"/>
      <c r="FT711" s="5"/>
      <c r="FU711" s="5"/>
      <c r="FV711" s="5"/>
      <c r="FW711" s="5"/>
      <c r="FX711" s="5"/>
      <c r="FY711" s="5"/>
      <c r="FZ711" s="5"/>
      <c r="GA711" s="5"/>
      <c r="GB711" s="5"/>
      <c r="GC711" s="5"/>
      <c r="GD711" s="5"/>
      <c r="GE711" s="5"/>
      <c r="GF711" s="5"/>
      <c r="GG711" s="5"/>
      <c r="GH711" s="5"/>
      <c r="GI711" s="5"/>
      <c r="GJ711" s="5"/>
      <c r="GK711" s="5"/>
      <c r="GL711" s="5"/>
      <c r="GM711" s="5"/>
      <c r="GN711" s="5"/>
      <c r="GO711" s="5"/>
      <c r="GP711" s="5"/>
      <c r="GQ711" s="5"/>
      <c r="GR711" s="5"/>
      <c r="GS711" s="5"/>
      <c r="GT711" s="5"/>
      <c r="GU711" s="5"/>
      <c r="GX711" s="5">
        <v>0</v>
      </c>
      <c r="GY711" s="5">
        <v>0</v>
      </c>
      <c r="GZ711" s="5" t="s">
        <v>367</v>
      </c>
      <c r="HA711" s="5">
        <v>0</v>
      </c>
      <c r="HB711" s="5"/>
      <c r="HC711" s="5"/>
      <c r="HD711" s="5" t="b">
        <v>0</v>
      </c>
      <c r="HE711" s="5">
        <v>0</v>
      </c>
      <c r="HF711" s="5" t="b">
        <v>1</v>
      </c>
      <c r="HG711" s="5">
        <v>0</v>
      </c>
      <c r="HH711" s="5">
        <v>0</v>
      </c>
      <c r="HI711" s="5">
        <v>0</v>
      </c>
      <c r="HJ711" s="5">
        <v>0</v>
      </c>
      <c r="HK711" s="5" t="b">
        <v>0</v>
      </c>
      <c r="HL711" s="5">
        <v>0</v>
      </c>
      <c r="HM711" s="5">
        <v>0</v>
      </c>
      <c r="HN711" s="5" t="s">
        <v>367</v>
      </c>
      <c r="HO711" s="5" t="s">
        <v>360</v>
      </c>
      <c r="HP711" s="5">
        <v>0</v>
      </c>
      <c r="HQ711" s="5">
        <v>0</v>
      </c>
      <c r="HR711" s="5">
        <v>0</v>
      </c>
      <c r="HS711" s="5">
        <v>0</v>
      </c>
      <c r="HT711" s="5" t="b">
        <v>0</v>
      </c>
    </row>
    <row r="712" spans="1:228">
      <c r="A712"/>
      <c r="B712" s="1">
        <f>10000000+INDEX(编号表!$B$1:$B$112,MATCH(D712,编号表!$A$1:$A$112,0))*10000+I712</f>
        <v>10360009</v>
      </c>
      <c r="C712" s="5" t="s">
        <v>542</v>
      </c>
      <c r="D712" s="5" t="s">
        <v>542</v>
      </c>
      <c r="E712" s="5" t="s">
        <v>360</v>
      </c>
      <c r="F712" s="5" t="s">
        <v>394</v>
      </c>
      <c r="G712" s="5" t="b">
        <v>0</v>
      </c>
      <c r="H712" s="5" t="b">
        <v>1</v>
      </c>
      <c r="I712" s="5">
        <v>9</v>
      </c>
      <c r="J712" s="5">
        <v>103600</v>
      </c>
      <c r="K712" s="5" t="s">
        <v>350</v>
      </c>
      <c r="L712" s="5">
        <v>0</v>
      </c>
      <c r="M712" s="5">
        <v>0</v>
      </c>
      <c r="N712" s="5" t="s">
        <v>535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/>
      <c r="V712" s="5">
        <v>0</v>
      </c>
      <c r="W712" s="5">
        <v>0</v>
      </c>
      <c r="X712" s="5" t="s">
        <v>360</v>
      </c>
      <c r="Y712" s="5" t="s">
        <v>365</v>
      </c>
      <c r="Z712" s="5" t="s">
        <v>354</v>
      </c>
      <c r="AA712" s="5">
        <v>0</v>
      </c>
      <c r="AB712" s="5">
        <v>12</v>
      </c>
      <c r="AC712" s="5" t="b">
        <v>0</v>
      </c>
      <c r="AD712" s="5" t="s">
        <v>355</v>
      </c>
      <c r="AE712" s="5">
        <v>300</v>
      </c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 t="s">
        <v>367</v>
      </c>
      <c r="AZ712" s="5">
        <v>11900</v>
      </c>
      <c r="BA712" s="5" t="s">
        <v>441</v>
      </c>
      <c r="BB712" s="5" t="s">
        <v>354</v>
      </c>
      <c r="BC712" s="5">
        <v>10000</v>
      </c>
      <c r="BD712" s="5">
        <v>0</v>
      </c>
      <c r="BE712" s="5" t="s">
        <v>358</v>
      </c>
      <c r="BF712" s="5">
        <v>0</v>
      </c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 t="s">
        <v>543</v>
      </c>
      <c r="CA712" s="5">
        <v>110</v>
      </c>
      <c r="CB712" s="5" t="s">
        <v>373</v>
      </c>
      <c r="CC712" s="5" t="s">
        <v>544</v>
      </c>
      <c r="CD712" s="5" t="b">
        <v>0</v>
      </c>
      <c r="CE712" s="5">
        <v>650</v>
      </c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  <c r="DJ712" s="5"/>
      <c r="DK712" s="5"/>
      <c r="DL712" s="5"/>
      <c r="DM712" s="5"/>
      <c r="DN712" s="5"/>
      <c r="DO712" s="5"/>
      <c r="DP712" s="5"/>
      <c r="DQ712" s="5"/>
      <c r="DR712" s="5"/>
      <c r="DS712" s="5"/>
      <c r="DT712" s="5"/>
      <c r="DU712" s="5"/>
      <c r="DV712" s="5"/>
      <c r="DW712" s="5"/>
      <c r="DX712" s="5"/>
      <c r="DY712" s="5"/>
      <c r="DZ712" s="5"/>
      <c r="EA712" s="5"/>
      <c r="EB712" s="5"/>
      <c r="EC712" s="5"/>
      <c r="ED712" s="5"/>
      <c r="EE712" s="5"/>
      <c r="EF712" s="5"/>
      <c r="EG712" s="5"/>
      <c r="EH712" s="5"/>
      <c r="EI712" s="5"/>
      <c r="EJ712" s="5"/>
      <c r="EK712" s="5"/>
      <c r="EL712" s="5"/>
      <c r="EM712" s="5"/>
      <c r="EN712" s="5"/>
      <c r="EO712" s="5"/>
      <c r="EP712" s="5"/>
      <c r="EQ712" s="5"/>
      <c r="ER712" s="5"/>
      <c r="ES712" s="5"/>
      <c r="ET712" s="5"/>
      <c r="EU712" s="5"/>
      <c r="EV712" s="5"/>
      <c r="EY712" s="5"/>
      <c r="EZ712" s="5"/>
      <c r="FA712" s="5"/>
      <c r="FB712" s="5"/>
      <c r="FC712" s="5"/>
      <c r="FD712" s="5"/>
      <c r="FE712" s="5"/>
      <c r="FF712" s="5"/>
      <c r="FG712" s="5"/>
      <c r="FH712" s="5"/>
      <c r="FI712" s="5"/>
      <c r="FJ712" s="5"/>
      <c r="FK712" s="5"/>
      <c r="FL712" s="5"/>
      <c r="FM712" s="5"/>
      <c r="FN712" s="5"/>
      <c r="FO712" s="5"/>
      <c r="FP712" s="5"/>
      <c r="FQ712" s="5"/>
      <c r="FR712" s="5"/>
      <c r="FS712" s="5"/>
      <c r="FT712" s="5"/>
      <c r="FU712" s="5"/>
      <c r="FV712" s="5"/>
      <c r="FW712" s="5"/>
      <c r="FX712" s="5"/>
      <c r="FY712" s="5"/>
      <c r="FZ712" s="5"/>
      <c r="GA712" s="5"/>
      <c r="GB712" s="5"/>
      <c r="GC712" s="5"/>
      <c r="GD712" s="5"/>
      <c r="GE712" s="5"/>
      <c r="GF712" s="5"/>
      <c r="GG712" s="5"/>
      <c r="GH712" s="5"/>
      <c r="GI712" s="5"/>
      <c r="GJ712" s="5"/>
      <c r="GK712" s="5"/>
      <c r="GL712" s="5"/>
      <c r="GM712" s="5"/>
      <c r="GN712" s="5"/>
      <c r="GO712" s="5"/>
      <c r="GP712" s="5"/>
      <c r="GQ712" s="5"/>
      <c r="GR712" s="5"/>
      <c r="GS712" s="5"/>
      <c r="GT712" s="5"/>
      <c r="GU712" s="5"/>
      <c r="GX712" s="5">
        <v>0</v>
      </c>
      <c r="GY712" s="5">
        <v>0</v>
      </c>
      <c r="GZ712" s="5" t="s">
        <v>367</v>
      </c>
      <c r="HA712" s="5">
        <v>0</v>
      </c>
      <c r="HB712" s="5"/>
      <c r="HC712" s="5"/>
      <c r="HD712" s="5" t="b">
        <v>0</v>
      </c>
      <c r="HE712" s="5">
        <v>0</v>
      </c>
      <c r="HF712" s="5" t="b">
        <v>1</v>
      </c>
      <c r="HG712" s="5">
        <v>0</v>
      </c>
      <c r="HH712" s="5">
        <v>0</v>
      </c>
      <c r="HI712" s="5">
        <v>0</v>
      </c>
      <c r="HJ712" s="5">
        <v>0</v>
      </c>
      <c r="HK712" s="5" t="b">
        <v>0</v>
      </c>
      <c r="HL712" s="5">
        <v>0</v>
      </c>
      <c r="HM712" s="5">
        <v>0</v>
      </c>
      <c r="HN712" s="5" t="s">
        <v>367</v>
      </c>
      <c r="HO712" s="5" t="s">
        <v>360</v>
      </c>
      <c r="HP712" s="5">
        <v>0</v>
      </c>
      <c r="HQ712" s="5">
        <v>0</v>
      </c>
      <c r="HR712" s="5">
        <v>0</v>
      </c>
      <c r="HS712" s="5">
        <v>0</v>
      </c>
      <c r="HT712" s="5" t="b">
        <v>0</v>
      </c>
    </row>
    <row r="713" spans="1:228">
      <c r="A713"/>
      <c r="B713" s="1">
        <f>10000000+INDEX(编号表!$B$1:$B$112,MATCH(D713,编号表!$A$1:$A$112,0))*10000+I713</f>
        <v>10360010</v>
      </c>
      <c r="C713" s="5" t="s">
        <v>542</v>
      </c>
      <c r="D713" s="5" t="s">
        <v>542</v>
      </c>
      <c r="E713" s="5" t="s">
        <v>360</v>
      </c>
      <c r="F713" s="5" t="s">
        <v>394</v>
      </c>
      <c r="G713" s="5" t="b">
        <v>0</v>
      </c>
      <c r="H713" s="5" t="b">
        <v>1</v>
      </c>
      <c r="I713" s="5">
        <v>10</v>
      </c>
      <c r="J713" s="5">
        <v>103600</v>
      </c>
      <c r="K713" s="5" t="s">
        <v>350</v>
      </c>
      <c r="L713" s="5">
        <v>0</v>
      </c>
      <c r="M713" s="5">
        <v>0</v>
      </c>
      <c r="N713" s="5" t="s">
        <v>535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/>
      <c r="V713" s="5">
        <v>0</v>
      </c>
      <c r="W713" s="5">
        <v>0</v>
      </c>
      <c r="X713" s="5" t="s">
        <v>360</v>
      </c>
      <c r="Y713" s="5" t="s">
        <v>365</v>
      </c>
      <c r="Z713" s="5" t="s">
        <v>354</v>
      </c>
      <c r="AA713" s="5">
        <v>0</v>
      </c>
      <c r="AB713" s="5">
        <v>12</v>
      </c>
      <c r="AC713" s="5" t="b">
        <v>0</v>
      </c>
      <c r="AD713" s="5" t="s">
        <v>355</v>
      </c>
      <c r="AE713" s="5">
        <v>300</v>
      </c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 t="s">
        <v>367</v>
      </c>
      <c r="AZ713" s="5">
        <v>12000</v>
      </c>
      <c r="BA713" s="5" t="s">
        <v>441</v>
      </c>
      <c r="BB713" s="5" t="s">
        <v>354</v>
      </c>
      <c r="BC713" s="5">
        <v>10000</v>
      </c>
      <c r="BD713" s="5">
        <v>0</v>
      </c>
      <c r="BE713" s="5" t="s">
        <v>358</v>
      </c>
      <c r="BF713" s="5">
        <v>0</v>
      </c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 t="s">
        <v>543</v>
      </c>
      <c r="CA713" s="5">
        <v>110</v>
      </c>
      <c r="CB713" s="5" t="s">
        <v>373</v>
      </c>
      <c r="CC713" s="5" t="s">
        <v>544</v>
      </c>
      <c r="CD713" s="5" t="b">
        <v>0</v>
      </c>
      <c r="CE713" s="5">
        <v>650</v>
      </c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  <c r="DJ713" s="5"/>
      <c r="DK713" s="5"/>
      <c r="DL713" s="5"/>
      <c r="DM713" s="5"/>
      <c r="DN713" s="5"/>
      <c r="DO713" s="5"/>
      <c r="DP713" s="5"/>
      <c r="DQ713" s="5"/>
      <c r="DR713" s="5"/>
      <c r="DS713" s="5"/>
      <c r="DT713" s="5"/>
      <c r="DU713" s="5"/>
      <c r="DV713" s="5"/>
      <c r="DW713" s="5"/>
      <c r="DX713" s="5"/>
      <c r="DY713" s="5"/>
      <c r="DZ713" s="5"/>
      <c r="EA713" s="5"/>
      <c r="EB713" s="5"/>
      <c r="EC713" s="5"/>
      <c r="ED713" s="5"/>
      <c r="EE713" s="5"/>
      <c r="EF713" s="5"/>
      <c r="EG713" s="5"/>
      <c r="EH713" s="5"/>
      <c r="EI713" s="5"/>
      <c r="EJ713" s="5"/>
      <c r="EK713" s="5"/>
      <c r="EL713" s="5"/>
      <c r="EM713" s="5"/>
      <c r="EN713" s="5"/>
      <c r="EO713" s="5"/>
      <c r="EP713" s="5"/>
      <c r="EQ713" s="5"/>
      <c r="ER713" s="5"/>
      <c r="ES713" s="5"/>
      <c r="ET713" s="5"/>
      <c r="EU713" s="5"/>
      <c r="EV713" s="5"/>
      <c r="EY713" s="5"/>
      <c r="EZ713" s="5"/>
      <c r="FA713" s="5"/>
      <c r="FB713" s="5"/>
      <c r="FC713" s="5"/>
      <c r="FD713" s="5"/>
      <c r="FE713" s="5"/>
      <c r="FF713" s="5"/>
      <c r="FG713" s="5"/>
      <c r="FH713" s="5"/>
      <c r="FI713" s="5"/>
      <c r="FJ713" s="5"/>
      <c r="FK713" s="5"/>
      <c r="FL713" s="5"/>
      <c r="FM713" s="5"/>
      <c r="FN713" s="5"/>
      <c r="FO713" s="5"/>
      <c r="FP713" s="5"/>
      <c r="FQ713" s="5"/>
      <c r="FR713" s="5"/>
      <c r="FS713" s="5"/>
      <c r="FT713" s="5"/>
      <c r="FU713" s="5"/>
      <c r="FV713" s="5"/>
      <c r="FW713" s="5"/>
      <c r="FX713" s="5"/>
      <c r="FY713" s="5"/>
      <c r="FZ713" s="5"/>
      <c r="GA713" s="5"/>
      <c r="GB713" s="5"/>
      <c r="GC713" s="5"/>
      <c r="GD713" s="5"/>
      <c r="GE713" s="5"/>
      <c r="GF713" s="5"/>
      <c r="GG713" s="5"/>
      <c r="GH713" s="5"/>
      <c r="GI713" s="5"/>
      <c r="GJ713" s="5"/>
      <c r="GK713" s="5"/>
      <c r="GL713" s="5"/>
      <c r="GM713" s="5"/>
      <c r="GN713" s="5"/>
      <c r="GO713" s="5"/>
      <c r="GP713" s="5"/>
      <c r="GQ713" s="5"/>
      <c r="GR713" s="5"/>
      <c r="GS713" s="5"/>
      <c r="GT713" s="5"/>
      <c r="GU713" s="5"/>
      <c r="GX713" s="5">
        <v>0</v>
      </c>
      <c r="GY713" s="5">
        <v>0</v>
      </c>
      <c r="GZ713" s="5" t="s">
        <v>367</v>
      </c>
      <c r="HA713" s="5">
        <v>0</v>
      </c>
      <c r="HB713" s="5"/>
      <c r="HC713" s="5"/>
      <c r="HD713" s="5" t="b">
        <v>0</v>
      </c>
      <c r="HE713" s="5">
        <v>0</v>
      </c>
      <c r="HF713" s="5" t="b">
        <v>1</v>
      </c>
      <c r="HG713" s="5">
        <v>0</v>
      </c>
      <c r="HH713" s="5">
        <v>0</v>
      </c>
      <c r="HI713" s="5">
        <v>0</v>
      </c>
      <c r="HJ713" s="5">
        <v>0</v>
      </c>
      <c r="HK713" s="5" t="b">
        <v>0</v>
      </c>
      <c r="HL713" s="5">
        <v>0</v>
      </c>
      <c r="HM713" s="5">
        <v>0</v>
      </c>
      <c r="HN713" s="5" t="s">
        <v>367</v>
      </c>
      <c r="HO713" s="5" t="s">
        <v>360</v>
      </c>
      <c r="HP713" s="5">
        <v>0</v>
      </c>
      <c r="HQ713" s="5">
        <v>0</v>
      </c>
      <c r="HR713" s="5">
        <v>0</v>
      </c>
      <c r="HS713" s="5">
        <v>0</v>
      </c>
      <c r="HT713" s="5" t="b">
        <v>0</v>
      </c>
    </row>
    <row r="714" spans="1:228">
      <c r="B714" s="1">
        <v>11000002</v>
      </c>
      <c r="C714" s="1" t="s">
        <v>545</v>
      </c>
      <c r="D714" s="1" t="s">
        <v>545</v>
      </c>
      <c r="E714" s="1" t="s">
        <v>360</v>
      </c>
      <c r="F714" s="1" t="s">
        <v>360</v>
      </c>
      <c r="G714" s="1">
        <v>0</v>
      </c>
      <c r="H714" s="1" t="b">
        <v>1</v>
      </c>
      <c r="I714" s="1">
        <v>1</v>
      </c>
      <c r="J714" s="1">
        <v>110000</v>
      </c>
      <c r="K714" s="1" t="s">
        <v>350</v>
      </c>
      <c r="M714" s="1">
        <v>0</v>
      </c>
      <c r="N714" s="1" t="s">
        <v>533</v>
      </c>
      <c r="O714" s="1">
        <v>0</v>
      </c>
      <c r="P714" s="1">
        <v>0</v>
      </c>
      <c r="Q714" s="1">
        <v>0</v>
      </c>
      <c r="R714" s="1">
        <v>0</v>
      </c>
      <c r="T714" s="1">
        <v>0</v>
      </c>
      <c r="V714" s="1">
        <v>0</v>
      </c>
      <c r="W714" s="1">
        <v>0</v>
      </c>
      <c r="X714" s="1" t="s">
        <v>352</v>
      </c>
      <c r="Y714" s="1" t="s">
        <v>376</v>
      </c>
      <c r="Z714" s="1" t="s">
        <v>354</v>
      </c>
      <c r="AA714" s="1">
        <v>0</v>
      </c>
      <c r="AB714" s="1">
        <v>1</v>
      </c>
      <c r="AC714" s="1">
        <v>0</v>
      </c>
      <c r="AD714" s="1" t="s">
        <v>355</v>
      </c>
      <c r="AY714" s="1" t="s">
        <v>356</v>
      </c>
      <c r="AZ714" s="1">
        <v>10000</v>
      </c>
      <c r="BA714" s="1" t="s">
        <v>357</v>
      </c>
      <c r="BB714" s="1" t="s">
        <v>354</v>
      </c>
      <c r="BC714" s="1">
        <v>10000</v>
      </c>
      <c r="BD714" s="1">
        <v>0</v>
      </c>
      <c r="BE714" s="1" t="s">
        <v>358</v>
      </c>
      <c r="BF714" s="1">
        <v>0</v>
      </c>
      <c r="BG714" s="1" t="s">
        <v>356</v>
      </c>
      <c r="BH714" s="1">
        <v>10000</v>
      </c>
      <c r="BI714" s="1">
        <v>0</v>
      </c>
      <c r="BJ714" s="1" t="b">
        <v>1</v>
      </c>
      <c r="BK714" s="1">
        <v>0</v>
      </c>
      <c r="BL714" s="1">
        <v>10000</v>
      </c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  <c r="CA714"/>
      <c r="CB714"/>
      <c r="CC714"/>
      <c r="CD714"/>
      <c r="CE714"/>
      <c r="CF714"/>
      <c r="CG714"/>
      <c r="CH714"/>
      <c r="CI714"/>
      <c r="CJ714"/>
      <c r="CK714"/>
      <c r="CL714"/>
      <c r="CM714"/>
      <c r="CN714"/>
      <c r="CO714"/>
      <c r="CP714"/>
      <c r="CQ714"/>
      <c r="CR714"/>
      <c r="CS714"/>
      <c r="CT714"/>
      <c r="CU714"/>
      <c r="CV714"/>
      <c r="CW714"/>
      <c r="CZ714"/>
      <c r="DA714"/>
      <c r="DB714"/>
      <c r="DC714"/>
      <c r="DD714"/>
      <c r="DE714"/>
      <c r="DF714"/>
      <c r="DG714"/>
      <c r="DH714"/>
      <c r="DI714"/>
      <c r="DJ714"/>
      <c r="DK714"/>
      <c r="DL714"/>
      <c r="DM714"/>
      <c r="DN714"/>
      <c r="DO714"/>
      <c r="DP714"/>
      <c r="DQ714"/>
      <c r="DR714"/>
      <c r="DS714"/>
      <c r="DT714"/>
      <c r="DU714"/>
      <c r="DV714"/>
      <c r="DW714"/>
      <c r="DX714"/>
      <c r="DY714"/>
      <c r="DZ714"/>
      <c r="EA714"/>
      <c r="EB714"/>
      <c r="EC714"/>
      <c r="ED714"/>
      <c r="EE714"/>
      <c r="EF714"/>
      <c r="EG714"/>
      <c r="EH714"/>
      <c r="EI714"/>
      <c r="EJ714"/>
      <c r="EK714"/>
      <c r="EL714"/>
      <c r="EM714"/>
      <c r="EN714"/>
      <c r="EO714"/>
      <c r="EP714"/>
      <c r="EQ714"/>
      <c r="ER714"/>
      <c r="ES714"/>
      <c r="ET714"/>
      <c r="EU714"/>
      <c r="EV714"/>
      <c r="EY714"/>
      <c r="EZ714"/>
      <c r="FA714"/>
      <c r="FB714"/>
      <c r="FC714"/>
      <c r="FD714"/>
      <c r="FE714"/>
      <c r="FF714"/>
      <c r="FG714"/>
      <c r="FH714"/>
      <c r="FI714"/>
      <c r="FJ714"/>
      <c r="FK714"/>
      <c r="FL714"/>
      <c r="FM714"/>
      <c r="FN714"/>
      <c r="FO714"/>
      <c r="FP714"/>
      <c r="FQ714"/>
      <c r="FR714"/>
      <c r="FS714"/>
      <c r="FT714"/>
      <c r="FU714"/>
      <c r="FV714"/>
      <c r="FW714"/>
      <c r="FX714"/>
      <c r="FY714"/>
      <c r="FZ714"/>
      <c r="GA714"/>
      <c r="GB714"/>
      <c r="GC714"/>
      <c r="GD714"/>
      <c r="GE714"/>
      <c r="GF714"/>
      <c r="GG714"/>
      <c r="GH714"/>
      <c r="GI714"/>
      <c r="GJ714"/>
      <c r="GK714"/>
      <c r="GL714"/>
      <c r="GM714"/>
      <c r="GN714"/>
      <c r="GO714"/>
      <c r="GP714"/>
      <c r="GQ714"/>
      <c r="GR714"/>
      <c r="GS714"/>
      <c r="GT714"/>
      <c r="GU714"/>
      <c r="GX714" s="1">
        <v>0</v>
      </c>
      <c r="GY714" s="1">
        <v>0</v>
      </c>
      <c r="GZ714" s="1" t="s">
        <v>366</v>
      </c>
      <c r="HA714" s="1">
        <v>0</v>
      </c>
      <c r="HD714" s="1">
        <v>1</v>
      </c>
      <c r="HE714">
        <v>0</v>
      </c>
      <c r="HF714" s="1" t="b">
        <v>1</v>
      </c>
      <c r="HG714" s="1">
        <v>0</v>
      </c>
      <c r="HH714" s="1">
        <v>0</v>
      </c>
      <c r="HI714" s="1">
        <v>0</v>
      </c>
      <c r="HJ714" s="1">
        <v>0</v>
      </c>
      <c r="HK714" s="1" t="b">
        <v>0</v>
      </c>
      <c r="HM714" s="1">
        <v>10001</v>
      </c>
      <c r="HO714" s="1" t="s">
        <v>360</v>
      </c>
      <c r="HP714" s="1">
        <v>0</v>
      </c>
      <c r="HQ714" s="1">
        <v>0</v>
      </c>
      <c r="HR714" s="1">
        <v>0</v>
      </c>
      <c r="HT714" t="b">
        <v>0</v>
      </c>
    </row>
    <row r="715" spans="1:228">
      <c r="B715" s="1">
        <v>11000131</v>
      </c>
      <c r="C715" s="1" t="s">
        <v>546</v>
      </c>
      <c r="D715" s="1" t="s">
        <v>546</v>
      </c>
      <c r="E715" s="1" t="s">
        <v>360</v>
      </c>
      <c r="F715" s="1" t="s">
        <v>360</v>
      </c>
      <c r="G715" s="1">
        <v>0</v>
      </c>
      <c r="H715" s="1" t="b">
        <v>0</v>
      </c>
      <c r="I715" s="1">
        <v>1</v>
      </c>
      <c r="J715" s="1">
        <v>110000</v>
      </c>
      <c r="K715" s="1" t="s">
        <v>350</v>
      </c>
      <c r="M715" s="1">
        <v>0</v>
      </c>
      <c r="N715" s="1" t="s">
        <v>533</v>
      </c>
      <c r="O715" s="1">
        <v>0</v>
      </c>
      <c r="P715" s="1">
        <v>0</v>
      </c>
      <c r="Q715" s="1">
        <v>0</v>
      </c>
      <c r="R715" s="1">
        <v>0</v>
      </c>
      <c r="T715" s="1">
        <v>0</v>
      </c>
      <c r="V715" s="1">
        <v>600</v>
      </c>
      <c r="W715" s="1">
        <v>0</v>
      </c>
      <c r="X715" s="1" t="s">
        <v>352</v>
      </c>
      <c r="Y715" s="1" t="s">
        <v>376</v>
      </c>
      <c r="Z715" s="1" t="s">
        <v>354</v>
      </c>
      <c r="AA715" s="1">
        <v>0</v>
      </c>
      <c r="AB715" s="1">
        <v>1</v>
      </c>
      <c r="AC715" s="1">
        <v>0</v>
      </c>
      <c r="AD715" s="1" t="s">
        <v>355</v>
      </c>
      <c r="AY715" s="1" t="s">
        <v>356</v>
      </c>
      <c r="AZ715" s="1">
        <v>10000</v>
      </c>
      <c r="BA715" s="1" t="s">
        <v>371</v>
      </c>
      <c r="BB715" s="1" t="s">
        <v>354</v>
      </c>
      <c r="BC715" s="1">
        <v>10000</v>
      </c>
      <c r="BD715" s="1">
        <v>0</v>
      </c>
      <c r="BE715" s="1" t="s">
        <v>358</v>
      </c>
      <c r="BF715" s="1">
        <v>0</v>
      </c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  <c r="CA715"/>
      <c r="CB715"/>
      <c r="CC715"/>
      <c r="CD715"/>
      <c r="CE715"/>
      <c r="CF715">
        <v>30005</v>
      </c>
      <c r="CG715" t="s">
        <v>366</v>
      </c>
      <c r="CH715">
        <v>900</v>
      </c>
      <c r="CI715">
        <v>80</v>
      </c>
      <c r="CJ715" t="s">
        <v>373</v>
      </c>
      <c r="CK715">
        <v>1</v>
      </c>
      <c r="CL715">
        <v>0</v>
      </c>
      <c r="CM715">
        <v>1</v>
      </c>
      <c r="CN715">
        <v>650</v>
      </c>
      <c r="CO715">
        <v>80</v>
      </c>
      <c r="CP715">
        <v>0</v>
      </c>
      <c r="CQ715">
        <v>1</v>
      </c>
      <c r="CR715">
        <v>11000002</v>
      </c>
      <c r="CS715">
        <v>0</v>
      </c>
      <c r="CT715">
        <v>0</v>
      </c>
      <c r="CU715">
        <v>0</v>
      </c>
      <c r="CV715" t="s">
        <v>355</v>
      </c>
      <c r="CW715"/>
      <c r="CZ715"/>
      <c r="DA715"/>
      <c r="DB715"/>
      <c r="DC715"/>
      <c r="DD715"/>
      <c r="DE715"/>
      <c r="DF715"/>
      <c r="DG715"/>
      <c r="DH715"/>
      <c r="DI715"/>
      <c r="DJ715"/>
      <c r="DK715"/>
      <c r="DL715"/>
      <c r="DM715"/>
      <c r="DN715"/>
      <c r="DO715"/>
      <c r="DP715"/>
      <c r="DQ715"/>
      <c r="DR715"/>
      <c r="DS715"/>
      <c r="DT715"/>
      <c r="DU715"/>
      <c r="DV715"/>
      <c r="DW715"/>
      <c r="DX715"/>
      <c r="DY715"/>
      <c r="DZ715"/>
      <c r="EA715"/>
      <c r="EB715"/>
      <c r="EC715"/>
      <c r="ED715"/>
      <c r="EE715"/>
      <c r="EF715"/>
      <c r="EG715"/>
      <c r="EH715"/>
      <c r="EI715"/>
      <c r="EJ715"/>
      <c r="EK715"/>
      <c r="EL715"/>
      <c r="EM715"/>
      <c r="EN715"/>
      <c r="EO715"/>
      <c r="EP715"/>
      <c r="EQ715"/>
      <c r="ER715"/>
      <c r="ES715"/>
      <c r="ET715"/>
      <c r="EU715"/>
      <c r="EV715"/>
      <c r="EW715"/>
      <c r="EX715"/>
      <c r="EY715"/>
      <c r="EZ715"/>
      <c r="FA715"/>
      <c r="FB715"/>
      <c r="FC715"/>
      <c r="FD715"/>
      <c r="FE715"/>
      <c r="FF715"/>
      <c r="FG715"/>
      <c r="FH715"/>
      <c r="FI715"/>
      <c r="FJ715"/>
      <c r="FK715"/>
      <c r="FL715"/>
      <c r="FM715"/>
      <c r="FN715"/>
      <c r="FO715"/>
      <c r="FP715"/>
      <c r="FQ715"/>
      <c r="FR715"/>
      <c r="FS715"/>
      <c r="FT715"/>
      <c r="FU715"/>
      <c r="FV715"/>
      <c r="FW715"/>
      <c r="FX715"/>
      <c r="FY715"/>
      <c r="FZ715"/>
      <c r="GA715"/>
      <c r="GB715"/>
      <c r="GC715"/>
      <c r="GD715"/>
      <c r="GE715"/>
      <c r="GF715"/>
      <c r="GG715"/>
      <c r="GH715"/>
      <c r="GI715"/>
      <c r="GJ715"/>
      <c r="GK715"/>
      <c r="GL715"/>
      <c r="GM715"/>
      <c r="GN715"/>
      <c r="GO715"/>
      <c r="GP715"/>
      <c r="GQ715"/>
      <c r="GR715"/>
      <c r="GS715"/>
      <c r="GT715"/>
      <c r="GU715"/>
      <c r="GV715"/>
      <c r="GW715"/>
      <c r="GX715" s="1">
        <v>1340</v>
      </c>
      <c r="GY715" s="1">
        <v>0</v>
      </c>
      <c r="GZ715" s="1" t="s">
        <v>359</v>
      </c>
      <c r="HA715" s="1">
        <v>0</v>
      </c>
      <c r="HD715" s="1">
        <v>1</v>
      </c>
      <c r="HE715">
        <v>1500</v>
      </c>
      <c r="HF715" s="1" t="b">
        <v>1</v>
      </c>
      <c r="HG715" s="1">
        <v>0</v>
      </c>
      <c r="HH715" s="1">
        <v>0</v>
      </c>
      <c r="HI715" s="1">
        <v>0</v>
      </c>
      <c r="HJ715" s="1">
        <v>0</v>
      </c>
      <c r="HK715" s="1" t="b">
        <v>0</v>
      </c>
      <c r="HM715" s="1">
        <v>10001</v>
      </c>
      <c r="HO715" s="1" t="s">
        <v>360</v>
      </c>
      <c r="HP715" s="1">
        <v>0</v>
      </c>
      <c r="HQ715" s="1">
        <v>0</v>
      </c>
      <c r="HR715" s="1">
        <v>0</v>
      </c>
      <c r="HT715" t="b">
        <v>1</v>
      </c>
    </row>
    <row r="716" spans="1:228">
      <c r="B716" s="1">
        <v>11000242</v>
      </c>
      <c r="C716" s="1" t="s">
        <v>547</v>
      </c>
      <c r="D716" s="1" t="s">
        <v>547</v>
      </c>
      <c r="E716" s="1" t="s">
        <v>360</v>
      </c>
      <c r="F716" s="1" t="s">
        <v>360</v>
      </c>
      <c r="G716" s="1">
        <v>0</v>
      </c>
      <c r="H716" s="1" t="b">
        <v>0</v>
      </c>
      <c r="I716" s="1">
        <v>1</v>
      </c>
      <c r="J716" s="1">
        <v>110000</v>
      </c>
      <c r="K716" s="1" t="s">
        <v>350</v>
      </c>
      <c r="M716" s="1">
        <v>0</v>
      </c>
      <c r="N716" s="1" t="s">
        <v>533</v>
      </c>
      <c r="O716" s="1">
        <v>0</v>
      </c>
      <c r="P716" s="1">
        <v>0</v>
      </c>
      <c r="Q716" s="1">
        <v>0</v>
      </c>
      <c r="R716" s="1">
        <v>0</v>
      </c>
      <c r="T716" s="1">
        <v>0</v>
      </c>
      <c r="V716" s="1">
        <v>600</v>
      </c>
      <c r="W716" s="1">
        <v>0</v>
      </c>
      <c r="X716" s="1" t="s">
        <v>352</v>
      </c>
      <c r="Y716" s="1" t="s">
        <v>376</v>
      </c>
      <c r="Z716" s="1" t="s">
        <v>354</v>
      </c>
      <c r="AA716" s="1">
        <v>0</v>
      </c>
      <c r="AB716" s="1">
        <v>1</v>
      </c>
      <c r="AC716" s="1">
        <v>0</v>
      </c>
      <c r="AD716" s="1" t="s">
        <v>355</v>
      </c>
      <c r="AY716" s="1" t="s">
        <v>356</v>
      </c>
      <c r="AZ716" s="1">
        <v>10000</v>
      </c>
      <c r="BA716" s="1" t="s">
        <v>371</v>
      </c>
      <c r="BB716" s="1" t="s">
        <v>354</v>
      </c>
      <c r="BC716" s="1">
        <v>10000</v>
      </c>
      <c r="BD716" s="1">
        <v>0</v>
      </c>
      <c r="BE716" s="1" t="s">
        <v>358</v>
      </c>
      <c r="BF716" s="1">
        <v>0</v>
      </c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>
        <v>30062</v>
      </c>
      <c r="CG716" t="s">
        <v>366</v>
      </c>
      <c r="CH716">
        <v>900</v>
      </c>
      <c r="CI716">
        <v>80</v>
      </c>
      <c r="CJ716" t="s">
        <v>373</v>
      </c>
      <c r="CK716">
        <v>1</v>
      </c>
      <c r="CL716">
        <v>0</v>
      </c>
      <c r="CM716">
        <v>1</v>
      </c>
      <c r="CN716">
        <v>650</v>
      </c>
      <c r="CO716">
        <v>80</v>
      </c>
      <c r="CP716">
        <v>0</v>
      </c>
      <c r="CQ716">
        <v>1</v>
      </c>
      <c r="CR716">
        <v>11000002</v>
      </c>
      <c r="CS716">
        <v>0</v>
      </c>
      <c r="CT716">
        <v>0</v>
      </c>
      <c r="CU716">
        <v>0</v>
      </c>
      <c r="CV716" t="s">
        <v>355</v>
      </c>
      <c r="CW716"/>
      <c r="CZ716"/>
      <c r="DA716"/>
      <c r="DB716"/>
      <c r="DC716"/>
      <c r="DD716"/>
      <c r="DE716"/>
      <c r="DF716"/>
      <c r="DG716"/>
      <c r="DH716"/>
      <c r="DI716"/>
      <c r="DJ716"/>
      <c r="DK716"/>
      <c r="DL716"/>
      <c r="DM716"/>
      <c r="DN716"/>
      <c r="DO716"/>
      <c r="DP716"/>
      <c r="DQ716"/>
      <c r="DR716"/>
      <c r="DS716"/>
      <c r="DT716"/>
      <c r="DU716"/>
      <c r="DV716"/>
      <c r="DW716"/>
      <c r="DX716"/>
      <c r="DY716"/>
      <c r="DZ716"/>
      <c r="EA716"/>
      <c r="EB716"/>
      <c r="EC716"/>
      <c r="ED716"/>
      <c r="EE716"/>
      <c r="EF716"/>
      <c r="EG716"/>
      <c r="EH716"/>
      <c r="EI716"/>
      <c r="EJ716"/>
      <c r="EK716"/>
      <c r="EL716"/>
      <c r="EM716"/>
      <c r="EN716"/>
      <c r="EO716"/>
      <c r="EP716"/>
      <c r="EQ716"/>
      <c r="ER716"/>
      <c r="ES716"/>
      <c r="ET716"/>
      <c r="EU716"/>
      <c r="EV716"/>
      <c r="EW716"/>
      <c r="EX716"/>
      <c r="EY716"/>
      <c r="EZ716"/>
      <c r="FA716"/>
      <c r="FB716"/>
      <c r="FC716"/>
      <c r="FD716"/>
      <c r="FE716"/>
      <c r="FF716"/>
      <c r="FG716"/>
      <c r="FH716"/>
      <c r="FI716"/>
      <c r="FJ716"/>
      <c r="FK716"/>
      <c r="FL716"/>
      <c r="FM716"/>
      <c r="FN716"/>
      <c r="FO716"/>
      <c r="FP716"/>
      <c r="FQ716"/>
      <c r="FR716"/>
      <c r="FS716"/>
      <c r="FT716"/>
      <c r="FU716"/>
      <c r="FV716"/>
      <c r="FW716"/>
      <c r="FX716"/>
      <c r="FY716"/>
      <c r="FZ716"/>
      <c r="GA716"/>
      <c r="GB716"/>
      <c r="GC716"/>
      <c r="GD716"/>
      <c r="GE716"/>
      <c r="GF716"/>
      <c r="GG716"/>
      <c r="GH716"/>
      <c r="GI716"/>
      <c r="GJ716"/>
      <c r="GK716"/>
      <c r="GL716"/>
      <c r="GM716"/>
      <c r="GN716"/>
      <c r="GO716"/>
      <c r="GP716"/>
      <c r="GQ716"/>
      <c r="GR716"/>
      <c r="GS716"/>
      <c r="GT716"/>
      <c r="GU716"/>
      <c r="GV716"/>
      <c r="GW716"/>
      <c r="GX716" s="1">
        <v>1480</v>
      </c>
      <c r="GY716" s="1">
        <v>0</v>
      </c>
      <c r="GZ716" s="1" t="s">
        <v>359</v>
      </c>
      <c r="HA716" s="1">
        <v>0</v>
      </c>
      <c r="HD716" s="1">
        <v>1</v>
      </c>
      <c r="HE716">
        <v>1500</v>
      </c>
      <c r="HF716" s="1" t="b">
        <v>1</v>
      </c>
      <c r="HG716" s="1">
        <v>0</v>
      </c>
      <c r="HH716" s="1">
        <v>0</v>
      </c>
      <c r="HI716" s="1">
        <v>0</v>
      </c>
      <c r="HJ716" s="1">
        <v>0</v>
      </c>
      <c r="HK716" s="1" t="b">
        <v>0</v>
      </c>
      <c r="HM716" s="1">
        <v>10001</v>
      </c>
      <c r="HO716" s="1" t="s">
        <v>360</v>
      </c>
      <c r="HP716" s="1">
        <v>0</v>
      </c>
      <c r="HQ716" s="1">
        <v>0</v>
      </c>
      <c r="HR716" s="1">
        <v>0</v>
      </c>
      <c r="HT716" t="b">
        <v>1</v>
      </c>
    </row>
    <row r="717" spans="1:228">
      <c r="B717" s="1">
        <v>11000243</v>
      </c>
      <c r="C717" s="1" t="s">
        <v>548</v>
      </c>
      <c r="D717" s="1" t="s">
        <v>548</v>
      </c>
      <c r="E717" s="1" t="s">
        <v>360</v>
      </c>
      <c r="F717" s="1" t="s">
        <v>360</v>
      </c>
      <c r="G717" s="1">
        <v>0</v>
      </c>
      <c r="H717" s="1" t="b">
        <v>0</v>
      </c>
      <c r="I717" s="1">
        <v>1</v>
      </c>
      <c r="J717" s="1">
        <v>110000</v>
      </c>
      <c r="K717" s="1" t="s">
        <v>350</v>
      </c>
      <c r="M717" s="1">
        <v>0</v>
      </c>
      <c r="N717" s="1" t="s">
        <v>533</v>
      </c>
      <c r="O717" s="1">
        <v>0</v>
      </c>
      <c r="P717" s="1">
        <v>0</v>
      </c>
      <c r="Q717" s="1">
        <v>0</v>
      </c>
      <c r="R717" s="1">
        <v>0</v>
      </c>
      <c r="T717" s="1">
        <v>0</v>
      </c>
      <c r="V717" s="1">
        <v>600</v>
      </c>
      <c r="W717" s="1">
        <v>0</v>
      </c>
      <c r="X717" s="1" t="s">
        <v>352</v>
      </c>
      <c r="Y717" s="1" t="s">
        <v>376</v>
      </c>
      <c r="Z717" s="1" t="s">
        <v>354</v>
      </c>
      <c r="AA717" s="1">
        <v>0</v>
      </c>
      <c r="AB717" s="1">
        <v>1</v>
      </c>
      <c r="AC717" s="1">
        <v>0</v>
      </c>
      <c r="AD717" s="1" t="s">
        <v>355</v>
      </c>
      <c r="AY717" s="1" t="s">
        <v>356</v>
      </c>
      <c r="AZ717" s="1">
        <v>10000</v>
      </c>
      <c r="BA717" s="1" t="s">
        <v>371</v>
      </c>
      <c r="BB717" s="1" t="s">
        <v>354</v>
      </c>
      <c r="BC717" s="1">
        <v>10000</v>
      </c>
      <c r="BD717" s="1">
        <v>0</v>
      </c>
      <c r="BE717" s="1" t="s">
        <v>358</v>
      </c>
      <c r="BF717" s="1">
        <v>0</v>
      </c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  <c r="CA717"/>
      <c r="CB717"/>
      <c r="CC717"/>
      <c r="CD717"/>
      <c r="CE717"/>
      <c r="CF717">
        <v>30063</v>
      </c>
      <c r="CG717" t="s">
        <v>366</v>
      </c>
      <c r="CH717">
        <v>900</v>
      </c>
      <c r="CI717">
        <v>80</v>
      </c>
      <c r="CJ717" t="s">
        <v>373</v>
      </c>
      <c r="CK717">
        <v>1</v>
      </c>
      <c r="CL717">
        <v>0</v>
      </c>
      <c r="CM717">
        <v>1</v>
      </c>
      <c r="CN717">
        <v>650</v>
      </c>
      <c r="CO717">
        <v>80</v>
      </c>
      <c r="CP717">
        <v>0</v>
      </c>
      <c r="CQ717">
        <v>1</v>
      </c>
      <c r="CR717">
        <v>11000002</v>
      </c>
      <c r="CS717">
        <v>0</v>
      </c>
      <c r="CT717">
        <v>0</v>
      </c>
      <c r="CU717">
        <v>0</v>
      </c>
      <c r="CV717" t="s">
        <v>355</v>
      </c>
      <c r="CW717"/>
      <c r="CZ717"/>
      <c r="DA717"/>
      <c r="DB717"/>
      <c r="DC717"/>
      <c r="DD717"/>
      <c r="DE717"/>
      <c r="DF717"/>
      <c r="DG717"/>
      <c r="DH717"/>
      <c r="DI717"/>
      <c r="DJ717"/>
      <c r="DK717"/>
      <c r="DL717"/>
      <c r="DM717"/>
      <c r="DN717"/>
      <c r="DO717"/>
      <c r="DP717"/>
      <c r="DQ717"/>
      <c r="DR717"/>
      <c r="DS717"/>
      <c r="DT717"/>
      <c r="DU717"/>
      <c r="DV717"/>
      <c r="DW717"/>
      <c r="DX717"/>
      <c r="DY717"/>
      <c r="DZ717"/>
      <c r="EA717"/>
      <c r="EB717"/>
      <c r="EC717"/>
      <c r="ED717"/>
      <c r="EE717"/>
      <c r="EF717"/>
      <c r="EG717"/>
      <c r="EH717"/>
      <c r="EI717"/>
      <c r="EJ717"/>
      <c r="EK717"/>
      <c r="EL717"/>
      <c r="EM717"/>
      <c r="EN717"/>
      <c r="EO717"/>
      <c r="EP717"/>
      <c r="EQ717"/>
      <c r="ER717"/>
      <c r="ES717"/>
      <c r="ET717"/>
      <c r="EU717"/>
      <c r="EV717"/>
      <c r="EW717"/>
      <c r="EX717"/>
      <c r="EY717"/>
      <c r="EZ717"/>
      <c r="FA717"/>
      <c r="FB717"/>
      <c r="FC717"/>
      <c r="FD717"/>
      <c r="FE717"/>
      <c r="FF717"/>
      <c r="FG717"/>
      <c r="FH717"/>
      <c r="FI717"/>
      <c r="FJ717"/>
      <c r="FK717"/>
      <c r="FL717"/>
      <c r="FM717"/>
      <c r="FN717"/>
      <c r="FO717"/>
      <c r="FP717"/>
      <c r="FQ717"/>
      <c r="FR717"/>
      <c r="FS717"/>
      <c r="FT717"/>
      <c r="FU717"/>
      <c r="FV717"/>
      <c r="FW717"/>
      <c r="FX717"/>
      <c r="FY717"/>
      <c r="FZ717"/>
      <c r="GA717"/>
      <c r="GB717"/>
      <c r="GC717"/>
      <c r="GD717"/>
      <c r="GE717"/>
      <c r="GF717"/>
      <c r="GG717"/>
      <c r="GH717"/>
      <c r="GI717"/>
      <c r="GJ717"/>
      <c r="GK717"/>
      <c r="GL717"/>
      <c r="GM717"/>
      <c r="GN717"/>
      <c r="GO717"/>
      <c r="GP717"/>
      <c r="GQ717"/>
      <c r="GR717"/>
      <c r="GS717"/>
      <c r="GT717"/>
      <c r="GU717"/>
      <c r="GV717"/>
      <c r="GW717"/>
      <c r="GX717" s="1">
        <v>1400</v>
      </c>
      <c r="GY717" s="1">
        <v>0</v>
      </c>
      <c r="GZ717" s="1" t="s">
        <v>359</v>
      </c>
      <c r="HA717" s="1">
        <v>0</v>
      </c>
      <c r="HD717" s="1">
        <v>1</v>
      </c>
      <c r="HE717">
        <v>1500</v>
      </c>
      <c r="HF717" s="1" t="b">
        <v>1</v>
      </c>
      <c r="HG717" s="1">
        <v>0</v>
      </c>
      <c r="HH717" s="1">
        <v>0</v>
      </c>
      <c r="HI717" s="1">
        <v>0</v>
      </c>
      <c r="HJ717" s="1">
        <v>0</v>
      </c>
      <c r="HK717" s="1" t="b">
        <v>0</v>
      </c>
      <c r="HM717" s="1">
        <v>10001</v>
      </c>
      <c r="HO717" s="1" t="s">
        <v>360</v>
      </c>
      <c r="HP717" s="1">
        <v>0</v>
      </c>
      <c r="HQ717" s="1">
        <v>0</v>
      </c>
      <c r="HR717" s="1">
        <v>0</v>
      </c>
      <c r="HT717" t="b">
        <v>1</v>
      </c>
    </row>
    <row r="718" spans="1:228">
      <c r="B718" s="1">
        <v>11000244</v>
      </c>
      <c r="C718" s="1" t="s">
        <v>549</v>
      </c>
      <c r="D718" s="1" t="s">
        <v>549</v>
      </c>
      <c r="E718" s="1" t="s">
        <v>360</v>
      </c>
      <c r="F718" s="1" t="s">
        <v>360</v>
      </c>
      <c r="G718" s="1">
        <v>0</v>
      </c>
      <c r="H718" s="1" t="b">
        <v>0</v>
      </c>
      <c r="I718" s="1">
        <v>1</v>
      </c>
      <c r="J718" s="1">
        <v>110000</v>
      </c>
      <c r="K718" s="1" t="s">
        <v>350</v>
      </c>
      <c r="M718" s="1">
        <v>0</v>
      </c>
      <c r="N718" s="1" t="s">
        <v>533</v>
      </c>
      <c r="O718" s="1">
        <v>0</v>
      </c>
      <c r="P718" s="1">
        <v>0</v>
      </c>
      <c r="Q718" s="1">
        <v>0</v>
      </c>
      <c r="R718" s="1">
        <v>0</v>
      </c>
      <c r="T718" s="1">
        <v>0</v>
      </c>
      <c r="V718" s="1">
        <v>600</v>
      </c>
      <c r="W718" s="1">
        <v>0</v>
      </c>
      <c r="X718" s="1" t="s">
        <v>352</v>
      </c>
      <c r="Y718" s="1" t="s">
        <v>376</v>
      </c>
      <c r="Z718" s="1" t="s">
        <v>354</v>
      </c>
      <c r="AA718" s="1">
        <v>0</v>
      </c>
      <c r="AB718" s="1">
        <v>1</v>
      </c>
      <c r="AC718" s="1">
        <v>0</v>
      </c>
      <c r="AD718" s="1" t="s">
        <v>355</v>
      </c>
      <c r="AY718" s="1" t="s">
        <v>356</v>
      </c>
      <c r="AZ718" s="1">
        <v>10000</v>
      </c>
      <c r="BA718" s="1" t="s">
        <v>371</v>
      </c>
      <c r="BB718" s="1" t="s">
        <v>354</v>
      </c>
      <c r="BC718" s="1">
        <v>10000</v>
      </c>
      <c r="BD718" s="1">
        <v>0</v>
      </c>
      <c r="BE718" s="1" t="s">
        <v>358</v>
      </c>
      <c r="BF718" s="1">
        <v>0</v>
      </c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  <c r="CA718"/>
      <c r="CB718"/>
      <c r="CC718"/>
      <c r="CD718"/>
      <c r="CE718"/>
      <c r="CF718">
        <v>30064</v>
      </c>
      <c r="CG718" t="s">
        <v>366</v>
      </c>
      <c r="CH718">
        <v>900</v>
      </c>
      <c r="CI718">
        <v>80</v>
      </c>
      <c r="CJ718" t="s">
        <v>373</v>
      </c>
      <c r="CK718">
        <v>1</v>
      </c>
      <c r="CL718">
        <v>0</v>
      </c>
      <c r="CM718">
        <v>1</v>
      </c>
      <c r="CN718">
        <v>650</v>
      </c>
      <c r="CO718">
        <v>80</v>
      </c>
      <c r="CP718">
        <v>0</v>
      </c>
      <c r="CQ718">
        <v>1</v>
      </c>
      <c r="CR718">
        <v>11000002</v>
      </c>
      <c r="CS718">
        <v>0</v>
      </c>
      <c r="CT718">
        <v>0</v>
      </c>
      <c r="CU718">
        <v>0</v>
      </c>
      <c r="CV718" t="s">
        <v>355</v>
      </c>
      <c r="CW718"/>
      <c r="CZ718"/>
      <c r="DA718"/>
      <c r="DB718"/>
      <c r="DC718"/>
      <c r="DD718"/>
      <c r="DE718"/>
      <c r="DF718"/>
      <c r="DG718"/>
      <c r="DH718"/>
      <c r="DI718"/>
      <c r="DJ718"/>
      <c r="DK718"/>
      <c r="DL718"/>
      <c r="DM718"/>
      <c r="DN718"/>
      <c r="DO718"/>
      <c r="DP718"/>
      <c r="DQ718"/>
      <c r="DR718"/>
      <c r="DS718"/>
      <c r="DT718"/>
      <c r="DU718"/>
      <c r="DV718"/>
      <c r="DW718"/>
      <c r="DX718"/>
      <c r="DY718"/>
      <c r="DZ718"/>
      <c r="EA718"/>
      <c r="EB718"/>
      <c r="EC718"/>
      <c r="ED718"/>
      <c r="EE718"/>
      <c r="EF718"/>
      <c r="EG718"/>
      <c r="EH718"/>
      <c r="EI718"/>
      <c r="EJ718"/>
      <c r="EK718"/>
      <c r="EL718"/>
      <c r="EM718"/>
      <c r="EN718"/>
      <c r="EO718"/>
      <c r="EP718"/>
      <c r="EQ718"/>
      <c r="ER718"/>
      <c r="ES718"/>
      <c r="ET718"/>
      <c r="EU718"/>
      <c r="EV718"/>
      <c r="EW718"/>
      <c r="EX718"/>
      <c r="EY718"/>
      <c r="EZ718"/>
      <c r="FA718"/>
      <c r="FB718"/>
      <c r="FC718"/>
      <c r="FD718"/>
      <c r="FE718"/>
      <c r="FF718"/>
      <c r="FG718"/>
      <c r="FH718"/>
      <c r="FI718"/>
      <c r="FJ718"/>
      <c r="FK718"/>
      <c r="FL718"/>
      <c r="FM718"/>
      <c r="FN718"/>
      <c r="FO718"/>
      <c r="FP718"/>
      <c r="FQ718"/>
      <c r="FR718"/>
      <c r="FS718"/>
      <c r="FT718"/>
      <c r="FU718"/>
      <c r="FV718"/>
      <c r="FW718"/>
      <c r="FX718"/>
      <c r="FY718"/>
      <c r="FZ718"/>
      <c r="GA718"/>
      <c r="GB718"/>
      <c r="GC718"/>
      <c r="GD718"/>
      <c r="GE718"/>
      <c r="GF718"/>
      <c r="GG718"/>
      <c r="GH718"/>
      <c r="GI718"/>
      <c r="GJ718"/>
      <c r="GK718"/>
      <c r="GL718"/>
      <c r="GM718"/>
      <c r="GN718"/>
      <c r="GO718"/>
      <c r="GP718"/>
      <c r="GQ718"/>
      <c r="GR718"/>
      <c r="GS718"/>
      <c r="GT718"/>
      <c r="GU718"/>
      <c r="GV718"/>
      <c r="GW718"/>
      <c r="GX718" s="1">
        <v>1600</v>
      </c>
      <c r="GY718" s="1">
        <v>0</v>
      </c>
      <c r="GZ718" s="1" t="s">
        <v>359</v>
      </c>
      <c r="HA718" s="1">
        <v>0</v>
      </c>
      <c r="HD718" s="1">
        <v>1</v>
      </c>
      <c r="HE718">
        <v>1500</v>
      </c>
      <c r="HF718" s="1" t="b">
        <v>1</v>
      </c>
      <c r="HG718" s="1">
        <v>0</v>
      </c>
      <c r="HH718" s="1">
        <v>0</v>
      </c>
      <c r="HI718" s="1">
        <v>0</v>
      </c>
      <c r="HJ718" s="1">
        <v>0</v>
      </c>
      <c r="HK718" s="1" t="b">
        <v>0</v>
      </c>
      <c r="HM718" s="1">
        <v>10001</v>
      </c>
      <c r="HO718" s="1" t="s">
        <v>360</v>
      </c>
      <c r="HP718" s="1">
        <v>0</v>
      </c>
      <c r="HQ718" s="1">
        <v>0</v>
      </c>
      <c r="HR718" s="1">
        <v>0</v>
      </c>
      <c r="HT718" t="b">
        <v>1</v>
      </c>
    </row>
    <row r="719" spans="1:228">
      <c r="B719" s="1">
        <v>11000245</v>
      </c>
      <c r="C719" s="1" t="s">
        <v>550</v>
      </c>
      <c r="D719" s="1" t="s">
        <v>550</v>
      </c>
      <c r="E719" s="1" t="s">
        <v>360</v>
      </c>
      <c r="F719" s="1" t="s">
        <v>360</v>
      </c>
      <c r="G719" s="1">
        <v>0</v>
      </c>
      <c r="H719" s="1" t="b">
        <v>0</v>
      </c>
      <c r="I719" s="1">
        <v>1</v>
      </c>
      <c r="J719" s="1">
        <v>110000</v>
      </c>
      <c r="K719" s="1" t="s">
        <v>350</v>
      </c>
      <c r="M719" s="1">
        <v>0</v>
      </c>
      <c r="N719" s="1" t="s">
        <v>533</v>
      </c>
      <c r="O719" s="1">
        <v>0</v>
      </c>
      <c r="P719" s="1">
        <v>0</v>
      </c>
      <c r="Q719" s="1">
        <v>0</v>
      </c>
      <c r="R719" s="1">
        <v>0</v>
      </c>
      <c r="T719" s="1">
        <v>0</v>
      </c>
      <c r="V719" s="1">
        <v>600</v>
      </c>
      <c r="W719" s="1">
        <v>0</v>
      </c>
      <c r="X719" s="1" t="s">
        <v>352</v>
      </c>
      <c r="Y719" s="1" t="s">
        <v>376</v>
      </c>
      <c r="Z719" s="1" t="s">
        <v>354</v>
      </c>
      <c r="AA719" s="1">
        <v>0</v>
      </c>
      <c r="AB719" s="1">
        <v>1</v>
      </c>
      <c r="AC719" s="1">
        <v>0</v>
      </c>
      <c r="AD719" s="1" t="s">
        <v>355</v>
      </c>
      <c r="AY719" s="1" t="s">
        <v>356</v>
      </c>
      <c r="AZ719" s="1">
        <v>10000</v>
      </c>
      <c r="BA719" s="1" t="s">
        <v>371</v>
      </c>
      <c r="BB719" s="1" t="s">
        <v>354</v>
      </c>
      <c r="BC719" s="1">
        <v>10000</v>
      </c>
      <c r="BD719" s="1">
        <v>0</v>
      </c>
      <c r="BE719" s="1" t="s">
        <v>358</v>
      </c>
      <c r="BF719" s="1">
        <v>0</v>
      </c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>
        <v>30065</v>
      </c>
      <c r="CG719" t="s">
        <v>366</v>
      </c>
      <c r="CH719">
        <v>900</v>
      </c>
      <c r="CI719">
        <v>80</v>
      </c>
      <c r="CJ719" t="s">
        <v>373</v>
      </c>
      <c r="CK719">
        <v>1</v>
      </c>
      <c r="CL719">
        <v>0</v>
      </c>
      <c r="CM719">
        <v>1</v>
      </c>
      <c r="CN719">
        <v>650</v>
      </c>
      <c r="CO719">
        <v>80</v>
      </c>
      <c r="CP719">
        <v>0</v>
      </c>
      <c r="CQ719">
        <v>1</v>
      </c>
      <c r="CR719">
        <v>11000002</v>
      </c>
      <c r="CS719">
        <v>0</v>
      </c>
      <c r="CT719">
        <v>0</v>
      </c>
      <c r="CU719">
        <v>0</v>
      </c>
      <c r="CV719" t="s">
        <v>355</v>
      </c>
      <c r="CW719"/>
      <c r="CZ719"/>
      <c r="DA719"/>
      <c r="DB719"/>
      <c r="DC719"/>
      <c r="DD719"/>
      <c r="DE719"/>
      <c r="DF719"/>
      <c r="DG719"/>
      <c r="DH719"/>
      <c r="DI719"/>
      <c r="DJ719"/>
      <c r="DK719"/>
      <c r="DL719"/>
      <c r="DM719"/>
      <c r="DN719"/>
      <c r="DO719"/>
      <c r="DP719"/>
      <c r="DQ719"/>
      <c r="DR719"/>
      <c r="DS719"/>
      <c r="DT719"/>
      <c r="DU719"/>
      <c r="DV719"/>
      <c r="DW719"/>
      <c r="DX719"/>
      <c r="DY719"/>
      <c r="DZ719"/>
      <c r="EA719"/>
      <c r="EB719"/>
      <c r="EC719"/>
      <c r="ED719"/>
      <c r="EE719"/>
      <c r="EF719"/>
      <c r="EG719"/>
      <c r="EH719"/>
      <c r="EI719"/>
      <c r="EJ719"/>
      <c r="EK719"/>
      <c r="EL719"/>
      <c r="EM719"/>
      <c r="EN719"/>
      <c r="EO719"/>
      <c r="EP719"/>
      <c r="EQ719"/>
      <c r="ER719"/>
      <c r="ES719"/>
      <c r="ET719"/>
      <c r="EU719"/>
      <c r="EV719"/>
      <c r="EW719"/>
      <c r="EX719"/>
      <c r="EY719"/>
      <c r="EZ719"/>
      <c r="FA719"/>
      <c r="FB719"/>
      <c r="FC719"/>
      <c r="FD719"/>
      <c r="FE719"/>
      <c r="FF719"/>
      <c r="FG719"/>
      <c r="FH719"/>
      <c r="FI719"/>
      <c r="FJ719"/>
      <c r="FK719"/>
      <c r="FL719"/>
      <c r="FM719"/>
      <c r="FN719"/>
      <c r="FO719"/>
      <c r="FP719"/>
      <c r="FQ719"/>
      <c r="FR719"/>
      <c r="FS719"/>
      <c r="FT719"/>
      <c r="FU719"/>
      <c r="FV719"/>
      <c r="FW719"/>
      <c r="FX719"/>
      <c r="FY719"/>
      <c r="FZ719"/>
      <c r="GA719"/>
      <c r="GB719"/>
      <c r="GC719"/>
      <c r="GD719"/>
      <c r="GE719"/>
      <c r="GF719"/>
      <c r="GG719"/>
      <c r="GH719"/>
      <c r="GI719"/>
      <c r="GJ719"/>
      <c r="GK719"/>
      <c r="GL719"/>
      <c r="GM719"/>
      <c r="GN719"/>
      <c r="GO719"/>
      <c r="GP719"/>
      <c r="GQ719"/>
      <c r="GR719"/>
      <c r="GS719"/>
      <c r="GT719"/>
      <c r="GU719"/>
      <c r="GV719"/>
      <c r="GW719"/>
      <c r="GX719" s="1">
        <v>2140</v>
      </c>
      <c r="GY719" s="1">
        <v>0</v>
      </c>
      <c r="GZ719" s="1" t="s">
        <v>359</v>
      </c>
      <c r="HA719" s="1">
        <v>0</v>
      </c>
      <c r="HD719" s="1">
        <v>1</v>
      </c>
      <c r="HE719">
        <v>1500</v>
      </c>
      <c r="HF719" s="1" t="b">
        <v>1</v>
      </c>
      <c r="HG719" s="1">
        <v>0</v>
      </c>
      <c r="HH719" s="1">
        <v>0</v>
      </c>
      <c r="HI719" s="1">
        <v>0</v>
      </c>
      <c r="HJ719" s="1">
        <v>0</v>
      </c>
      <c r="HK719" s="1" t="b">
        <v>0</v>
      </c>
      <c r="HM719" s="1">
        <v>10001</v>
      </c>
      <c r="HO719" s="1" t="s">
        <v>360</v>
      </c>
      <c r="HP719" s="1">
        <v>0</v>
      </c>
      <c r="HQ719" s="1">
        <v>0</v>
      </c>
      <c r="HR719" s="1">
        <v>0</v>
      </c>
      <c r="HT719" t="b">
        <v>1</v>
      </c>
    </row>
    <row r="720" spans="1:228">
      <c r="B720" s="1">
        <v>11000246</v>
      </c>
      <c r="C720" s="1" t="s">
        <v>551</v>
      </c>
      <c r="D720" s="1" t="s">
        <v>551</v>
      </c>
      <c r="E720" s="1" t="s">
        <v>360</v>
      </c>
      <c r="F720" s="1" t="s">
        <v>360</v>
      </c>
      <c r="G720" s="1">
        <v>0</v>
      </c>
      <c r="H720" s="1" t="b">
        <v>0</v>
      </c>
      <c r="I720" s="1">
        <v>1</v>
      </c>
      <c r="J720" s="1">
        <v>110000</v>
      </c>
      <c r="K720" s="1" t="s">
        <v>350</v>
      </c>
      <c r="M720" s="1">
        <v>0</v>
      </c>
      <c r="N720" s="1" t="s">
        <v>533</v>
      </c>
      <c r="O720" s="1">
        <v>0</v>
      </c>
      <c r="P720" s="1">
        <v>0</v>
      </c>
      <c r="Q720" s="1">
        <v>0</v>
      </c>
      <c r="R720" s="1">
        <v>0</v>
      </c>
      <c r="T720" s="1">
        <v>0</v>
      </c>
      <c r="V720" s="1">
        <v>600</v>
      </c>
      <c r="W720" s="1">
        <v>0</v>
      </c>
      <c r="X720" s="1" t="s">
        <v>352</v>
      </c>
      <c r="Y720" s="1" t="s">
        <v>376</v>
      </c>
      <c r="Z720" s="1" t="s">
        <v>354</v>
      </c>
      <c r="AA720" s="1">
        <v>0</v>
      </c>
      <c r="AB720" s="1">
        <v>1</v>
      </c>
      <c r="AC720" s="1">
        <v>0</v>
      </c>
      <c r="AD720" s="1" t="s">
        <v>355</v>
      </c>
      <c r="AY720" s="1" t="s">
        <v>356</v>
      </c>
      <c r="AZ720" s="1">
        <v>10000</v>
      </c>
      <c r="BA720" s="1" t="s">
        <v>371</v>
      </c>
      <c r="BB720" s="1" t="s">
        <v>354</v>
      </c>
      <c r="BC720" s="1">
        <v>10000</v>
      </c>
      <c r="BD720" s="1">
        <v>0</v>
      </c>
      <c r="BE720" s="1" t="s">
        <v>358</v>
      </c>
      <c r="BF720" s="1">
        <v>0</v>
      </c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  <c r="CA720"/>
      <c r="CB720"/>
      <c r="CC720"/>
      <c r="CD720"/>
      <c r="CE720"/>
      <c r="CF720">
        <v>30066</v>
      </c>
      <c r="CG720" t="s">
        <v>366</v>
      </c>
      <c r="CH720">
        <v>900</v>
      </c>
      <c r="CI720">
        <v>80</v>
      </c>
      <c r="CJ720" t="s">
        <v>373</v>
      </c>
      <c r="CK720">
        <v>1</v>
      </c>
      <c r="CL720">
        <v>0</v>
      </c>
      <c r="CM720">
        <v>1</v>
      </c>
      <c r="CN720">
        <v>650</v>
      </c>
      <c r="CO720">
        <v>80</v>
      </c>
      <c r="CP720">
        <v>0</v>
      </c>
      <c r="CQ720">
        <v>1</v>
      </c>
      <c r="CR720">
        <v>11000002</v>
      </c>
      <c r="CS720">
        <v>0</v>
      </c>
      <c r="CT720">
        <v>0</v>
      </c>
      <c r="CU720">
        <v>0</v>
      </c>
      <c r="CV720" t="s">
        <v>355</v>
      </c>
      <c r="CW720"/>
      <c r="CZ720"/>
      <c r="DA720"/>
      <c r="DB720"/>
      <c r="DC720"/>
      <c r="DD720"/>
      <c r="DE720"/>
      <c r="DF720"/>
      <c r="DG720"/>
      <c r="DH720"/>
      <c r="DI720"/>
      <c r="DJ720"/>
      <c r="DK720"/>
      <c r="DL720"/>
      <c r="DM720"/>
      <c r="DN720"/>
      <c r="DO720"/>
      <c r="DP720"/>
      <c r="DQ720"/>
      <c r="DR720"/>
      <c r="DS720"/>
      <c r="DT720"/>
      <c r="DU720"/>
      <c r="DV720"/>
      <c r="DW720"/>
      <c r="DX720"/>
      <c r="DY720"/>
      <c r="DZ720"/>
      <c r="EA720"/>
      <c r="EB720"/>
      <c r="EC720"/>
      <c r="ED720"/>
      <c r="EE720"/>
      <c r="EF720"/>
      <c r="EG720"/>
      <c r="EH720"/>
      <c r="EI720"/>
      <c r="EJ720"/>
      <c r="EK720"/>
      <c r="EL720"/>
      <c r="EM720"/>
      <c r="EN720"/>
      <c r="EO720"/>
      <c r="EP720"/>
      <c r="EQ720"/>
      <c r="ER720"/>
      <c r="ES720"/>
      <c r="ET720"/>
      <c r="EU720"/>
      <c r="EV720"/>
      <c r="EW720"/>
      <c r="EX720"/>
      <c r="EY720"/>
      <c r="EZ720"/>
      <c r="FA720"/>
      <c r="FB720"/>
      <c r="FC720"/>
      <c r="FD720"/>
      <c r="FE720"/>
      <c r="FF720"/>
      <c r="FG720"/>
      <c r="FH720"/>
      <c r="FI720"/>
      <c r="FJ720"/>
      <c r="FK720"/>
      <c r="FL720"/>
      <c r="FM720"/>
      <c r="FN720"/>
      <c r="FO720"/>
      <c r="FP720"/>
      <c r="FQ720"/>
      <c r="FR720"/>
      <c r="FS720"/>
      <c r="FT720"/>
      <c r="FU720"/>
      <c r="FV720"/>
      <c r="FW720"/>
      <c r="FX720"/>
      <c r="FY720"/>
      <c r="FZ720"/>
      <c r="GA720"/>
      <c r="GB720"/>
      <c r="GC720"/>
      <c r="GD720"/>
      <c r="GE720"/>
      <c r="GF720"/>
      <c r="GG720"/>
      <c r="GH720"/>
      <c r="GI720"/>
      <c r="GJ720"/>
      <c r="GK720"/>
      <c r="GL720"/>
      <c r="GM720"/>
      <c r="GN720"/>
      <c r="GO720"/>
      <c r="GP720"/>
      <c r="GQ720"/>
      <c r="GR720"/>
      <c r="GS720"/>
      <c r="GT720"/>
      <c r="GU720"/>
      <c r="GV720"/>
      <c r="GW720"/>
      <c r="GX720" s="1">
        <v>1340</v>
      </c>
      <c r="GY720" s="1">
        <v>0</v>
      </c>
      <c r="GZ720" s="1" t="s">
        <v>359</v>
      </c>
      <c r="HA720" s="1">
        <v>0</v>
      </c>
      <c r="HD720" s="1">
        <v>1</v>
      </c>
      <c r="HE720">
        <v>1500</v>
      </c>
      <c r="HF720" s="1" t="b">
        <v>1</v>
      </c>
      <c r="HG720" s="1">
        <v>0</v>
      </c>
      <c r="HH720" s="1">
        <v>0</v>
      </c>
      <c r="HI720" s="1">
        <v>0</v>
      </c>
      <c r="HJ720" s="1">
        <v>0</v>
      </c>
      <c r="HK720" s="1" t="b">
        <v>0</v>
      </c>
      <c r="HM720" s="1">
        <v>10001</v>
      </c>
      <c r="HO720" s="1" t="s">
        <v>360</v>
      </c>
      <c r="HP720" s="1">
        <v>0</v>
      </c>
      <c r="HQ720" s="1">
        <v>0</v>
      </c>
      <c r="HR720" s="1">
        <v>0</v>
      </c>
      <c r="HT720" t="b">
        <v>1</v>
      </c>
    </row>
    <row r="721" spans="2:228">
      <c r="B721" s="1">
        <v>11000247</v>
      </c>
      <c r="C721" s="1" t="s">
        <v>552</v>
      </c>
      <c r="D721" s="1" t="s">
        <v>552</v>
      </c>
      <c r="E721" s="1" t="s">
        <v>360</v>
      </c>
      <c r="F721" s="1" t="s">
        <v>360</v>
      </c>
      <c r="G721" s="1">
        <v>0</v>
      </c>
      <c r="H721" s="1" t="b">
        <v>0</v>
      </c>
      <c r="I721" s="1">
        <v>1</v>
      </c>
      <c r="J721" s="1">
        <v>110000</v>
      </c>
      <c r="K721" s="1" t="s">
        <v>350</v>
      </c>
      <c r="M721" s="1">
        <v>0</v>
      </c>
      <c r="N721" s="1" t="s">
        <v>533</v>
      </c>
      <c r="O721" s="1">
        <v>0</v>
      </c>
      <c r="P721" s="1">
        <v>0</v>
      </c>
      <c r="Q721" s="1">
        <v>0</v>
      </c>
      <c r="R721" s="1">
        <v>0</v>
      </c>
      <c r="T721" s="1">
        <v>0</v>
      </c>
      <c r="V721" s="1">
        <v>600</v>
      </c>
      <c r="W721" s="1">
        <v>0</v>
      </c>
      <c r="X721" s="1" t="s">
        <v>352</v>
      </c>
      <c r="Y721" s="1" t="s">
        <v>376</v>
      </c>
      <c r="Z721" s="1" t="s">
        <v>354</v>
      </c>
      <c r="AA721" s="1">
        <v>0</v>
      </c>
      <c r="AB721" s="1">
        <v>1</v>
      </c>
      <c r="AC721" s="1">
        <v>0</v>
      </c>
      <c r="AD721" s="1" t="s">
        <v>355</v>
      </c>
      <c r="AY721" s="1" t="s">
        <v>356</v>
      </c>
      <c r="AZ721" s="1">
        <v>10000</v>
      </c>
      <c r="BA721" s="1" t="s">
        <v>371</v>
      </c>
      <c r="BB721" s="1" t="s">
        <v>354</v>
      </c>
      <c r="BC721" s="1">
        <v>10000</v>
      </c>
      <c r="BD721" s="1">
        <v>0</v>
      </c>
      <c r="BE721" s="1" t="s">
        <v>358</v>
      </c>
      <c r="BF721" s="1">
        <v>0</v>
      </c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>
        <v>30067</v>
      </c>
      <c r="CG721" t="s">
        <v>366</v>
      </c>
      <c r="CH721">
        <v>900</v>
      </c>
      <c r="CI721">
        <v>80</v>
      </c>
      <c r="CJ721" t="s">
        <v>373</v>
      </c>
      <c r="CK721">
        <v>1</v>
      </c>
      <c r="CL721">
        <v>0</v>
      </c>
      <c r="CM721">
        <v>1</v>
      </c>
      <c r="CN721">
        <v>650</v>
      </c>
      <c r="CO721">
        <v>80</v>
      </c>
      <c r="CP721">
        <v>0</v>
      </c>
      <c r="CQ721">
        <v>1</v>
      </c>
      <c r="CR721">
        <v>11000002</v>
      </c>
      <c r="CS721">
        <v>0</v>
      </c>
      <c r="CT721">
        <v>0</v>
      </c>
      <c r="CU721">
        <v>0</v>
      </c>
      <c r="CV721" t="s">
        <v>355</v>
      </c>
      <c r="CW721"/>
      <c r="CZ721"/>
      <c r="DA721"/>
      <c r="DB721"/>
      <c r="DC721"/>
      <c r="DD721"/>
      <c r="DE721"/>
      <c r="DF721"/>
      <c r="DG721"/>
      <c r="DH721"/>
      <c r="DI721"/>
      <c r="DJ721"/>
      <c r="DK721"/>
      <c r="DL721"/>
      <c r="DM721"/>
      <c r="DN721"/>
      <c r="DO721"/>
      <c r="DP721"/>
      <c r="DQ721"/>
      <c r="DR721"/>
      <c r="DS721"/>
      <c r="DT721"/>
      <c r="DU721"/>
      <c r="DV721"/>
      <c r="DW721"/>
      <c r="DX721"/>
      <c r="DY721"/>
      <c r="DZ721"/>
      <c r="EA721"/>
      <c r="EB721"/>
      <c r="EC721"/>
      <c r="ED721"/>
      <c r="EE721"/>
      <c r="EF721"/>
      <c r="EG721"/>
      <c r="EH721"/>
      <c r="EI721"/>
      <c r="EJ721"/>
      <c r="EK721"/>
      <c r="EL721"/>
      <c r="EM721"/>
      <c r="EN721"/>
      <c r="EO721"/>
      <c r="EP721"/>
      <c r="EQ721"/>
      <c r="ER721"/>
      <c r="ES721"/>
      <c r="ET721"/>
      <c r="EU721"/>
      <c r="EV721"/>
      <c r="EW721"/>
      <c r="EX721"/>
      <c r="EY721"/>
      <c r="EZ721"/>
      <c r="FA721"/>
      <c r="FB721"/>
      <c r="FC721"/>
      <c r="FD721"/>
      <c r="FE721"/>
      <c r="FF721"/>
      <c r="FG721"/>
      <c r="FH721"/>
      <c r="FI721"/>
      <c r="FJ721"/>
      <c r="FK721"/>
      <c r="FL721"/>
      <c r="FM721"/>
      <c r="FN721"/>
      <c r="FO721"/>
      <c r="FP721"/>
      <c r="FQ721"/>
      <c r="FR721"/>
      <c r="FS721"/>
      <c r="FT721"/>
      <c r="FU721"/>
      <c r="FV721"/>
      <c r="FW721"/>
      <c r="FX721"/>
      <c r="FY721"/>
      <c r="FZ721"/>
      <c r="GA721"/>
      <c r="GB721"/>
      <c r="GC721"/>
      <c r="GD721"/>
      <c r="GE721"/>
      <c r="GF721"/>
      <c r="GG721"/>
      <c r="GH721"/>
      <c r="GI721"/>
      <c r="GJ721"/>
      <c r="GK721"/>
      <c r="GL721"/>
      <c r="GM721"/>
      <c r="GN721"/>
      <c r="GO721"/>
      <c r="GP721"/>
      <c r="GQ721"/>
      <c r="GR721"/>
      <c r="GS721"/>
      <c r="GT721"/>
      <c r="GU721"/>
      <c r="GV721"/>
      <c r="GW721"/>
      <c r="GX721" s="1">
        <v>1400</v>
      </c>
      <c r="GY721" s="1">
        <v>0</v>
      </c>
      <c r="GZ721" s="1" t="s">
        <v>359</v>
      </c>
      <c r="HA721" s="1">
        <v>0</v>
      </c>
      <c r="HD721" s="1">
        <v>1</v>
      </c>
      <c r="HE721">
        <v>1500</v>
      </c>
      <c r="HF721" s="1" t="b">
        <v>1</v>
      </c>
      <c r="HG721" s="1">
        <v>0</v>
      </c>
      <c r="HH721" s="1">
        <v>0</v>
      </c>
      <c r="HI721" s="1">
        <v>0</v>
      </c>
      <c r="HJ721" s="1">
        <v>0</v>
      </c>
      <c r="HK721" s="1" t="b">
        <v>0</v>
      </c>
      <c r="HM721" s="1">
        <v>10001</v>
      </c>
      <c r="HO721" s="1" t="s">
        <v>360</v>
      </c>
      <c r="HP721" s="1">
        <v>0</v>
      </c>
      <c r="HQ721" s="1">
        <v>0</v>
      </c>
      <c r="HR721" s="1">
        <v>0</v>
      </c>
      <c r="HT721" t="b">
        <v>1</v>
      </c>
    </row>
    <row r="722" spans="2:228">
      <c r="B722" s="1">
        <v>11000248</v>
      </c>
      <c r="C722" s="1" t="s">
        <v>553</v>
      </c>
      <c r="D722" s="1" t="s">
        <v>553</v>
      </c>
      <c r="E722" s="1" t="s">
        <v>360</v>
      </c>
      <c r="F722" s="1" t="s">
        <v>360</v>
      </c>
      <c r="G722" s="1">
        <v>0</v>
      </c>
      <c r="H722" s="1" t="b">
        <v>0</v>
      </c>
      <c r="I722" s="1">
        <v>1</v>
      </c>
      <c r="J722" s="1">
        <v>110000</v>
      </c>
      <c r="K722" s="1" t="s">
        <v>350</v>
      </c>
      <c r="M722" s="1">
        <v>0</v>
      </c>
      <c r="N722" s="1" t="s">
        <v>533</v>
      </c>
      <c r="O722" s="1">
        <v>0</v>
      </c>
      <c r="P722" s="1">
        <v>0</v>
      </c>
      <c r="Q722" s="1">
        <v>0</v>
      </c>
      <c r="R722" s="1">
        <v>0</v>
      </c>
      <c r="T722" s="1">
        <v>0</v>
      </c>
      <c r="V722" s="1">
        <v>600</v>
      </c>
      <c r="W722" s="1">
        <v>0</v>
      </c>
      <c r="X722" s="1" t="s">
        <v>352</v>
      </c>
      <c r="Y722" s="1" t="s">
        <v>376</v>
      </c>
      <c r="Z722" s="1" t="s">
        <v>354</v>
      </c>
      <c r="AA722" s="1">
        <v>0</v>
      </c>
      <c r="AB722" s="1">
        <v>1</v>
      </c>
      <c r="AC722" s="1">
        <v>0</v>
      </c>
      <c r="AD722" s="1" t="s">
        <v>355</v>
      </c>
      <c r="AY722" s="1" t="s">
        <v>356</v>
      </c>
      <c r="AZ722" s="1">
        <v>10000</v>
      </c>
      <c r="BA722" s="1" t="s">
        <v>371</v>
      </c>
      <c r="BB722" s="1" t="s">
        <v>354</v>
      </c>
      <c r="BC722" s="1">
        <v>10000</v>
      </c>
      <c r="BD722" s="1">
        <v>0</v>
      </c>
      <c r="BE722" s="1" t="s">
        <v>358</v>
      </c>
      <c r="BF722" s="1">
        <v>0</v>
      </c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>
        <v>30068</v>
      </c>
      <c r="CG722" t="s">
        <v>366</v>
      </c>
      <c r="CH722">
        <v>900</v>
      </c>
      <c r="CI722">
        <v>80</v>
      </c>
      <c r="CJ722" t="s">
        <v>373</v>
      </c>
      <c r="CK722">
        <v>1</v>
      </c>
      <c r="CL722">
        <v>0</v>
      </c>
      <c r="CM722">
        <v>1</v>
      </c>
      <c r="CN722">
        <v>650</v>
      </c>
      <c r="CO722">
        <v>80</v>
      </c>
      <c r="CP722">
        <v>0</v>
      </c>
      <c r="CQ722">
        <v>1</v>
      </c>
      <c r="CR722">
        <v>11000002</v>
      </c>
      <c r="CS722">
        <v>0</v>
      </c>
      <c r="CT722">
        <v>0</v>
      </c>
      <c r="CU722">
        <v>0</v>
      </c>
      <c r="CV722" t="s">
        <v>355</v>
      </c>
      <c r="CW722"/>
      <c r="CZ722"/>
      <c r="DA722"/>
      <c r="DB722"/>
      <c r="DC722"/>
      <c r="DD722"/>
      <c r="DE722"/>
      <c r="DF722"/>
      <c r="DG722"/>
      <c r="DH722"/>
      <c r="DI722"/>
      <c r="DJ722"/>
      <c r="DK722"/>
      <c r="DL722"/>
      <c r="DM722"/>
      <c r="DN722"/>
      <c r="DO722"/>
      <c r="DP722"/>
      <c r="DQ722"/>
      <c r="DR722"/>
      <c r="DS722"/>
      <c r="DT722"/>
      <c r="DU722"/>
      <c r="DV722"/>
      <c r="DW722"/>
      <c r="DX722"/>
      <c r="DY722"/>
      <c r="DZ722"/>
      <c r="EA722"/>
      <c r="EB722"/>
      <c r="EC722"/>
      <c r="ED722"/>
      <c r="EE722"/>
      <c r="EF722"/>
      <c r="EG722"/>
      <c r="EH722"/>
      <c r="EI722"/>
      <c r="EJ722"/>
      <c r="EK722"/>
      <c r="EL722"/>
      <c r="EM722"/>
      <c r="EN722"/>
      <c r="EO722"/>
      <c r="EP722"/>
      <c r="EQ722"/>
      <c r="ER722"/>
      <c r="ES722"/>
      <c r="ET722"/>
      <c r="EU722"/>
      <c r="EV722"/>
      <c r="EW722"/>
      <c r="EX722"/>
      <c r="EY722"/>
      <c r="EZ722"/>
      <c r="FA722"/>
      <c r="FB722"/>
      <c r="FC722"/>
      <c r="FD722"/>
      <c r="FE722"/>
      <c r="FF722"/>
      <c r="FG722"/>
      <c r="FH722"/>
      <c r="FI722"/>
      <c r="FJ722"/>
      <c r="FK722"/>
      <c r="FL722"/>
      <c r="FM722"/>
      <c r="FN722"/>
      <c r="FO722"/>
      <c r="FP722"/>
      <c r="FQ722"/>
      <c r="FR722"/>
      <c r="FS722"/>
      <c r="FT722"/>
      <c r="FU722"/>
      <c r="FV722"/>
      <c r="FW722"/>
      <c r="FX722"/>
      <c r="FY722"/>
      <c r="FZ722"/>
      <c r="GA722"/>
      <c r="GB722"/>
      <c r="GC722"/>
      <c r="GD722"/>
      <c r="GE722"/>
      <c r="GF722"/>
      <c r="GG722"/>
      <c r="GH722"/>
      <c r="GI722"/>
      <c r="GJ722"/>
      <c r="GK722"/>
      <c r="GL722"/>
      <c r="GM722"/>
      <c r="GN722"/>
      <c r="GO722"/>
      <c r="GP722"/>
      <c r="GQ722"/>
      <c r="GR722"/>
      <c r="GS722"/>
      <c r="GT722"/>
      <c r="GU722"/>
      <c r="GV722"/>
      <c r="GW722"/>
      <c r="GX722" s="1">
        <v>1800</v>
      </c>
      <c r="GY722" s="1">
        <v>0</v>
      </c>
      <c r="GZ722" s="1" t="s">
        <v>359</v>
      </c>
      <c r="HA722" s="1">
        <v>0</v>
      </c>
      <c r="HD722" s="1">
        <v>1</v>
      </c>
      <c r="HE722">
        <v>1500</v>
      </c>
      <c r="HF722" s="1" t="b">
        <v>1</v>
      </c>
      <c r="HG722" s="1">
        <v>0</v>
      </c>
      <c r="HH722" s="1">
        <v>0</v>
      </c>
      <c r="HI722" s="1">
        <v>0</v>
      </c>
      <c r="HJ722" s="1">
        <v>0</v>
      </c>
      <c r="HK722" s="1" t="b">
        <v>0</v>
      </c>
      <c r="HM722" s="1">
        <v>10001</v>
      </c>
      <c r="HO722" s="1" t="s">
        <v>360</v>
      </c>
      <c r="HP722" s="1">
        <v>0</v>
      </c>
      <c r="HQ722" s="1">
        <v>0</v>
      </c>
      <c r="HR722" s="1">
        <v>0</v>
      </c>
      <c r="HT722" t="b">
        <v>1</v>
      </c>
    </row>
    <row r="723" spans="2:228">
      <c r="B723" s="1">
        <v>11000249</v>
      </c>
      <c r="C723" s="1" t="s">
        <v>554</v>
      </c>
      <c r="D723" s="1" t="s">
        <v>554</v>
      </c>
      <c r="E723" s="1" t="s">
        <v>360</v>
      </c>
      <c r="F723" s="1" t="s">
        <v>360</v>
      </c>
      <c r="G723" s="1">
        <v>0</v>
      </c>
      <c r="H723" s="1" t="b">
        <v>0</v>
      </c>
      <c r="I723" s="1">
        <v>1</v>
      </c>
      <c r="J723" s="1">
        <v>110000</v>
      </c>
      <c r="K723" s="1" t="s">
        <v>350</v>
      </c>
      <c r="M723" s="1">
        <v>0</v>
      </c>
      <c r="N723" s="1" t="s">
        <v>533</v>
      </c>
      <c r="O723" s="1">
        <v>0</v>
      </c>
      <c r="P723" s="1">
        <v>0</v>
      </c>
      <c r="Q723" s="1">
        <v>0</v>
      </c>
      <c r="R723" s="1">
        <v>0</v>
      </c>
      <c r="T723" s="1">
        <v>0</v>
      </c>
      <c r="V723" s="1">
        <v>600</v>
      </c>
      <c r="W723" s="1">
        <v>0</v>
      </c>
      <c r="X723" s="1" t="s">
        <v>352</v>
      </c>
      <c r="Y723" s="1" t="s">
        <v>376</v>
      </c>
      <c r="Z723" s="1" t="s">
        <v>354</v>
      </c>
      <c r="AA723" s="1">
        <v>0</v>
      </c>
      <c r="AB723" s="1">
        <v>1</v>
      </c>
      <c r="AC723" s="1">
        <v>0</v>
      </c>
      <c r="AD723" s="1" t="s">
        <v>355</v>
      </c>
      <c r="AY723" s="1" t="s">
        <v>356</v>
      </c>
      <c r="AZ723" s="1">
        <v>10000</v>
      </c>
      <c r="BA723" s="1" t="s">
        <v>371</v>
      </c>
      <c r="BB723" s="1" t="s">
        <v>354</v>
      </c>
      <c r="BC723" s="1">
        <v>10000</v>
      </c>
      <c r="BD723" s="1">
        <v>0</v>
      </c>
      <c r="BE723" s="1" t="s">
        <v>358</v>
      </c>
      <c r="BF723" s="1">
        <v>0</v>
      </c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>
        <v>30069</v>
      </c>
      <c r="CG723" t="s">
        <v>366</v>
      </c>
      <c r="CH723">
        <v>900</v>
      </c>
      <c r="CI723">
        <v>80</v>
      </c>
      <c r="CJ723" t="s">
        <v>373</v>
      </c>
      <c r="CK723">
        <v>1</v>
      </c>
      <c r="CL723">
        <v>0</v>
      </c>
      <c r="CM723">
        <v>1</v>
      </c>
      <c r="CN723">
        <v>650</v>
      </c>
      <c r="CO723">
        <v>80</v>
      </c>
      <c r="CP723">
        <v>0</v>
      </c>
      <c r="CQ723">
        <v>1</v>
      </c>
      <c r="CR723">
        <v>11000002</v>
      </c>
      <c r="CS723">
        <v>0</v>
      </c>
      <c r="CT723">
        <v>0</v>
      </c>
      <c r="CU723">
        <v>0</v>
      </c>
      <c r="CV723" t="s">
        <v>355</v>
      </c>
      <c r="CW723"/>
      <c r="CZ723"/>
      <c r="DA723"/>
      <c r="DB723"/>
      <c r="DC723"/>
      <c r="DD723"/>
      <c r="DE723"/>
      <c r="DF723"/>
      <c r="DG723"/>
      <c r="DH723"/>
      <c r="DI723"/>
      <c r="DJ723"/>
      <c r="DK723"/>
      <c r="DL723"/>
      <c r="DM723"/>
      <c r="DN723"/>
      <c r="DO723"/>
      <c r="DP723"/>
      <c r="DQ723"/>
      <c r="DR723"/>
      <c r="DS723"/>
      <c r="DT723"/>
      <c r="DU723"/>
      <c r="DV723"/>
      <c r="DW723"/>
      <c r="DX723"/>
      <c r="DY723"/>
      <c r="DZ723"/>
      <c r="EA723"/>
      <c r="EB723"/>
      <c r="EC723"/>
      <c r="ED723"/>
      <c r="EE723"/>
      <c r="EF723"/>
      <c r="EG723"/>
      <c r="EH723"/>
      <c r="EI723"/>
      <c r="EJ723"/>
      <c r="EK723"/>
      <c r="EL723"/>
      <c r="EM723"/>
      <c r="EN723"/>
      <c r="EO723"/>
      <c r="EP723"/>
      <c r="EQ723"/>
      <c r="ER723"/>
      <c r="ES723"/>
      <c r="ET723"/>
      <c r="EU723"/>
      <c r="EV723"/>
      <c r="EW723"/>
      <c r="EX723"/>
      <c r="EY723"/>
      <c r="EZ723"/>
      <c r="FA723"/>
      <c r="FB723"/>
      <c r="FC723"/>
      <c r="FD723"/>
      <c r="FE723"/>
      <c r="FF723"/>
      <c r="FG723"/>
      <c r="FH723"/>
      <c r="FI723"/>
      <c r="FJ723"/>
      <c r="FK723"/>
      <c r="FL723"/>
      <c r="FM723"/>
      <c r="FN723"/>
      <c r="FO723"/>
      <c r="FP723"/>
      <c r="FQ723"/>
      <c r="FR723"/>
      <c r="FS723"/>
      <c r="FT723"/>
      <c r="FU723"/>
      <c r="FV723"/>
      <c r="FW723"/>
      <c r="FX723"/>
      <c r="FY723"/>
      <c r="FZ723"/>
      <c r="GA723"/>
      <c r="GB723"/>
      <c r="GC723"/>
      <c r="GD723"/>
      <c r="GE723"/>
      <c r="GF723"/>
      <c r="GG723"/>
      <c r="GH723"/>
      <c r="GI723"/>
      <c r="GJ723"/>
      <c r="GK723"/>
      <c r="GL723"/>
      <c r="GM723"/>
      <c r="GN723"/>
      <c r="GO723"/>
      <c r="GP723"/>
      <c r="GQ723"/>
      <c r="GR723"/>
      <c r="GS723"/>
      <c r="GT723"/>
      <c r="GU723"/>
      <c r="GV723"/>
      <c r="GW723"/>
      <c r="GX723" s="1">
        <v>1840</v>
      </c>
      <c r="GY723" s="1">
        <v>0</v>
      </c>
      <c r="GZ723" s="1" t="s">
        <v>359</v>
      </c>
      <c r="HA723" s="1">
        <v>0</v>
      </c>
      <c r="HD723" s="1">
        <v>1</v>
      </c>
      <c r="HE723">
        <v>1500</v>
      </c>
      <c r="HF723" s="1" t="b">
        <v>1</v>
      </c>
      <c r="HG723" s="1">
        <v>0</v>
      </c>
      <c r="HH723" s="1">
        <v>0</v>
      </c>
      <c r="HI723" s="1">
        <v>0</v>
      </c>
      <c r="HJ723" s="1">
        <v>0</v>
      </c>
      <c r="HK723" s="1" t="b">
        <v>0</v>
      </c>
      <c r="HM723" s="1">
        <v>10001</v>
      </c>
      <c r="HO723" s="1" t="s">
        <v>360</v>
      </c>
      <c r="HP723" s="1">
        <v>0</v>
      </c>
      <c r="HQ723" s="1">
        <v>0</v>
      </c>
      <c r="HR723" s="1">
        <v>0</v>
      </c>
      <c r="HT723" t="b">
        <v>1</v>
      </c>
    </row>
    <row r="724" spans="2:228">
      <c r="B724" s="1">
        <v>11000250</v>
      </c>
      <c r="C724" s="1" t="s">
        <v>555</v>
      </c>
      <c r="D724" s="1" t="s">
        <v>555</v>
      </c>
      <c r="E724" s="1" t="s">
        <v>360</v>
      </c>
      <c r="F724" s="1" t="s">
        <v>360</v>
      </c>
      <c r="G724" s="1">
        <v>0</v>
      </c>
      <c r="H724" s="1" t="b">
        <v>0</v>
      </c>
      <c r="I724" s="1">
        <v>1</v>
      </c>
      <c r="J724" s="1">
        <v>110000</v>
      </c>
      <c r="K724" s="1" t="s">
        <v>350</v>
      </c>
      <c r="M724" s="1">
        <v>0</v>
      </c>
      <c r="N724" s="1" t="s">
        <v>533</v>
      </c>
      <c r="O724" s="1">
        <v>0</v>
      </c>
      <c r="P724" s="1">
        <v>0</v>
      </c>
      <c r="Q724" s="1">
        <v>0</v>
      </c>
      <c r="R724" s="1">
        <v>0</v>
      </c>
      <c r="T724" s="1">
        <v>0</v>
      </c>
      <c r="V724" s="1">
        <v>600</v>
      </c>
      <c r="W724" s="1">
        <v>0</v>
      </c>
      <c r="X724" s="1" t="s">
        <v>352</v>
      </c>
      <c r="Y724" s="1" t="s">
        <v>376</v>
      </c>
      <c r="Z724" s="1" t="s">
        <v>354</v>
      </c>
      <c r="AA724" s="1">
        <v>0</v>
      </c>
      <c r="AB724" s="1">
        <v>1</v>
      </c>
      <c r="AC724" s="1">
        <v>0</v>
      </c>
      <c r="AD724" s="1" t="s">
        <v>355</v>
      </c>
      <c r="AY724" s="1" t="s">
        <v>356</v>
      </c>
      <c r="AZ724" s="1">
        <v>10000</v>
      </c>
      <c r="BA724" s="1" t="s">
        <v>371</v>
      </c>
      <c r="BB724" s="1" t="s">
        <v>354</v>
      </c>
      <c r="BC724" s="1">
        <v>10000</v>
      </c>
      <c r="BD724" s="1">
        <v>0</v>
      </c>
      <c r="BE724" s="1" t="s">
        <v>358</v>
      </c>
      <c r="BF724" s="1">
        <v>0</v>
      </c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  <c r="CA724"/>
      <c r="CB724"/>
      <c r="CC724"/>
      <c r="CD724"/>
      <c r="CE724"/>
      <c r="CF724">
        <v>30070</v>
      </c>
      <c r="CG724" t="s">
        <v>366</v>
      </c>
      <c r="CH724">
        <v>900</v>
      </c>
      <c r="CI724">
        <v>80</v>
      </c>
      <c r="CJ724" t="s">
        <v>373</v>
      </c>
      <c r="CK724">
        <v>1</v>
      </c>
      <c r="CL724">
        <v>0</v>
      </c>
      <c r="CM724">
        <v>1</v>
      </c>
      <c r="CN724">
        <v>650</v>
      </c>
      <c r="CO724">
        <v>80</v>
      </c>
      <c r="CP724">
        <v>0</v>
      </c>
      <c r="CQ724">
        <v>1</v>
      </c>
      <c r="CR724">
        <v>11000002</v>
      </c>
      <c r="CS724">
        <v>0</v>
      </c>
      <c r="CT724">
        <v>0</v>
      </c>
      <c r="CU724">
        <v>0</v>
      </c>
      <c r="CV724" t="s">
        <v>355</v>
      </c>
      <c r="CW724"/>
      <c r="CZ724"/>
      <c r="DA724"/>
      <c r="DB724"/>
      <c r="DC724"/>
      <c r="DD724"/>
      <c r="DE724"/>
      <c r="DF724"/>
      <c r="DG724"/>
      <c r="DH724"/>
      <c r="DI724"/>
      <c r="DJ724"/>
      <c r="DK724"/>
      <c r="DL724"/>
      <c r="DM724"/>
      <c r="DN724"/>
      <c r="DO724"/>
      <c r="DP724"/>
      <c r="DQ724"/>
      <c r="DR724"/>
      <c r="DS724"/>
      <c r="DT724"/>
      <c r="DU724"/>
      <c r="DV724"/>
      <c r="DW724"/>
      <c r="DX724"/>
      <c r="DY724"/>
      <c r="DZ724"/>
      <c r="EA724"/>
      <c r="EB724"/>
      <c r="EC724"/>
      <c r="ED724"/>
      <c r="EE724"/>
      <c r="EF724"/>
      <c r="EG724"/>
      <c r="EH724"/>
      <c r="EI724"/>
      <c r="EJ724"/>
      <c r="EK724"/>
      <c r="EL724"/>
      <c r="EM724"/>
      <c r="EN724"/>
      <c r="EO724"/>
      <c r="EP724"/>
      <c r="EQ724"/>
      <c r="ER724"/>
      <c r="ES724"/>
      <c r="ET724"/>
      <c r="EU724"/>
      <c r="EV724"/>
      <c r="EW724"/>
      <c r="EX724"/>
      <c r="EY724"/>
      <c r="EZ724"/>
      <c r="FA724"/>
      <c r="FB724"/>
      <c r="FC724"/>
      <c r="FD724"/>
      <c r="FE724"/>
      <c r="FF724"/>
      <c r="FG724"/>
      <c r="FH724"/>
      <c r="FI724"/>
      <c r="FJ724"/>
      <c r="FK724"/>
      <c r="FL724"/>
      <c r="FM724"/>
      <c r="FN724"/>
      <c r="FO724"/>
      <c r="FP724"/>
      <c r="FQ724"/>
      <c r="FR724"/>
      <c r="FS724"/>
      <c r="FT724"/>
      <c r="FU724"/>
      <c r="FV724"/>
      <c r="FW724"/>
      <c r="FX724"/>
      <c r="FY724"/>
      <c r="FZ724"/>
      <c r="GA724"/>
      <c r="GB724"/>
      <c r="GC724"/>
      <c r="GD724"/>
      <c r="GE724"/>
      <c r="GF724"/>
      <c r="GG724"/>
      <c r="GH724"/>
      <c r="GI724"/>
      <c r="GJ724"/>
      <c r="GK724"/>
      <c r="GL724"/>
      <c r="GM724"/>
      <c r="GN724"/>
      <c r="GO724"/>
      <c r="GP724"/>
      <c r="GQ724"/>
      <c r="GR724"/>
      <c r="GS724"/>
      <c r="GT724"/>
      <c r="GU724"/>
      <c r="GV724"/>
      <c r="GW724"/>
      <c r="GX724" s="1">
        <v>1740</v>
      </c>
      <c r="GY724" s="1">
        <v>0</v>
      </c>
      <c r="GZ724" s="1" t="s">
        <v>359</v>
      </c>
      <c r="HA724" s="1">
        <v>0</v>
      </c>
      <c r="HD724" s="1">
        <v>1</v>
      </c>
      <c r="HE724">
        <v>1500</v>
      </c>
      <c r="HF724" s="1" t="b">
        <v>1</v>
      </c>
      <c r="HG724" s="1">
        <v>0</v>
      </c>
      <c r="HH724" s="1">
        <v>0</v>
      </c>
      <c r="HI724" s="1">
        <v>0</v>
      </c>
      <c r="HJ724" s="1">
        <v>0</v>
      </c>
      <c r="HK724" s="1" t="b">
        <v>0</v>
      </c>
      <c r="HM724" s="1">
        <v>10001</v>
      </c>
      <c r="HO724" s="1" t="s">
        <v>360</v>
      </c>
      <c r="HP724" s="1">
        <v>0</v>
      </c>
      <c r="HQ724" s="1">
        <v>0</v>
      </c>
      <c r="HR724" s="1">
        <v>0</v>
      </c>
      <c r="HT724" t="b">
        <v>1</v>
      </c>
    </row>
    <row r="725" spans="2:228">
      <c r="B725" s="1">
        <v>11000251</v>
      </c>
      <c r="C725" s="1" t="s">
        <v>556</v>
      </c>
      <c r="D725" s="1" t="s">
        <v>556</v>
      </c>
      <c r="E725" s="1" t="s">
        <v>360</v>
      </c>
      <c r="F725" s="1" t="s">
        <v>360</v>
      </c>
      <c r="G725" s="1">
        <v>0</v>
      </c>
      <c r="H725" s="1" t="b">
        <v>0</v>
      </c>
      <c r="I725" s="1">
        <v>1</v>
      </c>
      <c r="J725" s="1">
        <v>110000</v>
      </c>
      <c r="K725" s="1" t="s">
        <v>350</v>
      </c>
      <c r="M725" s="1">
        <v>0</v>
      </c>
      <c r="N725" s="1" t="s">
        <v>533</v>
      </c>
      <c r="O725" s="1">
        <v>0</v>
      </c>
      <c r="P725" s="1">
        <v>0</v>
      </c>
      <c r="Q725" s="1">
        <v>0</v>
      </c>
      <c r="R725" s="1">
        <v>0</v>
      </c>
      <c r="T725" s="1">
        <v>0</v>
      </c>
      <c r="V725" s="1">
        <v>600</v>
      </c>
      <c r="W725" s="1">
        <v>0</v>
      </c>
      <c r="X725" s="1" t="s">
        <v>352</v>
      </c>
      <c r="Y725" s="1" t="s">
        <v>376</v>
      </c>
      <c r="Z725" s="1" t="s">
        <v>354</v>
      </c>
      <c r="AA725" s="1">
        <v>0</v>
      </c>
      <c r="AB725" s="1">
        <v>1</v>
      </c>
      <c r="AC725" s="1">
        <v>0</v>
      </c>
      <c r="AD725" s="1" t="s">
        <v>355</v>
      </c>
      <c r="AY725" s="1" t="s">
        <v>356</v>
      </c>
      <c r="AZ725" s="1">
        <v>10000</v>
      </c>
      <c r="BA725" s="1" t="s">
        <v>371</v>
      </c>
      <c r="BB725" s="1" t="s">
        <v>354</v>
      </c>
      <c r="BC725" s="1">
        <v>10000</v>
      </c>
      <c r="BD725" s="1">
        <v>0</v>
      </c>
      <c r="BE725" s="1" t="s">
        <v>358</v>
      </c>
      <c r="BF725" s="1">
        <v>0</v>
      </c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  <c r="CA725"/>
      <c r="CB725"/>
      <c r="CC725"/>
      <c r="CD725"/>
      <c r="CE725"/>
      <c r="CF725">
        <v>30071</v>
      </c>
      <c r="CG725" t="s">
        <v>366</v>
      </c>
      <c r="CH725">
        <v>900</v>
      </c>
      <c r="CI725">
        <v>80</v>
      </c>
      <c r="CJ725" t="s">
        <v>373</v>
      </c>
      <c r="CK725">
        <v>1</v>
      </c>
      <c r="CL725">
        <v>0</v>
      </c>
      <c r="CM725">
        <v>1</v>
      </c>
      <c r="CN725">
        <v>650</v>
      </c>
      <c r="CO725">
        <v>80</v>
      </c>
      <c r="CP725">
        <v>0</v>
      </c>
      <c r="CQ725">
        <v>1</v>
      </c>
      <c r="CR725">
        <v>11000002</v>
      </c>
      <c r="CS725">
        <v>0</v>
      </c>
      <c r="CT725">
        <v>0</v>
      </c>
      <c r="CU725">
        <v>0</v>
      </c>
      <c r="CV725" t="s">
        <v>355</v>
      </c>
      <c r="CW725"/>
      <c r="CZ725"/>
      <c r="DA725"/>
      <c r="DB725"/>
      <c r="DC725"/>
      <c r="DD725"/>
      <c r="DE725"/>
      <c r="DF725"/>
      <c r="DG725"/>
      <c r="DH725"/>
      <c r="DI725"/>
      <c r="DJ725"/>
      <c r="DK725"/>
      <c r="DL725"/>
      <c r="DM725"/>
      <c r="DN725"/>
      <c r="DO725"/>
      <c r="DP725"/>
      <c r="DQ725"/>
      <c r="DR725"/>
      <c r="DS725"/>
      <c r="DT725"/>
      <c r="DU725"/>
      <c r="DV725"/>
      <c r="DW725"/>
      <c r="DX725"/>
      <c r="DY725"/>
      <c r="DZ725"/>
      <c r="EA725"/>
      <c r="EB725"/>
      <c r="EC725"/>
      <c r="ED725"/>
      <c r="EE725"/>
      <c r="EF725"/>
      <c r="EG725"/>
      <c r="EH725"/>
      <c r="EI725"/>
      <c r="EJ725"/>
      <c r="EK725"/>
      <c r="EL725"/>
      <c r="EM725"/>
      <c r="EN725"/>
      <c r="EO725"/>
      <c r="EP725"/>
      <c r="EQ725"/>
      <c r="ER725"/>
      <c r="ES725"/>
      <c r="ET725"/>
      <c r="EU725"/>
      <c r="EV725"/>
      <c r="EW725"/>
      <c r="EX725"/>
      <c r="EY725"/>
      <c r="EZ725"/>
      <c r="FA725"/>
      <c r="FB725"/>
      <c r="FC725"/>
      <c r="FD725"/>
      <c r="FE725"/>
      <c r="FF725"/>
      <c r="FG725"/>
      <c r="FH725"/>
      <c r="FI725"/>
      <c r="FJ725"/>
      <c r="FK725"/>
      <c r="FL725"/>
      <c r="FM725"/>
      <c r="FN725"/>
      <c r="FO725"/>
      <c r="FP725"/>
      <c r="FQ725"/>
      <c r="FR725"/>
      <c r="FS725"/>
      <c r="FT725"/>
      <c r="FU725"/>
      <c r="FV725"/>
      <c r="FW725"/>
      <c r="FX725"/>
      <c r="FY725"/>
      <c r="FZ725"/>
      <c r="GA725"/>
      <c r="GB725"/>
      <c r="GC725"/>
      <c r="GD725"/>
      <c r="GE725"/>
      <c r="GF725"/>
      <c r="GG725"/>
      <c r="GH725"/>
      <c r="GI725"/>
      <c r="GJ725"/>
      <c r="GK725"/>
      <c r="GL725"/>
      <c r="GM725"/>
      <c r="GN725"/>
      <c r="GO725"/>
      <c r="GP725"/>
      <c r="GQ725"/>
      <c r="GR725"/>
      <c r="GS725"/>
      <c r="GT725"/>
      <c r="GU725"/>
      <c r="GV725"/>
      <c r="GW725"/>
      <c r="GX725" s="1">
        <v>1680</v>
      </c>
      <c r="GY725" s="1">
        <v>0</v>
      </c>
      <c r="GZ725" s="1" t="s">
        <v>359</v>
      </c>
      <c r="HA725" s="1">
        <v>0</v>
      </c>
      <c r="HD725" s="1">
        <v>1</v>
      </c>
      <c r="HE725">
        <v>1500</v>
      </c>
      <c r="HF725" s="1" t="b">
        <v>1</v>
      </c>
      <c r="HG725" s="1">
        <v>0</v>
      </c>
      <c r="HH725" s="1">
        <v>0</v>
      </c>
      <c r="HI725" s="1">
        <v>0</v>
      </c>
      <c r="HJ725" s="1">
        <v>0</v>
      </c>
      <c r="HK725" s="1" t="b">
        <v>0</v>
      </c>
      <c r="HM725" s="1">
        <v>10001</v>
      </c>
      <c r="HO725" s="1" t="s">
        <v>360</v>
      </c>
      <c r="HP725" s="1">
        <v>0</v>
      </c>
      <c r="HQ725" s="1">
        <v>0</v>
      </c>
      <c r="HR725" s="1">
        <v>0</v>
      </c>
      <c r="HT725" t="b">
        <v>1</v>
      </c>
    </row>
    <row r="726" spans="2:228">
      <c r="B726" s="1">
        <v>11000252</v>
      </c>
      <c r="C726" s="1" t="s">
        <v>557</v>
      </c>
      <c r="D726" s="1" t="s">
        <v>557</v>
      </c>
      <c r="E726" s="1" t="s">
        <v>360</v>
      </c>
      <c r="F726" s="1" t="s">
        <v>360</v>
      </c>
      <c r="G726" s="1">
        <v>0</v>
      </c>
      <c r="H726" s="1" t="b">
        <v>0</v>
      </c>
      <c r="I726" s="1">
        <v>1</v>
      </c>
      <c r="J726" s="1">
        <v>110000</v>
      </c>
      <c r="K726" s="1" t="s">
        <v>350</v>
      </c>
      <c r="M726" s="1">
        <v>0</v>
      </c>
      <c r="N726" s="1" t="s">
        <v>533</v>
      </c>
      <c r="O726" s="1">
        <v>0</v>
      </c>
      <c r="P726" s="1">
        <v>0</v>
      </c>
      <c r="Q726" s="1">
        <v>0</v>
      </c>
      <c r="R726" s="1">
        <v>0</v>
      </c>
      <c r="T726" s="1">
        <v>0</v>
      </c>
      <c r="V726" s="1">
        <v>600</v>
      </c>
      <c r="W726" s="1">
        <v>0</v>
      </c>
      <c r="X726" s="1" t="s">
        <v>352</v>
      </c>
      <c r="Y726" s="1" t="s">
        <v>376</v>
      </c>
      <c r="Z726" s="1" t="s">
        <v>354</v>
      </c>
      <c r="AA726" s="1">
        <v>0</v>
      </c>
      <c r="AB726" s="1">
        <v>1</v>
      </c>
      <c r="AC726" s="1">
        <v>0</v>
      </c>
      <c r="AD726" s="1" t="s">
        <v>355</v>
      </c>
      <c r="AY726" s="1" t="s">
        <v>356</v>
      </c>
      <c r="AZ726" s="1">
        <v>10000</v>
      </c>
      <c r="BA726" s="1" t="s">
        <v>371</v>
      </c>
      <c r="BB726" s="1" t="s">
        <v>354</v>
      </c>
      <c r="BC726" s="1">
        <v>10000</v>
      </c>
      <c r="BD726" s="1">
        <v>0</v>
      </c>
      <c r="BE726" s="1" t="s">
        <v>358</v>
      </c>
      <c r="BF726" s="1">
        <v>0</v>
      </c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>
        <v>30072</v>
      </c>
      <c r="CG726" t="s">
        <v>366</v>
      </c>
      <c r="CH726">
        <v>900</v>
      </c>
      <c r="CI726">
        <v>80</v>
      </c>
      <c r="CJ726" t="s">
        <v>373</v>
      </c>
      <c r="CK726">
        <v>1</v>
      </c>
      <c r="CL726">
        <v>0</v>
      </c>
      <c r="CM726">
        <v>1</v>
      </c>
      <c r="CN726">
        <v>650</v>
      </c>
      <c r="CO726">
        <v>80</v>
      </c>
      <c r="CP726">
        <v>0</v>
      </c>
      <c r="CQ726">
        <v>1</v>
      </c>
      <c r="CR726">
        <v>11000002</v>
      </c>
      <c r="CS726">
        <v>0</v>
      </c>
      <c r="CT726">
        <v>0</v>
      </c>
      <c r="CU726">
        <v>0</v>
      </c>
      <c r="CV726" t="s">
        <v>355</v>
      </c>
      <c r="CW726"/>
      <c r="CZ726"/>
      <c r="DA726"/>
      <c r="DB726"/>
      <c r="DC726"/>
      <c r="DD726"/>
      <c r="DE726"/>
      <c r="DF726"/>
      <c r="DG726"/>
      <c r="DH726"/>
      <c r="DI726"/>
      <c r="DJ726"/>
      <c r="DK726"/>
      <c r="DL726"/>
      <c r="DM726"/>
      <c r="DN726"/>
      <c r="DO726"/>
      <c r="DP726"/>
      <c r="DQ726"/>
      <c r="DR726"/>
      <c r="DS726"/>
      <c r="DT726"/>
      <c r="DU726"/>
      <c r="DV726"/>
      <c r="DW726"/>
      <c r="DX726"/>
      <c r="DY726"/>
      <c r="DZ726"/>
      <c r="EA726"/>
      <c r="EB726"/>
      <c r="EC726"/>
      <c r="ED726"/>
      <c r="EE726"/>
      <c r="EF726"/>
      <c r="EG726"/>
      <c r="EH726"/>
      <c r="EI726"/>
      <c r="EJ726"/>
      <c r="EK726"/>
      <c r="EL726"/>
      <c r="EM726"/>
      <c r="EN726"/>
      <c r="EO726"/>
      <c r="EP726"/>
      <c r="EQ726"/>
      <c r="ER726"/>
      <c r="ES726"/>
      <c r="ET726"/>
      <c r="EU726"/>
      <c r="EV726"/>
      <c r="EW726"/>
      <c r="EX726"/>
      <c r="EY726"/>
      <c r="EZ726"/>
      <c r="FA726"/>
      <c r="FB726"/>
      <c r="FC726"/>
      <c r="FD726"/>
      <c r="FE726"/>
      <c r="FF726"/>
      <c r="FG726"/>
      <c r="FH726"/>
      <c r="FI726"/>
      <c r="FJ726"/>
      <c r="FK726"/>
      <c r="FL726"/>
      <c r="FM726"/>
      <c r="FN726"/>
      <c r="FO726"/>
      <c r="FP726"/>
      <c r="FQ726"/>
      <c r="FR726"/>
      <c r="FS726"/>
      <c r="FT726"/>
      <c r="FU726"/>
      <c r="FV726"/>
      <c r="FW726"/>
      <c r="FX726"/>
      <c r="FY726"/>
      <c r="FZ726"/>
      <c r="GA726"/>
      <c r="GB726"/>
      <c r="GC726"/>
      <c r="GD726"/>
      <c r="GE726"/>
      <c r="GF726"/>
      <c r="GG726"/>
      <c r="GH726"/>
      <c r="GI726"/>
      <c r="GJ726"/>
      <c r="GK726"/>
      <c r="GL726"/>
      <c r="GM726"/>
      <c r="GN726"/>
      <c r="GO726"/>
      <c r="GP726"/>
      <c r="GQ726"/>
      <c r="GR726"/>
      <c r="GS726"/>
      <c r="GT726"/>
      <c r="GU726"/>
      <c r="GV726"/>
      <c r="GW726"/>
      <c r="GX726" s="1">
        <v>1000</v>
      </c>
      <c r="GY726" s="1">
        <v>0</v>
      </c>
      <c r="GZ726" s="1" t="s">
        <v>359</v>
      </c>
      <c r="HA726" s="1">
        <v>0</v>
      </c>
      <c r="HD726" s="1">
        <v>1</v>
      </c>
      <c r="HE726">
        <v>1500</v>
      </c>
      <c r="HF726" s="1" t="b">
        <v>1</v>
      </c>
      <c r="HG726" s="1">
        <v>0</v>
      </c>
      <c r="HH726" s="1">
        <v>0</v>
      </c>
      <c r="HI726" s="1">
        <v>0</v>
      </c>
      <c r="HJ726" s="1">
        <v>0</v>
      </c>
      <c r="HK726" s="1" t="b">
        <v>0</v>
      </c>
      <c r="HM726" s="1">
        <v>10001</v>
      </c>
      <c r="HO726" s="1" t="s">
        <v>360</v>
      </c>
      <c r="HP726" s="1">
        <v>0</v>
      </c>
      <c r="HQ726" s="1">
        <v>0</v>
      </c>
      <c r="HR726" s="1">
        <v>0</v>
      </c>
      <c r="HT726" t="b">
        <v>1</v>
      </c>
    </row>
    <row r="727" spans="2:228">
      <c r="B727" s="1">
        <v>11000253</v>
      </c>
      <c r="C727" s="1" t="s">
        <v>558</v>
      </c>
      <c r="D727" s="1" t="s">
        <v>558</v>
      </c>
      <c r="E727" s="1" t="s">
        <v>360</v>
      </c>
      <c r="F727" s="1" t="s">
        <v>360</v>
      </c>
      <c r="G727" s="1">
        <v>0</v>
      </c>
      <c r="H727" s="1" t="b">
        <v>0</v>
      </c>
      <c r="I727" s="1">
        <v>1</v>
      </c>
      <c r="J727" s="1">
        <v>110000</v>
      </c>
      <c r="K727" s="1" t="s">
        <v>350</v>
      </c>
      <c r="M727" s="1">
        <v>0</v>
      </c>
      <c r="N727" s="1" t="s">
        <v>533</v>
      </c>
      <c r="O727" s="1">
        <v>0</v>
      </c>
      <c r="P727" s="1">
        <v>0</v>
      </c>
      <c r="Q727" s="1">
        <v>0</v>
      </c>
      <c r="R727" s="1">
        <v>0</v>
      </c>
      <c r="T727" s="1">
        <v>0</v>
      </c>
      <c r="V727" s="1">
        <v>600</v>
      </c>
      <c r="W727" s="1">
        <v>0</v>
      </c>
      <c r="X727" s="1" t="s">
        <v>352</v>
      </c>
      <c r="Y727" s="1" t="s">
        <v>376</v>
      </c>
      <c r="Z727" s="1" t="s">
        <v>354</v>
      </c>
      <c r="AA727" s="1">
        <v>0</v>
      </c>
      <c r="AB727" s="1">
        <v>1</v>
      </c>
      <c r="AC727" s="1">
        <v>0</v>
      </c>
      <c r="AD727" s="1" t="s">
        <v>355</v>
      </c>
      <c r="AY727" s="1" t="s">
        <v>356</v>
      </c>
      <c r="AZ727" s="1">
        <v>10000</v>
      </c>
      <c r="BA727" s="1" t="s">
        <v>371</v>
      </c>
      <c r="BB727" s="1" t="s">
        <v>354</v>
      </c>
      <c r="BC727" s="1">
        <v>10000</v>
      </c>
      <c r="BD727" s="1">
        <v>0</v>
      </c>
      <c r="BE727" s="1" t="s">
        <v>358</v>
      </c>
      <c r="BF727" s="1">
        <v>0</v>
      </c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>
        <v>30073</v>
      </c>
      <c r="CG727" t="s">
        <v>366</v>
      </c>
      <c r="CH727">
        <v>900</v>
      </c>
      <c r="CI727">
        <v>80</v>
      </c>
      <c r="CJ727" t="s">
        <v>373</v>
      </c>
      <c r="CK727">
        <v>1</v>
      </c>
      <c r="CL727">
        <v>0</v>
      </c>
      <c r="CM727">
        <v>1</v>
      </c>
      <c r="CN727">
        <v>650</v>
      </c>
      <c r="CO727">
        <v>80</v>
      </c>
      <c r="CP727">
        <v>0</v>
      </c>
      <c r="CQ727">
        <v>1</v>
      </c>
      <c r="CR727">
        <v>11000002</v>
      </c>
      <c r="CS727">
        <v>0</v>
      </c>
      <c r="CT727">
        <v>0</v>
      </c>
      <c r="CU727">
        <v>0</v>
      </c>
      <c r="CV727" t="s">
        <v>355</v>
      </c>
      <c r="CW727"/>
      <c r="CZ727"/>
      <c r="DA727"/>
      <c r="DB727"/>
      <c r="DC727"/>
      <c r="DD727"/>
      <c r="DE727"/>
      <c r="DF727"/>
      <c r="DG727"/>
      <c r="DH727"/>
      <c r="DI727"/>
      <c r="DJ727"/>
      <c r="DK727"/>
      <c r="DL727"/>
      <c r="DM727"/>
      <c r="DN727"/>
      <c r="DO727"/>
      <c r="DP727"/>
      <c r="DQ727"/>
      <c r="DR727"/>
      <c r="DS727"/>
      <c r="DT727"/>
      <c r="DU727"/>
      <c r="DV727"/>
      <c r="DW727"/>
      <c r="DX727"/>
      <c r="DY727"/>
      <c r="DZ727"/>
      <c r="EA727"/>
      <c r="EB727"/>
      <c r="EC727"/>
      <c r="ED727"/>
      <c r="EE727"/>
      <c r="EF727"/>
      <c r="EG727"/>
      <c r="EH727"/>
      <c r="EI727"/>
      <c r="EJ727"/>
      <c r="EK727"/>
      <c r="EL727"/>
      <c r="EM727"/>
      <c r="EN727"/>
      <c r="EO727"/>
      <c r="EP727"/>
      <c r="EQ727"/>
      <c r="ER727"/>
      <c r="ES727"/>
      <c r="ET727"/>
      <c r="EU727"/>
      <c r="EV727"/>
      <c r="EW727"/>
      <c r="EX727"/>
      <c r="EY727"/>
      <c r="EZ727"/>
      <c r="FA727"/>
      <c r="FB727"/>
      <c r="FC727"/>
      <c r="FD727"/>
      <c r="FE727"/>
      <c r="FF727"/>
      <c r="FG727"/>
      <c r="FH727"/>
      <c r="FI727"/>
      <c r="FJ727"/>
      <c r="FK727"/>
      <c r="FL727"/>
      <c r="FM727"/>
      <c r="FN727"/>
      <c r="FO727"/>
      <c r="FP727"/>
      <c r="FQ727"/>
      <c r="FR727"/>
      <c r="FS727"/>
      <c r="FT727"/>
      <c r="FU727"/>
      <c r="FV727"/>
      <c r="FW727"/>
      <c r="FX727"/>
      <c r="FY727"/>
      <c r="FZ727"/>
      <c r="GA727"/>
      <c r="GB727"/>
      <c r="GC727"/>
      <c r="GD727"/>
      <c r="GE727"/>
      <c r="GF727"/>
      <c r="GG727"/>
      <c r="GH727"/>
      <c r="GI727"/>
      <c r="GJ727"/>
      <c r="GK727"/>
      <c r="GL727"/>
      <c r="GM727"/>
      <c r="GN727"/>
      <c r="GO727"/>
      <c r="GP727"/>
      <c r="GQ727"/>
      <c r="GR727"/>
      <c r="GS727"/>
      <c r="GT727"/>
      <c r="GU727"/>
      <c r="GV727"/>
      <c r="GW727"/>
      <c r="GX727" s="1">
        <v>1000</v>
      </c>
      <c r="GY727" s="1">
        <v>0</v>
      </c>
      <c r="GZ727" s="1" t="s">
        <v>359</v>
      </c>
      <c r="HA727" s="1">
        <v>0</v>
      </c>
      <c r="HD727" s="1">
        <v>1</v>
      </c>
      <c r="HE727">
        <v>1500</v>
      </c>
      <c r="HF727" s="1" t="b">
        <v>1</v>
      </c>
      <c r="HG727" s="1">
        <v>0</v>
      </c>
      <c r="HH727" s="1">
        <v>0</v>
      </c>
      <c r="HI727" s="1">
        <v>0</v>
      </c>
      <c r="HJ727" s="1">
        <v>0</v>
      </c>
      <c r="HK727" s="1" t="b">
        <v>0</v>
      </c>
      <c r="HM727" s="1">
        <v>10001</v>
      </c>
      <c r="HO727" s="1" t="s">
        <v>360</v>
      </c>
      <c r="HP727" s="1">
        <v>0</v>
      </c>
      <c r="HQ727" s="1">
        <v>0</v>
      </c>
      <c r="HR727" s="1">
        <v>0</v>
      </c>
      <c r="HT727" t="b">
        <v>1</v>
      </c>
    </row>
    <row r="728" spans="2:228">
      <c r="B728" s="1">
        <v>11000254</v>
      </c>
      <c r="C728" s="1" t="s">
        <v>559</v>
      </c>
      <c r="D728" s="1" t="s">
        <v>559</v>
      </c>
      <c r="E728" s="1" t="s">
        <v>360</v>
      </c>
      <c r="F728" s="1" t="s">
        <v>360</v>
      </c>
      <c r="G728" s="1">
        <v>0</v>
      </c>
      <c r="H728" s="1" t="b">
        <v>0</v>
      </c>
      <c r="I728" s="1">
        <v>1</v>
      </c>
      <c r="J728" s="1">
        <v>110000</v>
      </c>
      <c r="K728" s="1" t="s">
        <v>350</v>
      </c>
      <c r="M728" s="1">
        <v>0</v>
      </c>
      <c r="N728" s="1" t="s">
        <v>533</v>
      </c>
      <c r="O728" s="1">
        <v>0</v>
      </c>
      <c r="P728" s="1">
        <v>0</v>
      </c>
      <c r="Q728" s="1">
        <v>0</v>
      </c>
      <c r="R728" s="1">
        <v>0</v>
      </c>
      <c r="T728" s="1">
        <v>0</v>
      </c>
      <c r="V728" s="1">
        <v>600</v>
      </c>
      <c r="W728" s="1">
        <v>0</v>
      </c>
      <c r="X728" s="1" t="s">
        <v>352</v>
      </c>
      <c r="Y728" s="1" t="s">
        <v>376</v>
      </c>
      <c r="Z728" s="1" t="s">
        <v>354</v>
      </c>
      <c r="AA728" s="1">
        <v>0</v>
      </c>
      <c r="AB728" s="1">
        <v>1</v>
      </c>
      <c r="AC728" s="1">
        <v>0</v>
      </c>
      <c r="AD728" s="1" t="s">
        <v>355</v>
      </c>
      <c r="AY728" s="1" t="s">
        <v>356</v>
      </c>
      <c r="AZ728" s="1">
        <v>10000</v>
      </c>
      <c r="BA728" s="1" t="s">
        <v>371</v>
      </c>
      <c r="BB728" s="1" t="s">
        <v>354</v>
      </c>
      <c r="BC728" s="1">
        <v>10000</v>
      </c>
      <c r="BD728" s="1">
        <v>0</v>
      </c>
      <c r="BE728" s="1" t="s">
        <v>358</v>
      </c>
      <c r="BF728" s="1">
        <v>0</v>
      </c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  <c r="CA728"/>
      <c r="CB728"/>
      <c r="CC728"/>
      <c r="CD728"/>
      <c r="CE728"/>
      <c r="CF728">
        <v>30074</v>
      </c>
      <c r="CG728" t="s">
        <v>366</v>
      </c>
      <c r="CH728">
        <v>900</v>
      </c>
      <c r="CI728">
        <v>80</v>
      </c>
      <c r="CJ728" t="s">
        <v>373</v>
      </c>
      <c r="CK728">
        <v>1</v>
      </c>
      <c r="CL728">
        <v>0</v>
      </c>
      <c r="CM728">
        <v>1</v>
      </c>
      <c r="CN728">
        <v>650</v>
      </c>
      <c r="CO728">
        <v>80</v>
      </c>
      <c r="CP728">
        <v>0</v>
      </c>
      <c r="CQ728">
        <v>1</v>
      </c>
      <c r="CR728">
        <v>11000002</v>
      </c>
      <c r="CS728">
        <v>0</v>
      </c>
      <c r="CT728">
        <v>0</v>
      </c>
      <c r="CU728">
        <v>0</v>
      </c>
      <c r="CV728" t="s">
        <v>355</v>
      </c>
      <c r="CW728"/>
      <c r="CZ728"/>
      <c r="DA728"/>
      <c r="DB728"/>
      <c r="DC728"/>
      <c r="DD728"/>
      <c r="DE728"/>
      <c r="DF728"/>
      <c r="DG728"/>
      <c r="DH728"/>
      <c r="DI728"/>
      <c r="DJ728"/>
      <c r="DK728"/>
      <c r="DL728"/>
      <c r="DM728"/>
      <c r="DN728"/>
      <c r="DO728"/>
      <c r="DP728"/>
      <c r="DQ728"/>
      <c r="DR728"/>
      <c r="DS728"/>
      <c r="DT728"/>
      <c r="DU728"/>
      <c r="DV728"/>
      <c r="DW728"/>
      <c r="DX728"/>
      <c r="DY728"/>
      <c r="DZ728"/>
      <c r="EA728"/>
      <c r="EB728"/>
      <c r="EC728"/>
      <c r="ED728"/>
      <c r="EE728"/>
      <c r="EF728"/>
      <c r="EG728"/>
      <c r="EH728"/>
      <c r="EI728"/>
      <c r="EJ728"/>
      <c r="EK728"/>
      <c r="EL728"/>
      <c r="EM728"/>
      <c r="EN728"/>
      <c r="EO728"/>
      <c r="EP728"/>
      <c r="EQ728"/>
      <c r="ER728"/>
      <c r="ES728"/>
      <c r="ET728"/>
      <c r="EU728"/>
      <c r="EV728"/>
      <c r="EW728"/>
      <c r="EX728"/>
      <c r="EY728"/>
      <c r="EZ728"/>
      <c r="FA728"/>
      <c r="FB728"/>
      <c r="FC728"/>
      <c r="FD728"/>
      <c r="FE728"/>
      <c r="FF728"/>
      <c r="FG728"/>
      <c r="FH728"/>
      <c r="FI728"/>
      <c r="FJ728"/>
      <c r="FK728"/>
      <c r="FL728"/>
      <c r="FM728"/>
      <c r="FN728"/>
      <c r="FO728"/>
      <c r="FP728"/>
      <c r="FQ728"/>
      <c r="FR728"/>
      <c r="FS728"/>
      <c r="FT728"/>
      <c r="FU728"/>
      <c r="FV728"/>
      <c r="FW728"/>
      <c r="FX728"/>
      <c r="FY728"/>
      <c r="FZ728"/>
      <c r="GA728"/>
      <c r="GB728"/>
      <c r="GC728"/>
      <c r="GD728"/>
      <c r="GE728"/>
      <c r="GF728"/>
      <c r="GG728"/>
      <c r="GH728"/>
      <c r="GI728"/>
      <c r="GJ728"/>
      <c r="GK728"/>
      <c r="GL728"/>
      <c r="GM728"/>
      <c r="GN728"/>
      <c r="GO728"/>
      <c r="GP728"/>
      <c r="GQ728"/>
      <c r="GR728"/>
      <c r="GS728"/>
      <c r="GT728"/>
      <c r="GU728"/>
      <c r="GV728"/>
      <c r="GW728"/>
      <c r="GX728" s="1">
        <v>1380</v>
      </c>
      <c r="GY728" s="1">
        <v>0</v>
      </c>
      <c r="GZ728" s="1" t="s">
        <v>359</v>
      </c>
      <c r="HA728" s="1">
        <v>0</v>
      </c>
      <c r="HD728" s="1">
        <v>1</v>
      </c>
      <c r="HE728">
        <v>1500</v>
      </c>
      <c r="HF728" s="1" t="b">
        <v>1</v>
      </c>
      <c r="HG728" s="1">
        <v>0</v>
      </c>
      <c r="HH728" s="1">
        <v>0</v>
      </c>
      <c r="HI728" s="1">
        <v>0</v>
      </c>
      <c r="HJ728" s="1">
        <v>0</v>
      </c>
      <c r="HK728" s="1" t="b">
        <v>0</v>
      </c>
      <c r="HM728" s="1">
        <v>10001</v>
      </c>
      <c r="HO728" s="1" t="s">
        <v>360</v>
      </c>
      <c r="HP728" s="1">
        <v>0</v>
      </c>
      <c r="HQ728" s="1">
        <v>0</v>
      </c>
      <c r="HR728" s="1">
        <v>0</v>
      </c>
      <c r="HT728" t="b">
        <v>1</v>
      </c>
    </row>
    <row r="729" spans="2:228">
      <c r="B729" s="1">
        <v>11000255</v>
      </c>
      <c r="C729" s="1" t="s">
        <v>560</v>
      </c>
      <c r="D729" s="1" t="s">
        <v>560</v>
      </c>
      <c r="E729" s="1" t="s">
        <v>360</v>
      </c>
      <c r="F729" s="1" t="s">
        <v>360</v>
      </c>
      <c r="G729" s="1">
        <v>0</v>
      </c>
      <c r="H729" s="1" t="b">
        <v>0</v>
      </c>
      <c r="I729" s="1">
        <v>1</v>
      </c>
      <c r="J729" s="1">
        <v>110000</v>
      </c>
      <c r="K729" s="1" t="s">
        <v>350</v>
      </c>
      <c r="M729" s="1">
        <v>0</v>
      </c>
      <c r="N729" s="1" t="s">
        <v>533</v>
      </c>
      <c r="O729" s="1">
        <v>0</v>
      </c>
      <c r="P729" s="1">
        <v>0</v>
      </c>
      <c r="Q729" s="1">
        <v>0</v>
      </c>
      <c r="R729" s="1">
        <v>0</v>
      </c>
      <c r="T729" s="1">
        <v>0</v>
      </c>
      <c r="V729" s="1">
        <v>600</v>
      </c>
      <c r="W729" s="1">
        <v>0</v>
      </c>
      <c r="X729" s="1" t="s">
        <v>352</v>
      </c>
      <c r="Y729" s="1" t="s">
        <v>376</v>
      </c>
      <c r="Z729" s="1" t="s">
        <v>354</v>
      </c>
      <c r="AA729" s="1">
        <v>0</v>
      </c>
      <c r="AB729" s="1">
        <v>1</v>
      </c>
      <c r="AC729" s="1">
        <v>0</v>
      </c>
      <c r="AD729" s="1" t="s">
        <v>355</v>
      </c>
      <c r="AY729" s="1" t="s">
        <v>356</v>
      </c>
      <c r="AZ729" s="1">
        <v>10000</v>
      </c>
      <c r="BA729" s="1" t="s">
        <v>371</v>
      </c>
      <c r="BB729" s="1" t="s">
        <v>354</v>
      </c>
      <c r="BC729" s="1">
        <v>10000</v>
      </c>
      <c r="BD729" s="1">
        <v>0</v>
      </c>
      <c r="BE729" s="1" t="s">
        <v>358</v>
      </c>
      <c r="BF729" s="1">
        <v>0</v>
      </c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  <c r="CA729"/>
      <c r="CB729"/>
      <c r="CC729"/>
      <c r="CD729"/>
      <c r="CE729"/>
      <c r="CF729">
        <v>30075</v>
      </c>
      <c r="CG729" t="s">
        <v>366</v>
      </c>
      <c r="CH729">
        <v>900</v>
      </c>
      <c r="CI729">
        <v>80</v>
      </c>
      <c r="CJ729" t="s">
        <v>373</v>
      </c>
      <c r="CK729">
        <v>1</v>
      </c>
      <c r="CL729">
        <v>0</v>
      </c>
      <c r="CM729">
        <v>1</v>
      </c>
      <c r="CN729">
        <v>650</v>
      </c>
      <c r="CO729">
        <v>80</v>
      </c>
      <c r="CP729">
        <v>0</v>
      </c>
      <c r="CQ729">
        <v>1</v>
      </c>
      <c r="CR729">
        <v>11000002</v>
      </c>
      <c r="CS729">
        <v>0</v>
      </c>
      <c r="CT729">
        <v>0</v>
      </c>
      <c r="CU729">
        <v>0</v>
      </c>
      <c r="CV729" t="s">
        <v>355</v>
      </c>
      <c r="CW729"/>
      <c r="CZ729"/>
      <c r="DA729"/>
      <c r="DB729"/>
      <c r="DC729"/>
      <c r="DD729"/>
      <c r="DE729"/>
      <c r="DF729"/>
      <c r="DG729"/>
      <c r="DH729"/>
      <c r="DI729"/>
      <c r="DJ729"/>
      <c r="DK729"/>
      <c r="DL729"/>
      <c r="DM729"/>
      <c r="DN729"/>
      <c r="DO729"/>
      <c r="DP729"/>
      <c r="DQ729"/>
      <c r="DR729"/>
      <c r="DS729"/>
      <c r="DT729"/>
      <c r="DU729"/>
      <c r="DV729"/>
      <c r="DW729"/>
      <c r="DX729"/>
      <c r="DY729"/>
      <c r="DZ729"/>
      <c r="EA729"/>
      <c r="EB729"/>
      <c r="EC729"/>
      <c r="ED729"/>
      <c r="EE729"/>
      <c r="EF729"/>
      <c r="EG729"/>
      <c r="EH729"/>
      <c r="EI729"/>
      <c r="EJ729"/>
      <c r="EK729"/>
      <c r="EL729"/>
      <c r="EM729"/>
      <c r="EN729"/>
      <c r="EO729"/>
      <c r="EP729"/>
      <c r="EQ729"/>
      <c r="ER729"/>
      <c r="ES729"/>
      <c r="ET729"/>
      <c r="EU729"/>
      <c r="EV729"/>
      <c r="EW729"/>
      <c r="EX729"/>
      <c r="EY729"/>
      <c r="EZ729"/>
      <c r="FA729"/>
      <c r="FB729"/>
      <c r="FC729"/>
      <c r="FD729"/>
      <c r="FE729"/>
      <c r="FF729"/>
      <c r="FG729"/>
      <c r="FH729"/>
      <c r="FI729"/>
      <c r="FJ729"/>
      <c r="FK729"/>
      <c r="FL729"/>
      <c r="FM729"/>
      <c r="FN729"/>
      <c r="FO729"/>
      <c r="FP729"/>
      <c r="FQ729"/>
      <c r="FR729"/>
      <c r="FS729"/>
      <c r="FT729"/>
      <c r="FU729"/>
      <c r="FV729"/>
      <c r="FW729"/>
      <c r="FX729"/>
      <c r="FY729"/>
      <c r="FZ729"/>
      <c r="GA729"/>
      <c r="GB729"/>
      <c r="GC729"/>
      <c r="GD729"/>
      <c r="GE729"/>
      <c r="GF729"/>
      <c r="GG729"/>
      <c r="GH729"/>
      <c r="GI729"/>
      <c r="GJ729"/>
      <c r="GK729"/>
      <c r="GL729"/>
      <c r="GM729"/>
      <c r="GN729"/>
      <c r="GO729"/>
      <c r="GP729"/>
      <c r="GQ729"/>
      <c r="GR729"/>
      <c r="GS729"/>
      <c r="GT729"/>
      <c r="GU729"/>
      <c r="GV729"/>
      <c r="GW729"/>
      <c r="GX729" s="1">
        <v>1280</v>
      </c>
      <c r="GY729" s="1">
        <v>0</v>
      </c>
      <c r="GZ729" s="1" t="s">
        <v>359</v>
      </c>
      <c r="HA729" s="1">
        <v>0</v>
      </c>
      <c r="HD729" s="1">
        <v>1</v>
      </c>
      <c r="HE729">
        <v>1500</v>
      </c>
      <c r="HF729" s="1" t="b">
        <v>1</v>
      </c>
      <c r="HG729" s="1">
        <v>0</v>
      </c>
      <c r="HH729" s="1">
        <v>0</v>
      </c>
      <c r="HI729" s="1">
        <v>0</v>
      </c>
      <c r="HJ729" s="1">
        <v>0</v>
      </c>
      <c r="HK729" s="1" t="b">
        <v>0</v>
      </c>
      <c r="HM729" s="1">
        <v>10001</v>
      </c>
      <c r="HO729" s="1" t="s">
        <v>360</v>
      </c>
      <c r="HP729" s="1">
        <v>0</v>
      </c>
      <c r="HQ729" s="1">
        <v>0</v>
      </c>
      <c r="HR729" s="1">
        <v>0</v>
      </c>
      <c r="HT729" t="b">
        <v>1</v>
      </c>
    </row>
    <row r="730" spans="2:228">
      <c r="B730" s="1">
        <v>11000256</v>
      </c>
      <c r="C730" s="1" t="s">
        <v>561</v>
      </c>
      <c r="D730" s="1" t="s">
        <v>561</v>
      </c>
      <c r="E730" s="1" t="s">
        <v>360</v>
      </c>
      <c r="F730" s="1" t="s">
        <v>360</v>
      </c>
      <c r="G730" s="1">
        <v>0</v>
      </c>
      <c r="H730" s="1" t="b">
        <v>0</v>
      </c>
      <c r="I730" s="1">
        <v>1</v>
      </c>
      <c r="J730" s="1">
        <v>110000</v>
      </c>
      <c r="K730" s="1" t="s">
        <v>350</v>
      </c>
      <c r="M730" s="1">
        <v>0</v>
      </c>
      <c r="N730" s="1" t="s">
        <v>533</v>
      </c>
      <c r="O730" s="1">
        <v>0</v>
      </c>
      <c r="P730" s="1">
        <v>0</v>
      </c>
      <c r="Q730" s="1">
        <v>0</v>
      </c>
      <c r="R730" s="1">
        <v>0</v>
      </c>
      <c r="T730" s="1">
        <v>0</v>
      </c>
      <c r="V730" s="1">
        <v>600</v>
      </c>
      <c r="W730" s="1">
        <v>0</v>
      </c>
      <c r="X730" s="1" t="s">
        <v>352</v>
      </c>
      <c r="Y730" s="1" t="s">
        <v>376</v>
      </c>
      <c r="Z730" s="1" t="s">
        <v>354</v>
      </c>
      <c r="AA730" s="1">
        <v>0</v>
      </c>
      <c r="AB730" s="1">
        <v>1</v>
      </c>
      <c r="AC730" s="1">
        <v>0</v>
      </c>
      <c r="AD730" s="1" t="s">
        <v>355</v>
      </c>
      <c r="AY730" s="1" t="s">
        <v>356</v>
      </c>
      <c r="AZ730" s="1">
        <v>10000</v>
      </c>
      <c r="BA730" s="1" t="s">
        <v>371</v>
      </c>
      <c r="BB730" s="1" t="s">
        <v>354</v>
      </c>
      <c r="BC730" s="1">
        <v>10000</v>
      </c>
      <c r="BD730" s="1">
        <v>0</v>
      </c>
      <c r="BE730" s="1" t="s">
        <v>358</v>
      </c>
      <c r="BF730" s="1">
        <v>0</v>
      </c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  <c r="CA730"/>
      <c r="CB730"/>
      <c r="CC730"/>
      <c r="CD730"/>
      <c r="CE730"/>
      <c r="CF730">
        <v>30076</v>
      </c>
      <c r="CG730" t="s">
        <v>366</v>
      </c>
      <c r="CH730">
        <v>900</v>
      </c>
      <c r="CI730">
        <v>80</v>
      </c>
      <c r="CJ730" t="s">
        <v>373</v>
      </c>
      <c r="CK730">
        <v>1</v>
      </c>
      <c r="CL730">
        <v>0</v>
      </c>
      <c r="CM730">
        <v>1</v>
      </c>
      <c r="CN730">
        <v>650</v>
      </c>
      <c r="CO730">
        <v>80</v>
      </c>
      <c r="CP730">
        <v>0</v>
      </c>
      <c r="CQ730">
        <v>1</v>
      </c>
      <c r="CR730">
        <v>11000002</v>
      </c>
      <c r="CS730">
        <v>0</v>
      </c>
      <c r="CT730">
        <v>0</v>
      </c>
      <c r="CU730">
        <v>0</v>
      </c>
      <c r="CV730" t="s">
        <v>355</v>
      </c>
      <c r="CW730"/>
      <c r="CZ730"/>
      <c r="DA730"/>
      <c r="DB730"/>
      <c r="DC730"/>
      <c r="DD730"/>
      <c r="DE730"/>
      <c r="DF730"/>
      <c r="DG730"/>
      <c r="DH730"/>
      <c r="DI730"/>
      <c r="DJ730"/>
      <c r="DK730"/>
      <c r="DL730"/>
      <c r="DM730"/>
      <c r="DN730"/>
      <c r="DO730"/>
      <c r="DP730"/>
      <c r="DQ730"/>
      <c r="DR730"/>
      <c r="DS730"/>
      <c r="DT730"/>
      <c r="DU730"/>
      <c r="DV730"/>
      <c r="DW730"/>
      <c r="DX730"/>
      <c r="DY730"/>
      <c r="DZ730"/>
      <c r="EA730"/>
      <c r="EB730"/>
      <c r="EC730"/>
      <c r="ED730"/>
      <c r="EE730"/>
      <c r="EF730"/>
      <c r="EG730"/>
      <c r="EH730"/>
      <c r="EI730"/>
      <c r="EJ730"/>
      <c r="EK730"/>
      <c r="EL730"/>
      <c r="EM730"/>
      <c r="EN730"/>
      <c r="EO730"/>
      <c r="EP730"/>
      <c r="EQ730"/>
      <c r="ER730"/>
      <c r="ES730"/>
      <c r="ET730"/>
      <c r="EU730"/>
      <c r="EV730"/>
      <c r="EW730"/>
      <c r="EX730"/>
      <c r="EY730"/>
      <c r="EZ730"/>
      <c r="FA730"/>
      <c r="FB730"/>
      <c r="FC730"/>
      <c r="FD730"/>
      <c r="FE730"/>
      <c r="FF730"/>
      <c r="FG730"/>
      <c r="FH730"/>
      <c r="FI730"/>
      <c r="FJ730"/>
      <c r="FK730"/>
      <c r="FL730"/>
      <c r="FM730"/>
      <c r="FN730"/>
      <c r="FO730"/>
      <c r="FP730"/>
      <c r="FQ730"/>
      <c r="FR730"/>
      <c r="FS730"/>
      <c r="FT730"/>
      <c r="FU730"/>
      <c r="FV730"/>
      <c r="FW730"/>
      <c r="FX730"/>
      <c r="FY730"/>
      <c r="FZ730"/>
      <c r="GA730"/>
      <c r="GB730"/>
      <c r="GC730"/>
      <c r="GD730"/>
      <c r="GE730"/>
      <c r="GF730"/>
      <c r="GG730"/>
      <c r="GH730"/>
      <c r="GI730"/>
      <c r="GJ730"/>
      <c r="GK730"/>
      <c r="GL730"/>
      <c r="GM730"/>
      <c r="GN730"/>
      <c r="GO730"/>
      <c r="GP730"/>
      <c r="GQ730"/>
      <c r="GR730"/>
      <c r="GS730"/>
      <c r="GT730"/>
      <c r="GU730"/>
      <c r="GV730"/>
      <c r="GW730"/>
      <c r="GX730" s="1">
        <v>0</v>
      </c>
      <c r="GY730" s="1">
        <v>0</v>
      </c>
      <c r="GZ730" s="1" t="s">
        <v>359</v>
      </c>
      <c r="HA730" s="1">
        <v>0</v>
      </c>
      <c r="HD730" s="1">
        <v>1</v>
      </c>
      <c r="HE730">
        <v>1500</v>
      </c>
      <c r="HF730" s="1" t="b">
        <v>1</v>
      </c>
      <c r="HG730" s="1">
        <v>0</v>
      </c>
      <c r="HH730" s="1">
        <v>0</v>
      </c>
      <c r="HI730" s="1">
        <v>0</v>
      </c>
      <c r="HJ730" s="1">
        <v>0</v>
      </c>
      <c r="HK730" s="1" t="b">
        <v>0</v>
      </c>
      <c r="HM730" s="1">
        <v>10001</v>
      </c>
      <c r="HO730" s="1" t="s">
        <v>360</v>
      </c>
      <c r="HP730" s="1">
        <v>0</v>
      </c>
      <c r="HQ730" s="1">
        <v>0</v>
      </c>
      <c r="HR730" s="1">
        <v>0</v>
      </c>
      <c r="HT730" t="b">
        <v>1</v>
      </c>
    </row>
    <row r="731" spans="2:228">
      <c r="B731" s="1">
        <v>11000257</v>
      </c>
      <c r="C731" s="1" t="s">
        <v>562</v>
      </c>
      <c r="D731" s="1" t="s">
        <v>562</v>
      </c>
      <c r="E731" s="1" t="s">
        <v>360</v>
      </c>
      <c r="F731" s="1" t="s">
        <v>360</v>
      </c>
      <c r="G731" s="1">
        <v>0</v>
      </c>
      <c r="H731" s="1" t="b">
        <v>0</v>
      </c>
      <c r="I731" s="1">
        <v>1</v>
      </c>
      <c r="J731" s="1">
        <v>110000</v>
      </c>
      <c r="K731" s="1" t="s">
        <v>350</v>
      </c>
      <c r="M731" s="1">
        <v>0</v>
      </c>
      <c r="N731" s="1" t="s">
        <v>533</v>
      </c>
      <c r="O731" s="1">
        <v>0</v>
      </c>
      <c r="P731" s="1">
        <v>0</v>
      </c>
      <c r="Q731" s="1">
        <v>0</v>
      </c>
      <c r="R731" s="1">
        <v>0</v>
      </c>
      <c r="T731" s="1">
        <v>0</v>
      </c>
      <c r="V731" s="1">
        <v>600</v>
      </c>
      <c r="W731" s="1">
        <v>0</v>
      </c>
      <c r="X731" s="1" t="s">
        <v>352</v>
      </c>
      <c r="Y731" s="1" t="s">
        <v>376</v>
      </c>
      <c r="Z731" s="1" t="s">
        <v>354</v>
      </c>
      <c r="AA731" s="1">
        <v>0</v>
      </c>
      <c r="AB731" s="1">
        <v>1</v>
      </c>
      <c r="AC731" s="1">
        <v>0</v>
      </c>
      <c r="AD731" s="1" t="s">
        <v>355</v>
      </c>
      <c r="AY731" s="1" t="s">
        <v>356</v>
      </c>
      <c r="AZ731" s="1">
        <v>10000</v>
      </c>
      <c r="BA731" s="1" t="s">
        <v>371</v>
      </c>
      <c r="BB731" s="1" t="s">
        <v>354</v>
      </c>
      <c r="BC731" s="1">
        <v>10000</v>
      </c>
      <c r="BD731" s="1">
        <v>0</v>
      </c>
      <c r="BE731" s="1" t="s">
        <v>358</v>
      </c>
      <c r="BF731" s="1">
        <v>0</v>
      </c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>
        <v>30077</v>
      </c>
      <c r="CG731" t="s">
        <v>366</v>
      </c>
      <c r="CH731">
        <v>900</v>
      </c>
      <c r="CI731">
        <v>80</v>
      </c>
      <c r="CJ731" t="s">
        <v>373</v>
      </c>
      <c r="CK731">
        <v>1</v>
      </c>
      <c r="CL731">
        <v>0</v>
      </c>
      <c r="CM731">
        <v>1</v>
      </c>
      <c r="CN731">
        <v>650</v>
      </c>
      <c r="CO731">
        <v>80</v>
      </c>
      <c r="CP731">
        <v>0</v>
      </c>
      <c r="CQ731">
        <v>1</v>
      </c>
      <c r="CR731">
        <v>11000002</v>
      </c>
      <c r="CS731">
        <v>0</v>
      </c>
      <c r="CT731">
        <v>0</v>
      </c>
      <c r="CU731">
        <v>0</v>
      </c>
      <c r="CV731" t="s">
        <v>355</v>
      </c>
      <c r="CW731"/>
      <c r="CZ731"/>
      <c r="DA731"/>
      <c r="DB731"/>
      <c r="DC731"/>
      <c r="DD731"/>
      <c r="DE731"/>
      <c r="DF731"/>
      <c r="DG731"/>
      <c r="DH731"/>
      <c r="DI731"/>
      <c r="DJ731"/>
      <c r="DK731"/>
      <c r="DL731"/>
      <c r="DM731"/>
      <c r="DN731"/>
      <c r="DO731"/>
      <c r="DP731"/>
      <c r="DQ731"/>
      <c r="DR731"/>
      <c r="DS731"/>
      <c r="DT731"/>
      <c r="DU731"/>
      <c r="DV731"/>
      <c r="DW731"/>
      <c r="DX731"/>
      <c r="DY731"/>
      <c r="DZ731"/>
      <c r="EA731"/>
      <c r="EB731"/>
      <c r="EC731"/>
      <c r="ED731"/>
      <c r="EE731"/>
      <c r="EF731"/>
      <c r="EG731"/>
      <c r="EH731"/>
      <c r="EI731"/>
      <c r="EJ731"/>
      <c r="EK731"/>
      <c r="EL731"/>
      <c r="EM731"/>
      <c r="EN731"/>
      <c r="EO731"/>
      <c r="EP731"/>
      <c r="EQ731"/>
      <c r="ER731"/>
      <c r="ES731"/>
      <c r="ET731"/>
      <c r="EU731"/>
      <c r="EV731"/>
      <c r="EW731"/>
      <c r="EX731"/>
      <c r="EY731"/>
      <c r="EZ731"/>
      <c r="FA731"/>
      <c r="FB731"/>
      <c r="FC731"/>
      <c r="FD731"/>
      <c r="FE731"/>
      <c r="FF731"/>
      <c r="FG731"/>
      <c r="FH731"/>
      <c r="FI731"/>
      <c r="FJ731"/>
      <c r="FK731"/>
      <c r="FL731"/>
      <c r="FM731"/>
      <c r="FN731"/>
      <c r="FO731"/>
      <c r="FP731"/>
      <c r="FQ731"/>
      <c r="FR731"/>
      <c r="FS731"/>
      <c r="FT731"/>
      <c r="FU731"/>
      <c r="FV731"/>
      <c r="FW731"/>
      <c r="FX731"/>
      <c r="FY731"/>
      <c r="FZ731"/>
      <c r="GA731"/>
      <c r="GB731"/>
      <c r="GC731"/>
      <c r="GD731"/>
      <c r="GE731"/>
      <c r="GF731"/>
      <c r="GG731"/>
      <c r="GH731"/>
      <c r="GI731"/>
      <c r="GJ731"/>
      <c r="GK731"/>
      <c r="GL731"/>
      <c r="GM731"/>
      <c r="GN731"/>
      <c r="GO731"/>
      <c r="GP731"/>
      <c r="GQ731"/>
      <c r="GR731"/>
      <c r="GS731"/>
      <c r="GT731"/>
      <c r="GU731"/>
      <c r="GV731"/>
      <c r="GW731"/>
      <c r="GX731" s="1">
        <v>1000</v>
      </c>
      <c r="GY731" s="1">
        <v>0</v>
      </c>
      <c r="GZ731" s="1" t="s">
        <v>359</v>
      </c>
      <c r="HA731" s="1">
        <v>0</v>
      </c>
      <c r="HD731" s="1">
        <v>1</v>
      </c>
      <c r="HE731">
        <v>1500</v>
      </c>
      <c r="HF731" s="1" t="b">
        <v>1</v>
      </c>
      <c r="HG731" s="1">
        <v>0</v>
      </c>
      <c r="HH731" s="1">
        <v>0</v>
      </c>
      <c r="HI731" s="1">
        <v>0</v>
      </c>
      <c r="HJ731" s="1">
        <v>0</v>
      </c>
      <c r="HK731" s="1" t="b">
        <v>0</v>
      </c>
      <c r="HM731" s="1">
        <v>10001</v>
      </c>
      <c r="HO731" s="1" t="s">
        <v>360</v>
      </c>
      <c r="HP731" s="1">
        <v>0</v>
      </c>
      <c r="HQ731" s="1">
        <v>0</v>
      </c>
      <c r="HR731" s="1">
        <v>0</v>
      </c>
      <c r="HT731" t="b">
        <v>1</v>
      </c>
    </row>
    <row r="732" spans="2:228">
      <c r="B732" s="1">
        <v>11000258</v>
      </c>
      <c r="C732" s="1" t="s">
        <v>563</v>
      </c>
      <c r="D732" s="1" t="s">
        <v>563</v>
      </c>
      <c r="E732" s="1" t="s">
        <v>360</v>
      </c>
      <c r="F732" s="1" t="s">
        <v>360</v>
      </c>
      <c r="G732" s="1">
        <v>0</v>
      </c>
      <c r="H732" s="1" t="b">
        <v>0</v>
      </c>
      <c r="I732" s="1">
        <v>1</v>
      </c>
      <c r="J732" s="1">
        <v>110000</v>
      </c>
      <c r="K732" s="1" t="s">
        <v>350</v>
      </c>
      <c r="M732" s="1">
        <v>0</v>
      </c>
      <c r="N732" s="1" t="s">
        <v>533</v>
      </c>
      <c r="O732" s="1">
        <v>0</v>
      </c>
      <c r="P732" s="1">
        <v>0</v>
      </c>
      <c r="Q732" s="1">
        <v>0</v>
      </c>
      <c r="R732" s="1">
        <v>0</v>
      </c>
      <c r="T732" s="1">
        <v>0</v>
      </c>
      <c r="V732" s="1">
        <v>600</v>
      </c>
      <c r="W732" s="1">
        <v>0</v>
      </c>
      <c r="X732" s="1" t="s">
        <v>352</v>
      </c>
      <c r="Y732" s="1" t="s">
        <v>376</v>
      </c>
      <c r="Z732" s="1" t="s">
        <v>354</v>
      </c>
      <c r="AA732" s="1">
        <v>0</v>
      </c>
      <c r="AB732" s="1">
        <v>1</v>
      </c>
      <c r="AC732" s="1">
        <v>0</v>
      </c>
      <c r="AD732" s="1" t="s">
        <v>355</v>
      </c>
      <c r="AY732" s="1" t="s">
        <v>356</v>
      </c>
      <c r="AZ732" s="1">
        <v>10000</v>
      </c>
      <c r="BA732" s="1" t="s">
        <v>371</v>
      </c>
      <c r="BB732" s="1" t="s">
        <v>354</v>
      </c>
      <c r="BC732" s="1">
        <v>10000</v>
      </c>
      <c r="BD732" s="1">
        <v>0</v>
      </c>
      <c r="BE732" s="1" t="s">
        <v>358</v>
      </c>
      <c r="BF732" s="1">
        <v>0</v>
      </c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  <c r="CA732"/>
      <c r="CB732"/>
      <c r="CC732"/>
      <c r="CD732"/>
      <c r="CE732"/>
      <c r="CF732">
        <v>30078</v>
      </c>
      <c r="CG732" t="s">
        <v>366</v>
      </c>
      <c r="CH732">
        <v>900</v>
      </c>
      <c r="CI732">
        <v>80</v>
      </c>
      <c r="CJ732" t="s">
        <v>373</v>
      </c>
      <c r="CK732">
        <v>1</v>
      </c>
      <c r="CL732">
        <v>0</v>
      </c>
      <c r="CM732">
        <v>1</v>
      </c>
      <c r="CN732">
        <v>650</v>
      </c>
      <c r="CO732">
        <v>80</v>
      </c>
      <c r="CP732">
        <v>0</v>
      </c>
      <c r="CQ732">
        <v>1</v>
      </c>
      <c r="CR732">
        <v>11000002</v>
      </c>
      <c r="CS732">
        <v>0</v>
      </c>
      <c r="CT732">
        <v>0</v>
      </c>
      <c r="CU732">
        <v>0</v>
      </c>
      <c r="CV732" t="s">
        <v>355</v>
      </c>
      <c r="CW732"/>
      <c r="CZ732"/>
      <c r="DA732"/>
      <c r="DB732"/>
      <c r="DC732"/>
      <c r="DD732"/>
      <c r="DE732"/>
      <c r="DF732"/>
      <c r="DG732"/>
      <c r="DH732"/>
      <c r="DI732"/>
      <c r="DJ732"/>
      <c r="DK732"/>
      <c r="DL732"/>
      <c r="DM732"/>
      <c r="DN732"/>
      <c r="DO732"/>
      <c r="DP732"/>
      <c r="DQ732"/>
      <c r="DR732"/>
      <c r="DS732"/>
      <c r="DT732"/>
      <c r="DU732"/>
      <c r="DV732"/>
      <c r="DW732"/>
      <c r="DX732"/>
      <c r="DY732"/>
      <c r="DZ732"/>
      <c r="EA732"/>
      <c r="EB732"/>
      <c r="EC732"/>
      <c r="ED732"/>
      <c r="EE732"/>
      <c r="EF732"/>
      <c r="EG732"/>
      <c r="EH732"/>
      <c r="EI732"/>
      <c r="EJ732"/>
      <c r="EK732"/>
      <c r="EL732"/>
      <c r="EM732"/>
      <c r="EN732"/>
      <c r="EO732"/>
      <c r="EP732"/>
      <c r="EQ732"/>
      <c r="ER732"/>
      <c r="ES732"/>
      <c r="ET732"/>
      <c r="EU732"/>
      <c r="EV732"/>
      <c r="EW732"/>
      <c r="EX732"/>
      <c r="EY732"/>
      <c r="EZ732"/>
      <c r="FA732"/>
      <c r="FB732"/>
      <c r="FC732"/>
      <c r="FD732"/>
      <c r="FE732"/>
      <c r="FF732"/>
      <c r="FG732"/>
      <c r="FH732"/>
      <c r="FI732"/>
      <c r="FJ732"/>
      <c r="FK732"/>
      <c r="FL732"/>
      <c r="FM732"/>
      <c r="FN732"/>
      <c r="FO732"/>
      <c r="FP732"/>
      <c r="FQ732"/>
      <c r="FR732"/>
      <c r="FS732"/>
      <c r="FT732"/>
      <c r="FU732"/>
      <c r="FV732"/>
      <c r="FW732"/>
      <c r="FX732"/>
      <c r="FY732"/>
      <c r="FZ732"/>
      <c r="GA732"/>
      <c r="GB732"/>
      <c r="GC732"/>
      <c r="GD732"/>
      <c r="GE732"/>
      <c r="GF732"/>
      <c r="GG732"/>
      <c r="GH732"/>
      <c r="GI732"/>
      <c r="GJ732"/>
      <c r="GK732"/>
      <c r="GL732"/>
      <c r="GM732"/>
      <c r="GN732"/>
      <c r="GO732"/>
      <c r="GP732"/>
      <c r="GQ732"/>
      <c r="GR732"/>
      <c r="GS732"/>
      <c r="GT732"/>
      <c r="GU732"/>
      <c r="GV732"/>
      <c r="GW732"/>
      <c r="GX732" s="1">
        <v>1400</v>
      </c>
      <c r="GY732" s="1">
        <v>0</v>
      </c>
      <c r="GZ732" s="1" t="s">
        <v>359</v>
      </c>
      <c r="HA732" s="1">
        <v>0</v>
      </c>
      <c r="HD732" s="1">
        <v>1</v>
      </c>
      <c r="HE732">
        <v>1500</v>
      </c>
      <c r="HF732" s="1" t="b">
        <v>1</v>
      </c>
      <c r="HG732" s="1">
        <v>0</v>
      </c>
      <c r="HH732" s="1">
        <v>0</v>
      </c>
      <c r="HI732" s="1">
        <v>0</v>
      </c>
      <c r="HJ732" s="1">
        <v>0</v>
      </c>
      <c r="HK732" s="1" t="b">
        <v>0</v>
      </c>
      <c r="HM732" s="1">
        <v>10001</v>
      </c>
      <c r="HO732" s="1" t="s">
        <v>360</v>
      </c>
      <c r="HP732" s="1">
        <v>0</v>
      </c>
      <c r="HQ732" s="1">
        <v>0</v>
      </c>
      <c r="HR732" s="1">
        <v>0</v>
      </c>
      <c r="HT732" t="b">
        <v>1</v>
      </c>
    </row>
    <row r="733" spans="2:228">
      <c r="B733" s="1">
        <v>11000259</v>
      </c>
      <c r="C733" s="1" t="s">
        <v>564</v>
      </c>
      <c r="D733" s="1" t="s">
        <v>564</v>
      </c>
      <c r="E733" s="1" t="s">
        <v>360</v>
      </c>
      <c r="F733" s="1" t="s">
        <v>360</v>
      </c>
      <c r="G733" s="1">
        <v>0</v>
      </c>
      <c r="H733" s="1" t="b">
        <v>0</v>
      </c>
      <c r="I733" s="1">
        <v>1</v>
      </c>
      <c r="J733" s="1">
        <v>110000</v>
      </c>
      <c r="K733" s="1" t="s">
        <v>350</v>
      </c>
      <c r="M733" s="1">
        <v>0</v>
      </c>
      <c r="N733" s="1" t="s">
        <v>533</v>
      </c>
      <c r="O733" s="1">
        <v>0</v>
      </c>
      <c r="P733" s="1">
        <v>0</v>
      </c>
      <c r="Q733" s="1">
        <v>0</v>
      </c>
      <c r="R733" s="1">
        <v>0</v>
      </c>
      <c r="T733" s="1">
        <v>0</v>
      </c>
      <c r="V733" s="1">
        <v>600</v>
      </c>
      <c r="W733" s="1">
        <v>0</v>
      </c>
      <c r="X733" s="1" t="s">
        <v>352</v>
      </c>
      <c r="Y733" s="1" t="s">
        <v>376</v>
      </c>
      <c r="Z733" s="1" t="s">
        <v>354</v>
      </c>
      <c r="AA733" s="1">
        <v>0</v>
      </c>
      <c r="AB733" s="1">
        <v>1</v>
      </c>
      <c r="AC733" s="1">
        <v>0</v>
      </c>
      <c r="AD733" s="1" t="s">
        <v>355</v>
      </c>
      <c r="AY733" s="1" t="s">
        <v>356</v>
      </c>
      <c r="AZ733" s="1">
        <v>10000</v>
      </c>
      <c r="BA733" s="1" t="s">
        <v>371</v>
      </c>
      <c r="BB733" s="1" t="s">
        <v>354</v>
      </c>
      <c r="BC733" s="1">
        <v>10000</v>
      </c>
      <c r="BD733" s="1">
        <v>0</v>
      </c>
      <c r="BE733" s="1" t="s">
        <v>358</v>
      </c>
      <c r="BF733" s="1">
        <v>0</v>
      </c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  <c r="CD733"/>
      <c r="CE733"/>
      <c r="CF733">
        <v>30079</v>
      </c>
      <c r="CG733" t="s">
        <v>366</v>
      </c>
      <c r="CH733">
        <v>900</v>
      </c>
      <c r="CI733">
        <v>80</v>
      </c>
      <c r="CJ733" t="s">
        <v>373</v>
      </c>
      <c r="CK733">
        <v>1</v>
      </c>
      <c r="CL733">
        <v>0</v>
      </c>
      <c r="CM733">
        <v>1</v>
      </c>
      <c r="CN733">
        <v>650</v>
      </c>
      <c r="CO733">
        <v>80</v>
      </c>
      <c r="CP733">
        <v>0</v>
      </c>
      <c r="CQ733">
        <v>1</v>
      </c>
      <c r="CR733">
        <v>11000002</v>
      </c>
      <c r="CS733">
        <v>0</v>
      </c>
      <c r="CT733">
        <v>0</v>
      </c>
      <c r="CU733">
        <v>0</v>
      </c>
      <c r="CV733" t="s">
        <v>355</v>
      </c>
      <c r="CW733"/>
      <c r="CZ733"/>
      <c r="DA733"/>
      <c r="DB733"/>
      <c r="DC733"/>
      <c r="DD733"/>
      <c r="DE733"/>
      <c r="DF733"/>
      <c r="DG733"/>
      <c r="DH733"/>
      <c r="DI733"/>
      <c r="DJ733"/>
      <c r="DK733"/>
      <c r="DL733"/>
      <c r="DM733"/>
      <c r="DN733"/>
      <c r="DO733"/>
      <c r="DP733"/>
      <c r="DQ733"/>
      <c r="DR733"/>
      <c r="DS733"/>
      <c r="DT733"/>
      <c r="DU733"/>
      <c r="DV733"/>
      <c r="DW733"/>
      <c r="DX733"/>
      <c r="DY733"/>
      <c r="DZ733"/>
      <c r="EA733"/>
      <c r="EB733"/>
      <c r="EC733"/>
      <c r="ED733"/>
      <c r="EE733"/>
      <c r="EF733"/>
      <c r="EG733"/>
      <c r="EH733"/>
      <c r="EI733"/>
      <c r="EJ733"/>
      <c r="EK733"/>
      <c r="EL733"/>
      <c r="EM733"/>
      <c r="EN733"/>
      <c r="EO733"/>
      <c r="EP733"/>
      <c r="EQ733"/>
      <c r="ER733"/>
      <c r="ES733"/>
      <c r="ET733"/>
      <c r="EU733"/>
      <c r="EV733"/>
      <c r="EW733"/>
      <c r="EX733"/>
      <c r="EY733"/>
      <c r="EZ733"/>
      <c r="FA733"/>
      <c r="FB733"/>
      <c r="FC733"/>
      <c r="FD733"/>
      <c r="FE733"/>
      <c r="FF733"/>
      <c r="FG733"/>
      <c r="FH733"/>
      <c r="FI733"/>
      <c r="FJ733"/>
      <c r="FK733"/>
      <c r="FL733"/>
      <c r="FM733"/>
      <c r="FN733"/>
      <c r="FO733"/>
      <c r="FP733"/>
      <c r="FQ733"/>
      <c r="FR733"/>
      <c r="FS733"/>
      <c r="FT733"/>
      <c r="FU733"/>
      <c r="FV733"/>
      <c r="FW733"/>
      <c r="FX733"/>
      <c r="FY733"/>
      <c r="FZ733"/>
      <c r="GA733"/>
      <c r="GB733"/>
      <c r="GC733"/>
      <c r="GD733"/>
      <c r="GE733"/>
      <c r="GF733"/>
      <c r="GG733"/>
      <c r="GH733"/>
      <c r="GI733"/>
      <c r="GJ733"/>
      <c r="GK733"/>
      <c r="GL733"/>
      <c r="GM733"/>
      <c r="GN733"/>
      <c r="GO733"/>
      <c r="GP733"/>
      <c r="GQ733"/>
      <c r="GR733"/>
      <c r="GS733"/>
      <c r="GT733"/>
      <c r="GU733"/>
      <c r="GV733"/>
      <c r="GW733"/>
      <c r="GX733" s="1">
        <v>1680</v>
      </c>
      <c r="GY733" s="1">
        <v>0</v>
      </c>
      <c r="GZ733" s="1" t="s">
        <v>359</v>
      </c>
      <c r="HA733" s="1">
        <v>0</v>
      </c>
      <c r="HD733" s="1">
        <v>1</v>
      </c>
      <c r="HE733">
        <v>1500</v>
      </c>
      <c r="HF733" s="1" t="b">
        <v>1</v>
      </c>
      <c r="HG733" s="1">
        <v>0</v>
      </c>
      <c r="HH733" s="1">
        <v>0</v>
      </c>
      <c r="HI733" s="1">
        <v>0</v>
      </c>
      <c r="HJ733" s="1">
        <v>0</v>
      </c>
      <c r="HK733" s="1" t="b">
        <v>0</v>
      </c>
      <c r="HM733" s="1">
        <v>10001</v>
      </c>
      <c r="HO733" s="1" t="s">
        <v>360</v>
      </c>
      <c r="HP733" s="1">
        <v>0</v>
      </c>
      <c r="HQ733" s="1">
        <v>0</v>
      </c>
      <c r="HR733" s="1">
        <v>0</v>
      </c>
      <c r="HT733" t="b">
        <v>1</v>
      </c>
    </row>
    <row r="734" spans="2:228">
      <c r="B734" s="1">
        <v>11000260</v>
      </c>
      <c r="C734" s="1" t="s">
        <v>565</v>
      </c>
      <c r="D734" s="1" t="s">
        <v>565</v>
      </c>
      <c r="E734" s="1" t="s">
        <v>360</v>
      </c>
      <c r="F734" s="1" t="s">
        <v>360</v>
      </c>
      <c r="G734" s="1">
        <v>0</v>
      </c>
      <c r="H734" s="1" t="b">
        <v>0</v>
      </c>
      <c r="I734" s="1">
        <v>1</v>
      </c>
      <c r="J734" s="1">
        <v>110000</v>
      </c>
      <c r="K734" s="1" t="s">
        <v>350</v>
      </c>
      <c r="M734" s="1">
        <v>0</v>
      </c>
      <c r="N734" s="1" t="s">
        <v>533</v>
      </c>
      <c r="O734" s="1">
        <v>0</v>
      </c>
      <c r="P734" s="1">
        <v>0</v>
      </c>
      <c r="Q734" s="1">
        <v>0</v>
      </c>
      <c r="R734" s="1">
        <v>0</v>
      </c>
      <c r="T734" s="1">
        <v>0</v>
      </c>
      <c r="V734" s="1">
        <v>600</v>
      </c>
      <c r="W734" s="1">
        <v>0</v>
      </c>
      <c r="X734" s="1" t="s">
        <v>352</v>
      </c>
      <c r="Y734" s="1" t="s">
        <v>376</v>
      </c>
      <c r="Z734" s="1" t="s">
        <v>354</v>
      </c>
      <c r="AA734" s="1">
        <v>0</v>
      </c>
      <c r="AB734" s="1">
        <v>1</v>
      </c>
      <c r="AC734" s="1">
        <v>0</v>
      </c>
      <c r="AD734" s="1" t="s">
        <v>355</v>
      </c>
      <c r="AY734" s="1" t="s">
        <v>356</v>
      </c>
      <c r="AZ734" s="1">
        <v>10000</v>
      </c>
      <c r="BA734" s="1" t="s">
        <v>371</v>
      </c>
      <c r="BB734" s="1" t="s">
        <v>354</v>
      </c>
      <c r="BC734" s="1">
        <v>10000</v>
      </c>
      <c r="BD734" s="1">
        <v>0</v>
      </c>
      <c r="BE734" s="1" t="s">
        <v>358</v>
      </c>
      <c r="BF734" s="1">
        <v>0</v>
      </c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>
        <v>30080</v>
      </c>
      <c r="CG734" t="s">
        <v>366</v>
      </c>
      <c r="CH734">
        <v>900</v>
      </c>
      <c r="CI734">
        <v>80</v>
      </c>
      <c r="CJ734" t="s">
        <v>373</v>
      </c>
      <c r="CK734">
        <v>1</v>
      </c>
      <c r="CL734">
        <v>0</v>
      </c>
      <c r="CM734">
        <v>1</v>
      </c>
      <c r="CN734">
        <v>650</v>
      </c>
      <c r="CO734">
        <v>80</v>
      </c>
      <c r="CP734">
        <v>0</v>
      </c>
      <c r="CQ734">
        <v>1</v>
      </c>
      <c r="CR734">
        <v>11000002</v>
      </c>
      <c r="CS734">
        <v>0</v>
      </c>
      <c r="CT734">
        <v>0</v>
      </c>
      <c r="CU734">
        <v>0</v>
      </c>
      <c r="CV734" t="s">
        <v>355</v>
      </c>
      <c r="CW734"/>
      <c r="CZ734"/>
      <c r="DA734"/>
      <c r="DB734"/>
      <c r="DC734"/>
      <c r="DD734"/>
      <c r="DE734"/>
      <c r="DF734"/>
      <c r="DG734"/>
      <c r="DH734"/>
      <c r="DI734"/>
      <c r="DJ734"/>
      <c r="DK734"/>
      <c r="DL734"/>
      <c r="DM734"/>
      <c r="DN734"/>
      <c r="DO734"/>
      <c r="DP734"/>
      <c r="DQ734"/>
      <c r="DR734"/>
      <c r="DS734"/>
      <c r="DT734"/>
      <c r="DU734"/>
      <c r="DV734"/>
      <c r="DW734"/>
      <c r="DX734"/>
      <c r="DY734"/>
      <c r="DZ734"/>
      <c r="EA734"/>
      <c r="EB734"/>
      <c r="EC734"/>
      <c r="ED734"/>
      <c r="EE734"/>
      <c r="EF734"/>
      <c r="EG734"/>
      <c r="EH734"/>
      <c r="EI734"/>
      <c r="EJ734"/>
      <c r="EK734"/>
      <c r="EL734"/>
      <c r="EM734"/>
      <c r="EN734"/>
      <c r="EO734"/>
      <c r="EP734"/>
      <c r="EQ734"/>
      <c r="ER734"/>
      <c r="ES734"/>
      <c r="ET734"/>
      <c r="EU734"/>
      <c r="EV734"/>
      <c r="EW734"/>
      <c r="EX734"/>
      <c r="EY734"/>
      <c r="EZ734"/>
      <c r="FA734"/>
      <c r="FB734"/>
      <c r="FC734"/>
      <c r="FD734"/>
      <c r="FE734"/>
      <c r="FF734"/>
      <c r="FG734"/>
      <c r="FH734"/>
      <c r="FI734"/>
      <c r="FJ734"/>
      <c r="FK734"/>
      <c r="FL734"/>
      <c r="FM734"/>
      <c r="FN734"/>
      <c r="FO734"/>
      <c r="FP734"/>
      <c r="FQ734"/>
      <c r="FR734"/>
      <c r="FS734"/>
      <c r="FT734"/>
      <c r="FU734"/>
      <c r="FV734"/>
      <c r="FW734"/>
      <c r="FX734"/>
      <c r="FY734"/>
      <c r="FZ734"/>
      <c r="GA734"/>
      <c r="GB734"/>
      <c r="GC734"/>
      <c r="GD734"/>
      <c r="GE734"/>
      <c r="GF734"/>
      <c r="GG734"/>
      <c r="GH734"/>
      <c r="GI734"/>
      <c r="GJ734"/>
      <c r="GK734"/>
      <c r="GL734"/>
      <c r="GM734"/>
      <c r="GN734"/>
      <c r="GO734"/>
      <c r="GP734"/>
      <c r="GQ734"/>
      <c r="GR734"/>
      <c r="GS734"/>
      <c r="GT734"/>
      <c r="GU734"/>
      <c r="GV734"/>
      <c r="GW734"/>
      <c r="GX734" s="1">
        <v>3560</v>
      </c>
      <c r="GY734" s="1">
        <v>0</v>
      </c>
      <c r="GZ734" s="1" t="s">
        <v>359</v>
      </c>
      <c r="HA734" s="1">
        <v>0</v>
      </c>
      <c r="HD734" s="1">
        <v>1</v>
      </c>
      <c r="HE734">
        <v>1500</v>
      </c>
      <c r="HF734" s="1" t="b">
        <v>1</v>
      </c>
      <c r="HG734" s="1">
        <v>0</v>
      </c>
      <c r="HH734" s="1">
        <v>0</v>
      </c>
      <c r="HI734" s="1">
        <v>0</v>
      </c>
      <c r="HJ734" s="1">
        <v>0</v>
      </c>
      <c r="HK734" s="1" t="b">
        <v>0</v>
      </c>
      <c r="HM734" s="1">
        <v>10001</v>
      </c>
      <c r="HO734" s="1" t="s">
        <v>360</v>
      </c>
      <c r="HP734" s="1">
        <v>0</v>
      </c>
      <c r="HQ734" s="1">
        <v>0</v>
      </c>
      <c r="HR734" s="1">
        <v>0</v>
      </c>
      <c r="HT734" t="b">
        <v>1</v>
      </c>
    </row>
    <row r="735" spans="2:228">
      <c r="B735" s="1">
        <v>11000261</v>
      </c>
      <c r="C735" s="1" t="s">
        <v>566</v>
      </c>
      <c r="D735" s="1" t="s">
        <v>566</v>
      </c>
      <c r="E735" s="1" t="s">
        <v>360</v>
      </c>
      <c r="F735" s="1" t="s">
        <v>360</v>
      </c>
      <c r="G735" s="1">
        <v>0</v>
      </c>
      <c r="H735" s="1" t="b">
        <v>0</v>
      </c>
      <c r="I735" s="1">
        <v>1</v>
      </c>
      <c r="J735" s="1">
        <v>110000</v>
      </c>
      <c r="K735" s="1" t="s">
        <v>350</v>
      </c>
      <c r="M735" s="1">
        <v>0</v>
      </c>
      <c r="N735" s="1" t="s">
        <v>533</v>
      </c>
      <c r="O735" s="1">
        <v>0</v>
      </c>
      <c r="P735" s="1">
        <v>0</v>
      </c>
      <c r="Q735" s="1">
        <v>0</v>
      </c>
      <c r="R735" s="1">
        <v>0</v>
      </c>
      <c r="T735" s="1">
        <v>0</v>
      </c>
      <c r="V735" s="1">
        <v>600</v>
      </c>
      <c r="W735" s="1">
        <v>0</v>
      </c>
      <c r="X735" s="1" t="s">
        <v>352</v>
      </c>
      <c r="Y735" s="1" t="s">
        <v>376</v>
      </c>
      <c r="Z735" s="1" t="s">
        <v>354</v>
      </c>
      <c r="AA735" s="1">
        <v>0</v>
      </c>
      <c r="AB735" s="1">
        <v>1</v>
      </c>
      <c r="AC735" s="1">
        <v>0</v>
      </c>
      <c r="AD735" s="1" t="s">
        <v>355</v>
      </c>
      <c r="AY735" s="1" t="s">
        <v>356</v>
      </c>
      <c r="AZ735" s="1">
        <v>10000</v>
      </c>
      <c r="BA735" s="1" t="s">
        <v>371</v>
      </c>
      <c r="BB735" s="1" t="s">
        <v>354</v>
      </c>
      <c r="BC735" s="1">
        <v>10000</v>
      </c>
      <c r="BD735" s="1">
        <v>0</v>
      </c>
      <c r="BE735" s="1" t="s">
        <v>358</v>
      </c>
      <c r="BF735" s="1">
        <v>0</v>
      </c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  <c r="CC735"/>
      <c r="CD735"/>
      <c r="CE735"/>
      <c r="CF735">
        <v>30081</v>
      </c>
      <c r="CG735" t="s">
        <v>366</v>
      </c>
      <c r="CH735">
        <v>900</v>
      </c>
      <c r="CI735">
        <v>80</v>
      </c>
      <c r="CJ735" t="s">
        <v>373</v>
      </c>
      <c r="CK735">
        <v>1</v>
      </c>
      <c r="CL735">
        <v>0</v>
      </c>
      <c r="CM735">
        <v>1</v>
      </c>
      <c r="CN735">
        <v>650</v>
      </c>
      <c r="CO735">
        <v>80</v>
      </c>
      <c r="CP735">
        <v>0</v>
      </c>
      <c r="CQ735">
        <v>1</v>
      </c>
      <c r="CR735">
        <v>11000002</v>
      </c>
      <c r="CS735">
        <v>0</v>
      </c>
      <c r="CT735">
        <v>0</v>
      </c>
      <c r="CU735">
        <v>0</v>
      </c>
      <c r="CV735" t="s">
        <v>355</v>
      </c>
      <c r="CW735"/>
      <c r="CZ735"/>
      <c r="DA735"/>
      <c r="DB735"/>
      <c r="DC735"/>
      <c r="DD735"/>
      <c r="DE735"/>
      <c r="DF735"/>
      <c r="DG735"/>
      <c r="DH735"/>
      <c r="DI735"/>
      <c r="DJ735"/>
      <c r="DK735"/>
      <c r="DL735"/>
      <c r="DM735"/>
      <c r="DN735"/>
      <c r="DO735"/>
      <c r="DP735"/>
      <c r="DQ735"/>
      <c r="DR735"/>
      <c r="DS735"/>
      <c r="DT735"/>
      <c r="DU735"/>
      <c r="DV735"/>
      <c r="DW735"/>
      <c r="DX735"/>
      <c r="DY735"/>
      <c r="DZ735"/>
      <c r="EA735"/>
      <c r="EB735"/>
      <c r="EC735"/>
      <c r="ED735"/>
      <c r="EE735"/>
      <c r="EF735"/>
      <c r="EG735"/>
      <c r="EH735"/>
      <c r="EI735"/>
      <c r="EJ735"/>
      <c r="EK735"/>
      <c r="EL735"/>
      <c r="EM735"/>
      <c r="EN735"/>
      <c r="EO735"/>
      <c r="EP735"/>
      <c r="EQ735"/>
      <c r="ER735"/>
      <c r="ES735"/>
      <c r="ET735"/>
      <c r="EU735"/>
      <c r="EV735"/>
      <c r="EW735"/>
      <c r="EX735"/>
      <c r="EY735"/>
      <c r="EZ735"/>
      <c r="FA735"/>
      <c r="FB735"/>
      <c r="FC735"/>
      <c r="FD735"/>
      <c r="FE735"/>
      <c r="FF735"/>
      <c r="FG735"/>
      <c r="FH735"/>
      <c r="FI735"/>
      <c r="FJ735"/>
      <c r="FK735"/>
      <c r="FL735"/>
      <c r="FM735"/>
      <c r="FN735"/>
      <c r="FO735"/>
      <c r="FP735"/>
      <c r="FQ735"/>
      <c r="FR735"/>
      <c r="FS735"/>
      <c r="FT735"/>
      <c r="FU735"/>
      <c r="FV735"/>
      <c r="FW735"/>
      <c r="FX735"/>
      <c r="FY735"/>
      <c r="FZ735"/>
      <c r="GA735"/>
      <c r="GB735"/>
      <c r="GC735"/>
      <c r="GD735"/>
      <c r="GE735"/>
      <c r="GF735"/>
      <c r="GG735"/>
      <c r="GH735"/>
      <c r="GI735"/>
      <c r="GJ735"/>
      <c r="GK735"/>
      <c r="GL735"/>
      <c r="GM735"/>
      <c r="GN735"/>
      <c r="GO735"/>
      <c r="GP735"/>
      <c r="GQ735"/>
      <c r="GR735"/>
      <c r="GS735"/>
      <c r="GT735"/>
      <c r="GU735"/>
      <c r="GV735"/>
      <c r="GW735"/>
      <c r="GX735" s="1">
        <v>0</v>
      </c>
      <c r="GY735" s="1">
        <v>0</v>
      </c>
      <c r="GZ735" s="1" t="s">
        <v>359</v>
      </c>
      <c r="HA735" s="1">
        <v>0</v>
      </c>
      <c r="HD735" s="1">
        <v>1</v>
      </c>
      <c r="HE735">
        <v>1500</v>
      </c>
      <c r="HF735" s="1" t="b">
        <v>1</v>
      </c>
      <c r="HG735" s="1">
        <v>0</v>
      </c>
      <c r="HH735" s="1">
        <v>0</v>
      </c>
      <c r="HI735" s="1">
        <v>0</v>
      </c>
      <c r="HJ735" s="1">
        <v>0</v>
      </c>
      <c r="HK735" s="1" t="b">
        <v>0</v>
      </c>
      <c r="HM735" s="1">
        <v>10001</v>
      </c>
      <c r="HO735" s="1" t="s">
        <v>360</v>
      </c>
      <c r="HP735" s="1">
        <v>0</v>
      </c>
      <c r="HQ735" s="1">
        <v>0</v>
      </c>
      <c r="HR735" s="1">
        <v>0</v>
      </c>
      <c r="HT735" t="b">
        <v>1</v>
      </c>
    </row>
    <row r="736" spans="2:228">
      <c r="B736" s="1">
        <v>10370001</v>
      </c>
      <c r="C736" s="5" t="s">
        <v>567</v>
      </c>
      <c r="D736" s="5" t="s">
        <v>567</v>
      </c>
      <c r="E736" s="5" t="s">
        <v>360</v>
      </c>
      <c r="F736" s="5" t="s">
        <v>391</v>
      </c>
      <c r="G736" s="5" t="b">
        <v>0</v>
      </c>
      <c r="H736" s="5" t="b">
        <v>1</v>
      </c>
      <c r="I736" s="5">
        <v>1</v>
      </c>
      <c r="J736" s="5">
        <v>103700</v>
      </c>
      <c r="K736" s="5" t="s">
        <v>350</v>
      </c>
      <c r="L736" s="5">
        <v>0</v>
      </c>
      <c r="M736" s="5">
        <v>10370002</v>
      </c>
      <c r="N736" s="5" t="s">
        <v>535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/>
      <c r="V736" s="5">
        <v>0</v>
      </c>
      <c r="W736" s="5">
        <v>0</v>
      </c>
      <c r="X736" s="5" t="s">
        <v>352</v>
      </c>
      <c r="Y736" s="5" t="s">
        <v>376</v>
      </c>
      <c r="Z736" s="5" t="s">
        <v>354</v>
      </c>
      <c r="AA736" s="5">
        <v>0</v>
      </c>
      <c r="AB736" s="5">
        <v>1</v>
      </c>
      <c r="AC736" s="5" t="b">
        <v>0</v>
      </c>
      <c r="AD736" s="5" t="s">
        <v>355</v>
      </c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 t="s">
        <v>381</v>
      </c>
      <c r="AZ736" s="5">
        <v>10000</v>
      </c>
      <c r="BA736" s="5" t="s">
        <v>417</v>
      </c>
      <c r="BB736" s="5" t="s">
        <v>354</v>
      </c>
      <c r="BC736" s="5">
        <v>10000</v>
      </c>
      <c r="BD736" s="5">
        <v>0</v>
      </c>
      <c r="BE736" s="5" t="s">
        <v>358</v>
      </c>
      <c r="BF736" s="5">
        <v>0</v>
      </c>
      <c r="BG736" s="5"/>
      <c r="BH736" s="5"/>
      <c r="BI736" s="5"/>
      <c r="BJ736" s="5"/>
      <c r="BK736" s="5"/>
      <c r="BL736" s="5"/>
      <c r="BM736" s="5">
        <v>21001201</v>
      </c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  <c r="DJ736" s="5"/>
      <c r="DK736" s="5"/>
      <c r="DL736" s="5"/>
      <c r="DM736" s="5"/>
      <c r="DN736" s="5"/>
      <c r="DO736" s="5"/>
      <c r="DP736" s="5"/>
      <c r="DQ736" s="5"/>
      <c r="DR736" s="5"/>
      <c r="DS736" s="5"/>
      <c r="DT736" s="5"/>
      <c r="DU736" s="5"/>
      <c r="DV736" s="5"/>
      <c r="DW736" s="5"/>
      <c r="DX736" s="5"/>
      <c r="DY736" s="5"/>
      <c r="DZ736" s="5"/>
      <c r="EA736" s="5"/>
      <c r="EB736" s="5"/>
      <c r="EC736" s="5"/>
      <c r="ED736" s="5"/>
      <c r="EE736" s="5"/>
      <c r="EF736" s="5"/>
      <c r="EG736" s="5"/>
      <c r="EH736" s="5"/>
      <c r="EI736" s="5"/>
      <c r="EJ736" s="5"/>
      <c r="EK736" s="5"/>
      <c r="EL736" s="5"/>
      <c r="EM736" s="5"/>
      <c r="EN736" s="5"/>
      <c r="EO736" s="5"/>
      <c r="EP736" s="5"/>
      <c r="EQ736" s="5"/>
      <c r="ER736" s="5"/>
      <c r="ES736" s="5"/>
      <c r="ET736" s="5"/>
      <c r="EU736" s="5"/>
      <c r="EV736" s="5"/>
      <c r="EW736"/>
      <c r="EX736"/>
      <c r="EY736" s="5"/>
      <c r="EZ736" s="5"/>
      <c r="FA736" s="5"/>
      <c r="FB736" s="5"/>
      <c r="FC736" s="5"/>
      <c r="FD736" s="5"/>
      <c r="FE736" s="5"/>
      <c r="FF736" s="5"/>
      <c r="FG736" s="5"/>
      <c r="FH736" s="5"/>
      <c r="FI736" s="5"/>
      <c r="FJ736" s="5"/>
      <c r="FK736" s="5"/>
      <c r="FL736" s="5"/>
      <c r="FM736" s="5"/>
      <c r="FN736" s="5"/>
      <c r="FO736" s="5"/>
      <c r="FP736" s="5"/>
      <c r="FQ736" s="5"/>
      <c r="FR736" s="5"/>
      <c r="FS736" s="5"/>
      <c r="FT736" s="5"/>
      <c r="FU736" s="5"/>
      <c r="FV736" s="5"/>
      <c r="FW736" s="5"/>
      <c r="FX736" s="5"/>
      <c r="FY736" s="5"/>
      <c r="FZ736" s="5"/>
      <c r="GA736" s="5"/>
      <c r="GB736" s="5"/>
      <c r="GC736" s="5"/>
      <c r="GD736" s="5"/>
      <c r="GE736" s="5"/>
      <c r="GF736" s="5"/>
      <c r="GG736" s="5"/>
      <c r="GH736" s="5"/>
      <c r="GI736" s="5"/>
      <c r="GJ736" s="5"/>
      <c r="GK736" s="5"/>
      <c r="GL736" s="5"/>
      <c r="GM736" s="5"/>
      <c r="GN736" s="5"/>
      <c r="GO736" s="5"/>
      <c r="GP736" s="5"/>
      <c r="GQ736" s="5"/>
      <c r="GR736" s="5"/>
      <c r="GS736" s="5"/>
      <c r="GT736" s="5"/>
      <c r="GU736" s="5"/>
      <c r="GV736"/>
      <c r="GW736"/>
      <c r="GX736" s="5">
        <v>0</v>
      </c>
      <c r="GY736" s="5">
        <v>0</v>
      </c>
      <c r="GZ736" s="5" t="s">
        <v>366</v>
      </c>
      <c r="HA736" s="5">
        <v>0</v>
      </c>
      <c r="HB736" s="5"/>
      <c r="HC736" s="5"/>
      <c r="HD736" s="5" t="b">
        <v>0</v>
      </c>
      <c r="HE736" s="5">
        <v>0</v>
      </c>
      <c r="HF736" s="5" t="b">
        <v>1</v>
      </c>
      <c r="HG736" s="5">
        <v>0</v>
      </c>
      <c r="HH736" s="5">
        <v>0</v>
      </c>
      <c r="HI736" s="5">
        <v>0</v>
      </c>
      <c r="HJ736" s="5">
        <v>0</v>
      </c>
      <c r="HK736" s="5" t="b">
        <v>0</v>
      </c>
      <c r="HL736" s="5">
        <v>0</v>
      </c>
      <c r="HM736" s="5">
        <v>0</v>
      </c>
      <c r="HN736" s="5" t="s">
        <v>367</v>
      </c>
      <c r="HO736" s="5" t="s">
        <v>360</v>
      </c>
      <c r="HP736" s="5">
        <v>0</v>
      </c>
      <c r="HQ736" s="5">
        <v>0</v>
      </c>
      <c r="HR736" s="5">
        <v>0</v>
      </c>
      <c r="HS736" s="5">
        <v>0</v>
      </c>
      <c r="HT736" s="5" t="b">
        <v>0</v>
      </c>
    </row>
    <row r="737" spans="2:228">
      <c r="B737" s="1">
        <v>10370002</v>
      </c>
      <c r="C737" s="5" t="s">
        <v>567</v>
      </c>
      <c r="D737" s="5" t="s">
        <v>567</v>
      </c>
      <c r="E737" s="5" t="s">
        <v>360</v>
      </c>
      <c r="F737" s="5" t="s">
        <v>391</v>
      </c>
      <c r="G737" s="5" t="b">
        <v>0</v>
      </c>
      <c r="H737" s="5" t="b">
        <v>1</v>
      </c>
      <c r="I737" s="5">
        <v>2</v>
      </c>
      <c r="J737" s="5">
        <v>103700</v>
      </c>
      <c r="K737" s="5" t="s">
        <v>350</v>
      </c>
      <c r="L737" s="5">
        <v>0</v>
      </c>
      <c r="M737" s="5">
        <v>10370003</v>
      </c>
      <c r="N737" s="5" t="s">
        <v>535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/>
      <c r="V737" s="5">
        <v>0</v>
      </c>
      <c r="W737" s="5">
        <v>0</v>
      </c>
      <c r="X737" s="5" t="s">
        <v>352</v>
      </c>
      <c r="Y737" s="5" t="s">
        <v>376</v>
      </c>
      <c r="Z737" s="5" t="s">
        <v>354</v>
      </c>
      <c r="AA737" s="5">
        <v>0</v>
      </c>
      <c r="AB737" s="5">
        <v>1</v>
      </c>
      <c r="AC737" s="5" t="b">
        <v>0</v>
      </c>
      <c r="AD737" s="5" t="s">
        <v>355</v>
      </c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 t="s">
        <v>381</v>
      </c>
      <c r="AZ737" s="5">
        <v>10400</v>
      </c>
      <c r="BA737" s="5" t="s">
        <v>417</v>
      </c>
      <c r="BB737" s="5" t="s">
        <v>354</v>
      </c>
      <c r="BC737" s="5">
        <v>10000</v>
      </c>
      <c r="BD737" s="5">
        <v>0</v>
      </c>
      <c r="BE737" s="5" t="s">
        <v>358</v>
      </c>
      <c r="BF737" s="5">
        <v>0</v>
      </c>
      <c r="BG737" s="5"/>
      <c r="BH737" s="5"/>
      <c r="BI737" s="5"/>
      <c r="BJ737" s="5"/>
      <c r="BK737" s="5"/>
      <c r="BL737" s="5"/>
      <c r="BM737" s="5">
        <v>21001202</v>
      </c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  <c r="DJ737" s="5"/>
      <c r="DK737" s="5"/>
      <c r="DL737" s="5"/>
      <c r="DM737" s="5"/>
      <c r="DN737" s="5"/>
      <c r="DO737" s="5"/>
      <c r="DP737" s="5"/>
      <c r="DQ737" s="5"/>
      <c r="DR737" s="5"/>
      <c r="DS737" s="5"/>
      <c r="DT737" s="5"/>
      <c r="DU737" s="5"/>
      <c r="DV737" s="5"/>
      <c r="DW737" s="5"/>
      <c r="DX737" s="5"/>
      <c r="DY737" s="5"/>
      <c r="DZ737" s="5"/>
      <c r="EA737" s="5"/>
      <c r="EB737" s="5"/>
      <c r="EC737" s="5"/>
      <c r="ED737" s="5"/>
      <c r="EE737" s="5"/>
      <c r="EF737" s="5"/>
      <c r="EG737" s="5"/>
      <c r="EH737" s="5"/>
      <c r="EI737" s="5"/>
      <c r="EJ737" s="5"/>
      <c r="EK737" s="5"/>
      <c r="EL737" s="5"/>
      <c r="EM737" s="5"/>
      <c r="EN737" s="5"/>
      <c r="EO737" s="5"/>
      <c r="EP737" s="5"/>
      <c r="EQ737" s="5"/>
      <c r="ER737" s="5"/>
      <c r="ES737" s="5"/>
      <c r="ET737" s="5"/>
      <c r="EU737" s="5"/>
      <c r="EV737" s="5"/>
      <c r="EW737"/>
      <c r="EX737"/>
      <c r="EY737" s="5"/>
      <c r="EZ737" s="5"/>
      <c r="FA737" s="5"/>
      <c r="FB737" s="5"/>
      <c r="FC737" s="5"/>
      <c r="FD737" s="5"/>
      <c r="FE737" s="5"/>
      <c r="FF737" s="5"/>
      <c r="FG737" s="5"/>
      <c r="FH737" s="5"/>
      <c r="FI737" s="5"/>
      <c r="FJ737" s="5"/>
      <c r="FK737" s="5"/>
      <c r="FL737" s="5"/>
      <c r="FM737" s="5"/>
      <c r="FN737" s="5"/>
      <c r="FO737" s="5"/>
      <c r="FP737" s="5"/>
      <c r="FQ737" s="5"/>
      <c r="FR737" s="5"/>
      <c r="FS737" s="5"/>
      <c r="FT737" s="5"/>
      <c r="FU737" s="5"/>
      <c r="FV737" s="5"/>
      <c r="FW737" s="5"/>
      <c r="FX737" s="5"/>
      <c r="FY737" s="5"/>
      <c r="FZ737" s="5"/>
      <c r="GA737" s="5"/>
      <c r="GB737" s="5"/>
      <c r="GC737" s="5"/>
      <c r="GD737" s="5"/>
      <c r="GE737" s="5"/>
      <c r="GF737" s="5"/>
      <c r="GG737" s="5"/>
      <c r="GH737" s="5"/>
      <c r="GI737" s="5"/>
      <c r="GJ737" s="5"/>
      <c r="GK737" s="5"/>
      <c r="GL737" s="5"/>
      <c r="GM737" s="5"/>
      <c r="GN737" s="5"/>
      <c r="GO737" s="5"/>
      <c r="GP737" s="5"/>
      <c r="GQ737" s="5"/>
      <c r="GR737" s="5"/>
      <c r="GS737" s="5"/>
      <c r="GT737" s="5"/>
      <c r="GU737" s="5"/>
      <c r="GV737"/>
      <c r="GW737"/>
      <c r="GX737" s="5">
        <v>0</v>
      </c>
      <c r="GY737" s="5">
        <v>0</v>
      </c>
      <c r="GZ737" s="5" t="s">
        <v>366</v>
      </c>
      <c r="HA737" s="5">
        <v>0</v>
      </c>
      <c r="HB737" s="5"/>
      <c r="HC737" s="5"/>
      <c r="HD737" s="5" t="b">
        <v>0</v>
      </c>
      <c r="HE737" s="5">
        <v>0</v>
      </c>
      <c r="HF737" s="5" t="b">
        <v>1</v>
      </c>
      <c r="HG737" s="5">
        <v>0</v>
      </c>
      <c r="HH737" s="5">
        <v>0</v>
      </c>
      <c r="HI737" s="5">
        <v>0</v>
      </c>
      <c r="HJ737" s="5">
        <v>0</v>
      </c>
      <c r="HK737" s="5" t="b">
        <v>0</v>
      </c>
      <c r="HL737" s="5">
        <v>0</v>
      </c>
      <c r="HM737" s="5">
        <v>0</v>
      </c>
      <c r="HN737" s="5" t="s">
        <v>367</v>
      </c>
      <c r="HO737" s="5" t="s">
        <v>360</v>
      </c>
      <c r="HP737" s="5">
        <v>0</v>
      </c>
      <c r="HQ737" s="5">
        <v>0</v>
      </c>
      <c r="HR737" s="5">
        <v>0</v>
      </c>
      <c r="HS737" s="5">
        <v>0</v>
      </c>
      <c r="HT737" s="5" t="b">
        <v>0</v>
      </c>
    </row>
    <row r="738" spans="2:228">
      <c r="B738" s="1">
        <v>10370003</v>
      </c>
      <c r="C738" s="5" t="s">
        <v>567</v>
      </c>
      <c r="D738" s="5" t="s">
        <v>567</v>
      </c>
      <c r="E738" s="5" t="s">
        <v>360</v>
      </c>
      <c r="F738" s="5" t="s">
        <v>391</v>
      </c>
      <c r="G738" s="5" t="b">
        <v>0</v>
      </c>
      <c r="H738" s="5" t="b">
        <v>1</v>
      </c>
      <c r="I738" s="5">
        <v>3</v>
      </c>
      <c r="J738" s="5">
        <v>103700</v>
      </c>
      <c r="K738" s="5" t="s">
        <v>350</v>
      </c>
      <c r="L738" s="5">
        <v>0</v>
      </c>
      <c r="M738" s="5">
        <v>10370004</v>
      </c>
      <c r="N738" s="5" t="s">
        <v>535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/>
      <c r="V738" s="5">
        <v>0</v>
      </c>
      <c r="W738" s="5">
        <v>0</v>
      </c>
      <c r="X738" s="5" t="s">
        <v>352</v>
      </c>
      <c r="Y738" s="5" t="s">
        <v>376</v>
      </c>
      <c r="Z738" s="5" t="s">
        <v>354</v>
      </c>
      <c r="AA738" s="5">
        <v>0</v>
      </c>
      <c r="AB738" s="5">
        <v>1</v>
      </c>
      <c r="AC738" s="5" t="b">
        <v>0</v>
      </c>
      <c r="AD738" s="5" t="s">
        <v>355</v>
      </c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 t="s">
        <v>381</v>
      </c>
      <c r="AZ738" s="5">
        <v>10800</v>
      </c>
      <c r="BA738" s="5" t="s">
        <v>417</v>
      </c>
      <c r="BB738" s="5" t="s">
        <v>354</v>
      </c>
      <c r="BC738" s="5">
        <v>10000</v>
      </c>
      <c r="BD738" s="5">
        <v>0</v>
      </c>
      <c r="BE738" s="5" t="s">
        <v>358</v>
      </c>
      <c r="BF738" s="5">
        <v>0</v>
      </c>
      <c r="BG738" s="5"/>
      <c r="BH738" s="5"/>
      <c r="BI738" s="5"/>
      <c r="BJ738" s="5"/>
      <c r="BK738" s="5"/>
      <c r="BL738" s="5"/>
      <c r="BM738" s="5">
        <v>21001203</v>
      </c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  <c r="DJ738" s="5"/>
      <c r="DK738" s="5"/>
      <c r="DL738" s="5"/>
      <c r="DM738" s="5"/>
      <c r="DN738" s="5"/>
      <c r="DO738" s="5"/>
      <c r="DP738" s="5"/>
      <c r="DQ738" s="5"/>
      <c r="DR738" s="5"/>
      <c r="DS738" s="5"/>
      <c r="DT738" s="5"/>
      <c r="DU738" s="5"/>
      <c r="DV738" s="5"/>
      <c r="DW738" s="5"/>
      <c r="DX738" s="5"/>
      <c r="DY738" s="5"/>
      <c r="DZ738" s="5"/>
      <c r="EA738" s="5"/>
      <c r="EB738" s="5"/>
      <c r="EC738" s="5"/>
      <c r="ED738" s="5"/>
      <c r="EE738" s="5"/>
      <c r="EF738" s="5"/>
      <c r="EG738" s="5"/>
      <c r="EH738" s="5"/>
      <c r="EI738" s="5"/>
      <c r="EJ738" s="5"/>
      <c r="EK738" s="5"/>
      <c r="EL738" s="5"/>
      <c r="EM738" s="5"/>
      <c r="EN738" s="5"/>
      <c r="EO738" s="5"/>
      <c r="EP738" s="5"/>
      <c r="EQ738" s="5"/>
      <c r="ER738" s="5"/>
      <c r="ES738" s="5"/>
      <c r="ET738" s="5"/>
      <c r="EU738" s="5"/>
      <c r="EV738" s="5"/>
      <c r="EW738"/>
      <c r="EX738"/>
      <c r="EY738" s="5"/>
      <c r="EZ738" s="5"/>
      <c r="FA738" s="5"/>
      <c r="FB738" s="5"/>
      <c r="FC738" s="5"/>
      <c r="FD738" s="5"/>
      <c r="FE738" s="5"/>
      <c r="FF738" s="5"/>
      <c r="FG738" s="5"/>
      <c r="FH738" s="5"/>
      <c r="FI738" s="5"/>
      <c r="FJ738" s="5"/>
      <c r="FK738" s="5"/>
      <c r="FL738" s="5"/>
      <c r="FM738" s="5"/>
      <c r="FN738" s="5"/>
      <c r="FO738" s="5"/>
      <c r="FP738" s="5"/>
      <c r="FQ738" s="5"/>
      <c r="FR738" s="5"/>
      <c r="FS738" s="5"/>
      <c r="FT738" s="5"/>
      <c r="FU738" s="5"/>
      <c r="FV738" s="5"/>
      <c r="FW738" s="5"/>
      <c r="FX738" s="5"/>
      <c r="FY738" s="5"/>
      <c r="FZ738" s="5"/>
      <c r="GA738" s="5"/>
      <c r="GB738" s="5"/>
      <c r="GC738" s="5"/>
      <c r="GD738" s="5"/>
      <c r="GE738" s="5"/>
      <c r="GF738" s="5"/>
      <c r="GG738" s="5"/>
      <c r="GH738" s="5"/>
      <c r="GI738" s="5"/>
      <c r="GJ738" s="5"/>
      <c r="GK738" s="5"/>
      <c r="GL738" s="5"/>
      <c r="GM738" s="5"/>
      <c r="GN738" s="5"/>
      <c r="GO738" s="5"/>
      <c r="GP738" s="5"/>
      <c r="GQ738" s="5"/>
      <c r="GR738" s="5"/>
      <c r="GS738" s="5"/>
      <c r="GT738" s="5"/>
      <c r="GU738" s="5"/>
      <c r="GV738"/>
      <c r="GW738"/>
      <c r="GX738" s="5">
        <v>0</v>
      </c>
      <c r="GY738" s="5">
        <v>0</v>
      </c>
      <c r="GZ738" s="5" t="s">
        <v>366</v>
      </c>
      <c r="HA738" s="5">
        <v>0</v>
      </c>
      <c r="HB738" s="5"/>
      <c r="HC738" s="5"/>
      <c r="HD738" s="5" t="b">
        <v>0</v>
      </c>
      <c r="HE738" s="5">
        <v>0</v>
      </c>
      <c r="HF738" s="5" t="b">
        <v>1</v>
      </c>
      <c r="HG738" s="5">
        <v>0</v>
      </c>
      <c r="HH738" s="5">
        <v>0</v>
      </c>
      <c r="HI738" s="5">
        <v>0</v>
      </c>
      <c r="HJ738" s="5">
        <v>0</v>
      </c>
      <c r="HK738" s="5" t="b">
        <v>0</v>
      </c>
      <c r="HL738" s="5">
        <v>0</v>
      </c>
      <c r="HM738" s="5">
        <v>0</v>
      </c>
      <c r="HN738" s="5" t="s">
        <v>367</v>
      </c>
      <c r="HO738" s="5" t="s">
        <v>360</v>
      </c>
      <c r="HP738" s="5">
        <v>0</v>
      </c>
      <c r="HQ738" s="5">
        <v>0</v>
      </c>
      <c r="HR738" s="5">
        <v>0</v>
      </c>
      <c r="HS738" s="5">
        <v>0</v>
      </c>
      <c r="HT738" s="5" t="b">
        <v>0</v>
      </c>
    </row>
    <row r="739" spans="2:228">
      <c r="B739" s="1">
        <v>10370004</v>
      </c>
      <c r="C739" s="5" t="s">
        <v>567</v>
      </c>
      <c r="D739" s="5" t="s">
        <v>567</v>
      </c>
      <c r="E739" s="5" t="s">
        <v>360</v>
      </c>
      <c r="F739" s="5" t="s">
        <v>391</v>
      </c>
      <c r="G739" s="5" t="b">
        <v>0</v>
      </c>
      <c r="H739" s="5" t="b">
        <v>1</v>
      </c>
      <c r="I739" s="5">
        <v>4</v>
      </c>
      <c r="J739" s="5">
        <v>103700</v>
      </c>
      <c r="K739" s="5" t="s">
        <v>350</v>
      </c>
      <c r="L739" s="5">
        <v>0</v>
      </c>
      <c r="M739" s="5">
        <v>10370005</v>
      </c>
      <c r="N739" s="5" t="s">
        <v>535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/>
      <c r="V739" s="5">
        <v>0</v>
      </c>
      <c r="W739" s="5">
        <v>0</v>
      </c>
      <c r="X739" s="5" t="s">
        <v>352</v>
      </c>
      <c r="Y739" s="5" t="s">
        <v>376</v>
      </c>
      <c r="Z739" s="5" t="s">
        <v>354</v>
      </c>
      <c r="AA739" s="5">
        <v>0</v>
      </c>
      <c r="AB739" s="5">
        <v>1</v>
      </c>
      <c r="AC739" s="5" t="b">
        <v>0</v>
      </c>
      <c r="AD739" s="5" t="s">
        <v>355</v>
      </c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 t="s">
        <v>381</v>
      </c>
      <c r="AZ739" s="5">
        <v>11200</v>
      </c>
      <c r="BA739" s="5" t="s">
        <v>417</v>
      </c>
      <c r="BB739" s="5" t="s">
        <v>354</v>
      </c>
      <c r="BC739" s="5">
        <v>10000</v>
      </c>
      <c r="BD739" s="5">
        <v>0</v>
      </c>
      <c r="BE739" s="5" t="s">
        <v>358</v>
      </c>
      <c r="BF739" s="5">
        <v>0</v>
      </c>
      <c r="BG739" s="5"/>
      <c r="BH739" s="5"/>
      <c r="BI739" s="5"/>
      <c r="BJ739" s="5"/>
      <c r="BK739" s="5"/>
      <c r="BL739" s="5"/>
      <c r="BM739" s="5">
        <v>21001204</v>
      </c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  <c r="DJ739" s="5"/>
      <c r="DK739" s="5"/>
      <c r="DL739" s="5"/>
      <c r="DM739" s="5"/>
      <c r="DN739" s="5"/>
      <c r="DO739" s="5"/>
      <c r="DP739" s="5"/>
      <c r="DQ739" s="5"/>
      <c r="DR739" s="5"/>
      <c r="DS739" s="5"/>
      <c r="DT739" s="5"/>
      <c r="DU739" s="5"/>
      <c r="DV739" s="5"/>
      <c r="DW739" s="5"/>
      <c r="DX739" s="5"/>
      <c r="DY739" s="5"/>
      <c r="DZ739" s="5"/>
      <c r="EA739" s="5"/>
      <c r="EB739" s="5"/>
      <c r="EC739" s="5"/>
      <c r="ED739" s="5"/>
      <c r="EE739" s="5"/>
      <c r="EF739" s="5"/>
      <c r="EG739" s="5"/>
      <c r="EH739" s="5"/>
      <c r="EI739" s="5"/>
      <c r="EJ739" s="5"/>
      <c r="EK739" s="5"/>
      <c r="EL739" s="5"/>
      <c r="EM739" s="5"/>
      <c r="EN739" s="5"/>
      <c r="EO739" s="5"/>
      <c r="EP739" s="5"/>
      <c r="EQ739" s="5"/>
      <c r="ER739" s="5"/>
      <c r="ES739" s="5"/>
      <c r="ET739" s="5"/>
      <c r="EU739" s="5"/>
      <c r="EV739" s="5"/>
      <c r="EW739"/>
      <c r="EX739"/>
      <c r="EY739" s="5"/>
      <c r="EZ739" s="5"/>
      <c r="FA739" s="5"/>
      <c r="FB739" s="5"/>
      <c r="FC739" s="5"/>
      <c r="FD739" s="5"/>
      <c r="FE739" s="5"/>
      <c r="FF739" s="5"/>
      <c r="FG739" s="5"/>
      <c r="FH739" s="5"/>
      <c r="FI739" s="5"/>
      <c r="FJ739" s="5"/>
      <c r="FK739" s="5"/>
      <c r="FL739" s="5"/>
      <c r="FM739" s="5"/>
      <c r="FN739" s="5"/>
      <c r="FO739" s="5"/>
      <c r="FP739" s="5"/>
      <c r="FQ739" s="5"/>
      <c r="FR739" s="5"/>
      <c r="FS739" s="5"/>
      <c r="FT739" s="5"/>
      <c r="FU739" s="5"/>
      <c r="FV739" s="5"/>
      <c r="FW739" s="5"/>
      <c r="FX739" s="5"/>
      <c r="FY739" s="5"/>
      <c r="FZ739" s="5"/>
      <c r="GA739" s="5"/>
      <c r="GB739" s="5"/>
      <c r="GC739" s="5"/>
      <c r="GD739" s="5"/>
      <c r="GE739" s="5"/>
      <c r="GF739" s="5"/>
      <c r="GG739" s="5"/>
      <c r="GH739" s="5"/>
      <c r="GI739" s="5"/>
      <c r="GJ739" s="5"/>
      <c r="GK739" s="5"/>
      <c r="GL739" s="5"/>
      <c r="GM739" s="5"/>
      <c r="GN739" s="5"/>
      <c r="GO739" s="5"/>
      <c r="GP739" s="5"/>
      <c r="GQ739" s="5"/>
      <c r="GR739" s="5"/>
      <c r="GS739" s="5"/>
      <c r="GT739" s="5"/>
      <c r="GU739" s="5"/>
      <c r="GV739"/>
      <c r="GW739"/>
      <c r="GX739" s="5">
        <v>0</v>
      </c>
      <c r="GY739" s="5">
        <v>0</v>
      </c>
      <c r="GZ739" s="5" t="s">
        <v>366</v>
      </c>
      <c r="HA739" s="5">
        <v>0</v>
      </c>
      <c r="HB739" s="5"/>
      <c r="HC739" s="5"/>
      <c r="HD739" s="5" t="b">
        <v>0</v>
      </c>
      <c r="HE739" s="5">
        <v>0</v>
      </c>
      <c r="HF739" s="5" t="b">
        <v>1</v>
      </c>
      <c r="HG739" s="5">
        <v>0</v>
      </c>
      <c r="HH739" s="5">
        <v>0</v>
      </c>
      <c r="HI739" s="5">
        <v>0</v>
      </c>
      <c r="HJ739" s="5">
        <v>0</v>
      </c>
      <c r="HK739" s="5" t="b">
        <v>0</v>
      </c>
      <c r="HL739" s="5">
        <v>0</v>
      </c>
      <c r="HM739" s="5">
        <v>0</v>
      </c>
      <c r="HN739" s="5" t="s">
        <v>367</v>
      </c>
      <c r="HO739" s="5" t="s">
        <v>360</v>
      </c>
      <c r="HP739" s="5">
        <v>0</v>
      </c>
      <c r="HQ739" s="5">
        <v>0</v>
      </c>
      <c r="HR739" s="5">
        <v>0</v>
      </c>
      <c r="HS739" s="5">
        <v>0</v>
      </c>
      <c r="HT739" s="5" t="b">
        <v>0</v>
      </c>
    </row>
    <row r="740" spans="2:228">
      <c r="B740" s="1">
        <v>10370005</v>
      </c>
      <c r="C740" s="5" t="s">
        <v>567</v>
      </c>
      <c r="D740" s="5" t="s">
        <v>567</v>
      </c>
      <c r="E740" s="5" t="s">
        <v>360</v>
      </c>
      <c r="F740" s="5" t="s">
        <v>391</v>
      </c>
      <c r="G740" s="5" t="b">
        <v>0</v>
      </c>
      <c r="H740" s="5" t="b">
        <v>1</v>
      </c>
      <c r="I740" s="5">
        <v>5</v>
      </c>
      <c r="J740" s="5">
        <v>103700</v>
      </c>
      <c r="K740" s="5" t="s">
        <v>350</v>
      </c>
      <c r="L740" s="5">
        <v>0</v>
      </c>
      <c r="M740" s="5">
        <v>10370006</v>
      </c>
      <c r="N740" s="5" t="s">
        <v>535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/>
      <c r="V740" s="5">
        <v>0</v>
      </c>
      <c r="W740" s="5">
        <v>0</v>
      </c>
      <c r="X740" s="5" t="s">
        <v>352</v>
      </c>
      <c r="Y740" s="5" t="s">
        <v>376</v>
      </c>
      <c r="Z740" s="5" t="s">
        <v>354</v>
      </c>
      <c r="AA740" s="5">
        <v>0</v>
      </c>
      <c r="AB740" s="5">
        <v>1</v>
      </c>
      <c r="AC740" s="5" t="b">
        <v>0</v>
      </c>
      <c r="AD740" s="5" t="s">
        <v>355</v>
      </c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 t="s">
        <v>381</v>
      </c>
      <c r="AZ740" s="5">
        <v>11300</v>
      </c>
      <c r="BA740" s="5" t="s">
        <v>417</v>
      </c>
      <c r="BB740" s="5" t="s">
        <v>354</v>
      </c>
      <c r="BC740" s="5">
        <v>10000</v>
      </c>
      <c r="BD740" s="5">
        <v>0</v>
      </c>
      <c r="BE740" s="5" t="s">
        <v>358</v>
      </c>
      <c r="BF740" s="5">
        <v>0</v>
      </c>
      <c r="BG740" s="5"/>
      <c r="BH740" s="5"/>
      <c r="BI740" s="5"/>
      <c r="BJ740" s="5"/>
      <c r="BK740" s="5"/>
      <c r="BL740" s="5"/>
      <c r="BM740" s="5">
        <v>21001205</v>
      </c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  <c r="DJ740" s="5"/>
      <c r="DK740" s="5"/>
      <c r="DL740" s="5"/>
      <c r="DM740" s="5"/>
      <c r="DN740" s="5"/>
      <c r="DO740" s="5"/>
      <c r="DP740" s="5"/>
      <c r="DQ740" s="5"/>
      <c r="DR740" s="5"/>
      <c r="DS740" s="5"/>
      <c r="DT740" s="5"/>
      <c r="DU740" s="5"/>
      <c r="DV740" s="5"/>
      <c r="DW740" s="5"/>
      <c r="DX740" s="5"/>
      <c r="DY740" s="5"/>
      <c r="DZ740" s="5"/>
      <c r="EA740" s="5"/>
      <c r="EB740" s="5"/>
      <c r="EC740" s="5"/>
      <c r="ED740" s="5"/>
      <c r="EE740" s="5"/>
      <c r="EF740" s="5"/>
      <c r="EG740" s="5"/>
      <c r="EH740" s="5"/>
      <c r="EI740" s="5"/>
      <c r="EJ740" s="5"/>
      <c r="EK740" s="5"/>
      <c r="EL740" s="5"/>
      <c r="EM740" s="5"/>
      <c r="EN740" s="5"/>
      <c r="EO740" s="5"/>
      <c r="EP740" s="5"/>
      <c r="EQ740" s="5"/>
      <c r="ER740" s="5"/>
      <c r="ES740" s="5"/>
      <c r="ET740" s="5"/>
      <c r="EU740" s="5"/>
      <c r="EV740" s="5"/>
      <c r="EW740"/>
      <c r="EX740"/>
      <c r="EY740" s="5"/>
      <c r="EZ740" s="5"/>
      <c r="FA740" s="5"/>
      <c r="FB740" s="5"/>
      <c r="FC740" s="5"/>
      <c r="FD740" s="5"/>
      <c r="FE740" s="5"/>
      <c r="FF740" s="5"/>
      <c r="FG740" s="5"/>
      <c r="FH740" s="5"/>
      <c r="FI740" s="5"/>
      <c r="FJ740" s="5"/>
      <c r="FK740" s="5"/>
      <c r="FL740" s="5"/>
      <c r="FM740" s="5"/>
      <c r="FN740" s="5"/>
      <c r="FO740" s="5"/>
      <c r="FP740" s="5"/>
      <c r="FQ740" s="5"/>
      <c r="FR740" s="5"/>
      <c r="FS740" s="5"/>
      <c r="FT740" s="5"/>
      <c r="FU740" s="5"/>
      <c r="FV740" s="5"/>
      <c r="FW740" s="5"/>
      <c r="FX740" s="5"/>
      <c r="FY740" s="5"/>
      <c r="FZ740" s="5"/>
      <c r="GA740" s="5"/>
      <c r="GB740" s="5"/>
      <c r="GC740" s="5"/>
      <c r="GD740" s="5"/>
      <c r="GE740" s="5"/>
      <c r="GF740" s="5"/>
      <c r="GG740" s="5"/>
      <c r="GH740" s="5"/>
      <c r="GI740" s="5"/>
      <c r="GJ740" s="5"/>
      <c r="GK740" s="5"/>
      <c r="GL740" s="5"/>
      <c r="GM740" s="5"/>
      <c r="GN740" s="5"/>
      <c r="GO740" s="5"/>
      <c r="GP740" s="5"/>
      <c r="GQ740" s="5"/>
      <c r="GR740" s="5"/>
      <c r="GS740" s="5"/>
      <c r="GT740" s="5"/>
      <c r="GU740" s="5"/>
      <c r="GV740"/>
      <c r="GW740"/>
      <c r="GX740" s="5">
        <v>0</v>
      </c>
      <c r="GY740" s="5">
        <v>0</v>
      </c>
      <c r="GZ740" s="5" t="s">
        <v>366</v>
      </c>
      <c r="HA740" s="5">
        <v>0</v>
      </c>
      <c r="HB740" s="5"/>
      <c r="HC740" s="5"/>
      <c r="HD740" s="5" t="b">
        <v>0</v>
      </c>
      <c r="HE740" s="5">
        <v>0</v>
      </c>
      <c r="HF740" s="5" t="b">
        <v>1</v>
      </c>
      <c r="HG740" s="5">
        <v>0</v>
      </c>
      <c r="HH740" s="5">
        <v>0</v>
      </c>
      <c r="HI740" s="5">
        <v>0</v>
      </c>
      <c r="HJ740" s="5">
        <v>0</v>
      </c>
      <c r="HK740" s="5" t="b">
        <v>0</v>
      </c>
      <c r="HL740" s="5">
        <v>0</v>
      </c>
      <c r="HM740" s="5">
        <v>0</v>
      </c>
      <c r="HN740" s="5" t="s">
        <v>367</v>
      </c>
      <c r="HO740" s="5" t="s">
        <v>360</v>
      </c>
      <c r="HP740" s="5">
        <v>0</v>
      </c>
      <c r="HQ740" s="5">
        <v>0</v>
      </c>
      <c r="HR740" s="5">
        <v>0</v>
      </c>
      <c r="HS740" s="5">
        <v>0</v>
      </c>
      <c r="HT740" s="5" t="b">
        <v>0</v>
      </c>
    </row>
    <row r="741" spans="2:228">
      <c r="B741" s="1">
        <v>10370006</v>
      </c>
      <c r="C741" s="5" t="s">
        <v>567</v>
      </c>
      <c r="D741" s="5" t="s">
        <v>567</v>
      </c>
      <c r="E741" s="5" t="s">
        <v>360</v>
      </c>
      <c r="F741" s="5" t="s">
        <v>391</v>
      </c>
      <c r="G741" s="5" t="b">
        <v>0</v>
      </c>
      <c r="H741" s="5" t="b">
        <v>1</v>
      </c>
      <c r="I741" s="5">
        <v>6</v>
      </c>
      <c r="J741" s="5">
        <v>103700</v>
      </c>
      <c r="K741" s="5" t="s">
        <v>350</v>
      </c>
      <c r="L741" s="5">
        <v>0</v>
      </c>
      <c r="M741" s="5">
        <v>10370007</v>
      </c>
      <c r="N741" s="5" t="s">
        <v>535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/>
      <c r="V741" s="5">
        <v>0</v>
      </c>
      <c r="W741" s="5">
        <v>0</v>
      </c>
      <c r="X741" s="5" t="s">
        <v>352</v>
      </c>
      <c r="Y741" s="5" t="s">
        <v>376</v>
      </c>
      <c r="Z741" s="5" t="s">
        <v>354</v>
      </c>
      <c r="AA741" s="5">
        <v>0</v>
      </c>
      <c r="AB741" s="5">
        <v>1</v>
      </c>
      <c r="AC741" s="5" t="b">
        <v>0</v>
      </c>
      <c r="AD741" s="5" t="s">
        <v>355</v>
      </c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 t="s">
        <v>381</v>
      </c>
      <c r="AZ741" s="5">
        <v>11600</v>
      </c>
      <c r="BA741" s="5" t="s">
        <v>417</v>
      </c>
      <c r="BB741" s="5" t="s">
        <v>354</v>
      </c>
      <c r="BC741" s="5">
        <v>10000</v>
      </c>
      <c r="BD741" s="5">
        <v>0</v>
      </c>
      <c r="BE741" s="5" t="s">
        <v>358</v>
      </c>
      <c r="BF741" s="5">
        <v>0</v>
      </c>
      <c r="BG741" s="5"/>
      <c r="BH741" s="5"/>
      <c r="BI741" s="5"/>
      <c r="BJ741" s="5"/>
      <c r="BK741" s="5"/>
      <c r="BL741" s="5"/>
      <c r="BM741" s="5">
        <v>21001206</v>
      </c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  <c r="DJ741" s="5"/>
      <c r="DK741" s="5"/>
      <c r="DL741" s="5"/>
      <c r="DM741" s="5"/>
      <c r="DN741" s="5"/>
      <c r="DO741" s="5"/>
      <c r="DP741" s="5"/>
      <c r="DQ741" s="5"/>
      <c r="DR741" s="5"/>
      <c r="DS741" s="5"/>
      <c r="DT741" s="5"/>
      <c r="DU741" s="5"/>
      <c r="DV741" s="5"/>
      <c r="DW741" s="5"/>
      <c r="DX741" s="5"/>
      <c r="DY741" s="5"/>
      <c r="DZ741" s="5"/>
      <c r="EA741" s="5"/>
      <c r="EB741" s="5"/>
      <c r="EC741" s="5"/>
      <c r="ED741" s="5"/>
      <c r="EE741" s="5"/>
      <c r="EF741" s="5"/>
      <c r="EG741" s="5"/>
      <c r="EH741" s="5"/>
      <c r="EI741" s="5"/>
      <c r="EJ741" s="5"/>
      <c r="EK741" s="5"/>
      <c r="EL741" s="5"/>
      <c r="EM741" s="5"/>
      <c r="EN741" s="5"/>
      <c r="EO741" s="5"/>
      <c r="EP741" s="5"/>
      <c r="EQ741" s="5"/>
      <c r="ER741" s="5"/>
      <c r="ES741" s="5"/>
      <c r="ET741" s="5"/>
      <c r="EU741" s="5"/>
      <c r="EV741" s="5"/>
      <c r="EW741"/>
      <c r="EX741"/>
      <c r="EY741" s="5"/>
      <c r="EZ741" s="5"/>
      <c r="FA741" s="5"/>
      <c r="FB741" s="5"/>
      <c r="FC741" s="5"/>
      <c r="FD741" s="5"/>
      <c r="FE741" s="5"/>
      <c r="FF741" s="5"/>
      <c r="FG741" s="5"/>
      <c r="FH741" s="5"/>
      <c r="FI741" s="5"/>
      <c r="FJ741" s="5"/>
      <c r="FK741" s="5"/>
      <c r="FL741" s="5"/>
      <c r="FM741" s="5"/>
      <c r="FN741" s="5"/>
      <c r="FO741" s="5"/>
      <c r="FP741" s="5"/>
      <c r="FQ741" s="5"/>
      <c r="FR741" s="5"/>
      <c r="FS741" s="5"/>
      <c r="FT741" s="5"/>
      <c r="FU741" s="5"/>
      <c r="FV741" s="5"/>
      <c r="FW741" s="5"/>
      <c r="FX741" s="5"/>
      <c r="FY741" s="5"/>
      <c r="FZ741" s="5"/>
      <c r="GA741" s="5"/>
      <c r="GB741" s="5"/>
      <c r="GC741" s="5"/>
      <c r="GD741" s="5"/>
      <c r="GE741" s="5"/>
      <c r="GF741" s="5"/>
      <c r="GG741" s="5"/>
      <c r="GH741" s="5"/>
      <c r="GI741" s="5"/>
      <c r="GJ741" s="5"/>
      <c r="GK741" s="5"/>
      <c r="GL741" s="5"/>
      <c r="GM741" s="5"/>
      <c r="GN741" s="5"/>
      <c r="GO741" s="5"/>
      <c r="GP741" s="5"/>
      <c r="GQ741" s="5"/>
      <c r="GR741" s="5"/>
      <c r="GS741" s="5"/>
      <c r="GT741" s="5"/>
      <c r="GU741" s="5"/>
      <c r="GV741"/>
      <c r="GW741"/>
      <c r="GX741" s="5">
        <v>0</v>
      </c>
      <c r="GY741" s="5">
        <v>0</v>
      </c>
      <c r="GZ741" s="5" t="s">
        <v>366</v>
      </c>
      <c r="HA741" s="5">
        <v>0</v>
      </c>
      <c r="HB741" s="5"/>
      <c r="HC741" s="5"/>
      <c r="HD741" s="5" t="b">
        <v>0</v>
      </c>
      <c r="HE741" s="5">
        <v>0</v>
      </c>
      <c r="HF741" s="5" t="b">
        <v>1</v>
      </c>
      <c r="HG741" s="5">
        <v>0</v>
      </c>
      <c r="HH741" s="5">
        <v>0</v>
      </c>
      <c r="HI741" s="5">
        <v>0</v>
      </c>
      <c r="HJ741" s="5">
        <v>0</v>
      </c>
      <c r="HK741" s="5" t="b">
        <v>0</v>
      </c>
      <c r="HL741" s="5">
        <v>0</v>
      </c>
      <c r="HM741" s="5">
        <v>0</v>
      </c>
      <c r="HN741" s="5" t="s">
        <v>367</v>
      </c>
      <c r="HO741" s="5" t="s">
        <v>360</v>
      </c>
      <c r="HP741" s="5">
        <v>0</v>
      </c>
      <c r="HQ741" s="5">
        <v>0</v>
      </c>
      <c r="HR741" s="5">
        <v>0</v>
      </c>
      <c r="HS741" s="5">
        <v>0</v>
      </c>
      <c r="HT741" s="5" t="b">
        <v>0</v>
      </c>
    </row>
    <row r="742" spans="2:228">
      <c r="B742" s="1">
        <v>10370007</v>
      </c>
      <c r="C742" s="5" t="s">
        <v>567</v>
      </c>
      <c r="D742" s="5" t="s">
        <v>567</v>
      </c>
      <c r="E742" s="5" t="s">
        <v>360</v>
      </c>
      <c r="F742" s="5" t="s">
        <v>391</v>
      </c>
      <c r="G742" s="5" t="b">
        <v>0</v>
      </c>
      <c r="H742" s="5" t="b">
        <v>1</v>
      </c>
      <c r="I742" s="5">
        <v>7</v>
      </c>
      <c r="J742" s="5">
        <v>103700</v>
      </c>
      <c r="K742" s="5" t="s">
        <v>350</v>
      </c>
      <c r="L742" s="5">
        <v>0</v>
      </c>
      <c r="M742" s="5">
        <v>10370008</v>
      </c>
      <c r="N742" s="5" t="s">
        <v>535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/>
      <c r="V742" s="5">
        <v>0</v>
      </c>
      <c r="W742" s="5">
        <v>0</v>
      </c>
      <c r="X742" s="5" t="s">
        <v>352</v>
      </c>
      <c r="Y742" s="5" t="s">
        <v>376</v>
      </c>
      <c r="Z742" s="5" t="s">
        <v>354</v>
      </c>
      <c r="AA742" s="5">
        <v>0</v>
      </c>
      <c r="AB742" s="5">
        <v>1</v>
      </c>
      <c r="AC742" s="5" t="b">
        <v>0</v>
      </c>
      <c r="AD742" s="5" t="s">
        <v>355</v>
      </c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 t="s">
        <v>381</v>
      </c>
      <c r="AZ742" s="5">
        <v>11700</v>
      </c>
      <c r="BA742" s="5" t="s">
        <v>417</v>
      </c>
      <c r="BB742" s="5" t="s">
        <v>354</v>
      </c>
      <c r="BC742" s="5">
        <v>10000</v>
      </c>
      <c r="BD742" s="5">
        <v>0</v>
      </c>
      <c r="BE742" s="5" t="s">
        <v>358</v>
      </c>
      <c r="BF742" s="5">
        <v>0</v>
      </c>
      <c r="BG742" s="5"/>
      <c r="BH742" s="5"/>
      <c r="BI742" s="5"/>
      <c r="BJ742" s="5"/>
      <c r="BK742" s="5"/>
      <c r="BL742" s="5"/>
      <c r="BM742" s="5">
        <v>21001207</v>
      </c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  <c r="DJ742" s="5"/>
      <c r="DK742" s="5"/>
      <c r="DL742" s="5"/>
      <c r="DM742" s="5"/>
      <c r="DN742" s="5"/>
      <c r="DO742" s="5"/>
      <c r="DP742" s="5"/>
      <c r="DQ742" s="5"/>
      <c r="DR742" s="5"/>
      <c r="DS742" s="5"/>
      <c r="DT742" s="5"/>
      <c r="DU742" s="5"/>
      <c r="DV742" s="5"/>
      <c r="DW742" s="5"/>
      <c r="DX742" s="5"/>
      <c r="DY742" s="5"/>
      <c r="DZ742" s="5"/>
      <c r="EA742" s="5"/>
      <c r="EB742" s="5"/>
      <c r="EC742" s="5"/>
      <c r="ED742" s="5"/>
      <c r="EE742" s="5"/>
      <c r="EF742" s="5"/>
      <c r="EG742" s="5"/>
      <c r="EH742" s="5"/>
      <c r="EI742" s="5"/>
      <c r="EJ742" s="5"/>
      <c r="EK742" s="5"/>
      <c r="EL742" s="5"/>
      <c r="EM742" s="5"/>
      <c r="EN742" s="5"/>
      <c r="EO742" s="5"/>
      <c r="EP742" s="5"/>
      <c r="EQ742" s="5"/>
      <c r="ER742" s="5"/>
      <c r="ES742" s="5"/>
      <c r="ET742" s="5"/>
      <c r="EU742" s="5"/>
      <c r="EV742" s="5"/>
      <c r="EW742"/>
      <c r="EX742"/>
      <c r="EY742" s="5"/>
      <c r="EZ742" s="5"/>
      <c r="FA742" s="5"/>
      <c r="FB742" s="5"/>
      <c r="FC742" s="5"/>
      <c r="FD742" s="5"/>
      <c r="FE742" s="5"/>
      <c r="FF742" s="5"/>
      <c r="FG742" s="5"/>
      <c r="FH742" s="5"/>
      <c r="FI742" s="5"/>
      <c r="FJ742" s="5"/>
      <c r="FK742" s="5"/>
      <c r="FL742" s="5"/>
      <c r="FM742" s="5"/>
      <c r="FN742" s="5"/>
      <c r="FO742" s="5"/>
      <c r="FP742" s="5"/>
      <c r="FQ742" s="5"/>
      <c r="FR742" s="5"/>
      <c r="FS742" s="5"/>
      <c r="FT742" s="5"/>
      <c r="FU742" s="5"/>
      <c r="FV742" s="5"/>
      <c r="FW742" s="5"/>
      <c r="FX742" s="5"/>
      <c r="FY742" s="5"/>
      <c r="FZ742" s="5"/>
      <c r="GA742" s="5"/>
      <c r="GB742" s="5"/>
      <c r="GC742" s="5"/>
      <c r="GD742" s="5"/>
      <c r="GE742" s="5"/>
      <c r="GF742" s="5"/>
      <c r="GG742" s="5"/>
      <c r="GH742" s="5"/>
      <c r="GI742" s="5"/>
      <c r="GJ742" s="5"/>
      <c r="GK742" s="5"/>
      <c r="GL742" s="5"/>
      <c r="GM742" s="5"/>
      <c r="GN742" s="5"/>
      <c r="GO742" s="5"/>
      <c r="GP742" s="5"/>
      <c r="GQ742" s="5"/>
      <c r="GR742" s="5"/>
      <c r="GS742" s="5"/>
      <c r="GT742" s="5"/>
      <c r="GU742" s="5"/>
      <c r="GV742"/>
      <c r="GW742"/>
      <c r="GX742" s="5">
        <v>0</v>
      </c>
      <c r="GY742" s="5">
        <v>0</v>
      </c>
      <c r="GZ742" s="5" t="s">
        <v>366</v>
      </c>
      <c r="HA742" s="5">
        <v>0</v>
      </c>
      <c r="HB742" s="5"/>
      <c r="HC742" s="5"/>
      <c r="HD742" s="5" t="b">
        <v>0</v>
      </c>
      <c r="HE742" s="5">
        <v>0</v>
      </c>
      <c r="HF742" s="5" t="b">
        <v>1</v>
      </c>
      <c r="HG742" s="5">
        <v>0</v>
      </c>
      <c r="HH742" s="5">
        <v>0</v>
      </c>
      <c r="HI742" s="5">
        <v>0</v>
      </c>
      <c r="HJ742" s="5">
        <v>0</v>
      </c>
      <c r="HK742" s="5" t="b">
        <v>0</v>
      </c>
      <c r="HL742" s="5">
        <v>0</v>
      </c>
      <c r="HM742" s="5">
        <v>0</v>
      </c>
      <c r="HN742" s="5" t="s">
        <v>367</v>
      </c>
      <c r="HO742" s="5" t="s">
        <v>360</v>
      </c>
      <c r="HP742" s="5">
        <v>0</v>
      </c>
      <c r="HQ742" s="5">
        <v>0</v>
      </c>
      <c r="HR742" s="5">
        <v>0</v>
      </c>
      <c r="HS742" s="5">
        <v>0</v>
      </c>
      <c r="HT742" s="5" t="b">
        <v>0</v>
      </c>
    </row>
    <row r="743" spans="2:228">
      <c r="B743" s="1">
        <v>10370008</v>
      </c>
      <c r="C743" s="5" t="s">
        <v>567</v>
      </c>
      <c r="D743" s="5" t="s">
        <v>567</v>
      </c>
      <c r="E743" s="5" t="s">
        <v>360</v>
      </c>
      <c r="F743" s="5" t="s">
        <v>391</v>
      </c>
      <c r="G743" s="5" t="b">
        <v>0</v>
      </c>
      <c r="H743" s="5" t="b">
        <v>1</v>
      </c>
      <c r="I743" s="5">
        <v>8</v>
      </c>
      <c r="J743" s="5">
        <v>103700</v>
      </c>
      <c r="K743" s="5" t="s">
        <v>350</v>
      </c>
      <c r="L743" s="5">
        <v>0</v>
      </c>
      <c r="M743" s="5">
        <v>10370009</v>
      </c>
      <c r="N743" s="5" t="s">
        <v>535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/>
      <c r="V743" s="5">
        <v>0</v>
      </c>
      <c r="W743" s="5">
        <v>0</v>
      </c>
      <c r="X743" s="5" t="s">
        <v>352</v>
      </c>
      <c r="Y743" s="5" t="s">
        <v>376</v>
      </c>
      <c r="Z743" s="5" t="s">
        <v>354</v>
      </c>
      <c r="AA743" s="5">
        <v>0</v>
      </c>
      <c r="AB743" s="5">
        <v>1</v>
      </c>
      <c r="AC743" s="5" t="b">
        <v>0</v>
      </c>
      <c r="AD743" s="5" t="s">
        <v>355</v>
      </c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 t="s">
        <v>381</v>
      </c>
      <c r="AZ743" s="5">
        <v>11800</v>
      </c>
      <c r="BA743" s="5" t="s">
        <v>417</v>
      </c>
      <c r="BB743" s="5" t="s">
        <v>354</v>
      </c>
      <c r="BC743" s="5">
        <v>10000</v>
      </c>
      <c r="BD743" s="5">
        <v>0</v>
      </c>
      <c r="BE743" s="5" t="s">
        <v>358</v>
      </c>
      <c r="BF743" s="5">
        <v>0</v>
      </c>
      <c r="BG743" s="5"/>
      <c r="BH743" s="5"/>
      <c r="BI743" s="5"/>
      <c r="BJ743" s="5"/>
      <c r="BK743" s="5"/>
      <c r="BL743" s="5"/>
      <c r="BM743" s="5">
        <v>21001208</v>
      </c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  <c r="DJ743" s="5"/>
      <c r="DK743" s="5"/>
      <c r="DL743" s="5"/>
      <c r="DM743" s="5"/>
      <c r="DN743" s="5"/>
      <c r="DO743" s="5"/>
      <c r="DP743" s="5"/>
      <c r="DQ743" s="5"/>
      <c r="DR743" s="5"/>
      <c r="DS743" s="5"/>
      <c r="DT743" s="5"/>
      <c r="DU743" s="5"/>
      <c r="DV743" s="5"/>
      <c r="DW743" s="5"/>
      <c r="DX743" s="5"/>
      <c r="DY743" s="5"/>
      <c r="DZ743" s="5"/>
      <c r="EA743" s="5"/>
      <c r="EB743" s="5"/>
      <c r="EC743" s="5"/>
      <c r="ED743" s="5"/>
      <c r="EE743" s="5"/>
      <c r="EF743" s="5"/>
      <c r="EG743" s="5"/>
      <c r="EH743" s="5"/>
      <c r="EI743" s="5"/>
      <c r="EJ743" s="5"/>
      <c r="EK743" s="5"/>
      <c r="EL743" s="5"/>
      <c r="EM743" s="5"/>
      <c r="EN743" s="5"/>
      <c r="EO743" s="5"/>
      <c r="EP743" s="5"/>
      <c r="EQ743" s="5"/>
      <c r="ER743" s="5"/>
      <c r="ES743" s="5"/>
      <c r="ET743" s="5"/>
      <c r="EU743" s="5"/>
      <c r="EV743" s="5"/>
      <c r="EW743"/>
      <c r="EX743"/>
      <c r="EY743" s="5"/>
      <c r="EZ743" s="5"/>
      <c r="FA743" s="5"/>
      <c r="FB743" s="5"/>
      <c r="FC743" s="5"/>
      <c r="FD743" s="5"/>
      <c r="FE743" s="5"/>
      <c r="FF743" s="5"/>
      <c r="FG743" s="5"/>
      <c r="FH743" s="5"/>
      <c r="FI743" s="5"/>
      <c r="FJ743" s="5"/>
      <c r="FK743" s="5"/>
      <c r="FL743" s="5"/>
      <c r="FM743" s="5"/>
      <c r="FN743" s="5"/>
      <c r="FO743" s="5"/>
      <c r="FP743" s="5"/>
      <c r="FQ743" s="5"/>
      <c r="FR743" s="5"/>
      <c r="FS743" s="5"/>
      <c r="FT743" s="5"/>
      <c r="FU743" s="5"/>
      <c r="FV743" s="5"/>
      <c r="FW743" s="5"/>
      <c r="FX743" s="5"/>
      <c r="FY743" s="5"/>
      <c r="FZ743" s="5"/>
      <c r="GA743" s="5"/>
      <c r="GB743" s="5"/>
      <c r="GC743" s="5"/>
      <c r="GD743" s="5"/>
      <c r="GE743" s="5"/>
      <c r="GF743" s="5"/>
      <c r="GG743" s="5"/>
      <c r="GH743" s="5"/>
      <c r="GI743" s="5"/>
      <c r="GJ743" s="5"/>
      <c r="GK743" s="5"/>
      <c r="GL743" s="5"/>
      <c r="GM743" s="5"/>
      <c r="GN743" s="5"/>
      <c r="GO743" s="5"/>
      <c r="GP743" s="5"/>
      <c r="GQ743" s="5"/>
      <c r="GR743" s="5"/>
      <c r="GS743" s="5"/>
      <c r="GT743" s="5"/>
      <c r="GU743" s="5"/>
      <c r="GV743"/>
      <c r="GW743"/>
      <c r="GX743" s="5">
        <v>0</v>
      </c>
      <c r="GY743" s="5">
        <v>0</v>
      </c>
      <c r="GZ743" s="5" t="s">
        <v>366</v>
      </c>
      <c r="HA743" s="5">
        <v>0</v>
      </c>
      <c r="HB743" s="5"/>
      <c r="HC743" s="5"/>
      <c r="HD743" s="5" t="b">
        <v>0</v>
      </c>
      <c r="HE743" s="5">
        <v>0</v>
      </c>
      <c r="HF743" s="5" t="b">
        <v>1</v>
      </c>
      <c r="HG743" s="5">
        <v>0</v>
      </c>
      <c r="HH743" s="5">
        <v>0</v>
      </c>
      <c r="HI743" s="5">
        <v>0</v>
      </c>
      <c r="HJ743" s="5">
        <v>0</v>
      </c>
      <c r="HK743" s="5" t="b">
        <v>0</v>
      </c>
      <c r="HL743" s="5">
        <v>0</v>
      </c>
      <c r="HM743" s="5">
        <v>0</v>
      </c>
      <c r="HN743" s="5" t="s">
        <v>367</v>
      </c>
      <c r="HO743" s="5" t="s">
        <v>360</v>
      </c>
      <c r="HP743" s="5">
        <v>0</v>
      </c>
      <c r="HQ743" s="5">
        <v>0</v>
      </c>
      <c r="HR743" s="5">
        <v>0</v>
      </c>
      <c r="HS743" s="5">
        <v>0</v>
      </c>
      <c r="HT743" s="5" t="b">
        <v>0</v>
      </c>
    </row>
    <row r="744" spans="2:228">
      <c r="B744" s="1">
        <v>10370009</v>
      </c>
      <c r="C744" s="5" t="s">
        <v>567</v>
      </c>
      <c r="D744" s="5" t="s">
        <v>567</v>
      </c>
      <c r="E744" s="5" t="s">
        <v>360</v>
      </c>
      <c r="F744" s="5" t="s">
        <v>391</v>
      </c>
      <c r="G744" s="5" t="b">
        <v>0</v>
      </c>
      <c r="H744" s="5" t="b">
        <v>1</v>
      </c>
      <c r="I744" s="5">
        <v>9</v>
      </c>
      <c r="J744" s="5">
        <v>103700</v>
      </c>
      <c r="K744" s="5" t="s">
        <v>350</v>
      </c>
      <c r="L744" s="5">
        <v>0</v>
      </c>
      <c r="M744" s="5">
        <v>10370010</v>
      </c>
      <c r="N744" s="5" t="s">
        <v>535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/>
      <c r="V744" s="5">
        <v>0</v>
      </c>
      <c r="W744" s="5">
        <v>0</v>
      </c>
      <c r="X744" s="5" t="s">
        <v>352</v>
      </c>
      <c r="Y744" s="5" t="s">
        <v>376</v>
      </c>
      <c r="Z744" s="5" t="s">
        <v>354</v>
      </c>
      <c r="AA744" s="5">
        <v>0</v>
      </c>
      <c r="AB744" s="5">
        <v>1</v>
      </c>
      <c r="AC744" s="5" t="b">
        <v>0</v>
      </c>
      <c r="AD744" s="5" t="s">
        <v>355</v>
      </c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 t="s">
        <v>381</v>
      </c>
      <c r="AZ744" s="5">
        <v>11900</v>
      </c>
      <c r="BA744" s="5" t="s">
        <v>417</v>
      </c>
      <c r="BB744" s="5" t="s">
        <v>354</v>
      </c>
      <c r="BC744" s="5">
        <v>10000</v>
      </c>
      <c r="BD744" s="5">
        <v>0</v>
      </c>
      <c r="BE744" s="5" t="s">
        <v>358</v>
      </c>
      <c r="BF744" s="5">
        <v>0</v>
      </c>
      <c r="BG744" s="5"/>
      <c r="BH744" s="5"/>
      <c r="BI744" s="5"/>
      <c r="BJ744" s="5"/>
      <c r="BK744" s="5"/>
      <c r="BL744" s="5"/>
      <c r="BM744" s="5">
        <v>21001209</v>
      </c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  <c r="DJ744" s="5"/>
      <c r="DK744" s="5"/>
      <c r="DL744" s="5"/>
      <c r="DM744" s="5"/>
      <c r="DN744" s="5"/>
      <c r="DO744" s="5"/>
      <c r="DP744" s="5"/>
      <c r="DQ744" s="5"/>
      <c r="DR744" s="5"/>
      <c r="DS744" s="5"/>
      <c r="DT744" s="5"/>
      <c r="DU744" s="5"/>
      <c r="DV744" s="5"/>
      <c r="DW744" s="5"/>
      <c r="DX744" s="5"/>
      <c r="DY744" s="5"/>
      <c r="DZ744" s="5"/>
      <c r="EA744" s="5"/>
      <c r="EB744" s="5"/>
      <c r="EC744" s="5"/>
      <c r="ED744" s="5"/>
      <c r="EE744" s="5"/>
      <c r="EF744" s="5"/>
      <c r="EG744" s="5"/>
      <c r="EH744" s="5"/>
      <c r="EI744" s="5"/>
      <c r="EJ744" s="5"/>
      <c r="EK744" s="5"/>
      <c r="EL744" s="5"/>
      <c r="EM744" s="5"/>
      <c r="EN744" s="5"/>
      <c r="EO744" s="5"/>
      <c r="EP744" s="5"/>
      <c r="EQ744" s="5"/>
      <c r="ER744" s="5"/>
      <c r="ES744" s="5"/>
      <c r="ET744" s="5"/>
      <c r="EU744" s="5"/>
      <c r="EV744" s="5"/>
      <c r="EW744"/>
      <c r="EX744"/>
      <c r="EY744" s="5"/>
      <c r="EZ744" s="5"/>
      <c r="FA744" s="5"/>
      <c r="FB744" s="5"/>
      <c r="FC744" s="5"/>
      <c r="FD744" s="5"/>
      <c r="FE744" s="5"/>
      <c r="FF744" s="5"/>
      <c r="FG744" s="5"/>
      <c r="FH744" s="5"/>
      <c r="FI744" s="5"/>
      <c r="FJ744" s="5"/>
      <c r="FK744" s="5"/>
      <c r="FL744" s="5"/>
      <c r="FM744" s="5"/>
      <c r="FN744" s="5"/>
      <c r="FO744" s="5"/>
      <c r="FP744" s="5"/>
      <c r="FQ744" s="5"/>
      <c r="FR744" s="5"/>
      <c r="FS744" s="5"/>
      <c r="FT744" s="5"/>
      <c r="FU744" s="5"/>
      <c r="FV744" s="5"/>
      <c r="FW744" s="5"/>
      <c r="FX744" s="5"/>
      <c r="FY744" s="5"/>
      <c r="FZ744" s="5"/>
      <c r="GA744" s="5"/>
      <c r="GB744" s="5"/>
      <c r="GC744" s="5"/>
      <c r="GD744" s="5"/>
      <c r="GE744" s="5"/>
      <c r="GF744" s="5"/>
      <c r="GG744" s="5"/>
      <c r="GH744" s="5"/>
      <c r="GI744" s="5"/>
      <c r="GJ744" s="5"/>
      <c r="GK744" s="5"/>
      <c r="GL744" s="5"/>
      <c r="GM744" s="5"/>
      <c r="GN744" s="5"/>
      <c r="GO744" s="5"/>
      <c r="GP744" s="5"/>
      <c r="GQ744" s="5"/>
      <c r="GR744" s="5"/>
      <c r="GS744" s="5"/>
      <c r="GT744" s="5"/>
      <c r="GU744" s="5"/>
      <c r="GV744"/>
      <c r="GW744"/>
      <c r="GX744" s="5">
        <v>0</v>
      </c>
      <c r="GY744" s="5">
        <v>0</v>
      </c>
      <c r="GZ744" s="5" t="s">
        <v>366</v>
      </c>
      <c r="HA744" s="5">
        <v>0</v>
      </c>
      <c r="HB744" s="5"/>
      <c r="HC744" s="5"/>
      <c r="HD744" s="5" t="b">
        <v>0</v>
      </c>
      <c r="HE744" s="5">
        <v>0</v>
      </c>
      <c r="HF744" s="5" t="b">
        <v>1</v>
      </c>
      <c r="HG744" s="5">
        <v>0</v>
      </c>
      <c r="HH744" s="5">
        <v>0</v>
      </c>
      <c r="HI744" s="5">
        <v>0</v>
      </c>
      <c r="HJ744" s="5">
        <v>0</v>
      </c>
      <c r="HK744" s="5" t="b">
        <v>0</v>
      </c>
      <c r="HL744" s="5">
        <v>0</v>
      </c>
      <c r="HM744" s="5">
        <v>0</v>
      </c>
      <c r="HN744" s="5" t="s">
        <v>367</v>
      </c>
      <c r="HO744" s="5" t="s">
        <v>360</v>
      </c>
      <c r="HP744" s="5">
        <v>0</v>
      </c>
      <c r="HQ744" s="5">
        <v>0</v>
      </c>
      <c r="HR744" s="5">
        <v>0</v>
      </c>
      <c r="HS744" s="5">
        <v>0</v>
      </c>
      <c r="HT744" s="5" t="b">
        <v>0</v>
      </c>
    </row>
    <row r="745" spans="2:228">
      <c r="B745" s="1">
        <v>10370010</v>
      </c>
      <c r="C745" s="5" t="s">
        <v>567</v>
      </c>
      <c r="D745" s="5" t="s">
        <v>567</v>
      </c>
      <c r="E745" s="5" t="s">
        <v>360</v>
      </c>
      <c r="F745" s="5" t="s">
        <v>391</v>
      </c>
      <c r="G745" s="5" t="b">
        <v>0</v>
      </c>
      <c r="H745" s="5" t="b">
        <v>1</v>
      </c>
      <c r="I745" s="5">
        <v>10</v>
      </c>
      <c r="J745" s="5">
        <v>103700</v>
      </c>
      <c r="K745" s="5" t="s">
        <v>350</v>
      </c>
      <c r="L745" s="5">
        <v>0</v>
      </c>
      <c r="M745" s="5">
        <v>0</v>
      </c>
      <c r="N745" s="5" t="s">
        <v>535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/>
      <c r="V745" s="5">
        <v>0</v>
      </c>
      <c r="W745" s="5">
        <v>0</v>
      </c>
      <c r="X745" s="5" t="s">
        <v>352</v>
      </c>
      <c r="Y745" s="5" t="s">
        <v>376</v>
      </c>
      <c r="Z745" s="5" t="s">
        <v>354</v>
      </c>
      <c r="AA745" s="5">
        <v>0</v>
      </c>
      <c r="AB745" s="5">
        <v>1</v>
      </c>
      <c r="AC745" s="5" t="b">
        <v>0</v>
      </c>
      <c r="AD745" s="5" t="s">
        <v>355</v>
      </c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 t="s">
        <v>381</v>
      </c>
      <c r="AZ745" s="5">
        <v>12000</v>
      </c>
      <c r="BA745" s="5" t="s">
        <v>417</v>
      </c>
      <c r="BB745" s="5" t="s">
        <v>354</v>
      </c>
      <c r="BC745" s="5">
        <v>10000</v>
      </c>
      <c r="BD745" s="5">
        <v>0</v>
      </c>
      <c r="BE745" s="5" t="s">
        <v>358</v>
      </c>
      <c r="BF745" s="5">
        <v>0</v>
      </c>
      <c r="BG745" s="5"/>
      <c r="BH745" s="5"/>
      <c r="BI745" s="5"/>
      <c r="BJ745" s="5"/>
      <c r="BK745" s="5"/>
      <c r="BL745" s="5"/>
      <c r="BM745" s="5">
        <v>21001210</v>
      </c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  <c r="DJ745" s="5"/>
      <c r="DK745" s="5"/>
      <c r="DL745" s="5"/>
      <c r="DM745" s="5"/>
      <c r="DN745" s="5"/>
      <c r="DO745" s="5"/>
      <c r="DP745" s="5"/>
      <c r="DQ745" s="5"/>
      <c r="DR745" s="5"/>
      <c r="DS745" s="5"/>
      <c r="DT745" s="5"/>
      <c r="DU745" s="5"/>
      <c r="DV745" s="5"/>
      <c r="DW745" s="5"/>
      <c r="DX745" s="5"/>
      <c r="DY745" s="5"/>
      <c r="DZ745" s="5"/>
      <c r="EA745" s="5"/>
      <c r="EB745" s="5"/>
      <c r="EC745" s="5"/>
      <c r="ED745" s="5"/>
      <c r="EE745" s="5"/>
      <c r="EF745" s="5"/>
      <c r="EG745" s="5"/>
      <c r="EH745" s="5"/>
      <c r="EI745" s="5"/>
      <c r="EJ745" s="5"/>
      <c r="EK745" s="5"/>
      <c r="EL745" s="5"/>
      <c r="EM745" s="5"/>
      <c r="EN745" s="5"/>
      <c r="EO745" s="5"/>
      <c r="EP745" s="5"/>
      <c r="EQ745" s="5"/>
      <c r="ER745" s="5"/>
      <c r="ES745" s="5"/>
      <c r="ET745" s="5"/>
      <c r="EU745" s="5"/>
      <c r="EV745" s="5"/>
      <c r="EW745"/>
      <c r="EX745"/>
      <c r="EY745" s="5"/>
      <c r="EZ745" s="5"/>
      <c r="FA745" s="5"/>
      <c r="FB745" s="5"/>
      <c r="FC745" s="5"/>
      <c r="FD745" s="5"/>
      <c r="FE745" s="5"/>
      <c r="FF745" s="5"/>
      <c r="FG745" s="5"/>
      <c r="FH745" s="5"/>
      <c r="FI745" s="5"/>
      <c r="FJ745" s="5"/>
      <c r="FK745" s="5"/>
      <c r="FL745" s="5"/>
      <c r="FM745" s="5"/>
      <c r="FN745" s="5"/>
      <c r="FO745" s="5"/>
      <c r="FP745" s="5"/>
      <c r="FQ745" s="5"/>
      <c r="FR745" s="5"/>
      <c r="FS745" s="5"/>
      <c r="FT745" s="5"/>
      <c r="FU745" s="5"/>
      <c r="FV745" s="5"/>
      <c r="FW745" s="5"/>
      <c r="FX745" s="5"/>
      <c r="FY745" s="5"/>
      <c r="FZ745" s="5"/>
      <c r="GA745" s="5"/>
      <c r="GB745" s="5"/>
      <c r="GC745" s="5"/>
      <c r="GD745" s="5"/>
      <c r="GE745" s="5"/>
      <c r="GF745" s="5"/>
      <c r="GG745" s="5"/>
      <c r="GH745" s="5"/>
      <c r="GI745" s="5"/>
      <c r="GJ745" s="5"/>
      <c r="GK745" s="5"/>
      <c r="GL745" s="5"/>
      <c r="GM745" s="5"/>
      <c r="GN745" s="5"/>
      <c r="GO745" s="5"/>
      <c r="GP745" s="5"/>
      <c r="GQ745" s="5"/>
      <c r="GR745" s="5"/>
      <c r="GS745" s="5"/>
      <c r="GT745" s="5"/>
      <c r="GU745" s="5"/>
      <c r="GV745"/>
      <c r="GW745"/>
      <c r="GX745" s="5">
        <v>0</v>
      </c>
      <c r="GY745" s="5">
        <v>0</v>
      </c>
      <c r="GZ745" s="5" t="s">
        <v>366</v>
      </c>
      <c r="HA745" s="5">
        <v>0</v>
      </c>
      <c r="HB745" s="5"/>
      <c r="HC745" s="5"/>
      <c r="HD745" s="5" t="b">
        <v>0</v>
      </c>
      <c r="HE745" s="5">
        <v>0</v>
      </c>
      <c r="HF745" s="5" t="b">
        <v>1</v>
      </c>
      <c r="HG745" s="5">
        <v>0</v>
      </c>
      <c r="HH745" s="5">
        <v>0</v>
      </c>
      <c r="HI745" s="5">
        <v>0</v>
      </c>
      <c r="HJ745" s="5">
        <v>0</v>
      </c>
      <c r="HK745" s="5" t="b">
        <v>0</v>
      </c>
      <c r="HL745" s="5">
        <v>0</v>
      </c>
      <c r="HM745" s="5">
        <v>0</v>
      </c>
      <c r="HN745" s="5" t="s">
        <v>367</v>
      </c>
      <c r="HO745" s="5" t="s">
        <v>360</v>
      </c>
      <c r="HP745" s="5">
        <v>0</v>
      </c>
      <c r="HQ745" s="5">
        <v>0</v>
      </c>
      <c r="HR745" s="5">
        <v>0</v>
      </c>
      <c r="HS745" s="5">
        <v>0</v>
      </c>
      <c r="HT745" s="5" t="b">
        <v>0</v>
      </c>
    </row>
    <row r="746" spans="2:228">
      <c r="B746" s="1">
        <v>10380001</v>
      </c>
      <c r="C746" s="5" t="s">
        <v>568</v>
      </c>
      <c r="D746" s="5" t="s">
        <v>569</v>
      </c>
      <c r="E746" s="5" t="inlineStr">
        <is>
          <t xml:space="preserve">无</t>
        </is>
      </c>
      <c r="F746" s="5" t="s">
        <v>362</v>
      </c>
      <c r="G746" s="5" t="b">
        <v>0</v>
      </c>
      <c r="H746" s="5" t="b">
        <v>1</v>
      </c>
      <c r="I746" s="5">
        <v>1</v>
      </c>
      <c r="J746" s="5">
        <v>103800</v>
      </c>
      <c r="K746" s="5" t="s">
        <v>350</v>
      </c>
      <c r="L746" s="5">
        <v>0</v>
      </c>
      <c r="M746" s="5">
        <v>10380002</v>
      </c>
      <c r="N746" s="5" t="s">
        <v>535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/>
      <c r="V746" s="5">
        <v>0</v>
      </c>
      <c r="W746" s="5">
        <v>0</v>
      </c>
      <c r="X746" s="5" t="s">
        <v>352</v>
      </c>
      <c r="Y746" s="5" t="s">
        <v>365</v>
      </c>
      <c r="Z746" s="5" t="s">
        <v>354</v>
      </c>
      <c r="AA746" s="5">
        <v>0</v>
      </c>
      <c r="AB746" s="5">
        <v>0</v>
      </c>
      <c r="AC746" s="5" t="b">
        <v>0</v>
      </c>
      <c r="AD746" s="5" t="s">
        <v>355</v>
      </c>
      <c r="AE746" s="5">
        <v>180</v>
      </c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 t="s">
        <v>381</v>
      </c>
      <c r="AZ746" s="5">
        <v>10000</v>
      </c>
      <c r="BA746" s="5" t="s">
        <v>357</v>
      </c>
      <c r="BB746" s="5" t="s">
        <v>354</v>
      </c>
      <c r="BC746" s="5">
        <v>10000</v>
      </c>
      <c r="BD746" s="5">
        <v>0</v>
      </c>
      <c r="BE746" s="5" t="s">
        <v>358</v>
      </c>
      <c r="BF746" s="5">
        <v>0</v>
      </c>
      <c r="BG746" s="5" t="s">
        <v>356</v>
      </c>
      <c r="BH746" s="5">
        <v>9000</v>
      </c>
      <c r="BI746" s="5">
        <v>3</v>
      </c>
      <c r="BJ746" s="5" t="b">
        <v>1</v>
      </c>
      <c r="BK746" s="5">
        <v>0</v>
      </c>
      <c r="BL746" s="5">
        <v>8000</v>
      </c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  <c r="DJ746" s="5"/>
      <c r="DK746" s="5"/>
      <c r="DL746" s="5"/>
      <c r="DM746" s="5"/>
      <c r="DN746" s="5"/>
      <c r="DO746" s="5"/>
      <c r="DP746" s="5"/>
      <c r="DQ746" s="5"/>
      <c r="DR746" s="5"/>
      <c r="DS746" s="5"/>
      <c r="DT746" s="5"/>
      <c r="DU746" s="5"/>
      <c r="DV746" s="5"/>
      <c r="DW746" s="5"/>
      <c r="DX746" s="5"/>
      <c r="DY746" s="5"/>
      <c r="DZ746" s="5"/>
      <c r="EA746" s="5"/>
      <c r="EB746" s="5"/>
      <c r="EC746" s="5"/>
      <c r="ED746" s="5"/>
      <c r="EE746" s="5"/>
      <c r="EF746" s="5"/>
      <c r="EG746" s="5"/>
      <c r="EH746" s="5"/>
      <c r="EI746" s="5"/>
      <c r="EJ746" s="5"/>
      <c r="EK746" s="5"/>
      <c r="EL746" s="5"/>
      <c r="EM746" s="5"/>
      <c r="EN746" s="5"/>
      <c r="EO746" s="5"/>
      <c r="EP746" s="5"/>
      <c r="EQ746" s="5"/>
      <c r="ER746" s="5"/>
      <c r="ES746" s="5"/>
      <c r="ET746" s="5"/>
      <c r="EU746" s="5"/>
      <c r="EV746" s="5"/>
      <c r="EW746"/>
      <c r="EX746"/>
      <c r="EY746" s="5"/>
      <c r="EZ746" s="5"/>
      <c r="FA746" s="5"/>
      <c r="FB746" s="5"/>
      <c r="FC746" s="5"/>
      <c r="FD746" s="5"/>
      <c r="FE746" s="5"/>
      <c r="FF746" s="5"/>
      <c r="FG746" s="5"/>
      <c r="FH746" s="5"/>
      <c r="FI746" s="5"/>
      <c r="FJ746" s="5"/>
      <c r="FK746" s="5"/>
      <c r="FL746" s="5"/>
      <c r="FM746" s="5"/>
      <c r="FN746" s="5"/>
      <c r="FO746" s="5"/>
      <c r="FP746" s="5"/>
      <c r="FQ746" s="5"/>
      <c r="FR746" s="5"/>
      <c r="FS746" s="5"/>
      <c r="FT746" s="5"/>
      <c r="FU746" s="5"/>
      <c r="FV746" s="5"/>
      <c r="FW746" s="5"/>
      <c r="FX746" s="5"/>
      <c r="FY746" s="5"/>
      <c r="FZ746" s="5"/>
      <c r="GA746" s="5"/>
      <c r="GB746" s="5"/>
      <c r="GC746" s="5"/>
      <c r="GD746" s="5"/>
      <c r="GE746" s="5"/>
      <c r="GF746" s="5"/>
      <c r="GG746" s="5"/>
      <c r="GH746" s="5"/>
      <c r="GI746" s="5"/>
      <c r="GJ746" s="5"/>
      <c r="GK746" s="5"/>
      <c r="GL746" s="5"/>
      <c r="GM746" s="5"/>
      <c r="GN746" s="5"/>
      <c r="GO746" s="5"/>
      <c r="GP746" s="5"/>
      <c r="GQ746" s="5"/>
      <c r="GR746" s="5"/>
      <c r="GS746" s="5"/>
      <c r="GT746" s="5"/>
      <c r="GU746" s="5"/>
      <c r="GV746"/>
      <c r="GW746"/>
      <c r="GX746" s="5">
        <v>0</v>
      </c>
      <c r="GY746" s="5">
        <v>0</v>
      </c>
      <c r="GZ746" s="5" t="s">
        <v>366</v>
      </c>
      <c r="HA746" s="5">
        <v>0</v>
      </c>
      <c r="HB746" s="5"/>
      <c r="HC746" s="5"/>
      <c r="HD746" s="5" t="b">
        <v>0</v>
      </c>
      <c r="HE746" s="5">
        <v>0</v>
      </c>
      <c r="HF746" s="5" t="b">
        <v>1</v>
      </c>
      <c r="HG746" s="5">
        <v>0</v>
      </c>
      <c r="HH746" s="5">
        <v>0</v>
      </c>
      <c r="HI746" s="5">
        <v>0</v>
      </c>
      <c r="HJ746" s="5">
        <v>0</v>
      </c>
      <c r="HK746" s="5" t="b">
        <v>0</v>
      </c>
      <c r="HL746" s="5">
        <v>0</v>
      </c>
      <c r="HM746" s="5">
        <v>0</v>
      </c>
      <c r="HN746" s="5" t="s">
        <v>367</v>
      </c>
      <c r="HO746" s="5" t="s">
        <v>360</v>
      </c>
      <c r="HP746" s="5">
        <v>0</v>
      </c>
      <c r="HQ746" s="5">
        <v>0</v>
      </c>
      <c r="HR746" s="5">
        <v>0</v>
      </c>
      <c r="HS746" s="5">
        <v>0</v>
      </c>
      <c r="HT746" s="5" t="b">
        <v>0</v>
      </c>
    </row>
    <row r="747" spans="2:228">
      <c r="B747" s="1">
        <v>10380002</v>
      </c>
      <c r="C747" s="5" t="s">
        <v>568</v>
      </c>
      <c r="D747" s="5" t="s">
        <v>570</v>
      </c>
      <c r="E747" s="5" t="inlineStr">
        <is>
          <t xml:space="preserve">无</t>
        </is>
      </c>
      <c r="F747" s="5" t="s">
        <v>362</v>
      </c>
      <c r="G747" s="5" t="b">
        <v>0</v>
      </c>
      <c r="H747" s="5" t="b">
        <v>1</v>
      </c>
      <c r="I747" s="5">
        <v>2</v>
      </c>
      <c r="J747" s="5">
        <v>103800</v>
      </c>
      <c r="K747" s="5" t="s">
        <v>350</v>
      </c>
      <c r="L747" s="5">
        <v>0</v>
      </c>
      <c r="M747" s="5">
        <v>10380003</v>
      </c>
      <c r="N747" s="5" t="s">
        <v>535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/>
      <c r="V747" s="5">
        <v>0</v>
      </c>
      <c r="W747" s="5">
        <v>0</v>
      </c>
      <c r="X747" s="5" t="s">
        <v>352</v>
      </c>
      <c r="Y747" s="5" t="s">
        <v>365</v>
      </c>
      <c r="Z747" s="5" t="s">
        <v>354</v>
      </c>
      <c r="AA747" s="5">
        <v>0</v>
      </c>
      <c r="AB747" s="5">
        <v>0</v>
      </c>
      <c r="AC747" s="5" t="b">
        <v>0</v>
      </c>
      <c r="AD747" s="5" t="s">
        <v>355</v>
      </c>
      <c r="AE747" s="5">
        <v>180</v>
      </c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 t="s">
        <v>381</v>
      </c>
      <c r="AZ747" s="5">
        <v>10400</v>
      </c>
      <c r="BA747" s="5" t="s">
        <v>357</v>
      </c>
      <c r="BB747" s="5" t="s">
        <v>354</v>
      </c>
      <c r="BC747" s="5">
        <v>10000</v>
      </c>
      <c r="BD747" s="5">
        <v>0</v>
      </c>
      <c r="BE747" s="5" t="s">
        <v>358</v>
      </c>
      <c r="BF747" s="5">
        <v>0</v>
      </c>
      <c r="BG747" s="5" t="s">
        <v>356</v>
      </c>
      <c r="BH747" s="5">
        <v>9000</v>
      </c>
      <c r="BI747" s="5">
        <v>4</v>
      </c>
      <c r="BJ747" s="5" t="b">
        <v>1</v>
      </c>
      <c r="BK747" s="5">
        <v>0</v>
      </c>
      <c r="BL747" s="5">
        <v>8000</v>
      </c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  <c r="DJ747" s="5"/>
      <c r="DK747" s="5"/>
      <c r="DL747" s="5"/>
      <c r="DM747" s="5"/>
      <c r="DN747" s="5"/>
      <c r="DO747" s="5"/>
      <c r="DP747" s="5"/>
      <c r="DQ747" s="5"/>
      <c r="DR747" s="5"/>
      <c r="DS747" s="5"/>
      <c r="DT747" s="5"/>
      <c r="DU747" s="5"/>
      <c r="DV747" s="5"/>
      <c r="DW747" s="5"/>
      <c r="DX747" s="5"/>
      <c r="DY747" s="5"/>
      <c r="DZ747" s="5"/>
      <c r="EA747" s="5"/>
      <c r="EB747" s="5"/>
      <c r="EC747" s="5"/>
      <c r="ED747" s="5"/>
      <c r="EE747" s="5"/>
      <c r="EF747" s="5"/>
      <c r="EG747" s="5"/>
      <c r="EH747" s="5"/>
      <c r="EI747" s="5"/>
      <c r="EJ747" s="5"/>
      <c r="EK747" s="5"/>
      <c r="EL747" s="5"/>
      <c r="EM747" s="5"/>
      <c r="EN747" s="5"/>
      <c r="EO747" s="5"/>
      <c r="EP747" s="5"/>
      <c r="EQ747" s="5"/>
      <c r="ER747" s="5"/>
      <c r="ES747" s="5"/>
      <c r="ET747" s="5"/>
      <c r="EU747" s="5"/>
      <c r="EV747" s="5"/>
      <c r="EW747"/>
      <c r="EX747"/>
      <c r="EY747" s="5"/>
      <c r="EZ747" s="5"/>
      <c r="FA747" s="5"/>
      <c r="FB747" s="5"/>
      <c r="FC747" s="5"/>
      <c r="FD747" s="5"/>
      <c r="FE747" s="5"/>
      <c r="FF747" s="5"/>
      <c r="FG747" s="5"/>
      <c r="FH747" s="5"/>
      <c r="FI747" s="5"/>
      <c r="FJ747" s="5"/>
      <c r="FK747" s="5"/>
      <c r="FL747" s="5"/>
      <c r="FM747" s="5"/>
      <c r="FN747" s="5"/>
      <c r="FO747" s="5"/>
      <c r="FP747" s="5"/>
      <c r="FQ747" s="5"/>
      <c r="FR747" s="5"/>
      <c r="FS747" s="5"/>
      <c r="FT747" s="5"/>
      <c r="FU747" s="5"/>
      <c r="FV747" s="5"/>
      <c r="FW747" s="5"/>
      <c r="FX747" s="5"/>
      <c r="FY747" s="5"/>
      <c r="FZ747" s="5"/>
      <c r="GA747" s="5"/>
      <c r="GB747" s="5"/>
      <c r="GC747" s="5"/>
      <c r="GD747" s="5"/>
      <c r="GE747" s="5"/>
      <c r="GF747" s="5"/>
      <c r="GG747" s="5"/>
      <c r="GH747" s="5"/>
      <c r="GI747" s="5"/>
      <c r="GJ747" s="5"/>
      <c r="GK747" s="5"/>
      <c r="GL747" s="5"/>
      <c r="GM747" s="5"/>
      <c r="GN747" s="5"/>
      <c r="GO747" s="5"/>
      <c r="GP747" s="5"/>
      <c r="GQ747" s="5"/>
      <c r="GR747" s="5"/>
      <c r="GS747" s="5"/>
      <c r="GT747" s="5"/>
      <c r="GU747" s="5"/>
      <c r="GV747"/>
      <c r="GW747"/>
      <c r="GX747" s="5">
        <v>0</v>
      </c>
      <c r="GY747" s="5">
        <v>0</v>
      </c>
      <c r="GZ747" s="5" t="s">
        <v>366</v>
      </c>
      <c r="HA747" s="5">
        <v>0</v>
      </c>
      <c r="HB747" s="5"/>
      <c r="HC747" s="5"/>
      <c r="HD747" s="5" t="b">
        <v>0</v>
      </c>
      <c r="HE747" s="5">
        <v>0</v>
      </c>
      <c r="HF747" s="5" t="b">
        <v>1</v>
      </c>
      <c r="HG747" s="5">
        <v>0</v>
      </c>
      <c r="HH747" s="5">
        <v>0</v>
      </c>
      <c r="HI747" s="5">
        <v>0</v>
      </c>
      <c r="HJ747" s="5">
        <v>0</v>
      </c>
      <c r="HK747" s="5" t="b">
        <v>0</v>
      </c>
      <c r="HL747" s="5">
        <v>0</v>
      </c>
      <c r="HM747" s="5">
        <v>0</v>
      </c>
      <c r="HN747" s="5" t="s">
        <v>367</v>
      </c>
      <c r="HO747" s="5" t="s">
        <v>360</v>
      </c>
      <c r="HP747" s="5">
        <v>0</v>
      </c>
      <c r="HQ747" s="5">
        <v>0</v>
      </c>
      <c r="HR747" s="5">
        <v>0</v>
      </c>
      <c r="HS747" s="5">
        <v>0</v>
      </c>
      <c r="HT747" s="5" t="b">
        <v>0</v>
      </c>
    </row>
    <row r="748" spans="2:228">
      <c r="B748" s="1">
        <v>10380003</v>
      </c>
      <c r="C748" s="5" t="s">
        <v>568</v>
      </c>
      <c r="D748" s="5" t="s">
        <v>571</v>
      </c>
      <c r="E748" s="5" t="inlineStr">
        <is>
          <t xml:space="preserve">无</t>
        </is>
      </c>
      <c r="F748" s="5" t="s">
        <v>362</v>
      </c>
      <c r="G748" s="5" t="b">
        <v>0</v>
      </c>
      <c r="H748" s="5" t="b">
        <v>1</v>
      </c>
      <c r="I748" s="5">
        <v>3</v>
      </c>
      <c r="J748" s="5">
        <v>103800</v>
      </c>
      <c r="K748" s="5" t="s">
        <v>350</v>
      </c>
      <c r="L748" s="5">
        <v>0</v>
      </c>
      <c r="M748" s="5">
        <v>10380004</v>
      </c>
      <c r="N748" s="5" t="s">
        <v>535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/>
      <c r="V748" s="5">
        <v>0</v>
      </c>
      <c r="W748" s="5">
        <v>0</v>
      </c>
      <c r="X748" s="5" t="s">
        <v>352</v>
      </c>
      <c r="Y748" s="5" t="s">
        <v>365</v>
      </c>
      <c r="Z748" s="5" t="s">
        <v>354</v>
      </c>
      <c r="AA748" s="5">
        <v>0</v>
      </c>
      <c r="AB748" s="5">
        <v>0</v>
      </c>
      <c r="AC748" s="5" t="b">
        <v>0</v>
      </c>
      <c r="AD748" s="5" t="s">
        <v>355</v>
      </c>
      <c r="AE748" s="5">
        <v>180</v>
      </c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 t="s">
        <v>381</v>
      </c>
      <c r="AZ748" s="5">
        <v>10800</v>
      </c>
      <c r="BA748" s="5" t="s">
        <v>357</v>
      </c>
      <c r="BB748" s="5" t="s">
        <v>354</v>
      </c>
      <c r="BC748" s="5">
        <v>10000</v>
      </c>
      <c r="BD748" s="5">
        <v>0</v>
      </c>
      <c r="BE748" s="5" t="s">
        <v>358</v>
      </c>
      <c r="BF748" s="5">
        <v>0</v>
      </c>
      <c r="BG748" s="5" t="s">
        <v>356</v>
      </c>
      <c r="BH748" s="5">
        <v>9000</v>
      </c>
      <c r="BI748" s="5">
        <v>5</v>
      </c>
      <c r="BJ748" s="5" t="b">
        <v>1</v>
      </c>
      <c r="BK748" s="5">
        <v>0</v>
      </c>
      <c r="BL748" s="5">
        <v>8000</v>
      </c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  <c r="DJ748" s="5"/>
      <c r="DK748" s="5"/>
      <c r="DL748" s="5"/>
      <c r="DM748" s="5"/>
      <c r="DN748" s="5"/>
      <c r="DO748" s="5"/>
      <c r="DP748" s="5"/>
      <c r="DQ748" s="5"/>
      <c r="DR748" s="5"/>
      <c r="DS748" s="5"/>
      <c r="DT748" s="5"/>
      <c r="DU748" s="5"/>
      <c r="DV748" s="5"/>
      <c r="DW748" s="5"/>
      <c r="DX748" s="5"/>
      <c r="DY748" s="5"/>
      <c r="DZ748" s="5"/>
      <c r="EA748" s="5"/>
      <c r="EB748" s="5"/>
      <c r="EC748" s="5"/>
      <c r="ED748" s="5"/>
      <c r="EE748" s="5"/>
      <c r="EF748" s="5"/>
      <c r="EG748" s="5"/>
      <c r="EH748" s="5"/>
      <c r="EI748" s="5"/>
      <c r="EJ748" s="5"/>
      <c r="EK748" s="5"/>
      <c r="EL748" s="5"/>
      <c r="EM748" s="5"/>
      <c r="EN748" s="5"/>
      <c r="EO748" s="5"/>
      <c r="EP748" s="5"/>
      <c r="EQ748" s="5"/>
      <c r="ER748" s="5"/>
      <c r="ES748" s="5"/>
      <c r="ET748" s="5"/>
      <c r="EU748" s="5"/>
      <c r="EV748" s="5"/>
      <c r="EW748"/>
      <c r="EX748"/>
      <c r="EY748" s="5"/>
      <c r="EZ748" s="5"/>
      <c r="FA748" s="5"/>
      <c r="FB748" s="5"/>
      <c r="FC748" s="5"/>
      <c r="FD748" s="5"/>
      <c r="FE748" s="5"/>
      <c r="FF748" s="5"/>
      <c r="FG748" s="5"/>
      <c r="FH748" s="5"/>
      <c r="FI748" s="5"/>
      <c r="FJ748" s="5"/>
      <c r="FK748" s="5"/>
      <c r="FL748" s="5"/>
      <c r="FM748" s="5"/>
      <c r="FN748" s="5"/>
      <c r="FO748" s="5"/>
      <c r="FP748" s="5"/>
      <c r="FQ748" s="5"/>
      <c r="FR748" s="5"/>
      <c r="FS748" s="5"/>
      <c r="FT748" s="5"/>
      <c r="FU748" s="5"/>
      <c r="FV748" s="5"/>
      <c r="FW748" s="5"/>
      <c r="FX748" s="5"/>
      <c r="FY748" s="5"/>
      <c r="FZ748" s="5"/>
      <c r="GA748" s="5"/>
      <c r="GB748" s="5"/>
      <c r="GC748" s="5"/>
      <c r="GD748" s="5"/>
      <c r="GE748" s="5"/>
      <c r="GF748" s="5"/>
      <c r="GG748" s="5"/>
      <c r="GH748" s="5"/>
      <c r="GI748" s="5"/>
      <c r="GJ748" s="5"/>
      <c r="GK748" s="5"/>
      <c r="GL748" s="5"/>
      <c r="GM748" s="5"/>
      <c r="GN748" s="5"/>
      <c r="GO748" s="5"/>
      <c r="GP748" s="5"/>
      <c r="GQ748" s="5"/>
      <c r="GR748" s="5"/>
      <c r="GS748" s="5"/>
      <c r="GT748" s="5"/>
      <c r="GU748" s="5"/>
      <c r="GV748"/>
      <c r="GW748"/>
      <c r="GX748" s="5">
        <v>0</v>
      </c>
      <c r="GY748" s="5">
        <v>0</v>
      </c>
      <c r="GZ748" s="5" t="s">
        <v>366</v>
      </c>
      <c r="HA748" s="5">
        <v>0</v>
      </c>
      <c r="HB748" s="5"/>
      <c r="HC748" s="5"/>
      <c r="HD748" s="5" t="b">
        <v>0</v>
      </c>
      <c r="HE748" s="5">
        <v>0</v>
      </c>
      <c r="HF748" s="5" t="b">
        <v>1</v>
      </c>
      <c r="HG748" s="5">
        <v>0</v>
      </c>
      <c r="HH748" s="5">
        <v>0</v>
      </c>
      <c r="HI748" s="5">
        <v>0</v>
      </c>
      <c r="HJ748" s="5">
        <v>0</v>
      </c>
      <c r="HK748" s="5" t="b">
        <v>0</v>
      </c>
      <c r="HL748" s="5">
        <v>0</v>
      </c>
      <c r="HM748" s="5">
        <v>0</v>
      </c>
      <c r="HN748" s="5" t="s">
        <v>367</v>
      </c>
      <c r="HO748" s="5" t="s">
        <v>360</v>
      </c>
      <c r="HP748" s="5">
        <v>0</v>
      </c>
      <c r="HQ748" s="5">
        <v>0</v>
      </c>
      <c r="HR748" s="5">
        <v>0</v>
      </c>
      <c r="HS748" s="5">
        <v>0</v>
      </c>
      <c r="HT748" s="5" t="b">
        <v>0</v>
      </c>
    </row>
    <row r="749" spans="2:228">
      <c r="B749" s="1">
        <v>10380004</v>
      </c>
      <c r="C749" s="5" t="s">
        <v>568</v>
      </c>
      <c r="D749" s="5" t="s">
        <v>572</v>
      </c>
      <c r="E749" s="5" t="inlineStr">
        <is>
          <t xml:space="preserve">无</t>
        </is>
      </c>
      <c r="F749" s="5" t="s">
        <v>362</v>
      </c>
      <c r="G749" s="5" t="b">
        <v>0</v>
      </c>
      <c r="H749" s="5" t="b">
        <v>1</v>
      </c>
      <c r="I749" s="5">
        <v>4</v>
      </c>
      <c r="J749" s="5">
        <v>103800</v>
      </c>
      <c r="K749" s="5" t="s">
        <v>350</v>
      </c>
      <c r="L749" s="5">
        <v>0</v>
      </c>
      <c r="M749" s="5">
        <v>10380005</v>
      </c>
      <c r="N749" s="5" t="s">
        <v>535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/>
      <c r="V749" s="5">
        <v>0</v>
      </c>
      <c r="W749" s="5">
        <v>0</v>
      </c>
      <c r="X749" s="5" t="s">
        <v>352</v>
      </c>
      <c r="Y749" s="5" t="s">
        <v>365</v>
      </c>
      <c r="Z749" s="5" t="s">
        <v>354</v>
      </c>
      <c r="AA749" s="5">
        <v>0</v>
      </c>
      <c r="AB749" s="5">
        <v>0</v>
      </c>
      <c r="AC749" s="5" t="b">
        <v>0</v>
      </c>
      <c r="AD749" s="5" t="s">
        <v>355</v>
      </c>
      <c r="AE749" s="5">
        <v>180</v>
      </c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 t="s">
        <v>381</v>
      </c>
      <c r="AZ749" s="5">
        <v>11200</v>
      </c>
      <c r="BA749" s="5" t="s">
        <v>357</v>
      </c>
      <c r="BB749" s="5" t="s">
        <v>354</v>
      </c>
      <c r="BC749" s="5">
        <v>10000</v>
      </c>
      <c r="BD749" s="5">
        <v>0</v>
      </c>
      <c r="BE749" s="5" t="s">
        <v>358</v>
      </c>
      <c r="BF749" s="5">
        <v>0</v>
      </c>
      <c r="BG749" s="5" t="s">
        <v>356</v>
      </c>
      <c r="BH749" s="5">
        <v>9000</v>
      </c>
      <c r="BI749" s="5">
        <v>6</v>
      </c>
      <c r="BJ749" s="5" t="b">
        <v>1</v>
      </c>
      <c r="BK749" s="5">
        <v>0</v>
      </c>
      <c r="BL749" s="5">
        <v>8000</v>
      </c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  <c r="DJ749" s="5"/>
      <c r="DK749" s="5"/>
      <c r="DL749" s="5"/>
      <c r="DM749" s="5"/>
      <c r="DN749" s="5"/>
      <c r="DO749" s="5"/>
      <c r="DP749" s="5"/>
      <c r="DQ749" s="5"/>
      <c r="DR749" s="5"/>
      <c r="DS749" s="5"/>
      <c r="DT749" s="5"/>
      <c r="DU749" s="5"/>
      <c r="DV749" s="5"/>
      <c r="DW749" s="5"/>
      <c r="DX749" s="5"/>
      <c r="DY749" s="5"/>
      <c r="DZ749" s="5"/>
      <c r="EA749" s="5"/>
      <c r="EB749" s="5"/>
      <c r="EC749" s="5"/>
      <c r="ED749" s="5"/>
      <c r="EE749" s="5"/>
      <c r="EF749" s="5"/>
      <c r="EG749" s="5"/>
      <c r="EH749" s="5"/>
      <c r="EI749" s="5"/>
      <c r="EJ749" s="5"/>
      <c r="EK749" s="5"/>
      <c r="EL749" s="5"/>
      <c r="EM749" s="5"/>
      <c r="EN749" s="5"/>
      <c r="EO749" s="5"/>
      <c r="EP749" s="5"/>
      <c r="EQ749" s="5"/>
      <c r="ER749" s="5"/>
      <c r="ES749" s="5"/>
      <c r="ET749" s="5"/>
      <c r="EU749" s="5"/>
      <c r="EV749" s="5"/>
      <c r="EW749"/>
      <c r="EX749"/>
      <c r="EY749" s="5"/>
      <c r="EZ749" s="5"/>
      <c r="FA749" s="5"/>
      <c r="FB749" s="5"/>
      <c r="FC749" s="5"/>
      <c r="FD749" s="5"/>
      <c r="FE749" s="5"/>
      <c r="FF749" s="5"/>
      <c r="FG749" s="5"/>
      <c r="FH749" s="5"/>
      <c r="FI749" s="5"/>
      <c r="FJ749" s="5"/>
      <c r="FK749" s="5"/>
      <c r="FL749" s="5"/>
      <c r="FM749" s="5"/>
      <c r="FN749" s="5"/>
      <c r="FO749" s="5"/>
      <c r="FP749" s="5"/>
      <c r="FQ749" s="5"/>
      <c r="FR749" s="5"/>
      <c r="FS749" s="5"/>
      <c r="FT749" s="5"/>
      <c r="FU749" s="5"/>
      <c r="FV749" s="5"/>
      <c r="FW749" s="5"/>
      <c r="FX749" s="5"/>
      <c r="FY749" s="5"/>
      <c r="FZ749" s="5"/>
      <c r="GA749" s="5"/>
      <c r="GB749" s="5"/>
      <c r="GC749" s="5"/>
      <c r="GD749" s="5"/>
      <c r="GE749" s="5"/>
      <c r="GF749" s="5"/>
      <c r="GG749" s="5"/>
      <c r="GH749" s="5"/>
      <c r="GI749" s="5"/>
      <c r="GJ749" s="5"/>
      <c r="GK749" s="5"/>
      <c r="GL749" s="5"/>
      <c r="GM749" s="5"/>
      <c r="GN749" s="5"/>
      <c r="GO749" s="5"/>
      <c r="GP749" s="5"/>
      <c r="GQ749" s="5"/>
      <c r="GR749" s="5"/>
      <c r="GS749" s="5"/>
      <c r="GT749" s="5"/>
      <c r="GU749" s="5"/>
      <c r="GV749"/>
      <c r="GW749"/>
      <c r="GX749" s="5">
        <v>0</v>
      </c>
      <c r="GY749" s="5">
        <v>0</v>
      </c>
      <c r="GZ749" s="5" t="s">
        <v>366</v>
      </c>
      <c r="HA749" s="5">
        <v>0</v>
      </c>
      <c r="HB749" s="5"/>
      <c r="HC749" s="5"/>
      <c r="HD749" s="5" t="b">
        <v>0</v>
      </c>
      <c r="HE749" s="5">
        <v>0</v>
      </c>
      <c r="HF749" s="5" t="b">
        <v>1</v>
      </c>
      <c r="HG749" s="5">
        <v>0</v>
      </c>
      <c r="HH749" s="5">
        <v>0</v>
      </c>
      <c r="HI749" s="5">
        <v>0</v>
      </c>
      <c r="HJ749" s="5">
        <v>0</v>
      </c>
      <c r="HK749" s="5" t="b">
        <v>0</v>
      </c>
      <c r="HL749" s="5">
        <v>0</v>
      </c>
      <c r="HM749" s="5">
        <v>0</v>
      </c>
      <c r="HN749" s="5" t="s">
        <v>367</v>
      </c>
      <c r="HO749" s="5" t="s">
        <v>360</v>
      </c>
      <c r="HP749" s="5">
        <v>0</v>
      </c>
      <c r="HQ749" s="5">
        <v>0</v>
      </c>
      <c r="HR749" s="5">
        <v>0</v>
      </c>
      <c r="HS749" s="5">
        <v>0</v>
      </c>
      <c r="HT749" s="5" t="b">
        <v>0</v>
      </c>
    </row>
    <row r="750" spans="2:228">
      <c r="B750" s="1">
        <v>10380005</v>
      </c>
      <c r="C750" s="5" t="s">
        <v>568</v>
      </c>
      <c r="D750" s="5" t="s">
        <v>573</v>
      </c>
      <c r="E750" s="5" t="inlineStr">
        <is>
          <t xml:space="preserve">无</t>
        </is>
      </c>
      <c r="F750" s="5" t="s">
        <v>362</v>
      </c>
      <c r="G750" s="5" t="b">
        <v>0</v>
      </c>
      <c r="H750" s="5" t="b">
        <v>1</v>
      </c>
      <c r="I750" s="5">
        <v>5</v>
      </c>
      <c r="J750" s="5">
        <v>103800</v>
      </c>
      <c r="K750" s="5" t="s">
        <v>350</v>
      </c>
      <c r="L750" s="5">
        <v>0</v>
      </c>
      <c r="M750" s="5">
        <v>10380006</v>
      </c>
      <c r="N750" s="5" t="s">
        <v>535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/>
      <c r="V750" s="5">
        <v>0</v>
      </c>
      <c r="W750" s="5">
        <v>0</v>
      </c>
      <c r="X750" s="5" t="s">
        <v>352</v>
      </c>
      <c r="Y750" s="5" t="s">
        <v>365</v>
      </c>
      <c r="Z750" s="5" t="s">
        <v>354</v>
      </c>
      <c r="AA750" s="5">
        <v>0</v>
      </c>
      <c r="AB750" s="5">
        <v>0</v>
      </c>
      <c r="AC750" s="5" t="b">
        <v>0</v>
      </c>
      <c r="AD750" s="5" t="s">
        <v>355</v>
      </c>
      <c r="AE750" s="5">
        <v>180</v>
      </c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 t="s">
        <v>381</v>
      </c>
      <c r="AZ750" s="5">
        <v>11300</v>
      </c>
      <c r="BA750" s="5" t="s">
        <v>357</v>
      </c>
      <c r="BB750" s="5" t="s">
        <v>354</v>
      </c>
      <c r="BC750" s="5">
        <v>10000</v>
      </c>
      <c r="BD750" s="5">
        <v>0</v>
      </c>
      <c r="BE750" s="5" t="s">
        <v>358</v>
      </c>
      <c r="BF750" s="5">
        <v>0</v>
      </c>
      <c r="BG750" s="5" t="s">
        <v>356</v>
      </c>
      <c r="BH750" s="5">
        <v>9000</v>
      </c>
      <c r="BI750" s="5">
        <v>6</v>
      </c>
      <c r="BJ750" s="5" t="b">
        <v>1</v>
      </c>
      <c r="BK750" s="5">
        <v>0</v>
      </c>
      <c r="BL750" s="5">
        <v>8000</v>
      </c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  <c r="DJ750" s="5"/>
      <c r="DK750" s="5"/>
      <c r="DL750" s="5"/>
      <c r="DM750" s="5"/>
      <c r="DN750" s="5"/>
      <c r="DO750" s="5"/>
      <c r="DP750" s="5"/>
      <c r="DQ750" s="5"/>
      <c r="DR750" s="5"/>
      <c r="DS750" s="5"/>
      <c r="DT750" s="5"/>
      <c r="DU750" s="5"/>
      <c r="DV750" s="5"/>
      <c r="DW750" s="5"/>
      <c r="DX750" s="5"/>
      <c r="DY750" s="5"/>
      <c r="DZ750" s="5"/>
      <c r="EA750" s="5"/>
      <c r="EB750" s="5"/>
      <c r="EC750" s="5"/>
      <c r="ED750" s="5"/>
      <c r="EE750" s="5"/>
      <c r="EF750" s="5"/>
      <c r="EG750" s="5"/>
      <c r="EH750" s="5"/>
      <c r="EI750" s="5"/>
      <c r="EJ750" s="5"/>
      <c r="EK750" s="5"/>
      <c r="EL750" s="5"/>
      <c r="EM750" s="5"/>
      <c r="EN750" s="5"/>
      <c r="EO750" s="5"/>
      <c r="EP750" s="5"/>
      <c r="EQ750" s="5"/>
      <c r="ER750" s="5"/>
      <c r="ES750" s="5"/>
      <c r="ET750" s="5"/>
      <c r="EU750" s="5"/>
      <c r="EV750" s="5"/>
      <c r="EW750"/>
      <c r="EX750"/>
      <c r="EY750" s="5"/>
      <c r="EZ750" s="5"/>
      <c r="FA750" s="5"/>
      <c r="FB750" s="5"/>
      <c r="FC750" s="5"/>
      <c r="FD750" s="5"/>
      <c r="FE750" s="5"/>
      <c r="FF750" s="5"/>
      <c r="FG750" s="5"/>
      <c r="FH750" s="5"/>
      <c r="FI750" s="5"/>
      <c r="FJ750" s="5"/>
      <c r="FK750" s="5"/>
      <c r="FL750" s="5"/>
      <c r="FM750" s="5"/>
      <c r="FN750" s="5"/>
      <c r="FO750" s="5"/>
      <c r="FP750" s="5"/>
      <c r="FQ750" s="5"/>
      <c r="FR750" s="5"/>
      <c r="FS750" s="5"/>
      <c r="FT750" s="5"/>
      <c r="FU750" s="5"/>
      <c r="FV750" s="5"/>
      <c r="FW750" s="5"/>
      <c r="FX750" s="5"/>
      <c r="FY750" s="5"/>
      <c r="FZ750" s="5"/>
      <c r="GA750" s="5"/>
      <c r="GB750" s="5"/>
      <c r="GC750" s="5"/>
      <c r="GD750" s="5"/>
      <c r="GE750" s="5"/>
      <c r="GF750" s="5"/>
      <c r="GG750" s="5"/>
      <c r="GH750" s="5"/>
      <c r="GI750" s="5"/>
      <c r="GJ750" s="5"/>
      <c r="GK750" s="5"/>
      <c r="GL750" s="5"/>
      <c r="GM750" s="5"/>
      <c r="GN750" s="5"/>
      <c r="GO750" s="5"/>
      <c r="GP750" s="5"/>
      <c r="GQ750" s="5"/>
      <c r="GR750" s="5"/>
      <c r="GS750" s="5"/>
      <c r="GT750" s="5"/>
      <c r="GU750" s="5"/>
      <c r="GV750"/>
      <c r="GW750"/>
      <c r="GX750" s="5">
        <v>0</v>
      </c>
      <c r="GY750" s="5">
        <v>0</v>
      </c>
      <c r="GZ750" s="5" t="s">
        <v>366</v>
      </c>
      <c r="HA750" s="5">
        <v>0</v>
      </c>
      <c r="HB750" s="5"/>
      <c r="HC750" s="5"/>
      <c r="HD750" s="5" t="b">
        <v>0</v>
      </c>
      <c r="HE750" s="5">
        <v>0</v>
      </c>
      <c r="HF750" s="5" t="b">
        <v>1</v>
      </c>
      <c r="HG750" s="5">
        <v>0</v>
      </c>
      <c r="HH750" s="5">
        <v>0</v>
      </c>
      <c r="HI750" s="5">
        <v>0</v>
      </c>
      <c r="HJ750" s="5">
        <v>0</v>
      </c>
      <c r="HK750" s="5" t="b">
        <v>0</v>
      </c>
      <c r="HL750" s="5">
        <v>0</v>
      </c>
      <c r="HM750" s="5">
        <v>0</v>
      </c>
      <c r="HN750" s="5" t="s">
        <v>367</v>
      </c>
      <c r="HO750" s="5" t="s">
        <v>360</v>
      </c>
      <c r="HP750" s="5">
        <v>0</v>
      </c>
      <c r="HQ750" s="5">
        <v>0</v>
      </c>
      <c r="HR750" s="5">
        <v>0</v>
      </c>
      <c r="HS750" s="5">
        <v>0</v>
      </c>
      <c r="HT750" s="5" t="b">
        <v>0</v>
      </c>
    </row>
    <row r="751" spans="2:228">
      <c r="B751" s="1">
        <v>10380006</v>
      </c>
      <c r="C751" s="5" t="s">
        <v>568</v>
      </c>
      <c r="D751" s="5" t="s">
        <v>574</v>
      </c>
      <c r="E751" s="5" t="inlineStr">
        <is>
          <t xml:space="preserve">无</t>
        </is>
      </c>
      <c r="F751" s="5" t="s">
        <v>362</v>
      </c>
      <c r="G751" s="5" t="b">
        <v>0</v>
      </c>
      <c r="H751" s="5" t="b">
        <v>1</v>
      </c>
      <c r="I751" s="5">
        <v>6</v>
      </c>
      <c r="J751" s="5">
        <v>103800</v>
      </c>
      <c r="K751" s="5" t="s">
        <v>350</v>
      </c>
      <c r="L751" s="5">
        <v>0</v>
      </c>
      <c r="M751" s="5">
        <v>10380007</v>
      </c>
      <c r="N751" s="5" t="s">
        <v>535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/>
      <c r="V751" s="5">
        <v>0</v>
      </c>
      <c r="W751" s="5">
        <v>0</v>
      </c>
      <c r="X751" s="5" t="s">
        <v>352</v>
      </c>
      <c r="Y751" s="5" t="s">
        <v>365</v>
      </c>
      <c r="Z751" s="5" t="s">
        <v>354</v>
      </c>
      <c r="AA751" s="5">
        <v>0</v>
      </c>
      <c r="AB751" s="5">
        <v>0</v>
      </c>
      <c r="AC751" s="5" t="b">
        <v>0</v>
      </c>
      <c r="AD751" s="5" t="s">
        <v>355</v>
      </c>
      <c r="AE751" s="5">
        <v>180</v>
      </c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 t="s">
        <v>381</v>
      </c>
      <c r="AZ751" s="5">
        <v>11600</v>
      </c>
      <c r="BA751" s="5" t="s">
        <v>357</v>
      </c>
      <c r="BB751" s="5" t="s">
        <v>354</v>
      </c>
      <c r="BC751" s="5">
        <v>10000</v>
      </c>
      <c r="BD751" s="5">
        <v>0</v>
      </c>
      <c r="BE751" s="5" t="s">
        <v>358</v>
      </c>
      <c r="BF751" s="5">
        <v>0</v>
      </c>
      <c r="BG751" s="5" t="s">
        <v>356</v>
      </c>
      <c r="BH751" s="5">
        <v>9000</v>
      </c>
      <c r="BI751" s="5">
        <v>7</v>
      </c>
      <c r="BJ751" s="5" t="b">
        <v>1</v>
      </c>
      <c r="BK751" s="5">
        <v>0</v>
      </c>
      <c r="BL751" s="5">
        <v>8000</v>
      </c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  <c r="DJ751" s="5"/>
      <c r="DK751" s="5"/>
      <c r="DL751" s="5"/>
      <c r="DM751" s="5"/>
      <c r="DN751" s="5"/>
      <c r="DO751" s="5"/>
      <c r="DP751" s="5"/>
      <c r="DQ751" s="5"/>
      <c r="DR751" s="5"/>
      <c r="DS751" s="5"/>
      <c r="DT751" s="5"/>
      <c r="DU751" s="5"/>
      <c r="DV751" s="5"/>
      <c r="DW751" s="5"/>
      <c r="DX751" s="5"/>
      <c r="DY751" s="5"/>
      <c r="DZ751" s="5"/>
      <c r="EA751" s="5"/>
      <c r="EB751" s="5"/>
      <c r="EC751" s="5"/>
      <c r="ED751" s="5"/>
      <c r="EE751" s="5"/>
      <c r="EF751" s="5"/>
      <c r="EG751" s="5"/>
      <c r="EH751" s="5"/>
      <c r="EI751" s="5"/>
      <c r="EJ751" s="5"/>
      <c r="EK751" s="5"/>
      <c r="EL751" s="5"/>
      <c r="EM751" s="5"/>
      <c r="EN751" s="5"/>
      <c r="EO751" s="5"/>
      <c r="EP751" s="5"/>
      <c r="EQ751" s="5"/>
      <c r="ER751" s="5"/>
      <c r="ES751" s="5"/>
      <c r="ET751" s="5"/>
      <c r="EU751" s="5"/>
      <c r="EV751" s="5"/>
      <c r="EW751"/>
      <c r="EX751"/>
      <c r="EY751" s="5"/>
      <c r="EZ751" s="5"/>
      <c r="FA751" s="5"/>
      <c r="FB751" s="5"/>
      <c r="FC751" s="5"/>
      <c r="FD751" s="5"/>
      <c r="FE751" s="5"/>
      <c r="FF751" s="5"/>
      <c r="FG751" s="5"/>
      <c r="FH751" s="5"/>
      <c r="FI751" s="5"/>
      <c r="FJ751" s="5"/>
      <c r="FK751" s="5"/>
      <c r="FL751" s="5"/>
      <c r="FM751" s="5"/>
      <c r="FN751" s="5"/>
      <c r="FO751" s="5"/>
      <c r="FP751" s="5"/>
      <c r="FQ751" s="5"/>
      <c r="FR751" s="5"/>
      <c r="FS751" s="5"/>
      <c r="FT751" s="5"/>
      <c r="FU751" s="5"/>
      <c r="FV751" s="5"/>
      <c r="FW751" s="5"/>
      <c r="FX751" s="5"/>
      <c r="FY751" s="5"/>
      <c r="FZ751" s="5"/>
      <c r="GA751" s="5"/>
      <c r="GB751" s="5"/>
      <c r="GC751" s="5"/>
      <c r="GD751" s="5"/>
      <c r="GE751" s="5"/>
      <c r="GF751" s="5"/>
      <c r="GG751" s="5"/>
      <c r="GH751" s="5"/>
      <c r="GI751" s="5"/>
      <c r="GJ751" s="5"/>
      <c r="GK751" s="5"/>
      <c r="GL751" s="5"/>
      <c r="GM751" s="5"/>
      <c r="GN751" s="5"/>
      <c r="GO751" s="5"/>
      <c r="GP751" s="5"/>
      <c r="GQ751" s="5"/>
      <c r="GR751" s="5"/>
      <c r="GS751" s="5"/>
      <c r="GT751" s="5"/>
      <c r="GU751" s="5"/>
      <c r="GV751"/>
      <c r="GW751"/>
      <c r="GX751" s="5">
        <v>0</v>
      </c>
      <c r="GY751" s="5">
        <v>0</v>
      </c>
      <c r="GZ751" s="5" t="s">
        <v>366</v>
      </c>
      <c r="HA751" s="5">
        <v>0</v>
      </c>
      <c r="HB751" s="5"/>
      <c r="HC751" s="5"/>
      <c r="HD751" s="5" t="b">
        <v>0</v>
      </c>
      <c r="HE751" s="5">
        <v>0</v>
      </c>
      <c r="HF751" s="5" t="b">
        <v>1</v>
      </c>
      <c r="HG751" s="5">
        <v>0</v>
      </c>
      <c r="HH751" s="5">
        <v>0</v>
      </c>
      <c r="HI751" s="5">
        <v>0</v>
      </c>
      <c r="HJ751" s="5">
        <v>0</v>
      </c>
      <c r="HK751" s="5" t="b">
        <v>0</v>
      </c>
      <c r="HL751" s="5">
        <v>0</v>
      </c>
      <c r="HM751" s="5">
        <v>0</v>
      </c>
      <c r="HN751" s="5" t="s">
        <v>367</v>
      </c>
      <c r="HO751" s="5" t="s">
        <v>360</v>
      </c>
      <c r="HP751" s="5">
        <v>0</v>
      </c>
      <c r="HQ751" s="5">
        <v>0</v>
      </c>
      <c r="HR751" s="5">
        <v>0</v>
      </c>
      <c r="HS751" s="5">
        <v>0</v>
      </c>
      <c r="HT751" s="5" t="b">
        <v>0</v>
      </c>
    </row>
    <row r="752" spans="2:228">
      <c r="B752" s="1">
        <v>10380007</v>
      </c>
      <c r="C752" s="5" t="s">
        <v>568</v>
      </c>
      <c r="D752" s="5" t="s">
        <v>575</v>
      </c>
      <c r="E752" s="5" t="inlineStr">
        <is>
          <t xml:space="preserve">无</t>
        </is>
      </c>
      <c r="F752" s="5" t="s">
        <v>362</v>
      </c>
      <c r="G752" s="5" t="b">
        <v>0</v>
      </c>
      <c r="H752" s="5" t="b">
        <v>1</v>
      </c>
      <c r="I752" s="5">
        <v>7</v>
      </c>
      <c r="J752" s="5">
        <v>103800</v>
      </c>
      <c r="K752" s="5" t="s">
        <v>350</v>
      </c>
      <c r="L752" s="5">
        <v>0</v>
      </c>
      <c r="M752" s="5">
        <v>10380008</v>
      </c>
      <c r="N752" s="5" t="s">
        <v>535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/>
      <c r="V752" s="5">
        <v>0</v>
      </c>
      <c r="W752" s="5">
        <v>0</v>
      </c>
      <c r="X752" s="5" t="s">
        <v>352</v>
      </c>
      <c r="Y752" s="5" t="s">
        <v>365</v>
      </c>
      <c r="Z752" s="5" t="s">
        <v>354</v>
      </c>
      <c r="AA752" s="5">
        <v>0</v>
      </c>
      <c r="AB752" s="5">
        <v>0</v>
      </c>
      <c r="AC752" s="5" t="b">
        <v>0</v>
      </c>
      <c r="AD752" s="5" t="s">
        <v>355</v>
      </c>
      <c r="AE752" s="5">
        <v>180</v>
      </c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 t="s">
        <v>381</v>
      </c>
      <c r="AZ752" s="5">
        <v>11700</v>
      </c>
      <c r="BA752" s="5" t="s">
        <v>357</v>
      </c>
      <c r="BB752" s="5" t="s">
        <v>354</v>
      </c>
      <c r="BC752" s="5">
        <v>10000</v>
      </c>
      <c r="BD752" s="5">
        <v>0</v>
      </c>
      <c r="BE752" s="5" t="s">
        <v>358</v>
      </c>
      <c r="BF752" s="5">
        <v>0</v>
      </c>
      <c r="BG752" s="5" t="s">
        <v>356</v>
      </c>
      <c r="BH752" s="5">
        <v>9000</v>
      </c>
      <c r="BI752" s="5">
        <v>9</v>
      </c>
      <c r="BJ752" s="5" t="b">
        <v>1</v>
      </c>
      <c r="BK752" s="5">
        <v>0</v>
      </c>
      <c r="BL752" s="5">
        <v>8000</v>
      </c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5"/>
      <c r="CT752" s="5"/>
      <c r="CU752" s="5"/>
      <c r="CV752" s="5"/>
      <c r="CW752" s="5"/>
      <c r="CZ752" s="5"/>
      <c r="DA752" s="5"/>
      <c r="DB752" s="5"/>
      <c r="DC752" s="5"/>
      <c r="DD752" s="5"/>
      <c r="DE752" s="5"/>
      <c r="DF752" s="5"/>
      <c r="DG752" s="5"/>
      <c r="DH752" s="5"/>
      <c r="DI752" s="5"/>
      <c r="DJ752" s="5"/>
      <c r="DK752" s="5"/>
      <c r="DL752" s="5"/>
      <c r="DM752" s="5"/>
      <c r="DN752" s="5"/>
      <c r="DO752" s="5"/>
      <c r="DP752" s="5"/>
      <c r="DQ752" s="5"/>
      <c r="DR752" s="5"/>
      <c r="DS752" s="5"/>
      <c r="DT752" s="5"/>
      <c r="DU752" s="5"/>
      <c r="DV752" s="5"/>
      <c r="DW752" s="5"/>
      <c r="DX752" s="5"/>
      <c r="DY752" s="5"/>
      <c r="DZ752" s="5"/>
      <c r="EA752" s="5"/>
      <c r="EB752" s="5"/>
      <c r="EC752" s="5"/>
      <c r="ED752" s="5"/>
      <c r="EE752" s="5"/>
      <c r="EF752" s="5"/>
      <c r="EG752" s="5"/>
      <c r="EH752" s="5"/>
      <c r="EI752" s="5"/>
      <c r="EJ752" s="5"/>
      <c r="EK752" s="5"/>
      <c r="EL752" s="5"/>
      <c r="EM752" s="5"/>
      <c r="EN752" s="5"/>
      <c r="EO752" s="5"/>
      <c r="EP752" s="5"/>
      <c r="EQ752" s="5"/>
      <c r="ER752" s="5"/>
      <c r="ES752" s="5"/>
      <c r="ET752" s="5"/>
      <c r="EU752" s="5"/>
      <c r="EV752" s="5"/>
      <c r="EW752"/>
      <c r="EX752"/>
      <c r="EY752" s="5"/>
      <c r="EZ752" s="5"/>
      <c r="FA752" s="5"/>
      <c r="FB752" s="5"/>
      <c r="FC752" s="5"/>
      <c r="FD752" s="5"/>
      <c r="FE752" s="5"/>
      <c r="FF752" s="5"/>
      <c r="FG752" s="5"/>
      <c r="FH752" s="5"/>
      <c r="FI752" s="5"/>
      <c r="FJ752" s="5"/>
      <c r="FK752" s="5"/>
      <c r="FL752" s="5"/>
      <c r="FM752" s="5"/>
      <c r="FN752" s="5"/>
      <c r="FO752" s="5"/>
      <c r="FP752" s="5"/>
      <c r="FQ752" s="5"/>
      <c r="FR752" s="5"/>
      <c r="FS752" s="5"/>
      <c r="FT752" s="5"/>
      <c r="FU752" s="5"/>
      <c r="FV752" s="5"/>
      <c r="FW752" s="5"/>
      <c r="FX752" s="5"/>
      <c r="FY752" s="5"/>
      <c r="FZ752" s="5"/>
      <c r="GA752" s="5"/>
      <c r="GB752" s="5"/>
      <c r="GC752" s="5"/>
      <c r="GD752" s="5"/>
      <c r="GE752" s="5"/>
      <c r="GF752" s="5"/>
      <c r="GG752" s="5"/>
      <c r="GH752" s="5"/>
      <c r="GI752" s="5"/>
      <c r="GJ752" s="5"/>
      <c r="GK752" s="5"/>
      <c r="GL752" s="5"/>
      <c r="GM752" s="5"/>
      <c r="GN752" s="5"/>
      <c r="GO752" s="5"/>
      <c r="GP752" s="5"/>
      <c r="GQ752" s="5"/>
      <c r="GR752" s="5"/>
      <c r="GS752" s="5"/>
      <c r="GT752" s="5"/>
      <c r="GU752" s="5"/>
      <c r="GV752"/>
      <c r="GW752"/>
      <c r="GX752" s="5">
        <v>0</v>
      </c>
      <c r="GY752" s="5">
        <v>0</v>
      </c>
      <c r="GZ752" s="5" t="s">
        <v>366</v>
      </c>
      <c r="HA752" s="5">
        <v>0</v>
      </c>
      <c r="HB752" s="5"/>
      <c r="HC752" s="5"/>
      <c r="HD752" s="5" t="b">
        <v>0</v>
      </c>
      <c r="HE752" s="5">
        <v>0</v>
      </c>
      <c r="HF752" s="5" t="b">
        <v>1</v>
      </c>
      <c r="HG752" s="5">
        <v>0</v>
      </c>
      <c r="HH752" s="5">
        <v>0</v>
      </c>
      <c r="HI752" s="5">
        <v>0</v>
      </c>
      <c r="HJ752" s="5">
        <v>0</v>
      </c>
      <c r="HK752" s="5" t="b">
        <v>0</v>
      </c>
      <c r="HL752" s="5">
        <v>0</v>
      </c>
      <c r="HM752" s="5">
        <v>0</v>
      </c>
      <c r="HN752" s="5" t="s">
        <v>367</v>
      </c>
      <c r="HO752" s="5" t="s">
        <v>360</v>
      </c>
      <c r="HP752" s="5">
        <v>0</v>
      </c>
      <c r="HQ752" s="5">
        <v>0</v>
      </c>
      <c r="HR752" s="5">
        <v>0</v>
      </c>
      <c r="HS752" s="5">
        <v>0</v>
      </c>
      <c r="HT752" s="5" t="b">
        <v>0</v>
      </c>
    </row>
    <row r="753" spans="2:228">
      <c r="B753" s="1">
        <v>10380008</v>
      </c>
      <c r="C753" s="5" t="s">
        <v>568</v>
      </c>
      <c r="D753" s="5" t="s">
        <v>576</v>
      </c>
      <c r="E753" s="5" t="inlineStr">
        <is>
          <t xml:space="preserve">无</t>
        </is>
      </c>
      <c r="F753" s="5" t="s">
        <v>362</v>
      </c>
      <c r="G753" s="5" t="b">
        <v>0</v>
      </c>
      <c r="H753" s="5" t="b">
        <v>1</v>
      </c>
      <c r="I753" s="5">
        <v>8</v>
      </c>
      <c r="J753" s="5">
        <v>103800</v>
      </c>
      <c r="K753" s="5" t="s">
        <v>350</v>
      </c>
      <c r="L753" s="5">
        <v>0</v>
      </c>
      <c r="M753" s="5">
        <v>10380009</v>
      </c>
      <c r="N753" s="5" t="s">
        <v>535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/>
      <c r="V753" s="5">
        <v>0</v>
      </c>
      <c r="W753" s="5">
        <v>0</v>
      </c>
      <c r="X753" s="5" t="s">
        <v>352</v>
      </c>
      <c r="Y753" s="5" t="s">
        <v>365</v>
      </c>
      <c r="Z753" s="5" t="s">
        <v>354</v>
      </c>
      <c r="AA753" s="5">
        <v>0</v>
      </c>
      <c r="AB753" s="5">
        <v>0</v>
      </c>
      <c r="AC753" s="5" t="b">
        <v>0</v>
      </c>
      <c r="AD753" s="5" t="s">
        <v>355</v>
      </c>
      <c r="AE753" s="5">
        <v>180</v>
      </c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 t="s">
        <v>381</v>
      </c>
      <c r="AZ753" s="5">
        <v>11800</v>
      </c>
      <c r="BA753" s="5" t="s">
        <v>357</v>
      </c>
      <c r="BB753" s="5" t="s">
        <v>354</v>
      </c>
      <c r="BC753" s="5">
        <v>10000</v>
      </c>
      <c r="BD753" s="5">
        <v>0</v>
      </c>
      <c r="BE753" s="5" t="s">
        <v>358</v>
      </c>
      <c r="BF753" s="5">
        <v>0</v>
      </c>
      <c r="BG753" s="5" t="s">
        <v>356</v>
      </c>
      <c r="BH753" s="5">
        <v>9000</v>
      </c>
      <c r="BI753" s="5">
        <v>10</v>
      </c>
      <c r="BJ753" s="5" t="b">
        <v>1</v>
      </c>
      <c r="BK753" s="5">
        <v>0</v>
      </c>
      <c r="BL753" s="5">
        <v>8000</v>
      </c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5"/>
      <c r="CT753" s="5"/>
      <c r="CU753" s="5"/>
      <c r="CV753" s="5"/>
      <c r="CW753" s="5"/>
      <c r="CZ753" s="5"/>
      <c r="DA753" s="5"/>
      <c r="DB753" s="5"/>
      <c r="DC753" s="5"/>
      <c r="DD753" s="5"/>
      <c r="DE753" s="5"/>
      <c r="DF753" s="5"/>
      <c r="DG753" s="5"/>
      <c r="DH753" s="5"/>
      <c r="DI753" s="5"/>
      <c r="DJ753" s="5"/>
      <c r="DK753" s="5"/>
      <c r="DL753" s="5"/>
      <c r="DM753" s="5"/>
      <c r="DN753" s="5"/>
      <c r="DO753" s="5"/>
      <c r="DP753" s="5"/>
      <c r="DQ753" s="5"/>
      <c r="DR753" s="5"/>
      <c r="DS753" s="5"/>
      <c r="DT753" s="5"/>
      <c r="DU753" s="5"/>
      <c r="DV753" s="5"/>
      <c r="DW753" s="5"/>
      <c r="DX753" s="5"/>
      <c r="DY753" s="5"/>
      <c r="DZ753" s="5"/>
      <c r="EA753" s="5"/>
      <c r="EB753" s="5"/>
      <c r="EC753" s="5"/>
      <c r="ED753" s="5"/>
      <c r="EE753" s="5"/>
      <c r="EF753" s="5"/>
      <c r="EG753" s="5"/>
      <c r="EH753" s="5"/>
      <c r="EI753" s="5"/>
      <c r="EJ753" s="5"/>
      <c r="EK753" s="5"/>
      <c r="EL753" s="5"/>
      <c r="EM753" s="5"/>
      <c r="EN753" s="5"/>
      <c r="EO753" s="5"/>
      <c r="EP753" s="5"/>
      <c r="EQ753" s="5"/>
      <c r="ER753" s="5"/>
      <c r="ES753" s="5"/>
      <c r="ET753" s="5"/>
      <c r="EU753" s="5"/>
      <c r="EV753" s="5"/>
      <c r="EW753"/>
      <c r="EX753"/>
      <c r="EY753" s="5"/>
      <c r="EZ753" s="5"/>
      <c r="FA753" s="5"/>
      <c r="FB753" s="5"/>
      <c r="FC753" s="5"/>
      <c r="FD753" s="5"/>
      <c r="FE753" s="5"/>
      <c r="FF753" s="5"/>
      <c r="FG753" s="5"/>
      <c r="FH753" s="5"/>
      <c r="FI753" s="5"/>
      <c r="FJ753" s="5"/>
      <c r="FK753" s="5"/>
      <c r="FL753" s="5"/>
      <c r="FM753" s="5"/>
      <c r="FN753" s="5"/>
      <c r="FO753" s="5"/>
      <c r="FP753" s="5"/>
      <c r="FQ753" s="5"/>
      <c r="FR753" s="5"/>
      <c r="FS753" s="5"/>
      <c r="FT753" s="5"/>
      <c r="FU753" s="5"/>
      <c r="FV753" s="5"/>
      <c r="FW753" s="5"/>
      <c r="FX753" s="5"/>
      <c r="FY753" s="5"/>
      <c r="FZ753" s="5"/>
      <c r="GA753" s="5"/>
      <c r="GB753" s="5"/>
      <c r="GC753" s="5"/>
      <c r="GD753" s="5"/>
      <c r="GE753" s="5"/>
      <c r="GF753" s="5"/>
      <c r="GG753" s="5"/>
      <c r="GH753" s="5"/>
      <c r="GI753" s="5"/>
      <c r="GJ753" s="5"/>
      <c r="GK753" s="5"/>
      <c r="GL753" s="5"/>
      <c r="GM753" s="5"/>
      <c r="GN753" s="5"/>
      <c r="GO753" s="5"/>
      <c r="GP753" s="5"/>
      <c r="GQ753" s="5"/>
      <c r="GR753" s="5"/>
      <c r="GS753" s="5"/>
      <c r="GT753" s="5"/>
      <c r="GU753" s="5"/>
      <c r="GV753"/>
      <c r="GW753"/>
      <c r="GX753" s="5">
        <v>0</v>
      </c>
      <c r="GY753" s="5">
        <v>0</v>
      </c>
      <c r="GZ753" s="5" t="s">
        <v>366</v>
      </c>
      <c r="HA753" s="5">
        <v>0</v>
      </c>
      <c r="HB753" s="5"/>
      <c r="HC753" s="5"/>
      <c r="HD753" s="5" t="b">
        <v>0</v>
      </c>
      <c r="HE753" s="5">
        <v>0</v>
      </c>
      <c r="HF753" s="5" t="b">
        <v>1</v>
      </c>
      <c r="HG753" s="5">
        <v>0</v>
      </c>
      <c r="HH753" s="5">
        <v>0</v>
      </c>
      <c r="HI753" s="5">
        <v>0</v>
      </c>
      <c r="HJ753" s="5">
        <v>0</v>
      </c>
      <c r="HK753" s="5" t="b">
        <v>0</v>
      </c>
      <c r="HL753" s="5">
        <v>0</v>
      </c>
      <c r="HM753" s="5">
        <v>0</v>
      </c>
      <c r="HN753" s="5" t="s">
        <v>367</v>
      </c>
      <c r="HO753" s="5" t="s">
        <v>360</v>
      </c>
      <c r="HP753" s="5">
        <v>0</v>
      </c>
      <c r="HQ753" s="5">
        <v>0</v>
      </c>
      <c r="HR753" s="5">
        <v>0</v>
      </c>
      <c r="HS753" s="5">
        <v>0</v>
      </c>
      <c r="HT753" s="5" t="b">
        <v>0</v>
      </c>
    </row>
    <row r="754" spans="2:228">
      <c r="B754" s="1">
        <v>10380009</v>
      </c>
      <c r="C754" s="5" t="s">
        <v>568</v>
      </c>
      <c r="D754" s="5" t="s">
        <v>577</v>
      </c>
      <c r="E754" s="5" t="inlineStr">
        <is>
          <t xml:space="preserve">无</t>
        </is>
      </c>
      <c r="F754" s="5" t="s">
        <v>362</v>
      </c>
      <c r="G754" s="5" t="b">
        <v>0</v>
      </c>
      <c r="H754" s="5" t="b">
        <v>1</v>
      </c>
      <c r="I754" s="5">
        <v>9</v>
      </c>
      <c r="J754" s="5">
        <v>103800</v>
      </c>
      <c r="K754" s="5" t="s">
        <v>350</v>
      </c>
      <c r="L754" s="5">
        <v>0</v>
      </c>
      <c r="M754" s="5">
        <v>10380010</v>
      </c>
      <c r="N754" s="5" t="s">
        <v>535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/>
      <c r="V754" s="5">
        <v>0</v>
      </c>
      <c r="W754" s="5">
        <v>0</v>
      </c>
      <c r="X754" s="5" t="s">
        <v>352</v>
      </c>
      <c r="Y754" s="5" t="s">
        <v>365</v>
      </c>
      <c r="Z754" s="5" t="s">
        <v>354</v>
      </c>
      <c r="AA754" s="5">
        <v>0</v>
      </c>
      <c r="AB754" s="5">
        <v>0</v>
      </c>
      <c r="AC754" s="5" t="b">
        <v>0</v>
      </c>
      <c r="AD754" s="5" t="s">
        <v>355</v>
      </c>
      <c r="AE754" s="5">
        <v>180</v>
      </c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 t="s">
        <v>381</v>
      </c>
      <c r="AZ754" s="5">
        <v>11900</v>
      </c>
      <c r="BA754" s="5" t="s">
        <v>357</v>
      </c>
      <c r="BB754" s="5" t="s">
        <v>354</v>
      </c>
      <c r="BC754" s="5">
        <v>10000</v>
      </c>
      <c r="BD754" s="5">
        <v>0</v>
      </c>
      <c r="BE754" s="5" t="s">
        <v>358</v>
      </c>
      <c r="BF754" s="5">
        <v>0</v>
      </c>
      <c r="BG754" s="5" t="s">
        <v>356</v>
      </c>
      <c r="BH754" s="5">
        <v>9000</v>
      </c>
      <c r="BI754" s="5">
        <v>12</v>
      </c>
      <c r="BJ754" s="5" t="b">
        <v>1</v>
      </c>
      <c r="BK754" s="5">
        <v>0</v>
      </c>
      <c r="BL754" s="5">
        <v>8000</v>
      </c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5"/>
      <c r="CT754" s="5"/>
      <c r="CU754" s="5"/>
      <c r="CV754" s="5"/>
      <c r="CW754" s="5"/>
      <c r="CZ754" s="5"/>
      <c r="DA754" s="5"/>
      <c r="DB754" s="5"/>
      <c r="DC754" s="5"/>
      <c r="DD754" s="5"/>
      <c r="DE754" s="5"/>
      <c r="DF754" s="5"/>
      <c r="DG754" s="5"/>
      <c r="DH754" s="5"/>
      <c r="DI754" s="5"/>
      <c r="DJ754" s="5"/>
      <c r="DK754" s="5"/>
      <c r="DL754" s="5"/>
      <c r="DM754" s="5"/>
      <c r="DN754" s="5"/>
      <c r="DO754" s="5"/>
      <c r="DP754" s="5"/>
      <c r="DQ754" s="5"/>
      <c r="DR754" s="5"/>
      <c r="DS754" s="5"/>
      <c r="DT754" s="5"/>
      <c r="DU754" s="5"/>
      <c r="DV754" s="5"/>
      <c r="DW754" s="5"/>
      <c r="DX754" s="5"/>
      <c r="DY754" s="5"/>
      <c r="DZ754" s="5"/>
      <c r="EA754" s="5"/>
      <c r="EB754" s="5"/>
      <c r="EC754" s="5"/>
      <c r="ED754" s="5"/>
      <c r="EE754" s="5"/>
      <c r="EF754" s="5"/>
      <c r="EG754" s="5"/>
      <c r="EH754" s="5"/>
      <c r="EI754" s="5"/>
      <c r="EJ754" s="5"/>
      <c r="EK754" s="5"/>
      <c r="EL754" s="5"/>
      <c r="EM754" s="5"/>
      <c r="EN754" s="5"/>
      <c r="EO754" s="5"/>
      <c r="EP754" s="5"/>
      <c r="EQ754" s="5"/>
      <c r="ER754" s="5"/>
      <c r="ES754" s="5"/>
      <c r="ET754" s="5"/>
      <c r="EU754" s="5"/>
      <c r="EV754" s="5"/>
      <c r="EW754"/>
      <c r="EX754"/>
      <c r="EY754" s="5"/>
      <c r="EZ754" s="5"/>
      <c r="FA754" s="5"/>
      <c r="FB754" s="5"/>
      <c r="FC754" s="5"/>
      <c r="FD754" s="5"/>
      <c r="FE754" s="5"/>
      <c r="FF754" s="5"/>
      <c r="FG754" s="5"/>
      <c r="FH754" s="5"/>
      <c r="FI754" s="5"/>
      <c r="FJ754" s="5"/>
      <c r="FK754" s="5"/>
      <c r="FL754" s="5"/>
      <c r="FM754" s="5"/>
      <c r="FN754" s="5"/>
      <c r="FO754" s="5"/>
      <c r="FP754" s="5"/>
      <c r="FQ754" s="5"/>
      <c r="FR754" s="5"/>
      <c r="FS754" s="5"/>
      <c r="FT754" s="5"/>
      <c r="FU754" s="5"/>
      <c r="FV754" s="5"/>
      <c r="FW754" s="5"/>
      <c r="FX754" s="5"/>
      <c r="FY754" s="5"/>
      <c r="FZ754" s="5"/>
      <c r="GA754" s="5"/>
      <c r="GB754" s="5"/>
      <c r="GC754" s="5"/>
      <c r="GD754" s="5"/>
      <c r="GE754" s="5"/>
      <c r="GF754" s="5"/>
      <c r="GG754" s="5"/>
      <c r="GH754" s="5"/>
      <c r="GI754" s="5"/>
      <c r="GJ754" s="5"/>
      <c r="GK754" s="5"/>
      <c r="GL754" s="5"/>
      <c r="GM754" s="5"/>
      <c r="GN754" s="5"/>
      <c r="GO754" s="5"/>
      <c r="GP754" s="5"/>
      <c r="GQ754" s="5"/>
      <c r="GR754" s="5"/>
      <c r="GS754" s="5"/>
      <c r="GT754" s="5"/>
      <c r="GU754" s="5"/>
      <c r="GV754"/>
      <c r="GW754"/>
      <c r="GX754" s="5">
        <v>0</v>
      </c>
      <c r="GY754" s="5">
        <v>0</v>
      </c>
      <c r="GZ754" s="5" t="s">
        <v>366</v>
      </c>
      <c r="HA754" s="5">
        <v>0</v>
      </c>
      <c r="HB754" s="5"/>
      <c r="HC754" s="5"/>
      <c r="HD754" s="5" t="b">
        <v>0</v>
      </c>
      <c r="HE754" s="5">
        <v>0</v>
      </c>
      <c r="HF754" s="5" t="b">
        <v>1</v>
      </c>
      <c r="HG754" s="5">
        <v>0</v>
      </c>
      <c r="HH754" s="5">
        <v>0</v>
      </c>
      <c r="HI754" s="5">
        <v>0</v>
      </c>
      <c r="HJ754" s="5">
        <v>0</v>
      </c>
      <c r="HK754" s="5" t="b">
        <v>0</v>
      </c>
      <c r="HL754" s="5">
        <v>0</v>
      </c>
      <c r="HM754" s="5">
        <v>0</v>
      </c>
      <c r="HN754" s="5" t="s">
        <v>367</v>
      </c>
      <c r="HO754" s="5" t="s">
        <v>360</v>
      </c>
      <c r="HP754" s="5">
        <v>0</v>
      </c>
      <c r="HQ754" s="5">
        <v>0</v>
      </c>
      <c r="HR754" s="5">
        <v>0</v>
      </c>
      <c r="HS754" s="5">
        <v>0</v>
      </c>
      <c r="HT754" s="5" t="b">
        <v>0</v>
      </c>
    </row>
    <row r="755" spans="2:228">
      <c r="B755" s="1">
        <v>10380010</v>
      </c>
      <c r="C755" s="5" t="s">
        <v>568</v>
      </c>
      <c r="D755" s="5" t="s">
        <v>578</v>
      </c>
      <c r="E755" s="5" t="inlineStr">
        <is>
          <t xml:space="preserve">无</t>
        </is>
      </c>
      <c r="F755" s="5" t="s">
        <v>362</v>
      </c>
      <c r="G755" s="5" t="b">
        <v>0</v>
      </c>
      <c r="H755" s="5" t="b">
        <v>1</v>
      </c>
      <c r="I755" s="5">
        <v>10</v>
      </c>
      <c r="J755" s="5">
        <v>103800</v>
      </c>
      <c r="K755" s="5" t="s">
        <v>350</v>
      </c>
      <c r="L755" s="5">
        <v>0</v>
      </c>
      <c r="M755" s="5">
        <v>0</v>
      </c>
      <c r="N755" s="5" t="s">
        <v>535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/>
      <c r="V755" s="5">
        <v>0</v>
      </c>
      <c r="W755" s="5">
        <v>0</v>
      </c>
      <c r="X755" s="5" t="s">
        <v>352</v>
      </c>
      <c r="Y755" s="5" t="s">
        <v>365</v>
      </c>
      <c r="Z755" s="5" t="s">
        <v>354</v>
      </c>
      <c r="AA755" s="5">
        <v>0</v>
      </c>
      <c r="AB755" s="5">
        <v>0</v>
      </c>
      <c r="AC755" s="5" t="b">
        <v>0</v>
      </c>
      <c r="AD755" s="5" t="s">
        <v>355</v>
      </c>
      <c r="AE755" s="5">
        <v>180</v>
      </c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 t="s">
        <v>381</v>
      </c>
      <c r="AZ755" s="5">
        <v>12000</v>
      </c>
      <c r="BA755" s="5" t="s">
        <v>357</v>
      </c>
      <c r="BB755" s="5" t="s">
        <v>354</v>
      </c>
      <c r="BC755" s="5">
        <v>10000</v>
      </c>
      <c r="BD755" s="5">
        <v>0</v>
      </c>
      <c r="BE755" s="5" t="s">
        <v>358</v>
      </c>
      <c r="BF755" s="5">
        <v>0</v>
      </c>
      <c r="BG755" s="5" t="s">
        <v>356</v>
      </c>
      <c r="BH755" s="5">
        <v>9000</v>
      </c>
      <c r="BI755" s="5">
        <v>15</v>
      </c>
      <c r="BJ755" s="5" t="b">
        <v>1</v>
      </c>
      <c r="BK755" s="5">
        <v>0</v>
      </c>
      <c r="BL755" s="5">
        <v>8000</v>
      </c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5"/>
      <c r="CT755" s="5"/>
      <c r="CU755" s="5"/>
      <c r="CV755" s="5"/>
      <c r="CW755" s="5"/>
      <c r="CZ755" s="5"/>
      <c r="DA755" s="5"/>
      <c r="DB755" s="5"/>
      <c r="DC755" s="5"/>
      <c r="DD755" s="5"/>
      <c r="DE755" s="5"/>
      <c r="DF755" s="5"/>
      <c r="DG755" s="5"/>
      <c r="DH755" s="5"/>
      <c r="DI755" s="5"/>
      <c r="DJ755" s="5"/>
      <c r="DK755" s="5"/>
      <c r="DL755" s="5"/>
      <c r="DM755" s="5"/>
      <c r="DN755" s="5"/>
      <c r="DO755" s="5"/>
      <c r="DP755" s="5"/>
      <c r="DQ755" s="5"/>
      <c r="DR755" s="5"/>
      <c r="DS755" s="5"/>
      <c r="DT755" s="5"/>
      <c r="DU755" s="5"/>
      <c r="DV755" s="5"/>
      <c r="DW755" s="5"/>
      <c r="DX755" s="5"/>
      <c r="DY755" s="5"/>
      <c r="DZ755" s="5"/>
      <c r="EA755" s="5"/>
      <c r="EB755" s="5"/>
      <c r="EC755" s="5"/>
      <c r="ED755" s="5"/>
      <c r="EE755" s="5"/>
      <c r="EF755" s="5"/>
      <c r="EG755" s="5"/>
      <c r="EH755" s="5"/>
      <c r="EI755" s="5"/>
      <c r="EJ755" s="5"/>
      <c r="EK755" s="5"/>
      <c r="EL755" s="5"/>
      <c r="EM755" s="5"/>
      <c r="EN755" s="5"/>
      <c r="EO755" s="5"/>
      <c r="EP755" s="5"/>
      <c r="EQ755" s="5"/>
      <c r="ER755" s="5"/>
      <c r="ES755" s="5"/>
      <c r="ET755" s="5"/>
      <c r="EU755" s="5"/>
      <c r="EV755" s="5"/>
      <c r="EW755"/>
      <c r="EX755"/>
      <c r="EY755" s="5"/>
      <c r="EZ755" s="5"/>
      <c r="FA755" s="5"/>
      <c r="FB755" s="5"/>
      <c r="FC755" s="5"/>
      <c r="FD755" s="5"/>
      <c r="FE755" s="5"/>
      <c r="FF755" s="5"/>
      <c r="FG755" s="5"/>
      <c r="FH755" s="5"/>
      <c r="FI755" s="5"/>
      <c r="FJ755" s="5"/>
      <c r="FK755" s="5"/>
      <c r="FL755" s="5"/>
      <c r="FM755" s="5"/>
      <c r="FN755" s="5"/>
      <c r="FO755" s="5"/>
      <c r="FP755" s="5"/>
      <c r="FQ755" s="5"/>
      <c r="FR755" s="5"/>
      <c r="FS755" s="5"/>
      <c r="FT755" s="5"/>
      <c r="FU755" s="5"/>
      <c r="FV755" s="5"/>
      <c r="FW755" s="5"/>
      <c r="FX755" s="5"/>
      <c r="FY755" s="5"/>
      <c r="FZ755" s="5"/>
      <c r="GA755" s="5"/>
      <c r="GB755" s="5"/>
      <c r="GC755" s="5"/>
      <c r="GD755" s="5"/>
      <c r="GE755" s="5"/>
      <c r="GF755" s="5"/>
      <c r="GG755" s="5"/>
      <c r="GH755" s="5"/>
      <c r="GI755" s="5"/>
      <c r="GJ755" s="5"/>
      <c r="GK755" s="5"/>
      <c r="GL755" s="5"/>
      <c r="GM755" s="5"/>
      <c r="GN755" s="5"/>
      <c r="GO755" s="5"/>
      <c r="GP755" s="5"/>
      <c r="GQ755" s="5"/>
      <c r="GR755" s="5"/>
      <c r="GS755" s="5"/>
      <c r="GT755" s="5"/>
      <c r="GU755" s="5"/>
      <c r="GV755"/>
      <c r="GW755"/>
      <c r="GX755" s="5">
        <v>0</v>
      </c>
      <c r="GY755" s="5">
        <v>0</v>
      </c>
      <c r="GZ755" s="5" t="s">
        <v>366</v>
      </c>
      <c r="HA755" s="5">
        <v>0</v>
      </c>
      <c r="HB755" s="5"/>
      <c r="HC755" s="5"/>
      <c r="HD755" s="5" t="b">
        <v>0</v>
      </c>
      <c r="HE755" s="5">
        <v>0</v>
      </c>
      <c r="HF755" s="5" t="b">
        <v>1</v>
      </c>
      <c r="HG755" s="5">
        <v>0</v>
      </c>
      <c r="HH755" s="5">
        <v>0</v>
      </c>
      <c r="HI755" s="5">
        <v>0</v>
      </c>
      <c r="HJ755" s="5">
        <v>0</v>
      </c>
      <c r="HK755" s="5" t="b">
        <v>0</v>
      </c>
      <c r="HL755" s="5">
        <v>0</v>
      </c>
      <c r="HM755" s="5">
        <v>0</v>
      </c>
      <c r="HN755" s="5" t="s">
        <v>367</v>
      </c>
      <c r="HO755" s="5" t="s">
        <v>360</v>
      </c>
      <c r="HP755" s="5">
        <v>0</v>
      </c>
      <c r="HQ755" s="5">
        <v>0</v>
      </c>
      <c r="HR755" s="5">
        <v>0</v>
      </c>
      <c r="HS755" s="5">
        <v>0</v>
      </c>
      <c r="HT755" s="5" t="b">
        <v>0</v>
      </c>
    </row>
    <row r="756" spans="2:228">
      <c r="B756" s="1">
        <v>10390001</v>
      </c>
      <c r="C756" s="5" t="s">
        <v>579</v>
      </c>
      <c r="D756" s="5" t="s">
        <v>580</v>
      </c>
      <c r="E756" s="5" t="inlineStr">
        <is>
          <t xml:space="preserve">无</t>
        </is>
      </c>
      <c r="F756" s="5" t="s">
        <v>362</v>
      </c>
      <c r="G756" s="5" t="b">
        <v>0</v>
      </c>
      <c r="H756" s="5" t="b">
        <v>1</v>
      </c>
      <c r="I756" s="5">
        <v>1</v>
      </c>
      <c r="J756" s="5">
        <v>103900</v>
      </c>
      <c r="K756" s="5" t="s">
        <v>350</v>
      </c>
      <c r="L756" s="5">
        <v>0</v>
      </c>
      <c r="M756" s="5">
        <v>10390002</v>
      </c>
      <c r="N756" s="5" t="s">
        <v>535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/>
      <c r="V756" s="5">
        <v>0</v>
      </c>
      <c r="W756" s="5">
        <v>0</v>
      </c>
      <c r="X756" s="5" t="s">
        <v>352</v>
      </c>
      <c r="Y756" s="5" t="inlineStr">
        <is>
          <t xml:space="preserve">单体</t>
        </is>
      </c>
      <c r="Z756" s="5" t="inlineStr">
        <is>
          <t xml:space="preserve">敌对</t>
        </is>
      </c>
      <c r="AA756" s="5">
        <v>0</v>
      </c>
      <c r="AB756" s="5">
        <v>1</v>
      </c>
      <c r="AC756" s="5" t="b">
        <v>0</v>
      </c>
      <c r="AD756" s="5" t="inlineStr">
        <is>
          <t xml:space="preserve">最近</t>
        </is>
      </c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 t="s">
        <v>381</v>
      </c>
      <c r="AZ756" s="5">
        <v>10000</v>
      </c>
      <c r="BA756" s="5" t="s">
        <v>357</v>
      </c>
      <c r="BB756" s="5" t="s">
        <v>354</v>
      </c>
      <c r="BC756" s="5">
        <v>10000</v>
      </c>
      <c r="BD756" s="5">
        <v>0</v>
      </c>
      <c r="BE756" s="5" t="s">
        <v>358</v>
      </c>
      <c r="BF756" s="5">
        <v>0</v>
      </c>
      <c r="BG756" s="5" t="s">
        <v>356</v>
      </c>
      <c r="BH756" s="5">
        <v>10500</v>
      </c>
      <c r="BI756" s="5">
        <v>3</v>
      </c>
      <c r="BJ756" s="5" t="b">
        <v>1</v>
      </c>
      <c r="BK756" s="5">
        <v>0</v>
      </c>
      <c r="BL756" s="5">
        <v>10000</v>
      </c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5"/>
      <c r="CT756" s="5"/>
      <c r="CU756" s="5"/>
      <c r="CV756" s="5"/>
      <c r="CW756" s="5"/>
      <c r="CZ756" s="5" t="s">
        <v>441</v>
      </c>
      <c r="DA756" s="5" t="s">
        <v>354</v>
      </c>
      <c r="DB756" s="5">
        <v>10000</v>
      </c>
      <c r="DC756" s="5">
        <v>0</v>
      </c>
      <c r="DD756" s="5" t="s">
        <v>358</v>
      </c>
      <c r="DE756" s="5">
        <v>0</v>
      </c>
      <c r="DF756" s="5"/>
      <c r="DG756" s="5"/>
      <c r="DH756" s="5"/>
      <c r="DI756" s="5"/>
      <c r="DJ756" s="5"/>
      <c r="DK756" s="5"/>
      <c r="DL756" s="5"/>
      <c r="DM756" s="5"/>
      <c r="DN756" s="5"/>
      <c r="DO756" s="5"/>
      <c r="DP756" s="5"/>
      <c r="DQ756" s="5"/>
      <c r="DR756" s="5"/>
      <c r="DS756" s="5"/>
      <c r="DT756" s="5"/>
      <c r="DU756" s="5"/>
      <c r="DV756" s="5"/>
      <c r="DW756" s="5"/>
      <c r="DX756" s="5"/>
      <c r="DY756" s="5" t="s">
        <v>543</v>
      </c>
      <c r="DZ756" s="5">
        <v>160</v>
      </c>
      <c r="EA756" s="5" t="s">
        <v>373</v>
      </c>
      <c r="EB756" s="5" t="s">
        <v>544</v>
      </c>
      <c r="EC756" s="5" t="b">
        <v>0</v>
      </c>
      <c r="ED756" s="5">
        <v>900</v>
      </c>
      <c r="EE756" s="5"/>
      <c r="EF756" s="5"/>
      <c r="EG756" s="5"/>
      <c r="EH756" s="5"/>
      <c r="EI756" s="5"/>
      <c r="EJ756" s="5"/>
      <c r="EK756" s="5"/>
      <c r="EL756" s="5"/>
      <c r="EM756" s="5"/>
      <c r="EN756" s="5"/>
      <c r="EO756" s="5"/>
      <c r="EP756" s="5"/>
      <c r="EQ756" s="5"/>
      <c r="ER756" s="5"/>
      <c r="ES756" s="5"/>
      <c r="ET756" s="5"/>
      <c r="EU756" s="5"/>
      <c r="EV756" s="5"/>
      <c r="EW756"/>
      <c r="EX756"/>
      <c r="EY756" s="5"/>
      <c r="EZ756" s="5"/>
      <c r="FA756" s="5"/>
      <c r="FB756" s="5"/>
      <c r="FC756" s="5"/>
      <c r="FD756" s="5"/>
      <c r="FE756" s="5"/>
      <c r="FF756" s="5"/>
      <c r="FG756" s="5"/>
      <c r="FH756" s="5"/>
      <c r="FI756" s="5"/>
      <c r="FJ756" s="5"/>
      <c r="FK756" s="5"/>
      <c r="FL756" s="5"/>
      <c r="FM756" s="5"/>
      <c r="FN756" s="5"/>
      <c r="FO756" s="5"/>
      <c r="FP756" s="5"/>
      <c r="FQ756" s="5"/>
      <c r="FR756" s="5"/>
      <c r="FS756" s="5"/>
      <c r="FT756" s="5"/>
      <c r="FU756" s="5"/>
      <c r="FV756" s="5"/>
      <c r="FW756" s="5"/>
      <c r="FX756" s="5"/>
      <c r="FY756" s="5"/>
      <c r="FZ756" s="5"/>
      <c r="GA756" s="5"/>
      <c r="GB756" s="5"/>
      <c r="GC756" s="5"/>
      <c r="GD756" s="5"/>
      <c r="GE756" s="5"/>
      <c r="GF756" s="5"/>
      <c r="GG756" s="5"/>
      <c r="GH756" s="5"/>
      <c r="GI756" s="5"/>
      <c r="GJ756" s="5"/>
      <c r="GK756" s="5"/>
      <c r="GL756" s="5"/>
      <c r="GM756" s="5"/>
      <c r="GN756" s="5"/>
      <c r="GO756" s="5"/>
      <c r="GP756" s="5"/>
      <c r="GQ756" s="5"/>
      <c r="GR756" s="5"/>
      <c r="GS756" s="5"/>
      <c r="GT756" s="5"/>
      <c r="GU756" s="5"/>
      <c r="GV756"/>
      <c r="GW756"/>
      <c r="GX756" s="5">
        <v>0</v>
      </c>
      <c r="GY756" s="5">
        <v>0</v>
      </c>
      <c r="GZ756" s="5" t="s">
        <v>366</v>
      </c>
      <c r="HA756" s="5">
        <v>0</v>
      </c>
      <c r="HB756" s="5"/>
      <c r="HC756" s="5"/>
      <c r="HD756" s="5" t="b">
        <v>0</v>
      </c>
      <c r="HE756" s="5">
        <v>0</v>
      </c>
      <c r="HF756" s="5" t="b">
        <v>1</v>
      </c>
      <c r="HG756" s="5">
        <v>0</v>
      </c>
      <c r="HH756" s="5">
        <v>0</v>
      </c>
      <c r="HI756" s="5">
        <v>0</v>
      </c>
      <c r="HJ756" s="5">
        <v>0</v>
      </c>
      <c r="HK756" s="5" t="b">
        <v>0</v>
      </c>
      <c r="HL756" s="5">
        <v>0</v>
      </c>
      <c r="HM756" s="5">
        <v>0</v>
      </c>
      <c r="HN756" s="5" t="s">
        <v>367</v>
      </c>
      <c r="HO756" s="5" t="s">
        <v>360</v>
      </c>
      <c r="HP756" s="5">
        <v>0</v>
      </c>
      <c r="HQ756" s="5">
        <v>0</v>
      </c>
      <c r="HR756" s="5">
        <v>0</v>
      </c>
      <c r="HS756" s="5">
        <v>0</v>
      </c>
      <c r="HT756" s="5" t="b">
        <v>0</v>
      </c>
    </row>
    <row r="757" spans="2:228">
      <c r="B757" s="1">
        <v>10390002</v>
      </c>
      <c r="C757" s="5" t="s">
        <v>579</v>
      </c>
      <c r="D757" s="5" t="s">
        <v>581</v>
      </c>
      <c r="E757" s="5" t="inlineStr">
        <is>
          <t xml:space="preserve">无</t>
        </is>
      </c>
      <c r="F757" s="5" t="s">
        <v>362</v>
      </c>
      <c r="G757" s="5" t="b">
        <v>0</v>
      </c>
      <c r="H757" s="5" t="b">
        <v>1</v>
      </c>
      <c r="I757" s="5">
        <v>2</v>
      </c>
      <c r="J757" s="5">
        <v>103900</v>
      </c>
      <c r="K757" s="5" t="s">
        <v>350</v>
      </c>
      <c r="L757" s="5">
        <v>0</v>
      </c>
      <c r="M757" s="5">
        <v>10390003</v>
      </c>
      <c r="N757" s="5" t="s">
        <v>535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/>
      <c r="V757" s="5">
        <v>0</v>
      </c>
      <c r="W757" s="5">
        <v>0</v>
      </c>
      <c r="X757" s="5" t="s">
        <v>352</v>
      </c>
      <c r="Y757" s="5" t="inlineStr">
        <is>
          <t xml:space="preserve">单体</t>
        </is>
      </c>
      <c r="Z757" s="5" t="inlineStr">
        <is>
          <t xml:space="preserve">敌对</t>
        </is>
      </c>
      <c r="AA757" s="5">
        <v>0</v>
      </c>
      <c r="AB757" s="5">
        <v>1</v>
      </c>
      <c r="AC757" s="5" t="b">
        <v>0</v>
      </c>
      <c r="AD757" s="5" t="inlineStr">
        <is>
          <t xml:space="preserve">最近</t>
        </is>
      </c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 t="s">
        <v>381</v>
      </c>
      <c r="AZ757" s="5">
        <v>10400</v>
      </c>
      <c r="BA757" s="5" t="s">
        <v>357</v>
      </c>
      <c r="BB757" s="5" t="s">
        <v>354</v>
      </c>
      <c r="BC757" s="5">
        <v>10000</v>
      </c>
      <c r="BD757" s="5">
        <v>0</v>
      </c>
      <c r="BE757" s="5" t="s">
        <v>358</v>
      </c>
      <c r="BF757" s="5">
        <v>0</v>
      </c>
      <c r="BG757" s="5" t="s">
        <v>356</v>
      </c>
      <c r="BH757" s="5">
        <v>10500</v>
      </c>
      <c r="BI757" s="5">
        <v>4</v>
      </c>
      <c r="BJ757" s="5" t="b">
        <v>1</v>
      </c>
      <c r="BK757" s="5">
        <v>0</v>
      </c>
      <c r="BL757" s="5">
        <v>10000</v>
      </c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5"/>
      <c r="CT757" s="5"/>
      <c r="CU757" s="5"/>
      <c r="CV757" s="5"/>
      <c r="CW757" s="5"/>
      <c r="CZ757" s="5" t="s">
        <v>441</v>
      </c>
      <c r="DA757" s="5" t="s">
        <v>354</v>
      </c>
      <c r="DB757" s="5">
        <v>10000</v>
      </c>
      <c r="DC757" s="5">
        <v>0</v>
      </c>
      <c r="DD757" s="5" t="s">
        <v>358</v>
      </c>
      <c r="DE757" s="5">
        <v>0</v>
      </c>
      <c r="DF757" s="5"/>
      <c r="DG757" s="5"/>
      <c r="DH757" s="5"/>
      <c r="DI757" s="5"/>
      <c r="DJ757" s="5"/>
      <c r="DK757" s="5"/>
      <c r="DL757" s="5"/>
      <c r="DM757" s="5"/>
      <c r="DN757" s="5"/>
      <c r="DO757" s="5"/>
      <c r="DP757" s="5"/>
      <c r="DQ757" s="5"/>
      <c r="DR757" s="5"/>
      <c r="DS757" s="5"/>
      <c r="DT757" s="5"/>
      <c r="DU757" s="5"/>
      <c r="DV757" s="5"/>
      <c r="DW757" s="5"/>
      <c r="DX757" s="5"/>
      <c r="DY757" s="5" t="s">
        <v>543</v>
      </c>
      <c r="DZ757" s="5">
        <v>160</v>
      </c>
      <c r="EA757" s="5" t="s">
        <v>373</v>
      </c>
      <c r="EB757" s="5" t="s">
        <v>544</v>
      </c>
      <c r="EC757" s="5" t="b">
        <v>0</v>
      </c>
      <c r="ED757" s="5">
        <v>900</v>
      </c>
      <c r="EE757" s="5"/>
      <c r="EF757" s="5"/>
      <c r="EG757" s="5"/>
      <c r="EH757" s="5"/>
      <c r="EI757" s="5"/>
      <c r="EJ757" s="5"/>
      <c r="EK757" s="5"/>
      <c r="EL757" s="5"/>
      <c r="EM757" s="5"/>
      <c r="EN757" s="5"/>
      <c r="EO757" s="5"/>
      <c r="EP757" s="5"/>
      <c r="EQ757" s="5"/>
      <c r="ER757" s="5"/>
      <c r="ES757" s="5"/>
      <c r="ET757" s="5"/>
      <c r="EU757" s="5"/>
      <c r="EV757" s="5"/>
      <c r="EW757"/>
      <c r="EX757"/>
      <c r="EY757" s="5"/>
      <c r="EZ757" s="5"/>
      <c r="FA757" s="5"/>
      <c r="FB757" s="5"/>
      <c r="FC757" s="5"/>
      <c r="FD757" s="5"/>
      <c r="FE757" s="5"/>
      <c r="FF757" s="5"/>
      <c r="FG757" s="5"/>
      <c r="FH757" s="5"/>
      <c r="FI757" s="5"/>
      <c r="FJ757" s="5"/>
      <c r="FK757" s="5"/>
      <c r="FL757" s="5"/>
      <c r="FM757" s="5"/>
      <c r="FN757" s="5"/>
      <c r="FO757" s="5"/>
      <c r="FP757" s="5"/>
      <c r="FQ757" s="5"/>
      <c r="FR757" s="5"/>
      <c r="FS757" s="5"/>
      <c r="FT757" s="5"/>
      <c r="FU757" s="5"/>
      <c r="FV757" s="5"/>
      <c r="FW757" s="5"/>
      <c r="FX757" s="5"/>
      <c r="FY757" s="5"/>
      <c r="FZ757" s="5"/>
      <c r="GA757" s="5"/>
      <c r="GB757" s="5"/>
      <c r="GC757" s="5"/>
      <c r="GD757" s="5"/>
      <c r="GE757" s="5"/>
      <c r="GF757" s="5"/>
      <c r="GG757" s="5"/>
      <c r="GH757" s="5"/>
      <c r="GI757" s="5"/>
      <c r="GJ757" s="5"/>
      <c r="GK757" s="5"/>
      <c r="GL757" s="5"/>
      <c r="GM757" s="5"/>
      <c r="GN757" s="5"/>
      <c r="GO757" s="5"/>
      <c r="GP757" s="5"/>
      <c r="GQ757" s="5"/>
      <c r="GR757" s="5"/>
      <c r="GS757" s="5"/>
      <c r="GT757" s="5"/>
      <c r="GU757" s="5"/>
      <c r="GV757"/>
      <c r="GW757"/>
      <c r="GX757" s="5">
        <v>0</v>
      </c>
      <c r="GY757" s="5">
        <v>0</v>
      </c>
      <c r="GZ757" s="5" t="s">
        <v>366</v>
      </c>
      <c r="HA757" s="5">
        <v>0</v>
      </c>
      <c r="HB757" s="5"/>
      <c r="HC757" s="5"/>
      <c r="HD757" s="5" t="b">
        <v>0</v>
      </c>
      <c r="HE757" s="5">
        <v>0</v>
      </c>
      <c r="HF757" s="5" t="b">
        <v>1</v>
      </c>
      <c r="HG757" s="5">
        <v>0</v>
      </c>
      <c r="HH757" s="5">
        <v>0</v>
      </c>
      <c r="HI757" s="5">
        <v>0</v>
      </c>
      <c r="HJ757" s="5">
        <v>0</v>
      </c>
      <c r="HK757" s="5" t="b">
        <v>0</v>
      </c>
      <c r="HL757" s="5">
        <v>0</v>
      </c>
      <c r="HM757" s="5">
        <v>0</v>
      </c>
      <c r="HN757" s="5" t="s">
        <v>367</v>
      </c>
      <c r="HO757" s="5" t="s">
        <v>360</v>
      </c>
      <c r="HP757" s="5">
        <v>0</v>
      </c>
      <c r="HQ757" s="5">
        <v>0</v>
      </c>
      <c r="HR757" s="5">
        <v>0</v>
      </c>
      <c r="HS757" s="5">
        <v>0</v>
      </c>
      <c r="HT757" s="5" t="b">
        <v>0</v>
      </c>
    </row>
    <row r="758" spans="2:228">
      <c r="B758" s="1">
        <v>10390003</v>
      </c>
      <c r="C758" s="5" t="s">
        <v>579</v>
      </c>
      <c r="D758" s="5" t="s">
        <v>582</v>
      </c>
      <c r="E758" s="5" t="inlineStr">
        <is>
          <t xml:space="preserve">无</t>
        </is>
      </c>
      <c r="F758" s="5" t="s">
        <v>362</v>
      </c>
      <c r="G758" s="5" t="b">
        <v>0</v>
      </c>
      <c r="H758" s="5" t="b">
        <v>1</v>
      </c>
      <c r="I758" s="5">
        <v>3</v>
      </c>
      <c r="J758" s="5">
        <v>103900</v>
      </c>
      <c r="K758" s="5" t="s">
        <v>350</v>
      </c>
      <c r="L758" s="5">
        <v>0</v>
      </c>
      <c r="M758" s="5">
        <v>10390004</v>
      </c>
      <c r="N758" s="5" t="s">
        <v>535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/>
      <c r="V758" s="5">
        <v>0</v>
      </c>
      <c r="W758" s="5">
        <v>0</v>
      </c>
      <c r="X758" s="5" t="s">
        <v>352</v>
      </c>
      <c r="Y758" s="5" t="inlineStr">
        <is>
          <t xml:space="preserve">单体</t>
        </is>
      </c>
      <c r="Z758" s="5" t="inlineStr">
        <is>
          <t xml:space="preserve">敌对</t>
        </is>
      </c>
      <c r="AA758" s="5">
        <v>0</v>
      </c>
      <c r="AB758" s="5">
        <v>1</v>
      </c>
      <c r="AC758" s="5" t="b">
        <v>0</v>
      </c>
      <c r="AD758" s="5" t="inlineStr">
        <is>
          <t xml:space="preserve">最近</t>
        </is>
      </c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 t="s">
        <v>381</v>
      </c>
      <c r="AZ758" s="5">
        <v>10800</v>
      </c>
      <c r="BA758" s="5" t="s">
        <v>357</v>
      </c>
      <c r="BB758" s="5" t="s">
        <v>354</v>
      </c>
      <c r="BC758" s="5">
        <v>10000</v>
      </c>
      <c r="BD758" s="5">
        <v>0</v>
      </c>
      <c r="BE758" s="5" t="s">
        <v>358</v>
      </c>
      <c r="BF758" s="5">
        <v>0</v>
      </c>
      <c r="BG758" s="5" t="s">
        <v>356</v>
      </c>
      <c r="BH758" s="5">
        <v>10500</v>
      </c>
      <c r="BI758" s="5">
        <v>5</v>
      </c>
      <c r="BJ758" s="5" t="b">
        <v>1</v>
      </c>
      <c r="BK758" s="5">
        <v>0</v>
      </c>
      <c r="BL758" s="5">
        <v>10000</v>
      </c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5"/>
      <c r="CT758" s="5"/>
      <c r="CU758" s="5"/>
      <c r="CV758" s="5"/>
      <c r="CW758" s="5"/>
      <c r="CZ758" s="5" t="s">
        <v>441</v>
      </c>
      <c r="DA758" s="5" t="s">
        <v>354</v>
      </c>
      <c r="DB758" s="5">
        <v>10000</v>
      </c>
      <c r="DC758" s="5">
        <v>0</v>
      </c>
      <c r="DD758" s="5" t="s">
        <v>358</v>
      </c>
      <c r="DE758" s="5">
        <v>0</v>
      </c>
      <c r="DF758" s="5"/>
      <c r="DG758" s="5"/>
      <c r="DH758" s="5"/>
      <c r="DI758" s="5"/>
      <c r="DJ758" s="5"/>
      <c r="DK758" s="5"/>
      <c r="DL758" s="5"/>
      <c r="DM758" s="5"/>
      <c r="DN758" s="5"/>
      <c r="DO758" s="5"/>
      <c r="DP758" s="5"/>
      <c r="DQ758" s="5"/>
      <c r="DR758" s="5"/>
      <c r="DS758" s="5"/>
      <c r="DT758" s="5"/>
      <c r="DU758" s="5"/>
      <c r="DV758" s="5"/>
      <c r="DW758" s="5"/>
      <c r="DX758" s="5"/>
      <c r="DY758" s="5" t="s">
        <v>543</v>
      </c>
      <c r="DZ758" s="5">
        <v>160</v>
      </c>
      <c r="EA758" s="5" t="s">
        <v>373</v>
      </c>
      <c r="EB758" s="5" t="s">
        <v>544</v>
      </c>
      <c r="EC758" s="5" t="b">
        <v>0</v>
      </c>
      <c r="ED758" s="5">
        <v>900</v>
      </c>
      <c r="EE758" s="5"/>
      <c r="EF758" s="5"/>
      <c r="EG758" s="5"/>
      <c r="EH758" s="5"/>
      <c r="EI758" s="5"/>
      <c r="EJ758" s="5"/>
      <c r="EK758" s="5"/>
      <c r="EL758" s="5"/>
      <c r="EM758" s="5"/>
      <c r="EN758" s="5"/>
      <c r="EO758" s="5"/>
      <c r="EP758" s="5"/>
      <c r="EQ758" s="5"/>
      <c r="ER758" s="5"/>
      <c r="ES758" s="5"/>
      <c r="ET758" s="5"/>
      <c r="EU758" s="5"/>
      <c r="EV758" s="5"/>
      <c r="EW758"/>
      <c r="EX758"/>
      <c r="EY758" s="5"/>
      <c r="EZ758" s="5"/>
      <c r="FA758" s="5"/>
      <c r="FB758" s="5"/>
      <c r="FC758" s="5"/>
      <c r="FD758" s="5"/>
      <c r="FE758" s="5"/>
      <c r="FF758" s="5"/>
      <c r="FG758" s="5"/>
      <c r="FH758" s="5"/>
      <c r="FI758" s="5"/>
      <c r="FJ758" s="5"/>
      <c r="FK758" s="5"/>
      <c r="FL758" s="5"/>
      <c r="FM758" s="5"/>
      <c r="FN758" s="5"/>
      <c r="FO758" s="5"/>
      <c r="FP758" s="5"/>
      <c r="FQ758" s="5"/>
      <c r="FR758" s="5"/>
      <c r="FS758" s="5"/>
      <c r="FT758" s="5"/>
      <c r="FU758" s="5"/>
      <c r="FV758" s="5"/>
      <c r="FW758" s="5"/>
      <c r="FX758" s="5"/>
      <c r="FY758" s="5"/>
      <c r="FZ758" s="5"/>
      <c r="GA758" s="5"/>
      <c r="GB758" s="5"/>
      <c r="GC758" s="5"/>
      <c r="GD758" s="5"/>
      <c r="GE758" s="5"/>
      <c r="GF758" s="5"/>
      <c r="GG758" s="5"/>
      <c r="GH758" s="5"/>
      <c r="GI758" s="5"/>
      <c r="GJ758" s="5"/>
      <c r="GK758" s="5"/>
      <c r="GL758" s="5"/>
      <c r="GM758" s="5"/>
      <c r="GN758" s="5"/>
      <c r="GO758" s="5"/>
      <c r="GP758" s="5"/>
      <c r="GQ758" s="5"/>
      <c r="GR758" s="5"/>
      <c r="GS758" s="5"/>
      <c r="GT758" s="5"/>
      <c r="GU758" s="5"/>
      <c r="GV758"/>
      <c r="GW758"/>
      <c r="GX758" s="5">
        <v>0</v>
      </c>
      <c r="GY758" s="5">
        <v>0</v>
      </c>
      <c r="GZ758" s="5" t="s">
        <v>366</v>
      </c>
      <c r="HA758" s="5">
        <v>0</v>
      </c>
      <c r="HB758" s="5"/>
      <c r="HC758" s="5"/>
      <c r="HD758" s="5" t="b">
        <v>0</v>
      </c>
      <c r="HE758" s="5">
        <v>0</v>
      </c>
      <c r="HF758" s="5" t="b">
        <v>1</v>
      </c>
      <c r="HG758" s="5">
        <v>0</v>
      </c>
      <c r="HH758" s="5">
        <v>0</v>
      </c>
      <c r="HI758" s="5">
        <v>0</v>
      </c>
      <c r="HJ758" s="5">
        <v>0</v>
      </c>
      <c r="HK758" s="5" t="b">
        <v>0</v>
      </c>
      <c r="HL758" s="5">
        <v>0</v>
      </c>
      <c r="HM758" s="5">
        <v>0</v>
      </c>
      <c r="HN758" s="5" t="s">
        <v>367</v>
      </c>
      <c r="HO758" s="5" t="s">
        <v>360</v>
      </c>
      <c r="HP758" s="5">
        <v>0</v>
      </c>
      <c r="HQ758" s="5">
        <v>0</v>
      </c>
      <c r="HR758" s="5">
        <v>0</v>
      </c>
      <c r="HS758" s="5">
        <v>0</v>
      </c>
      <c r="HT758" s="5" t="b">
        <v>0</v>
      </c>
    </row>
    <row r="759" spans="2:228">
      <c r="B759" s="1">
        <v>10390004</v>
      </c>
      <c r="C759" s="5" t="s">
        <v>579</v>
      </c>
      <c r="D759" s="5" t="s">
        <v>583</v>
      </c>
      <c r="E759" s="5" t="inlineStr">
        <is>
          <t xml:space="preserve">无</t>
        </is>
      </c>
      <c r="F759" s="5" t="s">
        <v>362</v>
      </c>
      <c r="G759" s="5" t="b">
        <v>0</v>
      </c>
      <c r="H759" s="5" t="b">
        <v>1</v>
      </c>
      <c r="I759" s="5">
        <v>4</v>
      </c>
      <c r="J759" s="5">
        <v>103900</v>
      </c>
      <c r="K759" s="5" t="s">
        <v>350</v>
      </c>
      <c r="L759" s="5">
        <v>0</v>
      </c>
      <c r="M759" s="5">
        <v>10390005</v>
      </c>
      <c r="N759" s="5" t="s">
        <v>535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/>
      <c r="V759" s="5">
        <v>0</v>
      </c>
      <c r="W759" s="5">
        <v>0</v>
      </c>
      <c r="X759" s="5" t="s">
        <v>352</v>
      </c>
      <c r="Y759" s="5" t="inlineStr">
        <is>
          <t xml:space="preserve">单体</t>
        </is>
      </c>
      <c r="Z759" s="5" t="inlineStr">
        <is>
          <t xml:space="preserve">敌对</t>
        </is>
      </c>
      <c r="AA759" s="5">
        <v>0</v>
      </c>
      <c r="AB759" s="5">
        <v>1</v>
      </c>
      <c r="AC759" s="5" t="b">
        <v>0</v>
      </c>
      <c r="AD759" s="5" t="inlineStr">
        <is>
          <t xml:space="preserve">最近</t>
        </is>
      </c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 t="s">
        <v>381</v>
      </c>
      <c r="AZ759" s="5">
        <v>11200</v>
      </c>
      <c r="BA759" s="5" t="s">
        <v>357</v>
      </c>
      <c r="BB759" s="5" t="s">
        <v>354</v>
      </c>
      <c r="BC759" s="5">
        <v>10000</v>
      </c>
      <c r="BD759" s="5">
        <v>0</v>
      </c>
      <c r="BE759" s="5" t="s">
        <v>358</v>
      </c>
      <c r="BF759" s="5">
        <v>0</v>
      </c>
      <c r="BG759" s="5" t="s">
        <v>356</v>
      </c>
      <c r="BH759" s="5">
        <v>10500</v>
      </c>
      <c r="BI759" s="5">
        <v>6</v>
      </c>
      <c r="BJ759" s="5" t="b">
        <v>1</v>
      </c>
      <c r="BK759" s="5">
        <v>0</v>
      </c>
      <c r="BL759" s="5">
        <v>10000</v>
      </c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5"/>
      <c r="CT759" s="5"/>
      <c r="CU759" s="5"/>
      <c r="CV759" s="5"/>
      <c r="CW759" s="5"/>
      <c r="CZ759" s="5" t="s">
        <v>441</v>
      </c>
      <c r="DA759" s="5" t="s">
        <v>354</v>
      </c>
      <c r="DB759" s="5">
        <v>10000</v>
      </c>
      <c r="DC759" s="5">
        <v>0</v>
      </c>
      <c r="DD759" s="5" t="s">
        <v>358</v>
      </c>
      <c r="DE759" s="5">
        <v>0</v>
      </c>
      <c r="DF759" s="5"/>
      <c r="DG759" s="5"/>
      <c r="DH759" s="5"/>
      <c r="DI759" s="5"/>
      <c r="DJ759" s="5"/>
      <c r="DK759" s="5"/>
      <c r="DL759" s="5"/>
      <c r="DM759" s="5"/>
      <c r="DN759" s="5"/>
      <c r="DO759" s="5"/>
      <c r="DP759" s="5"/>
      <c r="DQ759" s="5"/>
      <c r="DR759" s="5"/>
      <c r="DS759" s="5"/>
      <c r="DT759" s="5"/>
      <c r="DU759" s="5"/>
      <c r="DV759" s="5"/>
      <c r="DW759" s="5"/>
      <c r="DX759" s="5"/>
      <c r="DY759" s="5" t="s">
        <v>543</v>
      </c>
      <c r="DZ759" s="5">
        <v>160</v>
      </c>
      <c r="EA759" s="5" t="s">
        <v>373</v>
      </c>
      <c r="EB759" s="5" t="s">
        <v>544</v>
      </c>
      <c r="EC759" s="5" t="b">
        <v>0</v>
      </c>
      <c r="ED759" s="5">
        <v>900</v>
      </c>
      <c r="EE759" s="5"/>
      <c r="EF759" s="5"/>
      <c r="EG759" s="5"/>
      <c r="EH759" s="5"/>
      <c r="EI759" s="5"/>
      <c r="EJ759" s="5"/>
      <c r="EK759" s="5"/>
      <c r="EL759" s="5"/>
      <c r="EM759" s="5"/>
      <c r="EN759" s="5"/>
      <c r="EO759" s="5"/>
      <c r="EP759" s="5"/>
      <c r="EQ759" s="5"/>
      <c r="ER759" s="5"/>
      <c r="ES759" s="5"/>
      <c r="ET759" s="5"/>
      <c r="EU759" s="5"/>
      <c r="EV759" s="5"/>
      <c r="EW759"/>
      <c r="EX759"/>
      <c r="EY759" s="5"/>
      <c r="EZ759" s="5"/>
      <c r="FA759" s="5"/>
      <c r="FB759" s="5"/>
      <c r="FC759" s="5"/>
      <c r="FD759" s="5"/>
      <c r="FE759" s="5"/>
      <c r="FF759" s="5"/>
      <c r="FG759" s="5"/>
      <c r="FH759" s="5"/>
      <c r="FI759" s="5"/>
      <c r="FJ759" s="5"/>
      <c r="FK759" s="5"/>
      <c r="FL759" s="5"/>
      <c r="FM759" s="5"/>
      <c r="FN759" s="5"/>
      <c r="FO759" s="5"/>
      <c r="FP759" s="5"/>
      <c r="FQ759" s="5"/>
      <c r="FR759" s="5"/>
      <c r="FS759" s="5"/>
      <c r="FT759" s="5"/>
      <c r="FU759" s="5"/>
      <c r="FV759" s="5"/>
      <c r="FW759" s="5"/>
      <c r="FX759" s="5"/>
      <c r="FY759" s="5"/>
      <c r="FZ759" s="5"/>
      <c r="GA759" s="5"/>
      <c r="GB759" s="5"/>
      <c r="GC759" s="5"/>
      <c r="GD759" s="5"/>
      <c r="GE759" s="5"/>
      <c r="GF759" s="5"/>
      <c r="GG759" s="5"/>
      <c r="GH759" s="5"/>
      <c r="GI759" s="5"/>
      <c r="GJ759" s="5"/>
      <c r="GK759" s="5"/>
      <c r="GL759" s="5"/>
      <c r="GM759" s="5"/>
      <c r="GN759" s="5"/>
      <c r="GO759" s="5"/>
      <c r="GP759" s="5"/>
      <c r="GQ759" s="5"/>
      <c r="GR759" s="5"/>
      <c r="GS759" s="5"/>
      <c r="GT759" s="5"/>
      <c r="GU759" s="5"/>
      <c r="GV759"/>
      <c r="GW759"/>
      <c r="GX759" s="5">
        <v>0</v>
      </c>
      <c r="GY759" s="5">
        <v>0</v>
      </c>
      <c r="GZ759" s="5" t="s">
        <v>366</v>
      </c>
      <c r="HA759" s="5">
        <v>0</v>
      </c>
      <c r="HB759" s="5"/>
      <c r="HC759" s="5"/>
      <c r="HD759" s="5" t="b">
        <v>0</v>
      </c>
      <c r="HE759" s="5">
        <v>0</v>
      </c>
      <c r="HF759" s="5" t="b">
        <v>1</v>
      </c>
      <c r="HG759" s="5">
        <v>0</v>
      </c>
      <c r="HH759" s="5">
        <v>0</v>
      </c>
      <c r="HI759" s="5">
        <v>0</v>
      </c>
      <c r="HJ759" s="5">
        <v>0</v>
      </c>
      <c r="HK759" s="5" t="b">
        <v>0</v>
      </c>
      <c r="HL759" s="5">
        <v>0</v>
      </c>
      <c r="HM759" s="5">
        <v>0</v>
      </c>
      <c r="HN759" s="5" t="s">
        <v>367</v>
      </c>
      <c r="HO759" s="5" t="s">
        <v>360</v>
      </c>
      <c r="HP759" s="5">
        <v>0</v>
      </c>
      <c r="HQ759" s="5">
        <v>0</v>
      </c>
      <c r="HR759" s="5">
        <v>0</v>
      </c>
      <c r="HS759" s="5">
        <v>0</v>
      </c>
      <c r="HT759" s="5" t="b">
        <v>0</v>
      </c>
    </row>
    <row r="760" spans="2:228">
      <c r="B760" s="1">
        <v>10390005</v>
      </c>
      <c r="C760" s="5" t="s">
        <v>579</v>
      </c>
      <c r="D760" s="5" t="s">
        <v>584</v>
      </c>
      <c r="E760" s="5" t="inlineStr">
        <is>
          <t xml:space="preserve">无</t>
        </is>
      </c>
      <c r="F760" s="5" t="s">
        <v>362</v>
      </c>
      <c r="G760" s="5" t="b">
        <v>0</v>
      </c>
      <c r="H760" s="5" t="b">
        <v>1</v>
      </c>
      <c r="I760" s="5">
        <v>5</v>
      </c>
      <c r="J760" s="5">
        <v>103900</v>
      </c>
      <c r="K760" s="5" t="s">
        <v>350</v>
      </c>
      <c r="L760" s="5">
        <v>0</v>
      </c>
      <c r="M760" s="5">
        <v>10390006</v>
      </c>
      <c r="N760" s="5" t="s">
        <v>535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/>
      <c r="V760" s="5">
        <v>0</v>
      </c>
      <c r="W760" s="5">
        <v>0</v>
      </c>
      <c r="X760" s="5" t="s">
        <v>352</v>
      </c>
      <c r="Y760" s="5" t="inlineStr">
        <is>
          <t xml:space="preserve">单体</t>
        </is>
      </c>
      <c r="Z760" s="5" t="inlineStr">
        <is>
          <t xml:space="preserve">敌对</t>
        </is>
      </c>
      <c r="AA760" s="5">
        <v>0</v>
      </c>
      <c r="AB760" s="5">
        <v>1</v>
      </c>
      <c r="AC760" s="5" t="b">
        <v>0</v>
      </c>
      <c r="AD760" s="5" t="inlineStr">
        <is>
          <t xml:space="preserve">最近</t>
        </is>
      </c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 t="s">
        <v>381</v>
      </c>
      <c r="AZ760" s="5">
        <v>11300</v>
      </c>
      <c r="BA760" s="5" t="s">
        <v>357</v>
      </c>
      <c r="BB760" s="5" t="s">
        <v>354</v>
      </c>
      <c r="BC760" s="5">
        <v>10000</v>
      </c>
      <c r="BD760" s="5">
        <v>0</v>
      </c>
      <c r="BE760" s="5" t="s">
        <v>358</v>
      </c>
      <c r="BF760" s="5">
        <v>0</v>
      </c>
      <c r="BG760" s="5" t="s">
        <v>356</v>
      </c>
      <c r="BH760" s="5">
        <v>10500</v>
      </c>
      <c r="BI760" s="5">
        <v>6</v>
      </c>
      <c r="BJ760" s="5" t="b">
        <v>1</v>
      </c>
      <c r="BK760" s="5">
        <v>0</v>
      </c>
      <c r="BL760" s="5">
        <v>10000</v>
      </c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5"/>
      <c r="CT760" s="5"/>
      <c r="CU760" s="5"/>
      <c r="CV760" s="5"/>
      <c r="CW760" s="5"/>
      <c r="CZ760" s="5" t="s">
        <v>441</v>
      </c>
      <c r="DA760" s="5" t="s">
        <v>354</v>
      </c>
      <c r="DB760" s="5">
        <v>10000</v>
      </c>
      <c r="DC760" s="5">
        <v>0</v>
      </c>
      <c r="DD760" s="5" t="s">
        <v>358</v>
      </c>
      <c r="DE760" s="5">
        <v>0</v>
      </c>
      <c r="DF760" s="5"/>
      <c r="DG760" s="5"/>
      <c r="DH760" s="5"/>
      <c r="DI760" s="5"/>
      <c r="DJ760" s="5"/>
      <c r="DK760" s="5"/>
      <c r="DL760" s="5"/>
      <c r="DM760" s="5"/>
      <c r="DN760" s="5"/>
      <c r="DO760" s="5"/>
      <c r="DP760" s="5"/>
      <c r="DQ760" s="5"/>
      <c r="DR760" s="5"/>
      <c r="DS760" s="5"/>
      <c r="DT760" s="5"/>
      <c r="DU760" s="5"/>
      <c r="DV760" s="5"/>
      <c r="DW760" s="5"/>
      <c r="DX760" s="5"/>
      <c r="DY760" s="5" t="s">
        <v>543</v>
      </c>
      <c r="DZ760" s="5">
        <v>160</v>
      </c>
      <c r="EA760" s="5" t="s">
        <v>373</v>
      </c>
      <c r="EB760" s="5" t="s">
        <v>544</v>
      </c>
      <c r="EC760" s="5" t="b">
        <v>0</v>
      </c>
      <c r="ED760" s="5">
        <v>900</v>
      </c>
      <c r="EE760" s="5"/>
      <c r="EF760" s="5"/>
      <c r="EG760" s="5"/>
      <c r="EH760" s="5"/>
      <c r="EI760" s="5"/>
      <c r="EJ760" s="5"/>
      <c r="EK760" s="5"/>
      <c r="EL760" s="5"/>
      <c r="EM760" s="5"/>
      <c r="EN760" s="5"/>
      <c r="EO760" s="5"/>
      <c r="EP760" s="5"/>
      <c r="EQ760" s="5"/>
      <c r="ER760" s="5"/>
      <c r="ES760" s="5"/>
      <c r="ET760" s="5"/>
      <c r="EU760" s="5"/>
      <c r="EV760" s="5"/>
      <c r="EW760"/>
      <c r="EX760"/>
      <c r="EY760" s="5"/>
      <c r="EZ760" s="5"/>
      <c r="FA760" s="5"/>
      <c r="FB760" s="5"/>
      <c r="FC760" s="5"/>
      <c r="FD760" s="5"/>
      <c r="FE760" s="5"/>
      <c r="FF760" s="5"/>
      <c r="FG760" s="5"/>
      <c r="FH760" s="5"/>
      <c r="FI760" s="5"/>
      <c r="FJ760" s="5"/>
      <c r="FK760" s="5"/>
      <c r="FL760" s="5"/>
      <c r="FM760" s="5"/>
      <c r="FN760" s="5"/>
      <c r="FO760" s="5"/>
      <c r="FP760" s="5"/>
      <c r="FQ760" s="5"/>
      <c r="FR760" s="5"/>
      <c r="FS760" s="5"/>
      <c r="FT760" s="5"/>
      <c r="FU760" s="5"/>
      <c r="FV760" s="5"/>
      <c r="FW760" s="5"/>
      <c r="FX760" s="5"/>
      <c r="FY760" s="5"/>
      <c r="FZ760" s="5"/>
      <c r="GA760" s="5"/>
      <c r="GB760" s="5"/>
      <c r="GC760" s="5"/>
      <c r="GD760" s="5"/>
      <c r="GE760" s="5"/>
      <c r="GF760" s="5"/>
      <c r="GG760" s="5"/>
      <c r="GH760" s="5"/>
      <c r="GI760" s="5"/>
      <c r="GJ760" s="5"/>
      <c r="GK760" s="5"/>
      <c r="GL760" s="5"/>
      <c r="GM760" s="5"/>
      <c r="GN760" s="5"/>
      <c r="GO760" s="5"/>
      <c r="GP760" s="5"/>
      <c r="GQ760" s="5"/>
      <c r="GR760" s="5"/>
      <c r="GS760" s="5"/>
      <c r="GT760" s="5"/>
      <c r="GU760" s="5"/>
      <c r="GV760"/>
      <c r="GW760"/>
      <c r="GX760" s="5">
        <v>0</v>
      </c>
      <c r="GY760" s="5">
        <v>0</v>
      </c>
      <c r="GZ760" s="5" t="s">
        <v>366</v>
      </c>
      <c r="HA760" s="5">
        <v>0</v>
      </c>
      <c r="HB760" s="5"/>
      <c r="HC760" s="5"/>
      <c r="HD760" s="5" t="b">
        <v>0</v>
      </c>
      <c r="HE760" s="5">
        <v>0</v>
      </c>
      <c r="HF760" s="5" t="b">
        <v>1</v>
      </c>
      <c r="HG760" s="5">
        <v>0</v>
      </c>
      <c r="HH760" s="5">
        <v>0</v>
      </c>
      <c r="HI760" s="5">
        <v>0</v>
      </c>
      <c r="HJ760" s="5">
        <v>0</v>
      </c>
      <c r="HK760" s="5" t="b">
        <v>0</v>
      </c>
      <c r="HL760" s="5">
        <v>0</v>
      </c>
      <c r="HM760" s="5">
        <v>0</v>
      </c>
      <c r="HN760" s="5" t="s">
        <v>367</v>
      </c>
      <c r="HO760" s="5" t="s">
        <v>360</v>
      </c>
      <c r="HP760" s="5">
        <v>0</v>
      </c>
      <c r="HQ760" s="5">
        <v>0</v>
      </c>
      <c r="HR760" s="5">
        <v>0</v>
      </c>
      <c r="HS760" s="5">
        <v>0</v>
      </c>
      <c r="HT760" s="5" t="b">
        <v>0</v>
      </c>
    </row>
    <row r="761" spans="2:228">
      <c r="B761" s="1">
        <v>10390006</v>
      </c>
      <c r="C761" s="5" t="s">
        <v>579</v>
      </c>
      <c r="D761" s="5" t="s">
        <v>585</v>
      </c>
      <c r="E761" s="5" t="inlineStr">
        <is>
          <t xml:space="preserve">无</t>
        </is>
      </c>
      <c r="F761" s="5" t="s">
        <v>362</v>
      </c>
      <c r="G761" s="5" t="b">
        <v>0</v>
      </c>
      <c r="H761" s="5" t="b">
        <v>1</v>
      </c>
      <c r="I761" s="5">
        <v>6</v>
      </c>
      <c r="J761" s="5">
        <v>103900</v>
      </c>
      <c r="K761" s="5" t="s">
        <v>350</v>
      </c>
      <c r="L761" s="5">
        <v>0</v>
      </c>
      <c r="M761" s="5">
        <v>10390007</v>
      </c>
      <c r="N761" s="5" t="s">
        <v>535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/>
      <c r="V761" s="5">
        <v>0</v>
      </c>
      <c r="W761" s="5">
        <v>0</v>
      </c>
      <c r="X761" s="5" t="s">
        <v>352</v>
      </c>
      <c r="Y761" s="5" t="inlineStr">
        <is>
          <t xml:space="preserve">单体</t>
        </is>
      </c>
      <c r="Z761" s="5" t="inlineStr">
        <is>
          <t xml:space="preserve">敌对</t>
        </is>
      </c>
      <c r="AA761" s="5">
        <v>0</v>
      </c>
      <c r="AB761" s="5">
        <v>1</v>
      </c>
      <c r="AC761" s="5" t="b">
        <v>0</v>
      </c>
      <c r="AD761" s="5" t="inlineStr">
        <is>
          <t xml:space="preserve">最近</t>
        </is>
      </c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 t="s">
        <v>381</v>
      </c>
      <c r="AZ761" s="5">
        <v>11600</v>
      </c>
      <c r="BA761" s="5" t="s">
        <v>357</v>
      </c>
      <c r="BB761" s="5" t="s">
        <v>354</v>
      </c>
      <c r="BC761" s="5">
        <v>10000</v>
      </c>
      <c r="BD761" s="5">
        <v>0</v>
      </c>
      <c r="BE761" s="5" t="s">
        <v>358</v>
      </c>
      <c r="BF761" s="5">
        <v>0</v>
      </c>
      <c r="BG761" s="5" t="s">
        <v>356</v>
      </c>
      <c r="BH761" s="5">
        <v>10500</v>
      </c>
      <c r="BI761" s="5">
        <v>7</v>
      </c>
      <c r="BJ761" s="5" t="b">
        <v>1</v>
      </c>
      <c r="BK761" s="5">
        <v>0</v>
      </c>
      <c r="BL761" s="5">
        <v>10000</v>
      </c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5"/>
      <c r="CT761" s="5"/>
      <c r="CU761" s="5"/>
      <c r="CV761" s="5"/>
      <c r="CW761" s="5"/>
      <c r="CZ761" s="5" t="s">
        <v>441</v>
      </c>
      <c r="DA761" s="5" t="s">
        <v>354</v>
      </c>
      <c r="DB761" s="5">
        <v>10000</v>
      </c>
      <c r="DC761" s="5">
        <v>0</v>
      </c>
      <c r="DD761" s="5" t="s">
        <v>358</v>
      </c>
      <c r="DE761" s="5">
        <v>0</v>
      </c>
      <c r="DF761" s="5"/>
      <c r="DG761" s="5"/>
      <c r="DH761" s="5"/>
      <c r="DI761" s="5"/>
      <c r="DJ761" s="5"/>
      <c r="DK761" s="5"/>
      <c r="DL761" s="5"/>
      <c r="DM761" s="5"/>
      <c r="DN761" s="5"/>
      <c r="DO761" s="5"/>
      <c r="DP761" s="5"/>
      <c r="DQ761" s="5"/>
      <c r="DR761" s="5"/>
      <c r="DS761" s="5"/>
      <c r="DT761" s="5"/>
      <c r="DU761" s="5"/>
      <c r="DV761" s="5"/>
      <c r="DW761" s="5"/>
      <c r="DX761" s="5"/>
      <c r="DY761" s="5" t="s">
        <v>543</v>
      </c>
      <c r="DZ761" s="5">
        <v>160</v>
      </c>
      <c r="EA761" s="5" t="s">
        <v>373</v>
      </c>
      <c r="EB761" s="5" t="s">
        <v>544</v>
      </c>
      <c r="EC761" s="5" t="b">
        <v>0</v>
      </c>
      <c r="ED761" s="5">
        <v>900</v>
      </c>
      <c r="EE761" s="5"/>
      <c r="EF761" s="5"/>
      <c r="EG761" s="5"/>
      <c r="EH761" s="5"/>
      <c r="EI761" s="5"/>
      <c r="EJ761" s="5"/>
      <c r="EK761" s="5"/>
      <c r="EL761" s="5"/>
      <c r="EM761" s="5"/>
      <c r="EN761" s="5"/>
      <c r="EO761" s="5"/>
      <c r="EP761" s="5"/>
      <c r="EQ761" s="5"/>
      <c r="ER761" s="5"/>
      <c r="ES761" s="5"/>
      <c r="ET761" s="5"/>
      <c r="EU761" s="5"/>
      <c r="EV761" s="5"/>
      <c r="EW761"/>
      <c r="EX761"/>
      <c r="EY761" s="5"/>
      <c r="EZ761" s="5"/>
      <c r="FA761" s="5"/>
      <c r="FB761" s="5"/>
      <c r="FC761" s="5"/>
      <c r="FD761" s="5"/>
      <c r="FE761" s="5"/>
      <c r="FF761" s="5"/>
      <c r="FG761" s="5"/>
      <c r="FH761" s="5"/>
      <c r="FI761" s="5"/>
      <c r="FJ761" s="5"/>
      <c r="FK761" s="5"/>
      <c r="FL761" s="5"/>
      <c r="FM761" s="5"/>
      <c r="FN761" s="5"/>
      <c r="FO761" s="5"/>
      <c r="FP761" s="5"/>
      <c r="FQ761" s="5"/>
      <c r="FR761" s="5"/>
      <c r="FS761" s="5"/>
      <c r="FT761" s="5"/>
      <c r="FU761" s="5"/>
      <c r="FV761" s="5"/>
      <c r="FW761" s="5"/>
      <c r="FX761" s="5"/>
      <c r="FY761" s="5"/>
      <c r="FZ761" s="5"/>
      <c r="GA761" s="5"/>
      <c r="GB761" s="5"/>
      <c r="GC761" s="5"/>
      <c r="GD761" s="5"/>
      <c r="GE761" s="5"/>
      <c r="GF761" s="5"/>
      <c r="GG761" s="5"/>
      <c r="GH761" s="5"/>
      <c r="GI761" s="5"/>
      <c r="GJ761" s="5"/>
      <c r="GK761" s="5"/>
      <c r="GL761" s="5"/>
      <c r="GM761" s="5"/>
      <c r="GN761" s="5"/>
      <c r="GO761" s="5"/>
      <c r="GP761" s="5"/>
      <c r="GQ761" s="5"/>
      <c r="GR761" s="5"/>
      <c r="GS761" s="5"/>
      <c r="GT761" s="5"/>
      <c r="GU761" s="5"/>
      <c r="GV761"/>
      <c r="GW761"/>
      <c r="GX761" s="5">
        <v>0</v>
      </c>
      <c r="GY761" s="5">
        <v>0</v>
      </c>
      <c r="GZ761" s="5" t="s">
        <v>366</v>
      </c>
      <c r="HA761" s="5">
        <v>0</v>
      </c>
      <c r="HB761" s="5"/>
      <c r="HC761" s="5"/>
      <c r="HD761" s="5" t="b">
        <v>0</v>
      </c>
      <c r="HE761" s="5">
        <v>0</v>
      </c>
      <c r="HF761" s="5" t="b">
        <v>1</v>
      </c>
      <c r="HG761" s="5">
        <v>0</v>
      </c>
      <c r="HH761" s="5">
        <v>0</v>
      </c>
      <c r="HI761" s="5">
        <v>0</v>
      </c>
      <c r="HJ761" s="5">
        <v>0</v>
      </c>
      <c r="HK761" s="5" t="b">
        <v>0</v>
      </c>
      <c r="HL761" s="5">
        <v>0</v>
      </c>
      <c r="HM761" s="5">
        <v>0</v>
      </c>
      <c r="HN761" s="5" t="s">
        <v>367</v>
      </c>
      <c r="HO761" s="5" t="s">
        <v>360</v>
      </c>
      <c r="HP761" s="5">
        <v>0</v>
      </c>
      <c r="HQ761" s="5">
        <v>0</v>
      </c>
      <c r="HR761" s="5">
        <v>0</v>
      </c>
      <c r="HS761" s="5">
        <v>0</v>
      </c>
      <c r="HT761" s="5" t="b">
        <v>0</v>
      </c>
    </row>
    <row r="762" spans="2:228">
      <c r="B762" s="1">
        <v>10390007</v>
      </c>
      <c r="C762" s="5" t="s">
        <v>579</v>
      </c>
      <c r="D762" s="5" t="s">
        <v>586</v>
      </c>
      <c r="E762" s="5" t="inlineStr">
        <is>
          <t xml:space="preserve">无</t>
        </is>
      </c>
      <c r="F762" s="5" t="s">
        <v>362</v>
      </c>
      <c r="G762" s="5" t="b">
        <v>0</v>
      </c>
      <c r="H762" s="5" t="b">
        <v>1</v>
      </c>
      <c r="I762" s="5">
        <v>7</v>
      </c>
      <c r="J762" s="5">
        <v>103900</v>
      </c>
      <c r="K762" s="5" t="s">
        <v>350</v>
      </c>
      <c r="L762" s="5">
        <v>0</v>
      </c>
      <c r="M762" s="5">
        <v>10390008</v>
      </c>
      <c r="N762" s="5" t="s">
        <v>535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/>
      <c r="V762" s="5">
        <v>0</v>
      </c>
      <c r="W762" s="5">
        <v>0</v>
      </c>
      <c r="X762" s="5" t="s">
        <v>352</v>
      </c>
      <c r="Y762" s="5" t="inlineStr">
        <is>
          <t xml:space="preserve">单体</t>
        </is>
      </c>
      <c r="Z762" s="5" t="inlineStr">
        <is>
          <t xml:space="preserve">敌对</t>
        </is>
      </c>
      <c r="AA762" s="5">
        <v>0</v>
      </c>
      <c r="AB762" s="5">
        <v>1</v>
      </c>
      <c r="AC762" s="5" t="b">
        <v>0</v>
      </c>
      <c r="AD762" s="5" t="inlineStr">
        <is>
          <t xml:space="preserve">最近</t>
        </is>
      </c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 t="s">
        <v>381</v>
      </c>
      <c r="AZ762" s="5">
        <v>11700</v>
      </c>
      <c r="BA762" s="5" t="s">
        <v>357</v>
      </c>
      <c r="BB762" s="5" t="s">
        <v>354</v>
      </c>
      <c r="BC762" s="5">
        <v>10000</v>
      </c>
      <c r="BD762" s="5">
        <v>0</v>
      </c>
      <c r="BE762" s="5" t="s">
        <v>358</v>
      </c>
      <c r="BF762" s="5">
        <v>0</v>
      </c>
      <c r="BG762" s="5" t="s">
        <v>356</v>
      </c>
      <c r="BH762" s="5">
        <v>10500</v>
      </c>
      <c r="BI762" s="5">
        <v>9</v>
      </c>
      <c r="BJ762" s="5" t="b">
        <v>1</v>
      </c>
      <c r="BK762" s="5">
        <v>0</v>
      </c>
      <c r="BL762" s="5">
        <v>10000</v>
      </c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5"/>
      <c r="CT762" s="5"/>
      <c r="CU762" s="5"/>
      <c r="CV762" s="5"/>
      <c r="CW762" s="5"/>
      <c r="CZ762" s="5" t="s">
        <v>441</v>
      </c>
      <c r="DA762" s="5" t="s">
        <v>354</v>
      </c>
      <c r="DB762" s="5">
        <v>10000</v>
      </c>
      <c r="DC762" s="5">
        <v>0</v>
      </c>
      <c r="DD762" s="5" t="s">
        <v>358</v>
      </c>
      <c r="DE762" s="5">
        <v>0</v>
      </c>
      <c r="DF762" s="5"/>
      <c r="DG762" s="5"/>
      <c r="DH762" s="5"/>
      <c r="DI762" s="5"/>
      <c r="DJ762" s="5"/>
      <c r="DK762" s="5"/>
      <c r="DL762" s="5"/>
      <c r="DM762" s="5"/>
      <c r="DN762" s="5"/>
      <c r="DO762" s="5"/>
      <c r="DP762" s="5"/>
      <c r="DQ762" s="5"/>
      <c r="DR762" s="5"/>
      <c r="DS762" s="5"/>
      <c r="DT762" s="5"/>
      <c r="DU762" s="5"/>
      <c r="DV762" s="5"/>
      <c r="DW762" s="5"/>
      <c r="DX762" s="5"/>
      <c r="DY762" s="5" t="s">
        <v>543</v>
      </c>
      <c r="DZ762" s="5">
        <v>160</v>
      </c>
      <c r="EA762" s="5" t="s">
        <v>373</v>
      </c>
      <c r="EB762" s="5" t="s">
        <v>544</v>
      </c>
      <c r="EC762" s="5" t="b">
        <v>0</v>
      </c>
      <c r="ED762" s="5">
        <v>900</v>
      </c>
      <c r="EE762" s="5"/>
      <c r="EF762" s="5"/>
      <c r="EG762" s="5"/>
      <c r="EH762" s="5"/>
      <c r="EI762" s="5"/>
      <c r="EJ762" s="5"/>
      <c r="EK762" s="5"/>
      <c r="EL762" s="5"/>
      <c r="EM762" s="5"/>
      <c r="EN762" s="5"/>
      <c r="EO762" s="5"/>
      <c r="EP762" s="5"/>
      <c r="EQ762" s="5"/>
      <c r="ER762" s="5"/>
      <c r="ES762" s="5"/>
      <c r="ET762" s="5"/>
      <c r="EU762" s="5"/>
      <c r="EV762" s="5"/>
      <c r="EW762"/>
      <c r="EX762"/>
      <c r="EY762" s="5"/>
      <c r="EZ762" s="5"/>
      <c r="FA762" s="5"/>
      <c r="FB762" s="5"/>
      <c r="FC762" s="5"/>
      <c r="FD762" s="5"/>
      <c r="FE762" s="5"/>
      <c r="FF762" s="5"/>
      <c r="FG762" s="5"/>
      <c r="FH762" s="5"/>
      <c r="FI762" s="5"/>
      <c r="FJ762" s="5"/>
      <c r="FK762" s="5"/>
      <c r="FL762" s="5"/>
      <c r="FM762" s="5"/>
      <c r="FN762" s="5"/>
      <c r="FO762" s="5"/>
      <c r="FP762" s="5"/>
      <c r="FQ762" s="5"/>
      <c r="FR762" s="5"/>
      <c r="FS762" s="5"/>
      <c r="FT762" s="5"/>
      <c r="FU762" s="5"/>
      <c r="FV762" s="5"/>
      <c r="FW762" s="5"/>
      <c r="FX762" s="5"/>
      <c r="FY762" s="5"/>
      <c r="FZ762" s="5"/>
      <c r="GA762" s="5"/>
      <c r="GB762" s="5"/>
      <c r="GC762" s="5"/>
      <c r="GD762" s="5"/>
      <c r="GE762" s="5"/>
      <c r="GF762" s="5"/>
      <c r="GG762" s="5"/>
      <c r="GH762" s="5"/>
      <c r="GI762" s="5"/>
      <c r="GJ762" s="5"/>
      <c r="GK762" s="5"/>
      <c r="GL762" s="5"/>
      <c r="GM762" s="5"/>
      <c r="GN762" s="5"/>
      <c r="GO762" s="5"/>
      <c r="GP762" s="5"/>
      <c r="GQ762" s="5"/>
      <c r="GR762" s="5"/>
      <c r="GS762" s="5"/>
      <c r="GT762" s="5"/>
      <c r="GU762" s="5"/>
      <c r="GV762"/>
      <c r="GW762"/>
      <c r="GX762" s="5">
        <v>0</v>
      </c>
      <c r="GY762" s="5">
        <v>0</v>
      </c>
      <c r="GZ762" s="5" t="s">
        <v>366</v>
      </c>
      <c r="HA762" s="5">
        <v>0</v>
      </c>
      <c r="HB762" s="5"/>
      <c r="HC762" s="5"/>
      <c r="HD762" s="5" t="b">
        <v>0</v>
      </c>
      <c r="HE762" s="5">
        <v>0</v>
      </c>
      <c r="HF762" s="5" t="b">
        <v>1</v>
      </c>
      <c r="HG762" s="5">
        <v>0</v>
      </c>
      <c r="HH762" s="5">
        <v>0</v>
      </c>
      <c r="HI762" s="5">
        <v>0</v>
      </c>
      <c r="HJ762" s="5">
        <v>0</v>
      </c>
      <c r="HK762" s="5" t="b">
        <v>0</v>
      </c>
      <c r="HL762" s="5">
        <v>0</v>
      </c>
      <c r="HM762" s="5">
        <v>0</v>
      </c>
      <c r="HN762" s="5" t="s">
        <v>367</v>
      </c>
      <c r="HO762" s="5" t="s">
        <v>360</v>
      </c>
      <c r="HP762" s="5">
        <v>0</v>
      </c>
      <c r="HQ762" s="5">
        <v>0</v>
      </c>
      <c r="HR762" s="5">
        <v>0</v>
      </c>
      <c r="HS762" s="5">
        <v>0</v>
      </c>
      <c r="HT762" s="5" t="b">
        <v>0</v>
      </c>
    </row>
    <row r="763" spans="2:228">
      <c r="B763" s="1">
        <v>10390008</v>
      </c>
      <c r="C763" s="5" t="s">
        <v>579</v>
      </c>
      <c r="D763" s="5" t="s">
        <v>587</v>
      </c>
      <c r="E763" s="5" t="inlineStr">
        <is>
          <t xml:space="preserve">无</t>
        </is>
      </c>
      <c r="F763" s="5" t="s">
        <v>362</v>
      </c>
      <c r="G763" s="5" t="b">
        <v>0</v>
      </c>
      <c r="H763" s="5" t="b">
        <v>1</v>
      </c>
      <c r="I763" s="5">
        <v>8</v>
      </c>
      <c r="J763" s="5">
        <v>103900</v>
      </c>
      <c r="K763" s="5" t="s">
        <v>350</v>
      </c>
      <c r="L763" s="5">
        <v>0</v>
      </c>
      <c r="M763" s="5">
        <v>10390009</v>
      </c>
      <c r="N763" s="5" t="s">
        <v>535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/>
      <c r="V763" s="5">
        <v>0</v>
      </c>
      <c r="W763" s="5">
        <v>0</v>
      </c>
      <c r="X763" s="5" t="s">
        <v>352</v>
      </c>
      <c r="Y763" s="5" t="inlineStr">
        <is>
          <t xml:space="preserve">单体</t>
        </is>
      </c>
      <c r="Z763" s="5" t="inlineStr">
        <is>
          <t xml:space="preserve">敌对</t>
        </is>
      </c>
      <c r="AA763" s="5">
        <v>0</v>
      </c>
      <c r="AB763" s="5">
        <v>1</v>
      </c>
      <c r="AC763" s="5" t="b">
        <v>0</v>
      </c>
      <c r="AD763" s="5" t="inlineStr">
        <is>
          <t xml:space="preserve">最近</t>
        </is>
      </c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 t="s">
        <v>381</v>
      </c>
      <c r="AZ763" s="5">
        <v>11800</v>
      </c>
      <c r="BA763" s="5" t="s">
        <v>357</v>
      </c>
      <c r="BB763" s="5" t="s">
        <v>354</v>
      </c>
      <c r="BC763" s="5">
        <v>10000</v>
      </c>
      <c r="BD763" s="5">
        <v>0</v>
      </c>
      <c r="BE763" s="5" t="s">
        <v>358</v>
      </c>
      <c r="BF763" s="5">
        <v>0</v>
      </c>
      <c r="BG763" s="5" t="s">
        <v>356</v>
      </c>
      <c r="BH763" s="5">
        <v>10500</v>
      </c>
      <c r="BI763" s="5">
        <v>10</v>
      </c>
      <c r="BJ763" s="5" t="b">
        <v>1</v>
      </c>
      <c r="BK763" s="5">
        <v>0</v>
      </c>
      <c r="BL763" s="5">
        <v>10000</v>
      </c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5"/>
      <c r="CT763" s="5"/>
      <c r="CU763" s="5"/>
      <c r="CV763" s="5"/>
      <c r="CW763" s="5"/>
      <c r="CZ763" s="5" t="s">
        <v>441</v>
      </c>
      <c r="DA763" s="5" t="s">
        <v>354</v>
      </c>
      <c r="DB763" s="5">
        <v>10000</v>
      </c>
      <c r="DC763" s="5">
        <v>0</v>
      </c>
      <c r="DD763" s="5" t="s">
        <v>358</v>
      </c>
      <c r="DE763" s="5">
        <v>0</v>
      </c>
      <c r="DF763" s="5"/>
      <c r="DG763" s="5"/>
      <c r="DH763" s="5"/>
      <c r="DI763" s="5"/>
      <c r="DJ763" s="5"/>
      <c r="DK763" s="5"/>
      <c r="DL763" s="5"/>
      <c r="DM763" s="5"/>
      <c r="DN763" s="5"/>
      <c r="DO763" s="5"/>
      <c r="DP763" s="5"/>
      <c r="DQ763" s="5"/>
      <c r="DR763" s="5"/>
      <c r="DS763" s="5"/>
      <c r="DT763" s="5"/>
      <c r="DU763" s="5"/>
      <c r="DV763" s="5"/>
      <c r="DW763" s="5"/>
      <c r="DX763" s="5"/>
      <c r="DY763" s="5" t="s">
        <v>543</v>
      </c>
      <c r="DZ763" s="5">
        <v>160</v>
      </c>
      <c r="EA763" s="5" t="s">
        <v>373</v>
      </c>
      <c r="EB763" s="5" t="s">
        <v>544</v>
      </c>
      <c r="EC763" s="5" t="b">
        <v>0</v>
      </c>
      <c r="ED763" s="5">
        <v>900</v>
      </c>
      <c r="EE763" s="5"/>
      <c r="EF763" s="5"/>
      <c r="EG763" s="5"/>
      <c r="EH763" s="5"/>
      <c r="EI763" s="5"/>
      <c r="EJ763" s="5"/>
      <c r="EK763" s="5"/>
      <c r="EL763" s="5"/>
      <c r="EM763" s="5"/>
      <c r="EN763" s="5"/>
      <c r="EO763" s="5"/>
      <c r="EP763" s="5"/>
      <c r="EQ763" s="5"/>
      <c r="ER763" s="5"/>
      <c r="ES763" s="5"/>
      <c r="ET763" s="5"/>
      <c r="EU763" s="5"/>
      <c r="EV763" s="5"/>
      <c r="EW763"/>
      <c r="EX763"/>
      <c r="EY763" s="5"/>
      <c r="EZ763" s="5"/>
      <c r="FA763" s="5"/>
      <c r="FB763" s="5"/>
      <c r="FC763" s="5"/>
      <c r="FD763" s="5"/>
      <c r="FE763" s="5"/>
      <c r="FF763" s="5"/>
      <c r="FG763" s="5"/>
      <c r="FH763" s="5"/>
      <c r="FI763" s="5"/>
      <c r="FJ763" s="5"/>
      <c r="FK763" s="5"/>
      <c r="FL763" s="5"/>
      <c r="FM763" s="5"/>
      <c r="FN763" s="5"/>
      <c r="FO763" s="5"/>
      <c r="FP763" s="5"/>
      <c r="FQ763" s="5"/>
      <c r="FR763" s="5"/>
      <c r="FS763" s="5"/>
      <c r="FT763" s="5"/>
      <c r="FU763" s="5"/>
      <c r="FV763" s="5"/>
      <c r="FW763" s="5"/>
      <c r="FX763" s="5"/>
      <c r="FY763" s="5"/>
      <c r="FZ763" s="5"/>
      <c r="GA763" s="5"/>
      <c r="GB763" s="5"/>
      <c r="GC763" s="5"/>
      <c r="GD763" s="5"/>
      <c r="GE763" s="5"/>
      <c r="GF763" s="5"/>
      <c r="GG763" s="5"/>
      <c r="GH763" s="5"/>
      <c r="GI763" s="5"/>
      <c r="GJ763" s="5"/>
      <c r="GK763" s="5"/>
      <c r="GL763" s="5"/>
      <c r="GM763" s="5"/>
      <c r="GN763" s="5"/>
      <c r="GO763" s="5"/>
      <c r="GP763" s="5"/>
      <c r="GQ763" s="5"/>
      <c r="GR763" s="5"/>
      <c r="GS763" s="5"/>
      <c r="GT763" s="5"/>
      <c r="GU763" s="5"/>
      <c r="GV763"/>
      <c r="GW763"/>
      <c r="GX763" s="5">
        <v>0</v>
      </c>
      <c r="GY763" s="5">
        <v>0</v>
      </c>
      <c r="GZ763" s="5" t="s">
        <v>366</v>
      </c>
      <c r="HA763" s="5">
        <v>0</v>
      </c>
      <c r="HB763" s="5"/>
      <c r="HC763" s="5"/>
      <c r="HD763" s="5" t="b">
        <v>0</v>
      </c>
      <c r="HE763" s="5">
        <v>0</v>
      </c>
      <c r="HF763" s="5" t="b">
        <v>1</v>
      </c>
      <c r="HG763" s="5">
        <v>0</v>
      </c>
      <c r="HH763" s="5">
        <v>0</v>
      </c>
      <c r="HI763" s="5">
        <v>0</v>
      </c>
      <c r="HJ763" s="5">
        <v>0</v>
      </c>
      <c r="HK763" s="5" t="b">
        <v>0</v>
      </c>
      <c r="HL763" s="5">
        <v>0</v>
      </c>
      <c r="HM763" s="5">
        <v>0</v>
      </c>
      <c r="HN763" s="5" t="s">
        <v>367</v>
      </c>
      <c r="HO763" s="5" t="s">
        <v>360</v>
      </c>
      <c r="HP763" s="5">
        <v>0</v>
      </c>
      <c r="HQ763" s="5">
        <v>0</v>
      </c>
      <c r="HR763" s="5">
        <v>0</v>
      </c>
      <c r="HS763" s="5">
        <v>0</v>
      </c>
      <c r="HT763" s="5" t="b">
        <v>0</v>
      </c>
    </row>
    <row r="764" spans="2:228">
      <c r="B764" s="1">
        <v>10390009</v>
      </c>
      <c r="C764" s="5" t="s">
        <v>579</v>
      </c>
      <c r="D764" s="5" t="s">
        <v>588</v>
      </c>
      <c r="E764" s="5" t="inlineStr">
        <is>
          <t xml:space="preserve">无</t>
        </is>
      </c>
      <c r="F764" s="5" t="s">
        <v>362</v>
      </c>
      <c r="G764" s="5" t="b">
        <v>0</v>
      </c>
      <c r="H764" s="5" t="b">
        <v>1</v>
      </c>
      <c r="I764" s="5">
        <v>9</v>
      </c>
      <c r="J764" s="5">
        <v>103900</v>
      </c>
      <c r="K764" s="5" t="s">
        <v>350</v>
      </c>
      <c r="L764" s="5">
        <v>0</v>
      </c>
      <c r="M764" s="5">
        <v>10390010</v>
      </c>
      <c r="N764" s="5" t="s">
        <v>535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/>
      <c r="V764" s="5">
        <v>0</v>
      </c>
      <c r="W764" s="5">
        <v>0</v>
      </c>
      <c r="X764" s="5" t="s">
        <v>352</v>
      </c>
      <c r="Y764" s="5" t="inlineStr">
        <is>
          <t xml:space="preserve">单体</t>
        </is>
      </c>
      <c r="Z764" s="5" t="inlineStr">
        <is>
          <t xml:space="preserve">敌对</t>
        </is>
      </c>
      <c r="AA764" s="5">
        <v>0</v>
      </c>
      <c r="AB764" s="5">
        <v>1</v>
      </c>
      <c r="AC764" s="5" t="b">
        <v>0</v>
      </c>
      <c r="AD764" s="5" t="inlineStr">
        <is>
          <t xml:space="preserve">最近</t>
        </is>
      </c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 t="s">
        <v>381</v>
      </c>
      <c r="AZ764" s="5">
        <v>11900</v>
      </c>
      <c r="BA764" s="5" t="s">
        <v>357</v>
      </c>
      <c r="BB764" s="5" t="s">
        <v>354</v>
      </c>
      <c r="BC764" s="5">
        <v>10000</v>
      </c>
      <c r="BD764" s="5">
        <v>0</v>
      </c>
      <c r="BE764" s="5" t="s">
        <v>358</v>
      </c>
      <c r="BF764" s="5">
        <v>0</v>
      </c>
      <c r="BG764" s="5" t="s">
        <v>356</v>
      </c>
      <c r="BH764" s="5">
        <v>10500</v>
      </c>
      <c r="BI764" s="5">
        <v>12</v>
      </c>
      <c r="BJ764" s="5" t="b">
        <v>1</v>
      </c>
      <c r="BK764" s="5">
        <v>0</v>
      </c>
      <c r="BL764" s="5">
        <v>10000</v>
      </c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5"/>
      <c r="CT764" s="5"/>
      <c r="CU764" s="5"/>
      <c r="CV764" s="5"/>
      <c r="CW764" s="5"/>
      <c r="CZ764" s="5" t="s">
        <v>441</v>
      </c>
      <c r="DA764" s="5" t="s">
        <v>354</v>
      </c>
      <c r="DB764" s="5">
        <v>10000</v>
      </c>
      <c r="DC764" s="5">
        <v>0</v>
      </c>
      <c r="DD764" s="5" t="s">
        <v>358</v>
      </c>
      <c r="DE764" s="5">
        <v>0</v>
      </c>
      <c r="DF764" s="5"/>
      <c r="DG764" s="5"/>
      <c r="DH764" s="5"/>
      <c r="DI764" s="5"/>
      <c r="DJ764" s="5"/>
      <c r="DK764" s="5"/>
      <c r="DL764" s="5"/>
      <c r="DM764" s="5"/>
      <c r="DN764" s="5"/>
      <c r="DO764" s="5"/>
      <c r="DP764" s="5"/>
      <c r="DQ764" s="5"/>
      <c r="DR764" s="5"/>
      <c r="DS764" s="5"/>
      <c r="DT764" s="5"/>
      <c r="DU764" s="5"/>
      <c r="DV764" s="5"/>
      <c r="DW764" s="5"/>
      <c r="DX764" s="5"/>
      <c r="DY764" s="5" t="s">
        <v>543</v>
      </c>
      <c r="DZ764" s="5">
        <v>160</v>
      </c>
      <c r="EA764" s="5" t="s">
        <v>373</v>
      </c>
      <c r="EB764" s="5" t="s">
        <v>544</v>
      </c>
      <c r="EC764" s="5" t="b">
        <v>0</v>
      </c>
      <c r="ED764" s="5">
        <v>900</v>
      </c>
      <c r="EE764" s="5"/>
      <c r="EF764" s="5"/>
      <c r="EG764" s="5"/>
      <c r="EH764" s="5"/>
      <c r="EI764" s="5"/>
      <c r="EJ764" s="5"/>
      <c r="EK764" s="5"/>
      <c r="EL764" s="5"/>
      <c r="EM764" s="5"/>
      <c r="EN764" s="5"/>
      <c r="EO764" s="5"/>
      <c r="EP764" s="5"/>
      <c r="EQ764" s="5"/>
      <c r="ER764" s="5"/>
      <c r="ES764" s="5"/>
      <c r="ET764" s="5"/>
      <c r="EU764" s="5"/>
      <c r="EV764" s="5"/>
      <c r="EW764"/>
      <c r="EX764"/>
      <c r="EY764" s="5"/>
      <c r="EZ764" s="5"/>
      <c r="FA764" s="5"/>
      <c r="FB764" s="5"/>
      <c r="FC764" s="5"/>
      <c r="FD764" s="5"/>
      <c r="FE764" s="5"/>
      <c r="FF764" s="5"/>
      <c r="FG764" s="5"/>
      <c r="FH764" s="5"/>
      <c r="FI764" s="5"/>
      <c r="FJ764" s="5"/>
      <c r="FK764" s="5"/>
      <c r="FL764" s="5"/>
      <c r="FM764" s="5"/>
      <c r="FN764" s="5"/>
      <c r="FO764" s="5"/>
      <c r="FP764" s="5"/>
      <c r="FQ764" s="5"/>
      <c r="FR764" s="5"/>
      <c r="FS764" s="5"/>
      <c r="FT764" s="5"/>
      <c r="FU764" s="5"/>
      <c r="FV764" s="5"/>
      <c r="FW764" s="5"/>
      <c r="FX764" s="5"/>
      <c r="FY764" s="5"/>
      <c r="FZ764" s="5"/>
      <c r="GA764" s="5"/>
      <c r="GB764" s="5"/>
      <c r="GC764" s="5"/>
      <c r="GD764" s="5"/>
      <c r="GE764" s="5"/>
      <c r="GF764" s="5"/>
      <c r="GG764" s="5"/>
      <c r="GH764" s="5"/>
      <c r="GI764" s="5"/>
      <c r="GJ764" s="5"/>
      <c r="GK764" s="5"/>
      <c r="GL764" s="5"/>
      <c r="GM764" s="5"/>
      <c r="GN764" s="5"/>
      <c r="GO764" s="5"/>
      <c r="GP764" s="5"/>
      <c r="GQ764" s="5"/>
      <c r="GR764" s="5"/>
      <c r="GS764" s="5"/>
      <c r="GT764" s="5"/>
      <c r="GU764" s="5"/>
      <c r="GV764"/>
      <c r="GW764"/>
      <c r="GX764" s="5">
        <v>0</v>
      </c>
      <c r="GY764" s="5">
        <v>0</v>
      </c>
      <c r="GZ764" s="5" t="s">
        <v>366</v>
      </c>
      <c r="HA764" s="5">
        <v>0</v>
      </c>
      <c r="HB764" s="5"/>
      <c r="HC764" s="5"/>
      <c r="HD764" s="5" t="b">
        <v>0</v>
      </c>
      <c r="HE764" s="5">
        <v>0</v>
      </c>
      <c r="HF764" s="5" t="b">
        <v>1</v>
      </c>
      <c r="HG764" s="5">
        <v>0</v>
      </c>
      <c r="HH764" s="5">
        <v>0</v>
      </c>
      <c r="HI764" s="5">
        <v>0</v>
      </c>
      <c r="HJ764" s="5">
        <v>0</v>
      </c>
      <c r="HK764" s="5" t="b">
        <v>0</v>
      </c>
      <c r="HL764" s="5">
        <v>0</v>
      </c>
      <c r="HM764" s="5">
        <v>0</v>
      </c>
      <c r="HN764" s="5" t="s">
        <v>367</v>
      </c>
      <c r="HO764" s="5" t="s">
        <v>360</v>
      </c>
      <c r="HP764" s="5">
        <v>0</v>
      </c>
      <c r="HQ764" s="5">
        <v>0</v>
      </c>
      <c r="HR764" s="5">
        <v>0</v>
      </c>
      <c r="HS764" s="5">
        <v>0</v>
      </c>
      <c r="HT764" s="5" t="b">
        <v>0</v>
      </c>
    </row>
    <row r="765" spans="2:228">
      <c r="B765" s="1">
        <v>10390010</v>
      </c>
      <c r="C765" s="5" t="s">
        <v>579</v>
      </c>
      <c r="D765" s="5" t="s">
        <v>589</v>
      </c>
      <c r="E765" s="5" t="inlineStr">
        <is>
          <t xml:space="preserve">无</t>
        </is>
      </c>
      <c r="F765" s="5" t="s">
        <v>362</v>
      </c>
      <c r="G765" s="5" t="b">
        <v>0</v>
      </c>
      <c r="H765" s="5" t="b">
        <v>1</v>
      </c>
      <c r="I765" s="5">
        <v>10</v>
      </c>
      <c r="J765" s="5">
        <v>103900</v>
      </c>
      <c r="K765" s="5" t="s">
        <v>350</v>
      </c>
      <c r="L765" s="5">
        <v>0</v>
      </c>
      <c r="M765" s="5">
        <v>0</v>
      </c>
      <c r="N765" s="5" t="s">
        <v>535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/>
      <c r="V765" s="5">
        <v>0</v>
      </c>
      <c r="W765" s="5">
        <v>0</v>
      </c>
      <c r="X765" s="5" t="s">
        <v>352</v>
      </c>
      <c r="Y765" s="5" t="inlineStr">
        <is>
          <t xml:space="preserve">单体</t>
        </is>
      </c>
      <c r="Z765" s="5" t="inlineStr">
        <is>
          <t xml:space="preserve">敌对</t>
        </is>
      </c>
      <c r="AA765" s="5">
        <v>0</v>
      </c>
      <c r="AB765" s="5">
        <v>1</v>
      </c>
      <c r="AC765" s="5" t="b">
        <v>0</v>
      </c>
      <c r="AD765" s="5" t="inlineStr">
        <is>
          <t xml:space="preserve">最近</t>
        </is>
      </c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 t="s">
        <v>381</v>
      </c>
      <c r="AZ765" s="5">
        <v>12000</v>
      </c>
      <c r="BA765" s="5" t="s">
        <v>357</v>
      </c>
      <c r="BB765" s="5" t="s">
        <v>354</v>
      </c>
      <c r="BC765" s="5">
        <v>10000</v>
      </c>
      <c r="BD765" s="5">
        <v>0</v>
      </c>
      <c r="BE765" s="5" t="s">
        <v>358</v>
      </c>
      <c r="BF765" s="5">
        <v>0</v>
      </c>
      <c r="BG765" s="5" t="s">
        <v>356</v>
      </c>
      <c r="BH765" s="5">
        <v>10500</v>
      </c>
      <c r="BI765" s="5">
        <v>15</v>
      </c>
      <c r="BJ765" s="5" t="b">
        <v>1</v>
      </c>
      <c r="BK765" s="5">
        <v>0</v>
      </c>
      <c r="BL765" s="5">
        <v>10000</v>
      </c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5"/>
      <c r="CT765" s="5"/>
      <c r="CU765" s="5"/>
      <c r="CV765" s="5"/>
      <c r="CW765" s="5"/>
      <c r="CZ765" s="5" t="s">
        <v>441</v>
      </c>
      <c r="DA765" s="5" t="s">
        <v>354</v>
      </c>
      <c r="DB765" s="5">
        <v>10000</v>
      </c>
      <c r="DC765" s="5">
        <v>0</v>
      </c>
      <c r="DD765" s="5" t="s">
        <v>358</v>
      </c>
      <c r="DE765" s="5">
        <v>0</v>
      </c>
      <c r="DF765" s="5"/>
      <c r="DG765" s="5"/>
      <c r="DH765" s="5"/>
      <c r="DI765" s="5"/>
      <c r="DJ765" s="5"/>
      <c r="DK765" s="5"/>
      <c r="DL765" s="5"/>
      <c r="DM765" s="5"/>
      <c r="DN765" s="5"/>
      <c r="DO765" s="5"/>
      <c r="DP765" s="5"/>
      <c r="DQ765" s="5"/>
      <c r="DR765" s="5"/>
      <c r="DS765" s="5"/>
      <c r="DT765" s="5"/>
      <c r="DU765" s="5"/>
      <c r="DV765" s="5"/>
      <c r="DW765" s="5"/>
      <c r="DX765" s="5"/>
      <c r="DY765" s="5" t="s">
        <v>543</v>
      </c>
      <c r="DZ765" s="5">
        <v>160</v>
      </c>
      <c r="EA765" s="5" t="s">
        <v>373</v>
      </c>
      <c r="EB765" s="5" t="s">
        <v>544</v>
      </c>
      <c r="EC765" s="5" t="b">
        <v>0</v>
      </c>
      <c r="ED765" s="5">
        <v>900</v>
      </c>
      <c r="EE765" s="5"/>
      <c r="EF765" s="5"/>
      <c r="EG765" s="5"/>
      <c r="EH765" s="5"/>
      <c r="EI765" s="5"/>
      <c r="EJ765" s="5"/>
      <c r="EK765" s="5"/>
      <c r="EL765" s="5"/>
      <c r="EM765" s="5"/>
      <c r="EN765" s="5"/>
      <c r="EO765" s="5"/>
      <c r="EP765" s="5"/>
      <c r="EQ765" s="5"/>
      <c r="ER765" s="5"/>
      <c r="ES765" s="5"/>
      <c r="ET765" s="5"/>
      <c r="EU765" s="5"/>
      <c r="EV765" s="5"/>
      <c r="EW765"/>
      <c r="EX765"/>
      <c r="EY765" s="5"/>
      <c r="EZ765" s="5"/>
      <c r="FA765" s="5"/>
      <c r="FB765" s="5"/>
      <c r="FC765" s="5"/>
      <c r="FD765" s="5"/>
      <c r="FE765" s="5"/>
      <c r="FF765" s="5"/>
      <c r="FG765" s="5"/>
      <c r="FH765" s="5"/>
      <c r="FI765" s="5"/>
      <c r="FJ765" s="5"/>
      <c r="FK765" s="5"/>
      <c r="FL765" s="5"/>
      <c r="FM765" s="5"/>
      <c r="FN765" s="5"/>
      <c r="FO765" s="5"/>
      <c r="FP765" s="5"/>
      <c r="FQ765" s="5"/>
      <c r="FR765" s="5"/>
      <c r="FS765" s="5"/>
      <c r="FT765" s="5"/>
      <c r="FU765" s="5"/>
      <c r="FV765" s="5"/>
      <c r="FW765" s="5"/>
      <c r="FX765" s="5"/>
      <c r="FY765" s="5"/>
      <c r="FZ765" s="5"/>
      <c r="GA765" s="5"/>
      <c r="GB765" s="5"/>
      <c r="GC765" s="5"/>
      <c r="GD765" s="5"/>
      <c r="GE765" s="5"/>
      <c r="GF765" s="5"/>
      <c r="GG765" s="5"/>
      <c r="GH765" s="5"/>
      <c r="GI765" s="5"/>
      <c r="GJ765" s="5"/>
      <c r="GK765" s="5"/>
      <c r="GL765" s="5"/>
      <c r="GM765" s="5"/>
      <c r="GN765" s="5"/>
      <c r="GO765" s="5"/>
      <c r="GP765" s="5"/>
      <c r="GQ765" s="5"/>
      <c r="GR765" s="5"/>
      <c r="GS765" s="5"/>
      <c r="GT765" s="5"/>
      <c r="GU765" s="5"/>
      <c r="GV765"/>
      <c r="GW765"/>
      <c r="GX765" s="5">
        <v>0</v>
      </c>
      <c r="GY765" s="5">
        <v>0</v>
      </c>
      <c r="GZ765" s="5" t="s">
        <v>366</v>
      </c>
      <c r="HA765" s="5">
        <v>0</v>
      </c>
      <c r="HB765" s="5"/>
      <c r="HC765" s="5"/>
      <c r="HD765" s="5" t="b">
        <v>0</v>
      </c>
      <c r="HE765" s="5">
        <v>0</v>
      </c>
      <c r="HF765" s="5" t="b">
        <v>1</v>
      </c>
      <c r="HG765" s="5">
        <v>0</v>
      </c>
      <c r="HH765" s="5">
        <v>0</v>
      </c>
      <c r="HI765" s="5">
        <v>0</v>
      </c>
      <c r="HJ765" s="5">
        <v>0</v>
      </c>
      <c r="HK765" s="5" t="b">
        <v>0</v>
      </c>
      <c r="HL765" s="5">
        <v>0</v>
      </c>
      <c r="HM765" s="5">
        <v>0</v>
      </c>
      <c r="HN765" s="5" t="s">
        <v>367</v>
      </c>
      <c r="HO765" s="5" t="s">
        <v>360</v>
      </c>
      <c r="HP765" s="5">
        <v>0</v>
      </c>
      <c r="HQ765" s="5">
        <v>0</v>
      </c>
      <c r="HR765" s="5">
        <v>0</v>
      </c>
      <c r="HS765" s="5">
        <v>0</v>
      </c>
      <c r="HT765" s="5" t="b">
        <v>0</v>
      </c>
    </row>
    <row r="766">
      <c r="B766" s="1">
        <v>10420001</v>
      </c>
      <c r="C766" s="5" t="inlineStr">
        <is>
          <t xml:space="preserve">赤霄焚野·计时</t>
        </is>
      </c>
      <c r="D766" s="5" t="inlineStr">
        <is>
          <t xml:space="preserve">skill_104200_1</t>
        </is>
      </c>
      <c r="E766" s="5" t="inlineStr">
        <is>
          <t xml:space="preserve">无</t>
        </is>
      </c>
      <c r="F766" s="5" t="s">
        <v>391</v>
      </c>
      <c r="G766" s="5" t="b">
        <v>0</v>
      </c>
      <c r="H766" s="5" t="b">
        <v>1</v>
      </c>
      <c r="I766" s="5">
        <v>1</v>
      </c>
      <c r="J766" s="5">
        <v>104200</v>
      </c>
      <c r="K766" s="5" t="s">
        <v>350</v>
      </c>
      <c r="L766" s="5">
        <v>0</v>
      </c>
      <c r="M766" s="5">
        <v>10420002</v>
      </c>
      <c r="N766" s="5" t="s">
        <v>400</v>
      </c>
      <c r="O766" s="5">
        <v>10202010</v>
      </c>
      <c r="P766" s="5">
        <v>0</v>
      </c>
      <c r="Q766" s="5">
        <v>0</v>
      </c>
      <c r="R766" s="5">
        <v>1</v>
      </c>
      <c r="S766" s="5">
        <v>0</v>
      </c>
      <c r="T766" s="5">
        <v>100</v>
      </c>
      <c r="U766" s="5" t="s">
        <v>364</v>
      </c>
      <c r="V766" s="5">
        <v>0</v>
      </c>
      <c r="W766" s="5">
        <v>0</v>
      </c>
      <c r="X766" s="5" t="inlineStr">
        <is>
          <t xml:space="preserve">目标方向</t>
        </is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 t="s">
        <v>381</v>
      </c>
      <c r="AZ766" s="5">
        <v>10000</v>
      </c>
      <c r="BA766" s="5" t="inlineStr">
        <is>
          <t xml:space="preserve">技能效果_调用技能</t>
        </is>
      </c>
      <c r="BB766" s="5" t="inlineStr">
        <is>
          <t xml:space="preserve">敌对</t>
        </is>
      </c>
      <c r="BC766" s="5">
        <v>10000</v>
      </c>
      <c r="BD766" s="5">
        <v>1000</v>
      </c>
      <c r="BE766" s="5" t="inlineStr">
        <is>
          <t xml:space="preserve">全部</t>
        </is>
      </c>
      <c r="BF766" s="5">
        <v>0</v>
      </c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5"/>
      <c r="CT766" s="5"/>
      <c r="CU766" s="5"/>
      <c r="CV766" s="5"/>
      <c r="CW766" s="5">
        <v>10410001</v>
      </c>
      <c r="CX766"/>
      <c r="CY766"/>
      <c r="CZ766" s="5" t="inlineStr">
        <is>
          <t xml:space="preserve">技能效果_调用技能</t>
        </is>
      </c>
      <c r="DA766" s="5" t="inlineStr">
        <is>
          <t xml:space="preserve">敌对</t>
        </is>
      </c>
      <c r="DB766" s="5">
        <v>10000</v>
      </c>
      <c r="DC766" s="5">
        <v>2000</v>
      </c>
      <c r="DD766" s="5" t="inlineStr">
        <is>
          <t xml:space="preserve">全部</t>
        </is>
      </c>
      <c r="DE766" s="5">
        <v>0</v>
      </c>
      <c r="DF766" s="5"/>
      <c r="DG766" s="5"/>
      <c r="DH766" s="5"/>
      <c r="DI766" s="5"/>
      <c r="DJ766" s="5"/>
      <c r="DK766" s="5"/>
      <c r="DL766" s="5"/>
      <c r="DM766" s="5"/>
      <c r="DN766" s="5"/>
      <c r="DO766" s="5"/>
      <c r="DP766" s="5"/>
      <c r="DQ766" s="5"/>
      <c r="DR766" s="5"/>
      <c r="DS766" s="5"/>
      <c r="DT766" s="5"/>
      <c r="DU766" s="5"/>
      <c r="DV766" s="5"/>
      <c r="DW766" s="5"/>
      <c r="DX766" s="5"/>
      <c r="DY766" s="5"/>
      <c r="DZ766" s="5"/>
      <c r="EA766" s="5"/>
      <c r="EB766" s="5"/>
      <c r="EC766" s="5"/>
      <c r="ED766" s="5"/>
      <c r="EE766" s="5"/>
      <c r="EF766" s="5"/>
      <c r="EG766" s="5"/>
      <c r="EH766" s="5"/>
      <c r="EI766" s="5"/>
      <c r="EJ766" s="5"/>
      <c r="EK766" s="5"/>
      <c r="EL766" s="5"/>
      <c r="EM766" s="5"/>
      <c r="EN766" s="5"/>
      <c r="EO766" s="5"/>
      <c r="EP766" s="5"/>
      <c r="EQ766" s="5"/>
      <c r="ER766" s="5"/>
      <c r="ES766" s="5"/>
      <c r="ET766" s="5"/>
      <c r="EU766" s="5"/>
      <c r="EV766" s="5">
        <v>10410001</v>
      </c>
      <c r="EW766"/>
      <c r="EX766"/>
      <c r="EY766" s="5"/>
      <c r="EZ766" s="5"/>
      <c r="FA766" s="5"/>
      <c r="FB766" s="5"/>
      <c r="FC766" s="5"/>
      <c r="FD766" s="5"/>
      <c r="FE766" s="5"/>
      <c r="FF766" s="5"/>
      <c r="FG766" s="5"/>
      <c r="FH766" s="5"/>
      <c r="FI766" s="5"/>
      <c r="FJ766" s="5"/>
      <c r="FK766" s="5"/>
      <c r="FL766" s="5"/>
      <c r="FM766" s="5"/>
      <c r="FN766" s="5"/>
      <c r="FO766" s="5"/>
      <c r="FP766" s="5"/>
      <c r="FQ766" s="5"/>
      <c r="FR766" s="5"/>
      <c r="FS766" s="5"/>
      <c r="FT766" s="5"/>
      <c r="FU766" s="5"/>
      <c r="FV766" s="5"/>
      <c r="FW766" s="5"/>
      <c r="FX766" s="5"/>
      <c r="FY766" s="5"/>
      <c r="FZ766" s="5"/>
      <c r="GA766" s="5"/>
      <c r="GB766" s="5"/>
      <c r="GC766" s="5"/>
      <c r="GD766" s="5"/>
      <c r="GE766" s="5"/>
      <c r="GF766" s="5"/>
      <c r="GG766" s="5"/>
      <c r="GH766" s="5"/>
      <c r="GI766" s="5"/>
      <c r="GJ766" s="5"/>
      <c r="GK766" s="5"/>
      <c r="GL766" s="5"/>
      <c r="GM766" s="5"/>
      <c r="GN766" s="5"/>
      <c r="GO766" s="5"/>
      <c r="GP766" s="5"/>
      <c r="GQ766" s="5"/>
      <c r="GR766" s="5"/>
      <c r="GS766" s="5"/>
      <c r="GT766" s="5"/>
      <c r="GU766" s="5"/>
      <c r="GV766"/>
      <c r="GW766"/>
      <c r="GX766" s="5">
        <v>0</v>
      </c>
      <c r="GY766" s="5">
        <v>0</v>
      </c>
      <c r="GZ766" s="5" t="inlineStr">
        <is>
          <t xml:space="preserve"/>
        </is>
      </c>
      <c r="HA766" s="5">
        <v>0</v>
      </c>
      <c r="HB766" s="5">
        <v>0</v>
      </c>
      <c r="HC766" s="5" t="s">
        <v>366</v>
      </c>
      <c r="HD766" s="5" t="b">
        <v>1</v>
      </c>
      <c r="HE766" s="5">
        <v>0</v>
      </c>
      <c r="HF766" s="5" t="b">
        <v>0</v>
      </c>
      <c r="HG766" s="5">
        <v>0</v>
      </c>
      <c r="HH766" s="5">
        <v>0</v>
      </c>
      <c r="HI766" s="5">
        <v>0</v>
      </c>
      <c r="HJ766" s="5">
        <v>0</v>
      </c>
      <c r="HK766" s="5" t="b">
        <v>0</v>
      </c>
      <c r="HL766" s="5">
        <v>0</v>
      </c>
      <c r="HM766" s="5">
        <v>10001</v>
      </c>
      <c r="HN766" s="5" t="s">
        <v>367</v>
      </c>
      <c r="HO766" s="5" t="s">
        <v>360</v>
      </c>
      <c r="HP766" s="5">
        <v>0</v>
      </c>
      <c r="HQ766" s="5">
        <v>0</v>
      </c>
      <c r="HR766" s="5">
        <v>0</v>
      </c>
      <c r="HS766" s="5">
        <v>0</v>
      </c>
      <c r="HT766" s="5" t="b">
        <v>0</v>
      </c>
    </row>
    <row r="767">
      <c r="B767" s="1">
        <v>10430001</v>
      </c>
      <c r="C767" s="5" t="inlineStr">
        <is>
          <t xml:space="preserve">星罗分锋·分段104300</t>
        </is>
      </c>
      <c r="D767" s="5" t="inlineStr">
        <is>
          <t xml:space="preserve">skill_104300_1</t>
        </is>
      </c>
      <c r="E767" s="5" t="s">
        <v>360</v>
      </c>
      <c r="F767" s="5" t="s">
        <v>349</v>
      </c>
      <c r="G767" s="5" t="b">
        <v>0</v>
      </c>
      <c r="H767" s="5" t="b">
        <v>1</v>
      </c>
      <c r="I767" s="5">
        <v>1</v>
      </c>
      <c r="J767" s="5">
        <v>104300</v>
      </c>
      <c r="K767" s="5" t="s">
        <v>350</v>
      </c>
      <c r="L767" s="5">
        <v>0</v>
      </c>
      <c r="M767" s="5">
        <v>10430002</v>
      </c>
      <c r="N767" s="5" t="s">
        <v>535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/>
      <c r="V767" s="5">
        <v>0</v>
      </c>
      <c r="W767" s="5">
        <v>0</v>
      </c>
      <c r="X767" s="5" t="inlineStr">
        <is>
          <t xml:space="preserve">目标方向</t>
        </is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 t="s">
        <v>356</v>
      </c>
      <c r="AZ767" s="5">
        <v>10000</v>
      </c>
      <c r="BA767" s="5" t="inlineStr">
        <is>
          <t xml:space="preserve">技能效果_调用技能</t>
        </is>
      </c>
      <c r="BB767" s="5" t="inlineStr">
        <is>
          <t xml:space="preserve">敌对</t>
        </is>
      </c>
      <c r="BC767" s="5">
        <v>10000</v>
      </c>
      <c r="BD767" s="5">
        <v>0</v>
      </c>
      <c r="BE767" s="5" t="inlineStr">
        <is>
          <t xml:space="preserve">全部</t>
        </is>
      </c>
      <c r="BF767" s="5">
        <v>0</v>
      </c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5"/>
      <c r="CT767" s="5"/>
      <c r="CU767" s="5"/>
      <c r="CV767" s="5"/>
      <c r="CW767" s="5">
        <v>10440001</v>
      </c>
      <c r="CX767"/>
      <c r="CY767"/>
      <c r="CZ767" s="5" t="inlineStr">
        <is>
          <t xml:space="preserve">技能效果_调用技能</t>
        </is>
      </c>
      <c r="DA767" s="5" t="inlineStr">
        <is>
          <t xml:space="preserve">敌对</t>
        </is>
      </c>
      <c r="DB767" s="5">
        <v>10000</v>
      </c>
      <c r="DC767" s="5">
        <v>400</v>
      </c>
      <c r="DD767" s="5" t="inlineStr">
        <is>
          <t xml:space="preserve">全部</t>
        </is>
      </c>
      <c r="DE767" s="5">
        <v>0</v>
      </c>
      <c r="DF767" s="5"/>
      <c r="DG767" s="5"/>
      <c r="DH767" s="5"/>
      <c r="DI767" s="5"/>
      <c r="DJ767" s="5"/>
      <c r="DK767" s="5"/>
      <c r="DL767" s="5"/>
      <c r="DM767" s="5"/>
      <c r="DN767" s="5"/>
      <c r="DO767" s="5"/>
      <c r="DP767" s="5"/>
      <c r="DQ767" s="5"/>
      <c r="DR767" s="5"/>
      <c r="DS767" s="5"/>
      <c r="DT767" s="5"/>
      <c r="DU767" s="5"/>
      <c r="DV767" s="5"/>
      <c r="DW767" s="5"/>
      <c r="DX767" s="5"/>
      <c r="DY767" s="5"/>
      <c r="DZ767" s="5"/>
      <c r="EA767" s="5"/>
      <c r="EB767" s="5"/>
      <c r="EC767" s="5"/>
      <c r="ED767" s="5"/>
      <c r="EE767" s="5"/>
      <c r="EF767" s="5"/>
      <c r="EG767" s="5"/>
      <c r="EH767" s="5"/>
      <c r="EI767" s="5"/>
      <c r="EJ767" s="5"/>
      <c r="EK767" s="5"/>
      <c r="EL767" s="5"/>
      <c r="EM767" s="5"/>
      <c r="EN767" s="5"/>
      <c r="EO767" s="5"/>
      <c r="EP767" s="5"/>
      <c r="EQ767" s="5"/>
      <c r="ER767" s="5"/>
      <c r="ES767" s="5"/>
      <c r="ET767" s="5"/>
      <c r="EU767" s="5"/>
      <c r="EV767" s="5">
        <v>10440001</v>
      </c>
      <c r="EW767"/>
      <c r="EX767"/>
      <c r="EY767" s="5"/>
      <c r="EZ767" s="5"/>
      <c r="FA767" s="5"/>
      <c r="FB767" s="5"/>
      <c r="FC767" s="5"/>
      <c r="FD767" s="5"/>
      <c r="FE767" s="5"/>
      <c r="FF767" s="5"/>
      <c r="FG767" s="5"/>
      <c r="FH767" s="5"/>
      <c r="FI767" s="5"/>
      <c r="FJ767" s="5"/>
      <c r="FK767" s="5"/>
      <c r="FL767" s="5"/>
      <c r="FM767" s="5"/>
      <c r="FN767" s="5"/>
      <c r="FO767" s="5"/>
      <c r="FP767" s="5"/>
      <c r="FQ767" s="5"/>
      <c r="FR767" s="5"/>
      <c r="FS767" s="5"/>
      <c r="FT767" s="5"/>
      <c r="FU767" s="5"/>
      <c r="FV767" s="5"/>
      <c r="FW767" s="5"/>
      <c r="FX767" s="5"/>
      <c r="FY767" s="5"/>
      <c r="FZ767" s="5"/>
      <c r="GA767" s="5"/>
      <c r="GB767" s="5"/>
      <c r="GC767" s="5"/>
      <c r="GD767" s="5"/>
      <c r="GE767" s="5"/>
      <c r="GF767" s="5"/>
      <c r="GG767" s="5"/>
      <c r="GH767" s="5"/>
      <c r="GI767" s="5"/>
      <c r="GJ767" s="5"/>
      <c r="GK767" s="5"/>
      <c r="GL767" s="5"/>
      <c r="GM767" s="5"/>
      <c r="GN767" s="5"/>
      <c r="GO767" s="5"/>
      <c r="GP767" s="5"/>
      <c r="GQ767" s="5"/>
      <c r="GR767" s="5"/>
      <c r="GS767" s="5"/>
      <c r="GT767" s="5"/>
      <c r="GU767" s="5"/>
      <c r="GV767"/>
      <c r="GW767"/>
      <c r="GX767" s="5">
        <v>0</v>
      </c>
      <c r="GY767" s="5">
        <v>0</v>
      </c>
      <c r="GZ767" s="5" t="inlineStr">
        <is>
          <t xml:space="preserve"/>
        </is>
      </c>
      <c r="HA767" s="5">
        <v>0</v>
      </c>
      <c r="HB767" s="5"/>
      <c r="HC767" s="5"/>
      <c r="HD767" s="5" t="b">
        <v>0</v>
      </c>
      <c r="HE767" s="5">
        <v>0</v>
      </c>
      <c r="HF767" s="5" t="b">
        <v>1</v>
      </c>
      <c r="HG767" s="5">
        <v>0</v>
      </c>
      <c r="HH767" s="5">
        <v>0</v>
      </c>
      <c r="HI767" s="5">
        <v>0</v>
      </c>
      <c r="HJ767" s="5">
        <v>0</v>
      </c>
      <c r="HK767" s="5" t="b">
        <v>0</v>
      </c>
      <c r="HL767" s="5">
        <v>0</v>
      </c>
      <c r="HM767" s="5">
        <v>0</v>
      </c>
      <c r="HN767" s="5" t="s">
        <v>367</v>
      </c>
      <c r="HO767" s="5" t="s">
        <v>360</v>
      </c>
      <c r="HP767" s="5">
        <v>0</v>
      </c>
      <c r="HQ767" s="5">
        <v>0</v>
      </c>
      <c r="HR767" s="5">
        <v>0</v>
      </c>
      <c r="HS767" s="5">
        <v>0</v>
      </c>
      <c r="HT767" s="5" t="b">
        <v>0</v>
      </c>
    </row>
    <row r="768">
      <c r="B768" s="1">
        <v>10440001</v>
      </c>
      <c r="C768" s="5" t="inlineStr">
        <is>
          <t xml:space="preserve">星罗分锋·分段104400</t>
        </is>
      </c>
      <c r="D768" s="5" t="inlineStr">
        <is>
          <t xml:space="preserve">skill_104400_1</t>
        </is>
      </c>
      <c r="E768" s="5" t="s">
        <v>360</v>
      </c>
      <c r="F768" s="5" t="s">
        <v>349</v>
      </c>
      <c r="G768" s="5" t="b">
        <v>0</v>
      </c>
      <c r="H768" s="5" t="b">
        <v>1</v>
      </c>
      <c r="I768" s="5">
        <v>1</v>
      </c>
      <c r="J768" s="5">
        <v>104400</v>
      </c>
      <c r="K768" s="5" t="s">
        <v>350</v>
      </c>
      <c r="L768" s="5">
        <v>0</v>
      </c>
      <c r="M768" s="5">
        <v>10440002</v>
      </c>
      <c r="N768" s="5" t="s">
        <v>535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/>
      <c r="V768" s="5">
        <v>0</v>
      </c>
      <c r="W768" s="5">
        <v>0</v>
      </c>
      <c r="X768" s="5" t="inlineStr">
        <is>
          <t xml:space="preserve">目标方向</t>
        </is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 t="s">
        <v>356</v>
      </c>
      <c r="AZ768" s="5">
        <v>10000</v>
      </c>
      <c r="BA768" s="5" t="inlineStr">
        <is>
          <t xml:space="preserve">技能效果_调用技能</t>
        </is>
      </c>
      <c r="BB768" s="5" t="inlineStr">
        <is>
          <t xml:space="preserve">敌对</t>
        </is>
      </c>
      <c r="BC768" s="5">
        <v>10000</v>
      </c>
      <c r="BD768" s="5">
        <v>0</v>
      </c>
      <c r="BE768" s="5" t="inlineStr">
        <is>
          <t xml:space="preserve">全部</t>
        </is>
      </c>
      <c r="BF768" s="5">
        <v>0</v>
      </c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5"/>
      <c r="CT768" s="5"/>
      <c r="CU768" s="5"/>
      <c r="CV768" s="5"/>
      <c r="CW768" s="5">
        <v>10450001</v>
      </c>
      <c r="CX768"/>
      <c r="CY768"/>
      <c r="CZ768" s="5" t="inlineStr">
        <is>
          <t xml:space="preserve">技能效果_调用技能</t>
        </is>
      </c>
      <c r="DA768" s="5" t="inlineStr">
        <is>
          <t xml:space="preserve">敌对</t>
        </is>
      </c>
      <c r="DB768" s="5">
        <v>10000</v>
      </c>
      <c r="DC768" s="5">
        <v>200</v>
      </c>
      <c r="DD768" s="5" t="inlineStr">
        <is>
          <t xml:space="preserve">全部</t>
        </is>
      </c>
      <c r="DE768" s="5">
        <v>0</v>
      </c>
      <c r="DF768" s="5"/>
      <c r="DG768" s="5"/>
      <c r="DH768" s="5"/>
      <c r="DI768" s="5"/>
      <c r="DJ768" s="5"/>
      <c r="DK768" s="5"/>
      <c r="DL768" s="5"/>
      <c r="DM768" s="5"/>
      <c r="DN768" s="5"/>
      <c r="DO768" s="5"/>
      <c r="DP768" s="5"/>
      <c r="DQ768" s="5"/>
      <c r="DR768" s="5"/>
      <c r="DS768" s="5"/>
      <c r="DT768" s="5"/>
      <c r="DU768" s="5"/>
      <c r="DV768" s="5"/>
      <c r="DW768" s="5"/>
      <c r="DX768" s="5"/>
      <c r="DY768" s="5"/>
      <c r="DZ768" s="5"/>
      <c r="EA768" s="5"/>
      <c r="EB768" s="5"/>
      <c r="EC768" s="5"/>
      <c r="ED768" s="5"/>
      <c r="EE768" s="5"/>
      <c r="EF768" s="5"/>
      <c r="EG768" s="5"/>
      <c r="EH768" s="5"/>
      <c r="EI768" s="5"/>
      <c r="EJ768" s="5"/>
      <c r="EK768" s="5"/>
      <c r="EL768" s="5"/>
      <c r="EM768" s="5"/>
      <c r="EN768" s="5"/>
      <c r="EO768" s="5"/>
      <c r="EP768" s="5"/>
      <c r="EQ768" s="5"/>
      <c r="ER768" s="5"/>
      <c r="ES768" s="5"/>
      <c r="ET768" s="5"/>
      <c r="EU768" s="5"/>
      <c r="EV768" s="5">
        <v>10450001</v>
      </c>
      <c r="EW768"/>
      <c r="EX768"/>
      <c r="EY768" s="5"/>
      <c r="EZ768" s="5"/>
      <c r="FA768" s="5"/>
      <c r="FB768" s="5"/>
      <c r="FC768" s="5"/>
      <c r="FD768" s="5"/>
      <c r="FE768" s="5"/>
      <c r="FF768" s="5"/>
      <c r="FG768" s="5"/>
      <c r="FH768" s="5"/>
      <c r="FI768" s="5"/>
      <c r="FJ768" s="5"/>
      <c r="FK768" s="5"/>
      <c r="FL768" s="5"/>
      <c r="FM768" s="5"/>
      <c r="FN768" s="5"/>
      <c r="FO768" s="5"/>
      <c r="FP768" s="5"/>
      <c r="FQ768" s="5"/>
      <c r="FR768" s="5"/>
      <c r="FS768" s="5"/>
      <c r="FT768" s="5"/>
      <c r="FU768" s="5"/>
      <c r="FV768" s="5"/>
      <c r="FW768" s="5"/>
      <c r="FX768" s="5"/>
      <c r="FY768" s="5"/>
      <c r="FZ768" s="5"/>
      <c r="GA768" s="5"/>
      <c r="GB768" s="5"/>
      <c r="GC768" s="5"/>
      <c r="GD768" s="5"/>
      <c r="GE768" s="5"/>
      <c r="GF768" s="5"/>
      <c r="GG768" s="5"/>
      <c r="GH768" s="5"/>
      <c r="GI768" s="5"/>
      <c r="GJ768" s="5"/>
      <c r="GK768" s="5"/>
      <c r="GL768" s="5"/>
      <c r="GM768" s="5"/>
      <c r="GN768" s="5"/>
      <c r="GO768" s="5"/>
      <c r="GP768" s="5"/>
      <c r="GQ768" s="5"/>
      <c r="GR768" s="5"/>
      <c r="GS768" s="5"/>
      <c r="GT768" s="5"/>
      <c r="GU768" s="5"/>
      <c r="GV768"/>
      <c r="GW768"/>
      <c r="GX768" s="5">
        <v>0</v>
      </c>
      <c r="GY768" s="5">
        <v>0</v>
      </c>
      <c r="GZ768" s="5" t="inlineStr">
        <is>
          <t xml:space="preserve"/>
        </is>
      </c>
      <c r="HA768" s="5">
        <v>0</v>
      </c>
      <c r="HB768" s="5"/>
      <c r="HC768" s="5"/>
      <c r="HD768" s="5" t="b">
        <v>0</v>
      </c>
      <c r="HE768" s="5">
        <v>0</v>
      </c>
      <c r="HF768" s="5" t="b">
        <v>1</v>
      </c>
      <c r="HG768" s="5">
        <v>0</v>
      </c>
      <c r="HH768" s="5">
        <v>0</v>
      </c>
      <c r="HI768" s="5">
        <v>0</v>
      </c>
      <c r="HJ768" s="5">
        <v>0</v>
      </c>
      <c r="HK768" s="5" t="b">
        <v>0</v>
      </c>
      <c r="HL768" s="5">
        <v>0</v>
      </c>
      <c r="HM768" s="5">
        <v>0</v>
      </c>
      <c r="HN768" s="5" t="s">
        <v>367</v>
      </c>
      <c r="HO768" s="5" t="s">
        <v>360</v>
      </c>
      <c r="HP768" s="5">
        <v>0</v>
      </c>
      <c r="HQ768" s="5">
        <v>0</v>
      </c>
      <c r="HR768" s="5">
        <v>0</v>
      </c>
      <c r="HS768" s="5">
        <v>0</v>
      </c>
      <c r="HT768" s="5" t="b">
        <v>0</v>
      </c>
    </row>
    <row r="769">
      <c r="B769" s="1">
        <v>10450001</v>
      </c>
      <c r="C769" s="5" t="inlineStr">
        <is>
          <t xml:space="preserve">星罗分锋·分段104500</t>
        </is>
      </c>
      <c r="D769" s="5" t="inlineStr">
        <is>
          <t xml:space="preserve">skill_104500_1</t>
        </is>
      </c>
      <c r="E769" s="5" t="s">
        <v>360</v>
      </c>
      <c r="F769" s="5" t="s">
        <v>349</v>
      </c>
      <c r="G769" s="5" t="b">
        <v>0</v>
      </c>
      <c r="H769" s="5" t="b">
        <v>1</v>
      </c>
      <c r="I769" s="5">
        <v>1</v>
      </c>
      <c r="J769" s="5">
        <v>104500</v>
      </c>
      <c r="K769" s="5" t="s">
        <v>350</v>
      </c>
      <c r="L769" s="5">
        <v>0</v>
      </c>
      <c r="M769" s="5">
        <v>10450002</v>
      </c>
      <c r="N769" s="5" t="s">
        <v>535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/>
      <c r="V769" s="5">
        <v>0</v>
      </c>
      <c r="W769" s="5">
        <v>0</v>
      </c>
      <c r="X769" s="5" t="inlineStr">
        <is>
          <t xml:space="preserve">目标方向</t>
        </is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 t="s">
        <v>356</v>
      </c>
      <c r="AZ769" s="5">
        <v>10000</v>
      </c>
      <c r="BA769" s="5" t="inlineStr">
        <is>
          <t xml:space="preserve">技能效果_调用技能</t>
        </is>
      </c>
      <c r="BB769" s="5" t="inlineStr">
        <is>
          <t xml:space="preserve">敌对</t>
        </is>
      </c>
      <c r="BC769" s="5">
        <v>10000</v>
      </c>
      <c r="BD769" s="5">
        <v>0</v>
      </c>
      <c r="BE769" s="5" t="inlineStr">
        <is>
          <t xml:space="preserve">全部</t>
        </is>
      </c>
      <c r="BF769" s="5">
        <v>0</v>
      </c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5"/>
      <c r="CT769" s="5"/>
      <c r="CU769" s="5"/>
      <c r="CV769" s="5"/>
      <c r="CW769" s="5">
        <v>10330001</v>
      </c>
      <c r="CX769"/>
      <c r="CY769"/>
      <c r="CZ769" s="5" t="inlineStr">
        <is>
          <t xml:space="preserve">技能效果_调用技能</t>
        </is>
      </c>
      <c r="DA769" s="5" t="inlineStr">
        <is>
          <t xml:space="preserve">敌对</t>
        </is>
      </c>
      <c r="DB769" s="5">
        <v>10000</v>
      </c>
      <c r="DC769" s="5">
        <v>100</v>
      </c>
      <c r="DD769" s="5" t="inlineStr">
        <is>
          <t xml:space="preserve">全部</t>
        </is>
      </c>
      <c r="DE769" s="5">
        <v>0</v>
      </c>
      <c r="DF769" s="5"/>
      <c r="DG769" s="5"/>
      <c r="DH769" s="5"/>
      <c r="DI769" s="5"/>
      <c r="DJ769" s="5"/>
      <c r="DK769" s="5"/>
      <c r="DL769" s="5"/>
      <c r="DM769" s="5"/>
      <c r="DN769" s="5"/>
      <c r="DO769" s="5"/>
      <c r="DP769" s="5"/>
      <c r="DQ769" s="5"/>
      <c r="DR769" s="5"/>
      <c r="DS769" s="5"/>
      <c r="DT769" s="5"/>
      <c r="DU769" s="5"/>
      <c r="DV769" s="5"/>
      <c r="DW769" s="5"/>
      <c r="DX769" s="5"/>
      <c r="DY769" s="5"/>
      <c r="DZ769" s="5"/>
      <c r="EA769" s="5"/>
      <c r="EB769" s="5"/>
      <c r="EC769" s="5"/>
      <c r="ED769" s="5"/>
      <c r="EE769" s="5"/>
      <c r="EF769" s="5"/>
      <c r="EG769" s="5"/>
      <c r="EH769" s="5"/>
      <c r="EI769" s="5"/>
      <c r="EJ769" s="5"/>
      <c r="EK769" s="5"/>
      <c r="EL769" s="5"/>
      <c r="EM769" s="5"/>
      <c r="EN769" s="5"/>
      <c r="EO769" s="5"/>
      <c r="EP769" s="5"/>
      <c r="EQ769" s="5"/>
      <c r="ER769" s="5"/>
      <c r="ES769" s="5"/>
      <c r="ET769" s="5"/>
      <c r="EU769" s="5"/>
      <c r="EV769" s="5">
        <v>10330001</v>
      </c>
      <c r="EW769"/>
      <c r="EX769"/>
      <c r="EY769" s="5"/>
      <c r="EZ769" s="5"/>
      <c r="FA769" s="5"/>
      <c r="FB769" s="5"/>
      <c r="FC769" s="5"/>
      <c r="FD769" s="5"/>
      <c r="FE769" s="5"/>
      <c r="FF769" s="5"/>
      <c r="FG769" s="5"/>
      <c r="FH769" s="5"/>
      <c r="FI769" s="5"/>
      <c r="FJ769" s="5"/>
      <c r="FK769" s="5"/>
      <c r="FL769" s="5"/>
      <c r="FM769" s="5"/>
      <c r="FN769" s="5"/>
      <c r="FO769" s="5"/>
      <c r="FP769" s="5"/>
      <c r="FQ769" s="5"/>
      <c r="FR769" s="5"/>
      <c r="FS769" s="5"/>
      <c r="FT769" s="5"/>
      <c r="FU769" s="5"/>
      <c r="FV769" s="5"/>
      <c r="FW769" s="5"/>
      <c r="FX769" s="5"/>
      <c r="FY769" s="5"/>
      <c r="FZ769" s="5"/>
      <c r="GA769" s="5"/>
      <c r="GB769" s="5"/>
      <c r="GC769" s="5"/>
      <c r="GD769" s="5"/>
      <c r="GE769" s="5"/>
      <c r="GF769" s="5"/>
      <c r="GG769" s="5"/>
      <c r="GH769" s="5"/>
      <c r="GI769" s="5"/>
      <c r="GJ769" s="5"/>
      <c r="GK769" s="5"/>
      <c r="GL769" s="5"/>
      <c r="GM769" s="5"/>
      <c r="GN769" s="5"/>
      <c r="GO769" s="5"/>
      <c r="GP769" s="5"/>
      <c r="GQ769" s="5"/>
      <c r="GR769" s="5"/>
      <c r="GS769" s="5"/>
      <c r="GT769" s="5"/>
      <c r="GU769" s="5"/>
      <c r="GV769"/>
      <c r="GW769"/>
      <c r="GX769" s="5">
        <v>0</v>
      </c>
      <c r="GY769" s="5">
        <v>0</v>
      </c>
      <c r="GZ769" s="5" t="inlineStr">
        <is>
          <t xml:space="preserve"/>
        </is>
      </c>
      <c r="HA769" s="5">
        <v>0</v>
      </c>
      <c r="HB769" s="5"/>
      <c r="HC769" s="5"/>
      <c r="HD769" s="5" t="b">
        <v>0</v>
      </c>
      <c r="HE769" s="5">
        <v>0</v>
      </c>
      <c r="HF769" s="5" t="b">
        <v>1</v>
      </c>
      <c r="HG769" s="5">
        <v>0</v>
      </c>
      <c r="HH769" s="5">
        <v>0</v>
      </c>
      <c r="HI769" s="5">
        <v>0</v>
      </c>
      <c r="HJ769" s="5">
        <v>0</v>
      </c>
      <c r="HK769" s="5" t="b">
        <v>0</v>
      </c>
      <c r="HL769" s="5">
        <v>0</v>
      </c>
      <c r="HM769" s="5">
        <v>0</v>
      </c>
      <c r="HN769" s="5" t="s">
        <v>367</v>
      </c>
      <c r="HO769" s="5" t="s">
        <v>360</v>
      </c>
      <c r="HP769" s="5">
        <v>0</v>
      </c>
      <c r="HQ769" s="5">
        <v>0</v>
      </c>
      <c r="HR769" s="5">
        <v>0</v>
      </c>
      <c r="HS769" s="5">
        <v>0</v>
      </c>
      <c r="HT769" s="5" t="b">
        <v>0</v>
      </c>
    </row>
    <row r="770">
      <c r="B770" s="1">
        <v>10420002</v>
      </c>
      <c r="C770" s="5" t="inlineStr">
        <is>
          <t xml:space="preserve">赤霄焚野·计时</t>
        </is>
      </c>
      <c r="D770" s="5" t="inlineStr">
        <is>
          <t xml:space="preserve">skill_104200_2</t>
        </is>
      </c>
      <c r="E770" s="5" t="inlineStr">
        <is>
          <t xml:space="preserve">无</t>
        </is>
      </c>
      <c r="F770" s="5" t="s">
        <v>391</v>
      </c>
      <c r="G770" s="5" t="b">
        <v>0</v>
      </c>
      <c r="H770" s="5" t="b">
        <v>1</v>
      </c>
      <c r="I770" s="5">
        <v>2</v>
      </c>
      <c r="J770" s="5">
        <v>104200</v>
      </c>
      <c r="K770" s="5" t="s">
        <v>350</v>
      </c>
      <c r="L770" s="5">
        <v>10110001</v>
      </c>
      <c r="M770" s="5">
        <v>10420003</v>
      </c>
      <c r="N770" s="5" t="s">
        <v>400</v>
      </c>
      <c r="O770" s="5">
        <v>10202010</v>
      </c>
      <c r="P770" s="5">
        <v>0</v>
      </c>
      <c r="Q770" s="5">
        <v>0</v>
      </c>
      <c r="R770" s="5">
        <v>7</v>
      </c>
      <c r="S770" s="5">
        <v>0</v>
      </c>
      <c r="T770" s="5">
        <v>100</v>
      </c>
      <c r="U770" s="5" t="s">
        <v>364</v>
      </c>
      <c r="V770" s="5">
        <v>0</v>
      </c>
      <c r="W770" s="5">
        <v>0</v>
      </c>
      <c r="X770" s="5" t="inlineStr">
        <is>
          <t xml:space="preserve">目标方向</t>
        </is>
      </c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 t="s">
        <v>381</v>
      </c>
      <c r="AZ770" s="5">
        <v>10400</v>
      </c>
      <c r="BA770" s="5" t="inlineStr">
        <is>
          <t xml:space="preserve">技能效果_调用技能</t>
        </is>
      </c>
      <c r="BB770" s="5" t="inlineStr">
        <is>
          <t xml:space="preserve">敌对</t>
        </is>
      </c>
      <c r="BC770" s="5">
        <v>10000</v>
      </c>
      <c r="BD770" s="5">
        <v>1000</v>
      </c>
      <c r="BE770" s="5" t="inlineStr">
        <is>
          <t xml:space="preserve">全部</t>
        </is>
      </c>
      <c r="BF770" s="5">
        <v>0</v>
      </c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5"/>
      <c r="CT770" s="5"/>
      <c r="CU770" s="5"/>
      <c r="CV770" s="5"/>
      <c r="CW770" s="5">
        <v>10410002</v>
      </c>
      <c r="CX770"/>
      <c r="CY770"/>
      <c r="CZ770" s="5" t="inlineStr">
        <is>
          <t xml:space="preserve">技能效果_调用技能</t>
        </is>
      </c>
      <c r="DA770" s="5" t="inlineStr">
        <is>
          <t xml:space="preserve">敌对</t>
        </is>
      </c>
      <c r="DB770" s="5">
        <v>10000</v>
      </c>
      <c r="DC770" s="5">
        <v>2000</v>
      </c>
      <c r="DD770" s="5" t="inlineStr">
        <is>
          <t xml:space="preserve">全部</t>
        </is>
      </c>
      <c r="DE770" s="5">
        <v>0</v>
      </c>
      <c r="DF770" s="5"/>
      <c r="DG770" s="5"/>
      <c r="DH770" s="5"/>
      <c r="DI770" s="5"/>
      <c r="DJ770" s="5"/>
      <c r="DK770" s="5"/>
      <c r="DL770" s="5"/>
      <c r="DM770" s="5"/>
      <c r="DN770" s="5"/>
      <c r="DO770" s="5"/>
      <c r="DP770" s="5"/>
      <c r="DQ770" s="5"/>
      <c r="DR770" s="5"/>
      <c r="DS770" s="5"/>
      <c r="DT770" s="5"/>
      <c r="DU770" s="5"/>
      <c r="DV770" s="5"/>
      <c r="DW770" s="5"/>
      <c r="DX770" s="5"/>
      <c r="DY770" s="5"/>
      <c r="DZ770" s="5"/>
      <c r="EA770" s="5"/>
      <c r="EB770" s="5"/>
      <c r="EC770" s="5"/>
      <c r="ED770" s="5"/>
      <c r="EE770" s="5"/>
      <c r="EF770" s="5"/>
      <c r="EG770" s="5"/>
      <c r="EH770" s="5"/>
      <c r="EI770" s="5"/>
      <c r="EJ770" s="5"/>
      <c r="EK770" s="5"/>
      <c r="EL770" s="5"/>
      <c r="EM770" s="5"/>
      <c r="EN770" s="5"/>
      <c r="EO770" s="5"/>
      <c r="EP770" s="5"/>
      <c r="EQ770" s="5"/>
      <c r="ER770" s="5"/>
      <c r="ES770" s="5"/>
      <c r="ET770" s="5"/>
      <c r="EU770" s="5"/>
      <c r="EV770" s="5">
        <v>10410002</v>
      </c>
      <c r="EW770"/>
      <c r="EX770"/>
      <c r="EY770" s="5"/>
      <c r="EZ770" s="5"/>
      <c r="FA770" s="5"/>
      <c r="FB770" s="5"/>
      <c r="FC770" s="5"/>
      <c r="FD770" s="5"/>
      <c r="FE770" s="5"/>
      <c r="FF770" s="5"/>
      <c r="FG770" s="5"/>
      <c r="FH770" s="5"/>
      <c r="FI770" s="5"/>
      <c r="FJ770" s="5"/>
      <c r="FK770" s="5"/>
      <c r="FL770" s="5"/>
      <c r="FM770" s="5"/>
      <c r="FN770" s="5"/>
      <c r="FO770" s="5"/>
      <c r="FP770" s="5"/>
      <c r="FQ770" s="5"/>
      <c r="FR770" s="5"/>
      <c r="FS770" s="5"/>
      <c r="FT770" s="5"/>
      <c r="FU770" s="5"/>
      <c r="FV770" s="5"/>
      <c r="FW770" s="5"/>
      <c r="FX770" s="5"/>
      <c r="FY770" s="5"/>
      <c r="FZ770" s="5"/>
      <c r="GA770" s="5"/>
      <c r="GB770" s="5"/>
      <c r="GC770" s="5"/>
      <c r="GD770" s="5"/>
      <c r="GE770" s="5"/>
      <c r="GF770" s="5"/>
      <c r="GG770" s="5"/>
      <c r="GH770" s="5"/>
      <c r="GI770" s="5"/>
      <c r="GJ770" s="5"/>
      <c r="GK770" s="5"/>
      <c r="GL770" s="5"/>
      <c r="GM770" s="5"/>
      <c r="GN770" s="5"/>
      <c r="GO770" s="5"/>
      <c r="GP770" s="5"/>
      <c r="GQ770" s="5"/>
      <c r="GR770" s="5"/>
      <c r="GS770" s="5"/>
      <c r="GT770" s="5"/>
      <c r="GU770" s="5"/>
      <c r="GV770"/>
      <c r="GW770"/>
      <c r="GX770" s="5">
        <v>0</v>
      </c>
      <c r="GY770" s="5">
        <v>0</v>
      </c>
      <c r="GZ770" s="5" t="inlineStr">
        <is>
          <t xml:space="preserve"/>
        </is>
      </c>
      <c r="HA770" s="5">
        <v>0</v>
      </c>
      <c r="HB770" s="5">
        <v>0</v>
      </c>
      <c r="HC770" s="5" t="s">
        <v>366</v>
      </c>
      <c r="HD770" s="5" t="b">
        <v>1</v>
      </c>
      <c r="HE770" s="5">
        <v>0</v>
      </c>
      <c r="HF770" s="5" t="b">
        <v>0</v>
      </c>
      <c r="HG770" s="5">
        <v>0</v>
      </c>
      <c r="HH770" s="5">
        <v>0</v>
      </c>
      <c r="HI770" s="5">
        <v>0</v>
      </c>
      <c r="HJ770" s="5">
        <v>0</v>
      </c>
      <c r="HK770" s="5" t="b">
        <v>0</v>
      </c>
      <c r="HL770" s="5">
        <v>0</v>
      </c>
      <c r="HM770" s="5">
        <v>10001</v>
      </c>
      <c r="HN770" s="5" t="s">
        <v>367</v>
      </c>
      <c r="HO770" s="5" t="s">
        <v>360</v>
      </c>
      <c r="HP770" s="5">
        <v>0</v>
      </c>
      <c r="HQ770" s="5">
        <v>0</v>
      </c>
      <c r="HR770" s="5">
        <v>0</v>
      </c>
      <c r="HS770" s="5">
        <v>0</v>
      </c>
      <c r="HT770" s="5" t="b">
        <v>0</v>
      </c>
    </row>
    <row r="771">
      <c r="B771" s="1">
        <v>10430002</v>
      </c>
      <c r="C771" s="5" t="inlineStr">
        <is>
          <t xml:space="preserve">星罗分锋·分段104300</t>
        </is>
      </c>
      <c r="D771" s="5" t="inlineStr">
        <is>
          <t xml:space="preserve">skill_104300_2</t>
        </is>
      </c>
      <c r="E771" s="5" t="s">
        <v>360</v>
      </c>
      <c r="F771" s="5" t="s">
        <v>349</v>
      </c>
      <c r="G771" s="5" t="b">
        <v>0</v>
      </c>
      <c r="H771" s="5" t="b">
        <v>1</v>
      </c>
      <c r="I771" s="5">
        <v>2</v>
      </c>
      <c r="J771" s="5">
        <v>104300</v>
      </c>
      <c r="K771" s="5" t="s">
        <v>350</v>
      </c>
      <c r="L771" s="5">
        <v>0</v>
      </c>
      <c r="M771" s="5">
        <v>10430003</v>
      </c>
      <c r="N771" s="5" t="s">
        <v>535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/>
      <c r="V771" s="5">
        <v>0</v>
      </c>
      <c r="W771" s="5">
        <v>0</v>
      </c>
      <c r="X771" s="5" t="inlineStr">
        <is>
          <t xml:space="preserve">目标方向</t>
        </is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 t="s">
        <v>356</v>
      </c>
      <c r="AZ771" s="5">
        <v>10400</v>
      </c>
      <c r="BA771" s="5" t="inlineStr">
        <is>
          <t xml:space="preserve">技能效果_调用技能</t>
        </is>
      </c>
      <c r="BB771" s="5" t="inlineStr">
        <is>
          <t xml:space="preserve">敌对</t>
        </is>
      </c>
      <c r="BC771" s="5">
        <v>10000</v>
      </c>
      <c r="BD771" s="5">
        <v>0</v>
      </c>
      <c r="BE771" s="5" t="inlineStr">
        <is>
          <t xml:space="preserve">全部</t>
        </is>
      </c>
      <c r="BF771" s="5">
        <v>0</v>
      </c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5"/>
      <c r="CT771" s="5"/>
      <c r="CU771" s="5"/>
      <c r="CV771" s="5"/>
      <c r="CW771" s="5">
        <v>10440002</v>
      </c>
      <c r="CX771"/>
      <c r="CY771"/>
      <c r="CZ771" s="5" t="inlineStr">
        <is>
          <t xml:space="preserve">技能效果_调用技能</t>
        </is>
      </c>
      <c r="DA771" s="5" t="inlineStr">
        <is>
          <t xml:space="preserve">敌对</t>
        </is>
      </c>
      <c r="DB771" s="5">
        <v>10000</v>
      </c>
      <c r="DC771" s="5">
        <v>400</v>
      </c>
      <c r="DD771" s="5" t="inlineStr">
        <is>
          <t xml:space="preserve">全部</t>
        </is>
      </c>
      <c r="DE771" s="5">
        <v>0</v>
      </c>
      <c r="DF771" s="5"/>
      <c r="DG771" s="5"/>
      <c r="DH771" s="5"/>
      <c r="DI771" s="5"/>
      <c r="DJ771" s="5"/>
      <c r="DK771" s="5"/>
      <c r="DL771" s="5"/>
      <c r="DM771" s="5"/>
      <c r="DN771" s="5"/>
      <c r="DO771" s="5"/>
      <c r="DP771" s="5"/>
      <c r="DQ771" s="5"/>
      <c r="DR771" s="5"/>
      <c r="DS771" s="5"/>
      <c r="DT771" s="5"/>
      <c r="DU771" s="5"/>
      <c r="DV771" s="5"/>
      <c r="DW771" s="5"/>
      <c r="DX771" s="5"/>
      <c r="DY771" s="5"/>
      <c r="DZ771" s="5"/>
      <c r="EA771" s="5"/>
      <c r="EB771" s="5"/>
      <c r="EC771" s="5"/>
      <c r="ED771" s="5"/>
      <c r="EE771" s="5"/>
      <c r="EF771" s="5"/>
      <c r="EG771" s="5"/>
      <c r="EH771" s="5"/>
      <c r="EI771" s="5"/>
      <c r="EJ771" s="5"/>
      <c r="EK771" s="5"/>
      <c r="EL771" s="5"/>
      <c r="EM771" s="5"/>
      <c r="EN771" s="5"/>
      <c r="EO771" s="5"/>
      <c r="EP771" s="5"/>
      <c r="EQ771" s="5"/>
      <c r="ER771" s="5"/>
      <c r="ES771" s="5"/>
      <c r="ET771" s="5"/>
      <c r="EU771" s="5"/>
      <c r="EV771" s="5">
        <v>10440002</v>
      </c>
      <c r="EW771"/>
      <c r="EX771"/>
      <c r="EY771" s="5"/>
      <c r="EZ771" s="5"/>
      <c r="FA771" s="5"/>
      <c r="FB771" s="5"/>
      <c r="FC771" s="5"/>
      <c r="FD771" s="5"/>
      <c r="FE771" s="5"/>
      <c r="FF771" s="5"/>
      <c r="FG771" s="5"/>
      <c r="FH771" s="5"/>
      <c r="FI771" s="5"/>
      <c r="FJ771" s="5"/>
      <c r="FK771" s="5"/>
      <c r="FL771" s="5"/>
      <c r="FM771" s="5"/>
      <c r="FN771" s="5"/>
      <c r="FO771" s="5"/>
      <c r="FP771" s="5"/>
      <c r="FQ771" s="5"/>
      <c r="FR771" s="5"/>
      <c r="FS771" s="5"/>
      <c r="FT771" s="5"/>
      <c r="FU771" s="5"/>
      <c r="FV771" s="5"/>
      <c r="FW771" s="5"/>
      <c r="FX771" s="5"/>
      <c r="FY771" s="5"/>
      <c r="FZ771" s="5"/>
      <c r="GA771" s="5"/>
      <c r="GB771" s="5"/>
      <c r="GC771" s="5"/>
      <c r="GD771" s="5"/>
      <c r="GE771" s="5"/>
      <c r="GF771" s="5"/>
      <c r="GG771" s="5"/>
      <c r="GH771" s="5"/>
      <c r="GI771" s="5"/>
      <c r="GJ771" s="5"/>
      <c r="GK771" s="5"/>
      <c r="GL771" s="5"/>
      <c r="GM771" s="5"/>
      <c r="GN771" s="5"/>
      <c r="GO771" s="5"/>
      <c r="GP771" s="5"/>
      <c r="GQ771" s="5"/>
      <c r="GR771" s="5"/>
      <c r="GS771" s="5"/>
      <c r="GT771" s="5"/>
      <c r="GU771" s="5"/>
      <c r="GV771"/>
      <c r="GW771"/>
      <c r="GX771" s="5">
        <v>0</v>
      </c>
      <c r="GY771" s="5">
        <v>0</v>
      </c>
      <c r="GZ771" s="5" t="inlineStr">
        <is>
          <t xml:space="preserve"/>
        </is>
      </c>
      <c r="HA771" s="5">
        <v>0</v>
      </c>
      <c r="HB771" s="5"/>
      <c r="HC771" s="5"/>
      <c r="HD771" s="5" t="b">
        <v>0</v>
      </c>
      <c r="HE771" s="5">
        <v>0</v>
      </c>
      <c r="HF771" s="5" t="b">
        <v>1</v>
      </c>
      <c r="HG771" s="5">
        <v>0</v>
      </c>
      <c r="HH771" s="5">
        <v>0</v>
      </c>
      <c r="HI771" s="5">
        <v>0</v>
      </c>
      <c r="HJ771" s="5">
        <v>0</v>
      </c>
      <c r="HK771" s="5" t="b">
        <v>0</v>
      </c>
      <c r="HL771" s="5">
        <v>0</v>
      </c>
      <c r="HM771" s="5">
        <v>0</v>
      </c>
      <c r="HN771" s="5" t="s">
        <v>367</v>
      </c>
      <c r="HO771" s="5" t="s">
        <v>360</v>
      </c>
      <c r="HP771" s="5">
        <v>0</v>
      </c>
      <c r="HQ771" s="5">
        <v>0</v>
      </c>
      <c r="HR771" s="5">
        <v>0</v>
      </c>
      <c r="HS771" s="5">
        <v>0</v>
      </c>
      <c r="HT771" s="5" t="b">
        <v>0</v>
      </c>
    </row>
    <row r="772">
      <c r="B772" s="1">
        <v>10440002</v>
      </c>
      <c r="C772" s="5" t="inlineStr">
        <is>
          <t xml:space="preserve">星罗分锋·分段104400</t>
        </is>
      </c>
      <c r="D772" s="5" t="inlineStr">
        <is>
          <t xml:space="preserve">skill_104400_2</t>
        </is>
      </c>
      <c r="E772" s="5" t="s">
        <v>360</v>
      </c>
      <c r="F772" s="5" t="s">
        <v>349</v>
      </c>
      <c r="G772" s="5" t="b">
        <v>0</v>
      </c>
      <c r="H772" s="5" t="b">
        <v>1</v>
      </c>
      <c r="I772" s="5">
        <v>2</v>
      </c>
      <c r="J772" s="5">
        <v>104400</v>
      </c>
      <c r="K772" s="5" t="s">
        <v>350</v>
      </c>
      <c r="L772" s="5">
        <v>0</v>
      </c>
      <c r="M772" s="5">
        <v>10440003</v>
      </c>
      <c r="N772" s="5" t="s">
        <v>535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/>
      <c r="V772" s="5">
        <v>0</v>
      </c>
      <c r="W772" s="5">
        <v>0</v>
      </c>
      <c r="X772" s="5" t="inlineStr">
        <is>
          <t xml:space="preserve">目标方向</t>
        </is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 t="s">
        <v>356</v>
      </c>
      <c r="AZ772" s="5">
        <v>10400</v>
      </c>
      <c r="BA772" s="5" t="inlineStr">
        <is>
          <t xml:space="preserve">技能效果_调用技能</t>
        </is>
      </c>
      <c r="BB772" s="5" t="inlineStr">
        <is>
          <t xml:space="preserve">敌对</t>
        </is>
      </c>
      <c r="BC772" s="5">
        <v>10000</v>
      </c>
      <c r="BD772" s="5">
        <v>0</v>
      </c>
      <c r="BE772" s="5" t="inlineStr">
        <is>
          <t xml:space="preserve">全部</t>
        </is>
      </c>
      <c r="BF772" s="5">
        <v>0</v>
      </c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5"/>
      <c r="CT772" s="5"/>
      <c r="CU772" s="5"/>
      <c r="CV772" s="5"/>
      <c r="CW772" s="5">
        <v>10450002</v>
      </c>
      <c r="CX772"/>
      <c r="CY772"/>
      <c r="CZ772" s="5" t="inlineStr">
        <is>
          <t xml:space="preserve">技能效果_调用技能</t>
        </is>
      </c>
      <c r="DA772" s="5" t="inlineStr">
        <is>
          <t xml:space="preserve">敌对</t>
        </is>
      </c>
      <c r="DB772" s="5">
        <v>10000</v>
      </c>
      <c r="DC772" s="5">
        <v>200</v>
      </c>
      <c r="DD772" s="5" t="inlineStr">
        <is>
          <t xml:space="preserve">全部</t>
        </is>
      </c>
      <c r="DE772" s="5">
        <v>0</v>
      </c>
      <c r="DF772" s="5"/>
      <c r="DG772" s="5"/>
      <c r="DH772" s="5"/>
      <c r="DI772" s="5"/>
      <c r="DJ772" s="5"/>
      <c r="DK772" s="5"/>
      <c r="DL772" s="5"/>
      <c r="DM772" s="5"/>
      <c r="DN772" s="5"/>
      <c r="DO772" s="5"/>
      <c r="DP772" s="5"/>
      <c r="DQ772" s="5"/>
      <c r="DR772" s="5"/>
      <c r="DS772" s="5"/>
      <c r="DT772" s="5"/>
      <c r="DU772" s="5"/>
      <c r="DV772" s="5"/>
      <c r="DW772" s="5"/>
      <c r="DX772" s="5"/>
      <c r="DY772" s="5"/>
      <c r="DZ772" s="5"/>
      <c r="EA772" s="5"/>
      <c r="EB772" s="5"/>
      <c r="EC772" s="5"/>
      <c r="ED772" s="5"/>
      <c r="EE772" s="5"/>
      <c r="EF772" s="5"/>
      <c r="EG772" s="5"/>
      <c r="EH772" s="5"/>
      <c r="EI772" s="5"/>
      <c r="EJ772" s="5"/>
      <c r="EK772" s="5"/>
      <c r="EL772" s="5"/>
      <c r="EM772" s="5"/>
      <c r="EN772" s="5"/>
      <c r="EO772" s="5"/>
      <c r="EP772" s="5"/>
      <c r="EQ772" s="5"/>
      <c r="ER772" s="5"/>
      <c r="ES772" s="5"/>
      <c r="ET772" s="5"/>
      <c r="EU772" s="5"/>
      <c r="EV772" s="5">
        <v>10450002</v>
      </c>
      <c r="EW772"/>
      <c r="EX772"/>
      <c r="EY772" s="5"/>
      <c r="EZ772" s="5"/>
      <c r="FA772" s="5"/>
      <c r="FB772" s="5"/>
      <c r="FC772" s="5"/>
      <c r="FD772" s="5"/>
      <c r="FE772" s="5"/>
      <c r="FF772" s="5"/>
      <c r="FG772" s="5"/>
      <c r="FH772" s="5"/>
      <c r="FI772" s="5"/>
      <c r="FJ772" s="5"/>
      <c r="FK772" s="5"/>
      <c r="FL772" s="5"/>
      <c r="FM772" s="5"/>
      <c r="FN772" s="5"/>
      <c r="FO772" s="5"/>
      <c r="FP772" s="5"/>
      <c r="FQ772" s="5"/>
      <c r="FR772" s="5"/>
      <c r="FS772" s="5"/>
      <c r="FT772" s="5"/>
      <c r="FU772" s="5"/>
      <c r="FV772" s="5"/>
      <c r="FW772" s="5"/>
      <c r="FX772" s="5"/>
      <c r="FY772" s="5"/>
      <c r="FZ772" s="5"/>
      <c r="GA772" s="5"/>
      <c r="GB772" s="5"/>
      <c r="GC772" s="5"/>
      <c r="GD772" s="5"/>
      <c r="GE772" s="5"/>
      <c r="GF772" s="5"/>
      <c r="GG772" s="5"/>
      <c r="GH772" s="5"/>
      <c r="GI772" s="5"/>
      <c r="GJ772" s="5"/>
      <c r="GK772" s="5"/>
      <c r="GL772" s="5"/>
      <c r="GM772" s="5"/>
      <c r="GN772" s="5"/>
      <c r="GO772" s="5"/>
      <c r="GP772" s="5"/>
      <c r="GQ772" s="5"/>
      <c r="GR772" s="5"/>
      <c r="GS772" s="5"/>
      <c r="GT772" s="5"/>
      <c r="GU772" s="5"/>
      <c r="GV772"/>
      <c r="GW772"/>
      <c r="GX772" s="5">
        <v>0</v>
      </c>
      <c r="GY772" s="5">
        <v>0</v>
      </c>
      <c r="GZ772" s="5" t="inlineStr">
        <is>
          <t xml:space="preserve"/>
        </is>
      </c>
      <c r="HA772" s="5">
        <v>0</v>
      </c>
      <c r="HB772" s="5"/>
      <c r="HC772" s="5"/>
      <c r="HD772" s="5" t="b">
        <v>0</v>
      </c>
      <c r="HE772" s="5">
        <v>0</v>
      </c>
      <c r="HF772" s="5" t="b">
        <v>1</v>
      </c>
      <c r="HG772" s="5">
        <v>0</v>
      </c>
      <c r="HH772" s="5">
        <v>0</v>
      </c>
      <c r="HI772" s="5">
        <v>0</v>
      </c>
      <c r="HJ772" s="5">
        <v>0</v>
      </c>
      <c r="HK772" s="5" t="b">
        <v>0</v>
      </c>
      <c r="HL772" s="5">
        <v>0</v>
      </c>
      <c r="HM772" s="5">
        <v>0</v>
      </c>
      <c r="HN772" s="5" t="s">
        <v>367</v>
      </c>
      <c r="HO772" s="5" t="s">
        <v>360</v>
      </c>
      <c r="HP772" s="5">
        <v>0</v>
      </c>
      <c r="HQ772" s="5">
        <v>0</v>
      </c>
      <c r="HR772" s="5">
        <v>0</v>
      </c>
      <c r="HS772" s="5">
        <v>0</v>
      </c>
      <c r="HT772" s="5" t="b">
        <v>0</v>
      </c>
    </row>
    <row r="773">
      <c r="B773" s="1">
        <v>10450002</v>
      </c>
      <c r="C773" s="5" t="inlineStr">
        <is>
          <t xml:space="preserve">星罗分锋·分段104500</t>
        </is>
      </c>
      <c r="D773" s="5" t="inlineStr">
        <is>
          <t xml:space="preserve">skill_104500_2</t>
        </is>
      </c>
      <c r="E773" s="5" t="s">
        <v>360</v>
      </c>
      <c r="F773" s="5" t="s">
        <v>349</v>
      </c>
      <c r="G773" s="5" t="b">
        <v>0</v>
      </c>
      <c r="H773" s="5" t="b">
        <v>1</v>
      </c>
      <c r="I773" s="5">
        <v>2</v>
      </c>
      <c r="J773" s="5">
        <v>104500</v>
      </c>
      <c r="K773" s="5" t="s">
        <v>350</v>
      </c>
      <c r="L773" s="5">
        <v>0</v>
      </c>
      <c r="M773" s="5">
        <v>10450003</v>
      </c>
      <c r="N773" s="5" t="s">
        <v>535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/>
      <c r="V773" s="5">
        <v>0</v>
      </c>
      <c r="W773" s="5">
        <v>0</v>
      </c>
      <c r="X773" s="5" t="inlineStr">
        <is>
          <t xml:space="preserve">目标方向</t>
        </is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 t="s">
        <v>356</v>
      </c>
      <c r="AZ773" s="5">
        <v>10400</v>
      </c>
      <c r="BA773" s="5" t="inlineStr">
        <is>
          <t xml:space="preserve">技能效果_调用技能</t>
        </is>
      </c>
      <c r="BB773" s="5" t="inlineStr">
        <is>
          <t xml:space="preserve">敌对</t>
        </is>
      </c>
      <c r="BC773" s="5">
        <v>10000</v>
      </c>
      <c r="BD773" s="5">
        <v>0</v>
      </c>
      <c r="BE773" s="5" t="inlineStr">
        <is>
          <t xml:space="preserve">全部</t>
        </is>
      </c>
      <c r="BF773" s="5">
        <v>0</v>
      </c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5"/>
      <c r="CT773" s="5"/>
      <c r="CU773" s="5"/>
      <c r="CV773" s="5"/>
      <c r="CW773" s="5">
        <v>10330002</v>
      </c>
      <c r="CX773"/>
      <c r="CY773"/>
      <c r="CZ773" s="5" t="inlineStr">
        <is>
          <t xml:space="preserve">技能效果_调用技能</t>
        </is>
      </c>
      <c r="DA773" s="5" t="inlineStr">
        <is>
          <t xml:space="preserve">敌对</t>
        </is>
      </c>
      <c r="DB773" s="5">
        <v>10000</v>
      </c>
      <c r="DC773" s="5">
        <v>100</v>
      </c>
      <c r="DD773" s="5" t="inlineStr">
        <is>
          <t xml:space="preserve">全部</t>
        </is>
      </c>
      <c r="DE773" s="5">
        <v>0</v>
      </c>
      <c r="DF773" s="5"/>
      <c r="DG773" s="5"/>
      <c r="DH773" s="5"/>
      <c r="DI773" s="5"/>
      <c r="DJ773" s="5"/>
      <c r="DK773" s="5"/>
      <c r="DL773" s="5"/>
      <c r="DM773" s="5"/>
      <c r="DN773" s="5"/>
      <c r="DO773" s="5"/>
      <c r="DP773" s="5"/>
      <c r="DQ773" s="5"/>
      <c r="DR773" s="5"/>
      <c r="DS773" s="5"/>
      <c r="DT773" s="5"/>
      <c r="DU773" s="5"/>
      <c r="DV773" s="5"/>
      <c r="DW773" s="5"/>
      <c r="DX773" s="5"/>
      <c r="DY773" s="5"/>
      <c r="DZ773" s="5"/>
      <c r="EA773" s="5"/>
      <c r="EB773" s="5"/>
      <c r="EC773" s="5"/>
      <c r="ED773" s="5"/>
      <c r="EE773" s="5"/>
      <c r="EF773" s="5"/>
      <c r="EG773" s="5"/>
      <c r="EH773" s="5"/>
      <c r="EI773" s="5"/>
      <c r="EJ773" s="5"/>
      <c r="EK773" s="5"/>
      <c r="EL773" s="5"/>
      <c r="EM773" s="5"/>
      <c r="EN773" s="5"/>
      <c r="EO773" s="5"/>
      <c r="EP773" s="5"/>
      <c r="EQ773" s="5"/>
      <c r="ER773" s="5"/>
      <c r="ES773" s="5"/>
      <c r="ET773" s="5"/>
      <c r="EU773" s="5"/>
      <c r="EV773" s="5">
        <v>10330002</v>
      </c>
      <c r="EW773"/>
      <c r="EX773"/>
      <c r="EY773" s="5"/>
      <c r="EZ773" s="5"/>
      <c r="FA773" s="5"/>
      <c r="FB773" s="5"/>
      <c r="FC773" s="5"/>
      <c r="FD773" s="5"/>
      <c r="FE773" s="5"/>
      <c r="FF773" s="5"/>
      <c r="FG773" s="5"/>
      <c r="FH773" s="5"/>
      <c r="FI773" s="5"/>
      <c r="FJ773" s="5"/>
      <c r="FK773" s="5"/>
      <c r="FL773" s="5"/>
      <c r="FM773" s="5"/>
      <c r="FN773" s="5"/>
      <c r="FO773" s="5"/>
      <c r="FP773" s="5"/>
      <c r="FQ773" s="5"/>
      <c r="FR773" s="5"/>
      <c r="FS773" s="5"/>
      <c r="FT773" s="5"/>
      <c r="FU773" s="5"/>
      <c r="FV773" s="5"/>
      <c r="FW773" s="5"/>
      <c r="FX773" s="5"/>
      <c r="FY773" s="5"/>
      <c r="FZ773" s="5"/>
      <c r="GA773" s="5"/>
      <c r="GB773" s="5"/>
      <c r="GC773" s="5"/>
      <c r="GD773" s="5"/>
      <c r="GE773" s="5"/>
      <c r="GF773" s="5"/>
      <c r="GG773" s="5"/>
      <c r="GH773" s="5"/>
      <c r="GI773" s="5"/>
      <c r="GJ773" s="5"/>
      <c r="GK773" s="5"/>
      <c r="GL773" s="5"/>
      <c r="GM773" s="5"/>
      <c r="GN773" s="5"/>
      <c r="GO773" s="5"/>
      <c r="GP773" s="5"/>
      <c r="GQ773" s="5"/>
      <c r="GR773" s="5"/>
      <c r="GS773" s="5"/>
      <c r="GT773" s="5"/>
      <c r="GU773" s="5"/>
      <c r="GV773"/>
      <c r="GW773"/>
      <c r="GX773" s="5">
        <v>0</v>
      </c>
      <c r="GY773" s="5">
        <v>0</v>
      </c>
      <c r="GZ773" s="5" t="inlineStr">
        <is>
          <t xml:space="preserve"/>
        </is>
      </c>
      <c r="HA773" s="5">
        <v>0</v>
      </c>
      <c r="HB773" s="5"/>
      <c r="HC773" s="5"/>
      <c r="HD773" s="5" t="b">
        <v>0</v>
      </c>
      <c r="HE773" s="5">
        <v>0</v>
      </c>
      <c r="HF773" s="5" t="b">
        <v>1</v>
      </c>
      <c r="HG773" s="5">
        <v>0</v>
      </c>
      <c r="HH773" s="5">
        <v>0</v>
      </c>
      <c r="HI773" s="5">
        <v>0</v>
      </c>
      <c r="HJ773" s="5">
        <v>0</v>
      </c>
      <c r="HK773" s="5" t="b">
        <v>0</v>
      </c>
      <c r="HL773" s="5">
        <v>0</v>
      </c>
      <c r="HM773" s="5">
        <v>0</v>
      </c>
      <c r="HN773" s="5" t="s">
        <v>367</v>
      </c>
      <c r="HO773" s="5" t="s">
        <v>360</v>
      </c>
      <c r="HP773" s="5">
        <v>0</v>
      </c>
      <c r="HQ773" s="5">
        <v>0</v>
      </c>
      <c r="HR773" s="5">
        <v>0</v>
      </c>
      <c r="HS773" s="5">
        <v>0</v>
      </c>
      <c r="HT773" s="5" t="b">
        <v>0</v>
      </c>
    </row>
    <row r="774">
      <c r="B774" s="1">
        <v>10420003</v>
      </c>
      <c r="C774" s="5" t="inlineStr">
        <is>
          <t xml:space="preserve">赤霄焚野·计时</t>
        </is>
      </c>
      <c r="D774" s="5" t="inlineStr">
        <is>
          <t xml:space="preserve">skill_104200_3</t>
        </is>
      </c>
      <c r="E774" s="5" t="inlineStr">
        <is>
          <t xml:space="preserve">无</t>
        </is>
      </c>
      <c r="F774" s="5" t="s">
        <v>391</v>
      </c>
      <c r="G774" s="5" t="b">
        <v>0</v>
      </c>
      <c r="H774" s="5" t="b">
        <v>1</v>
      </c>
      <c r="I774" s="5">
        <v>3</v>
      </c>
      <c r="J774" s="5">
        <v>104200</v>
      </c>
      <c r="K774" s="5" t="s">
        <v>350</v>
      </c>
      <c r="L774" s="5">
        <v>10110002</v>
      </c>
      <c r="M774" s="5">
        <v>10420004</v>
      </c>
      <c r="N774" s="5" t="s">
        <v>400</v>
      </c>
      <c r="O774" s="5">
        <v>10202010</v>
      </c>
      <c r="P774" s="5">
        <v>0</v>
      </c>
      <c r="Q774" s="5">
        <v>0</v>
      </c>
      <c r="R774" s="5">
        <v>11</v>
      </c>
      <c r="S774" s="5">
        <v>0</v>
      </c>
      <c r="T774" s="5">
        <v>100</v>
      </c>
      <c r="U774" s="5" t="s">
        <v>364</v>
      </c>
      <c r="V774" s="5">
        <v>0</v>
      </c>
      <c r="W774" s="5">
        <v>0</v>
      </c>
      <c r="X774" s="5" t="inlineStr">
        <is>
          <t xml:space="preserve">目标方向</t>
        </is>
      </c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 t="s">
        <v>381</v>
      </c>
      <c r="AZ774" s="5">
        <v>10800</v>
      </c>
      <c r="BA774" s="5" t="inlineStr">
        <is>
          <t xml:space="preserve">技能效果_调用技能</t>
        </is>
      </c>
      <c r="BB774" s="5" t="inlineStr">
        <is>
          <t xml:space="preserve">敌对</t>
        </is>
      </c>
      <c r="BC774" s="5">
        <v>10000</v>
      </c>
      <c r="BD774" s="5">
        <v>1000</v>
      </c>
      <c r="BE774" s="5" t="inlineStr">
        <is>
          <t xml:space="preserve">全部</t>
        </is>
      </c>
      <c r="BF774" s="5">
        <v>0</v>
      </c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5"/>
      <c r="CT774" s="5"/>
      <c r="CU774" s="5"/>
      <c r="CV774" s="5"/>
      <c r="CW774" s="5">
        <v>10410003</v>
      </c>
      <c r="CX774"/>
      <c r="CY774"/>
      <c r="CZ774" s="5" t="inlineStr">
        <is>
          <t xml:space="preserve">技能效果_调用技能</t>
        </is>
      </c>
      <c r="DA774" s="5" t="inlineStr">
        <is>
          <t xml:space="preserve">敌对</t>
        </is>
      </c>
      <c r="DB774" s="5">
        <v>10000</v>
      </c>
      <c r="DC774" s="5">
        <v>2000</v>
      </c>
      <c r="DD774" s="5" t="inlineStr">
        <is>
          <t xml:space="preserve">全部</t>
        </is>
      </c>
      <c r="DE774" s="5">
        <v>0</v>
      </c>
      <c r="DF774" s="5"/>
      <c r="DG774" s="5"/>
      <c r="DH774" s="5"/>
      <c r="DI774" s="5"/>
      <c r="DJ774" s="5"/>
      <c r="DK774" s="5"/>
      <c r="DL774" s="5"/>
      <c r="DM774" s="5"/>
      <c r="DN774" s="5"/>
      <c r="DO774" s="5"/>
      <c r="DP774" s="5"/>
      <c r="DQ774" s="5"/>
      <c r="DR774" s="5"/>
      <c r="DS774" s="5"/>
      <c r="DT774" s="5"/>
      <c r="DU774" s="5"/>
      <c r="DV774" s="5"/>
      <c r="DW774" s="5"/>
      <c r="DX774" s="5"/>
      <c r="DY774" s="5"/>
      <c r="DZ774" s="5"/>
      <c r="EA774" s="5"/>
      <c r="EB774" s="5"/>
      <c r="EC774" s="5"/>
      <c r="ED774" s="5"/>
      <c r="EE774" s="5"/>
      <c r="EF774" s="5"/>
      <c r="EG774" s="5"/>
      <c r="EH774" s="5"/>
      <c r="EI774" s="5"/>
      <c r="EJ774" s="5"/>
      <c r="EK774" s="5"/>
      <c r="EL774" s="5"/>
      <c r="EM774" s="5"/>
      <c r="EN774" s="5"/>
      <c r="EO774" s="5"/>
      <c r="EP774" s="5"/>
      <c r="EQ774" s="5"/>
      <c r="ER774" s="5"/>
      <c r="ES774" s="5"/>
      <c r="ET774" s="5"/>
      <c r="EU774" s="5"/>
      <c r="EV774" s="5">
        <v>10410003</v>
      </c>
      <c r="EW774"/>
      <c r="EX774"/>
      <c r="EY774" s="5"/>
      <c r="EZ774" s="5"/>
      <c r="FA774" s="5"/>
      <c r="FB774" s="5"/>
      <c r="FC774" s="5"/>
      <c r="FD774" s="5"/>
      <c r="FE774" s="5"/>
      <c r="FF774" s="5"/>
      <c r="FG774" s="5"/>
      <c r="FH774" s="5"/>
      <c r="FI774" s="5"/>
      <c r="FJ774" s="5"/>
      <c r="FK774" s="5"/>
      <c r="FL774" s="5"/>
      <c r="FM774" s="5"/>
      <c r="FN774" s="5"/>
      <c r="FO774" s="5"/>
      <c r="FP774" s="5"/>
      <c r="FQ774" s="5"/>
      <c r="FR774" s="5"/>
      <c r="FS774" s="5"/>
      <c r="FT774" s="5"/>
      <c r="FU774" s="5"/>
      <c r="FV774" s="5"/>
      <c r="FW774" s="5"/>
      <c r="FX774" s="5"/>
      <c r="FY774" s="5"/>
      <c r="FZ774" s="5"/>
      <c r="GA774" s="5"/>
      <c r="GB774" s="5"/>
      <c r="GC774" s="5"/>
      <c r="GD774" s="5"/>
      <c r="GE774" s="5"/>
      <c r="GF774" s="5"/>
      <c r="GG774" s="5"/>
      <c r="GH774" s="5"/>
      <c r="GI774" s="5"/>
      <c r="GJ774" s="5"/>
      <c r="GK774" s="5"/>
      <c r="GL774" s="5"/>
      <c r="GM774" s="5"/>
      <c r="GN774" s="5"/>
      <c r="GO774" s="5"/>
      <c r="GP774" s="5"/>
      <c r="GQ774" s="5"/>
      <c r="GR774" s="5"/>
      <c r="GS774" s="5"/>
      <c r="GT774" s="5"/>
      <c r="GU774" s="5"/>
      <c r="GV774"/>
      <c r="GW774"/>
      <c r="GX774" s="5">
        <v>0</v>
      </c>
      <c r="GY774" s="5">
        <v>0</v>
      </c>
      <c r="GZ774" s="5" t="inlineStr">
        <is>
          <t xml:space="preserve"/>
        </is>
      </c>
      <c r="HA774" s="5">
        <v>0</v>
      </c>
      <c r="HB774" s="5">
        <v>0</v>
      </c>
      <c r="HC774" s="5" t="s">
        <v>366</v>
      </c>
      <c r="HD774" s="5" t="b">
        <v>1</v>
      </c>
      <c r="HE774" s="5">
        <v>0</v>
      </c>
      <c r="HF774" s="5" t="b">
        <v>0</v>
      </c>
      <c r="HG774" s="5">
        <v>0</v>
      </c>
      <c r="HH774" s="5">
        <v>0</v>
      </c>
      <c r="HI774" s="5">
        <v>0</v>
      </c>
      <c r="HJ774" s="5">
        <v>0</v>
      </c>
      <c r="HK774" s="5" t="b">
        <v>0</v>
      </c>
      <c r="HL774" s="5">
        <v>0</v>
      </c>
      <c r="HM774" s="5">
        <v>10001</v>
      </c>
      <c r="HN774" s="5" t="s">
        <v>367</v>
      </c>
      <c r="HO774" s="5" t="s">
        <v>360</v>
      </c>
      <c r="HP774" s="5">
        <v>0</v>
      </c>
      <c r="HQ774" s="5">
        <v>0</v>
      </c>
      <c r="HR774" s="5">
        <v>0</v>
      </c>
      <c r="HS774" s="5">
        <v>0</v>
      </c>
      <c r="HT774" s="5" t="b">
        <v>0</v>
      </c>
    </row>
    <row r="775">
      <c r="B775" s="1">
        <v>10430003</v>
      </c>
      <c r="C775" s="5" t="inlineStr">
        <is>
          <t xml:space="preserve">星罗分锋·分段104300</t>
        </is>
      </c>
      <c r="D775" s="5" t="inlineStr">
        <is>
          <t xml:space="preserve">skill_104300_3</t>
        </is>
      </c>
      <c r="E775" s="5" t="s">
        <v>360</v>
      </c>
      <c r="F775" s="5" t="s">
        <v>349</v>
      </c>
      <c r="G775" s="5" t="b">
        <v>0</v>
      </c>
      <c r="H775" s="5" t="b">
        <v>1</v>
      </c>
      <c r="I775" s="5">
        <v>3</v>
      </c>
      <c r="J775" s="5">
        <v>104300</v>
      </c>
      <c r="K775" s="5" t="s">
        <v>350</v>
      </c>
      <c r="L775" s="5">
        <v>0</v>
      </c>
      <c r="M775" s="5">
        <v>10430004</v>
      </c>
      <c r="N775" s="5" t="s">
        <v>535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/>
      <c r="V775" s="5">
        <v>0</v>
      </c>
      <c r="W775" s="5">
        <v>0</v>
      </c>
      <c r="X775" s="5" t="inlineStr">
        <is>
          <t xml:space="preserve">目标方向</t>
        </is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 t="s">
        <v>356</v>
      </c>
      <c r="AZ775" s="5">
        <v>10800</v>
      </c>
      <c r="BA775" s="5" t="inlineStr">
        <is>
          <t xml:space="preserve">技能效果_调用技能</t>
        </is>
      </c>
      <c r="BB775" s="5" t="inlineStr">
        <is>
          <t xml:space="preserve">敌对</t>
        </is>
      </c>
      <c r="BC775" s="5">
        <v>10000</v>
      </c>
      <c r="BD775" s="5">
        <v>0</v>
      </c>
      <c r="BE775" s="5" t="inlineStr">
        <is>
          <t xml:space="preserve">全部</t>
        </is>
      </c>
      <c r="BF775" s="5">
        <v>0</v>
      </c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5"/>
      <c r="CT775" s="5"/>
      <c r="CU775" s="5"/>
      <c r="CV775" s="5"/>
      <c r="CW775" s="5">
        <v>10440003</v>
      </c>
      <c r="CX775"/>
      <c r="CY775"/>
      <c r="CZ775" s="5" t="inlineStr">
        <is>
          <t xml:space="preserve">技能效果_调用技能</t>
        </is>
      </c>
      <c r="DA775" s="5" t="inlineStr">
        <is>
          <t xml:space="preserve">敌对</t>
        </is>
      </c>
      <c r="DB775" s="5">
        <v>10000</v>
      </c>
      <c r="DC775" s="5">
        <v>400</v>
      </c>
      <c r="DD775" s="5" t="inlineStr">
        <is>
          <t xml:space="preserve">全部</t>
        </is>
      </c>
      <c r="DE775" s="5">
        <v>0</v>
      </c>
      <c r="DF775" s="5"/>
      <c r="DG775" s="5"/>
      <c r="DH775" s="5"/>
      <c r="DI775" s="5"/>
      <c r="DJ775" s="5"/>
      <c r="DK775" s="5"/>
      <c r="DL775" s="5"/>
      <c r="DM775" s="5"/>
      <c r="DN775" s="5"/>
      <c r="DO775" s="5"/>
      <c r="DP775" s="5"/>
      <c r="DQ775" s="5"/>
      <c r="DR775" s="5"/>
      <c r="DS775" s="5"/>
      <c r="DT775" s="5"/>
      <c r="DU775" s="5"/>
      <c r="DV775" s="5"/>
      <c r="DW775" s="5"/>
      <c r="DX775" s="5"/>
      <c r="DY775" s="5"/>
      <c r="DZ775" s="5"/>
      <c r="EA775" s="5"/>
      <c r="EB775" s="5"/>
      <c r="EC775" s="5"/>
      <c r="ED775" s="5"/>
      <c r="EE775" s="5"/>
      <c r="EF775" s="5"/>
      <c r="EG775" s="5"/>
      <c r="EH775" s="5"/>
      <c r="EI775" s="5"/>
      <c r="EJ775" s="5"/>
      <c r="EK775" s="5"/>
      <c r="EL775" s="5"/>
      <c r="EM775" s="5"/>
      <c r="EN775" s="5"/>
      <c r="EO775" s="5"/>
      <c r="EP775" s="5"/>
      <c r="EQ775" s="5"/>
      <c r="ER775" s="5"/>
      <c r="ES775" s="5"/>
      <c r="ET775" s="5"/>
      <c r="EU775" s="5"/>
      <c r="EV775" s="5">
        <v>10440003</v>
      </c>
      <c r="EW775"/>
      <c r="EX775"/>
      <c r="EY775" s="5"/>
      <c r="EZ775" s="5"/>
      <c r="FA775" s="5"/>
      <c r="FB775" s="5"/>
      <c r="FC775" s="5"/>
      <c r="FD775" s="5"/>
      <c r="FE775" s="5"/>
      <c r="FF775" s="5"/>
      <c r="FG775" s="5"/>
      <c r="FH775" s="5"/>
      <c r="FI775" s="5"/>
      <c r="FJ775" s="5"/>
      <c r="FK775" s="5"/>
      <c r="FL775" s="5"/>
      <c r="FM775" s="5"/>
      <c r="FN775" s="5"/>
      <c r="FO775" s="5"/>
      <c r="FP775" s="5"/>
      <c r="FQ775" s="5"/>
      <c r="FR775" s="5"/>
      <c r="FS775" s="5"/>
      <c r="FT775" s="5"/>
      <c r="FU775" s="5"/>
      <c r="FV775" s="5"/>
      <c r="FW775" s="5"/>
      <c r="FX775" s="5"/>
      <c r="FY775" s="5"/>
      <c r="FZ775" s="5"/>
      <c r="GA775" s="5"/>
      <c r="GB775" s="5"/>
      <c r="GC775" s="5"/>
      <c r="GD775" s="5"/>
      <c r="GE775" s="5"/>
      <c r="GF775" s="5"/>
      <c r="GG775" s="5"/>
      <c r="GH775" s="5"/>
      <c r="GI775" s="5"/>
      <c r="GJ775" s="5"/>
      <c r="GK775" s="5"/>
      <c r="GL775" s="5"/>
      <c r="GM775" s="5"/>
      <c r="GN775" s="5"/>
      <c r="GO775" s="5"/>
      <c r="GP775" s="5"/>
      <c r="GQ775" s="5"/>
      <c r="GR775" s="5"/>
      <c r="GS775" s="5"/>
      <c r="GT775" s="5"/>
      <c r="GU775" s="5"/>
      <c r="GV775"/>
      <c r="GW775"/>
      <c r="GX775" s="5">
        <v>0</v>
      </c>
      <c r="GY775" s="5">
        <v>0</v>
      </c>
      <c r="GZ775" s="5" t="inlineStr">
        <is>
          <t xml:space="preserve"/>
        </is>
      </c>
      <c r="HA775" s="5">
        <v>0</v>
      </c>
      <c r="HB775" s="5"/>
      <c r="HC775" s="5"/>
      <c r="HD775" s="5" t="b">
        <v>0</v>
      </c>
      <c r="HE775" s="5">
        <v>0</v>
      </c>
      <c r="HF775" s="5" t="b">
        <v>1</v>
      </c>
      <c r="HG775" s="5">
        <v>0</v>
      </c>
      <c r="HH775" s="5">
        <v>0</v>
      </c>
      <c r="HI775" s="5">
        <v>0</v>
      </c>
      <c r="HJ775" s="5">
        <v>0</v>
      </c>
      <c r="HK775" s="5" t="b">
        <v>0</v>
      </c>
      <c r="HL775" s="5">
        <v>0</v>
      </c>
      <c r="HM775" s="5">
        <v>0</v>
      </c>
      <c r="HN775" s="5" t="s">
        <v>367</v>
      </c>
      <c r="HO775" s="5" t="s">
        <v>360</v>
      </c>
      <c r="HP775" s="5">
        <v>0</v>
      </c>
      <c r="HQ775" s="5">
        <v>0</v>
      </c>
      <c r="HR775" s="5">
        <v>0</v>
      </c>
      <c r="HS775" s="5">
        <v>0</v>
      </c>
      <c r="HT775" s="5" t="b">
        <v>0</v>
      </c>
    </row>
    <row r="776">
      <c r="B776" s="1">
        <v>10440003</v>
      </c>
      <c r="C776" s="5" t="inlineStr">
        <is>
          <t xml:space="preserve">星罗分锋·分段104400</t>
        </is>
      </c>
      <c r="D776" s="5" t="inlineStr">
        <is>
          <t xml:space="preserve">skill_104400_3</t>
        </is>
      </c>
      <c r="E776" s="5" t="s">
        <v>360</v>
      </c>
      <c r="F776" s="5" t="s">
        <v>349</v>
      </c>
      <c r="G776" s="5" t="b">
        <v>0</v>
      </c>
      <c r="H776" s="5" t="b">
        <v>1</v>
      </c>
      <c r="I776" s="5">
        <v>3</v>
      </c>
      <c r="J776" s="5">
        <v>104400</v>
      </c>
      <c r="K776" s="5" t="s">
        <v>350</v>
      </c>
      <c r="L776" s="5">
        <v>0</v>
      </c>
      <c r="M776" s="5">
        <v>10440004</v>
      </c>
      <c r="N776" s="5" t="s">
        <v>535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/>
      <c r="V776" s="5">
        <v>0</v>
      </c>
      <c r="W776" s="5">
        <v>0</v>
      </c>
      <c r="X776" s="5" t="inlineStr">
        <is>
          <t xml:space="preserve">目标方向</t>
        </is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 t="s">
        <v>356</v>
      </c>
      <c r="AZ776" s="5">
        <v>10800</v>
      </c>
      <c r="BA776" s="5" t="inlineStr">
        <is>
          <t xml:space="preserve">技能效果_调用技能</t>
        </is>
      </c>
      <c r="BB776" s="5" t="inlineStr">
        <is>
          <t xml:space="preserve">敌对</t>
        </is>
      </c>
      <c r="BC776" s="5">
        <v>10000</v>
      </c>
      <c r="BD776" s="5">
        <v>0</v>
      </c>
      <c r="BE776" s="5" t="inlineStr">
        <is>
          <t xml:space="preserve">全部</t>
        </is>
      </c>
      <c r="BF776" s="5">
        <v>0</v>
      </c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5"/>
      <c r="CT776" s="5"/>
      <c r="CU776" s="5"/>
      <c r="CV776" s="5"/>
      <c r="CW776" s="5">
        <v>10450003</v>
      </c>
      <c r="CX776"/>
      <c r="CY776"/>
      <c r="CZ776" s="5" t="inlineStr">
        <is>
          <t xml:space="preserve">技能效果_调用技能</t>
        </is>
      </c>
      <c r="DA776" s="5" t="inlineStr">
        <is>
          <t xml:space="preserve">敌对</t>
        </is>
      </c>
      <c r="DB776" s="5">
        <v>10000</v>
      </c>
      <c r="DC776" s="5">
        <v>200</v>
      </c>
      <c r="DD776" s="5" t="inlineStr">
        <is>
          <t xml:space="preserve">全部</t>
        </is>
      </c>
      <c r="DE776" s="5">
        <v>0</v>
      </c>
      <c r="DF776" s="5"/>
      <c r="DG776" s="5"/>
      <c r="DH776" s="5"/>
      <c r="DI776" s="5"/>
      <c r="DJ776" s="5"/>
      <c r="DK776" s="5"/>
      <c r="DL776" s="5"/>
      <c r="DM776" s="5"/>
      <c r="DN776" s="5"/>
      <c r="DO776" s="5"/>
      <c r="DP776" s="5"/>
      <c r="DQ776" s="5"/>
      <c r="DR776" s="5"/>
      <c r="DS776" s="5"/>
      <c r="DT776" s="5"/>
      <c r="DU776" s="5"/>
      <c r="DV776" s="5"/>
      <c r="DW776" s="5"/>
      <c r="DX776" s="5"/>
      <c r="DY776" s="5"/>
      <c r="DZ776" s="5"/>
      <c r="EA776" s="5"/>
      <c r="EB776" s="5"/>
      <c r="EC776" s="5"/>
      <c r="ED776" s="5"/>
      <c r="EE776" s="5"/>
      <c r="EF776" s="5"/>
      <c r="EG776" s="5"/>
      <c r="EH776" s="5"/>
      <c r="EI776" s="5"/>
      <c r="EJ776" s="5"/>
      <c r="EK776" s="5"/>
      <c r="EL776" s="5"/>
      <c r="EM776" s="5"/>
      <c r="EN776" s="5"/>
      <c r="EO776" s="5"/>
      <c r="EP776" s="5"/>
      <c r="EQ776" s="5"/>
      <c r="ER776" s="5"/>
      <c r="ES776" s="5"/>
      <c r="ET776" s="5"/>
      <c r="EU776" s="5"/>
      <c r="EV776" s="5">
        <v>10450003</v>
      </c>
      <c r="EW776"/>
      <c r="EX776"/>
      <c r="EY776" s="5"/>
      <c r="EZ776" s="5"/>
      <c r="FA776" s="5"/>
      <c r="FB776" s="5"/>
      <c r="FC776" s="5"/>
      <c r="FD776" s="5"/>
      <c r="FE776" s="5"/>
      <c r="FF776" s="5"/>
      <c r="FG776" s="5"/>
      <c r="FH776" s="5"/>
      <c r="FI776" s="5"/>
      <c r="FJ776" s="5"/>
      <c r="FK776" s="5"/>
      <c r="FL776" s="5"/>
      <c r="FM776" s="5"/>
      <c r="FN776" s="5"/>
      <c r="FO776" s="5"/>
      <c r="FP776" s="5"/>
      <c r="FQ776" s="5"/>
      <c r="FR776" s="5"/>
      <c r="FS776" s="5"/>
      <c r="FT776" s="5"/>
      <c r="FU776" s="5"/>
      <c r="FV776" s="5"/>
      <c r="FW776" s="5"/>
      <c r="FX776" s="5"/>
      <c r="FY776" s="5"/>
      <c r="FZ776" s="5"/>
      <c r="GA776" s="5"/>
      <c r="GB776" s="5"/>
      <c r="GC776" s="5"/>
      <c r="GD776" s="5"/>
      <c r="GE776" s="5"/>
      <c r="GF776" s="5"/>
      <c r="GG776" s="5"/>
      <c r="GH776" s="5"/>
      <c r="GI776" s="5"/>
      <c r="GJ776" s="5"/>
      <c r="GK776" s="5"/>
      <c r="GL776" s="5"/>
      <c r="GM776" s="5"/>
      <c r="GN776" s="5"/>
      <c r="GO776" s="5"/>
      <c r="GP776" s="5"/>
      <c r="GQ776" s="5"/>
      <c r="GR776" s="5"/>
      <c r="GS776" s="5"/>
      <c r="GT776" s="5"/>
      <c r="GU776" s="5"/>
      <c r="GV776"/>
      <c r="GW776"/>
      <c r="GX776" s="5">
        <v>0</v>
      </c>
      <c r="GY776" s="5">
        <v>0</v>
      </c>
      <c r="GZ776" s="5" t="inlineStr">
        <is>
          <t xml:space="preserve"/>
        </is>
      </c>
      <c r="HA776" s="5">
        <v>0</v>
      </c>
      <c r="HB776" s="5"/>
      <c r="HC776" s="5"/>
      <c r="HD776" s="5" t="b">
        <v>0</v>
      </c>
      <c r="HE776" s="5">
        <v>0</v>
      </c>
      <c r="HF776" s="5" t="b">
        <v>1</v>
      </c>
      <c r="HG776" s="5">
        <v>0</v>
      </c>
      <c r="HH776" s="5">
        <v>0</v>
      </c>
      <c r="HI776" s="5">
        <v>0</v>
      </c>
      <c r="HJ776" s="5">
        <v>0</v>
      </c>
      <c r="HK776" s="5" t="b">
        <v>0</v>
      </c>
      <c r="HL776" s="5">
        <v>0</v>
      </c>
      <c r="HM776" s="5">
        <v>0</v>
      </c>
      <c r="HN776" s="5" t="s">
        <v>367</v>
      </c>
      <c r="HO776" s="5" t="s">
        <v>360</v>
      </c>
      <c r="HP776" s="5">
        <v>0</v>
      </c>
      <c r="HQ776" s="5">
        <v>0</v>
      </c>
      <c r="HR776" s="5">
        <v>0</v>
      </c>
      <c r="HS776" s="5">
        <v>0</v>
      </c>
      <c r="HT776" s="5" t="b">
        <v>0</v>
      </c>
    </row>
    <row r="777">
      <c r="B777" s="1">
        <v>10450003</v>
      </c>
      <c r="C777" s="5" t="inlineStr">
        <is>
          <t xml:space="preserve">星罗分锋·分段104500</t>
        </is>
      </c>
      <c r="D777" s="5" t="inlineStr">
        <is>
          <t xml:space="preserve">skill_104500_3</t>
        </is>
      </c>
      <c r="E777" s="5" t="s">
        <v>360</v>
      </c>
      <c r="F777" s="5" t="s">
        <v>349</v>
      </c>
      <c r="G777" s="5" t="b">
        <v>0</v>
      </c>
      <c r="H777" s="5" t="b">
        <v>1</v>
      </c>
      <c r="I777" s="5">
        <v>3</v>
      </c>
      <c r="J777" s="5">
        <v>104500</v>
      </c>
      <c r="K777" s="5" t="s">
        <v>350</v>
      </c>
      <c r="L777" s="5">
        <v>0</v>
      </c>
      <c r="M777" s="5">
        <v>10450004</v>
      </c>
      <c r="N777" s="5" t="s">
        <v>535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/>
      <c r="V777" s="5">
        <v>0</v>
      </c>
      <c r="W777" s="5">
        <v>0</v>
      </c>
      <c r="X777" s="5" t="inlineStr">
        <is>
          <t xml:space="preserve">目标方向</t>
        </is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 t="s">
        <v>356</v>
      </c>
      <c r="AZ777" s="5">
        <v>10800</v>
      </c>
      <c r="BA777" s="5" t="inlineStr">
        <is>
          <t xml:space="preserve">技能效果_调用技能</t>
        </is>
      </c>
      <c r="BB777" s="5" t="inlineStr">
        <is>
          <t xml:space="preserve">敌对</t>
        </is>
      </c>
      <c r="BC777" s="5">
        <v>10000</v>
      </c>
      <c r="BD777" s="5">
        <v>0</v>
      </c>
      <c r="BE777" s="5" t="inlineStr">
        <is>
          <t xml:space="preserve">全部</t>
        </is>
      </c>
      <c r="BF777" s="5">
        <v>0</v>
      </c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5"/>
      <c r="CT777" s="5"/>
      <c r="CU777" s="5"/>
      <c r="CV777" s="5"/>
      <c r="CW777" s="5">
        <v>10330003</v>
      </c>
      <c r="CX777"/>
      <c r="CY777"/>
      <c r="CZ777" s="5" t="inlineStr">
        <is>
          <t xml:space="preserve">技能效果_调用技能</t>
        </is>
      </c>
      <c r="DA777" s="5" t="inlineStr">
        <is>
          <t xml:space="preserve">敌对</t>
        </is>
      </c>
      <c r="DB777" s="5">
        <v>10000</v>
      </c>
      <c r="DC777" s="5">
        <v>100</v>
      </c>
      <c r="DD777" s="5" t="inlineStr">
        <is>
          <t xml:space="preserve">全部</t>
        </is>
      </c>
      <c r="DE777" s="5">
        <v>0</v>
      </c>
      <c r="DF777" s="5"/>
      <c r="DG777" s="5"/>
      <c r="DH777" s="5"/>
      <c r="DI777" s="5"/>
      <c r="DJ777" s="5"/>
      <c r="DK777" s="5"/>
      <c r="DL777" s="5"/>
      <c r="DM777" s="5"/>
      <c r="DN777" s="5"/>
      <c r="DO777" s="5"/>
      <c r="DP777" s="5"/>
      <c r="DQ777" s="5"/>
      <c r="DR777" s="5"/>
      <c r="DS777" s="5"/>
      <c r="DT777" s="5"/>
      <c r="DU777" s="5"/>
      <c r="DV777" s="5"/>
      <c r="DW777" s="5"/>
      <c r="DX777" s="5"/>
      <c r="DY777" s="5"/>
      <c r="DZ777" s="5"/>
      <c r="EA777" s="5"/>
      <c r="EB777" s="5"/>
      <c r="EC777" s="5"/>
      <c r="ED777" s="5"/>
      <c r="EE777" s="5"/>
      <c r="EF777" s="5"/>
      <c r="EG777" s="5"/>
      <c r="EH777" s="5"/>
      <c r="EI777" s="5"/>
      <c r="EJ777" s="5"/>
      <c r="EK777" s="5"/>
      <c r="EL777" s="5"/>
      <c r="EM777" s="5"/>
      <c r="EN777" s="5"/>
      <c r="EO777" s="5"/>
      <c r="EP777" s="5"/>
      <c r="EQ777" s="5"/>
      <c r="ER777" s="5"/>
      <c r="ES777" s="5"/>
      <c r="ET777" s="5"/>
      <c r="EU777" s="5"/>
      <c r="EV777" s="5">
        <v>10330003</v>
      </c>
      <c r="EW777"/>
      <c r="EX777"/>
      <c r="EY777" s="5"/>
      <c r="EZ777" s="5"/>
      <c r="FA777" s="5"/>
      <c r="FB777" s="5"/>
      <c r="FC777" s="5"/>
      <c r="FD777" s="5"/>
      <c r="FE777" s="5"/>
      <c r="FF777" s="5"/>
      <c r="FG777" s="5"/>
      <c r="FH777" s="5"/>
      <c r="FI777" s="5"/>
      <c r="FJ777" s="5"/>
      <c r="FK777" s="5"/>
      <c r="FL777" s="5"/>
      <c r="FM777" s="5"/>
      <c r="FN777" s="5"/>
      <c r="FO777" s="5"/>
      <c r="FP777" s="5"/>
      <c r="FQ777" s="5"/>
      <c r="FR777" s="5"/>
      <c r="FS777" s="5"/>
      <c r="FT777" s="5"/>
      <c r="FU777" s="5"/>
      <c r="FV777" s="5"/>
      <c r="FW777" s="5"/>
      <c r="FX777" s="5"/>
      <c r="FY777" s="5"/>
      <c r="FZ777" s="5"/>
      <c r="GA777" s="5"/>
      <c r="GB777" s="5"/>
      <c r="GC777" s="5"/>
      <c r="GD777" s="5"/>
      <c r="GE777" s="5"/>
      <c r="GF777" s="5"/>
      <c r="GG777" s="5"/>
      <c r="GH777" s="5"/>
      <c r="GI777" s="5"/>
      <c r="GJ777" s="5"/>
      <c r="GK777" s="5"/>
      <c r="GL777" s="5"/>
      <c r="GM777" s="5"/>
      <c r="GN777" s="5"/>
      <c r="GO777" s="5"/>
      <c r="GP777" s="5"/>
      <c r="GQ777" s="5"/>
      <c r="GR777" s="5"/>
      <c r="GS777" s="5"/>
      <c r="GT777" s="5"/>
      <c r="GU777" s="5"/>
      <c r="GV777"/>
      <c r="GW777"/>
      <c r="GX777" s="5">
        <v>0</v>
      </c>
      <c r="GY777" s="5">
        <v>0</v>
      </c>
      <c r="GZ777" s="5" t="inlineStr">
        <is>
          <t xml:space="preserve"/>
        </is>
      </c>
      <c r="HA777" s="5">
        <v>0</v>
      </c>
      <c r="HB777" s="5"/>
      <c r="HC777" s="5"/>
      <c r="HD777" s="5" t="b">
        <v>0</v>
      </c>
      <c r="HE777" s="5">
        <v>0</v>
      </c>
      <c r="HF777" s="5" t="b">
        <v>1</v>
      </c>
      <c r="HG777" s="5">
        <v>0</v>
      </c>
      <c r="HH777" s="5">
        <v>0</v>
      </c>
      <c r="HI777" s="5">
        <v>0</v>
      </c>
      <c r="HJ777" s="5">
        <v>0</v>
      </c>
      <c r="HK777" s="5" t="b">
        <v>0</v>
      </c>
      <c r="HL777" s="5">
        <v>0</v>
      </c>
      <c r="HM777" s="5">
        <v>0</v>
      </c>
      <c r="HN777" s="5" t="s">
        <v>367</v>
      </c>
      <c r="HO777" s="5" t="s">
        <v>360</v>
      </c>
      <c r="HP777" s="5">
        <v>0</v>
      </c>
      <c r="HQ777" s="5">
        <v>0</v>
      </c>
      <c r="HR777" s="5">
        <v>0</v>
      </c>
      <c r="HS777" s="5">
        <v>0</v>
      </c>
      <c r="HT777" s="5" t="b">
        <v>0</v>
      </c>
    </row>
    <row r="778">
      <c r="B778" s="1">
        <v>10420004</v>
      </c>
      <c r="C778" s="5" t="inlineStr">
        <is>
          <t xml:space="preserve">赤霄焚野·计时</t>
        </is>
      </c>
      <c r="D778" s="5" t="inlineStr">
        <is>
          <t xml:space="preserve">skill_104200_4</t>
        </is>
      </c>
      <c r="E778" s="5" t="inlineStr">
        <is>
          <t xml:space="preserve">无</t>
        </is>
      </c>
      <c r="F778" s="5" t="s">
        <v>391</v>
      </c>
      <c r="G778" s="5" t="b">
        <v>0</v>
      </c>
      <c r="H778" s="5" t="b">
        <v>1</v>
      </c>
      <c r="I778" s="5">
        <v>4</v>
      </c>
      <c r="J778" s="5">
        <v>104200</v>
      </c>
      <c r="K778" s="5" t="s">
        <v>350</v>
      </c>
      <c r="L778" s="5">
        <v>10110003</v>
      </c>
      <c r="M778" s="5">
        <v>10420005</v>
      </c>
      <c r="N778" s="5" t="s">
        <v>400</v>
      </c>
      <c r="O778" s="5">
        <v>10202010</v>
      </c>
      <c r="P778" s="5">
        <v>0</v>
      </c>
      <c r="Q778" s="5">
        <v>0</v>
      </c>
      <c r="R778" s="5">
        <v>16</v>
      </c>
      <c r="S778" s="5">
        <v>0</v>
      </c>
      <c r="T778" s="5">
        <v>100</v>
      </c>
      <c r="U778" s="5" t="s">
        <v>364</v>
      </c>
      <c r="V778" s="5">
        <v>0</v>
      </c>
      <c r="W778" s="5">
        <v>0</v>
      </c>
      <c r="X778" s="5" t="inlineStr">
        <is>
          <t xml:space="preserve">目标方向</t>
        </is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 t="s">
        <v>381</v>
      </c>
      <c r="AZ778" s="5">
        <v>11200</v>
      </c>
      <c r="BA778" s="5" t="inlineStr">
        <is>
          <t xml:space="preserve">技能效果_调用技能</t>
        </is>
      </c>
      <c r="BB778" s="5" t="inlineStr">
        <is>
          <t xml:space="preserve">敌对</t>
        </is>
      </c>
      <c r="BC778" s="5">
        <v>10000</v>
      </c>
      <c r="BD778" s="5">
        <v>1000</v>
      </c>
      <c r="BE778" s="5" t="inlineStr">
        <is>
          <t xml:space="preserve">全部</t>
        </is>
      </c>
      <c r="BF778" s="5">
        <v>0</v>
      </c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5"/>
      <c r="CT778" s="5"/>
      <c r="CU778" s="5"/>
      <c r="CV778" s="5"/>
      <c r="CW778" s="5">
        <v>10410004</v>
      </c>
      <c r="CX778"/>
      <c r="CY778"/>
      <c r="CZ778" s="5" t="inlineStr">
        <is>
          <t xml:space="preserve">技能效果_调用技能</t>
        </is>
      </c>
      <c r="DA778" s="5" t="inlineStr">
        <is>
          <t xml:space="preserve">敌对</t>
        </is>
      </c>
      <c r="DB778" s="5">
        <v>10000</v>
      </c>
      <c r="DC778" s="5">
        <v>2000</v>
      </c>
      <c r="DD778" s="5" t="inlineStr">
        <is>
          <t xml:space="preserve">全部</t>
        </is>
      </c>
      <c r="DE778" s="5">
        <v>0</v>
      </c>
      <c r="DF778" s="5"/>
      <c r="DG778" s="5"/>
      <c r="DH778" s="5"/>
      <c r="DI778" s="5"/>
      <c r="DJ778" s="5"/>
      <c r="DK778" s="5"/>
      <c r="DL778" s="5"/>
      <c r="DM778" s="5"/>
      <c r="DN778" s="5"/>
      <c r="DO778" s="5"/>
      <c r="DP778" s="5"/>
      <c r="DQ778" s="5"/>
      <c r="DR778" s="5"/>
      <c r="DS778" s="5"/>
      <c r="DT778" s="5"/>
      <c r="DU778" s="5"/>
      <c r="DV778" s="5"/>
      <c r="DW778" s="5"/>
      <c r="DX778" s="5"/>
      <c r="DY778" s="5"/>
      <c r="DZ778" s="5"/>
      <c r="EA778" s="5"/>
      <c r="EB778" s="5"/>
      <c r="EC778" s="5"/>
      <c r="ED778" s="5"/>
      <c r="EE778" s="5"/>
      <c r="EF778" s="5"/>
      <c r="EG778" s="5"/>
      <c r="EH778" s="5"/>
      <c r="EI778" s="5"/>
      <c r="EJ778" s="5"/>
      <c r="EK778" s="5"/>
      <c r="EL778" s="5"/>
      <c r="EM778" s="5"/>
      <c r="EN778" s="5"/>
      <c r="EO778" s="5"/>
      <c r="EP778" s="5"/>
      <c r="EQ778" s="5"/>
      <c r="ER778" s="5"/>
      <c r="ES778" s="5"/>
      <c r="ET778" s="5"/>
      <c r="EU778" s="5"/>
      <c r="EV778" s="5">
        <v>10410004</v>
      </c>
      <c r="EW778"/>
      <c r="EX778"/>
      <c r="EY778" s="5"/>
      <c r="EZ778" s="5"/>
      <c r="FA778" s="5"/>
      <c r="FB778" s="5"/>
      <c r="FC778" s="5"/>
      <c r="FD778" s="5"/>
      <c r="FE778" s="5"/>
      <c r="FF778" s="5"/>
      <c r="FG778" s="5"/>
      <c r="FH778" s="5"/>
      <c r="FI778" s="5"/>
      <c r="FJ778" s="5"/>
      <c r="FK778" s="5"/>
      <c r="FL778" s="5"/>
      <c r="FM778" s="5"/>
      <c r="FN778" s="5"/>
      <c r="FO778" s="5"/>
      <c r="FP778" s="5"/>
      <c r="FQ778" s="5"/>
      <c r="FR778" s="5"/>
      <c r="FS778" s="5"/>
      <c r="FT778" s="5"/>
      <c r="FU778" s="5"/>
      <c r="FV778" s="5"/>
      <c r="FW778" s="5"/>
      <c r="FX778" s="5"/>
      <c r="FY778" s="5"/>
      <c r="FZ778" s="5"/>
      <c r="GA778" s="5"/>
      <c r="GB778" s="5"/>
      <c r="GC778" s="5"/>
      <c r="GD778" s="5"/>
      <c r="GE778" s="5"/>
      <c r="GF778" s="5"/>
      <c r="GG778" s="5"/>
      <c r="GH778" s="5"/>
      <c r="GI778" s="5"/>
      <c r="GJ778" s="5"/>
      <c r="GK778" s="5"/>
      <c r="GL778" s="5"/>
      <c r="GM778" s="5"/>
      <c r="GN778" s="5"/>
      <c r="GO778" s="5"/>
      <c r="GP778" s="5"/>
      <c r="GQ778" s="5"/>
      <c r="GR778" s="5"/>
      <c r="GS778" s="5"/>
      <c r="GT778" s="5"/>
      <c r="GU778" s="5"/>
      <c r="GV778"/>
      <c r="GW778"/>
      <c r="GX778" s="5">
        <v>0</v>
      </c>
      <c r="GY778" s="5">
        <v>0</v>
      </c>
      <c r="GZ778" s="5" t="inlineStr">
        <is>
          <t xml:space="preserve"/>
        </is>
      </c>
      <c r="HA778" s="5">
        <v>0</v>
      </c>
      <c r="HB778" s="5">
        <v>0</v>
      </c>
      <c r="HC778" s="5" t="s">
        <v>366</v>
      </c>
      <c r="HD778" s="5" t="b">
        <v>1</v>
      </c>
      <c r="HE778" s="5">
        <v>0</v>
      </c>
      <c r="HF778" s="5" t="b">
        <v>0</v>
      </c>
      <c r="HG778" s="5">
        <v>0</v>
      </c>
      <c r="HH778" s="5">
        <v>0</v>
      </c>
      <c r="HI778" s="5">
        <v>0</v>
      </c>
      <c r="HJ778" s="5">
        <v>0</v>
      </c>
      <c r="HK778" s="5" t="b">
        <v>0</v>
      </c>
      <c r="HL778" s="5">
        <v>0</v>
      </c>
      <c r="HM778" s="5">
        <v>10001</v>
      </c>
      <c r="HN778" s="5" t="s">
        <v>367</v>
      </c>
      <c r="HO778" s="5" t="s">
        <v>360</v>
      </c>
      <c r="HP778" s="5">
        <v>0</v>
      </c>
      <c r="HQ778" s="5">
        <v>0</v>
      </c>
      <c r="HR778" s="5">
        <v>0</v>
      </c>
      <c r="HS778" s="5">
        <v>0</v>
      </c>
      <c r="HT778" s="5" t="b">
        <v>0</v>
      </c>
    </row>
    <row r="779">
      <c r="B779" s="1">
        <v>10430004</v>
      </c>
      <c r="C779" s="5" t="inlineStr">
        <is>
          <t xml:space="preserve">星罗分锋·分段104300</t>
        </is>
      </c>
      <c r="D779" s="5" t="inlineStr">
        <is>
          <t xml:space="preserve">skill_104300_4</t>
        </is>
      </c>
      <c r="E779" s="5" t="s">
        <v>360</v>
      </c>
      <c r="F779" s="5" t="s">
        <v>349</v>
      </c>
      <c r="G779" s="5" t="b">
        <v>0</v>
      </c>
      <c r="H779" s="5" t="b">
        <v>1</v>
      </c>
      <c r="I779" s="5">
        <v>4</v>
      </c>
      <c r="J779" s="5">
        <v>104300</v>
      </c>
      <c r="K779" s="5" t="s">
        <v>350</v>
      </c>
      <c r="L779" s="5">
        <v>0</v>
      </c>
      <c r="M779" s="5">
        <v>10430005</v>
      </c>
      <c r="N779" s="5" t="s">
        <v>535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/>
      <c r="V779" s="5">
        <v>0</v>
      </c>
      <c r="W779" s="5">
        <v>0</v>
      </c>
      <c r="X779" s="5" t="inlineStr">
        <is>
          <t xml:space="preserve">目标方向</t>
        </is>
      </c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 t="s">
        <v>356</v>
      </c>
      <c r="AZ779" s="5">
        <v>11200</v>
      </c>
      <c r="BA779" s="5" t="inlineStr">
        <is>
          <t xml:space="preserve">技能效果_调用技能</t>
        </is>
      </c>
      <c r="BB779" s="5" t="inlineStr">
        <is>
          <t xml:space="preserve">敌对</t>
        </is>
      </c>
      <c r="BC779" s="5">
        <v>10000</v>
      </c>
      <c r="BD779" s="5">
        <v>0</v>
      </c>
      <c r="BE779" s="5" t="inlineStr">
        <is>
          <t xml:space="preserve">全部</t>
        </is>
      </c>
      <c r="BF779" s="5">
        <v>0</v>
      </c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5"/>
      <c r="CT779" s="5"/>
      <c r="CU779" s="5"/>
      <c r="CV779" s="5"/>
      <c r="CW779" s="5">
        <v>10440004</v>
      </c>
      <c r="CX779"/>
      <c r="CY779"/>
      <c r="CZ779" s="5" t="inlineStr">
        <is>
          <t xml:space="preserve">技能效果_调用技能</t>
        </is>
      </c>
      <c r="DA779" s="5" t="inlineStr">
        <is>
          <t xml:space="preserve">敌对</t>
        </is>
      </c>
      <c r="DB779" s="5">
        <v>10000</v>
      </c>
      <c r="DC779" s="5">
        <v>400</v>
      </c>
      <c r="DD779" s="5" t="inlineStr">
        <is>
          <t xml:space="preserve">全部</t>
        </is>
      </c>
      <c r="DE779" s="5">
        <v>0</v>
      </c>
      <c r="DF779" s="5"/>
      <c r="DG779" s="5"/>
      <c r="DH779" s="5"/>
      <c r="DI779" s="5"/>
      <c r="DJ779" s="5"/>
      <c r="DK779" s="5"/>
      <c r="DL779" s="5"/>
      <c r="DM779" s="5"/>
      <c r="DN779" s="5"/>
      <c r="DO779" s="5"/>
      <c r="DP779" s="5"/>
      <c r="DQ779" s="5"/>
      <c r="DR779" s="5"/>
      <c r="DS779" s="5"/>
      <c r="DT779" s="5"/>
      <c r="DU779" s="5"/>
      <c r="DV779" s="5"/>
      <c r="DW779" s="5"/>
      <c r="DX779" s="5"/>
      <c r="DY779" s="5"/>
      <c r="DZ779" s="5"/>
      <c r="EA779" s="5"/>
      <c r="EB779" s="5"/>
      <c r="EC779" s="5"/>
      <c r="ED779" s="5"/>
      <c r="EE779" s="5"/>
      <c r="EF779" s="5"/>
      <c r="EG779" s="5"/>
      <c r="EH779" s="5"/>
      <c r="EI779" s="5"/>
      <c r="EJ779" s="5"/>
      <c r="EK779" s="5"/>
      <c r="EL779" s="5"/>
      <c r="EM779" s="5"/>
      <c r="EN779" s="5"/>
      <c r="EO779" s="5"/>
      <c r="EP779" s="5"/>
      <c r="EQ779" s="5"/>
      <c r="ER779" s="5"/>
      <c r="ES779" s="5"/>
      <c r="ET779" s="5"/>
      <c r="EU779" s="5"/>
      <c r="EV779" s="5">
        <v>10440004</v>
      </c>
      <c r="EW779"/>
      <c r="EX779"/>
      <c r="EY779" s="5"/>
      <c r="EZ779" s="5"/>
      <c r="FA779" s="5"/>
      <c r="FB779" s="5"/>
      <c r="FC779" s="5"/>
      <c r="FD779" s="5"/>
      <c r="FE779" s="5"/>
      <c r="FF779" s="5"/>
      <c r="FG779" s="5"/>
      <c r="FH779" s="5"/>
      <c r="FI779" s="5"/>
      <c r="FJ779" s="5"/>
      <c r="FK779" s="5"/>
      <c r="FL779" s="5"/>
      <c r="FM779" s="5"/>
      <c r="FN779" s="5"/>
      <c r="FO779" s="5"/>
      <c r="FP779" s="5"/>
      <c r="FQ779" s="5"/>
      <c r="FR779" s="5"/>
      <c r="FS779" s="5"/>
      <c r="FT779" s="5"/>
      <c r="FU779" s="5"/>
      <c r="FV779" s="5"/>
      <c r="FW779" s="5"/>
      <c r="FX779" s="5"/>
      <c r="FY779" s="5"/>
      <c r="FZ779" s="5"/>
      <c r="GA779" s="5"/>
      <c r="GB779" s="5"/>
      <c r="GC779" s="5"/>
      <c r="GD779" s="5"/>
      <c r="GE779" s="5"/>
      <c r="GF779" s="5"/>
      <c r="GG779" s="5"/>
      <c r="GH779" s="5"/>
      <c r="GI779" s="5"/>
      <c r="GJ779" s="5"/>
      <c r="GK779" s="5"/>
      <c r="GL779" s="5"/>
      <c r="GM779" s="5"/>
      <c r="GN779" s="5"/>
      <c r="GO779" s="5"/>
      <c r="GP779" s="5"/>
      <c r="GQ779" s="5"/>
      <c r="GR779" s="5"/>
      <c r="GS779" s="5"/>
      <c r="GT779" s="5"/>
      <c r="GU779" s="5"/>
      <c r="GV779"/>
      <c r="GW779"/>
      <c r="GX779" s="5">
        <v>0</v>
      </c>
      <c r="GY779" s="5">
        <v>0</v>
      </c>
      <c r="GZ779" s="5" t="inlineStr">
        <is>
          <t xml:space="preserve"/>
        </is>
      </c>
      <c r="HA779" s="5">
        <v>0</v>
      </c>
      <c r="HB779" s="5"/>
      <c r="HC779" s="5"/>
      <c r="HD779" s="5" t="b">
        <v>0</v>
      </c>
      <c r="HE779" s="5">
        <v>0</v>
      </c>
      <c r="HF779" s="5" t="b">
        <v>1</v>
      </c>
      <c r="HG779" s="5">
        <v>0</v>
      </c>
      <c r="HH779" s="5">
        <v>0</v>
      </c>
      <c r="HI779" s="5">
        <v>0</v>
      </c>
      <c r="HJ779" s="5">
        <v>0</v>
      </c>
      <c r="HK779" s="5" t="b">
        <v>0</v>
      </c>
      <c r="HL779" s="5">
        <v>0</v>
      </c>
      <c r="HM779" s="5">
        <v>0</v>
      </c>
      <c r="HN779" s="5" t="s">
        <v>367</v>
      </c>
      <c r="HO779" s="5" t="s">
        <v>360</v>
      </c>
      <c r="HP779" s="5">
        <v>0</v>
      </c>
      <c r="HQ779" s="5">
        <v>0</v>
      </c>
      <c r="HR779" s="5">
        <v>0</v>
      </c>
      <c r="HS779" s="5">
        <v>0</v>
      </c>
      <c r="HT779" s="5" t="b">
        <v>0</v>
      </c>
    </row>
    <row r="780">
      <c r="B780" s="1">
        <v>10440004</v>
      </c>
      <c r="C780" s="5" t="inlineStr">
        <is>
          <t xml:space="preserve">星罗分锋·分段104400</t>
        </is>
      </c>
      <c r="D780" s="5" t="inlineStr">
        <is>
          <t xml:space="preserve">skill_104400_4</t>
        </is>
      </c>
      <c r="E780" s="5" t="s">
        <v>360</v>
      </c>
      <c r="F780" s="5" t="s">
        <v>349</v>
      </c>
      <c r="G780" s="5" t="b">
        <v>0</v>
      </c>
      <c r="H780" s="5" t="b">
        <v>1</v>
      </c>
      <c r="I780" s="5">
        <v>4</v>
      </c>
      <c r="J780" s="5">
        <v>104400</v>
      </c>
      <c r="K780" s="5" t="s">
        <v>350</v>
      </c>
      <c r="L780" s="5">
        <v>0</v>
      </c>
      <c r="M780" s="5">
        <v>10440005</v>
      </c>
      <c r="N780" s="5" t="s">
        <v>535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/>
      <c r="V780" s="5">
        <v>0</v>
      </c>
      <c r="W780" s="5">
        <v>0</v>
      </c>
      <c r="X780" s="5" t="inlineStr">
        <is>
          <t xml:space="preserve">目标方向</t>
        </is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 t="s">
        <v>356</v>
      </c>
      <c r="AZ780" s="5">
        <v>11200</v>
      </c>
      <c r="BA780" s="5" t="inlineStr">
        <is>
          <t xml:space="preserve">技能效果_调用技能</t>
        </is>
      </c>
      <c r="BB780" s="5" t="inlineStr">
        <is>
          <t xml:space="preserve">敌对</t>
        </is>
      </c>
      <c r="BC780" s="5">
        <v>10000</v>
      </c>
      <c r="BD780" s="5">
        <v>0</v>
      </c>
      <c r="BE780" s="5" t="inlineStr">
        <is>
          <t xml:space="preserve">全部</t>
        </is>
      </c>
      <c r="BF780" s="5">
        <v>0</v>
      </c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5"/>
      <c r="CT780" s="5"/>
      <c r="CU780" s="5"/>
      <c r="CV780" s="5"/>
      <c r="CW780" s="5">
        <v>10450004</v>
      </c>
      <c r="CX780"/>
      <c r="CY780"/>
      <c r="CZ780" s="5" t="inlineStr">
        <is>
          <t xml:space="preserve">技能效果_调用技能</t>
        </is>
      </c>
      <c r="DA780" s="5" t="inlineStr">
        <is>
          <t xml:space="preserve">敌对</t>
        </is>
      </c>
      <c r="DB780" s="5">
        <v>10000</v>
      </c>
      <c r="DC780" s="5">
        <v>200</v>
      </c>
      <c r="DD780" s="5" t="inlineStr">
        <is>
          <t xml:space="preserve">全部</t>
        </is>
      </c>
      <c r="DE780" s="5">
        <v>0</v>
      </c>
      <c r="DF780" s="5"/>
      <c r="DG780" s="5"/>
      <c r="DH780" s="5"/>
      <c r="DI780" s="5"/>
      <c r="DJ780" s="5"/>
      <c r="DK780" s="5"/>
      <c r="DL780" s="5"/>
      <c r="DM780" s="5"/>
      <c r="DN780" s="5"/>
      <c r="DO780" s="5"/>
      <c r="DP780" s="5"/>
      <c r="DQ780" s="5"/>
      <c r="DR780" s="5"/>
      <c r="DS780" s="5"/>
      <c r="DT780" s="5"/>
      <c r="DU780" s="5"/>
      <c r="DV780" s="5"/>
      <c r="DW780" s="5"/>
      <c r="DX780" s="5"/>
      <c r="DY780" s="5"/>
      <c r="DZ780" s="5"/>
      <c r="EA780" s="5"/>
      <c r="EB780" s="5"/>
      <c r="EC780" s="5"/>
      <c r="ED780" s="5"/>
      <c r="EE780" s="5"/>
      <c r="EF780" s="5"/>
      <c r="EG780" s="5"/>
      <c r="EH780" s="5"/>
      <c r="EI780" s="5"/>
      <c r="EJ780" s="5"/>
      <c r="EK780" s="5"/>
      <c r="EL780" s="5"/>
      <c r="EM780" s="5"/>
      <c r="EN780" s="5"/>
      <c r="EO780" s="5"/>
      <c r="EP780" s="5"/>
      <c r="EQ780" s="5"/>
      <c r="ER780" s="5"/>
      <c r="ES780" s="5"/>
      <c r="ET780" s="5"/>
      <c r="EU780" s="5"/>
      <c r="EV780" s="5">
        <v>10450004</v>
      </c>
      <c r="EW780"/>
      <c r="EX780"/>
      <c r="EY780" s="5"/>
      <c r="EZ780" s="5"/>
      <c r="FA780" s="5"/>
      <c r="FB780" s="5"/>
      <c r="FC780" s="5"/>
      <c r="FD780" s="5"/>
      <c r="FE780" s="5"/>
      <c r="FF780" s="5"/>
      <c r="FG780" s="5"/>
      <c r="FH780" s="5"/>
      <c r="FI780" s="5"/>
      <c r="FJ780" s="5"/>
      <c r="FK780" s="5"/>
      <c r="FL780" s="5"/>
      <c r="FM780" s="5"/>
      <c r="FN780" s="5"/>
      <c r="FO780" s="5"/>
      <c r="FP780" s="5"/>
      <c r="FQ780" s="5"/>
      <c r="FR780" s="5"/>
      <c r="FS780" s="5"/>
      <c r="FT780" s="5"/>
      <c r="FU780" s="5"/>
      <c r="FV780" s="5"/>
      <c r="FW780" s="5"/>
      <c r="FX780" s="5"/>
      <c r="FY780" s="5"/>
      <c r="FZ780" s="5"/>
      <c r="GA780" s="5"/>
      <c r="GB780" s="5"/>
      <c r="GC780" s="5"/>
      <c r="GD780" s="5"/>
      <c r="GE780" s="5"/>
      <c r="GF780" s="5"/>
      <c r="GG780" s="5"/>
      <c r="GH780" s="5"/>
      <c r="GI780" s="5"/>
      <c r="GJ780" s="5"/>
      <c r="GK780" s="5"/>
      <c r="GL780" s="5"/>
      <c r="GM780" s="5"/>
      <c r="GN780" s="5"/>
      <c r="GO780" s="5"/>
      <c r="GP780" s="5"/>
      <c r="GQ780" s="5"/>
      <c r="GR780" s="5"/>
      <c r="GS780" s="5"/>
      <c r="GT780" s="5"/>
      <c r="GU780" s="5"/>
      <c r="GV780"/>
      <c r="GW780"/>
      <c r="GX780" s="5">
        <v>0</v>
      </c>
      <c r="GY780" s="5">
        <v>0</v>
      </c>
      <c r="GZ780" s="5" t="inlineStr">
        <is>
          <t xml:space="preserve"/>
        </is>
      </c>
      <c r="HA780" s="5">
        <v>0</v>
      </c>
      <c r="HB780" s="5"/>
      <c r="HC780" s="5"/>
      <c r="HD780" s="5" t="b">
        <v>0</v>
      </c>
      <c r="HE780" s="5">
        <v>0</v>
      </c>
      <c r="HF780" s="5" t="b">
        <v>1</v>
      </c>
      <c r="HG780" s="5">
        <v>0</v>
      </c>
      <c r="HH780" s="5">
        <v>0</v>
      </c>
      <c r="HI780" s="5">
        <v>0</v>
      </c>
      <c r="HJ780" s="5">
        <v>0</v>
      </c>
      <c r="HK780" s="5" t="b">
        <v>0</v>
      </c>
      <c r="HL780" s="5">
        <v>0</v>
      </c>
      <c r="HM780" s="5">
        <v>0</v>
      </c>
      <c r="HN780" s="5" t="s">
        <v>367</v>
      </c>
      <c r="HO780" s="5" t="s">
        <v>360</v>
      </c>
      <c r="HP780" s="5">
        <v>0</v>
      </c>
      <c r="HQ780" s="5">
        <v>0</v>
      </c>
      <c r="HR780" s="5">
        <v>0</v>
      </c>
      <c r="HS780" s="5">
        <v>0</v>
      </c>
      <c r="HT780" s="5" t="b">
        <v>0</v>
      </c>
    </row>
    <row r="781">
      <c r="B781" s="1">
        <v>10450004</v>
      </c>
      <c r="C781" s="5" t="inlineStr">
        <is>
          <t xml:space="preserve">星罗分锋·分段104500</t>
        </is>
      </c>
      <c r="D781" s="5" t="inlineStr">
        <is>
          <t xml:space="preserve">skill_104500_4</t>
        </is>
      </c>
      <c r="E781" s="5" t="s">
        <v>360</v>
      </c>
      <c r="F781" s="5" t="s">
        <v>349</v>
      </c>
      <c r="G781" s="5" t="b">
        <v>0</v>
      </c>
      <c r="H781" s="5" t="b">
        <v>1</v>
      </c>
      <c r="I781" s="5">
        <v>4</v>
      </c>
      <c r="J781" s="5">
        <v>104500</v>
      </c>
      <c r="K781" s="5" t="s">
        <v>350</v>
      </c>
      <c r="L781" s="5">
        <v>0</v>
      </c>
      <c r="M781" s="5">
        <v>10450005</v>
      </c>
      <c r="N781" s="5" t="s">
        <v>535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/>
      <c r="V781" s="5">
        <v>0</v>
      </c>
      <c r="W781" s="5">
        <v>0</v>
      </c>
      <c r="X781" s="5" t="inlineStr">
        <is>
          <t xml:space="preserve">目标方向</t>
        </is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 t="s">
        <v>356</v>
      </c>
      <c r="AZ781" s="5">
        <v>11200</v>
      </c>
      <c r="BA781" s="5" t="inlineStr">
        <is>
          <t xml:space="preserve">技能效果_调用技能</t>
        </is>
      </c>
      <c r="BB781" s="5" t="inlineStr">
        <is>
          <t xml:space="preserve">敌对</t>
        </is>
      </c>
      <c r="BC781" s="5">
        <v>10000</v>
      </c>
      <c r="BD781" s="5">
        <v>0</v>
      </c>
      <c r="BE781" s="5" t="inlineStr">
        <is>
          <t xml:space="preserve">全部</t>
        </is>
      </c>
      <c r="BF781" s="5">
        <v>0</v>
      </c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5"/>
      <c r="CT781" s="5"/>
      <c r="CU781" s="5"/>
      <c r="CV781" s="5"/>
      <c r="CW781" s="5">
        <v>10330004</v>
      </c>
      <c r="CX781"/>
      <c r="CY781"/>
      <c r="CZ781" s="5" t="inlineStr">
        <is>
          <t xml:space="preserve">技能效果_调用技能</t>
        </is>
      </c>
      <c r="DA781" s="5" t="inlineStr">
        <is>
          <t xml:space="preserve">敌对</t>
        </is>
      </c>
      <c r="DB781" s="5">
        <v>10000</v>
      </c>
      <c r="DC781" s="5">
        <v>100</v>
      </c>
      <c r="DD781" s="5" t="inlineStr">
        <is>
          <t xml:space="preserve">全部</t>
        </is>
      </c>
      <c r="DE781" s="5">
        <v>0</v>
      </c>
      <c r="DF781" s="5"/>
      <c r="DG781" s="5"/>
      <c r="DH781" s="5"/>
      <c r="DI781" s="5"/>
      <c r="DJ781" s="5"/>
      <c r="DK781" s="5"/>
      <c r="DL781" s="5"/>
      <c r="DM781" s="5"/>
      <c r="DN781" s="5"/>
      <c r="DO781" s="5"/>
      <c r="DP781" s="5"/>
      <c r="DQ781" s="5"/>
      <c r="DR781" s="5"/>
      <c r="DS781" s="5"/>
      <c r="DT781" s="5"/>
      <c r="DU781" s="5"/>
      <c r="DV781" s="5"/>
      <c r="DW781" s="5"/>
      <c r="DX781" s="5"/>
      <c r="DY781" s="5"/>
      <c r="DZ781" s="5"/>
      <c r="EA781" s="5"/>
      <c r="EB781" s="5"/>
      <c r="EC781" s="5"/>
      <c r="ED781" s="5"/>
      <c r="EE781" s="5"/>
      <c r="EF781" s="5"/>
      <c r="EG781" s="5"/>
      <c r="EH781" s="5"/>
      <c r="EI781" s="5"/>
      <c r="EJ781" s="5"/>
      <c r="EK781" s="5"/>
      <c r="EL781" s="5"/>
      <c r="EM781" s="5"/>
      <c r="EN781" s="5"/>
      <c r="EO781" s="5"/>
      <c r="EP781" s="5"/>
      <c r="EQ781" s="5"/>
      <c r="ER781" s="5"/>
      <c r="ES781" s="5"/>
      <c r="ET781" s="5"/>
      <c r="EU781" s="5"/>
      <c r="EV781" s="5">
        <v>10330004</v>
      </c>
      <c r="EW781"/>
      <c r="EX781"/>
      <c r="EY781" s="5"/>
      <c r="EZ781" s="5"/>
      <c r="FA781" s="5"/>
      <c r="FB781" s="5"/>
      <c r="FC781" s="5"/>
      <c r="FD781" s="5"/>
      <c r="FE781" s="5"/>
      <c r="FF781" s="5"/>
      <c r="FG781" s="5"/>
      <c r="FH781" s="5"/>
      <c r="FI781" s="5"/>
      <c r="FJ781" s="5"/>
      <c r="FK781" s="5"/>
      <c r="FL781" s="5"/>
      <c r="FM781" s="5"/>
      <c r="FN781" s="5"/>
      <c r="FO781" s="5"/>
      <c r="FP781" s="5"/>
      <c r="FQ781" s="5"/>
      <c r="FR781" s="5"/>
      <c r="FS781" s="5"/>
      <c r="FT781" s="5"/>
      <c r="FU781" s="5"/>
      <c r="FV781" s="5"/>
      <c r="FW781" s="5"/>
      <c r="FX781" s="5"/>
      <c r="FY781" s="5"/>
      <c r="FZ781" s="5"/>
      <c r="GA781" s="5"/>
      <c r="GB781" s="5"/>
      <c r="GC781" s="5"/>
      <c r="GD781" s="5"/>
      <c r="GE781" s="5"/>
      <c r="GF781" s="5"/>
      <c r="GG781" s="5"/>
      <c r="GH781" s="5"/>
      <c r="GI781" s="5"/>
      <c r="GJ781" s="5"/>
      <c r="GK781" s="5"/>
      <c r="GL781" s="5"/>
      <c r="GM781" s="5"/>
      <c r="GN781" s="5"/>
      <c r="GO781" s="5"/>
      <c r="GP781" s="5"/>
      <c r="GQ781" s="5"/>
      <c r="GR781" s="5"/>
      <c r="GS781" s="5"/>
      <c r="GT781" s="5"/>
      <c r="GU781" s="5"/>
      <c r="GV781"/>
      <c r="GW781"/>
      <c r="GX781" s="5">
        <v>0</v>
      </c>
      <c r="GY781" s="5">
        <v>0</v>
      </c>
      <c r="GZ781" s="5" t="inlineStr">
        <is>
          <t xml:space="preserve"/>
        </is>
      </c>
      <c r="HA781" s="5">
        <v>0</v>
      </c>
      <c r="HB781" s="5"/>
      <c r="HC781" s="5"/>
      <c r="HD781" s="5" t="b">
        <v>0</v>
      </c>
      <c r="HE781" s="5">
        <v>0</v>
      </c>
      <c r="HF781" s="5" t="b">
        <v>1</v>
      </c>
      <c r="HG781" s="5">
        <v>0</v>
      </c>
      <c r="HH781" s="5">
        <v>0</v>
      </c>
      <c r="HI781" s="5">
        <v>0</v>
      </c>
      <c r="HJ781" s="5">
        <v>0</v>
      </c>
      <c r="HK781" s="5" t="b">
        <v>0</v>
      </c>
      <c r="HL781" s="5">
        <v>0</v>
      </c>
      <c r="HM781" s="5">
        <v>0</v>
      </c>
      <c r="HN781" s="5" t="s">
        <v>367</v>
      </c>
      <c r="HO781" s="5" t="s">
        <v>360</v>
      </c>
      <c r="HP781" s="5">
        <v>0</v>
      </c>
      <c r="HQ781" s="5">
        <v>0</v>
      </c>
      <c r="HR781" s="5">
        <v>0</v>
      </c>
      <c r="HS781" s="5">
        <v>0</v>
      </c>
      <c r="HT781" s="5" t="b">
        <v>0</v>
      </c>
    </row>
    <row r="782">
      <c r="B782" s="1">
        <v>10420005</v>
      </c>
      <c r="C782" s="5" t="inlineStr">
        <is>
          <t xml:space="preserve">赤霄焚野·计时</t>
        </is>
      </c>
      <c r="D782" s="5" t="inlineStr">
        <is>
          <t xml:space="preserve">skill_104200_5</t>
        </is>
      </c>
      <c r="E782" s="5" t="inlineStr">
        <is>
          <t xml:space="preserve">无</t>
        </is>
      </c>
      <c r="F782" s="5" t="s">
        <v>391</v>
      </c>
      <c r="G782" s="5" t="b">
        <v>0</v>
      </c>
      <c r="H782" s="5" t="b">
        <v>1</v>
      </c>
      <c r="I782" s="5">
        <v>5</v>
      </c>
      <c r="J782" s="5">
        <v>104200</v>
      </c>
      <c r="K782" s="5" t="s">
        <v>350</v>
      </c>
      <c r="L782" s="5">
        <v>10110004</v>
      </c>
      <c r="M782" s="5">
        <v>10420006</v>
      </c>
      <c r="N782" s="5" t="s">
        <v>400</v>
      </c>
      <c r="O782" s="5">
        <v>10202010</v>
      </c>
      <c r="P782" s="5">
        <v>0</v>
      </c>
      <c r="Q782" s="5">
        <v>0</v>
      </c>
      <c r="R782" s="5">
        <v>25</v>
      </c>
      <c r="S782" s="5">
        <v>0</v>
      </c>
      <c r="T782" s="5">
        <v>100</v>
      </c>
      <c r="U782" s="5" t="s">
        <v>364</v>
      </c>
      <c r="V782" s="5">
        <v>0</v>
      </c>
      <c r="W782" s="5">
        <v>0</v>
      </c>
      <c r="X782" s="5" t="inlineStr">
        <is>
          <t xml:space="preserve">目标方向</t>
        </is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 t="s">
        <v>381</v>
      </c>
      <c r="AZ782" s="5">
        <v>11300</v>
      </c>
      <c r="BA782" s="5" t="inlineStr">
        <is>
          <t xml:space="preserve">技能效果_调用技能</t>
        </is>
      </c>
      <c r="BB782" s="5" t="inlineStr">
        <is>
          <t xml:space="preserve">敌对</t>
        </is>
      </c>
      <c r="BC782" s="5">
        <v>10000</v>
      </c>
      <c r="BD782" s="5">
        <v>1000</v>
      </c>
      <c r="BE782" s="5" t="inlineStr">
        <is>
          <t xml:space="preserve">全部</t>
        </is>
      </c>
      <c r="BF782" s="5">
        <v>0</v>
      </c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5"/>
      <c r="CT782" s="5"/>
      <c r="CU782" s="5"/>
      <c r="CV782" s="5"/>
      <c r="CW782" s="5">
        <v>10410005</v>
      </c>
      <c r="CX782"/>
      <c r="CY782"/>
      <c r="CZ782" s="5" t="inlineStr">
        <is>
          <t xml:space="preserve">技能效果_调用技能</t>
        </is>
      </c>
      <c r="DA782" s="5" t="inlineStr">
        <is>
          <t xml:space="preserve">敌对</t>
        </is>
      </c>
      <c r="DB782" s="5">
        <v>10000</v>
      </c>
      <c r="DC782" s="5">
        <v>2000</v>
      </c>
      <c r="DD782" s="5" t="inlineStr">
        <is>
          <t xml:space="preserve">全部</t>
        </is>
      </c>
      <c r="DE782" s="5">
        <v>0</v>
      </c>
      <c r="DF782" s="5"/>
      <c r="DG782" s="5"/>
      <c r="DH782" s="5"/>
      <c r="DI782" s="5"/>
      <c r="DJ782" s="5"/>
      <c r="DK782" s="5"/>
      <c r="DL782" s="5"/>
      <c r="DM782" s="5"/>
      <c r="DN782" s="5"/>
      <c r="DO782" s="5"/>
      <c r="DP782" s="5"/>
      <c r="DQ782" s="5"/>
      <c r="DR782" s="5"/>
      <c r="DS782" s="5"/>
      <c r="DT782" s="5"/>
      <c r="DU782" s="5"/>
      <c r="DV782" s="5"/>
      <c r="DW782" s="5"/>
      <c r="DX782" s="5"/>
      <c r="DY782" s="5"/>
      <c r="DZ782" s="5"/>
      <c r="EA782" s="5"/>
      <c r="EB782" s="5"/>
      <c r="EC782" s="5"/>
      <c r="ED782" s="5"/>
      <c r="EE782" s="5"/>
      <c r="EF782" s="5"/>
      <c r="EG782" s="5"/>
      <c r="EH782" s="5"/>
      <c r="EI782" s="5"/>
      <c r="EJ782" s="5"/>
      <c r="EK782" s="5"/>
      <c r="EL782" s="5"/>
      <c r="EM782" s="5"/>
      <c r="EN782" s="5"/>
      <c r="EO782" s="5"/>
      <c r="EP782" s="5"/>
      <c r="EQ782" s="5"/>
      <c r="ER782" s="5"/>
      <c r="ES782" s="5"/>
      <c r="ET782" s="5"/>
      <c r="EU782" s="5"/>
      <c r="EV782" s="5">
        <v>10410005</v>
      </c>
      <c r="EW782"/>
      <c r="EX782"/>
      <c r="EY782" s="5"/>
      <c r="EZ782" s="5"/>
      <c r="FA782" s="5"/>
      <c r="FB782" s="5"/>
      <c r="FC782" s="5"/>
      <c r="FD782" s="5"/>
      <c r="FE782" s="5"/>
      <c r="FF782" s="5"/>
      <c r="FG782" s="5"/>
      <c r="FH782" s="5"/>
      <c r="FI782" s="5"/>
      <c r="FJ782" s="5"/>
      <c r="FK782" s="5"/>
      <c r="FL782" s="5"/>
      <c r="FM782" s="5"/>
      <c r="FN782" s="5"/>
      <c r="FO782" s="5"/>
      <c r="FP782" s="5"/>
      <c r="FQ782" s="5"/>
      <c r="FR782" s="5"/>
      <c r="FS782" s="5"/>
      <c r="FT782" s="5"/>
      <c r="FU782" s="5"/>
      <c r="FV782" s="5"/>
      <c r="FW782" s="5"/>
      <c r="FX782" s="5"/>
      <c r="FY782" s="5"/>
      <c r="FZ782" s="5"/>
      <c r="GA782" s="5"/>
      <c r="GB782" s="5"/>
      <c r="GC782" s="5"/>
      <c r="GD782" s="5"/>
      <c r="GE782" s="5"/>
      <c r="GF782" s="5"/>
      <c r="GG782" s="5"/>
      <c r="GH782" s="5"/>
      <c r="GI782" s="5"/>
      <c r="GJ782" s="5"/>
      <c r="GK782" s="5"/>
      <c r="GL782" s="5"/>
      <c r="GM782" s="5"/>
      <c r="GN782" s="5"/>
      <c r="GO782" s="5"/>
      <c r="GP782" s="5"/>
      <c r="GQ782" s="5"/>
      <c r="GR782" s="5"/>
      <c r="GS782" s="5"/>
      <c r="GT782" s="5"/>
      <c r="GU782" s="5"/>
      <c r="GV782"/>
      <c r="GW782"/>
      <c r="GX782" s="5">
        <v>0</v>
      </c>
      <c r="GY782" s="5">
        <v>0</v>
      </c>
      <c r="GZ782" s="5" t="inlineStr">
        <is>
          <t xml:space="preserve"/>
        </is>
      </c>
      <c r="HA782" s="5">
        <v>0</v>
      </c>
      <c r="HB782" s="5">
        <v>0</v>
      </c>
      <c r="HC782" s="5" t="s">
        <v>366</v>
      </c>
      <c r="HD782" s="5" t="b">
        <v>1</v>
      </c>
      <c r="HE782" s="5">
        <v>0</v>
      </c>
      <c r="HF782" s="5" t="b">
        <v>0</v>
      </c>
      <c r="HG782" s="5">
        <v>0</v>
      </c>
      <c r="HH782" s="5">
        <v>0</v>
      </c>
      <c r="HI782" s="5">
        <v>0</v>
      </c>
      <c r="HJ782" s="5">
        <v>0</v>
      </c>
      <c r="HK782" s="5" t="b">
        <v>0</v>
      </c>
      <c r="HL782" s="5">
        <v>0</v>
      </c>
      <c r="HM782" s="5">
        <v>10001</v>
      </c>
      <c r="HN782" s="5" t="s">
        <v>367</v>
      </c>
      <c r="HO782" s="5" t="s">
        <v>360</v>
      </c>
      <c r="HP782" s="5">
        <v>0</v>
      </c>
      <c r="HQ782" s="5">
        <v>0</v>
      </c>
      <c r="HR782" s="5">
        <v>0</v>
      </c>
      <c r="HS782" s="5">
        <v>0</v>
      </c>
      <c r="HT782" s="5" t="b">
        <v>0</v>
      </c>
    </row>
    <row r="783">
      <c r="B783" s="1">
        <v>10430005</v>
      </c>
      <c r="C783" s="5" t="inlineStr">
        <is>
          <t xml:space="preserve">星罗分锋·分段104300</t>
        </is>
      </c>
      <c r="D783" s="5" t="inlineStr">
        <is>
          <t xml:space="preserve">skill_104300_5</t>
        </is>
      </c>
      <c r="E783" s="5" t="s">
        <v>360</v>
      </c>
      <c r="F783" s="5" t="s">
        <v>349</v>
      </c>
      <c r="G783" s="5" t="b">
        <v>0</v>
      </c>
      <c r="H783" s="5" t="b">
        <v>1</v>
      </c>
      <c r="I783" s="5">
        <v>5</v>
      </c>
      <c r="J783" s="5">
        <v>104300</v>
      </c>
      <c r="K783" s="5" t="s">
        <v>350</v>
      </c>
      <c r="L783" s="5">
        <v>0</v>
      </c>
      <c r="M783" s="5">
        <v>10430006</v>
      </c>
      <c r="N783" s="5" t="s">
        <v>535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/>
      <c r="V783" s="5">
        <v>0</v>
      </c>
      <c r="W783" s="5">
        <v>0</v>
      </c>
      <c r="X783" s="5" t="inlineStr">
        <is>
          <t xml:space="preserve">目标方向</t>
        </is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 t="s">
        <v>356</v>
      </c>
      <c r="AZ783" s="5">
        <v>11300</v>
      </c>
      <c r="BA783" s="5" t="inlineStr">
        <is>
          <t xml:space="preserve">技能效果_调用技能</t>
        </is>
      </c>
      <c r="BB783" s="5" t="inlineStr">
        <is>
          <t xml:space="preserve">敌对</t>
        </is>
      </c>
      <c r="BC783" s="5">
        <v>10000</v>
      </c>
      <c r="BD783" s="5">
        <v>0</v>
      </c>
      <c r="BE783" s="5" t="inlineStr">
        <is>
          <t xml:space="preserve">全部</t>
        </is>
      </c>
      <c r="BF783" s="5">
        <v>0</v>
      </c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5"/>
      <c r="CT783" s="5"/>
      <c r="CU783" s="5"/>
      <c r="CV783" s="5"/>
      <c r="CW783" s="5">
        <v>10440005</v>
      </c>
      <c r="CX783"/>
      <c r="CY783"/>
      <c r="CZ783" s="5" t="inlineStr">
        <is>
          <t xml:space="preserve">技能效果_调用技能</t>
        </is>
      </c>
      <c r="DA783" s="5" t="inlineStr">
        <is>
          <t xml:space="preserve">敌对</t>
        </is>
      </c>
      <c r="DB783" s="5">
        <v>10000</v>
      </c>
      <c r="DC783" s="5">
        <v>400</v>
      </c>
      <c r="DD783" s="5" t="inlineStr">
        <is>
          <t xml:space="preserve">全部</t>
        </is>
      </c>
      <c r="DE783" s="5">
        <v>0</v>
      </c>
      <c r="DF783" s="5"/>
      <c r="DG783" s="5"/>
      <c r="DH783" s="5"/>
      <c r="DI783" s="5"/>
      <c r="DJ783" s="5"/>
      <c r="DK783" s="5"/>
      <c r="DL783" s="5"/>
      <c r="DM783" s="5"/>
      <c r="DN783" s="5"/>
      <c r="DO783" s="5"/>
      <c r="DP783" s="5"/>
      <c r="DQ783" s="5"/>
      <c r="DR783" s="5"/>
      <c r="DS783" s="5"/>
      <c r="DT783" s="5"/>
      <c r="DU783" s="5"/>
      <c r="DV783" s="5"/>
      <c r="DW783" s="5"/>
      <c r="DX783" s="5"/>
      <c r="DY783" s="5"/>
      <c r="DZ783" s="5"/>
      <c r="EA783" s="5"/>
      <c r="EB783" s="5"/>
      <c r="EC783" s="5"/>
      <c r="ED783" s="5"/>
      <c r="EE783" s="5"/>
      <c r="EF783" s="5"/>
      <c r="EG783" s="5"/>
      <c r="EH783" s="5"/>
      <c r="EI783" s="5"/>
      <c r="EJ783" s="5"/>
      <c r="EK783" s="5"/>
      <c r="EL783" s="5"/>
      <c r="EM783" s="5"/>
      <c r="EN783" s="5"/>
      <c r="EO783" s="5"/>
      <c r="EP783" s="5"/>
      <c r="EQ783" s="5"/>
      <c r="ER783" s="5"/>
      <c r="ES783" s="5"/>
      <c r="ET783" s="5"/>
      <c r="EU783" s="5"/>
      <c r="EV783" s="5">
        <v>10440005</v>
      </c>
      <c r="EW783"/>
      <c r="EX783"/>
      <c r="EY783" s="5"/>
      <c r="EZ783" s="5"/>
      <c r="FA783" s="5"/>
      <c r="FB783" s="5"/>
      <c r="FC783" s="5"/>
      <c r="FD783" s="5"/>
      <c r="FE783" s="5"/>
      <c r="FF783" s="5"/>
      <c r="FG783" s="5"/>
      <c r="FH783" s="5"/>
      <c r="FI783" s="5"/>
      <c r="FJ783" s="5"/>
      <c r="FK783" s="5"/>
      <c r="FL783" s="5"/>
      <c r="FM783" s="5"/>
      <c r="FN783" s="5"/>
      <c r="FO783" s="5"/>
      <c r="FP783" s="5"/>
      <c r="FQ783" s="5"/>
      <c r="FR783" s="5"/>
      <c r="FS783" s="5"/>
      <c r="FT783" s="5"/>
      <c r="FU783" s="5"/>
      <c r="FV783" s="5"/>
      <c r="FW783" s="5"/>
      <c r="FX783" s="5"/>
      <c r="FY783" s="5"/>
      <c r="FZ783" s="5"/>
      <c r="GA783" s="5"/>
      <c r="GB783" s="5"/>
      <c r="GC783" s="5"/>
      <c r="GD783" s="5"/>
      <c r="GE783" s="5"/>
      <c r="GF783" s="5"/>
      <c r="GG783" s="5"/>
      <c r="GH783" s="5"/>
      <c r="GI783" s="5"/>
      <c r="GJ783" s="5"/>
      <c r="GK783" s="5"/>
      <c r="GL783" s="5"/>
      <c r="GM783" s="5"/>
      <c r="GN783" s="5"/>
      <c r="GO783" s="5"/>
      <c r="GP783" s="5"/>
      <c r="GQ783" s="5"/>
      <c r="GR783" s="5"/>
      <c r="GS783" s="5"/>
      <c r="GT783" s="5"/>
      <c r="GU783" s="5"/>
      <c r="GV783"/>
      <c r="GW783"/>
      <c r="GX783" s="5">
        <v>0</v>
      </c>
      <c r="GY783" s="5">
        <v>0</v>
      </c>
      <c r="GZ783" s="5" t="inlineStr">
        <is>
          <t xml:space="preserve"/>
        </is>
      </c>
      <c r="HA783" s="5">
        <v>0</v>
      </c>
      <c r="HB783" s="5"/>
      <c r="HC783" s="5"/>
      <c r="HD783" s="5" t="b">
        <v>0</v>
      </c>
      <c r="HE783" s="5">
        <v>0</v>
      </c>
      <c r="HF783" s="5" t="b">
        <v>1</v>
      </c>
      <c r="HG783" s="5">
        <v>0</v>
      </c>
      <c r="HH783" s="5">
        <v>0</v>
      </c>
      <c r="HI783" s="5">
        <v>0</v>
      </c>
      <c r="HJ783" s="5">
        <v>0</v>
      </c>
      <c r="HK783" s="5" t="b">
        <v>0</v>
      </c>
      <c r="HL783" s="5">
        <v>0</v>
      </c>
      <c r="HM783" s="5">
        <v>0</v>
      </c>
      <c r="HN783" s="5" t="s">
        <v>367</v>
      </c>
      <c r="HO783" s="5" t="s">
        <v>360</v>
      </c>
      <c r="HP783" s="5">
        <v>0</v>
      </c>
      <c r="HQ783" s="5">
        <v>0</v>
      </c>
      <c r="HR783" s="5">
        <v>0</v>
      </c>
      <c r="HS783" s="5">
        <v>0</v>
      </c>
      <c r="HT783" s="5" t="b">
        <v>0</v>
      </c>
    </row>
    <row r="784">
      <c r="B784" s="1">
        <v>10440005</v>
      </c>
      <c r="C784" s="5" t="inlineStr">
        <is>
          <t xml:space="preserve">星罗分锋·分段104400</t>
        </is>
      </c>
      <c r="D784" s="5" t="inlineStr">
        <is>
          <t xml:space="preserve">skill_104400_5</t>
        </is>
      </c>
      <c r="E784" s="5" t="s">
        <v>360</v>
      </c>
      <c r="F784" s="5" t="s">
        <v>349</v>
      </c>
      <c r="G784" s="5" t="b">
        <v>0</v>
      </c>
      <c r="H784" s="5" t="b">
        <v>1</v>
      </c>
      <c r="I784" s="5">
        <v>5</v>
      </c>
      <c r="J784" s="5">
        <v>104400</v>
      </c>
      <c r="K784" s="5" t="s">
        <v>350</v>
      </c>
      <c r="L784" s="5">
        <v>0</v>
      </c>
      <c r="M784" s="5">
        <v>10440006</v>
      </c>
      <c r="N784" s="5" t="s">
        <v>535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/>
      <c r="V784" s="5">
        <v>0</v>
      </c>
      <c r="W784" s="5">
        <v>0</v>
      </c>
      <c r="X784" s="5" t="inlineStr">
        <is>
          <t xml:space="preserve">目标方向</t>
        </is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 t="s">
        <v>356</v>
      </c>
      <c r="AZ784" s="5">
        <v>11300</v>
      </c>
      <c r="BA784" s="5" t="inlineStr">
        <is>
          <t xml:space="preserve">技能效果_调用技能</t>
        </is>
      </c>
      <c r="BB784" s="5" t="inlineStr">
        <is>
          <t xml:space="preserve">敌对</t>
        </is>
      </c>
      <c r="BC784" s="5">
        <v>10000</v>
      </c>
      <c r="BD784" s="5">
        <v>0</v>
      </c>
      <c r="BE784" s="5" t="inlineStr">
        <is>
          <t xml:space="preserve">全部</t>
        </is>
      </c>
      <c r="BF784" s="5">
        <v>0</v>
      </c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5"/>
      <c r="CT784" s="5"/>
      <c r="CU784" s="5"/>
      <c r="CV784" s="5"/>
      <c r="CW784" s="5">
        <v>10450005</v>
      </c>
      <c r="CX784"/>
      <c r="CY784"/>
      <c r="CZ784" s="5" t="inlineStr">
        <is>
          <t xml:space="preserve">技能效果_调用技能</t>
        </is>
      </c>
      <c r="DA784" s="5" t="inlineStr">
        <is>
          <t xml:space="preserve">敌对</t>
        </is>
      </c>
      <c r="DB784" s="5">
        <v>10000</v>
      </c>
      <c r="DC784" s="5">
        <v>200</v>
      </c>
      <c r="DD784" s="5" t="inlineStr">
        <is>
          <t xml:space="preserve">全部</t>
        </is>
      </c>
      <c r="DE784" s="5">
        <v>0</v>
      </c>
      <c r="DF784" s="5"/>
      <c r="DG784" s="5"/>
      <c r="DH784" s="5"/>
      <c r="DI784" s="5"/>
      <c r="DJ784" s="5"/>
      <c r="DK784" s="5"/>
      <c r="DL784" s="5"/>
      <c r="DM784" s="5"/>
      <c r="DN784" s="5"/>
      <c r="DO784" s="5"/>
      <c r="DP784" s="5"/>
      <c r="DQ784" s="5"/>
      <c r="DR784" s="5"/>
      <c r="DS784" s="5"/>
      <c r="DT784" s="5"/>
      <c r="DU784" s="5"/>
      <c r="DV784" s="5"/>
      <c r="DW784" s="5"/>
      <c r="DX784" s="5"/>
      <c r="DY784" s="5"/>
      <c r="DZ784" s="5"/>
      <c r="EA784" s="5"/>
      <c r="EB784" s="5"/>
      <c r="EC784" s="5"/>
      <c r="ED784" s="5"/>
      <c r="EE784" s="5"/>
      <c r="EF784" s="5"/>
      <c r="EG784" s="5"/>
      <c r="EH784" s="5"/>
      <c r="EI784" s="5"/>
      <c r="EJ784" s="5"/>
      <c r="EK784" s="5"/>
      <c r="EL784" s="5"/>
      <c r="EM784" s="5"/>
      <c r="EN784" s="5"/>
      <c r="EO784" s="5"/>
      <c r="EP784" s="5"/>
      <c r="EQ784" s="5"/>
      <c r="ER784" s="5"/>
      <c r="ES784" s="5"/>
      <c r="ET784" s="5"/>
      <c r="EU784" s="5"/>
      <c r="EV784" s="5">
        <v>10450005</v>
      </c>
      <c r="EW784"/>
      <c r="EX784"/>
      <c r="EY784" s="5"/>
      <c r="EZ784" s="5"/>
      <c r="FA784" s="5"/>
      <c r="FB784" s="5"/>
      <c r="FC784" s="5"/>
      <c r="FD784" s="5"/>
      <c r="FE784" s="5"/>
      <c r="FF784" s="5"/>
      <c r="FG784" s="5"/>
      <c r="FH784" s="5"/>
      <c r="FI784" s="5"/>
      <c r="FJ784" s="5"/>
      <c r="FK784" s="5"/>
      <c r="FL784" s="5"/>
      <c r="FM784" s="5"/>
      <c r="FN784" s="5"/>
      <c r="FO784" s="5"/>
      <c r="FP784" s="5"/>
      <c r="FQ784" s="5"/>
      <c r="FR784" s="5"/>
      <c r="FS784" s="5"/>
      <c r="FT784" s="5"/>
      <c r="FU784" s="5"/>
      <c r="FV784" s="5"/>
      <c r="FW784" s="5"/>
      <c r="FX784" s="5"/>
      <c r="FY784" s="5"/>
      <c r="FZ784" s="5"/>
      <c r="GA784" s="5"/>
      <c r="GB784" s="5"/>
      <c r="GC784" s="5"/>
      <c r="GD784" s="5"/>
      <c r="GE784" s="5"/>
      <c r="GF784" s="5"/>
      <c r="GG784" s="5"/>
      <c r="GH784" s="5"/>
      <c r="GI784" s="5"/>
      <c r="GJ784" s="5"/>
      <c r="GK784" s="5"/>
      <c r="GL784" s="5"/>
      <c r="GM784" s="5"/>
      <c r="GN784" s="5"/>
      <c r="GO784" s="5"/>
      <c r="GP784" s="5"/>
      <c r="GQ784" s="5"/>
      <c r="GR784" s="5"/>
      <c r="GS784" s="5"/>
      <c r="GT784" s="5"/>
      <c r="GU784" s="5"/>
      <c r="GV784"/>
      <c r="GW784"/>
      <c r="GX784" s="5">
        <v>0</v>
      </c>
      <c r="GY784" s="5">
        <v>0</v>
      </c>
      <c r="GZ784" s="5" t="inlineStr">
        <is>
          <t xml:space="preserve"/>
        </is>
      </c>
      <c r="HA784" s="5">
        <v>0</v>
      </c>
      <c r="HB784" s="5"/>
      <c r="HC784" s="5"/>
      <c r="HD784" s="5" t="b">
        <v>0</v>
      </c>
      <c r="HE784" s="5">
        <v>0</v>
      </c>
      <c r="HF784" s="5" t="b">
        <v>1</v>
      </c>
      <c r="HG784" s="5">
        <v>0</v>
      </c>
      <c r="HH784" s="5">
        <v>0</v>
      </c>
      <c r="HI784" s="5">
        <v>0</v>
      </c>
      <c r="HJ784" s="5">
        <v>0</v>
      </c>
      <c r="HK784" s="5" t="b">
        <v>0</v>
      </c>
      <c r="HL784" s="5">
        <v>0</v>
      </c>
      <c r="HM784" s="5">
        <v>0</v>
      </c>
      <c r="HN784" s="5" t="s">
        <v>367</v>
      </c>
      <c r="HO784" s="5" t="s">
        <v>360</v>
      </c>
      <c r="HP784" s="5">
        <v>0</v>
      </c>
      <c r="HQ784" s="5">
        <v>0</v>
      </c>
      <c r="HR784" s="5">
        <v>0</v>
      </c>
      <c r="HS784" s="5">
        <v>0</v>
      </c>
      <c r="HT784" s="5" t="b">
        <v>0</v>
      </c>
    </row>
    <row r="785">
      <c r="B785" s="1">
        <v>10450005</v>
      </c>
      <c r="C785" s="5" t="inlineStr">
        <is>
          <t xml:space="preserve">星罗分锋·分段104500</t>
        </is>
      </c>
      <c r="D785" s="5" t="inlineStr">
        <is>
          <t xml:space="preserve">skill_104500_5</t>
        </is>
      </c>
      <c r="E785" s="5" t="s">
        <v>360</v>
      </c>
      <c r="F785" s="5" t="s">
        <v>349</v>
      </c>
      <c r="G785" s="5" t="b">
        <v>0</v>
      </c>
      <c r="H785" s="5" t="b">
        <v>1</v>
      </c>
      <c r="I785" s="5">
        <v>5</v>
      </c>
      <c r="J785" s="5">
        <v>104500</v>
      </c>
      <c r="K785" s="5" t="s">
        <v>350</v>
      </c>
      <c r="L785" s="5">
        <v>0</v>
      </c>
      <c r="M785" s="5">
        <v>10450006</v>
      </c>
      <c r="N785" s="5" t="s">
        <v>535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/>
      <c r="V785" s="5">
        <v>0</v>
      </c>
      <c r="W785" s="5">
        <v>0</v>
      </c>
      <c r="X785" s="5" t="inlineStr">
        <is>
          <t xml:space="preserve">目标方向</t>
        </is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 t="s">
        <v>356</v>
      </c>
      <c r="AZ785" s="5">
        <v>11300</v>
      </c>
      <c r="BA785" s="5" t="inlineStr">
        <is>
          <t xml:space="preserve">技能效果_调用技能</t>
        </is>
      </c>
      <c r="BB785" s="5" t="inlineStr">
        <is>
          <t xml:space="preserve">敌对</t>
        </is>
      </c>
      <c r="BC785" s="5">
        <v>10000</v>
      </c>
      <c r="BD785" s="5">
        <v>0</v>
      </c>
      <c r="BE785" s="5" t="inlineStr">
        <is>
          <t xml:space="preserve">全部</t>
        </is>
      </c>
      <c r="BF785" s="5">
        <v>0</v>
      </c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5"/>
      <c r="CT785" s="5"/>
      <c r="CU785" s="5"/>
      <c r="CV785" s="5"/>
      <c r="CW785" s="5">
        <v>10330005</v>
      </c>
      <c r="CX785"/>
      <c r="CY785"/>
      <c r="CZ785" s="5" t="inlineStr">
        <is>
          <t xml:space="preserve">技能效果_调用技能</t>
        </is>
      </c>
      <c r="DA785" s="5" t="inlineStr">
        <is>
          <t xml:space="preserve">敌对</t>
        </is>
      </c>
      <c r="DB785" s="5">
        <v>10000</v>
      </c>
      <c r="DC785" s="5">
        <v>100</v>
      </c>
      <c r="DD785" s="5" t="inlineStr">
        <is>
          <t xml:space="preserve">全部</t>
        </is>
      </c>
      <c r="DE785" s="5">
        <v>0</v>
      </c>
      <c r="DF785" s="5"/>
      <c r="DG785" s="5"/>
      <c r="DH785" s="5"/>
      <c r="DI785" s="5"/>
      <c r="DJ785" s="5"/>
      <c r="DK785" s="5"/>
      <c r="DL785" s="5"/>
      <c r="DM785" s="5"/>
      <c r="DN785" s="5"/>
      <c r="DO785" s="5"/>
      <c r="DP785" s="5"/>
      <c r="DQ785" s="5"/>
      <c r="DR785" s="5"/>
      <c r="DS785" s="5"/>
      <c r="DT785" s="5"/>
      <c r="DU785" s="5"/>
      <c r="DV785" s="5"/>
      <c r="DW785" s="5"/>
      <c r="DX785" s="5"/>
      <c r="DY785" s="5"/>
      <c r="DZ785" s="5"/>
      <c r="EA785" s="5"/>
      <c r="EB785" s="5"/>
      <c r="EC785" s="5"/>
      <c r="ED785" s="5"/>
      <c r="EE785" s="5"/>
      <c r="EF785" s="5"/>
      <c r="EG785" s="5"/>
      <c r="EH785" s="5"/>
      <c r="EI785" s="5"/>
      <c r="EJ785" s="5"/>
      <c r="EK785" s="5"/>
      <c r="EL785" s="5"/>
      <c r="EM785" s="5"/>
      <c r="EN785" s="5"/>
      <c r="EO785" s="5"/>
      <c r="EP785" s="5"/>
      <c r="EQ785" s="5"/>
      <c r="ER785" s="5"/>
      <c r="ES785" s="5"/>
      <c r="ET785" s="5"/>
      <c r="EU785" s="5"/>
      <c r="EV785" s="5">
        <v>10330005</v>
      </c>
      <c r="EW785"/>
      <c r="EX785"/>
      <c r="EY785" s="5"/>
      <c r="EZ785" s="5"/>
      <c r="FA785" s="5"/>
      <c r="FB785" s="5"/>
      <c r="FC785" s="5"/>
      <c r="FD785" s="5"/>
      <c r="FE785" s="5"/>
      <c r="FF785" s="5"/>
      <c r="FG785" s="5"/>
      <c r="FH785" s="5"/>
      <c r="FI785" s="5"/>
      <c r="FJ785" s="5"/>
      <c r="FK785" s="5"/>
      <c r="FL785" s="5"/>
      <c r="FM785" s="5"/>
      <c r="FN785" s="5"/>
      <c r="FO785" s="5"/>
      <c r="FP785" s="5"/>
      <c r="FQ785" s="5"/>
      <c r="FR785" s="5"/>
      <c r="FS785" s="5"/>
      <c r="FT785" s="5"/>
      <c r="FU785" s="5"/>
      <c r="FV785" s="5"/>
      <c r="FW785" s="5"/>
      <c r="FX785" s="5"/>
      <c r="FY785" s="5"/>
      <c r="FZ785" s="5"/>
      <c r="GA785" s="5"/>
      <c r="GB785" s="5"/>
      <c r="GC785" s="5"/>
      <c r="GD785" s="5"/>
      <c r="GE785" s="5"/>
      <c r="GF785" s="5"/>
      <c r="GG785" s="5"/>
      <c r="GH785" s="5"/>
      <c r="GI785" s="5"/>
      <c r="GJ785" s="5"/>
      <c r="GK785" s="5"/>
      <c r="GL785" s="5"/>
      <c r="GM785" s="5"/>
      <c r="GN785" s="5"/>
      <c r="GO785" s="5"/>
      <c r="GP785" s="5"/>
      <c r="GQ785" s="5"/>
      <c r="GR785" s="5"/>
      <c r="GS785" s="5"/>
      <c r="GT785" s="5"/>
      <c r="GU785" s="5"/>
      <c r="GV785"/>
      <c r="GW785"/>
      <c r="GX785" s="5">
        <v>0</v>
      </c>
      <c r="GY785" s="5">
        <v>0</v>
      </c>
      <c r="GZ785" s="5" t="inlineStr">
        <is>
          <t xml:space="preserve"/>
        </is>
      </c>
      <c r="HA785" s="5">
        <v>0</v>
      </c>
      <c r="HB785" s="5"/>
      <c r="HC785" s="5"/>
      <c r="HD785" s="5" t="b">
        <v>0</v>
      </c>
      <c r="HE785" s="5">
        <v>0</v>
      </c>
      <c r="HF785" s="5" t="b">
        <v>1</v>
      </c>
      <c r="HG785" s="5">
        <v>0</v>
      </c>
      <c r="HH785" s="5">
        <v>0</v>
      </c>
      <c r="HI785" s="5">
        <v>0</v>
      </c>
      <c r="HJ785" s="5">
        <v>0</v>
      </c>
      <c r="HK785" s="5" t="b">
        <v>0</v>
      </c>
      <c r="HL785" s="5">
        <v>0</v>
      </c>
      <c r="HM785" s="5">
        <v>0</v>
      </c>
      <c r="HN785" s="5" t="s">
        <v>367</v>
      </c>
      <c r="HO785" s="5" t="s">
        <v>360</v>
      </c>
      <c r="HP785" s="5">
        <v>0</v>
      </c>
      <c r="HQ785" s="5">
        <v>0</v>
      </c>
      <c r="HR785" s="5">
        <v>0</v>
      </c>
      <c r="HS785" s="5">
        <v>0</v>
      </c>
      <c r="HT785" s="5" t="b">
        <v>0</v>
      </c>
    </row>
    <row r="786">
      <c r="B786" s="1">
        <v>10420006</v>
      </c>
      <c r="C786" s="5" t="inlineStr">
        <is>
          <t xml:space="preserve">赤霄焚野·计时</t>
        </is>
      </c>
      <c r="D786" s="5" t="inlineStr">
        <is>
          <t xml:space="preserve">skill_104200_6</t>
        </is>
      </c>
      <c r="E786" s="5" t="inlineStr">
        <is>
          <t xml:space="preserve">无</t>
        </is>
      </c>
      <c r="F786" s="5" t="s">
        <v>391</v>
      </c>
      <c r="G786" s="5" t="b">
        <v>0</v>
      </c>
      <c r="H786" s="5" t="b">
        <v>1</v>
      </c>
      <c r="I786" s="5">
        <v>6</v>
      </c>
      <c r="J786" s="5">
        <v>104200</v>
      </c>
      <c r="K786" s="5" t="s">
        <v>350</v>
      </c>
      <c r="L786" s="5">
        <v>10110005</v>
      </c>
      <c r="M786" s="5">
        <v>10420007</v>
      </c>
      <c r="N786" s="5" t="s">
        <v>400</v>
      </c>
      <c r="O786" s="5">
        <v>10202010</v>
      </c>
      <c r="P786" s="5">
        <v>0</v>
      </c>
      <c r="Q786" s="5">
        <v>0</v>
      </c>
      <c r="R786" s="5">
        <v>30</v>
      </c>
      <c r="S786" s="5">
        <v>0</v>
      </c>
      <c r="T786" s="5">
        <v>100</v>
      </c>
      <c r="U786" s="5" t="s">
        <v>364</v>
      </c>
      <c r="V786" s="5">
        <v>0</v>
      </c>
      <c r="W786" s="5">
        <v>0</v>
      </c>
      <c r="X786" s="5" t="inlineStr">
        <is>
          <t xml:space="preserve">目标方向</t>
        </is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 t="s">
        <v>381</v>
      </c>
      <c r="AZ786" s="5">
        <v>11600</v>
      </c>
      <c r="BA786" s="5" t="inlineStr">
        <is>
          <t xml:space="preserve">技能效果_调用技能</t>
        </is>
      </c>
      <c r="BB786" s="5" t="inlineStr">
        <is>
          <t xml:space="preserve">敌对</t>
        </is>
      </c>
      <c r="BC786" s="5">
        <v>10000</v>
      </c>
      <c r="BD786" s="5">
        <v>1000</v>
      </c>
      <c r="BE786" s="5" t="inlineStr">
        <is>
          <t xml:space="preserve">全部</t>
        </is>
      </c>
      <c r="BF786" s="5">
        <v>0</v>
      </c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5"/>
      <c r="CT786" s="5"/>
      <c r="CU786" s="5"/>
      <c r="CV786" s="5"/>
      <c r="CW786" s="5">
        <v>10410006</v>
      </c>
      <c r="CX786"/>
      <c r="CY786"/>
      <c r="CZ786" s="5" t="inlineStr">
        <is>
          <t xml:space="preserve">技能效果_调用技能</t>
        </is>
      </c>
      <c r="DA786" s="5" t="inlineStr">
        <is>
          <t xml:space="preserve">敌对</t>
        </is>
      </c>
      <c r="DB786" s="5">
        <v>10000</v>
      </c>
      <c r="DC786" s="5">
        <v>2000</v>
      </c>
      <c r="DD786" s="5" t="inlineStr">
        <is>
          <t xml:space="preserve">全部</t>
        </is>
      </c>
      <c r="DE786" s="5">
        <v>0</v>
      </c>
      <c r="DF786" s="5"/>
      <c r="DG786" s="5"/>
      <c r="DH786" s="5"/>
      <c r="DI786" s="5"/>
      <c r="DJ786" s="5"/>
      <c r="DK786" s="5"/>
      <c r="DL786" s="5"/>
      <c r="DM786" s="5"/>
      <c r="DN786" s="5"/>
      <c r="DO786" s="5"/>
      <c r="DP786" s="5"/>
      <c r="DQ786" s="5"/>
      <c r="DR786" s="5"/>
      <c r="DS786" s="5"/>
      <c r="DT786" s="5"/>
      <c r="DU786" s="5"/>
      <c r="DV786" s="5"/>
      <c r="DW786" s="5"/>
      <c r="DX786" s="5"/>
      <c r="DY786" s="5"/>
      <c r="DZ786" s="5"/>
      <c r="EA786" s="5"/>
      <c r="EB786" s="5"/>
      <c r="EC786" s="5"/>
      <c r="ED786" s="5"/>
      <c r="EE786" s="5"/>
      <c r="EF786" s="5"/>
      <c r="EG786" s="5"/>
      <c r="EH786" s="5"/>
      <c r="EI786" s="5"/>
      <c r="EJ786" s="5"/>
      <c r="EK786" s="5"/>
      <c r="EL786" s="5"/>
      <c r="EM786" s="5"/>
      <c r="EN786" s="5"/>
      <c r="EO786" s="5"/>
      <c r="EP786" s="5"/>
      <c r="EQ786" s="5"/>
      <c r="ER786" s="5"/>
      <c r="ES786" s="5"/>
      <c r="ET786" s="5"/>
      <c r="EU786" s="5"/>
      <c r="EV786" s="5">
        <v>10410006</v>
      </c>
      <c r="EW786"/>
      <c r="EX786"/>
      <c r="EY786" s="5"/>
      <c r="EZ786" s="5"/>
      <c r="FA786" s="5"/>
      <c r="FB786" s="5"/>
      <c r="FC786" s="5"/>
      <c r="FD786" s="5"/>
      <c r="FE786" s="5"/>
      <c r="FF786" s="5"/>
      <c r="FG786" s="5"/>
      <c r="FH786" s="5"/>
      <c r="FI786" s="5"/>
      <c r="FJ786" s="5"/>
      <c r="FK786" s="5"/>
      <c r="FL786" s="5"/>
      <c r="FM786" s="5"/>
      <c r="FN786" s="5"/>
      <c r="FO786" s="5"/>
      <c r="FP786" s="5"/>
      <c r="FQ786" s="5"/>
      <c r="FR786" s="5"/>
      <c r="FS786" s="5"/>
      <c r="FT786" s="5"/>
      <c r="FU786" s="5"/>
      <c r="FV786" s="5"/>
      <c r="FW786" s="5"/>
      <c r="FX786" s="5"/>
      <c r="FY786" s="5"/>
      <c r="FZ786" s="5"/>
      <c r="GA786" s="5"/>
      <c r="GB786" s="5"/>
      <c r="GC786" s="5"/>
      <c r="GD786" s="5"/>
      <c r="GE786" s="5"/>
      <c r="GF786" s="5"/>
      <c r="GG786" s="5"/>
      <c r="GH786" s="5"/>
      <c r="GI786" s="5"/>
      <c r="GJ786" s="5"/>
      <c r="GK786" s="5"/>
      <c r="GL786" s="5"/>
      <c r="GM786" s="5"/>
      <c r="GN786" s="5"/>
      <c r="GO786" s="5"/>
      <c r="GP786" s="5"/>
      <c r="GQ786" s="5"/>
      <c r="GR786" s="5"/>
      <c r="GS786" s="5"/>
      <c r="GT786" s="5"/>
      <c r="GU786" s="5"/>
      <c r="GV786"/>
      <c r="GW786"/>
      <c r="GX786" s="5">
        <v>0</v>
      </c>
      <c r="GY786" s="5">
        <v>0</v>
      </c>
      <c r="GZ786" s="5" t="inlineStr">
        <is>
          <t xml:space="preserve"/>
        </is>
      </c>
      <c r="HA786" s="5">
        <v>0</v>
      </c>
      <c r="HB786" s="5">
        <v>0</v>
      </c>
      <c r="HC786" s="5" t="s">
        <v>366</v>
      </c>
      <c r="HD786" s="5" t="b">
        <v>1</v>
      </c>
      <c r="HE786" s="5">
        <v>0</v>
      </c>
      <c r="HF786" s="5" t="b">
        <v>0</v>
      </c>
      <c r="HG786" s="5">
        <v>0</v>
      </c>
      <c r="HH786" s="5">
        <v>0</v>
      </c>
      <c r="HI786" s="5">
        <v>0</v>
      </c>
      <c r="HJ786" s="5">
        <v>0</v>
      </c>
      <c r="HK786" s="5" t="b">
        <v>0</v>
      </c>
      <c r="HL786" s="5">
        <v>0</v>
      </c>
      <c r="HM786" s="5">
        <v>10001</v>
      </c>
      <c r="HN786" s="5" t="s">
        <v>367</v>
      </c>
      <c r="HO786" s="5" t="s">
        <v>360</v>
      </c>
      <c r="HP786" s="5">
        <v>0</v>
      </c>
      <c r="HQ786" s="5">
        <v>0</v>
      </c>
      <c r="HR786" s="5">
        <v>0</v>
      </c>
      <c r="HS786" s="5">
        <v>0</v>
      </c>
      <c r="HT786" s="5" t="b">
        <v>0</v>
      </c>
    </row>
    <row r="787">
      <c r="B787" s="1">
        <v>10430006</v>
      </c>
      <c r="C787" s="5" t="inlineStr">
        <is>
          <t xml:space="preserve">星罗分锋·分段104300</t>
        </is>
      </c>
      <c r="D787" s="5" t="inlineStr">
        <is>
          <t xml:space="preserve">skill_104300_6</t>
        </is>
      </c>
      <c r="E787" s="5" t="s">
        <v>360</v>
      </c>
      <c r="F787" s="5" t="s">
        <v>349</v>
      </c>
      <c r="G787" s="5" t="b">
        <v>0</v>
      </c>
      <c r="H787" s="5" t="b">
        <v>1</v>
      </c>
      <c r="I787" s="5">
        <v>6</v>
      </c>
      <c r="J787" s="5">
        <v>104300</v>
      </c>
      <c r="K787" s="5" t="s">
        <v>350</v>
      </c>
      <c r="L787" s="5">
        <v>0</v>
      </c>
      <c r="M787" s="5">
        <v>10430007</v>
      </c>
      <c r="N787" s="5" t="s">
        <v>535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/>
      <c r="V787" s="5">
        <v>0</v>
      </c>
      <c r="W787" s="5">
        <v>0</v>
      </c>
      <c r="X787" s="5" t="inlineStr">
        <is>
          <t xml:space="preserve">目标方向</t>
        </is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 t="s">
        <v>356</v>
      </c>
      <c r="AZ787" s="5">
        <v>11600</v>
      </c>
      <c r="BA787" s="5" t="inlineStr">
        <is>
          <t xml:space="preserve">技能效果_调用技能</t>
        </is>
      </c>
      <c r="BB787" s="5" t="inlineStr">
        <is>
          <t xml:space="preserve">敌对</t>
        </is>
      </c>
      <c r="BC787" s="5">
        <v>10000</v>
      </c>
      <c r="BD787" s="5">
        <v>0</v>
      </c>
      <c r="BE787" s="5" t="inlineStr">
        <is>
          <t xml:space="preserve">全部</t>
        </is>
      </c>
      <c r="BF787" s="5">
        <v>0</v>
      </c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5"/>
      <c r="CT787" s="5"/>
      <c r="CU787" s="5"/>
      <c r="CV787" s="5"/>
      <c r="CW787" s="5">
        <v>10440006</v>
      </c>
      <c r="CX787"/>
      <c r="CY787"/>
      <c r="CZ787" s="5" t="inlineStr">
        <is>
          <t xml:space="preserve">技能效果_调用技能</t>
        </is>
      </c>
      <c r="DA787" s="5" t="inlineStr">
        <is>
          <t xml:space="preserve">敌对</t>
        </is>
      </c>
      <c r="DB787" s="5">
        <v>10000</v>
      </c>
      <c r="DC787" s="5">
        <v>400</v>
      </c>
      <c r="DD787" s="5" t="inlineStr">
        <is>
          <t xml:space="preserve">全部</t>
        </is>
      </c>
      <c r="DE787" s="5">
        <v>0</v>
      </c>
      <c r="DF787" s="5"/>
      <c r="DG787" s="5"/>
      <c r="DH787" s="5"/>
      <c r="DI787" s="5"/>
      <c r="DJ787" s="5"/>
      <c r="DK787" s="5"/>
      <c r="DL787" s="5"/>
      <c r="DM787" s="5"/>
      <c r="DN787" s="5"/>
      <c r="DO787" s="5"/>
      <c r="DP787" s="5"/>
      <c r="DQ787" s="5"/>
      <c r="DR787" s="5"/>
      <c r="DS787" s="5"/>
      <c r="DT787" s="5"/>
      <c r="DU787" s="5"/>
      <c r="DV787" s="5"/>
      <c r="DW787" s="5"/>
      <c r="DX787" s="5"/>
      <c r="DY787" s="5"/>
      <c r="DZ787" s="5"/>
      <c r="EA787" s="5"/>
      <c r="EB787" s="5"/>
      <c r="EC787" s="5"/>
      <c r="ED787" s="5"/>
      <c r="EE787" s="5"/>
      <c r="EF787" s="5"/>
      <c r="EG787" s="5"/>
      <c r="EH787" s="5"/>
      <c r="EI787" s="5"/>
      <c r="EJ787" s="5"/>
      <c r="EK787" s="5"/>
      <c r="EL787" s="5"/>
      <c r="EM787" s="5"/>
      <c r="EN787" s="5"/>
      <c r="EO787" s="5"/>
      <c r="EP787" s="5"/>
      <c r="EQ787" s="5"/>
      <c r="ER787" s="5"/>
      <c r="ES787" s="5"/>
      <c r="ET787" s="5"/>
      <c r="EU787" s="5"/>
      <c r="EV787" s="5">
        <v>10440006</v>
      </c>
      <c r="EW787"/>
      <c r="EX787"/>
      <c r="EY787" s="5"/>
      <c r="EZ787" s="5"/>
      <c r="FA787" s="5"/>
      <c r="FB787" s="5"/>
      <c r="FC787" s="5"/>
      <c r="FD787" s="5"/>
      <c r="FE787" s="5"/>
      <c r="FF787" s="5"/>
      <c r="FG787" s="5"/>
      <c r="FH787" s="5"/>
      <c r="FI787" s="5"/>
      <c r="FJ787" s="5"/>
      <c r="FK787" s="5"/>
      <c r="FL787" s="5"/>
      <c r="FM787" s="5"/>
      <c r="FN787" s="5"/>
      <c r="FO787" s="5"/>
      <c r="FP787" s="5"/>
      <c r="FQ787" s="5"/>
      <c r="FR787" s="5"/>
      <c r="FS787" s="5"/>
      <c r="FT787" s="5"/>
      <c r="FU787" s="5"/>
      <c r="FV787" s="5"/>
      <c r="FW787" s="5"/>
      <c r="FX787" s="5"/>
      <c r="FY787" s="5"/>
      <c r="FZ787" s="5"/>
      <c r="GA787" s="5"/>
      <c r="GB787" s="5"/>
      <c r="GC787" s="5"/>
      <c r="GD787" s="5"/>
      <c r="GE787" s="5"/>
      <c r="GF787" s="5"/>
      <c r="GG787" s="5"/>
      <c r="GH787" s="5"/>
      <c r="GI787" s="5"/>
      <c r="GJ787" s="5"/>
      <c r="GK787" s="5"/>
      <c r="GL787" s="5"/>
      <c r="GM787" s="5"/>
      <c r="GN787" s="5"/>
      <c r="GO787" s="5"/>
      <c r="GP787" s="5"/>
      <c r="GQ787" s="5"/>
      <c r="GR787" s="5"/>
      <c r="GS787" s="5"/>
      <c r="GT787" s="5"/>
      <c r="GU787" s="5"/>
      <c r="GV787"/>
      <c r="GW787"/>
      <c r="GX787" s="5">
        <v>0</v>
      </c>
      <c r="GY787" s="5">
        <v>0</v>
      </c>
      <c r="GZ787" s="5" t="inlineStr">
        <is>
          <t xml:space="preserve"/>
        </is>
      </c>
      <c r="HA787" s="5">
        <v>0</v>
      </c>
      <c r="HB787" s="5"/>
      <c r="HC787" s="5"/>
      <c r="HD787" s="5" t="b">
        <v>0</v>
      </c>
      <c r="HE787" s="5">
        <v>0</v>
      </c>
      <c r="HF787" s="5" t="b">
        <v>1</v>
      </c>
      <c r="HG787" s="5">
        <v>0</v>
      </c>
      <c r="HH787" s="5">
        <v>0</v>
      </c>
      <c r="HI787" s="5">
        <v>0</v>
      </c>
      <c r="HJ787" s="5">
        <v>0</v>
      </c>
      <c r="HK787" s="5" t="b">
        <v>0</v>
      </c>
      <c r="HL787" s="5">
        <v>0</v>
      </c>
      <c r="HM787" s="5">
        <v>0</v>
      </c>
      <c r="HN787" s="5" t="s">
        <v>367</v>
      </c>
      <c r="HO787" s="5" t="s">
        <v>360</v>
      </c>
      <c r="HP787" s="5">
        <v>0</v>
      </c>
      <c r="HQ787" s="5">
        <v>0</v>
      </c>
      <c r="HR787" s="5">
        <v>0</v>
      </c>
      <c r="HS787" s="5">
        <v>0</v>
      </c>
      <c r="HT787" s="5" t="b">
        <v>0</v>
      </c>
    </row>
    <row r="788">
      <c r="B788" s="1">
        <v>10440006</v>
      </c>
      <c r="C788" s="5" t="inlineStr">
        <is>
          <t xml:space="preserve">星罗分锋·分段104400</t>
        </is>
      </c>
      <c r="D788" s="5" t="inlineStr">
        <is>
          <t xml:space="preserve">skill_104400_6</t>
        </is>
      </c>
      <c r="E788" s="5" t="s">
        <v>360</v>
      </c>
      <c r="F788" s="5" t="s">
        <v>349</v>
      </c>
      <c r="G788" s="5" t="b">
        <v>0</v>
      </c>
      <c r="H788" s="5" t="b">
        <v>1</v>
      </c>
      <c r="I788" s="5">
        <v>6</v>
      </c>
      <c r="J788" s="5">
        <v>104400</v>
      </c>
      <c r="K788" s="5" t="s">
        <v>350</v>
      </c>
      <c r="L788" s="5">
        <v>0</v>
      </c>
      <c r="M788" s="5">
        <v>10440007</v>
      </c>
      <c r="N788" s="5" t="s">
        <v>535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/>
      <c r="V788" s="5">
        <v>0</v>
      </c>
      <c r="W788" s="5">
        <v>0</v>
      </c>
      <c r="X788" s="5" t="inlineStr">
        <is>
          <t xml:space="preserve">目标方向</t>
        </is>
      </c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 t="s">
        <v>356</v>
      </c>
      <c r="AZ788" s="5">
        <v>11600</v>
      </c>
      <c r="BA788" s="5" t="inlineStr">
        <is>
          <t xml:space="preserve">技能效果_调用技能</t>
        </is>
      </c>
      <c r="BB788" s="5" t="inlineStr">
        <is>
          <t xml:space="preserve">敌对</t>
        </is>
      </c>
      <c r="BC788" s="5">
        <v>10000</v>
      </c>
      <c r="BD788" s="5">
        <v>0</v>
      </c>
      <c r="BE788" s="5" t="inlineStr">
        <is>
          <t xml:space="preserve">全部</t>
        </is>
      </c>
      <c r="BF788" s="5">
        <v>0</v>
      </c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5"/>
      <c r="CT788" s="5"/>
      <c r="CU788" s="5"/>
      <c r="CV788" s="5"/>
      <c r="CW788" s="5">
        <v>10450006</v>
      </c>
      <c r="CX788"/>
      <c r="CY788"/>
      <c r="CZ788" s="5" t="inlineStr">
        <is>
          <t xml:space="preserve">技能效果_调用技能</t>
        </is>
      </c>
      <c r="DA788" s="5" t="inlineStr">
        <is>
          <t xml:space="preserve">敌对</t>
        </is>
      </c>
      <c r="DB788" s="5">
        <v>10000</v>
      </c>
      <c r="DC788" s="5">
        <v>200</v>
      </c>
      <c r="DD788" s="5" t="inlineStr">
        <is>
          <t xml:space="preserve">全部</t>
        </is>
      </c>
      <c r="DE788" s="5">
        <v>0</v>
      </c>
      <c r="DF788" s="5"/>
      <c r="DG788" s="5"/>
      <c r="DH788" s="5"/>
      <c r="DI788" s="5"/>
      <c r="DJ788" s="5"/>
      <c r="DK788" s="5"/>
      <c r="DL788" s="5"/>
      <c r="DM788" s="5"/>
      <c r="DN788" s="5"/>
      <c r="DO788" s="5"/>
      <c r="DP788" s="5"/>
      <c r="DQ788" s="5"/>
      <c r="DR788" s="5"/>
      <c r="DS788" s="5"/>
      <c r="DT788" s="5"/>
      <c r="DU788" s="5"/>
      <c r="DV788" s="5"/>
      <c r="DW788" s="5"/>
      <c r="DX788" s="5"/>
      <c r="DY788" s="5"/>
      <c r="DZ788" s="5"/>
      <c r="EA788" s="5"/>
      <c r="EB788" s="5"/>
      <c r="EC788" s="5"/>
      <c r="ED788" s="5"/>
      <c r="EE788" s="5"/>
      <c r="EF788" s="5"/>
      <c r="EG788" s="5"/>
      <c r="EH788" s="5"/>
      <c r="EI788" s="5"/>
      <c r="EJ788" s="5"/>
      <c r="EK788" s="5"/>
      <c r="EL788" s="5"/>
      <c r="EM788" s="5"/>
      <c r="EN788" s="5"/>
      <c r="EO788" s="5"/>
      <c r="EP788" s="5"/>
      <c r="EQ788" s="5"/>
      <c r="ER788" s="5"/>
      <c r="ES788" s="5"/>
      <c r="ET788" s="5"/>
      <c r="EU788" s="5"/>
      <c r="EV788" s="5">
        <v>10450006</v>
      </c>
      <c r="EW788"/>
      <c r="EX788"/>
      <c r="EY788" s="5"/>
      <c r="EZ788" s="5"/>
      <c r="FA788" s="5"/>
      <c r="FB788" s="5"/>
      <c r="FC788" s="5"/>
      <c r="FD788" s="5"/>
      <c r="FE788" s="5"/>
      <c r="FF788" s="5"/>
      <c r="FG788" s="5"/>
      <c r="FH788" s="5"/>
      <c r="FI788" s="5"/>
      <c r="FJ788" s="5"/>
      <c r="FK788" s="5"/>
      <c r="FL788" s="5"/>
      <c r="FM788" s="5"/>
      <c r="FN788" s="5"/>
      <c r="FO788" s="5"/>
      <c r="FP788" s="5"/>
      <c r="FQ788" s="5"/>
      <c r="FR788" s="5"/>
      <c r="FS788" s="5"/>
      <c r="FT788" s="5"/>
      <c r="FU788" s="5"/>
      <c r="FV788" s="5"/>
      <c r="FW788" s="5"/>
      <c r="FX788" s="5"/>
      <c r="FY788" s="5"/>
      <c r="FZ788" s="5"/>
      <c r="GA788" s="5"/>
      <c r="GB788" s="5"/>
      <c r="GC788" s="5"/>
      <c r="GD788" s="5"/>
      <c r="GE788" s="5"/>
      <c r="GF788" s="5"/>
      <c r="GG788" s="5"/>
      <c r="GH788" s="5"/>
      <c r="GI788" s="5"/>
      <c r="GJ788" s="5"/>
      <c r="GK788" s="5"/>
      <c r="GL788" s="5"/>
      <c r="GM788" s="5"/>
      <c r="GN788" s="5"/>
      <c r="GO788" s="5"/>
      <c r="GP788" s="5"/>
      <c r="GQ788" s="5"/>
      <c r="GR788" s="5"/>
      <c r="GS788" s="5"/>
      <c r="GT788" s="5"/>
      <c r="GU788" s="5"/>
      <c r="GV788"/>
      <c r="GW788"/>
      <c r="GX788" s="5">
        <v>0</v>
      </c>
      <c r="GY788" s="5">
        <v>0</v>
      </c>
      <c r="GZ788" s="5" t="inlineStr">
        <is>
          <t xml:space="preserve"/>
        </is>
      </c>
      <c r="HA788" s="5">
        <v>0</v>
      </c>
      <c r="HB788" s="5"/>
      <c r="HC788" s="5"/>
      <c r="HD788" s="5" t="b">
        <v>0</v>
      </c>
      <c r="HE788" s="5">
        <v>0</v>
      </c>
      <c r="HF788" s="5" t="b">
        <v>1</v>
      </c>
      <c r="HG788" s="5">
        <v>0</v>
      </c>
      <c r="HH788" s="5">
        <v>0</v>
      </c>
      <c r="HI788" s="5">
        <v>0</v>
      </c>
      <c r="HJ788" s="5">
        <v>0</v>
      </c>
      <c r="HK788" s="5" t="b">
        <v>0</v>
      </c>
      <c r="HL788" s="5">
        <v>0</v>
      </c>
      <c r="HM788" s="5">
        <v>0</v>
      </c>
      <c r="HN788" s="5" t="s">
        <v>367</v>
      </c>
      <c r="HO788" s="5" t="s">
        <v>360</v>
      </c>
      <c r="HP788" s="5">
        <v>0</v>
      </c>
      <c r="HQ788" s="5">
        <v>0</v>
      </c>
      <c r="HR788" s="5">
        <v>0</v>
      </c>
      <c r="HS788" s="5">
        <v>0</v>
      </c>
      <c r="HT788" s="5" t="b">
        <v>0</v>
      </c>
    </row>
    <row r="789">
      <c r="B789" s="1">
        <v>10450006</v>
      </c>
      <c r="C789" s="5" t="inlineStr">
        <is>
          <t xml:space="preserve">星罗分锋·分段104500</t>
        </is>
      </c>
      <c r="D789" s="5" t="inlineStr">
        <is>
          <t xml:space="preserve">skill_104500_6</t>
        </is>
      </c>
      <c r="E789" s="5" t="s">
        <v>360</v>
      </c>
      <c r="F789" s="5" t="s">
        <v>349</v>
      </c>
      <c r="G789" s="5" t="b">
        <v>0</v>
      </c>
      <c r="H789" s="5" t="b">
        <v>1</v>
      </c>
      <c r="I789" s="5">
        <v>6</v>
      </c>
      <c r="J789" s="5">
        <v>104500</v>
      </c>
      <c r="K789" s="5" t="s">
        <v>350</v>
      </c>
      <c r="L789" s="5">
        <v>0</v>
      </c>
      <c r="M789" s="5">
        <v>10450007</v>
      </c>
      <c r="N789" s="5" t="s">
        <v>535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/>
      <c r="V789" s="5">
        <v>0</v>
      </c>
      <c r="W789" s="5">
        <v>0</v>
      </c>
      <c r="X789" s="5" t="inlineStr">
        <is>
          <t xml:space="preserve">目标方向</t>
        </is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 t="s">
        <v>356</v>
      </c>
      <c r="AZ789" s="5">
        <v>11600</v>
      </c>
      <c r="BA789" s="5" t="inlineStr">
        <is>
          <t xml:space="preserve">技能效果_调用技能</t>
        </is>
      </c>
      <c r="BB789" s="5" t="inlineStr">
        <is>
          <t xml:space="preserve">敌对</t>
        </is>
      </c>
      <c r="BC789" s="5">
        <v>10000</v>
      </c>
      <c r="BD789" s="5">
        <v>0</v>
      </c>
      <c r="BE789" s="5" t="inlineStr">
        <is>
          <t xml:space="preserve">全部</t>
        </is>
      </c>
      <c r="BF789" s="5">
        <v>0</v>
      </c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5"/>
      <c r="CT789" s="5"/>
      <c r="CU789" s="5"/>
      <c r="CV789" s="5"/>
      <c r="CW789" s="5">
        <v>10330006</v>
      </c>
      <c r="CX789"/>
      <c r="CY789"/>
      <c r="CZ789" s="5" t="inlineStr">
        <is>
          <t xml:space="preserve">技能效果_调用技能</t>
        </is>
      </c>
      <c r="DA789" s="5" t="inlineStr">
        <is>
          <t xml:space="preserve">敌对</t>
        </is>
      </c>
      <c r="DB789" s="5">
        <v>10000</v>
      </c>
      <c r="DC789" s="5">
        <v>100</v>
      </c>
      <c r="DD789" s="5" t="inlineStr">
        <is>
          <t xml:space="preserve">全部</t>
        </is>
      </c>
      <c r="DE789" s="5">
        <v>0</v>
      </c>
      <c r="DF789" s="5"/>
      <c r="DG789" s="5"/>
      <c r="DH789" s="5"/>
      <c r="DI789" s="5"/>
      <c r="DJ789" s="5"/>
      <c r="DK789" s="5"/>
      <c r="DL789" s="5"/>
      <c r="DM789" s="5"/>
      <c r="DN789" s="5"/>
      <c r="DO789" s="5"/>
      <c r="DP789" s="5"/>
      <c r="DQ789" s="5"/>
      <c r="DR789" s="5"/>
      <c r="DS789" s="5"/>
      <c r="DT789" s="5"/>
      <c r="DU789" s="5"/>
      <c r="DV789" s="5"/>
      <c r="DW789" s="5"/>
      <c r="DX789" s="5"/>
      <c r="DY789" s="5"/>
      <c r="DZ789" s="5"/>
      <c r="EA789" s="5"/>
      <c r="EB789" s="5"/>
      <c r="EC789" s="5"/>
      <c r="ED789" s="5"/>
      <c r="EE789" s="5"/>
      <c r="EF789" s="5"/>
      <c r="EG789" s="5"/>
      <c r="EH789" s="5"/>
      <c r="EI789" s="5"/>
      <c r="EJ789" s="5"/>
      <c r="EK789" s="5"/>
      <c r="EL789" s="5"/>
      <c r="EM789" s="5"/>
      <c r="EN789" s="5"/>
      <c r="EO789" s="5"/>
      <c r="EP789" s="5"/>
      <c r="EQ789" s="5"/>
      <c r="ER789" s="5"/>
      <c r="ES789" s="5"/>
      <c r="ET789" s="5"/>
      <c r="EU789" s="5"/>
      <c r="EV789" s="5">
        <v>10330006</v>
      </c>
      <c r="EW789"/>
      <c r="EX789"/>
      <c r="EY789" s="5"/>
      <c r="EZ789" s="5"/>
      <c r="FA789" s="5"/>
      <c r="FB789" s="5"/>
      <c r="FC789" s="5"/>
      <c r="FD789" s="5"/>
      <c r="FE789" s="5"/>
      <c r="FF789" s="5"/>
      <c r="FG789" s="5"/>
      <c r="FH789" s="5"/>
      <c r="FI789" s="5"/>
      <c r="FJ789" s="5"/>
      <c r="FK789" s="5"/>
      <c r="FL789" s="5"/>
      <c r="FM789" s="5"/>
      <c r="FN789" s="5"/>
      <c r="FO789" s="5"/>
      <c r="FP789" s="5"/>
      <c r="FQ789" s="5"/>
      <c r="FR789" s="5"/>
      <c r="FS789" s="5"/>
      <c r="FT789" s="5"/>
      <c r="FU789" s="5"/>
      <c r="FV789" s="5"/>
      <c r="FW789" s="5"/>
      <c r="FX789" s="5"/>
      <c r="FY789" s="5"/>
      <c r="FZ789" s="5"/>
      <c r="GA789" s="5"/>
      <c r="GB789" s="5"/>
      <c r="GC789" s="5"/>
      <c r="GD789" s="5"/>
      <c r="GE789" s="5"/>
      <c r="GF789" s="5"/>
      <c r="GG789" s="5"/>
      <c r="GH789" s="5"/>
      <c r="GI789" s="5"/>
      <c r="GJ789" s="5"/>
      <c r="GK789" s="5"/>
      <c r="GL789" s="5"/>
      <c r="GM789" s="5"/>
      <c r="GN789" s="5"/>
      <c r="GO789" s="5"/>
      <c r="GP789" s="5"/>
      <c r="GQ789" s="5"/>
      <c r="GR789" s="5"/>
      <c r="GS789" s="5"/>
      <c r="GT789" s="5"/>
      <c r="GU789" s="5"/>
      <c r="GV789"/>
      <c r="GW789"/>
      <c r="GX789" s="5">
        <v>0</v>
      </c>
      <c r="GY789" s="5">
        <v>0</v>
      </c>
      <c r="GZ789" s="5" t="inlineStr">
        <is>
          <t xml:space="preserve"/>
        </is>
      </c>
      <c r="HA789" s="5">
        <v>0</v>
      </c>
      <c r="HB789" s="5"/>
      <c r="HC789" s="5"/>
      <c r="HD789" s="5" t="b">
        <v>0</v>
      </c>
      <c r="HE789" s="5">
        <v>0</v>
      </c>
      <c r="HF789" s="5" t="b">
        <v>1</v>
      </c>
      <c r="HG789" s="5">
        <v>0</v>
      </c>
      <c r="HH789" s="5">
        <v>0</v>
      </c>
      <c r="HI789" s="5">
        <v>0</v>
      </c>
      <c r="HJ789" s="5">
        <v>0</v>
      </c>
      <c r="HK789" s="5" t="b">
        <v>0</v>
      </c>
      <c r="HL789" s="5">
        <v>0</v>
      </c>
      <c r="HM789" s="5">
        <v>0</v>
      </c>
      <c r="HN789" s="5" t="s">
        <v>367</v>
      </c>
      <c r="HO789" s="5" t="s">
        <v>360</v>
      </c>
      <c r="HP789" s="5">
        <v>0</v>
      </c>
      <c r="HQ789" s="5">
        <v>0</v>
      </c>
      <c r="HR789" s="5">
        <v>0</v>
      </c>
      <c r="HS789" s="5">
        <v>0</v>
      </c>
      <c r="HT789" s="5" t="b">
        <v>0</v>
      </c>
    </row>
    <row r="790">
      <c r="B790" s="1">
        <v>10420007</v>
      </c>
      <c r="C790" s="5" t="inlineStr">
        <is>
          <t xml:space="preserve">赤霄焚野·计时</t>
        </is>
      </c>
      <c r="D790" s="5" t="inlineStr">
        <is>
          <t xml:space="preserve">skill_104200_7</t>
        </is>
      </c>
      <c r="E790" s="5" t="inlineStr">
        <is>
          <t xml:space="preserve">无</t>
        </is>
      </c>
      <c r="F790" s="5" t="s">
        <v>391</v>
      </c>
      <c r="G790" s="5" t="b">
        <v>0</v>
      </c>
      <c r="H790" s="5" t="b">
        <v>1</v>
      </c>
      <c r="I790" s="5">
        <v>7</v>
      </c>
      <c r="J790" s="5">
        <v>104200</v>
      </c>
      <c r="K790" s="5" t="s">
        <v>350</v>
      </c>
      <c r="L790" s="5">
        <v>10110006</v>
      </c>
      <c r="M790" s="5">
        <v>10420008</v>
      </c>
      <c r="N790" s="5" t="s">
        <v>400</v>
      </c>
      <c r="O790" s="5">
        <v>10202010</v>
      </c>
      <c r="P790" s="5">
        <v>0</v>
      </c>
      <c r="Q790" s="5">
        <v>0</v>
      </c>
      <c r="R790" s="5">
        <v>35</v>
      </c>
      <c r="S790" s="5">
        <v>0</v>
      </c>
      <c r="T790" s="5">
        <v>100</v>
      </c>
      <c r="U790" s="5" t="s">
        <v>364</v>
      </c>
      <c r="V790" s="5">
        <v>0</v>
      </c>
      <c r="W790" s="5">
        <v>0</v>
      </c>
      <c r="X790" s="5" t="inlineStr">
        <is>
          <t xml:space="preserve">目标方向</t>
        </is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 t="s">
        <v>381</v>
      </c>
      <c r="AZ790" s="5">
        <v>11700</v>
      </c>
      <c r="BA790" s="5" t="inlineStr">
        <is>
          <t xml:space="preserve">技能效果_调用技能</t>
        </is>
      </c>
      <c r="BB790" s="5" t="inlineStr">
        <is>
          <t xml:space="preserve">敌对</t>
        </is>
      </c>
      <c r="BC790" s="5">
        <v>10000</v>
      </c>
      <c r="BD790" s="5">
        <v>1000</v>
      </c>
      <c r="BE790" s="5" t="inlineStr">
        <is>
          <t xml:space="preserve">全部</t>
        </is>
      </c>
      <c r="BF790" s="5">
        <v>0</v>
      </c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5"/>
      <c r="CT790" s="5"/>
      <c r="CU790" s="5"/>
      <c r="CV790" s="5"/>
      <c r="CW790" s="5">
        <v>10410007</v>
      </c>
      <c r="CX790"/>
      <c r="CY790"/>
      <c r="CZ790" s="5" t="inlineStr">
        <is>
          <t xml:space="preserve">技能效果_调用技能</t>
        </is>
      </c>
      <c r="DA790" s="5" t="inlineStr">
        <is>
          <t xml:space="preserve">敌对</t>
        </is>
      </c>
      <c r="DB790" s="5">
        <v>10000</v>
      </c>
      <c r="DC790" s="5">
        <v>2000</v>
      </c>
      <c r="DD790" s="5" t="inlineStr">
        <is>
          <t xml:space="preserve">全部</t>
        </is>
      </c>
      <c r="DE790" s="5">
        <v>0</v>
      </c>
      <c r="DF790" s="5"/>
      <c r="DG790" s="5"/>
      <c r="DH790" s="5"/>
      <c r="DI790" s="5"/>
      <c r="DJ790" s="5"/>
      <c r="DK790" s="5"/>
      <c r="DL790" s="5"/>
      <c r="DM790" s="5"/>
      <c r="DN790" s="5"/>
      <c r="DO790" s="5"/>
      <c r="DP790" s="5"/>
      <c r="DQ790" s="5"/>
      <c r="DR790" s="5"/>
      <c r="DS790" s="5"/>
      <c r="DT790" s="5"/>
      <c r="DU790" s="5"/>
      <c r="DV790" s="5"/>
      <c r="DW790" s="5"/>
      <c r="DX790" s="5"/>
      <c r="DY790" s="5"/>
      <c r="DZ790" s="5"/>
      <c r="EA790" s="5"/>
      <c r="EB790" s="5"/>
      <c r="EC790" s="5"/>
      <c r="ED790" s="5"/>
      <c r="EE790" s="5"/>
      <c r="EF790" s="5"/>
      <c r="EG790" s="5"/>
      <c r="EH790" s="5"/>
      <c r="EI790" s="5"/>
      <c r="EJ790" s="5"/>
      <c r="EK790" s="5"/>
      <c r="EL790" s="5"/>
      <c r="EM790" s="5"/>
      <c r="EN790" s="5"/>
      <c r="EO790" s="5"/>
      <c r="EP790" s="5"/>
      <c r="EQ790" s="5"/>
      <c r="ER790" s="5"/>
      <c r="ES790" s="5"/>
      <c r="ET790" s="5"/>
      <c r="EU790" s="5"/>
      <c r="EV790" s="5">
        <v>10410007</v>
      </c>
      <c r="EW790"/>
      <c r="EX790"/>
      <c r="EY790" s="5"/>
      <c r="EZ790" s="5"/>
      <c r="FA790" s="5"/>
      <c r="FB790" s="5"/>
      <c r="FC790" s="5"/>
      <c r="FD790" s="5"/>
      <c r="FE790" s="5"/>
      <c r="FF790" s="5"/>
      <c r="FG790" s="5"/>
      <c r="FH790" s="5"/>
      <c r="FI790" s="5"/>
      <c r="FJ790" s="5"/>
      <c r="FK790" s="5"/>
      <c r="FL790" s="5"/>
      <c r="FM790" s="5"/>
      <c r="FN790" s="5"/>
      <c r="FO790" s="5"/>
      <c r="FP790" s="5"/>
      <c r="FQ790" s="5"/>
      <c r="FR790" s="5"/>
      <c r="FS790" s="5"/>
      <c r="FT790" s="5"/>
      <c r="FU790" s="5"/>
      <c r="FV790" s="5"/>
      <c r="FW790" s="5"/>
      <c r="FX790" s="5"/>
      <c r="FY790" s="5"/>
      <c r="FZ790" s="5"/>
      <c r="GA790" s="5"/>
      <c r="GB790" s="5"/>
      <c r="GC790" s="5"/>
      <c r="GD790" s="5"/>
      <c r="GE790" s="5"/>
      <c r="GF790" s="5"/>
      <c r="GG790" s="5"/>
      <c r="GH790" s="5"/>
      <c r="GI790" s="5"/>
      <c r="GJ790" s="5"/>
      <c r="GK790" s="5"/>
      <c r="GL790" s="5"/>
      <c r="GM790" s="5"/>
      <c r="GN790" s="5"/>
      <c r="GO790" s="5"/>
      <c r="GP790" s="5"/>
      <c r="GQ790" s="5"/>
      <c r="GR790" s="5"/>
      <c r="GS790" s="5"/>
      <c r="GT790" s="5"/>
      <c r="GU790" s="5"/>
      <c r="GV790"/>
      <c r="GW790"/>
      <c r="GX790" s="5">
        <v>0</v>
      </c>
      <c r="GY790" s="5">
        <v>0</v>
      </c>
      <c r="GZ790" s="5" t="inlineStr">
        <is>
          <t xml:space="preserve"/>
        </is>
      </c>
      <c r="HA790" s="5">
        <v>0</v>
      </c>
      <c r="HB790" s="5">
        <v>0</v>
      </c>
      <c r="HC790" s="5" t="s">
        <v>366</v>
      </c>
      <c r="HD790" s="5" t="b">
        <v>1</v>
      </c>
      <c r="HE790" s="5">
        <v>0</v>
      </c>
      <c r="HF790" s="5" t="b">
        <v>0</v>
      </c>
      <c r="HG790" s="5">
        <v>0</v>
      </c>
      <c r="HH790" s="5">
        <v>0</v>
      </c>
      <c r="HI790" s="5">
        <v>0</v>
      </c>
      <c r="HJ790" s="5">
        <v>0</v>
      </c>
      <c r="HK790" s="5" t="b">
        <v>0</v>
      </c>
      <c r="HL790" s="5">
        <v>0</v>
      </c>
      <c r="HM790" s="5">
        <v>10001</v>
      </c>
      <c r="HN790" s="5" t="s">
        <v>367</v>
      </c>
      <c r="HO790" s="5" t="s">
        <v>360</v>
      </c>
      <c r="HP790" s="5">
        <v>0</v>
      </c>
      <c r="HQ790" s="5">
        <v>0</v>
      </c>
      <c r="HR790" s="5">
        <v>0</v>
      </c>
      <c r="HS790" s="5">
        <v>0</v>
      </c>
      <c r="HT790" s="5" t="b">
        <v>0</v>
      </c>
    </row>
    <row r="791">
      <c r="B791" s="1">
        <v>10430007</v>
      </c>
      <c r="C791" s="5" t="inlineStr">
        <is>
          <t xml:space="preserve">星罗分锋·分段104300</t>
        </is>
      </c>
      <c r="D791" s="5" t="inlineStr">
        <is>
          <t xml:space="preserve">skill_104300_7</t>
        </is>
      </c>
      <c r="E791" s="5" t="s">
        <v>360</v>
      </c>
      <c r="F791" s="5" t="s">
        <v>349</v>
      </c>
      <c r="G791" s="5" t="b">
        <v>0</v>
      </c>
      <c r="H791" s="5" t="b">
        <v>1</v>
      </c>
      <c r="I791" s="5">
        <v>7</v>
      </c>
      <c r="J791" s="5">
        <v>104300</v>
      </c>
      <c r="K791" s="5" t="s">
        <v>350</v>
      </c>
      <c r="L791" s="5">
        <v>0</v>
      </c>
      <c r="M791" s="5">
        <v>10430008</v>
      </c>
      <c r="N791" s="5" t="s">
        <v>535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/>
      <c r="V791" s="5">
        <v>0</v>
      </c>
      <c r="W791" s="5">
        <v>0</v>
      </c>
      <c r="X791" s="5" t="inlineStr">
        <is>
          <t xml:space="preserve">目标方向</t>
        </is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 t="s">
        <v>356</v>
      </c>
      <c r="AZ791" s="5">
        <v>11700</v>
      </c>
      <c r="BA791" s="5" t="inlineStr">
        <is>
          <t xml:space="preserve">技能效果_调用技能</t>
        </is>
      </c>
      <c r="BB791" s="5" t="inlineStr">
        <is>
          <t xml:space="preserve">敌对</t>
        </is>
      </c>
      <c r="BC791" s="5">
        <v>10000</v>
      </c>
      <c r="BD791" s="5">
        <v>0</v>
      </c>
      <c r="BE791" s="5" t="inlineStr">
        <is>
          <t xml:space="preserve">全部</t>
        </is>
      </c>
      <c r="BF791" s="5">
        <v>0</v>
      </c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5"/>
      <c r="CT791" s="5"/>
      <c r="CU791" s="5"/>
      <c r="CV791" s="5"/>
      <c r="CW791" s="5">
        <v>10440007</v>
      </c>
      <c r="CX791"/>
      <c r="CY791"/>
      <c r="CZ791" s="5" t="inlineStr">
        <is>
          <t xml:space="preserve">技能效果_调用技能</t>
        </is>
      </c>
      <c r="DA791" s="5" t="inlineStr">
        <is>
          <t xml:space="preserve">敌对</t>
        </is>
      </c>
      <c r="DB791" s="5">
        <v>10000</v>
      </c>
      <c r="DC791" s="5">
        <v>400</v>
      </c>
      <c r="DD791" s="5" t="inlineStr">
        <is>
          <t xml:space="preserve">全部</t>
        </is>
      </c>
      <c r="DE791" s="5">
        <v>0</v>
      </c>
      <c r="DF791" s="5"/>
      <c r="DG791" s="5"/>
      <c r="DH791" s="5"/>
      <c r="DI791" s="5"/>
      <c r="DJ791" s="5"/>
      <c r="DK791" s="5"/>
      <c r="DL791" s="5"/>
      <c r="DM791" s="5"/>
      <c r="DN791" s="5"/>
      <c r="DO791" s="5"/>
      <c r="DP791" s="5"/>
      <c r="DQ791" s="5"/>
      <c r="DR791" s="5"/>
      <c r="DS791" s="5"/>
      <c r="DT791" s="5"/>
      <c r="DU791" s="5"/>
      <c r="DV791" s="5"/>
      <c r="DW791" s="5"/>
      <c r="DX791" s="5"/>
      <c r="DY791" s="5"/>
      <c r="DZ791" s="5"/>
      <c r="EA791" s="5"/>
      <c r="EB791" s="5"/>
      <c r="EC791" s="5"/>
      <c r="ED791" s="5"/>
      <c r="EE791" s="5"/>
      <c r="EF791" s="5"/>
      <c r="EG791" s="5"/>
      <c r="EH791" s="5"/>
      <c r="EI791" s="5"/>
      <c r="EJ791" s="5"/>
      <c r="EK791" s="5"/>
      <c r="EL791" s="5"/>
      <c r="EM791" s="5"/>
      <c r="EN791" s="5"/>
      <c r="EO791" s="5"/>
      <c r="EP791" s="5"/>
      <c r="EQ791" s="5"/>
      <c r="ER791" s="5"/>
      <c r="ES791" s="5"/>
      <c r="ET791" s="5"/>
      <c r="EU791" s="5"/>
      <c r="EV791" s="5">
        <v>10440007</v>
      </c>
      <c r="EW791"/>
      <c r="EX791"/>
      <c r="EY791" s="5"/>
      <c r="EZ791" s="5"/>
      <c r="FA791" s="5"/>
      <c r="FB791" s="5"/>
      <c r="FC791" s="5"/>
      <c r="FD791" s="5"/>
      <c r="FE791" s="5"/>
      <c r="FF791" s="5"/>
      <c r="FG791" s="5"/>
      <c r="FH791" s="5"/>
      <c r="FI791" s="5"/>
      <c r="FJ791" s="5"/>
      <c r="FK791" s="5"/>
      <c r="FL791" s="5"/>
      <c r="FM791" s="5"/>
      <c r="FN791" s="5"/>
      <c r="FO791" s="5"/>
      <c r="FP791" s="5"/>
      <c r="FQ791" s="5"/>
      <c r="FR791" s="5"/>
      <c r="FS791" s="5"/>
      <c r="FT791" s="5"/>
      <c r="FU791" s="5"/>
      <c r="FV791" s="5"/>
      <c r="FW791" s="5"/>
      <c r="FX791" s="5"/>
      <c r="FY791" s="5"/>
      <c r="FZ791" s="5"/>
      <c r="GA791" s="5"/>
      <c r="GB791" s="5"/>
      <c r="GC791" s="5"/>
      <c r="GD791" s="5"/>
      <c r="GE791" s="5"/>
      <c r="GF791" s="5"/>
      <c r="GG791" s="5"/>
      <c r="GH791" s="5"/>
      <c r="GI791" s="5"/>
      <c r="GJ791" s="5"/>
      <c r="GK791" s="5"/>
      <c r="GL791" s="5"/>
      <c r="GM791" s="5"/>
      <c r="GN791" s="5"/>
      <c r="GO791" s="5"/>
      <c r="GP791" s="5"/>
      <c r="GQ791" s="5"/>
      <c r="GR791" s="5"/>
      <c r="GS791" s="5"/>
      <c r="GT791" s="5"/>
      <c r="GU791" s="5"/>
      <c r="GV791"/>
      <c r="GW791"/>
      <c r="GX791" s="5">
        <v>0</v>
      </c>
      <c r="GY791" s="5">
        <v>0</v>
      </c>
      <c r="GZ791" s="5" t="inlineStr">
        <is>
          <t xml:space="preserve"/>
        </is>
      </c>
      <c r="HA791" s="5">
        <v>0</v>
      </c>
      <c r="HB791" s="5"/>
      <c r="HC791" s="5"/>
      <c r="HD791" s="5" t="b">
        <v>0</v>
      </c>
      <c r="HE791" s="5">
        <v>0</v>
      </c>
      <c r="HF791" s="5" t="b">
        <v>1</v>
      </c>
      <c r="HG791" s="5">
        <v>0</v>
      </c>
      <c r="HH791" s="5">
        <v>0</v>
      </c>
      <c r="HI791" s="5">
        <v>0</v>
      </c>
      <c r="HJ791" s="5">
        <v>0</v>
      </c>
      <c r="HK791" s="5" t="b">
        <v>0</v>
      </c>
      <c r="HL791" s="5">
        <v>0</v>
      </c>
      <c r="HM791" s="5">
        <v>0</v>
      </c>
      <c r="HN791" s="5" t="s">
        <v>367</v>
      </c>
      <c r="HO791" s="5" t="s">
        <v>360</v>
      </c>
      <c r="HP791" s="5">
        <v>0</v>
      </c>
      <c r="HQ791" s="5">
        <v>0</v>
      </c>
      <c r="HR791" s="5">
        <v>0</v>
      </c>
      <c r="HS791" s="5">
        <v>0</v>
      </c>
      <c r="HT791" s="5" t="b">
        <v>0</v>
      </c>
    </row>
    <row r="792">
      <c r="B792" s="1">
        <v>10440007</v>
      </c>
      <c r="C792" s="5" t="inlineStr">
        <is>
          <t xml:space="preserve">星罗分锋·分段104400</t>
        </is>
      </c>
      <c r="D792" s="5" t="inlineStr">
        <is>
          <t xml:space="preserve">skill_104400_7</t>
        </is>
      </c>
      <c r="E792" s="5" t="s">
        <v>360</v>
      </c>
      <c r="F792" s="5" t="s">
        <v>349</v>
      </c>
      <c r="G792" s="5" t="b">
        <v>0</v>
      </c>
      <c r="H792" s="5" t="b">
        <v>1</v>
      </c>
      <c r="I792" s="5">
        <v>7</v>
      </c>
      <c r="J792" s="5">
        <v>104400</v>
      </c>
      <c r="K792" s="5" t="s">
        <v>350</v>
      </c>
      <c r="L792" s="5">
        <v>0</v>
      </c>
      <c r="M792" s="5">
        <v>10440008</v>
      </c>
      <c r="N792" s="5" t="s">
        <v>535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/>
      <c r="V792" s="5">
        <v>0</v>
      </c>
      <c r="W792" s="5">
        <v>0</v>
      </c>
      <c r="X792" s="5" t="inlineStr">
        <is>
          <t xml:space="preserve">目标方向</t>
        </is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 t="s">
        <v>356</v>
      </c>
      <c r="AZ792" s="5">
        <v>11700</v>
      </c>
      <c r="BA792" s="5" t="inlineStr">
        <is>
          <t xml:space="preserve">技能效果_调用技能</t>
        </is>
      </c>
      <c r="BB792" s="5" t="inlineStr">
        <is>
          <t xml:space="preserve">敌对</t>
        </is>
      </c>
      <c r="BC792" s="5">
        <v>10000</v>
      </c>
      <c r="BD792" s="5">
        <v>0</v>
      </c>
      <c r="BE792" s="5" t="inlineStr">
        <is>
          <t xml:space="preserve">全部</t>
        </is>
      </c>
      <c r="BF792" s="5">
        <v>0</v>
      </c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5"/>
      <c r="CT792" s="5"/>
      <c r="CU792" s="5"/>
      <c r="CV792" s="5"/>
      <c r="CW792" s="5">
        <v>10450007</v>
      </c>
      <c r="CX792"/>
      <c r="CY792"/>
      <c r="CZ792" s="5" t="inlineStr">
        <is>
          <t xml:space="preserve">技能效果_调用技能</t>
        </is>
      </c>
      <c r="DA792" s="5" t="inlineStr">
        <is>
          <t xml:space="preserve">敌对</t>
        </is>
      </c>
      <c r="DB792" s="5">
        <v>10000</v>
      </c>
      <c r="DC792" s="5">
        <v>200</v>
      </c>
      <c r="DD792" s="5" t="inlineStr">
        <is>
          <t xml:space="preserve">全部</t>
        </is>
      </c>
      <c r="DE792" s="5">
        <v>0</v>
      </c>
      <c r="DF792" s="5"/>
      <c r="DG792" s="5"/>
      <c r="DH792" s="5"/>
      <c r="DI792" s="5"/>
      <c r="DJ792" s="5"/>
      <c r="DK792" s="5"/>
      <c r="DL792" s="5"/>
      <c r="DM792" s="5"/>
      <c r="DN792" s="5"/>
      <c r="DO792" s="5"/>
      <c r="DP792" s="5"/>
      <c r="DQ792" s="5"/>
      <c r="DR792" s="5"/>
      <c r="DS792" s="5"/>
      <c r="DT792" s="5"/>
      <c r="DU792" s="5"/>
      <c r="DV792" s="5"/>
      <c r="DW792" s="5"/>
      <c r="DX792" s="5"/>
      <c r="DY792" s="5"/>
      <c r="DZ792" s="5"/>
      <c r="EA792" s="5"/>
      <c r="EB792" s="5"/>
      <c r="EC792" s="5"/>
      <c r="ED792" s="5"/>
      <c r="EE792" s="5"/>
      <c r="EF792" s="5"/>
      <c r="EG792" s="5"/>
      <c r="EH792" s="5"/>
      <c r="EI792" s="5"/>
      <c r="EJ792" s="5"/>
      <c r="EK792" s="5"/>
      <c r="EL792" s="5"/>
      <c r="EM792" s="5"/>
      <c r="EN792" s="5"/>
      <c r="EO792" s="5"/>
      <c r="EP792" s="5"/>
      <c r="EQ792" s="5"/>
      <c r="ER792" s="5"/>
      <c r="ES792" s="5"/>
      <c r="ET792" s="5"/>
      <c r="EU792" s="5"/>
      <c r="EV792" s="5">
        <v>10450007</v>
      </c>
      <c r="EW792"/>
      <c r="EX792"/>
      <c r="EY792" s="5"/>
      <c r="EZ792" s="5"/>
      <c r="FA792" s="5"/>
      <c r="FB792" s="5"/>
      <c r="FC792" s="5"/>
      <c r="FD792" s="5"/>
      <c r="FE792" s="5"/>
      <c r="FF792" s="5"/>
      <c r="FG792" s="5"/>
      <c r="FH792" s="5"/>
      <c r="FI792" s="5"/>
      <c r="FJ792" s="5"/>
      <c r="FK792" s="5"/>
      <c r="FL792" s="5"/>
      <c r="FM792" s="5"/>
      <c r="FN792" s="5"/>
      <c r="FO792" s="5"/>
      <c r="FP792" s="5"/>
      <c r="FQ792" s="5"/>
      <c r="FR792" s="5"/>
      <c r="FS792" s="5"/>
      <c r="FT792" s="5"/>
      <c r="FU792" s="5"/>
      <c r="FV792" s="5"/>
      <c r="FW792" s="5"/>
      <c r="FX792" s="5"/>
      <c r="FY792" s="5"/>
      <c r="FZ792" s="5"/>
      <c r="GA792" s="5"/>
      <c r="GB792" s="5"/>
      <c r="GC792" s="5"/>
      <c r="GD792" s="5"/>
      <c r="GE792" s="5"/>
      <c r="GF792" s="5"/>
      <c r="GG792" s="5"/>
      <c r="GH792" s="5"/>
      <c r="GI792" s="5"/>
      <c r="GJ792" s="5"/>
      <c r="GK792" s="5"/>
      <c r="GL792" s="5"/>
      <c r="GM792" s="5"/>
      <c r="GN792" s="5"/>
      <c r="GO792" s="5"/>
      <c r="GP792" s="5"/>
      <c r="GQ792" s="5"/>
      <c r="GR792" s="5"/>
      <c r="GS792" s="5"/>
      <c r="GT792" s="5"/>
      <c r="GU792" s="5"/>
      <c r="GV792"/>
      <c r="GW792"/>
      <c r="GX792" s="5">
        <v>0</v>
      </c>
      <c r="GY792" s="5">
        <v>0</v>
      </c>
      <c r="GZ792" s="5" t="inlineStr">
        <is>
          <t xml:space="preserve"/>
        </is>
      </c>
      <c r="HA792" s="5">
        <v>0</v>
      </c>
      <c r="HB792" s="5"/>
      <c r="HC792" s="5"/>
      <c r="HD792" s="5" t="b">
        <v>0</v>
      </c>
      <c r="HE792" s="5">
        <v>0</v>
      </c>
      <c r="HF792" s="5" t="b">
        <v>1</v>
      </c>
      <c r="HG792" s="5">
        <v>0</v>
      </c>
      <c r="HH792" s="5">
        <v>0</v>
      </c>
      <c r="HI792" s="5">
        <v>0</v>
      </c>
      <c r="HJ792" s="5">
        <v>0</v>
      </c>
      <c r="HK792" s="5" t="b">
        <v>0</v>
      </c>
      <c r="HL792" s="5">
        <v>0</v>
      </c>
      <c r="HM792" s="5">
        <v>0</v>
      </c>
      <c r="HN792" s="5" t="s">
        <v>367</v>
      </c>
      <c r="HO792" s="5" t="s">
        <v>360</v>
      </c>
      <c r="HP792" s="5">
        <v>0</v>
      </c>
      <c r="HQ792" s="5">
        <v>0</v>
      </c>
      <c r="HR792" s="5">
        <v>0</v>
      </c>
      <c r="HS792" s="5">
        <v>0</v>
      </c>
      <c r="HT792" s="5" t="b">
        <v>0</v>
      </c>
    </row>
    <row r="793">
      <c r="B793" s="1">
        <v>10450007</v>
      </c>
      <c r="C793" s="5" t="inlineStr">
        <is>
          <t xml:space="preserve">星罗分锋·分段104500</t>
        </is>
      </c>
      <c r="D793" s="5" t="inlineStr">
        <is>
          <t xml:space="preserve">skill_104500_7</t>
        </is>
      </c>
      <c r="E793" s="5" t="s">
        <v>360</v>
      </c>
      <c r="F793" s="5" t="s">
        <v>349</v>
      </c>
      <c r="G793" s="5" t="b">
        <v>0</v>
      </c>
      <c r="H793" s="5" t="b">
        <v>1</v>
      </c>
      <c r="I793" s="5">
        <v>7</v>
      </c>
      <c r="J793" s="5">
        <v>104500</v>
      </c>
      <c r="K793" s="5" t="s">
        <v>350</v>
      </c>
      <c r="L793" s="5">
        <v>0</v>
      </c>
      <c r="M793" s="5">
        <v>10450008</v>
      </c>
      <c r="N793" s="5" t="s">
        <v>535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/>
      <c r="V793" s="5">
        <v>0</v>
      </c>
      <c r="W793" s="5">
        <v>0</v>
      </c>
      <c r="X793" s="5" t="inlineStr">
        <is>
          <t xml:space="preserve">目标方向</t>
        </is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 t="s">
        <v>356</v>
      </c>
      <c r="AZ793" s="5">
        <v>11700</v>
      </c>
      <c r="BA793" s="5" t="inlineStr">
        <is>
          <t xml:space="preserve">技能效果_调用技能</t>
        </is>
      </c>
      <c r="BB793" s="5" t="inlineStr">
        <is>
          <t xml:space="preserve">敌对</t>
        </is>
      </c>
      <c r="BC793" s="5">
        <v>10000</v>
      </c>
      <c r="BD793" s="5">
        <v>0</v>
      </c>
      <c r="BE793" s="5" t="inlineStr">
        <is>
          <t xml:space="preserve">全部</t>
        </is>
      </c>
      <c r="BF793" s="5">
        <v>0</v>
      </c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5"/>
      <c r="CT793" s="5"/>
      <c r="CU793" s="5"/>
      <c r="CV793" s="5"/>
      <c r="CW793" s="5">
        <v>10330007</v>
      </c>
      <c r="CX793"/>
      <c r="CY793"/>
      <c r="CZ793" s="5" t="inlineStr">
        <is>
          <t xml:space="preserve">技能效果_调用技能</t>
        </is>
      </c>
      <c r="DA793" s="5" t="inlineStr">
        <is>
          <t xml:space="preserve">敌对</t>
        </is>
      </c>
      <c r="DB793" s="5">
        <v>10000</v>
      </c>
      <c r="DC793" s="5">
        <v>100</v>
      </c>
      <c r="DD793" s="5" t="inlineStr">
        <is>
          <t xml:space="preserve">全部</t>
        </is>
      </c>
      <c r="DE793" s="5">
        <v>0</v>
      </c>
      <c r="DF793" s="5"/>
      <c r="DG793" s="5"/>
      <c r="DH793" s="5"/>
      <c r="DI793" s="5"/>
      <c r="DJ793" s="5"/>
      <c r="DK793" s="5"/>
      <c r="DL793" s="5"/>
      <c r="DM793" s="5"/>
      <c r="DN793" s="5"/>
      <c r="DO793" s="5"/>
      <c r="DP793" s="5"/>
      <c r="DQ793" s="5"/>
      <c r="DR793" s="5"/>
      <c r="DS793" s="5"/>
      <c r="DT793" s="5"/>
      <c r="DU793" s="5"/>
      <c r="DV793" s="5"/>
      <c r="DW793" s="5"/>
      <c r="DX793" s="5"/>
      <c r="DY793" s="5"/>
      <c r="DZ793" s="5"/>
      <c r="EA793" s="5"/>
      <c r="EB793" s="5"/>
      <c r="EC793" s="5"/>
      <c r="ED793" s="5"/>
      <c r="EE793" s="5"/>
      <c r="EF793" s="5"/>
      <c r="EG793" s="5"/>
      <c r="EH793" s="5"/>
      <c r="EI793" s="5"/>
      <c r="EJ793" s="5"/>
      <c r="EK793" s="5"/>
      <c r="EL793" s="5"/>
      <c r="EM793" s="5"/>
      <c r="EN793" s="5"/>
      <c r="EO793" s="5"/>
      <c r="EP793" s="5"/>
      <c r="EQ793" s="5"/>
      <c r="ER793" s="5"/>
      <c r="ES793" s="5"/>
      <c r="ET793" s="5"/>
      <c r="EU793" s="5"/>
      <c r="EV793" s="5">
        <v>10330007</v>
      </c>
      <c r="EW793"/>
      <c r="EX793"/>
      <c r="EY793" s="5"/>
      <c r="EZ793" s="5"/>
      <c r="FA793" s="5"/>
      <c r="FB793" s="5"/>
      <c r="FC793" s="5"/>
      <c r="FD793" s="5"/>
      <c r="FE793" s="5"/>
      <c r="FF793" s="5"/>
      <c r="FG793" s="5"/>
      <c r="FH793" s="5"/>
      <c r="FI793" s="5"/>
      <c r="FJ793" s="5"/>
      <c r="FK793" s="5"/>
      <c r="FL793" s="5"/>
      <c r="FM793" s="5"/>
      <c r="FN793" s="5"/>
      <c r="FO793" s="5"/>
      <c r="FP793" s="5"/>
      <c r="FQ793" s="5"/>
      <c r="FR793" s="5"/>
      <c r="FS793" s="5"/>
      <c r="FT793" s="5"/>
      <c r="FU793" s="5"/>
      <c r="FV793" s="5"/>
      <c r="FW793" s="5"/>
      <c r="FX793" s="5"/>
      <c r="FY793" s="5"/>
      <c r="FZ793" s="5"/>
      <c r="GA793" s="5"/>
      <c r="GB793" s="5"/>
      <c r="GC793" s="5"/>
      <c r="GD793" s="5"/>
      <c r="GE793" s="5"/>
      <c r="GF793" s="5"/>
      <c r="GG793" s="5"/>
      <c r="GH793" s="5"/>
      <c r="GI793" s="5"/>
      <c r="GJ793" s="5"/>
      <c r="GK793" s="5"/>
      <c r="GL793" s="5"/>
      <c r="GM793" s="5"/>
      <c r="GN793" s="5"/>
      <c r="GO793" s="5"/>
      <c r="GP793" s="5"/>
      <c r="GQ793" s="5"/>
      <c r="GR793" s="5"/>
      <c r="GS793" s="5"/>
      <c r="GT793" s="5"/>
      <c r="GU793" s="5"/>
      <c r="GV793"/>
      <c r="GW793"/>
      <c r="GX793" s="5">
        <v>0</v>
      </c>
      <c r="GY793" s="5">
        <v>0</v>
      </c>
      <c r="GZ793" s="5" t="inlineStr">
        <is>
          <t xml:space="preserve"/>
        </is>
      </c>
      <c r="HA793" s="5">
        <v>0</v>
      </c>
      <c r="HB793" s="5"/>
      <c r="HC793" s="5"/>
      <c r="HD793" s="5" t="b">
        <v>0</v>
      </c>
      <c r="HE793" s="5">
        <v>0</v>
      </c>
      <c r="HF793" s="5" t="b">
        <v>1</v>
      </c>
      <c r="HG793" s="5">
        <v>0</v>
      </c>
      <c r="HH793" s="5">
        <v>0</v>
      </c>
      <c r="HI793" s="5">
        <v>0</v>
      </c>
      <c r="HJ793" s="5">
        <v>0</v>
      </c>
      <c r="HK793" s="5" t="b">
        <v>0</v>
      </c>
      <c r="HL793" s="5">
        <v>0</v>
      </c>
      <c r="HM793" s="5">
        <v>0</v>
      </c>
      <c r="HN793" s="5" t="s">
        <v>367</v>
      </c>
      <c r="HO793" s="5" t="s">
        <v>360</v>
      </c>
      <c r="HP793" s="5">
        <v>0</v>
      </c>
      <c r="HQ793" s="5">
        <v>0</v>
      </c>
      <c r="HR793" s="5">
        <v>0</v>
      </c>
      <c r="HS793" s="5">
        <v>0</v>
      </c>
      <c r="HT793" s="5" t="b">
        <v>0</v>
      </c>
    </row>
    <row r="794">
      <c r="B794" s="1">
        <v>10420008</v>
      </c>
      <c r="C794" s="5" t="inlineStr">
        <is>
          <t xml:space="preserve">赤霄焚野·计时</t>
        </is>
      </c>
      <c r="D794" s="5" t="inlineStr">
        <is>
          <t xml:space="preserve">skill_104200_8</t>
        </is>
      </c>
      <c r="E794" s="5" t="inlineStr">
        <is>
          <t xml:space="preserve">无</t>
        </is>
      </c>
      <c r="F794" s="5" t="s">
        <v>391</v>
      </c>
      <c r="G794" s="5" t="b">
        <v>0</v>
      </c>
      <c r="H794" s="5" t="b">
        <v>1</v>
      </c>
      <c r="I794" s="5">
        <v>8</v>
      </c>
      <c r="J794" s="5">
        <v>104200</v>
      </c>
      <c r="K794" s="5" t="s">
        <v>350</v>
      </c>
      <c r="L794" s="5">
        <v>10110007</v>
      </c>
      <c r="M794" s="5">
        <v>10420009</v>
      </c>
      <c r="N794" s="5" t="s">
        <v>400</v>
      </c>
      <c r="O794" s="5">
        <v>10202010</v>
      </c>
      <c r="P794" s="5">
        <v>0</v>
      </c>
      <c r="Q794" s="5">
        <v>0</v>
      </c>
      <c r="R794" s="5">
        <v>35</v>
      </c>
      <c r="S794" s="5">
        <v>0</v>
      </c>
      <c r="T794" s="5">
        <v>100</v>
      </c>
      <c r="U794" s="5" t="s">
        <v>364</v>
      </c>
      <c r="V794" s="5">
        <v>0</v>
      </c>
      <c r="W794" s="5">
        <v>0</v>
      </c>
      <c r="X794" s="5" t="inlineStr">
        <is>
          <t xml:space="preserve">目标方向</t>
        </is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 t="s">
        <v>381</v>
      </c>
      <c r="AZ794" s="5">
        <v>11800</v>
      </c>
      <c r="BA794" s="5" t="inlineStr">
        <is>
          <t xml:space="preserve">技能效果_调用技能</t>
        </is>
      </c>
      <c r="BB794" s="5" t="inlineStr">
        <is>
          <t xml:space="preserve">敌对</t>
        </is>
      </c>
      <c r="BC794" s="5">
        <v>10000</v>
      </c>
      <c r="BD794" s="5">
        <v>1000</v>
      </c>
      <c r="BE794" s="5" t="inlineStr">
        <is>
          <t xml:space="preserve">全部</t>
        </is>
      </c>
      <c r="BF794" s="5">
        <v>0</v>
      </c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5"/>
      <c r="CT794" s="5"/>
      <c r="CU794" s="5"/>
      <c r="CV794" s="5"/>
      <c r="CW794" s="5">
        <v>10410008</v>
      </c>
      <c r="CX794"/>
      <c r="CY794"/>
      <c r="CZ794" s="5" t="inlineStr">
        <is>
          <t xml:space="preserve">技能效果_调用技能</t>
        </is>
      </c>
      <c r="DA794" s="5" t="inlineStr">
        <is>
          <t xml:space="preserve">敌对</t>
        </is>
      </c>
      <c r="DB794" s="5">
        <v>10000</v>
      </c>
      <c r="DC794" s="5">
        <v>2000</v>
      </c>
      <c r="DD794" s="5" t="inlineStr">
        <is>
          <t xml:space="preserve">全部</t>
        </is>
      </c>
      <c r="DE794" s="5">
        <v>0</v>
      </c>
      <c r="DF794" s="5"/>
      <c r="DG794" s="5"/>
      <c r="DH794" s="5"/>
      <c r="DI794" s="5"/>
      <c r="DJ794" s="5"/>
      <c r="DK794" s="5"/>
      <c r="DL794" s="5"/>
      <c r="DM794" s="5"/>
      <c r="DN794" s="5"/>
      <c r="DO794" s="5"/>
      <c r="DP794" s="5"/>
      <c r="DQ794" s="5"/>
      <c r="DR794" s="5"/>
      <c r="DS794" s="5"/>
      <c r="DT794" s="5"/>
      <c r="DU794" s="5"/>
      <c r="DV794" s="5"/>
      <c r="DW794" s="5"/>
      <c r="DX794" s="5"/>
      <c r="DY794" s="5"/>
      <c r="DZ794" s="5"/>
      <c r="EA794" s="5"/>
      <c r="EB794" s="5"/>
      <c r="EC794" s="5"/>
      <c r="ED794" s="5"/>
      <c r="EE794" s="5"/>
      <c r="EF794" s="5"/>
      <c r="EG794" s="5"/>
      <c r="EH794" s="5"/>
      <c r="EI794" s="5"/>
      <c r="EJ794" s="5"/>
      <c r="EK794" s="5"/>
      <c r="EL794" s="5"/>
      <c r="EM794" s="5"/>
      <c r="EN794" s="5"/>
      <c r="EO794" s="5"/>
      <c r="EP794" s="5"/>
      <c r="EQ794" s="5"/>
      <c r="ER794" s="5"/>
      <c r="ES794" s="5"/>
      <c r="ET794" s="5"/>
      <c r="EU794" s="5"/>
      <c r="EV794" s="5">
        <v>10410008</v>
      </c>
      <c r="EW794"/>
      <c r="EX794"/>
      <c r="EY794" s="5"/>
      <c r="EZ794" s="5"/>
      <c r="FA794" s="5"/>
      <c r="FB794" s="5"/>
      <c r="FC794" s="5"/>
      <c r="FD794" s="5"/>
      <c r="FE794" s="5"/>
      <c r="FF794" s="5"/>
      <c r="FG794" s="5"/>
      <c r="FH794" s="5"/>
      <c r="FI794" s="5"/>
      <c r="FJ794" s="5"/>
      <c r="FK794" s="5"/>
      <c r="FL794" s="5"/>
      <c r="FM794" s="5"/>
      <c r="FN794" s="5"/>
      <c r="FO794" s="5"/>
      <c r="FP794" s="5"/>
      <c r="FQ794" s="5"/>
      <c r="FR794" s="5"/>
      <c r="FS794" s="5"/>
      <c r="FT794" s="5"/>
      <c r="FU794" s="5"/>
      <c r="FV794" s="5"/>
      <c r="FW794" s="5"/>
      <c r="FX794" s="5"/>
      <c r="FY794" s="5"/>
      <c r="FZ794" s="5"/>
      <c r="GA794" s="5"/>
      <c r="GB794" s="5"/>
      <c r="GC794" s="5"/>
      <c r="GD794" s="5"/>
      <c r="GE794" s="5"/>
      <c r="GF794" s="5"/>
      <c r="GG794" s="5"/>
      <c r="GH794" s="5"/>
      <c r="GI794" s="5"/>
      <c r="GJ794" s="5"/>
      <c r="GK794" s="5"/>
      <c r="GL794" s="5"/>
      <c r="GM794" s="5"/>
      <c r="GN794" s="5"/>
      <c r="GO794" s="5"/>
      <c r="GP794" s="5"/>
      <c r="GQ794" s="5"/>
      <c r="GR794" s="5"/>
      <c r="GS794" s="5"/>
      <c r="GT794" s="5"/>
      <c r="GU794" s="5"/>
      <c r="GV794"/>
      <c r="GW794"/>
      <c r="GX794" s="5">
        <v>0</v>
      </c>
      <c r="GY794" s="5">
        <v>0</v>
      </c>
      <c r="GZ794" s="5" t="inlineStr">
        <is>
          <t xml:space="preserve"/>
        </is>
      </c>
      <c r="HA794" s="5">
        <v>0</v>
      </c>
      <c r="HB794" s="5">
        <v>0</v>
      </c>
      <c r="HC794" s="5" t="s">
        <v>366</v>
      </c>
      <c r="HD794" s="5" t="b">
        <v>1</v>
      </c>
      <c r="HE794" s="5">
        <v>0</v>
      </c>
      <c r="HF794" s="5" t="b">
        <v>0</v>
      </c>
      <c r="HG794" s="5">
        <v>0</v>
      </c>
      <c r="HH794" s="5">
        <v>0</v>
      </c>
      <c r="HI794" s="5">
        <v>0</v>
      </c>
      <c r="HJ794" s="5">
        <v>0</v>
      </c>
      <c r="HK794" s="5" t="b">
        <v>0</v>
      </c>
      <c r="HL794" s="5">
        <v>0</v>
      </c>
      <c r="HM794" s="5">
        <v>10001</v>
      </c>
      <c r="HN794" s="5" t="s">
        <v>367</v>
      </c>
      <c r="HO794" s="5" t="s">
        <v>360</v>
      </c>
      <c r="HP794" s="5">
        <v>0</v>
      </c>
      <c r="HQ794" s="5">
        <v>0</v>
      </c>
      <c r="HR794" s="5">
        <v>0</v>
      </c>
      <c r="HS794" s="5">
        <v>0</v>
      </c>
      <c r="HT794" s="5" t="b">
        <v>0</v>
      </c>
    </row>
    <row r="795">
      <c r="B795" s="1">
        <v>10430008</v>
      </c>
      <c r="C795" s="5" t="inlineStr">
        <is>
          <t xml:space="preserve">星罗分锋·分段104300</t>
        </is>
      </c>
      <c r="D795" s="5" t="inlineStr">
        <is>
          <t xml:space="preserve">skill_104300_8</t>
        </is>
      </c>
      <c r="E795" s="5" t="s">
        <v>360</v>
      </c>
      <c r="F795" s="5" t="s">
        <v>349</v>
      </c>
      <c r="G795" s="5" t="b">
        <v>0</v>
      </c>
      <c r="H795" s="5" t="b">
        <v>1</v>
      </c>
      <c r="I795" s="5">
        <v>8</v>
      </c>
      <c r="J795" s="5">
        <v>104300</v>
      </c>
      <c r="K795" s="5" t="s">
        <v>350</v>
      </c>
      <c r="L795" s="5">
        <v>0</v>
      </c>
      <c r="M795" s="5">
        <v>10430009</v>
      </c>
      <c r="N795" s="5" t="s">
        <v>535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/>
      <c r="V795" s="5">
        <v>0</v>
      </c>
      <c r="W795" s="5">
        <v>0</v>
      </c>
      <c r="X795" s="5" t="inlineStr">
        <is>
          <t xml:space="preserve">目标方向</t>
        </is>
      </c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 t="s">
        <v>356</v>
      </c>
      <c r="AZ795" s="5">
        <v>11800</v>
      </c>
      <c r="BA795" s="5" t="inlineStr">
        <is>
          <t xml:space="preserve">技能效果_调用技能</t>
        </is>
      </c>
      <c r="BB795" s="5" t="inlineStr">
        <is>
          <t xml:space="preserve">敌对</t>
        </is>
      </c>
      <c r="BC795" s="5">
        <v>10000</v>
      </c>
      <c r="BD795" s="5">
        <v>0</v>
      </c>
      <c r="BE795" s="5" t="inlineStr">
        <is>
          <t xml:space="preserve">全部</t>
        </is>
      </c>
      <c r="BF795" s="5">
        <v>0</v>
      </c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5"/>
      <c r="CT795" s="5"/>
      <c r="CU795" s="5"/>
      <c r="CV795" s="5"/>
      <c r="CW795" s="5">
        <v>10440008</v>
      </c>
      <c r="CX795"/>
      <c r="CY795"/>
      <c r="CZ795" s="5" t="inlineStr">
        <is>
          <t xml:space="preserve">技能效果_调用技能</t>
        </is>
      </c>
      <c r="DA795" s="5" t="inlineStr">
        <is>
          <t xml:space="preserve">敌对</t>
        </is>
      </c>
      <c r="DB795" s="5">
        <v>10000</v>
      </c>
      <c r="DC795" s="5">
        <v>400</v>
      </c>
      <c r="DD795" s="5" t="inlineStr">
        <is>
          <t xml:space="preserve">全部</t>
        </is>
      </c>
      <c r="DE795" s="5">
        <v>0</v>
      </c>
      <c r="DF795" s="5"/>
      <c r="DG795" s="5"/>
      <c r="DH795" s="5"/>
      <c r="DI795" s="5"/>
      <c r="DJ795" s="5"/>
      <c r="DK795" s="5"/>
      <c r="DL795" s="5"/>
      <c r="DM795" s="5"/>
      <c r="DN795" s="5"/>
      <c r="DO795" s="5"/>
      <c r="DP795" s="5"/>
      <c r="DQ795" s="5"/>
      <c r="DR795" s="5"/>
      <c r="DS795" s="5"/>
      <c r="DT795" s="5"/>
      <c r="DU795" s="5"/>
      <c r="DV795" s="5"/>
      <c r="DW795" s="5"/>
      <c r="DX795" s="5"/>
      <c r="DY795" s="5"/>
      <c r="DZ795" s="5"/>
      <c r="EA795" s="5"/>
      <c r="EB795" s="5"/>
      <c r="EC795" s="5"/>
      <c r="ED795" s="5"/>
      <c r="EE795" s="5"/>
      <c r="EF795" s="5"/>
      <c r="EG795" s="5"/>
      <c r="EH795" s="5"/>
      <c r="EI795" s="5"/>
      <c r="EJ795" s="5"/>
      <c r="EK795" s="5"/>
      <c r="EL795" s="5"/>
      <c r="EM795" s="5"/>
      <c r="EN795" s="5"/>
      <c r="EO795" s="5"/>
      <c r="EP795" s="5"/>
      <c r="EQ795" s="5"/>
      <c r="ER795" s="5"/>
      <c r="ES795" s="5"/>
      <c r="ET795" s="5"/>
      <c r="EU795" s="5"/>
      <c r="EV795" s="5">
        <v>10440008</v>
      </c>
      <c r="EW795"/>
      <c r="EX795"/>
      <c r="EY795" s="5"/>
      <c r="EZ795" s="5"/>
      <c r="FA795" s="5"/>
      <c r="FB795" s="5"/>
      <c r="FC795" s="5"/>
      <c r="FD795" s="5"/>
      <c r="FE795" s="5"/>
      <c r="FF795" s="5"/>
      <c r="FG795" s="5"/>
      <c r="FH795" s="5"/>
      <c r="FI795" s="5"/>
      <c r="FJ795" s="5"/>
      <c r="FK795" s="5"/>
      <c r="FL795" s="5"/>
      <c r="FM795" s="5"/>
      <c r="FN795" s="5"/>
      <c r="FO795" s="5"/>
      <c r="FP795" s="5"/>
      <c r="FQ795" s="5"/>
      <c r="FR795" s="5"/>
      <c r="FS795" s="5"/>
      <c r="FT795" s="5"/>
      <c r="FU795" s="5"/>
      <c r="FV795" s="5"/>
      <c r="FW795" s="5"/>
      <c r="FX795" s="5"/>
      <c r="FY795" s="5"/>
      <c r="FZ795" s="5"/>
      <c r="GA795" s="5"/>
      <c r="GB795" s="5"/>
      <c r="GC795" s="5"/>
      <c r="GD795" s="5"/>
      <c r="GE795" s="5"/>
      <c r="GF795" s="5"/>
      <c r="GG795" s="5"/>
      <c r="GH795" s="5"/>
      <c r="GI795" s="5"/>
      <c r="GJ795" s="5"/>
      <c r="GK795" s="5"/>
      <c r="GL795" s="5"/>
      <c r="GM795" s="5"/>
      <c r="GN795" s="5"/>
      <c r="GO795" s="5"/>
      <c r="GP795" s="5"/>
      <c r="GQ795" s="5"/>
      <c r="GR795" s="5"/>
      <c r="GS795" s="5"/>
      <c r="GT795" s="5"/>
      <c r="GU795" s="5"/>
      <c r="GV795"/>
      <c r="GW795"/>
      <c r="GX795" s="5">
        <v>0</v>
      </c>
      <c r="GY795" s="5">
        <v>0</v>
      </c>
      <c r="GZ795" s="5" t="inlineStr">
        <is>
          <t xml:space="preserve"/>
        </is>
      </c>
      <c r="HA795" s="5">
        <v>0</v>
      </c>
      <c r="HB795" s="5"/>
      <c r="HC795" s="5"/>
      <c r="HD795" s="5" t="b">
        <v>0</v>
      </c>
      <c r="HE795" s="5">
        <v>0</v>
      </c>
      <c r="HF795" s="5" t="b">
        <v>1</v>
      </c>
      <c r="HG795" s="5">
        <v>0</v>
      </c>
      <c r="HH795" s="5">
        <v>0</v>
      </c>
      <c r="HI795" s="5">
        <v>0</v>
      </c>
      <c r="HJ795" s="5">
        <v>0</v>
      </c>
      <c r="HK795" s="5" t="b">
        <v>0</v>
      </c>
      <c r="HL795" s="5">
        <v>0</v>
      </c>
      <c r="HM795" s="5">
        <v>0</v>
      </c>
      <c r="HN795" s="5" t="s">
        <v>367</v>
      </c>
      <c r="HO795" s="5" t="s">
        <v>360</v>
      </c>
      <c r="HP795" s="5">
        <v>0</v>
      </c>
      <c r="HQ795" s="5">
        <v>0</v>
      </c>
      <c r="HR795" s="5">
        <v>0</v>
      </c>
      <c r="HS795" s="5">
        <v>0</v>
      </c>
      <c r="HT795" s="5" t="b">
        <v>0</v>
      </c>
    </row>
    <row r="796">
      <c r="B796" s="1">
        <v>10440008</v>
      </c>
      <c r="C796" s="5" t="inlineStr">
        <is>
          <t xml:space="preserve">星罗分锋·分段104400</t>
        </is>
      </c>
      <c r="D796" s="5" t="inlineStr">
        <is>
          <t xml:space="preserve">skill_104400_8</t>
        </is>
      </c>
      <c r="E796" s="5" t="s">
        <v>360</v>
      </c>
      <c r="F796" s="5" t="s">
        <v>349</v>
      </c>
      <c r="G796" s="5" t="b">
        <v>0</v>
      </c>
      <c r="H796" s="5" t="b">
        <v>1</v>
      </c>
      <c r="I796" s="5">
        <v>8</v>
      </c>
      <c r="J796" s="5">
        <v>104400</v>
      </c>
      <c r="K796" s="5" t="s">
        <v>350</v>
      </c>
      <c r="L796" s="5">
        <v>0</v>
      </c>
      <c r="M796" s="5">
        <v>10440009</v>
      </c>
      <c r="N796" s="5" t="s">
        <v>535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/>
      <c r="V796" s="5">
        <v>0</v>
      </c>
      <c r="W796" s="5">
        <v>0</v>
      </c>
      <c r="X796" s="5" t="inlineStr">
        <is>
          <t xml:space="preserve">目标方向</t>
        </is>
      </c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 t="s">
        <v>356</v>
      </c>
      <c r="AZ796" s="5">
        <v>11800</v>
      </c>
      <c r="BA796" s="5" t="inlineStr">
        <is>
          <t xml:space="preserve">技能效果_调用技能</t>
        </is>
      </c>
      <c r="BB796" s="5" t="inlineStr">
        <is>
          <t xml:space="preserve">敌对</t>
        </is>
      </c>
      <c r="BC796" s="5">
        <v>10000</v>
      </c>
      <c r="BD796" s="5">
        <v>0</v>
      </c>
      <c r="BE796" s="5" t="inlineStr">
        <is>
          <t xml:space="preserve">全部</t>
        </is>
      </c>
      <c r="BF796" s="5">
        <v>0</v>
      </c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5"/>
      <c r="CT796" s="5"/>
      <c r="CU796" s="5"/>
      <c r="CV796" s="5"/>
      <c r="CW796" s="5">
        <v>10450008</v>
      </c>
      <c r="CX796"/>
      <c r="CY796"/>
      <c r="CZ796" s="5" t="inlineStr">
        <is>
          <t xml:space="preserve">技能效果_调用技能</t>
        </is>
      </c>
      <c r="DA796" s="5" t="inlineStr">
        <is>
          <t xml:space="preserve">敌对</t>
        </is>
      </c>
      <c r="DB796" s="5">
        <v>10000</v>
      </c>
      <c r="DC796" s="5">
        <v>200</v>
      </c>
      <c r="DD796" s="5" t="inlineStr">
        <is>
          <t xml:space="preserve">全部</t>
        </is>
      </c>
      <c r="DE796" s="5">
        <v>0</v>
      </c>
      <c r="DF796" s="5"/>
      <c r="DG796" s="5"/>
      <c r="DH796" s="5"/>
      <c r="DI796" s="5"/>
      <c r="DJ796" s="5"/>
      <c r="DK796" s="5"/>
      <c r="DL796" s="5"/>
      <c r="DM796" s="5"/>
      <c r="DN796" s="5"/>
      <c r="DO796" s="5"/>
      <c r="DP796" s="5"/>
      <c r="DQ796" s="5"/>
      <c r="DR796" s="5"/>
      <c r="DS796" s="5"/>
      <c r="DT796" s="5"/>
      <c r="DU796" s="5"/>
      <c r="DV796" s="5"/>
      <c r="DW796" s="5"/>
      <c r="DX796" s="5"/>
      <c r="DY796" s="5"/>
      <c r="DZ796" s="5"/>
      <c r="EA796" s="5"/>
      <c r="EB796" s="5"/>
      <c r="EC796" s="5"/>
      <c r="ED796" s="5"/>
      <c r="EE796" s="5"/>
      <c r="EF796" s="5"/>
      <c r="EG796" s="5"/>
      <c r="EH796" s="5"/>
      <c r="EI796" s="5"/>
      <c r="EJ796" s="5"/>
      <c r="EK796" s="5"/>
      <c r="EL796" s="5"/>
      <c r="EM796" s="5"/>
      <c r="EN796" s="5"/>
      <c r="EO796" s="5"/>
      <c r="EP796" s="5"/>
      <c r="EQ796" s="5"/>
      <c r="ER796" s="5"/>
      <c r="ES796" s="5"/>
      <c r="ET796" s="5"/>
      <c r="EU796" s="5"/>
      <c r="EV796" s="5">
        <v>10450008</v>
      </c>
      <c r="EW796"/>
      <c r="EX796"/>
      <c r="EY796" s="5"/>
      <c r="EZ796" s="5"/>
      <c r="FA796" s="5"/>
      <c r="FB796" s="5"/>
      <c r="FC796" s="5"/>
      <c r="FD796" s="5"/>
      <c r="FE796" s="5"/>
      <c r="FF796" s="5"/>
      <c r="FG796" s="5"/>
      <c r="FH796" s="5"/>
      <c r="FI796" s="5"/>
      <c r="FJ796" s="5"/>
      <c r="FK796" s="5"/>
      <c r="FL796" s="5"/>
      <c r="FM796" s="5"/>
      <c r="FN796" s="5"/>
      <c r="FO796" s="5"/>
      <c r="FP796" s="5"/>
      <c r="FQ796" s="5"/>
      <c r="FR796" s="5"/>
      <c r="FS796" s="5"/>
      <c r="FT796" s="5"/>
      <c r="FU796" s="5"/>
      <c r="FV796" s="5"/>
      <c r="FW796" s="5"/>
      <c r="FX796" s="5"/>
      <c r="FY796" s="5"/>
      <c r="FZ796" s="5"/>
      <c r="GA796" s="5"/>
      <c r="GB796" s="5"/>
      <c r="GC796" s="5"/>
      <c r="GD796" s="5"/>
      <c r="GE796" s="5"/>
      <c r="GF796" s="5"/>
      <c r="GG796" s="5"/>
      <c r="GH796" s="5"/>
      <c r="GI796" s="5"/>
      <c r="GJ796" s="5"/>
      <c r="GK796" s="5"/>
      <c r="GL796" s="5"/>
      <c r="GM796" s="5"/>
      <c r="GN796" s="5"/>
      <c r="GO796" s="5"/>
      <c r="GP796" s="5"/>
      <c r="GQ796" s="5"/>
      <c r="GR796" s="5"/>
      <c r="GS796" s="5"/>
      <c r="GT796" s="5"/>
      <c r="GU796" s="5"/>
      <c r="GV796"/>
      <c r="GW796"/>
      <c r="GX796" s="5">
        <v>0</v>
      </c>
      <c r="GY796" s="5">
        <v>0</v>
      </c>
      <c r="GZ796" s="5" t="inlineStr">
        <is>
          <t xml:space="preserve"/>
        </is>
      </c>
      <c r="HA796" s="5">
        <v>0</v>
      </c>
      <c r="HB796" s="5"/>
      <c r="HC796" s="5"/>
      <c r="HD796" s="5" t="b">
        <v>0</v>
      </c>
      <c r="HE796" s="5">
        <v>0</v>
      </c>
      <c r="HF796" s="5" t="b">
        <v>1</v>
      </c>
      <c r="HG796" s="5">
        <v>0</v>
      </c>
      <c r="HH796" s="5">
        <v>0</v>
      </c>
      <c r="HI796" s="5">
        <v>0</v>
      </c>
      <c r="HJ796" s="5">
        <v>0</v>
      </c>
      <c r="HK796" s="5" t="b">
        <v>0</v>
      </c>
      <c r="HL796" s="5">
        <v>0</v>
      </c>
      <c r="HM796" s="5">
        <v>0</v>
      </c>
      <c r="HN796" s="5" t="s">
        <v>367</v>
      </c>
      <c r="HO796" s="5" t="s">
        <v>360</v>
      </c>
      <c r="HP796" s="5">
        <v>0</v>
      </c>
      <c r="HQ796" s="5">
        <v>0</v>
      </c>
      <c r="HR796" s="5">
        <v>0</v>
      </c>
      <c r="HS796" s="5">
        <v>0</v>
      </c>
      <c r="HT796" s="5" t="b">
        <v>0</v>
      </c>
    </row>
    <row r="797">
      <c r="B797" s="1">
        <v>10450008</v>
      </c>
      <c r="C797" s="5" t="inlineStr">
        <is>
          <t xml:space="preserve">星罗分锋·分段104500</t>
        </is>
      </c>
      <c r="D797" s="5" t="inlineStr">
        <is>
          <t xml:space="preserve">skill_104500_8</t>
        </is>
      </c>
      <c r="E797" s="5" t="s">
        <v>360</v>
      </c>
      <c r="F797" s="5" t="s">
        <v>349</v>
      </c>
      <c r="G797" s="5" t="b">
        <v>0</v>
      </c>
      <c r="H797" s="5" t="b">
        <v>1</v>
      </c>
      <c r="I797" s="5">
        <v>8</v>
      </c>
      <c r="J797" s="5">
        <v>104500</v>
      </c>
      <c r="K797" s="5" t="s">
        <v>350</v>
      </c>
      <c r="L797" s="5">
        <v>0</v>
      </c>
      <c r="M797" s="5">
        <v>10450009</v>
      </c>
      <c r="N797" s="5" t="s">
        <v>535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/>
      <c r="V797" s="5">
        <v>0</v>
      </c>
      <c r="W797" s="5">
        <v>0</v>
      </c>
      <c r="X797" s="5" t="inlineStr">
        <is>
          <t xml:space="preserve">目标方向</t>
        </is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 t="s">
        <v>356</v>
      </c>
      <c r="AZ797" s="5">
        <v>11800</v>
      </c>
      <c r="BA797" s="5" t="inlineStr">
        <is>
          <t xml:space="preserve">技能效果_调用技能</t>
        </is>
      </c>
      <c r="BB797" s="5" t="inlineStr">
        <is>
          <t xml:space="preserve">敌对</t>
        </is>
      </c>
      <c r="BC797" s="5">
        <v>10000</v>
      </c>
      <c r="BD797" s="5">
        <v>0</v>
      </c>
      <c r="BE797" s="5" t="inlineStr">
        <is>
          <t xml:space="preserve">全部</t>
        </is>
      </c>
      <c r="BF797" s="5">
        <v>0</v>
      </c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5"/>
      <c r="CT797" s="5"/>
      <c r="CU797" s="5"/>
      <c r="CV797" s="5"/>
      <c r="CW797" s="5">
        <v>10330008</v>
      </c>
      <c r="CX797"/>
      <c r="CY797"/>
      <c r="CZ797" s="5" t="inlineStr">
        <is>
          <t xml:space="preserve">技能效果_调用技能</t>
        </is>
      </c>
      <c r="DA797" s="5" t="inlineStr">
        <is>
          <t xml:space="preserve">敌对</t>
        </is>
      </c>
      <c r="DB797" s="5">
        <v>10000</v>
      </c>
      <c r="DC797" s="5">
        <v>100</v>
      </c>
      <c r="DD797" s="5" t="inlineStr">
        <is>
          <t xml:space="preserve">全部</t>
        </is>
      </c>
      <c r="DE797" s="5">
        <v>0</v>
      </c>
      <c r="DF797" s="5"/>
      <c r="DG797" s="5"/>
      <c r="DH797" s="5"/>
      <c r="DI797" s="5"/>
      <c r="DJ797" s="5"/>
      <c r="DK797" s="5"/>
      <c r="DL797" s="5"/>
      <c r="DM797" s="5"/>
      <c r="DN797" s="5"/>
      <c r="DO797" s="5"/>
      <c r="DP797" s="5"/>
      <c r="DQ797" s="5"/>
      <c r="DR797" s="5"/>
      <c r="DS797" s="5"/>
      <c r="DT797" s="5"/>
      <c r="DU797" s="5"/>
      <c r="DV797" s="5"/>
      <c r="DW797" s="5"/>
      <c r="DX797" s="5"/>
      <c r="DY797" s="5"/>
      <c r="DZ797" s="5"/>
      <c r="EA797" s="5"/>
      <c r="EB797" s="5"/>
      <c r="EC797" s="5"/>
      <c r="ED797" s="5"/>
      <c r="EE797" s="5"/>
      <c r="EF797" s="5"/>
      <c r="EG797" s="5"/>
      <c r="EH797" s="5"/>
      <c r="EI797" s="5"/>
      <c r="EJ797" s="5"/>
      <c r="EK797" s="5"/>
      <c r="EL797" s="5"/>
      <c r="EM797" s="5"/>
      <c r="EN797" s="5"/>
      <c r="EO797" s="5"/>
      <c r="EP797" s="5"/>
      <c r="EQ797" s="5"/>
      <c r="ER797" s="5"/>
      <c r="ES797" s="5"/>
      <c r="ET797" s="5"/>
      <c r="EU797" s="5"/>
      <c r="EV797" s="5">
        <v>10330008</v>
      </c>
      <c r="EW797"/>
      <c r="EX797"/>
      <c r="EY797" s="5"/>
      <c r="EZ797" s="5"/>
      <c r="FA797" s="5"/>
      <c r="FB797" s="5"/>
      <c r="FC797" s="5"/>
      <c r="FD797" s="5"/>
      <c r="FE797" s="5"/>
      <c r="FF797" s="5"/>
      <c r="FG797" s="5"/>
      <c r="FH797" s="5"/>
      <c r="FI797" s="5"/>
      <c r="FJ797" s="5"/>
      <c r="FK797" s="5"/>
      <c r="FL797" s="5"/>
      <c r="FM797" s="5"/>
      <c r="FN797" s="5"/>
      <c r="FO797" s="5"/>
      <c r="FP797" s="5"/>
      <c r="FQ797" s="5"/>
      <c r="FR797" s="5"/>
      <c r="FS797" s="5"/>
      <c r="FT797" s="5"/>
      <c r="FU797" s="5"/>
      <c r="FV797" s="5"/>
      <c r="FW797" s="5"/>
      <c r="FX797" s="5"/>
      <c r="FY797" s="5"/>
      <c r="FZ797" s="5"/>
      <c r="GA797" s="5"/>
      <c r="GB797" s="5"/>
      <c r="GC797" s="5"/>
      <c r="GD797" s="5"/>
      <c r="GE797" s="5"/>
      <c r="GF797" s="5"/>
      <c r="GG797" s="5"/>
      <c r="GH797" s="5"/>
      <c r="GI797" s="5"/>
      <c r="GJ797" s="5"/>
      <c r="GK797" s="5"/>
      <c r="GL797" s="5"/>
      <c r="GM797" s="5"/>
      <c r="GN797" s="5"/>
      <c r="GO797" s="5"/>
      <c r="GP797" s="5"/>
      <c r="GQ797" s="5"/>
      <c r="GR797" s="5"/>
      <c r="GS797" s="5"/>
      <c r="GT797" s="5"/>
      <c r="GU797" s="5"/>
      <c r="GV797"/>
      <c r="GW797"/>
      <c r="GX797" s="5">
        <v>0</v>
      </c>
      <c r="GY797" s="5">
        <v>0</v>
      </c>
      <c r="GZ797" s="5" t="inlineStr">
        <is>
          <t xml:space="preserve"/>
        </is>
      </c>
      <c r="HA797" s="5">
        <v>0</v>
      </c>
      <c r="HB797" s="5"/>
      <c r="HC797" s="5"/>
      <c r="HD797" s="5" t="b">
        <v>0</v>
      </c>
      <c r="HE797" s="5">
        <v>0</v>
      </c>
      <c r="HF797" s="5" t="b">
        <v>1</v>
      </c>
      <c r="HG797" s="5">
        <v>0</v>
      </c>
      <c r="HH797" s="5">
        <v>0</v>
      </c>
      <c r="HI797" s="5">
        <v>0</v>
      </c>
      <c r="HJ797" s="5">
        <v>0</v>
      </c>
      <c r="HK797" s="5" t="b">
        <v>0</v>
      </c>
      <c r="HL797" s="5">
        <v>0</v>
      </c>
      <c r="HM797" s="5">
        <v>0</v>
      </c>
      <c r="HN797" s="5" t="s">
        <v>367</v>
      </c>
      <c r="HO797" s="5" t="s">
        <v>360</v>
      </c>
      <c r="HP797" s="5">
        <v>0</v>
      </c>
      <c r="HQ797" s="5">
        <v>0</v>
      </c>
      <c r="HR797" s="5">
        <v>0</v>
      </c>
      <c r="HS797" s="5">
        <v>0</v>
      </c>
      <c r="HT797" s="5" t="b">
        <v>0</v>
      </c>
    </row>
    <row r="798">
      <c r="B798" s="1">
        <v>10420009</v>
      </c>
      <c r="C798" s="5" t="inlineStr">
        <is>
          <t xml:space="preserve">赤霄焚野·计时</t>
        </is>
      </c>
      <c r="D798" s="5" t="inlineStr">
        <is>
          <t xml:space="preserve">skill_104200_9</t>
        </is>
      </c>
      <c r="E798" s="5" t="inlineStr">
        <is>
          <t xml:space="preserve">无</t>
        </is>
      </c>
      <c r="F798" s="5" t="s">
        <v>391</v>
      </c>
      <c r="G798" s="5" t="b">
        <v>0</v>
      </c>
      <c r="H798" s="5" t="b">
        <v>1</v>
      </c>
      <c r="I798" s="5">
        <v>9</v>
      </c>
      <c r="J798" s="5">
        <v>104200</v>
      </c>
      <c r="K798" s="5" t="s">
        <v>350</v>
      </c>
      <c r="L798" s="5">
        <v>10110008</v>
      </c>
      <c r="M798" s="5">
        <v>10420010</v>
      </c>
      <c r="N798" s="5" t="s">
        <v>400</v>
      </c>
      <c r="O798" s="5">
        <v>10202010</v>
      </c>
      <c r="P798" s="5">
        <v>0</v>
      </c>
      <c r="Q798" s="5">
        <v>0</v>
      </c>
      <c r="R798" s="5">
        <v>40</v>
      </c>
      <c r="S798" s="5">
        <v>0</v>
      </c>
      <c r="T798" s="5">
        <v>100</v>
      </c>
      <c r="U798" s="5" t="s">
        <v>364</v>
      </c>
      <c r="V798" s="5">
        <v>0</v>
      </c>
      <c r="W798" s="5">
        <v>0</v>
      </c>
      <c r="X798" s="5" t="inlineStr">
        <is>
          <t xml:space="preserve">目标方向</t>
        </is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 t="s">
        <v>381</v>
      </c>
      <c r="AZ798" s="5">
        <v>11900</v>
      </c>
      <c r="BA798" s="5" t="inlineStr">
        <is>
          <t xml:space="preserve">技能效果_调用技能</t>
        </is>
      </c>
      <c r="BB798" s="5" t="inlineStr">
        <is>
          <t xml:space="preserve">敌对</t>
        </is>
      </c>
      <c r="BC798" s="5">
        <v>10000</v>
      </c>
      <c r="BD798" s="5">
        <v>1000</v>
      </c>
      <c r="BE798" s="5" t="inlineStr">
        <is>
          <t xml:space="preserve">全部</t>
        </is>
      </c>
      <c r="BF798" s="5">
        <v>0</v>
      </c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5"/>
      <c r="CT798" s="5"/>
      <c r="CU798" s="5"/>
      <c r="CV798" s="5"/>
      <c r="CW798" s="5">
        <v>10410009</v>
      </c>
      <c r="CX798"/>
      <c r="CY798"/>
      <c r="CZ798" s="5" t="inlineStr">
        <is>
          <t xml:space="preserve">技能效果_调用技能</t>
        </is>
      </c>
      <c r="DA798" s="5" t="inlineStr">
        <is>
          <t xml:space="preserve">敌对</t>
        </is>
      </c>
      <c r="DB798" s="5">
        <v>10000</v>
      </c>
      <c r="DC798" s="5">
        <v>2000</v>
      </c>
      <c r="DD798" s="5" t="inlineStr">
        <is>
          <t xml:space="preserve">全部</t>
        </is>
      </c>
      <c r="DE798" s="5">
        <v>0</v>
      </c>
      <c r="DF798" s="5"/>
      <c r="DG798" s="5"/>
      <c r="DH798" s="5"/>
      <c r="DI798" s="5"/>
      <c r="DJ798" s="5"/>
      <c r="DK798" s="5"/>
      <c r="DL798" s="5"/>
      <c r="DM798" s="5"/>
      <c r="DN798" s="5"/>
      <c r="DO798" s="5"/>
      <c r="DP798" s="5"/>
      <c r="DQ798" s="5"/>
      <c r="DR798" s="5"/>
      <c r="DS798" s="5"/>
      <c r="DT798" s="5"/>
      <c r="DU798" s="5"/>
      <c r="DV798" s="5"/>
      <c r="DW798" s="5"/>
      <c r="DX798" s="5"/>
      <c r="DY798" s="5"/>
      <c r="DZ798" s="5"/>
      <c r="EA798" s="5"/>
      <c r="EB798" s="5"/>
      <c r="EC798" s="5"/>
      <c r="ED798" s="5"/>
      <c r="EE798" s="5"/>
      <c r="EF798" s="5"/>
      <c r="EG798" s="5"/>
      <c r="EH798" s="5"/>
      <c r="EI798" s="5"/>
      <c r="EJ798" s="5"/>
      <c r="EK798" s="5"/>
      <c r="EL798" s="5"/>
      <c r="EM798" s="5"/>
      <c r="EN798" s="5"/>
      <c r="EO798" s="5"/>
      <c r="EP798" s="5"/>
      <c r="EQ798" s="5"/>
      <c r="ER798" s="5"/>
      <c r="ES798" s="5"/>
      <c r="ET798" s="5"/>
      <c r="EU798" s="5"/>
      <c r="EV798" s="5">
        <v>10410009</v>
      </c>
      <c r="EW798"/>
      <c r="EX798"/>
      <c r="EY798" s="5"/>
      <c r="EZ798" s="5"/>
      <c r="FA798" s="5"/>
      <c r="FB798" s="5"/>
      <c r="FC798" s="5"/>
      <c r="FD798" s="5"/>
      <c r="FE798" s="5"/>
      <c r="FF798" s="5"/>
      <c r="FG798" s="5"/>
      <c r="FH798" s="5"/>
      <c r="FI798" s="5"/>
      <c r="FJ798" s="5"/>
      <c r="FK798" s="5"/>
      <c r="FL798" s="5"/>
      <c r="FM798" s="5"/>
      <c r="FN798" s="5"/>
      <c r="FO798" s="5"/>
      <c r="FP798" s="5"/>
      <c r="FQ798" s="5"/>
      <c r="FR798" s="5"/>
      <c r="FS798" s="5"/>
      <c r="FT798" s="5"/>
      <c r="FU798" s="5"/>
      <c r="FV798" s="5"/>
      <c r="FW798" s="5"/>
      <c r="FX798" s="5"/>
      <c r="FY798" s="5"/>
      <c r="FZ798" s="5"/>
      <c r="GA798" s="5"/>
      <c r="GB798" s="5"/>
      <c r="GC798" s="5"/>
      <c r="GD798" s="5"/>
      <c r="GE798" s="5"/>
      <c r="GF798" s="5"/>
      <c r="GG798" s="5"/>
      <c r="GH798" s="5"/>
      <c r="GI798" s="5"/>
      <c r="GJ798" s="5"/>
      <c r="GK798" s="5"/>
      <c r="GL798" s="5"/>
      <c r="GM798" s="5"/>
      <c r="GN798" s="5"/>
      <c r="GO798" s="5"/>
      <c r="GP798" s="5"/>
      <c r="GQ798" s="5"/>
      <c r="GR798" s="5"/>
      <c r="GS798" s="5"/>
      <c r="GT798" s="5"/>
      <c r="GU798" s="5"/>
      <c r="GV798"/>
      <c r="GW798"/>
      <c r="GX798" s="5">
        <v>0</v>
      </c>
      <c r="GY798" s="5">
        <v>0</v>
      </c>
      <c r="GZ798" s="5" t="inlineStr">
        <is>
          <t xml:space="preserve"/>
        </is>
      </c>
      <c r="HA798" s="5">
        <v>0</v>
      </c>
      <c r="HB798" s="5">
        <v>0</v>
      </c>
      <c r="HC798" s="5" t="s">
        <v>366</v>
      </c>
      <c r="HD798" s="5" t="b">
        <v>1</v>
      </c>
      <c r="HE798" s="5">
        <v>0</v>
      </c>
      <c r="HF798" s="5" t="b">
        <v>0</v>
      </c>
      <c r="HG798" s="5">
        <v>0</v>
      </c>
      <c r="HH798" s="5">
        <v>0</v>
      </c>
      <c r="HI798" s="5">
        <v>0</v>
      </c>
      <c r="HJ798" s="5">
        <v>0</v>
      </c>
      <c r="HK798" s="5" t="b">
        <v>0</v>
      </c>
      <c r="HL798" s="5">
        <v>0</v>
      </c>
      <c r="HM798" s="5">
        <v>10001</v>
      </c>
      <c r="HN798" s="5" t="s">
        <v>367</v>
      </c>
      <c r="HO798" s="5" t="s">
        <v>360</v>
      </c>
      <c r="HP798" s="5">
        <v>0</v>
      </c>
      <c r="HQ798" s="5">
        <v>0</v>
      </c>
      <c r="HR798" s="5">
        <v>0</v>
      </c>
      <c r="HS798" s="5">
        <v>0</v>
      </c>
      <c r="HT798" s="5" t="b">
        <v>0</v>
      </c>
    </row>
    <row r="799">
      <c r="B799" s="1">
        <v>10430009</v>
      </c>
      <c r="C799" s="5" t="inlineStr">
        <is>
          <t xml:space="preserve">星罗分锋·分段104300</t>
        </is>
      </c>
      <c r="D799" s="5" t="inlineStr">
        <is>
          <t xml:space="preserve">skill_104300_9</t>
        </is>
      </c>
      <c r="E799" s="5" t="s">
        <v>360</v>
      </c>
      <c r="F799" s="5" t="s">
        <v>349</v>
      </c>
      <c r="G799" s="5" t="b">
        <v>0</v>
      </c>
      <c r="H799" s="5" t="b">
        <v>1</v>
      </c>
      <c r="I799" s="5">
        <v>9</v>
      </c>
      <c r="J799" s="5">
        <v>104300</v>
      </c>
      <c r="K799" s="5" t="s">
        <v>350</v>
      </c>
      <c r="L799" s="5">
        <v>0</v>
      </c>
      <c r="M799" s="5">
        <v>10430010</v>
      </c>
      <c r="N799" s="5" t="s">
        <v>535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/>
      <c r="V799" s="5">
        <v>0</v>
      </c>
      <c r="W799" s="5">
        <v>0</v>
      </c>
      <c r="X799" s="5" t="inlineStr">
        <is>
          <t xml:space="preserve">目标方向</t>
        </is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 t="s">
        <v>356</v>
      </c>
      <c r="AZ799" s="5">
        <v>11900</v>
      </c>
      <c r="BA799" s="5" t="inlineStr">
        <is>
          <t xml:space="preserve">技能效果_调用技能</t>
        </is>
      </c>
      <c r="BB799" s="5" t="inlineStr">
        <is>
          <t xml:space="preserve">敌对</t>
        </is>
      </c>
      <c r="BC799" s="5">
        <v>10000</v>
      </c>
      <c r="BD799" s="5">
        <v>0</v>
      </c>
      <c r="BE799" s="5" t="inlineStr">
        <is>
          <t xml:space="preserve">全部</t>
        </is>
      </c>
      <c r="BF799" s="5">
        <v>0</v>
      </c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5"/>
      <c r="CT799" s="5"/>
      <c r="CU799" s="5"/>
      <c r="CV799" s="5"/>
      <c r="CW799" s="5">
        <v>10440009</v>
      </c>
      <c r="CX799"/>
      <c r="CY799"/>
      <c r="CZ799" s="5" t="inlineStr">
        <is>
          <t xml:space="preserve">技能效果_调用技能</t>
        </is>
      </c>
      <c r="DA799" s="5" t="inlineStr">
        <is>
          <t xml:space="preserve">敌对</t>
        </is>
      </c>
      <c r="DB799" s="5">
        <v>10000</v>
      </c>
      <c r="DC799" s="5">
        <v>400</v>
      </c>
      <c r="DD799" s="5" t="inlineStr">
        <is>
          <t xml:space="preserve">全部</t>
        </is>
      </c>
      <c r="DE799" s="5">
        <v>0</v>
      </c>
      <c r="DF799" s="5"/>
      <c r="DG799" s="5"/>
      <c r="DH799" s="5"/>
      <c r="DI799" s="5"/>
      <c r="DJ799" s="5"/>
      <c r="DK799" s="5"/>
      <c r="DL799" s="5"/>
      <c r="DM799" s="5"/>
      <c r="DN799" s="5"/>
      <c r="DO799" s="5"/>
      <c r="DP799" s="5"/>
      <c r="DQ799" s="5"/>
      <c r="DR799" s="5"/>
      <c r="DS799" s="5"/>
      <c r="DT799" s="5"/>
      <c r="DU799" s="5"/>
      <c r="DV799" s="5"/>
      <c r="DW799" s="5"/>
      <c r="DX799" s="5"/>
      <c r="DY799" s="5"/>
      <c r="DZ799" s="5"/>
      <c r="EA799" s="5"/>
      <c r="EB799" s="5"/>
      <c r="EC799" s="5"/>
      <c r="ED799" s="5"/>
      <c r="EE799" s="5"/>
      <c r="EF799" s="5"/>
      <c r="EG799" s="5"/>
      <c r="EH799" s="5"/>
      <c r="EI799" s="5"/>
      <c r="EJ799" s="5"/>
      <c r="EK799" s="5"/>
      <c r="EL799" s="5"/>
      <c r="EM799" s="5"/>
      <c r="EN799" s="5"/>
      <c r="EO799" s="5"/>
      <c r="EP799" s="5"/>
      <c r="EQ799" s="5"/>
      <c r="ER799" s="5"/>
      <c r="ES799" s="5"/>
      <c r="ET799" s="5"/>
      <c r="EU799" s="5"/>
      <c r="EV799" s="5">
        <v>10440009</v>
      </c>
      <c r="EW799"/>
      <c r="EX799"/>
      <c r="EY799" s="5"/>
      <c r="EZ799" s="5"/>
      <c r="FA799" s="5"/>
      <c r="FB799" s="5"/>
      <c r="FC799" s="5"/>
      <c r="FD799" s="5"/>
      <c r="FE799" s="5"/>
      <c r="FF799" s="5"/>
      <c r="FG799" s="5"/>
      <c r="FH799" s="5"/>
      <c r="FI799" s="5"/>
      <c r="FJ799" s="5"/>
      <c r="FK799" s="5"/>
      <c r="FL799" s="5"/>
      <c r="FM799" s="5"/>
      <c r="FN799" s="5"/>
      <c r="FO799" s="5"/>
      <c r="FP799" s="5"/>
      <c r="FQ799" s="5"/>
      <c r="FR799" s="5"/>
      <c r="FS799" s="5"/>
      <c r="FT799" s="5"/>
      <c r="FU799" s="5"/>
      <c r="FV799" s="5"/>
      <c r="FW799" s="5"/>
      <c r="FX799" s="5"/>
      <c r="FY799" s="5"/>
      <c r="FZ799" s="5"/>
      <c r="GA799" s="5"/>
      <c r="GB799" s="5"/>
      <c r="GC799" s="5"/>
      <c r="GD799" s="5"/>
      <c r="GE799" s="5"/>
      <c r="GF799" s="5"/>
      <c r="GG799" s="5"/>
      <c r="GH799" s="5"/>
      <c r="GI799" s="5"/>
      <c r="GJ799" s="5"/>
      <c r="GK799" s="5"/>
      <c r="GL799" s="5"/>
      <c r="GM799" s="5"/>
      <c r="GN799" s="5"/>
      <c r="GO799" s="5"/>
      <c r="GP799" s="5"/>
      <c r="GQ799" s="5"/>
      <c r="GR799" s="5"/>
      <c r="GS799" s="5"/>
      <c r="GT799" s="5"/>
      <c r="GU799" s="5"/>
      <c r="GV799"/>
      <c r="GW799"/>
      <c r="GX799" s="5">
        <v>0</v>
      </c>
      <c r="GY799" s="5">
        <v>0</v>
      </c>
      <c r="GZ799" s="5" t="inlineStr">
        <is>
          <t xml:space="preserve"/>
        </is>
      </c>
      <c r="HA799" s="5">
        <v>0</v>
      </c>
      <c r="HB799" s="5"/>
      <c r="HC799" s="5"/>
      <c r="HD799" s="5" t="b">
        <v>0</v>
      </c>
      <c r="HE799" s="5">
        <v>0</v>
      </c>
      <c r="HF799" s="5" t="b">
        <v>1</v>
      </c>
      <c r="HG799" s="5">
        <v>0</v>
      </c>
      <c r="HH799" s="5">
        <v>0</v>
      </c>
      <c r="HI799" s="5">
        <v>0</v>
      </c>
      <c r="HJ799" s="5">
        <v>0</v>
      </c>
      <c r="HK799" s="5" t="b">
        <v>0</v>
      </c>
      <c r="HL799" s="5">
        <v>0</v>
      </c>
      <c r="HM799" s="5">
        <v>0</v>
      </c>
      <c r="HN799" s="5" t="s">
        <v>367</v>
      </c>
      <c r="HO799" s="5" t="s">
        <v>360</v>
      </c>
      <c r="HP799" s="5">
        <v>0</v>
      </c>
      <c r="HQ799" s="5">
        <v>0</v>
      </c>
      <c r="HR799" s="5">
        <v>0</v>
      </c>
      <c r="HS799" s="5">
        <v>0</v>
      </c>
      <c r="HT799" s="5" t="b">
        <v>0</v>
      </c>
    </row>
    <row r="800">
      <c r="B800" s="1">
        <v>10440009</v>
      </c>
      <c r="C800" s="5" t="inlineStr">
        <is>
          <t xml:space="preserve">星罗分锋·分段104400</t>
        </is>
      </c>
      <c r="D800" s="5" t="inlineStr">
        <is>
          <t xml:space="preserve">skill_104400_9</t>
        </is>
      </c>
      <c r="E800" s="5" t="s">
        <v>360</v>
      </c>
      <c r="F800" s="5" t="s">
        <v>349</v>
      </c>
      <c r="G800" s="5" t="b">
        <v>0</v>
      </c>
      <c r="H800" s="5" t="b">
        <v>1</v>
      </c>
      <c r="I800" s="5">
        <v>9</v>
      </c>
      <c r="J800" s="5">
        <v>104400</v>
      </c>
      <c r="K800" s="5" t="s">
        <v>350</v>
      </c>
      <c r="L800" s="5">
        <v>0</v>
      </c>
      <c r="M800" s="5">
        <v>10440010</v>
      </c>
      <c r="N800" s="5" t="s">
        <v>535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/>
      <c r="V800" s="5">
        <v>0</v>
      </c>
      <c r="W800" s="5">
        <v>0</v>
      </c>
      <c r="X800" s="5" t="inlineStr">
        <is>
          <t xml:space="preserve">目标方向</t>
        </is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 t="s">
        <v>356</v>
      </c>
      <c r="AZ800" s="5">
        <v>11900</v>
      </c>
      <c r="BA800" s="5" t="inlineStr">
        <is>
          <t xml:space="preserve">技能效果_调用技能</t>
        </is>
      </c>
      <c r="BB800" s="5" t="inlineStr">
        <is>
          <t xml:space="preserve">敌对</t>
        </is>
      </c>
      <c r="BC800" s="5">
        <v>10000</v>
      </c>
      <c r="BD800" s="5">
        <v>0</v>
      </c>
      <c r="BE800" s="5" t="inlineStr">
        <is>
          <t xml:space="preserve">全部</t>
        </is>
      </c>
      <c r="BF800" s="5">
        <v>0</v>
      </c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5"/>
      <c r="CT800" s="5"/>
      <c r="CU800" s="5"/>
      <c r="CV800" s="5"/>
      <c r="CW800" s="5">
        <v>10450009</v>
      </c>
      <c r="CX800"/>
      <c r="CY800"/>
      <c r="CZ800" s="5" t="inlineStr">
        <is>
          <t xml:space="preserve">技能效果_调用技能</t>
        </is>
      </c>
      <c r="DA800" s="5" t="inlineStr">
        <is>
          <t xml:space="preserve">敌对</t>
        </is>
      </c>
      <c r="DB800" s="5">
        <v>10000</v>
      </c>
      <c r="DC800" s="5">
        <v>200</v>
      </c>
      <c r="DD800" s="5" t="inlineStr">
        <is>
          <t xml:space="preserve">全部</t>
        </is>
      </c>
      <c r="DE800" s="5">
        <v>0</v>
      </c>
      <c r="DF800" s="5"/>
      <c r="DG800" s="5"/>
      <c r="DH800" s="5"/>
      <c r="DI800" s="5"/>
      <c r="DJ800" s="5"/>
      <c r="DK800" s="5"/>
      <c r="DL800" s="5"/>
      <c r="DM800" s="5"/>
      <c r="DN800" s="5"/>
      <c r="DO800" s="5"/>
      <c r="DP800" s="5"/>
      <c r="DQ800" s="5"/>
      <c r="DR800" s="5"/>
      <c r="DS800" s="5"/>
      <c r="DT800" s="5"/>
      <c r="DU800" s="5"/>
      <c r="DV800" s="5"/>
      <c r="DW800" s="5"/>
      <c r="DX800" s="5"/>
      <c r="DY800" s="5"/>
      <c r="DZ800" s="5"/>
      <c r="EA800" s="5"/>
      <c r="EB800" s="5"/>
      <c r="EC800" s="5"/>
      <c r="ED800" s="5"/>
      <c r="EE800" s="5"/>
      <c r="EF800" s="5"/>
      <c r="EG800" s="5"/>
      <c r="EH800" s="5"/>
      <c r="EI800" s="5"/>
      <c r="EJ800" s="5"/>
      <c r="EK800" s="5"/>
      <c r="EL800" s="5"/>
      <c r="EM800" s="5"/>
      <c r="EN800" s="5"/>
      <c r="EO800" s="5"/>
      <c r="EP800" s="5"/>
      <c r="EQ800" s="5"/>
      <c r="ER800" s="5"/>
      <c r="ES800" s="5"/>
      <c r="ET800" s="5"/>
      <c r="EU800" s="5"/>
      <c r="EV800" s="5">
        <v>10450009</v>
      </c>
      <c r="EW800"/>
      <c r="EX800"/>
      <c r="EY800" s="5"/>
      <c r="EZ800" s="5"/>
      <c r="FA800" s="5"/>
      <c r="FB800" s="5"/>
      <c r="FC800" s="5"/>
      <c r="FD800" s="5"/>
      <c r="FE800" s="5"/>
      <c r="FF800" s="5"/>
      <c r="FG800" s="5"/>
      <c r="FH800" s="5"/>
      <c r="FI800" s="5"/>
      <c r="FJ800" s="5"/>
      <c r="FK800" s="5"/>
      <c r="FL800" s="5"/>
      <c r="FM800" s="5"/>
      <c r="FN800" s="5"/>
      <c r="FO800" s="5"/>
      <c r="FP800" s="5"/>
      <c r="FQ800" s="5"/>
      <c r="FR800" s="5"/>
      <c r="FS800" s="5"/>
      <c r="FT800" s="5"/>
      <c r="FU800" s="5"/>
      <c r="FV800" s="5"/>
      <c r="FW800" s="5"/>
      <c r="FX800" s="5"/>
      <c r="FY800" s="5"/>
      <c r="FZ800" s="5"/>
      <c r="GA800" s="5"/>
      <c r="GB800" s="5"/>
      <c r="GC800" s="5"/>
      <c r="GD800" s="5"/>
      <c r="GE800" s="5"/>
      <c r="GF800" s="5"/>
      <c r="GG800" s="5"/>
      <c r="GH800" s="5"/>
      <c r="GI800" s="5"/>
      <c r="GJ800" s="5"/>
      <c r="GK800" s="5"/>
      <c r="GL800" s="5"/>
      <c r="GM800" s="5"/>
      <c r="GN800" s="5"/>
      <c r="GO800" s="5"/>
      <c r="GP800" s="5"/>
      <c r="GQ800" s="5"/>
      <c r="GR800" s="5"/>
      <c r="GS800" s="5"/>
      <c r="GT800" s="5"/>
      <c r="GU800" s="5"/>
      <c r="GV800"/>
      <c r="GW800"/>
      <c r="GX800" s="5">
        <v>0</v>
      </c>
      <c r="GY800" s="5">
        <v>0</v>
      </c>
      <c r="GZ800" s="5" t="inlineStr">
        <is>
          <t xml:space="preserve"/>
        </is>
      </c>
      <c r="HA800" s="5">
        <v>0</v>
      </c>
      <c r="HB800" s="5"/>
      <c r="HC800" s="5"/>
      <c r="HD800" s="5" t="b">
        <v>0</v>
      </c>
      <c r="HE800" s="5">
        <v>0</v>
      </c>
      <c r="HF800" s="5" t="b">
        <v>1</v>
      </c>
      <c r="HG800" s="5">
        <v>0</v>
      </c>
      <c r="HH800" s="5">
        <v>0</v>
      </c>
      <c r="HI800" s="5">
        <v>0</v>
      </c>
      <c r="HJ800" s="5">
        <v>0</v>
      </c>
      <c r="HK800" s="5" t="b">
        <v>0</v>
      </c>
      <c r="HL800" s="5">
        <v>0</v>
      </c>
      <c r="HM800" s="5">
        <v>0</v>
      </c>
      <c r="HN800" s="5" t="s">
        <v>367</v>
      </c>
      <c r="HO800" s="5" t="s">
        <v>360</v>
      </c>
      <c r="HP800" s="5">
        <v>0</v>
      </c>
      <c r="HQ800" s="5">
        <v>0</v>
      </c>
      <c r="HR800" s="5">
        <v>0</v>
      </c>
      <c r="HS800" s="5">
        <v>0</v>
      </c>
      <c r="HT800" s="5" t="b">
        <v>0</v>
      </c>
    </row>
    <row r="801">
      <c r="B801" s="1">
        <v>10450009</v>
      </c>
      <c r="C801" s="5" t="inlineStr">
        <is>
          <t xml:space="preserve">星罗分锋·分段104500</t>
        </is>
      </c>
      <c r="D801" s="5" t="inlineStr">
        <is>
          <t xml:space="preserve">skill_104500_9</t>
        </is>
      </c>
      <c r="E801" s="5" t="s">
        <v>360</v>
      </c>
      <c r="F801" s="5" t="s">
        <v>349</v>
      </c>
      <c r="G801" s="5" t="b">
        <v>0</v>
      </c>
      <c r="H801" s="5" t="b">
        <v>1</v>
      </c>
      <c r="I801" s="5">
        <v>9</v>
      </c>
      <c r="J801" s="5">
        <v>104500</v>
      </c>
      <c r="K801" s="5" t="s">
        <v>350</v>
      </c>
      <c r="L801" s="5">
        <v>0</v>
      </c>
      <c r="M801" s="5">
        <v>10450010</v>
      </c>
      <c r="N801" s="5" t="s">
        <v>535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/>
      <c r="V801" s="5">
        <v>0</v>
      </c>
      <c r="W801" s="5">
        <v>0</v>
      </c>
      <c r="X801" s="5" t="inlineStr">
        <is>
          <t xml:space="preserve">目标方向</t>
        </is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 t="s">
        <v>356</v>
      </c>
      <c r="AZ801" s="5">
        <v>11900</v>
      </c>
      <c r="BA801" s="5" t="inlineStr">
        <is>
          <t xml:space="preserve">技能效果_调用技能</t>
        </is>
      </c>
      <c r="BB801" s="5" t="inlineStr">
        <is>
          <t xml:space="preserve">敌对</t>
        </is>
      </c>
      <c r="BC801" s="5">
        <v>10000</v>
      </c>
      <c r="BD801" s="5">
        <v>0</v>
      </c>
      <c r="BE801" s="5" t="inlineStr">
        <is>
          <t xml:space="preserve">全部</t>
        </is>
      </c>
      <c r="BF801" s="5">
        <v>0</v>
      </c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5"/>
      <c r="CT801" s="5"/>
      <c r="CU801" s="5"/>
      <c r="CV801" s="5"/>
      <c r="CW801" s="5">
        <v>10330009</v>
      </c>
      <c r="CX801"/>
      <c r="CY801"/>
      <c r="CZ801" s="5" t="inlineStr">
        <is>
          <t xml:space="preserve">技能效果_调用技能</t>
        </is>
      </c>
      <c r="DA801" s="5" t="inlineStr">
        <is>
          <t xml:space="preserve">敌对</t>
        </is>
      </c>
      <c r="DB801" s="5">
        <v>10000</v>
      </c>
      <c r="DC801" s="5">
        <v>100</v>
      </c>
      <c r="DD801" s="5" t="inlineStr">
        <is>
          <t xml:space="preserve">全部</t>
        </is>
      </c>
      <c r="DE801" s="5">
        <v>0</v>
      </c>
      <c r="DF801" s="5"/>
      <c r="DG801" s="5"/>
      <c r="DH801" s="5"/>
      <c r="DI801" s="5"/>
      <c r="DJ801" s="5"/>
      <c r="DK801" s="5"/>
      <c r="DL801" s="5"/>
      <c r="DM801" s="5"/>
      <c r="DN801" s="5"/>
      <c r="DO801" s="5"/>
      <c r="DP801" s="5"/>
      <c r="DQ801" s="5"/>
      <c r="DR801" s="5"/>
      <c r="DS801" s="5"/>
      <c r="DT801" s="5"/>
      <c r="DU801" s="5"/>
      <c r="DV801" s="5"/>
      <c r="DW801" s="5"/>
      <c r="DX801" s="5"/>
      <c r="DY801" s="5"/>
      <c r="DZ801" s="5"/>
      <c r="EA801" s="5"/>
      <c r="EB801" s="5"/>
      <c r="EC801" s="5"/>
      <c r="ED801" s="5"/>
      <c r="EE801" s="5"/>
      <c r="EF801" s="5"/>
      <c r="EG801" s="5"/>
      <c r="EH801" s="5"/>
      <c r="EI801" s="5"/>
      <c r="EJ801" s="5"/>
      <c r="EK801" s="5"/>
      <c r="EL801" s="5"/>
      <c r="EM801" s="5"/>
      <c r="EN801" s="5"/>
      <c r="EO801" s="5"/>
      <c r="EP801" s="5"/>
      <c r="EQ801" s="5"/>
      <c r="ER801" s="5"/>
      <c r="ES801" s="5"/>
      <c r="ET801" s="5"/>
      <c r="EU801" s="5"/>
      <c r="EV801" s="5">
        <v>10330009</v>
      </c>
      <c r="EW801"/>
      <c r="EX801"/>
      <c r="EY801" s="5"/>
      <c r="EZ801" s="5"/>
      <c r="FA801" s="5"/>
      <c r="FB801" s="5"/>
      <c r="FC801" s="5"/>
      <c r="FD801" s="5"/>
      <c r="FE801" s="5"/>
      <c r="FF801" s="5"/>
      <c r="FG801" s="5"/>
      <c r="FH801" s="5"/>
      <c r="FI801" s="5"/>
      <c r="FJ801" s="5"/>
      <c r="FK801" s="5"/>
      <c r="FL801" s="5"/>
      <c r="FM801" s="5"/>
      <c r="FN801" s="5"/>
      <c r="FO801" s="5"/>
      <c r="FP801" s="5"/>
      <c r="FQ801" s="5"/>
      <c r="FR801" s="5"/>
      <c r="FS801" s="5"/>
      <c r="FT801" s="5"/>
      <c r="FU801" s="5"/>
      <c r="FV801" s="5"/>
      <c r="FW801" s="5"/>
      <c r="FX801" s="5"/>
      <c r="FY801" s="5"/>
      <c r="FZ801" s="5"/>
      <c r="GA801" s="5"/>
      <c r="GB801" s="5"/>
      <c r="GC801" s="5"/>
      <c r="GD801" s="5"/>
      <c r="GE801" s="5"/>
      <c r="GF801" s="5"/>
      <c r="GG801" s="5"/>
      <c r="GH801" s="5"/>
      <c r="GI801" s="5"/>
      <c r="GJ801" s="5"/>
      <c r="GK801" s="5"/>
      <c r="GL801" s="5"/>
      <c r="GM801" s="5"/>
      <c r="GN801" s="5"/>
      <c r="GO801" s="5"/>
      <c r="GP801" s="5"/>
      <c r="GQ801" s="5"/>
      <c r="GR801" s="5"/>
      <c r="GS801" s="5"/>
      <c r="GT801" s="5"/>
      <c r="GU801" s="5"/>
      <c r="GV801"/>
      <c r="GW801"/>
      <c r="GX801" s="5">
        <v>0</v>
      </c>
      <c r="GY801" s="5">
        <v>0</v>
      </c>
      <c r="GZ801" s="5" t="inlineStr">
        <is>
          <t xml:space="preserve"/>
        </is>
      </c>
      <c r="HA801" s="5">
        <v>0</v>
      </c>
      <c r="HB801" s="5"/>
      <c r="HC801" s="5"/>
      <c r="HD801" s="5" t="b">
        <v>0</v>
      </c>
      <c r="HE801" s="5">
        <v>0</v>
      </c>
      <c r="HF801" s="5" t="b">
        <v>1</v>
      </c>
      <c r="HG801" s="5">
        <v>0</v>
      </c>
      <c r="HH801" s="5">
        <v>0</v>
      </c>
      <c r="HI801" s="5">
        <v>0</v>
      </c>
      <c r="HJ801" s="5">
        <v>0</v>
      </c>
      <c r="HK801" s="5" t="b">
        <v>0</v>
      </c>
      <c r="HL801" s="5">
        <v>0</v>
      </c>
      <c r="HM801" s="5">
        <v>0</v>
      </c>
      <c r="HN801" s="5" t="s">
        <v>367</v>
      </c>
      <c r="HO801" s="5" t="s">
        <v>360</v>
      </c>
      <c r="HP801" s="5">
        <v>0</v>
      </c>
      <c r="HQ801" s="5">
        <v>0</v>
      </c>
      <c r="HR801" s="5">
        <v>0</v>
      </c>
      <c r="HS801" s="5">
        <v>0</v>
      </c>
      <c r="HT801" s="5" t="b">
        <v>0</v>
      </c>
    </row>
    <row r="802">
      <c r="B802" s="1">
        <v>10420010</v>
      </c>
      <c r="C802" s="5" t="inlineStr">
        <is>
          <t xml:space="preserve">赤霄焚野·计时</t>
        </is>
      </c>
      <c r="D802" s="5" t="inlineStr">
        <is>
          <t xml:space="preserve">skill_104200_10</t>
        </is>
      </c>
      <c r="E802" s="5" t="inlineStr">
        <is>
          <t xml:space="preserve">无</t>
        </is>
      </c>
      <c r="F802" s="5" t="s">
        <v>391</v>
      </c>
      <c r="G802" s="5" t="b">
        <v>0</v>
      </c>
      <c r="H802" s="5" t="b">
        <v>1</v>
      </c>
      <c r="I802" s="5">
        <v>10</v>
      </c>
      <c r="J802" s="5">
        <v>104200</v>
      </c>
      <c r="K802" s="5" t="s">
        <v>350</v>
      </c>
      <c r="L802" s="5">
        <v>10110009</v>
      </c>
      <c r="M802" s="5">
        <v>0</v>
      </c>
      <c r="N802" s="5" t="s">
        <v>400</v>
      </c>
      <c r="O802" s="5">
        <v>10202010</v>
      </c>
      <c r="P802" s="5">
        <v>0</v>
      </c>
      <c r="Q802" s="5">
        <v>0</v>
      </c>
      <c r="R802" s="5">
        <v>40</v>
      </c>
      <c r="S802" s="5">
        <v>0</v>
      </c>
      <c r="T802" s="5">
        <v>0</v>
      </c>
      <c r="U802" s="5" t="s">
        <v>364</v>
      </c>
      <c r="V802" s="5">
        <v>0</v>
      </c>
      <c r="W802" s="5">
        <v>0</v>
      </c>
      <c r="X802" s="5" t="inlineStr">
        <is>
          <t xml:space="preserve">目标方向</t>
        </is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 t="s">
        <v>381</v>
      </c>
      <c r="AZ802" s="5">
        <v>12000</v>
      </c>
      <c r="BA802" s="5" t="inlineStr">
        <is>
          <t xml:space="preserve">技能效果_调用技能</t>
        </is>
      </c>
      <c r="BB802" s="5" t="inlineStr">
        <is>
          <t xml:space="preserve">敌对</t>
        </is>
      </c>
      <c r="BC802" s="5">
        <v>10000</v>
      </c>
      <c r="BD802" s="5">
        <v>1000</v>
      </c>
      <c r="BE802" s="5" t="inlineStr">
        <is>
          <t xml:space="preserve">全部</t>
        </is>
      </c>
      <c r="BF802" s="5">
        <v>0</v>
      </c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5"/>
      <c r="CT802" s="5"/>
      <c r="CU802" s="5"/>
      <c r="CV802" s="5"/>
      <c r="CW802" s="5">
        <v>10410010</v>
      </c>
      <c r="CX802"/>
      <c r="CY802"/>
      <c r="CZ802" s="5" t="inlineStr">
        <is>
          <t xml:space="preserve">技能效果_调用技能</t>
        </is>
      </c>
      <c r="DA802" s="5" t="inlineStr">
        <is>
          <t xml:space="preserve">敌对</t>
        </is>
      </c>
      <c r="DB802" s="5">
        <v>10000</v>
      </c>
      <c r="DC802" s="5">
        <v>2000</v>
      </c>
      <c r="DD802" s="5" t="inlineStr">
        <is>
          <t xml:space="preserve">全部</t>
        </is>
      </c>
      <c r="DE802" s="5">
        <v>0</v>
      </c>
      <c r="DF802" s="5"/>
      <c r="DG802" s="5"/>
      <c r="DH802" s="5"/>
      <c r="DI802" s="5"/>
      <c r="DJ802" s="5"/>
      <c r="DK802" s="5"/>
      <c r="DL802" s="5"/>
      <c r="DM802" s="5"/>
      <c r="DN802" s="5"/>
      <c r="DO802" s="5"/>
      <c r="DP802" s="5"/>
      <c r="DQ802" s="5"/>
      <c r="DR802" s="5"/>
      <c r="DS802" s="5"/>
      <c r="DT802" s="5"/>
      <c r="DU802" s="5"/>
      <c r="DV802" s="5"/>
      <c r="DW802" s="5"/>
      <c r="DX802" s="5"/>
      <c r="DY802" s="5"/>
      <c r="DZ802" s="5"/>
      <c r="EA802" s="5"/>
      <c r="EB802" s="5"/>
      <c r="EC802" s="5"/>
      <c r="ED802" s="5"/>
      <c r="EE802" s="5"/>
      <c r="EF802" s="5"/>
      <c r="EG802" s="5"/>
      <c r="EH802" s="5"/>
      <c r="EI802" s="5"/>
      <c r="EJ802" s="5"/>
      <c r="EK802" s="5"/>
      <c r="EL802" s="5"/>
      <c r="EM802" s="5"/>
      <c r="EN802" s="5"/>
      <c r="EO802" s="5"/>
      <c r="EP802" s="5"/>
      <c r="EQ802" s="5"/>
      <c r="ER802" s="5"/>
      <c r="ES802" s="5"/>
      <c r="ET802" s="5"/>
      <c r="EU802" s="5"/>
      <c r="EV802" s="5">
        <v>10410010</v>
      </c>
      <c r="EW802"/>
      <c r="EX802"/>
      <c r="EY802" s="5"/>
      <c r="EZ802" s="5"/>
      <c r="FA802" s="5"/>
      <c r="FB802" s="5"/>
      <c r="FC802" s="5"/>
      <c r="FD802" s="5"/>
      <c r="FE802" s="5"/>
      <c r="FF802" s="5"/>
      <c r="FG802" s="5"/>
      <c r="FH802" s="5"/>
      <c r="FI802" s="5"/>
      <c r="FJ802" s="5"/>
      <c r="FK802" s="5"/>
      <c r="FL802" s="5"/>
      <c r="FM802" s="5"/>
      <c r="FN802" s="5"/>
      <c r="FO802" s="5"/>
      <c r="FP802" s="5"/>
      <c r="FQ802" s="5"/>
      <c r="FR802" s="5"/>
      <c r="FS802" s="5"/>
      <c r="FT802" s="5"/>
      <c r="FU802" s="5"/>
      <c r="FV802" s="5"/>
      <c r="FW802" s="5"/>
      <c r="FX802" s="5"/>
      <c r="FY802" s="5"/>
      <c r="FZ802" s="5"/>
      <c r="GA802" s="5"/>
      <c r="GB802" s="5"/>
      <c r="GC802" s="5"/>
      <c r="GD802" s="5"/>
      <c r="GE802" s="5"/>
      <c r="GF802" s="5"/>
      <c r="GG802" s="5"/>
      <c r="GH802" s="5"/>
      <c r="GI802" s="5"/>
      <c r="GJ802" s="5"/>
      <c r="GK802" s="5"/>
      <c r="GL802" s="5"/>
      <c r="GM802" s="5"/>
      <c r="GN802" s="5"/>
      <c r="GO802" s="5"/>
      <c r="GP802" s="5"/>
      <c r="GQ802" s="5"/>
      <c r="GR802" s="5"/>
      <c r="GS802" s="5"/>
      <c r="GT802" s="5"/>
      <c r="GU802" s="5"/>
      <c r="GV802"/>
      <c r="GW802"/>
      <c r="GX802" s="5">
        <v>0</v>
      </c>
      <c r="GY802" s="5">
        <v>0</v>
      </c>
      <c r="GZ802" s="5" t="inlineStr">
        <is>
          <t xml:space="preserve"/>
        </is>
      </c>
      <c r="HA802" s="5">
        <v>0</v>
      </c>
      <c r="HB802" s="5">
        <v>0</v>
      </c>
      <c r="HC802" s="5" t="s">
        <v>366</v>
      </c>
      <c r="HD802" s="5" t="b">
        <v>1</v>
      </c>
      <c r="HE802" s="5">
        <v>0</v>
      </c>
      <c r="HF802" s="5" t="b">
        <v>0</v>
      </c>
      <c r="HG802" s="5">
        <v>0</v>
      </c>
      <c r="HH802" s="5">
        <v>0</v>
      </c>
      <c r="HI802" s="5">
        <v>0</v>
      </c>
      <c r="HJ802" s="5">
        <v>0</v>
      </c>
      <c r="HK802" s="5" t="b">
        <v>0</v>
      </c>
      <c r="HL802" s="5">
        <v>0</v>
      </c>
      <c r="HM802" s="5">
        <v>10001</v>
      </c>
      <c r="HN802" s="5" t="s">
        <v>367</v>
      </c>
      <c r="HO802" s="5" t="s">
        <v>360</v>
      </c>
      <c r="HP802" s="5">
        <v>0</v>
      </c>
      <c r="HQ802" s="5">
        <v>0</v>
      </c>
      <c r="HR802" s="5">
        <v>0</v>
      </c>
      <c r="HS802" s="5">
        <v>0</v>
      </c>
      <c r="HT802" s="5" t="b">
        <v>0</v>
      </c>
    </row>
    <row r="803">
      <c r="B803" s="1">
        <v>10430010</v>
      </c>
      <c r="C803" s="5" t="inlineStr">
        <is>
          <t xml:space="preserve">星罗分锋·分段104300</t>
        </is>
      </c>
      <c r="D803" s="5" t="inlineStr">
        <is>
          <t xml:space="preserve">skill_104300_10</t>
        </is>
      </c>
      <c r="E803" s="5" t="s">
        <v>360</v>
      </c>
      <c r="F803" s="5" t="s">
        <v>349</v>
      </c>
      <c r="G803" s="5" t="b">
        <v>0</v>
      </c>
      <c r="H803" s="5" t="b">
        <v>1</v>
      </c>
      <c r="I803" s="5">
        <v>10</v>
      </c>
      <c r="J803" s="5">
        <v>104300</v>
      </c>
      <c r="K803" s="5" t="s">
        <v>350</v>
      </c>
      <c r="L803" s="5">
        <v>0</v>
      </c>
      <c r="M803" s="5">
        <v>0</v>
      </c>
      <c r="N803" s="5" t="s">
        <v>535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/>
      <c r="V803" s="5">
        <v>0</v>
      </c>
      <c r="W803" s="5">
        <v>0</v>
      </c>
      <c r="X803" s="5" t="inlineStr">
        <is>
          <t xml:space="preserve">目标方向</t>
        </is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 t="s">
        <v>356</v>
      </c>
      <c r="AZ803" s="5">
        <v>12000</v>
      </c>
      <c r="BA803" s="5" t="inlineStr">
        <is>
          <t xml:space="preserve">技能效果_调用技能</t>
        </is>
      </c>
      <c r="BB803" s="5" t="inlineStr">
        <is>
          <t xml:space="preserve">敌对</t>
        </is>
      </c>
      <c r="BC803" s="5">
        <v>10000</v>
      </c>
      <c r="BD803" s="5">
        <v>0</v>
      </c>
      <c r="BE803" s="5" t="inlineStr">
        <is>
          <t xml:space="preserve">全部</t>
        </is>
      </c>
      <c r="BF803" s="5">
        <v>0</v>
      </c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5"/>
      <c r="CT803" s="5"/>
      <c r="CU803" s="5"/>
      <c r="CV803" s="5"/>
      <c r="CW803" s="5">
        <v>10440010</v>
      </c>
      <c r="CX803"/>
      <c r="CY803"/>
      <c r="CZ803" s="5" t="inlineStr">
        <is>
          <t xml:space="preserve">技能效果_调用技能</t>
        </is>
      </c>
      <c r="DA803" s="5" t="inlineStr">
        <is>
          <t xml:space="preserve">敌对</t>
        </is>
      </c>
      <c r="DB803" s="5">
        <v>10000</v>
      </c>
      <c r="DC803" s="5">
        <v>400</v>
      </c>
      <c r="DD803" s="5" t="inlineStr">
        <is>
          <t xml:space="preserve">全部</t>
        </is>
      </c>
      <c r="DE803" s="5">
        <v>0</v>
      </c>
      <c r="DF803" s="5"/>
      <c r="DG803" s="5"/>
      <c r="DH803" s="5"/>
      <c r="DI803" s="5"/>
      <c r="DJ803" s="5"/>
      <c r="DK803" s="5"/>
      <c r="DL803" s="5"/>
      <c r="DM803" s="5"/>
      <c r="DN803" s="5"/>
      <c r="DO803" s="5"/>
      <c r="DP803" s="5"/>
      <c r="DQ803" s="5"/>
      <c r="DR803" s="5"/>
      <c r="DS803" s="5"/>
      <c r="DT803" s="5"/>
      <c r="DU803" s="5"/>
      <c r="DV803" s="5"/>
      <c r="DW803" s="5"/>
      <c r="DX803" s="5"/>
      <c r="DY803" s="5"/>
      <c r="DZ803" s="5"/>
      <c r="EA803" s="5"/>
      <c r="EB803" s="5"/>
      <c r="EC803" s="5"/>
      <c r="ED803" s="5"/>
      <c r="EE803" s="5"/>
      <c r="EF803" s="5"/>
      <c r="EG803" s="5"/>
      <c r="EH803" s="5"/>
      <c r="EI803" s="5"/>
      <c r="EJ803" s="5"/>
      <c r="EK803" s="5"/>
      <c r="EL803" s="5"/>
      <c r="EM803" s="5"/>
      <c r="EN803" s="5"/>
      <c r="EO803" s="5"/>
      <c r="EP803" s="5"/>
      <c r="EQ803" s="5"/>
      <c r="ER803" s="5"/>
      <c r="ES803" s="5"/>
      <c r="ET803" s="5"/>
      <c r="EU803" s="5"/>
      <c r="EV803" s="5">
        <v>10440010</v>
      </c>
      <c r="EW803"/>
      <c r="EX803"/>
      <c r="EY803" s="5"/>
      <c r="EZ803" s="5"/>
      <c r="FA803" s="5"/>
      <c r="FB803" s="5"/>
      <c r="FC803" s="5"/>
      <c r="FD803" s="5"/>
      <c r="FE803" s="5"/>
      <c r="FF803" s="5"/>
      <c r="FG803" s="5"/>
      <c r="FH803" s="5"/>
      <c r="FI803" s="5"/>
      <c r="FJ803" s="5"/>
      <c r="FK803" s="5"/>
      <c r="FL803" s="5"/>
      <c r="FM803" s="5"/>
      <c r="FN803" s="5"/>
      <c r="FO803" s="5"/>
      <c r="FP803" s="5"/>
      <c r="FQ803" s="5"/>
      <c r="FR803" s="5"/>
      <c r="FS803" s="5"/>
      <c r="FT803" s="5"/>
      <c r="FU803" s="5"/>
      <c r="FV803" s="5"/>
      <c r="FW803" s="5"/>
      <c r="FX803" s="5"/>
      <c r="FY803" s="5"/>
      <c r="FZ803" s="5"/>
      <c r="GA803" s="5"/>
      <c r="GB803" s="5"/>
      <c r="GC803" s="5"/>
      <c r="GD803" s="5"/>
      <c r="GE803" s="5"/>
      <c r="GF803" s="5"/>
      <c r="GG803" s="5"/>
      <c r="GH803" s="5"/>
      <c r="GI803" s="5"/>
      <c r="GJ803" s="5"/>
      <c r="GK803" s="5"/>
      <c r="GL803" s="5"/>
      <c r="GM803" s="5"/>
      <c r="GN803" s="5"/>
      <c r="GO803" s="5"/>
      <c r="GP803" s="5"/>
      <c r="GQ803" s="5"/>
      <c r="GR803" s="5"/>
      <c r="GS803" s="5"/>
      <c r="GT803" s="5"/>
      <c r="GU803" s="5"/>
      <c r="GV803"/>
      <c r="GW803"/>
      <c r="GX803" s="5">
        <v>0</v>
      </c>
      <c r="GY803" s="5">
        <v>0</v>
      </c>
      <c r="GZ803" s="5" t="inlineStr">
        <is>
          <t xml:space="preserve"/>
        </is>
      </c>
      <c r="HA803" s="5">
        <v>0</v>
      </c>
      <c r="HB803" s="5"/>
      <c r="HC803" s="5"/>
      <c r="HD803" s="5" t="b">
        <v>0</v>
      </c>
      <c r="HE803" s="5">
        <v>0</v>
      </c>
      <c r="HF803" s="5" t="b">
        <v>1</v>
      </c>
      <c r="HG803" s="5">
        <v>0</v>
      </c>
      <c r="HH803" s="5">
        <v>0</v>
      </c>
      <c r="HI803" s="5">
        <v>0</v>
      </c>
      <c r="HJ803" s="5">
        <v>0</v>
      </c>
      <c r="HK803" s="5" t="b">
        <v>0</v>
      </c>
      <c r="HL803" s="5">
        <v>0</v>
      </c>
      <c r="HM803" s="5">
        <v>0</v>
      </c>
      <c r="HN803" s="5" t="s">
        <v>367</v>
      </c>
      <c r="HO803" s="5" t="s">
        <v>360</v>
      </c>
      <c r="HP803" s="5">
        <v>0</v>
      </c>
      <c r="HQ803" s="5">
        <v>0</v>
      </c>
      <c r="HR803" s="5">
        <v>0</v>
      </c>
      <c r="HS803" s="5">
        <v>0</v>
      </c>
      <c r="HT803" s="5" t="b">
        <v>0</v>
      </c>
    </row>
    <row r="804">
      <c r="B804" s="1">
        <v>10440010</v>
      </c>
      <c r="C804" s="5" t="inlineStr">
        <is>
          <t xml:space="preserve">星罗分锋·分段104400</t>
        </is>
      </c>
      <c r="D804" s="5" t="inlineStr">
        <is>
          <t xml:space="preserve">skill_104400_10</t>
        </is>
      </c>
      <c r="E804" s="5" t="s">
        <v>360</v>
      </c>
      <c r="F804" s="5" t="s">
        <v>349</v>
      </c>
      <c r="G804" s="5" t="b">
        <v>0</v>
      </c>
      <c r="H804" s="5" t="b">
        <v>1</v>
      </c>
      <c r="I804" s="5">
        <v>10</v>
      </c>
      <c r="J804" s="5">
        <v>104400</v>
      </c>
      <c r="K804" s="5" t="s">
        <v>350</v>
      </c>
      <c r="L804" s="5">
        <v>0</v>
      </c>
      <c r="M804" s="5">
        <v>0</v>
      </c>
      <c r="N804" s="5" t="s">
        <v>535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/>
      <c r="V804" s="5">
        <v>0</v>
      </c>
      <c r="W804" s="5">
        <v>0</v>
      </c>
      <c r="X804" s="5" t="inlineStr">
        <is>
          <t xml:space="preserve">目标方向</t>
        </is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 t="s">
        <v>356</v>
      </c>
      <c r="AZ804" s="5">
        <v>12000</v>
      </c>
      <c r="BA804" s="5" t="inlineStr">
        <is>
          <t xml:space="preserve">技能效果_调用技能</t>
        </is>
      </c>
      <c r="BB804" s="5" t="inlineStr">
        <is>
          <t xml:space="preserve">敌对</t>
        </is>
      </c>
      <c r="BC804" s="5">
        <v>10000</v>
      </c>
      <c r="BD804" s="5">
        <v>0</v>
      </c>
      <c r="BE804" s="5" t="inlineStr">
        <is>
          <t xml:space="preserve">全部</t>
        </is>
      </c>
      <c r="BF804" s="5">
        <v>0</v>
      </c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5"/>
      <c r="CT804" s="5"/>
      <c r="CU804" s="5"/>
      <c r="CV804" s="5"/>
      <c r="CW804" s="5">
        <v>10450010</v>
      </c>
      <c r="CX804"/>
      <c r="CY804"/>
      <c r="CZ804" s="5" t="inlineStr">
        <is>
          <t xml:space="preserve">技能效果_调用技能</t>
        </is>
      </c>
      <c r="DA804" s="5" t="inlineStr">
        <is>
          <t xml:space="preserve">敌对</t>
        </is>
      </c>
      <c r="DB804" s="5">
        <v>10000</v>
      </c>
      <c r="DC804" s="5">
        <v>200</v>
      </c>
      <c r="DD804" s="5" t="inlineStr">
        <is>
          <t xml:space="preserve">全部</t>
        </is>
      </c>
      <c r="DE804" s="5">
        <v>0</v>
      </c>
      <c r="DF804" s="5"/>
      <c r="DG804" s="5"/>
      <c r="DH804" s="5"/>
      <c r="DI804" s="5"/>
      <c r="DJ804" s="5"/>
      <c r="DK804" s="5"/>
      <c r="DL804" s="5"/>
      <c r="DM804" s="5"/>
      <c r="DN804" s="5"/>
      <c r="DO804" s="5"/>
      <c r="DP804" s="5"/>
      <c r="DQ804" s="5"/>
      <c r="DR804" s="5"/>
      <c r="DS804" s="5"/>
      <c r="DT804" s="5"/>
      <c r="DU804" s="5"/>
      <c r="DV804" s="5"/>
      <c r="DW804" s="5"/>
      <c r="DX804" s="5"/>
      <c r="DY804" s="5"/>
      <c r="DZ804" s="5"/>
      <c r="EA804" s="5"/>
      <c r="EB804" s="5"/>
      <c r="EC804" s="5"/>
      <c r="ED804" s="5"/>
      <c r="EE804" s="5"/>
      <c r="EF804" s="5"/>
      <c r="EG804" s="5"/>
      <c r="EH804" s="5"/>
      <c r="EI804" s="5"/>
      <c r="EJ804" s="5"/>
      <c r="EK804" s="5"/>
      <c r="EL804" s="5"/>
      <c r="EM804" s="5"/>
      <c r="EN804" s="5"/>
      <c r="EO804" s="5"/>
      <c r="EP804" s="5"/>
      <c r="EQ804" s="5"/>
      <c r="ER804" s="5"/>
      <c r="ES804" s="5"/>
      <c r="ET804" s="5"/>
      <c r="EU804" s="5"/>
      <c r="EV804" s="5">
        <v>10450010</v>
      </c>
      <c r="EW804"/>
      <c r="EX804"/>
      <c r="EY804" s="5"/>
      <c r="EZ804" s="5"/>
      <c r="FA804" s="5"/>
      <c r="FB804" s="5"/>
      <c r="FC804" s="5"/>
      <c r="FD804" s="5"/>
      <c r="FE804" s="5"/>
      <c r="FF804" s="5"/>
      <c r="FG804" s="5"/>
      <c r="FH804" s="5"/>
      <c r="FI804" s="5"/>
      <c r="FJ804" s="5"/>
      <c r="FK804" s="5"/>
      <c r="FL804" s="5"/>
      <c r="FM804" s="5"/>
      <c r="FN804" s="5"/>
      <c r="FO804" s="5"/>
      <c r="FP804" s="5"/>
      <c r="FQ804" s="5"/>
      <c r="FR804" s="5"/>
      <c r="FS804" s="5"/>
      <c r="FT804" s="5"/>
      <c r="FU804" s="5"/>
      <c r="FV804" s="5"/>
      <c r="FW804" s="5"/>
      <c r="FX804" s="5"/>
      <c r="FY804" s="5"/>
      <c r="FZ804" s="5"/>
      <c r="GA804" s="5"/>
      <c r="GB804" s="5"/>
      <c r="GC804" s="5"/>
      <c r="GD804" s="5"/>
      <c r="GE804" s="5"/>
      <c r="GF804" s="5"/>
      <c r="GG804" s="5"/>
      <c r="GH804" s="5"/>
      <c r="GI804" s="5"/>
      <c r="GJ804" s="5"/>
      <c r="GK804" s="5"/>
      <c r="GL804" s="5"/>
      <c r="GM804" s="5"/>
      <c r="GN804" s="5"/>
      <c r="GO804" s="5"/>
      <c r="GP804" s="5"/>
      <c r="GQ804" s="5"/>
      <c r="GR804" s="5"/>
      <c r="GS804" s="5"/>
      <c r="GT804" s="5"/>
      <c r="GU804" s="5"/>
      <c r="GV804"/>
      <c r="GW804"/>
      <c r="GX804" s="5">
        <v>0</v>
      </c>
      <c r="GY804" s="5">
        <v>0</v>
      </c>
      <c r="GZ804" s="5" t="inlineStr">
        <is>
          <t xml:space="preserve"/>
        </is>
      </c>
      <c r="HA804" s="5">
        <v>0</v>
      </c>
      <c r="HB804" s="5"/>
      <c r="HC804" s="5"/>
      <c r="HD804" s="5" t="b">
        <v>0</v>
      </c>
      <c r="HE804" s="5">
        <v>0</v>
      </c>
      <c r="HF804" s="5" t="b">
        <v>1</v>
      </c>
      <c r="HG804" s="5">
        <v>0</v>
      </c>
      <c r="HH804" s="5">
        <v>0</v>
      </c>
      <c r="HI804" s="5">
        <v>0</v>
      </c>
      <c r="HJ804" s="5">
        <v>0</v>
      </c>
      <c r="HK804" s="5" t="b">
        <v>0</v>
      </c>
      <c r="HL804" s="5">
        <v>0</v>
      </c>
      <c r="HM804" s="5">
        <v>0</v>
      </c>
      <c r="HN804" s="5" t="s">
        <v>367</v>
      </c>
      <c r="HO804" s="5" t="s">
        <v>360</v>
      </c>
      <c r="HP804" s="5">
        <v>0</v>
      </c>
      <c r="HQ804" s="5">
        <v>0</v>
      </c>
      <c r="HR804" s="5">
        <v>0</v>
      </c>
      <c r="HS804" s="5">
        <v>0</v>
      </c>
      <c r="HT804" s="5" t="b">
        <v>0</v>
      </c>
    </row>
    <row r="805">
      <c r="B805" s="1">
        <v>10450010</v>
      </c>
      <c r="C805" s="5" t="inlineStr">
        <is>
          <t xml:space="preserve">星罗分锋·分段104500</t>
        </is>
      </c>
      <c r="D805" s="5" t="inlineStr">
        <is>
          <t xml:space="preserve">skill_104500_10</t>
        </is>
      </c>
      <c r="E805" s="5" t="s">
        <v>360</v>
      </c>
      <c r="F805" s="5" t="s">
        <v>349</v>
      </c>
      <c r="G805" s="5" t="b">
        <v>0</v>
      </c>
      <c r="H805" s="5" t="b">
        <v>1</v>
      </c>
      <c r="I805" s="5">
        <v>10</v>
      </c>
      <c r="J805" s="5">
        <v>104500</v>
      </c>
      <c r="K805" s="5" t="s">
        <v>350</v>
      </c>
      <c r="L805" s="5">
        <v>0</v>
      </c>
      <c r="M805" s="5">
        <v>0</v>
      </c>
      <c r="N805" s="5" t="s">
        <v>535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/>
      <c r="V805" s="5">
        <v>0</v>
      </c>
      <c r="W805" s="5">
        <v>0</v>
      </c>
      <c r="X805" s="5" t="inlineStr">
        <is>
          <t xml:space="preserve">目标方向</t>
        </is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 t="s">
        <v>356</v>
      </c>
      <c r="AZ805" s="5">
        <v>12000</v>
      </c>
      <c r="BA805" s="5" t="inlineStr">
        <is>
          <t xml:space="preserve">技能效果_调用技能</t>
        </is>
      </c>
      <c r="BB805" s="5" t="inlineStr">
        <is>
          <t xml:space="preserve">敌对</t>
        </is>
      </c>
      <c r="BC805" s="5">
        <v>10000</v>
      </c>
      <c r="BD805" s="5">
        <v>0</v>
      </c>
      <c r="BE805" s="5" t="inlineStr">
        <is>
          <t xml:space="preserve">全部</t>
        </is>
      </c>
      <c r="BF805" s="5">
        <v>0</v>
      </c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5"/>
      <c r="CT805" s="5"/>
      <c r="CU805" s="5"/>
      <c r="CV805" s="5"/>
      <c r="CW805" s="5">
        <v>10330010</v>
      </c>
      <c r="CX805"/>
      <c r="CY805"/>
      <c r="CZ805" s="5" t="inlineStr">
        <is>
          <t xml:space="preserve">技能效果_调用技能</t>
        </is>
      </c>
      <c r="DA805" s="5" t="inlineStr">
        <is>
          <t xml:space="preserve">敌对</t>
        </is>
      </c>
      <c r="DB805" s="5">
        <v>10000</v>
      </c>
      <c r="DC805" s="5">
        <v>100</v>
      </c>
      <c r="DD805" s="5" t="inlineStr">
        <is>
          <t xml:space="preserve">全部</t>
        </is>
      </c>
      <c r="DE805" s="5">
        <v>0</v>
      </c>
      <c r="DF805" s="5"/>
      <c r="DG805" s="5"/>
      <c r="DH805" s="5"/>
      <c r="DI805" s="5"/>
      <c r="DJ805" s="5"/>
      <c r="DK805" s="5"/>
      <c r="DL805" s="5"/>
      <c r="DM805" s="5"/>
      <c r="DN805" s="5"/>
      <c r="DO805" s="5"/>
      <c r="DP805" s="5"/>
      <c r="DQ805" s="5"/>
      <c r="DR805" s="5"/>
      <c r="DS805" s="5"/>
      <c r="DT805" s="5"/>
      <c r="DU805" s="5"/>
      <c r="DV805" s="5"/>
      <c r="DW805" s="5"/>
      <c r="DX805" s="5"/>
      <c r="DY805" s="5"/>
      <c r="DZ805" s="5"/>
      <c r="EA805" s="5"/>
      <c r="EB805" s="5"/>
      <c r="EC805" s="5"/>
      <c r="ED805" s="5"/>
      <c r="EE805" s="5"/>
      <c r="EF805" s="5"/>
      <c r="EG805" s="5"/>
      <c r="EH805" s="5"/>
      <c r="EI805" s="5"/>
      <c r="EJ805" s="5"/>
      <c r="EK805" s="5"/>
      <c r="EL805" s="5"/>
      <c r="EM805" s="5"/>
      <c r="EN805" s="5"/>
      <c r="EO805" s="5"/>
      <c r="EP805" s="5"/>
      <c r="EQ805" s="5"/>
      <c r="ER805" s="5"/>
      <c r="ES805" s="5"/>
      <c r="ET805" s="5"/>
      <c r="EU805" s="5"/>
      <c r="EV805" s="5">
        <v>10330010</v>
      </c>
      <c r="EW805"/>
      <c r="EX805"/>
      <c r="EY805" s="5"/>
      <c r="EZ805" s="5"/>
      <c r="FA805" s="5"/>
      <c r="FB805" s="5"/>
      <c r="FC805" s="5"/>
      <c r="FD805" s="5"/>
      <c r="FE805" s="5"/>
      <c r="FF805" s="5"/>
      <c r="FG805" s="5"/>
      <c r="FH805" s="5"/>
      <c r="FI805" s="5"/>
      <c r="FJ805" s="5"/>
      <c r="FK805" s="5"/>
      <c r="FL805" s="5"/>
      <c r="FM805" s="5"/>
      <c r="FN805" s="5"/>
      <c r="FO805" s="5"/>
      <c r="FP805" s="5"/>
      <c r="FQ805" s="5"/>
      <c r="FR805" s="5"/>
      <c r="FS805" s="5"/>
      <c r="FT805" s="5"/>
      <c r="FU805" s="5"/>
      <c r="FV805" s="5"/>
      <c r="FW805" s="5"/>
      <c r="FX805" s="5"/>
      <c r="FY805" s="5"/>
      <c r="FZ805" s="5"/>
      <c r="GA805" s="5"/>
      <c r="GB805" s="5"/>
      <c r="GC805" s="5"/>
      <c r="GD805" s="5"/>
      <c r="GE805" s="5"/>
      <c r="GF805" s="5"/>
      <c r="GG805" s="5"/>
      <c r="GH805" s="5"/>
      <c r="GI805" s="5"/>
      <c r="GJ805" s="5"/>
      <c r="GK805" s="5"/>
      <c r="GL805" s="5"/>
      <c r="GM805" s="5"/>
      <c r="GN805" s="5"/>
      <c r="GO805" s="5"/>
      <c r="GP805" s="5"/>
      <c r="GQ805" s="5"/>
      <c r="GR805" s="5"/>
      <c r="GS805" s="5"/>
      <c r="GT805" s="5"/>
      <c r="GU805" s="5"/>
      <c r="GV805"/>
      <c r="GW805"/>
      <c r="GX805" s="5">
        <v>0</v>
      </c>
      <c r="GY805" s="5">
        <v>0</v>
      </c>
      <c r="GZ805" s="5" t="inlineStr">
        <is>
          <t xml:space="preserve"/>
        </is>
      </c>
      <c r="HA805" s="5">
        <v>0</v>
      </c>
      <c r="HB805" s="5"/>
      <c r="HC805" s="5"/>
      <c r="HD805" s="5" t="b">
        <v>0</v>
      </c>
      <c r="HE805" s="5">
        <v>0</v>
      </c>
      <c r="HF805" s="5" t="b">
        <v>1</v>
      </c>
      <c r="HG805" s="5">
        <v>0</v>
      </c>
      <c r="HH805" s="5">
        <v>0</v>
      </c>
      <c r="HI805" s="5">
        <v>0</v>
      </c>
      <c r="HJ805" s="5">
        <v>0</v>
      </c>
      <c r="HK805" s="5" t="b">
        <v>0</v>
      </c>
      <c r="HL805" s="5">
        <v>0</v>
      </c>
      <c r="HM805" s="5">
        <v>0</v>
      </c>
      <c r="HN805" s="5" t="s">
        <v>367</v>
      </c>
      <c r="HO805" s="5" t="s">
        <v>360</v>
      </c>
      <c r="HP805" s="5">
        <v>0</v>
      </c>
      <c r="HQ805" s="5">
        <v>0</v>
      </c>
      <c r="HR805" s="5">
        <v>0</v>
      </c>
      <c r="HS805" s="5">
        <v>0</v>
      </c>
      <c r="HT805" s="5" t="b">
        <v>0</v>
      </c>
    </row>
    <row r="806">
      <c r="B806" s="1">
        <v>10400001</v>
      </c>
      <c r="C806" s="5" t="inlineStr">
        <is>
          <t xml:space="preserve">凝岳印·落地</t>
        </is>
      </c>
      <c r="D806" s="5" t="inlineStr">
        <is>
          <t xml:space="preserve">skill_104000_1</t>
        </is>
      </c>
      <c r="E806" s="5" t="inlineStr">
        <is>
          <t xml:space="preserve">无</t>
        </is>
      </c>
      <c r="F806" s="5" t="s">
        <v>394</v>
      </c>
      <c r="G806" s="5" t="b">
        <v>0</v>
      </c>
      <c r="H806" s="5" t="b">
        <v>1</v>
      </c>
      <c r="I806" s="5">
        <v>1</v>
      </c>
      <c r="J806" s="5">
        <v>104000</v>
      </c>
      <c r="K806" s="5" t="s">
        <v>350</v>
      </c>
      <c r="L806" s="5">
        <v>0</v>
      </c>
      <c r="M806" s="5">
        <v>10400002</v>
      </c>
      <c r="N806" s="5" t="s">
        <v>395</v>
      </c>
      <c r="O806" s="5">
        <v>10202008</v>
      </c>
      <c r="P806" s="5">
        <v>0</v>
      </c>
      <c r="Q806" s="5">
        <v>0</v>
      </c>
      <c r="R806" s="5">
        <v>1</v>
      </c>
      <c r="S806" s="5">
        <v>0</v>
      </c>
      <c r="T806" s="5">
        <v>100</v>
      </c>
      <c r="U806" s="5" t="s">
        <v>364</v>
      </c>
      <c r="V806" s="5">
        <v>0</v>
      </c>
      <c r="W806" s="5">
        <v>0</v>
      </c>
      <c r="X806" s="5" t="inlineStr">
        <is>
          <t xml:space="preserve">目标点</t>
        </is>
      </c>
      <c r="Y806" s="5" t="s">
        <v>365</v>
      </c>
      <c r="Z806" s="5" t="s">
        <v>354</v>
      </c>
      <c r="AA806" s="5">
        <v>0</v>
      </c>
      <c r="AB806" s="5">
        <v>0</v>
      </c>
      <c r="AC806" s="5" t="b">
        <v>0</v>
      </c>
      <c r="AD806" s="5" t="s">
        <v>355</v>
      </c>
      <c r="AE806" s="5">
        <v>370</v>
      </c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 t="s">
        <v>381</v>
      </c>
      <c r="AZ806" s="5">
        <v>10000</v>
      </c>
      <c r="BA806" s="5" t="s">
        <v>357</v>
      </c>
      <c r="BB806" s="5" t="s">
        <v>354</v>
      </c>
      <c r="BC806" s="5">
        <v>10000</v>
      </c>
      <c r="BD806" s="5">
        <v>0</v>
      </c>
      <c r="BE806" s="5" t="s">
        <v>358</v>
      </c>
      <c r="BF806" s="5">
        <v>0</v>
      </c>
      <c r="BG806" s="5" t="s">
        <v>382</v>
      </c>
      <c r="BH806" s="5">
        <v>11000</v>
      </c>
      <c r="BI806" s="5">
        <v>3</v>
      </c>
      <c r="BJ806" s="5" t="b">
        <v>1</v>
      </c>
      <c r="BK806" s="5">
        <v>0</v>
      </c>
      <c r="BL806" s="5">
        <v>10000</v>
      </c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5"/>
      <c r="CT806" s="5"/>
      <c r="CU806" s="5"/>
      <c r="CV806" s="5"/>
      <c r="CW806" s="5"/>
      <c r="CZ806" s="5"/>
      <c r="DA806" s="5"/>
      <c r="DB806" s="5"/>
      <c r="DC806" s="5"/>
      <c r="DD806" s="5"/>
      <c r="DE806" s="5"/>
      <c r="DF806" s="5"/>
      <c r="DG806" s="5"/>
      <c r="DH806" s="5"/>
      <c r="DI806" s="5"/>
      <c r="DJ806" s="5"/>
      <c r="DK806" s="5"/>
      <c r="DL806" s="5"/>
      <c r="DM806" s="5"/>
      <c r="DN806" s="5"/>
      <c r="DO806" s="5"/>
      <c r="DP806" s="5"/>
      <c r="DQ806" s="5"/>
      <c r="DR806" s="5"/>
      <c r="DS806" s="5"/>
      <c r="DT806" s="5"/>
      <c r="DU806" s="5"/>
      <c r="DV806" s="5"/>
      <c r="DW806" s="5"/>
      <c r="DX806" s="5"/>
      <c r="DY806" s="5"/>
      <c r="DZ806" s="5"/>
      <c r="EA806" s="5"/>
      <c r="EB806" s="5"/>
      <c r="EC806" s="5"/>
      <c r="ED806" s="5"/>
      <c r="EE806" s="5"/>
      <c r="EF806" s="5"/>
      <c r="EG806" s="5"/>
      <c r="EH806" s="5"/>
      <c r="EI806" s="5"/>
      <c r="EJ806" s="5"/>
      <c r="EK806" s="5"/>
      <c r="EL806" s="5"/>
      <c r="EM806" s="5"/>
      <c r="EN806" s="5"/>
      <c r="EO806" s="5"/>
      <c r="EP806" s="5"/>
      <c r="EQ806" s="5"/>
      <c r="ER806" s="5"/>
      <c r="ES806" s="5"/>
      <c r="ET806" s="5"/>
      <c r="EU806" s="5"/>
      <c r="EV806" s="5"/>
      <c r="EY806" s="5"/>
      <c r="EZ806" s="5"/>
      <c r="FA806" s="5"/>
      <c r="FB806" s="5"/>
      <c r="FC806" s="5"/>
      <c r="FD806" s="5"/>
      <c r="FE806" s="5"/>
      <c r="FF806" s="5"/>
      <c r="FG806" s="5"/>
      <c r="FH806" s="5"/>
      <c r="FI806" s="5"/>
      <c r="FJ806" s="5"/>
      <c r="FK806" s="5"/>
      <c r="FL806" s="5"/>
      <c r="FM806" s="5"/>
      <c r="FN806" s="5"/>
      <c r="FO806" s="5"/>
      <c r="FP806" s="5"/>
      <c r="FQ806" s="5"/>
      <c r="FR806" s="5"/>
      <c r="FS806" s="5"/>
      <c r="FT806" s="5"/>
      <c r="FU806" s="5"/>
      <c r="FV806" s="5"/>
      <c r="FW806" s="5"/>
      <c r="FX806" s="5"/>
      <c r="FY806" s="5"/>
      <c r="FZ806" s="5"/>
      <c r="GA806" s="5"/>
      <c r="GB806" s="5"/>
      <c r="GC806" s="5"/>
      <c r="GD806" s="5"/>
      <c r="GE806" s="5"/>
      <c r="GF806" s="5"/>
      <c r="GG806" s="5"/>
      <c r="GH806" s="5"/>
      <c r="GI806" s="5"/>
      <c r="GJ806" s="5"/>
      <c r="GK806" s="5"/>
      <c r="GL806" s="5"/>
      <c r="GM806" s="5"/>
      <c r="GN806" s="5"/>
      <c r="GO806" s="5"/>
      <c r="GP806" s="5"/>
      <c r="GQ806" s="5"/>
      <c r="GR806" s="5"/>
      <c r="GS806" s="5"/>
      <c r="GT806" s="5"/>
      <c r="GU806" s="5"/>
      <c r="GX806" s="5">
        <v>0</v>
      </c>
      <c r="GY806" s="5">
        <v>0</v>
      </c>
      <c r="GZ806" s="5" t="inlineStr">
        <is>
          <t xml:space="preserve"/>
        </is>
      </c>
      <c r="HA806" s="5">
        <v>0</v>
      </c>
      <c r="HB806" s="5">
        <v>0</v>
      </c>
      <c r="HC806" s="5" t="s">
        <v>366</v>
      </c>
      <c r="HD806" s="5" t="b">
        <v>1</v>
      </c>
      <c r="HE806" s="5">
        <v>0</v>
      </c>
      <c r="HF806" s="5" t="b">
        <v>0</v>
      </c>
      <c r="HG806" s="5">
        <v>0</v>
      </c>
      <c r="HH806" s="5">
        <v>0</v>
      </c>
      <c r="HI806" s="5">
        <v>0</v>
      </c>
      <c r="HJ806" s="5">
        <v>0</v>
      </c>
      <c r="HK806" s="5" t="b">
        <v>0</v>
      </c>
      <c r="HL806" s="5">
        <v>0</v>
      </c>
      <c r="HM806" s="5">
        <v>10001</v>
      </c>
      <c r="HN806" s="5" t="s">
        <v>367</v>
      </c>
      <c r="HO806" s="5" t="s">
        <v>360</v>
      </c>
      <c r="HP806" s="5">
        <v>0</v>
      </c>
      <c r="HQ806" s="5">
        <v>0</v>
      </c>
      <c r="HR806" s="5">
        <v>0</v>
      </c>
      <c r="HS806" s="5">
        <v>0</v>
      </c>
      <c r="HT806" s="5" t="b">
        <v>0</v>
      </c>
    </row>
    <row r="807">
      <c r="B807" s="1">
        <v>10400002</v>
      </c>
      <c r="C807" s="5" t="inlineStr">
        <is>
          <t xml:space="preserve">凝岳印·落地</t>
        </is>
      </c>
      <c r="D807" s="5" t="inlineStr">
        <is>
          <t xml:space="preserve">skill_104000_2</t>
        </is>
      </c>
      <c r="E807" s="5" t="inlineStr">
        <is>
          <t xml:space="preserve">无</t>
        </is>
      </c>
      <c r="F807" s="5" t="s">
        <v>394</v>
      </c>
      <c r="G807" s="5" t="b">
        <v>0</v>
      </c>
      <c r="H807" s="5" t="b">
        <v>1</v>
      </c>
      <c r="I807" s="5">
        <v>2</v>
      </c>
      <c r="J807" s="5">
        <v>104000</v>
      </c>
      <c r="K807" s="5" t="s">
        <v>350</v>
      </c>
      <c r="L807" s="5">
        <v>10090001</v>
      </c>
      <c r="M807" s="5">
        <v>10400003</v>
      </c>
      <c r="N807" s="5" t="s">
        <v>395</v>
      </c>
      <c r="O807" s="5">
        <v>10202008</v>
      </c>
      <c r="P807" s="5">
        <v>0</v>
      </c>
      <c r="Q807" s="5">
        <v>0</v>
      </c>
      <c r="R807" s="5">
        <v>7</v>
      </c>
      <c r="S807" s="5">
        <v>0</v>
      </c>
      <c r="T807" s="5">
        <v>100</v>
      </c>
      <c r="U807" s="5" t="s">
        <v>364</v>
      </c>
      <c r="V807" s="5">
        <v>0</v>
      </c>
      <c r="W807" s="5">
        <v>0</v>
      </c>
      <c r="X807" s="5" t="inlineStr">
        <is>
          <t xml:space="preserve">目标点</t>
        </is>
      </c>
      <c r="Y807" s="5" t="s">
        <v>365</v>
      </c>
      <c r="Z807" s="5" t="s">
        <v>354</v>
      </c>
      <c r="AA807" s="5">
        <v>0</v>
      </c>
      <c r="AB807" s="5">
        <v>0</v>
      </c>
      <c r="AC807" s="5" t="b">
        <v>0</v>
      </c>
      <c r="AD807" s="5" t="s">
        <v>355</v>
      </c>
      <c r="AE807" s="5">
        <v>370</v>
      </c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 t="s">
        <v>381</v>
      </c>
      <c r="AZ807" s="5">
        <v>10400</v>
      </c>
      <c r="BA807" s="5" t="s">
        <v>357</v>
      </c>
      <c r="BB807" s="5" t="s">
        <v>354</v>
      </c>
      <c r="BC807" s="5">
        <v>10000</v>
      </c>
      <c r="BD807" s="5">
        <v>0</v>
      </c>
      <c r="BE807" s="5" t="s">
        <v>358</v>
      </c>
      <c r="BF807" s="5">
        <v>0</v>
      </c>
      <c r="BG807" s="5" t="s">
        <v>382</v>
      </c>
      <c r="BH807" s="5">
        <v>11000</v>
      </c>
      <c r="BI807" s="5">
        <v>4</v>
      </c>
      <c r="BJ807" s="5" t="b">
        <v>1</v>
      </c>
      <c r="BK807" s="5">
        <v>0</v>
      </c>
      <c r="BL807" s="5">
        <v>10000</v>
      </c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5"/>
      <c r="CT807" s="5"/>
      <c r="CU807" s="5"/>
      <c r="CV807" s="5"/>
      <c r="CW807" s="5"/>
      <c r="CZ807" s="5"/>
      <c r="DA807" s="5"/>
      <c r="DB807" s="5"/>
      <c r="DC807" s="5"/>
      <c r="DD807" s="5"/>
      <c r="DE807" s="5"/>
      <c r="DF807" s="5"/>
      <c r="DG807" s="5"/>
      <c r="DH807" s="5"/>
      <c r="DI807" s="5"/>
      <c r="DJ807" s="5"/>
      <c r="DK807" s="5"/>
      <c r="DL807" s="5"/>
      <c r="DM807" s="5"/>
      <c r="DN807" s="5"/>
      <c r="DO807" s="5"/>
      <c r="DP807" s="5"/>
      <c r="DQ807" s="5"/>
      <c r="DR807" s="5"/>
      <c r="DS807" s="5"/>
      <c r="DT807" s="5"/>
      <c r="DU807" s="5"/>
      <c r="DV807" s="5"/>
      <c r="DW807" s="5"/>
      <c r="DX807" s="5"/>
      <c r="DY807" s="5"/>
      <c r="DZ807" s="5"/>
      <c r="EA807" s="5"/>
      <c r="EB807" s="5"/>
      <c r="EC807" s="5"/>
      <c r="ED807" s="5"/>
      <c r="EE807" s="5"/>
      <c r="EF807" s="5"/>
      <c r="EG807" s="5"/>
      <c r="EH807" s="5"/>
      <c r="EI807" s="5"/>
      <c r="EJ807" s="5"/>
      <c r="EK807" s="5"/>
      <c r="EL807" s="5"/>
      <c r="EM807" s="5"/>
      <c r="EN807" s="5"/>
      <c r="EO807" s="5"/>
      <c r="EP807" s="5"/>
      <c r="EQ807" s="5"/>
      <c r="ER807" s="5"/>
      <c r="ES807" s="5"/>
      <c r="ET807" s="5"/>
      <c r="EU807" s="5"/>
      <c r="EV807" s="5"/>
      <c r="EY807" s="5"/>
      <c r="EZ807" s="5"/>
      <c r="FA807" s="5"/>
      <c r="FB807" s="5"/>
      <c r="FC807" s="5"/>
      <c r="FD807" s="5"/>
      <c r="FE807" s="5"/>
      <c r="FF807" s="5"/>
      <c r="FG807" s="5"/>
      <c r="FH807" s="5"/>
      <c r="FI807" s="5"/>
      <c r="FJ807" s="5"/>
      <c r="FK807" s="5"/>
      <c r="FL807" s="5"/>
      <c r="FM807" s="5"/>
      <c r="FN807" s="5"/>
      <c r="FO807" s="5"/>
      <c r="FP807" s="5"/>
      <c r="FQ807" s="5"/>
      <c r="FR807" s="5"/>
      <c r="FS807" s="5"/>
      <c r="FT807" s="5"/>
      <c r="FU807" s="5"/>
      <c r="FV807" s="5"/>
      <c r="FW807" s="5"/>
      <c r="FX807" s="5"/>
      <c r="FY807" s="5"/>
      <c r="FZ807" s="5"/>
      <c r="GA807" s="5"/>
      <c r="GB807" s="5"/>
      <c r="GC807" s="5"/>
      <c r="GD807" s="5"/>
      <c r="GE807" s="5"/>
      <c r="GF807" s="5"/>
      <c r="GG807" s="5"/>
      <c r="GH807" s="5"/>
      <c r="GI807" s="5"/>
      <c r="GJ807" s="5"/>
      <c r="GK807" s="5"/>
      <c r="GL807" s="5"/>
      <c r="GM807" s="5"/>
      <c r="GN807" s="5"/>
      <c r="GO807" s="5"/>
      <c r="GP807" s="5"/>
      <c r="GQ807" s="5"/>
      <c r="GR807" s="5"/>
      <c r="GS807" s="5"/>
      <c r="GT807" s="5"/>
      <c r="GU807" s="5"/>
      <c r="GX807" s="5">
        <v>0</v>
      </c>
      <c r="GY807" s="5">
        <v>0</v>
      </c>
      <c r="GZ807" s="5" t="inlineStr">
        <is>
          <t xml:space="preserve"/>
        </is>
      </c>
      <c r="HA807" s="5">
        <v>0</v>
      </c>
      <c r="HB807" s="5">
        <v>0</v>
      </c>
      <c r="HC807" s="5" t="s">
        <v>366</v>
      </c>
      <c r="HD807" s="5" t="b">
        <v>1</v>
      </c>
      <c r="HE807" s="5">
        <v>0</v>
      </c>
      <c r="HF807" s="5" t="b">
        <v>0</v>
      </c>
      <c r="HG807" s="5">
        <v>0</v>
      </c>
      <c r="HH807" s="5">
        <v>0</v>
      </c>
      <c r="HI807" s="5">
        <v>0</v>
      </c>
      <c r="HJ807" s="5">
        <v>0</v>
      </c>
      <c r="HK807" s="5" t="b">
        <v>0</v>
      </c>
      <c r="HL807" s="5">
        <v>0</v>
      </c>
      <c r="HM807" s="5">
        <v>10001</v>
      </c>
      <c r="HN807" s="5" t="s">
        <v>367</v>
      </c>
      <c r="HO807" s="5" t="s">
        <v>360</v>
      </c>
      <c r="HP807" s="5">
        <v>0</v>
      </c>
      <c r="HQ807" s="5">
        <v>0</v>
      </c>
      <c r="HR807" s="5">
        <v>0</v>
      </c>
      <c r="HS807" s="5">
        <v>0</v>
      </c>
      <c r="HT807" s="5" t="b">
        <v>0</v>
      </c>
    </row>
    <row r="808">
      <c r="B808" s="1">
        <v>10400003</v>
      </c>
      <c r="C808" s="5" t="inlineStr">
        <is>
          <t xml:space="preserve">凝岳印·落地</t>
        </is>
      </c>
      <c r="D808" s="5" t="inlineStr">
        <is>
          <t xml:space="preserve">skill_104000_3</t>
        </is>
      </c>
      <c r="E808" s="5" t="inlineStr">
        <is>
          <t xml:space="preserve">无</t>
        </is>
      </c>
      <c r="F808" s="5" t="s">
        <v>394</v>
      </c>
      <c r="G808" s="5" t="b">
        <v>0</v>
      </c>
      <c r="H808" s="5" t="b">
        <v>1</v>
      </c>
      <c r="I808" s="5">
        <v>3</v>
      </c>
      <c r="J808" s="5">
        <v>104000</v>
      </c>
      <c r="K808" s="5" t="s">
        <v>350</v>
      </c>
      <c r="L808" s="5">
        <v>10090002</v>
      </c>
      <c r="M808" s="5">
        <v>10400004</v>
      </c>
      <c r="N808" s="5" t="s">
        <v>395</v>
      </c>
      <c r="O808" s="5">
        <v>10202008</v>
      </c>
      <c r="P808" s="5">
        <v>0</v>
      </c>
      <c r="Q808" s="5">
        <v>0</v>
      </c>
      <c r="R808" s="5">
        <v>11</v>
      </c>
      <c r="S808" s="5">
        <v>0</v>
      </c>
      <c r="T808" s="5">
        <v>100</v>
      </c>
      <c r="U808" s="5" t="s">
        <v>364</v>
      </c>
      <c r="V808" s="5">
        <v>0</v>
      </c>
      <c r="W808" s="5">
        <v>0</v>
      </c>
      <c r="X808" s="5" t="inlineStr">
        <is>
          <t xml:space="preserve">目标点</t>
        </is>
      </c>
      <c r="Y808" s="5" t="s">
        <v>365</v>
      </c>
      <c r="Z808" s="5" t="s">
        <v>354</v>
      </c>
      <c r="AA808" s="5">
        <v>0</v>
      </c>
      <c r="AB808" s="5">
        <v>0</v>
      </c>
      <c r="AC808" s="5" t="b">
        <v>0</v>
      </c>
      <c r="AD808" s="5" t="s">
        <v>355</v>
      </c>
      <c r="AE808" s="5">
        <v>370</v>
      </c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 t="s">
        <v>381</v>
      </c>
      <c r="AZ808" s="5">
        <v>10800</v>
      </c>
      <c r="BA808" s="5" t="s">
        <v>357</v>
      </c>
      <c r="BB808" s="5" t="s">
        <v>354</v>
      </c>
      <c r="BC808" s="5">
        <v>10000</v>
      </c>
      <c r="BD808" s="5">
        <v>0</v>
      </c>
      <c r="BE808" s="5" t="s">
        <v>358</v>
      </c>
      <c r="BF808" s="5">
        <v>0</v>
      </c>
      <c r="BG808" s="5" t="s">
        <v>382</v>
      </c>
      <c r="BH808" s="5">
        <v>11000</v>
      </c>
      <c r="BI808" s="5">
        <v>5</v>
      </c>
      <c r="BJ808" s="5" t="b">
        <v>1</v>
      </c>
      <c r="BK808" s="5">
        <v>0</v>
      </c>
      <c r="BL808" s="5">
        <v>10000</v>
      </c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5"/>
      <c r="CT808" s="5"/>
      <c r="CU808" s="5"/>
      <c r="CV808" s="5"/>
      <c r="CW808" s="5"/>
      <c r="CZ808" s="5"/>
      <c r="DA808" s="5"/>
      <c r="DB808" s="5"/>
      <c r="DC808" s="5"/>
      <c r="DD808" s="5"/>
      <c r="DE808" s="5"/>
      <c r="DF808" s="5"/>
      <c r="DG808" s="5"/>
      <c r="DH808" s="5"/>
      <c r="DI808" s="5"/>
      <c r="DJ808" s="5"/>
      <c r="DK808" s="5"/>
      <c r="DL808" s="5"/>
      <c r="DM808" s="5"/>
      <c r="DN808" s="5"/>
      <c r="DO808" s="5"/>
      <c r="DP808" s="5"/>
      <c r="DQ808" s="5"/>
      <c r="DR808" s="5"/>
      <c r="DS808" s="5"/>
      <c r="DT808" s="5"/>
      <c r="DU808" s="5"/>
      <c r="DV808" s="5"/>
      <c r="DW808" s="5"/>
      <c r="DX808" s="5"/>
      <c r="DY808" s="5"/>
      <c r="DZ808" s="5"/>
      <c r="EA808" s="5"/>
      <c r="EB808" s="5"/>
      <c r="EC808" s="5"/>
      <c r="ED808" s="5"/>
      <c r="EE808" s="5"/>
      <c r="EF808" s="5"/>
      <c r="EG808" s="5"/>
      <c r="EH808" s="5"/>
      <c r="EI808" s="5"/>
      <c r="EJ808" s="5"/>
      <c r="EK808" s="5"/>
      <c r="EL808" s="5"/>
      <c r="EM808" s="5"/>
      <c r="EN808" s="5"/>
      <c r="EO808" s="5"/>
      <c r="EP808" s="5"/>
      <c r="EQ808" s="5"/>
      <c r="ER808" s="5"/>
      <c r="ES808" s="5"/>
      <c r="ET808" s="5"/>
      <c r="EU808" s="5"/>
      <c r="EV808" s="5"/>
      <c r="EY808" s="5"/>
      <c r="EZ808" s="5"/>
      <c r="FA808" s="5"/>
      <c r="FB808" s="5"/>
      <c r="FC808" s="5"/>
      <c r="FD808" s="5"/>
      <c r="FE808" s="5"/>
      <c r="FF808" s="5"/>
      <c r="FG808" s="5"/>
      <c r="FH808" s="5"/>
      <c r="FI808" s="5"/>
      <c r="FJ808" s="5"/>
      <c r="FK808" s="5"/>
      <c r="FL808" s="5"/>
      <c r="FM808" s="5"/>
      <c r="FN808" s="5"/>
      <c r="FO808" s="5"/>
      <c r="FP808" s="5"/>
      <c r="FQ808" s="5"/>
      <c r="FR808" s="5"/>
      <c r="FS808" s="5"/>
      <c r="FT808" s="5"/>
      <c r="FU808" s="5"/>
      <c r="FV808" s="5"/>
      <c r="FW808" s="5"/>
      <c r="FX808" s="5"/>
      <c r="FY808" s="5"/>
      <c r="FZ808" s="5"/>
      <c r="GA808" s="5"/>
      <c r="GB808" s="5"/>
      <c r="GC808" s="5"/>
      <c r="GD808" s="5"/>
      <c r="GE808" s="5"/>
      <c r="GF808" s="5"/>
      <c r="GG808" s="5"/>
      <c r="GH808" s="5"/>
      <c r="GI808" s="5"/>
      <c r="GJ808" s="5"/>
      <c r="GK808" s="5"/>
      <c r="GL808" s="5"/>
      <c r="GM808" s="5"/>
      <c r="GN808" s="5"/>
      <c r="GO808" s="5"/>
      <c r="GP808" s="5"/>
      <c r="GQ808" s="5"/>
      <c r="GR808" s="5"/>
      <c r="GS808" s="5"/>
      <c r="GT808" s="5"/>
      <c r="GU808" s="5"/>
      <c r="GX808" s="5">
        <v>0</v>
      </c>
      <c r="GY808" s="5">
        <v>0</v>
      </c>
      <c r="GZ808" s="5" t="inlineStr">
        <is>
          <t xml:space="preserve"/>
        </is>
      </c>
      <c r="HA808" s="5">
        <v>0</v>
      </c>
      <c r="HB808" s="5">
        <v>0</v>
      </c>
      <c r="HC808" s="5" t="s">
        <v>366</v>
      </c>
      <c r="HD808" s="5" t="b">
        <v>1</v>
      </c>
      <c r="HE808" s="5">
        <v>0</v>
      </c>
      <c r="HF808" s="5" t="b">
        <v>0</v>
      </c>
      <c r="HG808" s="5">
        <v>0</v>
      </c>
      <c r="HH808" s="5">
        <v>0</v>
      </c>
      <c r="HI808" s="5">
        <v>0</v>
      </c>
      <c r="HJ808" s="5">
        <v>0</v>
      </c>
      <c r="HK808" s="5" t="b">
        <v>0</v>
      </c>
      <c r="HL808" s="5">
        <v>0</v>
      </c>
      <c r="HM808" s="5">
        <v>10001</v>
      </c>
      <c r="HN808" s="5" t="s">
        <v>367</v>
      </c>
      <c r="HO808" s="5" t="s">
        <v>360</v>
      </c>
      <c r="HP808" s="5">
        <v>0</v>
      </c>
      <c r="HQ808" s="5">
        <v>0</v>
      </c>
      <c r="HR808" s="5">
        <v>0</v>
      </c>
      <c r="HS808" s="5">
        <v>0</v>
      </c>
      <c r="HT808" s="5" t="b">
        <v>0</v>
      </c>
    </row>
    <row r="809">
      <c r="B809" s="1">
        <v>10400004</v>
      </c>
      <c r="C809" s="5" t="inlineStr">
        <is>
          <t xml:space="preserve">凝岳印·落地</t>
        </is>
      </c>
      <c r="D809" s="5" t="inlineStr">
        <is>
          <t xml:space="preserve">skill_104000_4</t>
        </is>
      </c>
      <c r="E809" s="5" t="inlineStr">
        <is>
          <t xml:space="preserve">无</t>
        </is>
      </c>
      <c r="F809" s="5" t="s">
        <v>394</v>
      </c>
      <c r="G809" s="5" t="b">
        <v>0</v>
      </c>
      <c r="H809" s="5" t="b">
        <v>1</v>
      </c>
      <c r="I809" s="5">
        <v>4</v>
      </c>
      <c r="J809" s="5">
        <v>104000</v>
      </c>
      <c r="K809" s="5" t="s">
        <v>350</v>
      </c>
      <c r="L809" s="5">
        <v>10090003</v>
      </c>
      <c r="M809" s="5">
        <v>10400005</v>
      </c>
      <c r="N809" s="5" t="s">
        <v>395</v>
      </c>
      <c r="O809" s="5">
        <v>10202008</v>
      </c>
      <c r="P809" s="5">
        <v>0</v>
      </c>
      <c r="Q809" s="5">
        <v>0</v>
      </c>
      <c r="R809" s="5">
        <v>16</v>
      </c>
      <c r="S809" s="5">
        <v>0</v>
      </c>
      <c r="T809" s="5">
        <v>100</v>
      </c>
      <c r="U809" s="5" t="s">
        <v>364</v>
      </c>
      <c r="V809" s="5">
        <v>0</v>
      </c>
      <c r="W809" s="5">
        <v>0</v>
      </c>
      <c r="X809" s="5" t="inlineStr">
        <is>
          <t xml:space="preserve">目标点</t>
        </is>
      </c>
      <c r="Y809" s="5" t="s">
        <v>365</v>
      </c>
      <c r="Z809" s="5" t="s">
        <v>354</v>
      </c>
      <c r="AA809" s="5">
        <v>0</v>
      </c>
      <c r="AB809" s="5">
        <v>0</v>
      </c>
      <c r="AC809" s="5" t="b">
        <v>0</v>
      </c>
      <c r="AD809" s="5" t="s">
        <v>355</v>
      </c>
      <c r="AE809" s="5">
        <v>370</v>
      </c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 t="s">
        <v>381</v>
      </c>
      <c r="AZ809" s="5">
        <v>11200</v>
      </c>
      <c r="BA809" s="5" t="s">
        <v>357</v>
      </c>
      <c r="BB809" s="5" t="s">
        <v>354</v>
      </c>
      <c r="BC809" s="5">
        <v>10000</v>
      </c>
      <c r="BD809" s="5">
        <v>0</v>
      </c>
      <c r="BE809" s="5" t="s">
        <v>358</v>
      </c>
      <c r="BF809" s="5">
        <v>0</v>
      </c>
      <c r="BG809" s="5" t="s">
        <v>382</v>
      </c>
      <c r="BH809" s="5">
        <v>11000</v>
      </c>
      <c r="BI809" s="5">
        <v>6</v>
      </c>
      <c r="BJ809" s="5" t="b">
        <v>1</v>
      </c>
      <c r="BK809" s="5">
        <v>0</v>
      </c>
      <c r="BL809" s="5">
        <v>10000</v>
      </c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5"/>
      <c r="CT809" s="5"/>
      <c r="CU809" s="5"/>
      <c r="CV809" s="5"/>
      <c r="CW809" s="5"/>
      <c r="CZ809" s="5"/>
      <c r="DA809" s="5"/>
      <c r="DB809" s="5"/>
      <c r="DC809" s="5"/>
      <c r="DD809" s="5"/>
      <c r="DE809" s="5"/>
      <c r="DF809" s="5"/>
      <c r="DG809" s="5"/>
      <c r="DH809" s="5"/>
      <c r="DI809" s="5"/>
      <c r="DJ809" s="5"/>
      <c r="DK809" s="5"/>
      <c r="DL809" s="5"/>
      <c r="DM809" s="5"/>
      <c r="DN809" s="5"/>
      <c r="DO809" s="5"/>
      <c r="DP809" s="5"/>
      <c r="DQ809" s="5"/>
      <c r="DR809" s="5"/>
      <c r="DS809" s="5"/>
      <c r="DT809" s="5"/>
      <c r="DU809" s="5"/>
      <c r="DV809" s="5"/>
      <c r="DW809" s="5"/>
      <c r="DX809" s="5"/>
      <c r="DY809" s="5"/>
      <c r="DZ809" s="5"/>
      <c r="EA809" s="5"/>
      <c r="EB809" s="5"/>
      <c r="EC809" s="5"/>
      <c r="ED809" s="5"/>
      <c r="EE809" s="5"/>
      <c r="EF809" s="5"/>
      <c r="EG809" s="5"/>
      <c r="EH809" s="5"/>
      <c r="EI809" s="5"/>
      <c r="EJ809" s="5"/>
      <c r="EK809" s="5"/>
      <c r="EL809" s="5"/>
      <c r="EM809" s="5"/>
      <c r="EN809" s="5"/>
      <c r="EO809" s="5"/>
      <c r="EP809" s="5"/>
      <c r="EQ809" s="5"/>
      <c r="ER809" s="5"/>
      <c r="ES809" s="5"/>
      <c r="ET809" s="5"/>
      <c r="EU809" s="5"/>
      <c r="EV809" s="5"/>
      <c r="EY809" s="5"/>
      <c r="EZ809" s="5"/>
      <c r="FA809" s="5"/>
      <c r="FB809" s="5"/>
      <c r="FC809" s="5"/>
      <c r="FD809" s="5"/>
      <c r="FE809" s="5"/>
      <c r="FF809" s="5"/>
      <c r="FG809" s="5"/>
      <c r="FH809" s="5"/>
      <c r="FI809" s="5"/>
      <c r="FJ809" s="5"/>
      <c r="FK809" s="5"/>
      <c r="FL809" s="5"/>
      <c r="FM809" s="5"/>
      <c r="FN809" s="5"/>
      <c r="FO809" s="5"/>
      <c r="FP809" s="5"/>
      <c r="FQ809" s="5"/>
      <c r="FR809" s="5"/>
      <c r="FS809" s="5"/>
      <c r="FT809" s="5"/>
      <c r="FU809" s="5"/>
      <c r="FV809" s="5"/>
      <c r="FW809" s="5"/>
      <c r="FX809" s="5"/>
      <c r="FY809" s="5"/>
      <c r="FZ809" s="5"/>
      <c r="GA809" s="5"/>
      <c r="GB809" s="5"/>
      <c r="GC809" s="5"/>
      <c r="GD809" s="5"/>
      <c r="GE809" s="5"/>
      <c r="GF809" s="5"/>
      <c r="GG809" s="5"/>
      <c r="GH809" s="5"/>
      <c r="GI809" s="5"/>
      <c r="GJ809" s="5"/>
      <c r="GK809" s="5"/>
      <c r="GL809" s="5"/>
      <c r="GM809" s="5"/>
      <c r="GN809" s="5"/>
      <c r="GO809" s="5"/>
      <c r="GP809" s="5"/>
      <c r="GQ809" s="5"/>
      <c r="GR809" s="5"/>
      <c r="GS809" s="5"/>
      <c r="GT809" s="5"/>
      <c r="GU809" s="5"/>
      <c r="GX809" s="5">
        <v>0</v>
      </c>
      <c r="GY809" s="5">
        <v>0</v>
      </c>
      <c r="GZ809" s="5" t="inlineStr">
        <is>
          <t xml:space="preserve"/>
        </is>
      </c>
      <c r="HA809" s="5">
        <v>0</v>
      </c>
      <c r="HB809" s="5">
        <v>0</v>
      </c>
      <c r="HC809" s="5" t="s">
        <v>366</v>
      </c>
      <c r="HD809" s="5" t="b">
        <v>1</v>
      </c>
      <c r="HE809" s="5">
        <v>0</v>
      </c>
      <c r="HF809" s="5" t="b">
        <v>0</v>
      </c>
      <c r="HG809" s="5">
        <v>0</v>
      </c>
      <c r="HH809" s="5">
        <v>0</v>
      </c>
      <c r="HI809" s="5">
        <v>0</v>
      </c>
      <c r="HJ809" s="5">
        <v>0</v>
      </c>
      <c r="HK809" s="5" t="b">
        <v>0</v>
      </c>
      <c r="HL809" s="5">
        <v>0</v>
      </c>
      <c r="HM809" s="5">
        <v>10001</v>
      </c>
      <c r="HN809" s="5" t="s">
        <v>367</v>
      </c>
      <c r="HO809" s="5" t="s">
        <v>360</v>
      </c>
      <c r="HP809" s="5">
        <v>0</v>
      </c>
      <c r="HQ809" s="5">
        <v>0</v>
      </c>
      <c r="HR809" s="5">
        <v>0</v>
      </c>
      <c r="HS809" s="5">
        <v>0</v>
      </c>
      <c r="HT809" s="5" t="b">
        <v>0</v>
      </c>
    </row>
    <row r="810">
      <c r="B810" s="1">
        <v>10400005</v>
      </c>
      <c r="C810" s="5" t="inlineStr">
        <is>
          <t xml:space="preserve">凝岳印·落地</t>
        </is>
      </c>
      <c r="D810" s="5" t="inlineStr">
        <is>
          <t xml:space="preserve">skill_104000_5</t>
        </is>
      </c>
      <c r="E810" s="5" t="inlineStr">
        <is>
          <t xml:space="preserve">无</t>
        </is>
      </c>
      <c r="F810" s="5" t="s">
        <v>394</v>
      </c>
      <c r="G810" s="5" t="b">
        <v>0</v>
      </c>
      <c r="H810" s="5" t="b">
        <v>1</v>
      </c>
      <c r="I810" s="5">
        <v>5</v>
      </c>
      <c r="J810" s="5">
        <v>104000</v>
      </c>
      <c r="K810" s="5" t="s">
        <v>350</v>
      </c>
      <c r="L810" s="5">
        <v>10090004</v>
      </c>
      <c r="M810" s="5">
        <v>10400006</v>
      </c>
      <c r="N810" s="5" t="s">
        <v>395</v>
      </c>
      <c r="O810" s="5">
        <v>10202008</v>
      </c>
      <c r="P810" s="5">
        <v>0</v>
      </c>
      <c r="Q810" s="5">
        <v>0</v>
      </c>
      <c r="R810" s="5">
        <v>25</v>
      </c>
      <c r="S810" s="5">
        <v>0</v>
      </c>
      <c r="T810" s="5">
        <v>100</v>
      </c>
      <c r="U810" s="5" t="s">
        <v>364</v>
      </c>
      <c r="V810" s="5">
        <v>0</v>
      </c>
      <c r="W810" s="5">
        <v>0</v>
      </c>
      <c r="X810" s="5" t="inlineStr">
        <is>
          <t xml:space="preserve">目标点</t>
        </is>
      </c>
      <c r="Y810" s="5" t="s">
        <v>365</v>
      </c>
      <c r="Z810" s="5" t="s">
        <v>354</v>
      </c>
      <c r="AA810" s="5">
        <v>0</v>
      </c>
      <c r="AB810" s="5">
        <v>0</v>
      </c>
      <c r="AC810" s="5" t="b">
        <v>0</v>
      </c>
      <c r="AD810" s="5" t="s">
        <v>355</v>
      </c>
      <c r="AE810" s="5">
        <v>370</v>
      </c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 t="s">
        <v>381</v>
      </c>
      <c r="AZ810" s="5">
        <v>11300</v>
      </c>
      <c r="BA810" s="5" t="s">
        <v>357</v>
      </c>
      <c r="BB810" s="5" t="s">
        <v>354</v>
      </c>
      <c r="BC810" s="5">
        <v>10000</v>
      </c>
      <c r="BD810" s="5">
        <v>0</v>
      </c>
      <c r="BE810" s="5" t="s">
        <v>358</v>
      </c>
      <c r="BF810" s="5">
        <v>0</v>
      </c>
      <c r="BG810" s="5" t="s">
        <v>382</v>
      </c>
      <c r="BH810" s="5">
        <v>11000</v>
      </c>
      <c r="BI810" s="5">
        <v>6</v>
      </c>
      <c r="BJ810" s="5" t="b">
        <v>1</v>
      </c>
      <c r="BK810" s="5">
        <v>0</v>
      </c>
      <c r="BL810" s="5">
        <v>10000</v>
      </c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5"/>
      <c r="CT810" s="5"/>
      <c r="CU810" s="5"/>
      <c r="CV810" s="5"/>
      <c r="CW810" s="5"/>
      <c r="CZ810" s="5"/>
      <c r="DA810" s="5"/>
      <c r="DB810" s="5"/>
      <c r="DC810" s="5"/>
      <c r="DD810" s="5"/>
      <c r="DE810" s="5"/>
      <c r="DF810" s="5"/>
      <c r="DG810" s="5"/>
      <c r="DH810" s="5"/>
      <c r="DI810" s="5"/>
      <c r="DJ810" s="5"/>
      <c r="DK810" s="5"/>
      <c r="DL810" s="5"/>
      <c r="DM810" s="5"/>
      <c r="DN810" s="5"/>
      <c r="DO810" s="5"/>
      <c r="DP810" s="5"/>
      <c r="DQ810" s="5"/>
      <c r="DR810" s="5"/>
      <c r="DS810" s="5"/>
      <c r="DT810" s="5"/>
      <c r="DU810" s="5"/>
      <c r="DV810" s="5"/>
      <c r="DW810" s="5"/>
      <c r="DX810" s="5"/>
      <c r="DY810" s="5"/>
      <c r="DZ810" s="5"/>
      <c r="EA810" s="5"/>
      <c r="EB810" s="5"/>
      <c r="EC810" s="5"/>
      <c r="ED810" s="5"/>
      <c r="EE810" s="5"/>
      <c r="EF810" s="5"/>
      <c r="EG810" s="5"/>
      <c r="EH810" s="5"/>
      <c r="EI810" s="5"/>
      <c r="EJ810" s="5"/>
      <c r="EK810" s="5"/>
      <c r="EL810" s="5"/>
      <c r="EM810" s="5"/>
      <c r="EN810" s="5"/>
      <c r="EO810" s="5"/>
      <c r="EP810" s="5"/>
      <c r="EQ810" s="5"/>
      <c r="ER810" s="5"/>
      <c r="ES810" s="5"/>
      <c r="ET810" s="5"/>
      <c r="EU810" s="5"/>
      <c r="EV810" s="5"/>
      <c r="EY810" s="5"/>
      <c r="EZ810" s="5"/>
      <c r="FA810" s="5"/>
      <c r="FB810" s="5"/>
      <c r="FC810" s="5"/>
      <c r="FD810" s="5"/>
      <c r="FE810" s="5"/>
      <c r="FF810" s="5"/>
      <c r="FG810" s="5"/>
      <c r="FH810" s="5"/>
      <c r="FI810" s="5"/>
      <c r="FJ810" s="5"/>
      <c r="FK810" s="5"/>
      <c r="FL810" s="5"/>
      <c r="FM810" s="5"/>
      <c r="FN810" s="5"/>
      <c r="FO810" s="5"/>
      <c r="FP810" s="5"/>
      <c r="FQ810" s="5"/>
      <c r="FR810" s="5"/>
      <c r="FS810" s="5"/>
      <c r="FT810" s="5"/>
      <c r="FU810" s="5"/>
      <c r="FV810" s="5"/>
      <c r="FW810" s="5"/>
      <c r="FX810" s="5"/>
      <c r="FY810" s="5"/>
      <c r="FZ810" s="5"/>
      <c r="GA810" s="5"/>
      <c r="GB810" s="5"/>
      <c r="GC810" s="5"/>
      <c r="GD810" s="5"/>
      <c r="GE810" s="5"/>
      <c r="GF810" s="5"/>
      <c r="GG810" s="5"/>
      <c r="GH810" s="5"/>
      <c r="GI810" s="5"/>
      <c r="GJ810" s="5"/>
      <c r="GK810" s="5"/>
      <c r="GL810" s="5"/>
      <c r="GM810" s="5"/>
      <c r="GN810" s="5"/>
      <c r="GO810" s="5"/>
      <c r="GP810" s="5"/>
      <c r="GQ810" s="5"/>
      <c r="GR810" s="5"/>
      <c r="GS810" s="5"/>
      <c r="GT810" s="5"/>
      <c r="GU810" s="5"/>
      <c r="GX810" s="5">
        <v>0</v>
      </c>
      <c r="GY810" s="5">
        <v>0</v>
      </c>
      <c r="GZ810" s="5" t="inlineStr">
        <is>
          <t xml:space="preserve"/>
        </is>
      </c>
      <c r="HA810" s="5">
        <v>0</v>
      </c>
      <c r="HB810" s="5">
        <v>0</v>
      </c>
      <c r="HC810" s="5" t="s">
        <v>366</v>
      </c>
      <c r="HD810" s="5" t="b">
        <v>1</v>
      </c>
      <c r="HE810" s="5">
        <v>0</v>
      </c>
      <c r="HF810" s="5" t="b">
        <v>0</v>
      </c>
      <c r="HG810" s="5">
        <v>0</v>
      </c>
      <c r="HH810" s="5">
        <v>0</v>
      </c>
      <c r="HI810" s="5">
        <v>0</v>
      </c>
      <c r="HJ810" s="5">
        <v>0</v>
      </c>
      <c r="HK810" s="5" t="b">
        <v>0</v>
      </c>
      <c r="HL810" s="5">
        <v>0</v>
      </c>
      <c r="HM810" s="5">
        <v>10001</v>
      </c>
      <c r="HN810" s="5" t="s">
        <v>367</v>
      </c>
      <c r="HO810" s="5" t="s">
        <v>360</v>
      </c>
      <c r="HP810" s="5">
        <v>0</v>
      </c>
      <c r="HQ810" s="5">
        <v>0</v>
      </c>
      <c r="HR810" s="5">
        <v>0</v>
      </c>
      <c r="HS810" s="5">
        <v>0</v>
      </c>
      <c r="HT810" s="5" t="b">
        <v>0</v>
      </c>
    </row>
    <row r="811">
      <c r="B811" s="1">
        <v>10400006</v>
      </c>
      <c r="C811" s="5" t="inlineStr">
        <is>
          <t xml:space="preserve">凝岳印·落地</t>
        </is>
      </c>
      <c r="D811" s="5" t="inlineStr">
        <is>
          <t xml:space="preserve">skill_104000_6</t>
        </is>
      </c>
      <c r="E811" s="5" t="inlineStr">
        <is>
          <t xml:space="preserve">无</t>
        </is>
      </c>
      <c r="F811" s="5" t="s">
        <v>394</v>
      </c>
      <c r="G811" s="5" t="b">
        <v>0</v>
      </c>
      <c r="H811" s="5" t="b">
        <v>1</v>
      </c>
      <c r="I811" s="5">
        <v>6</v>
      </c>
      <c r="J811" s="5">
        <v>104000</v>
      </c>
      <c r="K811" s="5" t="s">
        <v>350</v>
      </c>
      <c r="L811" s="5">
        <v>10090005</v>
      </c>
      <c r="M811" s="5">
        <v>10400007</v>
      </c>
      <c r="N811" s="5" t="s">
        <v>395</v>
      </c>
      <c r="O811" s="5">
        <v>10202008</v>
      </c>
      <c r="P811" s="5">
        <v>0</v>
      </c>
      <c r="Q811" s="5">
        <v>0</v>
      </c>
      <c r="R811" s="5">
        <v>30</v>
      </c>
      <c r="S811" s="5">
        <v>0</v>
      </c>
      <c r="T811" s="5">
        <v>100</v>
      </c>
      <c r="U811" s="5" t="s">
        <v>364</v>
      </c>
      <c r="V811" s="5">
        <v>0</v>
      </c>
      <c r="W811" s="5">
        <v>0</v>
      </c>
      <c r="X811" s="5" t="inlineStr">
        <is>
          <t xml:space="preserve">目标点</t>
        </is>
      </c>
      <c r="Y811" s="5" t="s">
        <v>365</v>
      </c>
      <c r="Z811" s="5" t="s">
        <v>354</v>
      </c>
      <c r="AA811" s="5">
        <v>0</v>
      </c>
      <c r="AB811" s="5">
        <v>0</v>
      </c>
      <c r="AC811" s="5" t="b">
        <v>0</v>
      </c>
      <c r="AD811" s="5" t="s">
        <v>355</v>
      </c>
      <c r="AE811" s="5">
        <v>370</v>
      </c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 t="s">
        <v>381</v>
      </c>
      <c r="AZ811" s="5">
        <v>11600</v>
      </c>
      <c r="BA811" s="5" t="s">
        <v>357</v>
      </c>
      <c r="BB811" s="5" t="s">
        <v>354</v>
      </c>
      <c r="BC811" s="5">
        <v>10000</v>
      </c>
      <c r="BD811" s="5">
        <v>0</v>
      </c>
      <c r="BE811" s="5" t="s">
        <v>358</v>
      </c>
      <c r="BF811" s="5">
        <v>0</v>
      </c>
      <c r="BG811" s="5" t="s">
        <v>382</v>
      </c>
      <c r="BH811" s="5">
        <v>11000</v>
      </c>
      <c r="BI811" s="5">
        <v>7</v>
      </c>
      <c r="BJ811" s="5" t="b">
        <v>1</v>
      </c>
      <c r="BK811" s="5">
        <v>0</v>
      </c>
      <c r="BL811" s="5">
        <v>10000</v>
      </c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5"/>
      <c r="CT811" s="5"/>
      <c r="CU811" s="5"/>
      <c r="CV811" s="5"/>
      <c r="CW811" s="5"/>
      <c r="CZ811" s="5"/>
      <c r="DA811" s="5"/>
      <c r="DB811" s="5"/>
      <c r="DC811" s="5"/>
      <c r="DD811" s="5"/>
      <c r="DE811" s="5"/>
      <c r="DF811" s="5"/>
      <c r="DG811" s="5"/>
      <c r="DH811" s="5"/>
      <c r="DI811" s="5"/>
      <c r="DJ811" s="5"/>
      <c r="DK811" s="5"/>
      <c r="DL811" s="5"/>
      <c r="DM811" s="5"/>
      <c r="DN811" s="5"/>
      <c r="DO811" s="5"/>
      <c r="DP811" s="5"/>
      <c r="DQ811" s="5"/>
      <c r="DR811" s="5"/>
      <c r="DS811" s="5"/>
      <c r="DT811" s="5"/>
      <c r="DU811" s="5"/>
      <c r="DV811" s="5"/>
      <c r="DW811" s="5"/>
      <c r="DX811" s="5"/>
      <c r="DY811" s="5"/>
      <c r="DZ811" s="5"/>
      <c r="EA811" s="5"/>
      <c r="EB811" s="5"/>
      <c r="EC811" s="5"/>
      <c r="ED811" s="5"/>
      <c r="EE811" s="5"/>
      <c r="EF811" s="5"/>
      <c r="EG811" s="5"/>
      <c r="EH811" s="5"/>
      <c r="EI811" s="5"/>
      <c r="EJ811" s="5"/>
      <c r="EK811" s="5"/>
      <c r="EL811" s="5"/>
      <c r="EM811" s="5"/>
      <c r="EN811" s="5"/>
      <c r="EO811" s="5"/>
      <c r="EP811" s="5"/>
      <c r="EQ811" s="5"/>
      <c r="ER811" s="5"/>
      <c r="ES811" s="5"/>
      <c r="ET811" s="5"/>
      <c r="EU811" s="5"/>
      <c r="EV811" s="5"/>
      <c r="EY811" s="5"/>
      <c r="EZ811" s="5"/>
      <c r="FA811" s="5"/>
      <c r="FB811" s="5"/>
      <c r="FC811" s="5"/>
      <c r="FD811" s="5"/>
      <c r="FE811" s="5"/>
      <c r="FF811" s="5"/>
      <c r="FG811" s="5"/>
      <c r="FH811" s="5"/>
      <c r="FI811" s="5"/>
      <c r="FJ811" s="5"/>
      <c r="FK811" s="5"/>
      <c r="FL811" s="5"/>
      <c r="FM811" s="5"/>
      <c r="FN811" s="5"/>
      <c r="FO811" s="5"/>
      <c r="FP811" s="5"/>
      <c r="FQ811" s="5"/>
      <c r="FR811" s="5"/>
      <c r="FS811" s="5"/>
      <c r="FT811" s="5"/>
      <c r="FU811" s="5"/>
      <c r="FV811" s="5"/>
      <c r="FW811" s="5"/>
      <c r="FX811" s="5"/>
      <c r="FY811" s="5"/>
      <c r="FZ811" s="5"/>
      <c r="GA811" s="5"/>
      <c r="GB811" s="5"/>
      <c r="GC811" s="5"/>
      <c r="GD811" s="5"/>
      <c r="GE811" s="5"/>
      <c r="GF811" s="5"/>
      <c r="GG811" s="5"/>
      <c r="GH811" s="5"/>
      <c r="GI811" s="5"/>
      <c r="GJ811" s="5"/>
      <c r="GK811" s="5"/>
      <c r="GL811" s="5"/>
      <c r="GM811" s="5"/>
      <c r="GN811" s="5"/>
      <c r="GO811" s="5"/>
      <c r="GP811" s="5"/>
      <c r="GQ811" s="5"/>
      <c r="GR811" s="5"/>
      <c r="GS811" s="5"/>
      <c r="GT811" s="5"/>
      <c r="GU811" s="5"/>
      <c r="GX811" s="5">
        <v>0</v>
      </c>
      <c r="GY811" s="5">
        <v>0</v>
      </c>
      <c r="GZ811" s="5" t="inlineStr">
        <is>
          <t xml:space="preserve"/>
        </is>
      </c>
      <c r="HA811" s="5">
        <v>0</v>
      </c>
      <c r="HB811" s="5">
        <v>0</v>
      </c>
      <c r="HC811" s="5" t="s">
        <v>366</v>
      </c>
      <c r="HD811" s="5" t="b">
        <v>1</v>
      </c>
      <c r="HE811" s="5">
        <v>0</v>
      </c>
      <c r="HF811" s="5" t="b">
        <v>0</v>
      </c>
      <c r="HG811" s="5">
        <v>0</v>
      </c>
      <c r="HH811" s="5">
        <v>0</v>
      </c>
      <c r="HI811" s="5">
        <v>0</v>
      </c>
      <c r="HJ811" s="5">
        <v>0</v>
      </c>
      <c r="HK811" s="5" t="b">
        <v>0</v>
      </c>
      <c r="HL811" s="5">
        <v>0</v>
      </c>
      <c r="HM811" s="5">
        <v>10001</v>
      </c>
      <c r="HN811" s="5" t="s">
        <v>367</v>
      </c>
      <c r="HO811" s="5" t="s">
        <v>360</v>
      </c>
      <c r="HP811" s="5">
        <v>0</v>
      </c>
      <c r="HQ811" s="5">
        <v>0</v>
      </c>
      <c r="HR811" s="5">
        <v>0</v>
      </c>
      <c r="HS811" s="5">
        <v>0</v>
      </c>
      <c r="HT811" s="5" t="b">
        <v>0</v>
      </c>
    </row>
    <row r="812">
      <c r="B812" s="1">
        <v>10400007</v>
      </c>
      <c r="C812" s="5" t="inlineStr">
        <is>
          <t xml:space="preserve">凝岳印·落地</t>
        </is>
      </c>
      <c r="D812" s="5" t="inlineStr">
        <is>
          <t xml:space="preserve">skill_104000_7</t>
        </is>
      </c>
      <c r="E812" s="5" t="inlineStr">
        <is>
          <t xml:space="preserve">无</t>
        </is>
      </c>
      <c r="F812" s="5" t="s">
        <v>394</v>
      </c>
      <c r="G812" s="5" t="b">
        <v>0</v>
      </c>
      <c r="H812" s="5" t="b">
        <v>1</v>
      </c>
      <c r="I812" s="5">
        <v>7</v>
      </c>
      <c r="J812" s="5">
        <v>104000</v>
      </c>
      <c r="K812" s="5" t="s">
        <v>350</v>
      </c>
      <c r="L812" s="5">
        <v>10090006</v>
      </c>
      <c r="M812" s="5">
        <v>10400008</v>
      </c>
      <c r="N812" s="5" t="s">
        <v>395</v>
      </c>
      <c r="O812" s="5">
        <v>10202008</v>
      </c>
      <c r="P812" s="5">
        <v>0</v>
      </c>
      <c r="Q812" s="5">
        <v>0</v>
      </c>
      <c r="R812" s="5">
        <v>35</v>
      </c>
      <c r="S812" s="5">
        <v>0</v>
      </c>
      <c r="T812" s="5">
        <v>100</v>
      </c>
      <c r="U812" s="5" t="s">
        <v>364</v>
      </c>
      <c r="V812" s="5">
        <v>0</v>
      </c>
      <c r="W812" s="5">
        <v>0</v>
      </c>
      <c r="X812" s="5" t="inlineStr">
        <is>
          <t xml:space="preserve">目标点</t>
        </is>
      </c>
      <c r="Y812" s="5" t="s">
        <v>365</v>
      </c>
      <c r="Z812" s="5" t="s">
        <v>354</v>
      </c>
      <c r="AA812" s="5">
        <v>0</v>
      </c>
      <c r="AB812" s="5">
        <v>0</v>
      </c>
      <c r="AC812" s="5" t="b">
        <v>0</v>
      </c>
      <c r="AD812" s="5" t="s">
        <v>355</v>
      </c>
      <c r="AE812" s="5">
        <v>370</v>
      </c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 t="s">
        <v>381</v>
      </c>
      <c r="AZ812" s="5">
        <v>11700</v>
      </c>
      <c r="BA812" s="5" t="s">
        <v>357</v>
      </c>
      <c r="BB812" s="5" t="s">
        <v>354</v>
      </c>
      <c r="BC812" s="5">
        <v>10000</v>
      </c>
      <c r="BD812" s="5">
        <v>0</v>
      </c>
      <c r="BE812" s="5" t="s">
        <v>358</v>
      </c>
      <c r="BF812" s="5">
        <v>0</v>
      </c>
      <c r="BG812" s="5" t="s">
        <v>382</v>
      </c>
      <c r="BH812" s="5">
        <v>11000</v>
      </c>
      <c r="BI812" s="5">
        <v>9</v>
      </c>
      <c r="BJ812" s="5" t="b">
        <v>1</v>
      </c>
      <c r="BK812" s="5">
        <v>0</v>
      </c>
      <c r="BL812" s="5">
        <v>10000</v>
      </c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5"/>
      <c r="CT812" s="5"/>
      <c r="CU812" s="5"/>
      <c r="CV812" s="5"/>
      <c r="CW812" s="5"/>
      <c r="CZ812" s="5"/>
      <c r="DA812" s="5"/>
      <c r="DB812" s="5"/>
      <c r="DC812" s="5"/>
      <c r="DD812" s="5"/>
      <c r="DE812" s="5"/>
      <c r="DF812" s="5"/>
      <c r="DG812" s="5"/>
      <c r="DH812" s="5"/>
      <c r="DI812" s="5"/>
      <c r="DJ812" s="5"/>
      <c r="DK812" s="5"/>
      <c r="DL812" s="5"/>
      <c r="DM812" s="5"/>
      <c r="DN812" s="5"/>
      <c r="DO812" s="5"/>
      <c r="DP812" s="5"/>
      <c r="DQ812" s="5"/>
      <c r="DR812" s="5"/>
      <c r="DS812" s="5"/>
      <c r="DT812" s="5"/>
      <c r="DU812" s="5"/>
      <c r="DV812" s="5"/>
      <c r="DW812" s="5"/>
      <c r="DX812" s="5"/>
      <c r="DY812" s="5"/>
      <c r="DZ812" s="5"/>
      <c r="EA812" s="5"/>
      <c r="EB812" s="5"/>
      <c r="EC812" s="5"/>
      <c r="ED812" s="5"/>
      <c r="EE812" s="5"/>
      <c r="EF812" s="5"/>
      <c r="EG812" s="5"/>
      <c r="EH812" s="5"/>
      <c r="EI812" s="5"/>
      <c r="EJ812" s="5"/>
      <c r="EK812" s="5"/>
      <c r="EL812" s="5"/>
      <c r="EM812" s="5"/>
      <c r="EN812" s="5"/>
      <c r="EO812" s="5"/>
      <c r="EP812" s="5"/>
      <c r="EQ812" s="5"/>
      <c r="ER812" s="5"/>
      <c r="ES812" s="5"/>
      <c r="ET812" s="5"/>
      <c r="EU812" s="5"/>
      <c r="EV812" s="5"/>
      <c r="EY812" s="5"/>
      <c r="EZ812" s="5"/>
      <c r="FA812" s="5"/>
      <c r="FB812" s="5"/>
      <c r="FC812" s="5"/>
      <c r="FD812" s="5"/>
      <c r="FE812" s="5"/>
      <c r="FF812" s="5"/>
      <c r="FG812" s="5"/>
      <c r="FH812" s="5"/>
      <c r="FI812" s="5"/>
      <c r="FJ812" s="5"/>
      <c r="FK812" s="5"/>
      <c r="FL812" s="5"/>
      <c r="FM812" s="5"/>
      <c r="FN812" s="5"/>
      <c r="FO812" s="5"/>
      <c r="FP812" s="5"/>
      <c r="FQ812" s="5"/>
      <c r="FR812" s="5"/>
      <c r="FS812" s="5"/>
      <c r="FT812" s="5"/>
      <c r="FU812" s="5"/>
      <c r="FV812" s="5"/>
      <c r="FW812" s="5"/>
      <c r="FX812" s="5"/>
      <c r="FY812" s="5"/>
      <c r="FZ812" s="5"/>
      <c r="GA812" s="5"/>
      <c r="GB812" s="5"/>
      <c r="GC812" s="5"/>
      <c r="GD812" s="5"/>
      <c r="GE812" s="5"/>
      <c r="GF812" s="5"/>
      <c r="GG812" s="5"/>
      <c r="GH812" s="5"/>
      <c r="GI812" s="5"/>
      <c r="GJ812" s="5"/>
      <c r="GK812" s="5"/>
      <c r="GL812" s="5"/>
      <c r="GM812" s="5"/>
      <c r="GN812" s="5"/>
      <c r="GO812" s="5"/>
      <c r="GP812" s="5"/>
      <c r="GQ812" s="5"/>
      <c r="GR812" s="5"/>
      <c r="GS812" s="5"/>
      <c r="GT812" s="5"/>
      <c r="GU812" s="5"/>
      <c r="GX812" s="5">
        <v>0</v>
      </c>
      <c r="GY812" s="5">
        <v>0</v>
      </c>
      <c r="GZ812" s="5" t="inlineStr">
        <is>
          <t xml:space="preserve"/>
        </is>
      </c>
      <c r="HA812" s="5">
        <v>0</v>
      </c>
      <c r="HB812" s="5">
        <v>0</v>
      </c>
      <c r="HC812" s="5" t="s">
        <v>366</v>
      </c>
      <c r="HD812" s="5" t="b">
        <v>1</v>
      </c>
      <c r="HE812" s="5">
        <v>0</v>
      </c>
      <c r="HF812" s="5" t="b">
        <v>0</v>
      </c>
      <c r="HG812" s="5">
        <v>0</v>
      </c>
      <c r="HH812" s="5">
        <v>0</v>
      </c>
      <c r="HI812" s="5">
        <v>0</v>
      </c>
      <c r="HJ812" s="5">
        <v>0</v>
      </c>
      <c r="HK812" s="5" t="b">
        <v>0</v>
      </c>
      <c r="HL812" s="5">
        <v>0</v>
      </c>
      <c r="HM812" s="5">
        <v>10001</v>
      </c>
      <c r="HN812" s="5" t="s">
        <v>367</v>
      </c>
      <c r="HO812" s="5" t="s">
        <v>360</v>
      </c>
      <c r="HP812" s="5">
        <v>0</v>
      </c>
      <c r="HQ812" s="5">
        <v>0</v>
      </c>
      <c r="HR812" s="5">
        <v>0</v>
      </c>
      <c r="HS812" s="5">
        <v>0</v>
      </c>
      <c r="HT812" s="5" t="b">
        <v>0</v>
      </c>
    </row>
    <row r="813">
      <c r="B813" s="1">
        <v>10400008</v>
      </c>
      <c r="C813" s="5" t="inlineStr">
        <is>
          <t xml:space="preserve">凝岳印·落地</t>
        </is>
      </c>
      <c r="D813" s="5" t="inlineStr">
        <is>
          <t xml:space="preserve">skill_104000_8</t>
        </is>
      </c>
      <c r="E813" s="5" t="inlineStr">
        <is>
          <t xml:space="preserve">无</t>
        </is>
      </c>
      <c r="F813" s="5" t="s">
        <v>394</v>
      </c>
      <c r="G813" s="5" t="b">
        <v>0</v>
      </c>
      <c r="H813" s="5" t="b">
        <v>1</v>
      </c>
      <c r="I813" s="5">
        <v>8</v>
      </c>
      <c r="J813" s="5">
        <v>104000</v>
      </c>
      <c r="K813" s="5" t="s">
        <v>350</v>
      </c>
      <c r="L813" s="5">
        <v>10090007</v>
      </c>
      <c r="M813" s="5">
        <v>10400009</v>
      </c>
      <c r="N813" s="5" t="s">
        <v>395</v>
      </c>
      <c r="O813" s="5">
        <v>10202008</v>
      </c>
      <c r="P813" s="5">
        <v>0</v>
      </c>
      <c r="Q813" s="5">
        <v>0</v>
      </c>
      <c r="R813" s="5">
        <v>35</v>
      </c>
      <c r="S813" s="5">
        <v>0</v>
      </c>
      <c r="T813" s="5">
        <v>100</v>
      </c>
      <c r="U813" s="5" t="s">
        <v>364</v>
      </c>
      <c r="V813" s="5">
        <v>0</v>
      </c>
      <c r="W813" s="5">
        <v>0</v>
      </c>
      <c r="X813" s="5" t="inlineStr">
        <is>
          <t xml:space="preserve">目标点</t>
        </is>
      </c>
      <c r="Y813" s="5" t="s">
        <v>365</v>
      </c>
      <c r="Z813" s="5" t="s">
        <v>354</v>
      </c>
      <c r="AA813" s="5">
        <v>0</v>
      </c>
      <c r="AB813" s="5">
        <v>0</v>
      </c>
      <c r="AC813" s="5" t="b">
        <v>0</v>
      </c>
      <c r="AD813" s="5" t="s">
        <v>355</v>
      </c>
      <c r="AE813" s="5">
        <v>370</v>
      </c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 t="s">
        <v>381</v>
      </c>
      <c r="AZ813" s="5">
        <v>11800</v>
      </c>
      <c r="BA813" s="5" t="s">
        <v>357</v>
      </c>
      <c r="BB813" s="5" t="s">
        <v>354</v>
      </c>
      <c r="BC813" s="5">
        <v>10000</v>
      </c>
      <c r="BD813" s="5">
        <v>0</v>
      </c>
      <c r="BE813" s="5" t="s">
        <v>358</v>
      </c>
      <c r="BF813" s="5">
        <v>0</v>
      </c>
      <c r="BG813" s="5" t="s">
        <v>382</v>
      </c>
      <c r="BH813" s="5">
        <v>11000</v>
      </c>
      <c r="BI813" s="5">
        <v>10</v>
      </c>
      <c r="BJ813" s="5" t="b">
        <v>1</v>
      </c>
      <c r="BK813" s="5">
        <v>0</v>
      </c>
      <c r="BL813" s="5">
        <v>10000</v>
      </c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5"/>
      <c r="CT813" s="5"/>
      <c r="CU813" s="5"/>
      <c r="CV813" s="5"/>
      <c r="CW813" s="5"/>
      <c r="CZ813" s="5"/>
      <c r="DA813" s="5"/>
      <c r="DB813" s="5"/>
      <c r="DC813" s="5"/>
      <c r="DD813" s="5"/>
      <c r="DE813" s="5"/>
      <c r="DF813" s="5"/>
      <c r="DG813" s="5"/>
      <c r="DH813" s="5"/>
      <c r="DI813" s="5"/>
      <c r="DJ813" s="5"/>
      <c r="DK813" s="5"/>
      <c r="DL813" s="5"/>
      <c r="DM813" s="5"/>
      <c r="DN813" s="5"/>
      <c r="DO813" s="5"/>
      <c r="DP813" s="5"/>
      <c r="DQ813" s="5"/>
      <c r="DR813" s="5"/>
      <c r="DS813" s="5"/>
      <c r="DT813" s="5"/>
      <c r="DU813" s="5"/>
      <c r="DV813" s="5"/>
      <c r="DW813" s="5"/>
      <c r="DX813" s="5"/>
      <c r="DY813" s="5"/>
      <c r="DZ813" s="5"/>
      <c r="EA813" s="5"/>
      <c r="EB813" s="5"/>
      <c r="EC813" s="5"/>
      <c r="ED813" s="5"/>
      <c r="EE813" s="5"/>
      <c r="EF813" s="5"/>
      <c r="EG813" s="5"/>
      <c r="EH813" s="5"/>
      <c r="EI813" s="5"/>
      <c r="EJ813" s="5"/>
      <c r="EK813" s="5"/>
      <c r="EL813" s="5"/>
      <c r="EM813" s="5"/>
      <c r="EN813" s="5"/>
      <c r="EO813" s="5"/>
      <c r="EP813" s="5"/>
      <c r="EQ813" s="5"/>
      <c r="ER813" s="5"/>
      <c r="ES813" s="5"/>
      <c r="ET813" s="5"/>
      <c r="EU813" s="5"/>
      <c r="EV813" s="5"/>
      <c r="EY813" s="5"/>
      <c r="EZ813" s="5"/>
      <c r="FA813" s="5"/>
      <c r="FB813" s="5"/>
      <c r="FC813" s="5"/>
      <c r="FD813" s="5"/>
      <c r="FE813" s="5"/>
      <c r="FF813" s="5"/>
      <c r="FG813" s="5"/>
      <c r="FH813" s="5"/>
      <c r="FI813" s="5"/>
      <c r="FJ813" s="5"/>
      <c r="FK813" s="5"/>
      <c r="FL813" s="5"/>
      <c r="FM813" s="5"/>
      <c r="FN813" s="5"/>
      <c r="FO813" s="5"/>
      <c r="FP813" s="5"/>
      <c r="FQ813" s="5"/>
      <c r="FR813" s="5"/>
      <c r="FS813" s="5"/>
      <c r="FT813" s="5"/>
      <c r="FU813" s="5"/>
      <c r="FV813" s="5"/>
      <c r="FW813" s="5"/>
      <c r="FX813" s="5"/>
      <c r="FY813" s="5"/>
      <c r="FZ813" s="5"/>
      <c r="GA813" s="5"/>
      <c r="GB813" s="5"/>
      <c r="GC813" s="5"/>
      <c r="GD813" s="5"/>
      <c r="GE813" s="5"/>
      <c r="GF813" s="5"/>
      <c r="GG813" s="5"/>
      <c r="GH813" s="5"/>
      <c r="GI813" s="5"/>
      <c r="GJ813" s="5"/>
      <c r="GK813" s="5"/>
      <c r="GL813" s="5"/>
      <c r="GM813" s="5"/>
      <c r="GN813" s="5"/>
      <c r="GO813" s="5"/>
      <c r="GP813" s="5"/>
      <c r="GQ813" s="5"/>
      <c r="GR813" s="5"/>
      <c r="GS813" s="5"/>
      <c r="GT813" s="5"/>
      <c r="GU813" s="5"/>
      <c r="GX813" s="5">
        <v>0</v>
      </c>
      <c r="GY813" s="5">
        <v>0</v>
      </c>
      <c r="GZ813" s="5" t="inlineStr">
        <is>
          <t xml:space="preserve"/>
        </is>
      </c>
      <c r="HA813" s="5">
        <v>0</v>
      </c>
      <c r="HB813" s="5">
        <v>0</v>
      </c>
      <c r="HC813" s="5" t="s">
        <v>366</v>
      </c>
      <c r="HD813" s="5" t="b">
        <v>1</v>
      </c>
      <c r="HE813" s="5">
        <v>0</v>
      </c>
      <c r="HF813" s="5" t="b">
        <v>0</v>
      </c>
      <c r="HG813" s="5">
        <v>0</v>
      </c>
      <c r="HH813" s="5">
        <v>0</v>
      </c>
      <c r="HI813" s="5">
        <v>0</v>
      </c>
      <c r="HJ813" s="5">
        <v>0</v>
      </c>
      <c r="HK813" s="5" t="b">
        <v>0</v>
      </c>
      <c r="HL813" s="5">
        <v>0</v>
      </c>
      <c r="HM813" s="5">
        <v>10001</v>
      </c>
      <c r="HN813" s="5" t="s">
        <v>367</v>
      </c>
      <c r="HO813" s="5" t="s">
        <v>360</v>
      </c>
      <c r="HP813" s="5">
        <v>0</v>
      </c>
      <c r="HQ813" s="5">
        <v>0</v>
      </c>
      <c r="HR813" s="5">
        <v>0</v>
      </c>
      <c r="HS813" s="5">
        <v>0</v>
      </c>
      <c r="HT813" s="5" t="b">
        <v>0</v>
      </c>
    </row>
    <row r="814">
      <c r="B814" s="1">
        <v>10400009</v>
      </c>
      <c r="C814" s="5" t="inlineStr">
        <is>
          <t xml:space="preserve">凝岳印·落地</t>
        </is>
      </c>
      <c r="D814" s="5" t="inlineStr">
        <is>
          <t xml:space="preserve">skill_104000_9</t>
        </is>
      </c>
      <c r="E814" s="5" t="inlineStr">
        <is>
          <t xml:space="preserve">无</t>
        </is>
      </c>
      <c r="F814" s="5" t="s">
        <v>394</v>
      </c>
      <c r="G814" s="5" t="b">
        <v>0</v>
      </c>
      <c r="H814" s="5" t="b">
        <v>1</v>
      </c>
      <c r="I814" s="5">
        <v>9</v>
      </c>
      <c r="J814" s="5">
        <v>104000</v>
      </c>
      <c r="K814" s="5" t="s">
        <v>350</v>
      </c>
      <c r="L814" s="5">
        <v>10090008</v>
      </c>
      <c r="M814" s="5">
        <v>10400010</v>
      </c>
      <c r="N814" s="5" t="s">
        <v>395</v>
      </c>
      <c r="O814" s="5">
        <v>10202008</v>
      </c>
      <c r="P814" s="5">
        <v>0</v>
      </c>
      <c r="Q814" s="5">
        <v>0</v>
      </c>
      <c r="R814" s="5">
        <v>40</v>
      </c>
      <c r="S814" s="5">
        <v>0</v>
      </c>
      <c r="T814" s="5">
        <v>100</v>
      </c>
      <c r="U814" s="5" t="s">
        <v>364</v>
      </c>
      <c r="V814" s="5">
        <v>0</v>
      </c>
      <c r="W814" s="5">
        <v>0</v>
      </c>
      <c r="X814" s="5" t="inlineStr">
        <is>
          <t xml:space="preserve">目标点</t>
        </is>
      </c>
      <c r="Y814" s="5" t="s">
        <v>365</v>
      </c>
      <c r="Z814" s="5" t="s">
        <v>354</v>
      </c>
      <c r="AA814" s="5">
        <v>0</v>
      </c>
      <c r="AB814" s="5">
        <v>0</v>
      </c>
      <c r="AC814" s="5" t="b">
        <v>0</v>
      </c>
      <c r="AD814" s="5" t="s">
        <v>355</v>
      </c>
      <c r="AE814" s="5">
        <v>370</v>
      </c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 t="s">
        <v>381</v>
      </c>
      <c r="AZ814" s="5">
        <v>11900</v>
      </c>
      <c r="BA814" s="5" t="s">
        <v>357</v>
      </c>
      <c r="BB814" s="5" t="s">
        <v>354</v>
      </c>
      <c r="BC814" s="5">
        <v>10000</v>
      </c>
      <c r="BD814" s="5">
        <v>0</v>
      </c>
      <c r="BE814" s="5" t="s">
        <v>358</v>
      </c>
      <c r="BF814" s="5">
        <v>0</v>
      </c>
      <c r="BG814" s="5" t="s">
        <v>382</v>
      </c>
      <c r="BH814" s="5">
        <v>11000</v>
      </c>
      <c r="BI814" s="5">
        <v>12</v>
      </c>
      <c r="BJ814" s="5" t="b">
        <v>1</v>
      </c>
      <c r="BK814" s="5">
        <v>0</v>
      </c>
      <c r="BL814" s="5">
        <v>10000</v>
      </c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5"/>
      <c r="CT814" s="5"/>
      <c r="CU814" s="5"/>
      <c r="CV814" s="5"/>
      <c r="CW814" s="5"/>
      <c r="CZ814" s="5"/>
      <c r="DA814" s="5"/>
      <c r="DB814" s="5"/>
      <c r="DC814" s="5"/>
      <c r="DD814" s="5"/>
      <c r="DE814" s="5"/>
      <c r="DF814" s="5"/>
      <c r="DG814" s="5"/>
      <c r="DH814" s="5"/>
      <c r="DI814" s="5"/>
      <c r="DJ814" s="5"/>
      <c r="DK814" s="5"/>
      <c r="DL814" s="5"/>
      <c r="DM814" s="5"/>
      <c r="DN814" s="5"/>
      <c r="DO814" s="5"/>
      <c r="DP814" s="5"/>
      <c r="DQ814" s="5"/>
      <c r="DR814" s="5"/>
      <c r="DS814" s="5"/>
      <c r="DT814" s="5"/>
      <c r="DU814" s="5"/>
      <c r="DV814" s="5"/>
      <c r="DW814" s="5"/>
      <c r="DX814" s="5"/>
      <c r="DY814" s="5"/>
      <c r="DZ814" s="5"/>
      <c r="EA814" s="5"/>
      <c r="EB814" s="5"/>
      <c r="EC814" s="5"/>
      <c r="ED814" s="5"/>
      <c r="EE814" s="5"/>
      <c r="EF814" s="5"/>
      <c r="EG814" s="5"/>
      <c r="EH814" s="5"/>
      <c r="EI814" s="5"/>
      <c r="EJ814" s="5"/>
      <c r="EK814" s="5"/>
      <c r="EL814" s="5"/>
      <c r="EM814" s="5"/>
      <c r="EN814" s="5"/>
      <c r="EO814" s="5"/>
      <c r="EP814" s="5"/>
      <c r="EQ814" s="5"/>
      <c r="ER814" s="5"/>
      <c r="ES814" s="5"/>
      <c r="ET814" s="5"/>
      <c r="EU814" s="5"/>
      <c r="EV814" s="5"/>
      <c r="EY814" s="5"/>
      <c r="EZ814" s="5"/>
      <c r="FA814" s="5"/>
      <c r="FB814" s="5"/>
      <c r="FC814" s="5"/>
      <c r="FD814" s="5"/>
      <c r="FE814" s="5"/>
      <c r="FF814" s="5"/>
      <c r="FG814" s="5"/>
      <c r="FH814" s="5"/>
      <c r="FI814" s="5"/>
      <c r="FJ814" s="5"/>
      <c r="FK814" s="5"/>
      <c r="FL814" s="5"/>
      <c r="FM814" s="5"/>
      <c r="FN814" s="5"/>
      <c r="FO814" s="5"/>
      <c r="FP814" s="5"/>
      <c r="FQ814" s="5"/>
      <c r="FR814" s="5"/>
      <c r="FS814" s="5"/>
      <c r="FT814" s="5"/>
      <c r="FU814" s="5"/>
      <c r="FV814" s="5"/>
      <c r="FW814" s="5"/>
      <c r="FX814" s="5"/>
      <c r="FY814" s="5"/>
      <c r="FZ814" s="5"/>
      <c r="GA814" s="5"/>
      <c r="GB814" s="5"/>
      <c r="GC814" s="5"/>
      <c r="GD814" s="5"/>
      <c r="GE814" s="5"/>
      <c r="GF814" s="5"/>
      <c r="GG814" s="5"/>
      <c r="GH814" s="5"/>
      <c r="GI814" s="5"/>
      <c r="GJ814" s="5"/>
      <c r="GK814" s="5"/>
      <c r="GL814" s="5"/>
      <c r="GM814" s="5"/>
      <c r="GN814" s="5"/>
      <c r="GO814" s="5"/>
      <c r="GP814" s="5"/>
      <c r="GQ814" s="5"/>
      <c r="GR814" s="5"/>
      <c r="GS814" s="5"/>
      <c r="GT814" s="5"/>
      <c r="GU814" s="5"/>
      <c r="GX814" s="5">
        <v>0</v>
      </c>
      <c r="GY814" s="5">
        <v>0</v>
      </c>
      <c r="GZ814" s="5" t="inlineStr">
        <is>
          <t xml:space="preserve"/>
        </is>
      </c>
      <c r="HA814" s="5">
        <v>0</v>
      </c>
      <c r="HB814" s="5">
        <v>0</v>
      </c>
      <c r="HC814" s="5" t="s">
        <v>366</v>
      </c>
      <c r="HD814" s="5" t="b">
        <v>1</v>
      </c>
      <c r="HE814" s="5">
        <v>0</v>
      </c>
      <c r="HF814" s="5" t="b">
        <v>0</v>
      </c>
      <c r="HG814" s="5">
        <v>0</v>
      </c>
      <c r="HH814" s="5">
        <v>0</v>
      </c>
      <c r="HI814" s="5">
        <v>0</v>
      </c>
      <c r="HJ814" s="5">
        <v>0</v>
      </c>
      <c r="HK814" s="5" t="b">
        <v>0</v>
      </c>
      <c r="HL814" s="5">
        <v>0</v>
      </c>
      <c r="HM814" s="5">
        <v>10001</v>
      </c>
      <c r="HN814" s="5" t="s">
        <v>367</v>
      </c>
      <c r="HO814" s="5" t="s">
        <v>360</v>
      </c>
      <c r="HP814" s="5">
        <v>0</v>
      </c>
      <c r="HQ814" s="5">
        <v>0</v>
      </c>
      <c r="HR814" s="5">
        <v>0</v>
      </c>
      <c r="HS814" s="5">
        <v>0</v>
      </c>
      <c r="HT814" s="5" t="b">
        <v>0</v>
      </c>
    </row>
    <row r="815">
      <c r="B815" s="1">
        <v>10400010</v>
      </c>
      <c r="C815" s="5" t="inlineStr">
        <is>
          <t xml:space="preserve">凝岳印·落地</t>
        </is>
      </c>
      <c r="D815" s="5" t="inlineStr">
        <is>
          <t xml:space="preserve">skill_104000_10</t>
        </is>
      </c>
      <c r="E815" s="5" t="inlineStr">
        <is>
          <t xml:space="preserve">无</t>
        </is>
      </c>
      <c r="F815" s="5" t="s">
        <v>394</v>
      </c>
      <c r="G815" s="5" t="b">
        <v>0</v>
      </c>
      <c r="H815" s="5" t="b">
        <v>1</v>
      </c>
      <c r="I815" s="5">
        <v>10</v>
      </c>
      <c r="J815" s="5">
        <v>104000</v>
      </c>
      <c r="K815" s="5" t="s">
        <v>350</v>
      </c>
      <c r="L815" s="5">
        <v>10090009</v>
      </c>
      <c r="M815" s="5">
        <v>0</v>
      </c>
      <c r="N815" s="5" t="s">
        <v>395</v>
      </c>
      <c r="O815" s="5">
        <v>10202008</v>
      </c>
      <c r="P815" s="5">
        <v>0</v>
      </c>
      <c r="Q815" s="5">
        <v>0</v>
      </c>
      <c r="R815" s="5">
        <v>40</v>
      </c>
      <c r="S815" s="5">
        <v>0</v>
      </c>
      <c r="T815" s="5">
        <v>0</v>
      </c>
      <c r="U815" s="5" t="s">
        <v>364</v>
      </c>
      <c r="V815" s="5">
        <v>0</v>
      </c>
      <c r="W815" s="5">
        <v>0</v>
      </c>
      <c r="X815" s="5" t="inlineStr">
        <is>
          <t xml:space="preserve">目标点</t>
        </is>
      </c>
      <c r="Y815" s="5" t="s">
        <v>365</v>
      </c>
      <c r="Z815" s="5" t="s">
        <v>354</v>
      </c>
      <c r="AA815" s="5">
        <v>0</v>
      </c>
      <c r="AB815" s="5">
        <v>0</v>
      </c>
      <c r="AC815" s="5" t="b">
        <v>0</v>
      </c>
      <c r="AD815" s="5" t="s">
        <v>355</v>
      </c>
      <c r="AE815" s="5">
        <v>370</v>
      </c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 t="s">
        <v>381</v>
      </c>
      <c r="AZ815" s="5">
        <v>12000</v>
      </c>
      <c r="BA815" s="5" t="s">
        <v>357</v>
      </c>
      <c r="BB815" s="5" t="s">
        <v>354</v>
      </c>
      <c r="BC815" s="5">
        <v>10000</v>
      </c>
      <c r="BD815" s="5">
        <v>0</v>
      </c>
      <c r="BE815" s="5" t="s">
        <v>358</v>
      </c>
      <c r="BF815" s="5">
        <v>0</v>
      </c>
      <c r="BG815" s="5" t="s">
        <v>382</v>
      </c>
      <c r="BH815" s="5">
        <v>11000</v>
      </c>
      <c r="BI815" s="5">
        <v>15</v>
      </c>
      <c r="BJ815" s="5" t="b">
        <v>1</v>
      </c>
      <c r="BK815" s="5">
        <v>0</v>
      </c>
      <c r="BL815" s="5">
        <v>10000</v>
      </c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5"/>
      <c r="CT815" s="5"/>
      <c r="CU815" s="5"/>
      <c r="CV815" s="5"/>
      <c r="CW815" s="5"/>
      <c r="CZ815" s="5"/>
      <c r="DA815" s="5"/>
      <c r="DB815" s="5"/>
      <c r="DC815" s="5"/>
      <c r="DD815" s="5"/>
      <c r="DE815" s="5"/>
      <c r="DF815" s="5"/>
      <c r="DG815" s="5"/>
      <c r="DH815" s="5"/>
      <c r="DI815" s="5"/>
      <c r="DJ815" s="5"/>
      <c r="DK815" s="5"/>
      <c r="DL815" s="5"/>
      <c r="DM815" s="5"/>
      <c r="DN815" s="5"/>
      <c r="DO815" s="5"/>
      <c r="DP815" s="5"/>
      <c r="DQ815" s="5"/>
      <c r="DR815" s="5"/>
      <c r="DS815" s="5"/>
      <c r="DT815" s="5"/>
      <c r="DU815" s="5"/>
      <c r="DV815" s="5"/>
      <c r="DW815" s="5"/>
      <c r="DX815" s="5"/>
      <c r="DY815" s="5"/>
      <c r="DZ815" s="5"/>
      <c r="EA815" s="5"/>
      <c r="EB815" s="5"/>
      <c r="EC815" s="5"/>
      <c r="ED815" s="5"/>
      <c r="EE815" s="5"/>
      <c r="EF815" s="5"/>
      <c r="EG815" s="5"/>
      <c r="EH815" s="5"/>
      <c r="EI815" s="5"/>
      <c r="EJ815" s="5"/>
      <c r="EK815" s="5"/>
      <c r="EL815" s="5"/>
      <c r="EM815" s="5"/>
      <c r="EN815" s="5"/>
      <c r="EO815" s="5"/>
      <c r="EP815" s="5"/>
      <c r="EQ815" s="5"/>
      <c r="ER815" s="5"/>
      <c r="ES815" s="5"/>
      <c r="ET815" s="5"/>
      <c r="EU815" s="5"/>
      <c r="EV815" s="5"/>
      <c r="EY815" s="5"/>
      <c r="EZ815" s="5"/>
      <c r="FA815" s="5"/>
      <c r="FB815" s="5"/>
      <c r="FC815" s="5"/>
      <c r="FD815" s="5"/>
      <c r="FE815" s="5"/>
      <c r="FF815" s="5"/>
      <c r="FG815" s="5"/>
      <c r="FH815" s="5"/>
      <c r="FI815" s="5"/>
      <c r="FJ815" s="5"/>
      <c r="FK815" s="5"/>
      <c r="FL815" s="5"/>
      <c r="FM815" s="5"/>
      <c r="FN815" s="5"/>
      <c r="FO815" s="5"/>
      <c r="FP815" s="5"/>
      <c r="FQ815" s="5"/>
      <c r="FR815" s="5"/>
      <c r="FS815" s="5"/>
      <c r="FT815" s="5"/>
      <c r="FU815" s="5"/>
      <c r="FV815" s="5"/>
      <c r="FW815" s="5"/>
      <c r="FX815" s="5"/>
      <c r="FY815" s="5"/>
      <c r="FZ815" s="5"/>
      <c r="GA815" s="5"/>
      <c r="GB815" s="5"/>
      <c r="GC815" s="5"/>
      <c r="GD815" s="5"/>
      <c r="GE815" s="5"/>
      <c r="GF815" s="5"/>
      <c r="GG815" s="5"/>
      <c r="GH815" s="5"/>
      <c r="GI815" s="5"/>
      <c r="GJ815" s="5"/>
      <c r="GK815" s="5"/>
      <c r="GL815" s="5"/>
      <c r="GM815" s="5"/>
      <c r="GN815" s="5"/>
      <c r="GO815" s="5"/>
      <c r="GP815" s="5"/>
      <c r="GQ815" s="5"/>
      <c r="GR815" s="5"/>
      <c r="GS815" s="5"/>
      <c r="GT815" s="5"/>
      <c r="GU815" s="5"/>
      <c r="GX815" s="5">
        <v>0</v>
      </c>
      <c r="GY815" s="5">
        <v>0</v>
      </c>
      <c r="GZ815" s="5" t="inlineStr">
        <is>
          <t xml:space="preserve"/>
        </is>
      </c>
      <c r="HA815" s="5">
        <v>0</v>
      </c>
      <c r="HB815" s="5">
        <v>0</v>
      </c>
      <c r="HC815" s="5" t="s">
        <v>366</v>
      </c>
      <c r="HD815" s="5" t="b">
        <v>1</v>
      </c>
      <c r="HE815" s="5">
        <v>0</v>
      </c>
      <c r="HF815" s="5" t="b">
        <v>0</v>
      </c>
      <c r="HG815" s="5">
        <v>0</v>
      </c>
      <c r="HH815" s="5">
        <v>0</v>
      </c>
      <c r="HI815" s="5">
        <v>0</v>
      </c>
      <c r="HJ815" s="5">
        <v>0</v>
      </c>
      <c r="HK815" s="5" t="b">
        <v>0</v>
      </c>
      <c r="HL815" s="5">
        <v>0</v>
      </c>
      <c r="HM815" s="5">
        <v>10001</v>
      </c>
      <c r="HN815" s="5" t="s">
        <v>367</v>
      </c>
      <c r="HO815" s="5" t="s">
        <v>360</v>
      </c>
      <c r="HP815" s="5">
        <v>0</v>
      </c>
      <c r="HQ815" s="5">
        <v>0</v>
      </c>
      <c r="HR815" s="5">
        <v>0</v>
      </c>
      <c r="HS815" s="5">
        <v>0</v>
      </c>
      <c r="HT815" s="5" t="b">
        <v>0</v>
      </c>
    </row>
    <row r="816">
      <c r="B816" s="1">
        <v>10410001</v>
      </c>
      <c r="C816" s="5" t="inlineStr">
        <is>
          <t xml:space="preserve">赤霄焚野·灼烧</t>
        </is>
      </c>
      <c r="D816" s="5" t="inlineStr">
        <is>
          <t xml:space="preserve">skill_104100_1</t>
        </is>
      </c>
      <c r="E816" s="5" t="inlineStr">
        <is>
          <t xml:space="preserve">无</t>
        </is>
      </c>
      <c r="F816" s="5" t="s">
        <v>391</v>
      </c>
      <c r="G816" s="5" t="b">
        <v>0</v>
      </c>
      <c r="H816" s="5" t="b">
        <v>1</v>
      </c>
      <c r="I816" s="5">
        <v>1</v>
      </c>
      <c r="J816" s="5">
        <v>104100</v>
      </c>
      <c r="K816" s="5" t="s">
        <v>350</v>
      </c>
      <c r="L816" s="5">
        <v>0</v>
      </c>
      <c r="M816" s="5">
        <v>10410002</v>
      </c>
      <c r="N816" s="5" t="s">
        <v>400</v>
      </c>
      <c r="O816" s="5">
        <v>10202010</v>
      </c>
      <c r="P816" s="5">
        <v>0</v>
      </c>
      <c r="Q816" s="5">
        <v>0</v>
      </c>
      <c r="R816" s="5">
        <v>1</v>
      </c>
      <c r="S816" s="5">
        <v>0</v>
      </c>
      <c r="T816" s="5">
        <v>100</v>
      </c>
      <c r="U816" s="5" t="s">
        <v>364</v>
      </c>
      <c r="V816" s="5">
        <v>0</v>
      </c>
      <c r="W816" s="5">
        <v>0</v>
      </c>
      <c r="X816" s="5" t="s">
        <v>401</v>
      </c>
      <c r="Y816" s="5" t="s">
        <v>365</v>
      </c>
      <c r="Z816" s="5" t="s">
        <v>354</v>
      </c>
      <c r="AA816" s="5">
        <v>0</v>
      </c>
      <c r="AB816" s="5">
        <v>0</v>
      </c>
      <c r="AC816" s="5" t="b">
        <v>0</v>
      </c>
      <c r="AD816" s="5" t="s">
        <v>355</v>
      </c>
      <c r="AE816" s="5">
        <v>130</v>
      </c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 t="s">
        <v>381</v>
      </c>
      <c r="AZ816" s="5">
        <v>10000</v>
      </c>
      <c r="BA816" s="5" t="s">
        <v>357</v>
      </c>
      <c r="BB816" s="5" t="s">
        <v>354</v>
      </c>
      <c r="BC816" s="5">
        <v>10000</v>
      </c>
      <c r="BD816" s="5">
        <v>0</v>
      </c>
      <c r="BE816" s="5" t="s">
        <v>358</v>
      </c>
      <c r="BF816" s="5">
        <v>0</v>
      </c>
      <c r="BG816" s="5" t="s">
        <v>382</v>
      </c>
      <c r="BH816" s="5">
        <v>8500</v>
      </c>
      <c r="BI816" s="5">
        <v>3</v>
      </c>
      <c r="BJ816" s="5" t="b">
        <v>1</v>
      </c>
      <c r="BK816" s="5">
        <v>0</v>
      </c>
      <c r="BL816" s="5">
        <v>6000</v>
      </c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5"/>
      <c r="CT816" s="5"/>
      <c r="CU816" s="5"/>
      <c r="CV816" s="5"/>
      <c r="CW816" s="5"/>
      <c r="CZ816" s="5"/>
      <c r="DA816" s="5"/>
      <c r="DB816" s="5"/>
      <c r="DC816" s="5"/>
      <c r="DD816" s="5"/>
      <c r="DE816" s="5"/>
      <c r="DF816" s="5"/>
      <c r="DG816" s="5"/>
      <c r="DH816" s="5"/>
      <c r="DI816" s="5"/>
      <c r="DJ816" s="5"/>
      <c r="DK816" s="5"/>
      <c r="DL816" s="5"/>
      <c r="DM816" s="5"/>
      <c r="DN816" s="5"/>
      <c r="DO816" s="5"/>
      <c r="DP816" s="5"/>
      <c r="DQ816" s="5"/>
      <c r="DR816" s="5"/>
      <c r="DS816" s="5"/>
      <c r="DT816" s="5"/>
      <c r="DU816" s="5"/>
      <c r="DV816" s="5"/>
      <c r="DW816" s="5"/>
      <c r="DX816" s="5"/>
      <c r="DY816" s="5"/>
      <c r="DZ816" s="5"/>
      <c r="EA816" s="5"/>
      <c r="EB816" s="5"/>
      <c r="EC816" s="5"/>
      <c r="ED816" s="5"/>
      <c r="EE816" s="5"/>
      <c r="EF816" s="5"/>
      <c r="EG816" s="5"/>
      <c r="EH816" s="5"/>
      <c r="EI816" s="5"/>
      <c r="EJ816" s="5"/>
      <c r="EK816" s="5"/>
      <c r="EL816" s="5"/>
      <c r="EM816" s="5"/>
      <c r="EN816" s="5"/>
      <c r="EO816" s="5"/>
      <c r="EP816" s="5"/>
      <c r="EQ816" s="5"/>
      <c r="ER816" s="5"/>
      <c r="ES816" s="5"/>
      <c r="ET816" s="5"/>
      <c r="EU816" s="5"/>
      <c r="EV816" s="5"/>
      <c r="EY816" s="5"/>
      <c r="EZ816" s="5"/>
      <c r="FA816" s="5"/>
      <c r="FB816" s="5"/>
      <c r="FC816" s="5"/>
      <c r="FD816" s="5"/>
      <c r="FE816" s="5"/>
      <c r="FF816" s="5"/>
      <c r="FG816" s="5"/>
      <c r="FH816" s="5"/>
      <c r="FI816" s="5"/>
      <c r="FJ816" s="5"/>
      <c r="FK816" s="5"/>
      <c r="FL816" s="5"/>
      <c r="FM816" s="5"/>
      <c r="FN816" s="5"/>
      <c r="FO816" s="5"/>
      <c r="FP816" s="5"/>
      <c r="FQ816" s="5"/>
      <c r="FR816" s="5"/>
      <c r="FS816" s="5"/>
      <c r="FT816" s="5"/>
      <c r="FU816" s="5"/>
      <c r="FV816" s="5"/>
      <c r="FW816" s="5"/>
      <c r="FX816" s="5"/>
      <c r="FY816" s="5"/>
      <c r="FZ816" s="5"/>
      <c r="GA816" s="5"/>
      <c r="GB816" s="5"/>
      <c r="GC816" s="5"/>
      <c r="GD816" s="5"/>
      <c r="GE816" s="5"/>
      <c r="GF816" s="5"/>
      <c r="GG816" s="5"/>
      <c r="GH816" s="5"/>
      <c r="GI816" s="5"/>
      <c r="GJ816" s="5"/>
      <c r="GK816" s="5"/>
      <c r="GL816" s="5"/>
      <c r="GM816" s="5"/>
      <c r="GN816" s="5"/>
      <c r="GO816" s="5"/>
      <c r="GP816" s="5"/>
      <c r="GQ816" s="5"/>
      <c r="GR816" s="5"/>
      <c r="GS816" s="5"/>
      <c r="GT816" s="5"/>
      <c r="GU816" s="5"/>
      <c r="GX816" s="5">
        <v>0</v>
      </c>
      <c r="GY816" s="5">
        <v>0</v>
      </c>
      <c r="GZ816" s="5" t="inlineStr">
        <is>
          <t xml:space="preserve"/>
        </is>
      </c>
      <c r="HA816" s="5">
        <v>0</v>
      </c>
      <c r="HB816" s="5">
        <v>0</v>
      </c>
      <c r="HC816" s="5" t="s">
        <v>366</v>
      </c>
      <c r="HD816" s="5" t="b">
        <v>1</v>
      </c>
      <c r="HE816" s="5">
        <v>0</v>
      </c>
      <c r="HF816" s="5" t="b">
        <v>0</v>
      </c>
      <c r="HG816" s="5">
        <v>0</v>
      </c>
      <c r="HH816" s="5">
        <v>0</v>
      </c>
      <c r="HI816" s="5">
        <v>0</v>
      </c>
      <c r="HJ816" s="5">
        <v>0</v>
      </c>
      <c r="HK816" s="5" t="b">
        <v>0</v>
      </c>
      <c r="HL816" s="5">
        <v>0</v>
      </c>
      <c r="HM816" s="5">
        <v>10001</v>
      </c>
      <c r="HN816" s="5" t="s">
        <v>367</v>
      </c>
      <c r="HO816" s="5" t="s">
        <v>360</v>
      </c>
      <c r="HP816" s="5">
        <v>0</v>
      </c>
      <c r="HQ816" s="5">
        <v>0</v>
      </c>
      <c r="HR816" s="5">
        <v>0</v>
      </c>
      <c r="HS816" s="5">
        <v>0</v>
      </c>
      <c r="HT816" s="5" t="b">
        <v>0</v>
      </c>
    </row>
    <row r="817">
      <c r="B817" s="1">
        <v>10410002</v>
      </c>
      <c r="C817" s="5" t="inlineStr">
        <is>
          <t xml:space="preserve">赤霄焚野·灼烧</t>
        </is>
      </c>
      <c r="D817" s="5" t="inlineStr">
        <is>
          <t xml:space="preserve">skill_104100_2</t>
        </is>
      </c>
      <c r="E817" s="5" t="inlineStr">
        <is>
          <t xml:space="preserve">无</t>
        </is>
      </c>
      <c r="F817" s="5" t="s">
        <v>391</v>
      </c>
      <c r="G817" s="5" t="b">
        <v>0</v>
      </c>
      <c r="H817" s="5" t="b">
        <v>1</v>
      </c>
      <c r="I817" s="5">
        <v>2</v>
      </c>
      <c r="J817" s="5">
        <v>104100</v>
      </c>
      <c r="K817" s="5" t="s">
        <v>350</v>
      </c>
      <c r="L817" s="5">
        <v>10110001</v>
      </c>
      <c r="M817" s="5">
        <v>10410003</v>
      </c>
      <c r="N817" s="5" t="s">
        <v>400</v>
      </c>
      <c r="O817" s="5">
        <v>10202010</v>
      </c>
      <c r="P817" s="5">
        <v>0</v>
      </c>
      <c r="Q817" s="5">
        <v>0</v>
      </c>
      <c r="R817" s="5">
        <v>7</v>
      </c>
      <c r="S817" s="5">
        <v>0</v>
      </c>
      <c r="T817" s="5">
        <v>100</v>
      </c>
      <c r="U817" s="5" t="s">
        <v>364</v>
      </c>
      <c r="V817" s="5">
        <v>0</v>
      </c>
      <c r="W817" s="5">
        <v>0</v>
      </c>
      <c r="X817" s="5" t="s">
        <v>401</v>
      </c>
      <c r="Y817" s="5" t="s">
        <v>365</v>
      </c>
      <c r="Z817" s="5" t="s">
        <v>354</v>
      </c>
      <c r="AA817" s="5">
        <v>0</v>
      </c>
      <c r="AB817" s="5">
        <v>0</v>
      </c>
      <c r="AC817" s="5" t="b">
        <v>0</v>
      </c>
      <c r="AD817" s="5" t="s">
        <v>355</v>
      </c>
      <c r="AE817" s="5">
        <v>130</v>
      </c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 t="s">
        <v>381</v>
      </c>
      <c r="AZ817" s="5">
        <v>10400</v>
      </c>
      <c r="BA817" s="5" t="s">
        <v>357</v>
      </c>
      <c r="BB817" s="5" t="s">
        <v>354</v>
      </c>
      <c r="BC817" s="5">
        <v>10000</v>
      </c>
      <c r="BD817" s="5">
        <v>0</v>
      </c>
      <c r="BE817" s="5" t="s">
        <v>358</v>
      </c>
      <c r="BF817" s="5">
        <v>0</v>
      </c>
      <c r="BG817" s="5" t="s">
        <v>382</v>
      </c>
      <c r="BH817" s="5">
        <v>8500</v>
      </c>
      <c r="BI817" s="5">
        <v>4</v>
      </c>
      <c r="BJ817" s="5" t="b">
        <v>1</v>
      </c>
      <c r="BK817" s="5">
        <v>0</v>
      </c>
      <c r="BL817" s="5">
        <v>6000</v>
      </c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5"/>
      <c r="CT817" s="5"/>
      <c r="CU817" s="5"/>
      <c r="CV817" s="5"/>
      <c r="CW817" s="5"/>
      <c r="CZ817" s="5"/>
      <c r="DA817" s="5"/>
      <c r="DB817" s="5"/>
      <c r="DC817" s="5"/>
      <c r="DD817" s="5"/>
      <c r="DE817" s="5"/>
      <c r="DF817" s="5"/>
      <c r="DG817" s="5"/>
      <c r="DH817" s="5"/>
      <c r="DI817" s="5"/>
      <c r="DJ817" s="5"/>
      <c r="DK817" s="5"/>
      <c r="DL817" s="5"/>
      <c r="DM817" s="5"/>
      <c r="DN817" s="5"/>
      <c r="DO817" s="5"/>
      <c r="DP817" s="5"/>
      <c r="DQ817" s="5"/>
      <c r="DR817" s="5"/>
      <c r="DS817" s="5"/>
      <c r="DT817" s="5"/>
      <c r="DU817" s="5"/>
      <c r="DV817" s="5"/>
      <c r="DW817" s="5"/>
      <c r="DX817" s="5"/>
      <c r="DY817" s="5"/>
      <c r="DZ817" s="5"/>
      <c r="EA817" s="5"/>
      <c r="EB817" s="5"/>
      <c r="EC817" s="5"/>
      <c r="ED817" s="5"/>
      <c r="EE817" s="5"/>
      <c r="EF817" s="5"/>
      <c r="EG817" s="5"/>
      <c r="EH817" s="5"/>
      <c r="EI817" s="5"/>
      <c r="EJ817" s="5"/>
      <c r="EK817" s="5"/>
      <c r="EL817" s="5"/>
      <c r="EM817" s="5"/>
      <c r="EN817" s="5"/>
      <c r="EO817" s="5"/>
      <c r="EP817" s="5"/>
      <c r="EQ817" s="5"/>
      <c r="ER817" s="5"/>
      <c r="ES817" s="5"/>
      <c r="ET817" s="5"/>
      <c r="EU817" s="5"/>
      <c r="EV817" s="5"/>
      <c r="EY817" s="5"/>
      <c r="EZ817" s="5"/>
      <c r="FA817" s="5"/>
      <c r="FB817" s="5"/>
      <c r="FC817" s="5"/>
      <c r="FD817" s="5"/>
      <c r="FE817" s="5"/>
      <c r="FF817" s="5"/>
      <c r="FG817" s="5"/>
      <c r="FH817" s="5"/>
      <c r="FI817" s="5"/>
      <c r="FJ817" s="5"/>
      <c r="FK817" s="5"/>
      <c r="FL817" s="5"/>
      <c r="FM817" s="5"/>
      <c r="FN817" s="5"/>
      <c r="FO817" s="5"/>
      <c r="FP817" s="5"/>
      <c r="FQ817" s="5"/>
      <c r="FR817" s="5"/>
      <c r="FS817" s="5"/>
      <c r="FT817" s="5"/>
      <c r="FU817" s="5"/>
      <c r="FV817" s="5"/>
      <c r="FW817" s="5"/>
      <c r="FX817" s="5"/>
      <c r="FY817" s="5"/>
      <c r="FZ817" s="5"/>
      <c r="GA817" s="5"/>
      <c r="GB817" s="5"/>
      <c r="GC817" s="5"/>
      <c r="GD817" s="5"/>
      <c r="GE817" s="5"/>
      <c r="GF817" s="5"/>
      <c r="GG817" s="5"/>
      <c r="GH817" s="5"/>
      <c r="GI817" s="5"/>
      <c r="GJ817" s="5"/>
      <c r="GK817" s="5"/>
      <c r="GL817" s="5"/>
      <c r="GM817" s="5"/>
      <c r="GN817" s="5"/>
      <c r="GO817" s="5"/>
      <c r="GP817" s="5"/>
      <c r="GQ817" s="5"/>
      <c r="GR817" s="5"/>
      <c r="GS817" s="5"/>
      <c r="GT817" s="5"/>
      <c r="GU817" s="5"/>
      <c r="GX817" s="5">
        <v>0</v>
      </c>
      <c r="GY817" s="5">
        <v>0</v>
      </c>
      <c r="GZ817" s="5" t="inlineStr">
        <is>
          <t xml:space="preserve"/>
        </is>
      </c>
      <c r="HA817" s="5">
        <v>0</v>
      </c>
      <c r="HB817" s="5">
        <v>0</v>
      </c>
      <c r="HC817" s="5" t="s">
        <v>366</v>
      </c>
      <c r="HD817" s="5" t="b">
        <v>1</v>
      </c>
      <c r="HE817" s="5">
        <v>0</v>
      </c>
      <c r="HF817" s="5" t="b">
        <v>0</v>
      </c>
      <c r="HG817" s="5">
        <v>0</v>
      </c>
      <c r="HH817" s="5">
        <v>0</v>
      </c>
      <c r="HI817" s="5">
        <v>0</v>
      </c>
      <c r="HJ817" s="5">
        <v>0</v>
      </c>
      <c r="HK817" s="5" t="b">
        <v>0</v>
      </c>
      <c r="HL817" s="5">
        <v>0</v>
      </c>
      <c r="HM817" s="5">
        <v>10001</v>
      </c>
      <c r="HN817" s="5" t="s">
        <v>367</v>
      </c>
      <c r="HO817" s="5" t="s">
        <v>360</v>
      </c>
      <c r="HP817" s="5">
        <v>0</v>
      </c>
      <c r="HQ817" s="5">
        <v>0</v>
      </c>
      <c r="HR817" s="5">
        <v>0</v>
      </c>
      <c r="HS817" s="5">
        <v>0</v>
      </c>
      <c r="HT817" s="5" t="b">
        <v>0</v>
      </c>
    </row>
    <row r="818">
      <c r="B818" s="1">
        <v>10410003</v>
      </c>
      <c r="C818" s="5" t="inlineStr">
        <is>
          <t xml:space="preserve">赤霄焚野·灼烧</t>
        </is>
      </c>
      <c r="D818" s="5" t="inlineStr">
        <is>
          <t xml:space="preserve">skill_104100_3</t>
        </is>
      </c>
      <c r="E818" s="5" t="inlineStr">
        <is>
          <t xml:space="preserve">无</t>
        </is>
      </c>
      <c r="F818" s="5" t="s">
        <v>391</v>
      </c>
      <c r="G818" s="5" t="b">
        <v>0</v>
      </c>
      <c r="H818" s="5" t="b">
        <v>1</v>
      </c>
      <c r="I818" s="5">
        <v>3</v>
      </c>
      <c r="J818" s="5">
        <v>104100</v>
      </c>
      <c r="K818" s="5" t="s">
        <v>350</v>
      </c>
      <c r="L818" s="5">
        <v>10110002</v>
      </c>
      <c r="M818" s="5">
        <v>10410004</v>
      </c>
      <c r="N818" s="5" t="s">
        <v>400</v>
      </c>
      <c r="O818" s="5">
        <v>10202010</v>
      </c>
      <c r="P818" s="5">
        <v>0</v>
      </c>
      <c r="Q818" s="5">
        <v>0</v>
      </c>
      <c r="R818" s="5">
        <v>11</v>
      </c>
      <c r="S818" s="5">
        <v>0</v>
      </c>
      <c r="T818" s="5">
        <v>100</v>
      </c>
      <c r="U818" s="5" t="s">
        <v>364</v>
      </c>
      <c r="V818" s="5">
        <v>0</v>
      </c>
      <c r="W818" s="5">
        <v>0</v>
      </c>
      <c r="X818" s="5" t="s">
        <v>401</v>
      </c>
      <c r="Y818" s="5" t="s">
        <v>365</v>
      </c>
      <c r="Z818" s="5" t="s">
        <v>354</v>
      </c>
      <c r="AA818" s="5">
        <v>0</v>
      </c>
      <c r="AB818" s="5">
        <v>0</v>
      </c>
      <c r="AC818" s="5" t="b">
        <v>0</v>
      </c>
      <c r="AD818" s="5" t="s">
        <v>355</v>
      </c>
      <c r="AE818" s="5">
        <v>130</v>
      </c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 t="s">
        <v>381</v>
      </c>
      <c r="AZ818" s="5">
        <v>10800</v>
      </c>
      <c r="BA818" s="5" t="s">
        <v>357</v>
      </c>
      <c r="BB818" s="5" t="s">
        <v>354</v>
      </c>
      <c r="BC818" s="5">
        <v>10000</v>
      </c>
      <c r="BD818" s="5">
        <v>0</v>
      </c>
      <c r="BE818" s="5" t="s">
        <v>358</v>
      </c>
      <c r="BF818" s="5">
        <v>0</v>
      </c>
      <c r="BG818" s="5" t="s">
        <v>382</v>
      </c>
      <c r="BH818" s="5">
        <v>8500</v>
      </c>
      <c r="BI818" s="5">
        <v>5</v>
      </c>
      <c r="BJ818" s="5" t="b">
        <v>1</v>
      </c>
      <c r="BK818" s="5">
        <v>0</v>
      </c>
      <c r="BL818" s="5">
        <v>6000</v>
      </c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5"/>
      <c r="CT818" s="5"/>
      <c r="CU818" s="5"/>
      <c r="CV818" s="5"/>
      <c r="CW818" s="5"/>
      <c r="CZ818" s="5"/>
      <c r="DA818" s="5"/>
      <c r="DB818" s="5"/>
      <c r="DC818" s="5"/>
      <c r="DD818" s="5"/>
      <c r="DE818" s="5"/>
      <c r="DF818" s="5"/>
      <c r="DG818" s="5"/>
      <c r="DH818" s="5"/>
      <c r="DI818" s="5"/>
      <c r="DJ818" s="5"/>
      <c r="DK818" s="5"/>
      <c r="DL818" s="5"/>
      <c r="DM818" s="5"/>
      <c r="DN818" s="5"/>
      <c r="DO818" s="5"/>
      <c r="DP818" s="5"/>
      <c r="DQ818" s="5"/>
      <c r="DR818" s="5"/>
      <c r="DS818" s="5"/>
      <c r="DT818" s="5"/>
      <c r="DU818" s="5"/>
      <c r="DV818" s="5"/>
      <c r="DW818" s="5"/>
      <c r="DX818" s="5"/>
      <c r="DY818" s="5"/>
      <c r="DZ818" s="5"/>
      <c r="EA818" s="5"/>
      <c r="EB818" s="5"/>
      <c r="EC818" s="5"/>
      <c r="ED818" s="5"/>
      <c r="EE818" s="5"/>
      <c r="EF818" s="5"/>
      <c r="EG818" s="5"/>
      <c r="EH818" s="5"/>
      <c r="EI818" s="5"/>
      <c r="EJ818" s="5"/>
      <c r="EK818" s="5"/>
      <c r="EL818" s="5"/>
      <c r="EM818" s="5"/>
      <c r="EN818" s="5"/>
      <c r="EO818" s="5"/>
      <c r="EP818" s="5"/>
      <c r="EQ818" s="5"/>
      <c r="ER818" s="5"/>
      <c r="ES818" s="5"/>
      <c r="ET818" s="5"/>
      <c r="EU818" s="5"/>
      <c r="EV818" s="5"/>
      <c r="EY818" s="5"/>
      <c r="EZ818" s="5"/>
      <c r="FA818" s="5"/>
      <c r="FB818" s="5"/>
      <c r="FC818" s="5"/>
      <c r="FD818" s="5"/>
      <c r="FE818" s="5"/>
      <c r="FF818" s="5"/>
      <c r="FG818" s="5"/>
      <c r="FH818" s="5"/>
      <c r="FI818" s="5"/>
      <c r="FJ818" s="5"/>
      <c r="FK818" s="5"/>
      <c r="FL818" s="5"/>
      <c r="FM818" s="5"/>
      <c r="FN818" s="5"/>
      <c r="FO818" s="5"/>
      <c r="FP818" s="5"/>
      <c r="FQ818" s="5"/>
      <c r="FR818" s="5"/>
      <c r="FS818" s="5"/>
      <c r="FT818" s="5"/>
      <c r="FU818" s="5"/>
      <c r="FV818" s="5"/>
      <c r="FW818" s="5"/>
      <c r="FX818" s="5"/>
      <c r="FY818" s="5"/>
      <c r="FZ818" s="5"/>
      <c r="GA818" s="5"/>
      <c r="GB818" s="5"/>
      <c r="GC818" s="5"/>
      <c r="GD818" s="5"/>
      <c r="GE818" s="5"/>
      <c r="GF818" s="5"/>
      <c r="GG818" s="5"/>
      <c r="GH818" s="5"/>
      <c r="GI818" s="5"/>
      <c r="GJ818" s="5"/>
      <c r="GK818" s="5"/>
      <c r="GL818" s="5"/>
      <c r="GM818" s="5"/>
      <c r="GN818" s="5"/>
      <c r="GO818" s="5"/>
      <c r="GP818" s="5"/>
      <c r="GQ818" s="5"/>
      <c r="GR818" s="5"/>
      <c r="GS818" s="5"/>
      <c r="GT818" s="5"/>
      <c r="GU818" s="5"/>
      <c r="GX818" s="5">
        <v>0</v>
      </c>
      <c r="GY818" s="5">
        <v>0</v>
      </c>
      <c r="GZ818" s="5" t="inlineStr">
        <is>
          <t xml:space="preserve"/>
        </is>
      </c>
      <c r="HA818" s="5">
        <v>0</v>
      </c>
      <c r="HB818" s="5">
        <v>0</v>
      </c>
      <c r="HC818" s="5" t="s">
        <v>366</v>
      </c>
      <c r="HD818" s="5" t="b">
        <v>1</v>
      </c>
      <c r="HE818" s="5">
        <v>0</v>
      </c>
      <c r="HF818" s="5" t="b">
        <v>0</v>
      </c>
      <c r="HG818" s="5">
        <v>0</v>
      </c>
      <c r="HH818" s="5">
        <v>0</v>
      </c>
      <c r="HI818" s="5">
        <v>0</v>
      </c>
      <c r="HJ818" s="5">
        <v>0</v>
      </c>
      <c r="HK818" s="5" t="b">
        <v>0</v>
      </c>
      <c r="HL818" s="5">
        <v>0</v>
      </c>
      <c r="HM818" s="5">
        <v>10001</v>
      </c>
      <c r="HN818" s="5" t="s">
        <v>367</v>
      </c>
      <c r="HO818" s="5" t="s">
        <v>360</v>
      </c>
      <c r="HP818" s="5">
        <v>0</v>
      </c>
      <c r="HQ818" s="5">
        <v>0</v>
      </c>
      <c r="HR818" s="5">
        <v>0</v>
      </c>
      <c r="HS818" s="5">
        <v>0</v>
      </c>
      <c r="HT818" s="5" t="b">
        <v>0</v>
      </c>
    </row>
    <row r="819">
      <c r="B819" s="1">
        <v>10410004</v>
      </c>
      <c r="C819" s="5" t="inlineStr">
        <is>
          <t xml:space="preserve">赤霄焚野·灼烧</t>
        </is>
      </c>
      <c r="D819" s="5" t="inlineStr">
        <is>
          <t xml:space="preserve">skill_104100_4</t>
        </is>
      </c>
      <c r="E819" s="5" t="inlineStr">
        <is>
          <t xml:space="preserve">无</t>
        </is>
      </c>
      <c r="F819" s="5" t="s">
        <v>391</v>
      </c>
      <c r="G819" s="5" t="b">
        <v>0</v>
      </c>
      <c r="H819" s="5" t="b">
        <v>1</v>
      </c>
      <c r="I819" s="5">
        <v>4</v>
      </c>
      <c r="J819" s="5">
        <v>104100</v>
      </c>
      <c r="K819" s="5" t="s">
        <v>350</v>
      </c>
      <c r="L819" s="5">
        <v>10110003</v>
      </c>
      <c r="M819" s="5">
        <v>10410005</v>
      </c>
      <c r="N819" s="5" t="s">
        <v>400</v>
      </c>
      <c r="O819" s="5">
        <v>10202010</v>
      </c>
      <c r="P819" s="5">
        <v>0</v>
      </c>
      <c r="Q819" s="5">
        <v>0</v>
      </c>
      <c r="R819" s="5">
        <v>16</v>
      </c>
      <c r="S819" s="5">
        <v>0</v>
      </c>
      <c r="T819" s="5">
        <v>100</v>
      </c>
      <c r="U819" s="5" t="s">
        <v>364</v>
      </c>
      <c r="V819" s="5">
        <v>0</v>
      </c>
      <c r="W819" s="5">
        <v>0</v>
      </c>
      <c r="X819" s="5" t="s">
        <v>401</v>
      </c>
      <c r="Y819" s="5" t="s">
        <v>365</v>
      </c>
      <c r="Z819" s="5" t="s">
        <v>354</v>
      </c>
      <c r="AA819" s="5">
        <v>0</v>
      </c>
      <c r="AB819" s="5">
        <v>0</v>
      </c>
      <c r="AC819" s="5" t="b">
        <v>0</v>
      </c>
      <c r="AD819" s="5" t="s">
        <v>355</v>
      </c>
      <c r="AE819" s="5">
        <v>130</v>
      </c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 t="s">
        <v>381</v>
      </c>
      <c r="AZ819" s="5">
        <v>11200</v>
      </c>
      <c r="BA819" s="5" t="s">
        <v>357</v>
      </c>
      <c r="BB819" s="5" t="s">
        <v>354</v>
      </c>
      <c r="BC819" s="5">
        <v>10000</v>
      </c>
      <c r="BD819" s="5">
        <v>0</v>
      </c>
      <c r="BE819" s="5" t="s">
        <v>358</v>
      </c>
      <c r="BF819" s="5">
        <v>0</v>
      </c>
      <c r="BG819" s="5" t="s">
        <v>382</v>
      </c>
      <c r="BH819" s="5">
        <v>8500</v>
      </c>
      <c r="BI819" s="5">
        <v>6</v>
      </c>
      <c r="BJ819" s="5" t="b">
        <v>1</v>
      </c>
      <c r="BK819" s="5">
        <v>0</v>
      </c>
      <c r="BL819" s="5">
        <v>6000</v>
      </c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5"/>
      <c r="CT819" s="5"/>
      <c r="CU819" s="5"/>
      <c r="CV819" s="5"/>
      <c r="CW819" s="5"/>
      <c r="CZ819" s="5"/>
      <c r="DA819" s="5"/>
      <c r="DB819" s="5"/>
      <c r="DC819" s="5"/>
      <c r="DD819" s="5"/>
      <c r="DE819" s="5"/>
      <c r="DF819" s="5"/>
      <c r="DG819" s="5"/>
      <c r="DH819" s="5"/>
      <c r="DI819" s="5"/>
      <c r="DJ819" s="5"/>
      <c r="DK819" s="5"/>
      <c r="DL819" s="5"/>
      <c r="DM819" s="5"/>
      <c r="DN819" s="5"/>
      <c r="DO819" s="5"/>
      <c r="DP819" s="5"/>
      <c r="DQ819" s="5"/>
      <c r="DR819" s="5"/>
      <c r="DS819" s="5"/>
      <c r="DT819" s="5"/>
      <c r="DU819" s="5"/>
      <c r="DV819" s="5"/>
      <c r="DW819" s="5"/>
      <c r="DX819" s="5"/>
      <c r="DY819" s="5"/>
      <c r="DZ819" s="5"/>
      <c r="EA819" s="5"/>
      <c r="EB819" s="5"/>
      <c r="EC819" s="5"/>
      <c r="ED819" s="5"/>
      <c r="EE819" s="5"/>
      <c r="EF819" s="5"/>
      <c r="EG819" s="5"/>
      <c r="EH819" s="5"/>
      <c r="EI819" s="5"/>
      <c r="EJ819" s="5"/>
      <c r="EK819" s="5"/>
      <c r="EL819" s="5"/>
      <c r="EM819" s="5"/>
      <c r="EN819" s="5"/>
      <c r="EO819" s="5"/>
      <c r="EP819" s="5"/>
      <c r="EQ819" s="5"/>
      <c r="ER819" s="5"/>
      <c r="ES819" s="5"/>
      <c r="ET819" s="5"/>
      <c r="EU819" s="5"/>
      <c r="EV819" s="5"/>
      <c r="EY819" s="5"/>
      <c r="EZ819" s="5"/>
      <c r="FA819" s="5"/>
      <c r="FB819" s="5"/>
      <c r="FC819" s="5"/>
      <c r="FD819" s="5"/>
      <c r="FE819" s="5"/>
      <c r="FF819" s="5"/>
      <c r="FG819" s="5"/>
      <c r="FH819" s="5"/>
      <c r="FI819" s="5"/>
      <c r="FJ819" s="5"/>
      <c r="FK819" s="5"/>
      <c r="FL819" s="5"/>
      <c r="FM819" s="5"/>
      <c r="FN819" s="5"/>
      <c r="FO819" s="5"/>
      <c r="FP819" s="5"/>
      <c r="FQ819" s="5"/>
      <c r="FR819" s="5"/>
      <c r="FS819" s="5"/>
      <c r="FT819" s="5"/>
      <c r="FU819" s="5"/>
      <c r="FV819" s="5"/>
      <c r="FW819" s="5"/>
      <c r="FX819" s="5"/>
      <c r="FY819" s="5"/>
      <c r="FZ819" s="5"/>
      <c r="GA819" s="5"/>
      <c r="GB819" s="5"/>
      <c r="GC819" s="5"/>
      <c r="GD819" s="5"/>
      <c r="GE819" s="5"/>
      <c r="GF819" s="5"/>
      <c r="GG819" s="5"/>
      <c r="GH819" s="5"/>
      <c r="GI819" s="5"/>
      <c r="GJ819" s="5"/>
      <c r="GK819" s="5"/>
      <c r="GL819" s="5"/>
      <c r="GM819" s="5"/>
      <c r="GN819" s="5"/>
      <c r="GO819" s="5"/>
      <c r="GP819" s="5"/>
      <c r="GQ819" s="5"/>
      <c r="GR819" s="5"/>
      <c r="GS819" s="5"/>
      <c r="GT819" s="5"/>
      <c r="GU819" s="5"/>
      <c r="GX819" s="5">
        <v>0</v>
      </c>
      <c r="GY819" s="5">
        <v>0</v>
      </c>
      <c r="GZ819" s="5" t="inlineStr">
        <is>
          <t xml:space="preserve"/>
        </is>
      </c>
      <c r="HA819" s="5">
        <v>0</v>
      </c>
      <c r="HB819" s="5">
        <v>0</v>
      </c>
      <c r="HC819" s="5" t="s">
        <v>366</v>
      </c>
      <c r="HD819" s="5" t="b">
        <v>1</v>
      </c>
      <c r="HE819" s="5">
        <v>0</v>
      </c>
      <c r="HF819" s="5" t="b">
        <v>0</v>
      </c>
      <c r="HG819" s="5">
        <v>0</v>
      </c>
      <c r="HH819" s="5">
        <v>0</v>
      </c>
      <c r="HI819" s="5">
        <v>0</v>
      </c>
      <c r="HJ819" s="5">
        <v>0</v>
      </c>
      <c r="HK819" s="5" t="b">
        <v>0</v>
      </c>
      <c r="HL819" s="5">
        <v>0</v>
      </c>
      <c r="HM819" s="5">
        <v>10001</v>
      </c>
      <c r="HN819" s="5" t="s">
        <v>367</v>
      </c>
      <c r="HO819" s="5" t="s">
        <v>360</v>
      </c>
      <c r="HP819" s="5">
        <v>0</v>
      </c>
      <c r="HQ819" s="5">
        <v>0</v>
      </c>
      <c r="HR819" s="5">
        <v>0</v>
      </c>
      <c r="HS819" s="5">
        <v>0</v>
      </c>
      <c r="HT819" s="5" t="b">
        <v>0</v>
      </c>
    </row>
    <row r="820">
      <c r="B820" s="1">
        <v>10410005</v>
      </c>
      <c r="C820" s="5" t="inlineStr">
        <is>
          <t xml:space="preserve">赤霄焚野·灼烧</t>
        </is>
      </c>
      <c r="D820" s="5" t="inlineStr">
        <is>
          <t xml:space="preserve">skill_104100_5</t>
        </is>
      </c>
      <c r="E820" s="5" t="inlineStr">
        <is>
          <t xml:space="preserve">无</t>
        </is>
      </c>
      <c r="F820" s="5" t="s">
        <v>391</v>
      </c>
      <c r="G820" s="5" t="b">
        <v>0</v>
      </c>
      <c r="H820" s="5" t="b">
        <v>1</v>
      </c>
      <c r="I820" s="5">
        <v>5</v>
      </c>
      <c r="J820" s="5">
        <v>104100</v>
      </c>
      <c r="K820" s="5" t="s">
        <v>350</v>
      </c>
      <c r="L820" s="5">
        <v>10110004</v>
      </c>
      <c r="M820" s="5">
        <v>10410006</v>
      </c>
      <c r="N820" s="5" t="s">
        <v>400</v>
      </c>
      <c r="O820" s="5">
        <v>10202010</v>
      </c>
      <c r="P820" s="5">
        <v>0</v>
      </c>
      <c r="Q820" s="5">
        <v>0</v>
      </c>
      <c r="R820" s="5">
        <v>25</v>
      </c>
      <c r="S820" s="5">
        <v>0</v>
      </c>
      <c r="T820" s="5">
        <v>100</v>
      </c>
      <c r="U820" s="5" t="s">
        <v>364</v>
      </c>
      <c r="V820" s="5">
        <v>0</v>
      </c>
      <c r="W820" s="5">
        <v>0</v>
      </c>
      <c r="X820" s="5" t="s">
        <v>401</v>
      </c>
      <c r="Y820" s="5" t="s">
        <v>365</v>
      </c>
      <c r="Z820" s="5" t="s">
        <v>354</v>
      </c>
      <c r="AA820" s="5">
        <v>0</v>
      </c>
      <c r="AB820" s="5">
        <v>0</v>
      </c>
      <c r="AC820" s="5" t="b">
        <v>0</v>
      </c>
      <c r="AD820" s="5" t="s">
        <v>355</v>
      </c>
      <c r="AE820" s="5">
        <v>130</v>
      </c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 t="s">
        <v>381</v>
      </c>
      <c r="AZ820" s="5">
        <v>11300</v>
      </c>
      <c r="BA820" s="5" t="s">
        <v>357</v>
      </c>
      <c r="BB820" s="5" t="s">
        <v>354</v>
      </c>
      <c r="BC820" s="5">
        <v>10000</v>
      </c>
      <c r="BD820" s="5">
        <v>0</v>
      </c>
      <c r="BE820" s="5" t="s">
        <v>358</v>
      </c>
      <c r="BF820" s="5">
        <v>0</v>
      </c>
      <c r="BG820" s="5" t="s">
        <v>382</v>
      </c>
      <c r="BH820" s="5">
        <v>8500</v>
      </c>
      <c r="BI820" s="5">
        <v>6</v>
      </c>
      <c r="BJ820" s="5" t="b">
        <v>1</v>
      </c>
      <c r="BK820" s="5">
        <v>0</v>
      </c>
      <c r="BL820" s="5">
        <v>6000</v>
      </c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5"/>
      <c r="CT820" s="5"/>
      <c r="CU820" s="5"/>
      <c r="CV820" s="5"/>
      <c r="CW820" s="5"/>
      <c r="CZ820" s="5"/>
      <c r="DA820" s="5"/>
      <c r="DB820" s="5"/>
      <c r="DC820" s="5"/>
      <c r="DD820" s="5"/>
      <c r="DE820" s="5"/>
      <c r="DF820" s="5"/>
      <c r="DG820" s="5"/>
      <c r="DH820" s="5"/>
      <c r="DI820" s="5"/>
      <c r="DJ820" s="5"/>
      <c r="DK820" s="5"/>
      <c r="DL820" s="5"/>
      <c r="DM820" s="5"/>
      <c r="DN820" s="5"/>
      <c r="DO820" s="5"/>
      <c r="DP820" s="5"/>
      <c r="DQ820" s="5"/>
      <c r="DR820" s="5"/>
      <c r="DS820" s="5"/>
      <c r="DT820" s="5"/>
      <c r="DU820" s="5"/>
      <c r="DV820" s="5"/>
      <c r="DW820" s="5"/>
      <c r="DX820" s="5"/>
      <c r="DY820" s="5"/>
      <c r="DZ820" s="5"/>
      <c r="EA820" s="5"/>
      <c r="EB820" s="5"/>
      <c r="EC820" s="5"/>
      <c r="ED820" s="5"/>
      <c r="EE820" s="5"/>
      <c r="EF820" s="5"/>
      <c r="EG820" s="5"/>
      <c r="EH820" s="5"/>
      <c r="EI820" s="5"/>
      <c r="EJ820" s="5"/>
      <c r="EK820" s="5"/>
      <c r="EL820" s="5"/>
      <c r="EM820" s="5"/>
      <c r="EN820" s="5"/>
      <c r="EO820" s="5"/>
      <c r="EP820" s="5"/>
      <c r="EQ820" s="5"/>
      <c r="ER820" s="5"/>
      <c r="ES820" s="5"/>
      <c r="ET820" s="5"/>
      <c r="EU820" s="5"/>
      <c r="EV820" s="5"/>
      <c r="EY820" s="5"/>
      <c r="EZ820" s="5"/>
      <c r="FA820" s="5"/>
      <c r="FB820" s="5"/>
      <c r="FC820" s="5"/>
      <c r="FD820" s="5"/>
      <c r="FE820" s="5"/>
      <c r="FF820" s="5"/>
      <c r="FG820" s="5"/>
      <c r="FH820" s="5"/>
      <c r="FI820" s="5"/>
      <c r="FJ820" s="5"/>
      <c r="FK820" s="5"/>
      <c r="FL820" s="5"/>
      <c r="FM820" s="5"/>
      <c r="FN820" s="5"/>
      <c r="FO820" s="5"/>
      <c r="FP820" s="5"/>
      <c r="FQ820" s="5"/>
      <c r="FR820" s="5"/>
      <c r="FS820" s="5"/>
      <c r="FT820" s="5"/>
      <c r="FU820" s="5"/>
      <c r="FV820" s="5"/>
      <c r="FW820" s="5"/>
      <c r="FX820" s="5"/>
      <c r="FY820" s="5"/>
      <c r="FZ820" s="5"/>
      <c r="GA820" s="5"/>
      <c r="GB820" s="5"/>
      <c r="GC820" s="5"/>
      <c r="GD820" s="5"/>
      <c r="GE820" s="5"/>
      <c r="GF820" s="5"/>
      <c r="GG820" s="5"/>
      <c r="GH820" s="5"/>
      <c r="GI820" s="5"/>
      <c r="GJ820" s="5"/>
      <c r="GK820" s="5"/>
      <c r="GL820" s="5"/>
      <c r="GM820" s="5"/>
      <c r="GN820" s="5"/>
      <c r="GO820" s="5"/>
      <c r="GP820" s="5"/>
      <c r="GQ820" s="5"/>
      <c r="GR820" s="5"/>
      <c r="GS820" s="5"/>
      <c r="GT820" s="5"/>
      <c r="GU820" s="5"/>
      <c r="GX820" s="5">
        <v>0</v>
      </c>
      <c r="GY820" s="5">
        <v>0</v>
      </c>
      <c r="GZ820" s="5" t="inlineStr">
        <is>
          <t xml:space="preserve"/>
        </is>
      </c>
      <c r="HA820" s="5">
        <v>0</v>
      </c>
      <c r="HB820" s="5">
        <v>0</v>
      </c>
      <c r="HC820" s="5" t="s">
        <v>366</v>
      </c>
      <c r="HD820" s="5" t="b">
        <v>1</v>
      </c>
      <c r="HE820" s="5">
        <v>0</v>
      </c>
      <c r="HF820" s="5" t="b">
        <v>0</v>
      </c>
      <c r="HG820" s="5">
        <v>0</v>
      </c>
      <c r="HH820" s="5">
        <v>0</v>
      </c>
      <c r="HI820" s="5">
        <v>0</v>
      </c>
      <c r="HJ820" s="5">
        <v>0</v>
      </c>
      <c r="HK820" s="5" t="b">
        <v>0</v>
      </c>
      <c r="HL820" s="5">
        <v>0</v>
      </c>
      <c r="HM820" s="5">
        <v>10001</v>
      </c>
      <c r="HN820" s="5" t="s">
        <v>367</v>
      </c>
      <c r="HO820" s="5" t="s">
        <v>360</v>
      </c>
      <c r="HP820" s="5">
        <v>0</v>
      </c>
      <c r="HQ820" s="5">
        <v>0</v>
      </c>
      <c r="HR820" s="5">
        <v>0</v>
      </c>
      <c r="HS820" s="5">
        <v>0</v>
      </c>
      <c r="HT820" s="5" t="b">
        <v>0</v>
      </c>
    </row>
    <row r="821">
      <c r="B821" s="1">
        <v>10410006</v>
      </c>
      <c r="C821" s="5" t="inlineStr">
        <is>
          <t xml:space="preserve">赤霄焚野·灼烧</t>
        </is>
      </c>
      <c r="D821" s="5" t="inlineStr">
        <is>
          <t xml:space="preserve">skill_104100_6</t>
        </is>
      </c>
      <c r="E821" s="5" t="inlineStr">
        <is>
          <t xml:space="preserve">无</t>
        </is>
      </c>
      <c r="F821" s="5" t="s">
        <v>391</v>
      </c>
      <c r="G821" s="5" t="b">
        <v>0</v>
      </c>
      <c r="H821" s="5" t="b">
        <v>1</v>
      </c>
      <c r="I821" s="5">
        <v>6</v>
      </c>
      <c r="J821" s="5">
        <v>104100</v>
      </c>
      <c r="K821" s="5" t="s">
        <v>350</v>
      </c>
      <c r="L821" s="5">
        <v>10110005</v>
      </c>
      <c r="M821" s="5">
        <v>10410007</v>
      </c>
      <c r="N821" s="5" t="s">
        <v>400</v>
      </c>
      <c r="O821" s="5">
        <v>10202010</v>
      </c>
      <c r="P821" s="5">
        <v>0</v>
      </c>
      <c r="Q821" s="5">
        <v>0</v>
      </c>
      <c r="R821" s="5">
        <v>30</v>
      </c>
      <c r="S821" s="5">
        <v>0</v>
      </c>
      <c r="T821" s="5">
        <v>100</v>
      </c>
      <c r="U821" s="5" t="s">
        <v>364</v>
      </c>
      <c r="V821" s="5">
        <v>0</v>
      </c>
      <c r="W821" s="5">
        <v>0</v>
      </c>
      <c r="X821" s="5" t="s">
        <v>401</v>
      </c>
      <c r="Y821" s="5" t="s">
        <v>365</v>
      </c>
      <c r="Z821" s="5" t="s">
        <v>354</v>
      </c>
      <c r="AA821" s="5">
        <v>0</v>
      </c>
      <c r="AB821" s="5">
        <v>0</v>
      </c>
      <c r="AC821" s="5" t="b">
        <v>0</v>
      </c>
      <c r="AD821" s="5" t="s">
        <v>355</v>
      </c>
      <c r="AE821" s="5">
        <v>130</v>
      </c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 t="s">
        <v>381</v>
      </c>
      <c r="AZ821" s="5">
        <v>11600</v>
      </c>
      <c r="BA821" s="5" t="s">
        <v>357</v>
      </c>
      <c r="BB821" s="5" t="s">
        <v>354</v>
      </c>
      <c r="BC821" s="5">
        <v>10000</v>
      </c>
      <c r="BD821" s="5">
        <v>0</v>
      </c>
      <c r="BE821" s="5" t="s">
        <v>358</v>
      </c>
      <c r="BF821" s="5">
        <v>0</v>
      </c>
      <c r="BG821" s="5" t="s">
        <v>382</v>
      </c>
      <c r="BH821" s="5">
        <v>8500</v>
      </c>
      <c r="BI821" s="5">
        <v>7</v>
      </c>
      <c r="BJ821" s="5" t="b">
        <v>1</v>
      </c>
      <c r="BK821" s="5">
        <v>0</v>
      </c>
      <c r="BL821" s="5">
        <v>6000</v>
      </c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5"/>
      <c r="CT821" s="5"/>
      <c r="CU821" s="5"/>
      <c r="CV821" s="5"/>
      <c r="CW821" s="5"/>
      <c r="CZ821" s="5"/>
      <c r="DA821" s="5"/>
      <c r="DB821" s="5"/>
      <c r="DC821" s="5"/>
      <c r="DD821" s="5"/>
      <c r="DE821" s="5"/>
      <c r="DF821" s="5"/>
      <c r="DG821" s="5"/>
      <c r="DH821" s="5"/>
      <c r="DI821" s="5"/>
      <c r="DJ821" s="5"/>
      <c r="DK821" s="5"/>
      <c r="DL821" s="5"/>
      <c r="DM821" s="5"/>
      <c r="DN821" s="5"/>
      <c r="DO821" s="5"/>
      <c r="DP821" s="5"/>
      <c r="DQ821" s="5"/>
      <c r="DR821" s="5"/>
      <c r="DS821" s="5"/>
      <c r="DT821" s="5"/>
      <c r="DU821" s="5"/>
      <c r="DV821" s="5"/>
      <c r="DW821" s="5"/>
      <c r="DX821" s="5"/>
      <c r="DY821" s="5"/>
      <c r="DZ821" s="5"/>
      <c r="EA821" s="5"/>
      <c r="EB821" s="5"/>
      <c r="EC821" s="5"/>
      <c r="ED821" s="5"/>
      <c r="EE821" s="5"/>
      <c r="EF821" s="5"/>
      <c r="EG821" s="5"/>
      <c r="EH821" s="5"/>
      <c r="EI821" s="5"/>
      <c r="EJ821" s="5"/>
      <c r="EK821" s="5"/>
      <c r="EL821" s="5"/>
      <c r="EM821" s="5"/>
      <c r="EN821" s="5"/>
      <c r="EO821" s="5"/>
      <c r="EP821" s="5"/>
      <c r="EQ821" s="5"/>
      <c r="ER821" s="5"/>
      <c r="ES821" s="5"/>
      <c r="ET821" s="5"/>
      <c r="EU821" s="5"/>
      <c r="EV821" s="5"/>
      <c r="EY821" s="5"/>
      <c r="EZ821" s="5"/>
      <c r="FA821" s="5"/>
      <c r="FB821" s="5"/>
      <c r="FC821" s="5"/>
      <c r="FD821" s="5"/>
      <c r="FE821" s="5"/>
      <c r="FF821" s="5"/>
      <c r="FG821" s="5"/>
      <c r="FH821" s="5"/>
      <c r="FI821" s="5"/>
      <c r="FJ821" s="5"/>
      <c r="FK821" s="5"/>
      <c r="FL821" s="5"/>
      <c r="FM821" s="5"/>
      <c r="FN821" s="5"/>
      <c r="FO821" s="5"/>
      <c r="FP821" s="5"/>
      <c r="FQ821" s="5"/>
      <c r="FR821" s="5"/>
      <c r="FS821" s="5"/>
      <c r="FT821" s="5"/>
      <c r="FU821" s="5"/>
      <c r="FV821" s="5"/>
      <c r="FW821" s="5"/>
      <c r="FX821" s="5"/>
      <c r="FY821" s="5"/>
      <c r="FZ821" s="5"/>
      <c r="GA821" s="5"/>
      <c r="GB821" s="5"/>
      <c r="GC821" s="5"/>
      <c r="GD821" s="5"/>
      <c r="GE821" s="5"/>
      <c r="GF821" s="5"/>
      <c r="GG821" s="5"/>
      <c r="GH821" s="5"/>
      <c r="GI821" s="5"/>
      <c r="GJ821" s="5"/>
      <c r="GK821" s="5"/>
      <c r="GL821" s="5"/>
      <c r="GM821" s="5"/>
      <c r="GN821" s="5"/>
      <c r="GO821" s="5"/>
      <c r="GP821" s="5"/>
      <c r="GQ821" s="5"/>
      <c r="GR821" s="5"/>
      <c r="GS821" s="5"/>
      <c r="GT821" s="5"/>
      <c r="GU821" s="5"/>
      <c r="GX821" s="5">
        <v>0</v>
      </c>
      <c r="GY821" s="5">
        <v>0</v>
      </c>
      <c r="GZ821" s="5" t="inlineStr">
        <is>
          <t xml:space="preserve"/>
        </is>
      </c>
      <c r="HA821" s="5">
        <v>0</v>
      </c>
      <c r="HB821" s="5">
        <v>0</v>
      </c>
      <c r="HC821" s="5" t="s">
        <v>366</v>
      </c>
      <c r="HD821" s="5" t="b">
        <v>1</v>
      </c>
      <c r="HE821" s="5">
        <v>0</v>
      </c>
      <c r="HF821" s="5" t="b">
        <v>0</v>
      </c>
      <c r="HG821" s="5">
        <v>0</v>
      </c>
      <c r="HH821" s="5">
        <v>0</v>
      </c>
      <c r="HI821" s="5">
        <v>0</v>
      </c>
      <c r="HJ821" s="5">
        <v>0</v>
      </c>
      <c r="HK821" s="5" t="b">
        <v>0</v>
      </c>
      <c r="HL821" s="5">
        <v>0</v>
      </c>
      <c r="HM821" s="5">
        <v>10001</v>
      </c>
      <c r="HN821" s="5" t="s">
        <v>367</v>
      </c>
      <c r="HO821" s="5" t="s">
        <v>360</v>
      </c>
      <c r="HP821" s="5">
        <v>0</v>
      </c>
      <c r="HQ821" s="5">
        <v>0</v>
      </c>
      <c r="HR821" s="5">
        <v>0</v>
      </c>
      <c r="HS821" s="5">
        <v>0</v>
      </c>
      <c r="HT821" s="5" t="b">
        <v>0</v>
      </c>
    </row>
    <row r="822">
      <c r="B822" s="1">
        <v>10410007</v>
      </c>
      <c r="C822" s="5" t="inlineStr">
        <is>
          <t xml:space="preserve">赤霄焚野·灼烧</t>
        </is>
      </c>
      <c r="D822" s="5" t="inlineStr">
        <is>
          <t xml:space="preserve">skill_104100_7</t>
        </is>
      </c>
      <c r="E822" s="5" t="inlineStr">
        <is>
          <t xml:space="preserve">无</t>
        </is>
      </c>
      <c r="F822" s="5" t="s">
        <v>391</v>
      </c>
      <c r="G822" s="5" t="b">
        <v>0</v>
      </c>
      <c r="H822" s="5" t="b">
        <v>1</v>
      </c>
      <c r="I822" s="5">
        <v>7</v>
      </c>
      <c r="J822" s="5">
        <v>104100</v>
      </c>
      <c r="K822" s="5" t="s">
        <v>350</v>
      </c>
      <c r="L822" s="5">
        <v>10110006</v>
      </c>
      <c r="M822" s="5">
        <v>10410008</v>
      </c>
      <c r="N822" s="5" t="s">
        <v>400</v>
      </c>
      <c r="O822" s="5">
        <v>10202010</v>
      </c>
      <c r="P822" s="5">
        <v>0</v>
      </c>
      <c r="Q822" s="5">
        <v>0</v>
      </c>
      <c r="R822" s="5">
        <v>35</v>
      </c>
      <c r="S822" s="5">
        <v>0</v>
      </c>
      <c r="T822" s="5">
        <v>100</v>
      </c>
      <c r="U822" s="5" t="s">
        <v>364</v>
      </c>
      <c r="V822" s="5">
        <v>0</v>
      </c>
      <c r="W822" s="5">
        <v>0</v>
      </c>
      <c r="X822" s="5" t="s">
        <v>401</v>
      </c>
      <c r="Y822" s="5" t="s">
        <v>365</v>
      </c>
      <c r="Z822" s="5" t="s">
        <v>354</v>
      </c>
      <c r="AA822" s="5">
        <v>0</v>
      </c>
      <c r="AB822" s="5">
        <v>0</v>
      </c>
      <c r="AC822" s="5" t="b">
        <v>0</v>
      </c>
      <c r="AD822" s="5" t="s">
        <v>355</v>
      </c>
      <c r="AE822" s="5">
        <v>130</v>
      </c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 t="s">
        <v>381</v>
      </c>
      <c r="AZ822" s="5">
        <v>11700</v>
      </c>
      <c r="BA822" s="5" t="s">
        <v>357</v>
      </c>
      <c r="BB822" s="5" t="s">
        <v>354</v>
      </c>
      <c r="BC822" s="5">
        <v>10000</v>
      </c>
      <c r="BD822" s="5">
        <v>0</v>
      </c>
      <c r="BE822" s="5" t="s">
        <v>358</v>
      </c>
      <c r="BF822" s="5">
        <v>0</v>
      </c>
      <c r="BG822" s="5" t="s">
        <v>382</v>
      </c>
      <c r="BH822" s="5">
        <v>8500</v>
      </c>
      <c r="BI822" s="5">
        <v>9</v>
      </c>
      <c r="BJ822" s="5" t="b">
        <v>1</v>
      </c>
      <c r="BK822" s="5">
        <v>0</v>
      </c>
      <c r="BL822" s="5">
        <v>6000</v>
      </c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5"/>
      <c r="CT822" s="5"/>
      <c r="CU822" s="5"/>
      <c r="CV822" s="5"/>
      <c r="CW822" s="5"/>
      <c r="CZ822" s="5"/>
      <c r="DA822" s="5"/>
      <c r="DB822" s="5"/>
      <c r="DC822" s="5"/>
      <c r="DD822" s="5"/>
      <c r="DE822" s="5"/>
      <c r="DF822" s="5"/>
      <c r="DG822" s="5"/>
      <c r="DH822" s="5"/>
      <c r="DI822" s="5"/>
      <c r="DJ822" s="5"/>
      <c r="DK822" s="5"/>
      <c r="DL822" s="5"/>
      <c r="DM822" s="5"/>
      <c r="DN822" s="5"/>
      <c r="DO822" s="5"/>
      <c r="DP822" s="5"/>
      <c r="DQ822" s="5"/>
      <c r="DR822" s="5"/>
      <c r="DS822" s="5"/>
      <c r="DT822" s="5"/>
      <c r="DU822" s="5"/>
      <c r="DV822" s="5"/>
      <c r="DW822" s="5"/>
      <c r="DX822" s="5"/>
      <c r="DY822" s="5"/>
      <c r="DZ822" s="5"/>
      <c r="EA822" s="5"/>
      <c r="EB822" s="5"/>
      <c r="EC822" s="5"/>
      <c r="ED822" s="5"/>
      <c r="EE822" s="5"/>
      <c r="EF822" s="5"/>
      <c r="EG822" s="5"/>
      <c r="EH822" s="5"/>
      <c r="EI822" s="5"/>
      <c r="EJ822" s="5"/>
      <c r="EK822" s="5"/>
      <c r="EL822" s="5"/>
      <c r="EM822" s="5"/>
      <c r="EN822" s="5"/>
      <c r="EO822" s="5"/>
      <c r="EP822" s="5"/>
      <c r="EQ822" s="5"/>
      <c r="ER822" s="5"/>
      <c r="ES822" s="5"/>
      <c r="ET822" s="5"/>
      <c r="EU822" s="5"/>
      <c r="EV822" s="5"/>
      <c r="EY822" s="5"/>
      <c r="EZ822" s="5"/>
      <c r="FA822" s="5"/>
      <c r="FB822" s="5"/>
      <c r="FC822" s="5"/>
      <c r="FD822" s="5"/>
      <c r="FE822" s="5"/>
      <c r="FF822" s="5"/>
      <c r="FG822" s="5"/>
      <c r="FH822" s="5"/>
      <c r="FI822" s="5"/>
      <c r="FJ822" s="5"/>
      <c r="FK822" s="5"/>
      <c r="FL822" s="5"/>
      <c r="FM822" s="5"/>
      <c r="FN822" s="5"/>
      <c r="FO822" s="5"/>
      <c r="FP822" s="5"/>
      <c r="FQ822" s="5"/>
      <c r="FR822" s="5"/>
      <c r="FS822" s="5"/>
      <c r="FT822" s="5"/>
      <c r="FU822" s="5"/>
      <c r="FV822" s="5"/>
      <c r="FW822" s="5"/>
      <c r="FX822" s="5"/>
      <c r="FY822" s="5"/>
      <c r="FZ822" s="5"/>
      <c r="GA822" s="5"/>
      <c r="GB822" s="5"/>
      <c r="GC822" s="5"/>
      <c r="GD822" s="5"/>
      <c r="GE822" s="5"/>
      <c r="GF822" s="5"/>
      <c r="GG822" s="5"/>
      <c r="GH822" s="5"/>
      <c r="GI822" s="5"/>
      <c r="GJ822" s="5"/>
      <c r="GK822" s="5"/>
      <c r="GL822" s="5"/>
      <c r="GM822" s="5"/>
      <c r="GN822" s="5"/>
      <c r="GO822" s="5"/>
      <c r="GP822" s="5"/>
      <c r="GQ822" s="5"/>
      <c r="GR822" s="5"/>
      <c r="GS822" s="5"/>
      <c r="GT822" s="5"/>
      <c r="GU822" s="5"/>
      <c r="GX822" s="5">
        <v>0</v>
      </c>
      <c r="GY822" s="5">
        <v>0</v>
      </c>
      <c r="GZ822" s="5" t="inlineStr">
        <is>
          <t xml:space="preserve"/>
        </is>
      </c>
      <c r="HA822" s="5">
        <v>0</v>
      </c>
      <c r="HB822" s="5">
        <v>0</v>
      </c>
      <c r="HC822" s="5" t="s">
        <v>366</v>
      </c>
      <c r="HD822" s="5" t="b">
        <v>1</v>
      </c>
      <c r="HE822" s="5">
        <v>0</v>
      </c>
      <c r="HF822" s="5" t="b">
        <v>0</v>
      </c>
      <c r="HG822" s="5">
        <v>0</v>
      </c>
      <c r="HH822" s="5">
        <v>0</v>
      </c>
      <c r="HI822" s="5">
        <v>0</v>
      </c>
      <c r="HJ822" s="5">
        <v>0</v>
      </c>
      <c r="HK822" s="5" t="b">
        <v>0</v>
      </c>
      <c r="HL822" s="5">
        <v>0</v>
      </c>
      <c r="HM822" s="5">
        <v>10001</v>
      </c>
      <c r="HN822" s="5" t="s">
        <v>367</v>
      </c>
      <c r="HO822" s="5" t="s">
        <v>360</v>
      </c>
      <c r="HP822" s="5">
        <v>0</v>
      </c>
      <c r="HQ822" s="5">
        <v>0</v>
      </c>
      <c r="HR822" s="5">
        <v>0</v>
      </c>
      <c r="HS822" s="5">
        <v>0</v>
      </c>
      <c r="HT822" s="5" t="b">
        <v>0</v>
      </c>
    </row>
    <row r="823">
      <c r="B823" s="1">
        <v>10410008</v>
      </c>
      <c r="C823" s="5" t="inlineStr">
        <is>
          <t xml:space="preserve">赤霄焚野·灼烧</t>
        </is>
      </c>
      <c r="D823" s="5" t="inlineStr">
        <is>
          <t xml:space="preserve">skill_104100_8</t>
        </is>
      </c>
      <c r="E823" s="5" t="inlineStr">
        <is>
          <t xml:space="preserve">无</t>
        </is>
      </c>
      <c r="F823" s="5" t="s">
        <v>391</v>
      </c>
      <c r="G823" s="5" t="b">
        <v>0</v>
      </c>
      <c r="H823" s="5" t="b">
        <v>1</v>
      </c>
      <c r="I823" s="5">
        <v>8</v>
      </c>
      <c r="J823" s="5">
        <v>104100</v>
      </c>
      <c r="K823" s="5" t="s">
        <v>350</v>
      </c>
      <c r="L823" s="5">
        <v>10110007</v>
      </c>
      <c r="M823" s="5">
        <v>10410009</v>
      </c>
      <c r="N823" s="5" t="s">
        <v>400</v>
      </c>
      <c r="O823" s="5">
        <v>10202010</v>
      </c>
      <c r="P823" s="5">
        <v>0</v>
      </c>
      <c r="Q823" s="5">
        <v>0</v>
      </c>
      <c r="R823" s="5">
        <v>35</v>
      </c>
      <c r="S823" s="5">
        <v>0</v>
      </c>
      <c r="T823" s="5">
        <v>100</v>
      </c>
      <c r="U823" s="5" t="s">
        <v>364</v>
      </c>
      <c r="V823" s="5">
        <v>0</v>
      </c>
      <c r="W823" s="5">
        <v>0</v>
      </c>
      <c r="X823" s="5" t="s">
        <v>401</v>
      </c>
      <c r="Y823" s="5" t="s">
        <v>365</v>
      </c>
      <c r="Z823" s="5" t="s">
        <v>354</v>
      </c>
      <c r="AA823" s="5">
        <v>0</v>
      </c>
      <c r="AB823" s="5">
        <v>0</v>
      </c>
      <c r="AC823" s="5" t="b">
        <v>0</v>
      </c>
      <c r="AD823" s="5" t="s">
        <v>355</v>
      </c>
      <c r="AE823" s="5">
        <v>130</v>
      </c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 t="s">
        <v>381</v>
      </c>
      <c r="AZ823" s="5">
        <v>11800</v>
      </c>
      <c r="BA823" s="5" t="s">
        <v>357</v>
      </c>
      <c r="BB823" s="5" t="s">
        <v>354</v>
      </c>
      <c r="BC823" s="5">
        <v>10000</v>
      </c>
      <c r="BD823" s="5">
        <v>0</v>
      </c>
      <c r="BE823" s="5" t="s">
        <v>358</v>
      </c>
      <c r="BF823" s="5">
        <v>0</v>
      </c>
      <c r="BG823" s="5" t="s">
        <v>382</v>
      </c>
      <c r="BH823" s="5">
        <v>8500</v>
      </c>
      <c r="BI823" s="5">
        <v>10</v>
      </c>
      <c r="BJ823" s="5" t="b">
        <v>1</v>
      </c>
      <c r="BK823" s="5">
        <v>0</v>
      </c>
      <c r="BL823" s="5">
        <v>6000</v>
      </c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5"/>
      <c r="CT823" s="5"/>
      <c r="CU823" s="5"/>
      <c r="CV823" s="5"/>
      <c r="CW823" s="5"/>
      <c r="CZ823" s="5"/>
      <c r="DA823" s="5"/>
      <c r="DB823" s="5"/>
      <c r="DC823" s="5"/>
      <c r="DD823" s="5"/>
      <c r="DE823" s="5"/>
      <c r="DF823" s="5"/>
      <c r="DG823" s="5"/>
      <c r="DH823" s="5"/>
      <c r="DI823" s="5"/>
      <c r="DJ823" s="5"/>
      <c r="DK823" s="5"/>
      <c r="DL823" s="5"/>
      <c r="DM823" s="5"/>
      <c r="DN823" s="5"/>
      <c r="DO823" s="5"/>
      <c r="DP823" s="5"/>
      <c r="DQ823" s="5"/>
      <c r="DR823" s="5"/>
      <c r="DS823" s="5"/>
      <c r="DT823" s="5"/>
      <c r="DU823" s="5"/>
      <c r="DV823" s="5"/>
      <c r="DW823" s="5"/>
      <c r="DX823" s="5"/>
      <c r="DY823" s="5"/>
      <c r="DZ823" s="5"/>
      <c r="EA823" s="5"/>
      <c r="EB823" s="5"/>
      <c r="EC823" s="5"/>
      <c r="ED823" s="5"/>
      <c r="EE823" s="5"/>
      <c r="EF823" s="5"/>
      <c r="EG823" s="5"/>
      <c r="EH823" s="5"/>
      <c r="EI823" s="5"/>
      <c r="EJ823" s="5"/>
      <c r="EK823" s="5"/>
      <c r="EL823" s="5"/>
      <c r="EM823" s="5"/>
      <c r="EN823" s="5"/>
      <c r="EO823" s="5"/>
      <c r="EP823" s="5"/>
      <c r="EQ823" s="5"/>
      <c r="ER823" s="5"/>
      <c r="ES823" s="5"/>
      <c r="ET823" s="5"/>
      <c r="EU823" s="5"/>
      <c r="EV823" s="5"/>
      <c r="EY823" s="5"/>
      <c r="EZ823" s="5"/>
      <c r="FA823" s="5"/>
      <c r="FB823" s="5"/>
      <c r="FC823" s="5"/>
      <c r="FD823" s="5"/>
      <c r="FE823" s="5"/>
      <c r="FF823" s="5"/>
      <c r="FG823" s="5"/>
      <c r="FH823" s="5"/>
      <c r="FI823" s="5"/>
      <c r="FJ823" s="5"/>
      <c r="FK823" s="5"/>
      <c r="FL823" s="5"/>
      <c r="FM823" s="5"/>
      <c r="FN823" s="5"/>
      <c r="FO823" s="5"/>
      <c r="FP823" s="5"/>
      <c r="FQ823" s="5"/>
      <c r="FR823" s="5"/>
      <c r="FS823" s="5"/>
      <c r="FT823" s="5"/>
      <c r="FU823" s="5"/>
      <c r="FV823" s="5"/>
      <c r="FW823" s="5"/>
      <c r="FX823" s="5"/>
      <c r="FY823" s="5"/>
      <c r="FZ823" s="5"/>
      <c r="GA823" s="5"/>
      <c r="GB823" s="5"/>
      <c r="GC823" s="5"/>
      <c r="GD823" s="5"/>
      <c r="GE823" s="5"/>
      <c r="GF823" s="5"/>
      <c r="GG823" s="5"/>
      <c r="GH823" s="5"/>
      <c r="GI823" s="5"/>
      <c r="GJ823" s="5"/>
      <c r="GK823" s="5"/>
      <c r="GL823" s="5"/>
      <c r="GM823" s="5"/>
      <c r="GN823" s="5"/>
      <c r="GO823" s="5"/>
      <c r="GP823" s="5"/>
      <c r="GQ823" s="5"/>
      <c r="GR823" s="5"/>
      <c r="GS823" s="5"/>
      <c r="GT823" s="5"/>
      <c r="GU823" s="5"/>
      <c r="GX823" s="5">
        <v>0</v>
      </c>
      <c r="GY823" s="5">
        <v>0</v>
      </c>
      <c r="GZ823" s="5" t="inlineStr">
        <is>
          <t xml:space="preserve"/>
        </is>
      </c>
      <c r="HA823" s="5">
        <v>0</v>
      </c>
      <c r="HB823" s="5">
        <v>0</v>
      </c>
      <c r="HC823" s="5" t="s">
        <v>366</v>
      </c>
      <c r="HD823" s="5" t="b">
        <v>1</v>
      </c>
      <c r="HE823" s="5">
        <v>0</v>
      </c>
      <c r="HF823" s="5" t="b">
        <v>0</v>
      </c>
      <c r="HG823" s="5">
        <v>0</v>
      </c>
      <c r="HH823" s="5">
        <v>0</v>
      </c>
      <c r="HI823" s="5">
        <v>0</v>
      </c>
      <c r="HJ823" s="5">
        <v>0</v>
      </c>
      <c r="HK823" s="5" t="b">
        <v>0</v>
      </c>
      <c r="HL823" s="5">
        <v>0</v>
      </c>
      <c r="HM823" s="5">
        <v>10001</v>
      </c>
      <c r="HN823" s="5" t="s">
        <v>367</v>
      </c>
      <c r="HO823" s="5" t="s">
        <v>360</v>
      </c>
      <c r="HP823" s="5">
        <v>0</v>
      </c>
      <c r="HQ823" s="5">
        <v>0</v>
      </c>
      <c r="HR823" s="5">
        <v>0</v>
      </c>
      <c r="HS823" s="5">
        <v>0</v>
      </c>
      <c r="HT823" s="5" t="b">
        <v>0</v>
      </c>
    </row>
    <row r="824">
      <c r="B824" s="1">
        <v>10410009</v>
      </c>
      <c r="C824" s="5" t="inlineStr">
        <is>
          <t xml:space="preserve">赤霄焚野·灼烧</t>
        </is>
      </c>
      <c r="D824" s="5" t="inlineStr">
        <is>
          <t xml:space="preserve">skill_104100_9</t>
        </is>
      </c>
      <c r="E824" s="5" t="inlineStr">
        <is>
          <t xml:space="preserve">无</t>
        </is>
      </c>
      <c r="F824" s="5" t="s">
        <v>391</v>
      </c>
      <c r="G824" s="5" t="b">
        <v>0</v>
      </c>
      <c r="H824" s="5" t="b">
        <v>1</v>
      </c>
      <c r="I824" s="5">
        <v>9</v>
      </c>
      <c r="J824" s="5">
        <v>104100</v>
      </c>
      <c r="K824" s="5" t="s">
        <v>350</v>
      </c>
      <c r="L824" s="5">
        <v>10110008</v>
      </c>
      <c r="M824" s="5">
        <v>10410010</v>
      </c>
      <c r="N824" s="5" t="s">
        <v>400</v>
      </c>
      <c r="O824" s="5">
        <v>10202010</v>
      </c>
      <c r="P824" s="5">
        <v>0</v>
      </c>
      <c r="Q824" s="5">
        <v>0</v>
      </c>
      <c r="R824" s="5">
        <v>40</v>
      </c>
      <c r="S824" s="5">
        <v>0</v>
      </c>
      <c r="T824" s="5">
        <v>100</v>
      </c>
      <c r="U824" s="5" t="s">
        <v>364</v>
      </c>
      <c r="V824" s="5">
        <v>0</v>
      </c>
      <c r="W824" s="5">
        <v>0</v>
      </c>
      <c r="X824" s="5" t="s">
        <v>401</v>
      </c>
      <c r="Y824" s="5" t="s">
        <v>365</v>
      </c>
      <c r="Z824" s="5" t="s">
        <v>354</v>
      </c>
      <c r="AA824" s="5">
        <v>0</v>
      </c>
      <c r="AB824" s="5">
        <v>0</v>
      </c>
      <c r="AC824" s="5" t="b">
        <v>0</v>
      </c>
      <c r="AD824" s="5" t="s">
        <v>355</v>
      </c>
      <c r="AE824" s="5">
        <v>130</v>
      </c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 t="s">
        <v>381</v>
      </c>
      <c r="AZ824" s="5">
        <v>11900</v>
      </c>
      <c r="BA824" s="5" t="s">
        <v>357</v>
      </c>
      <c r="BB824" s="5" t="s">
        <v>354</v>
      </c>
      <c r="BC824" s="5">
        <v>10000</v>
      </c>
      <c r="BD824" s="5">
        <v>0</v>
      </c>
      <c r="BE824" s="5" t="s">
        <v>358</v>
      </c>
      <c r="BF824" s="5">
        <v>0</v>
      </c>
      <c r="BG824" s="5" t="s">
        <v>382</v>
      </c>
      <c r="BH824" s="5">
        <v>8500</v>
      </c>
      <c r="BI824" s="5">
        <v>12</v>
      </c>
      <c r="BJ824" s="5" t="b">
        <v>1</v>
      </c>
      <c r="BK824" s="5">
        <v>0</v>
      </c>
      <c r="BL824" s="5">
        <v>6000</v>
      </c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5"/>
      <c r="CT824" s="5"/>
      <c r="CU824" s="5"/>
      <c r="CV824" s="5"/>
      <c r="CW824" s="5"/>
      <c r="CZ824" s="5"/>
      <c r="DA824" s="5"/>
      <c r="DB824" s="5"/>
      <c r="DC824" s="5"/>
      <c r="DD824" s="5"/>
      <c r="DE824" s="5"/>
      <c r="DF824" s="5"/>
      <c r="DG824" s="5"/>
      <c r="DH824" s="5"/>
      <c r="DI824" s="5"/>
      <c r="DJ824" s="5"/>
      <c r="DK824" s="5"/>
      <c r="DL824" s="5"/>
      <c r="DM824" s="5"/>
      <c r="DN824" s="5"/>
      <c r="DO824" s="5"/>
      <c r="DP824" s="5"/>
      <c r="DQ824" s="5"/>
      <c r="DR824" s="5"/>
      <c r="DS824" s="5"/>
      <c r="DT824" s="5"/>
      <c r="DU824" s="5"/>
      <c r="DV824" s="5"/>
      <c r="DW824" s="5"/>
      <c r="DX824" s="5"/>
      <c r="DY824" s="5"/>
      <c r="DZ824" s="5"/>
      <c r="EA824" s="5"/>
      <c r="EB824" s="5"/>
      <c r="EC824" s="5"/>
      <c r="ED824" s="5"/>
      <c r="EE824" s="5"/>
      <c r="EF824" s="5"/>
      <c r="EG824" s="5"/>
      <c r="EH824" s="5"/>
      <c r="EI824" s="5"/>
      <c r="EJ824" s="5"/>
      <c r="EK824" s="5"/>
      <c r="EL824" s="5"/>
      <c r="EM824" s="5"/>
      <c r="EN824" s="5"/>
      <c r="EO824" s="5"/>
      <c r="EP824" s="5"/>
      <c r="EQ824" s="5"/>
      <c r="ER824" s="5"/>
      <c r="ES824" s="5"/>
      <c r="ET824" s="5"/>
      <c r="EU824" s="5"/>
      <c r="EV824" s="5"/>
      <c r="EY824" s="5"/>
      <c r="EZ824" s="5"/>
      <c r="FA824" s="5"/>
      <c r="FB824" s="5"/>
      <c r="FC824" s="5"/>
      <c r="FD824" s="5"/>
      <c r="FE824" s="5"/>
      <c r="FF824" s="5"/>
      <c r="FG824" s="5"/>
      <c r="FH824" s="5"/>
      <c r="FI824" s="5"/>
      <c r="FJ824" s="5"/>
      <c r="FK824" s="5"/>
      <c r="FL824" s="5"/>
      <c r="FM824" s="5"/>
      <c r="FN824" s="5"/>
      <c r="FO824" s="5"/>
      <c r="FP824" s="5"/>
      <c r="FQ824" s="5"/>
      <c r="FR824" s="5"/>
      <c r="FS824" s="5"/>
      <c r="FT824" s="5"/>
      <c r="FU824" s="5"/>
      <c r="FV824" s="5"/>
      <c r="FW824" s="5"/>
      <c r="FX824" s="5"/>
      <c r="FY824" s="5"/>
      <c r="FZ824" s="5"/>
      <c r="GA824" s="5"/>
      <c r="GB824" s="5"/>
      <c r="GC824" s="5"/>
      <c r="GD824" s="5"/>
      <c r="GE824" s="5"/>
      <c r="GF824" s="5"/>
      <c r="GG824" s="5"/>
      <c r="GH824" s="5"/>
      <c r="GI824" s="5"/>
      <c r="GJ824" s="5"/>
      <c r="GK824" s="5"/>
      <c r="GL824" s="5"/>
      <c r="GM824" s="5"/>
      <c r="GN824" s="5"/>
      <c r="GO824" s="5"/>
      <c r="GP824" s="5"/>
      <c r="GQ824" s="5"/>
      <c r="GR824" s="5"/>
      <c r="GS824" s="5"/>
      <c r="GT824" s="5"/>
      <c r="GU824" s="5"/>
      <c r="GX824" s="5">
        <v>0</v>
      </c>
      <c r="GY824" s="5">
        <v>0</v>
      </c>
      <c r="GZ824" s="5" t="inlineStr">
        <is>
          <t xml:space="preserve"/>
        </is>
      </c>
      <c r="HA824" s="5">
        <v>0</v>
      </c>
      <c r="HB824" s="5">
        <v>0</v>
      </c>
      <c r="HC824" s="5" t="s">
        <v>366</v>
      </c>
      <c r="HD824" s="5" t="b">
        <v>1</v>
      </c>
      <c r="HE824" s="5">
        <v>0</v>
      </c>
      <c r="HF824" s="5" t="b">
        <v>0</v>
      </c>
      <c r="HG824" s="5">
        <v>0</v>
      </c>
      <c r="HH824" s="5">
        <v>0</v>
      </c>
      <c r="HI824" s="5">
        <v>0</v>
      </c>
      <c r="HJ824" s="5">
        <v>0</v>
      </c>
      <c r="HK824" s="5" t="b">
        <v>0</v>
      </c>
      <c r="HL824" s="5">
        <v>0</v>
      </c>
      <c r="HM824" s="5">
        <v>10001</v>
      </c>
      <c r="HN824" s="5" t="s">
        <v>367</v>
      </c>
      <c r="HO824" s="5" t="s">
        <v>360</v>
      </c>
      <c r="HP824" s="5">
        <v>0</v>
      </c>
      <c r="HQ824" s="5">
        <v>0</v>
      </c>
      <c r="HR824" s="5">
        <v>0</v>
      </c>
      <c r="HS824" s="5">
        <v>0</v>
      </c>
      <c r="HT824" s="5" t="b">
        <v>0</v>
      </c>
    </row>
    <row r="825">
      <c r="B825" s="1">
        <v>10410010</v>
      </c>
      <c r="C825" s="5" t="inlineStr">
        <is>
          <t xml:space="preserve">赤霄焚野·灼烧</t>
        </is>
      </c>
      <c r="D825" s="5" t="inlineStr">
        <is>
          <t xml:space="preserve">skill_104100_10</t>
        </is>
      </c>
      <c r="E825" s="5" t="inlineStr">
        <is>
          <t xml:space="preserve">无</t>
        </is>
      </c>
      <c r="F825" s="5" t="s">
        <v>391</v>
      </c>
      <c r="G825" s="5" t="b">
        <v>0</v>
      </c>
      <c r="H825" s="5" t="b">
        <v>1</v>
      </c>
      <c r="I825" s="5">
        <v>10</v>
      </c>
      <c r="J825" s="5">
        <v>104100</v>
      </c>
      <c r="K825" s="5" t="s">
        <v>350</v>
      </c>
      <c r="L825" s="5">
        <v>10110009</v>
      </c>
      <c r="M825" s="5">
        <v>0</v>
      </c>
      <c r="N825" s="5" t="s">
        <v>400</v>
      </c>
      <c r="O825" s="5">
        <v>10202010</v>
      </c>
      <c r="P825" s="5">
        <v>0</v>
      </c>
      <c r="Q825" s="5">
        <v>0</v>
      </c>
      <c r="R825" s="5">
        <v>40</v>
      </c>
      <c r="S825" s="5">
        <v>0</v>
      </c>
      <c r="T825" s="5">
        <v>0</v>
      </c>
      <c r="U825" s="5" t="s">
        <v>364</v>
      </c>
      <c r="V825" s="5">
        <v>0</v>
      </c>
      <c r="W825" s="5">
        <v>0</v>
      </c>
      <c r="X825" s="5" t="s">
        <v>401</v>
      </c>
      <c r="Y825" s="5" t="s">
        <v>365</v>
      </c>
      <c r="Z825" s="5" t="s">
        <v>354</v>
      </c>
      <c r="AA825" s="5">
        <v>0</v>
      </c>
      <c r="AB825" s="5">
        <v>0</v>
      </c>
      <c r="AC825" s="5" t="b">
        <v>0</v>
      </c>
      <c r="AD825" s="5" t="s">
        <v>355</v>
      </c>
      <c r="AE825" s="5">
        <v>130</v>
      </c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 t="s">
        <v>381</v>
      </c>
      <c r="AZ825" s="5">
        <v>12000</v>
      </c>
      <c r="BA825" s="5" t="s">
        <v>357</v>
      </c>
      <c r="BB825" s="5" t="s">
        <v>354</v>
      </c>
      <c r="BC825" s="5">
        <v>10000</v>
      </c>
      <c r="BD825" s="5">
        <v>0</v>
      </c>
      <c r="BE825" s="5" t="s">
        <v>358</v>
      </c>
      <c r="BF825" s="5">
        <v>0</v>
      </c>
      <c r="BG825" s="5" t="s">
        <v>382</v>
      </c>
      <c r="BH825" s="5">
        <v>8500</v>
      </c>
      <c r="BI825" s="5">
        <v>15</v>
      </c>
      <c r="BJ825" s="5" t="b">
        <v>1</v>
      </c>
      <c r="BK825" s="5">
        <v>0</v>
      </c>
      <c r="BL825" s="5">
        <v>6000</v>
      </c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5"/>
      <c r="CT825" s="5"/>
      <c r="CU825" s="5"/>
      <c r="CV825" s="5"/>
      <c r="CW825" s="5"/>
      <c r="CZ825" s="5"/>
      <c r="DA825" s="5"/>
      <c r="DB825" s="5"/>
      <c r="DC825" s="5"/>
      <c r="DD825" s="5"/>
      <c r="DE825" s="5"/>
      <c r="DF825" s="5"/>
      <c r="DG825" s="5"/>
      <c r="DH825" s="5"/>
      <c r="DI825" s="5"/>
      <c r="DJ825" s="5"/>
      <c r="DK825" s="5"/>
      <c r="DL825" s="5"/>
      <c r="DM825" s="5"/>
      <c r="DN825" s="5"/>
      <c r="DO825" s="5"/>
      <c r="DP825" s="5"/>
      <c r="DQ825" s="5"/>
      <c r="DR825" s="5"/>
      <c r="DS825" s="5"/>
      <c r="DT825" s="5"/>
      <c r="DU825" s="5"/>
      <c r="DV825" s="5"/>
      <c r="DW825" s="5"/>
      <c r="DX825" s="5"/>
      <c r="DY825" s="5"/>
      <c r="DZ825" s="5"/>
      <c r="EA825" s="5"/>
      <c r="EB825" s="5"/>
      <c r="EC825" s="5"/>
      <c r="ED825" s="5"/>
      <c r="EE825" s="5"/>
      <c r="EF825" s="5"/>
      <c r="EG825" s="5"/>
      <c r="EH825" s="5"/>
      <c r="EI825" s="5"/>
      <c r="EJ825" s="5"/>
      <c r="EK825" s="5"/>
      <c r="EL825" s="5"/>
      <c r="EM825" s="5"/>
      <c r="EN825" s="5"/>
      <c r="EO825" s="5"/>
      <c r="EP825" s="5"/>
      <c r="EQ825" s="5"/>
      <c r="ER825" s="5"/>
      <c r="ES825" s="5"/>
      <c r="ET825" s="5"/>
      <c r="EU825" s="5"/>
      <c r="EV825" s="5"/>
      <c r="EY825" s="5"/>
      <c r="EZ825" s="5"/>
      <c r="FA825" s="5"/>
      <c r="FB825" s="5"/>
      <c r="FC825" s="5"/>
      <c r="FD825" s="5"/>
      <c r="FE825" s="5"/>
      <c r="FF825" s="5"/>
      <c r="FG825" s="5"/>
      <c r="FH825" s="5"/>
      <c r="FI825" s="5"/>
      <c r="FJ825" s="5"/>
      <c r="FK825" s="5"/>
      <c r="FL825" s="5"/>
      <c r="FM825" s="5"/>
      <c r="FN825" s="5"/>
      <c r="FO825" s="5"/>
      <c r="FP825" s="5"/>
      <c r="FQ825" s="5"/>
      <c r="FR825" s="5"/>
      <c r="FS825" s="5"/>
      <c r="FT825" s="5"/>
      <c r="FU825" s="5"/>
      <c r="FV825" s="5"/>
      <c r="FW825" s="5"/>
      <c r="FX825" s="5"/>
      <c r="FY825" s="5"/>
      <c r="FZ825" s="5"/>
      <c r="GA825" s="5"/>
      <c r="GB825" s="5"/>
      <c r="GC825" s="5"/>
      <c r="GD825" s="5"/>
      <c r="GE825" s="5"/>
      <c r="GF825" s="5"/>
      <c r="GG825" s="5"/>
      <c r="GH825" s="5"/>
      <c r="GI825" s="5"/>
      <c r="GJ825" s="5"/>
      <c r="GK825" s="5"/>
      <c r="GL825" s="5"/>
      <c r="GM825" s="5"/>
      <c r="GN825" s="5"/>
      <c r="GO825" s="5"/>
      <c r="GP825" s="5"/>
      <c r="GQ825" s="5"/>
      <c r="GR825" s="5"/>
      <c r="GS825" s="5"/>
      <c r="GT825" s="5"/>
      <c r="GU825" s="5"/>
      <c r="GX825" s="5">
        <v>0</v>
      </c>
      <c r="GY825" s="5">
        <v>0</v>
      </c>
      <c r="GZ825" s="5" t="inlineStr">
        <is>
          <t xml:space="preserve"/>
        </is>
      </c>
      <c r="HA825" s="5">
        <v>0</v>
      </c>
      <c r="HB825" s="5">
        <v>0</v>
      </c>
      <c r="HC825" s="5" t="s">
        <v>366</v>
      </c>
      <c r="HD825" s="5" t="b">
        <v>1</v>
      </c>
      <c r="HE825" s="5">
        <v>0</v>
      </c>
      <c r="HF825" s="5" t="b">
        <v>0</v>
      </c>
      <c r="HG825" s="5">
        <v>0</v>
      </c>
      <c r="HH825" s="5">
        <v>0</v>
      </c>
      <c r="HI825" s="5">
        <v>0</v>
      </c>
      <c r="HJ825" s="5">
        <v>0</v>
      </c>
      <c r="HK825" s="5" t="b">
        <v>0</v>
      </c>
      <c r="HL825" s="5">
        <v>0</v>
      </c>
      <c r="HM825" s="5">
        <v>10001</v>
      </c>
      <c r="HN825" s="5" t="s">
        <v>367</v>
      </c>
      <c r="HO825" s="5" t="s">
        <v>360</v>
      </c>
      <c r="HP825" s="5">
        <v>0</v>
      </c>
      <c r="HQ825" s="5">
        <v>0</v>
      </c>
      <c r="HR825" s="5">
        <v>0</v>
      </c>
      <c r="HS825" s="5">
        <v>0</v>
      </c>
      <c r="HT825" s="5" t="b">
        <v>0</v>
      </c>
    </row>
  </sheetData>
  <mergeCells count="12">
    <mergeCell ref="Y1:AK1"/>
    <mergeCell ref="AL1:AX1"/>
    <mergeCell ref="BA1:GW1"/>
    <mergeCell ref="BA2:CY2"/>
    <mergeCell ref="CZ2:EX2"/>
    <mergeCell ref="EY2:GW2"/>
    <mergeCell ref="Y4:AK4"/>
    <mergeCell ref="AL4:AX4"/>
    <mergeCell ref="BA4:GW4"/>
    <mergeCell ref="Y5:AK5"/>
    <mergeCell ref="AL5:AX5"/>
    <mergeCell ref="BA5:GW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H134"/>
  <sheetViews>
    <sheetView topLeftCell="D1" workbookViewId="0">
      <selection activeCell="Q12" sqref="Q12"/>
    </sheetView>
  </sheetViews>
  <sheetFormatPr defaultColWidth="9" defaultRowHeight="15"/>
  <cols>
    <col min="1" max="1" width="9" style="18"/>
    <col min="2" max="2" width="10.3333333333333" style="18"/>
    <col min="3" max="4" width="9" style="18"/>
    <col min="5" max="5" width="10.0833333333333" style="18" customWidth="1"/>
    <col min="6" max="16" width="9" style="18"/>
    <col min="17" max="17" width="29.5" style="18" customWidth="1"/>
    <col min="18" max="20" width="9" style="18"/>
    <col min="21" max="21" width="12.8333333333333" style="18" customWidth="1"/>
    <col min="22" max="23" width="13.4166666666667" style="18" customWidth="1"/>
    <col min="24" max="27" width="9" style="18"/>
    <col min="28" max="28" width="12.8333333333333" style="18" customWidth="1"/>
    <col min="29" max="30" width="13.4166666666667" style="18" customWidth="1"/>
    <col min="31" max="34" width="9" style="18"/>
    <col min="35" max="35" width="12.8333333333333" style="18" customWidth="1"/>
    <col min="36" max="38" width="13.4166666666667" style="18" customWidth="1"/>
    <col min="39" max="16384" width="9" style="18"/>
  </cols>
  <sheetData>
    <row r="1" spans="1:86">
      <c r="A1" s="10" t="s">
        <v>0</v>
      </c>
      <c r="B1" s="10" t="s">
        <v>1</v>
      </c>
      <c r="C1" s="10" t="s">
        <v>590</v>
      </c>
      <c r="D1" s="10" t="s">
        <v>2</v>
      </c>
      <c r="E1" s="10"/>
      <c r="F1" s="10" t="s">
        <v>591</v>
      </c>
      <c r="G1" s="10" t="s">
        <v>13</v>
      </c>
      <c r="H1" s="10" t="s">
        <v>9</v>
      </c>
      <c r="I1" s="10" t="s">
        <v>592</v>
      </c>
      <c r="J1" s="10" t="s">
        <v>593</v>
      </c>
      <c r="K1" s="10" t="s">
        <v>594</v>
      </c>
      <c r="L1" s="10" t="s">
        <v>595</v>
      </c>
      <c r="M1" s="10" t="s">
        <v>86</v>
      </c>
      <c r="N1" s="10" t="s">
        <v>103</v>
      </c>
      <c r="O1" s="10" t="s">
        <v>596</v>
      </c>
      <c r="P1" s="10" t="s">
        <v>14</v>
      </c>
      <c r="Q1" s="10" t="s">
        <v>597</v>
      </c>
      <c r="R1" s="10" t="s">
        <v>598</v>
      </c>
      <c r="S1" s="10" t="s">
        <v>599</v>
      </c>
      <c r="T1" s="10" t="s">
        <v>600</v>
      </c>
      <c r="U1" s="24" t="s">
        <v>601</v>
      </c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 spans="1:86">
      <c r="A2" s="10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26">
        <v>0</v>
      </c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8"/>
      <c r="AK2" s="28"/>
      <c r="AQ2" s="29">
        <v>1</v>
      </c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M2" s="30">
        <v>2</v>
      </c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</row>
    <row r="3" ht="15.6" spans="1:86">
      <c r="A3" s="10" t="s">
        <v>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31" t="s">
        <v>55</v>
      </c>
      <c r="V3" s="10" t="s">
        <v>68</v>
      </c>
      <c r="W3" s="10" t="s">
        <v>602</v>
      </c>
      <c r="X3" s="10" t="s">
        <v>26</v>
      </c>
      <c r="Y3" s="10" t="s">
        <v>603</v>
      </c>
      <c r="Z3" s="10" t="s">
        <v>604</v>
      </c>
      <c r="AA3" s="10" t="s">
        <v>605</v>
      </c>
      <c r="AB3" s="10" t="s">
        <v>606</v>
      </c>
      <c r="AC3" s="10" t="s">
        <v>79</v>
      </c>
      <c r="AD3" s="10" t="s">
        <v>607</v>
      </c>
      <c r="AE3" s="10" t="s">
        <v>608</v>
      </c>
      <c r="AF3" s="10" t="s">
        <v>609</v>
      </c>
      <c r="AG3" s="10" t="s">
        <v>610</v>
      </c>
      <c r="AH3" s="10" t="s">
        <v>611</v>
      </c>
      <c r="AI3" s="10" t="s">
        <v>612</v>
      </c>
      <c r="AJ3" s="10" t="s">
        <v>613</v>
      </c>
      <c r="AK3" s="10" t="s">
        <v>614</v>
      </c>
      <c r="AL3" t="s">
        <v>615</v>
      </c>
      <c r="AM3" t="s">
        <v>616</v>
      </c>
      <c r="AN3" t="s">
        <v>617</v>
      </c>
      <c r="AO3" t="s">
        <v>618</v>
      </c>
      <c r="AP3" t="s">
        <v>619</v>
      </c>
      <c r="AQ3" s="10" t="s">
        <v>55</v>
      </c>
      <c r="AR3" s="10" t="s">
        <v>68</v>
      </c>
      <c r="AS3" s="10" t="s">
        <v>602</v>
      </c>
      <c r="AT3" s="10" t="s">
        <v>26</v>
      </c>
      <c r="AU3" s="10" t="s">
        <v>603</v>
      </c>
      <c r="AV3" s="30" t="s">
        <v>604</v>
      </c>
      <c r="AW3" s="30" t="s">
        <v>605</v>
      </c>
      <c r="AX3" s="30" t="s">
        <v>606</v>
      </c>
      <c r="AY3" s="30" t="s">
        <v>79</v>
      </c>
      <c r="AZ3" s="30" t="s">
        <v>607</v>
      </c>
      <c r="BA3" s="30" t="s">
        <v>608</v>
      </c>
      <c r="BB3" s="30" t="s">
        <v>609</v>
      </c>
      <c r="BC3" s="30" t="s">
        <v>610</v>
      </c>
      <c r="BD3" s="30" t="s">
        <v>611</v>
      </c>
      <c r="BE3" s="30" t="s">
        <v>612</v>
      </c>
      <c r="BF3" s="30" t="s">
        <v>613</v>
      </c>
      <c r="BG3" s="30" t="s">
        <v>614</v>
      </c>
      <c r="BH3" t="s">
        <v>615</v>
      </c>
      <c r="BI3" t="s">
        <v>616</v>
      </c>
      <c r="BJ3" t="s">
        <v>617</v>
      </c>
      <c r="BK3" t="s">
        <v>618</v>
      </c>
      <c r="BL3" t="s">
        <v>619</v>
      </c>
      <c r="BM3" s="30" t="s">
        <v>55</v>
      </c>
      <c r="BN3" s="30" t="s">
        <v>68</v>
      </c>
      <c r="BO3" s="30" t="s">
        <v>602</v>
      </c>
      <c r="BP3" s="30" t="s">
        <v>26</v>
      </c>
      <c r="BQ3" s="30" t="s">
        <v>603</v>
      </c>
      <c r="BR3" s="30" t="s">
        <v>604</v>
      </c>
      <c r="BS3" s="30" t="s">
        <v>605</v>
      </c>
      <c r="BT3" s="30" t="s">
        <v>606</v>
      </c>
      <c r="BU3" s="30" t="s">
        <v>79</v>
      </c>
      <c r="BV3" s="30" t="s">
        <v>607</v>
      </c>
      <c r="BW3" s="30" t="s">
        <v>608</v>
      </c>
      <c r="BX3" s="30" t="s">
        <v>609</v>
      </c>
      <c r="BY3" s="30" t="s">
        <v>610</v>
      </c>
      <c r="BZ3" s="30" t="s">
        <v>611</v>
      </c>
      <c r="CA3" s="30" t="s">
        <v>612</v>
      </c>
      <c r="CB3" s="30" t="s">
        <v>613</v>
      </c>
      <c r="CC3" s="30" t="s">
        <v>614</v>
      </c>
      <c r="CD3" t="s">
        <v>615</v>
      </c>
      <c r="CE3" t="s">
        <v>616</v>
      </c>
      <c r="CF3" t="s">
        <v>617</v>
      </c>
      <c r="CG3" t="s">
        <v>618</v>
      </c>
      <c r="CH3" t="s">
        <v>619</v>
      </c>
    </row>
    <row r="4" spans="1:86">
      <c r="A4" s="10" t="s">
        <v>117</v>
      </c>
      <c r="B4" s="10" t="s">
        <v>118</v>
      </c>
      <c r="C4" s="10" t="s">
        <v>119</v>
      </c>
      <c r="D4" s="10" t="s">
        <v>119</v>
      </c>
      <c r="E4" s="10" t="s">
        <v>620</v>
      </c>
      <c r="F4" s="10" t="s">
        <v>118</v>
      </c>
      <c r="G4" s="10" t="s">
        <v>119</v>
      </c>
      <c r="H4" s="10" t="s">
        <v>119</v>
      </c>
      <c r="I4" s="10" t="s">
        <v>122</v>
      </c>
      <c r="J4" s="10" t="s">
        <v>621</v>
      </c>
      <c r="K4" s="10" t="s">
        <v>622</v>
      </c>
      <c r="L4" s="10" t="s">
        <v>118</v>
      </c>
      <c r="M4" s="10" t="s">
        <v>118</v>
      </c>
      <c r="N4" s="10" t="s">
        <v>118</v>
      </c>
      <c r="O4" s="10" t="s">
        <v>119</v>
      </c>
      <c r="P4" s="10" t="s">
        <v>118</v>
      </c>
      <c r="Q4" s="10" t="s">
        <v>118</v>
      </c>
      <c r="R4" s="10" t="s">
        <v>623</v>
      </c>
      <c r="S4" s="10" t="s">
        <v>624</v>
      </c>
      <c r="T4" s="10" t="s">
        <v>118</v>
      </c>
      <c r="U4" s="24" t="s">
        <v>625</v>
      </c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 spans="1:86">
      <c r="A5" s="10" t="s">
        <v>130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</row>
    <row r="6" ht="15.6" spans="1:86">
      <c r="A6" s="10" t="s">
        <v>133</v>
      </c>
      <c r="B6" s="10" t="s">
        <v>626</v>
      </c>
      <c r="C6" s="10" t="s">
        <v>627</v>
      </c>
      <c r="D6" s="10" t="s">
        <v>628</v>
      </c>
      <c r="E6" s="10" t="s">
        <v>629</v>
      </c>
      <c r="F6" s="10" t="s">
        <v>630</v>
      </c>
      <c r="G6" s="10" t="s">
        <v>631</v>
      </c>
      <c r="H6" s="10" t="s">
        <v>632</v>
      </c>
      <c r="I6" s="10" t="s">
        <v>633</v>
      </c>
      <c r="J6" s="10" t="s">
        <v>634</v>
      </c>
      <c r="K6" s="10" t="s">
        <v>635</v>
      </c>
      <c r="L6" s="10" t="s">
        <v>636</v>
      </c>
      <c r="M6" s="10" t="s">
        <v>637</v>
      </c>
      <c r="N6" s="10" t="s">
        <v>638</v>
      </c>
      <c r="O6" s="10" t="s">
        <v>639</v>
      </c>
      <c r="P6" s="10" t="s">
        <v>640</v>
      </c>
      <c r="Q6" s="10" t="s">
        <v>641</v>
      </c>
      <c r="R6" s="10" t="s">
        <v>642</v>
      </c>
      <c r="S6" s="10" t="s">
        <v>643</v>
      </c>
      <c r="T6" s="10" t="s">
        <v>644</v>
      </c>
      <c r="U6" s="10" t="s">
        <v>172</v>
      </c>
      <c r="V6" s="10" t="s">
        <v>174</v>
      </c>
      <c r="W6" s="10" t="s">
        <v>645</v>
      </c>
      <c r="X6" s="10" t="s">
        <v>646</v>
      </c>
      <c r="Y6" s="10" t="s">
        <v>647</v>
      </c>
      <c r="Z6" s="10" t="s">
        <v>648</v>
      </c>
      <c r="AA6" s="10" t="s">
        <v>649</v>
      </c>
      <c r="AB6" s="10" t="s">
        <v>650</v>
      </c>
      <c r="AC6" s="10" t="s">
        <v>651</v>
      </c>
      <c r="AD6" s="10" t="s">
        <v>652</v>
      </c>
      <c r="AE6" s="10" t="s">
        <v>653</v>
      </c>
      <c r="AF6" s="10" t="s">
        <v>654</v>
      </c>
      <c r="AG6" s="10" t="s">
        <v>655</v>
      </c>
      <c r="AH6" s="10" t="s">
        <v>656</v>
      </c>
      <c r="AI6" s="10" t="s">
        <v>657</v>
      </c>
      <c r="AJ6" s="10" t="s">
        <v>658</v>
      </c>
      <c r="AK6" s="10" t="s">
        <v>659</v>
      </c>
      <c r="AL6" t="s">
        <v>660</v>
      </c>
      <c r="AM6" t="s">
        <v>661</v>
      </c>
      <c r="AN6" t="s">
        <v>662</v>
      </c>
      <c r="AO6" t="s">
        <v>663</v>
      </c>
      <c r="AP6" t="s">
        <v>664</v>
      </c>
      <c r="AQ6" s="10" t="s">
        <v>223</v>
      </c>
      <c r="AR6" s="10" t="s">
        <v>225</v>
      </c>
      <c r="AS6" s="10" t="s">
        <v>665</v>
      </c>
      <c r="AT6" s="10" t="s">
        <v>666</v>
      </c>
      <c r="AU6" s="10" t="s">
        <v>667</v>
      </c>
      <c r="AV6" s="30" t="s">
        <v>668</v>
      </c>
      <c r="AW6" s="30" t="s">
        <v>669</v>
      </c>
      <c r="AX6" s="30" t="s">
        <v>670</v>
      </c>
      <c r="AY6" s="30" t="s">
        <v>671</v>
      </c>
      <c r="AZ6" s="30" t="s">
        <v>672</v>
      </c>
      <c r="BA6" s="30" t="s">
        <v>673</v>
      </c>
      <c r="BB6" s="30" t="s">
        <v>674</v>
      </c>
      <c r="BC6" s="30" t="s">
        <v>675</v>
      </c>
      <c r="BD6" s="30" t="s">
        <v>676</v>
      </c>
      <c r="BE6" s="30" t="s">
        <v>677</v>
      </c>
      <c r="BF6" s="30" t="s">
        <v>678</v>
      </c>
      <c r="BG6" s="30" t="s">
        <v>679</v>
      </c>
      <c r="BH6" t="s">
        <v>680</v>
      </c>
      <c r="BI6" t="s">
        <v>681</v>
      </c>
      <c r="BJ6" t="s">
        <v>682</v>
      </c>
      <c r="BK6" t="s">
        <v>683</v>
      </c>
      <c r="BL6" t="s">
        <v>684</v>
      </c>
      <c r="BM6" s="30" t="s">
        <v>272</v>
      </c>
      <c r="BN6" s="30" t="s">
        <v>274</v>
      </c>
      <c r="BO6" s="30" t="s">
        <v>685</v>
      </c>
      <c r="BP6" s="30" t="s">
        <v>686</v>
      </c>
      <c r="BQ6" s="30" t="s">
        <v>687</v>
      </c>
      <c r="BR6" s="30" t="s">
        <v>688</v>
      </c>
      <c r="BS6" s="30" t="s">
        <v>689</v>
      </c>
      <c r="BT6" s="30" t="s">
        <v>690</v>
      </c>
      <c r="BU6" s="30" t="s">
        <v>691</v>
      </c>
      <c r="BV6" s="30" t="s">
        <v>692</v>
      </c>
      <c r="BW6" s="30" t="s">
        <v>693</v>
      </c>
      <c r="BX6" s="30" t="s">
        <v>694</v>
      </c>
      <c r="BY6" s="30" t="s">
        <v>695</v>
      </c>
      <c r="BZ6" s="30" t="s">
        <v>696</v>
      </c>
      <c r="CA6" s="30" t="s">
        <v>697</v>
      </c>
      <c r="CB6" s="30" t="s">
        <v>698</v>
      </c>
      <c r="CC6" s="30" t="s">
        <v>699</v>
      </c>
      <c r="CD6" t="s">
        <v>700</v>
      </c>
      <c r="CE6" t="s">
        <v>701</v>
      </c>
      <c r="CF6" t="s">
        <v>702</v>
      </c>
      <c r="CG6" t="s">
        <v>703</v>
      </c>
      <c r="CH6" t="s">
        <v>704</v>
      </c>
    </row>
    <row r="7" ht="15.6" spans="1:86">
      <c r="B7" s="18">
        <v>21000301</v>
      </c>
      <c r="C7" s="18" t="s">
        <v>705</v>
      </c>
      <c r="D7" s="18" t="s">
        <v>705</v>
      </c>
      <c r="E7" s="18" t="s">
        <v>706</v>
      </c>
      <c r="F7" s="18">
        <v>1</v>
      </c>
      <c r="G7" s="18" t="s">
        <v>707</v>
      </c>
      <c r="H7" s="18" t="s">
        <v>708</v>
      </c>
      <c r="I7" s="18">
        <v>1</v>
      </c>
      <c r="J7" s="18" t="s">
        <v>709</v>
      </c>
      <c r="L7" s="18">
        <v>1</v>
      </c>
      <c r="M7" s="18">
        <v>2000</v>
      </c>
      <c r="N7" s="18">
        <v>0</v>
      </c>
      <c r="Q7" s="10">
        <v>30082</v>
      </c>
      <c r="R7" t="s">
        <v>710</v>
      </c>
      <c r="S7" s="18" t="s">
        <v>711</v>
      </c>
      <c r="U7" s="18" t="s">
        <v>712</v>
      </c>
      <c r="V7" s="18">
        <v>10000</v>
      </c>
      <c r="W7" s="18" t="s">
        <v>705</v>
      </c>
    </row>
    <row r="8" spans="1:86">
      <c r="B8" s="18">
        <v>21000401</v>
      </c>
      <c r="C8" s="18" t="s">
        <v>713</v>
      </c>
      <c r="D8" s="18" t="s">
        <v>713</v>
      </c>
      <c r="E8" s="18" t="s">
        <v>706</v>
      </c>
      <c r="F8" s="18">
        <v>1</v>
      </c>
      <c r="G8" s="18" t="s">
        <v>714</v>
      </c>
      <c r="H8" s="18" t="s">
        <v>715</v>
      </c>
      <c r="I8" s="18">
        <v>1</v>
      </c>
      <c r="J8" s="18" t="s">
        <v>709</v>
      </c>
      <c r="L8" s="18">
        <v>1</v>
      </c>
      <c r="M8" s="18">
        <v>2000</v>
      </c>
      <c r="N8" s="18">
        <v>0</v>
      </c>
      <c r="Q8" s="10">
        <v>30058</v>
      </c>
      <c r="S8" s="18" t="s">
        <v>711</v>
      </c>
      <c r="U8" s="18" t="s">
        <v>712</v>
      </c>
      <c r="V8" s="18">
        <v>10000</v>
      </c>
      <c r="W8" s="18" t="s">
        <v>713</v>
      </c>
    </row>
    <row r="9" ht="15.6" spans="1:86">
      <c r="B9" s="18">
        <v>21000601</v>
      </c>
      <c r="C9" s="18" t="s">
        <v>716</v>
      </c>
      <c r="D9" s="18" t="s">
        <v>716</v>
      </c>
      <c r="E9" s="18" t="s">
        <v>706</v>
      </c>
      <c r="F9" s="18">
        <v>1</v>
      </c>
      <c r="G9" s="18" t="s">
        <v>717</v>
      </c>
      <c r="H9" s="18" t="s">
        <v>718</v>
      </c>
      <c r="I9" s="18">
        <v>1</v>
      </c>
      <c r="J9" s="18" t="s">
        <v>709</v>
      </c>
      <c r="L9" s="18">
        <v>1</v>
      </c>
      <c r="M9" s="18">
        <v>2000</v>
      </c>
      <c r="Q9" s="18">
        <v>30060</v>
      </c>
      <c r="R9" t="s">
        <v>710</v>
      </c>
      <c r="S9" s="18" t="s">
        <v>711</v>
      </c>
      <c r="U9" s="18" t="s">
        <v>712</v>
      </c>
      <c r="V9" s="18">
        <v>10000</v>
      </c>
      <c r="W9" s="18" t="s">
        <v>716</v>
      </c>
    </row>
    <row r="10" spans="1:86">
      <c r="B10" s="18">
        <v>21001001</v>
      </c>
      <c r="C10" s="18" t="s">
        <v>719</v>
      </c>
      <c r="D10" s="18" t="s">
        <v>719</v>
      </c>
      <c r="E10" s="18" t="s">
        <v>706</v>
      </c>
      <c r="F10" s="18">
        <v>1</v>
      </c>
      <c r="G10" s="18" t="s">
        <v>720</v>
      </c>
      <c r="H10" s="18" t="s">
        <v>721</v>
      </c>
      <c r="I10" s="18">
        <v>1</v>
      </c>
      <c r="J10" s="18" t="s">
        <v>709</v>
      </c>
      <c r="L10" s="18">
        <v>1</v>
      </c>
      <c r="M10" s="18">
        <v>10000</v>
      </c>
      <c r="N10" s="18">
        <v>0</v>
      </c>
      <c r="S10" s="18" t="s">
        <v>711</v>
      </c>
      <c r="U10" s="18" t="s">
        <v>722</v>
      </c>
      <c r="V10" s="18">
        <v>10000</v>
      </c>
      <c r="AH10" s="18" t="s">
        <v>723</v>
      </c>
      <c r="AI10" s="18">
        <v>-2000</v>
      </c>
    </row>
    <row r="11" spans="1:86">
      <c r="B11" s="18">
        <v>21000201</v>
      </c>
      <c r="C11" s="18" t="s">
        <v>724</v>
      </c>
      <c r="D11" s="18" t="s">
        <v>724</v>
      </c>
      <c r="E11" s="18" t="s">
        <v>706</v>
      </c>
      <c r="F11" s="18">
        <v>1</v>
      </c>
      <c r="G11" s="18" t="s">
        <v>725</v>
      </c>
      <c r="H11" s="18" t="s">
        <v>726</v>
      </c>
      <c r="I11" s="18">
        <v>1</v>
      </c>
      <c r="J11" s="18" t="s">
        <v>709</v>
      </c>
      <c r="L11" s="18">
        <v>1</v>
      </c>
      <c r="M11" s="18">
        <v>12000</v>
      </c>
      <c r="N11" s="18">
        <v>3000</v>
      </c>
      <c r="Q11" s="18">
        <v>30059</v>
      </c>
      <c r="R11" s="18" t="s">
        <v>710</v>
      </c>
      <c r="S11" s="18" t="s">
        <v>711</v>
      </c>
      <c r="U11" s="18" t="s">
        <v>727</v>
      </c>
      <c r="V11" s="18">
        <v>10000</v>
      </c>
      <c r="X11" s="18" t="s">
        <v>382</v>
      </c>
      <c r="Y11" s="18">
        <v>2200</v>
      </c>
      <c r="Z11" s="18">
        <v>2</v>
      </c>
      <c r="AA11" s="18">
        <v>0</v>
      </c>
      <c r="AB11" s="18">
        <v>0</v>
      </c>
    </row>
    <row r="12" spans="1:86">
      <c r="B12" s="18">
        <v>21000202</v>
      </c>
      <c r="C12" s="18" t="s">
        <v>724</v>
      </c>
      <c r="D12" s="18" t="s">
        <v>724</v>
      </c>
      <c r="E12" s="18" t="s">
        <v>706</v>
      </c>
      <c r="F12" s="18">
        <v>2</v>
      </c>
      <c r="G12" s="18" t="s">
        <v>725</v>
      </c>
      <c r="H12" s="18" t="s">
        <v>726</v>
      </c>
      <c r="I12" s="18">
        <v>1</v>
      </c>
      <c r="J12" s="18" t="s">
        <v>709</v>
      </c>
      <c r="L12" s="18">
        <v>1</v>
      </c>
      <c r="M12" s="18">
        <v>12000</v>
      </c>
      <c r="N12" s="18">
        <v>3000</v>
      </c>
      <c r="Q12" s="18">
        <v>30059</v>
      </c>
      <c r="R12" s="18" t="s">
        <v>710</v>
      </c>
      <c r="S12" s="18" t="s">
        <v>711</v>
      </c>
      <c r="U12" s="18" t="s">
        <v>727</v>
      </c>
      <c r="V12" s="18">
        <v>10000</v>
      </c>
      <c r="X12" s="18" t="s">
        <v>382</v>
      </c>
      <c r="Y12" s="18">
        <v>2600</v>
      </c>
      <c r="Z12" s="18">
        <v>3</v>
      </c>
      <c r="AA12" s="18">
        <v>0</v>
      </c>
      <c r="AB12" s="18">
        <v>0</v>
      </c>
    </row>
    <row r="13" spans="1:86">
      <c r="B13" s="18">
        <v>21000203</v>
      </c>
      <c r="C13" s="18" t="s">
        <v>724</v>
      </c>
      <c r="D13" s="18" t="s">
        <v>724</v>
      </c>
      <c r="E13" s="18" t="s">
        <v>706</v>
      </c>
      <c r="F13" s="18">
        <v>3</v>
      </c>
      <c r="G13" s="18" t="s">
        <v>725</v>
      </c>
      <c r="H13" s="18" t="s">
        <v>726</v>
      </c>
      <c r="I13" s="18">
        <v>1</v>
      </c>
      <c r="J13" s="18" t="s">
        <v>709</v>
      </c>
      <c r="L13" s="18">
        <v>1</v>
      </c>
      <c r="M13" s="18">
        <v>12000</v>
      </c>
      <c r="N13" s="18">
        <v>3000</v>
      </c>
      <c r="Q13" s="18">
        <v>30059</v>
      </c>
      <c r="R13" s="18" t="s">
        <v>710</v>
      </c>
      <c r="S13" s="18" t="s">
        <v>711</v>
      </c>
      <c r="U13" s="18" t="s">
        <v>727</v>
      </c>
      <c r="V13" s="18">
        <v>10000</v>
      </c>
      <c r="X13" s="18" t="s">
        <v>382</v>
      </c>
      <c r="Y13" s="18">
        <v>3000</v>
      </c>
      <c r="Z13" s="18">
        <v>4</v>
      </c>
      <c r="AA13" s="18">
        <v>0</v>
      </c>
      <c r="AB13" s="18">
        <v>0</v>
      </c>
    </row>
    <row r="14" spans="1:86">
      <c r="B14" s="18">
        <v>21000204</v>
      </c>
      <c r="C14" s="18" t="s">
        <v>724</v>
      </c>
      <c r="D14" s="18" t="s">
        <v>724</v>
      </c>
      <c r="E14" s="18" t="s">
        <v>706</v>
      </c>
      <c r="F14" s="18">
        <v>4</v>
      </c>
      <c r="G14" s="18" t="s">
        <v>725</v>
      </c>
      <c r="H14" s="18" t="s">
        <v>726</v>
      </c>
      <c r="I14" s="18">
        <v>1</v>
      </c>
      <c r="J14" s="18" t="s">
        <v>709</v>
      </c>
      <c r="L14" s="18">
        <v>1</v>
      </c>
      <c r="M14" s="18">
        <v>12000</v>
      </c>
      <c r="N14" s="18">
        <v>3000</v>
      </c>
      <c r="Q14" s="18">
        <v>30059</v>
      </c>
      <c r="R14" s="18" t="s">
        <v>710</v>
      </c>
      <c r="S14" s="18" t="s">
        <v>711</v>
      </c>
      <c r="U14" s="18" t="s">
        <v>727</v>
      </c>
      <c r="V14" s="18">
        <v>10000</v>
      </c>
      <c r="X14" s="18" t="s">
        <v>382</v>
      </c>
      <c r="Y14" s="18">
        <v>3600</v>
      </c>
      <c r="Z14" s="18">
        <v>6</v>
      </c>
      <c r="AA14" s="18">
        <v>0</v>
      </c>
      <c r="AB14" s="18">
        <v>0</v>
      </c>
    </row>
    <row r="15" ht="15.6" spans="1:86">
      <c r="A15"/>
      <c r="B15" s="32">
        <v>21001101</v>
      </c>
      <c r="C15" s="32" t="s">
        <v>415</v>
      </c>
      <c r="D15" s="32" t="s">
        <v>415</v>
      </c>
      <c r="E15" s="32" t="s">
        <v>706</v>
      </c>
      <c r="F15" s="32">
        <v>1</v>
      </c>
      <c r="G15" s="32" t="s">
        <v>728</v>
      </c>
      <c r="H15" s="32" t="s">
        <v>729</v>
      </c>
      <c r="I15" s="32" t="b">
        <v>1</v>
      </c>
      <c r="J15" s="32" t="s">
        <v>709</v>
      </c>
      <c r="K15" s="32" t="s">
        <v>360</v>
      </c>
      <c r="L15" s="32">
        <v>1</v>
      </c>
      <c r="M15" s="32">
        <v>9000</v>
      </c>
      <c r="N15" s="32">
        <v>3000</v>
      </c>
      <c r="O15" s="32" t="s">
        <v>367</v>
      </c>
      <c r="P15" s="32">
        <v>0</v>
      </c>
      <c r="Q15" s="32">
        <v>30044</v>
      </c>
      <c r="R15" s="32" t="s">
        <v>360</v>
      </c>
      <c r="S15" s="32" t="s">
        <v>730</v>
      </c>
      <c r="T15" s="32">
        <v>1</v>
      </c>
      <c r="U15" s="32" t="s">
        <v>731</v>
      </c>
      <c r="V15" s="32">
        <v>10000</v>
      </c>
      <c r="W15" s="32"/>
      <c r="X15" s="32"/>
      <c r="Y15" s="32"/>
      <c r="Z15" s="32"/>
      <c r="AA15" s="32"/>
      <c r="AB15" s="32"/>
      <c r="AC15" s="32" t="s">
        <v>382</v>
      </c>
      <c r="AD15" s="32">
        <v>1600</v>
      </c>
      <c r="AE15" s="32">
        <v>1</v>
      </c>
      <c r="AF15" s="32" t="b">
        <v>0</v>
      </c>
      <c r="AG15" s="32">
        <v>0</v>
      </c>
      <c r="AH15" s="32"/>
      <c r="AI15" s="32"/>
      <c r="AJ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</row>
    <row r="16" ht="15.6" spans="1:86">
      <c r="A16"/>
      <c r="B16" s="32">
        <v>21001102</v>
      </c>
      <c r="C16" s="32" t="s">
        <v>415</v>
      </c>
      <c r="D16" s="32" t="s">
        <v>415</v>
      </c>
      <c r="E16" s="32" t="s">
        <v>706</v>
      </c>
      <c r="F16" s="32">
        <v>2</v>
      </c>
      <c r="G16" s="32" t="s">
        <v>728</v>
      </c>
      <c r="H16" s="32" t="s">
        <v>729</v>
      </c>
      <c r="I16" s="32" t="b">
        <v>1</v>
      </c>
      <c r="J16" s="32" t="s">
        <v>709</v>
      </c>
      <c r="K16" s="32" t="s">
        <v>360</v>
      </c>
      <c r="L16" s="32">
        <v>1</v>
      </c>
      <c r="M16" s="32">
        <v>9000</v>
      </c>
      <c r="N16" s="32">
        <v>3000</v>
      </c>
      <c r="O16" s="32" t="s">
        <v>367</v>
      </c>
      <c r="P16" s="32">
        <v>0</v>
      </c>
      <c r="Q16" s="32">
        <v>30044</v>
      </c>
      <c r="R16" s="32" t="s">
        <v>360</v>
      </c>
      <c r="S16" s="32" t="s">
        <v>730</v>
      </c>
      <c r="T16" s="32">
        <v>1</v>
      </c>
      <c r="U16" s="32" t="s">
        <v>731</v>
      </c>
      <c r="V16" s="32">
        <v>10000</v>
      </c>
      <c r="W16" s="32"/>
      <c r="X16" s="32"/>
      <c r="Y16" s="32"/>
      <c r="Z16" s="32"/>
      <c r="AA16" s="32"/>
      <c r="AB16" s="32"/>
      <c r="AC16" s="32" t="s">
        <v>382</v>
      </c>
      <c r="AD16" s="32">
        <v>1800</v>
      </c>
      <c r="AE16" s="32">
        <v>1</v>
      </c>
      <c r="AF16" s="32" t="b">
        <v>0</v>
      </c>
      <c r="AG16" s="32">
        <v>0</v>
      </c>
      <c r="AH16" s="32"/>
      <c r="AI16" s="32"/>
      <c r="AJ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</row>
    <row r="17" ht="15.6" spans="1:80">
      <c r="A17"/>
      <c r="B17" s="32">
        <v>21001103</v>
      </c>
      <c r="C17" s="32" t="s">
        <v>415</v>
      </c>
      <c r="D17" s="32" t="s">
        <v>415</v>
      </c>
      <c r="E17" s="32" t="s">
        <v>706</v>
      </c>
      <c r="F17" s="32">
        <v>3</v>
      </c>
      <c r="G17" s="32" t="s">
        <v>728</v>
      </c>
      <c r="H17" s="32" t="s">
        <v>729</v>
      </c>
      <c r="I17" s="32" t="b">
        <v>1</v>
      </c>
      <c r="J17" s="32" t="s">
        <v>709</v>
      </c>
      <c r="K17" s="32" t="s">
        <v>360</v>
      </c>
      <c r="L17" s="32">
        <v>1</v>
      </c>
      <c r="M17" s="32">
        <v>9000</v>
      </c>
      <c r="N17" s="32">
        <v>3000</v>
      </c>
      <c r="O17" s="32" t="s">
        <v>367</v>
      </c>
      <c r="P17" s="32">
        <v>0</v>
      </c>
      <c r="Q17" s="32">
        <v>30044</v>
      </c>
      <c r="R17" s="32" t="s">
        <v>360</v>
      </c>
      <c r="S17" s="32" t="s">
        <v>730</v>
      </c>
      <c r="T17" s="32">
        <v>1</v>
      </c>
      <c r="U17" s="32" t="s">
        <v>731</v>
      </c>
      <c r="V17" s="32">
        <v>10000</v>
      </c>
      <c r="W17" s="32"/>
      <c r="X17" s="32"/>
      <c r="Y17" s="32"/>
      <c r="Z17" s="32"/>
      <c r="AA17" s="32"/>
      <c r="AB17" s="32"/>
      <c r="AC17" s="32" t="s">
        <v>382</v>
      </c>
      <c r="AD17" s="32">
        <v>2000</v>
      </c>
      <c r="AE17" s="32">
        <v>1</v>
      </c>
      <c r="AF17" s="32" t="b">
        <v>0</v>
      </c>
      <c r="AG17" s="32">
        <v>0</v>
      </c>
      <c r="AH17" s="32"/>
      <c r="AI17" s="32"/>
      <c r="AJ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</row>
    <row r="18" ht="15.6" spans="1:80">
      <c r="A18"/>
      <c r="B18" s="32">
        <v>21001104</v>
      </c>
      <c r="C18" s="32" t="s">
        <v>415</v>
      </c>
      <c r="D18" s="32" t="s">
        <v>415</v>
      </c>
      <c r="E18" s="32" t="s">
        <v>706</v>
      </c>
      <c r="F18" s="32">
        <v>4</v>
      </c>
      <c r="G18" s="32" t="s">
        <v>728</v>
      </c>
      <c r="H18" s="32" t="s">
        <v>729</v>
      </c>
      <c r="I18" s="32" t="b">
        <v>1</v>
      </c>
      <c r="J18" s="32" t="s">
        <v>709</v>
      </c>
      <c r="K18" s="32" t="s">
        <v>360</v>
      </c>
      <c r="L18" s="32">
        <v>1</v>
      </c>
      <c r="M18" s="32">
        <v>9000</v>
      </c>
      <c r="N18" s="32">
        <v>3000</v>
      </c>
      <c r="O18" s="32" t="s">
        <v>367</v>
      </c>
      <c r="P18" s="32">
        <v>0</v>
      </c>
      <c r="Q18" s="32">
        <v>30044</v>
      </c>
      <c r="R18" s="32" t="s">
        <v>360</v>
      </c>
      <c r="S18" s="32" t="s">
        <v>730</v>
      </c>
      <c r="T18" s="32">
        <v>1</v>
      </c>
      <c r="U18" s="32" t="s">
        <v>731</v>
      </c>
      <c r="V18" s="32">
        <v>10000</v>
      </c>
      <c r="W18" s="32"/>
      <c r="X18" s="32"/>
      <c r="Y18" s="32"/>
      <c r="Z18" s="32"/>
      <c r="AA18" s="32"/>
      <c r="AB18" s="32"/>
      <c r="AC18" s="32" t="s">
        <v>382</v>
      </c>
      <c r="AD18" s="32">
        <v>2200</v>
      </c>
      <c r="AE18" s="32">
        <v>2</v>
      </c>
      <c r="AF18" s="32" t="b">
        <v>0</v>
      </c>
      <c r="AG18" s="32">
        <v>0</v>
      </c>
      <c r="AH18" s="32"/>
      <c r="AI18" s="32"/>
      <c r="AJ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</row>
    <row r="19" ht="15.6" spans="1:80">
      <c r="A19"/>
      <c r="B19" s="32">
        <v>21001105</v>
      </c>
      <c r="C19" s="32" t="s">
        <v>415</v>
      </c>
      <c r="D19" s="32" t="s">
        <v>415</v>
      </c>
      <c r="E19" s="32" t="s">
        <v>706</v>
      </c>
      <c r="F19" s="32">
        <v>5</v>
      </c>
      <c r="G19" s="32" t="s">
        <v>728</v>
      </c>
      <c r="H19" s="32" t="s">
        <v>729</v>
      </c>
      <c r="I19" s="32" t="b">
        <v>1</v>
      </c>
      <c r="J19" s="32" t="s">
        <v>709</v>
      </c>
      <c r="K19" s="32" t="s">
        <v>360</v>
      </c>
      <c r="L19" s="32">
        <v>1</v>
      </c>
      <c r="M19" s="32">
        <v>9000</v>
      </c>
      <c r="N19" s="32">
        <v>3000</v>
      </c>
      <c r="O19" s="32" t="s">
        <v>367</v>
      </c>
      <c r="P19" s="32">
        <v>0</v>
      </c>
      <c r="Q19" s="32">
        <v>30044</v>
      </c>
      <c r="R19" s="32" t="s">
        <v>360</v>
      </c>
      <c r="S19" s="32" t="s">
        <v>730</v>
      </c>
      <c r="T19" s="32">
        <v>1</v>
      </c>
      <c r="U19" s="32" t="s">
        <v>731</v>
      </c>
      <c r="V19" s="32">
        <v>10000</v>
      </c>
      <c r="W19" s="32"/>
      <c r="X19" s="32"/>
      <c r="Y19" s="32"/>
      <c r="Z19" s="32"/>
      <c r="AA19" s="32"/>
      <c r="AB19" s="32"/>
      <c r="AC19" s="32" t="s">
        <v>382</v>
      </c>
      <c r="AD19" s="32">
        <v>2400</v>
      </c>
      <c r="AE19" s="32">
        <v>2</v>
      </c>
      <c r="AF19" s="32" t="b">
        <v>0</v>
      </c>
      <c r="AG19" s="32">
        <v>0</v>
      </c>
      <c r="AH19" s="32"/>
      <c r="AI19" s="32"/>
      <c r="AJ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</row>
    <row r="20" ht="15.6" spans="1:80">
      <c r="A20"/>
      <c r="B20" s="32">
        <v>21001106</v>
      </c>
      <c r="C20" s="32" t="s">
        <v>415</v>
      </c>
      <c r="D20" s="32" t="s">
        <v>415</v>
      </c>
      <c r="E20" s="32" t="s">
        <v>706</v>
      </c>
      <c r="F20" s="32">
        <v>6</v>
      </c>
      <c r="G20" s="32" t="s">
        <v>728</v>
      </c>
      <c r="H20" s="32" t="s">
        <v>729</v>
      </c>
      <c r="I20" s="32" t="b">
        <v>1</v>
      </c>
      <c r="J20" s="32" t="s">
        <v>709</v>
      </c>
      <c r="K20" s="32" t="s">
        <v>360</v>
      </c>
      <c r="L20" s="32">
        <v>1</v>
      </c>
      <c r="M20" s="32">
        <v>9000</v>
      </c>
      <c r="N20" s="32">
        <v>3000</v>
      </c>
      <c r="O20" s="32" t="s">
        <v>367</v>
      </c>
      <c r="P20" s="32">
        <v>0</v>
      </c>
      <c r="Q20" s="32">
        <v>30044</v>
      </c>
      <c r="R20" s="32" t="s">
        <v>360</v>
      </c>
      <c r="S20" s="32" t="s">
        <v>730</v>
      </c>
      <c r="T20" s="32">
        <v>1</v>
      </c>
      <c r="U20" s="32" t="s">
        <v>731</v>
      </c>
      <c r="V20" s="32">
        <v>10000</v>
      </c>
      <c r="W20" s="32"/>
      <c r="X20" s="32"/>
      <c r="Y20" s="32"/>
      <c r="Z20" s="32"/>
      <c r="AA20" s="32"/>
      <c r="AB20" s="32"/>
      <c r="AC20" s="32" t="s">
        <v>382</v>
      </c>
      <c r="AD20" s="32">
        <v>2600</v>
      </c>
      <c r="AE20" s="32">
        <v>2</v>
      </c>
      <c r="AF20" s="32" t="b">
        <v>0</v>
      </c>
      <c r="AG20" s="32">
        <v>0</v>
      </c>
      <c r="AH20" s="32"/>
      <c r="AI20" s="32"/>
      <c r="AJ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</row>
    <row r="21" ht="15.6" spans="1:80">
      <c r="A21"/>
      <c r="B21" s="32">
        <v>21001107</v>
      </c>
      <c r="C21" s="32" t="s">
        <v>415</v>
      </c>
      <c r="D21" s="32" t="s">
        <v>415</v>
      </c>
      <c r="E21" s="32" t="s">
        <v>706</v>
      </c>
      <c r="F21" s="32">
        <v>7</v>
      </c>
      <c r="G21" s="32" t="s">
        <v>728</v>
      </c>
      <c r="H21" s="32" t="s">
        <v>729</v>
      </c>
      <c r="I21" s="32" t="b">
        <v>1</v>
      </c>
      <c r="J21" s="32" t="s">
        <v>709</v>
      </c>
      <c r="K21" s="32" t="s">
        <v>360</v>
      </c>
      <c r="L21" s="32">
        <v>1</v>
      </c>
      <c r="M21" s="32">
        <v>9000</v>
      </c>
      <c r="N21" s="32">
        <v>3000</v>
      </c>
      <c r="O21" s="32" t="s">
        <v>367</v>
      </c>
      <c r="P21" s="32">
        <v>0</v>
      </c>
      <c r="Q21" s="32">
        <v>30044</v>
      </c>
      <c r="R21" s="32" t="s">
        <v>360</v>
      </c>
      <c r="S21" s="32" t="s">
        <v>730</v>
      </c>
      <c r="T21" s="32">
        <v>1</v>
      </c>
      <c r="U21" s="32" t="s">
        <v>731</v>
      </c>
      <c r="V21" s="32">
        <v>10000</v>
      </c>
      <c r="W21" s="32"/>
      <c r="X21" s="32"/>
      <c r="Y21" s="32"/>
      <c r="Z21" s="32"/>
      <c r="AA21" s="32"/>
      <c r="AB21" s="32"/>
      <c r="AC21" s="32" t="s">
        <v>382</v>
      </c>
      <c r="AD21" s="32">
        <v>2800</v>
      </c>
      <c r="AE21" s="32">
        <v>2</v>
      </c>
      <c r="AF21" s="32" t="b">
        <v>0</v>
      </c>
      <c r="AG21" s="32">
        <v>0</v>
      </c>
      <c r="AH21" s="32"/>
      <c r="AI21" s="32"/>
      <c r="AJ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</row>
    <row r="22" ht="15.6" spans="1:80">
      <c r="A22"/>
      <c r="B22" s="32">
        <v>21001108</v>
      </c>
      <c r="C22" s="32" t="s">
        <v>415</v>
      </c>
      <c r="D22" s="32" t="s">
        <v>415</v>
      </c>
      <c r="E22" s="32" t="s">
        <v>706</v>
      </c>
      <c r="F22" s="32">
        <v>8</v>
      </c>
      <c r="G22" s="32" t="s">
        <v>728</v>
      </c>
      <c r="H22" s="32" t="s">
        <v>729</v>
      </c>
      <c r="I22" s="32" t="b">
        <v>1</v>
      </c>
      <c r="J22" s="32" t="s">
        <v>709</v>
      </c>
      <c r="K22" s="32" t="s">
        <v>360</v>
      </c>
      <c r="L22" s="32">
        <v>1</v>
      </c>
      <c r="M22" s="32">
        <v>9000</v>
      </c>
      <c r="N22" s="32">
        <v>3000</v>
      </c>
      <c r="O22" s="32" t="s">
        <v>367</v>
      </c>
      <c r="P22" s="32">
        <v>0</v>
      </c>
      <c r="Q22" s="32">
        <v>30044</v>
      </c>
      <c r="R22" s="32" t="s">
        <v>360</v>
      </c>
      <c r="S22" s="32" t="s">
        <v>730</v>
      </c>
      <c r="T22" s="32">
        <v>1</v>
      </c>
      <c r="U22" s="32" t="s">
        <v>731</v>
      </c>
      <c r="V22" s="32">
        <v>10000</v>
      </c>
      <c r="W22" s="32"/>
      <c r="X22" s="32"/>
      <c r="Y22" s="32"/>
      <c r="Z22" s="32"/>
      <c r="AA22" s="32"/>
      <c r="AB22" s="32"/>
      <c r="AC22" s="32" t="s">
        <v>382</v>
      </c>
      <c r="AD22" s="32">
        <v>3000</v>
      </c>
      <c r="AE22" s="32">
        <v>3</v>
      </c>
      <c r="AF22" s="32" t="b">
        <v>0</v>
      </c>
      <c r="AG22" s="32">
        <v>0</v>
      </c>
      <c r="AH22" s="32"/>
      <c r="AI22" s="32"/>
      <c r="AJ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</row>
    <row r="23" ht="15.6" spans="1:80">
      <c r="A23"/>
      <c r="B23" s="32">
        <v>21001109</v>
      </c>
      <c r="C23" s="32" t="s">
        <v>415</v>
      </c>
      <c r="D23" s="32" t="s">
        <v>415</v>
      </c>
      <c r="E23" s="32" t="s">
        <v>706</v>
      </c>
      <c r="F23" s="32">
        <v>9</v>
      </c>
      <c r="G23" s="32" t="s">
        <v>728</v>
      </c>
      <c r="H23" s="32" t="s">
        <v>729</v>
      </c>
      <c r="I23" s="32" t="b">
        <v>1</v>
      </c>
      <c r="J23" s="32" t="s">
        <v>709</v>
      </c>
      <c r="K23" s="32" t="s">
        <v>360</v>
      </c>
      <c r="L23" s="32">
        <v>1</v>
      </c>
      <c r="M23" s="32">
        <v>9000</v>
      </c>
      <c r="N23" s="32">
        <v>3000</v>
      </c>
      <c r="O23" s="32" t="s">
        <v>367</v>
      </c>
      <c r="P23" s="32">
        <v>0</v>
      </c>
      <c r="Q23" s="32">
        <v>30044</v>
      </c>
      <c r="R23" s="32" t="s">
        <v>360</v>
      </c>
      <c r="S23" s="32" t="s">
        <v>730</v>
      </c>
      <c r="T23" s="32">
        <v>1</v>
      </c>
      <c r="U23" s="32" t="s">
        <v>731</v>
      </c>
      <c r="V23" s="32">
        <v>10000</v>
      </c>
      <c r="W23" s="32"/>
      <c r="X23" s="32"/>
      <c r="Y23" s="32"/>
      <c r="Z23" s="32"/>
      <c r="AA23" s="32"/>
      <c r="AB23" s="32"/>
      <c r="AC23" s="32" t="s">
        <v>382</v>
      </c>
      <c r="AD23" s="32">
        <v>3200</v>
      </c>
      <c r="AE23" s="32">
        <v>3</v>
      </c>
      <c r="AF23" s="32" t="b">
        <v>0</v>
      </c>
      <c r="AG23" s="32">
        <v>0</v>
      </c>
      <c r="AH23" s="32"/>
      <c r="AI23" s="32"/>
      <c r="AJ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</row>
    <row r="24" ht="15.6" spans="1:80">
      <c r="A24"/>
      <c r="B24" s="32">
        <v>21001110</v>
      </c>
      <c r="C24" s="32" t="s">
        <v>415</v>
      </c>
      <c r="D24" s="32" t="s">
        <v>415</v>
      </c>
      <c r="E24" s="32" t="s">
        <v>706</v>
      </c>
      <c r="F24" s="32">
        <v>10</v>
      </c>
      <c r="G24" s="32" t="s">
        <v>728</v>
      </c>
      <c r="H24" s="32" t="s">
        <v>729</v>
      </c>
      <c r="I24" s="32" t="b">
        <v>1</v>
      </c>
      <c r="J24" s="32" t="s">
        <v>709</v>
      </c>
      <c r="K24" s="32" t="s">
        <v>360</v>
      </c>
      <c r="L24" s="32">
        <v>1</v>
      </c>
      <c r="M24" s="32">
        <v>9000</v>
      </c>
      <c r="N24" s="32">
        <v>3000</v>
      </c>
      <c r="O24" s="32" t="s">
        <v>367</v>
      </c>
      <c r="P24" s="32">
        <v>0</v>
      </c>
      <c r="Q24" s="32">
        <v>30044</v>
      </c>
      <c r="R24" s="32" t="s">
        <v>360</v>
      </c>
      <c r="S24" s="32" t="s">
        <v>730</v>
      </c>
      <c r="T24" s="32">
        <v>1</v>
      </c>
      <c r="U24" s="32" t="s">
        <v>731</v>
      </c>
      <c r="V24" s="32">
        <v>10000</v>
      </c>
      <c r="W24" s="32"/>
      <c r="X24" s="32"/>
      <c r="Y24" s="32"/>
      <c r="Z24" s="32"/>
      <c r="AA24" s="32"/>
      <c r="AB24" s="32"/>
      <c r="AC24" s="32" t="s">
        <v>382</v>
      </c>
      <c r="AD24" s="32">
        <v>3500</v>
      </c>
      <c r="AE24" s="32">
        <v>3</v>
      </c>
      <c r="AF24" s="32" t="b">
        <v>0</v>
      </c>
      <c r="AG24" s="32">
        <v>0</v>
      </c>
      <c r="AH24" s="32"/>
      <c r="AI24" s="32"/>
      <c r="AJ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</row>
    <row r="25" ht="15.6" spans="1:80">
      <c r="A25"/>
      <c r="B25" s="32">
        <v>21001201</v>
      </c>
      <c r="C25" s="32" t="s">
        <v>418</v>
      </c>
      <c r="D25" s="32" t="s">
        <v>418</v>
      </c>
      <c r="E25" s="32" t="s">
        <v>706</v>
      </c>
      <c r="F25" s="32">
        <v>1</v>
      </c>
      <c r="G25" s="32" t="s">
        <v>732</v>
      </c>
      <c r="H25" s="32" t="s">
        <v>733</v>
      </c>
      <c r="I25" s="32" t="b">
        <v>1</v>
      </c>
      <c r="J25" s="32" t="s">
        <v>709</v>
      </c>
      <c r="K25" s="32" t="s">
        <v>360</v>
      </c>
      <c r="L25" s="32">
        <v>1</v>
      </c>
      <c r="M25" s="32">
        <v>2000</v>
      </c>
      <c r="N25" s="32">
        <v>0</v>
      </c>
      <c r="O25" s="32" t="s">
        <v>367</v>
      </c>
      <c r="P25" s="32">
        <v>0</v>
      </c>
      <c r="Q25" s="32">
        <v>30082</v>
      </c>
      <c r="R25" s="32" t="s">
        <v>710</v>
      </c>
      <c r="S25" s="32" t="s">
        <v>711</v>
      </c>
      <c r="T25" s="32">
        <v>1</v>
      </c>
      <c r="U25" s="32" t="s">
        <v>712</v>
      </c>
      <c r="V25" s="32">
        <v>10000</v>
      </c>
      <c r="W25" s="32" t="s">
        <v>705</v>
      </c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</row>
    <row r="26" ht="15.6" spans="1:80">
      <c r="A26"/>
      <c r="B26" s="32">
        <v>21001202</v>
      </c>
      <c r="C26" s="32" t="s">
        <v>418</v>
      </c>
      <c r="D26" s="32" t="s">
        <v>418</v>
      </c>
      <c r="E26" s="32" t="s">
        <v>706</v>
      </c>
      <c r="F26" s="32">
        <v>2</v>
      </c>
      <c r="G26" s="32" t="s">
        <v>732</v>
      </c>
      <c r="H26" s="32" t="s">
        <v>733</v>
      </c>
      <c r="I26" s="32" t="b">
        <v>1</v>
      </c>
      <c r="J26" s="32" t="s">
        <v>709</v>
      </c>
      <c r="K26" s="32" t="s">
        <v>360</v>
      </c>
      <c r="L26" s="32">
        <v>1</v>
      </c>
      <c r="M26" s="32">
        <v>2000</v>
      </c>
      <c r="N26" s="32">
        <v>0</v>
      </c>
      <c r="O26" s="32" t="s">
        <v>367</v>
      </c>
      <c r="P26" s="32">
        <v>0</v>
      </c>
      <c r="Q26" s="32">
        <v>30082</v>
      </c>
      <c r="R26" s="32" t="s">
        <v>710</v>
      </c>
      <c r="S26" s="32" t="s">
        <v>711</v>
      </c>
      <c r="T26" s="32">
        <v>1</v>
      </c>
      <c r="U26" s="32" t="s">
        <v>712</v>
      </c>
      <c r="V26" s="32">
        <v>10000</v>
      </c>
      <c r="W26" s="32" t="s">
        <v>705</v>
      </c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</row>
    <row r="27" ht="15.6" spans="1:80">
      <c r="A27"/>
      <c r="B27" s="32">
        <v>21001203</v>
      </c>
      <c r="C27" s="32" t="s">
        <v>418</v>
      </c>
      <c r="D27" s="32" t="s">
        <v>418</v>
      </c>
      <c r="E27" s="32" t="s">
        <v>706</v>
      </c>
      <c r="F27" s="32">
        <v>3</v>
      </c>
      <c r="G27" s="32" t="s">
        <v>732</v>
      </c>
      <c r="H27" s="32" t="s">
        <v>733</v>
      </c>
      <c r="I27" s="32" t="b">
        <v>1</v>
      </c>
      <c r="J27" s="32" t="s">
        <v>709</v>
      </c>
      <c r="K27" s="32" t="s">
        <v>360</v>
      </c>
      <c r="L27" s="32">
        <v>1</v>
      </c>
      <c r="M27" s="32">
        <v>2000</v>
      </c>
      <c r="N27" s="32">
        <v>0</v>
      </c>
      <c r="O27" s="32" t="s">
        <v>367</v>
      </c>
      <c r="P27" s="32">
        <v>0</v>
      </c>
      <c r="Q27" s="32">
        <v>30082</v>
      </c>
      <c r="R27" s="32" t="s">
        <v>710</v>
      </c>
      <c r="S27" s="32" t="s">
        <v>711</v>
      </c>
      <c r="T27" s="32">
        <v>1</v>
      </c>
      <c r="U27" s="32" t="s">
        <v>712</v>
      </c>
      <c r="V27" s="32">
        <v>10000</v>
      </c>
      <c r="W27" s="32" t="s">
        <v>705</v>
      </c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</row>
    <row r="28" ht="15.6" spans="1:80">
      <c r="A28"/>
      <c r="B28" s="32">
        <v>21001204</v>
      </c>
      <c r="C28" s="32" t="s">
        <v>418</v>
      </c>
      <c r="D28" s="32" t="s">
        <v>418</v>
      </c>
      <c r="E28" s="32" t="s">
        <v>706</v>
      </c>
      <c r="F28" s="32">
        <v>4</v>
      </c>
      <c r="G28" s="32" t="s">
        <v>732</v>
      </c>
      <c r="H28" s="32" t="s">
        <v>733</v>
      </c>
      <c r="I28" s="32" t="b">
        <v>1</v>
      </c>
      <c r="J28" s="32" t="s">
        <v>709</v>
      </c>
      <c r="K28" s="32" t="s">
        <v>360</v>
      </c>
      <c r="L28" s="32">
        <v>1</v>
      </c>
      <c r="M28" s="32">
        <v>2000</v>
      </c>
      <c r="N28" s="32">
        <v>0</v>
      </c>
      <c r="O28" s="32" t="s">
        <v>367</v>
      </c>
      <c r="P28" s="32">
        <v>0</v>
      </c>
      <c r="Q28" s="32">
        <v>30082</v>
      </c>
      <c r="R28" s="32" t="s">
        <v>710</v>
      </c>
      <c r="S28" s="32" t="s">
        <v>711</v>
      </c>
      <c r="T28" s="32">
        <v>1</v>
      </c>
      <c r="U28" s="32" t="s">
        <v>712</v>
      </c>
      <c r="V28" s="32">
        <v>10000</v>
      </c>
      <c r="W28" s="32" t="s">
        <v>705</v>
      </c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</row>
    <row r="29" ht="15.6" spans="1:80">
      <c r="A29"/>
      <c r="B29" s="32">
        <v>21001205</v>
      </c>
      <c r="C29" s="32" t="s">
        <v>418</v>
      </c>
      <c r="D29" s="32" t="s">
        <v>418</v>
      </c>
      <c r="E29" s="32" t="s">
        <v>706</v>
      </c>
      <c r="F29" s="32">
        <v>5</v>
      </c>
      <c r="G29" s="32" t="s">
        <v>732</v>
      </c>
      <c r="H29" s="32" t="s">
        <v>733</v>
      </c>
      <c r="I29" s="32" t="b">
        <v>1</v>
      </c>
      <c r="J29" s="32" t="s">
        <v>709</v>
      </c>
      <c r="K29" s="32" t="s">
        <v>360</v>
      </c>
      <c r="L29" s="32">
        <v>1</v>
      </c>
      <c r="M29" s="32">
        <v>2000</v>
      </c>
      <c r="N29" s="32">
        <v>0</v>
      </c>
      <c r="O29" s="32" t="s">
        <v>367</v>
      </c>
      <c r="P29" s="32">
        <v>0</v>
      </c>
      <c r="Q29" s="32">
        <v>30082</v>
      </c>
      <c r="R29" s="32" t="s">
        <v>710</v>
      </c>
      <c r="S29" s="32" t="s">
        <v>711</v>
      </c>
      <c r="T29" s="32">
        <v>1</v>
      </c>
      <c r="U29" s="32" t="s">
        <v>712</v>
      </c>
      <c r="V29" s="32">
        <v>10000</v>
      </c>
      <c r="W29" s="32" t="s">
        <v>705</v>
      </c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</row>
    <row r="30" ht="15.6" spans="1:80">
      <c r="A30"/>
      <c r="B30" s="32">
        <v>21001206</v>
      </c>
      <c r="C30" s="32" t="s">
        <v>418</v>
      </c>
      <c r="D30" s="32" t="s">
        <v>418</v>
      </c>
      <c r="E30" s="32" t="s">
        <v>706</v>
      </c>
      <c r="F30" s="32">
        <v>6</v>
      </c>
      <c r="G30" s="32" t="s">
        <v>732</v>
      </c>
      <c r="H30" s="32" t="s">
        <v>733</v>
      </c>
      <c r="I30" s="32" t="b">
        <v>1</v>
      </c>
      <c r="J30" s="32" t="s">
        <v>709</v>
      </c>
      <c r="K30" s="32" t="s">
        <v>360</v>
      </c>
      <c r="L30" s="32">
        <v>1</v>
      </c>
      <c r="M30" s="32">
        <v>2000</v>
      </c>
      <c r="N30" s="32">
        <v>0</v>
      </c>
      <c r="O30" s="32" t="s">
        <v>367</v>
      </c>
      <c r="P30" s="32">
        <v>0</v>
      </c>
      <c r="Q30" s="32">
        <v>30082</v>
      </c>
      <c r="R30" s="32" t="s">
        <v>710</v>
      </c>
      <c r="S30" s="32" t="s">
        <v>711</v>
      </c>
      <c r="T30" s="32">
        <v>1</v>
      </c>
      <c r="U30" s="32" t="s">
        <v>712</v>
      </c>
      <c r="V30" s="32">
        <v>10000</v>
      </c>
      <c r="W30" s="32" t="s">
        <v>705</v>
      </c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</row>
    <row r="31" ht="15.6" spans="1:80">
      <c r="A31"/>
      <c r="B31" s="32">
        <v>21001207</v>
      </c>
      <c r="C31" s="32" t="s">
        <v>418</v>
      </c>
      <c r="D31" s="32" t="s">
        <v>418</v>
      </c>
      <c r="E31" s="32" t="s">
        <v>706</v>
      </c>
      <c r="F31" s="32">
        <v>7</v>
      </c>
      <c r="G31" s="32" t="s">
        <v>732</v>
      </c>
      <c r="H31" s="32" t="s">
        <v>733</v>
      </c>
      <c r="I31" s="32" t="b">
        <v>1</v>
      </c>
      <c r="J31" s="32" t="s">
        <v>709</v>
      </c>
      <c r="K31" s="32" t="s">
        <v>360</v>
      </c>
      <c r="L31" s="32">
        <v>1</v>
      </c>
      <c r="M31" s="32">
        <v>2000</v>
      </c>
      <c r="N31" s="32">
        <v>0</v>
      </c>
      <c r="O31" s="32" t="s">
        <v>367</v>
      </c>
      <c r="P31" s="32">
        <v>0</v>
      </c>
      <c r="Q31" s="32">
        <v>30082</v>
      </c>
      <c r="R31" s="32" t="s">
        <v>710</v>
      </c>
      <c r="S31" s="32" t="s">
        <v>711</v>
      </c>
      <c r="T31" s="32">
        <v>1</v>
      </c>
      <c r="U31" s="32" t="s">
        <v>712</v>
      </c>
      <c r="V31" s="32">
        <v>10000</v>
      </c>
      <c r="W31" s="32" t="s">
        <v>705</v>
      </c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</row>
    <row r="32" ht="15.6" spans="1:80">
      <c r="A32"/>
      <c r="B32" s="32">
        <v>21001208</v>
      </c>
      <c r="C32" s="32" t="s">
        <v>418</v>
      </c>
      <c r="D32" s="32" t="s">
        <v>418</v>
      </c>
      <c r="E32" s="32" t="s">
        <v>706</v>
      </c>
      <c r="F32" s="32">
        <v>8</v>
      </c>
      <c r="G32" s="32" t="s">
        <v>732</v>
      </c>
      <c r="H32" s="32" t="s">
        <v>733</v>
      </c>
      <c r="I32" s="32" t="b">
        <v>1</v>
      </c>
      <c r="J32" s="32" t="s">
        <v>709</v>
      </c>
      <c r="K32" s="32" t="s">
        <v>360</v>
      </c>
      <c r="L32" s="32">
        <v>1</v>
      </c>
      <c r="M32" s="32">
        <v>2000</v>
      </c>
      <c r="N32" s="32">
        <v>0</v>
      </c>
      <c r="O32" s="32" t="s">
        <v>367</v>
      </c>
      <c r="P32" s="32">
        <v>0</v>
      </c>
      <c r="Q32" s="32">
        <v>30082</v>
      </c>
      <c r="R32" s="32" t="s">
        <v>710</v>
      </c>
      <c r="S32" s="32" t="s">
        <v>711</v>
      </c>
      <c r="T32" s="32">
        <v>1</v>
      </c>
      <c r="U32" s="32" t="s">
        <v>712</v>
      </c>
      <c r="V32" s="32">
        <v>10000</v>
      </c>
      <c r="W32" s="32" t="s">
        <v>705</v>
      </c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</row>
    <row r="33" ht="15.6" spans="1:80">
      <c r="A33"/>
      <c r="B33" s="32">
        <v>21001209</v>
      </c>
      <c r="C33" s="32" t="s">
        <v>418</v>
      </c>
      <c r="D33" s="32" t="s">
        <v>418</v>
      </c>
      <c r="E33" s="32" t="s">
        <v>706</v>
      </c>
      <c r="F33" s="32">
        <v>9</v>
      </c>
      <c r="G33" s="32" t="s">
        <v>732</v>
      </c>
      <c r="H33" s="32" t="s">
        <v>733</v>
      </c>
      <c r="I33" s="32" t="b">
        <v>1</v>
      </c>
      <c r="J33" s="32" t="s">
        <v>709</v>
      </c>
      <c r="K33" s="32" t="s">
        <v>360</v>
      </c>
      <c r="L33" s="32">
        <v>1</v>
      </c>
      <c r="M33" s="32">
        <v>2000</v>
      </c>
      <c r="N33" s="32">
        <v>0</v>
      </c>
      <c r="O33" s="32" t="s">
        <v>367</v>
      </c>
      <c r="P33" s="32">
        <v>0</v>
      </c>
      <c r="Q33" s="32">
        <v>30082</v>
      </c>
      <c r="R33" s="32" t="s">
        <v>710</v>
      </c>
      <c r="S33" s="32" t="s">
        <v>711</v>
      </c>
      <c r="T33" s="32">
        <v>1</v>
      </c>
      <c r="U33" s="32" t="s">
        <v>712</v>
      </c>
      <c r="V33" s="32">
        <v>10000</v>
      </c>
      <c r="W33" s="32" t="s">
        <v>705</v>
      </c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</row>
    <row r="34" ht="15.6" spans="1:80">
      <c r="A34"/>
      <c r="B34" s="32">
        <v>21001210</v>
      </c>
      <c r="C34" s="32" t="s">
        <v>418</v>
      </c>
      <c r="D34" s="32" t="s">
        <v>418</v>
      </c>
      <c r="E34" s="32" t="s">
        <v>706</v>
      </c>
      <c r="F34" s="32">
        <v>10</v>
      </c>
      <c r="G34" s="32" t="s">
        <v>732</v>
      </c>
      <c r="H34" s="32" t="s">
        <v>733</v>
      </c>
      <c r="I34" s="32" t="b">
        <v>1</v>
      </c>
      <c r="J34" s="32" t="s">
        <v>709</v>
      </c>
      <c r="K34" s="32" t="s">
        <v>360</v>
      </c>
      <c r="L34" s="32">
        <v>1</v>
      </c>
      <c r="M34" s="32">
        <v>2000</v>
      </c>
      <c r="N34" s="32">
        <v>0</v>
      </c>
      <c r="O34" s="32" t="s">
        <v>367</v>
      </c>
      <c r="P34" s="32">
        <v>0</v>
      </c>
      <c r="Q34" s="32">
        <v>30082</v>
      </c>
      <c r="R34" s="32" t="s">
        <v>710</v>
      </c>
      <c r="S34" s="32" t="s">
        <v>711</v>
      </c>
      <c r="T34" s="32">
        <v>1</v>
      </c>
      <c r="U34" s="32" t="s">
        <v>712</v>
      </c>
      <c r="V34" s="32">
        <v>10000</v>
      </c>
      <c r="W34" s="32" t="s">
        <v>705</v>
      </c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</row>
    <row r="35" ht="15.6" spans="1:80">
      <c r="A35"/>
      <c r="B35" s="32">
        <v>21001301</v>
      </c>
      <c r="C35" s="32" t="s">
        <v>420</v>
      </c>
      <c r="D35" s="32" t="s">
        <v>420</v>
      </c>
      <c r="E35" s="32" t="s">
        <v>706</v>
      </c>
      <c r="F35" s="32">
        <v>1</v>
      </c>
      <c r="G35" s="32" t="s">
        <v>734</v>
      </c>
      <c r="H35" s="32" t="s">
        <v>735</v>
      </c>
      <c r="I35" s="32" t="b">
        <v>1</v>
      </c>
      <c r="J35" s="32" t="s">
        <v>709</v>
      </c>
      <c r="K35" s="32" t="s">
        <v>360</v>
      </c>
      <c r="L35" s="32">
        <v>1</v>
      </c>
      <c r="M35" s="32">
        <v>2000</v>
      </c>
      <c r="N35" s="32">
        <v>0</v>
      </c>
      <c r="O35" s="32" t="s">
        <v>367</v>
      </c>
      <c r="P35" s="32">
        <v>0</v>
      </c>
      <c r="Q35" s="32">
        <v>30060</v>
      </c>
      <c r="R35" s="32" t="s">
        <v>710</v>
      </c>
      <c r="S35" s="32" t="s">
        <v>711</v>
      </c>
      <c r="T35" s="32">
        <v>1</v>
      </c>
      <c r="U35" s="32" t="s">
        <v>712</v>
      </c>
      <c r="V35" s="32">
        <v>10000</v>
      </c>
      <c r="W35" s="32" t="s">
        <v>716</v>
      </c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</row>
    <row r="36" ht="15.6" spans="1:80">
      <c r="A36"/>
      <c r="B36" s="32">
        <v>21001302</v>
      </c>
      <c r="C36" s="32" t="s">
        <v>420</v>
      </c>
      <c r="D36" s="32" t="s">
        <v>420</v>
      </c>
      <c r="E36" s="32" t="s">
        <v>706</v>
      </c>
      <c r="F36" s="32">
        <v>2</v>
      </c>
      <c r="G36" s="32" t="s">
        <v>734</v>
      </c>
      <c r="H36" s="32" t="s">
        <v>735</v>
      </c>
      <c r="I36" s="32" t="b">
        <v>1</v>
      </c>
      <c r="J36" s="32" t="s">
        <v>709</v>
      </c>
      <c r="K36" s="32" t="s">
        <v>360</v>
      </c>
      <c r="L36" s="32">
        <v>1</v>
      </c>
      <c r="M36" s="32">
        <v>2000</v>
      </c>
      <c r="N36" s="32">
        <v>0</v>
      </c>
      <c r="O36" s="32" t="s">
        <v>367</v>
      </c>
      <c r="P36" s="32">
        <v>0</v>
      </c>
      <c r="Q36" s="32">
        <v>30060</v>
      </c>
      <c r="R36" s="32" t="s">
        <v>710</v>
      </c>
      <c r="S36" s="32" t="s">
        <v>711</v>
      </c>
      <c r="T36" s="32">
        <v>1</v>
      </c>
      <c r="U36" s="32" t="s">
        <v>712</v>
      </c>
      <c r="V36" s="32">
        <v>10000</v>
      </c>
      <c r="W36" s="32" t="s">
        <v>716</v>
      </c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</row>
    <row r="37" ht="15.6" spans="1:80">
      <c r="A37"/>
      <c r="B37" s="32">
        <v>21001303</v>
      </c>
      <c r="C37" s="32" t="s">
        <v>420</v>
      </c>
      <c r="D37" s="32" t="s">
        <v>420</v>
      </c>
      <c r="E37" s="32" t="s">
        <v>706</v>
      </c>
      <c r="F37" s="32">
        <v>3</v>
      </c>
      <c r="G37" s="32" t="s">
        <v>734</v>
      </c>
      <c r="H37" s="32" t="s">
        <v>735</v>
      </c>
      <c r="I37" s="32" t="b">
        <v>1</v>
      </c>
      <c r="J37" s="32" t="s">
        <v>709</v>
      </c>
      <c r="K37" s="32" t="s">
        <v>360</v>
      </c>
      <c r="L37" s="32">
        <v>1</v>
      </c>
      <c r="M37" s="32">
        <v>2000</v>
      </c>
      <c r="N37" s="32">
        <v>0</v>
      </c>
      <c r="O37" s="32" t="s">
        <v>367</v>
      </c>
      <c r="P37" s="32">
        <v>0</v>
      </c>
      <c r="Q37" s="32">
        <v>30060</v>
      </c>
      <c r="R37" s="32" t="s">
        <v>710</v>
      </c>
      <c r="S37" s="32" t="s">
        <v>711</v>
      </c>
      <c r="T37" s="32">
        <v>1</v>
      </c>
      <c r="U37" s="32" t="s">
        <v>712</v>
      </c>
      <c r="V37" s="32">
        <v>10000</v>
      </c>
      <c r="W37" s="32" t="s">
        <v>716</v>
      </c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</row>
    <row r="38" ht="15.6" spans="1:80">
      <c r="A38"/>
      <c r="B38" s="32">
        <v>21001304</v>
      </c>
      <c r="C38" s="32" t="s">
        <v>420</v>
      </c>
      <c r="D38" s="32" t="s">
        <v>420</v>
      </c>
      <c r="E38" s="32" t="s">
        <v>706</v>
      </c>
      <c r="F38" s="32">
        <v>4</v>
      </c>
      <c r="G38" s="32" t="s">
        <v>734</v>
      </c>
      <c r="H38" s="32" t="s">
        <v>735</v>
      </c>
      <c r="I38" s="32" t="b">
        <v>1</v>
      </c>
      <c r="J38" s="32" t="s">
        <v>709</v>
      </c>
      <c r="K38" s="32" t="s">
        <v>360</v>
      </c>
      <c r="L38" s="32">
        <v>1</v>
      </c>
      <c r="M38" s="32">
        <v>2000</v>
      </c>
      <c r="N38" s="32">
        <v>0</v>
      </c>
      <c r="O38" s="32" t="s">
        <v>367</v>
      </c>
      <c r="P38" s="32">
        <v>0</v>
      </c>
      <c r="Q38" s="32">
        <v>30060</v>
      </c>
      <c r="R38" s="32" t="s">
        <v>710</v>
      </c>
      <c r="S38" s="32" t="s">
        <v>711</v>
      </c>
      <c r="T38" s="32">
        <v>1</v>
      </c>
      <c r="U38" s="32" t="s">
        <v>712</v>
      </c>
      <c r="V38" s="32">
        <v>10000</v>
      </c>
      <c r="W38" s="32" t="s">
        <v>716</v>
      </c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</row>
    <row r="39" ht="15.6" spans="1:80">
      <c r="A39"/>
      <c r="B39" s="32">
        <v>21001305</v>
      </c>
      <c r="C39" s="32" t="s">
        <v>420</v>
      </c>
      <c r="D39" s="32" t="s">
        <v>420</v>
      </c>
      <c r="E39" s="32" t="s">
        <v>706</v>
      </c>
      <c r="F39" s="32">
        <v>5</v>
      </c>
      <c r="G39" s="32" t="s">
        <v>734</v>
      </c>
      <c r="H39" s="32" t="s">
        <v>735</v>
      </c>
      <c r="I39" s="32" t="b">
        <v>1</v>
      </c>
      <c r="J39" s="32" t="s">
        <v>709</v>
      </c>
      <c r="K39" s="32" t="s">
        <v>360</v>
      </c>
      <c r="L39" s="32">
        <v>1</v>
      </c>
      <c r="M39" s="32">
        <v>2000</v>
      </c>
      <c r="N39" s="32">
        <v>0</v>
      </c>
      <c r="O39" s="32" t="s">
        <v>367</v>
      </c>
      <c r="P39" s="32">
        <v>0</v>
      </c>
      <c r="Q39" s="32">
        <v>30060</v>
      </c>
      <c r="R39" s="32" t="s">
        <v>710</v>
      </c>
      <c r="S39" s="32" t="s">
        <v>711</v>
      </c>
      <c r="T39" s="32">
        <v>1</v>
      </c>
      <c r="U39" s="32" t="s">
        <v>712</v>
      </c>
      <c r="V39" s="32">
        <v>10000</v>
      </c>
      <c r="W39" s="32" t="s">
        <v>716</v>
      </c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</row>
    <row r="40" ht="15.6" spans="1:80">
      <c r="A40"/>
      <c r="B40" s="32">
        <v>21001306</v>
      </c>
      <c r="C40" s="32" t="s">
        <v>420</v>
      </c>
      <c r="D40" s="32" t="s">
        <v>420</v>
      </c>
      <c r="E40" s="32" t="s">
        <v>706</v>
      </c>
      <c r="F40" s="32">
        <v>6</v>
      </c>
      <c r="G40" s="32" t="s">
        <v>734</v>
      </c>
      <c r="H40" s="32" t="s">
        <v>735</v>
      </c>
      <c r="I40" s="32" t="b">
        <v>1</v>
      </c>
      <c r="J40" s="32" t="s">
        <v>709</v>
      </c>
      <c r="K40" s="32" t="s">
        <v>360</v>
      </c>
      <c r="L40" s="32">
        <v>1</v>
      </c>
      <c r="M40" s="32">
        <v>2000</v>
      </c>
      <c r="N40" s="32">
        <v>0</v>
      </c>
      <c r="O40" s="32" t="s">
        <v>367</v>
      </c>
      <c r="P40" s="32">
        <v>0</v>
      </c>
      <c r="Q40" s="32">
        <v>30060</v>
      </c>
      <c r="R40" s="32" t="s">
        <v>710</v>
      </c>
      <c r="S40" s="32" t="s">
        <v>711</v>
      </c>
      <c r="T40" s="32">
        <v>1</v>
      </c>
      <c r="U40" s="32" t="s">
        <v>712</v>
      </c>
      <c r="V40" s="32">
        <v>10000</v>
      </c>
      <c r="W40" s="32" t="s">
        <v>716</v>
      </c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</row>
    <row r="41" ht="15.6" spans="1:80">
      <c r="A41"/>
      <c r="B41" s="32">
        <v>21001307</v>
      </c>
      <c r="C41" s="32" t="s">
        <v>420</v>
      </c>
      <c r="D41" s="32" t="s">
        <v>420</v>
      </c>
      <c r="E41" s="32" t="s">
        <v>706</v>
      </c>
      <c r="F41" s="32">
        <v>7</v>
      </c>
      <c r="G41" s="32" t="s">
        <v>734</v>
      </c>
      <c r="H41" s="32" t="s">
        <v>735</v>
      </c>
      <c r="I41" s="32" t="b">
        <v>1</v>
      </c>
      <c r="J41" s="32" t="s">
        <v>709</v>
      </c>
      <c r="K41" s="32" t="s">
        <v>360</v>
      </c>
      <c r="L41" s="32">
        <v>1</v>
      </c>
      <c r="M41" s="32">
        <v>2000</v>
      </c>
      <c r="N41" s="32">
        <v>0</v>
      </c>
      <c r="O41" s="32" t="s">
        <v>367</v>
      </c>
      <c r="P41" s="32">
        <v>0</v>
      </c>
      <c r="Q41" s="32">
        <v>30060</v>
      </c>
      <c r="R41" s="32" t="s">
        <v>710</v>
      </c>
      <c r="S41" s="32" t="s">
        <v>711</v>
      </c>
      <c r="T41" s="32">
        <v>1</v>
      </c>
      <c r="U41" s="32" t="s">
        <v>712</v>
      </c>
      <c r="V41" s="32">
        <v>10000</v>
      </c>
      <c r="W41" s="32" t="s">
        <v>716</v>
      </c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</row>
    <row r="42" ht="15.6" spans="1:80">
      <c r="A42"/>
      <c r="B42" s="32">
        <v>21001308</v>
      </c>
      <c r="C42" s="32" t="s">
        <v>420</v>
      </c>
      <c r="D42" s="32" t="s">
        <v>420</v>
      </c>
      <c r="E42" s="32" t="s">
        <v>706</v>
      </c>
      <c r="F42" s="32">
        <v>8</v>
      </c>
      <c r="G42" s="32" t="s">
        <v>734</v>
      </c>
      <c r="H42" s="32" t="s">
        <v>735</v>
      </c>
      <c r="I42" s="32" t="b">
        <v>1</v>
      </c>
      <c r="J42" s="32" t="s">
        <v>709</v>
      </c>
      <c r="K42" s="32" t="s">
        <v>360</v>
      </c>
      <c r="L42" s="32">
        <v>1</v>
      </c>
      <c r="M42" s="32">
        <v>2000</v>
      </c>
      <c r="N42" s="32">
        <v>0</v>
      </c>
      <c r="O42" s="32" t="s">
        <v>367</v>
      </c>
      <c r="P42" s="32">
        <v>0</v>
      </c>
      <c r="Q42" s="32">
        <v>30060</v>
      </c>
      <c r="R42" s="32" t="s">
        <v>710</v>
      </c>
      <c r="S42" s="32" t="s">
        <v>711</v>
      </c>
      <c r="T42" s="32">
        <v>1</v>
      </c>
      <c r="U42" s="32" t="s">
        <v>712</v>
      </c>
      <c r="V42" s="32">
        <v>10000</v>
      </c>
      <c r="W42" s="32" t="s">
        <v>716</v>
      </c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</row>
    <row r="43" ht="15.6" spans="1:80">
      <c r="A43"/>
      <c r="B43" s="32">
        <v>21001309</v>
      </c>
      <c r="C43" s="32" t="s">
        <v>420</v>
      </c>
      <c r="D43" s="32" t="s">
        <v>420</v>
      </c>
      <c r="E43" s="32" t="s">
        <v>706</v>
      </c>
      <c r="F43" s="32">
        <v>9</v>
      </c>
      <c r="G43" s="32" t="s">
        <v>734</v>
      </c>
      <c r="H43" s="32" t="s">
        <v>735</v>
      </c>
      <c r="I43" s="32" t="b">
        <v>1</v>
      </c>
      <c r="J43" s="32" t="s">
        <v>709</v>
      </c>
      <c r="K43" s="32" t="s">
        <v>360</v>
      </c>
      <c r="L43" s="32">
        <v>1</v>
      </c>
      <c r="M43" s="32">
        <v>2000</v>
      </c>
      <c r="N43" s="32">
        <v>0</v>
      </c>
      <c r="O43" s="32" t="s">
        <v>367</v>
      </c>
      <c r="P43" s="32">
        <v>0</v>
      </c>
      <c r="Q43" s="32">
        <v>30060</v>
      </c>
      <c r="R43" s="32" t="s">
        <v>710</v>
      </c>
      <c r="S43" s="32" t="s">
        <v>711</v>
      </c>
      <c r="T43" s="32">
        <v>1</v>
      </c>
      <c r="U43" s="32" t="s">
        <v>712</v>
      </c>
      <c r="V43" s="32">
        <v>10000</v>
      </c>
      <c r="W43" s="32" t="s">
        <v>716</v>
      </c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</row>
    <row r="44" ht="15.6" spans="1:80">
      <c r="A44"/>
      <c r="B44" s="32">
        <v>21001310</v>
      </c>
      <c r="C44" s="32" t="s">
        <v>420</v>
      </c>
      <c r="D44" s="32" t="s">
        <v>420</v>
      </c>
      <c r="E44" s="32" t="s">
        <v>706</v>
      </c>
      <c r="F44" s="32">
        <v>10</v>
      </c>
      <c r="G44" s="32" t="s">
        <v>734</v>
      </c>
      <c r="H44" s="32" t="s">
        <v>735</v>
      </c>
      <c r="I44" s="32" t="b">
        <v>1</v>
      </c>
      <c r="J44" s="32" t="s">
        <v>709</v>
      </c>
      <c r="K44" s="32" t="s">
        <v>360</v>
      </c>
      <c r="L44" s="32">
        <v>1</v>
      </c>
      <c r="M44" s="32">
        <v>2000</v>
      </c>
      <c r="N44" s="32">
        <v>0</v>
      </c>
      <c r="O44" s="32" t="s">
        <v>367</v>
      </c>
      <c r="P44" s="32">
        <v>0</v>
      </c>
      <c r="Q44" s="32">
        <v>30060</v>
      </c>
      <c r="R44" s="32" t="s">
        <v>710</v>
      </c>
      <c r="S44" s="32" t="s">
        <v>711</v>
      </c>
      <c r="T44" s="32">
        <v>1</v>
      </c>
      <c r="U44" s="32" t="s">
        <v>712</v>
      </c>
      <c r="V44" s="32">
        <v>10000</v>
      </c>
      <c r="W44" s="32" t="s">
        <v>716</v>
      </c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</row>
    <row r="45" ht="15.6" spans="1:80">
      <c r="A45"/>
      <c r="B45" s="32">
        <v>21001401</v>
      </c>
      <c r="C45" s="32" t="s">
        <v>422</v>
      </c>
      <c r="D45" s="32" t="s">
        <v>422</v>
      </c>
      <c r="E45" s="32" t="s">
        <v>706</v>
      </c>
      <c r="F45" s="32">
        <v>1</v>
      </c>
      <c r="G45" s="32" t="s">
        <v>736</v>
      </c>
      <c r="H45" s="32" t="s">
        <v>737</v>
      </c>
      <c r="I45" s="32" t="b">
        <v>1</v>
      </c>
      <c r="J45" s="32" t="s">
        <v>709</v>
      </c>
      <c r="K45" s="32" t="s">
        <v>360</v>
      </c>
      <c r="L45" s="32">
        <v>1</v>
      </c>
      <c r="M45" s="32">
        <v>12000</v>
      </c>
      <c r="N45" s="32">
        <v>0</v>
      </c>
      <c r="O45" s="32" t="s">
        <v>367</v>
      </c>
      <c r="P45" s="32">
        <v>0</v>
      </c>
      <c r="Q45" s="32">
        <v>30009</v>
      </c>
      <c r="R45" s="32" t="s">
        <v>710</v>
      </c>
      <c r="S45" s="32" t="s">
        <v>730</v>
      </c>
      <c r="T45" s="32">
        <v>1</v>
      </c>
      <c r="U45" s="32" t="s">
        <v>722</v>
      </c>
      <c r="V45" s="32">
        <v>10000</v>
      </c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 t="s">
        <v>738</v>
      </c>
      <c r="AI45" s="32">
        <v>800</v>
      </c>
      <c r="AJ45" s="32"/>
      <c r="AQ45" s="32" t="s">
        <v>722</v>
      </c>
      <c r="AR45" s="32">
        <v>10000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 t="s">
        <v>739</v>
      </c>
      <c r="BE45" s="32">
        <v>800</v>
      </c>
      <c r="BF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</row>
    <row r="46" ht="15.6" spans="1:80">
      <c r="A46"/>
      <c r="B46" s="32">
        <v>21001402</v>
      </c>
      <c r="C46" s="32" t="s">
        <v>422</v>
      </c>
      <c r="D46" s="32" t="s">
        <v>422</v>
      </c>
      <c r="E46" s="32" t="s">
        <v>706</v>
      </c>
      <c r="F46" s="32">
        <v>2</v>
      </c>
      <c r="G46" s="32" t="s">
        <v>736</v>
      </c>
      <c r="H46" s="32" t="s">
        <v>737</v>
      </c>
      <c r="I46" s="32" t="b">
        <v>1</v>
      </c>
      <c r="J46" s="32" t="s">
        <v>709</v>
      </c>
      <c r="K46" s="32" t="s">
        <v>360</v>
      </c>
      <c r="L46" s="32">
        <v>1</v>
      </c>
      <c r="M46" s="32">
        <v>12000</v>
      </c>
      <c r="N46" s="32">
        <v>0</v>
      </c>
      <c r="O46" s="32" t="s">
        <v>367</v>
      </c>
      <c r="P46" s="32">
        <v>0</v>
      </c>
      <c r="Q46" s="32">
        <v>30009</v>
      </c>
      <c r="R46" s="32" t="s">
        <v>710</v>
      </c>
      <c r="S46" s="32" t="s">
        <v>730</v>
      </c>
      <c r="T46" s="32">
        <v>1</v>
      </c>
      <c r="U46" s="32" t="s">
        <v>722</v>
      </c>
      <c r="V46" s="32">
        <v>10000</v>
      </c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 t="s">
        <v>738</v>
      </c>
      <c r="AI46" s="32">
        <v>1000</v>
      </c>
      <c r="AJ46" s="32"/>
      <c r="AQ46" s="32" t="s">
        <v>722</v>
      </c>
      <c r="AR46" s="32">
        <v>10000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 t="s">
        <v>739</v>
      </c>
      <c r="BE46" s="32">
        <v>1000</v>
      </c>
      <c r="BF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</row>
    <row r="47" ht="15.6" spans="1:80">
      <c r="A47"/>
      <c r="B47" s="32">
        <v>21001403</v>
      </c>
      <c r="C47" s="32" t="s">
        <v>422</v>
      </c>
      <c r="D47" s="32" t="s">
        <v>422</v>
      </c>
      <c r="E47" s="32" t="s">
        <v>706</v>
      </c>
      <c r="F47" s="32">
        <v>3</v>
      </c>
      <c r="G47" s="32" t="s">
        <v>736</v>
      </c>
      <c r="H47" s="32" t="s">
        <v>737</v>
      </c>
      <c r="I47" s="32" t="b">
        <v>1</v>
      </c>
      <c r="J47" s="32" t="s">
        <v>709</v>
      </c>
      <c r="K47" s="32" t="s">
        <v>360</v>
      </c>
      <c r="L47" s="32">
        <v>1</v>
      </c>
      <c r="M47" s="32">
        <v>12000</v>
      </c>
      <c r="N47" s="32">
        <v>0</v>
      </c>
      <c r="O47" s="32" t="s">
        <v>367</v>
      </c>
      <c r="P47" s="32">
        <v>0</v>
      </c>
      <c r="Q47" s="32">
        <v>30009</v>
      </c>
      <c r="R47" s="32" t="s">
        <v>710</v>
      </c>
      <c r="S47" s="32" t="s">
        <v>730</v>
      </c>
      <c r="T47" s="32">
        <v>1</v>
      </c>
      <c r="U47" s="32" t="s">
        <v>722</v>
      </c>
      <c r="V47" s="32">
        <v>10000</v>
      </c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 t="s">
        <v>738</v>
      </c>
      <c r="AI47" s="32">
        <v>1200</v>
      </c>
      <c r="AJ47" s="32"/>
      <c r="AQ47" s="32" t="s">
        <v>722</v>
      </c>
      <c r="AR47" s="32">
        <v>10000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 t="s">
        <v>739</v>
      </c>
      <c r="BE47" s="32">
        <v>1200</v>
      </c>
      <c r="BF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</row>
    <row r="48" ht="15.6" spans="1:80">
      <c r="A48"/>
      <c r="B48" s="32">
        <v>21001404</v>
      </c>
      <c r="C48" s="32" t="s">
        <v>422</v>
      </c>
      <c r="D48" s="32" t="s">
        <v>422</v>
      </c>
      <c r="E48" s="32" t="s">
        <v>706</v>
      </c>
      <c r="F48" s="32">
        <v>4</v>
      </c>
      <c r="G48" s="32" t="s">
        <v>736</v>
      </c>
      <c r="H48" s="32" t="s">
        <v>737</v>
      </c>
      <c r="I48" s="32" t="b">
        <v>1</v>
      </c>
      <c r="J48" s="32" t="s">
        <v>709</v>
      </c>
      <c r="K48" s="32" t="s">
        <v>360</v>
      </c>
      <c r="L48" s="32">
        <v>1</v>
      </c>
      <c r="M48" s="32">
        <v>12000</v>
      </c>
      <c r="N48" s="32">
        <v>0</v>
      </c>
      <c r="O48" s="32" t="s">
        <v>367</v>
      </c>
      <c r="P48" s="32">
        <v>0</v>
      </c>
      <c r="Q48" s="32">
        <v>30009</v>
      </c>
      <c r="R48" s="32" t="s">
        <v>710</v>
      </c>
      <c r="S48" s="32" t="s">
        <v>730</v>
      </c>
      <c r="T48" s="32">
        <v>1</v>
      </c>
      <c r="U48" s="32" t="s">
        <v>722</v>
      </c>
      <c r="V48" s="32">
        <v>10000</v>
      </c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 t="s">
        <v>738</v>
      </c>
      <c r="AI48" s="32">
        <v>1400</v>
      </c>
      <c r="AJ48" s="32"/>
      <c r="AQ48" s="32" t="s">
        <v>722</v>
      </c>
      <c r="AR48" s="32">
        <v>10000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 t="s">
        <v>739</v>
      </c>
      <c r="BE48" s="32">
        <v>1400</v>
      </c>
      <c r="BF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</row>
    <row r="49" ht="15.6" spans="1:80">
      <c r="A49"/>
      <c r="B49" s="32">
        <v>21001405</v>
      </c>
      <c r="C49" s="32" t="s">
        <v>422</v>
      </c>
      <c r="D49" s="32" t="s">
        <v>422</v>
      </c>
      <c r="E49" s="32" t="s">
        <v>706</v>
      </c>
      <c r="F49" s="32">
        <v>5</v>
      </c>
      <c r="G49" s="32" t="s">
        <v>736</v>
      </c>
      <c r="H49" s="32" t="s">
        <v>737</v>
      </c>
      <c r="I49" s="32" t="b">
        <v>1</v>
      </c>
      <c r="J49" s="32" t="s">
        <v>709</v>
      </c>
      <c r="K49" s="32" t="s">
        <v>360</v>
      </c>
      <c r="L49" s="32">
        <v>1</v>
      </c>
      <c r="M49" s="32">
        <v>12000</v>
      </c>
      <c r="N49" s="32">
        <v>0</v>
      </c>
      <c r="O49" s="32" t="s">
        <v>367</v>
      </c>
      <c r="P49" s="32">
        <v>0</v>
      </c>
      <c r="Q49" s="32">
        <v>30009</v>
      </c>
      <c r="R49" s="32" t="s">
        <v>710</v>
      </c>
      <c r="S49" s="32" t="s">
        <v>730</v>
      </c>
      <c r="T49" s="32">
        <v>1</v>
      </c>
      <c r="U49" s="32" t="s">
        <v>722</v>
      </c>
      <c r="V49" s="32">
        <v>10000</v>
      </c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 t="s">
        <v>738</v>
      </c>
      <c r="AI49" s="32">
        <v>1600</v>
      </c>
      <c r="AJ49" s="32"/>
      <c r="AQ49" s="32" t="s">
        <v>722</v>
      </c>
      <c r="AR49" s="32">
        <v>10000</v>
      </c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 t="s">
        <v>739</v>
      </c>
      <c r="BE49" s="32">
        <v>1600</v>
      </c>
      <c r="BF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</row>
    <row r="50" ht="15.6" spans="1:80">
      <c r="A50"/>
      <c r="B50" s="32">
        <v>21001406</v>
      </c>
      <c r="C50" s="32" t="s">
        <v>422</v>
      </c>
      <c r="D50" s="32" t="s">
        <v>422</v>
      </c>
      <c r="E50" s="32" t="s">
        <v>706</v>
      </c>
      <c r="F50" s="32">
        <v>6</v>
      </c>
      <c r="G50" s="32" t="s">
        <v>736</v>
      </c>
      <c r="H50" s="32" t="s">
        <v>737</v>
      </c>
      <c r="I50" s="32" t="b">
        <v>1</v>
      </c>
      <c r="J50" s="32" t="s">
        <v>709</v>
      </c>
      <c r="K50" s="32" t="s">
        <v>360</v>
      </c>
      <c r="L50" s="32">
        <v>1</v>
      </c>
      <c r="M50" s="32">
        <v>12000</v>
      </c>
      <c r="N50" s="32">
        <v>0</v>
      </c>
      <c r="O50" s="32" t="s">
        <v>367</v>
      </c>
      <c r="P50" s="32">
        <v>0</v>
      </c>
      <c r="Q50" s="32">
        <v>30009</v>
      </c>
      <c r="R50" s="32" t="s">
        <v>710</v>
      </c>
      <c r="S50" s="32" t="s">
        <v>730</v>
      </c>
      <c r="T50" s="32">
        <v>1</v>
      </c>
      <c r="U50" s="32" t="s">
        <v>722</v>
      </c>
      <c r="V50" s="32">
        <v>10000</v>
      </c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 t="s">
        <v>738</v>
      </c>
      <c r="AI50" s="32">
        <v>1800</v>
      </c>
      <c r="AJ50" s="32"/>
      <c r="AQ50" s="32" t="s">
        <v>722</v>
      </c>
      <c r="AR50" s="32">
        <v>10000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 t="s">
        <v>739</v>
      </c>
      <c r="BE50" s="32">
        <v>1800</v>
      </c>
      <c r="BF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</row>
    <row r="51" ht="15.6" spans="1:80">
      <c r="A51"/>
      <c r="B51" s="32">
        <v>21001407</v>
      </c>
      <c r="C51" s="32" t="s">
        <v>422</v>
      </c>
      <c r="D51" s="32" t="s">
        <v>422</v>
      </c>
      <c r="E51" s="32" t="s">
        <v>706</v>
      </c>
      <c r="F51" s="32">
        <v>7</v>
      </c>
      <c r="G51" s="32" t="s">
        <v>736</v>
      </c>
      <c r="H51" s="32" t="s">
        <v>737</v>
      </c>
      <c r="I51" s="32" t="b">
        <v>1</v>
      </c>
      <c r="J51" s="32" t="s">
        <v>709</v>
      </c>
      <c r="K51" s="32" t="s">
        <v>360</v>
      </c>
      <c r="L51" s="32">
        <v>1</v>
      </c>
      <c r="M51" s="32">
        <v>12000</v>
      </c>
      <c r="N51" s="32">
        <v>0</v>
      </c>
      <c r="O51" s="32" t="s">
        <v>367</v>
      </c>
      <c r="P51" s="32">
        <v>0</v>
      </c>
      <c r="Q51" s="32">
        <v>30009</v>
      </c>
      <c r="R51" s="32" t="s">
        <v>710</v>
      </c>
      <c r="S51" s="32" t="s">
        <v>730</v>
      </c>
      <c r="T51" s="32">
        <v>1</v>
      </c>
      <c r="U51" s="32" t="s">
        <v>722</v>
      </c>
      <c r="V51" s="32">
        <v>10000</v>
      </c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 t="s">
        <v>738</v>
      </c>
      <c r="AI51" s="32">
        <v>2000</v>
      </c>
      <c r="AJ51" s="32"/>
      <c r="AQ51" s="32" t="s">
        <v>722</v>
      </c>
      <c r="AR51" s="32">
        <v>10000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 t="s">
        <v>739</v>
      </c>
      <c r="BE51" s="32">
        <v>2000</v>
      </c>
      <c r="BF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</row>
    <row r="52" ht="15.6" spans="1:80">
      <c r="A52"/>
      <c r="B52" s="32">
        <v>21001408</v>
      </c>
      <c r="C52" s="32" t="s">
        <v>422</v>
      </c>
      <c r="D52" s="32" t="s">
        <v>422</v>
      </c>
      <c r="E52" s="32" t="s">
        <v>706</v>
      </c>
      <c r="F52" s="32">
        <v>8</v>
      </c>
      <c r="G52" s="32" t="s">
        <v>736</v>
      </c>
      <c r="H52" s="32" t="s">
        <v>737</v>
      </c>
      <c r="I52" s="32" t="b">
        <v>1</v>
      </c>
      <c r="J52" s="32" t="s">
        <v>709</v>
      </c>
      <c r="K52" s="32" t="s">
        <v>360</v>
      </c>
      <c r="L52" s="32">
        <v>1</v>
      </c>
      <c r="M52" s="32">
        <v>12000</v>
      </c>
      <c r="N52" s="32">
        <v>0</v>
      </c>
      <c r="O52" s="32" t="s">
        <v>367</v>
      </c>
      <c r="P52" s="32">
        <v>0</v>
      </c>
      <c r="Q52" s="32">
        <v>30009</v>
      </c>
      <c r="R52" s="32" t="s">
        <v>710</v>
      </c>
      <c r="S52" s="32" t="s">
        <v>730</v>
      </c>
      <c r="T52" s="32">
        <v>1</v>
      </c>
      <c r="U52" s="32" t="s">
        <v>722</v>
      </c>
      <c r="V52" s="32">
        <v>10000</v>
      </c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 t="s">
        <v>738</v>
      </c>
      <c r="AI52" s="32">
        <v>2200</v>
      </c>
      <c r="AJ52" s="32"/>
      <c r="AQ52" s="32" t="s">
        <v>722</v>
      </c>
      <c r="AR52" s="32">
        <v>10000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 t="s">
        <v>739</v>
      </c>
      <c r="BE52" s="32">
        <v>2200</v>
      </c>
      <c r="BF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</row>
    <row r="53" ht="15.6" spans="1:80">
      <c r="A53"/>
      <c r="B53" s="32">
        <v>21001409</v>
      </c>
      <c r="C53" s="32" t="s">
        <v>422</v>
      </c>
      <c r="D53" s="32" t="s">
        <v>422</v>
      </c>
      <c r="E53" s="32" t="s">
        <v>706</v>
      </c>
      <c r="F53" s="32">
        <v>9</v>
      </c>
      <c r="G53" s="32" t="s">
        <v>736</v>
      </c>
      <c r="H53" s="32" t="s">
        <v>737</v>
      </c>
      <c r="I53" s="32" t="b">
        <v>1</v>
      </c>
      <c r="J53" s="32" t="s">
        <v>709</v>
      </c>
      <c r="K53" s="32" t="s">
        <v>360</v>
      </c>
      <c r="L53" s="32">
        <v>1</v>
      </c>
      <c r="M53" s="32">
        <v>12000</v>
      </c>
      <c r="N53" s="32">
        <v>0</v>
      </c>
      <c r="O53" s="32" t="s">
        <v>367</v>
      </c>
      <c r="P53" s="32">
        <v>0</v>
      </c>
      <c r="Q53" s="32">
        <v>30009</v>
      </c>
      <c r="R53" s="32" t="s">
        <v>710</v>
      </c>
      <c r="S53" s="32" t="s">
        <v>730</v>
      </c>
      <c r="T53" s="32">
        <v>1</v>
      </c>
      <c r="U53" s="32" t="s">
        <v>722</v>
      </c>
      <c r="V53" s="32">
        <v>10000</v>
      </c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 t="s">
        <v>738</v>
      </c>
      <c r="AI53" s="32">
        <v>2400</v>
      </c>
      <c r="AJ53" s="32"/>
      <c r="AQ53" s="32" t="s">
        <v>722</v>
      </c>
      <c r="AR53" s="32">
        <v>10000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 t="s">
        <v>739</v>
      </c>
      <c r="BE53" s="32">
        <v>2400</v>
      </c>
      <c r="BF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</row>
    <row r="54" ht="15.6" spans="1:80">
      <c r="A54"/>
      <c r="B54" s="32">
        <v>21001410</v>
      </c>
      <c r="C54" s="32" t="s">
        <v>422</v>
      </c>
      <c r="D54" s="32" t="s">
        <v>422</v>
      </c>
      <c r="E54" s="32" t="s">
        <v>706</v>
      </c>
      <c r="F54" s="32">
        <v>10</v>
      </c>
      <c r="G54" s="32" t="s">
        <v>736</v>
      </c>
      <c r="H54" s="32" t="s">
        <v>737</v>
      </c>
      <c r="I54" s="32" t="b">
        <v>1</v>
      </c>
      <c r="J54" s="32" t="s">
        <v>709</v>
      </c>
      <c r="K54" s="32" t="s">
        <v>360</v>
      </c>
      <c r="L54" s="32">
        <v>1</v>
      </c>
      <c r="M54" s="32">
        <v>12000</v>
      </c>
      <c r="N54" s="32">
        <v>0</v>
      </c>
      <c r="O54" s="32" t="s">
        <v>367</v>
      </c>
      <c r="P54" s="32">
        <v>0</v>
      </c>
      <c r="Q54" s="32">
        <v>30009</v>
      </c>
      <c r="R54" s="32" t="s">
        <v>710</v>
      </c>
      <c r="S54" s="32" t="s">
        <v>730</v>
      </c>
      <c r="T54" s="32">
        <v>1</v>
      </c>
      <c r="U54" s="32" t="s">
        <v>722</v>
      </c>
      <c r="V54" s="32">
        <v>10000</v>
      </c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 t="s">
        <v>738</v>
      </c>
      <c r="AI54" s="32">
        <v>2600</v>
      </c>
      <c r="AJ54" s="32"/>
      <c r="AQ54" s="32" t="s">
        <v>722</v>
      </c>
      <c r="AR54" s="32">
        <v>10000</v>
      </c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 t="s">
        <v>739</v>
      </c>
      <c r="BE54" s="32">
        <v>2600</v>
      </c>
      <c r="BF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</row>
    <row r="55" ht="15.6" spans="1:80">
      <c r="A55"/>
      <c r="B55" s="32">
        <v>21001501</v>
      </c>
      <c r="C55" s="32" t="s">
        <v>425</v>
      </c>
      <c r="D55" s="32" t="s">
        <v>425</v>
      </c>
      <c r="E55" s="32" t="s">
        <v>706</v>
      </c>
      <c r="F55" s="32">
        <v>1</v>
      </c>
      <c r="G55" s="32" t="s">
        <v>740</v>
      </c>
      <c r="H55" s="32" t="s">
        <v>741</v>
      </c>
      <c r="I55" s="32" t="b">
        <v>1</v>
      </c>
      <c r="J55" s="32" t="s">
        <v>709</v>
      </c>
      <c r="K55" s="32" t="s">
        <v>360</v>
      </c>
      <c r="L55" s="32">
        <v>1</v>
      </c>
      <c r="M55" s="32">
        <v>12000</v>
      </c>
      <c r="N55" s="32">
        <v>0</v>
      </c>
      <c r="O55" s="32" t="s">
        <v>367</v>
      </c>
      <c r="P55" s="32">
        <v>0</v>
      </c>
      <c r="Q55" s="32">
        <v>30008</v>
      </c>
      <c r="R55" s="32" t="s">
        <v>710</v>
      </c>
      <c r="S55" s="32" t="s">
        <v>730</v>
      </c>
      <c r="T55" s="32">
        <v>1</v>
      </c>
      <c r="U55" s="32" t="s">
        <v>722</v>
      </c>
      <c r="V55" s="32">
        <v>10000</v>
      </c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 t="s">
        <v>742</v>
      </c>
      <c r="AI55" s="32">
        <v>800</v>
      </c>
      <c r="AJ55" s="32"/>
      <c r="AQ55" s="32" t="s">
        <v>722</v>
      </c>
      <c r="AR55" s="32">
        <v>10000</v>
      </c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 t="s">
        <v>743</v>
      </c>
      <c r="BE55" s="32">
        <v>800</v>
      </c>
      <c r="BF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</row>
    <row r="56" ht="15.6" spans="1:80">
      <c r="A56"/>
      <c r="B56" s="32">
        <v>21001502</v>
      </c>
      <c r="C56" s="32" t="s">
        <v>425</v>
      </c>
      <c r="D56" s="32" t="s">
        <v>425</v>
      </c>
      <c r="E56" s="32" t="s">
        <v>706</v>
      </c>
      <c r="F56" s="32">
        <v>2</v>
      </c>
      <c r="G56" s="32" t="s">
        <v>740</v>
      </c>
      <c r="H56" s="32" t="s">
        <v>741</v>
      </c>
      <c r="I56" s="32" t="b">
        <v>1</v>
      </c>
      <c r="J56" s="32" t="s">
        <v>709</v>
      </c>
      <c r="K56" s="32" t="s">
        <v>360</v>
      </c>
      <c r="L56" s="32">
        <v>1</v>
      </c>
      <c r="M56" s="32">
        <v>12000</v>
      </c>
      <c r="N56" s="32">
        <v>0</v>
      </c>
      <c r="O56" s="32" t="s">
        <v>367</v>
      </c>
      <c r="P56" s="32">
        <v>0</v>
      </c>
      <c r="Q56" s="32">
        <v>30008</v>
      </c>
      <c r="R56" s="32" t="s">
        <v>710</v>
      </c>
      <c r="S56" s="32" t="s">
        <v>730</v>
      </c>
      <c r="T56" s="32">
        <v>1</v>
      </c>
      <c r="U56" s="32" t="s">
        <v>722</v>
      </c>
      <c r="V56" s="32">
        <v>10000</v>
      </c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 t="s">
        <v>742</v>
      </c>
      <c r="AI56" s="32">
        <v>1000</v>
      </c>
      <c r="AJ56" s="32"/>
      <c r="AQ56" s="32" t="s">
        <v>722</v>
      </c>
      <c r="AR56" s="32">
        <v>10000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 t="s">
        <v>743</v>
      </c>
      <c r="BE56" s="32">
        <v>1000</v>
      </c>
      <c r="BF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</row>
    <row r="57" ht="15.6" spans="1:80">
      <c r="A57"/>
      <c r="B57" s="32">
        <v>21001503</v>
      </c>
      <c r="C57" s="32" t="s">
        <v>425</v>
      </c>
      <c r="D57" s="32" t="s">
        <v>425</v>
      </c>
      <c r="E57" s="32" t="s">
        <v>706</v>
      </c>
      <c r="F57" s="32">
        <v>3</v>
      </c>
      <c r="G57" s="32" t="s">
        <v>740</v>
      </c>
      <c r="H57" s="32" t="s">
        <v>741</v>
      </c>
      <c r="I57" s="32" t="b">
        <v>1</v>
      </c>
      <c r="J57" s="32" t="s">
        <v>709</v>
      </c>
      <c r="K57" s="32" t="s">
        <v>360</v>
      </c>
      <c r="L57" s="32">
        <v>1</v>
      </c>
      <c r="M57" s="32">
        <v>12000</v>
      </c>
      <c r="N57" s="32">
        <v>0</v>
      </c>
      <c r="O57" s="32" t="s">
        <v>367</v>
      </c>
      <c r="P57" s="32">
        <v>0</v>
      </c>
      <c r="Q57" s="32">
        <v>30008</v>
      </c>
      <c r="R57" s="32" t="s">
        <v>710</v>
      </c>
      <c r="S57" s="32" t="s">
        <v>730</v>
      </c>
      <c r="T57" s="32">
        <v>1</v>
      </c>
      <c r="U57" s="32" t="s">
        <v>722</v>
      </c>
      <c r="V57" s="32">
        <v>10000</v>
      </c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 t="s">
        <v>742</v>
      </c>
      <c r="AI57" s="32">
        <v>1200</v>
      </c>
      <c r="AJ57" s="32"/>
      <c r="AQ57" s="32" t="s">
        <v>722</v>
      </c>
      <c r="AR57" s="32">
        <v>10000</v>
      </c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 t="s">
        <v>743</v>
      </c>
      <c r="BE57" s="32">
        <v>1200</v>
      </c>
      <c r="BF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</row>
    <row r="58" ht="15.6" spans="1:80">
      <c r="A58"/>
      <c r="B58" s="32">
        <v>21001504</v>
      </c>
      <c r="C58" s="32" t="s">
        <v>425</v>
      </c>
      <c r="D58" s="32" t="s">
        <v>425</v>
      </c>
      <c r="E58" s="32" t="s">
        <v>706</v>
      </c>
      <c r="F58" s="32">
        <v>4</v>
      </c>
      <c r="G58" s="32" t="s">
        <v>740</v>
      </c>
      <c r="H58" s="32" t="s">
        <v>741</v>
      </c>
      <c r="I58" s="32" t="b">
        <v>1</v>
      </c>
      <c r="J58" s="32" t="s">
        <v>709</v>
      </c>
      <c r="K58" s="32" t="s">
        <v>360</v>
      </c>
      <c r="L58" s="32">
        <v>1</v>
      </c>
      <c r="M58" s="32">
        <v>12000</v>
      </c>
      <c r="N58" s="32">
        <v>0</v>
      </c>
      <c r="O58" s="32" t="s">
        <v>367</v>
      </c>
      <c r="P58" s="32">
        <v>0</v>
      </c>
      <c r="Q58" s="32">
        <v>30008</v>
      </c>
      <c r="R58" s="32" t="s">
        <v>710</v>
      </c>
      <c r="S58" s="32" t="s">
        <v>730</v>
      </c>
      <c r="T58" s="32">
        <v>1</v>
      </c>
      <c r="U58" s="32" t="s">
        <v>722</v>
      </c>
      <c r="V58" s="32">
        <v>10000</v>
      </c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 t="s">
        <v>742</v>
      </c>
      <c r="AI58" s="32">
        <v>1400</v>
      </c>
      <c r="AJ58" s="32"/>
      <c r="AQ58" s="32" t="s">
        <v>722</v>
      </c>
      <c r="AR58" s="32">
        <v>10000</v>
      </c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 t="s">
        <v>743</v>
      </c>
      <c r="BE58" s="32">
        <v>1400</v>
      </c>
      <c r="BF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</row>
    <row r="59" ht="15.6" spans="1:80">
      <c r="A59"/>
      <c r="B59" s="32">
        <v>21001505</v>
      </c>
      <c r="C59" s="32" t="s">
        <v>425</v>
      </c>
      <c r="D59" s="32" t="s">
        <v>425</v>
      </c>
      <c r="E59" s="32" t="s">
        <v>706</v>
      </c>
      <c r="F59" s="32">
        <v>5</v>
      </c>
      <c r="G59" s="32" t="s">
        <v>740</v>
      </c>
      <c r="H59" s="32" t="s">
        <v>741</v>
      </c>
      <c r="I59" s="32" t="b">
        <v>1</v>
      </c>
      <c r="J59" s="32" t="s">
        <v>709</v>
      </c>
      <c r="K59" s="32" t="s">
        <v>360</v>
      </c>
      <c r="L59" s="32">
        <v>1</v>
      </c>
      <c r="M59" s="32">
        <v>12000</v>
      </c>
      <c r="N59" s="32">
        <v>0</v>
      </c>
      <c r="O59" s="32" t="s">
        <v>367</v>
      </c>
      <c r="P59" s="32">
        <v>0</v>
      </c>
      <c r="Q59" s="32">
        <v>30008</v>
      </c>
      <c r="R59" s="32" t="s">
        <v>710</v>
      </c>
      <c r="S59" s="32" t="s">
        <v>730</v>
      </c>
      <c r="T59" s="32">
        <v>1</v>
      </c>
      <c r="U59" s="32" t="s">
        <v>722</v>
      </c>
      <c r="V59" s="32">
        <v>10000</v>
      </c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 t="s">
        <v>742</v>
      </c>
      <c r="AI59" s="32">
        <v>1600</v>
      </c>
      <c r="AJ59" s="32"/>
      <c r="AQ59" s="32" t="s">
        <v>722</v>
      </c>
      <c r="AR59" s="32">
        <v>10000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 t="s">
        <v>743</v>
      </c>
      <c r="BE59" s="32">
        <v>1600</v>
      </c>
      <c r="BF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</row>
    <row r="60" ht="15.6" spans="1:80">
      <c r="A60"/>
      <c r="B60" s="32">
        <v>21001506</v>
      </c>
      <c r="C60" s="32" t="s">
        <v>425</v>
      </c>
      <c r="D60" s="32" t="s">
        <v>425</v>
      </c>
      <c r="E60" s="32" t="s">
        <v>706</v>
      </c>
      <c r="F60" s="32">
        <v>6</v>
      </c>
      <c r="G60" s="32" t="s">
        <v>740</v>
      </c>
      <c r="H60" s="32" t="s">
        <v>741</v>
      </c>
      <c r="I60" s="32" t="b">
        <v>1</v>
      </c>
      <c r="J60" s="32" t="s">
        <v>709</v>
      </c>
      <c r="K60" s="32" t="s">
        <v>360</v>
      </c>
      <c r="L60" s="32">
        <v>1</v>
      </c>
      <c r="M60" s="32">
        <v>12000</v>
      </c>
      <c r="N60" s="32">
        <v>0</v>
      </c>
      <c r="O60" s="32" t="s">
        <v>367</v>
      </c>
      <c r="P60" s="32">
        <v>0</v>
      </c>
      <c r="Q60" s="32">
        <v>30008</v>
      </c>
      <c r="R60" s="32" t="s">
        <v>710</v>
      </c>
      <c r="S60" s="32" t="s">
        <v>730</v>
      </c>
      <c r="T60" s="32">
        <v>1</v>
      </c>
      <c r="U60" s="32" t="s">
        <v>722</v>
      </c>
      <c r="V60" s="32">
        <v>10000</v>
      </c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 t="s">
        <v>742</v>
      </c>
      <c r="AI60" s="32">
        <v>1800</v>
      </c>
      <c r="AJ60" s="32"/>
      <c r="AQ60" s="32" t="s">
        <v>722</v>
      </c>
      <c r="AR60" s="32">
        <v>10000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 t="s">
        <v>743</v>
      </c>
      <c r="BE60" s="32">
        <v>1800</v>
      </c>
      <c r="BF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</row>
    <row r="61" ht="15.6" spans="1:80">
      <c r="A61"/>
      <c r="B61" s="32">
        <v>21001507</v>
      </c>
      <c r="C61" s="32" t="s">
        <v>425</v>
      </c>
      <c r="D61" s="32" t="s">
        <v>425</v>
      </c>
      <c r="E61" s="32" t="s">
        <v>706</v>
      </c>
      <c r="F61" s="32">
        <v>7</v>
      </c>
      <c r="G61" s="32" t="s">
        <v>740</v>
      </c>
      <c r="H61" s="32" t="s">
        <v>741</v>
      </c>
      <c r="I61" s="32" t="b">
        <v>1</v>
      </c>
      <c r="J61" s="32" t="s">
        <v>709</v>
      </c>
      <c r="K61" s="32" t="s">
        <v>360</v>
      </c>
      <c r="L61" s="32">
        <v>1</v>
      </c>
      <c r="M61" s="32">
        <v>12000</v>
      </c>
      <c r="N61" s="32">
        <v>0</v>
      </c>
      <c r="O61" s="32" t="s">
        <v>367</v>
      </c>
      <c r="P61" s="32">
        <v>0</v>
      </c>
      <c r="Q61" s="32">
        <v>30008</v>
      </c>
      <c r="R61" s="32" t="s">
        <v>710</v>
      </c>
      <c r="S61" s="32" t="s">
        <v>730</v>
      </c>
      <c r="T61" s="32">
        <v>1</v>
      </c>
      <c r="U61" s="32" t="s">
        <v>722</v>
      </c>
      <c r="V61" s="32">
        <v>10000</v>
      </c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 t="s">
        <v>742</v>
      </c>
      <c r="AI61" s="32">
        <v>2000</v>
      </c>
      <c r="AJ61" s="32"/>
      <c r="AQ61" s="32" t="s">
        <v>722</v>
      </c>
      <c r="AR61" s="32">
        <v>10000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 t="s">
        <v>743</v>
      </c>
      <c r="BE61" s="32">
        <v>2000</v>
      </c>
      <c r="BF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</row>
    <row r="62" ht="15.6" spans="1:80">
      <c r="A62"/>
      <c r="B62" s="32">
        <v>21001508</v>
      </c>
      <c r="C62" s="32" t="s">
        <v>425</v>
      </c>
      <c r="D62" s="32" t="s">
        <v>425</v>
      </c>
      <c r="E62" s="32" t="s">
        <v>706</v>
      </c>
      <c r="F62" s="32">
        <v>8</v>
      </c>
      <c r="G62" s="32" t="s">
        <v>740</v>
      </c>
      <c r="H62" s="32" t="s">
        <v>741</v>
      </c>
      <c r="I62" s="32" t="b">
        <v>1</v>
      </c>
      <c r="J62" s="32" t="s">
        <v>709</v>
      </c>
      <c r="K62" s="32" t="s">
        <v>360</v>
      </c>
      <c r="L62" s="32">
        <v>1</v>
      </c>
      <c r="M62" s="32">
        <v>12000</v>
      </c>
      <c r="N62" s="32">
        <v>0</v>
      </c>
      <c r="O62" s="32" t="s">
        <v>367</v>
      </c>
      <c r="P62" s="32">
        <v>0</v>
      </c>
      <c r="Q62" s="32">
        <v>30008</v>
      </c>
      <c r="R62" s="32" t="s">
        <v>710</v>
      </c>
      <c r="S62" s="32" t="s">
        <v>730</v>
      </c>
      <c r="T62" s="32">
        <v>1</v>
      </c>
      <c r="U62" s="32" t="s">
        <v>722</v>
      </c>
      <c r="V62" s="32">
        <v>10000</v>
      </c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 t="s">
        <v>742</v>
      </c>
      <c r="AI62" s="32">
        <v>2200</v>
      </c>
      <c r="AJ62" s="32"/>
      <c r="AQ62" s="32" t="s">
        <v>722</v>
      </c>
      <c r="AR62" s="32">
        <v>10000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 t="s">
        <v>743</v>
      </c>
      <c r="BE62" s="32">
        <v>2200</v>
      </c>
      <c r="BF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</row>
    <row r="63" ht="15.6" spans="1:80">
      <c r="A63"/>
      <c r="B63" s="32">
        <v>21001509</v>
      </c>
      <c r="C63" s="32" t="s">
        <v>425</v>
      </c>
      <c r="D63" s="32" t="s">
        <v>425</v>
      </c>
      <c r="E63" s="32" t="s">
        <v>706</v>
      </c>
      <c r="F63" s="32">
        <v>9</v>
      </c>
      <c r="G63" s="32" t="s">
        <v>740</v>
      </c>
      <c r="H63" s="32" t="s">
        <v>741</v>
      </c>
      <c r="I63" s="32" t="b">
        <v>1</v>
      </c>
      <c r="J63" s="32" t="s">
        <v>709</v>
      </c>
      <c r="K63" s="32" t="s">
        <v>360</v>
      </c>
      <c r="L63" s="32">
        <v>1</v>
      </c>
      <c r="M63" s="32">
        <v>12000</v>
      </c>
      <c r="N63" s="32">
        <v>0</v>
      </c>
      <c r="O63" s="32" t="s">
        <v>367</v>
      </c>
      <c r="P63" s="32">
        <v>0</v>
      </c>
      <c r="Q63" s="32">
        <v>30008</v>
      </c>
      <c r="R63" s="32" t="s">
        <v>710</v>
      </c>
      <c r="S63" s="32" t="s">
        <v>730</v>
      </c>
      <c r="T63" s="32">
        <v>1</v>
      </c>
      <c r="U63" s="32" t="s">
        <v>722</v>
      </c>
      <c r="V63" s="32">
        <v>10000</v>
      </c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 t="s">
        <v>742</v>
      </c>
      <c r="AI63" s="32">
        <v>2400</v>
      </c>
      <c r="AJ63" s="32"/>
      <c r="AQ63" s="32" t="s">
        <v>722</v>
      </c>
      <c r="AR63" s="32">
        <v>10000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 t="s">
        <v>743</v>
      </c>
      <c r="BE63" s="32">
        <v>2400</v>
      </c>
      <c r="BF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</row>
    <row r="64" ht="15.6" spans="1:80">
      <c r="A64"/>
      <c r="B64" s="32">
        <v>21001510</v>
      </c>
      <c r="C64" s="32" t="s">
        <v>425</v>
      </c>
      <c r="D64" s="32" t="s">
        <v>425</v>
      </c>
      <c r="E64" s="32" t="s">
        <v>706</v>
      </c>
      <c r="F64" s="32">
        <v>10</v>
      </c>
      <c r="G64" s="32" t="s">
        <v>740</v>
      </c>
      <c r="H64" s="32" t="s">
        <v>741</v>
      </c>
      <c r="I64" s="32" t="b">
        <v>1</v>
      </c>
      <c r="J64" s="32" t="s">
        <v>709</v>
      </c>
      <c r="K64" s="32" t="s">
        <v>360</v>
      </c>
      <c r="L64" s="32">
        <v>1</v>
      </c>
      <c r="M64" s="32">
        <v>12000</v>
      </c>
      <c r="N64" s="32">
        <v>0</v>
      </c>
      <c r="O64" s="32" t="s">
        <v>367</v>
      </c>
      <c r="P64" s="32">
        <v>0</v>
      </c>
      <c r="Q64" s="32">
        <v>30008</v>
      </c>
      <c r="R64" s="32" t="s">
        <v>710</v>
      </c>
      <c r="S64" s="32" t="s">
        <v>730</v>
      </c>
      <c r="T64" s="32">
        <v>1</v>
      </c>
      <c r="U64" s="32" t="s">
        <v>722</v>
      </c>
      <c r="V64" s="32">
        <v>10000</v>
      </c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 t="s">
        <v>742</v>
      </c>
      <c r="AI64" s="32">
        <v>2600</v>
      </c>
      <c r="AJ64" s="32"/>
      <c r="AQ64" s="32" t="s">
        <v>722</v>
      </c>
      <c r="AR64" s="32">
        <v>10000</v>
      </c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 t="s">
        <v>743</v>
      </c>
      <c r="BE64" s="32">
        <v>2600</v>
      </c>
      <c r="BF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</row>
    <row r="65" ht="15.6" spans="1:80">
      <c r="A65"/>
      <c r="B65" s="32">
        <v>21001601</v>
      </c>
      <c r="C65" s="32" t="s">
        <v>427</v>
      </c>
      <c r="D65" s="32" t="s">
        <v>427</v>
      </c>
      <c r="E65" s="32" t="s">
        <v>706</v>
      </c>
      <c r="F65" s="32">
        <v>1</v>
      </c>
      <c r="G65" s="32" t="s">
        <v>744</v>
      </c>
      <c r="H65" s="32" t="s">
        <v>745</v>
      </c>
      <c r="I65" s="32" t="b">
        <v>1</v>
      </c>
      <c r="J65" s="32" t="s">
        <v>709</v>
      </c>
      <c r="K65" s="32" t="s">
        <v>360</v>
      </c>
      <c r="L65" s="32">
        <v>1</v>
      </c>
      <c r="M65" s="32">
        <v>12000</v>
      </c>
      <c r="N65" s="32">
        <v>0</v>
      </c>
      <c r="O65" s="32" t="s">
        <v>367</v>
      </c>
      <c r="P65" s="32">
        <v>0</v>
      </c>
      <c r="Q65" s="32">
        <v>30056</v>
      </c>
      <c r="R65" s="32" t="s">
        <v>710</v>
      </c>
      <c r="S65" s="32" t="s">
        <v>711</v>
      </c>
      <c r="T65" s="32">
        <v>1</v>
      </c>
      <c r="U65" s="32" t="s">
        <v>722</v>
      </c>
      <c r="V65" s="32">
        <v>10000</v>
      </c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 t="s">
        <v>746</v>
      </c>
      <c r="AI65" s="32">
        <v>-600</v>
      </c>
      <c r="AJ65" s="32"/>
      <c r="AQ65" s="32" t="s">
        <v>722</v>
      </c>
      <c r="AR65" s="32">
        <v>10000</v>
      </c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 t="s">
        <v>747</v>
      </c>
      <c r="BE65" s="32">
        <v>-600</v>
      </c>
      <c r="BF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</row>
    <row r="66" ht="15.6" spans="1:80">
      <c r="A66"/>
      <c r="B66" s="32">
        <v>21001602</v>
      </c>
      <c r="C66" s="32" t="s">
        <v>427</v>
      </c>
      <c r="D66" s="32" t="s">
        <v>427</v>
      </c>
      <c r="E66" s="32" t="s">
        <v>706</v>
      </c>
      <c r="F66" s="32">
        <v>2</v>
      </c>
      <c r="G66" s="32" t="s">
        <v>744</v>
      </c>
      <c r="H66" s="32" t="s">
        <v>745</v>
      </c>
      <c r="I66" s="32" t="b">
        <v>1</v>
      </c>
      <c r="J66" s="32" t="s">
        <v>709</v>
      </c>
      <c r="K66" s="32" t="s">
        <v>360</v>
      </c>
      <c r="L66" s="32">
        <v>1</v>
      </c>
      <c r="M66" s="32">
        <v>12000</v>
      </c>
      <c r="N66" s="32">
        <v>0</v>
      </c>
      <c r="O66" s="32" t="s">
        <v>367</v>
      </c>
      <c r="P66" s="32">
        <v>0</v>
      </c>
      <c r="Q66" s="32">
        <v>30056</v>
      </c>
      <c r="R66" s="32" t="s">
        <v>710</v>
      </c>
      <c r="S66" s="32" t="s">
        <v>711</v>
      </c>
      <c r="T66" s="32">
        <v>1</v>
      </c>
      <c r="U66" s="32" t="s">
        <v>722</v>
      </c>
      <c r="V66" s="32">
        <v>10000</v>
      </c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 t="s">
        <v>746</v>
      </c>
      <c r="AI66" s="32">
        <v>-800</v>
      </c>
      <c r="AJ66" s="32"/>
      <c r="AQ66" s="32" t="s">
        <v>722</v>
      </c>
      <c r="AR66" s="32">
        <v>10000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 t="s">
        <v>747</v>
      </c>
      <c r="BE66" s="32">
        <v>-800</v>
      </c>
      <c r="BF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</row>
    <row r="67" ht="15.6" spans="1:80">
      <c r="A67"/>
      <c r="B67" s="32">
        <v>21001603</v>
      </c>
      <c r="C67" s="32" t="s">
        <v>427</v>
      </c>
      <c r="D67" s="32" t="s">
        <v>427</v>
      </c>
      <c r="E67" s="32" t="s">
        <v>706</v>
      </c>
      <c r="F67" s="32">
        <v>3</v>
      </c>
      <c r="G67" s="32" t="s">
        <v>744</v>
      </c>
      <c r="H67" s="32" t="s">
        <v>745</v>
      </c>
      <c r="I67" s="32" t="b">
        <v>1</v>
      </c>
      <c r="J67" s="32" t="s">
        <v>709</v>
      </c>
      <c r="K67" s="32" t="s">
        <v>360</v>
      </c>
      <c r="L67" s="32">
        <v>1</v>
      </c>
      <c r="M67" s="32">
        <v>12000</v>
      </c>
      <c r="N67" s="32">
        <v>0</v>
      </c>
      <c r="O67" s="32" t="s">
        <v>367</v>
      </c>
      <c r="P67" s="32">
        <v>0</v>
      </c>
      <c r="Q67" s="32">
        <v>30056</v>
      </c>
      <c r="R67" s="32" t="s">
        <v>710</v>
      </c>
      <c r="S67" s="32" t="s">
        <v>711</v>
      </c>
      <c r="T67" s="32">
        <v>1</v>
      </c>
      <c r="U67" s="32" t="s">
        <v>722</v>
      </c>
      <c r="V67" s="32">
        <v>10000</v>
      </c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 t="s">
        <v>746</v>
      </c>
      <c r="AI67" s="32">
        <v>-1000</v>
      </c>
      <c r="AJ67" s="32"/>
      <c r="AQ67" s="32" t="s">
        <v>722</v>
      </c>
      <c r="AR67" s="32">
        <v>10000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 t="s">
        <v>747</v>
      </c>
      <c r="BE67" s="32">
        <v>-1000</v>
      </c>
      <c r="BF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</row>
    <row r="68" ht="15.6" spans="1:80">
      <c r="A68"/>
      <c r="B68" s="32">
        <v>21001604</v>
      </c>
      <c r="C68" s="32" t="s">
        <v>427</v>
      </c>
      <c r="D68" s="32" t="s">
        <v>427</v>
      </c>
      <c r="E68" s="32" t="s">
        <v>706</v>
      </c>
      <c r="F68" s="32">
        <v>4</v>
      </c>
      <c r="G68" s="32" t="s">
        <v>744</v>
      </c>
      <c r="H68" s="32" t="s">
        <v>745</v>
      </c>
      <c r="I68" s="32" t="b">
        <v>1</v>
      </c>
      <c r="J68" s="32" t="s">
        <v>709</v>
      </c>
      <c r="K68" s="32" t="s">
        <v>360</v>
      </c>
      <c r="L68" s="32">
        <v>1</v>
      </c>
      <c r="M68" s="32">
        <v>12000</v>
      </c>
      <c r="N68" s="32">
        <v>0</v>
      </c>
      <c r="O68" s="32" t="s">
        <v>367</v>
      </c>
      <c r="P68" s="32">
        <v>0</v>
      </c>
      <c r="Q68" s="32">
        <v>30056</v>
      </c>
      <c r="R68" s="32" t="s">
        <v>710</v>
      </c>
      <c r="S68" s="32" t="s">
        <v>711</v>
      </c>
      <c r="T68" s="32">
        <v>1</v>
      </c>
      <c r="U68" s="32" t="s">
        <v>722</v>
      </c>
      <c r="V68" s="32">
        <v>10000</v>
      </c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 t="s">
        <v>746</v>
      </c>
      <c r="AI68" s="32">
        <v>-1200</v>
      </c>
      <c r="AJ68" s="32"/>
      <c r="AQ68" s="32" t="s">
        <v>722</v>
      </c>
      <c r="AR68" s="32">
        <v>10000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 t="s">
        <v>747</v>
      </c>
      <c r="BE68" s="32">
        <v>-1200</v>
      </c>
      <c r="BF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</row>
    <row r="69" ht="15.6" spans="1:80">
      <c r="A69"/>
      <c r="B69" s="32">
        <v>21001605</v>
      </c>
      <c r="C69" s="32" t="s">
        <v>427</v>
      </c>
      <c r="D69" s="32" t="s">
        <v>427</v>
      </c>
      <c r="E69" s="32" t="s">
        <v>706</v>
      </c>
      <c r="F69" s="32">
        <v>5</v>
      </c>
      <c r="G69" s="32" t="s">
        <v>744</v>
      </c>
      <c r="H69" s="32" t="s">
        <v>745</v>
      </c>
      <c r="I69" s="32" t="b">
        <v>1</v>
      </c>
      <c r="J69" s="32" t="s">
        <v>709</v>
      </c>
      <c r="K69" s="32" t="s">
        <v>360</v>
      </c>
      <c r="L69" s="32">
        <v>1</v>
      </c>
      <c r="M69" s="32">
        <v>12000</v>
      </c>
      <c r="N69" s="32">
        <v>0</v>
      </c>
      <c r="O69" s="32" t="s">
        <v>367</v>
      </c>
      <c r="P69" s="32">
        <v>0</v>
      </c>
      <c r="Q69" s="32">
        <v>30056</v>
      </c>
      <c r="R69" s="32" t="s">
        <v>710</v>
      </c>
      <c r="S69" s="32" t="s">
        <v>711</v>
      </c>
      <c r="T69" s="32">
        <v>1</v>
      </c>
      <c r="U69" s="32" t="s">
        <v>722</v>
      </c>
      <c r="V69" s="32">
        <v>10000</v>
      </c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 t="s">
        <v>746</v>
      </c>
      <c r="AI69" s="32">
        <v>-1400</v>
      </c>
      <c r="AJ69" s="32"/>
      <c r="AQ69" s="32" t="s">
        <v>722</v>
      </c>
      <c r="AR69" s="32">
        <v>10000</v>
      </c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 t="s">
        <v>747</v>
      </c>
      <c r="BE69" s="32">
        <v>-1400</v>
      </c>
      <c r="BF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</row>
    <row r="70" ht="15.6" spans="1:80">
      <c r="A70"/>
      <c r="B70" s="32">
        <v>21001606</v>
      </c>
      <c r="C70" s="32" t="s">
        <v>427</v>
      </c>
      <c r="D70" s="32" t="s">
        <v>427</v>
      </c>
      <c r="E70" s="32" t="s">
        <v>706</v>
      </c>
      <c r="F70" s="32">
        <v>6</v>
      </c>
      <c r="G70" s="32" t="s">
        <v>744</v>
      </c>
      <c r="H70" s="32" t="s">
        <v>745</v>
      </c>
      <c r="I70" s="32" t="b">
        <v>1</v>
      </c>
      <c r="J70" s="32" t="s">
        <v>709</v>
      </c>
      <c r="K70" s="32" t="s">
        <v>360</v>
      </c>
      <c r="L70" s="32">
        <v>1</v>
      </c>
      <c r="M70" s="32">
        <v>12000</v>
      </c>
      <c r="N70" s="32">
        <v>0</v>
      </c>
      <c r="O70" s="32" t="s">
        <v>367</v>
      </c>
      <c r="P70" s="32">
        <v>0</v>
      </c>
      <c r="Q70" s="32">
        <v>30056</v>
      </c>
      <c r="R70" s="32" t="s">
        <v>710</v>
      </c>
      <c r="S70" s="32" t="s">
        <v>711</v>
      </c>
      <c r="T70" s="32">
        <v>1</v>
      </c>
      <c r="U70" s="32" t="s">
        <v>722</v>
      </c>
      <c r="V70" s="32">
        <v>10000</v>
      </c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 t="s">
        <v>746</v>
      </c>
      <c r="AI70" s="32">
        <v>-1600</v>
      </c>
      <c r="AJ70" s="32"/>
      <c r="AQ70" s="32" t="s">
        <v>722</v>
      </c>
      <c r="AR70" s="32">
        <v>10000</v>
      </c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 t="s">
        <v>747</v>
      </c>
      <c r="BE70" s="32">
        <v>-1600</v>
      </c>
      <c r="BF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</row>
    <row r="71" ht="15.6" spans="1:80">
      <c r="A71"/>
      <c r="B71" s="32">
        <v>21001607</v>
      </c>
      <c r="C71" s="32" t="s">
        <v>427</v>
      </c>
      <c r="D71" s="32" t="s">
        <v>427</v>
      </c>
      <c r="E71" s="32" t="s">
        <v>706</v>
      </c>
      <c r="F71" s="32">
        <v>7</v>
      </c>
      <c r="G71" s="32" t="s">
        <v>744</v>
      </c>
      <c r="H71" s="32" t="s">
        <v>745</v>
      </c>
      <c r="I71" s="32" t="b">
        <v>1</v>
      </c>
      <c r="J71" s="32" t="s">
        <v>709</v>
      </c>
      <c r="K71" s="32" t="s">
        <v>360</v>
      </c>
      <c r="L71" s="32">
        <v>1</v>
      </c>
      <c r="M71" s="32">
        <v>12000</v>
      </c>
      <c r="N71" s="32">
        <v>0</v>
      </c>
      <c r="O71" s="32" t="s">
        <v>367</v>
      </c>
      <c r="P71" s="32">
        <v>0</v>
      </c>
      <c r="Q71" s="32">
        <v>30056</v>
      </c>
      <c r="R71" s="32" t="s">
        <v>710</v>
      </c>
      <c r="S71" s="32" t="s">
        <v>711</v>
      </c>
      <c r="T71" s="32">
        <v>1</v>
      </c>
      <c r="U71" s="32" t="s">
        <v>722</v>
      </c>
      <c r="V71" s="32">
        <v>10000</v>
      </c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 t="s">
        <v>746</v>
      </c>
      <c r="AI71" s="32">
        <v>-1800</v>
      </c>
      <c r="AJ71" s="32"/>
      <c r="AQ71" s="32" t="s">
        <v>722</v>
      </c>
      <c r="AR71" s="32">
        <v>10000</v>
      </c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 t="s">
        <v>747</v>
      </c>
      <c r="BE71" s="32">
        <v>-1800</v>
      </c>
      <c r="BF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</row>
    <row r="72" ht="15.6" spans="1:80">
      <c r="A72"/>
      <c r="B72" s="32">
        <v>21001608</v>
      </c>
      <c r="C72" s="32" t="s">
        <v>427</v>
      </c>
      <c r="D72" s="32" t="s">
        <v>427</v>
      </c>
      <c r="E72" s="32" t="s">
        <v>706</v>
      </c>
      <c r="F72" s="32">
        <v>8</v>
      </c>
      <c r="G72" s="32" t="s">
        <v>744</v>
      </c>
      <c r="H72" s="32" t="s">
        <v>745</v>
      </c>
      <c r="I72" s="32" t="b">
        <v>1</v>
      </c>
      <c r="J72" s="32" t="s">
        <v>709</v>
      </c>
      <c r="K72" s="32" t="s">
        <v>360</v>
      </c>
      <c r="L72" s="32">
        <v>1</v>
      </c>
      <c r="M72" s="32">
        <v>12000</v>
      </c>
      <c r="N72" s="32">
        <v>0</v>
      </c>
      <c r="O72" s="32" t="s">
        <v>367</v>
      </c>
      <c r="P72" s="32">
        <v>0</v>
      </c>
      <c r="Q72" s="32">
        <v>30056</v>
      </c>
      <c r="R72" s="32" t="s">
        <v>710</v>
      </c>
      <c r="S72" s="32" t="s">
        <v>711</v>
      </c>
      <c r="T72" s="32">
        <v>1</v>
      </c>
      <c r="U72" s="32" t="s">
        <v>722</v>
      </c>
      <c r="V72" s="32">
        <v>10000</v>
      </c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 t="s">
        <v>746</v>
      </c>
      <c r="AI72" s="32">
        <v>-2000</v>
      </c>
      <c r="AJ72" s="32"/>
      <c r="AQ72" s="32" t="s">
        <v>722</v>
      </c>
      <c r="AR72" s="32">
        <v>10000</v>
      </c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 t="s">
        <v>747</v>
      </c>
      <c r="BE72" s="32">
        <v>-2000</v>
      </c>
      <c r="BF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</row>
    <row r="73" ht="15.6" spans="1:80">
      <c r="A73"/>
      <c r="B73" s="32">
        <v>21001609</v>
      </c>
      <c r="C73" s="32" t="s">
        <v>427</v>
      </c>
      <c r="D73" s="32" t="s">
        <v>427</v>
      </c>
      <c r="E73" s="32" t="s">
        <v>706</v>
      </c>
      <c r="F73" s="32">
        <v>9</v>
      </c>
      <c r="G73" s="32" t="s">
        <v>744</v>
      </c>
      <c r="H73" s="32" t="s">
        <v>745</v>
      </c>
      <c r="I73" s="32" t="b">
        <v>1</v>
      </c>
      <c r="J73" s="32" t="s">
        <v>709</v>
      </c>
      <c r="K73" s="32" t="s">
        <v>360</v>
      </c>
      <c r="L73" s="32">
        <v>1</v>
      </c>
      <c r="M73" s="32">
        <v>12000</v>
      </c>
      <c r="N73" s="32">
        <v>0</v>
      </c>
      <c r="O73" s="32" t="s">
        <v>367</v>
      </c>
      <c r="P73" s="32">
        <v>0</v>
      </c>
      <c r="Q73" s="32">
        <v>30056</v>
      </c>
      <c r="R73" s="32" t="s">
        <v>710</v>
      </c>
      <c r="S73" s="32" t="s">
        <v>711</v>
      </c>
      <c r="T73" s="32">
        <v>1</v>
      </c>
      <c r="U73" s="32" t="s">
        <v>722</v>
      </c>
      <c r="V73" s="32">
        <v>10000</v>
      </c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 t="s">
        <v>746</v>
      </c>
      <c r="AI73" s="32">
        <v>-2200</v>
      </c>
      <c r="AJ73" s="32"/>
      <c r="AQ73" s="32" t="s">
        <v>722</v>
      </c>
      <c r="AR73" s="32">
        <v>10000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 t="s">
        <v>747</v>
      </c>
      <c r="BE73" s="32">
        <v>-2200</v>
      </c>
      <c r="BF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</row>
    <row r="74" ht="15.6" spans="1:80">
      <c r="A74"/>
      <c r="B74" s="32">
        <v>21001610</v>
      </c>
      <c r="C74" s="32" t="s">
        <v>427</v>
      </c>
      <c r="D74" s="32" t="s">
        <v>427</v>
      </c>
      <c r="E74" s="32" t="s">
        <v>706</v>
      </c>
      <c r="F74" s="32">
        <v>10</v>
      </c>
      <c r="G74" s="32" t="s">
        <v>744</v>
      </c>
      <c r="H74" s="32" t="s">
        <v>745</v>
      </c>
      <c r="I74" s="32" t="b">
        <v>1</v>
      </c>
      <c r="J74" s="32" t="s">
        <v>709</v>
      </c>
      <c r="K74" s="32" t="s">
        <v>360</v>
      </c>
      <c r="L74" s="32">
        <v>1</v>
      </c>
      <c r="M74" s="32">
        <v>12000</v>
      </c>
      <c r="N74" s="32">
        <v>0</v>
      </c>
      <c r="O74" s="32" t="s">
        <v>367</v>
      </c>
      <c r="P74" s="32">
        <v>0</v>
      </c>
      <c r="Q74" s="32">
        <v>30056</v>
      </c>
      <c r="R74" s="32" t="s">
        <v>710</v>
      </c>
      <c r="S74" s="32" t="s">
        <v>711</v>
      </c>
      <c r="T74" s="32">
        <v>1</v>
      </c>
      <c r="U74" s="32" t="s">
        <v>722</v>
      </c>
      <c r="V74" s="32">
        <v>10000</v>
      </c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 t="s">
        <v>746</v>
      </c>
      <c r="AI74" s="32">
        <v>-2500</v>
      </c>
      <c r="AJ74" s="32"/>
      <c r="AQ74" s="32" t="s">
        <v>722</v>
      </c>
      <c r="AR74" s="32">
        <v>10000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 t="s">
        <v>747</v>
      </c>
      <c r="BE74" s="32">
        <v>-2500</v>
      </c>
      <c r="BF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</row>
    <row r="75" ht="15.6" spans="1:80">
      <c r="A75"/>
      <c r="B75" s="32">
        <v>21001701</v>
      </c>
      <c r="C75" s="32" t="s">
        <v>429</v>
      </c>
      <c r="D75" s="32" t="s">
        <v>429</v>
      </c>
      <c r="E75" s="32" t="s">
        <v>706</v>
      </c>
      <c r="F75" s="32">
        <v>1</v>
      </c>
      <c r="G75" s="32" t="s">
        <v>748</v>
      </c>
      <c r="H75" s="32" t="s">
        <v>749</v>
      </c>
      <c r="I75" s="32" t="b">
        <v>1</v>
      </c>
      <c r="J75" s="32" t="s">
        <v>709</v>
      </c>
      <c r="K75" s="32" t="s">
        <v>360</v>
      </c>
      <c r="L75" s="32">
        <v>1</v>
      </c>
      <c r="M75" s="32">
        <v>12000</v>
      </c>
      <c r="N75" s="32">
        <v>0</v>
      </c>
      <c r="O75" s="32" t="s">
        <v>367</v>
      </c>
      <c r="P75" s="32">
        <v>0</v>
      </c>
      <c r="Q75" s="32">
        <v>30054</v>
      </c>
      <c r="R75" s="32" t="s">
        <v>710</v>
      </c>
      <c r="S75" s="32" t="s">
        <v>711</v>
      </c>
      <c r="T75" s="32">
        <v>1</v>
      </c>
      <c r="U75" s="32" t="s">
        <v>722</v>
      </c>
      <c r="V75" s="32">
        <v>10000</v>
      </c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 t="s">
        <v>750</v>
      </c>
      <c r="AI75" s="32">
        <v>-600</v>
      </c>
      <c r="AJ75" s="32"/>
      <c r="AQ75" s="32" t="s">
        <v>722</v>
      </c>
      <c r="AR75" s="32">
        <v>10000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 t="s">
        <v>751</v>
      </c>
      <c r="BE75" s="32">
        <v>-600</v>
      </c>
      <c r="BF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</row>
    <row r="76" ht="15.6" spans="1:80">
      <c r="A76"/>
      <c r="B76" s="32">
        <v>21001702</v>
      </c>
      <c r="C76" s="32" t="s">
        <v>429</v>
      </c>
      <c r="D76" s="32" t="s">
        <v>429</v>
      </c>
      <c r="E76" s="32" t="s">
        <v>706</v>
      </c>
      <c r="F76" s="32">
        <v>2</v>
      </c>
      <c r="G76" s="32" t="s">
        <v>748</v>
      </c>
      <c r="H76" s="32" t="s">
        <v>749</v>
      </c>
      <c r="I76" s="32" t="b">
        <v>1</v>
      </c>
      <c r="J76" s="32" t="s">
        <v>709</v>
      </c>
      <c r="K76" s="32" t="s">
        <v>360</v>
      </c>
      <c r="L76" s="32">
        <v>1</v>
      </c>
      <c r="M76" s="32">
        <v>12000</v>
      </c>
      <c r="N76" s="32">
        <v>0</v>
      </c>
      <c r="O76" s="32" t="s">
        <v>367</v>
      </c>
      <c r="P76" s="32">
        <v>0</v>
      </c>
      <c r="Q76" s="32">
        <v>30054</v>
      </c>
      <c r="R76" s="32" t="s">
        <v>710</v>
      </c>
      <c r="S76" s="32" t="s">
        <v>711</v>
      </c>
      <c r="T76" s="32">
        <v>1</v>
      </c>
      <c r="U76" s="32" t="s">
        <v>722</v>
      </c>
      <c r="V76" s="32">
        <v>10000</v>
      </c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 t="s">
        <v>750</v>
      </c>
      <c r="AI76" s="32">
        <v>-800</v>
      </c>
      <c r="AJ76" s="32"/>
      <c r="AQ76" s="32" t="s">
        <v>722</v>
      </c>
      <c r="AR76" s="32">
        <v>10000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 t="s">
        <v>751</v>
      </c>
      <c r="BE76" s="32">
        <v>-800</v>
      </c>
      <c r="BF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</row>
    <row r="77" ht="15.6" spans="1:80">
      <c r="A77"/>
      <c r="B77" s="32">
        <v>21001703</v>
      </c>
      <c r="C77" s="32" t="s">
        <v>429</v>
      </c>
      <c r="D77" s="32" t="s">
        <v>429</v>
      </c>
      <c r="E77" s="32" t="s">
        <v>706</v>
      </c>
      <c r="F77" s="32">
        <v>3</v>
      </c>
      <c r="G77" s="32" t="s">
        <v>748</v>
      </c>
      <c r="H77" s="32" t="s">
        <v>749</v>
      </c>
      <c r="I77" s="32" t="b">
        <v>1</v>
      </c>
      <c r="J77" s="32" t="s">
        <v>709</v>
      </c>
      <c r="K77" s="32" t="s">
        <v>360</v>
      </c>
      <c r="L77" s="32">
        <v>1</v>
      </c>
      <c r="M77" s="32">
        <v>12000</v>
      </c>
      <c r="N77" s="32">
        <v>0</v>
      </c>
      <c r="O77" s="32" t="s">
        <v>367</v>
      </c>
      <c r="P77" s="32">
        <v>0</v>
      </c>
      <c r="Q77" s="32">
        <v>30054</v>
      </c>
      <c r="R77" s="32" t="s">
        <v>710</v>
      </c>
      <c r="S77" s="32" t="s">
        <v>711</v>
      </c>
      <c r="T77" s="32">
        <v>1</v>
      </c>
      <c r="U77" s="32" t="s">
        <v>722</v>
      </c>
      <c r="V77" s="32">
        <v>10000</v>
      </c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 t="s">
        <v>750</v>
      </c>
      <c r="AI77" s="32">
        <v>-1000</v>
      </c>
      <c r="AJ77" s="32"/>
      <c r="AQ77" s="32" t="s">
        <v>722</v>
      </c>
      <c r="AR77" s="32">
        <v>10000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 t="s">
        <v>751</v>
      </c>
      <c r="BE77" s="32">
        <v>-1000</v>
      </c>
      <c r="BF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</row>
    <row r="78" ht="15.6" spans="1:80">
      <c r="A78"/>
      <c r="B78" s="32">
        <v>21001704</v>
      </c>
      <c r="C78" s="32" t="s">
        <v>429</v>
      </c>
      <c r="D78" s="32" t="s">
        <v>429</v>
      </c>
      <c r="E78" s="32" t="s">
        <v>706</v>
      </c>
      <c r="F78" s="32">
        <v>4</v>
      </c>
      <c r="G78" s="32" t="s">
        <v>748</v>
      </c>
      <c r="H78" s="32" t="s">
        <v>749</v>
      </c>
      <c r="I78" s="32" t="b">
        <v>1</v>
      </c>
      <c r="J78" s="32" t="s">
        <v>709</v>
      </c>
      <c r="K78" s="32" t="s">
        <v>360</v>
      </c>
      <c r="L78" s="32">
        <v>1</v>
      </c>
      <c r="M78" s="32">
        <v>12000</v>
      </c>
      <c r="N78" s="32">
        <v>0</v>
      </c>
      <c r="O78" s="32" t="s">
        <v>367</v>
      </c>
      <c r="P78" s="32">
        <v>0</v>
      </c>
      <c r="Q78" s="32">
        <v>30054</v>
      </c>
      <c r="R78" s="32" t="s">
        <v>710</v>
      </c>
      <c r="S78" s="32" t="s">
        <v>711</v>
      </c>
      <c r="T78" s="32">
        <v>1</v>
      </c>
      <c r="U78" s="32" t="s">
        <v>722</v>
      </c>
      <c r="V78" s="32">
        <v>10000</v>
      </c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 t="s">
        <v>750</v>
      </c>
      <c r="AI78" s="32">
        <v>-1200</v>
      </c>
      <c r="AJ78" s="32"/>
      <c r="AQ78" s="32" t="s">
        <v>722</v>
      </c>
      <c r="AR78" s="32">
        <v>10000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 t="s">
        <v>751</v>
      </c>
      <c r="BE78" s="32">
        <v>-1200</v>
      </c>
      <c r="BF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</row>
    <row r="79" ht="15.6" spans="1:80">
      <c r="A79"/>
      <c r="B79" s="32">
        <v>21001705</v>
      </c>
      <c r="C79" s="32" t="s">
        <v>429</v>
      </c>
      <c r="D79" s="32" t="s">
        <v>429</v>
      </c>
      <c r="E79" s="32" t="s">
        <v>706</v>
      </c>
      <c r="F79" s="32">
        <v>5</v>
      </c>
      <c r="G79" s="32" t="s">
        <v>748</v>
      </c>
      <c r="H79" s="32" t="s">
        <v>749</v>
      </c>
      <c r="I79" s="32" t="b">
        <v>1</v>
      </c>
      <c r="J79" s="32" t="s">
        <v>709</v>
      </c>
      <c r="K79" s="32" t="s">
        <v>360</v>
      </c>
      <c r="L79" s="32">
        <v>1</v>
      </c>
      <c r="M79" s="32">
        <v>12000</v>
      </c>
      <c r="N79" s="32">
        <v>0</v>
      </c>
      <c r="O79" s="32" t="s">
        <v>367</v>
      </c>
      <c r="P79" s="32">
        <v>0</v>
      </c>
      <c r="Q79" s="32">
        <v>30054</v>
      </c>
      <c r="R79" s="32" t="s">
        <v>710</v>
      </c>
      <c r="S79" s="32" t="s">
        <v>711</v>
      </c>
      <c r="T79" s="32">
        <v>1</v>
      </c>
      <c r="U79" s="32" t="s">
        <v>722</v>
      </c>
      <c r="V79" s="32">
        <v>10000</v>
      </c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 t="s">
        <v>750</v>
      </c>
      <c r="AI79" s="32">
        <v>-1400</v>
      </c>
      <c r="AJ79" s="32"/>
      <c r="AQ79" s="32" t="s">
        <v>722</v>
      </c>
      <c r="AR79" s="32">
        <v>10000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 t="s">
        <v>751</v>
      </c>
      <c r="BE79" s="32">
        <v>-1400</v>
      </c>
      <c r="BF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</row>
    <row r="80" ht="15.6" spans="1:80">
      <c r="A80"/>
      <c r="B80" s="32">
        <v>21001706</v>
      </c>
      <c r="C80" s="32" t="s">
        <v>429</v>
      </c>
      <c r="D80" s="32" t="s">
        <v>429</v>
      </c>
      <c r="E80" s="32" t="s">
        <v>706</v>
      </c>
      <c r="F80" s="32">
        <v>6</v>
      </c>
      <c r="G80" s="32" t="s">
        <v>748</v>
      </c>
      <c r="H80" s="32" t="s">
        <v>749</v>
      </c>
      <c r="I80" s="32" t="b">
        <v>1</v>
      </c>
      <c r="J80" s="32" t="s">
        <v>709</v>
      </c>
      <c r="K80" s="32" t="s">
        <v>360</v>
      </c>
      <c r="L80" s="32">
        <v>1</v>
      </c>
      <c r="M80" s="32">
        <v>12000</v>
      </c>
      <c r="N80" s="32">
        <v>0</v>
      </c>
      <c r="O80" s="32" t="s">
        <v>367</v>
      </c>
      <c r="P80" s="32">
        <v>0</v>
      </c>
      <c r="Q80" s="32">
        <v>30054</v>
      </c>
      <c r="R80" s="32" t="s">
        <v>710</v>
      </c>
      <c r="S80" s="32" t="s">
        <v>711</v>
      </c>
      <c r="T80" s="32">
        <v>1</v>
      </c>
      <c r="U80" s="32" t="s">
        <v>722</v>
      </c>
      <c r="V80" s="32">
        <v>10000</v>
      </c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 t="s">
        <v>750</v>
      </c>
      <c r="AI80" s="32">
        <v>-1600</v>
      </c>
      <c r="AJ80" s="32"/>
      <c r="AQ80" s="32" t="s">
        <v>722</v>
      </c>
      <c r="AR80" s="32">
        <v>10000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 t="s">
        <v>751</v>
      </c>
      <c r="BE80" s="32">
        <v>-1600</v>
      </c>
      <c r="BF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</row>
    <row r="81" ht="15.6" spans="1:80">
      <c r="A81"/>
      <c r="B81" s="32">
        <v>21001707</v>
      </c>
      <c r="C81" s="32" t="s">
        <v>429</v>
      </c>
      <c r="D81" s="32" t="s">
        <v>429</v>
      </c>
      <c r="E81" s="32" t="s">
        <v>706</v>
      </c>
      <c r="F81" s="32">
        <v>7</v>
      </c>
      <c r="G81" s="32" t="s">
        <v>748</v>
      </c>
      <c r="H81" s="32" t="s">
        <v>749</v>
      </c>
      <c r="I81" s="32" t="b">
        <v>1</v>
      </c>
      <c r="J81" s="32" t="s">
        <v>709</v>
      </c>
      <c r="K81" s="32" t="s">
        <v>360</v>
      </c>
      <c r="L81" s="32">
        <v>1</v>
      </c>
      <c r="M81" s="32">
        <v>12000</v>
      </c>
      <c r="N81" s="32">
        <v>0</v>
      </c>
      <c r="O81" s="32" t="s">
        <v>367</v>
      </c>
      <c r="P81" s="32">
        <v>0</v>
      </c>
      <c r="Q81" s="32">
        <v>30054</v>
      </c>
      <c r="R81" s="32" t="s">
        <v>710</v>
      </c>
      <c r="S81" s="32" t="s">
        <v>711</v>
      </c>
      <c r="T81" s="32">
        <v>1</v>
      </c>
      <c r="U81" s="32" t="s">
        <v>722</v>
      </c>
      <c r="V81" s="32">
        <v>10000</v>
      </c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 t="s">
        <v>750</v>
      </c>
      <c r="AI81" s="32">
        <v>-1800</v>
      </c>
      <c r="AJ81" s="32"/>
      <c r="AQ81" s="32" t="s">
        <v>722</v>
      </c>
      <c r="AR81" s="32">
        <v>10000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 t="s">
        <v>751</v>
      </c>
      <c r="BE81" s="32">
        <v>-1800</v>
      </c>
      <c r="BF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</row>
    <row r="82" ht="15.6" spans="1:80">
      <c r="A82"/>
      <c r="B82" s="32">
        <v>21001708</v>
      </c>
      <c r="C82" s="32" t="s">
        <v>429</v>
      </c>
      <c r="D82" s="32" t="s">
        <v>429</v>
      </c>
      <c r="E82" s="32" t="s">
        <v>706</v>
      </c>
      <c r="F82" s="32">
        <v>8</v>
      </c>
      <c r="G82" s="32" t="s">
        <v>748</v>
      </c>
      <c r="H82" s="32" t="s">
        <v>749</v>
      </c>
      <c r="I82" s="32" t="b">
        <v>1</v>
      </c>
      <c r="J82" s="32" t="s">
        <v>709</v>
      </c>
      <c r="K82" s="32" t="s">
        <v>360</v>
      </c>
      <c r="L82" s="32">
        <v>1</v>
      </c>
      <c r="M82" s="32">
        <v>12000</v>
      </c>
      <c r="N82" s="32">
        <v>0</v>
      </c>
      <c r="O82" s="32" t="s">
        <v>367</v>
      </c>
      <c r="P82" s="32">
        <v>0</v>
      </c>
      <c r="Q82" s="32">
        <v>30054</v>
      </c>
      <c r="R82" s="32" t="s">
        <v>710</v>
      </c>
      <c r="S82" s="32" t="s">
        <v>711</v>
      </c>
      <c r="T82" s="32">
        <v>1</v>
      </c>
      <c r="U82" s="32" t="s">
        <v>722</v>
      </c>
      <c r="V82" s="32">
        <v>10000</v>
      </c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 t="s">
        <v>750</v>
      </c>
      <c r="AI82" s="32">
        <v>-2000</v>
      </c>
      <c r="AJ82" s="32"/>
      <c r="AQ82" s="32" t="s">
        <v>722</v>
      </c>
      <c r="AR82" s="32">
        <v>10000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 t="s">
        <v>751</v>
      </c>
      <c r="BE82" s="32">
        <v>-2000</v>
      </c>
      <c r="BF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</row>
    <row r="83" ht="15.6" spans="1:80">
      <c r="A83"/>
      <c r="B83" s="32">
        <v>21001709</v>
      </c>
      <c r="C83" s="32" t="s">
        <v>429</v>
      </c>
      <c r="D83" s="32" t="s">
        <v>429</v>
      </c>
      <c r="E83" s="32" t="s">
        <v>706</v>
      </c>
      <c r="F83" s="32">
        <v>9</v>
      </c>
      <c r="G83" s="32" t="s">
        <v>748</v>
      </c>
      <c r="H83" s="32" t="s">
        <v>749</v>
      </c>
      <c r="I83" s="32" t="b">
        <v>1</v>
      </c>
      <c r="J83" s="32" t="s">
        <v>709</v>
      </c>
      <c r="K83" s="32" t="s">
        <v>360</v>
      </c>
      <c r="L83" s="32">
        <v>1</v>
      </c>
      <c r="M83" s="32">
        <v>12000</v>
      </c>
      <c r="N83" s="32">
        <v>0</v>
      </c>
      <c r="O83" s="32" t="s">
        <v>367</v>
      </c>
      <c r="P83" s="32">
        <v>0</v>
      </c>
      <c r="Q83" s="32">
        <v>30054</v>
      </c>
      <c r="R83" s="32" t="s">
        <v>710</v>
      </c>
      <c r="S83" s="32" t="s">
        <v>711</v>
      </c>
      <c r="T83" s="32">
        <v>1</v>
      </c>
      <c r="U83" s="32" t="s">
        <v>722</v>
      </c>
      <c r="V83" s="32">
        <v>10000</v>
      </c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 t="s">
        <v>750</v>
      </c>
      <c r="AI83" s="32">
        <v>-2200</v>
      </c>
      <c r="AJ83" s="32"/>
      <c r="AQ83" s="32" t="s">
        <v>722</v>
      </c>
      <c r="AR83" s="32">
        <v>10000</v>
      </c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 t="s">
        <v>751</v>
      </c>
      <c r="BE83" s="32">
        <v>-2200</v>
      </c>
      <c r="BF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</row>
    <row r="84" ht="15.6" spans="1:80">
      <c r="A84"/>
      <c r="B84" s="32">
        <v>21001710</v>
      </c>
      <c r="C84" s="32" t="s">
        <v>429</v>
      </c>
      <c r="D84" s="32" t="s">
        <v>429</v>
      </c>
      <c r="E84" s="32" t="s">
        <v>706</v>
      </c>
      <c r="F84" s="32">
        <v>10</v>
      </c>
      <c r="G84" s="32" t="s">
        <v>748</v>
      </c>
      <c r="H84" s="32" t="s">
        <v>749</v>
      </c>
      <c r="I84" s="32" t="b">
        <v>1</v>
      </c>
      <c r="J84" s="32" t="s">
        <v>709</v>
      </c>
      <c r="K84" s="32" t="s">
        <v>360</v>
      </c>
      <c r="L84" s="32">
        <v>1</v>
      </c>
      <c r="M84" s="32">
        <v>12000</v>
      </c>
      <c r="N84" s="32">
        <v>0</v>
      </c>
      <c r="O84" s="32" t="s">
        <v>367</v>
      </c>
      <c r="P84" s="32">
        <v>0</v>
      </c>
      <c r="Q84" s="32">
        <v>30054</v>
      </c>
      <c r="R84" s="32" t="s">
        <v>710</v>
      </c>
      <c r="S84" s="32" t="s">
        <v>711</v>
      </c>
      <c r="T84" s="32">
        <v>1</v>
      </c>
      <c r="U84" s="32" t="s">
        <v>722</v>
      </c>
      <c r="V84" s="32">
        <v>10000</v>
      </c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 t="s">
        <v>750</v>
      </c>
      <c r="AI84" s="32">
        <v>-2500</v>
      </c>
      <c r="AJ84" s="32"/>
      <c r="AQ84" s="32" t="s">
        <v>722</v>
      </c>
      <c r="AR84" s="32">
        <v>10000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 t="s">
        <v>751</v>
      </c>
      <c r="BE84" s="32">
        <v>-2500</v>
      </c>
      <c r="BF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</row>
    <row r="85" ht="15.6" spans="1:80">
      <c r="A85"/>
      <c r="B85" s="32">
        <v>21001801</v>
      </c>
      <c r="C85" s="32" t="s">
        <v>431</v>
      </c>
      <c r="D85" s="32" t="s">
        <v>431</v>
      </c>
      <c r="E85" s="32" t="s">
        <v>706</v>
      </c>
      <c r="F85" s="32">
        <v>1</v>
      </c>
      <c r="G85" s="32" t="s">
        <v>752</v>
      </c>
      <c r="H85" s="32" t="s">
        <v>753</v>
      </c>
      <c r="I85" s="32" t="b">
        <v>1</v>
      </c>
      <c r="J85" s="32" t="s">
        <v>709</v>
      </c>
      <c r="K85" s="32" t="s">
        <v>360</v>
      </c>
      <c r="L85" s="32">
        <v>1</v>
      </c>
      <c r="M85" s="32">
        <v>12000</v>
      </c>
      <c r="N85" s="32">
        <v>3000</v>
      </c>
      <c r="O85" s="32" t="s">
        <v>367</v>
      </c>
      <c r="P85" s="32">
        <v>0</v>
      </c>
      <c r="Q85" s="32">
        <v>30049</v>
      </c>
      <c r="R85" s="32" t="s">
        <v>710</v>
      </c>
      <c r="S85" s="32" t="s">
        <v>711</v>
      </c>
      <c r="T85" s="32">
        <v>1</v>
      </c>
      <c r="U85" s="32" t="s">
        <v>727</v>
      </c>
      <c r="V85" s="32">
        <v>10000</v>
      </c>
      <c r="W85" s="32"/>
      <c r="X85" s="32" t="s">
        <v>382</v>
      </c>
      <c r="Y85" s="32">
        <v>1800</v>
      </c>
      <c r="Z85" s="32">
        <v>1</v>
      </c>
      <c r="AA85" s="32" t="b">
        <v>0</v>
      </c>
      <c r="AB85" s="32">
        <v>0</v>
      </c>
      <c r="AC85" s="32"/>
      <c r="AD85" s="32"/>
      <c r="AE85" s="32"/>
      <c r="AF85" s="32"/>
      <c r="AG85" s="32"/>
      <c r="AH85" s="32"/>
      <c r="AI85" s="32"/>
      <c r="AJ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</row>
    <row r="86" ht="15.6" spans="1:80">
      <c r="A86"/>
      <c r="B86" s="32">
        <v>21001802</v>
      </c>
      <c r="C86" s="32" t="s">
        <v>431</v>
      </c>
      <c r="D86" s="32" t="s">
        <v>431</v>
      </c>
      <c r="E86" s="32" t="s">
        <v>706</v>
      </c>
      <c r="F86" s="32">
        <v>2</v>
      </c>
      <c r="G86" s="32" t="s">
        <v>752</v>
      </c>
      <c r="H86" s="32" t="s">
        <v>753</v>
      </c>
      <c r="I86" s="32" t="b">
        <v>1</v>
      </c>
      <c r="J86" s="32" t="s">
        <v>709</v>
      </c>
      <c r="K86" s="32" t="s">
        <v>360</v>
      </c>
      <c r="L86" s="32">
        <v>1</v>
      </c>
      <c r="M86" s="32">
        <v>12000</v>
      </c>
      <c r="N86" s="32">
        <v>3000</v>
      </c>
      <c r="O86" s="32" t="s">
        <v>367</v>
      </c>
      <c r="P86" s="32">
        <v>0</v>
      </c>
      <c r="Q86" s="32">
        <v>30049</v>
      </c>
      <c r="R86" s="32" t="s">
        <v>710</v>
      </c>
      <c r="S86" s="32" t="s">
        <v>711</v>
      </c>
      <c r="T86" s="32">
        <v>1</v>
      </c>
      <c r="U86" s="32" t="s">
        <v>727</v>
      </c>
      <c r="V86" s="32">
        <v>10000</v>
      </c>
      <c r="W86" s="32"/>
      <c r="X86" s="32" t="s">
        <v>382</v>
      </c>
      <c r="Y86" s="32">
        <v>2000</v>
      </c>
      <c r="Z86" s="32">
        <v>1</v>
      </c>
      <c r="AA86" s="32" t="b">
        <v>0</v>
      </c>
      <c r="AB86" s="32">
        <v>0</v>
      </c>
      <c r="AC86" s="32"/>
      <c r="AD86" s="32"/>
      <c r="AE86" s="32"/>
      <c r="AF86" s="32"/>
      <c r="AG86" s="32"/>
      <c r="AH86" s="32"/>
      <c r="AI86" s="32"/>
      <c r="AJ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</row>
    <row r="87" ht="15.6" spans="1:80">
      <c r="A87"/>
      <c r="B87" s="32">
        <v>21001803</v>
      </c>
      <c r="C87" s="32" t="s">
        <v>431</v>
      </c>
      <c r="D87" s="32" t="s">
        <v>431</v>
      </c>
      <c r="E87" s="32" t="s">
        <v>706</v>
      </c>
      <c r="F87" s="32">
        <v>3</v>
      </c>
      <c r="G87" s="32" t="s">
        <v>752</v>
      </c>
      <c r="H87" s="32" t="s">
        <v>753</v>
      </c>
      <c r="I87" s="32" t="b">
        <v>1</v>
      </c>
      <c r="J87" s="32" t="s">
        <v>709</v>
      </c>
      <c r="K87" s="32" t="s">
        <v>360</v>
      </c>
      <c r="L87" s="32">
        <v>1</v>
      </c>
      <c r="M87" s="32">
        <v>12000</v>
      </c>
      <c r="N87" s="32">
        <v>3000</v>
      </c>
      <c r="O87" s="32" t="s">
        <v>367</v>
      </c>
      <c r="P87" s="32">
        <v>0</v>
      </c>
      <c r="Q87" s="32">
        <v>30049</v>
      </c>
      <c r="R87" s="32" t="s">
        <v>710</v>
      </c>
      <c r="S87" s="32" t="s">
        <v>711</v>
      </c>
      <c r="T87" s="32">
        <v>1</v>
      </c>
      <c r="U87" s="32" t="s">
        <v>727</v>
      </c>
      <c r="V87" s="32">
        <v>10000</v>
      </c>
      <c r="W87" s="32"/>
      <c r="X87" s="32" t="s">
        <v>382</v>
      </c>
      <c r="Y87" s="32">
        <v>2200</v>
      </c>
      <c r="Z87" s="32">
        <v>1</v>
      </c>
      <c r="AA87" s="32" t="b">
        <v>0</v>
      </c>
      <c r="AB87" s="32">
        <v>0</v>
      </c>
      <c r="AC87" s="32"/>
      <c r="AD87" s="32"/>
      <c r="AE87" s="32"/>
      <c r="AF87" s="32"/>
      <c r="AG87" s="32"/>
      <c r="AH87" s="32"/>
      <c r="AI87" s="32"/>
      <c r="AJ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</row>
    <row r="88" ht="15.6" spans="1:80">
      <c r="A88"/>
      <c r="B88" s="32">
        <v>21001804</v>
      </c>
      <c r="C88" s="32" t="s">
        <v>431</v>
      </c>
      <c r="D88" s="32" t="s">
        <v>431</v>
      </c>
      <c r="E88" s="32" t="s">
        <v>706</v>
      </c>
      <c r="F88" s="32">
        <v>4</v>
      </c>
      <c r="G88" s="32" t="s">
        <v>752</v>
      </c>
      <c r="H88" s="32" t="s">
        <v>753</v>
      </c>
      <c r="I88" s="32" t="b">
        <v>1</v>
      </c>
      <c r="J88" s="32" t="s">
        <v>709</v>
      </c>
      <c r="K88" s="32" t="s">
        <v>360</v>
      </c>
      <c r="L88" s="32">
        <v>1</v>
      </c>
      <c r="M88" s="32">
        <v>12000</v>
      </c>
      <c r="N88" s="32">
        <v>3000</v>
      </c>
      <c r="O88" s="32" t="s">
        <v>367</v>
      </c>
      <c r="P88" s="32">
        <v>0</v>
      </c>
      <c r="Q88" s="32">
        <v>30049</v>
      </c>
      <c r="R88" s="32" t="s">
        <v>710</v>
      </c>
      <c r="S88" s="32" t="s">
        <v>711</v>
      </c>
      <c r="T88" s="32">
        <v>1</v>
      </c>
      <c r="U88" s="32" t="s">
        <v>727</v>
      </c>
      <c r="V88" s="32">
        <v>10000</v>
      </c>
      <c r="W88" s="32"/>
      <c r="X88" s="32" t="s">
        <v>382</v>
      </c>
      <c r="Y88" s="32">
        <v>2400</v>
      </c>
      <c r="Z88" s="32">
        <v>2</v>
      </c>
      <c r="AA88" s="32" t="b">
        <v>0</v>
      </c>
      <c r="AB88" s="32">
        <v>0</v>
      </c>
      <c r="AC88" s="32"/>
      <c r="AD88" s="32"/>
      <c r="AE88" s="32"/>
      <c r="AF88" s="32"/>
      <c r="AG88" s="32"/>
      <c r="AH88" s="32"/>
      <c r="AI88" s="32"/>
      <c r="AJ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</row>
    <row r="89" ht="15.6" spans="1:80">
      <c r="A89"/>
      <c r="B89" s="32">
        <v>21001805</v>
      </c>
      <c r="C89" s="32" t="s">
        <v>431</v>
      </c>
      <c r="D89" s="32" t="s">
        <v>431</v>
      </c>
      <c r="E89" s="32" t="s">
        <v>706</v>
      </c>
      <c r="F89" s="32">
        <v>5</v>
      </c>
      <c r="G89" s="32" t="s">
        <v>752</v>
      </c>
      <c r="H89" s="32" t="s">
        <v>753</v>
      </c>
      <c r="I89" s="32" t="b">
        <v>1</v>
      </c>
      <c r="J89" s="32" t="s">
        <v>709</v>
      </c>
      <c r="K89" s="32" t="s">
        <v>360</v>
      </c>
      <c r="L89" s="32">
        <v>1</v>
      </c>
      <c r="M89" s="32">
        <v>12000</v>
      </c>
      <c r="N89" s="32">
        <v>3000</v>
      </c>
      <c r="O89" s="32" t="s">
        <v>367</v>
      </c>
      <c r="P89" s="32">
        <v>0</v>
      </c>
      <c r="Q89" s="32">
        <v>30049</v>
      </c>
      <c r="R89" s="32" t="s">
        <v>710</v>
      </c>
      <c r="S89" s="32" t="s">
        <v>711</v>
      </c>
      <c r="T89" s="32">
        <v>1</v>
      </c>
      <c r="U89" s="32" t="s">
        <v>727</v>
      </c>
      <c r="V89" s="32">
        <v>10000</v>
      </c>
      <c r="W89" s="32"/>
      <c r="X89" s="32" t="s">
        <v>382</v>
      </c>
      <c r="Y89" s="32">
        <v>2600</v>
      </c>
      <c r="Z89" s="32">
        <v>2</v>
      </c>
      <c r="AA89" s="32" t="b">
        <v>0</v>
      </c>
      <c r="AB89" s="32">
        <v>0</v>
      </c>
      <c r="AC89" s="32"/>
      <c r="AD89" s="32"/>
      <c r="AE89" s="32"/>
      <c r="AF89" s="32"/>
      <c r="AG89" s="32"/>
      <c r="AH89" s="32"/>
      <c r="AI89" s="32"/>
      <c r="AJ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</row>
    <row r="90" ht="15.6" spans="1:80">
      <c r="A90"/>
      <c r="B90" s="32">
        <v>21001806</v>
      </c>
      <c r="C90" s="32" t="s">
        <v>431</v>
      </c>
      <c r="D90" s="32" t="s">
        <v>431</v>
      </c>
      <c r="E90" s="32" t="s">
        <v>706</v>
      </c>
      <c r="F90" s="32">
        <v>6</v>
      </c>
      <c r="G90" s="32" t="s">
        <v>752</v>
      </c>
      <c r="H90" s="32" t="s">
        <v>753</v>
      </c>
      <c r="I90" s="32" t="b">
        <v>1</v>
      </c>
      <c r="J90" s="32" t="s">
        <v>709</v>
      </c>
      <c r="K90" s="32" t="s">
        <v>360</v>
      </c>
      <c r="L90" s="32">
        <v>1</v>
      </c>
      <c r="M90" s="32">
        <v>12000</v>
      </c>
      <c r="N90" s="32">
        <v>3000</v>
      </c>
      <c r="O90" s="32" t="s">
        <v>367</v>
      </c>
      <c r="P90" s="32">
        <v>0</v>
      </c>
      <c r="Q90" s="32">
        <v>30049</v>
      </c>
      <c r="R90" s="32" t="s">
        <v>710</v>
      </c>
      <c r="S90" s="32" t="s">
        <v>711</v>
      </c>
      <c r="T90" s="32">
        <v>1</v>
      </c>
      <c r="U90" s="32" t="s">
        <v>727</v>
      </c>
      <c r="V90" s="32">
        <v>10000</v>
      </c>
      <c r="W90" s="32"/>
      <c r="X90" s="32" t="s">
        <v>382</v>
      </c>
      <c r="Y90" s="32">
        <v>2800</v>
      </c>
      <c r="Z90" s="32">
        <v>2</v>
      </c>
      <c r="AA90" s="32" t="b">
        <v>0</v>
      </c>
      <c r="AB90" s="32">
        <v>0</v>
      </c>
      <c r="AC90" s="32"/>
      <c r="AD90" s="32"/>
      <c r="AE90" s="32"/>
      <c r="AF90" s="32"/>
      <c r="AG90" s="32"/>
      <c r="AH90" s="32"/>
      <c r="AI90" s="32"/>
      <c r="AJ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</row>
    <row r="91" ht="15.6" spans="1:80">
      <c r="A91"/>
      <c r="B91" s="32">
        <v>21001807</v>
      </c>
      <c r="C91" s="32" t="s">
        <v>431</v>
      </c>
      <c r="D91" s="32" t="s">
        <v>431</v>
      </c>
      <c r="E91" s="32" t="s">
        <v>706</v>
      </c>
      <c r="F91" s="32">
        <v>7</v>
      </c>
      <c r="G91" s="32" t="s">
        <v>752</v>
      </c>
      <c r="H91" s="32" t="s">
        <v>753</v>
      </c>
      <c r="I91" s="32" t="b">
        <v>1</v>
      </c>
      <c r="J91" s="32" t="s">
        <v>709</v>
      </c>
      <c r="K91" s="32" t="s">
        <v>360</v>
      </c>
      <c r="L91" s="32">
        <v>1</v>
      </c>
      <c r="M91" s="32">
        <v>12000</v>
      </c>
      <c r="N91" s="32">
        <v>3000</v>
      </c>
      <c r="O91" s="32" t="s">
        <v>367</v>
      </c>
      <c r="P91" s="32">
        <v>0</v>
      </c>
      <c r="Q91" s="32">
        <v>30049</v>
      </c>
      <c r="R91" s="32" t="s">
        <v>710</v>
      </c>
      <c r="S91" s="32" t="s">
        <v>711</v>
      </c>
      <c r="T91" s="32">
        <v>1</v>
      </c>
      <c r="U91" s="32" t="s">
        <v>727</v>
      </c>
      <c r="V91" s="32">
        <v>10000</v>
      </c>
      <c r="W91" s="32"/>
      <c r="X91" s="32" t="s">
        <v>382</v>
      </c>
      <c r="Y91" s="32">
        <v>3000</v>
      </c>
      <c r="Z91" s="32">
        <v>2</v>
      </c>
      <c r="AA91" s="32" t="b">
        <v>0</v>
      </c>
      <c r="AB91" s="32">
        <v>0</v>
      </c>
      <c r="AC91" s="32"/>
      <c r="AD91" s="32"/>
      <c r="AE91" s="32"/>
      <c r="AF91" s="32"/>
      <c r="AG91" s="32"/>
      <c r="AH91" s="32"/>
      <c r="AI91" s="32"/>
      <c r="AJ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</row>
    <row r="92" ht="15.6" spans="1:80">
      <c r="A92"/>
      <c r="B92" s="32">
        <v>21001808</v>
      </c>
      <c r="C92" s="32" t="s">
        <v>431</v>
      </c>
      <c r="D92" s="32" t="s">
        <v>431</v>
      </c>
      <c r="E92" s="32" t="s">
        <v>706</v>
      </c>
      <c r="F92" s="32">
        <v>8</v>
      </c>
      <c r="G92" s="32" t="s">
        <v>752</v>
      </c>
      <c r="H92" s="32" t="s">
        <v>753</v>
      </c>
      <c r="I92" s="32" t="b">
        <v>1</v>
      </c>
      <c r="J92" s="32" t="s">
        <v>709</v>
      </c>
      <c r="K92" s="32" t="s">
        <v>360</v>
      </c>
      <c r="L92" s="32">
        <v>1</v>
      </c>
      <c r="M92" s="32">
        <v>12000</v>
      </c>
      <c r="N92" s="32">
        <v>3000</v>
      </c>
      <c r="O92" s="32" t="s">
        <v>367</v>
      </c>
      <c r="P92" s="32">
        <v>0</v>
      </c>
      <c r="Q92" s="32">
        <v>30049</v>
      </c>
      <c r="R92" s="32" t="s">
        <v>710</v>
      </c>
      <c r="S92" s="32" t="s">
        <v>711</v>
      </c>
      <c r="T92" s="32">
        <v>1</v>
      </c>
      <c r="U92" s="32" t="s">
        <v>727</v>
      </c>
      <c r="V92" s="32">
        <v>10000</v>
      </c>
      <c r="W92" s="32"/>
      <c r="X92" s="32" t="s">
        <v>382</v>
      </c>
      <c r="Y92" s="32">
        <v>3200</v>
      </c>
      <c r="Z92" s="32">
        <v>3</v>
      </c>
      <c r="AA92" s="32" t="b">
        <v>0</v>
      </c>
      <c r="AB92" s="32">
        <v>0</v>
      </c>
      <c r="AC92" s="32"/>
      <c r="AD92" s="32"/>
      <c r="AE92" s="32"/>
      <c r="AF92" s="32"/>
      <c r="AG92" s="32"/>
      <c r="AH92" s="32"/>
      <c r="AI92" s="32"/>
      <c r="AJ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</row>
    <row r="93" ht="15.6" spans="1:80">
      <c r="A93"/>
      <c r="B93" s="32">
        <v>21001809</v>
      </c>
      <c r="C93" s="32" t="s">
        <v>431</v>
      </c>
      <c r="D93" s="32" t="s">
        <v>431</v>
      </c>
      <c r="E93" s="32" t="s">
        <v>706</v>
      </c>
      <c r="F93" s="32">
        <v>9</v>
      </c>
      <c r="G93" s="32" t="s">
        <v>752</v>
      </c>
      <c r="H93" s="32" t="s">
        <v>753</v>
      </c>
      <c r="I93" s="32" t="b">
        <v>1</v>
      </c>
      <c r="J93" s="32" t="s">
        <v>709</v>
      </c>
      <c r="K93" s="32" t="s">
        <v>360</v>
      </c>
      <c r="L93" s="32">
        <v>1</v>
      </c>
      <c r="M93" s="32">
        <v>12000</v>
      </c>
      <c r="N93" s="32">
        <v>3000</v>
      </c>
      <c r="O93" s="32" t="s">
        <v>367</v>
      </c>
      <c r="P93" s="32">
        <v>0</v>
      </c>
      <c r="Q93" s="32">
        <v>30049</v>
      </c>
      <c r="R93" s="32" t="s">
        <v>710</v>
      </c>
      <c r="S93" s="32" t="s">
        <v>711</v>
      </c>
      <c r="T93" s="32">
        <v>1</v>
      </c>
      <c r="U93" s="32" t="s">
        <v>727</v>
      </c>
      <c r="V93" s="32">
        <v>10000</v>
      </c>
      <c r="W93" s="32"/>
      <c r="X93" s="32" t="s">
        <v>382</v>
      </c>
      <c r="Y93" s="32">
        <v>3400</v>
      </c>
      <c r="Z93" s="32">
        <v>3</v>
      </c>
      <c r="AA93" s="32" t="b">
        <v>0</v>
      </c>
      <c r="AB93" s="32">
        <v>0</v>
      </c>
      <c r="AC93" s="32"/>
      <c r="AD93" s="32"/>
      <c r="AE93" s="32"/>
      <c r="AF93" s="32"/>
      <c r="AG93" s="32"/>
      <c r="AH93" s="32"/>
      <c r="AI93" s="32"/>
      <c r="AJ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</row>
    <row r="94" ht="15.6" spans="1:80">
      <c r="A94"/>
      <c r="B94" s="32">
        <v>21001810</v>
      </c>
      <c r="C94" s="32" t="s">
        <v>431</v>
      </c>
      <c r="D94" s="32" t="s">
        <v>431</v>
      </c>
      <c r="E94" s="32" t="s">
        <v>706</v>
      </c>
      <c r="F94" s="32">
        <v>10</v>
      </c>
      <c r="G94" s="32" t="s">
        <v>752</v>
      </c>
      <c r="H94" s="32" t="s">
        <v>753</v>
      </c>
      <c r="I94" s="32" t="b">
        <v>1</v>
      </c>
      <c r="J94" s="32" t="s">
        <v>709</v>
      </c>
      <c r="K94" s="32" t="s">
        <v>360</v>
      </c>
      <c r="L94" s="32">
        <v>1</v>
      </c>
      <c r="M94" s="32">
        <v>12000</v>
      </c>
      <c r="N94" s="32">
        <v>3000</v>
      </c>
      <c r="O94" s="32" t="s">
        <v>367</v>
      </c>
      <c r="P94" s="32">
        <v>0</v>
      </c>
      <c r="Q94" s="32">
        <v>30049</v>
      </c>
      <c r="R94" s="32" t="s">
        <v>710</v>
      </c>
      <c r="S94" s="32" t="s">
        <v>711</v>
      </c>
      <c r="T94" s="32">
        <v>1</v>
      </c>
      <c r="U94" s="32" t="s">
        <v>727</v>
      </c>
      <c r="V94" s="32">
        <v>10000</v>
      </c>
      <c r="W94" s="32"/>
      <c r="X94" s="32" t="s">
        <v>382</v>
      </c>
      <c r="Y94" s="32">
        <v>3800</v>
      </c>
      <c r="Z94" s="32">
        <v>3</v>
      </c>
      <c r="AA94" s="32" t="b">
        <v>0</v>
      </c>
      <c r="AB94" s="32">
        <v>0</v>
      </c>
      <c r="AC94" s="32"/>
      <c r="AD94" s="32"/>
      <c r="AE94" s="32"/>
      <c r="AF94" s="32"/>
      <c r="AG94" s="32"/>
      <c r="AH94" s="32"/>
      <c r="AI94" s="32"/>
      <c r="AJ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</row>
    <row r="95" ht="15.6" spans="1:80">
      <c r="A95"/>
      <c r="B95" s="32">
        <v>21001901</v>
      </c>
      <c r="C95" s="32" t="s">
        <v>433</v>
      </c>
      <c r="D95" s="32" t="s">
        <v>433</v>
      </c>
      <c r="E95" s="32" t="s">
        <v>706</v>
      </c>
      <c r="F95" s="32">
        <v>1</v>
      </c>
      <c r="G95" s="32" t="s">
        <v>754</v>
      </c>
      <c r="H95" s="32" t="s">
        <v>755</v>
      </c>
      <c r="I95" s="32" t="b">
        <v>1</v>
      </c>
      <c r="J95" s="32" t="s">
        <v>709</v>
      </c>
      <c r="K95" s="32" t="s">
        <v>360</v>
      </c>
      <c r="L95" s="32">
        <v>1</v>
      </c>
      <c r="M95" s="32">
        <v>12000</v>
      </c>
      <c r="N95" s="32">
        <v>2000</v>
      </c>
      <c r="O95" s="32" t="s">
        <v>367</v>
      </c>
      <c r="P95" s="32">
        <v>0</v>
      </c>
      <c r="Q95" s="32">
        <v>30052</v>
      </c>
      <c r="R95" s="32" t="s">
        <v>710</v>
      </c>
      <c r="S95" s="32" t="s">
        <v>730</v>
      </c>
      <c r="T95" s="32">
        <v>1</v>
      </c>
      <c r="U95" s="32" t="s">
        <v>756</v>
      </c>
      <c r="V95" s="32">
        <v>10000</v>
      </c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>
        <v>10340001</v>
      </c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</row>
    <row r="96" ht="15.6" spans="1:80">
      <c r="A96"/>
      <c r="B96" s="32">
        <v>21001902</v>
      </c>
      <c r="C96" s="32" t="s">
        <v>433</v>
      </c>
      <c r="D96" s="32" t="s">
        <v>433</v>
      </c>
      <c r="E96" s="32" t="s">
        <v>706</v>
      </c>
      <c r="F96" s="32">
        <v>2</v>
      </c>
      <c r="G96" s="32" t="s">
        <v>754</v>
      </c>
      <c r="H96" s="32" t="s">
        <v>755</v>
      </c>
      <c r="I96" s="32" t="b">
        <v>1</v>
      </c>
      <c r="J96" s="32" t="s">
        <v>709</v>
      </c>
      <c r="K96" s="32" t="s">
        <v>360</v>
      </c>
      <c r="L96" s="32">
        <v>1</v>
      </c>
      <c r="M96" s="32">
        <v>12000</v>
      </c>
      <c r="N96" s="32">
        <v>2000</v>
      </c>
      <c r="O96" s="32" t="s">
        <v>367</v>
      </c>
      <c r="P96" s="32">
        <v>0</v>
      </c>
      <c r="Q96" s="32">
        <v>30052</v>
      </c>
      <c r="R96" s="32" t="s">
        <v>710</v>
      </c>
      <c r="S96" s="32" t="s">
        <v>730</v>
      </c>
      <c r="T96" s="32">
        <v>1</v>
      </c>
      <c r="U96" s="32" t="s">
        <v>756</v>
      </c>
      <c r="V96" s="32">
        <v>10000</v>
      </c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>
        <v>10340002</v>
      </c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</row>
    <row r="97" ht="15.6" spans="1:80">
      <c r="A97"/>
      <c r="B97" s="32">
        <v>21001903</v>
      </c>
      <c r="C97" s="32" t="s">
        <v>433</v>
      </c>
      <c r="D97" s="32" t="s">
        <v>433</v>
      </c>
      <c r="E97" s="32" t="s">
        <v>706</v>
      </c>
      <c r="F97" s="32">
        <v>3</v>
      </c>
      <c r="G97" s="32" t="s">
        <v>754</v>
      </c>
      <c r="H97" s="32" t="s">
        <v>755</v>
      </c>
      <c r="I97" s="32" t="b">
        <v>1</v>
      </c>
      <c r="J97" s="32" t="s">
        <v>709</v>
      </c>
      <c r="K97" s="32" t="s">
        <v>360</v>
      </c>
      <c r="L97" s="32">
        <v>1</v>
      </c>
      <c r="M97" s="32">
        <v>12000</v>
      </c>
      <c r="N97" s="32">
        <v>2000</v>
      </c>
      <c r="O97" s="32" t="s">
        <v>367</v>
      </c>
      <c r="P97" s="32">
        <v>0</v>
      </c>
      <c r="Q97" s="32">
        <v>30052</v>
      </c>
      <c r="R97" s="32" t="s">
        <v>710</v>
      </c>
      <c r="S97" s="32" t="s">
        <v>730</v>
      </c>
      <c r="T97" s="32">
        <v>1</v>
      </c>
      <c r="U97" s="32" t="s">
        <v>756</v>
      </c>
      <c r="V97" s="32">
        <v>10000</v>
      </c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>
        <v>10340003</v>
      </c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</row>
    <row r="98" ht="15.6" spans="1:80">
      <c r="A98"/>
      <c r="B98" s="32">
        <v>21001904</v>
      </c>
      <c r="C98" s="32" t="s">
        <v>433</v>
      </c>
      <c r="D98" s="32" t="s">
        <v>433</v>
      </c>
      <c r="E98" s="32" t="s">
        <v>706</v>
      </c>
      <c r="F98" s="32">
        <v>4</v>
      </c>
      <c r="G98" s="32" t="s">
        <v>754</v>
      </c>
      <c r="H98" s="32" t="s">
        <v>755</v>
      </c>
      <c r="I98" s="32" t="b">
        <v>1</v>
      </c>
      <c r="J98" s="32" t="s">
        <v>709</v>
      </c>
      <c r="K98" s="32" t="s">
        <v>360</v>
      </c>
      <c r="L98" s="32">
        <v>1</v>
      </c>
      <c r="M98" s="32">
        <v>12000</v>
      </c>
      <c r="N98" s="32">
        <v>2000</v>
      </c>
      <c r="O98" s="32" t="s">
        <v>367</v>
      </c>
      <c r="P98" s="32">
        <v>0</v>
      </c>
      <c r="Q98" s="32">
        <v>30052</v>
      </c>
      <c r="R98" s="32" t="s">
        <v>710</v>
      </c>
      <c r="S98" s="32" t="s">
        <v>730</v>
      </c>
      <c r="T98" s="32">
        <v>1</v>
      </c>
      <c r="U98" s="32" t="s">
        <v>756</v>
      </c>
      <c r="V98" s="32">
        <v>10000</v>
      </c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>
        <v>10340004</v>
      </c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</row>
    <row r="99" ht="15.6" spans="1:80">
      <c r="A99"/>
      <c r="B99" s="32">
        <v>21001905</v>
      </c>
      <c r="C99" s="32" t="s">
        <v>433</v>
      </c>
      <c r="D99" s="32" t="s">
        <v>433</v>
      </c>
      <c r="E99" s="32" t="s">
        <v>706</v>
      </c>
      <c r="F99" s="32">
        <v>5</v>
      </c>
      <c r="G99" s="32" t="s">
        <v>754</v>
      </c>
      <c r="H99" s="32" t="s">
        <v>755</v>
      </c>
      <c r="I99" s="32" t="b">
        <v>1</v>
      </c>
      <c r="J99" s="32" t="s">
        <v>709</v>
      </c>
      <c r="K99" s="32" t="s">
        <v>360</v>
      </c>
      <c r="L99" s="32">
        <v>1</v>
      </c>
      <c r="M99" s="32">
        <v>12000</v>
      </c>
      <c r="N99" s="32">
        <v>2000</v>
      </c>
      <c r="O99" s="32" t="s">
        <v>367</v>
      </c>
      <c r="P99" s="32">
        <v>0</v>
      </c>
      <c r="Q99" s="32">
        <v>30052</v>
      </c>
      <c r="R99" s="32" t="s">
        <v>710</v>
      </c>
      <c r="S99" s="32" t="s">
        <v>730</v>
      </c>
      <c r="T99" s="32">
        <v>1</v>
      </c>
      <c r="U99" s="32" t="s">
        <v>756</v>
      </c>
      <c r="V99" s="32">
        <v>10000</v>
      </c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>
        <v>10340005</v>
      </c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</row>
    <row r="100" ht="15.6" spans="1:80">
      <c r="A100"/>
      <c r="B100" s="32">
        <v>21001906</v>
      </c>
      <c r="C100" s="32" t="s">
        <v>433</v>
      </c>
      <c r="D100" s="32" t="s">
        <v>433</v>
      </c>
      <c r="E100" s="32" t="s">
        <v>706</v>
      </c>
      <c r="F100" s="32">
        <v>6</v>
      </c>
      <c r="G100" s="32" t="s">
        <v>754</v>
      </c>
      <c r="H100" s="32" t="s">
        <v>755</v>
      </c>
      <c r="I100" s="32" t="b">
        <v>1</v>
      </c>
      <c r="J100" s="32" t="s">
        <v>709</v>
      </c>
      <c r="K100" s="32" t="s">
        <v>360</v>
      </c>
      <c r="L100" s="32">
        <v>1</v>
      </c>
      <c r="M100" s="32">
        <v>12000</v>
      </c>
      <c r="N100" s="32">
        <v>2000</v>
      </c>
      <c r="O100" s="32" t="s">
        <v>367</v>
      </c>
      <c r="P100" s="32">
        <v>0</v>
      </c>
      <c r="Q100" s="32">
        <v>30052</v>
      </c>
      <c r="R100" s="32" t="s">
        <v>710</v>
      </c>
      <c r="S100" s="32" t="s">
        <v>730</v>
      </c>
      <c r="T100" s="32">
        <v>1</v>
      </c>
      <c r="U100" s="32" t="s">
        <v>756</v>
      </c>
      <c r="V100" s="32">
        <v>10000</v>
      </c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>
        <v>10340006</v>
      </c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</row>
    <row r="101" ht="15.6" spans="1:80">
      <c r="A101"/>
      <c r="B101" s="32">
        <v>21001907</v>
      </c>
      <c r="C101" s="32" t="s">
        <v>433</v>
      </c>
      <c r="D101" s="32" t="s">
        <v>433</v>
      </c>
      <c r="E101" s="32" t="s">
        <v>706</v>
      </c>
      <c r="F101" s="32">
        <v>7</v>
      </c>
      <c r="G101" s="32" t="s">
        <v>754</v>
      </c>
      <c r="H101" s="32" t="s">
        <v>755</v>
      </c>
      <c r="I101" s="32" t="b">
        <v>1</v>
      </c>
      <c r="J101" s="32" t="s">
        <v>709</v>
      </c>
      <c r="K101" s="32" t="s">
        <v>360</v>
      </c>
      <c r="L101" s="32">
        <v>1</v>
      </c>
      <c r="M101" s="32">
        <v>12000</v>
      </c>
      <c r="N101" s="32">
        <v>2000</v>
      </c>
      <c r="O101" s="32" t="s">
        <v>367</v>
      </c>
      <c r="P101" s="32">
        <v>0</v>
      </c>
      <c r="Q101" s="32">
        <v>30052</v>
      </c>
      <c r="R101" s="32" t="s">
        <v>710</v>
      </c>
      <c r="S101" s="32" t="s">
        <v>730</v>
      </c>
      <c r="T101" s="32">
        <v>1</v>
      </c>
      <c r="U101" s="32" t="s">
        <v>756</v>
      </c>
      <c r="V101" s="32">
        <v>10000</v>
      </c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>
        <v>10340007</v>
      </c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</row>
    <row r="102" ht="15.6" spans="1:80">
      <c r="A102"/>
      <c r="B102" s="32">
        <v>21001908</v>
      </c>
      <c r="C102" s="32" t="s">
        <v>433</v>
      </c>
      <c r="D102" s="32" t="s">
        <v>433</v>
      </c>
      <c r="E102" s="32" t="s">
        <v>706</v>
      </c>
      <c r="F102" s="32">
        <v>8</v>
      </c>
      <c r="G102" s="32" t="s">
        <v>754</v>
      </c>
      <c r="H102" s="32" t="s">
        <v>755</v>
      </c>
      <c r="I102" s="32" t="b">
        <v>1</v>
      </c>
      <c r="J102" s="32" t="s">
        <v>709</v>
      </c>
      <c r="K102" s="32" t="s">
        <v>360</v>
      </c>
      <c r="L102" s="32">
        <v>1</v>
      </c>
      <c r="M102" s="32">
        <v>12000</v>
      </c>
      <c r="N102" s="32">
        <v>2000</v>
      </c>
      <c r="O102" s="32" t="s">
        <v>367</v>
      </c>
      <c r="P102" s="32">
        <v>0</v>
      </c>
      <c r="Q102" s="32">
        <v>30052</v>
      </c>
      <c r="R102" s="32" t="s">
        <v>710</v>
      </c>
      <c r="S102" s="32" t="s">
        <v>730</v>
      </c>
      <c r="T102" s="32">
        <v>1</v>
      </c>
      <c r="U102" s="32" t="s">
        <v>756</v>
      </c>
      <c r="V102" s="32">
        <v>10000</v>
      </c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>
        <v>10340008</v>
      </c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</row>
    <row r="103" ht="15.6" spans="1:80">
      <c r="A103"/>
      <c r="B103" s="32">
        <v>21001909</v>
      </c>
      <c r="C103" s="32" t="s">
        <v>433</v>
      </c>
      <c r="D103" s="32" t="s">
        <v>433</v>
      </c>
      <c r="E103" s="32" t="s">
        <v>706</v>
      </c>
      <c r="F103" s="32">
        <v>9</v>
      </c>
      <c r="G103" s="32" t="s">
        <v>754</v>
      </c>
      <c r="H103" s="32" t="s">
        <v>755</v>
      </c>
      <c r="I103" s="32" t="b">
        <v>1</v>
      </c>
      <c r="J103" s="32" t="s">
        <v>709</v>
      </c>
      <c r="K103" s="32" t="s">
        <v>360</v>
      </c>
      <c r="L103" s="32">
        <v>1</v>
      </c>
      <c r="M103" s="32">
        <v>12000</v>
      </c>
      <c r="N103" s="32">
        <v>2000</v>
      </c>
      <c r="O103" s="32" t="s">
        <v>367</v>
      </c>
      <c r="P103" s="32">
        <v>0</v>
      </c>
      <c r="Q103" s="32">
        <v>30052</v>
      </c>
      <c r="R103" s="32" t="s">
        <v>710</v>
      </c>
      <c r="S103" s="32" t="s">
        <v>730</v>
      </c>
      <c r="T103" s="32">
        <v>1</v>
      </c>
      <c r="U103" s="32" t="s">
        <v>756</v>
      </c>
      <c r="V103" s="32">
        <v>10000</v>
      </c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>
        <v>10340009</v>
      </c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</row>
    <row r="104" ht="15.6" spans="1:80">
      <c r="A104"/>
      <c r="B104" s="32">
        <v>21001910</v>
      </c>
      <c r="C104" s="32" t="s">
        <v>433</v>
      </c>
      <c r="D104" s="32" t="s">
        <v>433</v>
      </c>
      <c r="E104" s="32" t="s">
        <v>706</v>
      </c>
      <c r="F104" s="32">
        <v>10</v>
      </c>
      <c r="G104" s="32" t="s">
        <v>754</v>
      </c>
      <c r="H104" s="32" t="s">
        <v>755</v>
      </c>
      <c r="I104" s="32" t="b">
        <v>1</v>
      </c>
      <c r="J104" s="32" t="s">
        <v>709</v>
      </c>
      <c r="K104" s="32" t="s">
        <v>360</v>
      </c>
      <c r="L104" s="32">
        <v>1</v>
      </c>
      <c r="M104" s="32">
        <v>12000</v>
      </c>
      <c r="N104" s="32">
        <v>2000</v>
      </c>
      <c r="O104" s="32" t="s">
        <v>367</v>
      </c>
      <c r="P104" s="32">
        <v>0</v>
      </c>
      <c r="Q104" s="32">
        <v>30052</v>
      </c>
      <c r="R104" s="32" t="s">
        <v>710</v>
      </c>
      <c r="S104" s="32" t="s">
        <v>730</v>
      </c>
      <c r="T104" s="32">
        <v>1</v>
      </c>
      <c r="U104" s="32" t="s">
        <v>756</v>
      </c>
      <c r="V104" s="32">
        <v>10000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>
        <v>10340010</v>
      </c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</row>
    <row r="105" ht="15.6" spans="1:80">
      <c r="A105"/>
      <c r="B105" s="32">
        <v>21002001</v>
      </c>
      <c r="C105" s="32" t="s">
        <v>757</v>
      </c>
      <c r="D105" s="32" t="s">
        <v>757</v>
      </c>
      <c r="E105" s="32" t="s">
        <v>706</v>
      </c>
      <c r="F105" s="32">
        <v>1</v>
      </c>
      <c r="G105" s="32" t="s">
        <v>758</v>
      </c>
      <c r="H105" s="32" t="s">
        <v>759</v>
      </c>
      <c r="I105" s="32" t="b">
        <v>1</v>
      </c>
      <c r="J105" s="32" t="s">
        <v>709</v>
      </c>
      <c r="K105" s="32" t="s">
        <v>360</v>
      </c>
      <c r="L105" s="32">
        <v>1</v>
      </c>
      <c r="M105" s="32">
        <v>12000</v>
      </c>
      <c r="N105" s="32">
        <v>2000</v>
      </c>
      <c r="O105" s="32" t="s">
        <v>367</v>
      </c>
      <c r="P105" s="32">
        <v>0</v>
      </c>
      <c r="Q105" s="32">
        <v>30053</v>
      </c>
      <c r="R105" s="32" t="s">
        <v>710</v>
      </c>
      <c r="S105" s="32" t="s">
        <v>730</v>
      </c>
      <c r="T105" s="32">
        <v>1</v>
      </c>
      <c r="U105" s="32" t="s">
        <v>756</v>
      </c>
      <c r="V105" s="32">
        <v>10000</v>
      </c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>
        <v>10350001</v>
      </c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</row>
    <row r="106" ht="15.6" spans="1:80">
      <c r="A106"/>
      <c r="B106" s="32">
        <v>21002002</v>
      </c>
      <c r="C106" s="32" t="s">
        <v>757</v>
      </c>
      <c r="D106" s="32" t="s">
        <v>757</v>
      </c>
      <c r="E106" s="32" t="s">
        <v>706</v>
      </c>
      <c r="F106" s="32">
        <v>2</v>
      </c>
      <c r="G106" s="32" t="s">
        <v>758</v>
      </c>
      <c r="H106" s="32" t="s">
        <v>759</v>
      </c>
      <c r="I106" s="32" t="b">
        <v>1</v>
      </c>
      <c r="J106" s="32" t="s">
        <v>709</v>
      </c>
      <c r="K106" s="32" t="s">
        <v>360</v>
      </c>
      <c r="L106" s="32">
        <v>1</v>
      </c>
      <c r="M106" s="32">
        <v>12000</v>
      </c>
      <c r="N106" s="32">
        <v>2000</v>
      </c>
      <c r="O106" s="32" t="s">
        <v>367</v>
      </c>
      <c r="P106" s="32">
        <v>0</v>
      </c>
      <c r="Q106" s="32">
        <v>30053</v>
      </c>
      <c r="R106" s="32" t="s">
        <v>710</v>
      </c>
      <c r="S106" s="32" t="s">
        <v>730</v>
      </c>
      <c r="T106" s="32">
        <v>1</v>
      </c>
      <c r="U106" s="32" t="s">
        <v>756</v>
      </c>
      <c r="V106" s="32">
        <v>10000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>
        <v>10350002</v>
      </c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</row>
    <row r="107" ht="15.6" spans="1:80">
      <c r="A107"/>
      <c r="B107" s="32">
        <v>21002003</v>
      </c>
      <c r="C107" s="32" t="s">
        <v>757</v>
      </c>
      <c r="D107" s="32" t="s">
        <v>757</v>
      </c>
      <c r="E107" s="32" t="s">
        <v>706</v>
      </c>
      <c r="F107" s="32">
        <v>3</v>
      </c>
      <c r="G107" s="32" t="s">
        <v>758</v>
      </c>
      <c r="H107" s="32" t="s">
        <v>759</v>
      </c>
      <c r="I107" s="32" t="b">
        <v>1</v>
      </c>
      <c r="J107" s="32" t="s">
        <v>709</v>
      </c>
      <c r="K107" s="32" t="s">
        <v>360</v>
      </c>
      <c r="L107" s="32">
        <v>1</v>
      </c>
      <c r="M107" s="32">
        <v>12000</v>
      </c>
      <c r="N107" s="32">
        <v>2000</v>
      </c>
      <c r="O107" s="32" t="s">
        <v>367</v>
      </c>
      <c r="P107" s="32">
        <v>0</v>
      </c>
      <c r="Q107" s="32">
        <v>30053</v>
      </c>
      <c r="R107" s="32" t="s">
        <v>710</v>
      </c>
      <c r="S107" s="32" t="s">
        <v>730</v>
      </c>
      <c r="T107" s="32">
        <v>1</v>
      </c>
      <c r="U107" s="32" t="s">
        <v>756</v>
      </c>
      <c r="V107" s="32">
        <v>10000</v>
      </c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>
        <v>10350003</v>
      </c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</row>
    <row r="108" ht="15.6" spans="1:80">
      <c r="A108"/>
      <c r="B108" s="32">
        <v>21002004</v>
      </c>
      <c r="C108" s="32" t="s">
        <v>757</v>
      </c>
      <c r="D108" s="32" t="s">
        <v>757</v>
      </c>
      <c r="E108" s="32" t="s">
        <v>706</v>
      </c>
      <c r="F108" s="32">
        <v>4</v>
      </c>
      <c r="G108" s="32" t="s">
        <v>758</v>
      </c>
      <c r="H108" s="32" t="s">
        <v>759</v>
      </c>
      <c r="I108" s="32" t="b">
        <v>1</v>
      </c>
      <c r="J108" s="32" t="s">
        <v>709</v>
      </c>
      <c r="K108" s="32" t="s">
        <v>360</v>
      </c>
      <c r="L108" s="32">
        <v>1</v>
      </c>
      <c r="M108" s="32">
        <v>12000</v>
      </c>
      <c r="N108" s="32">
        <v>2000</v>
      </c>
      <c r="O108" s="32" t="s">
        <v>367</v>
      </c>
      <c r="P108" s="32">
        <v>0</v>
      </c>
      <c r="Q108" s="32">
        <v>30053</v>
      </c>
      <c r="R108" s="32" t="s">
        <v>710</v>
      </c>
      <c r="S108" s="32" t="s">
        <v>730</v>
      </c>
      <c r="T108" s="32">
        <v>1</v>
      </c>
      <c r="U108" s="32" t="s">
        <v>756</v>
      </c>
      <c r="V108" s="32">
        <v>10000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>
        <v>10350004</v>
      </c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</row>
    <row r="109" ht="15.6" spans="1:80">
      <c r="A109"/>
      <c r="B109" s="32">
        <v>21002005</v>
      </c>
      <c r="C109" s="32" t="s">
        <v>757</v>
      </c>
      <c r="D109" s="32" t="s">
        <v>757</v>
      </c>
      <c r="E109" s="32" t="s">
        <v>706</v>
      </c>
      <c r="F109" s="32">
        <v>5</v>
      </c>
      <c r="G109" s="32" t="s">
        <v>758</v>
      </c>
      <c r="H109" s="32" t="s">
        <v>759</v>
      </c>
      <c r="I109" s="32" t="b">
        <v>1</v>
      </c>
      <c r="J109" s="32" t="s">
        <v>709</v>
      </c>
      <c r="K109" s="32" t="s">
        <v>360</v>
      </c>
      <c r="L109" s="32">
        <v>1</v>
      </c>
      <c r="M109" s="32">
        <v>12000</v>
      </c>
      <c r="N109" s="32">
        <v>2000</v>
      </c>
      <c r="O109" s="32" t="s">
        <v>367</v>
      </c>
      <c r="P109" s="32">
        <v>0</v>
      </c>
      <c r="Q109" s="32">
        <v>30053</v>
      </c>
      <c r="R109" s="32" t="s">
        <v>710</v>
      </c>
      <c r="S109" s="32" t="s">
        <v>730</v>
      </c>
      <c r="T109" s="32">
        <v>1</v>
      </c>
      <c r="U109" s="32" t="s">
        <v>756</v>
      </c>
      <c r="V109" s="32">
        <v>10000</v>
      </c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>
        <v>10350005</v>
      </c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</row>
    <row r="110" ht="15.6" spans="1:80">
      <c r="A110"/>
      <c r="B110" s="32">
        <v>21002006</v>
      </c>
      <c r="C110" s="32" t="s">
        <v>757</v>
      </c>
      <c r="D110" s="32" t="s">
        <v>757</v>
      </c>
      <c r="E110" s="32" t="s">
        <v>706</v>
      </c>
      <c r="F110" s="32">
        <v>6</v>
      </c>
      <c r="G110" s="32" t="s">
        <v>758</v>
      </c>
      <c r="H110" s="32" t="s">
        <v>759</v>
      </c>
      <c r="I110" s="32" t="b">
        <v>1</v>
      </c>
      <c r="J110" s="32" t="s">
        <v>709</v>
      </c>
      <c r="K110" s="32" t="s">
        <v>360</v>
      </c>
      <c r="L110" s="32">
        <v>1</v>
      </c>
      <c r="M110" s="32">
        <v>12000</v>
      </c>
      <c r="N110" s="32">
        <v>2000</v>
      </c>
      <c r="O110" s="32" t="s">
        <v>367</v>
      </c>
      <c r="P110" s="32">
        <v>0</v>
      </c>
      <c r="Q110" s="32">
        <v>30053</v>
      </c>
      <c r="R110" s="32" t="s">
        <v>710</v>
      </c>
      <c r="S110" s="32" t="s">
        <v>730</v>
      </c>
      <c r="T110" s="32">
        <v>1</v>
      </c>
      <c r="U110" s="32" t="s">
        <v>756</v>
      </c>
      <c r="V110" s="32">
        <v>10000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>
        <v>10350006</v>
      </c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</row>
    <row r="111" ht="15.6" spans="1:80">
      <c r="A111"/>
      <c r="B111" s="32">
        <v>21002007</v>
      </c>
      <c r="C111" s="32" t="s">
        <v>757</v>
      </c>
      <c r="D111" s="32" t="s">
        <v>757</v>
      </c>
      <c r="E111" s="32" t="s">
        <v>706</v>
      </c>
      <c r="F111" s="32">
        <v>7</v>
      </c>
      <c r="G111" s="32" t="s">
        <v>758</v>
      </c>
      <c r="H111" s="32" t="s">
        <v>759</v>
      </c>
      <c r="I111" s="32" t="b">
        <v>1</v>
      </c>
      <c r="J111" s="32" t="s">
        <v>709</v>
      </c>
      <c r="K111" s="32" t="s">
        <v>360</v>
      </c>
      <c r="L111" s="32">
        <v>1</v>
      </c>
      <c r="M111" s="32">
        <v>12000</v>
      </c>
      <c r="N111" s="32">
        <v>2000</v>
      </c>
      <c r="O111" s="32" t="s">
        <v>367</v>
      </c>
      <c r="P111" s="32">
        <v>0</v>
      </c>
      <c r="Q111" s="32">
        <v>30053</v>
      </c>
      <c r="R111" s="32" t="s">
        <v>710</v>
      </c>
      <c r="S111" s="32" t="s">
        <v>730</v>
      </c>
      <c r="T111" s="32">
        <v>1</v>
      </c>
      <c r="U111" s="32" t="s">
        <v>756</v>
      </c>
      <c r="V111" s="32">
        <v>10000</v>
      </c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>
        <v>10350007</v>
      </c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</row>
    <row r="112" ht="15.6" spans="1:80">
      <c r="A112"/>
      <c r="B112" s="32">
        <v>21002008</v>
      </c>
      <c r="C112" s="32" t="s">
        <v>757</v>
      </c>
      <c r="D112" s="32" t="s">
        <v>757</v>
      </c>
      <c r="E112" s="32" t="s">
        <v>706</v>
      </c>
      <c r="F112" s="32">
        <v>8</v>
      </c>
      <c r="G112" s="32" t="s">
        <v>758</v>
      </c>
      <c r="H112" s="32" t="s">
        <v>759</v>
      </c>
      <c r="I112" s="32" t="b">
        <v>1</v>
      </c>
      <c r="J112" s="32" t="s">
        <v>709</v>
      </c>
      <c r="K112" s="32" t="s">
        <v>360</v>
      </c>
      <c r="L112" s="32">
        <v>1</v>
      </c>
      <c r="M112" s="32">
        <v>12000</v>
      </c>
      <c r="N112" s="32">
        <v>2000</v>
      </c>
      <c r="O112" s="32" t="s">
        <v>367</v>
      </c>
      <c r="P112" s="32">
        <v>0</v>
      </c>
      <c r="Q112" s="32">
        <v>30053</v>
      </c>
      <c r="R112" s="32" t="s">
        <v>710</v>
      </c>
      <c r="S112" s="32" t="s">
        <v>730</v>
      </c>
      <c r="T112" s="32">
        <v>1</v>
      </c>
      <c r="U112" s="32" t="s">
        <v>756</v>
      </c>
      <c r="V112" s="32">
        <v>10000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>
        <v>10350008</v>
      </c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</row>
    <row r="113" ht="15.6" spans="1:80">
      <c r="A113"/>
      <c r="B113" s="32">
        <v>21002009</v>
      </c>
      <c r="C113" s="32" t="s">
        <v>757</v>
      </c>
      <c r="D113" s="32" t="s">
        <v>757</v>
      </c>
      <c r="E113" s="32" t="s">
        <v>706</v>
      </c>
      <c r="F113" s="32">
        <v>9</v>
      </c>
      <c r="G113" s="32" t="s">
        <v>758</v>
      </c>
      <c r="H113" s="32" t="s">
        <v>759</v>
      </c>
      <c r="I113" s="32" t="b">
        <v>1</v>
      </c>
      <c r="J113" s="32" t="s">
        <v>709</v>
      </c>
      <c r="K113" s="32" t="s">
        <v>360</v>
      </c>
      <c r="L113" s="32">
        <v>1</v>
      </c>
      <c r="M113" s="32">
        <v>12000</v>
      </c>
      <c r="N113" s="32">
        <v>2000</v>
      </c>
      <c r="O113" s="32" t="s">
        <v>367</v>
      </c>
      <c r="P113" s="32">
        <v>0</v>
      </c>
      <c r="Q113" s="32">
        <v>30053</v>
      </c>
      <c r="R113" s="32" t="s">
        <v>710</v>
      </c>
      <c r="S113" s="32" t="s">
        <v>730</v>
      </c>
      <c r="T113" s="32">
        <v>1</v>
      </c>
      <c r="U113" s="32" t="s">
        <v>756</v>
      </c>
      <c r="V113" s="32">
        <v>10000</v>
      </c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>
        <v>10350009</v>
      </c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</row>
    <row r="114" ht="15.6" spans="1:80">
      <c r="A114"/>
      <c r="B114" s="32">
        <v>21002010</v>
      </c>
      <c r="C114" s="32" t="s">
        <v>757</v>
      </c>
      <c r="D114" s="32" t="s">
        <v>757</v>
      </c>
      <c r="E114" s="32" t="s">
        <v>706</v>
      </c>
      <c r="F114" s="32">
        <v>10</v>
      </c>
      <c r="G114" s="32" t="s">
        <v>758</v>
      </c>
      <c r="H114" s="32" t="s">
        <v>759</v>
      </c>
      <c r="I114" s="32" t="b">
        <v>1</v>
      </c>
      <c r="J114" s="32" t="s">
        <v>709</v>
      </c>
      <c r="K114" s="32" t="s">
        <v>360</v>
      </c>
      <c r="L114" s="32">
        <v>1</v>
      </c>
      <c r="M114" s="32">
        <v>12000</v>
      </c>
      <c r="N114" s="32">
        <v>2000</v>
      </c>
      <c r="O114" s="32" t="s">
        <v>367</v>
      </c>
      <c r="P114" s="32">
        <v>0</v>
      </c>
      <c r="Q114" s="32">
        <v>30053</v>
      </c>
      <c r="R114" s="32" t="s">
        <v>710</v>
      </c>
      <c r="S114" s="32" t="s">
        <v>730</v>
      </c>
      <c r="T114" s="32">
        <v>1</v>
      </c>
      <c r="U114" s="32" t="s">
        <v>756</v>
      </c>
      <c r="V114" s="32">
        <v>10000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>
        <v>10350010</v>
      </c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</row>
    <row r="115" ht="15.6" spans="1:80">
      <c r="A115"/>
      <c r="B115" s="32">
        <v>21002101</v>
      </c>
      <c r="C115" s="32" t="s">
        <v>760</v>
      </c>
      <c r="D115" s="32" t="s">
        <v>760</v>
      </c>
      <c r="E115" s="32" t="s">
        <v>706</v>
      </c>
      <c r="F115" s="32">
        <v>1</v>
      </c>
      <c r="G115" s="32" t="s">
        <v>748</v>
      </c>
      <c r="H115" s="32" t="s">
        <v>761</v>
      </c>
      <c r="I115" s="32" t="b">
        <v>1</v>
      </c>
      <c r="J115" s="32" t="s">
        <v>709</v>
      </c>
      <c r="K115" s="32" t="s">
        <v>360</v>
      </c>
      <c r="L115" s="32">
        <v>1</v>
      </c>
      <c r="M115" s="32">
        <v>2500</v>
      </c>
      <c r="N115" s="32">
        <v>0</v>
      </c>
      <c r="O115" s="32" t="s">
        <v>367</v>
      </c>
      <c r="P115" s="32">
        <v>0</v>
      </c>
      <c r="Q115" s="32">
        <v>30054</v>
      </c>
      <c r="R115" s="32" t="s">
        <v>360</v>
      </c>
      <c r="S115" s="32" t="s">
        <v>711</v>
      </c>
      <c r="T115" s="32">
        <v>1</v>
      </c>
      <c r="U115" s="32" t="s">
        <v>722</v>
      </c>
      <c r="V115" s="32">
        <v>10000</v>
      </c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 t="s">
        <v>750</v>
      </c>
      <c r="AI115" s="32">
        <v>-600</v>
      </c>
      <c r="AJ115" s="32"/>
      <c r="AQ115" s="32" t="s">
        <v>722</v>
      </c>
      <c r="AR115" s="32">
        <v>10000</v>
      </c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 t="s">
        <v>751</v>
      </c>
      <c r="BE115" s="32">
        <v>-600</v>
      </c>
      <c r="BF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</row>
    <row r="116" ht="15.6" spans="1:80">
      <c r="A116"/>
      <c r="B116" s="32">
        <v>21002102</v>
      </c>
      <c r="C116" s="32" t="s">
        <v>760</v>
      </c>
      <c r="D116" s="32" t="s">
        <v>760</v>
      </c>
      <c r="E116" s="32" t="s">
        <v>706</v>
      </c>
      <c r="F116" s="32">
        <v>2</v>
      </c>
      <c r="G116" s="32" t="s">
        <v>748</v>
      </c>
      <c r="H116" s="32" t="s">
        <v>761</v>
      </c>
      <c r="I116" s="32" t="b">
        <v>1</v>
      </c>
      <c r="J116" s="32" t="s">
        <v>709</v>
      </c>
      <c r="K116" s="32" t="s">
        <v>360</v>
      </c>
      <c r="L116" s="32">
        <v>1</v>
      </c>
      <c r="M116" s="32">
        <v>2500</v>
      </c>
      <c r="N116" s="32">
        <v>0</v>
      </c>
      <c r="O116" s="32" t="s">
        <v>367</v>
      </c>
      <c r="P116" s="32">
        <v>0</v>
      </c>
      <c r="Q116" s="32">
        <v>30054</v>
      </c>
      <c r="R116" s="32" t="s">
        <v>360</v>
      </c>
      <c r="S116" s="32" t="s">
        <v>711</v>
      </c>
      <c r="T116" s="32">
        <v>1</v>
      </c>
      <c r="U116" s="32" t="s">
        <v>722</v>
      </c>
      <c r="V116" s="32">
        <v>10000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 t="s">
        <v>750</v>
      </c>
      <c r="AI116" s="32">
        <v>-800</v>
      </c>
      <c r="AJ116" s="32"/>
      <c r="AQ116" s="32" t="s">
        <v>722</v>
      </c>
      <c r="AR116" s="32">
        <v>10000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 t="s">
        <v>751</v>
      </c>
      <c r="BE116" s="32">
        <v>-800</v>
      </c>
      <c r="BF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</row>
    <row r="117" ht="15.6" spans="1:80">
      <c r="A117"/>
      <c r="B117" s="32">
        <v>21002103</v>
      </c>
      <c r="C117" s="32" t="s">
        <v>760</v>
      </c>
      <c r="D117" s="32" t="s">
        <v>760</v>
      </c>
      <c r="E117" s="32" t="s">
        <v>706</v>
      </c>
      <c r="F117" s="32">
        <v>3</v>
      </c>
      <c r="G117" s="32" t="s">
        <v>748</v>
      </c>
      <c r="H117" s="32" t="s">
        <v>761</v>
      </c>
      <c r="I117" s="32" t="b">
        <v>1</v>
      </c>
      <c r="J117" s="32" t="s">
        <v>709</v>
      </c>
      <c r="K117" s="32" t="s">
        <v>360</v>
      </c>
      <c r="L117" s="32">
        <v>1</v>
      </c>
      <c r="M117" s="32">
        <v>2500</v>
      </c>
      <c r="N117" s="32">
        <v>0</v>
      </c>
      <c r="O117" s="32" t="s">
        <v>367</v>
      </c>
      <c r="P117" s="32">
        <v>0</v>
      </c>
      <c r="Q117" s="32">
        <v>30054</v>
      </c>
      <c r="R117" s="32" t="s">
        <v>360</v>
      </c>
      <c r="S117" s="32" t="s">
        <v>711</v>
      </c>
      <c r="T117" s="32">
        <v>1</v>
      </c>
      <c r="U117" s="32" t="s">
        <v>722</v>
      </c>
      <c r="V117" s="32">
        <v>10000</v>
      </c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 t="s">
        <v>750</v>
      </c>
      <c r="AI117" s="32">
        <v>-1000</v>
      </c>
      <c r="AJ117" s="32"/>
      <c r="AQ117" s="32" t="s">
        <v>722</v>
      </c>
      <c r="AR117" s="32">
        <v>10000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 t="s">
        <v>751</v>
      </c>
      <c r="BE117" s="32">
        <v>-1000</v>
      </c>
      <c r="BF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</row>
    <row r="118" ht="15.6" spans="1:80">
      <c r="A118"/>
      <c r="B118" s="32">
        <v>21002104</v>
      </c>
      <c r="C118" s="32" t="s">
        <v>760</v>
      </c>
      <c r="D118" s="32" t="s">
        <v>760</v>
      </c>
      <c r="E118" s="32" t="s">
        <v>706</v>
      </c>
      <c r="F118" s="32">
        <v>4</v>
      </c>
      <c r="G118" s="32" t="s">
        <v>748</v>
      </c>
      <c r="H118" s="32" t="s">
        <v>761</v>
      </c>
      <c r="I118" s="32" t="b">
        <v>1</v>
      </c>
      <c r="J118" s="32" t="s">
        <v>709</v>
      </c>
      <c r="K118" s="32" t="s">
        <v>360</v>
      </c>
      <c r="L118" s="32">
        <v>1</v>
      </c>
      <c r="M118" s="32">
        <v>2500</v>
      </c>
      <c r="N118" s="32">
        <v>0</v>
      </c>
      <c r="O118" s="32" t="s">
        <v>367</v>
      </c>
      <c r="P118" s="32">
        <v>0</v>
      </c>
      <c r="Q118" s="32">
        <v>30054</v>
      </c>
      <c r="R118" s="32" t="s">
        <v>360</v>
      </c>
      <c r="S118" s="32" t="s">
        <v>711</v>
      </c>
      <c r="T118" s="32">
        <v>1</v>
      </c>
      <c r="U118" s="32" t="s">
        <v>722</v>
      </c>
      <c r="V118" s="32">
        <v>10000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 t="s">
        <v>750</v>
      </c>
      <c r="AI118" s="32">
        <v>-1200</v>
      </c>
      <c r="AJ118" s="32"/>
      <c r="AQ118" s="32" t="s">
        <v>722</v>
      </c>
      <c r="AR118" s="32">
        <v>10000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 t="s">
        <v>751</v>
      </c>
      <c r="BE118" s="32">
        <v>-1200</v>
      </c>
      <c r="BF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</row>
    <row r="119" ht="15.6" spans="1:80">
      <c r="A119"/>
      <c r="B119" s="32">
        <v>21002105</v>
      </c>
      <c r="C119" s="32" t="s">
        <v>760</v>
      </c>
      <c r="D119" s="32" t="s">
        <v>760</v>
      </c>
      <c r="E119" s="32" t="s">
        <v>706</v>
      </c>
      <c r="F119" s="32">
        <v>5</v>
      </c>
      <c r="G119" s="32" t="s">
        <v>748</v>
      </c>
      <c r="H119" s="32" t="s">
        <v>761</v>
      </c>
      <c r="I119" s="32" t="b">
        <v>1</v>
      </c>
      <c r="J119" s="32" t="s">
        <v>709</v>
      </c>
      <c r="K119" s="32" t="s">
        <v>360</v>
      </c>
      <c r="L119" s="32">
        <v>1</v>
      </c>
      <c r="M119" s="32">
        <v>2500</v>
      </c>
      <c r="N119" s="32">
        <v>0</v>
      </c>
      <c r="O119" s="32" t="s">
        <v>367</v>
      </c>
      <c r="P119" s="32">
        <v>0</v>
      </c>
      <c r="Q119" s="32">
        <v>30054</v>
      </c>
      <c r="R119" s="32" t="s">
        <v>360</v>
      </c>
      <c r="S119" s="32" t="s">
        <v>711</v>
      </c>
      <c r="T119" s="32">
        <v>1</v>
      </c>
      <c r="U119" s="32" t="s">
        <v>722</v>
      </c>
      <c r="V119" s="32">
        <v>10000</v>
      </c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 t="s">
        <v>750</v>
      </c>
      <c r="AI119" s="32">
        <v>-1400</v>
      </c>
      <c r="AJ119" s="32"/>
      <c r="AQ119" s="32" t="s">
        <v>722</v>
      </c>
      <c r="AR119" s="32">
        <v>10000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 t="s">
        <v>751</v>
      </c>
      <c r="BE119" s="32">
        <v>-1400</v>
      </c>
      <c r="BF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</row>
    <row r="120" ht="15.6" spans="1:80">
      <c r="A120"/>
      <c r="B120" s="32">
        <v>21002106</v>
      </c>
      <c r="C120" s="32" t="s">
        <v>760</v>
      </c>
      <c r="D120" s="32" t="s">
        <v>760</v>
      </c>
      <c r="E120" s="32" t="s">
        <v>706</v>
      </c>
      <c r="F120" s="32">
        <v>6</v>
      </c>
      <c r="G120" s="32" t="s">
        <v>748</v>
      </c>
      <c r="H120" s="32" t="s">
        <v>761</v>
      </c>
      <c r="I120" s="32" t="b">
        <v>1</v>
      </c>
      <c r="J120" s="32" t="s">
        <v>709</v>
      </c>
      <c r="K120" s="32" t="s">
        <v>360</v>
      </c>
      <c r="L120" s="32">
        <v>1</v>
      </c>
      <c r="M120" s="32">
        <v>2500</v>
      </c>
      <c r="N120" s="32">
        <v>0</v>
      </c>
      <c r="O120" s="32" t="s">
        <v>367</v>
      </c>
      <c r="P120" s="32">
        <v>0</v>
      </c>
      <c r="Q120" s="32">
        <v>30054</v>
      </c>
      <c r="R120" s="32" t="s">
        <v>360</v>
      </c>
      <c r="S120" s="32" t="s">
        <v>711</v>
      </c>
      <c r="T120" s="32">
        <v>1</v>
      </c>
      <c r="U120" s="32" t="s">
        <v>722</v>
      </c>
      <c r="V120" s="32">
        <v>10000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 t="s">
        <v>750</v>
      </c>
      <c r="AI120" s="32">
        <v>-1600</v>
      </c>
      <c r="AJ120" s="32"/>
      <c r="AQ120" s="32" t="s">
        <v>722</v>
      </c>
      <c r="AR120" s="32">
        <v>10000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 t="s">
        <v>751</v>
      </c>
      <c r="BE120" s="32">
        <v>-1600</v>
      </c>
      <c r="BF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</row>
    <row r="121" ht="15.6" spans="1:80">
      <c r="A121"/>
      <c r="B121" s="32">
        <v>21002107</v>
      </c>
      <c r="C121" s="32" t="s">
        <v>760</v>
      </c>
      <c r="D121" s="32" t="s">
        <v>760</v>
      </c>
      <c r="E121" s="32" t="s">
        <v>706</v>
      </c>
      <c r="F121" s="32">
        <v>7</v>
      </c>
      <c r="G121" s="32" t="s">
        <v>748</v>
      </c>
      <c r="H121" s="32" t="s">
        <v>761</v>
      </c>
      <c r="I121" s="32" t="b">
        <v>1</v>
      </c>
      <c r="J121" s="32" t="s">
        <v>709</v>
      </c>
      <c r="K121" s="32" t="s">
        <v>360</v>
      </c>
      <c r="L121" s="32">
        <v>1</v>
      </c>
      <c r="M121" s="32">
        <v>2500</v>
      </c>
      <c r="N121" s="32">
        <v>0</v>
      </c>
      <c r="O121" s="32" t="s">
        <v>367</v>
      </c>
      <c r="P121" s="32">
        <v>0</v>
      </c>
      <c r="Q121" s="32">
        <v>30054</v>
      </c>
      <c r="R121" s="32" t="s">
        <v>360</v>
      </c>
      <c r="S121" s="32" t="s">
        <v>711</v>
      </c>
      <c r="T121" s="32">
        <v>1</v>
      </c>
      <c r="U121" s="32" t="s">
        <v>722</v>
      </c>
      <c r="V121" s="32">
        <v>10000</v>
      </c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 t="s">
        <v>750</v>
      </c>
      <c r="AI121" s="32">
        <v>-1800</v>
      </c>
      <c r="AJ121" s="32"/>
      <c r="AQ121" s="32" t="s">
        <v>722</v>
      </c>
      <c r="AR121" s="32">
        <v>10000</v>
      </c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 t="s">
        <v>751</v>
      </c>
      <c r="BE121" s="32">
        <v>-1800</v>
      </c>
      <c r="BF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</row>
    <row r="122" ht="15.6" spans="1:80">
      <c r="A122"/>
      <c r="B122" s="32">
        <v>21002108</v>
      </c>
      <c r="C122" s="32" t="s">
        <v>760</v>
      </c>
      <c r="D122" s="32" t="s">
        <v>760</v>
      </c>
      <c r="E122" s="32" t="s">
        <v>706</v>
      </c>
      <c r="F122" s="32">
        <v>8</v>
      </c>
      <c r="G122" s="32" t="s">
        <v>748</v>
      </c>
      <c r="H122" s="32" t="s">
        <v>761</v>
      </c>
      <c r="I122" s="32" t="b">
        <v>1</v>
      </c>
      <c r="J122" s="32" t="s">
        <v>709</v>
      </c>
      <c r="K122" s="32" t="s">
        <v>360</v>
      </c>
      <c r="L122" s="32">
        <v>1</v>
      </c>
      <c r="M122" s="32">
        <v>2500</v>
      </c>
      <c r="N122" s="32">
        <v>0</v>
      </c>
      <c r="O122" s="32" t="s">
        <v>367</v>
      </c>
      <c r="P122" s="32">
        <v>0</v>
      </c>
      <c r="Q122" s="32">
        <v>30054</v>
      </c>
      <c r="R122" s="32" t="s">
        <v>360</v>
      </c>
      <c r="S122" s="32" t="s">
        <v>711</v>
      </c>
      <c r="T122" s="32">
        <v>1</v>
      </c>
      <c r="U122" s="32" t="s">
        <v>722</v>
      </c>
      <c r="V122" s="32">
        <v>10000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 t="s">
        <v>750</v>
      </c>
      <c r="AI122" s="32">
        <v>-2000</v>
      </c>
      <c r="AJ122" s="32"/>
      <c r="AQ122" s="32" t="s">
        <v>722</v>
      </c>
      <c r="AR122" s="32">
        <v>10000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 t="s">
        <v>751</v>
      </c>
      <c r="BE122" s="32">
        <v>-2000</v>
      </c>
      <c r="BF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</row>
    <row r="123" ht="15.6" spans="1:80">
      <c r="A123"/>
      <c r="B123" s="32">
        <v>21002109</v>
      </c>
      <c r="C123" s="32" t="s">
        <v>760</v>
      </c>
      <c r="D123" s="32" t="s">
        <v>760</v>
      </c>
      <c r="E123" s="32" t="s">
        <v>706</v>
      </c>
      <c r="F123" s="32">
        <v>9</v>
      </c>
      <c r="G123" s="32" t="s">
        <v>748</v>
      </c>
      <c r="H123" s="32" t="s">
        <v>761</v>
      </c>
      <c r="I123" s="32" t="b">
        <v>1</v>
      </c>
      <c r="J123" s="32" t="s">
        <v>709</v>
      </c>
      <c r="K123" s="32" t="s">
        <v>360</v>
      </c>
      <c r="L123" s="32">
        <v>1</v>
      </c>
      <c r="M123" s="32">
        <v>2500</v>
      </c>
      <c r="N123" s="32">
        <v>0</v>
      </c>
      <c r="O123" s="32" t="s">
        <v>367</v>
      </c>
      <c r="P123" s="32">
        <v>0</v>
      </c>
      <c r="Q123" s="32">
        <v>30054</v>
      </c>
      <c r="R123" s="32" t="s">
        <v>360</v>
      </c>
      <c r="S123" s="32" t="s">
        <v>711</v>
      </c>
      <c r="T123" s="32">
        <v>1</v>
      </c>
      <c r="U123" s="32" t="s">
        <v>722</v>
      </c>
      <c r="V123" s="32">
        <v>10000</v>
      </c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 t="s">
        <v>750</v>
      </c>
      <c r="AI123" s="32">
        <v>-2200</v>
      </c>
      <c r="AJ123" s="32"/>
      <c r="AQ123" s="32" t="s">
        <v>722</v>
      </c>
      <c r="AR123" s="32">
        <v>10000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 t="s">
        <v>751</v>
      </c>
      <c r="BE123" s="32">
        <v>-2200</v>
      </c>
      <c r="BF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</row>
    <row r="124" ht="15.6" spans="1:80">
      <c r="A124"/>
      <c r="B124" s="32">
        <v>21002110</v>
      </c>
      <c r="C124" s="32" t="s">
        <v>760</v>
      </c>
      <c r="D124" s="32" t="s">
        <v>760</v>
      </c>
      <c r="E124" s="32" t="s">
        <v>706</v>
      </c>
      <c r="F124" s="32">
        <v>10</v>
      </c>
      <c r="G124" s="32" t="s">
        <v>748</v>
      </c>
      <c r="H124" s="32" t="s">
        <v>761</v>
      </c>
      <c r="I124" s="32" t="b">
        <v>1</v>
      </c>
      <c r="J124" s="32" t="s">
        <v>709</v>
      </c>
      <c r="K124" s="32" t="s">
        <v>360</v>
      </c>
      <c r="L124" s="32">
        <v>1</v>
      </c>
      <c r="M124" s="32">
        <v>2500</v>
      </c>
      <c r="N124" s="32">
        <v>0</v>
      </c>
      <c r="O124" s="32" t="s">
        <v>367</v>
      </c>
      <c r="P124" s="32">
        <v>0</v>
      </c>
      <c r="Q124" s="32">
        <v>30054</v>
      </c>
      <c r="R124" s="32" t="s">
        <v>360</v>
      </c>
      <c r="S124" s="32" t="s">
        <v>711</v>
      </c>
      <c r="T124" s="32">
        <v>1</v>
      </c>
      <c r="U124" s="32" t="s">
        <v>722</v>
      </c>
      <c r="V124" s="32">
        <v>10000</v>
      </c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 t="s">
        <v>750</v>
      </c>
      <c r="AI124" s="32">
        <v>-2500</v>
      </c>
      <c r="AJ124" s="32"/>
      <c r="AQ124" s="32" t="s">
        <v>722</v>
      </c>
      <c r="AR124" s="32">
        <v>10000</v>
      </c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 t="s">
        <v>751</v>
      </c>
      <c r="BE124" s="32">
        <v>-2500</v>
      </c>
      <c r="BF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</row>
    <row r="125" ht="15.6" spans="1:80">
      <c r="A125"/>
      <c r="B125" s="32">
        <v>21002201</v>
      </c>
      <c r="C125" s="32" t="s">
        <v>437</v>
      </c>
      <c r="D125" s="32" t="s">
        <v>437</v>
      </c>
      <c r="E125" s="32" t="s">
        <v>706</v>
      </c>
      <c r="F125" s="32">
        <v>1</v>
      </c>
      <c r="G125" s="32" t="s">
        <v>762</v>
      </c>
      <c r="H125" s="32" t="s">
        <v>763</v>
      </c>
      <c r="I125" s="32" t="b">
        <v>1</v>
      </c>
      <c r="J125" s="32" t="s">
        <v>709</v>
      </c>
      <c r="K125" s="32" t="s">
        <v>360</v>
      </c>
      <c r="L125" s="32">
        <v>1</v>
      </c>
      <c r="M125" s="32">
        <v>12000</v>
      </c>
      <c r="N125" s="32">
        <v>2000</v>
      </c>
      <c r="O125" s="32" t="s">
        <v>367</v>
      </c>
      <c r="P125" s="32">
        <v>0</v>
      </c>
      <c r="Q125" s="32">
        <v>30055</v>
      </c>
      <c r="R125" s="32" t="s">
        <v>710</v>
      </c>
      <c r="S125" s="32" t="s">
        <v>730</v>
      </c>
      <c r="T125" s="32">
        <v>1</v>
      </c>
      <c r="U125" s="32" t="s">
        <v>756</v>
      </c>
      <c r="V125" s="32">
        <v>10000</v>
      </c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>
        <v>10360001</v>
      </c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</row>
    <row r="126" ht="15.6" spans="1:80">
      <c r="A126"/>
      <c r="B126" s="32">
        <v>21002202</v>
      </c>
      <c r="C126" s="32" t="s">
        <v>437</v>
      </c>
      <c r="D126" s="32" t="s">
        <v>437</v>
      </c>
      <c r="E126" s="32" t="s">
        <v>706</v>
      </c>
      <c r="F126" s="32">
        <v>2</v>
      </c>
      <c r="G126" s="32" t="s">
        <v>762</v>
      </c>
      <c r="H126" s="32" t="s">
        <v>763</v>
      </c>
      <c r="I126" s="32" t="b">
        <v>1</v>
      </c>
      <c r="J126" s="32" t="s">
        <v>709</v>
      </c>
      <c r="K126" s="32" t="s">
        <v>360</v>
      </c>
      <c r="L126" s="32">
        <v>1</v>
      </c>
      <c r="M126" s="32">
        <v>12000</v>
      </c>
      <c r="N126" s="32">
        <v>2000</v>
      </c>
      <c r="O126" s="32" t="s">
        <v>367</v>
      </c>
      <c r="P126" s="32">
        <v>0</v>
      </c>
      <c r="Q126" s="32">
        <v>30055</v>
      </c>
      <c r="R126" s="32" t="s">
        <v>710</v>
      </c>
      <c r="S126" s="32" t="s">
        <v>730</v>
      </c>
      <c r="T126" s="32">
        <v>1</v>
      </c>
      <c r="U126" s="32" t="s">
        <v>756</v>
      </c>
      <c r="V126" s="32">
        <v>10000</v>
      </c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>
        <v>10360002</v>
      </c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</row>
    <row r="127" ht="15.6" spans="1:80">
      <c r="A127"/>
      <c r="B127" s="32">
        <v>21002203</v>
      </c>
      <c r="C127" s="32" t="s">
        <v>437</v>
      </c>
      <c r="D127" s="32" t="s">
        <v>437</v>
      </c>
      <c r="E127" s="32" t="s">
        <v>706</v>
      </c>
      <c r="F127" s="32">
        <v>3</v>
      </c>
      <c r="G127" s="32" t="s">
        <v>762</v>
      </c>
      <c r="H127" s="32" t="s">
        <v>763</v>
      </c>
      <c r="I127" s="32" t="b">
        <v>1</v>
      </c>
      <c r="J127" s="32" t="s">
        <v>709</v>
      </c>
      <c r="K127" s="32" t="s">
        <v>360</v>
      </c>
      <c r="L127" s="32">
        <v>1</v>
      </c>
      <c r="M127" s="32">
        <v>12000</v>
      </c>
      <c r="N127" s="32">
        <v>2000</v>
      </c>
      <c r="O127" s="32" t="s">
        <v>367</v>
      </c>
      <c r="P127" s="32">
        <v>0</v>
      </c>
      <c r="Q127" s="32">
        <v>30055</v>
      </c>
      <c r="R127" s="32" t="s">
        <v>710</v>
      </c>
      <c r="S127" s="32" t="s">
        <v>730</v>
      </c>
      <c r="T127" s="32">
        <v>1</v>
      </c>
      <c r="U127" s="32" t="s">
        <v>756</v>
      </c>
      <c r="V127" s="32">
        <v>10000</v>
      </c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>
        <v>10360003</v>
      </c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</row>
    <row r="128" ht="15.6" spans="1:80">
      <c r="A128"/>
      <c r="B128" s="32">
        <v>21002204</v>
      </c>
      <c r="C128" s="32" t="s">
        <v>437</v>
      </c>
      <c r="D128" s="32" t="s">
        <v>437</v>
      </c>
      <c r="E128" s="32" t="s">
        <v>706</v>
      </c>
      <c r="F128" s="32">
        <v>4</v>
      </c>
      <c r="G128" s="32" t="s">
        <v>762</v>
      </c>
      <c r="H128" s="32" t="s">
        <v>763</v>
      </c>
      <c r="I128" s="32" t="b">
        <v>1</v>
      </c>
      <c r="J128" s="32" t="s">
        <v>709</v>
      </c>
      <c r="K128" s="32" t="s">
        <v>360</v>
      </c>
      <c r="L128" s="32">
        <v>1</v>
      </c>
      <c r="M128" s="32">
        <v>12000</v>
      </c>
      <c r="N128" s="32">
        <v>2000</v>
      </c>
      <c r="O128" s="32" t="s">
        <v>367</v>
      </c>
      <c r="P128" s="32">
        <v>0</v>
      </c>
      <c r="Q128" s="32">
        <v>30055</v>
      </c>
      <c r="R128" s="32" t="s">
        <v>710</v>
      </c>
      <c r="S128" s="32" t="s">
        <v>730</v>
      </c>
      <c r="T128" s="32">
        <v>1</v>
      </c>
      <c r="U128" s="32" t="s">
        <v>756</v>
      </c>
      <c r="V128" s="32">
        <v>10000</v>
      </c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>
        <v>10360004</v>
      </c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</row>
    <row r="129" ht="15.6" spans="1:80">
      <c r="A129"/>
      <c r="B129" s="32">
        <v>21002205</v>
      </c>
      <c r="C129" s="32" t="s">
        <v>437</v>
      </c>
      <c r="D129" s="32" t="s">
        <v>437</v>
      </c>
      <c r="E129" s="32" t="s">
        <v>706</v>
      </c>
      <c r="F129" s="32">
        <v>5</v>
      </c>
      <c r="G129" s="32" t="s">
        <v>762</v>
      </c>
      <c r="H129" s="32" t="s">
        <v>763</v>
      </c>
      <c r="I129" s="32" t="b">
        <v>1</v>
      </c>
      <c r="J129" s="32" t="s">
        <v>709</v>
      </c>
      <c r="K129" s="32" t="s">
        <v>360</v>
      </c>
      <c r="L129" s="32">
        <v>1</v>
      </c>
      <c r="M129" s="32">
        <v>12000</v>
      </c>
      <c r="N129" s="32">
        <v>2000</v>
      </c>
      <c r="O129" s="32" t="s">
        <v>367</v>
      </c>
      <c r="P129" s="32">
        <v>0</v>
      </c>
      <c r="Q129" s="32">
        <v>30055</v>
      </c>
      <c r="R129" s="32" t="s">
        <v>710</v>
      </c>
      <c r="S129" s="32" t="s">
        <v>730</v>
      </c>
      <c r="T129" s="32">
        <v>1</v>
      </c>
      <c r="U129" s="32" t="s">
        <v>756</v>
      </c>
      <c r="V129" s="32">
        <v>10000</v>
      </c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>
        <v>10360005</v>
      </c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</row>
    <row r="130" ht="15.6" spans="1:80">
      <c r="A130"/>
      <c r="B130" s="32">
        <v>21002206</v>
      </c>
      <c r="C130" s="32" t="s">
        <v>437</v>
      </c>
      <c r="D130" s="32" t="s">
        <v>437</v>
      </c>
      <c r="E130" s="32" t="s">
        <v>706</v>
      </c>
      <c r="F130" s="32">
        <v>6</v>
      </c>
      <c r="G130" s="32" t="s">
        <v>762</v>
      </c>
      <c r="H130" s="32" t="s">
        <v>763</v>
      </c>
      <c r="I130" s="32" t="b">
        <v>1</v>
      </c>
      <c r="J130" s="32" t="s">
        <v>709</v>
      </c>
      <c r="K130" s="32" t="s">
        <v>360</v>
      </c>
      <c r="L130" s="32">
        <v>1</v>
      </c>
      <c r="M130" s="32">
        <v>12000</v>
      </c>
      <c r="N130" s="32">
        <v>2000</v>
      </c>
      <c r="O130" s="32" t="s">
        <v>367</v>
      </c>
      <c r="P130" s="32">
        <v>0</v>
      </c>
      <c r="Q130" s="32">
        <v>30055</v>
      </c>
      <c r="R130" s="32" t="s">
        <v>710</v>
      </c>
      <c r="S130" s="32" t="s">
        <v>730</v>
      </c>
      <c r="T130" s="32">
        <v>1</v>
      </c>
      <c r="U130" s="32" t="s">
        <v>756</v>
      </c>
      <c r="V130" s="32">
        <v>10000</v>
      </c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>
        <v>10360006</v>
      </c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</row>
    <row r="131" ht="15.6" spans="1:80">
      <c r="A131"/>
      <c r="B131" s="32">
        <v>21002207</v>
      </c>
      <c r="C131" s="32" t="s">
        <v>437</v>
      </c>
      <c r="D131" s="32" t="s">
        <v>437</v>
      </c>
      <c r="E131" s="32" t="s">
        <v>706</v>
      </c>
      <c r="F131" s="32">
        <v>7</v>
      </c>
      <c r="G131" s="32" t="s">
        <v>762</v>
      </c>
      <c r="H131" s="32" t="s">
        <v>763</v>
      </c>
      <c r="I131" s="32" t="b">
        <v>1</v>
      </c>
      <c r="J131" s="32" t="s">
        <v>709</v>
      </c>
      <c r="K131" s="32" t="s">
        <v>360</v>
      </c>
      <c r="L131" s="32">
        <v>1</v>
      </c>
      <c r="M131" s="32">
        <v>12000</v>
      </c>
      <c r="N131" s="32">
        <v>2000</v>
      </c>
      <c r="O131" s="32" t="s">
        <v>367</v>
      </c>
      <c r="P131" s="32">
        <v>0</v>
      </c>
      <c r="Q131" s="32">
        <v>30055</v>
      </c>
      <c r="R131" s="32" t="s">
        <v>710</v>
      </c>
      <c r="S131" s="32" t="s">
        <v>730</v>
      </c>
      <c r="T131" s="32">
        <v>1</v>
      </c>
      <c r="U131" s="32" t="s">
        <v>756</v>
      </c>
      <c r="V131" s="32">
        <v>10000</v>
      </c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>
        <v>10360007</v>
      </c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</row>
    <row r="132" ht="15.6" spans="1:80">
      <c r="A132"/>
      <c r="B132" s="32">
        <v>21002208</v>
      </c>
      <c r="C132" s="32" t="s">
        <v>437</v>
      </c>
      <c r="D132" s="32" t="s">
        <v>437</v>
      </c>
      <c r="E132" s="32" t="s">
        <v>706</v>
      </c>
      <c r="F132" s="32">
        <v>8</v>
      </c>
      <c r="G132" s="32" t="s">
        <v>762</v>
      </c>
      <c r="H132" s="32" t="s">
        <v>763</v>
      </c>
      <c r="I132" s="32" t="b">
        <v>1</v>
      </c>
      <c r="J132" s="32" t="s">
        <v>709</v>
      </c>
      <c r="K132" s="32" t="s">
        <v>360</v>
      </c>
      <c r="L132" s="32">
        <v>1</v>
      </c>
      <c r="M132" s="32">
        <v>12000</v>
      </c>
      <c r="N132" s="32">
        <v>2000</v>
      </c>
      <c r="O132" s="32" t="s">
        <v>367</v>
      </c>
      <c r="P132" s="32">
        <v>0</v>
      </c>
      <c r="Q132" s="32">
        <v>30055</v>
      </c>
      <c r="R132" s="32" t="s">
        <v>710</v>
      </c>
      <c r="S132" s="32" t="s">
        <v>730</v>
      </c>
      <c r="T132" s="32">
        <v>1</v>
      </c>
      <c r="U132" s="32" t="s">
        <v>756</v>
      </c>
      <c r="V132" s="32">
        <v>10000</v>
      </c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>
        <v>10360008</v>
      </c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</row>
    <row r="133" ht="15.6" spans="1:80">
      <c r="A133"/>
      <c r="B133" s="32">
        <v>21002209</v>
      </c>
      <c r="C133" s="32" t="s">
        <v>437</v>
      </c>
      <c r="D133" s="32" t="s">
        <v>437</v>
      </c>
      <c r="E133" s="32" t="s">
        <v>706</v>
      </c>
      <c r="F133" s="32">
        <v>9</v>
      </c>
      <c r="G133" s="32" t="s">
        <v>762</v>
      </c>
      <c r="H133" s="32" t="s">
        <v>763</v>
      </c>
      <c r="I133" s="32" t="b">
        <v>1</v>
      </c>
      <c r="J133" s="32" t="s">
        <v>709</v>
      </c>
      <c r="K133" s="32" t="s">
        <v>360</v>
      </c>
      <c r="L133" s="32">
        <v>1</v>
      </c>
      <c r="M133" s="32">
        <v>12000</v>
      </c>
      <c r="N133" s="32">
        <v>2000</v>
      </c>
      <c r="O133" s="32" t="s">
        <v>367</v>
      </c>
      <c r="P133" s="32">
        <v>0</v>
      </c>
      <c r="Q133" s="32">
        <v>30055</v>
      </c>
      <c r="R133" s="32" t="s">
        <v>710</v>
      </c>
      <c r="S133" s="32" t="s">
        <v>730</v>
      </c>
      <c r="T133" s="32">
        <v>1</v>
      </c>
      <c r="U133" s="32" t="s">
        <v>756</v>
      </c>
      <c r="V133" s="32">
        <v>10000</v>
      </c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>
        <v>10360009</v>
      </c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</row>
    <row r="134" ht="15.6" spans="1:80">
      <c r="A134"/>
      <c r="B134" s="32">
        <v>21002210</v>
      </c>
      <c r="C134" s="32" t="s">
        <v>437</v>
      </c>
      <c r="D134" s="32" t="s">
        <v>437</v>
      </c>
      <c r="E134" s="32" t="s">
        <v>706</v>
      </c>
      <c r="F134" s="32">
        <v>10</v>
      </c>
      <c r="G134" s="32" t="s">
        <v>762</v>
      </c>
      <c r="H134" s="32" t="s">
        <v>763</v>
      </c>
      <c r="I134" s="32" t="b">
        <v>1</v>
      </c>
      <c r="J134" s="32" t="s">
        <v>709</v>
      </c>
      <c r="K134" s="32" t="s">
        <v>360</v>
      </c>
      <c r="L134" s="32">
        <v>1</v>
      </c>
      <c r="M134" s="32">
        <v>12000</v>
      </c>
      <c r="N134" s="32">
        <v>2000</v>
      </c>
      <c r="O134" s="32" t="s">
        <v>367</v>
      </c>
      <c r="P134" s="32">
        <v>0</v>
      </c>
      <c r="Q134" s="32">
        <v>30055</v>
      </c>
      <c r="R134" s="32" t="s">
        <v>710</v>
      </c>
      <c r="S134" s="32" t="s">
        <v>730</v>
      </c>
      <c r="T134" s="32">
        <v>1</v>
      </c>
      <c r="U134" s="32" t="s">
        <v>756</v>
      </c>
      <c r="V134" s="32">
        <v>10000</v>
      </c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>
        <v>10360010</v>
      </c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</row>
  </sheetData>
  <mergeCells count="6">
    <mergeCell ref="U1:CH1"/>
    <mergeCell ref="U2:AP2"/>
    <mergeCell ref="AQ2:BL2"/>
    <mergeCell ref="BM2:CH2"/>
    <mergeCell ref="U4:CH4"/>
    <mergeCell ref="U5:CH5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2"/>
  <sheetViews>
    <sheetView workbookViewId="0">
      <selection activeCell="A29" sqref="A3:A29"/>
    </sheetView>
  </sheetViews>
  <sheetFormatPr defaultColWidth="8.25" defaultRowHeight="13.2" outlineLevelCol="5"/>
  <cols>
    <col min="1" max="1" width="15.125" style="21" customWidth="1"/>
    <col min="2" max="2" width="8" style="21" customWidth="1"/>
    <col min="3" max="3" width="6.83333333333333" style="22" customWidth="1"/>
    <col min="4" max="4" width="8.25" style="22" customWidth="1"/>
    <col min="5" max="5" width="23.3333333333333" style="22" customWidth="1"/>
    <col min="6" max="6" width="4.58333333333333" style="22" customWidth="1"/>
    <col min="7" max="7" width="13.75" style="21" customWidth="1"/>
    <col min="8" max="8" width="8.25" style="21" customWidth="1"/>
    <col min="9" max="16384" width="8.25" style="21"/>
  </cols>
  <sheetData>
    <row r="1" spans="1:6">
      <c r="A1" s="21" t="s">
        <v>764</v>
      </c>
      <c r="B1" s="21" t="s">
        <v>765</v>
      </c>
      <c r="E1" s="22" t="s">
        <v>766</v>
      </c>
      <c r="F1" s="22" t="s">
        <v>767</v>
      </c>
    </row>
    <row r="2" spans="1:6">
      <c r="A2" s="21" t="s">
        <v>347</v>
      </c>
      <c r="B2" s="21">
        <v>1</v>
      </c>
      <c r="E2" s="22" t="s">
        <v>705</v>
      </c>
      <c r="F2" s="22">
        <v>1</v>
      </c>
    </row>
    <row r="3" spans="1:6">
      <c r="A3" s="21" t="s">
        <v>361</v>
      </c>
      <c r="B3" s="21">
        <v>2</v>
      </c>
      <c r="E3" s="22" t="s">
        <v>713</v>
      </c>
      <c r="F3" s="22">
        <v>2</v>
      </c>
    </row>
    <row r="4" spans="1:6">
      <c r="A4" s="21" t="s">
        <v>368</v>
      </c>
      <c r="B4" s="21">
        <v>3</v>
      </c>
      <c r="E4" s="22" t="s">
        <v>716</v>
      </c>
      <c r="F4" s="22">
        <v>3</v>
      </c>
    </row>
    <row r="5" spans="1:6">
      <c r="A5" s="21" t="s">
        <v>374</v>
      </c>
      <c r="B5" s="21">
        <v>4</v>
      </c>
      <c r="E5" s="22" t="s">
        <v>719</v>
      </c>
      <c r="F5" s="22">
        <v>4</v>
      </c>
    </row>
    <row r="6" spans="1:6">
      <c r="A6" s="21" t="s">
        <v>377</v>
      </c>
      <c r="B6" s="21">
        <v>5</v>
      </c>
      <c r="E6" s="22" t="s">
        <v>724</v>
      </c>
      <c r="F6" s="22">
        <v>5</v>
      </c>
    </row>
    <row r="7" spans="1:6">
      <c r="A7" s="21" t="s">
        <v>384</v>
      </c>
      <c r="B7" s="21">
        <v>6</v>
      </c>
      <c r="E7" s="22" t="s">
        <v>415</v>
      </c>
      <c r="F7" s="22">
        <v>6</v>
      </c>
    </row>
    <row r="8" spans="1:6">
      <c r="A8" s="21" t="s">
        <v>387</v>
      </c>
      <c r="B8" s="21">
        <v>7</v>
      </c>
      <c r="E8" s="22" t="s">
        <v>418</v>
      </c>
      <c r="F8" s="22">
        <v>7</v>
      </c>
    </row>
    <row r="9" spans="1:6">
      <c r="A9" s="21" t="s">
        <v>390</v>
      </c>
      <c r="B9" s="21">
        <v>8</v>
      </c>
      <c r="E9" s="22" t="s">
        <v>420</v>
      </c>
      <c r="F9" s="22">
        <v>8</v>
      </c>
    </row>
    <row r="10" spans="1:6">
      <c r="A10" s="21" t="s">
        <v>393</v>
      </c>
      <c r="B10" s="21">
        <v>9</v>
      </c>
      <c r="E10" s="22" t="s">
        <v>422</v>
      </c>
      <c r="F10" s="22">
        <v>9</v>
      </c>
    </row>
    <row r="11" spans="1:6">
      <c r="A11" s="21" t="s">
        <v>396</v>
      </c>
      <c r="B11" s="21">
        <v>10</v>
      </c>
      <c r="E11" s="22" t="s">
        <v>425</v>
      </c>
      <c r="F11" s="22">
        <v>10</v>
      </c>
    </row>
    <row r="12" ht="17.4" spans="1:6">
      <c r="A12" s="21" t="s">
        <v>399</v>
      </c>
      <c r="B12" s="21">
        <v>11</v>
      </c>
      <c r="E12" s="5" t="s">
        <v>427</v>
      </c>
      <c r="F12" s="22">
        <v>11</v>
      </c>
    </row>
    <row r="13" ht="17.4" spans="1:6">
      <c r="A13" s="21" t="s">
        <v>402</v>
      </c>
      <c r="B13" s="21">
        <v>12</v>
      </c>
      <c r="E13" s="5" t="s">
        <v>429</v>
      </c>
      <c r="F13" s="22">
        <v>12</v>
      </c>
    </row>
    <row r="14" ht="17.4" spans="1:6">
      <c r="A14" s="21" t="s">
        <v>404</v>
      </c>
      <c r="B14" s="21">
        <v>13</v>
      </c>
      <c r="E14" s="5" t="s">
        <v>431</v>
      </c>
      <c r="F14" s="22">
        <v>13</v>
      </c>
    </row>
    <row r="15" ht="17.4" spans="1:6">
      <c r="A15" s="21" t="s">
        <v>406</v>
      </c>
      <c r="B15" s="21">
        <v>14</v>
      </c>
      <c r="E15" s="5" t="s">
        <v>433</v>
      </c>
      <c r="F15" s="22">
        <v>14</v>
      </c>
    </row>
    <row r="16" ht="17.4" spans="1:6">
      <c r="A16" s="21" t="s">
        <v>408</v>
      </c>
      <c r="B16" s="21">
        <v>15</v>
      </c>
      <c r="E16" s="5" t="s">
        <v>757</v>
      </c>
      <c r="F16" s="22">
        <v>15</v>
      </c>
    </row>
    <row r="17" ht="17.4" spans="1:6">
      <c r="A17" s="21" t="s">
        <v>410</v>
      </c>
      <c r="B17" s="21">
        <v>16</v>
      </c>
      <c r="E17" s="5" t="s">
        <v>760</v>
      </c>
      <c r="F17" s="22">
        <v>16</v>
      </c>
    </row>
    <row r="18" ht="17.4" spans="1:6">
      <c r="A18" s="21" t="s">
        <v>415</v>
      </c>
      <c r="B18" s="21">
        <v>17</v>
      </c>
      <c r="E18" s="5" t="s">
        <v>437</v>
      </c>
      <c r="F18" s="22">
        <v>17</v>
      </c>
    </row>
    <row r="19" ht="17.4" spans="1:6">
      <c r="A19" s="21" t="s">
        <v>418</v>
      </c>
      <c r="B19" s="21">
        <v>18</v>
      </c>
      <c r="E19" s="5"/>
      <c r="F19" s="22">
        <v>18</v>
      </c>
    </row>
    <row r="20" ht="17.4" spans="1:6">
      <c r="A20" s="21" t="s">
        <v>420</v>
      </c>
      <c r="B20" s="21">
        <v>19</v>
      </c>
      <c r="E20" s="5"/>
      <c r="F20" s="22">
        <v>19</v>
      </c>
    </row>
    <row r="21" ht="17.4" spans="1:6">
      <c r="A21" s="21" t="s">
        <v>422</v>
      </c>
      <c r="B21" s="21">
        <v>20</v>
      </c>
      <c r="E21" s="5"/>
      <c r="F21" s="22">
        <v>20</v>
      </c>
    </row>
    <row r="22" ht="17.4" spans="1:6">
      <c r="A22" s="21" t="s">
        <v>425</v>
      </c>
      <c r="B22" s="21">
        <v>21</v>
      </c>
      <c r="E22" s="5"/>
      <c r="F22" s="22">
        <v>21</v>
      </c>
    </row>
    <row r="23" ht="17.4" spans="1:6">
      <c r="A23" s="21" t="s">
        <v>427</v>
      </c>
      <c r="B23" s="21">
        <v>22</v>
      </c>
      <c r="E23" s="5"/>
      <c r="F23" s="22">
        <v>22</v>
      </c>
    </row>
    <row r="24" spans="1:6">
      <c r="A24" s="21" t="s">
        <v>429</v>
      </c>
      <c r="B24" s="21">
        <v>23</v>
      </c>
      <c r="F24" s="22">
        <v>23</v>
      </c>
    </row>
    <row r="25" spans="1:6">
      <c r="A25" s="21" t="s">
        <v>431</v>
      </c>
      <c r="B25" s="21">
        <v>24</v>
      </c>
      <c r="F25" s="22">
        <v>24</v>
      </c>
    </row>
    <row r="26" spans="1:6">
      <c r="A26" s="21" t="s">
        <v>433</v>
      </c>
      <c r="B26" s="21">
        <v>25</v>
      </c>
      <c r="F26" s="22">
        <v>25</v>
      </c>
    </row>
    <row r="27" spans="1:6">
      <c r="A27" s="21" t="s">
        <v>435</v>
      </c>
      <c r="B27" s="21">
        <v>26</v>
      </c>
      <c r="F27" s="22">
        <v>26</v>
      </c>
    </row>
    <row r="28" spans="1:6">
      <c r="A28" s="21" t="s">
        <v>437</v>
      </c>
      <c r="B28" s="21">
        <v>27</v>
      </c>
      <c r="F28" s="22">
        <v>27</v>
      </c>
    </row>
    <row r="29" spans="1:6">
      <c r="A29" s="21" t="s">
        <v>439</v>
      </c>
      <c r="B29" s="21">
        <v>28</v>
      </c>
      <c r="F29" s="22">
        <v>28</v>
      </c>
    </row>
    <row r="30" ht="17.4" spans="1:6">
      <c r="A30" s="5" t="s">
        <v>534</v>
      </c>
      <c r="B30" s="21">
        <v>29</v>
      </c>
      <c r="F30" s="22">
        <v>29</v>
      </c>
    </row>
    <row r="31" ht="17.4" spans="1:6">
      <c r="A31" s="5" t="s">
        <v>536</v>
      </c>
      <c r="B31" s="21">
        <v>30</v>
      </c>
      <c r="F31" s="22">
        <v>30</v>
      </c>
    </row>
    <row r="32" ht="17.4" spans="1:6">
      <c r="A32" s="5" t="s">
        <v>537</v>
      </c>
      <c r="B32" s="21">
        <v>31</v>
      </c>
      <c r="F32" s="22">
        <v>31</v>
      </c>
    </row>
    <row r="33" ht="17.4" spans="1:6">
      <c r="A33" s="5" t="s">
        <v>538</v>
      </c>
      <c r="B33" s="21">
        <v>32</v>
      </c>
      <c r="F33" s="22">
        <v>32</v>
      </c>
    </row>
    <row r="34" ht="17.4" spans="1:6">
      <c r="A34" s="5" t="s">
        <v>539</v>
      </c>
      <c r="B34" s="21">
        <v>33</v>
      </c>
      <c r="F34" s="22">
        <v>33</v>
      </c>
    </row>
    <row r="35" ht="17.4" spans="1:6">
      <c r="A35" s="5" t="s">
        <v>540</v>
      </c>
      <c r="B35" s="21">
        <v>34</v>
      </c>
      <c r="F35" s="22">
        <v>34</v>
      </c>
    </row>
    <row r="36" ht="17.4" spans="1:6">
      <c r="A36" s="5" t="s">
        <v>541</v>
      </c>
      <c r="B36" s="21">
        <v>35</v>
      </c>
      <c r="F36" s="22">
        <v>35</v>
      </c>
    </row>
    <row r="37" ht="17.4" spans="1:6">
      <c r="A37" s="5" t="s">
        <v>542</v>
      </c>
      <c r="B37" s="21">
        <v>36</v>
      </c>
      <c r="F37" s="22">
        <v>36</v>
      </c>
    </row>
    <row r="38" spans="1:6">
      <c r="B38" s="21">
        <v>37</v>
      </c>
      <c r="F38" s="22">
        <v>37</v>
      </c>
    </row>
    <row r="39" spans="1:6">
      <c r="B39" s="21">
        <v>38</v>
      </c>
      <c r="F39" s="22">
        <v>38</v>
      </c>
    </row>
    <row r="40" spans="1:6">
      <c r="B40" s="21">
        <v>39</v>
      </c>
    </row>
    <row r="41" spans="1:6">
      <c r="B41" s="21">
        <v>40</v>
      </c>
    </row>
    <row r="42" spans="1:6">
      <c r="B42" s="21">
        <v>41</v>
      </c>
    </row>
    <row r="43" spans="1:6">
      <c r="B43" s="21">
        <v>42</v>
      </c>
    </row>
    <row r="44" spans="1:6">
      <c r="B44" s="21">
        <v>43</v>
      </c>
    </row>
    <row r="45" spans="1:6">
      <c r="B45" s="21">
        <v>44</v>
      </c>
    </row>
    <row r="46" spans="1:6">
      <c r="B46" s="21">
        <v>45</v>
      </c>
    </row>
    <row r="47" spans="1:6">
      <c r="B47" s="21">
        <v>46</v>
      </c>
    </row>
    <row r="48" spans="1:6">
      <c r="B48" s="21">
        <v>47</v>
      </c>
    </row>
    <row r="49" spans="1:2">
      <c r="B49" s="21">
        <v>48</v>
      </c>
    </row>
    <row r="50" spans="1:2">
      <c r="B50" s="21">
        <v>49</v>
      </c>
    </row>
    <row r="51" spans="1:2">
      <c r="A51" s="21" t="s">
        <v>446</v>
      </c>
      <c r="B51" s="21">
        <v>50</v>
      </c>
    </row>
    <row r="52" spans="1:2">
      <c r="A52" s="21" t="s">
        <v>451</v>
      </c>
      <c r="B52" s="21">
        <v>51</v>
      </c>
    </row>
    <row r="53" spans="1:2">
      <c r="A53" s="23" t="s">
        <v>454</v>
      </c>
      <c r="B53" s="21">
        <v>52</v>
      </c>
    </row>
    <row r="54" spans="1:2">
      <c r="A54" s="23" t="s">
        <v>457</v>
      </c>
      <c r="B54" s="21">
        <v>53</v>
      </c>
    </row>
    <row r="55" spans="1:2">
      <c r="A55" s="21" t="s">
        <v>460</v>
      </c>
      <c r="B55" s="21">
        <v>54</v>
      </c>
    </row>
    <row r="56" spans="1:2">
      <c r="A56" s="21" t="s">
        <v>463</v>
      </c>
      <c r="B56" s="21">
        <v>55</v>
      </c>
    </row>
    <row r="57" spans="1:2">
      <c r="A57" s="21" t="s">
        <v>466</v>
      </c>
      <c r="B57" s="21">
        <v>56</v>
      </c>
    </row>
    <row r="58" spans="1:2">
      <c r="A58" s="21" t="s">
        <v>468</v>
      </c>
      <c r="B58" s="21">
        <v>57</v>
      </c>
    </row>
    <row r="59" spans="1:2">
      <c r="A59" s="21" t="s">
        <v>472</v>
      </c>
      <c r="B59" s="21">
        <v>58</v>
      </c>
    </row>
    <row r="60" spans="1:2">
      <c r="A60" s="21" t="s">
        <v>474</v>
      </c>
      <c r="B60" s="21">
        <v>59</v>
      </c>
    </row>
    <row r="61" spans="1:2">
      <c r="A61" s="21" t="s">
        <v>476</v>
      </c>
      <c r="B61" s="21">
        <v>60</v>
      </c>
    </row>
    <row r="62" spans="1:2">
      <c r="A62" s="21" t="s">
        <v>478</v>
      </c>
      <c r="B62" s="21">
        <v>61</v>
      </c>
    </row>
    <row r="63" spans="1:2">
      <c r="A63" s="21" t="s">
        <v>480</v>
      </c>
      <c r="B63" s="21">
        <v>62</v>
      </c>
    </row>
    <row r="64" spans="1:2">
      <c r="A64" s="21" t="s">
        <v>482</v>
      </c>
      <c r="B64" s="21">
        <v>63</v>
      </c>
    </row>
    <row r="65" spans="1:2">
      <c r="A65" s="21" t="s">
        <v>484</v>
      </c>
      <c r="B65" s="21">
        <v>64</v>
      </c>
    </row>
    <row r="66" spans="1:2">
      <c r="A66" s="21" t="s">
        <v>486</v>
      </c>
      <c r="B66" s="21">
        <v>65</v>
      </c>
    </row>
    <row r="67" spans="1:2">
      <c r="A67" s="21" t="s">
        <v>488</v>
      </c>
      <c r="B67" s="21">
        <v>66</v>
      </c>
    </row>
    <row r="68" spans="1:2">
      <c r="A68" s="21" t="s">
        <v>491</v>
      </c>
      <c r="B68" s="21">
        <v>67</v>
      </c>
    </row>
    <row r="69" spans="1:2">
      <c r="A69" s="21" t="s">
        <v>494</v>
      </c>
      <c r="B69" s="21">
        <v>68</v>
      </c>
    </row>
    <row r="70" spans="1:2">
      <c r="A70" s="21" t="s">
        <v>497</v>
      </c>
      <c r="B70" s="21">
        <v>69</v>
      </c>
    </row>
    <row r="71" spans="1:2">
      <c r="A71" s="21" t="s">
        <v>499</v>
      </c>
      <c r="B71" s="21">
        <v>70</v>
      </c>
    </row>
    <row r="72" spans="1:2">
      <c r="A72" s="21" t="s">
        <v>501</v>
      </c>
      <c r="B72" s="21">
        <v>71</v>
      </c>
    </row>
    <row r="73" spans="1:2">
      <c r="A73" s="21" t="s">
        <v>503</v>
      </c>
      <c r="B73" s="21">
        <v>72</v>
      </c>
    </row>
    <row r="74" spans="1:2">
      <c r="A74" s="21" t="s">
        <v>505</v>
      </c>
      <c r="B74" s="21">
        <v>73</v>
      </c>
    </row>
    <row r="75" spans="1:2">
      <c r="A75" s="21" t="s">
        <v>507</v>
      </c>
      <c r="B75" s="21">
        <v>74</v>
      </c>
    </row>
    <row r="76" spans="1:2">
      <c r="A76" s="21" t="s">
        <v>509</v>
      </c>
      <c r="B76" s="21">
        <v>75</v>
      </c>
    </row>
    <row r="77" spans="1:2">
      <c r="A77" s="21" t="s">
        <v>511</v>
      </c>
      <c r="B77" s="21">
        <v>76</v>
      </c>
    </row>
    <row r="78" spans="1:2">
      <c r="A78" s="21" t="s">
        <v>513</v>
      </c>
      <c r="B78" s="21">
        <v>77</v>
      </c>
    </row>
    <row r="79" spans="1:2">
      <c r="A79" s="21" t="s">
        <v>515</v>
      </c>
      <c r="B79" s="21">
        <v>78</v>
      </c>
    </row>
    <row r="80" spans="1:2">
      <c r="A80" s="21" t="s">
        <v>518</v>
      </c>
      <c r="B80" s="21">
        <v>79</v>
      </c>
    </row>
    <row r="81" spans="1:2">
      <c r="A81" s="21" t="s">
        <v>520</v>
      </c>
      <c r="B81" s="21">
        <v>80</v>
      </c>
    </row>
    <row r="82" spans="1:2">
      <c r="A82" s="21" t="s">
        <v>522</v>
      </c>
      <c r="B82" s="21">
        <v>81</v>
      </c>
    </row>
    <row r="83" spans="1:2">
      <c r="A83" s="21" t="s">
        <v>524</v>
      </c>
      <c r="B83" s="21">
        <v>82</v>
      </c>
    </row>
    <row r="84" spans="1:2">
      <c r="A84" s="21" t="s">
        <v>526</v>
      </c>
      <c r="B84" s="21">
        <v>83</v>
      </c>
    </row>
    <row r="85" spans="1:2">
      <c r="A85" s="21" t="s">
        <v>528</v>
      </c>
      <c r="B85" s="21">
        <v>84</v>
      </c>
    </row>
    <row r="86" spans="1:2">
      <c r="A86" s="21" t="s">
        <v>530</v>
      </c>
      <c r="B86" s="21">
        <v>85</v>
      </c>
    </row>
    <row r="87" spans="1:2">
      <c r="B87" s="21">
        <v>86</v>
      </c>
    </row>
    <row r="88" spans="1:2">
      <c r="B88" s="21">
        <v>87</v>
      </c>
    </row>
    <row r="89" spans="1:2">
      <c r="B89" s="21">
        <v>88</v>
      </c>
    </row>
    <row r="90" spans="1:2">
      <c r="B90" s="21">
        <v>89</v>
      </c>
    </row>
    <row r="91" spans="1:2">
      <c r="B91" s="21">
        <v>90</v>
      </c>
    </row>
    <row r="92" spans="1:2">
      <c r="B92" s="21">
        <v>91</v>
      </c>
    </row>
    <row r="93" spans="1:2">
      <c r="B93" s="21">
        <v>92</v>
      </c>
    </row>
    <row r="94" spans="1:2">
      <c r="B94" s="21">
        <v>93</v>
      </c>
    </row>
    <row r="95" spans="1:2">
      <c r="B95" s="21">
        <v>94</v>
      </c>
    </row>
    <row r="96" spans="1:2">
      <c r="B96" s="21">
        <v>95</v>
      </c>
    </row>
    <row r="97" spans="1:2">
      <c r="B97" s="21">
        <v>96</v>
      </c>
    </row>
    <row r="98" spans="1:2">
      <c r="B98" s="21">
        <v>97</v>
      </c>
    </row>
    <row r="99" spans="1:2">
      <c r="B99" s="21">
        <v>98</v>
      </c>
    </row>
    <row r="100" spans="1:2">
      <c r="B100" s="21">
        <v>99</v>
      </c>
    </row>
    <row r="101" ht="15.6" spans="1:2">
      <c r="A101" t="s">
        <v>532</v>
      </c>
      <c r="B101" s="21">
        <v>100</v>
      </c>
    </row>
    <row r="102" spans="1:2">
      <c r="B102" s="21">
        <v>101</v>
      </c>
    </row>
    <row r="103" spans="1:2">
      <c r="B103" s="21">
        <v>102</v>
      </c>
    </row>
    <row r="104" spans="1:2">
      <c r="B104" s="21">
        <v>103</v>
      </c>
    </row>
    <row r="105" spans="1:2">
      <c r="B105" s="21">
        <v>104</v>
      </c>
    </row>
    <row r="106" ht="16.5" customHeight="1" spans="1:2">
      <c r="A106" s="18"/>
      <c r="B106" s="21">
        <v>105</v>
      </c>
    </row>
    <row r="107" spans="1:2">
      <c r="B107" s="21">
        <v>106</v>
      </c>
    </row>
    <row r="108" spans="1:2">
      <c r="B108" s="21">
        <v>107</v>
      </c>
    </row>
    <row r="109" spans="1:2">
      <c r="B109" s="21">
        <v>108</v>
      </c>
    </row>
    <row r="110" spans="1:2">
      <c r="B110" s="21">
        <v>109</v>
      </c>
    </row>
    <row r="111" spans="1:2">
      <c r="B111" s="21">
        <v>110</v>
      </c>
    </row>
    <row r="112" spans="1:2">
      <c r="B112" s="21">
        <v>111</v>
      </c>
    </row>
  </sheetData>
  <conditionalFormatting sqref="E2:E37">
    <cfRule type="duplicateValues" dxfId="0" priority="1"/>
  </conditionalFormatting>
  <conditionalFormatting sqref="E1 E38:E1048576">
    <cfRule type="duplicateValues" dxfId="0" priority="2"/>
  </conditionalFormatting>
  <dataValidations count="1">
    <dataValidation type="whole" operator="between" allowBlank="1" showInputMessage="1" showErrorMessage="1" sqref="F$1:F$1048576">
      <formula1>1</formula1>
      <formula2>999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0"/>
  <sheetViews>
    <sheetView workbookViewId="0">
      <selection activeCell="A1" sqref="A1"/>
    </sheetView>
  </sheetViews>
  <sheetFormatPr defaultColWidth="8.25" defaultRowHeight="14.4"/>
  <cols>
    <col min="1" max="2" width="14.0833333333333" style="6" customWidth="1"/>
    <col min="3" max="3" width="18.25" style="6" customWidth="1"/>
    <col min="4" max="4" width="9.5" style="6" customWidth="1"/>
    <col min="5" max="5" width="8.25" style="6" customWidth="1"/>
    <col min="6" max="6" width="18.5" style="6" customWidth="1"/>
    <col min="7" max="7" width="16.5833333333333" style="6" customWidth="1"/>
    <col min="8" max="8" width="13.0833333333333" style="6" customWidth="1"/>
    <col min="9" max="9" width="12.6666666666667" style="6" customWidth="1"/>
    <col min="10" max="10" width="20.8333333333333" style="6" customWidth="1"/>
    <col min="11" max="11" width="8.25" style="7" customWidth="1"/>
    <col min="12" max="12" width="27.5" style="6" customWidth="1"/>
    <col min="13" max="13" width="22.9166666666667" style="6" customWidth="1"/>
    <col min="14" max="14" width="17.8333333333333" style="6" customWidth="1"/>
    <col min="15" max="15" width="98.9166666666667" style="6" customWidth="1"/>
    <col min="16" max="16" width="10.8333333333333" style="6" customWidth="1"/>
    <col min="17" max="17" width="1.83333333333333" style="6" customWidth="1"/>
    <col min="18" max="18" width="11.3333333333333" style="6" customWidth="1"/>
    <col min="19" max="19" width="8.25" style="6" customWidth="1"/>
    <col min="20" max="16384" width="8.25" style="6"/>
  </cols>
  <sheetData>
    <row r="1" ht="16.5" customHeight="1" spans="1:15">
      <c r="A1" s="8" t="s">
        <v>768</v>
      </c>
      <c r="B1" s="8"/>
      <c r="C1" s="9" t="s">
        <v>769</v>
      </c>
      <c r="E1" s="8"/>
      <c r="F1" s="8" t="s">
        <v>770</v>
      </c>
      <c r="H1" s="10" t="s">
        <v>642</v>
      </c>
      <c r="J1" s="8" t="s">
        <v>771</v>
      </c>
      <c r="K1" s="8" t="s">
        <v>772</v>
      </c>
      <c r="L1" s="6" t="s">
        <v>773</v>
      </c>
      <c r="M1" s="8" t="s">
        <v>774</v>
      </c>
      <c r="N1" s="8" t="s">
        <v>772</v>
      </c>
      <c r="O1" s="8" t="s">
        <v>773</v>
      </c>
    </row>
    <row r="2" ht="16.5" customHeight="1" spans="1:15">
      <c r="A2" s="11" t="s">
        <v>775</v>
      </c>
      <c r="B2" s="11"/>
      <c r="C2" s="11" t="s">
        <v>776</v>
      </c>
      <c r="D2" s="6" t="s">
        <v>376</v>
      </c>
      <c r="F2" s="6" t="s">
        <v>777</v>
      </c>
      <c r="G2" s="6" t="s">
        <v>778</v>
      </c>
      <c r="H2" s="10" t="s">
        <v>779</v>
      </c>
      <c r="J2" s="12" t="s">
        <v>780</v>
      </c>
      <c r="M2" s="12" t="s">
        <v>781</v>
      </c>
      <c r="N2" s="6" t="s">
        <v>782</v>
      </c>
      <c r="O2" s="12" t="s">
        <v>783</v>
      </c>
    </row>
    <row r="3" spans="1:15">
      <c r="A3" s="11" t="s">
        <v>784</v>
      </c>
      <c r="B3" s="11"/>
      <c r="C3" s="11" t="s">
        <v>785</v>
      </c>
      <c r="D3" s="6" t="s">
        <v>786</v>
      </c>
      <c r="F3" s="6" t="s">
        <v>787</v>
      </c>
      <c r="G3" s="8" t="s">
        <v>788</v>
      </c>
      <c r="H3" s="12" t="s">
        <v>789</v>
      </c>
      <c r="I3" s="12" t="s">
        <v>790</v>
      </c>
      <c r="J3" s="12" t="s">
        <v>791</v>
      </c>
      <c r="K3" s="7" t="s">
        <v>792</v>
      </c>
      <c r="M3" s="12" t="s">
        <v>793</v>
      </c>
      <c r="N3" s="6" t="s">
        <v>782</v>
      </c>
      <c r="O3" s="12" t="s">
        <v>794</v>
      </c>
    </row>
    <row r="4" spans="1:15">
      <c r="A4" s="9" t="s">
        <v>795</v>
      </c>
      <c r="B4" s="11"/>
      <c r="C4" s="11" t="s">
        <v>796</v>
      </c>
      <c r="F4" s="11" t="s">
        <v>797</v>
      </c>
      <c r="G4" s="6" t="s">
        <v>798</v>
      </c>
      <c r="H4" s="12" t="s">
        <v>799</v>
      </c>
      <c r="I4" s="12" t="s">
        <v>800</v>
      </c>
      <c r="J4" s="12" t="s">
        <v>801</v>
      </c>
      <c r="M4" s="12" t="s">
        <v>802</v>
      </c>
      <c r="N4" s="6" t="s">
        <v>782</v>
      </c>
      <c r="O4" s="12" t="s">
        <v>794</v>
      </c>
    </row>
    <row r="5" spans="1:15">
      <c r="A5" s="11" t="s">
        <v>803</v>
      </c>
      <c r="C5" s="11" t="s">
        <v>804</v>
      </c>
      <c r="F5" s="11" t="s">
        <v>805</v>
      </c>
      <c r="G5" s="6" t="s">
        <v>806</v>
      </c>
      <c r="H5" s="12" t="s">
        <v>807</v>
      </c>
      <c r="I5" s="12" t="s">
        <v>808</v>
      </c>
      <c r="J5" s="12" t="s">
        <v>417</v>
      </c>
      <c r="M5" s="12" t="s">
        <v>809</v>
      </c>
      <c r="O5" s="12" t="s">
        <v>810</v>
      </c>
    </row>
    <row r="6" spans="1:15">
      <c r="A6" s="13" t="s">
        <v>811</v>
      </c>
      <c r="C6" s="14" t="s">
        <v>812</v>
      </c>
      <c r="F6" s="11" t="s">
        <v>813</v>
      </c>
      <c r="H6" s="12" t="s">
        <v>814</v>
      </c>
      <c r="I6" s="12" t="s">
        <v>815</v>
      </c>
      <c r="J6" s="12" t="s">
        <v>816</v>
      </c>
      <c r="M6" s="12" t="s">
        <v>817</v>
      </c>
      <c r="O6" s="12" t="s">
        <v>818</v>
      </c>
    </row>
    <row r="7" spans="1:15">
      <c r="B7" s="13"/>
      <c r="C7" s="14" t="s">
        <v>819</v>
      </c>
      <c r="F7" s="14" t="s">
        <v>820</v>
      </c>
      <c r="G7" s="15"/>
      <c r="H7" s="12" t="s">
        <v>821</v>
      </c>
      <c r="I7" s="12" t="s">
        <v>822</v>
      </c>
      <c r="J7" s="6" t="s">
        <v>371</v>
      </c>
      <c r="K7" s="12"/>
      <c r="L7" s="7"/>
      <c r="M7" s="12" t="s">
        <v>823</v>
      </c>
      <c r="O7" s="12" t="s">
        <v>818</v>
      </c>
    </row>
    <row r="8" spans="1:15">
      <c r="F8" s="14" t="s">
        <v>824</v>
      </c>
      <c r="G8" s="15"/>
      <c r="H8" s="16" t="s">
        <v>825</v>
      </c>
      <c r="I8" s="16" t="s">
        <v>826</v>
      </c>
      <c r="J8" s="12" t="s">
        <v>827</v>
      </c>
      <c r="M8" s="12" t="s">
        <v>828</v>
      </c>
      <c r="N8" s="6" t="s">
        <v>792</v>
      </c>
      <c r="O8" s="12" t="s">
        <v>829</v>
      </c>
    </row>
    <row r="9" spans="1:15">
      <c r="F9" s="14" t="s">
        <v>830</v>
      </c>
      <c r="G9" s="15"/>
      <c r="H9" s="16" t="s">
        <v>831</v>
      </c>
      <c r="I9" s="16" t="s">
        <v>832</v>
      </c>
      <c r="J9" s="12" t="s">
        <v>833</v>
      </c>
      <c r="M9" s="12" t="s">
        <v>834</v>
      </c>
      <c r="N9" s="6" t="s">
        <v>792</v>
      </c>
      <c r="O9" s="12" t="s">
        <v>835</v>
      </c>
    </row>
    <row r="10" spans="1:15">
      <c r="F10" s="14" t="s">
        <v>836</v>
      </c>
      <c r="G10" s="15"/>
      <c r="H10" s="16" t="s">
        <v>837</v>
      </c>
      <c r="I10" s="16" t="s">
        <v>838</v>
      </c>
      <c r="J10" s="12" t="s">
        <v>839</v>
      </c>
      <c r="M10" s="12" t="s">
        <v>840</v>
      </c>
      <c r="N10" s="6" t="s">
        <v>841</v>
      </c>
      <c r="O10" s="12" t="s">
        <v>842</v>
      </c>
    </row>
    <row r="11" spans="1:15">
      <c r="F11" s="14" t="s">
        <v>843</v>
      </c>
      <c r="G11" s="15"/>
      <c r="H11" s="16" t="s">
        <v>844</v>
      </c>
      <c r="I11" s="16" t="s">
        <v>845</v>
      </c>
      <c r="J11" s="12" t="s">
        <v>846</v>
      </c>
      <c r="M11" s="12" t="s">
        <v>847</v>
      </c>
      <c r="N11" s="6" t="s">
        <v>841</v>
      </c>
      <c r="O11" s="12" t="s">
        <v>848</v>
      </c>
    </row>
    <row r="12" spans="1:15">
      <c r="F12" s="17" t="s">
        <v>849</v>
      </c>
      <c r="G12" s="15"/>
      <c r="H12" s="16" t="s">
        <v>850</v>
      </c>
      <c r="I12" s="16" t="s">
        <v>851</v>
      </c>
      <c r="J12" s="12" t="s">
        <v>852</v>
      </c>
      <c r="L12" s="6" t="s">
        <v>853</v>
      </c>
      <c r="M12" s="12" t="s">
        <v>854</v>
      </c>
      <c r="N12" s="6" t="s">
        <v>792</v>
      </c>
      <c r="O12" s="12" t="s">
        <v>855</v>
      </c>
    </row>
    <row r="13" spans="1:15">
      <c r="F13" s="11"/>
      <c r="H13" s="16" t="s">
        <v>856</v>
      </c>
      <c r="I13" s="16" t="s">
        <v>857</v>
      </c>
      <c r="J13" s="12" t="s">
        <v>858</v>
      </c>
      <c r="L13" s="6" t="s">
        <v>859</v>
      </c>
      <c r="M13" s="12" t="s">
        <v>860</v>
      </c>
      <c r="N13" s="6" t="s">
        <v>792</v>
      </c>
      <c r="O13" s="12" t="s">
        <v>861</v>
      </c>
    </row>
    <row r="14" spans="1:15">
      <c r="A14" s="6" t="s">
        <v>862</v>
      </c>
      <c r="F14" s="11"/>
      <c r="H14" s="16" t="s">
        <v>863</v>
      </c>
      <c r="I14" s="16" t="s">
        <v>864</v>
      </c>
      <c r="J14" s="12" t="s">
        <v>865</v>
      </c>
      <c r="M14" s="12" t="s">
        <v>866</v>
      </c>
      <c r="N14" s="6" t="s">
        <v>841</v>
      </c>
      <c r="O14" s="12" t="s">
        <v>867</v>
      </c>
    </row>
    <row r="15" spans="1:15">
      <c r="A15" s="6" t="s">
        <v>868</v>
      </c>
      <c r="F15" s="11"/>
      <c r="H15" s="16" t="s">
        <v>869</v>
      </c>
      <c r="I15" s="16" t="s">
        <v>870</v>
      </c>
      <c r="J15" s="12" t="s">
        <v>871</v>
      </c>
      <c r="K15" s="6"/>
      <c r="M15" s="12" t="s">
        <v>872</v>
      </c>
      <c r="N15" s="6" t="s">
        <v>841</v>
      </c>
      <c r="O15" s="12" t="s">
        <v>873</v>
      </c>
    </row>
    <row r="16" ht="16.5" customHeight="1" spans="1:15">
      <c r="A16" s="6" t="s">
        <v>874</v>
      </c>
      <c r="F16" s="11"/>
      <c r="H16" s="16" t="s">
        <v>875</v>
      </c>
      <c r="I16" s="16" t="s">
        <v>876</v>
      </c>
      <c r="J16" s="18" t="s">
        <v>877</v>
      </c>
      <c r="K16" s="6"/>
      <c r="L16" s="6" t="s">
        <v>878</v>
      </c>
      <c r="M16" s="12" t="s">
        <v>879</v>
      </c>
      <c r="N16" s="6" t="s">
        <v>792</v>
      </c>
      <c r="O16" s="12" t="s">
        <v>880</v>
      </c>
    </row>
    <row r="17" spans="1:17">
      <c r="A17" s="6" t="s">
        <v>881</v>
      </c>
      <c r="F17" s="11"/>
      <c r="H17" s="16" t="s">
        <v>882</v>
      </c>
      <c r="I17" s="16" t="s">
        <v>883</v>
      </c>
      <c r="K17" s="6"/>
      <c r="M17" s="12" t="s">
        <v>884</v>
      </c>
      <c r="N17" s="6" t="s">
        <v>792</v>
      </c>
      <c r="O17" s="12" t="s">
        <v>885</v>
      </c>
    </row>
    <row r="18" spans="1:17">
      <c r="A18" s="6" t="s">
        <v>886</v>
      </c>
      <c r="F18" s="11"/>
      <c r="I18" s="6" t="s">
        <v>887</v>
      </c>
      <c r="K18" s="6"/>
      <c r="M18" s="12" t="s">
        <v>888</v>
      </c>
      <c r="N18" s="6" t="s">
        <v>841</v>
      </c>
      <c r="O18" s="12" t="s">
        <v>889</v>
      </c>
    </row>
    <row r="19" spans="1:17">
      <c r="A19" s="6" t="s">
        <v>890</v>
      </c>
      <c r="F19" s="11"/>
      <c r="K19" s="6"/>
      <c r="M19" s="12" t="s">
        <v>891</v>
      </c>
      <c r="N19" s="6" t="s">
        <v>782</v>
      </c>
      <c r="O19" s="12" t="s">
        <v>892</v>
      </c>
    </row>
    <row r="20" spans="1:17">
      <c r="A20" s="6" t="s">
        <v>893</v>
      </c>
      <c r="F20" s="11"/>
      <c r="K20" s="6"/>
      <c r="M20" s="12" t="s">
        <v>894</v>
      </c>
      <c r="N20" s="6" t="s">
        <v>841</v>
      </c>
      <c r="O20" s="12" t="s">
        <v>895</v>
      </c>
    </row>
    <row r="21" spans="1:17">
      <c r="A21" s="8" t="s">
        <v>896</v>
      </c>
      <c r="F21" s="11"/>
      <c r="K21" s="6"/>
      <c r="M21" s="12" t="s">
        <v>897</v>
      </c>
      <c r="N21" s="6" t="s">
        <v>841</v>
      </c>
      <c r="O21" s="12" t="s">
        <v>898</v>
      </c>
    </row>
    <row r="22" spans="1:17">
      <c r="A22" s="6" t="s">
        <v>899</v>
      </c>
      <c r="G22" s="11"/>
      <c r="K22" s="6"/>
      <c r="M22" s="12" t="s">
        <v>900</v>
      </c>
      <c r="N22" s="6" t="s">
        <v>841</v>
      </c>
      <c r="O22" s="12" t="s">
        <v>901</v>
      </c>
    </row>
    <row r="23" spans="1:17">
      <c r="G23" s="11"/>
      <c r="M23" s="12" t="s">
        <v>902</v>
      </c>
      <c r="N23" s="6" t="s">
        <v>841</v>
      </c>
      <c r="O23" s="12" t="s">
        <v>903</v>
      </c>
    </row>
    <row r="24" spans="1:17">
      <c r="G24" s="11"/>
      <c r="M24" s="12" t="s">
        <v>904</v>
      </c>
      <c r="N24" s="6" t="s">
        <v>841</v>
      </c>
      <c r="O24" s="12" t="s">
        <v>905</v>
      </c>
    </row>
    <row r="25" ht="16.5" customHeight="1" spans="1:17">
      <c r="F25" s="11"/>
      <c r="G25" s="11"/>
      <c r="M25" s="18" t="s">
        <v>809</v>
      </c>
      <c r="N25" s="18" t="s">
        <v>906</v>
      </c>
      <c r="O25" s="18"/>
      <c r="P25" s="18"/>
      <c r="Q25" s="18"/>
    </row>
    <row r="26" ht="16.5" customHeight="1" spans="1:17">
      <c r="F26" s="11"/>
      <c r="G26" s="11"/>
      <c r="M26" s="18" t="s">
        <v>907</v>
      </c>
      <c r="N26" s="18" t="s">
        <v>908</v>
      </c>
      <c r="O26" s="18"/>
      <c r="P26" s="18"/>
      <c r="Q26" s="18"/>
    </row>
    <row r="27" ht="16.5" customHeight="1" spans="1:17">
      <c r="M27" s="18" t="s">
        <v>909</v>
      </c>
      <c r="N27" s="18" t="s">
        <v>910</v>
      </c>
      <c r="O27" s="18"/>
      <c r="P27" s="18"/>
      <c r="Q27" s="18"/>
    </row>
    <row r="28" ht="16.5" customHeight="1" spans="1:17">
      <c r="M28" s="18" t="s">
        <v>911</v>
      </c>
      <c r="N28" s="18"/>
      <c r="O28" s="18"/>
      <c r="P28" s="18"/>
      <c r="Q28" s="18"/>
    </row>
    <row r="29" ht="16.5" customHeight="1" spans="1:17">
      <c r="M29" s="18" t="s">
        <v>912</v>
      </c>
      <c r="N29" s="18"/>
      <c r="O29" s="18"/>
      <c r="P29" s="18"/>
      <c r="Q29" s="18"/>
    </row>
    <row r="30" ht="16.5" customHeight="1" spans="1:17">
      <c r="M30" s="18" t="s">
        <v>913</v>
      </c>
      <c r="N30" s="18"/>
      <c r="O30" s="18"/>
      <c r="P30" s="18"/>
      <c r="Q30" s="18"/>
    </row>
    <row r="31" ht="16.5" customHeight="1" spans="1:17">
      <c r="M31" s="19" t="s">
        <v>914</v>
      </c>
      <c r="N31" s="18"/>
      <c r="O31" s="18" t="s">
        <v>915</v>
      </c>
      <c r="P31" s="18"/>
      <c r="Q31" s="18"/>
    </row>
    <row r="32" ht="16.5" customHeight="1" spans="1:17">
      <c r="M32" s="19" t="s">
        <v>916</v>
      </c>
      <c r="N32" s="18"/>
      <c r="O32" s="18" t="s">
        <v>915</v>
      </c>
      <c r="P32" s="18"/>
      <c r="Q32" s="18"/>
    </row>
    <row r="33" ht="16.5" customHeight="1" spans="11:17">
      <c r="M33" s="19" t="s">
        <v>916</v>
      </c>
      <c r="N33" s="18"/>
      <c r="O33" s="18" t="s">
        <v>915</v>
      </c>
      <c r="P33" s="18"/>
      <c r="Q33" s="18"/>
    </row>
    <row r="34" ht="16.5" customHeight="1" spans="11:17">
      <c r="M34" s="12" t="s">
        <v>917</v>
      </c>
      <c r="N34" s="18"/>
      <c r="O34" s="18"/>
      <c r="P34" s="18"/>
      <c r="Q34" s="18"/>
    </row>
    <row r="35" ht="16.5" customHeight="1" spans="11:17">
      <c r="M35" s="12" t="s">
        <v>918</v>
      </c>
      <c r="N35" s="18"/>
      <c r="O35" s="18"/>
      <c r="P35" s="18"/>
      <c r="Q35" s="18"/>
    </row>
    <row r="36" ht="16.5" customHeight="1" spans="11:17">
      <c r="M36" s="12" t="s">
        <v>919</v>
      </c>
      <c r="N36" s="18"/>
      <c r="O36" s="18"/>
      <c r="P36" s="18"/>
      <c r="Q36" s="18"/>
    </row>
    <row r="37" ht="16.5" customHeight="1" spans="11:17">
      <c r="M37" s="12" t="s">
        <v>920</v>
      </c>
      <c r="N37" s="18"/>
      <c r="O37" s="18"/>
      <c r="P37" s="18"/>
      <c r="Q37" s="18"/>
    </row>
    <row r="38" ht="16.5" customHeight="1" spans="11:17">
      <c r="M38" s="18" t="s">
        <v>921</v>
      </c>
      <c r="N38" s="18"/>
      <c r="O38" s="18"/>
      <c r="P38" s="18"/>
      <c r="Q38" s="18"/>
    </row>
    <row r="39" ht="16.5" customHeight="1" spans="11:17">
      <c r="M39" s="18" t="s">
        <v>922</v>
      </c>
      <c r="N39" s="18" t="s">
        <v>923</v>
      </c>
      <c r="O39" s="18"/>
      <c r="P39" s="18"/>
      <c r="Q39" s="18"/>
    </row>
    <row r="40" ht="16.5" customHeight="1" spans="11:17">
      <c r="M40" s="18" t="s">
        <v>924</v>
      </c>
      <c r="N40" s="18" t="s">
        <v>925</v>
      </c>
      <c r="O40" s="18"/>
      <c r="P40" s="18"/>
      <c r="Q40" s="18"/>
    </row>
    <row r="41" ht="16.5" customHeight="1" spans="11:17">
      <c r="K41" s="6"/>
      <c r="M41" s="18" t="s">
        <v>926</v>
      </c>
      <c r="N41" s="18" t="s">
        <v>927</v>
      </c>
      <c r="O41" s="18"/>
      <c r="P41" s="18"/>
      <c r="Q41" s="18"/>
    </row>
    <row r="42" ht="16.5" customHeight="1" spans="11:17">
      <c r="K42" s="6"/>
      <c r="M42" s="12" t="s">
        <v>928</v>
      </c>
      <c r="N42" s="18" t="s">
        <v>929</v>
      </c>
      <c r="O42" s="18"/>
      <c r="P42" s="18"/>
      <c r="Q42" s="18"/>
    </row>
    <row r="43" ht="16.5" customHeight="1" spans="11:17">
      <c r="K43" s="6"/>
      <c r="M43" s="12" t="s">
        <v>930</v>
      </c>
      <c r="N43" s="18" t="s">
        <v>931</v>
      </c>
      <c r="O43" s="18"/>
      <c r="P43" s="18"/>
      <c r="Q43" s="18"/>
    </row>
    <row r="44" ht="16.5" customHeight="1" spans="11:17">
      <c r="K44" s="6"/>
      <c r="M44" s="12" t="s">
        <v>932</v>
      </c>
      <c r="N44" s="18" t="s">
        <v>933</v>
      </c>
      <c r="O44" s="18"/>
      <c r="P44" s="18"/>
      <c r="Q44" s="18"/>
    </row>
    <row r="45" ht="16.5" customHeight="1" spans="11:17">
      <c r="K45" s="6"/>
      <c r="M45" s="12" t="s">
        <v>934</v>
      </c>
      <c r="N45" s="18" t="s">
        <v>935</v>
      </c>
      <c r="O45" s="18"/>
      <c r="P45" s="18"/>
      <c r="Q45" s="18"/>
    </row>
    <row r="46" ht="16.5" customHeight="1" spans="11:17">
      <c r="K46" s="6"/>
      <c r="M46" s="12" t="s">
        <v>936</v>
      </c>
      <c r="N46" s="18" t="s">
        <v>937</v>
      </c>
      <c r="O46" s="18"/>
      <c r="P46" s="18"/>
      <c r="Q46" s="18"/>
    </row>
    <row r="47" ht="16.5" customHeight="1" spans="11:17">
      <c r="K47" s="6"/>
      <c r="M47" s="12" t="s">
        <v>938</v>
      </c>
      <c r="N47" s="18" t="s">
        <v>939</v>
      </c>
      <c r="O47" s="18"/>
      <c r="P47" s="18"/>
      <c r="Q47" s="18"/>
    </row>
    <row r="48" ht="16.5" customHeight="1" spans="11:17">
      <c r="K48" s="6"/>
      <c r="M48" s="12" t="s">
        <v>940</v>
      </c>
      <c r="N48" s="18" t="s">
        <v>941</v>
      </c>
      <c r="O48" s="18"/>
      <c r="P48" s="18"/>
      <c r="Q48" s="18"/>
    </row>
    <row r="49" ht="16.5" customHeight="1" spans="6:17">
      <c r="K49" s="6"/>
      <c r="M49" s="12" t="s">
        <v>942</v>
      </c>
      <c r="N49" s="18" t="s">
        <v>943</v>
      </c>
      <c r="O49" s="18"/>
      <c r="P49" s="18"/>
      <c r="Q49" s="18"/>
    </row>
    <row r="50" ht="16.5" customHeight="1" spans="6:17">
      <c r="K50" s="6"/>
      <c r="M50" s="12" t="s">
        <v>944</v>
      </c>
      <c r="N50" s="18" t="s">
        <v>945</v>
      </c>
      <c r="O50" s="18"/>
      <c r="P50" s="18"/>
      <c r="Q50" s="18"/>
    </row>
    <row r="51" ht="16.5" customHeight="1" spans="6:17">
      <c r="K51" s="6"/>
      <c r="M51" s="12" t="s">
        <v>946</v>
      </c>
      <c r="N51" s="18" t="s">
        <v>947</v>
      </c>
      <c r="O51" s="18"/>
      <c r="P51" s="18"/>
      <c r="Q51" s="18"/>
    </row>
    <row r="52" ht="16.5" customHeight="1" spans="6:17">
      <c r="K52" s="6"/>
      <c r="M52" s="12" t="s">
        <v>948</v>
      </c>
      <c r="N52" s="18" t="s">
        <v>949</v>
      </c>
      <c r="O52" s="18"/>
      <c r="P52" s="18"/>
      <c r="Q52" s="18"/>
    </row>
    <row r="53" ht="16.5" customHeight="1" spans="6:17">
      <c r="K53" s="6"/>
      <c r="M53" s="12" t="s">
        <v>950</v>
      </c>
      <c r="N53" s="18" t="s">
        <v>951</v>
      </c>
      <c r="O53" s="18"/>
      <c r="P53" s="18"/>
      <c r="Q53" s="18"/>
    </row>
    <row r="54" spans="6:17">
      <c r="K54" s="6"/>
      <c r="M54" s="20"/>
    </row>
    <row r="55" spans="6:17">
      <c r="K55" s="6"/>
      <c r="M55" s="20"/>
    </row>
    <row r="56" spans="6:17">
      <c r="K56" s="6"/>
    </row>
    <row r="57" ht="16.5" customHeight="1" spans="6:17">
      <c r="F57" s="18" t="s">
        <v>952</v>
      </c>
      <c r="G57" s="18"/>
      <c r="H57" s="18"/>
      <c r="I57" s="18"/>
      <c r="J57" s="18"/>
      <c r="K57" s="18"/>
      <c r="L57" s="18"/>
      <c r="M57" s="18"/>
      <c r="N57" s="18"/>
    </row>
    <row r="58" ht="16.5" customHeight="1" spans="6:17">
      <c r="F58" s="18" t="s">
        <v>953</v>
      </c>
      <c r="G58" s="18"/>
      <c r="H58" s="18"/>
      <c r="I58" s="18"/>
      <c r="J58" s="18"/>
      <c r="K58" s="18"/>
      <c r="L58" s="18"/>
      <c r="M58" s="18"/>
      <c r="N58" s="18"/>
    </row>
    <row r="59" ht="16.5" customHeight="1" spans="6:17">
      <c r="F59" s="18" t="s">
        <v>954</v>
      </c>
      <c r="G59" s="18"/>
      <c r="H59" s="18"/>
      <c r="I59" s="18"/>
      <c r="J59" s="18"/>
      <c r="K59" s="18"/>
      <c r="L59" s="18"/>
      <c r="M59" s="18"/>
      <c r="N59" s="18"/>
    </row>
    <row r="60" ht="16.5" customHeight="1" spans="6:17">
      <c r="F60" s="18" t="s">
        <v>955</v>
      </c>
      <c r="G60" s="18"/>
      <c r="H60" s="18"/>
      <c r="I60" s="18"/>
      <c r="J60" s="18"/>
      <c r="K60" s="18"/>
      <c r="L60" s="18"/>
      <c r="M60" s="18"/>
      <c r="N60" s="18"/>
    </row>
    <row r="61" ht="16.5" customHeight="1" spans="6:17">
      <c r="F61" s="18" t="s">
        <v>956</v>
      </c>
      <c r="G61" s="18"/>
      <c r="H61" s="18"/>
      <c r="I61" s="18"/>
      <c r="J61" s="18"/>
      <c r="K61" s="18"/>
      <c r="L61" s="18"/>
      <c r="M61" s="18"/>
      <c r="N61" s="18"/>
    </row>
    <row r="62" ht="16.5" customHeight="1" spans="6:17">
      <c r="F62" s="18" t="s">
        <v>957</v>
      </c>
      <c r="G62" s="18"/>
      <c r="H62" s="18"/>
      <c r="I62" s="18"/>
      <c r="J62" s="18"/>
      <c r="K62" s="18"/>
      <c r="L62" s="18"/>
      <c r="M62" s="18"/>
      <c r="N62" s="18"/>
    </row>
    <row r="63" ht="16.5" customHeight="1" spans="6:17">
      <c r="F63" s="18" t="s">
        <v>958</v>
      </c>
      <c r="G63" s="18"/>
      <c r="H63" s="18"/>
      <c r="I63" s="18"/>
      <c r="J63" s="18"/>
      <c r="K63" s="18"/>
      <c r="L63" s="18"/>
      <c r="M63" s="18"/>
      <c r="N63" s="18"/>
    </row>
    <row r="64" ht="16.5" customHeight="1" spans="6:17">
      <c r="F64" s="18" t="s">
        <v>959</v>
      </c>
      <c r="G64" s="18"/>
      <c r="H64" s="18"/>
      <c r="I64" s="18"/>
      <c r="J64" s="18"/>
      <c r="K64" s="18"/>
      <c r="L64" s="18"/>
      <c r="M64" s="18"/>
      <c r="N64" s="18"/>
    </row>
    <row r="65" ht="16.5" customHeight="1" spans="6:14">
      <c r="F65" s="18" t="s">
        <v>960</v>
      </c>
      <c r="G65" s="18"/>
      <c r="H65" s="18"/>
      <c r="I65" s="18"/>
      <c r="J65" s="18"/>
      <c r="K65" s="18"/>
      <c r="L65" s="18"/>
      <c r="M65" s="18"/>
      <c r="N65" s="18"/>
    </row>
    <row r="66" ht="16.5" customHeight="1" spans="6:14">
      <c r="F66" s="18" t="s">
        <v>961</v>
      </c>
      <c r="G66" s="18"/>
      <c r="H66" s="18"/>
      <c r="I66" s="18"/>
      <c r="J66" s="18"/>
      <c r="K66" s="18"/>
      <c r="L66" s="18"/>
      <c r="M66" s="18"/>
      <c r="N66" s="18"/>
    </row>
    <row r="67" ht="16.5" customHeight="1" spans="6:14">
      <c r="F67" s="18" t="s">
        <v>962</v>
      </c>
      <c r="G67" s="18"/>
      <c r="H67" s="18"/>
      <c r="I67" s="18"/>
      <c r="J67" s="18"/>
      <c r="K67" s="18"/>
      <c r="L67" s="18"/>
      <c r="M67" s="18"/>
      <c r="N67" s="18"/>
    </row>
    <row r="68" ht="16.5" customHeight="1" spans="6:14">
      <c r="F68" s="18" t="s">
        <v>960</v>
      </c>
      <c r="G68" s="18"/>
      <c r="H68" s="18"/>
      <c r="I68" s="18"/>
      <c r="J68" s="18"/>
      <c r="K68" s="18"/>
      <c r="L68" s="18"/>
      <c r="M68" s="18"/>
      <c r="N68" s="18"/>
    </row>
    <row r="69" ht="16.5" customHeight="1" spans="6:14">
      <c r="F69" s="18" t="s">
        <v>963</v>
      </c>
      <c r="G69" s="18"/>
      <c r="H69" s="18"/>
      <c r="I69" s="18"/>
      <c r="J69" s="18"/>
      <c r="K69" s="18"/>
      <c r="L69" s="18"/>
      <c r="M69" s="18"/>
      <c r="N69" s="18"/>
    </row>
    <row r="70" ht="16.5" customHeight="1" spans="6:14">
      <c r="F70" s="18"/>
      <c r="G70" s="18"/>
      <c r="H70" s="18"/>
      <c r="I70" s="18"/>
      <c r="J70" s="18"/>
      <c r="K70" s="18"/>
      <c r="L70" s="18"/>
      <c r="M70" s="18"/>
      <c r="N70" s="18"/>
    </row>
    <row r="71" ht="16.5" customHeight="1" spans="6:14">
      <c r="F71" s="18" t="s">
        <v>809</v>
      </c>
      <c r="G71" s="18" t="s">
        <v>964</v>
      </c>
      <c r="H71" s="18"/>
      <c r="I71" s="18"/>
      <c r="J71" s="18"/>
      <c r="K71" s="18"/>
      <c r="L71" s="18"/>
      <c r="M71" s="18"/>
      <c r="N71" s="18"/>
    </row>
    <row r="72" ht="16.5" customHeight="1" spans="6:14">
      <c r="F72" s="18" t="s">
        <v>907</v>
      </c>
      <c r="G72" s="18" t="s">
        <v>965</v>
      </c>
      <c r="H72" s="18"/>
      <c r="I72" s="18"/>
      <c r="J72" s="18"/>
      <c r="K72" s="18"/>
      <c r="L72" s="18"/>
      <c r="M72" s="18"/>
      <c r="N72" s="18"/>
    </row>
    <row r="73" ht="16.5" customHeight="1" spans="6:14">
      <c r="F73" s="18" t="s">
        <v>909</v>
      </c>
      <c r="G73" s="18" t="s">
        <v>966</v>
      </c>
      <c r="H73" s="18"/>
      <c r="I73" s="18"/>
      <c r="J73" s="18"/>
      <c r="K73" s="18"/>
      <c r="L73" s="18"/>
      <c r="M73" s="18"/>
      <c r="N73" s="18"/>
    </row>
    <row r="74" ht="16.5" customHeight="1" spans="6:14">
      <c r="F74" s="18" t="s">
        <v>911</v>
      </c>
      <c r="G74" s="18"/>
      <c r="H74" s="18"/>
      <c r="I74" s="18"/>
      <c r="J74" s="18"/>
      <c r="K74" s="18"/>
      <c r="L74" s="18"/>
      <c r="M74" s="18"/>
      <c r="N74" s="18"/>
    </row>
    <row r="75" ht="16.5" customHeight="1" spans="6:14">
      <c r="F75" s="18" t="s">
        <v>912</v>
      </c>
      <c r="G75" s="18"/>
      <c r="H75" s="18"/>
      <c r="I75" s="18"/>
      <c r="J75" s="18"/>
      <c r="K75" s="18"/>
      <c r="L75" s="18"/>
      <c r="M75" s="18"/>
      <c r="N75" s="18"/>
    </row>
    <row r="76" ht="16.5" customHeight="1" spans="6:14">
      <c r="F76" s="18" t="s">
        <v>913</v>
      </c>
      <c r="G76" s="18"/>
      <c r="H76" s="18"/>
      <c r="I76" s="18"/>
      <c r="J76" s="18"/>
      <c r="K76" s="18"/>
      <c r="L76" s="18"/>
      <c r="M76" s="18"/>
      <c r="N76" s="18"/>
    </row>
    <row r="77" ht="16.5" customHeight="1" spans="6:14">
      <c r="F77" s="18" t="s">
        <v>914</v>
      </c>
      <c r="G77" s="18"/>
      <c r="H77" s="18"/>
      <c r="I77" s="18"/>
      <c r="J77" s="18"/>
      <c r="K77" s="18"/>
      <c r="L77" s="18"/>
      <c r="M77" s="18"/>
      <c r="N77" s="18"/>
    </row>
    <row r="78" ht="16.5" customHeight="1" spans="6:14">
      <c r="F78" s="18" t="s">
        <v>916</v>
      </c>
      <c r="G78" s="18"/>
      <c r="H78" s="18"/>
      <c r="I78" s="18"/>
      <c r="J78" s="18"/>
      <c r="K78" s="18"/>
      <c r="L78" s="18"/>
      <c r="M78" s="18"/>
      <c r="N78" s="18"/>
    </row>
    <row r="79" ht="16.5" customHeight="1" spans="6:14">
      <c r="F79" s="18" t="s">
        <v>916</v>
      </c>
      <c r="G79" s="18"/>
      <c r="H79" s="18"/>
      <c r="I79" s="18"/>
      <c r="J79" s="18"/>
      <c r="K79" s="18"/>
      <c r="L79" s="18"/>
      <c r="M79" s="18"/>
      <c r="N79" s="18"/>
    </row>
    <row r="80" ht="16.5" customHeight="1" spans="6:14">
      <c r="F80" s="12" t="s">
        <v>917</v>
      </c>
      <c r="G80" s="18"/>
      <c r="H80" s="18"/>
      <c r="I80" s="18"/>
      <c r="J80" s="18"/>
      <c r="K80" s="18"/>
      <c r="L80" s="18"/>
      <c r="M80" s="18"/>
      <c r="N80" s="18"/>
    </row>
    <row r="81" ht="16.5" customHeight="1" spans="6:14">
      <c r="F81" s="12" t="s">
        <v>918</v>
      </c>
      <c r="G81" s="18"/>
      <c r="H81" s="18"/>
      <c r="I81" s="18"/>
      <c r="J81" s="18"/>
      <c r="K81" s="18"/>
      <c r="L81" s="18"/>
      <c r="M81" s="18"/>
      <c r="N81" s="18"/>
    </row>
    <row r="82" ht="16.5" customHeight="1" spans="6:14">
      <c r="F82" s="12" t="s">
        <v>919</v>
      </c>
      <c r="G82" s="18"/>
      <c r="H82" s="18"/>
      <c r="I82" s="18"/>
      <c r="J82" s="18"/>
      <c r="K82" s="18"/>
      <c r="L82" s="18"/>
      <c r="M82" s="18"/>
      <c r="N82" s="18"/>
    </row>
    <row r="83" ht="16.5" customHeight="1" spans="6:14">
      <c r="F83" s="12" t="s">
        <v>920</v>
      </c>
      <c r="G83" s="18"/>
      <c r="H83" s="18"/>
      <c r="I83" s="18"/>
      <c r="J83" s="18"/>
      <c r="K83" s="18"/>
      <c r="L83" s="18"/>
      <c r="M83" s="18"/>
      <c r="N83" s="18"/>
    </row>
    <row r="84" ht="16.5" customHeight="1" spans="6:14">
      <c r="F84" s="18" t="s">
        <v>921</v>
      </c>
      <c r="G84" s="18"/>
      <c r="H84" s="18"/>
      <c r="I84" s="18"/>
      <c r="J84" s="18"/>
      <c r="K84" s="18"/>
      <c r="L84" s="18"/>
      <c r="M84" s="18"/>
      <c r="N84" s="18"/>
    </row>
    <row r="85" ht="16.5" customHeight="1" spans="6:14">
      <c r="F85" s="18" t="s">
        <v>922</v>
      </c>
      <c r="G85" s="18" t="s">
        <v>923</v>
      </c>
      <c r="H85" s="18"/>
      <c r="I85" s="18"/>
      <c r="J85" s="18"/>
      <c r="K85" s="18"/>
      <c r="L85" s="18"/>
      <c r="M85" s="18"/>
      <c r="N85" s="18"/>
    </row>
    <row r="86" ht="16.5" customHeight="1" spans="6:14">
      <c r="F86" s="18" t="s">
        <v>924</v>
      </c>
      <c r="G86" s="18" t="s">
        <v>925</v>
      </c>
      <c r="H86" s="18"/>
      <c r="I86" s="18"/>
      <c r="J86" s="18"/>
      <c r="K86" s="18"/>
      <c r="L86" s="18"/>
      <c r="M86" s="18"/>
      <c r="N86" s="18"/>
    </row>
    <row r="87" ht="16.5" customHeight="1" spans="6:14">
      <c r="F87" s="18" t="s">
        <v>926</v>
      </c>
      <c r="G87" s="18" t="s">
        <v>927</v>
      </c>
      <c r="H87" s="18"/>
      <c r="I87" s="18"/>
      <c r="J87" s="18"/>
      <c r="K87" s="18"/>
      <c r="L87" s="18"/>
      <c r="M87" s="18"/>
      <c r="N87" s="18"/>
    </row>
    <row r="88" ht="16.5" customHeight="1" spans="6:14">
      <c r="F88" s="12" t="s">
        <v>928</v>
      </c>
      <c r="G88" s="18" t="s">
        <v>929</v>
      </c>
      <c r="H88" s="18"/>
      <c r="I88" s="18"/>
      <c r="J88" s="18"/>
      <c r="K88" s="18"/>
      <c r="L88" s="18"/>
      <c r="M88" s="18"/>
      <c r="N88" s="18"/>
    </row>
    <row r="89" ht="16.5" customHeight="1" spans="6:14">
      <c r="F89" s="12" t="s">
        <v>930</v>
      </c>
      <c r="G89" s="18" t="s">
        <v>931</v>
      </c>
      <c r="H89" s="18"/>
      <c r="I89" s="18"/>
      <c r="J89" s="18"/>
      <c r="K89" s="18"/>
      <c r="L89" s="18"/>
      <c r="M89" s="18"/>
      <c r="N89" s="18"/>
    </row>
    <row r="90" ht="16.5" customHeight="1" spans="6:14">
      <c r="F90" s="12" t="s">
        <v>932</v>
      </c>
      <c r="G90" s="18" t="s">
        <v>933</v>
      </c>
      <c r="H90" s="18"/>
      <c r="I90" s="18"/>
      <c r="J90" s="18"/>
      <c r="K90" s="18"/>
      <c r="L90" s="18"/>
      <c r="M90" s="18"/>
      <c r="N90" s="18"/>
    </row>
    <row r="91" ht="16.5" customHeight="1" spans="6:14">
      <c r="F91" s="12" t="s">
        <v>934</v>
      </c>
      <c r="G91" s="18" t="s">
        <v>935</v>
      </c>
      <c r="H91" s="18"/>
      <c r="I91" s="18"/>
      <c r="J91" s="18"/>
      <c r="K91" s="18"/>
      <c r="L91" s="18"/>
      <c r="M91" s="18"/>
      <c r="N91" s="18"/>
    </row>
    <row r="92" ht="16.5" customHeight="1" spans="6:14">
      <c r="F92" s="12" t="s">
        <v>936</v>
      </c>
      <c r="G92" s="18" t="s">
        <v>937</v>
      </c>
      <c r="H92" s="18"/>
      <c r="I92" s="18"/>
      <c r="J92" s="18"/>
      <c r="K92" s="18"/>
      <c r="L92" s="18"/>
      <c r="M92" s="18"/>
      <c r="N92" s="18"/>
    </row>
    <row r="93" ht="16.5" customHeight="1" spans="6:14">
      <c r="F93" s="12" t="s">
        <v>938</v>
      </c>
      <c r="G93" s="18" t="s">
        <v>939</v>
      </c>
      <c r="H93" s="18"/>
      <c r="I93" s="18"/>
      <c r="J93" s="18"/>
      <c r="K93" s="18"/>
      <c r="L93" s="18"/>
      <c r="M93" s="18"/>
      <c r="N93" s="18"/>
    </row>
    <row r="94" ht="16.5" customHeight="1" spans="6:14">
      <c r="F94" s="12" t="s">
        <v>940</v>
      </c>
      <c r="G94" s="18" t="s">
        <v>941</v>
      </c>
      <c r="H94" s="18"/>
      <c r="I94" s="18"/>
      <c r="J94" s="18"/>
      <c r="K94" s="18"/>
      <c r="L94" s="18"/>
      <c r="M94" s="18"/>
      <c r="N94" s="18"/>
    </row>
    <row r="95" ht="16.5" customHeight="1" spans="6:14">
      <c r="F95" s="12" t="s">
        <v>942</v>
      </c>
      <c r="G95" s="18" t="s">
        <v>943</v>
      </c>
      <c r="H95" s="18"/>
      <c r="I95" s="18"/>
      <c r="J95" s="18"/>
      <c r="K95" s="18"/>
      <c r="L95" s="18"/>
      <c r="M95" s="18"/>
      <c r="N95" s="18"/>
    </row>
    <row r="96" ht="16.5" customHeight="1" spans="6:14">
      <c r="F96" s="12" t="s">
        <v>944</v>
      </c>
      <c r="G96" s="18" t="s">
        <v>945</v>
      </c>
      <c r="H96" s="18"/>
      <c r="I96" s="18"/>
      <c r="J96" s="18"/>
      <c r="K96" s="18"/>
      <c r="L96" s="18"/>
      <c r="M96" s="18"/>
      <c r="N96" s="18"/>
    </row>
    <row r="97" ht="16.5" customHeight="1" spans="6:14">
      <c r="F97" s="12" t="s">
        <v>946</v>
      </c>
      <c r="G97" s="18" t="s">
        <v>947</v>
      </c>
      <c r="H97" s="18"/>
      <c r="I97" s="18"/>
      <c r="J97" s="18"/>
      <c r="K97" s="18"/>
      <c r="L97" s="18"/>
      <c r="M97" s="18"/>
      <c r="N97" s="18"/>
    </row>
    <row r="98" ht="16.5" customHeight="1" spans="6:14">
      <c r="F98" s="12" t="s">
        <v>948</v>
      </c>
      <c r="G98" s="18" t="s">
        <v>949</v>
      </c>
      <c r="H98" s="18"/>
      <c r="I98" s="18"/>
      <c r="J98" s="18"/>
      <c r="K98" s="18"/>
      <c r="L98" s="18"/>
      <c r="M98" s="18"/>
      <c r="N98" s="18"/>
    </row>
    <row r="99" ht="16.5" customHeight="1" spans="6:14">
      <c r="F99" s="12" t="s">
        <v>950</v>
      </c>
      <c r="G99" s="18" t="s">
        <v>951</v>
      </c>
      <c r="H99" s="18"/>
      <c r="I99" s="18"/>
      <c r="J99" s="18"/>
      <c r="K99" s="18"/>
      <c r="L99" s="18"/>
      <c r="M99" s="18"/>
      <c r="N99" s="18"/>
    </row>
    <row r="100" ht="16.5" customHeight="1" spans="6:14">
      <c r="F100" s="18"/>
      <c r="G100" s="18"/>
      <c r="H100" s="18"/>
      <c r="I100" s="18"/>
      <c r="J100" s="18"/>
      <c r="K100" s="18"/>
      <c r="L100" s="18"/>
      <c r="M100" s="18"/>
      <c r="N100" s="18"/>
    </row>
  </sheetData>
  <conditionalFormatting sqref="J5">
    <cfRule type="duplicateValues" dxfId="0" priority="7"/>
  </conditionalFormatting>
  <conditionalFormatting sqref="L5">
    <cfRule type="duplicateValues" dxfId="0" priority="23"/>
  </conditionalFormatting>
  <conditionalFormatting sqref="O5">
    <cfRule type="duplicateValues" dxfId="0" priority="18"/>
  </conditionalFormatting>
  <conditionalFormatting sqref="J6">
    <cfRule type="duplicateValues" dxfId="0" priority="8"/>
  </conditionalFormatting>
  <conditionalFormatting sqref="L6">
    <cfRule type="duplicateValues" dxfId="0" priority="26"/>
  </conditionalFormatting>
  <conditionalFormatting sqref="O6">
    <cfRule type="duplicateValues" dxfId="0" priority="19"/>
  </conditionalFormatting>
  <conditionalFormatting sqref="O7">
    <cfRule type="duplicateValues" dxfId="0" priority="17"/>
  </conditionalFormatting>
  <conditionalFormatting sqref="O8">
    <cfRule type="duplicateValues" dxfId="0" priority="15"/>
  </conditionalFormatting>
  <conditionalFormatting sqref="J9">
    <cfRule type="duplicateValues" dxfId="0" priority="4"/>
  </conditionalFormatting>
  <conditionalFormatting sqref="L10">
    <cfRule type="duplicateValues" dxfId="0" priority="21"/>
  </conditionalFormatting>
  <conditionalFormatting sqref="L15">
    <cfRule type="duplicateValues" dxfId="0" priority="24"/>
  </conditionalFormatting>
  <conditionalFormatting sqref="O18">
    <cfRule type="duplicateValues" dxfId="0" priority="12"/>
  </conditionalFormatting>
  <conditionalFormatting sqref="O19">
    <cfRule type="duplicateValues" dxfId="0" priority="13"/>
  </conditionalFormatting>
  <conditionalFormatting sqref="J2:J4">
    <cfRule type="duplicateValues" dxfId="0" priority="9"/>
  </conditionalFormatting>
  <conditionalFormatting sqref="L2:L4">
    <cfRule type="duplicateValues" dxfId="0" priority="27"/>
  </conditionalFormatting>
  <conditionalFormatting sqref="L7:L9">
    <cfRule type="duplicateValues" dxfId="0" priority="22"/>
  </conditionalFormatting>
  <conditionalFormatting sqref="O2:O4">
    <cfRule type="duplicateValues" dxfId="0" priority="20"/>
  </conditionalFormatting>
  <conditionalFormatting sqref="O9:O12">
    <cfRule type="duplicateValues" dxfId="0" priority="14"/>
  </conditionalFormatting>
  <conditionalFormatting sqref="O13:O17">
    <cfRule type="duplicateValues" dxfId="0" priority="16"/>
  </conditionalFormatting>
  <conditionalFormatting sqref="O20:O22">
    <cfRule type="duplicateValues" dxfId="0" priority="11"/>
  </conditionalFormatting>
  <conditionalFormatting sqref="O23:O24">
    <cfRule type="duplicateValues" dxfId="0" priority="1"/>
  </conditionalFormatting>
  <conditionalFormatting sqref="H3:I17">
    <cfRule type="duplicateValues" dxfId="0" priority="3"/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:S713"/>
  <sheetViews>
    <sheetView workbookViewId="0">
      <selection activeCell="N24" sqref="N5:O24"/>
    </sheetView>
  </sheetViews>
  <sheetFormatPr defaultColWidth="9" defaultRowHeight="17.4"/>
  <cols>
    <col min="12" max="12" width="17.5" customWidth="1"/>
    <col min="13" max="13" width="10.8333333333333" style="1" customWidth="1"/>
    <col min="14" max="14" width="17.125" customWidth="1"/>
  </cols>
  <sheetData>
    <row r="1" spans="12:19">
      <c r="M1" s="2" t="s">
        <v>5</v>
      </c>
    </row>
    <row r="2" spans="12:19">
      <c r="M2" s="2"/>
    </row>
    <row r="3" spans="12:19">
      <c r="M3" s="2" t="s">
        <v>121</v>
      </c>
    </row>
    <row r="4" spans="12:19">
      <c r="M4" s="2" t="s">
        <v>138</v>
      </c>
    </row>
    <row r="5" spans="12:19">
      <c r="L5" s="3" t="s">
        <v>967</v>
      </c>
      <c r="M5" s="1" t="s">
        <v>349</v>
      </c>
      <c r="N5" t="str">
        <f t="shared" ref="N5:N24" si="0">L5&amp;M5</f>
        <v>参数_系别剑道</v>
      </c>
      <c r="O5" s="4" t="s">
        <v>968</v>
      </c>
      <c r="S5" s="4" t="s">
        <v>968</v>
      </c>
    </row>
    <row r="6" spans="12:19">
      <c r="L6" s="3" t="s">
        <v>967</v>
      </c>
      <c r="M6" s="1" t="s">
        <v>362</v>
      </c>
      <c r="N6" t="str">
        <f t="shared" si="0"/>
        <v>参数_系别炼体</v>
      </c>
      <c r="O6" s="4" t="s">
        <v>969</v>
      </c>
      <c r="S6" s="4" t="s">
        <v>970</v>
      </c>
    </row>
    <row r="7" spans="12:19">
      <c r="L7" s="3" t="s">
        <v>967</v>
      </c>
      <c r="M7" s="5" t="s">
        <v>378</v>
      </c>
      <c r="N7" t="str">
        <f t="shared" si="0"/>
        <v>参数_系别金行</v>
      </c>
      <c r="O7" s="4" t="s">
        <v>971</v>
      </c>
      <c r="S7" s="4" t="s">
        <v>972</v>
      </c>
    </row>
    <row r="8" spans="12:19">
      <c r="L8" s="3" t="s">
        <v>967</v>
      </c>
      <c r="M8" s="5" t="s">
        <v>385</v>
      </c>
      <c r="N8" t="str">
        <f t="shared" si="0"/>
        <v>参数_系别木行</v>
      </c>
      <c r="O8" s="4" t="s">
        <v>971</v>
      </c>
      <c r="S8" s="4" t="s">
        <v>973</v>
      </c>
    </row>
    <row r="9" spans="12:19">
      <c r="L9" s="3" t="s">
        <v>967</v>
      </c>
      <c r="M9" s="5" t="s">
        <v>388</v>
      </c>
      <c r="N9" t="str">
        <f t="shared" si="0"/>
        <v>参数_系别水行</v>
      </c>
      <c r="O9" s="4" t="s">
        <v>971</v>
      </c>
      <c r="S9" s="4" t="s">
        <v>974</v>
      </c>
    </row>
    <row r="10" spans="12:19">
      <c r="L10" s="3" t="s">
        <v>967</v>
      </c>
      <c r="M10" s="5" t="s">
        <v>391</v>
      </c>
      <c r="N10" t="str">
        <f t="shared" si="0"/>
        <v>参数_系别火行</v>
      </c>
      <c r="O10" s="4" t="s">
        <v>971</v>
      </c>
      <c r="S10" s="4" t="s">
        <v>975</v>
      </c>
    </row>
    <row r="11" spans="12:19">
      <c r="L11" s="3" t="s">
        <v>967</v>
      </c>
      <c r="M11" s="5" t="s">
        <v>394</v>
      </c>
      <c r="N11" t="str">
        <f t="shared" si="0"/>
        <v>参数_系别土行</v>
      </c>
      <c r="O11" s="4" t="s">
        <v>971</v>
      </c>
      <c r="S11" s="4" t="s">
        <v>976</v>
      </c>
    </row>
    <row r="12" spans="12:19">
      <c r="L12" s="3" t="s">
        <v>967</v>
      </c>
      <c r="M12" s="5" t="s">
        <v>397</v>
      </c>
      <c r="N12" t="str">
        <f t="shared" si="0"/>
        <v>参数_系别术法</v>
      </c>
      <c r="O12" s="4" t="s">
        <v>977</v>
      </c>
      <c r="S12" s="4" t="s">
        <v>971</v>
      </c>
    </row>
    <row r="13" spans="12:19">
      <c r="L13" s="3" t="s">
        <v>967</v>
      </c>
      <c r="M13" s="1" t="s">
        <v>446</v>
      </c>
      <c r="N13" t="str">
        <f t="shared" si="0"/>
        <v>参数_系别灵植</v>
      </c>
      <c r="O13" s="4" t="s">
        <v>970</v>
      </c>
      <c r="S13" s="4" t="s">
        <v>978</v>
      </c>
    </row>
    <row r="14" spans="12:19">
      <c r="L14" s="3" t="s">
        <v>967</v>
      </c>
      <c r="M14" s="1" t="s">
        <v>451</v>
      </c>
      <c r="N14" t="str">
        <f t="shared" si="0"/>
        <v>参数_系别灵材</v>
      </c>
      <c r="O14" s="4" t="s">
        <v>972</v>
      </c>
      <c r="S14" s="4" t="s">
        <v>979</v>
      </c>
    </row>
    <row r="15" spans="12:19">
      <c r="L15" s="3" t="s">
        <v>967</v>
      </c>
      <c r="M15" s="1" t="s">
        <v>454</v>
      </c>
      <c r="N15" t="str">
        <f t="shared" si="0"/>
        <v>参数_系别炼丹</v>
      </c>
      <c r="O15" s="4" t="s">
        <v>973</v>
      </c>
      <c r="S15" s="4" t="s">
        <v>980</v>
      </c>
    </row>
    <row r="16" spans="12:19">
      <c r="L16" s="3" t="s">
        <v>967</v>
      </c>
      <c r="M16" s="1" t="s">
        <v>457</v>
      </c>
      <c r="N16" t="str">
        <f t="shared" si="0"/>
        <v>参数_系别炼器</v>
      </c>
      <c r="O16" s="4" t="s">
        <v>974</v>
      </c>
      <c r="S16" s="4" t="s">
        <v>981</v>
      </c>
    </row>
    <row r="17" spans="12:19">
      <c r="L17" s="3" t="s">
        <v>967</v>
      </c>
      <c r="M17" s="1" t="s">
        <v>460</v>
      </c>
      <c r="N17" t="str">
        <f t="shared" si="0"/>
        <v>参数_系别符箓</v>
      </c>
      <c r="O17" s="4" t="s">
        <v>975</v>
      </c>
      <c r="S17" s="4" t="s">
        <v>977</v>
      </c>
    </row>
    <row r="18" spans="12:19">
      <c r="L18" s="3" t="s">
        <v>967</v>
      </c>
      <c r="M18" s="1" t="s">
        <v>463</v>
      </c>
      <c r="N18" t="str">
        <f t="shared" si="0"/>
        <v>参数_系别阵法</v>
      </c>
      <c r="O18" s="4" t="s">
        <v>976</v>
      </c>
      <c r="S18" s="4" t="s">
        <v>969</v>
      </c>
    </row>
    <row r="19" spans="12:19">
      <c r="L19" s="3" t="s">
        <v>967</v>
      </c>
      <c r="M19" s="1" t="s">
        <v>466</v>
      </c>
      <c r="N19" t="str">
        <f t="shared" si="0"/>
        <v>参数_系别御兽</v>
      </c>
      <c r="O19" s="4" t="s">
        <v>978</v>
      </c>
    </row>
    <row r="20" spans="12:19">
      <c r="L20" s="3" t="s">
        <v>967</v>
      </c>
      <c r="M20" s="1" t="s">
        <v>470</v>
      </c>
      <c r="N20" t="str">
        <f t="shared" si="0"/>
        <v>参数_系别修炼</v>
      </c>
      <c r="O20" s="4" t="s">
        <v>979</v>
      </c>
    </row>
    <row r="21" spans="12:19">
      <c r="L21" s="3" t="s">
        <v>967</v>
      </c>
      <c r="M21" s="1" t="s">
        <v>489</v>
      </c>
      <c r="N21" t="str">
        <f t="shared" si="0"/>
        <v>参数_系别破境</v>
      </c>
      <c r="O21" s="4" t="s">
        <v>980</v>
      </c>
    </row>
    <row r="22" spans="12:19">
      <c r="L22" s="3" t="s">
        <v>967</v>
      </c>
      <c r="M22" s="1" t="s">
        <v>492</v>
      </c>
      <c r="N22" t="str">
        <f t="shared" si="0"/>
        <v>参数_系别神识</v>
      </c>
      <c r="O22" s="4" t="s">
        <v>981</v>
      </c>
    </row>
    <row r="23" spans="12:19">
      <c r="L23" s="3" t="s">
        <v>967</v>
      </c>
      <c r="M23" s="1" t="s">
        <v>516</v>
      </c>
      <c r="N23" t="str">
        <f t="shared" si="0"/>
        <v>参数_系别五行</v>
      </c>
      <c r="O23" s="4" t="s">
        <v>971</v>
      </c>
    </row>
    <row r="24" spans="12:19">
      <c r="L24" s="3" t="s">
        <v>967</v>
      </c>
      <c r="M24" s="1" t="s">
        <v>495</v>
      </c>
      <c r="N24" t="str">
        <f t="shared" si="0"/>
        <v>参数_系别神通</v>
      </c>
      <c r="O24">
        <v>19</v>
      </c>
    </row>
    <row r="25" ht="15.6" spans="12:19">
      <c r="M25"/>
    </row>
    <row r="26" ht="15.6" spans="12:19">
      <c r="M26"/>
    </row>
    <row r="27" ht="15.6" spans="12:19">
      <c r="M27"/>
    </row>
    <row r="28" ht="15.6" spans="12:19">
      <c r="M28"/>
    </row>
    <row r="29" ht="15.6" spans="12:19">
      <c r="M29"/>
    </row>
    <row r="30" ht="15.6" spans="12:19">
      <c r="M30"/>
    </row>
    <row r="31" ht="15.6" spans="12:19">
      <c r="M31"/>
    </row>
    <row r="32" ht="15.6" spans="12:19">
      <c r="M32"/>
    </row>
    <row r="33" ht="15.6" spans="13:13">
      <c r="M33"/>
    </row>
    <row r="34" ht="15.6" spans="13:13">
      <c r="M34"/>
    </row>
    <row r="35" ht="15.6" spans="13:13">
      <c r="M35"/>
    </row>
    <row r="36" ht="15.6" spans="13:13">
      <c r="M36"/>
    </row>
    <row r="37" ht="15.6" spans="13:13">
      <c r="M37"/>
    </row>
    <row r="38" ht="15.6" spans="13:13">
      <c r="M38"/>
    </row>
    <row r="39" ht="15.6" spans="13:13">
      <c r="M39"/>
    </row>
    <row r="40" ht="15.6" spans="13:13">
      <c r="M40"/>
    </row>
    <row r="41" ht="15.6" spans="13:13">
      <c r="M41"/>
    </row>
    <row r="42" ht="15.6" spans="13:13">
      <c r="M42"/>
    </row>
    <row r="43" ht="15.6" spans="13:13">
      <c r="M43"/>
    </row>
    <row r="44" ht="15.6" spans="13:13">
      <c r="M44"/>
    </row>
    <row r="45" ht="15.6" spans="13:13">
      <c r="M45"/>
    </row>
    <row r="46" ht="15.6" spans="13:13">
      <c r="M46"/>
    </row>
    <row r="47" ht="15.6" spans="13:13">
      <c r="M47"/>
    </row>
    <row r="48" ht="15.6" spans="13:13">
      <c r="M48"/>
    </row>
    <row r="49" ht="15.6" spans="13:13">
      <c r="M49"/>
    </row>
    <row r="50" ht="15.6" spans="13:13">
      <c r="M50"/>
    </row>
    <row r="51" ht="15.6" spans="13:13">
      <c r="M51"/>
    </row>
    <row r="52" ht="15.6" spans="13:13">
      <c r="M52"/>
    </row>
    <row r="53" ht="15.6" spans="13:13">
      <c r="M53"/>
    </row>
    <row r="54" ht="15.6" spans="13:13">
      <c r="M54"/>
    </row>
    <row r="55" ht="15.6" spans="13:13">
      <c r="M55"/>
    </row>
    <row r="56" ht="15.6" spans="13:13">
      <c r="M56"/>
    </row>
    <row r="57" ht="15.6" spans="13:13">
      <c r="M57"/>
    </row>
    <row r="58" ht="15.6" spans="13:13">
      <c r="M58"/>
    </row>
    <row r="59" ht="15.6" spans="13:13">
      <c r="M59"/>
    </row>
    <row r="60" ht="15.6" spans="13:13">
      <c r="M60"/>
    </row>
    <row r="61" ht="15.6" spans="13:13">
      <c r="M61"/>
    </row>
    <row r="62" ht="15.6" spans="13:13">
      <c r="M62"/>
    </row>
    <row r="63" ht="15.6" spans="13:13">
      <c r="M63"/>
    </row>
    <row r="64" ht="15.6" spans="13:13">
      <c r="M64"/>
    </row>
    <row r="65" ht="15.6" spans="13:13">
      <c r="M65"/>
    </row>
    <row r="66" ht="15.6" spans="13:13">
      <c r="M66"/>
    </row>
    <row r="67" ht="15.6" spans="13:13">
      <c r="M67"/>
    </row>
    <row r="68" ht="15.6" spans="13:13">
      <c r="M68"/>
    </row>
    <row r="69" ht="15.6" spans="13:13">
      <c r="M69"/>
    </row>
    <row r="70" ht="15.6" spans="13:13">
      <c r="M70"/>
    </row>
    <row r="71" ht="15.6" spans="13:13">
      <c r="M71"/>
    </row>
    <row r="72" ht="15.6" spans="13:13">
      <c r="M72"/>
    </row>
    <row r="73" ht="15.6" spans="13:13">
      <c r="M73"/>
    </row>
    <row r="74" ht="15.6" spans="13:13">
      <c r="M74"/>
    </row>
    <row r="75" ht="15.6" spans="13:13">
      <c r="M75"/>
    </row>
    <row r="76" ht="15.6" spans="13:13">
      <c r="M76"/>
    </row>
    <row r="77" ht="15.6" spans="13:13">
      <c r="M77"/>
    </row>
    <row r="78" ht="15.6" spans="13:13">
      <c r="M78"/>
    </row>
    <row r="79" ht="15.6" spans="13:13">
      <c r="M79"/>
    </row>
    <row r="80" ht="15.6" spans="13:13">
      <c r="M80"/>
    </row>
    <row r="81" ht="15.6" spans="13:13">
      <c r="M81"/>
    </row>
    <row r="82" ht="15.6" spans="13:13">
      <c r="M82"/>
    </row>
    <row r="83" ht="15.6" spans="13:13">
      <c r="M83"/>
    </row>
    <row r="84" ht="15.6" spans="13:13">
      <c r="M84"/>
    </row>
    <row r="85" ht="15.6" spans="13:13">
      <c r="M85"/>
    </row>
    <row r="86" ht="15.6" spans="13:13">
      <c r="M86"/>
    </row>
    <row r="87" ht="15.6" spans="13:13">
      <c r="M87"/>
    </row>
    <row r="88" ht="15.6" spans="13:13">
      <c r="M88"/>
    </row>
    <row r="89" ht="15.6" spans="13:13">
      <c r="M89"/>
    </row>
    <row r="90" ht="15.6" spans="13:13">
      <c r="M90"/>
    </row>
    <row r="91" ht="15.6" spans="13:13">
      <c r="M91"/>
    </row>
    <row r="92" ht="15.6" spans="13:13">
      <c r="M92"/>
    </row>
    <row r="93" ht="15.6" spans="13:13">
      <c r="M93"/>
    </row>
    <row r="94" ht="15.6" spans="13:13">
      <c r="M94"/>
    </row>
    <row r="95" ht="15.6" spans="13:13">
      <c r="M95"/>
    </row>
    <row r="96" ht="15.6" spans="13:13">
      <c r="M96"/>
    </row>
    <row r="97" ht="15.6" spans="13:13">
      <c r="M97"/>
    </row>
    <row r="98" ht="15.6" spans="13:13">
      <c r="M98"/>
    </row>
    <row r="99" ht="15.6" spans="13:13">
      <c r="M99"/>
    </row>
    <row r="100" ht="15.6" spans="13:13">
      <c r="M100"/>
    </row>
    <row r="101" ht="15.6" spans="13:13">
      <c r="M101"/>
    </row>
    <row r="102" ht="15.6" spans="13:13">
      <c r="M102"/>
    </row>
    <row r="103" ht="15.6" spans="13:13">
      <c r="M103"/>
    </row>
    <row r="104" ht="15.6" spans="13:13">
      <c r="M104"/>
    </row>
    <row r="105" ht="15.6" spans="13:13">
      <c r="M105"/>
    </row>
    <row r="106" ht="15.6" spans="13:13">
      <c r="M106"/>
    </row>
    <row r="107" ht="15.6" spans="13:13">
      <c r="M107"/>
    </row>
    <row r="108" ht="15.6" spans="13:13">
      <c r="M108"/>
    </row>
    <row r="109" ht="15.6" spans="13:13">
      <c r="M109"/>
    </row>
    <row r="110" ht="15.6" spans="13:13">
      <c r="M110"/>
    </row>
    <row r="111" ht="15.6" spans="13:13">
      <c r="M111"/>
    </row>
    <row r="112" ht="15.6" spans="13:13">
      <c r="M112"/>
    </row>
    <row r="113" ht="15.6" spans="13:13">
      <c r="M113"/>
    </row>
    <row r="114" ht="15.6" spans="13:13">
      <c r="M114"/>
    </row>
    <row r="115" ht="15.6" spans="13:13">
      <c r="M115"/>
    </row>
    <row r="116" ht="15.6" spans="13:13">
      <c r="M116"/>
    </row>
    <row r="117" ht="15.6" spans="13:13">
      <c r="M117"/>
    </row>
    <row r="118" ht="15.6" spans="13:13">
      <c r="M118"/>
    </row>
    <row r="119" ht="15.6" spans="13:13">
      <c r="M119"/>
    </row>
    <row r="120" ht="15.6" spans="13:13">
      <c r="M120"/>
    </row>
    <row r="121" ht="15.6" spans="13:13">
      <c r="M121"/>
    </row>
    <row r="122" ht="15.6" spans="13:13">
      <c r="M122"/>
    </row>
    <row r="123" ht="15.6" spans="13:13">
      <c r="M123"/>
    </row>
    <row r="124" ht="15.6" spans="13:13">
      <c r="M124"/>
    </row>
    <row r="125" ht="15.6" spans="13:13">
      <c r="M125"/>
    </row>
    <row r="126" ht="15.6" spans="13:13">
      <c r="M126"/>
    </row>
    <row r="127" ht="15.6" spans="13:13">
      <c r="M127"/>
    </row>
    <row r="128" ht="15.6" spans="13:13">
      <c r="M128"/>
    </row>
    <row r="129" ht="15.6" spans="13:13">
      <c r="M129"/>
    </row>
    <row r="130" ht="15.6" spans="13:13">
      <c r="M130"/>
    </row>
    <row r="131" ht="15.6" spans="13:13">
      <c r="M131"/>
    </row>
    <row r="132" ht="15.6" spans="13:13">
      <c r="M132"/>
    </row>
    <row r="133" ht="15.6" spans="13:13">
      <c r="M133"/>
    </row>
    <row r="134" ht="15.6" spans="13:13">
      <c r="M134"/>
    </row>
    <row r="135" ht="15.6" spans="13:13">
      <c r="M135"/>
    </row>
    <row r="136" ht="15.6" spans="13:13">
      <c r="M136"/>
    </row>
    <row r="137" ht="15.6" spans="13:13">
      <c r="M137"/>
    </row>
    <row r="138" ht="15.6" spans="13:13">
      <c r="M138"/>
    </row>
    <row r="139" ht="15.6" spans="13:13">
      <c r="M139"/>
    </row>
    <row r="140" ht="15.6" spans="13:13">
      <c r="M140"/>
    </row>
    <row r="141" ht="15.6" spans="13:13">
      <c r="M141"/>
    </row>
    <row r="142" ht="15.6" spans="13:13">
      <c r="M142"/>
    </row>
    <row r="143" ht="15.6" spans="13:13">
      <c r="M143"/>
    </row>
    <row r="144" ht="15.6" spans="13:13">
      <c r="M144"/>
    </row>
    <row r="145" ht="15.6" spans="13:13">
      <c r="M145"/>
    </row>
    <row r="146" ht="15.6" spans="13:13">
      <c r="M146"/>
    </row>
    <row r="147" ht="15.6" spans="13:13">
      <c r="M147"/>
    </row>
    <row r="148" ht="15.6" spans="13:13">
      <c r="M148"/>
    </row>
    <row r="149" ht="15.6" spans="13:13">
      <c r="M149"/>
    </row>
    <row r="150" ht="15.6" spans="13:13">
      <c r="M150"/>
    </row>
    <row r="151" ht="15.6" spans="13:13">
      <c r="M151"/>
    </row>
    <row r="152" ht="15.6" spans="13:13">
      <c r="M152"/>
    </row>
    <row r="153" ht="15.6" spans="13:13">
      <c r="M153"/>
    </row>
    <row r="154" ht="15.6" spans="13:13">
      <c r="M154"/>
    </row>
    <row r="155" ht="15.6" spans="13:13">
      <c r="M155"/>
    </row>
    <row r="156" ht="15.6" spans="13:13">
      <c r="M156"/>
    </row>
    <row r="157" ht="15.6" spans="13:13">
      <c r="M157"/>
    </row>
    <row r="158" ht="15.6" spans="13:13">
      <c r="M158"/>
    </row>
    <row r="159" ht="15.6" spans="13:13">
      <c r="M159"/>
    </row>
    <row r="160" ht="15.6" spans="13:13">
      <c r="M160"/>
    </row>
    <row r="161" ht="15.6" spans="13:13">
      <c r="M161"/>
    </row>
    <row r="162" ht="15.6" spans="13:13">
      <c r="M162"/>
    </row>
    <row r="163" ht="15.6" spans="13:13">
      <c r="M163"/>
    </row>
    <row r="164" ht="15.6" spans="13:13">
      <c r="M164"/>
    </row>
    <row r="165" ht="15.6" spans="13:13">
      <c r="M165"/>
    </row>
    <row r="166" ht="15.6" spans="13:13">
      <c r="M166"/>
    </row>
    <row r="167" ht="15.6" spans="13:13">
      <c r="M167"/>
    </row>
    <row r="168" ht="15.6" spans="13:13">
      <c r="M168"/>
    </row>
    <row r="169" ht="15.6" spans="13:13">
      <c r="M169"/>
    </row>
    <row r="170" ht="15.6" spans="13:13">
      <c r="M170"/>
    </row>
    <row r="171" ht="15.6" spans="13:13">
      <c r="M171"/>
    </row>
    <row r="172" ht="15.6" spans="13:13">
      <c r="M172"/>
    </row>
    <row r="173" ht="15.6" spans="13:13">
      <c r="M173"/>
    </row>
    <row r="174" ht="15.6" spans="13:13">
      <c r="M174"/>
    </row>
    <row r="175" ht="15.6" spans="13:13">
      <c r="M175"/>
    </row>
    <row r="176" ht="15.6" spans="13:13">
      <c r="M176"/>
    </row>
    <row r="177" ht="15.6" spans="13:13">
      <c r="M177"/>
    </row>
    <row r="178" ht="15.6" spans="13:13">
      <c r="M178"/>
    </row>
    <row r="179" ht="15.6" spans="13:13">
      <c r="M179"/>
    </row>
    <row r="180" ht="15.6" spans="13:13">
      <c r="M180"/>
    </row>
    <row r="181" ht="15.6" spans="13:13">
      <c r="M181"/>
    </row>
    <row r="182" ht="15.6" spans="13:13">
      <c r="M182"/>
    </row>
    <row r="183" ht="15.6" spans="13:13">
      <c r="M183"/>
    </row>
    <row r="184" ht="15.6" spans="13:13">
      <c r="M184"/>
    </row>
    <row r="185" ht="15.6" spans="13:13">
      <c r="M185"/>
    </row>
    <row r="186" ht="15.6" spans="13:13">
      <c r="M186"/>
    </row>
    <row r="187" ht="15.6" spans="13:13">
      <c r="M187"/>
    </row>
    <row r="188" ht="15.6" spans="13:13">
      <c r="M188"/>
    </row>
    <row r="189" ht="15.6" spans="13:13">
      <c r="M189"/>
    </row>
    <row r="190" ht="15.6" spans="13:13">
      <c r="M190"/>
    </row>
    <row r="191" ht="15.6" spans="13:13">
      <c r="M191"/>
    </row>
    <row r="192" ht="15.6" spans="13:13">
      <c r="M192"/>
    </row>
    <row r="193" ht="15.6" spans="13:13">
      <c r="M193"/>
    </row>
    <row r="194" ht="15.6" spans="13:13">
      <c r="M194"/>
    </row>
    <row r="195" ht="15.6" spans="13:13">
      <c r="M195"/>
    </row>
    <row r="196" ht="15.6" spans="13:13">
      <c r="M196"/>
    </row>
    <row r="197" ht="15.6" spans="13:13">
      <c r="M197"/>
    </row>
    <row r="198" ht="15.6" spans="13:13">
      <c r="M198"/>
    </row>
    <row r="199" ht="15.6" spans="13:13">
      <c r="M199"/>
    </row>
    <row r="200" ht="15.6" spans="13:13">
      <c r="M200"/>
    </row>
    <row r="201" ht="15.6" spans="13:13">
      <c r="M201"/>
    </row>
    <row r="202" ht="15.6" spans="13:13">
      <c r="M202"/>
    </row>
    <row r="203" ht="15.6" spans="13:13">
      <c r="M203"/>
    </row>
    <row r="204" ht="15.6" spans="13:13">
      <c r="M204"/>
    </row>
    <row r="205" ht="15.6" spans="13:13">
      <c r="M205"/>
    </row>
    <row r="206" ht="15.6" spans="13:13">
      <c r="M206"/>
    </row>
    <row r="207" ht="15.6" spans="13:13">
      <c r="M207"/>
    </row>
    <row r="208" ht="15.6" spans="13:13">
      <c r="M208"/>
    </row>
    <row r="209" ht="15.6" spans="13:13">
      <c r="M209"/>
    </row>
    <row r="210" ht="15.6" spans="13:13">
      <c r="M210"/>
    </row>
    <row r="211" ht="15.6" spans="13:13">
      <c r="M211"/>
    </row>
    <row r="212" ht="15.6" spans="13:13">
      <c r="M212"/>
    </row>
    <row r="213" ht="15.6" spans="13:13">
      <c r="M213"/>
    </row>
    <row r="214" ht="15.6" spans="13:13">
      <c r="M214"/>
    </row>
    <row r="215" ht="15.6" spans="13:13">
      <c r="M215"/>
    </row>
    <row r="216" ht="15.6" spans="13:13">
      <c r="M216"/>
    </row>
    <row r="217" ht="15.6" spans="13:13">
      <c r="M217"/>
    </row>
    <row r="218" ht="15.6" spans="13:13">
      <c r="M218"/>
    </row>
    <row r="219" ht="15.6" spans="13:13">
      <c r="M219"/>
    </row>
    <row r="220" ht="15.6" spans="13:13">
      <c r="M220"/>
    </row>
    <row r="221" ht="15.6" spans="13:13">
      <c r="M221"/>
    </row>
    <row r="222" ht="15.6" spans="13:13">
      <c r="M222"/>
    </row>
    <row r="223" ht="15.6" spans="13:13">
      <c r="M223"/>
    </row>
    <row r="224" ht="15.6" spans="13:13">
      <c r="M224"/>
    </row>
    <row r="225" ht="15.6" spans="13:13">
      <c r="M225"/>
    </row>
    <row r="226" ht="15.6" spans="13:13">
      <c r="M226"/>
    </row>
    <row r="227" ht="15.6" spans="13:13">
      <c r="M227"/>
    </row>
    <row r="228" ht="15.6" spans="13:13">
      <c r="M228"/>
    </row>
    <row r="229" ht="15.6" spans="13:13">
      <c r="M229"/>
    </row>
    <row r="230" ht="15.6" spans="13:13">
      <c r="M230"/>
    </row>
    <row r="231" ht="15.6" spans="13:13">
      <c r="M231"/>
    </row>
    <row r="232" ht="15.6" spans="13:13">
      <c r="M232"/>
    </row>
    <row r="233" ht="15.6" spans="13:13">
      <c r="M233"/>
    </row>
    <row r="234" ht="15.6" spans="13:13">
      <c r="M234"/>
    </row>
    <row r="235" ht="15.6" spans="13:13">
      <c r="M235"/>
    </row>
    <row r="236" ht="15.6" spans="13:13">
      <c r="M236"/>
    </row>
    <row r="237" ht="15.6" spans="13:13">
      <c r="M237"/>
    </row>
    <row r="238" ht="15.6" spans="13:13">
      <c r="M238"/>
    </row>
    <row r="239" ht="15.6" spans="13:13">
      <c r="M239"/>
    </row>
    <row r="240" ht="15.6" spans="13:13">
      <c r="M240"/>
    </row>
    <row r="241" ht="15.6" spans="13:13">
      <c r="M241"/>
    </row>
    <row r="242" ht="15.6" spans="13:13">
      <c r="M242"/>
    </row>
    <row r="243" ht="15.6" spans="13:13">
      <c r="M243"/>
    </row>
    <row r="244" ht="15.6" spans="13:13">
      <c r="M244"/>
    </row>
    <row r="245" ht="15.6" spans="13:13">
      <c r="M245"/>
    </row>
    <row r="246" ht="15.6" spans="13:13">
      <c r="M246"/>
    </row>
    <row r="247" ht="15.6" spans="13:13">
      <c r="M247"/>
    </row>
    <row r="248" ht="15.6" spans="13:13">
      <c r="M248"/>
    </row>
    <row r="249" ht="15.6" spans="13:13">
      <c r="M249"/>
    </row>
    <row r="250" ht="15.6" spans="13:13">
      <c r="M250"/>
    </row>
    <row r="251" ht="15.6" spans="13:13">
      <c r="M251"/>
    </row>
    <row r="252" ht="15.6" spans="13:13">
      <c r="M252"/>
    </row>
    <row r="253" ht="15.6" spans="13:13">
      <c r="M253"/>
    </row>
    <row r="254" ht="15.6" spans="13:13">
      <c r="M254"/>
    </row>
    <row r="255" ht="15.6" spans="13:13">
      <c r="M255"/>
    </row>
    <row r="256" ht="15.6" spans="13:13">
      <c r="M256"/>
    </row>
    <row r="257" ht="15.6" spans="13:13">
      <c r="M257"/>
    </row>
    <row r="258" ht="15.6" spans="13:13">
      <c r="M258"/>
    </row>
    <row r="259" ht="15.6" spans="13:13">
      <c r="M259"/>
    </row>
    <row r="260" ht="15.6" spans="13:13">
      <c r="M260"/>
    </row>
    <row r="261" ht="15.6" spans="13:13">
      <c r="M261"/>
    </row>
    <row r="262" ht="15.6" spans="13:13">
      <c r="M262"/>
    </row>
    <row r="263" ht="15.6" spans="13:13">
      <c r="M263"/>
    </row>
    <row r="264" ht="15.6" spans="13:13">
      <c r="M264"/>
    </row>
    <row r="265" ht="15.6" spans="13:13">
      <c r="M265"/>
    </row>
    <row r="266" ht="15.6" spans="13:13">
      <c r="M266"/>
    </row>
    <row r="267" ht="15.6" spans="13:13">
      <c r="M267"/>
    </row>
    <row r="268" ht="15.6" spans="13:13">
      <c r="M268"/>
    </row>
    <row r="269" ht="15.6" spans="13:13">
      <c r="M269"/>
    </row>
    <row r="270" ht="15.6" spans="13:13">
      <c r="M270"/>
    </row>
    <row r="271" ht="15.6" spans="13:13">
      <c r="M271"/>
    </row>
    <row r="272" ht="15.6" spans="13:13">
      <c r="M272"/>
    </row>
    <row r="273" ht="15.6" spans="13:13">
      <c r="M273"/>
    </row>
    <row r="274" ht="15.6" spans="13:13">
      <c r="M274"/>
    </row>
    <row r="275" ht="15.6" spans="13:13">
      <c r="M275"/>
    </row>
    <row r="276" ht="15.6" spans="13:13">
      <c r="M276"/>
    </row>
    <row r="277" ht="15.6" spans="13:13">
      <c r="M277"/>
    </row>
    <row r="278" ht="15.6" spans="13:13">
      <c r="M278"/>
    </row>
    <row r="279" ht="15.6" spans="13:13">
      <c r="M279"/>
    </row>
    <row r="280" ht="15.6" spans="13:13">
      <c r="M280"/>
    </row>
    <row r="281" ht="15.6" spans="13:13">
      <c r="M281"/>
    </row>
    <row r="282" ht="15.6" spans="13:13">
      <c r="M282"/>
    </row>
    <row r="283" ht="15.6" spans="13:13">
      <c r="M283"/>
    </row>
    <row r="284" ht="15.6" spans="13:13">
      <c r="M284"/>
    </row>
    <row r="285" ht="15.6" spans="13:13">
      <c r="M285"/>
    </row>
    <row r="286" ht="15.6" spans="13:13">
      <c r="M286"/>
    </row>
    <row r="287" ht="15.6" spans="13:13">
      <c r="M287"/>
    </row>
    <row r="288" ht="15.6" spans="13:13">
      <c r="M288"/>
    </row>
    <row r="289" ht="15.6" spans="13:13">
      <c r="M289"/>
    </row>
    <row r="290" ht="15.6" spans="13:13">
      <c r="M290"/>
    </row>
    <row r="291" ht="15.6" spans="13:13">
      <c r="M291"/>
    </row>
    <row r="292" ht="15.6" spans="13:13">
      <c r="M292"/>
    </row>
    <row r="293" ht="15.6" spans="13:13">
      <c r="M293"/>
    </row>
    <row r="294" ht="15.6" spans="13:13">
      <c r="M294"/>
    </row>
    <row r="295" ht="15.6" spans="13:13">
      <c r="M295"/>
    </row>
    <row r="296" ht="15.6" spans="13:13">
      <c r="M296"/>
    </row>
    <row r="297" ht="15.6" spans="13:13">
      <c r="M297"/>
    </row>
    <row r="298" ht="15.6" spans="13:13">
      <c r="M298"/>
    </row>
    <row r="299" ht="15.6" spans="13:13">
      <c r="M299"/>
    </row>
    <row r="300" ht="15.6" spans="13:13">
      <c r="M300"/>
    </row>
    <row r="301" ht="15.6" spans="13:13">
      <c r="M301"/>
    </row>
    <row r="302" ht="15.6" spans="13:13">
      <c r="M302"/>
    </row>
    <row r="303" ht="15.6" spans="13:13">
      <c r="M303"/>
    </row>
    <row r="304" ht="15.6" spans="13:13">
      <c r="M304"/>
    </row>
    <row r="305" ht="15.6" spans="13:13">
      <c r="M305"/>
    </row>
    <row r="306" ht="15.6" spans="13:13">
      <c r="M306"/>
    </row>
    <row r="307" ht="15.6" spans="13:13">
      <c r="M307"/>
    </row>
    <row r="308" ht="15.6" spans="13:13">
      <c r="M308"/>
    </row>
    <row r="309" ht="15.6" spans="13:13">
      <c r="M309"/>
    </row>
    <row r="310" ht="15.6" spans="13:13">
      <c r="M310"/>
    </row>
    <row r="311" ht="15.6" spans="13:13">
      <c r="M311"/>
    </row>
    <row r="312" ht="15.6" spans="13:13">
      <c r="M312"/>
    </row>
    <row r="313" ht="15.6" spans="13:13">
      <c r="M313"/>
    </row>
    <row r="314" ht="15.6" spans="13:13">
      <c r="M314"/>
    </row>
    <row r="315" ht="15.6" spans="13:13">
      <c r="M315"/>
    </row>
    <row r="316" ht="15.6" spans="13:13">
      <c r="M316"/>
    </row>
    <row r="317" ht="15.6" spans="13:13">
      <c r="M317"/>
    </row>
    <row r="318" ht="15.6" spans="13:13">
      <c r="M318"/>
    </row>
    <row r="319" ht="15.6" spans="13:13">
      <c r="M319"/>
    </row>
    <row r="320" ht="15.6" spans="13:13">
      <c r="M320"/>
    </row>
    <row r="321" ht="15.6" spans="13:13">
      <c r="M321"/>
    </row>
    <row r="322" ht="15.6" spans="13:13">
      <c r="M322"/>
    </row>
    <row r="323" ht="15.6" spans="13:13">
      <c r="M323"/>
    </row>
    <row r="324" ht="15.6" spans="13:13">
      <c r="M324"/>
    </row>
    <row r="325" ht="15.6" spans="13:13">
      <c r="M325"/>
    </row>
    <row r="326" ht="15.6" spans="13:13">
      <c r="M326"/>
    </row>
    <row r="327" ht="15.6" spans="13:13">
      <c r="M327"/>
    </row>
    <row r="328" ht="15.6" spans="13:13">
      <c r="M328"/>
    </row>
    <row r="329" ht="15.6" spans="13:13">
      <c r="M329"/>
    </row>
    <row r="330" ht="15.6" spans="13:13">
      <c r="M330"/>
    </row>
    <row r="331" ht="15.6" spans="13:13">
      <c r="M331"/>
    </row>
    <row r="332" ht="15.6" spans="13:13">
      <c r="M332"/>
    </row>
    <row r="333" ht="15.6" spans="13:13">
      <c r="M333"/>
    </row>
    <row r="334" ht="15.6" spans="13:13">
      <c r="M334"/>
    </row>
    <row r="335" ht="15.6" spans="13:13">
      <c r="M335"/>
    </row>
    <row r="336" ht="15.6" spans="13:13">
      <c r="M336"/>
    </row>
    <row r="337" ht="15.6" spans="13:13">
      <c r="M337"/>
    </row>
    <row r="338" ht="15.6" spans="13:13">
      <c r="M338"/>
    </row>
    <row r="339" ht="15.6" spans="13:13">
      <c r="M339"/>
    </row>
    <row r="340" ht="15.6" spans="13:13">
      <c r="M340"/>
    </row>
    <row r="341" ht="15.6" spans="13:13">
      <c r="M341"/>
    </row>
    <row r="342" ht="15.6" spans="13:13">
      <c r="M342"/>
    </row>
    <row r="343" ht="15.6" spans="13:13">
      <c r="M343"/>
    </row>
    <row r="344" ht="15.6" spans="13:13">
      <c r="M344"/>
    </row>
    <row r="345" ht="15.6" spans="13:13">
      <c r="M345"/>
    </row>
    <row r="346" ht="15.6" spans="13:13">
      <c r="M346"/>
    </row>
    <row r="347" ht="15.6" spans="13:13">
      <c r="M347"/>
    </row>
    <row r="348" ht="15.6" spans="13:13">
      <c r="M348"/>
    </row>
    <row r="349" ht="15.6" spans="13:13">
      <c r="M349"/>
    </row>
    <row r="350" ht="15.6" spans="13:13">
      <c r="M350"/>
    </row>
    <row r="351" ht="15.6" spans="13:13">
      <c r="M351"/>
    </row>
    <row r="352" ht="15.6" spans="13:13">
      <c r="M352"/>
    </row>
    <row r="353" ht="15.6" spans="13:13">
      <c r="M353"/>
    </row>
    <row r="354" ht="15.6" spans="13:13">
      <c r="M354"/>
    </row>
    <row r="355" ht="15.6" spans="13:13">
      <c r="M355"/>
    </row>
    <row r="356" ht="15.6" spans="13:13">
      <c r="M356"/>
    </row>
    <row r="357" ht="15.6" spans="13:13">
      <c r="M357"/>
    </row>
    <row r="358" ht="15.6" spans="13:13">
      <c r="M358"/>
    </row>
    <row r="359" ht="15.6" spans="13:13">
      <c r="M359"/>
    </row>
    <row r="360" ht="15.6" spans="13:13">
      <c r="M360"/>
    </row>
    <row r="361" ht="15.6" spans="13:13">
      <c r="M361"/>
    </row>
    <row r="362" ht="15.6" spans="13:13">
      <c r="M362"/>
    </row>
    <row r="363" ht="15.6" spans="13:13">
      <c r="M363"/>
    </row>
    <row r="364" ht="15.6" spans="13:13">
      <c r="M364"/>
    </row>
    <row r="365" ht="15.6" spans="13:13">
      <c r="M365"/>
    </row>
    <row r="366" ht="15.6" spans="13:13">
      <c r="M366"/>
    </row>
    <row r="367" ht="15.6" spans="13:13">
      <c r="M367"/>
    </row>
    <row r="368" ht="15.6" spans="13:13">
      <c r="M368"/>
    </row>
    <row r="369" ht="15.6" spans="13:13">
      <c r="M369"/>
    </row>
    <row r="370" ht="15.6" spans="13:13">
      <c r="M370"/>
    </row>
    <row r="371" ht="15.6" spans="13:13">
      <c r="M371"/>
    </row>
    <row r="372" ht="15.6" spans="13:13">
      <c r="M372"/>
    </row>
    <row r="373" ht="15.6" spans="13:13">
      <c r="M373"/>
    </row>
    <row r="374" ht="15.6" spans="13:13">
      <c r="M374"/>
    </row>
    <row r="375" ht="15.6" spans="13:13">
      <c r="M375"/>
    </row>
    <row r="376" ht="15.6" spans="13:13">
      <c r="M376"/>
    </row>
    <row r="377" ht="15.6" spans="13:13">
      <c r="M377"/>
    </row>
    <row r="378" ht="15.6" spans="13:13">
      <c r="M378"/>
    </row>
    <row r="379" ht="15.6" spans="13:13">
      <c r="M379"/>
    </row>
    <row r="380" ht="15.6" spans="13:13">
      <c r="M380"/>
    </row>
    <row r="381" ht="15.6" spans="13:13">
      <c r="M381"/>
    </row>
    <row r="382" ht="15.6" spans="13:13">
      <c r="M382"/>
    </row>
    <row r="383" ht="15.6" spans="13:13">
      <c r="M383"/>
    </row>
    <row r="384" ht="15.6" spans="13:13">
      <c r="M384"/>
    </row>
    <row r="385" ht="15.6" spans="13:13">
      <c r="M385"/>
    </row>
    <row r="386" ht="15.6" spans="13:13">
      <c r="M386"/>
    </row>
    <row r="387" ht="15.6" spans="13:13">
      <c r="M387"/>
    </row>
    <row r="388" ht="15.6" spans="13:13">
      <c r="M388"/>
    </row>
    <row r="389" ht="15.6" spans="13:13">
      <c r="M389"/>
    </row>
    <row r="390" ht="15.6" spans="13:13">
      <c r="M390"/>
    </row>
    <row r="391" ht="15.6" spans="13:13">
      <c r="M391"/>
    </row>
    <row r="392" ht="15.6" spans="13:13">
      <c r="M392"/>
    </row>
    <row r="393" ht="15.6" spans="13:13">
      <c r="M393"/>
    </row>
    <row r="394" ht="15.6" spans="13:13">
      <c r="M394"/>
    </row>
    <row r="395" ht="15.6" spans="13:13">
      <c r="M395"/>
    </row>
    <row r="396" ht="15.6" spans="13:13">
      <c r="M396"/>
    </row>
    <row r="397" ht="15.6" spans="13:13">
      <c r="M397"/>
    </row>
    <row r="398" ht="15.6" spans="13:13">
      <c r="M398"/>
    </row>
    <row r="399" ht="15.6" spans="13:13">
      <c r="M399"/>
    </row>
    <row r="400" ht="15.6" spans="13:13">
      <c r="M400"/>
    </row>
    <row r="401" ht="15.6" spans="13:13">
      <c r="M401"/>
    </row>
    <row r="402" ht="15.6" spans="13:13">
      <c r="M402"/>
    </row>
    <row r="403" ht="15.6" spans="13:13">
      <c r="M403"/>
    </row>
    <row r="404" ht="15.6" spans="13:13">
      <c r="M404"/>
    </row>
    <row r="405" ht="15.6" spans="13:13">
      <c r="M405"/>
    </row>
    <row r="406" ht="15.6" spans="13:13">
      <c r="M406"/>
    </row>
    <row r="407" ht="15.6" spans="13:13">
      <c r="M407"/>
    </row>
    <row r="408" ht="15.6" spans="13:13">
      <c r="M408"/>
    </row>
    <row r="409" ht="15.6" spans="13:13">
      <c r="M409"/>
    </row>
    <row r="410" ht="15.6" spans="13:13">
      <c r="M410"/>
    </row>
    <row r="411" ht="15.6" spans="13:13">
      <c r="M411"/>
    </row>
    <row r="412" ht="15.6" spans="13:13">
      <c r="M412"/>
    </row>
    <row r="413" ht="15.6" spans="13:13">
      <c r="M413"/>
    </row>
    <row r="414" ht="15.6" spans="13:13">
      <c r="M414"/>
    </row>
    <row r="415" ht="15.6" spans="13:13">
      <c r="M415"/>
    </row>
    <row r="416" ht="15.6" spans="13:13">
      <c r="M416"/>
    </row>
    <row r="417" ht="15.6" spans="13:13">
      <c r="M417"/>
    </row>
    <row r="418" ht="15.6" spans="13:13">
      <c r="M418"/>
    </row>
    <row r="419" ht="15.6" spans="13:13">
      <c r="M419"/>
    </row>
    <row r="420" ht="15.6" spans="13:13">
      <c r="M420"/>
    </row>
    <row r="421" ht="15.6" spans="13:13">
      <c r="M421"/>
    </row>
    <row r="422" ht="15.6" spans="13:13">
      <c r="M422"/>
    </row>
    <row r="423" ht="15.6" spans="13:13">
      <c r="M423"/>
    </row>
    <row r="424" ht="15.6" spans="13:13">
      <c r="M424"/>
    </row>
    <row r="425" ht="15.6" spans="13:13">
      <c r="M425"/>
    </row>
    <row r="426" ht="15.6" spans="13:13">
      <c r="M426"/>
    </row>
    <row r="427" ht="15.6" spans="13:13">
      <c r="M427"/>
    </row>
    <row r="428" ht="15.6" spans="13:13">
      <c r="M428"/>
    </row>
    <row r="429" ht="15.6" spans="13:13">
      <c r="M429"/>
    </row>
    <row r="430" ht="15.6" spans="13:13">
      <c r="M430"/>
    </row>
    <row r="431" ht="15.6" spans="13:13">
      <c r="M431"/>
    </row>
    <row r="432" ht="15.6" spans="13:13">
      <c r="M432"/>
    </row>
    <row r="433" ht="15.6" spans="13:13">
      <c r="M433"/>
    </row>
    <row r="434" ht="15.6" spans="13:13">
      <c r="M434"/>
    </row>
    <row r="435" ht="15.6" spans="13:13">
      <c r="M435"/>
    </row>
    <row r="436" ht="15.6" spans="13:13">
      <c r="M436"/>
    </row>
    <row r="437" ht="15.6" spans="13:13">
      <c r="M437"/>
    </row>
    <row r="438" ht="15.6" spans="13:13">
      <c r="M438"/>
    </row>
    <row r="439" ht="15.6" spans="13:13">
      <c r="M439"/>
    </row>
    <row r="440" ht="15.6" spans="13:13">
      <c r="M440"/>
    </row>
    <row r="441" ht="15.6" spans="13:13">
      <c r="M441"/>
    </row>
    <row r="442" ht="15.6" spans="13:13">
      <c r="M442"/>
    </row>
    <row r="443" ht="15.6" spans="13:13">
      <c r="M443"/>
    </row>
    <row r="444" ht="15.6" spans="13:13">
      <c r="M444"/>
    </row>
    <row r="445" ht="15.6" spans="13:13">
      <c r="M445"/>
    </row>
    <row r="446" ht="15.6" spans="13:13">
      <c r="M446"/>
    </row>
    <row r="447" ht="15.6" spans="13:13">
      <c r="M447"/>
    </row>
    <row r="448" ht="15.6" spans="13:13">
      <c r="M448"/>
    </row>
    <row r="449" ht="15.6" spans="13:13">
      <c r="M449"/>
    </row>
    <row r="450" ht="15.6" spans="13:13">
      <c r="M450"/>
    </row>
    <row r="451" ht="15.6" spans="13:13">
      <c r="M451"/>
    </row>
    <row r="452" ht="15.6" spans="13:13">
      <c r="M452"/>
    </row>
    <row r="453" ht="15.6" spans="13:13">
      <c r="M453"/>
    </row>
    <row r="454" ht="15.6" spans="13:13">
      <c r="M454"/>
    </row>
    <row r="455" ht="15.6" spans="13:13">
      <c r="M455"/>
    </row>
    <row r="456" ht="15.6" spans="13:13">
      <c r="M456"/>
    </row>
    <row r="457" ht="15.6" spans="13:13">
      <c r="M457"/>
    </row>
    <row r="458" ht="15.6" spans="13:13">
      <c r="M458"/>
    </row>
    <row r="459" ht="15.6" spans="13:13">
      <c r="M459"/>
    </row>
    <row r="460" ht="15.6" spans="13:13">
      <c r="M460"/>
    </row>
    <row r="461" ht="15.6" spans="13:13">
      <c r="M461"/>
    </row>
    <row r="462" ht="15.6" spans="13:13">
      <c r="M462"/>
    </row>
    <row r="463" ht="15.6" spans="13:13">
      <c r="M463"/>
    </row>
    <row r="464" ht="15.6" spans="13:13">
      <c r="M464"/>
    </row>
    <row r="465" ht="15.6" spans="13:13">
      <c r="M465"/>
    </row>
    <row r="466" ht="15.6" spans="13:13">
      <c r="M466"/>
    </row>
    <row r="467" ht="15.6" spans="13:13">
      <c r="M467"/>
    </row>
    <row r="468" ht="15.6" spans="13:13">
      <c r="M468"/>
    </row>
    <row r="469" ht="15.6" spans="13:13">
      <c r="M469"/>
    </row>
    <row r="470" ht="15.6" spans="13:13">
      <c r="M470"/>
    </row>
    <row r="471" ht="15.6" spans="13:13">
      <c r="M471"/>
    </row>
    <row r="472" ht="15.6" spans="13:13">
      <c r="M472"/>
    </row>
    <row r="473" ht="15.6" spans="13:13">
      <c r="M473"/>
    </row>
    <row r="474" ht="15.6" spans="13:13">
      <c r="M474"/>
    </row>
    <row r="475" ht="15.6" spans="13:13">
      <c r="M475"/>
    </row>
    <row r="476" ht="15.6" spans="13:13">
      <c r="M476"/>
    </row>
    <row r="477" ht="15.6" spans="13:13">
      <c r="M477"/>
    </row>
    <row r="478" ht="15.6" spans="13:13">
      <c r="M478"/>
    </row>
    <row r="479" ht="15.6" spans="13:13">
      <c r="M479"/>
    </row>
    <row r="480" ht="15.6" spans="13:13">
      <c r="M480"/>
    </row>
    <row r="481" ht="15.6" spans="13:13">
      <c r="M481"/>
    </row>
    <row r="482" ht="15.6" spans="13:13">
      <c r="M482"/>
    </row>
    <row r="483" ht="15.6" spans="13:13">
      <c r="M483"/>
    </row>
    <row r="484" ht="15.6" spans="13:13">
      <c r="M484"/>
    </row>
    <row r="485" ht="15.6" spans="13:13">
      <c r="M485"/>
    </row>
    <row r="486" ht="15.6" spans="13:13">
      <c r="M486"/>
    </row>
    <row r="487" ht="15.6" spans="13:13">
      <c r="M487"/>
    </row>
    <row r="488" ht="15.6" spans="13:13">
      <c r="M488"/>
    </row>
    <row r="489" ht="15.6" spans="13:13">
      <c r="M489"/>
    </row>
    <row r="490" ht="15.6" spans="13:13">
      <c r="M490"/>
    </row>
    <row r="491" ht="15.6" spans="13:13">
      <c r="M491"/>
    </row>
    <row r="492" ht="15.6" spans="13:13">
      <c r="M492"/>
    </row>
    <row r="493" ht="15.6" spans="13:13">
      <c r="M493"/>
    </row>
    <row r="494" ht="15.6" spans="13:13">
      <c r="M494"/>
    </row>
    <row r="495" ht="15.6" spans="13:13">
      <c r="M495"/>
    </row>
    <row r="496" ht="15.6" spans="13:13">
      <c r="M496"/>
    </row>
    <row r="497" ht="15.6" spans="13:13">
      <c r="M497"/>
    </row>
    <row r="498" ht="15.6" spans="13:13">
      <c r="M498"/>
    </row>
    <row r="499" ht="15.6" spans="13:13">
      <c r="M499"/>
    </row>
    <row r="500" ht="15.6" spans="13:13">
      <c r="M500"/>
    </row>
    <row r="501" ht="15.6" spans="13:13">
      <c r="M501"/>
    </row>
    <row r="502" ht="15.6" spans="13:13">
      <c r="M502"/>
    </row>
    <row r="503" ht="15.6" spans="13:13">
      <c r="M503"/>
    </row>
    <row r="504" ht="15.6" spans="13:13">
      <c r="M504"/>
    </row>
    <row r="505" ht="15.6" spans="13:13">
      <c r="M505"/>
    </row>
    <row r="506" ht="15.6" spans="13:13">
      <c r="M506"/>
    </row>
    <row r="507" ht="15.6" spans="13:13">
      <c r="M507"/>
    </row>
    <row r="508" ht="15.6" spans="13:13">
      <c r="M508"/>
    </row>
    <row r="509" ht="15.6" spans="13:13">
      <c r="M509"/>
    </row>
    <row r="510" ht="15.6" spans="13:13">
      <c r="M510"/>
    </row>
    <row r="511" ht="15.6" spans="13:13">
      <c r="M511"/>
    </row>
    <row r="512" ht="15.6" spans="13:13">
      <c r="M512"/>
    </row>
    <row r="513" ht="15.6" spans="13:13">
      <c r="M513"/>
    </row>
    <row r="514" ht="15.6" spans="13:13">
      <c r="M514"/>
    </row>
    <row r="515" ht="15.6" spans="13:13">
      <c r="M515"/>
    </row>
    <row r="516" ht="15.6" spans="13:13">
      <c r="M516"/>
    </row>
    <row r="517" ht="15.6" spans="13:13">
      <c r="M517"/>
    </row>
    <row r="518" ht="15.6" spans="13:13">
      <c r="M518"/>
    </row>
    <row r="519" ht="15.6" spans="13:13">
      <c r="M519"/>
    </row>
    <row r="520" ht="15.6" spans="13:13">
      <c r="M520"/>
    </row>
    <row r="521" ht="15.6" spans="13:13">
      <c r="M521"/>
    </row>
    <row r="522" ht="15.6" spans="13:13">
      <c r="M522"/>
    </row>
    <row r="523" ht="15.6" spans="13:13">
      <c r="M523"/>
    </row>
    <row r="524" ht="15.6" spans="13:13">
      <c r="M524"/>
    </row>
    <row r="525" ht="15.6" spans="13:13">
      <c r="M525"/>
    </row>
    <row r="526" ht="15.6" spans="13:13">
      <c r="M526"/>
    </row>
    <row r="527" ht="15.6" spans="13:13">
      <c r="M527"/>
    </row>
    <row r="528" ht="15.6" spans="13:13">
      <c r="M528"/>
    </row>
    <row r="529" ht="15.6" spans="13:13">
      <c r="M529"/>
    </row>
    <row r="530" ht="15.6" spans="13:13">
      <c r="M530"/>
    </row>
    <row r="531" ht="15.6" spans="13:13">
      <c r="M531"/>
    </row>
    <row r="532" ht="15.6" spans="13:13">
      <c r="M532"/>
    </row>
    <row r="533" ht="15.6" spans="13:13">
      <c r="M533"/>
    </row>
    <row r="534" ht="15.6" spans="13:13">
      <c r="M534"/>
    </row>
    <row r="535" ht="15.6" spans="13:13">
      <c r="M535"/>
    </row>
    <row r="536" ht="15.6" spans="13:13">
      <c r="M536"/>
    </row>
    <row r="537" ht="15.6" spans="13:13">
      <c r="M537"/>
    </row>
    <row r="538" ht="15.6" spans="13:13">
      <c r="M538"/>
    </row>
    <row r="539" ht="15.6" spans="13:13">
      <c r="M539"/>
    </row>
    <row r="540" ht="15.6" spans="13:13">
      <c r="M540"/>
    </row>
    <row r="541" ht="15.6" spans="13:13">
      <c r="M541"/>
    </row>
    <row r="542" ht="15.6" spans="13:13">
      <c r="M542"/>
    </row>
    <row r="543" ht="15.6" spans="13:13">
      <c r="M543"/>
    </row>
    <row r="544" ht="15.6" spans="13:13">
      <c r="M544"/>
    </row>
    <row r="545" ht="15.6" spans="13:13">
      <c r="M545"/>
    </row>
    <row r="546" ht="15.6" spans="13:13">
      <c r="M546"/>
    </row>
    <row r="547" ht="15.6" spans="13:13">
      <c r="M547"/>
    </row>
    <row r="548" ht="15.6" spans="13:13">
      <c r="M548"/>
    </row>
    <row r="549" ht="15.6" spans="13:13">
      <c r="M549"/>
    </row>
    <row r="550" ht="15.6" spans="13:13">
      <c r="M550"/>
    </row>
    <row r="551" ht="15.6" spans="13:13">
      <c r="M551"/>
    </row>
    <row r="552" ht="15.6" spans="13:13">
      <c r="M552"/>
    </row>
    <row r="553" ht="15.6" spans="13:13">
      <c r="M553"/>
    </row>
    <row r="554" ht="15.6" spans="13:13">
      <c r="M554"/>
    </row>
    <row r="555" ht="15.6" spans="13:13">
      <c r="M555"/>
    </row>
    <row r="556" ht="15.6" spans="13:13">
      <c r="M556"/>
    </row>
    <row r="557" ht="15.6" spans="13:13">
      <c r="M557"/>
    </row>
    <row r="558" ht="15.6" spans="13:13">
      <c r="M558"/>
    </row>
    <row r="559" ht="15.6" spans="13:13">
      <c r="M559"/>
    </row>
    <row r="560" ht="15.6" spans="13:13">
      <c r="M560"/>
    </row>
    <row r="561" ht="15.6" spans="13:13">
      <c r="M561"/>
    </row>
    <row r="562" ht="15.6" spans="13:13">
      <c r="M562"/>
    </row>
    <row r="563" ht="15.6" spans="13:13">
      <c r="M563"/>
    </row>
    <row r="564" ht="15.6" spans="13:13">
      <c r="M564"/>
    </row>
    <row r="565" ht="15.6" spans="13:13">
      <c r="M565"/>
    </row>
    <row r="566" ht="15.6" spans="13:13">
      <c r="M566"/>
    </row>
    <row r="567" ht="15.6" spans="13:13">
      <c r="M567"/>
    </row>
    <row r="568" ht="15.6" spans="13:13">
      <c r="M568"/>
    </row>
    <row r="569" ht="15.6" spans="13:13">
      <c r="M569"/>
    </row>
    <row r="570" ht="15.6" spans="13:13">
      <c r="M570"/>
    </row>
    <row r="571" ht="15.6" spans="13:13">
      <c r="M571"/>
    </row>
    <row r="572" ht="15.6" spans="13:13">
      <c r="M572"/>
    </row>
    <row r="573" ht="15.6" spans="13:13">
      <c r="M573"/>
    </row>
    <row r="574" ht="15.6" spans="13:13">
      <c r="M574"/>
    </row>
    <row r="575" ht="15.6" spans="13:13">
      <c r="M575"/>
    </row>
    <row r="576" ht="15.6" spans="13:13">
      <c r="M576"/>
    </row>
    <row r="577" ht="15.6" spans="13:13">
      <c r="M577"/>
    </row>
    <row r="578" ht="15.6" spans="13:13">
      <c r="M578"/>
    </row>
    <row r="579" ht="15.6" spans="13:13">
      <c r="M579"/>
    </row>
    <row r="580" ht="15.6" spans="13:13">
      <c r="M580"/>
    </row>
    <row r="581" ht="15.6" spans="13:13">
      <c r="M581"/>
    </row>
    <row r="582" ht="15.6" spans="13:13">
      <c r="M582"/>
    </row>
    <row r="583" ht="15.6" spans="13:13">
      <c r="M583"/>
    </row>
    <row r="584" ht="15.6" spans="13:13">
      <c r="M584"/>
    </row>
    <row r="585" ht="15.6" spans="13:13">
      <c r="M585"/>
    </row>
    <row r="586" ht="15.6" spans="13:13">
      <c r="M586"/>
    </row>
    <row r="587" ht="15.6" spans="13:13">
      <c r="M587"/>
    </row>
    <row r="588" ht="15.6" spans="13:13">
      <c r="M588"/>
    </row>
    <row r="589" ht="15.6" spans="13:13">
      <c r="M589"/>
    </row>
    <row r="590" ht="15.6" spans="13:13">
      <c r="M590"/>
    </row>
    <row r="591" ht="15.6" spans="13:13">
      <c r="M591"/>
    </row>
    <row r="592" ht="15.6" spans="13:13">
      <c r="M592"/>
    </row>
    <row r="593" ht="15.6" spans="13:13">
      <c r="M593"/>
    </row>
    <row r="594" ht="15.6" spans="13:13">
      <c r="M594"/>
    </row>
    <row r="595" ht="15.6" spans="13:13">
      <c r="M595"/>
    </row>
    <row r="596" ht="15.6" spans="13:13">
      <c r="M596"/>
    </row>
    <row r="597" ht="15.6" spans="13:13">
      <c r="M597"/>
    </row>
    <row r="598" ht="15.6" spans="13:13">
      <c r="M598"/>
    </row>
    <row r="599" ht="15.6" spans="13:13">
      <c r="M599"/>
    </row>
    <row r="600" ht="15.6" spans="13:13">
      <c r="M600"/>
    </row>
    <row r="601" ht="15.6" spans="13:13">
      <c r="M601"/>
    </row>
    <row r="602" ht="15.6" spans="13:13">
      <c r="M602"/>
    </row>
    <row r="603" ht="15.6" spans="13:13">
      <c r="M603"/>
    </row>
    <row r="604" ht="15.6" spans="13:13">
      <c r="M604"/>
    </row>
    <row r="605" ht="15.6" spans="13:13">
      <c r="M605"/>
    </row>
    <row r="606" ht="15.6" spans="13:13">
      <c r="M606"/>
    </row>
    <row r="607" ht="15.6" spans="13:13">
      <c r="M607"/>
    </row>
    <row r="608" ht="15.6" spans="13:13">
      <c r="M608"/>
    </row>
    <row r="609" ht="15.6" spans="13:13">
      <c r="M609"/>
    </row>
    <row r="610" ht="15.6" spans="13:13">
      <c r="M610"/>
    </row>
    <row r="611" ht="15.6" spans="13:13">
      <c r="M611"/>
    </row>
    <row r="612" ht="15.6" spans="13:13">
      <c r="M612"/>
    </row>
    <row r="613" ht="15.6" spans="13:13">
      <c r="M613"/>
    </row>
    <row r="614" ht="15.6" spans="13:13">
      <c r="M614"/>
    </row>
    <row r="615" ht="15.6" spans="13:13">
      <c r="M615"/>
    </row>
    <row r="616" ht="15.6" spans="13:13">
      <c r="M616"/>
    </row>
    <row r="617" ht="15.6" spans="13:13">
      <c r="M617"/>
    </row>
    <row r="618" ht="15.6" spans="13:13">
      <c r="M618"/>
    </row>
    <row r="619" ht="15.6" spans="13:13">
      <c r="M619"/>
    </row>
    <row r="620" ht="15.6" spans="13:13">
      <c r="M620"/>
    </row>
    <row r="621" ht="15.6" spans="13:13">
      <c r="M621"/>
    </row>
    <row r="622" ht="15.6" spans="13:13">
      <c r="M622"/>
    </row>
    <row r="623" ht="15.6" spans="13:13">
      <c r="M623"/>
    </row>
    <row r="624" ht="15.6" spans="13:13">
      <c r="M624"/>
    </row>
    <row r="625" ht="15.6" spans="13:13">
      <c r="M625"/>
    </row>
    <row r="626" ht="15.6" spans="13:13">
      <c r="M626"/>
    </row>
    <row r="627" ht="15.6" spans="13:13">
      <c r="M627"/>
    </row>
    <row r="628" ht="15.6" spans="13:13">
      <c r="M628"/>
    </row>
    <row r="629" ht="15.6" spans="13:13">
      <c r="M629"/>
    </row>
    <row r="630" ht="15.6" spans="13:13">
      <c r="M630"/>
    </row>
    <row r="631" ht="15.6" spans="13:13">
      <c r="M631"/>
    </row>
    <row r="632" ht="15.6" spans="13:13">
      <c r="M632"/>
    </row>
    <row r="633" ht="15.6" spans="13:13">
      <c r="M633"/>
    </row>
    <row r="634" ht="15.6" spans="13:13">
      <c r="M634"/>
    </row>
    <row r="635" ht="15.6" spans="13:13">
      <c r="M635"/>
    </row>
    <row r="636" ht="15.6" spans="13:13">
      <c r="M636"/>
    </row>
    <row r="637" ht="15.6" spans="13:13">
      <c r="M637"/>
    </row>
    <row r="638" ht="15.6" spans="13:13">
      <c r="M638"/>
    </row>
    <row r="639" ht="15.6" spans="13:13">
      <c r="M639"/>
    </row>
    <row r="640" ht="15.6" spans="13:13">
      <c r="M640"/>
    </row>
    <row r="641" ht="15.6" spans="13:13">
      <c r="M641"/>
    </row>
    <row r="642" ht="15.6" spans="13:13">
      <c r="M642"/>
    </row>
    <row r="643" ht="15.6" spans="13:13">
      <c r="M643"/>
    </row>
    <row r="644" ht="15.6" spans="13:13">
      <c r="M644"/>
    </row>
    <row r="645" ht="15.6" spans="13:13">
      <c r="M645"/>
    </row>
    <row r="646" ht="15.6" spans="13:13">
      <c r="M646"/>
    </row>
    <row r="647" ht="15.6" spans="13:13">
      <c r="M647"/>
    </row>
    <row r="648" ht="15.6" spans="13:13">
      <c r="M648"/>
    </row>
    <row r="649" ht="15.6" spans="13:13">
      <c r="M649"/>
    </row>
    <row r="650" ht="15.6" spans="13:13">
      <c r="M650"/>
    </row>
    <row r="651" ht="15.6" spans="13:13">
      <c r="M651"/>
    </row>
    <row r="652" ht="15.6" spans="13:13">
      <c r="M652"/>
    </row>
    <row r="653" ht="15.6" spans="13:13">
      <c r="M653"/>
    </row>
    <row r="654" ht="15.6" spans="13:13">
      <c r="M654"/>
    </row>
    <row r="655" ht="15.6" spans="13:13">
      <c r="M655"/>
    </row>
    <row r="656" ht="15.6" spans="13:13">
      <c r="M656"/>
    </row>
    <row r="657" ht="15.6" spans="13:13">
      <c r="M657"/>
    </row>
    <row r="658" ht="15.6" spans="13:13">
      <c r="M658"/>
    </row>
    <row r="659" ht="15.6" spans="13:13">
      <c r="M659"/>
    </row>
    <row r="660" ht="15.6" spans="13:13">
      <c r="M660"/>
    </row>
    <row r="661" ht="15.6" spans="13:13">
      <c r="M661"/>
    </row>
    <row r="662" ht="15.6" spans="13:13">
      <c r="M662"/>
    </row>
    <row r="663" ht="15.6" spans="13:13">
      <c r="M663"/>
    </row>
    <row r="664" ht="15.6" spans="13:13">
      <c r="M664"/>
    </row>
    <row r="665" ht="15.6" spans="13:13">
      <c r="M665"/>
    </row>
    <row r="666" ht="15.6" spans="13:13">
      <c r="M666"/>
    </row>
    <row r="667" ht="15.6" spans="13:13">
      <c r="M667"/>
    </row>
    <row r="668" ht="15.6" spans="13:13">
      <c r="M668"/>
    </row>
    <row r="669" ht="15.6" spans="13:13">
      <c r="M669"/>
    </row>
    <row r="670" ht="15.6" spans="13:13">
      <c r="M670"/>
    </row>
    <row r="671" ht="15.6" spans="13:13">
      <c r="M671"/>
    </row>
    <row r="672" ht="15.6" spans="13:13">
      <c r="M672"/>
    </row>
    <row r="673" ht="15.6" spans="13:13">
      <c r="M673"/>
    </row>
    <row r="674" ht="15.6" spans="13:13">
      <c r="M674"/>
    </row>
    <row r="675" ht="15.6" spans="13:13">
      <c r="M675"/>
    </row>
    <row r="676" ht="15.6" spans="13:13">
      <c r="M676"/>
    </row>
    <row r="677" ht="15.6" spans="13:13">
      <c r="M677"/>
    </row>
    <row r="678" ht="15.6" spans="13:13">
      <c r="M678"/>
    </row>
    <row r="679" ht="15.6" spans="13:13">
      <c r="M679"/>
    </row>
    <row r="680" ht="15.6" spans="13:13">
      <c r="M680"/>
    </row>
    <row r="681" ht="15.6" spans="13:13">
      <c r="M681"/>
    </row>
    <row r="682" ht="15.6" spans="13:13">
      <c r="M682"/>
    </row>
    <row r="683" ht="15.6" spans="13:13">
      <c r="M683"/>
    </row>
    <row r="684" ht="15.6" spans="13:13">
      <c r="M684"/>
    </row>
    <row r="685" ht="15.6" spans="13:13">
      <c r="M685"/>
    </row>
    <row r="686" ht="15.6" spans="13:13">
      <c r="M686"/>
    </row>
    <row r="687" ht="15.6" spans="13:13">
      <c r="M687"/>
    </row>
    <row r="688" ht="15.6" spans="13:13">
      <c r="M688"/>
    </row>
    <row r="689" ht="15.6" spans="13:13">
      <c r="M689"/>
    </row>
    <row r="690" ht="15.6" spans="13:13">
      <c r="M690"/>
    </row>
    <row r="691" ht="15.6" spans="13:13">
      <c r="M691"/>
    </row>
    <row r="692" ht="15.6" spans="13:13">
      <c r="M692"/>
    </row>
    <row r="693" ht="15.6" spans="13:13">
      <c r="M693"/>
    </row>
    <row r="694" ht="15.6" spans="13:13">
      <c r="M694"/>
    </row>
    <row r="695" ht="15.6" spans="13:13">
      <c r="M695"/>
    </row>
    <row r="696" ht="15.6" spans="13:13">
      <c r="M696"/>
    </row>
    <row r="697" ht="15.6" spans="13:13">
      <c r="M697"/>
    </row>
    <row r="698" ht="15.6" spans="13:13">
      <c r="M698"/>
    </row>
    <row r="699" ht="15.6" spans="13:13">
      <c r="M699"/>
    </row>
    <row r="700" ht="15.6" spans="13:13">
      <c r="M700"/>
    </row>
    <row r="701" ht="15.6" spans="13:13">
      <c r="M701"/>
    </row>
    <row r="702" ht="15.6" spans="13:13">
      <c r="M702"/>
    </row>
    <row r="703" ht="15.6" spans="13:13">
      <c r="M703"/>
    </row>
    <row r="704" ht="15.6" spans="13:13">
      <c r="M704"/>
    </row>
    <row r="705" ht="15.6" spans="13:13">
      <c r="M705"/>
    </row>
    <row r="706" ht="15.6" spans="13:13">
      <c r="M706"/>
    </row>
    <row r="707" ht="15.6" spans="13:13">
      <c r="M707"/>
    </row>
    <row r="708" ht="15.6" spans="13:13">
      <c r="M708"/>
    </row>
    <row r="709" ht="15.6" spans="13:13">
      <c r="M709"/>
    </row>
    <row r="710" ht="15.6" spans="13:13">
      <c r="M710"/>
    </row>
    <row r="711" ht="15.6" spans="13:13">
      <c r="M711"/>
    </row>
    <row r="712" ht="15.6" spans="13:13">
      <c r="M712"/>
    </row>
    <row r="713" ht="15.6" spans="13:13">
      <c r="M7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skill_config</vt:lpstr>
      <vt:lpstr>buff_config</vt:lpstr>
      <vt:lpstr>编号表</vt:lpstr>
      <vt:lpstr>名称表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白鸠-PuFF</cp:lastModifiedBy>
  <dcterms:created xsi:type="dcterms:W3CDTF">2026-09-24T12:37:00Z</dcterms:created>
  <dcterms:modified xsi:type="dcterms:W3CDTF">2026-10-13T23:35:59Z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FAE7F8065D7A43E5A9264804CBA12E2F_13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