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灵植表" sheetId="1" r:id="rId1"/>
    <sheet name="计算用" sheetId="2" r:id="rId2"/>
    <sheet name="说明" sheetId="3" r:id="rId3"/>
    <sheet name="编号表" sheetId="4" r:id="rId4"/>
    <sheet name="灵植数值表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<sst xmlns="http://schemas.openxmlformats.org/spreadsheetml/2006/main" count="5776" uniqueCount="1367">
  <si>
    <t>##var</t>
  </si>
  <si>
    <t>seq</t>
  </si>
  <si>
    <t>id</t>
  </si>
  <si>
    <t>name</t>
  </si>
  <si>
    <t>realm</t>
  </si>
  <si>
    <t>role</t>
  </si>
  <si>
    <t>quality</t>
  </si>
  <si>
    <t>element</t>
  </si>
  <si>
    <t>taste</t>
  </si>
  <si>
    <t>max_material_count</t>
  </si>
  <si>
    <t>nval</t>
  </si>
  <si>
    <t>power</t>
  </si>
  <si>
    <t>dross</t>
  </si>
  <si>
    <t>target_power</t>
  </si>
  <si>
    <t>price</t>
  </si>
  <si>
    <t>##type</t>
  </si>
  <si>
    <t>int</t>
  </si>
  <si>
    <t>string</t>
  </si>
  <si>
    <t>long</t>
  </si>
  <si>
    <t>##group</t>
  </si>
  <si>
    <t>c,s</t>
  </si>
  <si>
    <t>前后台不读策划用</t>
  </si>
  <si>
    <t>##</t>
  </si>
  <si>
    <t>序号</t>
  </si>
  <si>
    <t>灵植ID</t>
  </si>
  <si>
    <t>名称[权威在物品表]</t>
  </si>
  <si>
    <r>
      <rPr>
        <b/>
        <sz val="11"/>
        <rFont val="宋体"/>
        <charset val="134"/>
      </rPr>
      <t>编号</t>
    </r>
    <r>
      <rPr>
        <b/>
        <sz val="11"/>
        <rFont val="Carlito"/>
        <charset val="134"/>
      </rPr>
      <t>ID</t>
    </r>
  </si>
  <si>
    <t>境界</t>
  </si>
  <si>
    <t>分类</t>
  </si>
  <si>
    <t>品质</t>
  </si>
  <si>
    <t>五行[仅臣]</t>
  </si>
  <si>
    <t>五味[仅使]</t>
  </si>
  <si>
    <t>药势</t>
  </si>
  <si>
    <t>最大承药份数[仅丹头]</t>
  </si>
  <si>
    <t>性值</t>
  </si>
  <si>
    <t>ID编号用</t>
  </si>
  <si>
    <t>单份药力</t>
  </si>
  <si>
    <t>杂质</t>
  </si>
  <si>
    <t>目标药力[仅君]</t>
  </si>
  <si>
    <t>价格</t>
  </si>
  <si>
    <t>足年定元参·凡株</t>
  </si>
  <si>
    <t>筑基</t>
  </si>
  <si>
    <t>君</t>
  </si>
  <si>
    <t>凡品</t>
  </si>
  <si>
    <t>足年铁骨藤·凡株</t>
  </si>
  <si>
    <t>臣</t>
  </si>
  <si>
    <t>金</t>
  </si>
  <si>
    <t>足年金英花·凡株</t>
  </si>
  <si>
    <t>足年青玉藤·凡株</t>
  </si>
  <si>
    <t>木</t>
  </si>
  <si>
    <t>足年翠叶藤·凡株</t>
  </si>
  <si>
    <t>足年寒潭藻·凡株</t>
  </si>
  <si>
    <t>水</t>
  </si>
  <si>
    <t>足年深潭苔·凡株</t>
  </si>
  <si>
    <t>足年温阳花·凡株</t>
  </si>
  <si>
    <t>火</t>
  </si>
  <si>
    <t>足年丹炎苔·凡株</t>
  </si>
  <si>
    <t>足年白岩参·凡株</t>
  </si>
  <si>
    <t>土</t>
  </si>
  <si>
    <t>足年厚元苔·凡株</t>
  </si>
  <si>
    <t>足年薄荷露·凡株</t>
  </si>
  <si>
    <t>使</t>
  </si>
  <si>
    <t>辛</t>
  </si>
  <si>
    <t>足年烈香花·凡株</t>
  </si>
  <si>
    <t>足年甘露草·凡株</t>
  </si>
  <si>
    <t>甘</t>
  </si>
  <si>
    <t>足年蜜香果·凡株</t>
  </si>
  <si>
    <t>足年青梅草·凡株</t>
  </si>
  <si>
    <t>酸</t>
  </si>
  <si>
    <t>足年火梅藤·凡株</t>
  </si>
  <si>
    <t>足年黄连芽·凡株</t>
  </si>
  <si>
    <t>苦</t>
  </si>
  <si>
    <t>足年苦参根·凡株</t>
  </si>
  <si>
    <t>足年海潮苔·凡株</t>
  </si>
  <si>
    <t>咸</t>
  </si>
  <si>
    <t>足年海砂苔·凡株</t>
  </si>
  <si>
    <t>足年净元草·凡株</t>
  </si>
  <si>
    <t>佐</t>
  </si>
  <si>
    <t>足年太和草·凡株</t>
  </si>
  <si>
    <t>足年温脉花·凡株</t>
  </si>
  <si>
    <t>足年烈阳藤·凡株</t>
  </si>
  <si>
    <t>足年七叶丹莲·凡株</t>
  </si>
  <si>
    <t>丹头</t>
  </si>
  <si>
    <t>足年八脉丹藤·凡株</t>
  </si>
  <si>
    <t>足年九环丹芝·凡株</t>
  </si>
  <si>
    <t>足年定元参·灵株</t>
  </si>
  <si>
    <t>灵品</t>
  </si>
  <si>
    <t>足年铁骨藤·灵株</t>
  </si>
  <si>
    <t>足年金英花·灵株</t>
  </si>
  <si>
    <t>足年青玉藤·灵株</t>
  </si>
  <si>
    <t>足年翠叶藤·灵株</t>
  </si>
  <si>
    <t>足年寒潭藻·灵株</t>
  </si>
  <si>
    <t>足年深潭苔·灵株</t>
  </si>
  <si>
    <t>足年温阳花·灵株</t>
  </si>
  <si>
    <t>足年丹炎苔·灵株</t>
  </si>
  <si>
    <t>足年白岩参·灵株</t>
  </si>
  <si>
    <t>足年厚元苔·灵株</t>
  </si>
  <si>
    <t>足年薄荷露·灵株</t>
  </si>
  <si>
    <t>足年烈香花·灵株</t>
  </si>
  <si>
    <t>足年甘露草·灵株</t>
  </si>
  <si>
    <t>足年蜜香果·灵株</t>
  </si>
  <si>
    <t>足年青梅草·灵株</t>
  </si>
  <si>
    <t>足年火梅藤·灵株</t>
  </si>
  <si>
    <t>足年黄连芽·灵株</t>
  </si>
  <si>
    <t>足年苦参根·灵株</t>
  </si>
  <si>
    <t>足年海潮苔·灵株</t>
  </si>
  <si>
    <t>足年海砂苔·灵株</t>
  </si>
  <si>
    <t>足年净元草·灵株</t>
  </si>
  <si>
    <t>足年太和草·灵株</t>
  </si>
  <si>
    <t>足年温脉花·灵株</t>
  </si>
  <si>
    <t>足年烈阳藤·灵株</t>
  </si>
  <si>
    <t>足年七叶丹莲·灵株</t>
  </si>
  <si>
    <t>足年八脉丹藤·灵株</t>
  </si>
  <si>
    <t>足年九环丹芝·灵株</t>
  </si>
  <si>
    <t>足年定元参·玄株</t>
  </si>
  <si>
    <t>玄品</t>
  </si>
  <si>
    <t>足年铁骨藤·玄株</t>
  </si>
  <si>
    <t>足年金英花·玄株</t>
  </si>
  <si>
    <t>足年青玉藤·玄株</t>
  </si>
  <si>
    <t>足年翠叶藤·玄株</t>
  </si>
  <si>
    <t>足年寒潭藻·玄株</t>
  </si>
  <si>
    <t>足年深潭苔·玄株</t>
  </si>
  <si>
    <t>足年温阳花·玄株</t>
  </si>
  <si>
    <t>足年丹炎苔·玄株</t>
  </si>
  <si>
    <t>足年白岩参·玄株</t>
  </si>
  <si>
    <t>足年厚元苔·玄株</t>
  </si>
  <si>
    <t>足年薄荷露·玄株</t>
  </si>
  <si>
    <t>足年烈香花·玄株</t>
  </si>
  <si>
    <t>足年甘露草·玄株</t>
  </si>
  <si>
    <t>足年蜜香果·玄株</t>
  </si>
  <si>
    <t>足年青梅草·玄株</t>
  </si>
  <si>
    <t>足年火梅藤·玄株</t>
  </si>
  <si>
    <t>足年黄连芽·玄株</t>
  </si>
  <si>
    <t>足年苦参根·玄株</t>
  </si>
  <si>
    <t>足年海潮苔·玄株</t>
  </si>
  <si>
    <t>足年海砂苔·玄株</t>
  </si>
  <si>
    <t>足年净元草·玄株</t>
  </si>
  <si>
    <t>足年太和草·玄株</t>
  </si>
  <si>
    <t>足年温脉花·玄株</t>
  </si>
  <si>
    <t>足年烈阳藤·玄株</t>
  </si>
  <si>
    <t>足年七叶丹莲·玄株</t>
  </si>
  <si>
    <t>足年八脉丹藤·玄株</t>
  </si>
  <si>
    <t>足年九环丹芝·玄株</t>
  </si>
  <si>
    <t>足年定元参·仙株</t>
  </si>
  <si>
    <t>仙品</t>
  </si>
  <si>
    <t>足年铁骨藤·仙株</t>
  </si>
  <si>
    <t>足年金英花·仙株</t>
  </si>
  <si>
    <t>足年青玉藤·仙株</t>
  </si>
  <si>
    <t>足年翠叶藤·仙株</t>
  </si>
  <si>
    <t>足年寒潭藻·仙株</t>
  </si>
  <si>
    <t>足年深潭苔·仙株</t>
  </si>
  <si>
    <t>足年温阳花·仙株</t>
  </si>
  <si>
    <t>足年丹炎苔·仙株</t>
  </si>
  <si>
    <t>足年白岩参·仙株</t>
  </si>
  <si>
    <t>足年厚元苔·仙株</t>
  </si>
  <si>
    <t>足年薄荷露·仙株</t>
  </si>
  <si>
    <t>足年烈香花·仙株</t>
  </si>
  <si>
    <t>足年甘露草·仙株</t>
  </si>
  <si>
    <t>足年蜜香果·仙株</t>
  </si>
  <si>
    <t>足年青梅草·仙株</t>
  </si>
  <si>
    <t>足年火梅藤·仙株</t>
  </si>
  <si>
    <t>足年黄连芽·仙株</t>
  </si>
  <si>
    <t>足年苦参根·仙株</t>
  </si>
  <si>
    <t>足年海潮苔·仙株</t>
  </si>
  <si>
    <t>足年海砂苔·仙株</t>
  </si>
  <si>
    <t>足年净元草·仙株</t>
  </si>
  <si>
    <t>足年太和草·仙株</t>
  </si>
  <si>
    <t>足年温脉花·仙株</t>
  </si>
  <si>
    <t>足年烈阳藤·仙株</t>
  </si>
  <si>
    <t>足年七叶丹莲·仙株</t>
  </si>
  <si>
    <t>足年八脉丹藤·仙株</t>
  </si>
  <si>
    <t>足年九环丹芝·仙株</t>
  </si>
  <si>
    <t>足年定元参·神株</t>
  </si>
  <si>
    <t>神品</t>
  </si>
  <si>
    <t>足年铁骨藤·神株</t>
  </si>
  <si>
    <t>足年金英花·神株</t>
  </si>
  <si>
    <t>足年青玉藤·神株</t>
  </si>
  <si>
    <t>足年翠叶藤·神株</t>
  </si>
  <si>
    <t>足年寒潭藻·神株</t>
  </si>
  <si>
    <t>足年深潭苔·神株</t>
  </si>
  <si>
    <t>足年温阳花·神株</t>
  </si>
  <si>
    <t>足年丹炎苔·神株</t>
  </si>
  <si>
    <t>足年白岩参·神株</t>
  </si>
  <si>
    <t>足年厚元苔·神株</t>
  </si>
  <si>
    <t>足年薄荷露·神株</t>
  </si>
  <si>
    <t>足年烈香花·神株</t>
  </si>
  <si>
    <t>足年甘露草·神株</t>
  </si>
  <si>
    <t>足年蜜香果·神株</t>
  </si>
  <si>
    <t>足年青梅草·神株</t>
  </si>
  <si>
    <t>足年火梅藤·神株</t>
  </si>
  <si>
    <t>足年黄连芽·神株</t>
  </si>
  <si>
    <t>足年苦参根·神株</t>
  </si>
  <si>
    <t>足年海潮苔·神株</t>
  </si>
  <si>
    <t>足年海砂苔·神株</t>
  </si>
  <si>
    <t>足年净元草·神株</t>
  </si>
  <si>
    <t>足年太和草·神株</t>
  </si>
  <si>
    <t>足年温脉花·神株</t>
  </si>
  <si>
    <t>足年烈阳藤·神株</t>
  </si>
  <si>
    <t>足年七叶丹莲·神株</t>
  </si>
  <si>
    <t>足年八脉丹藤·神株</t>
  </si>
  <si>
    <t>足年九环丹芝·神株</t>
  </si>
  <si>
    <t>足年定元参·道株</t>
  </si>
  <si>
    <t>道品</t>
  </si>
  <si>
    <t>足年铁骨藤·道株</t>
  </si>
  <si>
    <t>足年金英花·道株</t>
  </si>
  <si>
    <t>足年青玉藤·道株</t>
  </si>
  <si>
    <t>足年翠叶藤·道株</t>
  </si>
  <si>
    <t>足年寒潭藻·道株</t>
  </si>
  <si>
    <t>足年深潭苔·道株</t>
  </si>
  <si>
    <t>足年温阳花·道株</t>
  </si>
  <si>
    <t>足年丹炎苔·道株</t>
  </si>
  <si>
    <t>足年白岩参·道株</t>
  </si>
  <si>
    <t>足年厚元苔·道株</t>
  </si>
  <si>
    <t>足年薄荷露·道株</t>
  </si>
  <si>
    <t>足年烈香花·道株</t>
  </si>
  <si>
    <t>足年甘露草·道株</t>
  </si>
  <si>
    <t>足年蜜香果·道株</t>
  </si>
  <si>
    <t>足年青梅草·道株</t>
  </si>
  <si>
    <t>足年火梅藤·道株</t>
  </si>
  <si>
    <t>足年黄连芽·道株</t>
  </si>
  <si>
    <t>足年苦参根·道株</t>
  </si>
  <si>
    <t>足年海潮苔·道株</t>
  </si>
  <si>
    <t>足年海砂苔·道株</t>
  </si>
  <si>
    <t>足年净元草·道株</t>
  </si>
  <si>
    <t>足年太和草·道株</t>
  </si>
  <si>
    <t>足年温脉花·道株</t>
  </si>
  <si>
    <t>足年烈阳藤·道株</t>
  </si>
  <si>
    <t>足年七叶丹莲·道株</t>
  </si>
  <si>
    <t>足年八脉丹藤·道株</t>
  </si>
  <si>
    <t>足年九环丹芝·道株</t>
  </si>
  <si>
    <t>十载定元参·凡株</t>
  </si>
  <si>
    <t>金丹</t>
  </si>
  <si>
    <t>十载铁骨藤·凡株</t>
  </si>
  <si>
    <t>十载金英花·凡株</t>
  </si>
  <si>
    <t>十载青玉藤·凡株</t>
  </si>
  <si>
    <t>十载翠叶藤·凡株</t>
  </si>
  <si>
    <t>十载寒潭藻·凡株</t>
  </si>
  <si>
    <t>十载深潭苔·凡株</t>
  </si>
  <si>
    <t>十载温阳花·凡株</t>
  </si>
  <si>
    <t>十载丹炎苔·凡株</t>
  </si>
  <si>
    <t>十载白岩参·凡株</t>
  </si>
  <si>
    <t>十载厚元苔·凡株</t>
  </si>
  <si>
    <t>十载薄荷露·凡株</t>
  </si>
  <si>
    <t>十载烈香花·凡株</t>
  </si>
  <si>
    <t>十载甘露草·凡株</t>
  </si>
  <si>
    <t>十载蜜香果·凡株</t>
  </si>
  <si>
    <t>十载青梅草·凡株</t>
  </si>
  <si>
    <t>十载火梅藤·凡株</t>
  </si>
  <si>
    <t>十载黄连芽·凡株</t>
  </si>
  <si>
    <t>十载苦参根·凡株</t>
  </si>
  <si>
    <t>十载海潮苔·凡株</t>
  </si>
  <si>
    <t>十载海砂苔·凡株</t>
  </si>
  <si>
    <t>十载净元草·凡株</t>
  </si>
  <si>
    <t>十载太和草·凡株</t>
  </si>
  <si>
    <t>十载温脉花·凡株</t>
  </si>
  <si>
    <t>十载烈阳藤·凡株</t>
  </si>
  <si>
    <t>十载七叶丹莲·凡株</t>
  </si>
  <si>
    <t>十载八脉丹藤·凡株</t>
  </si>
  <si>
    <t>十载九环丹芝·凡株</t>
  </si>
  <si>
    <t>十载定元参·灵株</t>
  </si>
  <si>
    <t>十载铁骨藤·灵株</t>
  </si>
  <si>
    <t>十载金英花·灵株</t>
  </si>
  <si>
    <t>十载青玉藤·灵株</t>
  </si>
  <si>
    <t>十载翠叶藤·灵株</t>
  </si>
  <si>
    <t>十载寒潭藻·灵株</t>
  </si>
  <si>
    <t>十载深潭苔·灵株</t>
  </si>
  <si>
    <t>十载温阳花·灵株</t>
  </si>
  <si>
    <t>十载丹炎苔·灵株</t>
  </si>
  <si>
    <t>十载白岩参·灵株</t>
  </si>
  <si>
    <t>十载厚元苔·灵株</t>
  </si>
  <si>
    <t>十载薄荷露·灵株</t>
  </si>
  <si>
    <t>十载烈香花·灵株</t>
  </si>
  <si>
    <t>十载甘露草·灵株</t>
  </si>
  <si>
    <t>十载蜜香果·灵株</t>
  </si>
  <si>
    <t>十载青梅草·灵株</t>
  </si>
  <si>
    <t>十载火梅藤·灵株</t>
  </si>
  <si>
    <t>十载黄连芽·灵株</t>
  </si>
  <si>
    <t>十载苦参根·灵株</t>
  </si>
  <si>
    <t>十载海潮苔·灵株</t>
  </si>
  <si>
    <t>十载海砂苔·灵株</t>
  </si>
  <si>
    <t>十载净元草·灵株</t>
  </si>
  <si>
    <t>十载太和草·灵株</t>
  </si>
  <si>
    <t>十载温脉花·灵株</t>
  </si>
  <si>
    <t>十载烈阳藤·灵株</t>
  </si>
  <si>
    <t>十载七叶丹莲·灵株</t>
  </si>
  <si>
    <t>十载八脉丹藤·灵株</t>
  </si>
  <si>
    <t>十载九环丹芝·灵株</t>
  </si>
  <si>
    <t>十载定元参·玄株</t>
  </si>
  <si>
    <t>十载铁骨藤·玄株</t>
  </si>
  <si>
    <t>十载金英花·玄株</t>
  </si>
  <si>
    <t>十载青玉藤·玄株</t>
  </si>
  <si>
    <t>十载翠叶藤·玄株</t>
  </si>
  <si>
    <t>十载寒潭藻·玄株</t>
  </si>
  <si>
    <t>十载深潭苔·玄株</t>
  </si>
  <si>
    <t>十载温阳花·玄株</t>
  </si>
  <si>
    <t>十载丹炎苔·玄株</t>
  </si>
  <si>
    <t>十载白岩参·玄株</t>
  </si>
  <si>
    <t>十载厚元苔·玄株</t>
  </si>
  <si>
    <t>十载薄荷露·玄株</t>
  </si>
  <si>
    <t>十载烈香花·玄株</t>
  </si>
  <si>
    <t>十载甘露草·玄株</t>
  </si>
  <si>
    <t>十载蜜香果·玄株</t>
  </si>
  <si>
    <t>十载青梅草·玄株</t>
  </si>
  <si>
    <t>十载火梅藤·玄株</t>
  </si>
  <si>
    <t>十载黄连芽·玄株</t>
  </si>
  <si>
    <t>十载苦参根·玄株</t>
  </si>
  <si>
    <t>十载海潮苔·玄株</t>
  </si>
  <si>
    <t>十载海砂苔·玄株</t>
  </si>
  <si>
    <t>十载净元草·玄株</t>
  </si>
  <si>
    <t>十载太和草·玄株</t>
  </si>
  <si>
    <t>十载温脉花·玄株</t>
  </si>
  <si>
    <t>十载烈阳藤·玄株</t>
  </si>
  <si>
    <t>十载七叶丹莲·玄株</t>
  </si>
  <si>
    <t>十载八脉丹藤·玄株</t>
  </si>
  <si>
    <t>十载九环丹芝·玄株</t>
  </si>
  <si>
    <t>十载定元参·仙株</t>
  </si>
  <si>
    <t>十载铁骨藤·仙株</t>
  </si>
  <si>
    <t>十载金英花·仙株</t>
  </si>
  <si>
    <t>十载青玉藤·仙株</t>
  </si>
  <si>
    <t>十载翠叶藤·仙株</t>
  </si>
  <si>
    <t>十载寒潭藻·仙株</t>
  </si>
  <si>
    <t>十载深潭苔·仙株</t>
  </si>
  <si>
    <t>十载温阳花·仙株</t>
  </si>
  <si>
    <t>十载丹炎苔·仙株</t>
  </si>
  <si>
    <t>十载白岩参·仙株</t>
  </si>
  <si>
    <t>十载厚元苔·仙株</t>
  </si>
  <si>
    <t>十载薄荷露·仙株</t>
  </si>
  <si>
    <t>十载烈香花·仙株</t>
  </si>
  <si>
    <t>十载甘露草·仙株</t>
  </si>
  <si>
    <t>十载蜜香果·仙株</t>
  </si>
  <si>
    <t>十载青梅草·仙株</t>
  </si>
  <si>
    <t>十载火梅藤·仙株</t>
  </si>
  <si>
    <t>十载黄连芽·仙株</t>
  </si>
  <si>
    <t>十载苦参根·仙株</t>
  </si>
  <si>
    <t>十载海潮苔·仙株</t>
  </si>
  <si>
    <t>十载海砂苔·仙株</t>
  </si>
  <si>
    <t>十载净元草·仙株</t>
  </si>
  <si>
    <t>十载太和草·仙株</t>
  </si>
  <si>
    <t>十载温脉花·仙株</t>
  </si>
  <si>
    <t>十载烈阳藤·仙株</t>
  </si>
  <si>
    <t>十载七叶丹莲·仙株</t>
  </si>
  <si>
    <t>十载八脉丹藤·仙株</t>
  </si>
  <si>
    <t>十载九环丹芝·仙株</t>
  </si>
  <si>
    <t>十载定元参·神株</t>
  </si>
  <si>
    <t>十载铁骨藤·神株</t>
  </si>
  <si>
    <t>十载金英花·神株</t>
  </si>
  <si>
    <t>十载青玉藤·神株</t>
  </si>
  <si>
    <t>十载翠叶藤·神株</t>
  </si>
  <si>
    <t>十载寒潭藻·神株</t>
  </si>
  <si>
    <t>十载深潭苔·神株</t>
  </si>
  <si>
    <t>十载温阳花·神株</t>
  </si>
  <si>
    <t>十载丹炎苔·神株</t>
  </si>
  <si>
    <t>十载白岩参·神株</t>
  </si>
  <si>
    <t>十载厚元苔·神株</t>
  </si>
  <si>
    <t>十载薄荷露·神株</t>
  </si>
  <si>
    <t>十载烈香花·神株</t>
  </si>
  <si>
    <t>十载甘露草·神株</t>
  </si>
  <si>
    <t>十载蜜香果·神株</t>
  </si>
  <si>
    <t>十载青梅草·神株</t>
  </si>
  <si>
    <t>十载火梅藤·神株</t>
  </si>
  <si>
    <t>十载黄连芽·神株</t>
  </si>
  <si>
    <t>十载苦参根·神株</t>
  </si>
  <si>
    <t>十载海潮苔·神株</t>
  </si>
  <si>
    <t>十载海砂苔·神株</t>
  </si>
  <si>
    <t>十载净元草·神株</t>
  </si>
  <si>
    <t>十载太和草·神株</t>
  </si>
  <si>
    <t>十载温脉花·神株</t>
  </si>
  <si>
    <t>十载烈阳藤·神株</t>
  </si>
  <si>
    <t>十载七叶丹莲·神株</t>
  </si>
  <si>
    <t>十载八脉丹藤·神株</t>
  </si>
  <si>
    <t>十载九环丹芝·神株</t>
  </si>
  <si>
    <t>十载定元参·道株</t>
  </si>
  <si>
    <t>十载铁骨藤·道株</t>
  </si>
  <si>
    <t>十载金英花·道株</t>
  </si>
  <si>
    <t>十载青玉藤·道株</t>
  </si>
  <si>
    <t>十载翠叶藤·道株</t>
  </si>
  <si>
    <t>十载寒潭藻·道株</t>
  </si>
  <si>
    <t>十载深潭苔·道株</t>
  </si>
  <si>
    <t>十载温阳花·道株</t>
  </si>
  <si>
    <t>十载丹炎苔·道株</t>
  </si>
  <si>
    <t>十载白岩参·道株</t>
  </si>
  <si>
    <t>十载厚元苔·道株</t>
  </si>
  <si>
    <t>十载薄荷露·道株</t>
  </si>
  <si>
    <t>十载烈香花·道株</t>
  </si>
  <si>
    <t>十载甘露草·道株</t>
  </si>
  <si>
    <t>十载蜜香果·道株</t>
  </si>
  <si>
    <t>十载青梅草·道株</t>
  </si>
  <si>
    <t>十载火梅藤·道株</t>
  </si>
  <si>
    <t>十载黄连芽·道株</t>
  </si>
  <si>
    <t>十载苦参根·道株</t>
  </si>
  <si>
    <t>十载海潮苔·道株</t>
  </si>
  <si>
    <t>十载海砂苔·道株</t>
  </si>
  <si>
    <t>十载净元草·道株</t>
  </si>
  <si>
    <t>十载太和草·道株</t>
  </si>
  <si>
    <t>十载温脉花·道株</t>
  </si>
  <si>
    <t>十载烈阳藤·道株</t>
  </si>
  <si>
    <t>十载七叶丹莲·道株</t>
  </si>
  <si>
    <t>十载八脉丹藤·道株</t>
  </si>
  <si>
    <t>十载九环丹芝·道株</t>
  </si>
  <si>
    <t>百载定元参·凡株</t>
  </si>
  <si>
    <t>元婴</t>
  </si>
  <si>
    <t>百载铁骨藤·凡株</t>
  </si>
  <si>
    <t>百载金英花·凡株</t>
  </si>
  <si>
    <t>百载青玉藤·凡株</t>
  </si>
  <si>
    <t>百载翠叶藤·凡株</t>
  </si>
  <si>
    <t>百载寒潭藻·凡株</t>
  </si>
  <si>
    <t>百载深潭苔·凡株</t>
  </si>
  <si>
    <t>百载温阳花·凡株</t>
  </si>
  <si>
    <t>百载丹炎苔·凡株</t>
  </si>
  <si>
    <t>百载白岩参·凡株</t>
  </si>
  <si>
    <t>百载厚元苔·凡株</t>
  </si>
  <si>
    <t>百载薄荷露·凡株</t>
  </si>
  <si>
    <t>百载烈香花·凡株</t>
  </si>
  <si>
    <t>百载甘露草·凡株</t>
  </si>
  <si>
    <t>百载蜜香果·凡株</t>
  </si>
  <si>
    <t>百载青梅草·凡株</t>
  </si>
  <si>
    <t>百载火梅藤·凡株</t>
  </si>
  <si>
    <t>百载黄连芽·凡株</t>
  </si>
  <si>
    <t>百载苦参根·凡株</t>
  </si>
  <si>
    <t>百载海潮苔·凡株</t>
  </si>
  <si>
    <t>百载海砂苔·凡株</t>
  </si>
  <si>
    <t>百载净元草·凡株</t>
  </si>
  <si>
    <t>百载太和草·凡株</t>
  </si>
  <si>
    <t>百载温脉花·凡株</t>
  </si>
  <si>
    <t>百载烈阳藤·凡株</t>
  </si>
  <si>
    <t>百载七叶丹莲·凡株</t>
  </si>
  <si>
    <t>百载八脉丹藤·凡株</t>
  </si>
  <si>
    <t>百载九环丹芝·凡株</t>
  </si>
  <si>
    <t>百载定元参·灵株</t>
  </si>
  <si>
    <t>百载铁骨藤·灵株</t>
  </si>
  <si>
    <t>百载金英花·灵株</t>
  </si>
  <si>
    <t>百载青玉藤·灵株</t>
  </si>
  <si>
    <t>百载翠叶藤·灵株</t>
  </si>
  <si>
    <t>百载寒潭藻·灵株</t>
  </si>
  <si>
    <t>百载深潭苔·灵株</t>
  </si>
  <si>
    <t>百载温阳花·灵株</t>
  </si>
  <si>
    <t>百载丹炎苔·灵株</t>
  </si>
  <si>
    <t>百载白岩参·灵株</t>
  </si>
  <si>
    <t>百载厚元苔·灵株</t>
  </si>
  <si>
    <t>百载薄荷露·灵株</t>
  </si>
  <si>
    <t>百载烈香花·灵株</t>
  </si>
  <si>
    <t>百载甘露草·灵株</t>
  </si>
  <si>
    <t>百载蜜香果·灵株</t>
  </si>
  <si>
    <t>百载青梅草·灵株</t>
  </si>
  <si>
    <t>百载火梅藤·灵株</t>
  </si>
  <si>
    <t>百载黄连芽·灵株</t>
  </si>
  <si>
    <t>百载苦参根·灵株</t>
  </si>
  <si>
    <t>百载海潮苔·灵株</t>
  </si>
  <si>
    <t>百载海砂苔·灵株</t>
  </si>
  <si>
    <t>百载净元草·灵株</t>
  </si>
  <si>
    <t>百载太和草·灵株</t>
  </si>
  <si>
    <t>百载温脉花·灵株</t>
  </si>
  <si>
    <t>百载烈阳藤·灵株</t>
  </si>
  <si>
    <t>百载七叶丹莲·灵株</t>
  </si>
  <si>
    <t>百载八脉丹藤·灵株</t>
  </si>
  <si>
    <t>百载九环丹芝·灵株</t>
  </si>
  <si>
    <t>百载定元参·玄株</t>
  </si>
  <si>
    <t>百载铁骨藤·玄株</t>
  </si>
  <si>
    <t>百载金英花·玄株</t>
  </si>
  <si>
    <t>百载青玉藤·玄株</t>
  </si>
  <si>
    <t>百载翠叶藤·玄株</t>
  </si>
  <si>
    <t>百载寒潭藻·玄株</t>
  </si>
  <si>
    <t>百载深潭苔·玄株</t>
  </si>
  <si>
    <t>百载温阳花·玄株</t>
  </si>
  <si>
    <t>百载丹炎苔·玄株</t>
  </si>
  <si>
    <t>百载白岩参·玄株</t>
  </si>
  <si>
    <t>百载厚元苔·玄株</t>
  </si>
  <si>
    <t>百载薄荷露·玄株</t>
  </si>
  <si>
    <t>百载烈香花·玄株</t>
  </si>
  <si>
    <t>百载甘露草·玄株</t>
  </si>
  <si>
    <t>百载蜜香果·玄株</t>
  </si>
  <si>
    <t>百载青梅草·玄株</t>
  </si>
  <si>
    <t>百载火梅藤·玄株</t>
  </si>
  <si>
    <t>百载黄连芽·玄株</t>
  </si>
  <si>
    <t>百载苦参根·玄株</t>
  </si>
  <si>
    <t>百载海潮苔·玄株</t>
  </si>
  <si>
    <t>百载海砂苔·玄株</t>
  </si>
  <si>
    <t>百载净元草·玄株</t>
  </si>
  <si>
    <t>百载太和草·玄株</t>
  </si>
  <si>
    <t>百载温脉花·玄株</t>
  </si>
  <si>
    <t>百载烈阳藤·玄株</t>
  </si>
  <si>
    <t>百载七叶丹莲·玄株</t>
  </si>
  <si>
    <t>百载八脉丹藤·玄株</t>
  </si>
  <si>
    <t>百载九环丹芝·玄株</t>
  </si>
  <si>
    <t>百载定元参·仙株</t>
  </si>
  <si>
    <t>百载铁骨藤·仙株</t>
  </si>
  <si>
    <t>百载金英花·仙株</t>
  </si>
  <si>
    <t>百载青玉藤·仙株</t>
  </si>
  <si>
    <t>百载翠叶藤·仙株</t>
  </si>
  <si>
    <t>百载寒潭藻·仙株</t>
  </si>
  <si>
    <t>百载深潭苔·仙株</t>
  </si>
  <si>
    <t>百载温阳花·仙株</t>
  </si>
  <si>
    <t>百载丹炎苔·仙株</t>
  </si>
  <si>
    <t>百载白岩参·仙株</t>
  </si>
  <si>
    <t>百载厚元苔·仙株</t>
  </si>
  <si>
    <t>百载薄荷露·仙株</t>
  </si>
  <si>
    <t>百载烈香花·仙株</t>
  </si>
  <si>
    <t>百载甘露草·仙株</t>
  </si>
  <si>
    <t>百载蜜香果·仙株</t>
  </si>
  <si>
    <t>百载青梅草·仙株</t>
  </si>
  <si>
    <t>百载火梅藤·仙株</t>
  </si>
  <si>
    <t>百载黄连芽·仙株</t>
  </si>
  <si>
    <t>百载苦参根·仙株</t>
  </si>
  <si>
    <t>百载海潮苔·仙株</t>
  </si>
  <si>
    <t>百载海砂苔·仙株</t>
  </si>
  <si>
    <t>百载净元草·仙株</t>
  </si>
  <si>
    <t>百载太和草·仙株</t>
  </si>
  <si>
    <t>百载温脉花·仙株</t>
  </si>
  <si>
    <t>百载烈阳藤·仙株</t>
  </si>
  <si>
    <t>百载七叶丹莲·仙株</t>
  </si>
  <si>
    <t>百载八脉丹藤·仙株</t>
  </si>
  <si>
    <t>百载九环丹芝·仙株</t>
  </si>
  <si>
    <t>百载定元参·神株</t>
  </si>
  <si>
    <t>百载铁骨藤·神株</t>
  </si>
  <si>
    <t>百载金英花·神株</t>
  </si>
  <si>
    <t>百载青玉藤·神株</t>
  </si>
  <si>
    <t>百载翠叶藤·神株</t>
  </si>
  <si>
    <t>百载寒潭藻·神株</t>
  </si>
  <si>
    <t>百载深潭苔·神株</t>
  </si>
  <si>
    <t>百载温阳花·神株</t>
  </si>
  <si>
    <t>百载丹炎苔·神株</t>
  </si>
  <si>
    <t>百载白岩参·神株</t>
  </si>
  <si>
    <t>百载厚元苔·神株</t>
  </si>
  <si>
    <t>百载薄荷露·神株</t>
  </si>
  <si>
    <t>百载烈香花·神株</t>
  </si>
  <si>
    <t>百载甘露草·神株</t>
  </si>
  <si>
    <t>百载蜜香果·神株</t>
  </si>
  <si>
    <t>百载青梅草·神株</t>
  </si>
  <si>
    <t>百载火梅藤·神株</t>
  </si>
  <si>
    <t>百载黄连芽·神株</t>
  </si>
  <si>
    <t>百载苦参根·神株</t>
  </si>
  <si>
    <t>百载海潮苔·神株</t>
  </si>
  <si>
    <t>百载海砂苔·神株</t>
  </si>
  <si>
    <t>百载净元草·神株</t>
  </si>
  <si>
    <t>百载太和草·神株</t>
  </si>
  <si>
    <t>百载温脉花·神株</t>
  </si>
  <si>
    <t>百载烈阳藤·神株</t>
  </si>
  <si>
    <t>百载七叶丹莲·神株</t>
  </si>
  <si>
    <t>百载八脉丹藤·神株</t>
  </si>
  <si>
    <t>百载九环丹芝·神株</t>
  </si>
  <si>
    <t>百载定元参·道株</t>
  </si>
  <si>
    <t>百载铁骨藤·道株</t>
  </si>
  <si>
    <t>百载金英花·道株</t>
  </si>
  <si>
    <t>百载青玉藤·道株</t>
  </si>
  <si>
    <t>百载翠叶藤·道株</t>
  </si>
  <si>
    <t>百载寒潭藻·道株</t>
  </si>
  <si>
    <t>百载深潭苔·道株</t>
  </si>
  <si>
    <t>百载温阳花·道株</t>
  </si>
  <si>
    <t>百载丹炎苔·道株</t>
  </si>
  <si>
    <t>百载白岩参·道株</t>
  </si>
  <si>
    <t>百载厚元苔·道株</t>
  </si>
  <si>
    <t>百载薄荷露·道株</t>
  </si>
  <si>
    <t>百载烈香花·道株</t>
  </si>
  <si>
    <t>百载甘露草·道株</t>
  </si>
  <si>
    <t>百载蜜香果·道株</t>
  </si>
  <si>
    <t>百载青梅草·道株</t>
  </si>
  <si>
    <t>百载火梅藤·道株</t>
  </si>
  <si>
    <t>百载黄连芽·道株</t>
  </si>
  <si>
    <t>百载苦参根·道株</t>
  </si>
  <si>
    <t>百载海潮苔·道株</t>
  </si>
  <si>
    <t>百载海砂苔·道株</t>
  </si>
  <si>
    <t>百载净元草·道株</t>
  </si>
  <si>
    <t>百载太和草·道株</t>
  </si>
  <si>
    <t>百载温脉花·道株</t>
  </si>
  <si>
    <t>百载烈阳藤·道株</t>
  </si>
  <si>
    <t>百载七叶丹莲·道株</t>
  </si>
  <si>
    <t>百载八脉丹藤·道株</t>
  </si>
  <si>
    <t>百载九环丹芝·道株</t>
  </si>
  <si>
    <t>千载定元参·凡株</t>
  </si>
  <si>
    <t>化神</t>
  </si>
  <si>
    <t>千载铁骨藤·凡株</t>
  </si>
  <si>
    <t>千载金英花·凡株</t>
  </si>
  <si>
    <t>千载青玉藤·凡株</t>
  </si>
  <si>
    <t>千载翠叶藤·凡株</t>
  </si>
  <si>
    <t>千载寒潭藻·凡株</t>
  </si>
  <si>
    <t>千载深潭苔·凡株</t>
  </si>
  <si>
    <t>千载温阳花·凡株</t>
  </si>
  <si>
    <t>千载丹炎苔·凡株</t>
  </si>
  <si>
    <t>千载白岩参·凡株</t>
  </si>
  <si>
    <t>千载厚元苔·凡株</t>
  </si>
  <si>
    <t>千载薄荷露·凡株</t>
  </si>
  <si>
    <t>千载烈香花·凡株</t>
  </si>
  <si>
    <t>千载甘露草·凡株</t>
  </si>
  <si>
    <t>千载蜜香果·凡株</t>
  </si>
  <si>
    <t>千载青梅草·凡株</t>
  </si>
  <si>
    <t>千载火梅藤·凡株</t>
  </si>
  <si>
    <t>千载黄连芽·凡株</t>
  </si>
  <si>
    <t>千载苦参根·凡株</t>
  </si>
  <si>
    <t>千载海潮苔·凡株</t>
  </si>
  <si>
    <t>千载海砂苔·凡株</t>
  </si>
  <si>
    <t>千载净元草·凡株</t>
  </si>
  <si>
    <t>千载太和草·凡株</t>
  </si>
  <si>
    <t>千载温脉花·凡株</t>
  </si>
  <si>
    <t>千载烈阳藤·凡株</t>
  </si>
  <si>
    <t>千载七叶丹莲·凡株</t>
  </si>
  <si>
    <t>千载八脉丹藤·凡株</t>
  </si>
  <si>
    <t>千载九环丹芝·凡株</t>
  </si>
  <si>
    <t>千载定元参·灵株</t>
  </si>
  <si>
    <t>千载铁骨藤·灵株</t>
  </si>
  <si>
    <t>千载金英花·灵株</t>
  </si>
  <si>
    <t>千载青玉藤·灵株</t>
  </si>
  <si>
    <t>千载翠叶藤·灵株</t>
  </si>
  <si>
    <t>千载寒潭藻·灵株</t>
  </si>
  <si>
    <t>千载深潭苔·灵株</t>
  </si>
  <si>
    <t>千载温阳花·灵株</t>
  </si>
  <si>
    <t>千载丹炎苔·灵株</t>
  </si>
  <si>
    <t>千载白岩参·灵株</t>
  </si>
  <si>
    <t>千载厚元苔·灵株</t>
  </si>
  <si>
    <t>千载薄荷露·灵株</t>
  </si>
  <si>
    <t>千载烈香花·灵株</t>
  </si>
  <si>
    <t>千载甘露草·灵株</t>
  </si>
  <si>
    <t>千载蜜香果·灵株</t>
  </si>
  <si>
    <t>千载青梅草·灵株</t>
  </si>
  <si>
    <t>千载火梅藤·灵株</t>
  </si>
  <si>
    <t>千载黄连芽·灵株</t>
  </si>
  <si>
    <t>千载苦参根·灵株</t>
  </si>
  <si>
    <t>千载海潮苔·灵株</t>
  </si>
  <si>
    <t>千载海砂苔·灵株</t>
  </si>
  <si>
    <t>千载净元草·灵株</t>
  </si>
  <si>
    <t>千载太和草·灵株</t>
  </si>
  <si>
    <t>千载温脉花·灵株</t>
  </si>
  <si>
    <t>千载烈阳藤·灵株</t>
  </si>
  <si>
    <t>千载七叶丹莲·灵株</t>
  </si>
  <si>
    <t>千载八脉丹藤·灵株</t>
  </si>
  <si>
    <t>千载九环丹芝·灵株</t>
  </si>
  <si>
    <t>千载定元参·玄株</t>
  </si>
  <si>
    <t>千载铁骨藤·玄株</t>
  </si>
  <si>
    <t>千载金英花·玄株</t>
  </si>
  <si>
    <t>千载青玉藤·玄株</t>
  </si>
  <si>
    <t>千载翠叶藤·玄株</t>
  </si>
  <si>
    <t>千载寒潭藻·玄株</t>
  </si>
  <si>
    <t>千载深潭苔·玄株</t>
  </si>
  <si>
    <t>千载温阳花·玄株</t>
  </si>
  <si>
    <t>千载丹炎苔·玄株</t>
  </si>
  <si>
    <t>千载白岩参·玄株</t>
  </si>
  <si>
    <t>千载厚元苔·玄株</t>
  </si>
  <si>
    <t>千载薄荷露·玄株</t>
  </si>
  <si>
    <t>千载烈香花·玄株</t>
  </si>
  <si>
    <t>千载甘露草·玄株</t>
  </si>
  <si>
    <t>千载蜜香果·玄株</t>
  </si>
  <si>
    <t>千载青梅草·玄株</t>
  </si>
  <si>
    <t>千载火梅藤·玄株</t>
  </si>
  <si>
    <t>千载黄连芽·玄株</t>
  </si>
  <si>
    <t>千载苦参根·玄株</t>
  </si>
  <si>
    <t>千载海潮苔·玄株</t>
  </si>
  <si>
    <t>千载海砂苔·玄株</t>
  </si>
  <si>
    <t>千载净元草·玄株</t>
  </si>
  <si>
    <t>千载太和草·玄株</t>
  </si>
  <si>
    <t>千载温脉花·玄株</t>
  </si>
  <si>
    <t>千载烈阳藤·玄株</t>
  </si>
  <si>
    <t>千载七叶丹莲·玄株</t>
  </si>
  <si>
    <t>千载八脉丹藤·玄株</t>
  </si>
  <si>
    <t>千载九环丹芝·玄株</t>
  </si>
  <si>
    <t>千载定元参·仙株</t>
  </si>
  <si>
    <t>千载铁骨藤·仙株</t>
  </si>
  <si>
    <t>千载金英花·仙株</t>
  </si>
  <si>
    <t>千载青玉藤·仙株</t>
  </si>
  <si>
    <t>千载翠叶藤·仙株</t>
  </si>
  <si>
    <t>千载寒潭藻·仙株</t>
  </si>
  <si>
    <t>千载深潭苔·仙株</t>
  </si>
  <si>
    <t>千载温阳花·仙株</t>
  </si>
  <si>
    <t>千载丹炎苔·仙株</t>
  </si>
  <si>
    <t>千载白岩参·仙株</t>
  </si>
  <si>
    <t>千载厚元苔·仙株</t>
  </si>
  <si>
    <t>千载薄荷露·仙株</t>
  </si>
  <si>
    <t>千载烈香花·仙株</t>
  </si>
  <si>
    <t>千载甘露草·仙株</t>
  </si>
  <si>
    <t>千载蜜香果·仙株</t>
  </si>
  <si>
    <t>千载青梅草·仙株</t>
  </si>
  <si>
    <t>千载火梅藤·仙株</t>
  </si>
  <si>
    <t>千载黄连芽·仙株</t>
  </si>
  <si>
    <t>千载苦参根·仙株</t>
  </si>
  <si>
    <t>千载海潮苔·仙株</t>
  </si>
  <si>
    <t>千载海砂苔·仙株</t>
  </si>
  <si>
    <t>千载净元草·仙株</t>
  </si>
  <si>
    <t>千载太和草·仙株</t>
  </si>
  <si>
    <t>千载温脉花·仙株</t>
  </si>
  <si>
    <t>千载烈阳藤·仙株</t>
  </si>
  <si>
    <t>千载七叶丹莲·仙株</t>
  </si>
  <si>
    <t>千载八脉丹藤·仙株</t>
  </si>
  <si>
    <t>千载九环丹芝·仙株</t>
  </si>
  <si>
    <t>千载定元参·神株</t>
  </si>
  <si>
    <t>千载铁骨藤·神株</t>
  </si>
  <si>
    <t>千载金英花·神株</t>
  </si>
  <si>
    <t>千载青玉藤·神株</t>
  </si>
  <si>
    <t>千载翠叶藤·神株</t>
  </si>
  <si>
    <t>千载寒潭藻·神株</t>
  </si>
  <si>
    <t>千载深潭苔·神株</t>
  </si>
  <si>
    <t>千载温阳花·神株</t>
  </si>
  <si>
    <t>千载丹炎苔·神株</t>
  </si>
  <si>
    <t>千载白岩参·神株</t>
  </si>
  <si>
    <t>千载厚元苔·神株</t>
  </si>
  <si>
    <t>千载薄荷露·神株</t>
  </si>
  <si>
    <t>千载烈香花·神株</t>
  </si>
  <si>
    <t>千载甘露草·神株</t>
  </si>
  <si>
    <t>千载蜜香果·神株</t>
  </si>
  <si>
    <t>千载青梅草·神株</t>
  </si>
  <si>
    <t>千载火梅藤·神株</t>
  </si>
  <si>
    <t>千载黄连芽·神株</t>
  </si>
  <si>
    <t>千载苦参根·神株</t>
  </si>
  <si>
    <t>千载海潮苔·神株</t>
  </si>
  <si>
    <t>千载海砂苔·神株</t>
  </si>
  <si>
    <t>千载净元草·神株</t>
  </si>
  <si>
    <t>千载太和草·神株</t>
  </si>
  <si>
    <t>千载温脉花·神株</t>
  </si>
  <si>
    <t>千载烈阳藤·神株</t>
  </si>
  <si>
    <t>千载七叶丹莲·神株</t>
  </si>
  <si>
    <t>千载八脉丹藤·神株</t>
  </si>
  <si>
    <t>千载九环丹芝·神株</t>
  </si>
  <si>
    <t>千载定元参·道株</t>
  </si>
  <si>
    <t>千载铁骨藤·道株</t>
  </si>
  <si>
    <t>千载金英花·道株</t>
  </si>
  <si>
    <t>千载青玉藤·道株</t>
  </si>
  <si>
    <t>千载翠叶藤·道株</t>
  </si>
  <si>
    <t>千载寒潭藻·道株</t>
  </si>
  <si>
    <t>千载深潭苔·道株</t>
  </si>
  <si>
    <t>千载温阳花·道株</t>
  </si>
  <si>
    <t>千载丹炎苔·道株</t>
  </si>
  <si>
    <t>千载白岩参·道株</t>
  </si>
  <si>
    <t>千载厚元苔·道株</t>
  </si>
  <si>
    <t>千载薄荷露·道株</t>
  </si>
  <si>
    <t>千载烈香花·道株</t>
  </si>
  <si>
    <t>千载甘露草·道株</t>
  </si>
  <si>
    <t>千载蜜香果·道株</t>
  </si>
  <si>
    <t>千载青梅草·道株</t>
  </si>
  <si>
    <t>千载火梅藤·道株</t>
  </si>
  <si>
    <t>千载黄连芽·道株</t>
  </si>
  <si>
    <t>千载苦参根·道株</t>
  </si>
  <si>
    <t>千载海潮苔·道株</t>
  </si>
  <si>
    <t>千载海砂苔·道株</t>
  </si>
  <si>
    <t>千载净元草·道株</t>
  </si>
  <si>
    <t>千载太和草·道株</t>
  </si>
  <si>
    <t>千载温脉花·道株</t>
  </si>
  <si>
    <t>千载烈阳藤·道株</t>
  </si>
  <si>
    <t>千载七叶丹莲·道株</t>
  </si>
  <si>
    <t>千载八脉丹藤·道株</t>
  </si>
  <si>
    <t>千载九环丹芝·道株</t>
  </si>
  <si>
    <t>万载定元参·凡株</t>
  </si>
  <si>
    <t>炼虚</t>
  </si>
  <si>
    <t>万载铁骨藤·凡株</t>
  </si>
  <si>
    <t>万载金英花·凡株</t>
  </si>
  <si>
    <t>万载青玉藤·凡株</t>
  </si>
  <si>
    <t>万载翠叶藤·凡株</t>
  </si>
  <si>
    <t>万载寒潭藻·凡株</t>
  </si>
  <si>
    <t>万载深潭苔·凡株</t>
  </si>
  <si>
    <t>万载温阳花·凡株</t>
  </si>
  <si>
    <t>万载丹炎苔·凡株</t>
  </si>
  <si>
    <t>万载白岩参·凡株</t>
  </si>
  <si>
    <t>万载厚元苔·凡株</t>
  </si>
  <si>
    <t>万载薄荷露·凡株</t>
  </si>
  <si>
    <t>万载烈香花·凡株</t>
  </si>
  <si>
    <t>万载甘露草·凡株</t>
  </si>
  <si>
    <t>万载蜜香果·凡株</t>
  </si>
  <si>
    <t>万载青梅草·凡株</t>
  </si>
  <si>
    <t>万载火梅藤·凡株</t>
  </si>
  <si>
    <t>万载黄连芽·凡株</t>
  </si>
  <si>
    <t>万载苦参根·凡株</t>
  </si>
  <si>
    <t>万载海潮苔·凡株</t>
  </si>
  <si>
    <t>万载海砂苔·凡株</t>
  </si>
  <si>
    <t>万载净元草·凡株</t>
  </si>
  <si>
    <t>万载太和草·凡株</t>
  </si>
  <si>
    <t>万载温脉花·凡株</t>
  </si>
  <si>
    <t>万载烈阳藤·凡株</t>
  </si>
  <si>
    <t>万载七叶丹莲·凡株</t>
  </si>
  <si>
    <t>万载八脉丹藤·凡株</t>
  </si>
  <si>
    <t>万载九环丹芝·凡株</t>
  </si>
  <si>
    <t>万载定元参·灵株</t>
  </si>
  <si>
    <t>万载铁骨藤·灵株</t>
  </si>
  <si>
    <t>万载金英花·灵株</t>
  </si>
  <si>
    <t>万载青玉藤·灵株</t>
  </si>
  <si>
    <t>万载翠叶藤·灵株</t>
  </si>
  <si>
    <t>万载寒潭藻·灵株</t>
  </si>
  <si>
    <t>万载深潭苔·灵株</t>
  </si>
  <si>
    <t>万载温阳花·灵株</t>
  </si>
  <si>
    <t>万载丹炎苔·灵株</t>
  </si>
  <si>
    <t>万载白岩参·灵株</t>
  </si>
  <si>
    <t>万载厚元苔·灵株</t>
  </si>
  <si>
    <t>万载薄荷露·灵株</t>
  </si>
  <si>
    <t>万载烈香花·灵株</t>
  </si>
  <si>
    <t>万载甘露草·灵株</t>
  </si>
  <si>
    <t>万载蜜香果·灵株</t>
  </si>
  <si>
    <t>万载青梅草·灵株</t>
  </si>
  <si>
    <t>万载火梅藤·灵株</t>
  </si>
  <si>
    <t>万载黄连芽·灵株</t>
  </si>
  <si>
    <t>万载苦参根·灵株</t>
  </si>
  <si>
    <t>万载海潮苔·灵株</t>
  </si>
  <si>
    <t>万载海砂苔·灵株</t>
  </si>
  <si>
    <t>万载净元草·灵株</t>
  </si>
  <si>
    <t>万载太和草·灵株</t>
  </si>
  <si>
    <t>万载温脉花·灵株</t>
  </si>
  <si>
    <t>万载烈阳藤·灵株</t>
  </si>
  <si>
    <t>万载七叶丹莲·灵株</t>
  </si>
  <si>
    <t>万载八脉丹藤·灵株</t>
  </si>
  <si>
    <t>万载九环丹芝·灵株</t>
  </si>
  <si>
    <t>万载定元参·玄株</t>
  </si>
  <si>
    <t>万载铁骨藤·玄株</t>
  </si>
  <si>
    <t>万载金英花·玄株</t>
  </si>
  <si>
    <t>万载青玉藤·玄株</t>
  </si>
  <si>
    <t>万载翠叶藤·玄株</t>
  </si>
  <si>
    <t>万载寒潭藻·玄株</t>
  </si>
  <si>
    <t>万载深潭苔·玄株</t>
  </si>
  <si>
    <t>万载温阳花·玄株</t>
  </si>
  <si>
    <t>万载丹炎苔·玄株</t>
  </si>
  <si>
    <t>万载白岩参·玄株</t>
  </si>
  <si>
    <t>万载厚元苔·玄株</t>
  </si>
  <si>
    <t>万载薄荷露·玄株</t>
  </si>
  <si>
    <t>万载烈香花·玄株</t>
  </si>
  <si>
    <t>万载甘露草·玄株</t>
  </si>
  <si>
    <t>万载蜜香果·玄株</t>
  </si>
  <si>
    <t>万载青梅草·玄株</t>
  </si>
  <si>
    <t>万载火梅藤·玄株</t>
  </si>
  <si>
    <t>万载黄连芽·玄株</t>
  </si>
  <si>
    <t>万载苦参根·玄株</t>
  </si>
  <si>
    <t>万载海潮苔·玄株</t>
  </si>
  <si>
    <t>万载海砂苔·玄株</t>
  </si>
  <si>
    <t>万载净元草·玄株</t>
  </si>
  <si>
    <t>万载太和草·玄株</t>
  </si>
  <si>
    <t>万载温脉花·玄株</t>
  </si>
  <si>
    <t>万载烈阳藤·玄株</t>
  </si>
  <si>
    <t>万载七叶丹莲·玄株</t>
  </si>
  <si>
    <t>万载八脉丹藤·玄株</t>
  </si>
  <si>
    <t>万载九环丹芝·玄株</t>
  </si>
  <si>
    <t>万载定元参·仙株</t>
  </si>
  <si>
    <t>万载铁骨藤·仙株</t>
  </si>
  <si>
    <t>万载金英花·仙株</t>
  </si>
  <si>
    <t>万载青玉藤·仙株</t>
  </si>
  <si>
    <t>万载翠叶藤·仙株</t>
  </si>
  <si>
    <t>万载寒潭藻·仙株</t>
  </si>
  <si>
    <t>万载深潭苔·仙株</t>
  </si>
  <si>
    <t>万载温阳花·仙株</t>
  </si>
  <si>
    <t>万载丹炎苔·仙株</t>
  </si>
  <si>
    <t>万载白岩参·仙株</t>
  </si>
  <si>
    <t>万载厚元苔·仙株</t>
  </si>
  <si>
    <t>万载薄荷露·仙株</t>
  </si>
  <si>
    <t>万载烈香花·仙株</t>
  </si>
  <si>
    <t>万载甘露草·仙株</t>
  </si>
  <si>
    <t>万载蜜香果·仙株</t>
  </si>
  <si>
    <t>万载青梅草·仙株</t>
  </si>
  <si>
    <t>万载火梅藤·仙株</t>
  </si>
  <si>
    <t>万载黄连芽·仙株</t>
  </si>
  <si>
    <t>万载苦参根·仙株</t>
  </si>
  <si>
    <t>万载海潮苔·仙株</t>
  </si>
  <si>
    <t>万载海砂苔·仙株</t>
  </si>
  <si>
    <t>万载净元草·仙株</t>
  </si>
  <si>
    <t>万载太和草·仙株</t>
  </si>
  <si>
    <t>万载温脉花·仙株</t>
  </si>
  <si>
    <t>万载烈阳藤·仙株</t>
  </si>
  <si>
    <t>万载七叶丹莲·仙株</t>
  </si>
  <si>
    <t>万载八脉丹藤·仙株</t>
  </si>
  <si>
    <t>万载九环丹芝·仙株</t>
  </si>
  <si>
    <t>万载定元参·神株</t>
  </si>
  <si>
    <t>万载铁骨藤·神株</t>
  </si>
  <si>
    <t>万载金英花·神株</t>
  </si>
  <si>
    <t>万载青玉藤·神株</t>
  </si>
  <si>
    <t>万载翠叶藤·神株</t>
  </si>
  <si>
    <t>万载寒潭藻·神株</t>
  </si>
  <si>
    <t>万载深潭苔·神株</t>
  </si>
  <si>
    <t>万载温阳花·神株</t>
  </si>
  <si>
    <t>万载丹炎苔·神株</t>
  </si>
  <si>
    <t>万载白岩参·神株</t>
  </si>
  <si>
    <t>万载厚元苔·神株</t>
  </si>
  <si>
    <t>万载薄荷露·神株</t>
  </si>
  <si>
    <t>万载烈香花·神株</t>
  </si>
  <si>
    <t>万载甘露草·神株</t>
  </si>
  <si>
    <t>万载蜜香果·神株</t>
  </si>
  <si>
    <t>万载青梅草·神株</t>
  </si>
  <si>
    <t>万载火梅藤·神株</t>
  </si>
  <si>
    <t>万载黄连芽·神株</t>
  </si>
  <si>
    <t>万载苦参根·神株</t>
  </si>
  <si>
    <t>万载海潮苔·神株</t>
  </si>
  <si>
    <t>万载海砂苔·神株</t>
  </si>
  <si>
    <t>万载净元草·神株</t>
  </si>
  <si>
    <t>万载太和草·神株</t>
  </si>
  <si>
    <t>万载温脉花·神株</t>
  </si>
  <si>
    <t>万载烈阳藤·神株</t>
  </si>
  <si>
    <t>万载七叶丹莲·神株</t>
  </si>
  <si>
    <t>万载八脉丹藤·神株</t>
  </si>
  <si>
    <t>万载九环丹芝·神株</t>
  </si>
  <si>
    <t>万载定元参·道株</t>
  </si>
  <si>
    <t>万载铁骨藤·道株</t>
  </si>
  <si>
    <t>万载金英花·道株</t>
  </si>
  <si>
    <t>万载青玉藤·道株</t>
  </si>
  <si>
    <t>万载翠叶藤·道株</t>
  </si>
  <si>
    <t>万载寒潭藻·道株</t>
  </si>
  <si>
    <t>万载深潭苔·道株</t>
  </si>
  <si>
    <t>万载温阳花·道株</t>
  </si>
  <si>
    <t>万载丹炎苔·道株</t>
  </si>
  <si>
    <t>万载白岩参·道株</t>
  </si>
  <si>
    <t>万载厚元苔·道株</t>
  </si>
  <si>
    <t>万载薄荷露·道株</t>
  </si>
  <si>
    <t>万载烈香花·道株</t>
  </si>
  <si>
    <t>万载甘露草·道株</t>
  </si>
  <si>
    <t>万载蜜香果·道株</t>
  </si>
  <si>
    <t>万载青梅草·道株</t>
  </si>
  <si>
    <t>万载火梅藤·道株</t>
  </si>
  <si>
    <t>万载黄连芽·道株</t>
  </si>
  <si>
    <t>万载苦参根·道株</t>
  </si>
  <si>
    <t>万载海潮苔·道株</t>
  </si>
  <si>
    <t>万载海砂苔·道株</t>
  </si>
  <si>
    <t>万载净元草·道株</t>
  </si>
  <si>
    <t>万载太和草·道株</t>
  </si>
  <si>
    <t>万载温脉花·道株</t>
  </si>
  <si>
    <t>万载烈阳藤·道株</t>
  </si>
  <si>
    <t>万载七叶丹莲·道株</t>
  </si>
  <si>
    <t>万载八脉丹藤·道株</t>
  </si>
  <si>
    <t>万载九环丹芝·道株</t>
  </si>
  <si>
    <t>十万载定元参·凡株</t>
  </si>
  <si>
    <t>合体</t>
  </si>
  <si>
    <t>十万载铁骨藤·凡株</t>
  </si>
  <si>
    <t>十万载金英花·凡株</t>
  </si>
  <si>
    <t>十万载青玉藤·凡株</t>
  </si>
  <si>
    <t>十万载翠叶藤·凡株</t>
  </si>
  <si>
    <t>十万载寒潭藻·凡株</t>
  </si>
  <si>
    <t>十万载深潭苔·凡株</t>
  </si>
  <si>
    <t>十万载温阳花·凡株</t>
  </si>
  <si>
    <t>十万载丹炎苔·凡株</t>
  </si>
  <si>
    <t>十万载白岩参·凡株</t>
  </si>
  <si>
    <t>十万载厚元苔·凡株</t>
  </si>
  <si>
    <t>十万载薄荷露·凡株</t>
  </si>
  <si>
    <t>十万载烈香花·凡株</t>
  </si>
  <si>
    <t>十万载甘露草·凡株</t>
  </si>
  <si>
    <t>十万载蜜香果·凡株</t>
  </si>
  <si>
    <t>十万载青梅草·凡株</t>
  </si>
  <si>
    <t>十万载火梅藤·凡株</t>
  </si>
  <si>
    <t>十万载黄连芽·凡株</t>
  </si>
  <si>
    <t>十万载苦参根·凡株</t>
  </si>
  <si>
    <t>十万载海潮苔·凡株</t>
  </si>
  <si>
    <t>十万载海砂苔·凡株</t>
  </si>
  <si>
    <t>十万载净元草·凡株</t>
  </si>
  <si>
    <t>十万载太和草·凡株</t>
  </si>
  <si>
    <t>十万载温脉花·凡株</t>
  </si>
  <si>
    <t>十万载烈阳藤·凡株</t>
  </si>
  <si>
    <t>十万载七叶丹莲·凡株</t>
  </si>
  <si>
    <t>十万载八脉丹藤·凡株</t>
  </si>
  <si>
    <t>十万载九环丹芝·凡株</t>
  </si>
  <si>
    <t>十万载定元参·灵株</t>
  </si>
  <si>
    <t>十万载铁骨藤·灵株</t>
  </si>
  <si>
    <t>十万载金英花·灵株</t>
  </si>
  <si>
    <t>十万载青玉藤·灵株</t>
  </si>
  <si>
    <t>十万载翠叶藤·灵株</t>
  </si>
  <si>
    <t>十万载寒潭藻·灵株</t>
  </si>
  <si>
    <t>十万载深潭苔·灵株</t>
  </si>
  <si>
    <t>十万载温阳花·灵株</t>
  </si>
  <si>
    <t>十万载丹炎苔·灵株</t>
  </si>
  <si>
    <t>十万载白岩参·灵株</t>
  </si>
  <si>
    <t>十万载厚元苔·灵株</t>
  </si>
  <si>
    <t>十万载薄荷露·灵株</t>
  </si>
  <si>
    <t>十万载烈香花·灵株</t>
  </si>
  <si>
    <t>十万载甘露草·灵株</t>
  </si>
  <si>
    <t>十万载蜜香果·灵株</t>
  </si>
  <si>
    <t>十万载青梅草·灵株</t>
  </si>
  <si>
    <t>十万载火梅藤·灵株</t>
  </si>
  <si>
    <t>十万载黄连芽·灵株</t>
  </si>
  <si>
    <t>十万载苦参根·灵株</t>
  </si>
  <si>
    <t>十万载海潮苔·灵株</t>
  </si>
  <si>
    <t>十万载海砂苔·灵株</t>
  </si>
  <si>
    <t>十万载净元草·灵株</t>
  </si>
  <si>
    <t>十万载太和草·灵株</t>
  </si>
  <si>
    <t>十万载温脉花·灵株</t>
  </si>
  <si>
    <t>十万载烈阳藤·灵株</t>
  </si>
  <si>
    <t>十万载七叶丹莲·灵株</t>
  </si>
  <si>
    <t>十万载八脉丹藤·灵株</t>
  </si>
  <si>
    <t>十万载九环丹芝·灵株</t>
  </si>
  <si>
    <t>十万载定元参·玄株</t>
  </si>
  <si>
    <t>十万载铁骨藤·玄株</t>
  </si>
  <si>
    <t>十万载金英花·玄株</t>
  </si>
  <si>
    <t>十万载青玉藤·玄株</t>
  </si>
  <si>
    <t>十万载翠叶藤·玄株</t>
  </si>
  <si>
    <t>十万载寒潭藻·玄株</t>
  </si>
  <si>
    <t>十万载深潭苔·玄株</t>
  </si>
  <si>
    <t>十万载温阳花·玄株</t>
  </si>
  <si>
    <t>十万载丹炎苔·玄株</t>
  </si>
  <si>
    <t>十万载白岩参·玄株</t>
  </si>
  <si>
    <t>十万载厚元苔·玄株</t>
  </si>
  <si>
    <t>十万载薄荷露·玄株</t>
  </si>
  <si>
    <t>十万载烈香花·玄株</t>
  </si>
  <si>
    <t>十万载甘露草·玄株</t>
  </si>
  <si>
    <t>十万载蜜香果·玄株</t>
  </si>
  <si>
    <t>十万载青梅草·玄株</t>
  </si>
  <si>
    <t>十万载火梅藤·玄株</t>
  </si>
  <si>
    <t>十万载黄连芽·玄株</t>
  </si>
  <si>
    <t>十万载苦参根·玄株</t>
  </si>
  <si>
    <t>十万载海潮苔·玄株</t>
  </si>
  <si>
    <t>十万载海砂苔·玄株</t>
  </si>
  <si>
    <t>十万载净元草·玄株</t>
  </si>
  <si>
    <t>十万载太和草·玄株</t>
  </si>
  <si>
    <t>十万载温脉花·玄株</t>
  </si>
  <si>
    <t>十万载烈阳藤·玄株</t>
  </si>
  <si>
    <t>十万载七叶丹莲·玄株</t>
  </si>
  <si>
    <t>十万载八脉丹藤·玄株</t>
  </si>
  <si>
    <t>十万载九环丹芝·玄株</t>
  </si>
  <si>
    <t>十万载定元参·仙株</t>
  </si>
  <si>
    <t>十万载铁骨藤·仙株</t>
  </si>
  <si>
    <t>十万载金英花·仙株</t>
  </si>
  <si>
    <t>十万载青玉藤·仙株</t>
  </si>
  <si>
    <t>十万载翠叶藤·仙株</t>
  </si>
  <si>
    <t>十万载寒潭藻·仙株</t>
  </si>
  <si>
    <t>十万载深潭苔·仙株</t>
  </si>
  <si>
    <t>十万载温阳花·仙株</t>
  </si>
  <si>
    <t>十万载丹炎苔·仙株</t>
  </si>
  <si>
    <t>十万载白岩参·仙株</t>
  </si>
  <si>
    <t>十万载厚元苔·仙株</t>
  </si>
  <si>
    <t>十万载薄荷露·仙株</t>
  </si>
  <si>
    <t>十万载烈香花·仙株</t>
  </si>
  <si>
    <t>十万载甘露草·仙株</t>
  </si>
  <si>
    <t>十万载蜜香果·仙株</t>
  </si>
  <si>
    <t>十万载青梅草·仙株</t>
  </si>
  <si>
    <t>十万载火梅藤·仙株</t>
  </si>
  <si>
    <t>十万载黄连芽·仙株</t>
  </si>
  <si>
    <t>十万载苦参根·仙株</t>
  </si>
  <si>
    <t>十万载海潮苔·仙株</t>
  </si>
  <si>
    <t>十万载海砂苔·仙株</t>
  </si>
  <si>
    <t>十万载净元草·仙株</t>
  </si>
  <si>
    <t>十万载太和草·仙株</t>
  </si>
  <si>
    <t>十万载温脉花·仙株</t>
  </si>
  <si>
    <t>十万载烈阳藤·仙株</t>
  </si>
  <si>
    <t>十万载七叶丹莲·仙株</t>
  </si>
  <si>
    <t>十万载八脉丹藤·仙株</t>
  </si>
  <si>
    <t>十万载九环丹芝·仙株</t>
  </si>
  <si>
    <t>十万载定元参·神株</t>
  </si>
  <si>
    <t>十万载铁骨藤·神株</t>
  </si>
  <si>
    <t>十万载金英花·神株</t>
  </si>
  <si>
    <t>十万载青玉藤·神株</t>
  </si>
  <si>
    <t>十万载翠叶藤·神株</t>
  </si>
  <si>
    <t>十万载寒潭藻·神株</t>
  </si>
  <si>
    <t>十万载深潭苔·神株</t>
  </si>
  <si>
    <t>十万载温阳花·神株</t>
  </si>
  <si>
    <t>十万载丹炎苔·神株</t>
  </si>
  <si>
    <t>十万载白岩参·神株</t>
  </si>
  <si>
    <t>十万载厚元苔·神株</t>
  </si>
  <si>
    <t>十万载薄荷露·神株</t>
  </si>
  <si>
    <t>十万载烈香花·神株</t>
  </si>
  <si>
    <t>十万载甘露草·神株</t>
  </si>
  <si>
    <t>十万载蜜香果·神株</t>
  </si>
  <si>
    <t>十万载青梅草·神株</t>
  </si>
  <si>
    <t>十万载火梅藤·神株</t>
  </si>
  <si>
    <t>十万载黄连芽·神株</t>
  </si>
  <si>
    <t>十万载苦参根·神株</t>
  </si>
  <si>
    <t>十万载海潮苔·神株</t>
  </si>
  <si>
    <t>十万载海砂苔·神株</t>
  </si>
  <si>
    <t>十万载净元草·神株</t>
  </si>
  <si>
    <t>十万载太和草·神株</t>
  </si>
  <si>
    <t>十万载温脉花·神株</t>
  </si>
  <si>
    <t>十万载烈阳藤·神株</t>
  </si>
  <si>
    <t>十万载七叶丹莲·神株</t>
  </si>
  <si>
    <t>十万载八脉丹藤·神株</t>
  </si>
  <si>
    <t>十万载九环丹芝·神株</t>
  </si>
  <si>
    <t>十万载定元参·道株</t>
  </si>
  <si>
    <t>十万载铁骨藤·道株</t>
  </si>
  <si>
    <t>十万载金英花·道株</t>
  </si>
  <si>
    <t>十万载青玉藤·道株</t>
  </si>
  <si>
    <t>十万载翠叶藤·道株</t>
  </si>
  <si>
    <t>十万载寒潭藻·道株</t>
  </si>
  <si>
    <t>十万载深潭苔·道株</t>
  </si>
  <si>
    <t>十万载温阳花·道株</t>
  </si>
  <si>
    <t>十万载丹炎苔·道株</t>
  </si>
  <si>
    <t>十万载白岩参·道株</t>
  </si>
  <si>
    <t>十万载厚元苔·道株</t>
  </si>
  <si>
    <t>十万载薄荷露·道株</t>
  </si>
  <si>
    <t>十万载烈香花·道株</t>
  </si>
  <si>
    <t>十万载甘露草·道株</t>
  </si>
  <si>
    <t>十万载蜜香果·道株</t>
  </si>
  <si>
    <t>十万载青梅草·道株</t>
  </si>
  <si>
    <t>十万载火梅藤·道株</t>
  </si>
  <si>
    <t>十万载黄连芽·道株</t>
  </si>
  <si>
    <t>十万载苦参根·道株</t>
  </si>
  <si>
    <t>十万载海潮苔·道株</t>
  </si>
  <si>
    <t>十万载海砂苔·道株</t>
  </si>
  <si>
    <t>十万载净元草·道株</t>
  </si>
  <si>
    <t>十万载太和草·道株</t>
  </si>
  <si>
    <t>十万载温脉花·道株</t>
  </si>
  <si>
    <t>十万载烈阳藤·道株</t>
  </si>
  <si>
    <t>十万载七叶丹莲·道株</t>
  </si>
  <si>
    <t>十万载八脉丹藤·道株</t>
  </si>
  <si>
    <t>十万载九环丹芝·道株</t>
  </si>
  <si>
    <t>百万载定元参·凡株</t>
  </si>
  <si>
    <t>大乘</t>
  </si>
  <si>
    <t>百万载铁骨藤·凡株</t>
  </si>
  <si>
    <t>百万载金英花·凡株</t>
  </si>
  <si>
    <t>百万载青玉藤·凡株</t>
  </si>
  <si>
    <t>百万载翠叶藤·凡株</t>
  </si>
  <si>
    <t>百万载寒潭藻·凡株</t>
  </si>
  <si>
    <t>百万载深潭苔·凡株</t>
  </si>
  <si>
    <t>百万载温阳花·凡株</t>
  </si>
  <si>
    <t>百万载丹炎苔·凡株</t>
  </si>
  <si>
    <t>百万载白岩参·凡株</t>
  </si>
  <si>
    <t>百万载厚元苔·凡株</t>
  </si>
  <si>
    <t>百万载薄荷露·凡株</t>
  </si>
  <si>
    <t>百万载烈香花·凡株</t>
  </si>
  <si>
    <t>百万载甘露草·凡株</t>
  </si>
  <si>
    <t>百万载蜜香果·凡株</t>
  </si>
  <si>
    <t>百万载青梅草·凡株</t>
  </si>
  <si>
    <t>百万载火梅藤·凡株</t>
  </si>
  <si>
    <t>百万载黄连芽·凡株</t>
  </si>
  <si>
    <t>百万载苦参根·凡株</t>
  </si>
  <si>
    <t>百万载海潮苔·凡株</t>
  </si>
  <si>
    <t>百万载海砂苔·凡株</t>
  </si>
  <si>
    <t>百万载净元草·凡株</t>
  </si>
  <si>
    <t>百万载太和草·凡株</t>
  </si>
  <si>
    <t>百万载温脉花·凡株</t>
  </si>
  <si>
    <t>百万载烈阳藤·凡株</t>
  </si>
  <si>
    <t>百万载七叶丹莲·凡株</t>
  </si>
  <si>
    <t>百万载八脉丹藤·凡株</t>
  </si>
  <si>
    <t>百万载九环丹芝·凡株</t>
  </si>
  <si>
    <t>百万载定元参·灵株</t>
  </si>
  <si>
    <t>百万载铁骨藤·灵株</t>
  </si>
  <si>
    <t>百万载金英花·灵株</t>
  </si>
  <si>
    <t>百万载青玉藤·灵株</t>
  </si>
  <si>
    <t>百万载翠叶藤·灵株</t>
  </si>
  <si>
    <t>百万载寒潭藻·灵株</t>
  </si>
  <si>
    <t>百万载深潭苔·灵株</t>
  </si>
  <si>
    <t>百万载温阳花·灵株</t>
  </si>
  <si>
    <t>百万载丹炎苔·灵株</t>
  </si>
  <si>
    <t>百万载白岩参·灵株</t>
  </si>
  <si>
    <t>百万载厚元苔·灵株</t>
  </si>
  <si>
    <t>百万载薄荷露·灵株</t>
  </si>
  <si>
    <t>百万载烈香花·灵株</t>
  </si>
  <si>
    <t>百万载甘露草·灵株</t>
  </si>
  <si>
    <t>百万载蜜香果·灵株</t>
  </si>
  <si>
    <t>百万载青梅草·灵株</t>
  </si>
  <si>
    <t>百万载火梅藤·灵株</t>
  </si>
  <si>
    <t>百万载黄连芽·灵株</t>
  </si>
  <si>
    <t>百万载苦参根·灵株</t>
  </si>
  <si>
    <t>百万载海潮苔·灵株</t>
  </si>
  <si>
    <t>百万载海砂苔·灵株</t>
  </si>
  <si>
    <t>百万载净元草·灵株</t>
  </si>
  <si>
    <t>百万载太和草·灵株</t>
  </si>
  <si>
    <t>百万载温脉花·灵株</t>
  </si>
  <si>
    <t>百万载烈阳藤·灵株</t>
  </si>
  <si>
    <t>百万载七叶丹莲·灵株</t>
  </si>
  <si>
    <t>百万载八脉丹藤·灵株</t>
  </si>
  <si>
    <t>百万载九环丹芝·灵株</t>
  </si>
  <si>
    <t>百万载定元参·玄株</t>
  </si>
  <si>
    <t>百万载铁骨藤·玄株</t>
  </si>
  <si>
    <t>百万载金英花·玄株</t>
  </si>
  <si>
    <t>百万载青玉藤·玄株</t>
  </si>
  <si>
    <t>百万载翠叶藤·玄株</t>
  </si>
  <si>
    <t>百万载寒潭藻·玄株</t>
  </si>
  <si>
    <t>百万载深潭苔·玄株</t>
  </si>
  <si>
    <t>百万载温阳花·玄株</t>
  </si>
  <si>
    <t>百万载丹炎苔·玄株</t>
  </si>
  <si>
    <t>百万载白岩参·玄株</t>
  </si>
  <si>
    <t>百万载厚元苔·玄株</t>
  </si>
  <si>
    <t>百万载薄荷露·玄株</t>
  </si>
  <si>
    <t>百万载烈香花·玄株</t>
  </si>
  <si>
    <t>百万载甘露草·玄株</t>
  </si>
  <si>
    <t>百万载蜜香果·玄株</t>
  </si>
  <si>
    <t>百万载青梅草·玄株</t>
  </si>
  <si>
    <t>百万载火梅藤·玄株</t>
  </si>
  <si>
    <t>百万载黄连芽·玄株</t>
  </si>
  <si>
    <t>百万载苦参根·玄株</t>
  </si>
  <si>
    <t>百万载海潮苔·玄株</t>
  </si>
  <si>
    <t>百万载海砂苔·玄株</t>
  </si>
  <si>
    <t>百万载净元草·玄株</t>
  </si>
  <si>
    <t>百万载太和草·玄株</t>
  </si>
  <si>
    <t>百万载温脉花·玄株</t>
  </si>
  <si>
    <t>百万载烈阳藤·玄株</t>
  </si>
  <si>
    <t>百万载七叶丹莲·玄株</t>
  </si>
  <si>
    <t>百万载八脉丹藤·玄株</t>
  </si>
  <si>
    <t>百万载九环丹芝·玄株</t>
  </si>
  <si>
    <t>百万载定元参·仙株</t>
  </si>
  <si>
    <t>百万载铁骨藤·仙株</t>
  </si>
  <si>
    <t>百万载金英花·仙株</t>
  </si>
  <si>
    <t>百万载青玉藤·仙株</t>
  </si>
  <si>
    <t>百万载翠叶藤·仙株</t>
  </si>
  <si>
    <t>百万载寒潭藻·仙株</t>
  </si>
  <si>
    <t>百万载深潭苔·仙株</t>
  </si>
  <si>
    <t>百万载温阳花·仙株</t>
  </si>
  <si>
    <t>百万载丹炎苔·仙株</t>
  </si>
  <si>
    <t>百万载白岩参·仙株</t>
  </si>
  <si>
    <t>百万载厚元苔·仙株</t>
  </si>
  <si>
    <t>百万载薄荷露·仙株</t>
  </si>
  <si>
    <t>百万载烈香花·仙株</t>
  </si>
  <si>
    <t>百万载甘露草·仙株</t>
  </si>
  <si>
    <t>百万载蜜香果·仙株</t>
  </si>
  <si>
    <t>百万载青梅草·仙株</t>
  </si>
  <si>
    <t>百万载火梅藤·仙株</t>
  </si>
  <si>
    <t>百万载黄连芽·仙株</t>
  </si>
  <si>
    <t>百万载苦参根·仙株</t>
  </si>
  <si>
    <t>百万载海潮苔·仙株</t>
  </si>
  <si>
    <t>百万载海砂苔·仙株</t>
  </si>
  <si>
    <t>百万载净元草·仙株</t>
  </si>
  <si>
    <t>百万载太和草·仙株</t>
  </si>
  <si>
    <t>百万载温脉花·仙株</t>
  </si>
  <si>
    <t>百万载烈阳藤·仙株</t>
  </si>
  <si>
    <t>百万载七叶丹莲·仙株</t>
  </si>
  <si>
    <t>百万载八脉丹藤·仙株</t>
  </si>
  <si>
    <t>百万载九环丹芝·仙株</t>
  </si>
  <si>
    <t>百万载定元参·神株</t>
  </si>
  <si>
    <t>百万载铁骨藤·神株</t>
  </si>
  <si>
    <t>百万载金英花·神株</t>
  </si>
  <si>
    <t>百万载青玉藤·神株</t>
  </si>
  <si>
    <t>百万载翠叶藤·神株</t>
  </si>
  <si>
    <t>百万载寒潭藻·神株</t>
  </si>
  <si>
    <t>百万载深潭苔·神株</t>
  </si>
  <si>
    <t>百万载温阳花·神株</t>
  </si>
  <si>
    <t>百万载丹炎苔·神株</t>
  </si>
  <si>
    <t>百万载白岩参·神株</t>
  </si>
  <si>
    <t>百万载厚元苔·神株</t>
  </si>
  <si>
    <t>百万载薄荷露·神株</t>
  </si>
  <si>
    <t>百万载烈香花·神株</t>
  </si>
  <si>
    <t>百万载甘露草·神株</t>
  </si>
  <si>
    <t>百万载蜜香果·神株</t>
  </si>
  <si>
    <t>百万载青梅草·神株</t>
  </si>
  <si>
    <t>百万载火梅藤·神株</t>
  </si>
  <si>
    <t>百万载黄连芽·神株</t>
  </si>
  <si>
    <t>百万载苦参根·神株</t>
  </si>
  <si>
    <t>百万载海潮苔·神株</t>
  </si>
  <si>
    <t>百万载海砂苔·神株</t>
  </si>
  <si>
    <t>百万载净元草·神株</t>
  </si>
  <si>
    <t>百万载太和草·神株</t>
  </si>
  <si>
    <t>百万载温脉花·神株</t>
  </si>
  <si>
    <t>百万载烈阳藤·神株</t>
  </si>
  <si>
    <t>百万载七叶丹莲·神株</t>
  </si>
  <si>
    <t>百万载八脉丹藤·神株</t>
  </si>
  <si>
    <t>百万载九环丹芝·神株</t>
  </si>
  <si>
    <t>百万载定元参·道株</t>
  </si>
  <si>
    <t>百万载铁骨藤·道株</t>
  </si>
  <si>
    <t>百万载金英花·道株</t>
  </si>
  <si>
    <t>百万载青玉藤·道株</t>
  </si>
  <si>
    <t>百万载翠叶藤·道株</t>
  </si>
  <si>
    <t>百万载寒潭藻·道株</t>
  </si>
  <si>
    <t>百万载深潭苔·道株</t>
  </si>
  <si>
    <t>百万载温阳花·道株</t>
  </si>
  <si>
    <t>百万载丹炎苔·道株</t>
  </si>
  <si>
    <t>百万载白岩参·道株</t>
  </si>
  <si>
    <t>百万载厚元苔·道株</t>
  </si>
  <si>
    <t>百万载薄荷露·道株</t>
  </si>
  <si>
    <t>百万载烈香花·道株</t>
  </si>
  <si>
    <t>百万载甘露草·道株</t>
  </si>
  <si>
    <t>百万载蜜香果·道株</t>
  </si>
  <si>
    <t>百万载青梅草·道株</t>
  </si>
  <si>
    <t>百万载火梅藤·道株</t>
  </si>
  <si>
    <t>百万载黄连芽·道株</t>
  </si>
  <si>
    <t>百万载苦参根·道株</t>
  </si>
  <si>
    <t>百万载海潮苔·道株</t>
  </si>
  <si>
    <t>百万载海砂苔·道株</t>
  </si>
  <si>
    <t>百万载净元草·道株</t>
  </si>
  <si>
    <t>百万载太和草·道株</t>
  </si>
  <si>
    <t>百万载温脉花·道株</t>
  </si>
  <si>
    <t>百万载烈阳藤·道株</t>
  </si>
  <si>
    <t>百万载七叶丹莲·道株</t>
  </si>
  <si>
    <t>百万载八脉丹藤·道株</t>
  </si>
  <si>
    <t>百万载九环丹芝·道株</t>
  </si>
  <si>
    <t>L灵植表 · 炼丹数值生成依据</t>
  </si>
  <si>
    <t>项目</t>
  </si>
  <si>
    <t>候选值/公式</t>
  </si>
  <si>
    <t>说明</t>
  </si>
  <si>
    <t>U基准</t>
  </si>
  <si>
    <t>筑基凡品10000</t>
  </si>
  <si>
    <t>逐境×3，逐品×1.8后向下取整</t>
  </si>
  <si>
    <t>君材</t>
  </si>
  <si>
    <t>药力=floor(20%U)；杂质见第14行</t>
  </si>
  <si>
    <t>每境每品一行</t>
  </si>
  <si>
    <t>低药力</t>
  </si>
  <si>
    <t>1133bp</t>
  </si>
  <si>
    <t>低药力低杂质型</t>
  </si>
  <si>
    <t>基准药力</t>
  </si>
  <si>
    <t>1195bp</t>
  </si>
  <si>
    <t>基准、易配药性、低药力高杂质型</t>
  </si>
  <si>
    <t>高药力</t>
  </si>
  <si>
    <t>1236～1277bp</t>
  </si>
  <si>
    <t>极性药性、高药力低杂质、高药力高杂质型</t>
  </si>
  <si>
    <t>精品净</t>
  </si>
  <si>
    <t>2200～2999bp；当前点2800bp</t>
  </si>
  <si>
    <t>与洁净档不重叠</t>
  </si>
  <si>
    <t>洁净</t>
  </si>
  <si>
    <t>3000～4200bp；当前点3600bp</t>
  </si>
  <si>
    <t>基础密度；另乘品质纯化系数</t>
  </si>
  <si>
    <t>普通</t>
  </si>
  <si>
    <t>4800～6000bp；当前点5500bp</t>
  </si>
  <si>
    <t>偏脏</t>
  </si>
  <si>
    <t>6200～7400bp；当前点6800bp</t>
  </si>
  <si>
    <t>高杂</t>
  </si>
  <si>
    <t>7600～9000bp；当前点8200bp</t>
  </si>
  <si>
    <t>材料药力</t>
  </si>
  <si>
    <t>floor(U×药力bp/10000)</t>
  </si>
  <si>
    <t>整数</t>
  </si>
  <si>
    <t>材料杂质</t>
  </si>
  <si>
    <t>ceil(材料药力×密度bp×品质纯化系数/10000)</t>
  </si>
  <si>
    <t>绝对杂质</t>
  </si>
  <si>
    <t>丹头容量</t>
  </si>
  <si>
    <t>7 / 8 / 9</t>
  </si>
  <si>
    <t>臣佐使合计份数上限</t>
  </si>
  <si>
    <t>ID区间</t>
  </si>
  <si>
    <t>30030001～30031176</t>
  </si>
  <si>
    <t>整数且唯一</t>
  </si>
  <si>
    <t>第四步4.6相对价格指数</t>
  </si>
  <si>
    <t>第十四步转正式货币值</t>
  </si>
  <si>
    <t>数值状态</t>
  </si>
  <si>
    <t>1176条药力/杂质按联算结果配置</t>
  </si>
  <si>
    <t>自由配药在对应条件下全部可用7份臣佐使达成</t>
  </si>
  <si>
    <t>品质纯化系数</t>
  </si>
  <si>
    <t>100%、97%、94%、90%、76%、70%</t>
  </si>
  <si>
    <t>依次对应凡、灵、玄、仙、神、道</t>
  </si>
  <si>
    <t>顶尖炼制条件</t>
  </si>
  <si>
    <t>最低纯度≥7800采用满技能五档炉口径</t>
  </si>
  <si>
    <t>高品质丹同时提高纯度要求</t>
  </si>
  <si>
    <t>L灵植表 · 第十四步正式价格</t>
  </si>
  <si>
    <t>price由候选价格指数转为正式货币值，数值保持不变。</t>
  </si>
  <si>
    <t>已纳入五类路线期望成本与收益核算。</t>
  </si>
  <si>
    <t>数值类型</t>
  </si>
  <si>
    <t>price使用long。</t>
  </si>
  <si>
    <t>成本结算使用64位整数。</t>
  </si>
  <si>
    <t>状态</t>
  </si>
  <si>
    <t>1176条炼丹相关配置正式。</t>
  </si>
  <si>
    <t>后续仅按联合压测结果回调。</t>
  </si>
  <si>
    <t>第六步</t>
  </si>
  <si>
    <t>君材42、丹头126，共168行。</t>
  </si>
  <si>
    <t>丹头容量为7/8/9。</t>
  </si>
  <si>
    <t>字段</t>
  </si>
  <si>
    <t>ID已使用int；君臣佐使与丹头共用同一表。</t>
  </si>
  <si>
    <t>药势、ID编号用不进入运行时。</t>
  </si>
  <si>
    <t>数值配置</t>
  </si>
  <si>
    <t>药力、杂质已按联算结果配置。</t>
  </si>
  <si>
    <t>自由配药可达7份；8/9份丹头提供余量。</t>
  </si>
  <si>
    <t>名称</t>
  </si>
  <si>
    <t>沿用原灵植命名素材并按新结构重排。</t>
  </si>
  <si>
    <t>正式显示名仍以物品表为准。</t>
  </si>
  <si>
    <t>旧页签</t>
  </si>
  <si>
    <t>“灵植数值表”旧机制数据已清除。</t>
  </si>
  <si>
    <t>避免与运行页签形成第二套数值。</t>
  </si>
  <si>
    <t>日期</t>
  </si>
  <si>
    <t>2026-09-12</t>
  </si>
  <si>
    <t>炼丹数值配置</t>
  </si>
  <si>
    <t>内部名</t>
  </si>
  <si>
    <t>编号</t>
  </si>
  <si>
    <t>颜色</t>
  </si>
  <si>
    <t>灵植</t>
  </si>
  <si>
    <t>材位</t>
  </si>
  <si>
    <t>主轴</t>
  </si>
  <si>
    <t>药性</t>
  </si>
  <si>
    <t>叫法</t>
  </si>
  <si>
    <t>通用</t>
  </si>
  <si>
    <t>白色</t>
  </si>
  <si>
    <t>极热</t>
  </si>
  <si>
    <t>炼气</t>
  </si>
  <si>
    <t>绿色</t>
  </si>
  <si>
    <t>大热</t>
  </si>
  <si>
    <t>蓝色</t>
  </si>
  <si>
    <t>热</t>
  </si>
  <si>
    <t>紫色</t>
  </si>
  <si>
    <t>温</t>
  </si>
  <si>
    <t>橙色</t>
  </si>
  <si>
    <t>平</t>
  </si>
  <si>
    <t>红色</t>
  </si>
  <si>
    <t>凉</t>
  </si>
  <si>
    <t>寒</t>
  </si>
  <si>
    <t>大寒</t>
  </si>
  <si>
    <t>极寒</t>
  </si>
  <si>
    <t>升</t>
  </si>
  <si>
    <t>降</t>
  </si>
  <si>
    <t>浮</t>
  </si>
  <si>
    <t>沉</t>
  </si>
  <si>
    <t>守</t>
  </si>
  <si>
    <t>道具ID必须下拉，使用公式自动生成ID！！！</t>
  </si>
  <si>
    <t>新物品ID编号计算规则=30000000+@INDEX(编号表!$B:$B,MATCH(C3,编号表!$A:$A,0))*10000+E3</t>
  </si>
  <si>
    <t>改动原因：因为现在的道具配置之后，品质有改动的可能，因此暂时把品质对ID的影响取消掉。</t>
  </si>
  <si>
    <t>已停用：灵植数值表</t>
  </si>
  <si>
    <t>旧机制数据已清除</t>
  </si>
  <si>
    <t>不进入运行时</t>
  </si>
  <si>
    <t>唯一现行数据</t>
  </si>
  <si>
    <t>灵植表</t>
  </si>
  <si>
    <t>君臣佐使与丹头统一保存</t>
  </si>
  <si>
    <t>恢复方式</t>
  </si>
  <si>
    <t>本轮修改前完整工作簿已备份</t>
  </si>
  <si>
    <t>不得从本页复制旧数值回正式表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</si>
</sst>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9"/>
      <color theme="1"/>
      <name val="微软雅黑"/>
      <charset val="134"/>
    </font>
    <font>
      <b/>
      <sz val="11"/>
      <color rgb="FF163847"/>
      <name val="Carlito"/>
      <charset val="134"/>
    </font>
    <font>
      <b/>
      <sz val="11"/>
      <name val="宋体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7F1D1D"/>
        <bgColor indexed="64"/>
      </patternFill>
    </fill>
    <fill>
      <patternFill patternType="solid">
        <fgColor rgb="FF0E526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6" borderId="1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1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4" fillId="0" borderId="0">
      <alignment vertical="center"/>
    </xf>
    <xf numFmtId="0" fontId="15" fillId="7" borderId="13">
      <alignment vertical="center"/>
    </xf>
    <xf numFmtId="0" fontId="16" fillId="8" borderId="14">
      <alignment vertical="center"/>
    </xf>
    <xf numFmtId="0" fontId="17" fillId="8" borderId="13">
      <alignment vertical="center"/>
    </xf>
    <xf numFmtId="0" fontId="18" fillId="9" borderId="15">
      <alignment vertical="center"/>
    </xf>
    <xf numFmtId="0" fontId="19" fillId="0" borderId="16">
      <alignment vertical="center"/>
    </xf>
    <xf numFmtId="0" fontId="20" fillId="0" borderId="17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6" fillId="14" borderId="0">
      <alignment vertical="center"/>
    </xf>
    <xf numFmtId="0" fontId="6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6" fillId="18" borderId="0">
      <alignment vertical="center"/>
    </xf>
    <xf numFmtId="0" fontId="6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6" fillId="22" borderId="0">
      <alignment vertical="center"/>
    </xf>
    <xf numFmtId="0" fontId="6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6" fillId="26" borderId="0">
      <alignment vertical="center"/>
    </xf>
    <xf numFmtId="0" fontId="6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6" fillId="30" borderId="0">
      <alignment vertical="center"/>
    </xf>
    <xf numFmtId="0" fontId="6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6" fillId="34" borderId="0">
      <alignment vertical="center"/>
    </xf>
    <xf numFmtId="0" fontId="6" fillId="35" borderId="0">
      <alignment vertical="center"/>
    </xf>
    <xf numFmtId="0" fontId="24" fillId="36" borderId="0">
      <alignment vertical="center"/>
    </xf>
    <xf numFmtId="0" fontId="0" fillId="0" borderId="0"/>
  </cellStyleXfs>
  <cellXfs count="36">
    <xf numFmtId="0" fontId="0" fillId="0" borderId="0" xfId="49"/>
    <xf numFmtId="0" fontId="0" fillId="0" borderId="0" xfId="0" applyAlignment="1"/>
    <xf numFmtId="0" fontId="1" fillId="2" borderId="0" xfId="0" applyFont="1" applyFill="1" applyAlignment="1"/>
    <xf numFmtId="0" fontId="1" fillId="3" borderId="0" xfId="49" applyFont="1" applyFill="1"/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0" fontId="2" fillId="4" borderId="0" xfId="49" applyFont="1" applyFill="1"/>
    <xf numFmtId="0" fontId="3" fillId="0" borderId="0" xfId="0" applyFont="1" applyFill="1" applyAlignment="1">
      <alignment vertical="center"/>
    </xf>
    <xf numFmtId="0" fontId="1" fillId="3" borderId="0" xfId="0" applyFont="1" applyFill="1" applyAlignment="1"/>
    <xf numFmtId="0" fontId="4" fillId="5" borderId="0" xfId="0" applyFont="1" applyFill="1" applyAlignment="1">
      <alignment wrapText="1"/>
    </xf>
    <xf numFmtId="0" fontId="5" fillId="4" borderId="0" xfId="49" applyFont="1" applyFill="1"/>
    <xf numFmtId="0" fontId="2" fillId="4" borderId="1" xfId="0" applyFont="1" applyFill="1" applyBorder="1" applyAlignment="1">
      <alignment vertical="center"/>
    </xf>
    <xf numFmtId="1" fontId="2" fillId="4" borderId="2" xfId="0" applyNumberFormat="1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3" fontId="2" fillId="4" borderId="2" xfId="0" applyNumberFormat="1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vertical="center"/>
    </xf>
    <xf numFmtId="3" fontId="2" fillId="4" borderId="3" xfId="0" applyNumberFormat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1" fontId="2" fillId="4" borderId="5" xfId="0" applyNumberFormat="1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3" fontId="2" fillId="4" borderId="5" xfId="0" applyNumberFormat="1" applyFont="1" applyFill="1" applyBorder="1" applyAlignment="1">
      <alignment vertical="center"/>
    </xf>
    <xf numFmtId="3" fontId="5" fillId="4" borderId="5" xfId="0" applyNumberFormat="1" applyFont="1" applyFill="1" applyBorder="1" applyAlignment="1">
      <alignment vertical="center"/>
    </xf>
    <xf numFmtId="3" fontId="2" fillId="4" borderId="6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1" fontId="0" fillId="0" borderId="5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3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1" fontId="0" fillId="0" borderId="8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3" fontId="0" fillId="0" borderId="8" xfId="0" applyNumberFormat="1" applyBorder="1" applyAlignment="1">
      <alignment vertical="center"/>
    </xf>
    <xf numFmtId="3" fontId="0" fillId="0" borderId="9" xfId="0" applyNumberForma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R1180"/>
  <sheetViews>
    <sheetView showGridLines="0" tabSelected="1" workbookViewId="0">
      <selection activeCell="A1" sqref="A1"/>
    </sheetView>
  </sheetViews>
  <sheetFormatPr defaultColWidth="9" defaultRowHeight="14.25"/>
  <cols>
    <col min="3" max="3" width="9.375"/>
    <col min="4" max="4" width="22.875" customWidth="1"/>
    <col min="9" max="10" width="11" style="1" customWidth="1"/>
    <col min="11" max="12" width="11.375" style="1" customWidth="1"/>
    <col min="16" max="16" width="14.75" style="1" customWidth="1"/>
    <col min="17" max="18" width="11.125" style="1" customWidth="1"/>
  </cols>
  <sheetData>
    <row r="1" s="1" customFormat="1" ht="15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/>
      <c r="L1" s="3" t="s">
        <v>9</v>
      </c>
      <c r="M1" s="3" t="s">
        <v>10</v>
      </c>
      <c r="N1" s="3"/>
      <c r="O1" s="3" t="s">
        <v>11</v>
      </c>
      <c r="P1" s="3" t="s">
        <v>12</v>
      </c>
      <c r="Q1" s="3" t="s">
        <v>13</v>
      </c>
      <c r="R1" s="3" t="s">
        <v>14</v>
      </c>
    </row>
    <row r="2" spans="1:18">
      <c r="A2" t="s">
        <v>15</v>
      </c>
      <c r="B2" t="s">
        <v>16</v>
      </c>
      <c r="C2" t="s">
        <v>16</v>
      </c>
      <c r="D2" t="s">
        <v>17</v>
      </c>
      <c r="F2" t="inlineStr">
        <is>
          <t xml:space="preserve">MajorRealm</t>
        </is>
      </c>
      <c r="G2" t="s">
        <v>17</v>
      </c>
      <c r="H2" t="s">
        <v>17</v>
      </c>
      <c r="I2" t="s">
        <v>17</v>
      </c>
      <c r="J2" t="s">
        <v>17</v>
      </c>
      <c r="K2"/>
      <c r="L2" t="s">
        <v>16</v>
      </c>
      <c r="M2" t="s">
        <v>16</v>
      </c>
      <c r="O2" t="s">
        <v>16</v>
      </c>
      <c r="P2" t="s">
        <v>16</v>
      </c>
      <c r="Q2" t="s">
        <v>16</v>
      </c>
      <c r="R2" t="s">
        <v>18</v>
      </c>
    </row>
    <row r="3" spans="1:18">
      <c r="A3" t="s">
        <v>19</v>
      </c>
      <c r="C3" t="s">
        <v>20</v>
      </c>
      <c r="D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21</v>
      </c>
      <c r="L3" t="s">
        <v>20</v>
      </c>
      <c r="M3" t="s">
        <v>20</v>
      </c>
      <c r="O3" t="s">
        <v>20</v>
      </c>
      <c r="P3" t="s">
        <v>20</v>
      </c>
      <c r="Q3" t="s">
        <v>20</v>
      </c>
      <c r="R3" t="s">
        <v>20</v>
      </c>
    </row>
    <row r="4" s="1" customFormat="1" ht="15" customHeight="1" spans="1:18">
      <c r="A4" s="6" t="s">
        <v>22</v>
      </c>
      <c r="B4" s="6" t="s">
        <v>23</v>
      </c>
      <c r="C4" s="6" t="s">
        <v>24</v>
      </c>
      <c r="D4" s="6" t="s">
        <v>25</v>
      </c>
      <c r="E4" s="10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10" t="s">
        <v>33</v>
      </c>
      <c r="M4" s="6" t="s">
        <v>34</v>
      </c>
      <c r="N4" s="6" t="s">
        <v>35</v>
      </c>
      <c r="O4" s="6" t="s">
        <v>36</v>
      </c>
      <c r="P4" s="10" t="s">
        <v>37</v>
      </c>
      <c r="Q4" s="10" t="s">
        <v>38</v>
      </c>
      <c r="R4" s="6" t="s">
        <v>39</v>
      </c>
    </row>
    <row r="5" s="1" customFormat="1" ht="15" customHeight="1" spans="1:18">
      <c r="A5" s="11"/>
      <c r="B5" s="12">
        <v>1</v>
      </c>
      <c r="C5" s="1">
        <f>30000000+INDEX(编号表!$B:$B,MATCH(G5,编号表!$A:$A,0))*100000+INDEX(编号表!$F:$F,MATCH(H5,编号表!$E:$E,0))*1000+INDEX(编号表!$D:$D,MATCH(F5,编号表!$C:$C,0))*10000+E5</f>
        <v>31221000</v>
      </c>
      <c r="D5" s="13" t="s">
        <v>40</v>
      </c>
      <c r="E5" s="14">
        <v>0</v>
      </c>
      <c r="F5" s="15" t="s">
        <v>41</v>
      </c>
      <c r="G5" s="14" t="s">
        <v>42</v>
      </c>
      <c r="H5" s="15" t="s">
        <v>43</v>
      </c>
      <c r="I5" s="13"/>
      <c r="J5" s="13"/>
      <c r="K5" s="13"/>
      <c r="L5" s="16">
        <v>0</v>
      </c>
      <c r="M5" s="16">
        <v>0</v>
      </c>
      <c r="N5" s="16"/>
      <c r="O5" s="16">
        <v>2000</v>
      </c>
      <c r="P5" s="17">
        <v>1100</v>
      </c>
      <c r="Q5" s="16">
        <v>10000</v>
      </c>
      <c r="R5" s="18">
        <v>180</v>
      </c>
    </row>
    <row r="6" s="1" customFormat="1" ht="15" customHeight="1" spans="1:18">
      <c r="A6" s="19"/>
      <c r="B6" s="20">
        <v>2</v>
      </c>
      <c r="C6" s="1">
        <f>30000000+INDEX(编号表!$B:$B,MATCH(G6,编号表!$A:$A,0))*100000+INDEX(编号表!$F:$F,MATCH(H6,编号表!$E:$E,0))*1000+INDEX(编号表!$D:$D,MATCH(F6,编号表!$C:$C,0))*10000+E6</f>
        <v>31321000</v>
      </c>
      <c r="D6" s="21" t="s">
        <v>44</v>
      </c>
      <c r="E6" s="22">
        <v>0</v>
      </c>
      <c r="F6" s="23" t="s">
        <v>41</v>
      </c>
      <c r="G6" s="22" t="s">
        <v>45</v>
      </c>
      <c r="H6" s="23" t="s">
        <v>43</v>
      </c>
      <c r="I6" s="21" t="s">
        <v>46</v>
      </c>
      <c r="J6" s="21"/>
      <c r="K6" s="21"/>
      <c r="L6" s="24">
        <v>0</v>
      </c>
      <c r="M6" s="24">
        <v>-2</v>
      </c>
      <c r="N6" s="24"/>
      <c r="O6" s="24">
        <v>1195</v>
      </c>
      <c r="P6" s="25">
        <v>658</v>
      </c>
      <c r="Q6" s="24">
        <v>0</v>
      </c>
      <c r="R6" s="26">
        <v>140</v>
      </c>
    </row>
    <row r="7" s="1" customFormat="1" ht="15" customHeight="1" spans="1:18">
      <c r="A7" s="19"/>
      <c r="B7" s="20">
        <v>3</v>
      </c>
      <c r="C7" s="1">
        <f>30000000+INDEX(编号表!$B:$B,MATCH(G7,编号表!$A:$A,0))*100000+INDEX(编号表!$F:$F,MATCH(H7,编号表!$E:$E,0))*1000+INDEX(编号表!$D:$D,MATCH(F7,编号表!$C:$C,0))*10000+E7</f>
        <v>31321001</v>
      </c>
      <c r="D7" s="21" t="s">
        <v>47</v>
      </c>
      <c r="E7" s="22">
        <v>1</v>
      </c>
      <c r="F7" s="23" t="s">
        <v>41</v>
      </c>
      <c r="G7" s="22" t="s">
        <v>45</v>
      </c>
      <c r="H7" s="23" t="s">
        <v>43</v>
      </c>
      <c r="I7" s="21" t="s">
        <v>46</v>
      </c>
      <c r="J7" s="21"/>
      <c r="K7" s="21"/>
      <c r="L7" s="24">
        <v>0</v>
      </c>
      <c r="M7" s="24">
        <v>3</v>
      </c>
      <c r="N7" s="24"/>
      <c r="O7" s="24">
        <v>1277</v>
      </c>
      <c r="P7" s="25">
        <v>869</v>
      </c>
      <c r="Q7" s="24">
        <v>0</v>
      </c>
      <c r="R7" s="26">
        <v>180</v>
      </c>
    </row>
    <row r="8" s="1" customFormat="1" ht="15" customHeight="1" spans="1:18">
      <c r="A8" s="19"/>
      <c r="B8" s="20">
        <v>4</v>
      </c>
      <c r="C8" s="1">
        <f>30000000+INDEX(编号表!$B:$B,MATCH(G8,编号表!$A:$A,0))*100000+INDEX(编号表!$F:$F,MATCH(H8,编号表!$E:$E,0))*1000+INDEX(编号表!$D:$D,MATCH(F8,编号表!$C:$C,0))*10000+E8</f>
        <v>31321002</v>
      </c>
      <c r="D8" s="21" t="s">
        <v>48</v>
      </c>
      <c r="E8" s="22">
        <v>2</v>
      </c>
      <c r="F8" s="23" t="s">
        <v>41</v>
      </c>
      <c r="G8" s="22" t="s">
        <v>45</v>
      </c>
      <c r="H8" s="23" t="s">
        <v>43</v>
      </c>
      <c r="I8" s="21" t="s">
        <v>49</v>
      </c>
      <c r="J8" s="21"/>
      <c r="K8" s="21"/>
      <c r="L8" s="24">
        <v>0</v>
      </c>
      <c r="M8" s="24">
        <v>-1</v>
      </c>
      <c r="N8" s="24"/>
      <c r="O8" s="24">
        <v>1133</v>
      </c>
      <c r="P8" s="25">
        <v>408</v>
      </c>
      <c r="Q8" s="24">
        <v>0</v>
      </c>
      <c r="R8" s="26">
        <v>195</v>
      </c>
    </row>
    <row r="9" s="1" customFormat="1" ht="15" customHeight="1" spans="1:18">
      <c r="A9" s="19"/>
      <c r="B9" s="20">
        <v>5</v>
      </c>
      <c r="C9" s="1">
        <f>30000000+INDEX(编号表!$B:$B,MATCH(G9,编号表!$A:$A,0))*100000+INDEX(编号表!$F:$F,MATCH(H9,编号表!$E:$E,0))*1000+INDEX(编号表!$D:$D,MATCH(F9,编号表!$C:$C,0))*10000+E9</f>
        <v>31321003</v>
      </c>
      <c r="D9" s="21" t="s">
        <v>50</v>
      </c>
      <c r="E9" s="22">
        <v>3</v>
      </c>
      <c r="F9" s="23" t="s">
        <v>41</v>
      </c>
      <c r="G9" s="22" t="s">
        <v>45</v>
      </c>
      <c r="H9" s="23" t="s">
        <v>43</v>
      </c>
      <c r="I9" s="21" t="s">
        <v>49</v>
      </c>
      <c r="J9" s="21"/>
      <c r="K9" s="21"/>
      <c r="L9" s="24">
        <v>0</v>
      </c>
      <c r="M9" s="24">
        <v>2</v>
      </c>
      <c r="N9" s="24"/>
      <c r="O9" s="24">
        <v>1195</v>
      </c>
      <c r="P9" s="25">
        <v>980</v>
      </c>
      <c r="Q9" s="24">
        <v>0</v>
      </c>
      <c r="R9" s="26">
        <v>60</v>
      </c>
    </row>
    <row r="10" s="1" customFormat="1" ht="15" customHeight="1" spans="1:18">
      <c r="A10" s="19"/>
      <c r="B10" s="20">
        <v>6</v>
      </c>
      <c r="C10" s="1">
        <f>30000000+INDEX(编号表!$B:$B,MATCH(G10,编号表!$A:$A,0))*100000+INDEX(编号表!$F:$F,MATCH(H10,编号表!$E:$E,0))*1000+INDEX(编号表!$D:$D,MATCH(F10,编号表!$C:$C,0))*10000+E10</f>
        <v>31321004</v>
      </c>
      <c r="D10" s="21" t="s">
        <v>51</v>
      </c>
      <c r="E10" s="22">
        <v>4</v>
      </c>
      <c r="F10" s="23" t="s">
        <v>41</v>
      </c>
      <c r="G10" s="22" t="s">
        <v>45</v>
      </c>
      <c r="H10" s="23" t="s">
        <v>43</v>
      </c>
      <c r="I10" s="21" t="s">
        <v>52</v>
      </c>
      <c r="J10" s="21"/>
      <c r="K10" s="21"/>
      <c r="L10" s="24">
        <v>0</v>
      </c>
      <c r="M10" s="24">
        <v>-1</v>
      </c>
      <c r="N10" s="24"/>
      <c r="O10" s="24">
        <v>1195</v>
      </c>
      <c r="P10" s="25">
        <v>813</v>
      </c>
      <c r="Q10" s="24">
        <v>0</v>
      </c>
      <c r="R10" s="26">
        <v>145</v>
      </c>
    </row>
    <row r="11" s="1" customFormat="1" ht="15" customHeight="1" spans="1:18">
      <c r="A11" s="19"/>
      <c r="B11" s="20">
        <v>7</v>
      </c>
      <c r="C11" s="1">
        <f>30000000+INDEX(编号表!$B:$B,MATCH(G11,编号表!$A:$A,0))*100000+INDEX(编号表!$F:$F,MATCH(H11,编号表!$E:$E,0))*1000+INDEX(编号表!$D:$D,MATCH(F11,编号表!$C:$C,0))*10000+E11</f>
        <v>31321005</v>
      </c>
      <c r="D11" s="21" t="inlineStr">
        <is>
          <t xml:space="preserve">足年沸泉苔·凡株</t>
        </is>
      </c>
      <c r="E11" s="22">
        <v>5</v>
      </c>
      <c r="F11" s="23" t="s">
        <v>41</v>
      </c>
      <c r="G11" s="22" t="s">
        <v>45</v>
      </c>
      <c r="H11" s="23" t="s">
        <v>43</v>
      </c>
      <c r="I11" s="21" t="s">
        <v>52</v>
      </c>
      <c r="J11" s="21"/>
      <c r="K11" s="21"/>
      <c r="L11" s="24">
        <v>0</v>
      </c>
      <c r="M11" s="24">
        <v>4</v>
      </c>
      <c r="N11" s="24"/>
      <c r="O11" s="24">
        <v>1236</v>
      </c>
      <c r="P11" s="25">
        <v>1014</v>
      </c>
      <c r="Q11" s="24">
        <v>0</v>
      </c>
      <c r="R11" s="26">
        <v>260</v>
      </c>
    </row>
    <row r="12" s="1" customFormat="1" ht="15" customHeight="1" spans="1:18">
      <c r="A12" s="19"/>
      <c r="B12" s="20">
        <v>8</v>
      </c>
      <c r="C12" s="1">
        <f>30000000+INDEX(编号表!$B:$B,MATCH(G12,编号表!$A:$A,0))*100000+INDEX(编号表!$F:$F,MATCH(H12,编号表!$E:$E,0))*1000+INDEX(编号表!$D:$D,MATCH(F12,编号表!$C:$C,0))*10000+E12</f>
        <v>31321006</v>
      </c>
      <c r="D12" s="21" t="inlineStr">
        <is>
          <t xml:space="preserve">足年丹露花·凡株</t>
        </is>
      </c>
      <c r="E12" s="22">
        <v>6</v>
      </c>
      <c r="F12" s="23" t="s">
        <v>41</v>
      </c>
      <c r="G12" s="22" t="s">
        <v>45</v>
      </c>
      <c r="H12" s="23" t="s">
        <v>43</v>
      </c>
      <c r="I12" s="21" t="s">
        <v>55</v>
      </c>
      <c r="J12" s="21"/>
      <c r="K12" s="21"/>
      <c r="L12" s="24">
        <v>0</v>
      </c>
      <c r="M12" s="24">
        <v>-1</v>
      </c>
      <c r="N12" s="24"/>
      <c r="O12" s="24">
        <v>1236</v>
      </c>
      <c r="P12" s="25">
        <v>347</v>
      </c>
      <c r="Q12" s="24">
        <v>0</v>
      </c>
      <c r="R12" s="26">
        <v>420</v>
      </c>
    </row>
    <row r="13" s="1" customFormat="1" ht="15" customHeight="1" spans="1:18">
      <c r="A13" s="19"/>
      <c r="B13" s="20">
        <v>9</v>
      </c>
      <c r="C13" s="1">
        <f>30000000+INDEX(编号表!$B:$B,MATCH(G13,编号表!$A:$A,0))*100000+INDEX(编号表!$F:$F,MATCH(H13,编号表!$E:$E,0))*1000+INDEX(编号表!$D:$D,MATCH(F13,编号表!$C:$C,0))*10000+E13</f>
        <v>31321007</v>
      </c>
      <c r="D13" s="21" t="s">
        <v>56</v>
      </c>
      <c r="E13" s="22">
        <v>7</v>
      </c>
      <c r="F13" s="23" t="s">
        <v>41</v>
      </c>
      <c r="G13" s="22" t="s">
        <v>45</v>
      </c>
      <c r="H13" s="23" t="s">
        <v>43</v>
      </c>
      <c r="I13" s="21" t="s">
        <v>55</v>
      </c>
      <c r="J13" s="21"/>
      <c r="K13" s="21"/>
      <c r="L13" s="24">
        <v>0</v>
      </c>
      <c r="M13" s="24">
        <v>2</v>
      </c>
      <c r="N13" s="24"/>
      <c r="O13" s="24">
        <v>1195</v>
      </c>
      <c r="P13" s="25">
        <v>980</v>
      </c>
      <c r="Q13" s="24">
        <v>0</v>
      </c>
      <c r="R13" s="26">
        <v>60</v>
      </c>
    </row>
    <row r="14" s="1" customFormat="1" ht="15" customHeight="1" spans="1:18">
      <c r="A14" s="19"/>
      <c r="B14" s="20">
        <v>10</v>
      </c>
      <c r="C14" s="1">
        <f>30000000+INDEX(编号表!$B:$B,MATCH(G14,编号表!$A:$A,0))*100000+INDEX(编号表!$F:$F,MATCH(H14,编号表!$E:$E,0))*1000+INDEX(编号表!$D:$D,MATCH(F14,编号表!$C:$C,0))*10000+E14</f>
        <v>31321008</v>
      </c>
      <c r="D14" s="21" t="s">
        <v>57</v>
      </c>
      <c r="E14" s="22">
        <v>8</v>
      </c>
      <c r="F14" s="23" t="s">
        <v>41</v>
      </c>
      <c r="G14" s="22" t="s">
        <v>45</v>
      </c>
      <c r="H14" s="23" t="s">
        <v>43</v>
      </c>
      <c r="I14" s="21" t="s">
        <v>58</v>
      </c>
      <c r="J14" s="21"/>
      <c r="K14" s="21"/>
      <c r="L14" s="24">
        <v>0</v>
      </c>
      <c r="M14" s="24">
        <v>-2</v>
      </c>
      <c r="N14" s="24"/>
      <c r="O14" s="24">
        <v>1195</v>
      </c>
      <c r="P14" s="25">
        <v>658</v>
      </c>
      <c r="Q14" s="24">
        <v>0</v>
      </c>
      <c r="R14" s="26">
        <v>140</v>
      </c>
    </row>
    <row r="15" s="1" customFormat="1" ht="15" customHeight="1" spans="1:18">
      <c r="A15" s="19"/>
      <c r="B15" s="20">
        <v>11</v>
      </c>
      <c r="C15" s="1">
        <f>30000000+INDEX(编号表!$B:$B,MATCH(G15,编号表!$A:$A,0))*100000+INDEX(编号表!$F:$F,MATCH(H15,编号表!$E:$E,0))*1000+INDEX(编号表!$D:$D,MATCH(F15,编号表!$C:$C,0))*10000+E15</f>
        <v>31321009</v>
      </c>
      <c r="D15" s="21" t="s">
        <v>59</v>
      </c>
      <c r="E15" s="22">
        <v>9</v>
      </c>
      <c r="F15" s="23" t="s">
        <v>41</v>
      </c>
      <c r="G15" s="22" t="s">
        <v>45</v>
      </c>
      <c r="H15" s="23" t="s">
        <v>43</v>
      </c>
      <c r="I15" s="21" t="s">
        <v>58</v>
      </c>
      <c r="J15" s="21"/>
      <c r="K15" s="21"/>
      <c r="L15" s="24">
        <v>0</v>
      </c>
      <c r="M15" s="24">
        <v>1</v>
      </c>
      <c r="N15" s="24"/>
      <c r="O15" s="24">
        <v>1133</v>
      </c>
      <c r="P15" s="25">
        <v>408</v>
      </c>
      <c r="Q15" s="24">
        <v>0</v>
      </c>
      <c r="R15" s="26">
        <v>195</v>
      </c>
    </row>
    <row r="16" s="1" customFormat="1" ht="15" customHeight="1" spans="1:18">
      <c r="A16" s="19"/>
      <c r="B16" s="20">
        <v>12</v>
      </c>
      <c r="C16" s="1">
        <f>30000000+INDEX(编号表!$B:$B,MATCH(G16,编号表!$A:$A,0))*100000+INDEX(编号表!$F:$F,MATCH(H16,编号表!$E:$E,0))*1000+INDEX(编号表!$D:$D,MATCH(F16,编号表!$C:$C,0))*10000+E16</f>
        <v>31521000</v>
      </c>
      <c r="D16" s="21" t="inlineStr">
        <is>
          <t xml:space="preserve">足年霜辛草·凡株</t>
        </is>
      </c>
      <c r="E16" s="22">
        <v>0</v>
      </c>
      <c r="F16" s="23" t="s">
        <v>41</v>
      </c>
      <c r="G16" s="22" t="s">
        <v>61</v>
      </c>
      <c r="H16" s="23" t="s">
        <v>43</v>
      </c>
      <c r="I16" s="21"/>
      <c r="J16" s="21" t="s">
        <v>62</v>
      </c>
      <c r="K16" s="21"/>
      <c r="L16" s="24">
        <v>0</v>
      </c>
      <c r="M16" s="24">
        <v>-2</v>
      </c>
      <c r="N16" s="24"/>
      <c r="O16" s="24">
        <v>1195</v>
      </c>
      <c r="P16" s="25">
        <v>658</v>
      </c>
      <c r="Q16" s="24">
        <v>0</v>
      </c>
      <c r="R16" s="26">
        <v>140</v>
      </c>
    </row>
    <row r="17" spans="1:18">
      <c r="A17" s="27"/>
      <c r="B17" s="28">
        <v>13</v>
      </c>
      <c r="C17" s="1">
        <f>30000000+INDEX(编号表!$B:$B,MATCH(G17,编号表!$A:$A,0))*100000+INDEX(编号表!$F:$F,MATCH(H17,编号表!$E:$E,0))*1000+INDEX(编号表!$D:$D,MATCH(F17,编号表!$C:$C,0))*10000+E17</f>
        <v>31521001</v>
      </c>
      <c r="D17" s="23" t="s">
        <v>63</v>
      </c>
      <c r="E17" s="23">
        <v>1</v>
      </c>
      <c r="F17" s="23" t="s">
        <v>41</v>
      </c>
      <c r="G17" s="23" t="s">
        <v>61</v>
      </c>
      <c r="H17" s="23" t="s">
        <v>43</v>
      </c>
      <c r="I17" s="23"/>
      <c r="J17" s="23" t="s">
        <v>62</v>
      </c>
      <c r="K17" s="23"/>
      <c r="L17" s="29">
        <v>0</v>
      </c>
      <c r="M17" s="29">
        <v>3</v>
      </c>
      <c r="N17" s="29"/>
      <c r="O17" s="29">
        <v>1277</v>
      </c>
      <c r="P17" s="29">
        <v>869</v>
      </c>
      <c r="Q17" s="29">
        <v>0</v>
      </c>
      <c r="R17" s="30">
        <v>180</v>
      </c>
    </row>
    <row r="18" spans="1:18">
      <c r="A18" s="27"/>
      <c r="B18" s="28">
        <v>14</v>
      </c>
      <c r="C18" s="1">
        <f>30000000+INDEX(编号表!$B:$B,MATCH(G18,编号表!$A:$A,0))*100000+INDEX(编号表!$F:$F,MATCH(H18,编号表!$E:$E,0))*1000+INDEX(编号表!$D:$D,MATCH(F18,编号表!$C:$C,0))*10000+E18</f>
        <v>31521002</v>
      </c>
      <c r="D18" s="23" t="s">
        <v>64</v>
      </c>
      <c r="E18" s="23">
        <v>2</v>
      </c>
      <c r="F18" s="23" t="s">
        <v>41</v>
      </c>
      <c r="G18" s="23" t="s">
        <v>61</v>
      </c>
      <c r="H18" s="23" t="s">
        <v>43</v>
      </c>
      <c r="I18" s="23"/>
      <c r="J18" s="23" t="s">
        <v>65</v>
      </c>
      <c r="K18" s="23"/>
      <c r="L18" s="29">
        <v>0</v>
      </c>
      <c r="M18" s="29">
        <v>-1</v>
      </c>
      <c r="N18" s="29"/>
      <c r="O18" s="29">
        <v>1133</v>
      </c>
      <c r="P18" s="29">
        <v>408</v>
      </c>
      <c r="Q18" s="29">
        <v>0</v>
      </c>
      <c r="R18" s="30">
        <v>195</v>
      </c>
    </row>
    <row r="19" spans="1:18">
      <c r="A19" s="27"/>
      <c r="B19" s="28">
        <v>15</v>
      </c>
      <c r="C19" s="1">
        <f>30000000+INDEX(编号表!$B:$B,MATCH(G19,编号表!$A:$A,0))*100000+INDEX(编号表!$F:$F,MATCH(H19,编号表!$E:$E,0))*1000+INDEX(编号表!$D:$D,MATCH(F19,编号表!$C:$C,0))*10000+E19</f>
        <v>31521003</v>
      </c>
      <c r="D19" s="23" t="s">
        <v>66</v>
      </c>
      <c r="E19" s="23">
        <v>3</v>
      </c>
      <c r="F19" s="23" t="s">
        <v>41</v>
      </c>
      <c r="G19" s="23" t="s">
        <v>61</v>
      </c>
      <c r="H19" s="23" t="s">
        <v>43</v>
      </c>
      <c r="I19" s="23"/>
      <c r="J19" s="23" t="s">
        <v>65</v>
      </c>
      <c r="K19" s="23"/>
      <c r="L19" s="29">
        <v>0</v>
      </c>
      <c r="M19" s="29">
        <v>2</v>
      </c>
      <c r="N19" s="29"/>
      <c r="O19" s="29">
        <v>1195</v>
      </c>
      <c r="P19" s="29">
        <v>980</v>
      </c>
      <c r="Q19" s="29">
        <v>0</v>
      </c>
      <c r="R19" s="30">
        <v>60</v>
      </c>
    </row>
    <row r="20" spans="1:18">
      <c r="A20" s="27"/>
      <c r="B20" s="28">
        <v>16</v>
      </c>
      <c r="C20" s="1">
        <f>30000000+INDEX(编号表!$B:$B,MATCH(G20,编号表!$A:$A,0))*100000+INDEX(编号表!$F:$F,MATCH(H20,编号表!$E:$E,0))*1000+INDEX(编号表!$D:$D,MATCH(F20,编号表!$C:$C,0))*10000+E20</f>
        <v>31521004</v>
      </c>
      <c r="D20" s="23" t="s">
        <v>67</v>
      </c>
      <c r="E20" s="23">
        <v>4</v>
      </c>
      <c r="F20" s="23" t="s">
        <v>41</v>
      </c>
      <c r="G20" s="23" t="s">
        <v>61</v>
      </c>
      <c r="H20" s="23" t="s">
        <v>43</v>
      </c>
      <c r="I20" s="23"/>
      <c r="J20" s="23" t="s">
        <v>68</v>
      </c>
      <c r="K20" s="23"/>
      <c r="L20" s="29">
        <v>0</v>
      </c>
      <c r="M20" s="29">
        <v>-1</v>
      </c>
      <c r="N20" s="29"/>
      <c r="O20" s="29">
        <v>1195</v>
      </c>
      <c r="P20" s="29">
        <v>813</v>
      </c>
      <c r="Q20" s="29">
        <v>0</v>
      </c>
      <c r="R20" s="30">
        <v>145</v>
      </c>
    </row>
    <row r="21" spans="1:18">
      <c r="A21" s="27"/>
      <c r="B21" s="28">
        <v>17</v>
      </c>
      <c r="C21" s="1">
        <f>30000000+INDEX(编号表!$B:$B,MATCH(G21,编号表!$A:$A,0))*100000+INDEX(编号表!$F:$F,MATCH(H21,编号表!$E:$E,0))*1000+INDEX(编号表!$D:$D,MATCH(F21,编号表!$C:$C,0))*10000+E21</f>
        <v>31521005</v>
      </c>
      <c r="D21" s="23" t="s">
        <v>69</v>
      </c>
      <c r="E21" s="23">
        <v>5</v>
      </c>
      <c r="F21" s="23" t="s">
        <v>41</v>
      </c>
      <c r="G21" s="23" t="s">
        <v>61</v>
      </c>
      <c r="H21" s="23" t="s">
        <v>43</v>
      </c>
      <c r="I21" s="23"/>
      <c r="J21" s="23" t="s">
        <v>68</v>
      </c>
      <c r="K21" s="23"/>
      <c r="L21" s="29">
        <v>0</v>
      </c>
      <c r="M21" s="29">
        <v>4</v>
      </c>
      <c r="N21" s="29"/>
      <c r="O21" s="29">
        <v>1236</v>
      </c>
      <c r="P21" s="29">
        <v>1014</v>
      </c>
      <c r="Q21" s="29">
        <v>0</v>
      </c>
      <c r="R21" s="30">
        <v>260</v>
      </c>
    </row>
    <row r="22" spans="1:18">
      <c r="A22" s="27"/>
      <c r="B22" s="28">
        <v>18</v>
      </c>
      <c r="C22" s="1">
        <f>30000000+INDEX(编号表!$B:$B,MATCH(G22,编号表!$A:$A,0))*100000+INDEX(编号表!$F:$F,MATCH(H22,编号表!$E:$E,0))*1000+INDEX(编号表!$D:$D,MATCH(F22,编号表!$C:$C,0))*10000+E22</f>
        <v>31521006</v>
      </c>
      <c r="D22" s="23" t="s">
        <v>70</v>
      </c>
      <c r="E22" s="23">
        <v>6</v>
      </c>
      <c r="F22" s="23" t="s">
        <v>41</v>
      </c>
      <c r="G22" s="23" t="s">
        <v>61</v>
      </c>
      <c r="H22" s="23" t="s">
        <v>43</v>
      </c>
      <c r="I22" s="23"/>
      <c r="J22" s="23" t="s">
        <v>71</v>
      </c>
      <c r="K22" s="23"/>
      <c r="L22" s="29">
        <v>0</v>
      </c>
      <c r="M22" s="29">
        <v>-1</v>
      </c>
      <c r="N22" s="29"/>
      <c r="O22" s="29">
        <v>1236</v>
      </c>
      <c r="P22" s="29">
        <v>347</v>
      </c>
      <c r="Q22" s="29">
        <v>0</v>
      </c>
      <c r="R22" s="30">
        <v>420</v>
      </c>
    </row>
    <row r="23" spans="1:18">
      <c r="A23" s="27"/>
      <c r="B23" s="28">
        <v>19</v>
      </c>
      <c r="C23" s="1">
        <f>30000000+INDEX(编号表!$B:$B,MATCH(G23,编号表!$A:$A,0))*100000+INDEX(编号表!$F:$F,MATCH(H23,编号表!$E:$E,0))*1000+INDEX(编号表!$D:$D,MATCH(F23,编号表!$C:$C,0))*10000+E23</f>
        <v>31521007</v>
      </c>
      <c r="D23" s="23" t="s">
        <v>72</v>
      </c>
      <c r="E23" s="23">
        <v>7</v>
      </c>
      <c r="F23" s="23" t="s">
        <v>41</v>
      </c>
      <c r="G23" s="23" t="s">
        <v>61</v>
      </c>
      <c r="H23" s="23" t="s">
        <v>43</v>
      </c>
      <c r="I23" s="23"/>
      <c r="J23" s="23" t="s">
        <v>71</v>
      </c>
      <c r="K23" s="23"/>
      <c r="L23" s="29">
        <v>0</v>
      </c>
      <c r="M23" s="29">
        <v>2</v>
      </c>
      <c r="N23" s="29"/>
      <c r="O23" s="29">
        <v>1195</v>
      </c>
      <c r="P23" s="29">
        <v>980</v>
      </c>
      <c r="Q23" s="29">
        <v>0</v>
      </c>
      <c r="R23" s="30">
        <v>60</v>
      </c>
    </row>
    <row r="24" spans="1:18">
      <c r="A24" s="27"/>
      <c r="B24" s="28">
        <v>20</v>
      </c>
      <c r="C24" s="1">
        <f>30000000+INDEX(编号表!$B:$B,MATCH(G24,编号表!$A:$A,0))*100000+INDEX(编号表!$F:$F,MATCH(H24,编号表!$E:$E,0))*1000+INDEX(编号表!$D:$D,MATCH(F24,编号表!$C:$C,0))*10000+E24</f>
        <v>31521008</v>
      </c>
      <c r="D24" s="23" t="s">
        <v>73</v>
      </c>
      <c r="E24" s="23">
        <v>8</v>
      </c>
      <c r="F24" s="23" t="s">
        <v>41</v>
      </c>
      <c r="G24" s="23" t="s">
        <v>61</v>
      </c>
      <c r="H24" s="23" t="s">
        <v>43</v>
      </c>
      <c r="I24" s="23"/>
      <c r="J24" s="23" t="s">
        <v>74</v>
      </c>
      <c r="K24" s="23"/>
      <c r="L24" s="29">
        <v>0</v>
      </c>
      <c r="M24" s="29">
        <v>-2</v>
      </c>
      <c r="N24" s="29"/>
      <c r="O24" s="29">
        <v>1195</v>
      </c>
      <c r="P24" s="29">
        <v>658</v>
      </c>
      <c r="Q24" s="29">
        <v>0</v>
      </c>
      <c r="R24" s="30">
        <v>140</v>
      </c>
    </row>
    <row r="25" spans="1:18">
      <c r="A25" s="27"/>
      <c r="B25" s="28">
        <v>21</v>
      </c>
      <c r="C25" s="1">
        <f>30000000+INDEX(编号表!$B:$B,MATCH(G25,编号表!$A:$A,0))*100000+INDEX(编号表!$F:$F,MATCH(H25,编号表!$E:$E,0))*1000+INDEX(编号表!$D:$D,MATCH(F25,编号表!$C:$C,0))*10000+E25</f>
        <v>31521009</v>
      </c>
      <c r="D25" s="23" t="s">
        <v>75</v>
      </c>
      <c r="E25" s="23">
        <v>9</v>
      </c>
      <c r="F25" s="23" t="s">
        <v>41</v>
      </c>
      <c r="G25" s="23" t="s">
        <v>61</v>
      </c>
      <c r="H25" s="23" t="s">
        <v>43</v>
      </c>
      <c r="I25" s="23"/>
      <c r="J25" s="23" t="s">
        <v>74</v>
      </c>
      <c r="K25" s="23"/>
      <c r="L25" s="29">
        <v>0</v>
      </c>
      <c r="M25" s="29">
        <v>1</v>
      </c>
      <c r="N25" s="29"/>
      <c r="O25" s="29">
        <v>1133</v>
      </c>
      <c r="P25" s="29">
        <v>408</v>
      </c>
      <c r="Q25" s="29">
        <v>0</v>
      </c>
      <c r="R25" s="30">
        <v>195</v>
      </c>
    </row>
    <row r="26" spans="1:18">
      <c r="A26" s="27"/>
      <c r="B26" s="28">
        <v>22</v>
      </c>
      <c r="C26" s="1">
        <f>30000000+INDEX(编号表!$B:$B,MATCH(G26,编号表!$A:$A,0))*100000+INDEX(编号表!$F:$F,MATCH(H26,编号表!$E:$E,0))*1000+INDEX(编号表!$D:$D,MATCH(F26,编号表!$C:$C,0))*10000+E26</f>
        <v>31421000</v>
      </c>
      <c r="D26" s="23" t="s">
        <v>76</v>
      </c>
      <c r="E26" s="23">
        <v>0</v>
      </c>
      <c r="F26" s="23" t="s">
        <v>41</v>
      </c>
      <c r="G26" s="23" t="s">
        <v>77</v>
      </c>
      <c r="H26" s="23" t="s">
        <v>43</v>
      </c>
      <c r="I26" s="23"/>
      <c r="J26" s="23"/>
      <c r="K26" s="23"/>
      <c r="L26" s="29">
        <v>0</v>
      </c>
      <c r="M26" s="29">
        <v>0</v>
      </c>
      <c r="N26" s="29"/>
      <c r="O26" s="29">
        <v>1133</v>
      </c>
      <c r="P26" s="29">
        <v>318</v>
      </c>
      <c r="Q26" s="29">
        <v>0</v>
      </c>
      <c r="R26" s="30">
        <v>230</v>
      </c>
    </row>
    <row r="27" spans="1:18">
      <c r="A27" s="27"/>
      <c r="B27" s="28">
        <v>23</v>
      </c>
      <c r="C27" s="1">
        <f>30000000+INDEX(编号表!$B:$B,MATCH(G27,编号表!$A:$A,0))*100000+INDEX(编号表!$F:$F,MATCH(H27,编号表!$E:$E,0))*1000+INDEX(编号表!$D:$D,MATCH(F27,编号表!$C:$C,0))*10000+E27</f>
        <v>31421001</v>
      </c>
      <c r="D27" s="23" t="s">
        <v>78</v>
      </c>
      <c r="E27" s="23">
        <v>1</v>
      </c>
      <c r="F27" s="23" t="s">
        <v>41</v>
      </c>
      <c r="G27" s="23" t="s">
        <v>77</v>
      </c>
      <c r="H27" s="23" t="s">
        <v>43</v>
      </c>
      <c r="I27" s="23"/>
      <c r="J27" s="23"/>
      <c r="K27" s="23"/>
      <c r="L27" s="29">
        <v>0</v>
      </c>
      <c r="M27" s="29">
        <v>0</v>
      </c>
      <c r="N27" s="29"/>
      <c r="O27" s="29">
        <v>1277</v>
      </c>
      <c r="P27" s="29">
        <v>1048</v>
      </c>
      <c r="Q27" s="29">
        <v>0</v>
      </c>
      <c r="R27" s="30">
        <v>80</v>
      </c>
    </row>
    <row r="28" spans="1:18">
      <c r="A28" s="27"/>
      <c r="B28" s="28">
        <v>24</v>
      </c>
      <c r="C28" s="1">
        <f>30000000+INDEX(编号表!$B:$B,MATCH(G28,编号表!$A:$A,0))*100000+INDEX(编号表!$F:$F,MATCH(H28,编号表!$E:$E,0))*1000+INDEX(编号表!$D:$D,MATCH(F28,编号表!$C:$C,0))*10000+E28</f>
        <v>31421002</v>
      </c>
      <c r="D28" s="23" t="s">
        <v>79</v>
      </c>
      <c r="E28" s="23">
        <v>2</v>
      </c>
      <c r="F28" s="23" t="s">
        <v>41</v>
      </c>
      <c r="G28" s="23" t="s">
        <v>77</v>
      </c>
      <c r="H28" s="23" t="s">
        <v>43</v>
      </c>
      <c r="I28" s="23"/>
      <c r="J28" s="23"/>
      <c r="K28" s="23"/>
      <c r="L28" s="29">
        <v>0</v>
      </c>
      <c r="M28" s="29">
        <v>1</v>
      </c>
      <c r="N28" s="29"/>
      <c r="O28" s="29">
        <v>1236</v>
      </c>
      <c r="P28" s="29">
        <v>347</v>
      </c>
      <c r="Q28" s="29">
        <v>0</v>
      </c>
      <c r="R28" s="30">
        <v>420</v>
      </c>
    </row>
    <row r="29" spans="1:18">
      <c r="A29" s="27"/>
      <c r="B29" s="28">
        <v>25</v>
      </c>
      <c r="C29" s="1">
        <f>30000000+INDEX(编号表!$B:$B,MATCH(G29,编号表!$A:$A,0))*100000+INDEX(编号表!$F:$F,MATCH(H29,编号表!$E:$E,0))*1000+INDEX(编号表!$D:$D,MATCH(F29,编号表!$C:$C,0))*10000+E29</f>
        <v>31421003</v>
      </c>
      <c r="D29" s="23" t="s">
        <v>80</v>
      </c>
      <c r="E29" s="23">
        <v>3</v>
      </c>
      <c r="F29" s="23" t="s">
        <v>41</v>
      </c>
      <c r="G29" s="23" t="s">
        <v>77</v>
      </c>
      <c r="H29" s="23" t="s">
        <v>43</v>
      </c>
      <c r="I29" s="23"/>
      <c r="J29" s="23"/>
      <c r="K29" s="23"/>
      <c r="L29" s="29">
        <v>0</v>
      </c>
      <c r="M29" s="29">
        <v>4</v>
      </c>
      <c r="N29" s="29"/>
      <c r="O29" s="29">
        <v>1236</v>
      </c>
      <c r="P29" s="29">
        <v>1014</v>
      </c>
      <c r="Q29" s="29">
        <v>0</v>
      </c>
      <c r="R29" s="30">
        <v>260</v>
      </c>
    </row>
    <row r="30" spans="1:18">
      <c r="A30" s="27"/>
      <c r="B30" s="28">
        <v>26</v>
      </c>
      <c r="C30" s="1">
        <f>30000000+INDEX(编号表!$B:$B,MATCH(G30,编号表!$A:$A,0))*100000+INDEX(编号表!$F:$F,MATCH(H30,编号表!$E:$E,0))*1000+INDEX(编号表!$D:$D,MATCH(F30,编号表!$C:$C,0))*10000+E30</f>
        <v>31621000</v>
      </c>
      <c r="D30" s="23" t="s">
        <v>81</v>
      </c>
      <c r="E30" s="23">
        <v>0</v>
      </c>
      <c r="F30" s="23" t="s">
        <v>41</v>
      </c>
      <c r="G30" s="23" t="s">
        <v>82</v>
      </c>
      <c r="H30" s="23" t="s">
        <v>43</v>
      </c>
      <c r="I30" s="23"/>
      <c r="J30" s="23"/>
      <c r="K30" s="23"/>
      <c r="L30" s="29">
        <v>7</v>
      </c>
      <c r="M30" s="29">
        <v>0</v>
      </c>
      <c r="N30" s="29"/>
      <c r="O30" s="29">
        <v>0</v>
      </c>
      <c r="P30" s="29">
        <v>0</v>
      </c>
      <c r="Q30" s="29">
        <v>0</v>
      </c>
      <c r="R30" s="30">
        <v>120</v>
      </c>
    </row>
    <row r="31" spans="1:18">
      <c r="A31" s="27"/>
      <c r="B31" s="28">
        <v>27</v>
      </c>
      <c r="C31" s="1">
        <f>30000000+INDEX(编号表!$B:$B,MATCH(G31,编号表!$A:$A,0))*100000+INDEX(编号表!$F:$F,MATCH(H31,编号表!$E:$E,0))*1000+INDEX(编号表!$D:$D,MATCH(F31,编号表!$C:$C,0))*10000+E31</f>
        <v>31621001</v>
      </c>
      <c r="D31" s="23" t="s">
        <v>83</v>
      </c>
      <c r="E31" s="23">
        <v>1</v>
      </c>
      <c r="F31" s="23" t="s">
        <v>41</v>
      </c>
      <c r="G31" s="23" t="s">
        <v>82</v>
      </c>
      <c r="H31" s="23" t="s">
        <v>43</v>
      </c>
      <c r="I31" s="23"/>
      <c r="J31" s="23"/>
      <c r="K31" s="23"/>
      <c r="L31" s="29">
        <v>8</v>
      </c>
      <c r="M31" s="29">
        <v>0</v>
      </c>
      <c r="N31" s="29"/>
      <c r="O31" s="29">
        <v>0</v>
      </c>
      <c r="P31" s="29">
        <v>0</v>
      </c>
      <c r="Q31" s="29">
        <v>0</v>
      </c>
      <c r="R31" s="30">
        <v>220</v>
      </c>
    </row>
    <row r="32" spans="1:18">
      <c r="A32" s="27"/>
      <c r="B32" s="28">
        <v>28</v>
      </c>
      <c r="C32" s="1">
        <f>30000000+INDEX(编号表!$B:$B,MATCH(G32,编号表!$A:$A,0))*100000+INDEX(编号表!$F:$F,MATCH(H32,编号表!$E:$E,0))*1000+INDEX(编号表!$D:$D,MATCH(F32,编号表!$C:$C,0))*10000+E32</f>
        <v>31621002</v>
      </c>
      <c r="D32" s="23" t="s">
        <v>84</v>
      </c>
      <c r="E32" s="23">
        <v>2</v>
      </c>
      <c r="F32" s="23" t="s">
        <v>41</v>
      </c>
      <c r="G32" s="23" t="s">
        <v>82</v>
      </c>
      <c r="H32" s="23" t="s">
        <v>43</v>
      </c>
      <c r="I32" s="23"/>
      <c r="J32" s="23"/>
      <c r="K32" s="23"/>
      <c r="L32" s="29">
        <v>9</v>
      </c>
      <c r="M32" s="29">
        <v>0</v>
      </c>
      <c r="N32" s="29"/>
      <c r="O32" s="29">
        <v>0</v>
      </c>
      <c r="P32" s="29">
        <v>0</v>
      </c>
      <c r="Q32" s="29">
        <v>0</v>
      </c>
      <c r="R32" s="30">
        <v>340</v>
      </c>
    </row>
    <row r="33" spans="1:18">
      <c r="A33" s="27"/>
      <c r="B33" s="28">
        <v>29</v>
      </c>
      <c r="C33" s="1">
        <f>30000000+INDEX(编号表!$B:$B,MATCH(G33,编号表!$A:$A,0))*100000+INDEX(编号表!$F:$F,MATCH(H33,编号表!$E:$E,0))*1000+INDEX(编号表!$D:$D,MATCH(F33,编号表!$C:$C,0))*10000+E33</f>
        <v>31222000</v>
      </c>
      <c r="D33" s="23" t="s">
        <v>85</v>
      </c>
      <c r="E33" s="23">
        <v>0</v>
      </c>
      <c r="F33" s="23" t="s">
        <v>41</v>
      </c>
      <c r="G33" s="23" t="s">
        <v>42</v>
      </c>
      <c r="H33" s="23" t="s">
        <v>86</v>
      </c>
      <c r="I33" s="23"/>
      <c r="J33" s="23"/>
      <c r="K33" s="23"/>
      <c r="L33" s="29">
        <v>0</v>
      </c>
      <c r="M33" s="29">
        <v>0</v>
      </c>
      <c r="N33" s="29"/>
      <c r="O33" s="29">
        <v>3600</v>
      </c>
      <c r="P33" s="29">
        <v>1921</v>
      </c>
      <c r="Q33" s="29">
        <v>18000</v>
      </c>
      <c r="R33" s="30">
        <v>324</v>
      </c>
    </row>
    <row r="34" spans="1:18">
      <c r="A34" s="27"/>
      <c r="B34" s="28">
        <v>30</v>
      </c>
      <c r="C34" s="1">
        <f>30000000+INDEX(编号表!$B:$B,MATCH(G34,编号表!$A:$A,0))*100000+INDEX(编号表!$F:$F,MATCH(H34,编号表!$E:$E,0))*1000+INDEX(编号表!$D:$D,MATCH(F34,编号表!$C:$C,0))*10000+E34</f>
        <v>31322000</v>
      </c>
      <c r="D34" s="23" t="s">
        <v>87</v>
      </c>
      <c r="E34" s="23">
        <v>0</v>
      </c>
      <c r="F34" s="23" t="s">
        <v>41</v>
      </c>
      <c r="G34" s="23" t="s">
        <v>45</v>
      </c>
      <c r="H34" s="23" t="s">
        <v>86</v>
      </c>
      <c r="I34" s="23" t="s">
        <v>46</v>
      </c>
      <c r="J34" s="23"/>
      <c r="K34" s="23"/>
      <c r="L34" s="29">
        <v>0</v>
      </c>
      <c r="M34" s="29">
        <v>-2</v>
      </c>
      <c r="N34" s="29"/>
      <c r="O34" s="29">
        <v>2151</v>
      </c>
      <c r="P34" s="29">
        <v>1148</v>
      </c>
      <c r="Q34" s="29">
        <v>0</v>
      </c>
      <c r="R34" s="30">
        <v>252</v>
      </c>
    </row>
    <row r="35" spans="1:18">
      <c r="A35" s="27"/>
      <c r="B35" s="28">
        <v>31</v>
      </c>
      <c r="C35" s="1">
        <f>30000000+INDEX(编号表!$B:$B,MATCH(G35,编号表!$A:$A,0))*100000+INDEX(编号表!$F:$F,MATCH(H35,编号表!$E:$E,0))*1000+INDEX(编号表!$D:$D,MATCH(F35,编号表!$C:$C,0))*10000+E35</f>
        <v>31322001</v>
      </c>
      <c r="D35" s="23" t="s">
        <v>88</v>
      </c>
      <c r="E35" s="23">
        <v>1</v>
      </c>
      <c r="F35" s="23" t="s">
        <v>41</v>
      </c>
      <c r="G35" s="23" t="s">
        <v>45</v>
      </c>
      <c r="H35" s="23" t="s">
        <v>86</v>
      </c>
      <c r="I35" s="23" t="s">
        <v>46</v>
      </c>
      <c r="J35" s="23"/>
      <c r="K35" s="23"/>
      <c r="L35" s="29">
        <v>0</v>
      </c>
      <c r="M35" s="29">
        <v>3</v>
      </c>
      <c r="N35" s="29"/>
      <c r="O35" s="29">
        <v>2298</v>
      </c>
      <c r="P35" s="29">
        <v>1516</v>
      </c>
      <c r="Q35" s="29">
        <v>0</v>
      </c>
      <c r="R35" s="30">
        <v>324</v>
      </c>
    </row>
    <row r="36" spans="1:18">
      <c r="A36" s="27"/>
      <c r="B36" s="28">
        <v>32</v>
      </c>
      <c r="C36" s="1">
        <f>30000000+INDEX(编号表!$B:$B,MATCH(G36,编号表!$A:$A,0))*100000+INDEX(编号表!$F:$F,MATCH(H36,编号表!$E:$E,0))*1000+INDEX(编号表!$D:$D,MATCH(F36,编号表!$C:$C,0))*10000+E36</f>
        <v>31322002</v>
      </c>
      <c r="D36" s="23" t="s">
        <v>89</v>
      </c>
      <c r="E36" s="23">
        <v>2</v>
      </c>
      <c r="F36" s="23" t="s">
        <v>41</v>
      </c>
      <c r="G36" s="23" t="s">
        <v>45</v>
      </c>
      <c r="H36" s="23" t="s">
        <v>86</v>
      </c>
      <c r="I36" s="23" t="s">
        <v>49</v>
      </c>
      <c r="J36" s="23"/>
      <c r="K36" s="23"/>
      <c r="L36" s="29">
        <v>0</v>
      </c>
      <c r="M36" s="29">
        <v>-1</v>
      </c>
      <c r="N36" s="29"/>
      <c r="O36" s="29">
        <v>2039</v>
      </c>
      <c r="P36" s="29">
        <v>714</v>
      </c>
      <c r="Q36" s="29">
        <v>0</v>
      </c>
      <c r="R36" s="30">
        <v>351</v>
      </c>
    </row>
    <row r="37" spans="1:18">
      <c r="A37" s="27"/>
      <c r="B37" s="28">
        <v>33</v>
      </c>
      <c r="C37" s="1">
        <f>30000000+INDEX(编号表!$B:$B,MATCH(G37,编号表!$A:$A,0))*100000+INDEX(编号表!$F:$F,MATCH(H37,编号表!$E:$E,0))*1000+INDEX(编号表!$D:$D,MATCH(F37,编号表!$C:$C,0))*10000+E37</f>
        <v>31322003</v>
      </c>
      <c r="D37" s="23" t="s">
        <v>90</v>
      </c>
      <c r="E37" s="23">
        <v>3</v>
      </c>
      <c r="F37" s="23" t="s">
        <v>41</v>
      </c>
      <c r="G37" s="23" t="s">
        <v>45</v>
      </c>
      <c r="H37" s="23" t="s">
        <v>86</v>
      </c>
      <c r="I37" s="23" t="s">
        <v>49</v>
      </c>
      <c r="J37" s="23"/>
      <c r="K37" s="23"/>
      <c r="L37" s="29">
        <v>0</v>
      </c>
      <c r="M37" s="29">
        <v>2</v>
      </c>
      <c r="N37" s="29"/>
      <c r="O37" s="29">
        <v>2151</v>
      </c>
      <c r="P37" s="29">
        <v>1712</v>
      </c>
      <c r="Q37" s="29">
        <v>0</v>
      </c>
      <c r="R37" s="30">
        <v>108</v>
      </c>
    </row>
    <row r="38" spans="1:18">
      <c r="A38" s="27"/>
      <c r="B38" s="28">
        <v>34</v>
      </c>
      <c r="C38" s="1">
        <f>30000000+INDEX(编号表!$B:$B,MATCH(G38,编号表!$A:$A,0))*100000+INDEX(编号表!$F:$F,MATCH(H38,编号表!$E:$E,0))*1000+INDEX(编号表!$D:$D,MATCH(F38,编号表!$C:$C,0))*10000+E38</f>
        <v>31322004</v>
      </c>
      <c r="D38" s="23" t="s">
        <v>91</v>
      </c>
      <c r="E38" s="23">
        <v>4</v>
      </c>
      <c r="F38" s="23" t="s">
        <v>41</v>
      </c>
      <c r="G38" s="23" t="s">
        <v>45</v>
      </c>
      <c r="H38" s="23" t="s">
        <v>86</v>
      </c>
      <c r="I38" s="23" t="s">
        <v>52</v>
      </c>
      <c r="J38" s="23"/>
      <c r="K38" s="23"/>
      <c r="L38" s="29">
        <v>0</v>
      </c>
      <c r="M38" s="29">
        <v>-1</v>
      </c>
      <c r="N38" s="29"/>
      <c r="O38" s="29">
        <v>2151</v>
      </c>
      <c r="P38" s="29">
        <v>1420</v>
      </c>
      <c r="Q38" s="29">
        <v>0</v>
      </c>
      <c r="R38" s="30">
        <v>261</v>
      </c>
    </row>
    <row r="39" spans="1:18">
      <c r="A39" s="27"/>
      <c r="B39" s="28">
        <v>35</v>
      </c>
      <c r="C39" s="1">
        <f>30000000+INDEX(编号表!$B:$B,MATCH(G39,编号表!$A:$A,0))*100000+INDEX(编号表!$F:$F,MATCH(H39,编号表!$E:$E,0))*1000+INDEX(编号表!$D:$D,MATCH(F39,编号表!$C:$C,0))*10000+E39</f>
        <v>31322005</v>
      </c>
      <c r="D39" s="23" t="inlineStr">
        <is>
          <t xml:space="preserve">足年沸泉苔·灵株</t>
        </is>
      </c>
      <c r="E39" s="23">
        <v>5</v>
      </c>
      <c r="F39" s="23" t="s">
        <v>41</v>
      </c>
      <c r="G39" s="23" t="s">
        <v>45</v>
      </c>
      <c r="H39" s="23" t="s">
        <v>86</v>
      </c>
      <c r="I39" s="23" t="s">
        <v>52</v>
      </c>
      <c r="J39" s="23"/>
      <c r="K39" s="23"/>
      <c r="L39" s="29">
        <v>0</v>
      </c>
      <c r="M39" s="29">
        <v>4</v>
      </c>
      <c r="N39" s="29"/>
      <c r="O39" s="29">
        <v>2224</v>
      </c>
      <c r="P39" s="29">
        <v>1770</v>
      </c>
      <c r="Q39" s="29">
        <v>0</v>
      </c>
      <c r="R39" s="30">
        <v>468</v>
      </c>
    </row>
    <row r="40" spans="1:18">
      <c r="A40" s="27"/>
      <c r="B40" s="28">
        <v>36</v>
      </c>
      <c r="C40" s="1">
        <f>30000000+INDEX(编号表!$B:$B,MATCH(G40,编号表!$A:$A,0))*100000+INDEX(编号表!$F:$F,MATCH(H40,编号表!$E:$E,0))*1000+INDEX(编号表!$D:$D,MATCH(F40,编号表!$C:$C,0))*10000+E40</f>
        <v>31322006</v>
      </c>
      <c r="D40" s="23" t="inlineStr">
        <is>
          <t xml:space="preserve">足年丹露花·灵株</t>
        </is>
      </c>
      <c r="E40" s="23">
        <v>6</v>
      </c>
      <c r="F40" s="23" t="s">
        <v>41</v>
      </c>
      <c r="G40" s="23" t="s">
        <v>45</v>
      </c>
      <c r="H40" s="23" t="s">
        <v>86</v>
      </c>
      <c r="I40" s="23" t="s">
        <v>55</v>
      </c>
      <c r="J40" s="23"/>
      <c r="K40" s="23"/>
      <c r="L40" s="29">
        <v>0</v>
      </c>
      <c r="M40" s="29">
        <v>-1</v>
      </c>
      <c r="N40" s="29"/>
      <c r="O40" s="29">
        <v>2224</v>
      </c>
      <c r="P40" s="29">
        <v>605</v>
      </c>
      <c r="Q40" s="29">
        <v>0</v>
      </c>
      <c r="R40" s="30">
        <v>756</v>
      </c>
    </row>
    <row r="41" spans="1:18">
      <c r="A41" s="27"/>
      <c r="B41" s="28">
        <v>37</v>
      </c>
      <c r="C41" s="1">
        <f>30000000+INDEX(编号表!$B:$B,MATCH(G41,编号表!$A:$A,0))*100000+INDEX(编号表!$F:$F,MATCH(H41,编号表!$E:$E,0))*1000+INDEX(编号表!$D:$D,MATCH(F41,编号表!$C:$C,0))*10000+E41</f>
        <v>31322007</v>
      </c>
      <c r="D41" s="23" t="s">
        <v>94</v>
      </c>
      <c r="E41" s="23">
        <v>7</v>
      </c>
      <c r="F41" s="23" t="s">
        <v>41</v>
      </c>
      <c r="G41" s="23" t="s">
        <v>45</v>
      </c>
      <c r="H41" s="23" t="s">
        <v>86</v>
      </c>
      <c r="I41" s="23" t="s">
        <v>55</v>
      </c>
      <c r="J41" s="23"/>
      <c r="K41" s="23"/>
      <c r="L41" s="29">
        <v>0</v>
      </c>
      <c r="M41" s="29">
        <v>2</v>
      </c>
      <c r="N41" s="29"/>
      <c r="O41" s="29">
        <v>2151</v>
      </c>
      <c r="P41" s="29">
        <v>1712</v>
      </c>
      <c r="Q41" s="29">
        <v>0</v>
      </c>
      <c r="R41" s="30">
        <v>108</v>
      </c>
    </row>
    <row r="42" spans="1:18">
      <c r="A42" s="27"/>
      <c r="B42" s="28">
        <v>38</v>
      </c>
      <c r="C42" s="1">
        <f>30000000+INDEX(编号表!$B:$B,MATCH(G42,编号表!$A:$A,0))*100000+INDEX(编号表!$F:$F,MATCH(H42,编号表!$E:$E,0))*1000+INDEX(编号表!$D:$D,MATCH(F42,编号表!$C:$C,0))*10000+E42</f>
        <v>31322008</v>
      </c>
      <c r="D42" s="23" t="s">
        <v>95</v>
      </c>
      <c r="E42" s="23">
        <v>8</v>
      </c>
      <c r="F42" s="23" t="s">
        <v>41</v>
      </c>
      <c r="G42" s="23" t="s">
        <v>45</v>
      </c>
      <c r="H42" s="23" t="s">
        <v>86</v>
      </c>
      <c r="I42" s="23" t="s">
        <v>58</v>
      </c>
      <c r="J42" s="23"/>
      <c r="K42" s="23"/>
      <c r="L42" s="29">
        <v>0</v>
      </c>
      <c r="M42" s="29">
        <v>-2</v>
      </c>
      <c r="N42" s="29"/>
      <c r="O42" s="29">
        <v>2151</v>
      </c>
      <c r="P42" s="29">
        <v>1148</v>
      </c>
      <c r="Q42" s="29">
        <v>0</v>
      </c>
      <c r="R42" s="30">
        <v>252</v>
      </c>
    </row>
    <row r="43" spans="1:18">
      <c r="A43" s="27"/>
      <c r="B43" s="28">
        <v>39</v>
      </c>
      <c r="C43" s="1">
        <f>30000000+INDEX(编号表!$B:$B,MATCH(G43,编号表!$A:$A,0))*100000+INDEX(编号表!$F:$F,MATCH(H43,编号表!$E:$E,0))*1000+INDEX(编号表!$D:$D,MATCH(F43,编号表!$C:$C,0))*10000+E43</f>
        <v>31322009</v>
      </c>
      <c r="D43" s="23" t="s">
        <v>96</v>
      </c>
      <c r="E43" s="23">
        <v>9</v>
      </c>
      <c r="F43" s="23" t="s">
        <v>41</v>
      </c>
      <c r="G43" s="23" t="s">
        <v>45</v>
      </c>
      <c r="H43" s="23" t="s">
        <v>86</v>
      </c>
      <c r="I43" s="23" t="s">
        <v>58</v>
      </c>
      <c r="J43" s="23"/>
      <c r="K43" s="23"/>
      <c r="L43" s="29">
        <v>0</v>
      </c>
      <c r="M43" s="29">
        <v>1</v>
      </c>
      <c r="N43" s="29"/>
      <c r="O43" s="29">
        <v>2039</v>
      </c>
      <c r="P43" s="29">
        <v>714</v>
      </c>
      <c r="Q43" s="29">
        <v>0</v>
      </c>
      <c r="R43" s="30">
        <v>351</v>
      </c>
    </row>
    <row r="44" spans="1:18">
      <c r="A44" s="27"/>
      <c r="B44" s="28">
        <v>40</v>
      </c>
      <c r="C44" s="1">
        <f>30000000+INDEX(编号表!$B:$B,MATCH(G44,编号表!$A:$A,0))*100000+INDEX(编号表!$F:$F,MATCH(H44,编号表!$E:$E,0))*1000+INDEX(编号表!$D:$D,MATCH(F44,编号表!$C:$C,0))*10000+E44</f>
        <v>31522000</v>
      </c>
      <c r="D44" s="23" t="inlineStr">
        <is>
          <t xml:space="preserve">足年霜辛草·灵株</t>
        </is>
      </c>
      <c r="E44" s="23">
        <v>0</v>
      </c>
      <c r="F44" s="23" t="s">
        <v>41</v>
      </c>
      <c r="G44" s="23" t="s">
        <v>61</v>
      </c>
      <c r="H44" s="23" t="s">
        <v>86</v>
      </c>
      <c r="I44" s="23"/>
      <c r="J44" s="23" t="s">
        <v>62</v>
      </c>
      <c r="K44" s="23"/>
      <c r="L44" s="29">
        <v>0</v>
      </c>
      <c r="M44" s="29">
        <v>-2</v>
      </c>
      <c r="N44" s="29"/>
      <c r="O44" s="29">
        <v>2151</v>
      </c>
      <c r="P44" s="29">
        <v>1148</v>
      </c>
      <c r="Q44" s="29">
        <v>0</v>
      </c>
      <c r="R44" s="30">
        <v>252</v>
      </c>
    </row>
    <row r="45" spans="1:18">
      <c r="A45" s="27"/>
      <c r="B45" s="28">
        <v>41</v>
      </c>
      <c r="C45" s="1">
        <f>30000000+INDEX(编号表!$B:$B,MATCH(G45,编号表!$A:$A,0))*100000+INDEX(编号表!$F:$F,MATCH(H45,编号表!$E:$E,0))*1000+INDEX(编号表!$D:$D,MATCH(F45,编号表!$C:$C,0))*10000+E45</f>
        <v>31522001</v>
      </c>
      <c r="D45" s="23" t="s">
        <v>98</v>
      </c>
      <c r="E45" s="23">
        <v>1</v>
      </c>
      <c r="F45" s="23" t="s">
        <v>41</v>
      </c>
      <c r="G45" s="23" t="s">
        <v>61</v>
      </c>
      <c r="H45" s="23" t="s">
        <v>86</v>
      </c>
      <c r="I45" s="23"/>
      <c r="J45" s="23" t="s">
        <v>62</v>
      </c>
      <c r="K45" s="23"/>
      <c r="L45" s="29">
        <v>0</v>
      </c>
      <c r="M45" s="29">
        <v>3</v>
      </c>
      <c r="N45" s="29"/>
      <c r="O45" s="29">
        <v>2298</v>
      </c>
      <c r="P45" s="29">
        <v>1516</v>
      </c>
      <c r="Q45" s="29">
        <v>0</v>
      </c>
      <c r="R45" s="30">
        <v>324</v>
      </c>
    </row>
    <row r="46" spans="1:18">
      <c r="A46" s="27"/>
      <c r="B46" s="28">
        <v>42</v>
      </c>
      <c r="C46" s="1">
        <f>30000000+INDEX(编号表!$B:$B,MATCH(G46,编号表!$A:$A,0))*100000+INDEX(编号表!$F:$F,MATCH(H46,编号表!$E:$E,0))*1000+INDEX(编号表!$D:$D,MATCH(F46,编号表!$C:$C,0))*10000+E46</f>
        <v>31522002</v>
      </c>
      <c r="D46" s="23" t="s">
        <v>99</v>
      </c>
      <c r="E46" s="23">
        <v>2</v>
      </c>
      <c r="F46" s="23" t="s">
        <v>41</v>
      </c>
      <c r="G46" s="23" t="s">
        <v>61</v>
      </c>
      <c r="H46" s="23" t="s">
        <v>86</v>
      </c>
      <c r="I46" s="23"/>
      <c r="J46" s="23" t="s">
        <v>65</v>
      </c>
      <c r="K46" s="23"/>
      <c r="L46" s="29">
        <v>0</v>
      </c>
      <c r="M46" s="29">
        <v>-1</v>
      </c>
      <c r="N46" s="29"/>
      <c r="O46" s="29">
        <v>2039</v>
      </c>
      <c r="P46" s="29">
        <v>714</v>
      </c>
      <c r="Q46" s="29">
        <v>0</v>
      </c>
      <c r="R46" s="30">
        <v>351</v>
      </c>
    </row>
    <row r="47" spans="1:18">
      <c r="A47" s="27"/>
      <c r="B47" s="28">
        <v>43</v>
      </c>
      <c r="C47" s="1">
        <f>30000000+INDEX(编号表!$B:$B,MATCH(G47,编号表!$A:$A,0))*100000+INDEX(编号表!$F:$F,MATCH(H47,编号表!$E:$E,0))*1000+INDEX(编号表!$D:$D,MATCH(F47,编号表!$C:$C,0))*10000+E47</f>
        <v>31522003</v>
      </c>
      <c r="D47" s="23" t="s">
        <v>100</v>
      </c>
      <c r="E47" s="23">
        <v>3</v>
      </c>
      <c r="F47" s="23" t="s">
        <v>41</v>
      </c>
      <c r="G47" s="23" t="s">
        <v>61</v>
      </c>
      <c r="H47" s="23" t="s">
        <v>86</v>
      </c>
      <c r="I47" s="23"/>
      <c r="J47" s="23" t="s">
        <v>65</v>
      </c>
      <c r="K47" s="23"/>
      <c r="L47" s="29">
        <v>0</v>
      </c>
      <c r="M47" s="29">
        <v>2</v>
      </c>
      <c r="N47" s="29"/>
      <c r="O47" s="29">
        <v>2151</v>
      </c>
      <c r="P47" s="29">
        <v>1712</v>
      </c>
      <c r="Q47" s="29">
        <v>0</v>
      </c>
      <c r="R47" s="30">
        <v>108</v>
      </c>
    </row>
    <row r="48" spans="1:18">
      <c r="A48" s="27"/>
      <c r="B48" s="28">
        <v>44</v>
      </c>
      <c r="C48" s="1">
        <f>30000000+INDEX(编号表!$B:$B,MATCH(G48,编号表!$A:$A,0))*100000+INDEX(编号表!$F:$F,MATCH(H48,编号表!$E:$E,0))*1000+INDEX(编号表!$D:$D,MATCH(F48,编号表!$C:$C,0))*10000+E48</f>
        <v>31522004</v>
      </c>
      <c r="D48" s="23" t="s">
        <v>101</v>
      </c>
      <c r="E48" s="23">
        <v>4</v>
      </c>
      <c r="F48" s="23" t="s">
        <v>41</v>
      </c>
      <c r="G48" s="23" t="s">
        <v>61</v>
      </c>
      <c r="H48" s="23" t="s">
        <v>86</v>
      </c>
      <c r="I48" s="23"/>
      <c r="J48" s="23" t="s">
        <v>68</v>
      </c>
      <c r="K48" s="23"/>
      <c r="L48" s="29">
        <v>0</v>
      </c>
      <c r="M48" s="29">
        <v>-1</v>
      </c>
      <c r="N48" s="29"/>
      <c r="O48" s="29">
        <v>2151</v>
      </c>
      <c r="P48" s="29">
        <v>1420</v>
      </c>
      <c r="Q48" s="29">
        <v>0</v>
      </c>
      <c r="R48" s="30">
        <v>261</v>
      </c>
    </row>
    <row r="49" spans="1:18">
      <c r="A49" s="27"/>
      <c r="B49" s="28">
        <v>45</v>
      </c>
      <c r="C49" s="1">
        <f>30000000+INDEX(编号表!$B:$B,MATCH(G49,编号表!$A:$A,0))*100000+INDEX(编号表!$F:$F,MATCH(H49,编号表!$E:$E,0))*1000+INDEX(编号表!$D:$D,MATCH(F49,编号表!$C:$C,0))*10000+E49</f>
        <v>31522005</v>
      </c>
      <c r="D49" s="23" t="s">
        <v>102</v>
      </c>
      <c r="E49" s="23">
        <v>5</v>
      </c>
      <c r="F49" s="23" t="s">
        <v>41</v>
      </c>
      <c r="G49" s="23" t="s">
        <v>61</v>
      </c>
      <c r="H49" s="23" t="s">
        <v>86</v>
      </c>
      <c r="I49" s="23"/>
      <c r="J49" s="23" t="s">
        <v>68</v>
      </c>
      <c r="K49" s="23"/>
      <c r="L49" s="29">
        <v>0</v>
      </c>
      <c r="M49" s="29">
        <v>4</v>
      </c>
      <c r="N49" s="29"/>
      <c r="O49" s="29">
        <v>2224</v>
      </c>
      <c r="P49" s="29">
        <v>1770</v>
      </c>
      <c r="Q49" s="29">
        <v>0</v>
      </c>
      <c r="R49" s="30">
        <v>468</v>
      </c>
    </row>
    <row r="50" spans="1:18">
      <c r="A50" s="27"/>
      <c r="B50" s="28">
        <v>46</v>
      </c>
      <c r="C50" s="1">
        <f>30000000+INDEX(编号表!$B:$B,MATCH(G50,编号表!$A:$A,0))*100000+INDEX(编号表!$F:$F,MATCH(H50,编号表!$E:$E,0))*1000+INDEX(编号表!$D:$D,MATCH(F50,编号表!$C:$C,0))*10000+E50</f>
        <v>31522006</v>
      </c>
      <c r="D50" s="23" t="s">
        <v>103</v>
      </c>
      <c r="E50" s="23">
        <v>6</v>
      </c>
      <c r="F50" s="23" t="s">
        <v>41</v>
      </c>
      <c r="G50" s="23" t="s">
        <v>61</v>
      </c>
      <c r="H50" s="23" t="s">
        <v>86</v>
      </c>
      <c r="I50" s="23"/>
      <c r="J50" s="23" t="s">
        <v>71</v>
      </c>
      <c r="K50" s="23"/>
      <c r="L50" s="29">
        <v>0</v>
      </c>
      <c r="M50" s="29">
        <v>-1</v>
      </c>
      <c r="N50" s="29"/>
      <c r="O50" s="29">
        <v>2224</v>
      </c>
      <c r="P50" s="29">
        <v>605</v>
      </c>
      <c r="Q50" s="29">
        <v>0</v>
      </c>
      <c r="R50" s="30">
        <v>756</v>
      </c>
    </row>
    <row r="51" spans="1:18">
      <c r="A51" s="27"/>
      <c r="B51" s="28">
        <v>47</v>
      </c>
      <c r="C51" s="1">
        <f>30000000+INDEX(编号表!$B:$B,MATCH(G51,编号表!$A:$A,0))*100000+INDEX(编号表!$F:$F,MATCH(H51,编号表!$E:$E,0))*1000+INDEX(编号表!$D:$D,MATCH(F51,编号表!$C:$C,0))*10000+E51</f>
        <v>31522007</v>
      </c>
      <c r="D51" s="23" t="s">
        <v>104</v>
      </c>
      <c r="E51" s="23">
        <v>7</v>
      </c>
      <c r="F51" s="23" t="s">
        <v>41</v>
      </c>
      <c r="G51" s="23" t="s">
        <v>61</v>
      </c>
      <c r="H51" s="23" t="s">
        <v>86</v>
      </c>
      <c r="I51" s="23"/>
      <c r="J51" s="23" t="s">
        <v>71</v>
      </c>
      <c r="K51" s="23"/>
      <c r="L51" s="29">
        <v>0</v>
      </c>
      <c r="M51" s="29">
        <v>2</v>
      </c>
      <c r="N51" s="29"/>
      <c r="O51" s="29">
        <v>2151</v>
      </c>
      <c r="P51" s="29">
        <v>1712</v>
      </c>
      <c r="Q51" s="29">
        <v>0</v>
      </c>
      <c r="R51" s="30">
        <v>108</v>
      </c>
    </row>
    <row r="52" spans="1:18">
      <c r="A52" s="27"/>
      <c r="B52" s="28">
        <v>48</v>
      </c>
      <c r="C52" s="1">
        <f>30000000+INDEX(编号表!$B:$B,MATCH(G52,编号表!$A:$A,0))*100000+INDEX(编号表!$F:$F,MATCH(H52,编号表!$E:$E,0))*1000+INDEX(编号表!$D:$D,MATCH(F52,编号表!$C:$C,0))*10000+E52</f>
        <v>31522008</v>
      </c>
      <c r="D52" s="23" t="s">
        <v>105</v>
      </c>
      <c r="E52" s="23">
        <v>8</v>
      </c>
      <c r="F52" s="23" t="s">
        <v>41</v>
      </c>
      <c r="G52" s="23" t="s">
        <v>61</v>
      </c>
      <c r="H52" s="23" t="s">
        <v>86</v>
      </c>
      <c r="I52" s="23"/>
      <c r="J52" s="23" t="s">
        <v>74</v>
      </c>
      <c r="K52" s="23"/>
      <c r="L52" s="29">
        <v>0</v>
      </c>
      <c r="M52" s="29">
        <v>-2</v>
      </c>
      <c r="N52" s="29"/>
      <c r="O52" s="29">
        <v>2151</v>
      </c>
      <c r="P52" s="29">
        <v>1148</v>
      </c>
      <c r="Q52" s="29">
        <v>0</v>
      </c>
      <c r="R52" s="30">
        <v>252</v>
      </c>
    </row>
    <row r="53" spans="1:18">
      <c r="A53" s="27"/>
      <c r="B53" s="28">
        <v>49</v>
      </c>
      <c r="C53" s="1">
        <f>30000000+INDEX(编号表!$B:$B,MATCH(G53,编号表!$A:$A,0))*100000+INDEX(编号表!$F:$F,MATCH(H53,编号表!$E:$E,0))*1000+INDEX(编号表!$D:$D,MATCH(F53,编号表!$C:$C,0))*10000+E53</f>
        <v>31522009</v>
      </c>
      <c r="D53" s="23" t="s">
        <v>106</v>
      </c>
      <c r="E53" s="23">
        <v>9</v>
      </c>
      <c r="F53" s="23" t="s">
        <v>41</v>
      </c>
      <c r="G53" s="23" t="s">
        <v>61</v>
      </c>
      <c r="H53" s="23" t="s">
        <v>86</v>
      </c>
      <c r="I53" s="23"/>
      <c r="J53" s="23" t="s">
        <v>74</v>
      </c>
      <c r="K53" s="23"/>
      <c r="L53" s="29">
        <v>0</v>
      </c>
      <c r="M53" s="29">
        <v>1</v>
      </c>
      <c r="N53" s="29"/>
      <c r="O53" s="29">
        <v>2039</v>
      </c>
      <c r="P53" s="29">
        <v>714</v>
      </c>
      <c r="Q53" s="29">
        <v>0</v>
      </c>
      <c r="R53" s="30">
        <v>351</v>
      </c>
    </row>
    <row r="54" spans="1:18">
      <c r="A54" s="27"/>
      <c r="B54" s="28">
        <v>50</v>
      </c>
      <c r="C54" s="1">
        <f>30000000+INDEX(编号表!$B:$B,MATCH(G54,编号表!$A:$A,0))*100000+INDEX(编号表!$F:$F,MATCH(H54,编号表!$E:$E,0))*1000+INDEX(编号表!$D:$D,MATCH(F54,编号表!$C:$C,0))*10000+E54</f>
        <v>31422000</v>
      </c>
      <c r="D54" s="23" t="s">
        <v>107</v>
      </c>
      <c r="E54" s="23">
        <v>0</v>
      </c>
      <c r="F54" s="23" t="s">
        <v>41</v>
      </c>
      <c r="G54" s="23" t="s">
        <v>77</v>
      </c>
      <c r="H54" s="23" t="s">
        <v>86</v>
      </c>
      <c r="I54" s="23"/>
      <c r="J54" s="23"/>
      <c r="K54" s="23"/>
      <c r="L54" s="29">
        <v>0</v>
      </c>
      <c r="M54" s="29">
        <v>0</v>
      </c>
      <c r="N54" s="29"/>
      <c r="O54" s="29">
        <v>2039</v>
      </c>
      <c r="P54" s="29">
        <v>555</v>
      </c>
      <c r="Q54" s="29">
        <v>0</v>
      </c>
      <c r="R54" s="30">
        <v>414</v>
      </c>
    </row>
    <row r="55" spans="1:18">
      <c r="A55" s="27"/>
      <c r="B55" s="28">
        <v>51</v>
      </c>
      <c r="C55" s="1">
        <f>30000000+INDEX(编号表!$B:$B,MATCH(G55,编号表!$A:$A,0))*100000+INDEX(编号表!$F:$F,MATCH(H55,编号表!$E:$E,0))*1000+INDEX(编号表!$D:$D,MATCH(F55,编号表!$C:$C,0))*10000+E55</f>
        <v>31422001</v>
      </c>
      <c r="D55" s="23" t="s">
        <v>108</v>
      </c>
      <c r="E55" s="23">
        <v>1</v>
      </c>
      <c r="F55" s="23" t="s">
        <v>41</v>
      </c>
      <c r="G55" s="23" t="s">
        <v>77</v>
      </c>
      <c r="H55" s="23" t="s">
        <v>86</v>
      </c>
      <c r="I55" s="23"/>
      <c r="J55" s="23"/>
      <c r="K55" s="23"/>
      <c r="L55" s="29">
        <v>0</v>
      </c>
      <c r="M55" s="29">
        <v>0</v>
      </c>
      <c r="N55" s="29"/>
      <c r="O55" s="29">
        <v>2298</v>
      </c>
      <c r="P55" s="29">
        <v>1829</v>
      </c>
      <c r="Q55" s="29">
        <v>0</v>
      </c>
      <c r="R55" s="30">
        <v>144</v>
      </c>
    </row>
    <row r="56" spans="1:18">
      <c r="A56" s="27"/>
      <c r="B56" s="28">
        <v>52</v>
      </c>
      <c r="C56" s="1">
        <f>30000000+INDEX(编号表!$B:$B,MATCH(G56,编号表!$A:$A,0))*100000+INDEX(编号表!$F:$F,MATCH(H56,编号表!$E:$E,0))*1000+INDEX(编号表!$D:$D,MATCH(F56,编号表!$C:$C,0))*10000+E56</f>
        <v>31422002</v>
      </c>
      <c r="D56" s="23" t="s">
        <v>109</v>
      </c>
      <c r="E56" s="23">
        <v>2</v>
      </c>
      <c r="F56" s="23" t="s">
        <v>41</v>
      </c>
      <c r="G56" s="23" t="s">
        <v>77</v>
      </c>
      <c r="H56" s="23" t="s">
        <v>86</v>
      </c>
      <c r="I56" s="23"/>
      <c r="J56" s="23"/>
      <c r="K56" s="23"/>
      <c r="L56" s="29">
        <v>0</v>
      </c>
      <c r="M56" s="29">
        <v>1</v>
      </c>
      <c r="N56" s="29"/>
      <c r="O56" s="29">
        <v>2224</v>
      </c>
      <c r="P56" s="29">
        <v>605</v>
      </c>
      <c r="Q56" s="29">
        <v>0</v>
      </c>
      <c r="R56" s="30">
        <v>756</v>
      </c>
    </row>
    <row r="57" spans="1:18">
      <c r="A57" s="27"/>
      <c r="B57" s="28">
        <v>53</v>
      </c>
      <c r="C57" s="1">
        <f>30000000+INDEX(编号表!$B:$B,MATCH(G57,编号表!$A:$A,0))*100000+INDEX(编号表!$F:$F,MATCH(H57,编号表!$E:$E,0))*1000+INDEX(编号表!$D:$D,MATCH(F57,编号表!$C:$C,0))*10000+E57</f>
        <v>31422003</v>
      </c>
      <c r="D57" s="23" t="s">
        <v>110</v>
      </c>
      <c r="E57" s="23">
        <v>3</v>
      </c>
      <c r="F57" s="23" t="s">
        <v>41</v>
      </c>
      <c r="G57" s="23" t="s">
        <v>77</v>
      </c>
      <c r="H57" s="23" t="s">
        <v>86</v>
      </c>
      <c r="I57" s="23"/>
      <c r="J57" s="23"/>
      <c r="K57" s="23"/>
      <c r="L57" s="29">
        <v>0</v>
      </c>
      <c r="M57" s="29">
        <v>4</v>
      </c>
      <c r="N57" s="29"/>
      <c r="O57" s="29">
        <v>2224</v>
      </c>
      <c r="P57" s="29">
        <v>1770</v>
      </c>
      <c r="Q57" s="29">
        <v>0</v>
      </c>
      <c r="R57" s="30">
        <v>468</v>
      </c>
    </row>
    <row r="58" spans="1:18">
      <c r="A58" s="27"/>
      <c r="B58" s="28">
        <v>54</v>
      </c>
      <c r="C58" s="1">
        <f>30000000+INDEX(编号表!$B:$B,MATCH(G58,编号表!$A:$A,0))*100000+INDEX(编号表!$F:$F,MATCH(H58,编号表!$E:$E,0))*1000+INDEX(编号表!$D:$D,MATCH(F58,编号表!$C:$C,0))*10000+E58</f>
        <v>31622000</v>
      </c>
      <c r="D58" s="23" t="s">
        <v>111</v>
      </c>
      <c r="E58" s="23">
        <v>0</v>
      </c>
      <c r="F58" s="23" t="s">
        <v>41</v>
      </c>
      <c r="G58" s="23" t="s">
        <v>82</v>
      </c>
      <c r="H58" s="23" t="s">
        <v>86</v>
      </c>
      <c r="I58" s="23"/>
      <c r="J58" s="23"/>
      <c r="K58" s="23"/>
      <c r="L58" s="29">
        <v>7</v>
      </c>
      <c r="M58" s="29">
        <v>0</v>
      </c>
      <c r="N58" s="29"/>
      <c r="O58" s="29">
        <v>0</v>
      </c>
      <c r="P58" s="29">
        <v>0</v>
      </c>
      <c r="Q58" s="29">
        <v>0</v>
      </c>
      <c r="R58" s="30">
        <v>216</v>
      </c>
    </row>
    <row r="59" spans="1:18">
      <c r="A59" s="27"/>
      <c r="B59" s="28">
        <v>55</v>
      </c>
      <c r="C59" s="1">
        <f>30000000+INDEX(编号表!$B:$B,MATCH(G59,编号表!$A:$A,0))*100000+INDEX(编号表!$F:$F,MATCH(H59,编号表!$E:$E,0))*1000+INDEX(编号表!$D:$D,MATCH(F59,编号表!$C:$C,0))*10000+E59</f>
        <v>31622001</v>
      </c>
      <c r="D59" s="23" t="s">
        <v>112</v>
      </c>
      <c r="E59" s="23">
        <v>1</v>
      </c>
      <c r="F59" s="23" t="s">
        <v>41</v>
      </c>
      <c r="G59" s="23" t="s">
        <v>82</v>
      </c>
      <c r="H59" s="23" t="s">
        <v>86</v>
      </c>
      <c r="I59" s="23"/>
      <c r="J59" s="23"/>
      <c r="K59" s="23"/>
      <c r="L59" s="29">
        <v>8</v>
      </c>
      <c r="M59" s="29">
        <v>0</v>
      </c>
      <c r="N59" s="29"/>
      <c r="O59" s="29">
        <v>0</v>
      </c>
      <c r="P59" s="29">
        <v>0</v>
      </c>
      <c r="Q59" s="29">
        <v>0</v>
      </c>
      <c r="R59" s="30">
        <v>396</v>
      </c>
    </row>
    <row r="60" spans="1:18">
      <c r="A60" s="27"/>
      <c r="B60" s="28">
        <v>56</v>
      </c>
      <c r="C60" s="1">
        <f>30000000+INDEX(编号表!$B:$B,MATCH(G60,编号表!$A:$A,0))*100000+INDEX(编号表!$F:$F,MATCH(H60,编号表!$E:$E,0))*1000+INDEX(编号表!$D:$D,MATCH(F60,编号表!$C:$C,0))*10000+E60</f>
        <v>31622002</v>
      </c>
      <c r="D60" s="23" t="s">
        <v>113</v>
      </c>
      <c r="E60" s="23">
        <v>2</v>
      </c>
      <c r="F60" s="23" t="s">
        <v>41</v>
      </c>
      <c r="G60" s="23" t="s">
        <v>82</v>
      </c>
      <c r="H60" s="23" t="s">
        <v>86</v>
      </c>
      <c r="I60" s="23"/>
      <c r="J60" s="23"/>
      <c r="K60" s="23"/>
      <c r="L60" s="29">
        <v>9</v>
      </c>
      <c r="M60" s="29">
        <v>0</v>
      </c>
      <c r="N60" s="29"/>
      <c r="O60" s="29">
        <v>0</v>
      </c>
      <c r="P60" s="29">
        <v>0</v>
      </c>
      <c r="Q60" s="29">
        <v>0</v>
      </c>
      <c r="R60" s="30">
        <v>612</v>
      </c>
    </row>
    <row r="61" spans="1:18">
      <c r="A61" s="27"/>
      <c r="B61" s="28">
        <v>57</v>
      </c>
      <c r="C61" s="1">
        <f>30000000+INDEX(编号表!$B:$B,MATCH(G61,编号表!$A:$A,0))*100000+INDEX(编号表!$F:$F,MATCH(H61,编号表!$E:$E,0))*1000+INDEX(编号表!$D:$D,MATCH(F61,编号表!$C:$C,0))*10000+E61</f>
        <v>31223000</v>
      </c>
      <c r="D61" s="23" t="s">
        <v>114</v>
      </c>
      <c r="E61" s="23">
        <v>0</v>
      </c>
      <c r="F61" s="23" t="s">
        <v>41</v>
      </c>
      <c r="G61" s="23" t="s">
        <v>42</v>
      </c>
      <c r="H61" s="23" t="s">
        <v>115</v>
      </c>
      <c r="I61" s="23"/>
      <c r="J61" s="23"/>
      <c r="K61" s="23"/>
      <c r="L61" s="29">
        <v>0</v>
      </c>
      <c r="M61" s="29">
        <v>0</v>
      </c>
      <c r="N61" s="29"/>
      <c r="O61" s="29">
        <v>6480</v>
      </c>
      <c r="P61" s="29">
        <v>3351</v>
      </c>
      <c r="Q61" s="29">
        <v>32400</v>
      </c>
      <c r="R61" s="30">
        <v>583</v>
      </c>
    </row>
    <row r="62" spans="1:18">
      <c r="A62" s="27"/>
      <c r="B62" s="28">
        <v>58</v>
      </c>
      <c r="C62" s="1">
        <f>30000000+INDEX(编号表!$B:$B,MATCH(G62,编号表!$A:$A,0))*100000+INDEX(编号表!$F:$F,MATCH(H62,编号表!$E:$E,0))*1000+INDEX(编号表!$D:$D,MATCH(F62,编号表!$C:$C,0))*10000+E62</f>
        <v>31323000</v>
      </c>
      <c r="D62" s="23" t="s">
        <v>116</v>
      </c>
      <c r="E62" s="23">
        <v>0</v>
      </c>
      <c r="F62" s="23" t="s">
        <v>41</v>
      </c>
      <c r="G62" s="23" t="s">
        <v>45</v>
      </c>
      <c r="H62" s="23" t="s">
        <v>115</v>
      </c>
      <c r="I62" s="23" t="s">
        <v>46</v>
      </c>
      <c r="J62" s="23"/>
      <c r="K62" s="23"/>
      <c r="L62" s="29">
        <v>0</v>
      </c>
      <c r="M62" s="29">
        <v>-2</v>
      </c>
      <c r="N62" s="29"/>
      <c r="O62" s="29">
        <v>3871</v>
      </c>
      <c r="P62" s="29">
        <v>2002</v>
      </c>
      <c r="Q62" s="29">
        <v>0</v>
      </c>
      <c r="R62" s="30">
        <v>453</v>
      </c>
    </row>
    <row r="63" spans="1:18">
      <c r="A63" s="27"/>
      <c r="B63" s="28">
        <v>59</v>
      </c>
      <c r="C63" s="1">
        <f>30000000+INDEX(编号表!$B:$B,MATCH(G63,编号表!$A:$A,0))*100000+INDEX(编号表!$F:$F,MATCH(H63,编号表!$E:$E,0))*1000+INDEX(编号表!$D:$D,MATCH(F63,编号表!$C:$C,0))*10000+E63</f>
        <v>31323001</v>
      </c>
      <c r="D63" s="23" t="s">
        <v>117</v>
      </c>
      <c r="E63" s="23">
        <v>1</v>
      </c>
      <c r="F63" s="23" t="s">
        <v>41</v>
      </c>
      <c r="G63" s="23" t="s">
        <v>45</v>
      </c>
      <c r="H63" s="23" t="s">
        <v>115</v>
      </c>
      <c r="I63" s="23" t="s">
        <v>46</v>
      </c>
      <c r="J63" s="23"/>
      <c r="K63" s="23"/>
      <c r="L63" s="29">
        <v>0</v>
      </c>
      <c r="M63" s="29">
        <v>3</v>
      </c>
      <c r="N63" s="29"/>
      <c r="O63" s="29">
        <v>4137</v>
      </c>
      <c r="P63" s="29">
        <v>2645</v>
      </c>
      <c r="Q63" s="29">
        <v>0</v>
      </c>
      <c r="R63" s="30">
        <v>583</v>
      </c>
    </row>
    <row r="64" spans="1:18">
      <c r="A64" s="27"/>
      <c r="B64" s="28">
        <v>60</v>
      </c>
      <c r="C64" s="1">
        <f>30000000+INDEX(编号表!$B:$B,MATCH(G64,编号表!$A:$A,0))*100000+INDEX(编号表!$F:$F,MATCH(H64,编号表!$E:$E,0))*1000+INDEX(编号表!$D:$D,MATCH(F64,编号表!$C:$C,0))*10000+E64</f>
        <v>31323002</v>
      </c>
      <c r="D64" s="23" t="s">
        <v>118</v>
      </c>
      <c r="E64" s="23">
        <v>2</v>
      </c>
      <c r="F64" s="23" t="s">
        <v>41</v>
      </c>
      <c r="G64" s="23" t="s">
        <v>45</v>
      </c>
      <c r="H64" s="23" t="s">
        <v>115</v>
      </c>
      <c r="I64" s="23" t="s">
        <v>49</v>
      </c>
      <c r="J64" s="23"/>
      <c r="K64" s="23"/>
      <c r="L64" s="29">
        <v>0</v>
      </c>
      <c r="M64" s="29">
        <v>-1</v>
      </c>
      <c r="N64" s="29"/>
      <c r="O64" s="29">
        <v>3670</v>
      </c>
      <c r="P64" s="29">
        <v>1243</v>
      </c>
      <c r="Q64" s="29">
        <v>0</v>
      </c>
      <c r="R64" s="30">
        <v>631</v>
      </c>
    </row>
    <row r="65" spans="1:18">
      <c r="A65" s="27"/>
      <c r="B65" s="28">
        <v>61</v>
      </c>
      <c r="C65" s="1">
        <f>30000000+INDEX(编号表!$B:$B,MATCH(G65,编号表!$A:$A,0))*100000+INDEX(编号表!$F:$F,MATCH(H65,编号表!$E:$E,0))*1000+INDEX(编号表!$D:$D,MATCH(F65,编号表!$C:$C,0))*10000+E65</f>
        <v>31323003</v>
      </c>
      <c r="D65" s="23" t="s">
        <v>119</v>
      </c>
      <c r="E65" s="23">
        <v>3</v>
      </c>
      <c r="F65" s="23" t="s">
        <v>41</v>
      </c>
      <c r="G65" s="23" t="s">
        <v>45</v>
      </c>
      <c r="H65" s="23" t="s">
        <v>115</v>
      </c>
      <c r="I65" s="23" t="s">
        <v>49</v>
      </c>
      <c r="J65" s="23"/>
      <c r="K65" s="23"/>
      <c r="L65" s="29">
        <v>0</v>
      </c>
      <c r="M65" s="29">
        <v>2</v>
      </c>
      <c r="N65" s="29"/>
      <c r="O65" s="29">
        <v>3871</v>
      </c>
      <c r="P65" s="29">
        <v>2985</v>
      </c>
      <c r="Q65" s="29">
        <v>0</v>
      </c>
      <c r="R65" s="30">
        <v>194</v>
      </c>
    </row>
    <row r="66" spans="1:18">
      <c r="A66" s="27"/>
      <c r="B66" s="28">
        <v>62</v>
      </c>
      <c r="C66" s="1">
        <f>30000000+INDEX(编号表!$B:$B,MATCH(G66,编号表!$A:$A,0))*100000+INDEX(编号表!$F:$F,MATCH(H66,编号表!$E:$E,0))*1000+INDEX(编号表!$D:$D,MATCH(F66,编号表!$C:$C,0))*10000+E66</f>
        <v>31323004</v>
      </c>
      <c r="D66" s="23" t="s">
        <v>120</v>
      </c>
      <c r="E66" s="23">
        <v>4</v>
      </c>
      <c r="F66" s="23" t="s">
        <v>41</v>
      </c>
      <c r="G66" s="23" t="s">
        <v>45</v>
      </c>
      <c r="H66" s="23" t="s">
        <v>115</v>
      </c>
      <c r="I66" s="23" t="s">
        <v>52</v>
      </c>
      <c r="J66" s="23"/>
      <c r="K66" s="23"/>
      <c r="L66" s="29">
        <v>0</v>
      </c>
      <c r="M66" s="29">
        <v>-1</v>
      </c>
      <c r="N66" s="29"/>
      <c r="O66" s="29">
        <v>3871</v>
      </c>
      <c r="P66" s="29">
        <v>2475</v>
      </c>
      <c r="Q66" s="29">
        <v>0</v>
      </c>
      <c r="R66" s="30">
        <v>469</v>
      </c>
    </row>
    <row r="67" spans="1:18">
      <c r="A67" s="27"/>
      <c r="B67" s="28">
        <v>63</v>
      </c>
      <c r="C67" s="1">
        <f>30000000+INDEX(编号表!$B:$B,MATCH(G67,编号表!$A:$A,0))*100000+INDEX(编号表!$F:$F,MATCH(H67,编号表!$E:$E,0))*1000+INDEX(编号表!$D:$D,MATCH(F67,编号表!$C:$C,0))*10000+E67</f>
        <v>31323005</v>
      </c>
      <c r="D67" s="23" t="inlineStr">
        <is>
          <t xml:space="preserve">足年沸泉苔·玄株</t>
        </is>
      </c>
      <c r="E67" s="23">
        <v>5</v>
      </c>
      <c r="F67" s="23" t="s">
        <v>41</v>
      </c>
      <c r="G67" s="23" t="s">
        <v>45</v>
      </c>
      <c r="H67" s="23" t="s">
        <v>115</v>
      </c>
      <c r="I67" s="23" t="s">
        <v>52</v>
      </c>
      <c r="J67" s="23"/>
      <c r="K67" s="23"/>
      <c r="L67" s="29">
        <v>0</v>
      </c>
      <c r="M67" s="29">
        <v>4</v>
      </c>
      <c r="N67" s="29"/>
      <c r="O67" s="29">
        <v>4004</v>
      </c>
      <c r="P67" s="29">
        <v>3088</v>
      </c>
      <c r="Q67" s="29">
        <v>0</v>
      </c>
      <c r="R67" s="30">
        <v>842</v>
      </c>
    </row>
    <row r="68" spans="1:18">
      <c r="A68" s="27"/>
      <c r="B68" s="28">
        <v>64</v>
      </c>
      <c r="C68" s="1">
        <f>30000000+INDEX(编号表!$B:$B,MATCH(G68,编号表!$A:$A,0))*100000+INDEX(编号表!$F:$F,MATCH(H68,编号表!$E:$E,0))*1000+INDEX(编号表!$D:$D,MATCH(F68,编号表!$C:$C,0))*10000+E68</f>
        <v>31323006</v>
      </c>
      <c r="D68" s="23" t="inlineStr">
        <is>
          <t xml:space="preserve">足年丹露花·玄株</t>
        </is>
      </c>
      <c r="E68" s="23">
        <v>6</v>
      </c>
      <c r="F68" s="23" t="s">
        <v>41</v>
      </c>
      <c r="G68" s="23" t="s">
        <v>45</v>
      </c>
      <c r="H68" s="23" t="s">
        <v>115</v>
      </c>
      <c r="I68" s="23" t="s">
        <v>55</v>
      </c>
      <c r="J68" s="23"/>
      <c r="K68" s="23"/>
      <c r="L68" s="29">
        <v>0</v>
      </c>
      <c r="M68" s="29">
        <v>-1</v>
      </c>
      <c r="N68" s="29"/>
      <c r="O68" s="29">
        <v>4004</v>
      </c>
      <c r="P68" s="29">
        <v>1055</v>
      </c>
      <c r="Q68" s="29">
        <v>0</v>
      </c>
      <c r="R68" s="30">
        <v>1360</v>
      </c>
    </row>
    <row r="69" spans="1:18">
      <c r="A69" s="27"/>
      <c r="B69" s="28">
        <v>65</v>
      </c>
      <c r="C69" s="1">
        <f>30000000+INDEX(编号表!$B:$B,MATCH(G69,编号表!$A:$A,0))*100000+INDEX(编号表!$F:$F,MATCH(H69,编号表!$E:$E,0))*1000+INDEX(编号表!$D:$D,MATCH(F69,编号表!$C:$C,0))*10000+E69</f>
        <v>31323007</v>
      </c>
      <c r="D69" s="23" t="s">
        <v>123</v>
      </c>
      <c r="E69" s="23">
        <v>7</v>
      </c>
      <c r="F69" s="23" t="s">
        <v>41</v>
      </c>
      <c r="G69" s="23" t="s">
        <v>45</v>
      </c>
      <c r="H69" s="23" t="s">
        <v>115</v>
      </c>
      <c r="I69" s="23" t="s">
        <v>55</v>
      </c>
      <c r="J69" s="23"/>
      <c r="K69" s="23"/>
      <c r="L69" s="29">
        <v>0</v>
      </c>
      <c r="M69" s="29">
        <v>2</v>
      </c>
      <c r="N69" s="29"/>
      <c r="O69" s="29">
        <v>3871</v>
      </c>
      <c r="P69" s="29">
        <v>2985</v>
      </c>
      <c r="Q69" s="29">
        <v>0</v>
      </c>
      <c r="R69" s="30">
        <v>194</v>
      </c>
    </row>
    <row r="70" spans="1:18">
      <c r="A70" s="27"/>
      <c r="B70" s="28">
        <v>66</v>
      </c>
      <c r="C70" s="1">
        <f>30000000+INDEX(编号表!$B:$B,MATCH(G70,编号表!$A:$A,0))*100000+INDEX(编号表!$F:$F,MATCH(H70,编号表!$E:$E,0))*1000+INDEX(编号表!$D:$D,MATCH(F70,编号表!$C:$C,0))*10000+E70</f>
        <v>31323008</v>
      </c>
      <c r="D70" s="23" t="s">
        <v>124</v>
      </c>
      <c r="E70" s="23">
        <v>8</v>
      </c>
      <c r="F70" s="23" t="s">
        <v>41</v>
      </c>
      <c r="G70" s="23" t="s">
        <v>45</v>
      </c>
      <c r="H70" s="23" t="s">
        <v>115</v>
      </c>
      <c r="I70" s="23" t="s">
        <v>58</v>
      </c>
      <c r="J70" s="23"/>
      <c r="K70" s="23"/>
      <c r="L70" s="29">
        <v>0</v>
      </c>
      <c r="M70" s="29">
        <v>-2</v>
      </c>
      <c r="N70" s="29"/>
      <c r="O70" s="29">
        <v>3871</v>
      </c>
      <c r="P70" s="29">
        <v>2002</v>
      </c>
      <c r="Q70" s="29">
        <v>0</v>
      </c>
      <c r="R70" s="30">
        <v>453</v>
      </c>
    </row>
    <row r="71" spans="1:18">
      <c r="A71" s="27"/>
      <c r="B71" s="28">
        <v>67</v>
      </c>
      <c r="C71" s="1">
        <f>30000000+INDEX(编号表!$B:$B,MATCH(G71,编号表!$A:$A,0))*100000+INDEX(编号表!$F:$F,MATCH(H71,编号表!$E:$E,0))*1000+INDEX(编号表!$D:$D,MATCH(F71,编号表!$C:$C,0))*10000+E71</f>
        <v>31323009</v>
      </c>
      <c r="D71" s="23" t="s">
        <v>125</v>
      </c>
      <c r="E71" s="23">
        <v>9</v>
      </c>
      <c r="F71" s="23" t="s">
        <v>41</v>
      </c>
      <c r="G71" s="23" t="s">
        <v>45</v>
      </c>
      <c r="H71" s="23" t="s">
        <v>115</v>
      </c>
      <c r="I71" s="23" t="s">
        <v>58</v>
      </c>
      <c r="J71" s="23"/>
      <c r="K71" s="23"/>
      <c r="L71" s="29">
        <v>0</v>
      </c>
      <c r="M71" s="29">
        <v>1</v>
      </c>
      <c r="N71" s="29"/>
      <c r="O71" s="29">
        <v>3670</v>
      </c>
      <c r="P71" s="29">
        <v>1243</v>
      </c>
      <c r="Q71" s="29">
        <v>0</v>
      </c>
      <c r="R71" s="30">
        <v>631</v>
      </c>
    </row>
    <row r="72" spans="1:18">
      <c r="A72" s="27"/>
      <c r="B72" s="28">
        <v>68</v>
      </c>
      <c r="C72" s="1">
        <f>30000000+INDEX(编号表!$B:$B,MATCH(G72,编号表!$A:$A,0))*100000+INDEX(编号表!$F:$F,MATCH(H72,编号表!$E:$E,0))*1000+INDEX(编号表!$D:$D,MATCH(F72,编号表!$C:$C,0))*10000+E72</f>
        <v>31523000</v>
      </c>
      <c r="D72" s="23" t="inlineStr">
        <is>
          <t xml:space="preserve">足年霜辛草·玄株</t>
        </is>
      </c>
      <c r="E72" s="23">
        <v>0</v>
      </c>
      <c r="F72" s="23" t="s">
        <v>41</v>
      </c>
      <c r="G72" s="23" t="s">
        <v>61</v>
      </c>
      <c r="H72" s="23" t="s">
        <v>115</v>
      </c>
      <c r="I72" s="23"/>
      <c r="J72" s="23" t="s">
        <v>62</v>
      </c>
      <c r="K72" s="23"/>
      <c r="L72" s="29">
        <v>0</v>
      </c>
      <c r="M72" s="29">
        <v>-2</v>
      </c>
      <c r="N72" s="29"/>
      <c r="O72" s="29">
        <v>3871</v>
      </c>
      <c r="P72" s="29">
        <v>2002</v>
      </c>
      <c r="Q72" s="29">
        <v>0</v>
      </c>
      <c r="R72" s="30">
        <v>453</v>
      </c>
    </row>
    <row r="73" spans="1:18">
      <c r="A73" s="27"/>
      <c r="B73" s="28">
        <v>69</v>
      </c>
      <c r="C73" s="1">
        <f>30000000+INDEX(编号表!$B:$B,MATCH(G73,编号表!$A:$A,0))*100000+INDEX(编号表!$F:$F,MATCH(H73,编号表!$E:$E,0))*1000+INDEX(编号表!$D:$D,MATCH(F73,编号表!$C:$C,0))*10000+E73</f>
        <v>31523001</v>
      </c>
      <c r="D73" s="23" t="s">
        <v>127</v>
      </c>
      <c r="E73" s="23">
        <v>1</v>
      </c>
      <c r="F73" s="23" t="s">
        <v>41</v>
      </c>
      <c r="G73" s="23" t="s">
        <v>61</v>
      </c>
      <c r="H73" s="23" t="s">
        <v>115</v>
      </c>
      <c r="I73" s="23"/>
      <c r="J73" s="23" t="s">
        <v>62</v>
      </c>
      <c r="K73" s="23"/>
      <c r="L73" s="29">
        <v>0</v>
      </c>
      <c r="M73" s="29">
        <v>3</v>
      </c>
      <c r="N73" s="29"/>
      <c r="O73" s="29">
        <v>4137</v>
      </c>
      <c r="P73" s="29">
        <v>2645</v>
      </c>
      <c r="Q73" s="29">
        <v>0</v>
      </c>
      <c r="R73" s="30">
        <v>583</v>
      </c>
    </row>
    <row r="74" spans="1:18">
      <c r="A74" s="27"/>
      <c r="B74" s="28">
        <v>70</v>
      </c>
      <c r="C74" s="1">
        <f>30000000+INDEX(编号表!$B:$B,MATCH(G74,编号表!$A:$A,0))*100000+INDEX(编号表!$F:$F,MATCH(H74,编号表!$E:$E,0))*1000+INDEX(编号表!$D:$D,MATCH(F74,编号表!$C:$C,0))*10000+E74</f>
        <v>31523002</v>
      </c>
      <c r="D74" s="23" t="s">
        <v>128</v>
      </c>
      <c r="E74" s="23">
        <v>2</v>
      </c>
      <c r="F74" s="23" t="s">
        <v>41</v>
      </c>
      <c r="G74" s="23" t="s">
        <v>61</v>
      </c>
      <c r="H74" s="23" t="s">
        <v>115</v>
      </c>
      <c r="I74" s="23"/>
      <c r="J74" s="23" t="s">
        <v>65</v>
      </c>
      <c r="K74" s="23"/>
      <c r="L74" s="29">
        <v>0</v>
      </c>
      <c r="M74" s="29">
        <v>-1</v>
      </c>
      <c r="N74" s="29"/>
      <c r="O74" s="29">
        <v>3670</v>
      </c>
      <c r="P74" s="29">
        <v>1243</v>
      </c>
      <c r="Q74" s="29">
        <v>0</v>
      </c>
      <c r="R74" s="30">
        <v>631</v>
      </c>
    </row>
    <row r="75" spans="1:18">
      <c r="A75" s="27"/>
      <c r="B75" s="28">
        <v>71</v>
      </c>
      <c r="C75" s="1">
        <f>30000000+INDEX(编号表!$B:$B,MATCH(G75,编号表!$A:$A,0))*100000+INDEX(编号表!$F:$F,MATCH(H75,编号表!$E:$E,0))*1000+INDEX(编号表!$D:$D,MATCH(F75,编号表!$C:$C,0))*10000+E75</f>
        <v>31523003</v>
      </c>
      <c r="D75" s="23" t="s">
        <v>129</v>
      </c>
      <c r="E75" s="23">
        <v>3</v>
      </c>
      <c r="F75" s="23" t="s">
        <v>41</v>
      </c>
      <c r="G75" s="23" t="s">
        <v>61</v>
      </c>
      <c r="H75" s="23" t="s">
        <v>115</v>
      </c>
      <c r="I75" s="23"/>
      <c r="J75" s="23" t="s">
        <v>65</v>
      </c>
      <c r="K75" s="23"/>
      <c r="L75" s="29">
        <v>0</v>
      </c>
      <c r="M75" s="29">
        <v>2</v>
      </c>
      <c r="N75" s="29"/>
      <c r="O75" s="29">
        <v>3871</v>
      </c>
      <c r="P75" s="29">
        <v>2985</v>
      </c>
      <c r="Q75" s="29">
        <v>0</v>
      </c>
      <c r="R75" s="30">
        <v>194</v>
      </c>
    </row>
    <row r="76" spans="1:18">
      <c r="A76" s="27"/>
      <c r="B76" s="28">
        <v>72</v>
      </c>
      <c r="C76" s="1">
        <f>30000000+INDEX(编号表!$B:$B,MATCH(G76,编号表!$A:$A,0))*100000+INDEX(编号表!$F:$F,MATCH(H76,编号表!$E:$E,0))*1000+INDEX(编号表!$D:$D,MATCH(F76,编号表!$C:$C,0))*10000+E76</f>
        <v>31523004</v>
      </c>
      <c r="D76" s="23" t="s">
        <v>130</v>
      </c>
      <c r="E76" s="23">
        <v>4</v>
      </c>
      <c r="F76" s="23" t="s">
        <v>41</v>
      </c>
      <c r="G76" s="23" t="s">
        <v>61</v>
      </c>
      <c r="H76" s="23" t="s">
        <v>115</v>
      </c>
      <c r="I76" s="23"/>
      <c r="J76" s="23" t="s">
        <v>68</v>
      </c>
      <c r="K76" s="23"/>
      <c r="L76" s="29">
        <v>0</v>
      </c>
      <c r="M76" s="29">
        <v>-1</v>
      </c>
      <c r="N76" s="29"/>
      <c r="O76" s="29">
        <v>3871</v>
      </c>
      <c r="P76" s="29">
        <v>2475</v>
      </c>
      <c r="Q76" s="29">
        <v>0</v>
      </c>
      <c r="R76" s="30">
        <v>469</v>
      </c>
    </row>
    <row r="77" spans="1:18">
      <c r="A77" s="27"/>
      <c r="B77" s="28">
        <v>73</v>
      </c>
      <c r="C77" s="1">
        <f>30000000+INDEX(编号表!$B:$B,MATCH(G77,编号表!$A:$A,0))*100000+INDEX(编号表!$F:$F,MATCH(H77,编号表!$E:$E,0))*1000+INDEX(编号表!$D:$D,MATCH(F77,编号表!$C:$C,0))*10000+E77</f>
        <v>31523005</v>
      </c>
      <c r="D77" s="23" t="s">
        <v>131</v>
      </c>
      <c r="E77" s="23">
        <v>5</v>
      </c>
      <c r="F77" s="23" t="s">
        <v>41</v>
      </c>
      <c r="G77" s="23" t="s">
        <v>61</v>
      </c>
      <c r="H77" s="23" t="s">
        <v>115</v>
      </c>
      <c r="I77" s="23"/>
      <c r="J77" s="23" t="s">
        <v>68</v>
      </c>
      <c r="K77" s="23"/>
      <c r="L77" s="29">
        <v>0</v>
      </c>
      <c r="M77" s="29">
        <v>4</v>
      </c>
      <c r="N77" s="29"/>
      <c r="O77" s="29">
        <v>4004</v>
      </c>
      <c r="P77" s="29">
        <v>3088</v>
      </c>
      <c r="Q77" s="29">
        <v>0</v>
      </c>
      <c r="R77" s="30">
        <v>842</v>
      </c>
    </row>
    <row r="78" spans="1:18">
      <c r="A78" s="27"/>
      <c r="B78" s="28">
        <v>74</v>
      </c>
      <c r="C78" s="1">
        <f>30000000+INDEX(编号表!$B:$B,MATCH(G78,编号表!$A:$A,0))*100000+INDEX(编号表!$F:$F,MATCH(H78,编号表!$E:$E,0))*1000+INDEX(编号表!$D:$D,MATCH(F78,编号表!$C:$C,0))*10000+E78</f>
        <v>31523006</v>
      </c>
      <c r="D78" s="23" t="s">
        <v>132</v>
      </c>
      <c r="E78" s="23">
        <v>6</v>
      </c>
      <c r="F78" s="23" t="s">
        <v>41</v>
      </c>
      <c r="G78" s="23" t="s">
        <v>61</v>
      </c>
      <c r="H78" s="23" t="s">
        <v>115</v>
      </c>
      <c r="I78" s="23"/>
      <c r="J78" s="23" t="s">
        <v>71</v>
      </c>
      <c r="K78" s="23"/>
      <c r="L78" s="29">
        <v>0</v>
      </c>
      <c r="M78" s="29">
        <v>-1</v>
      </c>
      <c r="N78" s="29"/>
      <c r="O78" s="29">
        <v>4004</v>
      </c>
      <c r="P78" s="29">
        <v>1055</v>
      </c>
      <c r="Q78" s="29">
        <v>0</v>
      </c>
      <c r="R78" s="30">
        <v>1360</v>
      </c>
    </row>
    <row r="79" spans="1:18">
      <c r="A79" s="27"/>
      <c r="B79" s="28">
        <v>75</v>
      </c>
      <c r="C79" s="1">
        <f>30000000+INDEX(编号表!$B:$B,MATCH(G79,编号表!$A:$A,0))*100000+INDEX(编号表!$F:$F,MATCH(H79,编号表!$E:$E,0))*1000+INDEX(编号表!$D:$D,MATCH(F79,编号表!$C:$C,0))*10000+E79</f>
        <v>31523007</v>
      </c>
      <c r="D79" s="23" t="s">
        <v>133</v>
      </c>
      <c r="E79" s="23">
        <v>7</v>
      </c>
      <c r="F79" s="23" t="s">
        <v>41</v>
      </c>
      <c r="G79" s="23" t="s">
        <v>61</v>
      </c>
      <c r="H79" s="23" t="s">
        <v>115</v>
      </c>
      <c r="I79" s="23"/>
      <c r="J79" s="23" t="s">
        <v>71</v>
      </c>
      <c r="K79" s="23"/>
      <c r="L79" s="29">
        <v>0</v>
      </c>
      <c r="M79" s="29">
        <v>2</v>
      </c>
      <c r="N79" s="29"/>
      <c r="O79" s="29">
        <v>3871</v>
      </c>
      <c r="P79" s="29">
        <v>2985</v>
      </c>
      <c r="Q79" s="29">
        <v>0</v>
      </c>
      <c r="R79" s="30">
        <v>194</v>
      </c>
    </row>
    <row r="80" spans="1:18">
      <c r="A80" s="27"/>
      <c r="B80" s="28">
        <v>76</v>
      </c>
      <c r="C80" s="1">
        <f>30000000+INDEX(编号表!$B:$B,MATCH(G80,编号表!$A:$A,0))*100000+INDEX(编号表!$F:$F,MATCH(H80,编号表!$E:$E,0))*1000+INDEX(编号表!$D:$D,MATCH(F80,编号表!$C:$C,0))*10000+E80</f>
        <v>31523008</v>
      </c>
      <c r="D80" s="23" t="s">
        <v>134</v>
      </c>
      <c r="E80" s="23">
        <v>8</v>
      </c>
      <c r="F80" s="23" t="s">
        <v>41</v>
      </c>
      <c r="G80" s="23" t="s">
        <v>61</v>
      </c>
      <c r="H80" s="23" t="s">
        <v>115</v>
      </c>
      <c r="I80" s="23"/>
      <c r="J80" s="23" t="s">
        <v>74</v>
      </c>
      <c r="K80" s="23"/>
      <c r="L80" s="29">
        <v>0</v>
      </c>
      <c r="M80" s="29">
        <v>-2</v>
      </c>
      <c r="N80" s="29"/>
      <c r="O80" s="29">
        <v>3871</v>
      </c>
      <c r="P80" s="29">
        <v>2002</v>
      </c>
      <c r="Q80" s="29">
        <v>0</v>
      </c>
      <c r="R80" s="30">
        <v>453</v>
      </c>
    </row>
    <row r="81" spans="1:18">
      <c r="A81" s="27"/>
      <c r="B81" s="28">
        <v>77</v>
      </c>
      <c r="C81" s="1">
        <f>30000000+INDEX(编号表!$B:$B,MATCH(G81,编号表!$A:$A,0))*100000+INDEX(编号表!$F:$F,MATCH(H81,编号表!$E:$E,0))*1000+INDEX(编号表!$D:$D,MATCH(F81,编号表!$C:$C,0))*10000+E81</f>
        <v>31523009</v>
      </c>
      <c r="D81" s="23" t="s">
        <v>135</v>
      </c>
      <c r="E81" s="23">
        <v>9</v>
      </c>
      <c r="F81" s="23" t="s">
        <v>41</v>
      </c>
      <c r="G81" s="23" t="s">
        <v>61</v>
      </c>
      <c r="H81" s="23" t="s">
        <v>115</v>
      </c>
      <c r="I81" s="23"/>
      <c r="J81" s="23" t="s">
        <v>74</v>
      </c>
      <c r="K81" s="23"/>
      <c r="L81" s="29">
        <v>0</v>
      </c>
      <c r="M81" s="29">
        <v>1</v>
      </c>
      <c r="N81" s="29"/>
      <c r="O81" s="29">
        <v>3670</v>
      </c>
      <c r="P81" s="29">
        <v>1243</v>
      </c>
      <c r="Q81" s="29">
        <v>0</v>
      </c>
      <c r="R81" s="30">
        <v>631</v>
      </c>
    </row>
    <row r="82" spans="1:18">
      <c r="A82" s="27"/>
      <c r="B82" s="28">
        <v>78</v>
      </c>
      <c r="C82" s="1">
        <f>30000000+INDEX(编号表!$B:$B,MATCH(G82,编号表!$A:$A,0))*100000+INDEX(编号表!$F:$F,MATCH(H82,编号表!$E:$E,0))*1000+INDEX(编号表!$D:$D,MATCH(F82,编号表!$C:$C,0))*10000+E82</f>
        <v>31423000</v>
      </c>
      <c r="D82" s="23" t="s">
        <v>136</v>
      </c>
      <c r="E82" s="23">
        <v>0</v>
      </c>
      <c r="F82" s="23" t="s">
        <v>41</v>
      </c>
      <c r="G82" s="23" t="s">
        <v>77</v>
      </c>
      <c r="H82" s="23" t="s">
        <v>115</v>
      </c>
      <c r="I82" s="23"/>
      <c r="J82" s="23"/>
      <c r="K82" s="23"/>
      <c r="L82" s="29">
        <v>0</v>
      </c>
      <c r="M82" s="29">
        <v>0</v>
      </c>
      <c r="N82" s="29"/>
      <c r="O82" s="29">
        <v>3670</v>
      </c>
      <c r="P82" s="29">
        <v>967</v>
      </c>
      <c r="Q82" s="29">
        <v>0</v>
      </c>
      <c r="R82" s="30">
        <v>745</v>
      </c>
    </row>
    <row r="83" spans="1:18">
      <c r="A83" s="27"/>
      <c r="B83" s="28">
        <v>79</v>
      </c>
      <c r="C83" s="1">
        <f>30000000+INDEX(编号表!$B:$B,MATCH(G83,编号表!$A:$A,0))*100000+INDEX(编号表!$F:$F,MATCH(H83,编号表!$E:$E,0))*1000+INDEX(编号表!$D:$D,MATCH(F83,编号表!$C:$C,0))*10000+E83</f>
        <v>31423001</v>
      </c>
      <c r="D83" s="23" t="s">
        <v>137</v>
      </c>
      <c r="E83" s="23">
        <v>1</v>
      </c>
      <c r="F83" s="23" t="s">
        <v>41</v>
      </c>
      <c r="G83" s="23" t="s">
        <v>77</v>
      </c>
      <c r="H83" s="23" t="s">
        <v>115</v>
      </c>
      <c r="I83" s="23"/>
      <c r="J83" s="23"/>
      <c r="K83" s="23"/>
      <c r="L83" s="29">
        <v>0</v>
      </c>
      <c r="M83" s="29">
        <v>0</v>
      </c>
      <c r="N83" s="29"/>
      <c r="O83" s="29">
        <v>4137</v>
      </c>
      <c r="P83" s="29">
        <v>3190</v>
      </c>
      <c r="Q83" s="29">
        <v>0</v>
      </c>
      <c r="R83" s="30">
        <v>259</v>
      </c>
    </row>
    <row r="84" spans="1:18">
      <c r="A84" s="27"/>
      <c r="B84" s="28">
        <v>80</v>
      </c>
      <c r="C84" s="1">
        <f>30000000+INDEX(编号表!$B:$B,MATCH(G84,编号表!$A:$A,0))*100000+INDEX(编号表!$F:$F,MATCH(H84,编号表!$E:$E,0))*1000+INDEX(编号表!$D:$D,MATCH(F84,编号表!$C:$C,0))*10000+E84</f>
        <v>31423002</v>
      </c>
      <c r="D84" s="23" t="s">
        <v>138</v>
      </c>
      <c r="E84" s="23">
        <v>2</v>
      </c>
      <c r="F84" s="23" t="s">
        <v>41</v>
      </c>
      <c r="G84" s="23" t="s">
        <v>77</v>
      </c>
      <c r="H84" s="23" t="s">
        <v>115</v>
      </c>
      <c r="I84" s="23"/>
      <c r="J84" s="23"/>
      <c r="K84" s="23"/>
      <c r="L84" s="29">
        <v>0</v>
      </c>
      <c r="M84" s="29">
        <v>1</v>
      </c>
      <c r="N84" s="29"/>
      <c r="O84" s="29">
        <v>4004</v>
      </c>
      <c r="P84" s="29">
        <v>1055</v>
      </c>
      <c r="Q84" s="29">
        <v>0</v>
      </c>
      <c r="R84" s="30">
        <v>1360</v>
      </c>
    </row>
    <row r="85" spans="1:18">
      <c r="A85" s="27"/>
      <c r="B85" s="28">
        <v>81</v>
      </c>
      <c r="C85" s="1">
        <f>30000000+INDEX(编号表!$B:$B,MATCH(G85,编号表!$A:$A,0))*100000+INDEX(编号表!$F:$F,MATCH(H85,编号表!$E:$E,0))*1000+INDEX(编号表!$D:$D,MATCH(F85,编号表!$C:$C,0))*10000+E85</f>
        <v>31423003</v>
      </c>
      <c r="D85" s="23" t="s">
        <v>139</v>
      </c>
      <c r="E85" s="23">
        <v>3</v>
      </c>
      <c r="F85" s="23" t="s">
        <v>41</v>
      </c>
      <c r="G85" s="23" t="s">
        <v>77</v>
      </c>
      <c r="H85" s="23" t="s">
        <v>115</v>
      </c>
      <c r="I85" s="23"/>
      <c r="J85" s="23"/>
      <c r="K85" s="23"/>
      <c r="L85" s="29">
        <v>0</v>
      </c>
      <c r="M85" s="29">
        <v>4</v>
      </c>
      <c r="N85" s="29"/>
      <c r="O85" s="29">
        <v>4004</v>
      </c>
      <c r="P85" s="29">
        <v>3088</v>
      </c>
      <c r="Q85" s="29">
        <v>0</v>
      </c>
      <c r="R85" s="30">
        <v>842</v>
      </c>
    </row>
    <row r="86" spans="1:18">
      <c r="A86" s="27"/>
      <c r="B86" s="28">
        <v>82</v>
      </c>
      <c r="C86" s="1">
        <f>30000000+INDEX(编号表!$B:$B,MATCH(G86,编号表!$A:$A,0))*100000+INDEX(编号表!$F:$F,MATCH(H86,编号表!$E:$E,0))*1000+INDEX(编号表!$D:$D,MATCH(F86,编号表!$C:$C,0))*10000+E86</f>
        <v>31623000</v>
      </c>
      <c r="D86" s="23" t="s">
        <v>140</v>
      </c>
      <c r="E86" s="23">
        <v>0</v>
      </c>
      <c r="F86" s="23" t="s">
        <v>41</v>
      </c>
      <c r="G86" s="23" t="s">
        <v>82</v>
      </c>
      <c r="H86" s="23" t="s">
        <v>115</v>
      </c>
      <c r="I86" s="23"/>
      <c r="J86" s="23"/>
      <c r="K86" s="23"/>
      <c r="L86" s="29">
        <v>7</v>
      </c>
      <c r="M86" s="29">
        <v>0</v>
      </c>
      <c r="N86" s="29"/>
      <c r="O86" s="29">
        <v>0</v>
      </c>
      <c r="P86" s="29">
        <v>0</v>
      </c>
      <c r="Q86" s="29">
        <v>0</v>
      </c>
      <c r="R86" s="30">
        <v>388</v>
      </c>
    </row>
    <row r="87" spans="1:18">
      <c r="A87" s="27"/>
      <c r="B87" s="28">
        <v>83</v>
      </c>
      <c r="C87" s="1">
        <f>30000000+INDEX(编号表!$B:$B,MATCH(G87,编号表!$A:$A,0))*100000+INDEX(编号表!$F:$F,MATCH(H87,编号表!$E:$E,0))*1000+INDEX(编号表!$D:$D,MATCH(F87,编号表!$C:$C,0))*10000+E87</f>
        <v>31623001</v>
      </c>
      <c r="D87" s="23" t="s">
        <v>141</v>
      </c>
      <c r="E87" s="23">
        <v>1</v>
      </c>
      <c r="F87" s="23" t="s">
        <v>41</v>
      </c>
      <c r="G87" s="23" t="s">
        <v>82</v>
      </c>
      <c r="H87" s="23" t="s">
        <v>115</v>
      </c>
      <c r="I87" s="23"/>
      <c r="J87" s="23"/>
      <c r="K87" s="23"/>
      <c r="L87" s="29">
        <v>8</v>
      </c>
      <c r="M87" s="29">
        <v>0</v>
      </c>
      <c r="N87" s="29"/>
      <c r="O87" s="29">
        <v>0</v>
      </c>
      <c r="P87" s="29">
        <v>0</v>
      </c>
      <c r="Q87" s="29">
        <v>0</v>
      </c>
      <c r="R87" s="30">
        <v>712</v>
      </c>
    </row>
    <row r="88" spans="1:18">
      <c r="A88" s="27"/>
      <c r="B88" s="28">
        <v>84</v>
      </c>
      <c r="C88" s="1">
        <f>30000000+INDEX(编号表!$B:$B,MATCH(G88,编号表!$A:$A,0))*100000+INDEX(编号表!$F:$F,MATCH(H88,编号表!$E:$E,0))*1000+INDEX(编号表!$D:$D,MATCH(F88,编号表!$C:$C,0))*10000+E88</f>
        <v>31623002</v>
      </c>
      <c r="D88" s="23" t="s">
        <v>142</v>
      </c>
      <c r="E88" s="23">
        <v>2</v>
      </c>
      <c r="F88" s="23" t="s">
        <v>41</v>
      </c>
      <c r="G88" s="23" t="s">
        <v>82</v>
      </c>
      <c r="H88" s="23" t="s">
        <v>115</v>
      </c>
      <c r="I88" s="23"/>
      <c r="J88" s="23"/>
      <c r="K88" s="23"/>
      <c r="L88" s="29">
        <v>9</v>
      </c>
      <c r="M88" s="29">
        <v>0</v>
      </c>
      <c r="N88" s="29"/>
      <c r="O88" s="29">
        <v>0</v>
      </c>
      <c r="P88" s="29">
        <v>0</v>
      </c>
      <c r="Q88" s="29">
        <v>0</v>
      </c>
      <c r="R88" s="30">
        <v>1101</v>
      </c>
    </row>
    <row r="89" spans="1:18">
      <c r="A89" s="27"/>
      <c r="B89" s="28">
        <v>85</v>
      </c>
      <c r="C89" s="1">
        <f>30000000+INDEX(编号表!$B:$B,MATCH(G89,编号表!$A:$A,0))*100000+INDEX(编号表!$F:$F,MATCH(H89,编号表!$E:$E,0))*1000+INDEX(编号表!$D:$D,MATCH(F89,编号表!$C:$C,0))*10000+E89</f>
        <v>31224000</v>
      </c>
      <c r="D89" s="23" t="s">
        <v>143</v>
      </c>
      <c r="E89" s="23">
        <v>0</v>
      </c>
      <c r="F89" s="23" t="s">
        <v>41</v>
      </c>
      <c r="G89" s="23" t="s">
        <v>42</v>
      </c>
      <c r="H89" s="23" t="s">
        <v>144</v>
      </c>
      <c r="I89" s="23"/>
      <c r="J89" s="23"/>
      <c r="K89" s="23"/>
      <c r="L89" s="29">
        <v>0</v>
      </c>
      <c r="M89" s="29">
        <v>0</v>
      </c>
      <c r="N89" s="29"/>
      <c r="O89" s="29">
        <v>11664</v>
      </c>
      <c r="P89" s="29">
        <v>5774</v>
      </c>
      <c r="Q89" s="29">
        <v>58320</v>
      </c>
      <c r="R89" s="30">
        <v>1049</v>
      </c>
    </row>
    <row r="90" spans="1:18">
      <c r="A90" s="27"/>
      <c r="B90" s="28">
        <v>86</v>
      </c>
      <c r="C90" s="1">
        <f>30000000+INDEX(编号表!$B:$B,MATCH(G90,编号表!$A:$A,0))*100000+INDEX(编号表!$F:$F,MATCH(H90,编号表!$E:$E,0))*1000+INDEX(编号表!$D:$D,MATCH(F90,编号表!$C:$C,0))*10000+E90</f>
        <v>31324000</v>
      </c>
      <c r="D90" s="23" t="s">
        <v>145</v>
      </c>
      <c r="E90" s="23">
        <v>0</v>
      </c>
      <c r="F90" s="23" t="s">
        <v>41</v>
      </c>
      <c r="G90" s="23" t="s">
        <v>45</v>
      </c>
      <c r="H90" s="23" t="s">
        <v>144</v>
      </c>
      <c r="I90" s="23" t="s">
        <v>46</v>
      </c>
      <c r="J90" s="23"/>
      <c r="K90" s="23"/>
      <c r="L90" s="29">
        <v>0</v>
      </c>
      <c r="M90" s="29">
        <v>-2</v>
      </c>
      <c r="N90" s="29"/>
      <c r="O90" s="29">
        <v>6969</v>
      </c>
      <c r="P90" s="29">
        <v>3451</v>
      </c>
      <c r="Q90" s="29">
        <v>0</v>
      </c>
      <c r="R90" s="30">
        <v>816</v>
      </c>
    </row>
    <row r="91" spans="1:18">
      <c r="A91" s="27"/>
      <c r="B91" s="28">
        <v>87</v>
      </c>
      <c r="C91" s="1">
        <f>30000000+INDEX(编号表!$B:$B,MATCH(G91,编号表!$A:$A,0))*100000+INDEX(编号表!$F:$F,MATCH(H91,编号表!$E:$E,0))*1000+INDEX(编号表!$D:$D,MATCH(F91,编号表!$C:$C,0))*10000+E91</f>
        <v>31324001</v>
      </c>
      <c r="D91" s="23" t="s">
        <v>146</v>
      </c>
      <c r="E91" s="23">
        <v>1</v>
      </c>
      <c r="F91" s="23" t="s">
        <v>41</v>
      </c>
      <c r="G91" s="23" t="s">
        <v>45</v>
      </c>
      <c r="H91" s="23" t="s">
        <v>144</v>
      </c>
      <c r="I91" s="23" t="s">
        <v>46</v>
      </c>
      <c r="J91" s="23"/>
      <c r="K91" s="23"/>
      <c r="L91" s="29">
        <v>0</v>
      </c>
      <c r="M91" s="29">
        <v>3</v>
      </c>
      <c r="N91" s="29"/>
      <c r="O91" s="29">
        <v>7447</v>
      </c>
      <c r="P91" s="29">
        <v>4559</v>
      </c>
      <c r="Q91" s="29">
        <v>0</v>
      </c>
      <c r="R91" s="30">
        <v>1049</v>
      </c>
    </row>
    <row r="92" spans="1:18">
      <c r="A92" s="27"/>
      <c r="B92" s="28">
        <v>88</v>
      </c>
      <c r="C92" s="1">
        <f>30000000+INDEX(编号表!$B:$B,MATCH(G92,编号表!$A:$A,0))*100000+INDEX(编号表!$F:$F,MATCH(H92,编号表!$E:$E,0))*1000+INDEX(编号表!$D:$D,MATCH(F92,编号表!$C:$C,0))*10000+E92</f>
        <v>31324002</v>
      </c>
      <c r="D92" s="23" t="s">
        <v>147</v>
      </c>
      <c r="E92" s="23">
        <v>2</v>
      </c>
      <c r="F92" s="23" t="s">
        <v>41</v>
      </c>
      <c r="G92" s="23" t="s">
        <v>45</v>
      </c>
      <c r="H92" s="23" t="s">
        <v>144</v>
      </c>
      <c r="I92" s="23" t="s">
        <v>49</v>
      </c>
      <c r="J92" s="23"/>
      <c r="K92" s="23"/>
      <c r="L92" s="29">
        <v>0</v>
      </c>
      <c r="M92" s="29">
        <v>-1</v>
      </c>
      <c r="N92" s="29"/>
      <c r="O92" s="29">
        <v>6607</v>
      </c>
      <c r="P92" s="29">
        <v>2142</v>
      </c>
      <c r="Q92" s="29">
        <v>0</v>
      </c>
      <c r="R92" s="30">
        <v>1137</v>
      </c>
    </row>
    <row r="93" spans="1:18">
      <c r="A93" s="27"/>
      <c r="B93" s="28">
        <v>89</v>
      </c>
      <c r="C93" s="1">
        <f>30000000+INDEX(编号表!$B:$B,MATCH(G93,编号表!$A:$A,0))*100000+INDEX(编号表!$F:$F,MATCH(H93,编号表!$E:$E,0))*1000+INDEX(编号表!$D:$D,MATCH(F93,编号表!$C:$C,0))*10000+E93</f>
        <v>31324003</v>
      </c>
      <c r="D93" s="23" t="s">
        <v>148</v>
      </c>
      <c r="E93" s="23">
        <v>3</v>
      </c>
      <c r="F93" s="23" t="s">
        <v>41</v>
      </c>
      <c r="G93" s="23" t="s">
        <v>45</v>
      </c>
      <c r="H93" s="23" t="s">
        <v>144</v>
      </c>
      <c r="I93" s="23" t="s">
        <v>49</v>
      </c>
      <c r="J93" s="23"/>
      <c r="K93" s="23"/>
      <c r="L93" s="29">
        <v>0</v>
      </c>
      <c r="M93" s="29">
        <v>2</v>
      </c>
      <c r="N93" s="29"/>
      <c r="O93" s="29">
        <v>6969</v>
      </c>
      <c r="P93" s="29">
        <v>5144</v>
      </c>
      <c r="Q93" s="29">
        <v>0</v>
      </c>
      <c r="R93" s="30">
        <v>349</v>
      </c>
    </row>
    <row r="94" spans="1:18">
      <c r="A94" s="27"/>
      <c r="B94" s="28">
        <v>90</v>
      </c>
      <c r="C94" s="1">
        <f>30000000+INDEX(编号表!$B:$B,MATCH(G94,编号表!$A:$A,0))*100000+INDEX(编号表!$F:$F,MATCH(H94,编号表!$E:$E,0))*1000+INDEX(编号表!$D:$D,MATCH(F94,编号表!$C:$C,0))*10000+E94</f>
        <v>31324004</v>
      </c>
      <c r="D94" s="23" t="s">
        <v>149</v>
      </c>
      <c r="E94" s="23">
        <v>4</v>
      </c>
      <c r="F94" s="23" t="s">
        <v>41</v>
      </c>
      <c r="G94" s="23" t="s">
        <v>45</v>
      </c>
      <c r="H94" s="23" t="s">
        <v>144</v>
      </c>
      <c r="I94" s="23" t="s">
        <v>52</v>
      </c>
      <c r="J94" s="23"/>
      <c r="K94" s="23"/>
      <c r="L94" s="29">
        <v>0</v>
      </c>
      <c r="M94" s="29">
        <v>-1</v>
      </c>
      <c r="N94" s="29"/>
      <c r="O94" s="29">
        <v>6969</v>
      </c>
      <c r="P94" s="29">
        <v>4266</v>
      </c>
      <c r="Q94" s="29">
        <v>0</v>
      </c>
      <c r="R94" s="30">
        <v>845</v>
      </c>
    </row>
    <row r="95" spans="1:18">
      <c r="A95" s="27"/>
      <c r="B95" s="28">
        <v>91</v>
      </c>
      <c r="C95" s="1">
        <f>30000000+INDEX(编号表!$B:$B,MATCH(G95,编号表!$A:$A,0))*100000+INDEX(编号表!$F:$F,MATCH(H95,编号表!$E:$E,0))*1000+INDEX(编号表!$D:$D,MATCH(F95,编号表!$C:$C,0))*10000+E95</f>
        <v>31324005</v>
      </c>
      <c r="D95" s="23" t="inlineStr">
        <is>
          <t xml:space="preserve">足年沸泉苔·仙株</t>
        </is>
      </c>
      <c r="E95" s="23">
        <v>5</v>
      </c>
      <c r="F95" s="23" t="s">
        <v>41</v>
      </c>
      <c r="G95" s="23" t="s">
        <v>45</v>
      </c>
      <c r="H95" s="23" t="s">
        <v>144</v>
      </c>
      <c r="I95" s="23" t="s">
        <v>52</v>
      </c>
      <c r="J95" s="23"/>
      <c r="K95" s="23"/>
      <c r="L95" s="29">
        <v>0</v>
      </c>
      <c r="M95" s="29">
        <v>4</v>
      </c>
      <c r="N95" s="29"/>
      <c r="O95" s="29">
        <v>7208</v>
      </c>
      <c r="P95" s="29">
        <v>5321</v>
      </c>
      <c r="Q95" s="29">
        <v>0</v>
      </c>
      <c r="R95" s="30">
        <v>1516</v>
      </c>
    </row>
    <row r="96" spans="1:18">
      <c r="A96" s="27"/>
      <c r="B96" s="28">
        <v>92</v>
      </c>
      <c r="C96" s="1">
        <f>30000000+INDEX(编号表!$B:$B,MATCH(G96,编号表!$A:$A,0))*100000+INDEX(编号表!$F:$F,MATCH(H96,编号表!$E:$E,0))*1000+INDEX(编号表!$D:$D,MATCH(F96,编号表!$C:$C,0))*10000+E96</f>
        <v>31324006</v>
      </c>
      <c r="D96" s="23" t="inlineStr">
        <is>
          <t xml:space="preserve">足年丹露花·仙株</t>
        </is>
      </c>
      <c r="E96" s="23">
        <v>6</v>
      </c>
      <c r="F96" s="23" t="s">
        <v>41</v>
      </c>
      <c r="G96" s="23" t="s">
        <v>45</v>
      </c>
      <c r="H96" s="23" t="s">
        <v>144</v>
      </c>
      <c r="I96" s="23" t="s">
        <v>55</v>
      </c>
      <c r="J96" s="23"/>
      <c r="K96" s="23"/>
      <c r="L96" s="29">
        <v>0</v>
      </c>
      <c r="M96" s="29">
        <v>-1</v>
      </c>
      <c r="N96" s="29"/>
      <c r="O96" s="29">
        <v>7208</v>
      </c>
      <c r="P96" s="29">
        <v>1818</v>
      </c>
      <c r="Q96" s="29">
        <v>0</v>
      </c>
      <c r="R96" s="30">
        <v>2449</v>
      </c>
    </row>
    <row r="97" spans="1:18">
      <c r="A97" s="27"/>
      <c r="B97" s="28">
        <v>93</v>
      </c>
      <c r="C97" s="1">
        <f>30000000+INDEX(编号表!$B:$B,MATCH(G97,编号表!$A:$A,0))*100000+INDEX(编号表!$F:$F,MATCH(H97,编号表!$E:$E,0))*1000+INDEX(编号表!$D:$D,MATCH(F97,编号表!$C:$C,0))*10000+E97</f>
        <v>31324007</v>
      </c>
      <c r="D97" s="23" t="s">
        <v>152</v>
      </c>
      <c r="E97" s="23">
        <v>7</v>
      </c>
      <c r="F97" s="23" t="s">
        <v>41</v>
      </c>
      <c r="G97" s="23" t="s">
        <v>45</v>
      </c>
      <c r="H97" s="23" t="s">
        <v>144</v>
      </c>
      <c r="I97" s="23" t="s">
        <v>55</v>
      </c>
      <c r="J97" s="23"/>
      <c r="K97" s="23"/>
      <c r="L97" s="29">
        <v>0</v>
      </c>
      <c r="M97" s="29">
        <v>2</v>
      </c>
      <c r="N97" s="29"/>
      <c r="O97" s="29">
        <v>6969</v>
      </c>
      <c r="P97" s="29">
        <v>5144</v>
      </c>
      <c r="Q97" s="29">
        <v>0</v>
      </c>
      <c r="R97" s="30">
        <v>349</v>
      </c>
    </row>
    <row r="98" spans="1:18">
      <c r="A98" s="27"/>
      <c r="B98" s="28">
        <v>94</v>
      </c>
      <c r="C98" s="1">
        <f>30000000+INDEX(编号表!$B:$B,MATCH(G98,编号表!$A:$A,0))*100000+INDEX(编号表!$F:$F,MATCH(H98,编号表!$E:$E,0))*1000+INDEX(编号表!$D:$D,MATCH(F98,编号表!$C:$C,0))*10000+E98</f>
        <v>31324008</v>
      </c>
      <c r="D98" s="23" t="s">
        <v>153</v>
      </c>
      <c r="E98" s="23">
        <v>8</v>
      </c>
      <c r="F98" s="23" t="s">
        <v>41</v>
      </c>
      <c r="G98" s="23" t="s">
        <v>45</v>
      </c>
      <c r="H98" s="23" t="s">
        <v>144</v>
      </c>
      <c r="I98" s="23" t="s">
        <v>58</v>
      </c>
      <c r="J98" s="23"/>
      <c r="K98" s="23"/>
      <c r="L98" s="29">
        <v>0</v>
      </c>
      <c r="M98" s="29">
        <v>-2</v>
      </c>
      <c r="N98" s="29"/>
      <c r="O98" s="29">
        <v>6969</v>
      </c>
      <c r="P98" s="29">
        <v>3451</v>
      </c>
      <c r="Q98" s="29">
        <v>0</v>
      </c>
      <c r="R98" s="30">
        <v>816</v>
      </c>
    </row>
    <row r="99" spans="1:18">
      <c r="A99" s="27"/>
      <c r="B99" s="28">
        <v>95</v>
      </c>
      <c r="C99" s="1">
        <f>30000000+INDEX(编号表!$B:$B,MATCH(G99,编号表!$A:$A,0))*100000+INDEX(编号表!$F:$F,MATCH(H99,编号表!$E:$E,0))*1000+INDEX(编号表!$D:$D,MATCH(F99,编号表!$C:$C,0))*10000+E99</f>
        <v>31324009</v>
      </c>
      <c r="D99" s="23" t="s">
        <v>154</v>
      </c>
      <c r="E99" s="23">
        <v>9</v>
      </c>
      <c r="F99" s="23" t="s">
        <v>41</v>
      </c>
      <c r="G99" s="23" t="s">
        <v>45</v>
      </c>
      <c r="H99" s="23" t="s">
        <v>144</v>
      </c>
      <c r="I99" s="23" t="s">
        <v>58</v>
      </c>
      <c r="J99" s="23"/>
      <c r="K99" s="23"/>
      <c r="L99" s="29">
        <v>0</v>
      </c>
      <c r="M99" s="29">
        <v>1</v>
      </c>
      <c r="N99" s="29"/>
      <c r="O99" s="29">
        <v>6607</v>
      </c>
      <c r="P99" s="29">
        <v>2142</v>
      </c>
      <c r="Q99" s="29">
        <v>0</v>
      </c>
      <c r="R99" s="30">
        <v>1137</v>
      </c>
    </row>
    <row r="100" spans="1:18">
      <c r="A100" s="27"/>
      <c r="B100" s="28">
        <v>96</v>
      </c>
      <c r="C100" s="1">
        <f>30000000+INDEX(编号表!$B:$B,MATCH(G100,编号表!$A:$A,0))*100000+INDEX(编号表!$F:$F,MATCH(H100,编号表!$E:$E,0))*1000+INDEX(编号表!$D:$D,MATCH(F100,编号表!$C:$C,0))*10000+E100</f>
        <v>31524000</v>
      </c>
      <c r="D100" s="23" t="inlineStr">
        <is>
          <t xml:space="preserve">足年霜辛草·仙株</t>
        </is>
      </c>
      <c r="E100" s="23">
        <v>0</v>
      </c>
      <c r="F100" s="23" t="s">
        <v>41</v>
      </c>
      <c r="G100" s="23" t="s">
        <v>61</v>
      </c>
      <c r="H100" s="23" t="s">
        <v>144</v>
      </c>
      <c r="I100" s="23"/>
      <c r="J100" s="23" t="s">
        <v>62</v>
      </c>
      <c r="K100" s="23"/>
      <c r="L100" s="29">
        <v>0</v>
      </c>
      <c r="M100" s="29">
        <v>-2</v>
      </c>
      <c r="N100" s="29"/>
      <c r="O100" s="29">
        <v>6969</v>
      </c>
      <c r="P100" s="29">
        <v>3451</v>
      </c>
      <c r="Q100" s="29">
        <v>0</v>
      </c>
      <c r="R100" s="30">
        <v>816</v>
      </c>
    </row>
    <row r="101" spans="1:18">
      <c r="A101" s="27"/>
      <c r="B101" s="28">
        <v>97</v>
      </c>
      <c r="C101" s="1">
        <f>30000000+INDEX(编号表!$B:$B,MATCH(G101,编号表!$A:$A,0))*100000+INDEX(编号表!$F:$F,MATCH(H101,编号表!$E:$E,0))*1000+INDEX(编号表!$D:$D,MATCH(F101,编号表!$C:$C,0))*10000+E101</f>
        <v>31524001</v>
      </c>
      <c r="D101" s="23" t="s">
        <v>156</v>
      </c>
      <c r="E101" s="23">
        <v>1</v>
      </c>
      <c r="F101" s="23" t="s">
        <v>41</v>
      </c>
      <c r="G101" s="23" t="s">
        <v>61</v>
      </c>
      <c r="H101" s="23" t="s">
        <v>144</v>
      </c>
      <c r="I101" s="23"/>
      <c r="J101" s="23" t="s">
        <v>62</v>
      </c>
      <c r="K101" s="23"/>
      <c r="L101" s="29">
        <v>0</v>
      </c>
      <c r="M101" s="29">
        <v>3</v>
      </c>
      <c r="N101" s="29"/>
      <c r="O101" s="29">
        <v>7447</v>
      </c>
      <c r="P101" s="29">
        <v>4559</v>
      </c>
      <c r="Q101" s="29">
        <v>0</v>
      </c>
      <c r="R101" s="30">
        <v>1049</v>
      </c>
    </row>
    <row r="102" spans="1:18">
      <c r="A102" s="27"/>
      <c r="B102" s="28">
        <v>98</v>
      </c>
      <c r="C102" s="1">
        <f>30000000+INDEX(编号表!$B:$B,MATCH(G102,编号表!$A:$A,0))*100000+INDEX(编号表!$F:$F,MATCH(H102,编号表!$E:$E,0))*1000+INDEX(编号表!$D:$D,MATCH(F102,编号表!$C:$C,0))*10000+E102</f>
        <v>31524002</v>
      </c>
      <c r="D102" s="23" t="s">
        <v>157</v>
      </c>
      <c r="E102" s="23">
        <v>2</v>
      </c>
      <c r="F102" s="23" t="s">
        <v>41</v>
      </c>
      <c r="G102" s="23" t="s">
        <v>61</v>
      </c>
      <c r="H102" s="23" t="s">
        <v>144</v>
      </c>
      <c r="I102" s="23"/>
      <c r="J102" s="23" t="s">
        <v>65</v>
      </c>
      <c r="K102" s="23"/>
      <c r="L102" s="29">
        <v>0</v>
      </c>
      <c r="M102" s="29">
        <v>-1</v>
      </c>
      <c r="N102" s="29"/>
      <c r="O102" s="29">
        <v>6607</v>
      </c>
      <c r="P102" s="29">
        <v>2142</v>
      </c>
      <c r="Q102" s="29">
        <v>0</v>
      </c>
      <c r="R102" s="30">
        <v>1137</v>
      </c>
    </row>
    <row r="103" spans="1:18">
      <c r="A103" s="27"/>
      <c r="B103" s="28">
        <v>99</v>
      </c>
      <c r="C103" s="1">
        <f>30000000+INDEX(编号表!$B:$B,MATCH(G103,编号表!$A:$A,0))*100000+INDEX(编号表!$F:$F,MATCH(H103,编号表!$E:$E,0))*1000+INDEX(编号表!$D:$D,MATCH(F103,编号表!$C:$C,0))*10000+E103</f>
        <v>31524003</v>
      </c>
      <c r="D103" s="23" t="s">
        <v>158</v>
      </c>
      <c r="E103" s="23">
        <v>3</v>
      </c>
      <c r="F103" s="23" t="s">
        <v>41</v>
      </c>
      <c r="G103" s="23" t="s">
        <v>61</v>
      </c>
      <c r="H103" s="23" t="s">
        <v>144</v>
      </c>
      <c r="I103" s="23"/>
      <c r="J103" s="23" t="s">
        <v>65</v>
      </c>
      <c r="K103" s="23"/>
      <c r="L103" s="29">
        <v>0</v>
      </c>
      <c r="M103" s="29">
        <v>2</v>
      </c>
      <c r="N103" s="29"/>
      <c r="O103" s="29">
        <v>6969</v>
      </c>
      <c r="P103" s="29">
        <v>5144</v>
      </c>
      <c r="Q103" s="29">
        <v>0</v>
      </c>
      <c r="R103" s="30">
        <v>349</v>
      </c>
    </row>
    <row r="104" spans="1:18">
      <c r="A104" s="27"/>
      <c r="B104" s="28">
        <v>100</v>
      </c>
      <c r="C104" s="1">
        <f>30000000+INDEX(编号表!$B:$B,MATCH(G104,编号表!$A:$A,0))*100000+INDEX(编号表!$F:$F,MATCH(H104,编号表!$E:$E,0))*1000+INDEX(编号表!$D:$D,MATCH(F104,编号表!$C:$C,0))*10000+E104</f>
        <v>31524004</v>
      </c>
      <c r="D104" s="23" t="s">
        <v>159</v>
      </c>
      <c r="E104" s="23">
        <v>4</v>
      </c>
      <c r="F104" s="23" t="s">
        <v>41</v>
      </c>
      <c r="G104" s="23" t="s">
        <v>61</v>
      </c>
      <c r="H104" s="23" t="s">
        <v>144</v>
      </c>
      <c r="I104" s="23"/>
      <c r="J104" s="23" t="s">
        <v>68</v>
      </c>
      <c r="K104" s="23"/>
      <c r="L104" s="29">
        <v>0</v>
      </c>
      <c r="M104" s="29">
        <v>-1</v>
      </c>
      <c r="N104" s="29"/>
      <c r="O104" s="29">
        <v>6969</v>
      </c>
      <c r="P104" s="29">
        <v>4266</v>
      </c>
      <c r="Q104" s="29">
        <v>0</v>
      </c>
      <c r="R104" s="30">
        <v>845</v>
      </c>
    </row>
    <row r="105" spans="1:18">
      <c r="A105" s="27"/>
      <c r="B105" s="28">
        <v>101</v>
      </c>
      <c r="C105" s="1">
        <f>30000000+INDEX(编号表!$B:$B,MATCH(G105,编号表!$A:$A,0))*100000+INDEX(编号表!$F:$F,MATCH(H105,编号表!$E:$E,0))*1000+INDEX(编号表!$D:$D,MATCH(F105,编号表!$C:$C,0))*10000+E105</f>
        <v>31524005</v>
      </c>
      <c r="D105" s="23" t="s">
        <v>160</v>
      </c>
      <c r="E105" s="23">
        <v>5</v>
      </c>
      <c r="F105" s="23" t="s">
        <v>41</v>
      </c>
      <c r="G105" s="23" t="s">
        <v>61</v>
      </c>
      <c r="H105" s="23" t="s">
        <v>144</v>
      </c>
      <c r="I105" s="23"/>
      <c r="J105" s="23" t="s">
        <v>68</v>
      </c>
      <c r="K105" s="23"/>
      <c r="L105" s="29">
        <v>0</v>
      </c>
      <c r="M105" s="29">
        <v>4</v>
      </c>
      <c r="N105" s="29"/>
      <c r="O105" s="29">
        <v>7208</v>
      </c>
      <c r="P105" s="29">
        <v>5321</v>
      </c>
      <c r="Q105" s="29">
        <v>0</v>
      </c>
      <c r="R105" s="30">
        <v>1516</v>
      </c>
    </row>
    <row r="106" spans="1:18">
      <c r="A106" s="27"/>
      <c r="B106" s="28">
        <v>102</v>
      </c>
      <c r="C106" s="1">
        <f>30000000+INDEX(编号表!$B:$B,MATCH(G106,编号表!$A:$A,0))*100000+INDEX(编号表!$F:$F,MATCH(H106,编号表!$E:$E,0))*1000+INDEX(编号表!$D:$D,MATCH(F106,编号表!$C:$C,0))*10000+E106</f>
        <v>31524006</v>
      </c>
      <c r="D106" s="23" t="s">
        <v>161</v>
      </c>
      <c r="E106" s="23">
        <v>6</v>
      </c>
      <c r="F106" s="23" t="s">
        <v>41</v>
      </c>
      <c r="G106" s="23" t="s">
        <v>61</v>
      </c>
      <c r="H106" s="23" t="s">
        <v>144</v>
      </c>
      <c r="I106" s="23"/>
      <c r="J106" s="23" t="s">
        <v>71</v>
      </c>
      <c r="K106" s="23"/>
      <c r="L106" s="29">
        <v>0</v>
      </c>
      <c r="M106" s="29">
        <v>-1</v>
      </c>
      <c r="N106" s="29"/>
      <c r="O106" s="29">
        <v>7208</v>
      </c>
      <c r="P106" s="29">
        <v>1818</v>
      </c>
      <c r="Q106" s="29">
        <v>0</v>
      </c>
      <c r="R106" s="30">
        <v>2449</v>
      </c>
    </row>
    <row r="107" spans="1:18">
      <c r="A107" s="27"/>
      <c r="B107" s="28">
        <v>103</v>
      </c>
      <c r="C107" s="1">
        <f>30000000+INDEX(编号表!$B:$B,MATCH(G107,编号表!$A:$A,0))*100000+INDEX(编号表!$F:$F,MATCH(H107,编号表!$E:$E,0))*1000+INDEX(编号表!$D:$D,MATCH(F107,编号表!$C:$C,0))*10000+E107</f>
        <v>31524007</v>
      </c>
      <c r="D107" s="23" t="s">
        <v>162</v>
      </c>
      <c r="E107" s="23">
        <v>7</v>
      </c>
      <c r="F107" s="23" t="s">
        <v>41</v>
      </c>
      <c r="G107" s="23" t="s">
        <v>61</v>
      </c>
      <c r="H107" s="23" t="s">
        <v>144</v>
      </c>
      <c r="I107" s="23"/>
      <c r="J107" s="23" t="s">
        <v>71</v>
      </c>
      <c r="K107" s="23"/>
      <c r="L107" s="29">
        <v>0</v>
      </c>
      <c r="M107" s="29">
        <v>2</v>
      </c>
      <c r="N107" s="29"/>
      <c r="O107" s="29">
        <v>6969</v>
      </c>
      <c r="P107" s="29">
        <v>5144</v>
      </c>
      <c r="Q107" s="29">
        <v>0</v>
      </c>
      <c r="R107" s="30">
        <v>349</v>
      </c>
    </row>
    <row r="108" spans="1:18">
      <c r="A108" s="27"/>
      <c r="B108" s="28">
        <v>104</v>
      </c>
      <c r="C108" s="1">
        <f>30000000+INDEX(编号表!$B:$B,MATCH(G108,编号表!$A:$A,0))*100000+INDEX(编号表!$F:$F,MATCH(H108,编号表!$E:$E,0))*1000+INDEX(编号表!$D:$D,MATCH(F108,编号表!$C:$C,0))*10000+E108</f>
        <v>31524008</v>
      </c>
      <c r="D108" s="23" t="s">
        <v>163</v>
      </c>
      <c r="E108" s="23">
        <v>8</v>
      </c>
      <c r="F108" s="23" t="s">
        <v>41</v>
      </c>
      <c r="G108" s="23" t="s">
        <v>61</v>
      </c>
      <c r="H108" s="23" t="s">
        <v>144</v>
      </c>
      <c r="I108" s="23"/>
      <c r="J108" s="23" t="s">
        <v>74</v>
      </c>
      <c r="K108" s="23"/>
      <c r="L108" s="29">
        <v>0</v>
      </c>
      <c r="M108" s="29">
        <v>-2</v>
      </c>
      <c r="N108" s="29"/>
      <c r="O108" s="29">
        <v>6969</v>
      </c>
      <c r="P108" s="29">
        <v>3451</v>
      </c>
      <c r="Q108" s="29">
        <v>0</v>
      </c>
      <c r="R108" s="30">
        <v>816</v>
      </c>
    </row>
    <row r="109" spans="1:18">
      <c r="A109" s="27"/>
      <c r="B109" s="28">
        <v>105</v>
      </c>
      <c r="C109" s="1">
        <f>30000000+INDEX(编号表!$B:$B,MATCH(G109,编号表!$A:$A,0))*100000+INDEX(编号表!$F:$F,MATCH(H109,编号表!$E:$E,0))*1000+INDEX(编号表!$D:$D,MATCH(F109,编号表!$C:$C,0))*10000+E109</f>
        <v>31524009</v>
      </c>
      <c r="D109" s="23" t="s">
        <v>164</v>
      </c>
      <c r="E109" s="23">
        <v>9</v>
      </c>
      <c r="F109" s="23" t="s">
        <v>41</v>
      </c>
      <c r="G109" s="23" t="s">
        <v>61</v>
      </c>
      <c r="H109" s="23" t="s">
        <v>144</v>
      </c>
      <c r="I109" s="23"/>
      <c r="J109" s="23" t="s">
        <v>74</v>
      </c>
      <c r="K109" s="23"/>
      <c r="L109" s="29">
        <v>0</v>
      </c>
      <c r="M109" s="29">
        <v>1</v>
      </c>
      <c r="N109" s="29"/>
      <c r="O109" s="29">
        <v>6607</v>
      </c>
      <c r="P109" s="29">
        <v>2142</v>
      </c>
      <c r="Q109" s="29">
        <v>0</v>
      </c>
      <c r="R109" s="30">
        <v>1137</v>
      </c>
    </row>
    <row r="110" spans="1:18">
      <c r="A110" s="27"/>
      <c r="B110" s="28">
        <v>106</v>
      </c>
      <c r="C110" s="1">
        <f>30000000+INDEX(编号表!$B:$B,MATCH(G110,编号表!$A:$A,0))*100000+INDEX(编号表!$F:$F,MATCH(H110,编号表!$E:$E,0))*1000+INDEX(编号表!$D:$D,MATCH(F110,编号表!$C:$C,0))*10000+E110</f>
        <v>31424000</v>
      </c>
      <c r="D110" s="23" t="s">
        <v>165</v>
      </c>
      <c r="E110" s="23">
        <v>0</v>
      </c>
      <c r="F110" s="23" t="s">
        <v>41</v>
      </c>
      <c r="G110" s="23" t="s">
        <v>77</v>
      </c>
      <c r="H110" s="23" t="s">
        <v>144</v>
      </c>
      <c r="I110" s="23"/>
      <c r="J110" s="23"/>
      <c r="K110" s="23"/>
      <c r="L110" s="29">
        <v>0</v>
      </c>
      <c r="M110" s="29">
        <v>0</v>
      </c>
      <c r="N110" s="29"/>
      <c r="O110" s="29">
        <v>6607</v>
      </c>
      <c r="P110" s="29">
        <v>1666</v>
      </c>
      <c r="Q110" s="29">
        <v>0</v>
      </c>
      <c r="R110" s="30">
        <v>1341</v>
      </c>
    </row>
    <row r="111" spans="1:18">
      <c r="A111" s="27"/>
      <c r="B111" s="28">
        <v>107</v>
      </c>
      <c r="C111" s="1">
        <f>30000000+INDEX(编号表!$B:$B,MATCH(G111,编号表!$A:$A,0))*100000+INDEX(编号表!$F:$F,MATCH(H111,编号表!$E:$E,0))*1000+INDEX(编号表!$D:$D,MATCH(F111,编号表!$C:$C,0))*10000+E111</f>
        <v>31424001</v>
      </c>
      <c r="D111" s="23" t="s">
        <v>166</v>
      </c>
      <c r="E111" s="23">
        <v>1</v>
      </c>
      <c r="F111" s="23" t="s">
        <v>41</v>
      </c>
      <c r="G111" s="23" t="s">
        <v>77</v>
      </c>
      <c r="H111" s="23" t="s">
        <v>144</v>
      </c>
      <c r="I111" s="23"/>
      <c r="J111" s="23"/>
      <c r="K111" s="23"/>
      <c r="L111" s="29">
        <v>0</v>
      </c>
      <c r="M111" s="29">
        <v>0</v>
      </c>
      <c r="N111" s="29"/>
      <c r="O111" s="29">
        <v>7447</v>
      </c>
      <c r="P111" s="29">
        <v>5497</v>
      </c>
      <c r="Q111" s="29">
        <v>0</v>
      </c>
      <c r="R111" s="30">
        <v>466</v>
      </c>
    </row>
    <row r="112" spans="1:18">
      <c r="A112" s="27"/>
      <c r="B112" s="28">
        <v>108</v>
      </c>
      <c r="C112" s="1">
        <f>30000000+INDEX(编号表!$B:$B,MATCH(G112,编号表!$A:$A,0))*100000+INDEX(编号表!$F:$F,MATCH(H112,编号表!$E:$E,0))*1000+INDEX(编号表!$D:$D,MATCH(F112,编号表!$C:$C,0))*10000+E112</f>
        <v>31424002</v>
      </c>
      <c r="D112" s="23" t="s">
        <v>167</v>
      </c>
      <c r="E112" s="23">
        <v>2</v>
      </c>
      <c r="F112" s="23" t="s">
        <v>41</v>
      </c>
      <c r="G112" s="23" t="s">
        <v>77</v>
      </c>
      <c r="H112" s="23" t="s">
        <v>144</v>
      </c>
      <c r="I112" s="23"/>
      <c r="J112" s="23"/>
      <c r="K112" s="23"/>
      <c r="L112" s="29">
        <v>0</v>
      </c>
      <c r="M112" s="29">
        <v>1</v>
      </c>
      <c r="N112" s="29"/>
      <c r="O112" s="29">
        <v>7208</v>
      </c>
      <c r="P112" s="29">
        <v>1818</v>
      </c>
      <c r="Q112" s="29">
        <v>0</v>
      </c>
      <c r="R112" s="30">
        <v>2449</v>
      </c>
    </row>
    <row r="113" spans="1:18">
      <c r="A113" s="27"/>
      <c r="B113" s="28">
        <v>109</v>
      </c>
      <c r="C113" s="1">
        <f>30000000+INDEX(编号表!$B:$B,MATCH(G113,编号表!$A:$A,0))*100000+INDEX(编号表!$F:$F,MATCH(H113,编号表!$E:$E,0))*1000+INDEX(编号表!$D:$D,MATCH(F113,编号表!$C:$C,0))*10000+E113</f>
        <v>31424003</v>
      </c>
      <c r="D113" s="23" t="s">
        <v>168</v>
      </c>
      <c r="E113" s="23">
        <v>3</v>
      </c>
      <c r="F113" s="23" t="s">
        <v>41</v>
      </c>
      <c r="G113" s="23" t="s">
        <v>77</v>
      </c>
      <c r="H113" s="23" t="s">
        <v>144</v>
      </c>
      <c r="I113" s="23"/>
      <c r="J113" s="23"/>
      <c r="K113" s="23"/>
      <c r="L113" s="29">
        <v>0</v>
      </c>
      <c r="M113" s="29">
        <v>4</v>
      </c>
      <c r="N113" s="29"/>
      <c r="O113" s="29">
        <v>7208</v>
      </c>
      <c r="P113" s="29">
        <v>5321</v>
      </c>
      <c r="Q113" s="29">
        <v>0</v>
      </c>
      <c r="R113" s="30">
        <v>1516</v>
      </c>
    </row>
    <row r="114" spans="1:18">
      <c r="A114" s="27"/>
      <c r="B114" s="28">
        <v>110</v>
      </c>
      <c r="C114" s="1">
        <f>30000000+INDEX(编号表!$B:$B,MATCH(G114,编号表!$A:$A,0))*100000+INDEX(编号表!$F:$F,MATCH(H114,编号表!$E:$E,0))*1000+INDEX(编号表!$D:$D,MATCH(F114,编号表!$C:$C,0))*10000+E114</f>
        <v>31624000</v>
      </c>
      <c r="D114" s="23" t="s">
        <v>169</v>
      </c>
      <c r="E114" s="23">
        <v>0</v>
      </c>
      <c r="F114" s="23" t="s">
        <v>41</v>
      </c>
      <c r="G114" s="23" t="s">
        <v>82</v>
      </c>
      <c r="H114" s="23" t="s">
        <v>144</v>
      </c>
      <c r="I114" s="23"/>
      <c r="J114" s="23"/>
      <c r="K114" s="23"/>
      <c r="L114" s="29">
        <v>7</v>
      </c>
      <c r="M114" s="29">
        <v>0</v>
      </c>
      <c r="N114" s="29"/>
      <c r="O114" s="29">
        <v>0</v>
      </c>
      <c r="P114" s="29">
        <v>0</v>
      </c>
      <c r="Q114" s="29">
        <v>0</v>
      </c>
      <c r="R114" s="30">
        <v>699</v>
      </c>
    </row>
    <row r="115" spans="1:18">
      <c r="A115" s="27"/>
      <c r="B115" s="28">
        <v>111</v>
      </c>
      <c r="C115" s="1">
        <f>30000000+INDEX(编号表!$B:$B,MATCH(G115,编号表!$A:$A,0))*100000+INDEX(编号表!$F:$F,MATCH(H115,编号表!$E:$E,0))*1000+INDEX(编号表!$D:$D,MATCH(F115,编号表!$C:$C,0))*10000+E115</f>
        <v>31624001</v>
      </c>
      <c r="D115" s="23" t="s">
        <v>170</v>
      </c>
      <c r="E115" s="23">
        <v>1</v>
      </c>
      <c r="F115" s="23" t="s">
        <v>41</v>
      </c>
      <c r="G115" s="23" t="s">
        <v>82</v>
      </c>
      <c r="H115" s="23" t="s">
        <v>144</v>
      </c>
      <c r="I115" s="23"/>
      <c r="J115" s="23"/>
      <c r="K115" s="23"/>
      <c r="L115" s="29">
        <v>8</v>
      </c>
      <c r="M115" s="29">
        <v>0</v>
      </c>
      <c r="N115" s="29"/>
      <c r="O115" s="29">
        <v>0</v>
      </c>
      <c r="P115" s="29">
        <v>0</v>
      </c>
      <c r="Q115" s="29">
        <v>0</v>
      </c>
      <c r="R115" s="30">
        <v>1283</v>
      </c>
    </row>
    <row r="116" spans="1:18">
      <c r="A116" s="27"/>
      <c r="B116" s="28">
        <v>112</v>
      </c>
      <c r="C116" s="1">
        <f>30000000+INDEX(编号表!$B:$B,MATCH(G116,编号表!$A:$A,0))*100000+INDEX(编号表!$F:$F,MATCH(H116,编号表!$E:$E,0))*1000+INDEX(编号表!$D:$D,MATCH(F116,编号表!$C:$C,0))*10000+E116</f>
        <v>31624002</v>
      </c>
      <c r="D116" s="23" t="s">
        <v>171</v>
      </c>
      <c r="E116" s="23">
        <v>2</v>
      </c>
      <c r="F116" s="23" t="s">
        <v>41</v>
      </c>
      <c r="G116" s="23" t="s">
        <v>82</v>
      </c>
      <c r="H116" s="23" t="s">
        <v>144</v>
      </c>
      <c r="I116" s="23"/>
      <c r="J116" s="23"/>
      <c r="K116" s="23"/>
      <c r="L116" s="29">
        <v>9</v>
      </c>
      <c r="M116" s="29">
        <v>0</v>
      </c>
      <c r="N116" s="29"/>
      <c r="O116" s="29">
        <v>0</v>
      </c>
      <c r="P116" s="29">
        <v>0</v>
      </c>
      <c r="Q116" s="29">
        <v>0</v>
      </c>
      <c r="R116" s="30">
        <v>1982</v>
      </c>
    </row>
    <row r="117" spans="1:18">
      <c r="A117" s="27"/>
      <c r="B117" s="28">
        <v>113</v>
      </c>
      <c r="C117" s="1">
        <f>30000000+INDEX(编号表!$B:$B,MATCH(G117,编号表!$A:$A,0))*100000+INDEX(编号表!$F:$F,MATCH(H117,编号表!$E:$E,0))*1000+INDEX(编号表!$D:$D,MATCH(F117,编号表!$C:$C,0))*10000+E117</f>
        <v>31225000</v>
      </c>
      <c r="D117" s="23" t="s">
        <v>172</v>
      </c>
      <c r="E117" s="23">
        <v>0</v>
      </c>
      <c r="F117" s="23" t="s">
        <v>41</v>
      </c>
      <c r="G117" s="23" t="s">
        <v>42</v>
      </c>
      <c r="H117" s="23" t="s">
        <v>173</v>
      </c>
      <c r="I117" s="23"/>
      <c r="J117" s="23"/>
      <c r="K117" s="23"/>
      <c r="L117" s="29">
        <v>0</v>
      </c>
      <c r="M117" s="29">
        <v>0</v>
      </c>
      <c r="N117" s="29"/>
      <c r="O117" s="29">
        <v>20995</v>
      </c>
      <c r="P117" s="29">
        <v>8776</v>
      </c>
      <c r="Q117" s="29">
        <v>104976</v>
      </c>
      <c r="R117" s="30">
        <v>1889</v>
      </c>
    </row>
    <row r="118" spans="1:18">
      <c r="A118" s="27"/>
      <c r="B118" s="28">
        <v>114</v>
      </c>
      <c r="C118" s="1">
        <f>30000000+INDEX(编号表!$B:$B,MATCH(G118,编号表!$A:$A,0))*100000+INDEX(编号表!$F:$F,MATCH(H118,编号表!$E:$E,0))*1000+INDEX(编号表!$D:$D,MATCH(F118,编号表!$C:$C,0))*10000+E118</f>
        <v>31325000</v>
      </c>
      <c r="D118" s="23" t="s">
        <v>174</v>
      </c>
      <c r="E118" s="23">
        <v>0</v>
      </c>
      <c r="F118" s="23" t="s">
        <v>41</v>
      </c>
      <c r="G118" s="23" t="s">
        <v>45</v>
      </c>
      <c r="H118" s="23" t="s">
        <v>173</v>
      </c>
      <c r="I118" s="23" t="s">
        <v>46</v>
      </c>
      <c r="J118" s="23"/>
      <c r="K118" s="23"/>
      <c r="L118" s="29">
        <v>0</v>
      </c>
      <c r="M118" s="29">
        <v>-2</v>
      </c>
      <c r="N118" s="29"/>
      <c r="O118" s="29">
        <v>12544</v>
      </c>
      <c r="P118" s="29">
        <v>5245</v>
      </c>
      <c r="Q118" s="29">
        <v>0</v>
      </c>
      <c r="R118" s="30">
        <v>1469</v>
      </c>
    </row>
    <row r="119" spans="1:18">
      <c r="A119" s="27"/>
      <c r="B119" s="28">
        <v>115</v>
      </c>
      <c r="C119" s="1">
        <f>30000000+INDEX(编号表!$B:$B,MATCH(G119,编号表!$A:$A,0))*100000+INDEX(编号表!$F:$F,MATCH(H119,编号表!$E:$E,0))*1000+INDEX(编号表!$D:$D,MATCH(F119,编号表!$C:$C,0))*10000+E119</f>
        <v>31325001</v>
      </c>
      <c r="D119" s="23" t="s">
        <v>175</v>
      </c>
      <c r="E119" s="23">
        <v>1</v>
      </c>
      <c r="F119" s="23" t="s">
        <v>41</v>
      </c>
      <c r="G119" s="23" t="s">
        <v>45</v>
      </c>
      <c r="H119" s="23" t="s">
        <v>173</v>
      </c>
      <c r="I119" s="23" t="s">
        <v>46</v>
      </c>
      <c r="J119" s="23"/>
      <c r="K119" s="23"/>
      <c r="L119" s="29">
        <v>0</v>
      </c>
      <c r="M119" s="29">
        <v>3</v>
      </c>
      <c r="N119" s="29"/>
      <c r="O119" s="29">
        <v>13405</v>
      </c>
      <c r="P119" s="29">
        <v>6928</v>
      </c>
      <c r="Q119" s="29">
        <v>0</v>
      </c>
      <c r="R119" s="30">
        <v>1889</v>
      </c>
    </row>
    <row r="120" spans="1:18">
      <c r="A120" s="27"/>
      <c r="B120" s="28">
        <v>116</v>
      </c>
      <c r="C120" s="1">
        <f>30000000+INDEX(编号表!$B:$B,MATCH(G120,编号表!$A:$A,0))*100000+INDEX(编号表!$F:$F,MATCH(H120,编号表!$E:$E,0))*1000+INDEX(编号表!$D:$D,MATCH(F120,编号表!$C:$C,0))*10000+E120</f>
        <v>31325002</v>
      </c>
      <c r="D120" s="23" t="s">
        <v>176</v>
      </c>
      <c r="E120" s="23">
        <v>2</v>
      </c>
      <c r="F120" s="23" t="s">
        <v>41</v>
      </c>
      <c r="G120" s="23" t="s">
        <v>45</v>
      </c>
      <c r="H120" s="23" t="s">
        <v>173</v>
      </c>
      <c r="I120" s="23" t="s">
        <v>49</v>
      </c>
      <c r="J120" s="23"/>
      <c r="K120" s="23"/>
      <c r="L120" s="29">
        <v>0</v>
      </c>
      <c r="M120" s="29">
        <v>-1</v>
      </c>
      <c r="N120" s="29"/>
      <c r="O120" s="29">
        <v>11893</v>
      </c>
      <c r="P120" s="29">
        <v>3254</v>
      </c>
      <c r="Q120" s="29">
        <v>0</v>
      </c>
      <c r="R120" s="30">
        <v>2047</v>
      </c>
    </row>
    <row r="121" spans="1:18">
      <c r="A121" s="27"/>
      <c r="B121" s="28">
        <v>117</v>
      </c>
      <c r="C121" s="1">
        <f>30000000+INDEX(编号表!$B:$B,MATCH(G121,编号表!$A:$A,0))*100000+INDEX(编号表!$F:$F,MATCH(H121,编号表!$E:$E,0))*1000+INDEX(编号表!$D:$D,MATCH(F121,编号表!$C:$C,0))*10000+E121</f>
        <v>31325003</v>
      </c>
      <c r="D121" s="23" t="s">
        <v>177</v>
      </c>
      <c r="E121" s="23">
        <v>3</v>
      </c>
      <c r="F121" s="23" t="s">
        <v>41</v>
      </c>
      <c r="G121" s="23" t="s">
        <v>45</v>
      </c>
      <c r="H121" s="23" t="s">
        <v>173</v>
      </c>
      <c r="I121" s="23" t="s">
        <v>49</v>
      </c>
      <c r="J121" s="23"/>
      <c r="K121" s="23"/>
      <c r="L121" s="29">
        <v>0</v>
      </c>
      <c r="M121" s="29">
        <v>2</v>
      </c>
      <c r="N121" s="29"/>
      <c r="O121" s="29">
        <v>12544</v>
      </c>
      <c r="P121" s="29">
        <v>7818</v>
      </c>
      <c r="Q121" s="29">
        <v>0</v>
      </c>
      <c r="R121" s="30">
        <v>629</v>
      </c>
    </row>
    <row r="122" spans="1:18">
      <c r="A122" s="27"/>
      <c r="B122" s="28">
        <v>118</v>
      </c>
      <c r="C122" s="1">
        <f>30000000+INDEX(编号表!$B:$B,MATCH(G122,编号表!$A:$A,0))*100000+INDEX(编号表!$F:$F,MATCH(H122,编号表!$E:$E,0))*1000+INDEX(编号表!$D:$D,MATCH(F122,编号表!$C:$C,0))*10000+E122</f>
        <v>31325004</v>
      </c>
      <c r="D122" s="23" t="s">
        <v>178</v>
      </c>
      <c r="E122" s="23">
        <v>4</v>
      </c>
      <c r="F122" s="23" t="s">
        <v>41</v>
      </c>
      <c r="G122" s="23" t="s">
        <v>45</v>
      </c>
      <c r="H122" s="23" t="s">
        <v>173</v>
      </c>
      <c r="I122" s="23" t="s">
        <v>52</v>
      </c>
      <c r="J122" s="23"/>
      <c r="K122" s="23"/>
      <c r="L122" s="29">
        <v>0</v>
      </c>
      <c r="M122" s="29">
        <v>-1</v>
      </c>
      <c r="N122" s="29"/>
      <c r="O122" s="29">
        <v>12544</v>
      </c>
      <c r="P122" s="29">
        <v>6484</v>
      </c>
      <c r="Q122" s="29">
        <v>0</v>
      </c>
      <c r="R122" s="30">
        <v>1522</v>
      </c>
    </row>
    <row r="123" spans="1:18">
      <c r="A123" s="27"/>
      <c r="B123" s="28">
        <v>119</v>
      </c>
      <c r="C123" s="1">
        <f>30000000+INDEX(编号表!$B:$B,MATCH(G123,编号表!$A:$A,0))*100000+INDEX(编号表!$F:$F,MATCH(H123,编号表!$E:$E,0))*1000+INDEX(编号表!$D:$D,MATCH(F123,编号表!$C:$C,0))*10000+E123</f>
        <v>31325005</v>
      </c>
      <c r="D123" s="23" t="inlineStr">
        <is>
          <t xml:space="preserve">足年沸泉苔·神株</t>
        </is>
      </c>
      <c r="E123" s="23">
        <v>5</v>
      </c>
      <c r="F123" s="23" t="s">
        <v>41</v>
      </c>
      <c r="G123" s="23" t="s">
        <v>45</v>
      </c>
      <c r="H123" s="23" t="s">
        <v>173</v>
      </c>
      <c r="I123" s="23" t="s">
        <v>52</v>
      </c>
      <c r="J123" s="23"/>
      <c r="K123" s="23"/>
      <c r="L123" s="29">
        <v>0</v>
      </c>
      <c r="M123" s="29">
        <v>4</v>
      </c>
      <c r="N123" s="29"/>
      <c r="O123" s="29">
        <v>12975</v>
      </c>
      <c r="P123" s="29">
        <v>8087</v>
      </c>
      <c r="Q123" s="29">
        <v>0</v>
      </c>
      <c r="R123" s="30">
        <v>2729</v>
      </c>
    </row>
    <row r="124" spans="1:18">
      <c r="A124" s="27"/>
      <c r="B124" s="28">
        <v>120</v>
      </c>
      <c r="C124" s="1">
        <f>30000000+INDEX(编号表!$B:$B,MATCH(G124,编号表!$A:$A,0))*100000+INDEX(编号表!$F:$F,MATCH(H124,编号表!$E:$E,0))*1000+INDEX(编号表!$D:$D,MATCH(F124,编号表!$C:$C,0))*10000+E124</f>
        <v>31325006</v>
      </c>
      <c r="D124" s="23" t="inlineStr">
        <is>
          <t xml:space="preserve">足年丹露花·神株</t>
        </is>
      </c>
      <c r="E124" s="23">
        <v>6</v>
      </c>
      <c r="F124" s="23" t="s">
        <v>41</v>
      </c>
      <c r="G124" s="23" t="s">
        <v>45</v>
      </c>
      <c r="H124" s="23" t="s">
        <v>173</v>
      </c>
      <c r="I124" s="23" t="s">
        <v>55</v>
      </c>
      <c r="J124" s="23"/>
      <c r="K124" s="23"/>
      <c r="L124" s="29">
        <v>0</v>
      </c>
      <c r="M124" s="29">
        <v>-1</v>
      </c>
      <c r="N124" s="29"/>
      <c r="O124" s="29">
        <v>12975</v>
      </c>
      <c r="P124" s="29">
        <v>2763</v>
      </c>
      <c r="Q124" s="29">
        <v>0</v>
      </c>
      <c r="R124" s="30">
        <v>4408</v>
      </c>
    </row>
    <row r="125" spans="1:18">
      <c r="A125" s="27"/>
      <c r="B125" s="28">
        <v>121</v>
      </c>
      <c r="C125" s="1">
        <f>30000000+INDEX(编号表!$B:$B,MATCH(G125,编号表!$A:$A,0))*100000+INDEX(编号表!$F:$F,MATCH(H125,编号表!$E:$E,0))*1000+INDEX(编号表!$D:$D,MATCH(F125,编号表!$C:$C,0))*10000+E125</f>
        <v>31325007</v>
      </c>
      <c r="D125" s="23" t="s">
        <v>181</v>
      </c>
      <c r="E125" s="23">
        <v>7</v>
      </c>
      <c r="F125" s="23" t="s">
        <v>41</v>
      </c>
      <c r="G125" s="23" t="s">
        <v>45</v>
      </c>
      <c r="H125" s="23" t="s">
        <v>173</v>
      </c>
      <c r="I125" s="23" t="s">
        <v>55</v>
      </c>
      <c r="J125" s="23"/>
      <c r="K125" s="23"/>
      <c r="L125" s="29">
        <v>0</v>
      </c>
      <c r="M125" s="29">
        <v>2</v>
      </c>
      <c r="N125" s="29"/>
      <c r="O125" s="29">
        <v>12544</v>
      </c>
      <c r="P125" s="29">
        <v>7818</v>
      </c>
      <c r="Q125" s="29">
        <v>0</v>
      </c>
      <c r="R125" s="30">
        <v>629</v>
      </c>
    </row>
    <row r="126" spans="1:18">
      <c r="A126" s="27"/>
      <c r="B126" s="28">
        <v>122</v>
      </c>
      <c r="C126" s="1">
        <f>30000000+INDEX(编号表!$B:$B,MATCH(G126,编号表!$A:$A,0))*100000+INDEX(编号表!$F:$F,MATCH(H126,编号表!$E:$E,0))*1000+INDEX(编号表!$D:$D,MATCH(F126,编号表!$C:$C,0))*10000+E126</f>
        <v>31325008</v>
      </c>
      <c r="D126" s="23" t="s">
        <v>182</v>
      </c>
      <c r="E126" s="23">
        <v>8</v>
      </c>
      <c r="F126" s="23" t="s">
        <v>41</v>
      </c>
      <c r="G126" s="23" t="s">
        <v>45</v>
      </c>
      <c r="H126" s="23" t="s">
        <v>173</v>
      </c>
      <c r="I126" s="23" t="s">
        <v>58</v>
      </c>
      <c r="J126" s="23"/>
      <c r="K126" s="23"/>
      <c r="L126" s="29">
        <v>0</v>
      </c>
      <c r="M126" s="29">
        <v>-2</v>
      </c>
      <c r="N126" s="29"/>
      <c r="O126" s="29">
        <v>12544</v>
      </c>
      <c r="P126" s="29">
        <v>5245</v>
      </c>
      <c r="Q126" s="29">
        <v>0</v>
      </c>
      <c r="R126" s="30">
        <v>1469</v>
      </c>
    </row>
    <row r="127" spans="1:18">
      <c r="A127" s="27"/>
      <c r="B127" s="28">
        <v>123</v>
      </c>
      <c r="C127" s="1">
        <f>30000000+INDEX(编号表!$B:$B,MATCH(G127,编号表!$A:$A,0))*100000+INDEX(编号表!$F:$F,MATCH(H127,编号表!$E:$E,0))*1000+INDEX(编号表!$D:$D,MATCH(F127,编号表!$C:$C,0))*10000+E127</f>
        <v>31325009</v>
      </c>
      <c r="D127" s="23" t="s">
        <v>183</v>
      </c>
      <c r="E127" s="23">
        <v>9</v>
      </c>
      <c r="F127" s="23" t="s">
        <v>41</v>
      </c>
      <c r="G127" s="23" t="s">
        <v>45</v>
      </c>
      <c r="H127" s="23" t="s">
        <v>173</v>
      </c>
      <c r="I127" s="23" t="s">
        <v>58</v>
      </c>
      <c r="J127" s="23"/>
      <c r="K127" s="23"/>
      <c r="L127" s="29">
        <v>0</v>
      </c>
      <c r="M127" s="29">
        <v>1</v>
      </c>
      <c r="N127" s="29"/>
      <c r="O127" s="29">
        <v>11893</v>
      </c>
      <c r="P127" s="29">
        <v>3254</v>
      </c>
      <c r="Q127" s="29">
        <v>0</v>
      </c>
      <c r="R127" s="30">
        <v>2047</v>
      </c>
    </row>
    <row r="128" spans="1:18">
      <c r="A128" s="27"/>
      <c r="B128" s="28">
        <v>124</v>
      </c>
      <c r="C128" s="1">
        <f>30000000+INDEX(编号表!$B:$B,MATCH(G128,编号表!$A:$A,0))*100000+INDEX(编号表!$F:$F,MATCH(H128,编号表!$E:$E,0))*1000+INDEX(编号表!$D:$D,MATCH(F128,编号表!$C:$C,0))*10000+E128</f>
        <v>31525000</v>
      </c>
      <c r="D128" s="23" t="inlineStr">
        <is>
          <t xml:space="preserve">足年霜辛草·神株</t>
        </is>
      </c>
      <c r="E128" s="23">
        <v>0</v>
      </c>
      <c r="F128" s="23" t="s">
        <v>41</v>
      </c>
      <c r="G128" s="23" t="s">
        <v>61</v>
      </c>
      <c r="H128" s="23" t="s">
        <v>173</v>
      </c>
      <c r="I128" s="23"/>
      <c r="J128" s="23" t="s">
        <v>62</v>
      </c>
      <c r="K128" s="23"/>
      <c r="L128" s="29">
        <v>0</v>
      </c>
      <c r="M128" s="29">
        <v>-2</v>
      </c>
      <c r="N128" s="29"/>
      <c r="O128" s="29">
        <v>12544</v>
      </c>
      <c r="P128" s="29">
        <v>5245</v>
      </c>
      <c r="Q128" s="29">
        <v>0</v>
      </c>
      <c r="R128" s="30">
        <v>1469</v>
      </c>
    </row>
    <row r="129" spans="1:18">
      <c r="A129" s="27"/>
      <c r="B129" s="28">
        <v>125</v>
      </c>
      <c r="C129" s="1">
        <f>30000000+INDEX(编号表!$B:$B,MATCH(G129,编号表!$A:$A,0))*100000+INDEX(编号表!$F:$F,MATCH(H129,编号表!$E:$E,0))*1000+INDEX(编号表!$D:$D,MATCH(F129,编号表!$C:$C,0))*10000+E129</f>
        <v>31525001</v>
      </c>
      <c r="D129" s="23" t="s">
        <v>185</v>
      </c>
      <c r="E129" s="23">
        <v>1</v>
      </c>
      <c r="F129" s="23" t="s">
        <v>41</v>
      </c>
      <c r="G129" s="23" t="s">
        <v>61</v>
      </c>
      <c r="H129" s="23" t="s">
        <v>173</v>
      </c>
      <c r="I129" s="23"/>
      <c r="J129" s="23" t="s">
        <v>62</v>
      </c>
      <c r="K129" s="23"/>
      <c r="L129" s="29">
        <v>0</v>
      </c>
      <c r="M129" s="29">
        <v>3</v>
      </c>
      <c r="N129" s="29"/>
      <c r="O129" s="29">
        <v>13405</v>
      </c>
      <c r="P129" s="29">
        <v>6928</v>
      </c>
      <c r="Q129" s="29">
        <v>0</v>
      </c>
      <c r="R129" s="30">
        <v>1889</v>
      </c>
    </row>
    <row r="130" spans="1:18">
      <c r="A130" s="27"/>
      <c r="B130" s="28">
        <v>126</v>
      </c>
      <c r="C130" s="1">
        <f>30000000+INDEX(编号表!$B:$B,MATCH(G130,编号表!$A:$A,0))*100000+INDEX(编号表!$F:$F,MATCH(H130,编号表!$E:$E,0))*1000+INDEX(编号表!$D:$D,MATCH(F130,编号表!$C:$C,0))*10000+E130</f>
        <v>31525002</v>
      </c>
      <c r="D130" s="23" t="s">
        <v>186</v>
      </c>
      <c r="E130" s="23">
        <v>2</v>
      </c>
      <c r="F130" s="23" t="s">
        <v>41</v>
      </c>
      <c r="G130" s="23" t="s">
        <v>61</v>
      </c>
      <c r="H130" s="23" t="s">
        <v>173</v>
      </c>
      <c r="I130" s="23"/>
      <c r="J130" s="23" t="s">
        <v>65</v>
      </c>
      <c r="K130" s="23"/>
      <c r="L130" s="29">
        <v>0</v>
      </c>
      <c r="M130" s="29">
        <v>-1</v>
      </c>
      <c r="N130" s="29"/>
      <c r="O130" s="29">
        <v>11893</v>
      </c>
      <c r="P130" s="29">
        <v>3254</v>
      </c>
      <c r="Q130" s="29">
        <v>0</v>
      </c>
      <c r="R130" s="30">
        <v>2047</v>
      </c>
    </row>
    <row r="131" spans="1:18">
      <c r="A131" s="27"/>
      <c r="B131" s="28">
        <v>127</v>
      </c>
      <c r="C131" s="1">
        <f>30000000+INDEX(编号表!$B:$B,MATCH(G131,编号表!$A:$A,0))*100000+INDEX(编号表!$F:$F,MATCH(H131,编号表!$E:$E,0))*1000+INDEX(编号表!$D:$D,MATCH(F131,编号表!$C:$C,0))*10000+E131</f>
        <v>31525003</v>
      </c>
      <c r="D131" s="23" t="s">
        <v>187</v>
      </c>
      <c r="E131" s="23">
        <v>3</v>
      </c>
      <c r="F131" s="23" t="s">
        <v>41</v>
      </c>
      <c r="G131" s="23" t="s">
        <v>61</v>
      </c>
      <c r="H131" s="23" t="s">
        <v>173</v>
      </c>
      <c r="I131" s="23"/>
      <c r="J131" s="23" t="s">
        <v>65</v>
      </c>
      <c r="K131" s="23"/>
      <c r="L131" s="29">
        <v>0</v>
      </c>
      <c r="M131" s="29">
        <v>2</v>
      </c>
      <c r="N131" s="29"/>
      <c r="O131" s="29">
        <v>12544</v>
      </c>
      <c r="P131" s="29">
        <v>7818</v>
      </c>
      <c r="Q131" s="29">
        <v>0</v>
      </c>
      <c r="R131" s="30">
        <v>629</v>
      </c>
    </row>
    <row r="132" spans="1:18">
      <c r="A132" s="27"/>
      <c r="B132" s="28">
        <v>128</v>
      </c>
      <c r="C132" s="1">
        <f>30000000+INDEX(编号表!$B:$B,MATCH(G132,编号表!$A:$A,0))*100000+INDEX(编号表!$F:$F,MATCH(H132,编号表!$E:$E,0))*1000+INDEX(编号表!$D:$D,MATCH(F132,编号表!$C:$C,0))*10000+E132</f>
        <v>31525004</v>
      </c>
      <c r="D132" s="23" t="s">
        <v>188</v>
      </c>
      <c r="E132" s="23">
        <v>4</v>
      </c>
      <c r="F132" s="23" t="s">
        <v>41</v>
      </c>
      <c r="G132" s="23" t="s">
        <v>61</v>
      </c>
      <c r="H132" s="23" t="s">
        <v>173</v>
      </c>
      <c r="I132" s="23"/>
      <c r="J132" s="23" t="s">
        <v>68</v>
      </c>
      <c r="K132" s="23"/>
      <c r="L132" s="29">
        <v>0</v>
      </c>
      <c r="M132" s="29">
        <v>-1</v>
      </c>
      <c r="N132" s="29"/>
      <c r="O132" s="29">
        <v>12544</v>
      </c>
      <c r="P132" s="29">
        <v>6484</v>
      </c>
      <c r="Q132" s="29">
        <v>0</v>
      </c>
      <c r="R132" s="30">
        <v>1522</v>
      </c>
    </row>
    <row r="133" spans="1:18">
      <c r="A133" s="27"/>
      <c r="B133" s="28">
        <v>129</v>
      </c>
      <c r="C133" s="1">
        <f>30000000+INDEX(编号表!$B:$B,MATCH(G133,编号表!$A:$A,0))*100000+INDEX(编号表!$F:$F,MATCH(H133,编号表!$E:$E,0))*1000+INDEX(编号表!$D:$D,MATCH(F133,编号表!$C:$C,0))*10000+E133</f>
        <v>31525005</v>
      </c>
      <c r="D133" s="23" t="s">
        <v>189</v>
      </c>
      <c r="E133" s="23">
        <v>5</v>
      </c>
      <c r="F133" s="23" t="s">
        <v>41</v>
      </c>
      <c r="G133" s="23" t="s">
        <v>61</v>
      </c>
      <c r="H133" s="23" t="s">
        <v>173</v>
      </c>
      <c r="I133" s="23"/>
      <c r="J133" s="23" t="s">
        <v>68</v>
      </c>
      <c r="K133" s="23"/>
      <c r="L133" s="29">
        <v>0</v>
      </c>
      <c r="M133" s="29">
        <v>4</v>
      </c>
      <c r="N133" s="29"/>
      <c r="O133" s="29">
        <v>12975</v>
      </c>
      <c r="P133" s="29">
        <v>8087</v>
      </c>
      <c r="Q133" s="29">
        <v>0</v>
      </c>
      <c r="R133" s="30">
        <v>2729</v>
      </c>
    </row>
    <row r="134" spans="1:18">
      <c r="A134" s="27"/>
      <c r="B134" s="28">
        <v>130</v>
      </c>
      <c r="C134" s="1">
        <f>30000000+INDEX(编号表!$B:$B,MATCH(G134,编号表!$A:$A,0))*100000+INDEX(编号表!$F:$F,MATCH(H134,编号表!$E:$E,0))*1000+INDEX(编号表!$D:$D,MATCH(F134,编号表!$C:$C,0))*10000+E134</f>
        <v>31525006</v>
      </c>
      <c r="D134" s="23" t="s">
        <v>190</v>
      </c>
      <c r="E134" s="23">
        <v>6</v>
      </c>
      <c r="F134" s="23" t="s">
        <v>41</v>
      </c>
      <c r="G134" s="23" t="s">
        <v>61</v>
      </c>
      <c r="H134" s="23" t="s">
        <v>173</v>
      </c>
      <c r="I134" s="23"/>
      <c r="J134" s="23" t="s">
        <v>71</v>
      </c>
      <c r="K134" s="23"/>
      <c r="L134" s="29">
        <v>0</v>
      </c>
      <c r="M134" s="29">
        <v>-1</v>
      </c>
      <c r="N134" s="29"/>
      <c r="O134" s="29">
        <v>12975</v>
      </c>
      <c r="P134" s="29">
        <v>2763</v>
      </c>
      <c r="Q134" s="29">
        <v>0</v>
      </c>
      <c r="R134" s="30">
        <v>4408</v>
      </c>
    </row>
    <row r="135" spans="1:18">
      <c r="A135" s="27"/>
      <c r="B135" s="28">
        <v>131</v>
      </c>
      <c r="C135" s="1">
        <f>30000000+INDEX(编号表!$B:$B,MATCH(G135,编号表!$A:$A,0))*100000+INDEX(编号表!$F:$F,MATCH(H135,编号表!$E:$E,0))*1000+INDEX(编号表!$D:$D,MATCH(F135,编号表!$C:$C,0))*10000+E135</f>
        <v>31525007</v>
      </c>
      <c r="D135" s="23" t="s">
        <v>191</v>
      </c>
      <c r="E135" s="23">
        <v>7</v>
      </c>
      <c r="F135" s="23" t="s">
        <v>41</v>
      </c>
      <c r="G135" s="23" t="s">
        <v>61</v>
      </c>
      <c r="H135" s="23" t="s">
        <v>173</v>
      </c>
      <c r="I135" s="23"/>
      <c r="J135" s="23" t="s">
        <v>71</v>
      </c>
      <c r="K135" s="23"/>
      <c r="L135" s="29">
        <v>0</v>
      </c>
      <c r="M135" s="29">
        <v>2</v>
      </c>
      <c r="N135" s="29"/>
      <c r="O135" s="29">
        <v>12544</v>
      </c>
      <c r="P135" s="29">
        <v>7818</v>
      </c>
      <c r="Q135" s="29">
        <v>0</v>
      </c>
      <c r="R135" s="30">
        <v>629</v>
      </c>
    </row>
    <row r="136" spans="1:18">
      <c r="A136" s="27"/>
      <c r="B136" s="28">
        <v>132</v>
      </c>
      <c r="C136" s="1">
        <f>30000000+INDEX(编号表!$B:$B,MATCH(G136,编号表!$A:$A,0))*100000+INDEX(编号表!$F:$F,MATCH(H136,编号表!$E:$E,0))*1000+INDEX(编号表!$D:$D,MATCH(F136,编号表!$C:$C,0))*10000+E136</f>
        <v>31525008</v>
      </c>
      <c r="D136" s="23" t="s">
        <v>192</v>
      </c>
      <c r="E136" s="23">
        <v>8</v>
      </c>
      <c r="F136" s="23" t="s">
        <v>41</v>
      </c>
      <c r="G136" s="23" t="s">
        <v>61</v>
      </c>
      <c r="H136" s="23" t="s">
        <v>173</v>
      </c>
      <c r="I136" s="23"/>
      <c r="J136" s="23" t="s">
        <v>74</v>
      </c>
      <c r="K136" s="23"/>
      <c r="L136" s="29">
        <v>0</v>
      </c>
      <c r="M136" s="29">
        <v>-2</v>
      </c>
      <c r="N136" s="29"/>
      <c r="O136" s="29">
        <v>12544</v>
      </c>
      <c r="P136" s="29">
        <v>5245</v>
      </c>
      <c r="Q136" s="29">
        <v>0</v>
      </c>
      <c r="R136" s="30">
        <v>1469</v>
      </c>
    </row>
    <row r="137" spans="1:18">
      <c r="A137" s="27"/>
      <c r="B137" s="28">
        <v>133</v>
      </c>
      <c r="C137" s="1">
        <f>30000000+INDEX(编号表!$B:$B,MATCH(G137,编号表!$A:$A,0))*100000+INDEX(编号表!$F:$F,MATCH(H137,编号表!$E:$E,0))*1000+INDEX(编号表!$D:$D,MATCH(F137,编号表!$C:$C,0))*10000+E137</f>
        <v>31525009</v>
      </c>
      <c r="D137" s="23" t="s">
        <v>193</v>
      </c>
      <c r="E137" s="23">
        <v>9</v>
      </c>
      <c r="F137" s="23" t="s">
        <v>41</v>
      </c>
      <c r="G137" s="23" t="s">
        <v>61</v>
      </c>
      <c r="H137" s="23" t="s">
        <v>173</v>
      </c>
      <c r="I137" s="23"/>
      <c r="J137" s="23" t="s">
        <v>74</v>
      </c>
      <c r="K137" s="23"/>
      <c r="L137" s="29">
        <v>0</v>
      </c>
      <c r="M137" s="29">
        <v>1</v>
      </c>
      <c r="N137" s="29"/>
      <c r="O137" s="29">
        <v>11893</v>
      </c>
      <c r="P137" s="29">
        <v>3254</v>
      </c>
      <c r="Q137" s="29">
        <v>0</v>
      </c>
      <c r="R137" s="30">
        <v>2047</v>
      </c>
    </row>
    <row r="138" spans="1:18">
      <c r="A138" s="27"/>
      <c r="B138" s="28">
        <v>134</v>
      </c>
      <c r="C138" s="1">
        <f>30000000+INDEX(编号表!$B:$B,MATCH(G138,编号表!$A:$A,0))*100000+INDEX(编号表!$F:$F,MATCH(H138,编号表!$E:$E,0))*1000+INDEX(编号表!$D:$D,MATCH(F138,编号表!$C:$C,0))*10000+E138</f>
        <v>31425000</v>
      </c>
      <c r="D138" s="23" t="s">
        <v>194</v>
      </c>
      <c r="E138" s="23">
        <v>0</v>
      </c>
      <c r="F138" s="23" t="s">
        <v>41</v>
      </c>
      <c r="G138" s="23" t="s">
        <v>77</v>
      </c>
      <c r="H138" s="23" t="s">
        <v>173</v>
      </c>
      <c r="I138" s="23"/>
      <c r="J138" s="23"/>
      <c r="K138" s="23"/>
      <c r="L138" s="29">
        <v>0</v>
      </c>
      <c r="M138" s="29">
        <v>0</v>
      </c>
      <c r="N138" s="29"/>
      <c r="O138" s="29">
        <v>11893</v>
      </c>
      <c r="P138" s="29">
        <v>2532</v>
      </c>
      <c r="Q138" s="29">
        <v>0</v>
      </c>
      <c r="R138" s="30">
        <v>2414</v>
      </c>
    </row>
    <row r="139" spans="1:18">
      <c r="A139" s="27"/>
      <c r="B139" s="28">
        <v>135</v>
      </c>
      <c r="C139" s="1">
        <f>30000000+INDEX(编号表!$B:$B,MATCH(G139,编号表!$A:$A,0))*100000+INDEX(编号表!$F:$F,MATCH(H139,编号表!$E:$E,0))*1000+INDEX(编号表!$D:$D,MATCH(F139,编号表!$C:$C,0))*10000+E139</f>
        <v>31425001</v>
      </c>
      <c r="D139" s="23" t="s">
        <v>195</v>
      </c>
      <c r="E139" s="23">
        <v>1</v>
      </c>
      <c r="F139" s="23" t="s">
        <v>41</v>
      </c>
      <c r="G139" s="23" t="s">
        <v>77</v>
      </c>
      <c r="H139" s="23" t="s">
        <v>173</v>
      </c>
      <c r="I139" s="23"/>
      <c r="J139" s="23"/>
      <c r="K139" s="23"/>
      <c r="L139" s="29">
        <v>0</v>
      </c>
      <c r="M139" s="29">
        <v>0</v>
      </c>
      <c r="N139" s="29"/>
      <c r="O139" s="29">
        <v>13405</v>
      </c>
      <c r="P139" s="29">
        <v>8354</v>
      </c>
      <c r="Q139" s="29">
        <v>0</v>
      </c>
      <c r="R139" s="30">
        <v>839</v>
      </c>
    </row>
    <row r="140" spans="1:18">
      <c r="A140" s="27"/>
      <c r="B140" s="28">
        <v>136</v>
      </c>
      <c r="C140" s="1">
        <f>30000000+INDEX(编号表!$B:$B,MATCH(G140,编号表!$A:$A,0))*100000+INDEX(编号表!$F:$F,MATCH(H140,编号表!$E:$E,0))*1000+INDEX(编号表!$D:$D,MATCH(F140,编号表!$C:$C,0))*10000+E140</f>
        <v>31425002</v>
      </c>
      <c r="D140" s="23" t="s">
        <v>196</v>
      </c>
      <c r="E140" s="23">
        <v>2</v>
      </c>
      <c r="F140" s="23" t="s">
        <v>41</v>
      </c>
      <c r="G140" s="23" t="s">
        <v>77</v>
      </c>
      <c r="H140" s="23" t="s">
        <v>173</v>
      </c>
      <c r="I140" s="23"/>
      <c r="J140" s="23"/>
      <c r="K140" s="23"/>
      <c r="L140" s="29">
        <v>0</v>
      </c>
      <c r="M140" s="29">
        <v>1</v>
      </c>
      <c r="N140" s="29"/>
      <c r="O140" s="29">
        <v>12975</v>
      </c>
      <c r="P140" s="29">
        <v>2763</v>
      </c>
      <c r="Q140" s="29">
        <v>0</v>
      </c>
      <c r="R140" s="30">
        <v>4408</v>
      </c>
    </row>
    <row r="141" spans="1:18">
      <c r="A141" s="27"/>
      <c r="B141" s="28">
        <v>137</v>
      </c>
      <c r="C141" s="1">
        <f>30000000+INDEX(编号表!$B:$B,MATCH(G141,编号表!$A:$A,0))*100000+INDEX(编号表!$F:$F,MATCH(H141,编号表!$E:$E,0))*1000+INDEX(编号表!$D:$D,MATCH(F141,编号表!$C:$C,0))*10000+E141</f>
        <v>31425003</v>
      </c>
      <c r="D141" s="23" t="s">
        <v>197</v>
      </c>
      <c r="E141" s="23">
        <v>3</v>
      </c>
      <c r="F141" s="23" t="s">
        <v>41</v>
      </c>
      <c r="G141" s="23" t="s">
        <v>77</v>
      </c>
      <c r="H141" s="23" t="s">
        <v>173</v>
      </c>
      <c r="I141" s="23"/>
      <c r="J141" s="23"/>
      <c r="K141" s="23"/>
      <c r="L141" s="29">
        <v>0</v>
      </c>
      <c r="M141" s="29">
        <v>4</v>
      </c>
      <c r="N141" s="29"/>
      <c r="O141" s="29">
        <v>12975</v>
      </c>
      <c r="P141" s="29">
        <v>8087</v>
      </c>
      <c r="Q141" s="29">
        <v>0</v>
      </c>
      <c r="R141" s="30">
        <v>2729</v>
      </c>
    </row>
    <row r="142" spans="1:18">
      <c r="A142" s="27"/>
      <c r="B142" s="28">
        <v>138</v>
      </c>
      <c r="C142" s="1">
        <f>30000000+INDEX(编号表!$B:$B,MATCH(G142,编号表!$A:$A,0))*100000+INDEX(编号表!$F:$F,MATCH(H142,编号表!$E:$E,0))*1000+INDEX(编号表!$D:$D,MATCH(F142,编号表!$C:$C,0))*10000+E142</f>
        <v>31625000</v>
      </c>
      <c r="D142" s="23" t="s">
        <v>198</v>
      </c>
      <c r="E142" s="23">
        <v>0</v>
      </c>
      <c r="F142" s="23" t="s">
        <v>41</v>
      </c>
      <c r="G142" s="23" t="s">
        <v>82</v>
      </c>
      <c r="H142" s="23" t="s">
        <v>173</v>
      </c>
      <c r="I142" s="23"/>
      <c r="J142" s="23"/>
      <c r="K142" s="23"/>
      <c r="L142" s="29">
        <v>7</v>
      </c>
      <c r="M142" s="29">
        <v>0</v>
      </c>
      <c r="N142" s="29"/>
      <c r="O142" s="29">
        <v>0</v>
      </c>
      <c r="P142" s="29">
        <v>0</v>
      </c>
      <c r="Q142" s="29">
        <v>0</v>
      </c>
      <c r="R142" s="30">
        <v>1259</v>
      </c>
    </row>
    <row r="143" spans="1:18">
      <c r="A143" s="27"/>
      <c r="B143" s="28">
        <v>139</v>
      </c>
      <c r="C143" s="1">
        <f>30000000+INDEX(编号表!$B:$B,MATCH(G143,编号表!$A:$A,0))*100000+INDEX(编号表!$F:$F,MATCH(H143,编号表!$E:$E,0))*1000+INDEX(编号表!$D:$D,MATCH(F143,编号表!$C:$C,0))*10000+E143</f>
        <v>31625001</v>
      </c>
      <c r="D143" s="23" t="s">
        <v>199</v>
      </c>
      <c r="E143" s="23">
        <v>1</v>
      </c>
      <c r="F143" s="23" t="s">
        <v>41</v>
      </c>
      <c r="G143" s="23" t="s">
        <v>82</v>
      </c>
      <c r="H143" s="23" t="s">
        <v>173</v>
      </c>
      <c r="I143" s="23"/>
      <c r="J143" s="23"/>
      <c r="K143" s="23"/>
      <c r="L143" s="29">
        <v>8</v>
      </c>
      <c r="M143" s="29">
        <v>0</v>
      </c>
      <c r="N143" s="29"/>
      <c r="O143" s="29">
        <v>0</v>
      </c>
      <c r="P143" s="29">
        <v>0</v>
      </c>
      <c r="Q143" s="29">
        <v>0</v>
      </c>
      <c r="R143" s="30">
        <v>2309</v>
      </c>
    </row>
    <row r="144" spans="1:18">
      <c r="A144" s="27"/>
      <c r="B144" s="28">
        <v>140</v>
      </c>
      <c r="C144" s="1">
        <f>30000000+INDEX(编号表!$B:$B,MATCH(G144,编号表!$A:$A,0))*100000+INDEX(编号表!$F:$F,MATCH(H144,编号表!$E:$E,0))*1000+INDEX(编号表!$D:$D,MATCH(F144,编号表!$C:$C,0))*10000+E144</f>
        <v>31625002</v>
      </c>
      <c r="D144" s="23" t="s">
        <v>200</v>
      </c>
      <c r="E144" s="23">
        <v>2</v>
      </c>
      <c r="F144" s="23" t="s">
        <v>41</v>
      </c>
      <c r="G144" s="23" t="s">
        <v>82</v>
      </c>
      <c r="H144" s="23" t="s">
        <v>173</v>
      </c>
      <c r="I144" s="23"/>
      <c r="J144" s="23"/>
      <c r="K144" s="23"/>
      <c r="L144" s="29">
        <v>9</v>
      </c>
      <c r="M144" s="29">
        <v>0</v>
      </c>
      <c r="N144" s="29"/>
      <c r="O144" s="29">
        <v>0</v>
      </c>
      <c r="P144" s="29">
        <v>0</v>
      </c>
      <c r="Q144" s="29">
        <v>0</v>
      </c>
      <c r="R144" s="30">
        <v>3569</v>
      </c>
    </row>
    <row r="145" spans="1:18">
      <c r="A145" s="27"/>
      <c r="B145" s="28">
        <v>141</v>
      </c>
      <c r="C145" s="1">
        <f>30000000+INDEX(编号表!$B:$B,MATCH(G145,编号表!$A:$A,0))*100000+INDEX(编号表!$F:$F,MATCH(H145,编号表!$E:$E,0))*1000+INDEX(编号表!$D:$D,MATCH(F145,编号表!$C:$C,0))*10000+E145</f>
        <v>31226000</v>
      </c>
      <c r="D145" s="23" t="s">
        <v>201</v>
      </c>
      <c r="E145" s="23">
        <v>0</v>
      </c>
      <c r="F145" s="23" t="s">
        <v>41</v>
      </c>
      <c r="G145" s="23" t="s">
        <v>42</v>
      </c>
      <c r="H145" s="23" t="s">
        <v>202</v>
      </c>
      <c r="I145" s="23"/>
      <c r="J145" s="23"/>
      <c r="K145" s="23"/>
      <c r="L145" s="29">
        <v>0</v>
      </c>
      <c r="M145" s="29">
        <v>0</v>
      </c>
      <c r="N145" s="29"/>
      <c r="O145" s="29">
        <v>37791</v>
      </c>
      <c r="P145" s="29">
        <v>14550</v>
      </c>
      <c r="Q145" s="29">
        <v>188956</v>
      </c>
      <c r="R145" s="30">
        <v>3401</v>
      </c>
    </row>
    <row r="146" spans="1:18">
      <c r="A146" s="27"/>
      <c r="B146" s="28">
        <v>142</v>
      </c>
      <c r="C146" s="1">
        <f>30000000+INDEX(编号表!$B:$B,MATCH(G146,编号表!$A:$A,0))*100000+INDEX(编号表!$F:$F,MATCH(H146,编号表!$E:$E,0))*1000+INDEX(编号表!$D:$D,MATCH(F146,编号表!$C:$C,0))*10000+E146</f>
        <v>31326000</v>
      </c>
      <c r="D146" s="23" t="s">
        <v>203</v>
      </c>
      <c r="E146" s="23">
        <v>0</v>
      </c>
      <c r="F146" s="23" t="s">
        <v>41</v>
      </c>
      <c r="G146" s="23" t="s">
        <v>45</v>
      </c>
      <c r="H146" s="23" t="s">
        <v>202</v>
      </c>
      <c r="I146" s="23" t="s">
        <v>46</v>
      </c>
      <c r="J146" s="23"/>
      <c r="K146" s="23"/>
      <c r="L146" s="29">
        <v>0</v>
      </c>
      <c r="M146" s="29">
        <v>-2</v>
      </c>
      <c r="N146" s="29"/>
      <c r="O146" s="29">
        <v>22580</v>
      </c>
      <c r="P146" s="29">
        <v>8694</v>
      </c>
      <c r="Q146" s="29">
        <v>0</v>
      </c>
      <c r="R146" s="30">
        <v>2645</v>
      </c>
    </row>
    <row r="147" spans="1:18">
      <c r="A147" s="27"/>
      <c r="B147" s="28">
        <v>143</v>
      </c>
      <c r="C147" s="1">
        <f>30000000+INDEX(编号表!$B:$B,MATCH(G147,编号表!$A:$A,0))*100000+INDEX(编号表!$F:$F,MATCH(H147,编号表!$E:$E,0))*1000+INDEX(编号表!$D:$D,MATCH(F147,编号表!$C:$C,0))*10000+E147</f>
        <v>31326001</v>
      </c>
      <c r="D147" s="23" t="s">
        <v>204</v>
      </c>
      <c r="E147" s="23">
        <v>1</v>
      </c>
      <c r="F147" s="23" t="s">
        <v>41</v>
      </c>
      <c r="G147" s="23" t="s">
        <v>45</v>
      </c>
      <c r="H147" s="23" t="s">
        <v>202</v>
      </c>
      <c r="I147" s="23" t="s">
        <v>46</v>
      </c>
      <c r="J147" s="23"/>
      <c r="K147" s="23"/>
      <c r="L147" s="29">
        <v>0</v>
      </c>
      <c r="M147" s="29">
        <v>3</v>
      </c>
      <c r="N147" s="29"/>
      <c r="O147" s="29">
        <v>24129</v>
      </c>
      <c r="P147" s="29">
        <v>11486</v>
      </c>
      <c r="Q147" s="29">
        <v>0</v>
      </c>
      <c r="R147" s="30">
        <v>3401</v>
      </c>
    </row>
    <row r="148" spans="1:18">
      <c r="A148" s="27"/>
      <c r="B148" s="28">
        <v>144</v>
      </c>
      <c r="C148" s="1">
        <f>30000000+INDEX(编号表!$B:$B,MATCH(G148,编号表!$A:$A,0))*100000+INDEX(编号表!$F:$F,MATCH(H148,编号表!$E:$E,0))*1000+INDEX(编号表!$D:$D,MATCH(F148,编号表!$C:$C,0))*10000+E148</f>
        <v>31326002</v>
      </c>
      <c r="D148" s="23" t="s">
        <v>205</v>
      </c>
      <c r="E148" s="23">
        <v>2</v>
      </c>
      <c r="F148" s="23" t="s">
        <v>41</v>
      </c>
      <c r="G148" s="23" t="s">
        <v>45</v>
      </c>
      <c r="H148" s="23" t="s">
        <v>202</v>
      </c>
      <c r="I148" s="23" t="s">
        <v>49</v>
      </c>
      <c r="J148" s="23"/>
      <c r="K148" s="23"/>
      <c r="L148" s="29">
        <v>0</v>
      </c>
      <c r="M148" s="29">
        <v>-1</v>
      </c>
      <c r="N148" s="29"/>
      <c r="O148" s="29">
        <v>21408</v>
      </c>
      <c r="P148" s="29">
        <v>5395</v>
      </c>
      <c r="Q148" s="29">
        <v>0</v>
      </c>
      <c r="R148" s="30">
        <v>3684</v>
      </c>
    </row>
    <row r="149" spans="1:18">
      <c r="A149" s="27"/>
      <c r="B149" s="28">
        <v>145</v>
      </c>
      <c r="C149" s="1">
        <f>30000000+INDEX(编号表!$B:$B,MATCH(G149,编号表!$A:$A,0))*100000+INDEX(编号表!$F:$F,MATCH(H149,编号表!$E:$E,0))*1000+INDEX(编号表!$D:$D,MATCH(F149,编号表!$C:$C,0))*10000+E149</f>
        <v>31326003</v>
      </c>
      <c r="D149" s="23" t="s">
        <v>206</v>
      </c>
      <c r="E149" s="23">
        <v>3</v>
      </c>
      <c r="F149" s="23" t="s">
        <v>41</v>
      </c>
      <c r="G149" s="23" t="s">
        <v>45</v>
      </c>
      <c r="H149" s="23" t="s">
        <v>202</v>
      </c>
      <c r="I149" s="23" t="s">
        <v>49</v>
      </c>
      <c r="J149" s="23"/>
      <c r="K149" s="23"/>
      <c r="L149" s="29">
        <v>0</v>
      </c>
      <c r="M149" s="29">
        <v>2</v>
      </c>
      <c r="N149" s="29"/>
      <c r="O149" s="29">
        <v>22580</v>
      </c>
      <c r="P149" s="29">
        <v>12961</v>
      </c>
      <c r="Q149" s="29">
        <v>0</v>
      </c>
      <c r="R149" s="30">
        <v>1133</v>
      </c>
    </row>
    <row r="150" spans="1:18">
      <c r="A150" s="27"/>
      <c r="B150" s="28">
        <v>146</v>
      </c>
      <c r="C150" s="1">
        <f>30000000+INDEX(编号表!$B:$B,MATCH(G150,编号表!$A:$A,0))*100000+INDEX(编号表!$F:$F,MATCH(H150,编号表!$E:$E,0))*1000+INDEX(编号表!$D:$D,MATCH(F150,编号表!$C:$C,0))*10000+E150</f>
        <v>31326004</v>
      </c>
      <c r="D150" s="23" t="s">
        <v>207</v>
      </c>
      <c r="E150" s="23">
        <v>4</v>
      </c>
      <c r="F150" s="23" t="s">
        <v>41</v>
      </c>
      <c r="G150" s="23" t="s">
        <v>45</v>
      </c>
      <c r="H150" s="23" t="s">
        <v>202</v>
      </c>
      <c r="I150" s="23" t="s">
        <v>52</v>
      </c>
      <c r="J150" s="23"/>
      <c r="K150" s="23"/>
      <c r="L150" s="29">
        <v>0</v>
      </c>
      <c r="M150" s="29">
        <v>-1</v>
      </c>
      <c r="N150" s="29"/>
      <c r="O150" s="29">
        <v>22580</v>
      </c>
      <c r="P150" s="29">
        <v>10749</v>
      </c>
      <c r="Q150" s="29">
        <v>0</v>
      </c>
      <c r="R150" s="30">
        <v>2739</v>
      </c>
    </row>
    <row r="151" spans="1:18">
      <c r="A151" s="27"/>
      <c r="B151" s="28">
        <v>147</v>
      </c>
      <c r="C151" s="1">
        <f>30000000+INDEX(编号表!$B:$B,MATCH(G151,编号表!$A:$A,0))*100000+INDEX(编号表!$F:$F,MATCH(H151,编号表!$E:$E,0))*1000+INDEX(编号表!$D:$D,MATCH(F151,编号表!$C:$C,0))*10000+E151</f>
        <v>31326005</v>
      </c>
      <c r="D151" s="23" t="inlineStr">
        <is>
          <t xml:space="preserve">足年沸泉苔·道株</t>
        </is>
      </c>
      <c r="E151" s="23">
        <v>5</v>
      </c>
      <c r="F151" s="23" t="s">
        <v>41</v>
      </c>
      <c r="G151" s="23" t="s">
        <v>45</v>
      </c>
      <c r="H151" s="23" t="s">
        <v>202</v>
      </c>
      <c r="I151" s="23" t="s">
        <v>52</v>
      </c>
      <c r="J151" s="23"/>
      <c r="K151" s="23"/>
      <c r="L151" s="29">
        <v>0</v>
      </c>
      <c r="M151" s="29">
        <v>4</v>
      </c>
      <c r="N151" s="29"/>
      <c r="O151" s="29">
        <v>23354</v>
      </c>
      <c r="P151" s="29">
        <v>13406</v>
      </c>
      <c r="Q151" s="29">
        <v>0</v>
      </c>
      <c r="R151" s="30">
        <v>4912</v>
      </c>
    </row>
    <row r="152" spans="1:18">
      <c r="A152" s="27"/>
      <c r="B152" s="28">
        <v>148</v>
      </c>
      <c r="C152" s="1">
        <f>30000000+INDEX(编号表!$B:$B,MATCH(G152,编号表!$A:$A,0))*100000+INDEX(编号表!$F:$F,MATCH(H152,编号表!$E:$E,0))*1000+INDEX(编号表!$D:$D,MATCH(F152,编号表!$C:$C,0))*10000+E152</f>
        <v>31326006</v>
      </c>
      <c r="D152" s="23" t="inlineStr">
        <is>
          <t xml:space="preserve">足年丹露花·道株</t>
        </is>
      </c>
      <c r="E152" s="23">
        <v>6</v>
      </c>
      <c r="F152" s="23" t="s">
        <v>41</v>
      </c>
      <c r="G152" s="23" t="s">
        <v>45</v>
      </c>
      <c r="H152" s="23" t="s">
        <v>202</v>
      </c>
      <c r="I152" s="23" t="s">
        <v>55</v>
      </c>
      <c r="J152" s="23"/>
      <c r="K152" s="23"/>
      <c r="L152" s="29">
        <v>0</v>
      </c>
      <c r="M152" s="29">
        <v>-1</v>
      </c>
      <c r="N152" s="29"/>
      <c r="O152" s="29">
        <v>23354</v>
      </c>
      <c r="P152" s="29">
        <v>4578</v>
      </c>
      <c r="Q152" s="29">
        <v>0</v>
      </c>
      <c r="R152" s="30">
        <v>7936</v>
      </c>
    </row>
    <row r="153" spans="1:18">
      <c r="A153" s="27"/>
      <c r="B153" s="28">
        <v>149</v>
      </c>
      <c r="C153" s="1">
        <f>30000000+INDEX(编号表!$B:$B,MATCH(G153,编号表!$A:$A,0))*100000+INDEX(编号表!$F:$F,MATCH(H153,编号表!$E:$E,0))*1000+INDEX(编号表!$D:$D,MATCH(F153,编号表!$C:$C,0))*10000+E153</f>
        <v>31326007</v>
      </c>
      <c r="D153" s="23" t="s">
        <v>210</v>
      </c>
      <c r="E153" s="23">
        <v>7</v>
      </c>
      <c r="F153" s="23" t="s">
        <v>41</v>
      </c>
      <c r="G153" s="23" t="s">
        <v>45</v>
      </c>
      <c r="H153" s="23" t="s">
        <v>202</v>
      </c>
      <c r="I153" s="23" t="s">
        <v>55</v>
      </c>
      <c r="J153" s="23"/>
      <c r="K153" s="23"/>
      <c r="L153" s="29">
        <v>0</v>
      </c>
      <c r="M153" s="29">
        <v>2</v>
      </c>
      <c r="N153" s="29"/>
      <c r="O153" s="29">
        <v>22580</v>
      </c>
      <c r="P153" s="29">
        <v>12961</v>
      </c>
      <c r="Q153" s="29">
        <v>0</v>
      </c>
      <c r="R153" s="30">
        <v>1133</v>
      </c>
    </row>
    <row r="154" spans="1:18">
      <c r="A154" s="27"/>
      <c r="B154" s="28">
        <v>150</v>
      </c>
      <c r="C154" s="1">
        <f>30000000+INDEX(编号表!$B:$B,MATCH(G154,编号表!$A:$A,0))*100000+INDEX(编号表!$F:$F,MATCH(H154,编号表!$E:$E,0))*1000+INDEX(编号表!$D:$D,MATCH(F154,编号表!$C:$C,0))*10000+E154</f>
        <v>31326008</v>
      </c>
      <c r="D154" s="23" t="s">
        <v>211</v>
      </c>
      <c r="E154" s="23">
        <v>8</v>
      </c>
      <c r="F154" s="23" t="s">
        <v>41</v>
      </c>
      <c r="G154" s="23" t="s">
        <v>45</v>
      </c>
      <c r="H154" s="23" t="s">
        <v>202</v>
      </c>
      <c r="I154" s="23" t="s">
        <v>58</v>
      </c>
      <c r="J154" s="23"/>
      <c r="K154" s="23"/>
      <c r="L154" s="29">
        <v>0</v>
      </c>
      <c r="M154" s="29">
        <v>-2</v>
      </c>
      <c r="N154" s="29"/>
      <c r="O154" s="29">
        <v>22580</v>
      </c>
      <c r="P154" s="29">
        <v>8694</v>
      </c>
      <c r="Q154" s="29">
        <v>0</v>
      </c>
      <c r="R154" s="30">
        <v>2645</v>
      </c>
    </row>
    <row r="155" spans="1:18">
      <c r="A155" s="27"/>
      <c r="B155" s="28">
        <v>151</v>
      </c>
      <c r="C155" s="1">
        <f>30000000+INDEX(编号表!$B:$B,MATCH(G155,编号表!$A:$A,0))*100000+INDEX(编号表!$F:$F,MATCH(H155,编号表!$E:$E,0))*1000+INDEX(编号表!$D:$D,MATCH(F155,编号表!$C:$C,0))*10000+E155</f>
        <v>31326009</v>
      </c>
      <c r="D155" s="23" t="s">
        <v>212</v>
      </c>
      <c r="E155" s="23">
        <v>9</v>
      </c>
      <c r="F155" s="23" t="s">
        <v>41</v>
      </c>
      <c r="G155" s="23" t="s">
        <v>45</v>
      </c>
      <c r="H155" s="23" t="s">
        <v>202</v>
      </c>
      <c r="I155" s="23" t="s">
        <v>58</v>
      </c>
      <c r="J155" s="23"/>
      <c r="K155" s="23"/>
      <c r="L155" s="29">
        <v>0</v>
      </c>
      <c r="M155" s="29">
        <v>1</v>
      </c>
      <c r="N155" s="29"/>
      <c r="O155" s="29">
        <v>21408</v>
      </c>
      <c r="P155" s="29">
        <v>5395</v>
      </c>
      <c r="Q155" s="29">
        <v>0</v>
      </c>
      <c r="R155" s="30">
        <v>3684</v>
      </c>
    </row>
    <row r="156" spans="1:18">
      <c r="A156" s="27"/>
      <c r="B156" s="28">
        <v>152</v>
      </c>
      <c r="C156" s="1">
        <f>30000000+INDEX(编号表!$B:$B,MATCH(G156,编号表!$A:$A,0))*100000+INDEX(编号表!$F:$F,MATCH(H156,编号表!$E:$E,0))*1000+INDEX(编号表!$D:$D,MATCH(F156,编号表!$C:$C,0))*10000+E156</f>
        <v>31526000</v>
      </c>
      <c r="D156" s="23" t="inlineStr">
        <is>
          <t xml:space="preserve">足年霜辛草·道株</t>
        </is>
      </c>
      <c r="E156" s="23">
        <v>0</v>
      </c>
      <c r="F156" s="23" t="s">
        <v>41</v>
      </c>
      <c r="G156" s="23" t="s">
        <v>61</v>
      </c>
      <c r="H156" s="23" t="s">
        <v>202</v>
      </c>
      <c r="I156" s="23"/>
      <c r="J156" s="23" t="s">
        <v>62</v>
      </c>
      <c r="K156" s="23"/>
      <c r="L156" s="29">
        <v>0</v>
      </c>
      <c r="M156" s="29">
        <v>-2</v>
      </c>
      <c r="N156" s="29"/>
      <c r="O156" s="29">
        <v>22580</v>
      </c>
      <c r="P156" s="29">
        <v>8694</v>
      </c>
      <c r="Q156" s="29">
        <v>0</v>
      </c>
      <c r="R156" s="30">
        <v>2645</v>
      </c>
    </row>
    <row r="157" spans="1:18">
      <c r="A157" s="27"/>
      <c r="B157" s="28">
        <v>153</v>
      </c>
      <c r="C157" s="1">
        <f>30000000+INDEX(编号表!$B:$B,MATCH(G157,编号表!$A:$A,0))*100000+INDEX(编号表!$F:$F,MATCH(H157,编号表!$E:$E,0))*1000+INDEX(编号表!$D:$D,MATCH(F157,编号表!$C:$C,0))*10000+E157</f>
        <v>31526001</v>
      </c>
      <c r="D157" s="23" t="s">
        <v>214</v>
      </c>
      <c r="E157" s="23">
        <v>1</v>
      </c>
      <c r="F157" s="23" t="s">
        <v>41</v>
      </c>
      <c r="G157" s="23" t="s">
        <v>61</v>
      </c>
      <c r="H157" s="23" t="s">
        <v>202</v>
      </c>
      <c r="I157" s="23"/>
      <c r="J157" s="23" t="s">
        <v>62</v>
      </c>
      <c r="K157" s="23"/>
      <c r="L157" s="29">
        <v>0</v>
      </c>
      <c r="M157" s="29">
        <v>3</v>
      </c>
      <c r="N157" s="29"/>
      <c r="O157" s="29">
        <v>24129</v>
      </c>
      <c r="P157" s="29">
        <v>11486</v>
      </c>
      <c r="Q157" s="29">
        <v>0</v>
      </c>
      <c r="R157" s="30">
        <v>3401</v>
      </c>
    </row>
    <row r="158" spans="1:18">
      <c r="A158" s="27"/>
      <c r="B158" s="28">
        <v>154</v>
      </c>
      <c r="C158" s="1">
        <f>30000000+INDEX(编号表!$B:$B,MATCH(G158,编号表!$A:$A,0))*100000+INDEX(编号表!$F:$F,MATCH(H158,编号表!$E:$E,0))*1000+INDEX(编号表!$D:$D,MATCH(F158,编号表!$C:$C,0))*10000+E158</f>
        <v>31526002</v>
      </c>
      <c r="D158" s="23" t="s">
        <v>215</v>
      </c>
      <c r="E158" s="23">
        <v>2</v>
      </c>
      <c r="F158" s="23" t="s">
        <v>41</v>
      </c>
      <c r="G158" s="23" t="s">
        <v>61</v>
      </c>
      <c r="H158" s="23" t="s">
        <v>202</v>
      </c>
      <c r="I158" s="23"/>
      <c r="J158" s="23" t="s">
        <v>65</v>
      </c>
      <c r="K158" s="23"/>
      <c r="L158" s="29">
        <v>0</v>
      </c>
      <c r="M158" s="29">
        <v>-1</v>
      </c>
      <c r="N158" s="29"/>
      <c r="O158" s="29">
        <v>21408</v>
      </c>
      <c r="P158" s="29">
        <v>5395</v>
      </c>
      <c r="Q158" s="29">
        <v>0</v>
      </c>
      <c r="R158" s="30">
        <v>3684</v>
      </c>
    </row>
    <row r="159" spans="1:18">
      <c r="A159" s="27"/>
      <c r="B159" s="28">
        <v>155</v>
      </c>
      <c r="C159" s="1">
        <f>30000000+INDEX(编号表!$B:$B,MATCH(G159,编号表!$A:$A,0))*100000+INDEX(编号表!$F:$F,MATCH(H159,编号表!$E:$E,0))*1000+INDEX(编号表!$D:$D,MATCH(F159,编号表!$C:$C,0))*10000+E159</f>
        <v>31526003</v>
      </c>
      <c r="D159" s="23" t="s">
        <v>216</v>
      </c>
      <c r="E159" s="23">
        <v>3</v>
      </c>
      <c r="F159" s="23" t="s">
        <v>41</v>
      </c>
      <c r="G159" s="23" t="s">
        <v>61</v>
      </c>
      <c r="H159" s="23" t="s">
        <v>202</v>
      </c>
      <c r="I159" s="23"/>
      <c r="J159" s="23" t="s">
        <v>65</v>
      </c>
      <c r="K159" s="23"/>
      <c r="L159" s="29">
        <v>0</v>
      </c>
      <c r="M159" s="29">
        <v>2</v>
      </c>
      <c r="N159" s="29"/>
      <c r="O159" s="29">
        <v>22580</v>
      </c>
      <c r="P159" s="29">
        <v>12961</v>
      </c>
      <c r="Q159" s="29">
        <v>0</v>
      </c>
      <c r="R159" s="30">
        <v>1133</v>
      </c>
    </row>
    <row r="160" spans="1:18">
      <c r="A160" s="27"/>
      <c r="B160" s="28">
        <v>156</v>
      </c>
      <c r="C160" s="1">
        <f>30000000+INDEX(编号表!$B:$B,MATCH(G160,编号表!$A:$A,0))*100000+INDEX(编号表!$F:$F,MATCH(H160,编号表!$E:$E,0))*1000+INDEX(编号表!$D:$D,MATCH(F160,编号表!$C:$C,0))*10000+E160</f>
        <v>31526004</v>
      </c>
      <c r="D160" s="23" t="s">
        <v>217</v>
      </c>
      <c r="E160" s="23">
        <v>4</v>
      </c>
      <c r="F160" s="23" t="s">
        <v>41</v>
      </c>
      <c r="G160" s="23" t="s">
        <v>61</v>
      </c>
      <c r="H160" s="23" t="s">
        <v>202</v>
      </c>
      <c r="I160" s="23"/>
      <c r="J160" s="23" t="s">
        <v>68</v>
      </c>
      <c r="K160" s="23"/>
      <c r="L160" s="29">
        <v>0</v>
      </c>
      <c r="M160" s="29">
        <v>-1</v>
      </c>
      <c r="N160" s="29"/>
      <c r="O160" s="29">
        <v>22580</v>
      </c>
      <c r="P160" s="29">
        <v>10749</v>
      </c>
      <c r="Q160" s="29">
        <v>0</v>
      </c>
      <c r="R160" s="30">
        <v>2739</v>
      </c>
    </row>
    <row r="161" spans="1:18">
      <c r="A161" s="27"/>
      <c r="B161" s="28">
        <v>157</v>
      </c>
      <c r="C161" s="1">
        <f>30000000+INDEX(编号表!$B:$B,MATCH(G161,编号表!$A:$A,0))*100000+INDEX(编号表!$F:$F,MATCH(H161,编号表!$E:$E,0))*1000+INDEX(编号表!$D:$D,MATCH(F161,编号表!$C:$C,0))*10000+E161</f>
        <v>31526005</v>
      </c>
      <c r="D161" s="23" t="s">
        <v>218</v>
      </c>
      <c r="E161" s="23">
        <v>5</v>
      </c>
      <c r="F161" s="23" t="s">
        <v>41</v>
      </c>
      <c r="G161" s="23" t="s">
        <v>61</v>
      </c>
      <c r="H161" s="23" t="s">
        <v>202</v>
      </c>
      <c r="I161" s="23"/>
      <c r="J161" s="23" t="s">
        <v>68</v>
      </c>
      <c r="K161" s="23"/>
      <c r="L161" s="29">
        <v>0</v>
      </c>
      <c r="M161" s="29">
        <v>4</v>
      </c>
      <c r="N161" s="29"/>
      <c r="O161" s="29">
        <v>23354</v>
      </c>
      <c r="P161" s="29">
        <v>13406</v>
      </c>
      <c r="Q161" s="29">
        <v>0</v>
      </c>
      <c r="R161" s="30">
        <v>4912</v>
      </c>
    </row>
    <row r="162" spans="1:18">
      <c r="A162" s="27"/>
      <c r="B162" s="28">
        <v>158</v>
      </c>
      <c r="C162" s="1">
        <f>30000000+INDEX(编号表!$B:$B,MATCH(G162,编号表!$A:$A,0))*100000+INDEX(编号表!$F:$F,MATCH(H162,编号表!$E:$E,0))*1000+INDEX(编号表!$D:$D,MATCH(F162,编号表!$C:$C,0))*10000+E162</f>
        <v>31526006</v>
      </c>
      <c r="D162" s="23" t="s">
        <v>219</v>
      </c>
      <c r="E162" s="23">
        <v>6</v>
      </c>
      <c r="F162" s="23" t="s">
        <v>41</v>
      </c>
      <c r="G162" s="23" t="s">
        <v>61</v>
      </c>
      <c r="H162" s="23" t="s">
        <v>202</v>
      </c>
      <c r="I162" s="23"/>
      <c r="J162" s="23" t="s">
        <v>71</v>
      </c>
      <c r="K162" s="23"/>
      <c r="L162" s="29">
        <v>0</v>
      </c>
      <c r="M162" s="29">
        <v>-1</v>
      </c>
      <c r="N162" s="29"/>
      <c r="O162" s="29">
        <v>23354</v>
      </c>
      <c r="P162" s="29">
        <v>4578</v>
      </c>
      <c r="Q162" s="29">
        <v>0</v>
      </c>
      <c r="R162" s="30">
        <v>7936</v>
      </c>
    </row>
    <row r="163" spans="1:18">
      <c r="A163" s="27"/>
      <c r="B163" s="28">
        <v>159</v>
      </c>
      <c r="C163" s="1">
        <f>30000000+INDEX(编号表!$B:$B,MATCH(G163,编号表!$A:$A,0))*100000+INDEX(编号表!$F:$F,MATCH(H163,编号表!$E:$E,0))*1000+INDEX(编号表!$D:$D,MATCH(F163,编号表!$C:$C,0))*10000+E163</f>
        <v>31526007</v>
      </c>
      <c r="D163" s="23" t="s">
        <v>220</v>
      </c>
      <c r="E163" s="23">
        <v>7</v>
      </c>
      <c r="F163" s="23" t="s">
        <v>41</v>
      </c>
      <c r="G163" s="23" t="s">
        <v>61</v>
      </c>
      <c r="H163" s="23" t="s">
        <v>202</v>
      </c>
      <c r="I163" s="23"/>
      <c r="J163" s="23" t="s">
        <v>71</v>
      </c>
      <c r="K163" s="23"/>
      <c r="L163" s="29">
        <v>0</v>
      </c>
      <c r="M163" s="29">
        <v>2</v>
      </c>
      <c r="N163" s="29"/>
      <c r="O163" s="29">
        <v>22580</v>
      </c>
      <c r="P163" s="29">
        <v>12961</v>
      </c>
      <c r="Q163" s="29">
        <v>0</v>
      </c>
      <c r="R163" s="30">
        <v>1133</v>
      </c>
    </row>
    <row r="164" spans="1:18">
      <c r="A164" s="27"/>
      <c r="B164" s="28">
        <v>160</v>
      </c>
      <c r="C164" s="1">
        <f>30000000+INDEX(编号表!$B:$B,MATCH(G164,编号表!$A:$A,0))*100000+INDEX(编号表!$F:$F,MATCH(H164,编号表!$E:$E,0))*1000+INDEX(编号表!$D:$D,MATCH(F164,编号表!$C:$C,0))*10000+E164</f>
        <v>31526008</v>
      </c>
      <c r="D164" s="23" t="s">
        <v>221</v>
      </c>
      <c r="E164" s="23">
        <v>8</v>
      </c>
      <c r="F164" s="23" t="s">
        <v>41</v>
      </c>
      <c r="G164" s="23" t="s">
        <v>61</v>
      </c>
      <c r="H164" s="23" t="s">
        <v>202</v>
      </c>
      <c r="I164" s="23"/>
      <c r="J164" s="23" t="s">
        <v>74</v>
      </c>
      <c r="K164" s="23"/>
      <c r="L164" s="29">
        <v>0</v>
      </c>
      <c r="M164" s="29">
        <v>-2</v>
      </c>
      <c r="N164" s="29"/>
      <c r="O164" s="29">
        <v>22580</v>
      </c>
      <c r="P164" s="29">
        <v>8694</v>
      </c>
      <c r="Q164" s="29">
        <v>0</v>
      </c>
      <c r="R164" s="30">
        <v>2645</v>
      </c>
    </row>
    <row r="165" spans="1:18">
      <c r="A165" s="27"/>
      <c r="B165" s="28">
        <v>161</v>
      </c>
      <c r="C165" s="1">
        <f>30000000+INDEX(编号表!$B:$B,MATCH(G165,编号表!$A:$A,0))*100000+INDEX(编号表!$F:$F,MATCH(H165,编号表!$E:$E,0))*1000+INDEX(编号表!$D:$D,MATCH(F165,编号表!$C:$C,0))*10000+E165</f>
        <v>31526009</v>
      </c>
      <c r="D165" s="23" t="s">
        <v>222</v>
      </c>
      <c r="E165" s="23">
        <v>9</v>
      </c>
      <c r="F165" s="23" t="s">
        <v>41</v>
      </c>
      <c r="G165" s="23" t="s">
        <v>61</v>
      </c>
      <c r="H165" s="23" t="s">
        <v>202</v>
      </c>
      <c r="I165" s="23"/>
      <c r="J165" s="23" t="s">
        <v>74</v>
      </c>
      <c r="K165" s="23"/>
      <c r="L165" s="29">
        <v>0</v>
      </c>
      <c r="M165" s="29">
        <v>1</v>
      </c>
      <c r="N165" s="29"/>
      <c r="O165" s="29">
        <v>21408</v>
      </c>
      <c r="P165" s="29">
        <v>5395</v>
      </c>
      <c r="Q165" s="29">
        <v>0</v>
      </c>
      <c r="R165" s="30">
        <v>3684</v>
      </c>
    </row>
    <row r="166" spans="1:18">
      <c r="A166" s="27"/>
      <c r="B166" s="28">
        <v>162</v>
      </c>
      <c r="C166" s="1">
        <f>30000000+INDEX(编号表!$B:$B,MATCH(G166,编号表!$A:$A,0))*100000+INDEX(编号表!$F:$F,MATCH(H166,编号表!$E:$E,0))*1000+INDEX(编号表!$D:$D,MATCH(F166,编号表!$C:$C,0))*10000+E166</f>
        <v>31426000</v>
      </c>
      <c r="D166" s="23" t="s">
        <v>223</v>
      </c>
      <c r="E166" s="23">
        <v>0</v>
      </c>
      <c r="F166" s="23" t="s">
        <v>41</v>
      </c>
      <c r="G166" s="23" t="s">
        <v>77</v>
      </c>
      <c r="H166" s="23" t="s">
        <v>202</v>
      </c>
      <c r="I166" s="23"/>
      <c r="J166" s="23"/>
      <c r="K166" s="23"/>
      <c r="L166" s="29">
        <v>0</v>
      </c>
      <c r="M166" s="29">
        <v>0</v>
      </c>
      <c r="N166" s="29"/>
      <c r="O166" s="29">
        <v>21408</v>
      </c>
      <c r="P166" s="29">
        <v>4196</v>
      </c>
      <c r="Q166" s="29">
        <v>0</v>
      </c>
      <c r="R166" s="30">
        <v>4345</v>
      </c>
    </row>
    <row r="167" spans="1:18">
      <c r="A167" s="27"/>
      <c r="B167" s="28">
        <v>163</v>
      </c>
      <c r="C167" s="1">
        <f>30000000+INDEX(编号表!$B:$B,MATCH(G167,编号表!$A:$A,0))*100000+INDEX(编号表!$F:$F,MATCH(H167,编号表!$E:$E,0))*1000+INDEX(编号表!$D:$D,MATCH(F167,编号表!$C:$C,0))*10000+E167</f>
        <v>31426001</v>
      </c>
      <c r="D167" s="23" t="s">
        <v>224</v>
      </c>
      <c r="E167" s="23">
        <v>1</v>
      </c>
      <c r="F167" s="23" t="s">
        <v>41</v>
      </c>
      <c r="G167" s="23" t="s">
        <v>77</v>
      </c>
      <c r="H167" s="23" t="s">
        <v>202</v>
      </c>
      <c r="I167" s="23"/>
      <c r="J167" s="23"/>
      <c r="K167" s="23"/>
      <c r="L167" s="29">
        <v>0</v>
      </c>
      <c r="M167" s="29">
        <v>0</v>
      </c>
      <c r="N167" s="29"/>
      <c r="O167" s="29">
        <v>24129</v>
      </c>
      <c r="P167" s="29">
        <v>13851</v>
      </c>
      <c r="Q167" s="29">
        <v>0</v>
      </c>
      <c r="R167" s="30">
        <v>1511</v>
      </c>
    </row>
    <row r="168" spans="1:18">
      <c r="A168" s="27"/>
      <c r="B168" s="28">
        <v>164</v>
      </c>
      <c r="C168" s="1">
        <f>30000000+INDEX(编号表!$B:$B,MATCH(G168,编号表!$A:$A,0))*100000+INDEX(编号表!$F:$F,MATCH(H168,编号表!$E:$E,0))*1000+INDEX(编号表!$D:$D,MATCH(F168,编号表!$C:$C,0))*10000+E168</f>
        <v>31426002</v>
      </c>
      <c r="D168" s="23" t="s">
        <v>225</v>
      </c>
      <c r="E168" s="23">
        <v>2</v>
      </c>
      <c r="F168" s="23" t="s">
        <v>41</v>
      </c>
      <c r="G168" s="23" t="s">
        <v>77</v>
      </c>
      <c r="H168" s="23" t="s">
        <v>202</v>
      </c>
      <c r="I168" s="23"/>
      <c r="J168" s="23"/>
      <c r="K168" s="23"/>
      <c r="L168" s="29">
        <v>0</v>
      </c>
      <c r="M168" s="29">
        <v>1</v>
      </c>
      <c r="N168" s="29"/>
      <c r="O168" s="29">
        <v>23354</v>
      </c>
      <c r="P168" s="29">
        <v>4578</v>
      </c>
      <c r="Q168" s="29">
        <v>0</v>
      </c>
      <c r="R168" s="30">
        <v>7936</v>
      </c>
    </row>
    <row r="169" spans="1:18">
      <c r="A169" s="27"/>
      <c r="B169" s="28">
        <v>165</v>
      </c>
      <c r="C169" s="1">
        <f>30000000+INDEX(编号表!$B:$B,MATCH(G169,编号表!$A:$A,0))*100000+INDEX(编号表!$F:$F,MATCH(H169,编号表!$E:$E,0))*1000+INDEX(编号表!$D:$D,MATCH(F169,编号表!$C:$C,0))*10000+E169</f>
        <v>31426003</v>
      </c>
      <c r="D169" s="23" t="s">
        <v>226</v>
      </c>
      <c r="E169" s="23">
        <v>3</v>
      </c>
      <c r="F169" s="23" t="s">
        <v>41</v>
      </c>
      <c r="G169" s="23" t="s">
        <v>77</v>
      </c>
      <c r="H169" s="23" t="s">
        <v>202</v>
      </c>
      <c r="I169" s="23"/>
      <c r="J169" s="23"/>
      <c r="K169" s="23"/>
      <c r="L169" s="29">
        <v>0</v>
      </c>
      <c r="M169" s="29">
        <v>4</v>
      </c>
      <c r="N169" s="29"/>
      <c r="O169" s="29">
        <v>23354</v>
      </c>
      <c r="P169" s="29">
        <v>13406</v>
      </c>
      <c r="Q169" s="29">
        <v>0</v>
      </c>
      <c r="R169" s="30">
        <v>4912</v>
      </c>
    </row>
    <row r="170" spans="1:18">
      <c r="A170" s="27"/>
      <c r="B170" s="28">
        <v>166</v>
      </c>
      <c r="C170" s="1">
        <f>30000000+INDEX(编号表!$B:$B,MATCH(G170,编号表!$A:$A,0))*100000+INDEX(编号表!$F:$F,MATCH(H170,编号表!$E:$E,0))*1000+INDEX(编号表!$D:$D,MATCH(F170,编号表!$C:$C,0))*10000+E170</f>
        <v>31626000</v>
      </c>
      <c r="D170" s="23" t="s">
        <v>227</v>
      </c>
      <c r="E170" s="23">
        <v>0</v>
      </c>
      <c r="F170" s="23" t="s">
        <v>41</v>
      </c>
      <c r="G170" s="23" t="s">
        <v>82</v>
      </c>
      <c r="H170" s="23" t="s">
        <v>202</v>
      </c>
      <c r="I170" s="23"/>
      <c r="J170" s="23"/>
      <c r="K170" s="23"/>
      <c r="L170" s="29">
        <v>7</v>
      </c>
      <c r="M170" s="29">
        <v>0</v>
      </c>
      <c r="N170" s="29"/>
      <c r="O170" s="29">
        <v>0</v>
      </c>
      <c r="P170" s="29">
        <v>0</v>
      </c>
      <c r="Q170" s="29">
        <v>0</v>
      </c>
      <c r="R170" s="30">
        <v>2267</v>
      </c>
    </row>
    <row r="171" spans="1:18">
      <c r="A171" s="27"/>
      <c r="B171" s="28">
        <v>167</v>
      </c>
      <c r="C171" s="1">
        <f>30000000+INDEX(编号表!$B:$B,MATCH(G171,编号表!$A:$A,0))*100000+INDEX(编号表!$F:$F,MATCH(H171,编号表!$E:$E,0))*1000+INDEX(编号表!$D:$D,MATCH(F171,编号表!$C:$C,0))*10000+E171</f>
        <v>31626001</v>
      </c>
      <c r="D171" s="23" t="s">
        <v>228</v>
      </c>
      <c r="E171" s="23">
        <v>1</v>
      </c>
      <c r="F171" s="23" t="s">
        <v>41</v>
      </c>
      <c r="G171" s="23" t="s">
        <v>82</v>
      </c>
      <c r="H171" s="23" t="s">
        <v>202</v>
      </c>
      <c r="I171" s="23"/>
      <c r="J171" s="23"/>
      <c r="K171" s="23"/>
      <c r="L171" s="29">
        <v>8</v>
      </c>
      <c r="M171" s="29">
        <v>0</v>
      </c>
      <c r="N171" s="29"/>
      <c r="O171" s="29">
        <v>0</v>
      </c>
      <c r="P171" s="29">
        <v>0</v>
      </c>
      <c r="Q171" s="29">
        <v>0</v>
      </c>
      <c r="R171" s="30">
        <v>4157</v>
      </c>
    </row>
    <row r="172" spans="1:18">
      <c r="A172" s="27"/>
      <c r="B172" s="28">
        <v>168</v>
      </c>
      <c r="C172" s="1">
        <f>30000000+INDEX(编号表!$B:$B,MATCH(G172,编号表!$A:$A,0))*100000+INDEX(编号表!$F:$F,MATCH(H172,编号表!$E:$E,0))*1000+INDEX(编号表!$D:$D,MATCH(F172,编号表!$C:$C,0))*10000+E172</f>
        <v>31626002</v>
      </c>
      <c r="D172" s="23" t="s">
        <v>229</v>
      </c>
      <c r="E172" s="23">
        <v>2</v>
      </c>
      <c r="F172" s="23" t="s">
        <v>41</v>
      </c>
      <c r="G172" s="23" t="s">
        <v>82</v>
      </c>
      <c r="H172" s="23" t="s">
        <v>202</v>
      </c>
      <c r="I172" s="23"/>
      <c r="J172" s="23"/>
      <c r="K172" s="23"/>
      <c r="L172" s="29">
        <v>9</v>
      </c>
      <c r="M172" s="29">
        <v>0</v>
      </c>
      <c r="N172" s="29"/>
      <c r="O172" s="29">
        <v>0</v>
      </c>
      <c r="P172" s="29">
        <v>0</v>
      </c>
      <c r="Q172" s="29">
        <v>0</v>
      </c>
      <c r="R172" s="30">
        <v>6424</v>
      </c>
    </row>
    <row r="173" spans="1:18">
      <c r="A173" s="27"/>
      <c r="B173" s="28">
        <v>169</v>
      </c>
      <c r="C173" s="1">
        <f>30000000+INDEX(编号表!$B:$B,MATCH(G173,编号表!$A:$A,0))*100000+INDEX(编号表!$F:$F,MATCH(H173,编号表!$E:$E,0))*1000+INDEX(编号表!$D:$D,MATCH(F173,编号表!$C:$C,0))*10000+E173</f>
        <v>31231000</v>
      </c>
      <c r="D173" s="23" t="s">
        <v>230</v>
      </c>
      <c r="E173" s="23">
        <v>0</v>
      </c>
      <c r="F173" s="23" t="s">
        <v>231</v>
      </c>
      <c r="G173" s="23" t="s">
        <v>42</v>
      </c>
      <c r="H173" s="23" t="s">
        <v>43</v>
      </c>
      <c r="I173" s="23"/>
      <c r="J173" s="23"/>
      <c r="K173" s="23"/>
      <c r="L173" s="29">
        <v>0</v>
      </c>
      <c r="M173" s="29">
        <v>0</v>
      </c>
      <c r="N173" s="29"/>
      <c r="O173" s="29">
        <v>6000</v>
      </c>
      <c r="P173" s="29">
        <v>3300</v>
      </c>
      <c r="Q173" s="29">
        <v>30000</v>
      </c>
      <c r="R173" s="30">
        <v>540</v>
      </c>
    </row>
    <row r="174" spans="1:18">
      <c r="A174" s="27"/>
      <c r="B174" s="28">
        <v>170</v>
      </c>
      <c r="C174" s="1">
        <f>30000000+INDEX(编号表!$B:$B,MATCH(G174,编号表!$A:$A,0))*100000+INDEX(编号表!$F:$F,MATCH(H174,编号表!$E:$E,0))*1000+INDEX(编号表!$D:$D,MATCH(F174,编号表!$C:$C,0))*10000+E174</f>
        <v>31331000</v>
      </c>
      <c r="D174" s="23" t="s">
        <v>232</v>
      </c>
      <c r="E174" s="23">
        <v>0</v>
      </c>
      <c r="F174" s="23" t="s">
        <v>231</v>
      </c>
      <c r="G174" s="23" t="s">
        <v>45</v>
      </c>
      <c r="H174" s="23" t="s">
        <v>43</v>
      </c>
      <c r="I174" s="23" t="s">
        <v>46</v>
      </c>
      <c r="J174" s="23"/>
      <c r="K174" s="23"/>
      <c r="L174" s="29">
        <v>0</v>
      </c>
      <c r="M174" s="29">
        <v>-2</v>
      </c>
      <c r="N174" s="29"/>
      <c r="O174" s="29">
        <v>3585</v>
      </c>
      <c r="P174" s="29">
        <v>1973</v>
      </c>
      <c r="Q174" s="29">
        <v>0</v>
      </c>
      <c r="R174" s="30">
        <v>420</v>
      </c>
    </row>
    <row r="175" spans="1:18">
      <c r="A175" s="27"/>
      <c r="B175" s="28">
        <v>171</v>
      </c>
      <c r="C175" s="1">
        <f>30000000+INDEX(编号表!$B:$B,MATCH(G175,编号表!$A:$A,0))*100000+INDEX(编号表!$F:$F,MATCH(H175,编号表!$E:$E,0))*1000+INDEX(编号表!$D:$D,MATCH(F175,编号表!$C:$C,0))*10000+E175</f>
        <v>31331001</v>
      </c>
      <c r="D175" s="23" t="s">
        <v>233</v>
      </c>
      <c r="E175" s="23">
        <v>1</v>
      </c>
      <c r="F175" s="23" t="s">
        <v>231</v>
      </c>
      <c r="G175" s="23" t="s">
        <v>45</v>
      </c>
      <c r="H175" s="23" t="s">
        <v>43</v>
      </c>
      <c r="I175" s="23" t="s">
        <v>46</v>
      </c>
      <c r="J175" s="23"/>
      <c r="K175" s="23"/>
      <c r="L175" s="29">
        <v>0</v>
      </c>
      <c r="M175" s="29">
        <v>3</v>
      </c>
      <c r="N175" s="29"/>
      <c r="O175" s="29">
        <v>3831</v>
      </c>
      <c r="P175" s="29">
        <v>2606</v>
      </c>
      <c r="Q175" s="29">
        <v>0</v>
      </c>
      <c r="R175" s="30">
        <v>540</v>
      </c>
    </row>
    <row r="176" spans="1:18">
      <c r="A176" s="27"/>
      <c r="B176" s="28">
        <v>172</v>
      </c>
      <c r="C176" s="1">
        <f>30000000+INDEX(编号表!$B:$B,MATCH(G176,编号表!$A:$A,0))*100000+INDEX(编号表!$F:$F,MATCH(H176,编号表!$E:$E,0))*1000+INDEX(编号表!$D:$D,MATCH(F176,编号表!$C:$C,0))*10000+E176</f>
        <v>31331002</v>
      </c>
      <c r="D176" s="23" t="s">
        <v>234</v>
      </c>
      <c r="E176" s="23">
        <v>2</v>
      </c>
      <c r="F176" s="23" t="s">
        <v>231</v>
      </c>
      <c r="G176" s="23" t="s">
        <v>45</v>
      </c>
      <c r="H176" s="23" t="s">
        <v>43</v>
      </c>
      <c r="I176" s="23" t="s">
        <v>49</v>
      </c>
      <c r="J176" s="23"/>
      <c r="K176" s="23"/>
      <c r="L176" s="29">
        <v>0</v>
      </c>
      <c r="M176" s="29">
        <v>-1</v>
      </c>
      <c r="N176" s="29"/>
      <c r="O176" s="29">
        <v>3399</v>
      </c>
      <c r="P176" s="29">
        <v>1224</v>
      </c>
      <c r="Q176" s="29">
        <v>0</v>
      </c>
      <c r="R176" s="30">
        <v>585</v>
      </c>
    </row>
    <row r="177" spans="1:18">
      <c r="A177" s="27"/>
      <c r="B177" s="28">
        <v>173</v>
      </c>
      <c r="C177" s="1">
        <f>30000000+INDEX(编号表!$B:$B,MATCH(G177,编号表!$A:$A,0))*100000+INDEX(编号表!$F:$F,MATCH(H177,编号表!$E:$E,0))*1000+INDEX(编号表!$D:$D,MATCH(F177,编号表!$C:$C,0))*10000+E177</f>
        <v>31331003</v>
      </c>
      <c r="D177" s="23" t="s">
        <v>235</v>
      </c>
      <c r="E177" s="23">
        <v>3</v>
      </c>
      <c r="F177" s="23" t="s">
        <v>231</v>
      </c>
      <c r="G177" s="23" t="s">
        <v>45</v>
      </c>
      <c r="H177" s="23" t="s">
        <v>43</v>
      </c>
      <c r="I177" s="23" t="s">
        <v>49</v>
      </c>
      <c r="J177" s="23"/>
      <c r="K177" s="23"/>
      <c r="L177" s="29">
        <v>0</v>
      </c>
      <c r="M177" s="29">
        <v>2</v>
      </c>
      <c r="N177" s="29"/>
      <c r="O177" s="29">
        <v>3585</v>
      </c>
      <c r="P177" s="29">
        <v>2940</v>
      </c>
      <c r="Q177" s="29">
        <v>0</v>
      </c>
      <c r="R177" s="30">
        <v>180</v>
      </c>
    </row>
    <row r="178" spans="1:18">
      <c r="A178" s="27"/>
      <c r="B178" s="28">
        <v>174</v>
      </c>
      <c r="C178" s="1">
        <f>30000000+INDEX(编号表!$B:$B,MATCH(G178,编号表!$A:$A,0))*100000+INDEX(编号表!$F:$F,MATCH(H178,编号表!$E:$E,0))*1000+INDEX(编号表!$D:$D,MATCH(F178,编号表!$C:$C,0))*10000+E178</f>
        <v>31331004</v>
      </c>
      <c r="D178" s="23" t="s">
        <v>236</v>
      </c>
      <c r="E178" s="23">
        <v>4</v>
      </c>
      <c r="F178" s="23" t="s">
        <v>231</v>
      </c>
      <c r="G178" s="23" t="s">
        <v>45</v>
      </c>
      <c r="H178" s="23" t="s">
        <v>43</v>
      </c>
      <c r="I178" s="23" t="s">
        <v>52</v>
      </c>
      <c r="J178" s="23"/>
      <c r="K178" s="23"/>
      <c r="L178" s="29">
        <v>0</v>
      </c>
      <c r="M178" s="29">
        <v>-1</v>
      </c>
      <c r="N178" s="29"/>
      <c r="O178" s="29">
        <v>3585</v>
      </c>
      <c r="P178" s="29">
        <v>2439</v>
      </c>
      <c r="Q178" s="29">
        <v>0</v>
      </c>
      <c r="R178" s="30">
        <v>435</v>
      </c>
    </row>
    <row r="179" spans="1:18">
      <c r="A179" s="27"/>
      <c r="B179" s="28">
        <v>175</v>
      </c>
      <c r="C179" s="1">
        <f>30000000+INDEX(编号表!$B:$B,MATCH(G179,编号表!$A:$A,0))*100000+INDEX(编号表!$F:$F,MATCH(H179,编号表!$E:$E,0))*1000+INDEX(编号表!$D:$D,MATCH(F179,编号表!$C:$C,0))*10000+E179</f>
        <v>31331005</v>
      </c>
      <c r="D179" s="23" t="inlineStr">
        <is>
          <t xml:space="preserve">十载沸泉苔·凡株</t>
        </is>
      </c>
      <c r="E179" s="23">
        <v>5</v>
      </c>
      <c r="F179" s="23" t="s">
        <v>231</v>
      </c>
      <c r="G179" s="23" t="s">
        <v>45</v>
      </c>
      <c r="H179" s="23" t="s">
        <v>43</v>
      </c>
      <c r="I179" s="23" t="s">
        <v>52</v>
      </c>
      <c r="J179" s="23"/>
      <c r="K179" s="23"/>
      <c r="L179" s="29">
        <v>0</v>
      </c>
      <c r="M179" s="29">
        <v>4</v>
      </c>
      <c r="N179" s="29"/>
      <c r="O179" s="29">
        <v>3708</v>
      </c>
      <c r="P179" s="29">
        <v>3041</v>
      </c>
      <c r="Q179" s="29">
        <v>0</v>
      </c>
      <c r="R179" s="30">
        <v>780</v>
      </c>
    </row>
    <row r="180" spans="1:18">
      <c r="A180" s="27"/>
      <c r="B180" s="28">
        <v>176</v>
      </c>
      <c r="C180" s="1">
        <f>30000000+INDEX(编号表!$B:$B,MATCH(G180,编号表!$A:$A,0))*100000+INDEX(编号表!$F:$F,MATCH(H180,编号表!$E:$E,0))*1000+INDEX(编号表!$D:$D,MATCH(F180,编号表!$C:$C,0))*10000+E180</f>
        <v>31331006</v>
      </c>
      <c r="D180" s="23" t="inlineStr">
        <is>
          <t xml:space="preserve">十载丹露花·凡株</t>
        </is>
      </c>
      <c r="E180" s="23">
        <v>6</v>
      </c>
      <c r="F180" s="23" t="s">
        <v>231</v>
      </c>
      <c r="G180" s="23" t="s">
        <v>45</v>
      </c>
      <c r="H180" s="23" t="s">
        <v>43</v>
      </c>
      <c r="I180" s="23" t="s">
        <v>55</v>
      </c>
      <c r="J180" s="23"/>
      <c r="K180" s="23"/>
      <c r="L180" s="29">
        <v>0</v>
      </c>
      <c r="M180" s="29">
        <v>-1</v>
      </c>
      <c r="N180" s="29"/>
      <c r="O180" s="29">
        <v>3708</v>
      </c>
      <c r="P180" s="29">
        <v>1039</v>
      </c>
      <c r="Q180" s="29">
        <v>0</v>
      </c>
      <c r="R180" s="30">
        <v>1260</v>
      </c>
    </row>
    <row r="181" spans="1:18">
      <c r="A181" s="27"/>
      <c r="B181" s="28">
        <v>177</v>
      </c>
      <c r="C181" s="1">
        <f>30000000+INDEX(编号表!$B:$B,MATCH(G181,编号表!$A:$A,0))*100000+INDEX(编号表!$F:$F,MATCH(H181,编号表!$E:$E,0))*1000+INDEX(编号表!$D:$D,MATCH(F181,编号表!$C:$C,0))*10000+E181</f>
        <v>31331007</v>
      </c>
      <c r="D181" s="23" t="s">
        <v>239</v>
      </c>
      <c r="E181" s="23">
        <v>7</v>
      </c>
      <c r="F181" s="23" t="s">
        <v>231</v>
      </c>
      <c r="G181" s="23" t="s">
        <v>45</v>
      </c>
      <c r="H181" s="23" t="s">
        <v>43</v>
      </c>
      <c r="I181" s="23" t="s">
        <v>55</v>
      </c>
      <c r="J181" s="23"/>
      <c r="K181" s="23"/>
      <c r="L181" s="29">
        <v>0</v>
      </c>
      <c r="M181" s="29">
        <v>2</v>
      </c>
      <c r="N181" s="29"/>
      <c r="O181" s="29">
        <v>3585</v>
      </c>
      <c r="P181" s="29">
        <v>2940</v>
      </c>
      <c r="Q181" s="29">
        <v>0</v>
      </c>
      <c r="R181" s="30">
        <v>180</v>
      </c>
    </row>
    <row r="182" spans="1:18">
      <c r="A182" s="27"/>
      <c r="B182" s="28">
        <v>178</v>
      </c>
      <c r="C182" s="1">
        <f>30000000+INDEX(编号表!$B:$B,MATCH(G182,编号表!$A:$A,0))*100000+INDEX(编号表!$F:$F,MATCH(H182,编号表!$E:$E,0))*1000+INDEX(编号表!$D:$D,MATCH(F182,编号表!$C:$C,0))*10000+E182</f>
        <v>31331008</v>
      </c>
      <c r="D182" s="23" t="s">
        <v>240</v>
      </c>
      <c r="E182" s="23">
        <v>8</v>
      </c>
      <c r="F182" s="23" t="s">
        <v>231</v>
      </c>
      <c r="G182" s="23" t="s">
        <v>45</v>
      </c>
      <c r="H182" s="23" t="s">
        <v>43</v>
      </c>
      <c r="I182" s="23" t="s">
        <v>58</v>
      </c>
      <c r="J182" s="23"/>
      <c r="K182" s="23"/>
      <c r="L182" s="29">
        <v>0</v>
      </c>
      <c r="M182" s="29">
        <v>-2</v>
      </c>
      <c r="N182" s="29"/>
      <c r="O182" s="29">
        <v>3585</v>
      </c>
      <c r="P182" s="29">
        <v>1973</v>
      </c>
      <c r="Q182" s="29">
        <v>0</v>
      </c>
      <c r="R182" s="30">
        <v>420</v>
      </c>
    </row>
    <row r="183" spans="1:18">
      <c r="A183" s="27"/>
      <c r="B183" s="28">
        <v>179</v>
      </c>
      <c r="C183" s="1">
        <f>30000000+INDEX(编号表!$B:$B,MATCH(G183,编号表!$A:$A,0))*100000+INDEX(编号表!$F:$F,MATCH(H183,编号表!$E:$E,0))*1000+INDEX(编号表!$D:$D,MATCH(F183,编号表!$C:$C,0))*10000+E183</f>
        <v>31331009</v>
      </c>
      <c r="D183" s="23" t="s">
        <v>241</v>
      </c>
      <c r="E183" s="23">
        <v>9</v>
      </c>
      <c r="F183" s="23" t="s">
        <v>231</v>
      </c>
      <c r="G183" s="23" t="s">
        <v>45</v>
      </c>
      <c r="H183" s="23" t="s">
        <v>43</v>
      </c>
      <c r="I183" s="23" t="s">
        <v>58</v>
      </c>
      <c r="J183" s="23"/>
      <c r="K183" s="23"/>
      <c r="L183" s="29">
        <v>0</v>
      </c>
      <c r="M183" s="29">
        <v>1</v>
      </c>
      <c r="N183" s="29"/>
      <c r="O183" s="29">
        <v>3399</v>
      </c>
      <c r="P183" s="29">
        <v>1224</v>
      </c>
      <c r="Q183" s="29">
        <v>0</v>
      </c>
      <c r="R183" s="30">
        <v>585</v>
      </c>
    </row>
    <row r="184" spans="1:18">
      <c r="A184" s="27"/>
      <c r="B184" s="28">
        <v>180</v>
      </c>
      <c r="C184" s="1">
        <f>30000000+INDEX(编号表!$B:$B,MATCH(G184,编号表!$A:$A,0))*100000+INDEX(编号表!$F:$F,MATCH(H184,编号表!$E:$E,0))*1000+INDEX(编号表!$D:$D,MATCH(F184,编号表!$C:$C,0))*10000+E184</f>
        <v>31531000</v>
      </c>
      <c r="D184" s="23" t="inlineStr">
        <is>
          <t xml:space="preserve">十载霜辛草·凡株</t>
        </is>
      </c>
      <c r="E184" s="23">
        <v>0</v>
      </c>
      <c r="F184" s="23" t="s">
        <v>231</v>
      </c>
      <c r="G184" s="23" t="s">
        <v>61</v>
      </c>
      <c r="H184" s="23" t="s">
        <v>43</v>
      </c>
      <c r="I184" s="23"/>
      <c r="J184" s="23" t="s">
        <v>62</v>
      </c>
      <c r="K184" s="23"/>
      <c r="L184" s="29">
        <v>0</v>
      </c>
      <c r="M184" s="29">
        <v>-2</v>
      </c>
      <c r="N184" s="29"/>
      <c r="O184" s="29">
        <v>3585</v>
      </c>
      <c r="P184" s="29">
        <v>1973</v>
      </c>
      <c r="Q184" s="29">
        <v>0</v>
      </c>
      <c r="R184" s="30">
        <v>420</v>
      </c>
    </row>
    <row r="185" spans="1:18">
      <c r="A185" s="27"/>
      <c r="B185" s="28">
        <v>181</v>
      </c>
      <c r="C185" s="1">
        <f>30000000+INDEX(编号表!$B:$B,MATCH(G185,编号表!$A:$A,0))*100000+INDEX(编号表!$F:$F,MATCH(H185,编号表!$E:$E,0))*1000+INDEX(编号表!$D:$D,MATCH(F185,编号表!$C:$C,0))*10000+E185</f>
        <v>31531001</v>
      </c>
      <c r="D185" s="23" t="s">
        <v>243</v>
      </c>
      <c r="E185" s="23">
        <v>1</v>
      </c>
      <c r="F185" s="23" t="s">
        <v>231</v>
      </c>
      <c r="G185" s="23" t="s">
        <v>61</v>
      </c>
      <c r="H185" s="23" t="s">
        <v>43</v>
      </c>
      <c r="I185" s="23"/>
      <c r="J185" s="23" t="s">
        <v>62</v>
      </c>
      <c r="K185" s="23"/>
      <c r="L185" s="29">
        <v>0</v>
      </c>
      <c r="M185" s="29">
        <v>3</v>
      </c>
      <c r="N185" s="29"/>
      <c r="O185" s="29">
        <v>3831</v>
      </c>
      <c r="P185" s="29">
        <v>2606</v>
      </c>
      <c r="Q185" s="29">
        <v>0</v>
      </c>
      <c r="R185" s="30">
        <v>540</v>
      </c>
    </row>
    <row r="186" spans="1:18">
      <c r="A186" s="27"/>
      <c r="B186" s="28">
        <v>182</v>
      </c>
      <c r="C186" s="1">
        <f>30000000+INDEX(编号表!$B:$B,MATCH(G186,编号表!$A:$A,0))*100000+INDEX(编号表!$F:$F,MATCH(H186,编号表!$E:$E,0))*1000+INDEX(编号表!$D:$D,MATCH(F186,编号表!$C:$C,0))*10000+E186</f>
        <v>31531002</v>
      </c>
      <c r="D186" s="23" t="s">
        <v>244</v>
      </c>
      <c r="E186" s="23">
        <v>2</v>
      </c>
      <c r="F186" s="23" t="s">
        <v>231</v>
      </c>
      <c r="G186" s="23" t="s">
        <v>61</v>
      </c>
      <c r="H186" s="23" t="s">
        <v>43</v>
      </c>
      <c r="I186" s="23"/>
      <c r="J186" s="23" t="s">
        <v>65</v>
      </c>
      <c r="K186" s="23"/>
      <c r="L186" s="29">
        <v>0</v>
      </c>
      <c r="M186" s="29">
        <v>-1</v>
      </c>
      <c r="N186" s="29"/>
      <c r="O186" s="29">
        <v>3399</v>
      </c>
      <c r="P186" s="29">
        <v>1224</v>
      </c>
      <c r="Q186" s="29">
        <v>0</v>
      </c>
      <c r="R186" s="30">
        <v>585</v>
      </c>
    </row>
    <row r="187" spans="1:18">
      <c r="A187" s="27"/>
      <c r="B187" s="28">
        <v>183</v>
      </c>
      <c r="C187" s="1">
        <f>30000000+INDEX(编号表!$B:$B,MATCH(G187,编号表!$A:$A,0))*100000+INDEX(编号表!$F:$F,MATCH(H187,编号表!$E:$E,0))*1000+INDEX(编号表!$D:$D,MATCH(F187,编号表!$C:$C,0))*10000+E187</f>
        <v>31531003</v>
      </c>
      <c r="D187" s="23" t="s">
        <v>245</v>
      </c>
      <c r="E187" s="23">
        <v>3</v>
      </c>
      <c r="F187" s="23" t="s">
        <v>231</v>
      </c>
      <c r="G187" s="23" t="s">
        <v>61</v>
      </c>
      <c r="H187" s="23" t="s">
        <v>43</v>
      </c>
      <c r="I187" s="23"/>
      <c r="J187" s="23" t="s">
        <v>65</v>
      </c>
      <c r="K187" s="23"/>
      <c r="L187" s="29">
        <v>0</v>
      </c>
      <c r="M187" s="29">
        <v>2</v>
      </c>
      <c r="N187" s="29"/>
      <c r="O187" s="29">
        <v>3585</v>
      </c>
      <c r="P187" s="29">
        <v>2940</v>
      </c>
      <c r="Q187" s="29">
        <v>0</v>
      </c>
      <c r="R187" s="30">
        <v>180</v>
      </c>
    </row>
    <row r="188" spans="1:18">
      <c r="A188" s="27"/>
      <c r="B188" s="28">
        <v>184</v>
      </c>
      <c r="C188" s="1">
        <f>30000000+INDEX(编号表!$B:$B,MATCH(G188,编号表!$A:$A,0))*100000+INDEX(编号表!$F:$F,MATCH(H188,编号表!$E:$E,0))*1000+INDEX(编号表!$D:$D,MATCH(F188,编号表!$C:$C,0))*10000+E188</f>
        <v>31531004</v>
      </c>
      <c r="D188" s="23" t="s">
        <v>246</v>
      </c>
      <c r="E188" s="23">
        <v>4</v>
      </c>
      <c r="F188" s="23" t="s">
        <v>231</v>
      </c>
      <c r="G188" s="23" t="s">
        <v>61</v>
      </c>
      <c r="H188" s="23" t="s">
        <v>43</v>
      </c>
      <c r="I188" s="23"/>
      <c r="J188" s="23" t="s">
        <v>68</v>
      </c>
      <c r="K188" s="23"/>
      <c r="L188" s="29">
        <v>0</v>
      </c>
      <c r="M188" s="29">
        <v>-1</v>
      </c>
      <c r="N188" s="29"/>
      <c r="O188" s="29">
        <v>3585</v>
      </c>
      <c r="P188" s="29">
        <v>2439</v>
      </c>
      <c r="Q188" s="29">
        <v>0</v>
      </c>
      <c r="R188" s="30">
        <v>435</v>
      </c>
    </row>
    <row r="189" spans="1:18">
      <c r="A189" s="27"/>
      <c r="B189" s="28">
        <v>185</v>
      </c>
      <c r="C189" s="1">
        <f>30000000+INDEX(编号表!$B:$B,MATCH(G189,编号表!$A:$A,0))*100000+INDEX(编号表!$F:$F,MATCH(H189,编号表!$E:$E,0))*1000+INDEX(编号表!$D:$D,MATCH(F189,编号表!$C:$C,0))*10000+E189</f>
        <v>31531005</v>
      </c>
      <c r="D189" s="23" t="s">
        <v>247</v>
      </c>
      <c r="E189" s="23">
        <v>5</v>
      </c>
      <c r="F189" s="23" t="s">
        <v>231</v>
      </c>
      <c r="G189" s="23" t="s">
        <v>61</v>
      </c>
      <c r="H189" s="23" t="s">
        <v>43</v>
      </c>
      <c r="I189" s="23"/>
      <c r="J189" s="23" t="s">
        <v>68</v>
      </c>
      <c r="K189" s="23"/>
      <c r="L189" s="29">
        <v>0</v>
      </c>
      <c r="M189" s="29">
        <v>4</v>
      </c>
      <c r="N189" s="29"/>
      <c r="O189" s="29">
        <v>3708</v>
      </c>
      <c r="P189" s="29">
        <v>3041</v>
      </c>
      <c r="Q189" s="29">
        <v>0</v>
      </c>
      <c r="R189" s="30">
        <v>780</v>
      </c>
    </row>
    <row r="190" spans="1:18">
      <c r="A190" s="27"/>
      <c r="B190" s="28">
        <v>186</v>
      </c>
      <c r="C190" s="1">
        <f>30000000+INDEX(编号表!$B:$B,MATCH(G190,编号表!$A:$A,0))*100000+INDEX(编号表!$F:$F,MATCH(H190,编号表!$E:$E,0))*1000+INDEX(编号表!$D:$D,MATCH(F190,编号表!$C:$C,0))*10000+E190</f>
        <v>31531006</v>
      </c>
      <c r="D190" s="23" t="s">
        <v>248</v>
      </c>
      <c r="E190" s="23">
        <v>6</v>
      </c>
      <c r="F190" s="23" t="s">
        <v>231</v>
      </c>
      <c r="G190" s="23" t="s">
        <v>61</v>
      </c>
      <c r="H190" s="23" t="s">
        <v>43</v>
      </c>
      <c r="I190" s="23"/>
      <c r="J190" s="23" t="s">
        <v>71</v>
      </c>
      <c r="K190" s="23"/>
      <c r="L190" s="29">
        <v>0</v>
      </c>
      <c r="M190" s="29">
        <v>-1</v>
      </c>
      <c r="N190" s="29"/>
      <c r="O190" s="29">
        <v>3708</v>
      </c>
      <c r="P190" s="29">
        <v>1039</v>
      </c>
      <c r="Q190" s="29">
        <v>0</v>
      </c>
      <c r="R190" s="30">
        <v>1260</v>
      </c>
    </row>
    <row r="191" spans="1:18">
      <c r="A191" s="27"/>
      <c r="B191" s="28">
        <v>187</v>
      </c>
      <c r="C191" s="1">
        <f>30000000+INDEX(编号表!$B:$B,MATCH(G191,编号表!$A:$A,0))*100000+INDEX(编号表!$F:$F,MATCH(H191,编号表!$E:$E,0))*1000+INDEX(编号表!$D:$D,MATCH(F191,编号表!$C:$C,0))*10000+E191</f>
        <v>31531007</v>
      </c>
      <c r="D191" s="23" t="s">
        <v>249</v>
      </c>
      <c r="E191" s="23">
        <v>7</v>
      </c>
      <c r="F191" s="23" t="s">
        <v>231</v>
      </c>
      <c r="G191" s="23" t="s">
        <v>61</v>
      </c>
      <c r="H191" s="23" t="s">
        <v>43</v>
      </c>
      <c r="I191" s="23"/>
      <c r="J191" s="23" t="s">
        <v>71</v>
      </c>
      <c r="K191" s="23"/>
      <c r="L191" s="29">
        <v>0</v>
      </c>
      <c r="M191" s="29">
        <v>2</v>
      </c>
      <c r="N191" s="29"/>
      <c r="O191" s="29">
        <v>3585</v>
      </c>
      <c r="P191" s="29">
        <v>2940</v>
      </c>
      <c r="Q191" s="29">
        <v>0</v>
      </c>
      <c r="R191" s="30">
        <v>180</v>
      </c>
    </row>
    <row r="192" spans="1:18">
      <c r="A192" s="27"/>
      <c r="B192" s="28">
        <v>188</v>
      </c>
      <c r="C192" s="1">
        <f>30000000+INDEX(编号表!$B:$B,MATCH(G192,编号表!$A:$A,0))*100000+INDEX(编号表!$F:$F,MATCH(H192,编号表!$E:$E,0))*1000+INDEX(编号表!$D:$D,MATCH(F192,编号表!$C:$C,0))*10000+E192</f>
        <v>31531008</v>
      </c>
      <c r="D192" s="23" t="s">
        <v>250</v>
      </c>
      <c r="E192" s="23">
        <v>8</v>
      </c>
      <c r="F192" s="23" t="s">
        <v>231</v>
      </c>
      <c r="G192" s="23" t="s">
        <v>61</v>
      </c>
      <c r="H192" s="23" t="s">
        <v>43</v>
      </c>
      <c r="I192" s="23"/>
      <c r="J192" s="23" t="s">
        <v>74</v>
      </c>
      <c r="K192" s="23"/>
      <c r="L192" s="29">
        <v>0</v>
      </c>
      <c r="M192" s="29">
        <v>-2</v>
      </c>
      <c r="N192" s="29"/>
      <c r="O192" s="29">
        <v>3585</v>
      </c>
      <c r="P192" s="29">
        <v>1973</v>
      </c>
      <c r="Q192" s="29">
        <v>0</v>
      </c>
      <c r="R192" s="30">
        <v>420</v>
      </c>
    </row>
    <row r="193" spans="1:18">
      <c r="A193" s="27"/>
      <c r="B193" s="28">
        <v>189</v>
      </c>
      <c r="C193" s="1">
        <f>30000000+INDEX(编号表!$B:$B,MATCH(G193,编号表!$A:$A,0))*100000+INDEX(编号表!$F:$F,MATCH(H193,编号表!$E:$E,0))*1000+INDEX(编号表!$D:$D,MATCH(F193,编号表!$C:$C,0))*10000+E193</f>
        <v>31531009</v>
      </c>
      <c r="D193" s="23" t="s">
        <v>251</v>
      </c>
      <c r="E193" s="23">
        <v>9</v>
      </c>
      <c r="F193" s="23" t="s">
        <v>231</v>
      </c>
      <c r="G193" s="23" t="s">
        <v>61</v>
      </c>
      <c r="H193" s="23" t="s">
        <v>43</v>
      </c>
      <c r="I193" s="23"/>
      <c r="J193" s="23" t="s">
        <v>74</v>
      </c>
      <c r="K193" s="23"/>
      <c r="L193" s="29">
        <v>0</v>
      </c>
      <c r="M193" s="29">
        <v>1</v>
      </c>
      <c r="N193" s="29"/>
      <c r="O193" s="29">
        <v>3399</v>
      </c>
      <c r="P193" s="29">
        <v>1224</v>
      </c>
      <c r="Q193" s="29">
        <v>0</v>
      </c>
      <c r="R193" s="30">
        <v>585</v>
      </c>
    </row>
    <row r="194" spans="1:18">
      <c r="A194" s="27"/>
      <c r="B194" s="28">
        <v>190</v>
      </c>
      <c r="C194" s="1">
        <f>30000000+INDEX(编号表!$B:$B,MATCH(G194,编号表!$A:$A,0))*100000+INDEX(编号表!$F:$F,MATCH(H194,编号表!$E:$E,0))*1000+INDEX(编号表!$D:$D,MATCH(F194,编号表!$C:$C,0))*10000+E194</f>
        <v>31431000</v>
      </c>
      <c r="D194" s="23" t="s">
        <v>252</v>
      </c>
      <c r="E194" s="23">
        <v>0</v>
      </c>
      <c r="F194" s="23" t="s">
        <v>231</v>
      </c>
      <c r="G194" s="23" t="s">
        <v>77</v>
      </c>
      <c r="H194" s="23" t="s">
        <v>43</v>
      </c>
      <c r="I194" s="23"/>
      <c r="J194" s="23"/>
      <c r="K194" s="23"/>
      <c r="L194" s="29">
        <v>0</v>
      </c>
      <c r="M194" s="29">
        <v>0</v>
      </c>
      <c r="N194" s="29"/>
      <c r="O194" s="29">
        <v>3399</v>
      </c>
      <c r="P194" s="29">
        <v>952</v>
      </c>
      <c r="Q194" s="29">
        <v>0</v>
      </c>
      <c r="R194" s="30">
        <v>690</v>
      </c>
    </row>
    <row r="195" spans="1:18">
      <c r="A195" s="27"/>
      <c r="B195" s="28">
        <v>191</v>
      </c>
      <c r="C195" s="1">
        <f>30000000+INDEX(编号表!$B:$B,MATCH(G195,编号表!$A:$A,0))*100000+INDEX(编号表!$F:$F,MATCH(H195,编号表!$E:$E,0))*1000+INDEX(编号表!$D:$D,MATCH(F195,编号表!$C:$C,0))*10000+E195</f>
        <v>31431001</v>
      </c>
      <c r="D195" s="23" t="s">
        <v>253</v>
      </c>
      <c r="E195" s="23">
        <v>1</v>
      </c>
      <c r="F195" s="23" t="s">
        <v>231</v>
      </c>
      <c r="G195" s="23" t="s">
        <v>77</v>
      </c>
      <c r="H195" s="23" t="s">
        <v>43</v>
      </c>
      <c r="I195" s="23"/>
      <c r="J195" s="23"/>
      <c r="K195" s="23"/>
      <c r="L195" s="29">
        <v>0</v>
      </c>
      <c r="M195" s="29">
        <v>0</v>
      </c>
      <c r="N195" s="29"/>
      <c r="O195" s="29">
        <v>3831</v>
      </c>
      <c r="P195" s="29">
        <v>3142</v>
      </c>
      <c r="Q195" s="29">
        <v>0</v>
      </c>
      <c r="R195" s="30">
        <v>240</v>
      </c>
    </row>
    <row r="196" spans="1:18">
      <c r="A196" s="27"/>
      <c r="B196" s="28">
        <v>192</v>
      </c>
      <c r="C196" s="1">
        <f>30000000+INDEX(编号表!$B:$B,MATCH(G196,编号表!$A:$A,0))*100000+INDEX(编号表!$F:$F,MATCH(H196,编号表!$E:$E,0))*1000+INDEX(编号表!$D:$D,MATCH(F196,编号表!$C:$C,0))*10000+E196</f>
        <v>31431002</v>
      </c>
      <c r="D196" s="23" t="s">
        <v>254</v>
      </c>
      <c r="E196" s="23">
        <v>2</v>
      </c>
      <c r="F196" s="23" t="s">
        <v>231</v>
      </c>
      <c r="G196" s="23" t="s">
        <v>77</v>
      </c>
      <c r="H196" s="23" t="s">
        <v>43</v>
      </c>
      <c r="I196" s="23"/>
      <c r="J196" s="23"/>
      <c r="K196" s="23"/>
      <c r="L196" s="29">
        <v>0</v>
      </c>
      <c r="M196" s="29">
        <v>1</v>
      </c>
      <c r="N196" s="29"/>
      <c r="O196" s="29">
        <v>3708</v>
      </c>
      <c r="P196" s="29">
        <v>1039</v>
      </c>
      <c r="Q196" s="29">
        <v>0</v>
      </c>
      <c r="R196" s="30">
        <v>1260</v>
      </c>
    </row>
    <row r="197" spans="1:18">
      <c r="A197" s="27"/>
      <c r="B197" s="28">
        <v>193</v>
      </c>
      <c r="C197" s="1">
        <f>30000000+INDEX(编号表!$B:$B,MATCH(G197,编号表!$A:$A,0))*100000+INDEX(编号表!$F:$F,MATCH(H197,编号表!$E:$E,0))*1000+INDEX(编号表!$D:$D,MATCH(F197,编号表!$C:$C,0))*10000+E197</f>
        <v>31431003</v>
      </c>
      <c r="D197" s="23" t="s">
        <v>255</v>
      </c>
      <c r="E197" s="23">
        <v>3</v>
      </c>
      <c r="F197" s="23" t="s">
        <v>231</v>
      </c>
      <c r="G197" s="23" t="s">
        <v>77</v>
      </c>
      <c r="H197" s="23" t="s">
        <v>43</v>
      </c>
      <c r="I197" s="23"/>
      <c r="J197" s="23"/>
      <c r="K197" s="23"/>
      <c r="L197" s="29">
        <v>0</v>
      </c>
      <c r="M197" s="29">
        <v>4</v>
      </c>
      <c r="N197" s="29"/>
      <c r="O197" s="29">
        <v>3708</v>
      </c>
      <c r="P197" s="29">
        <v>3041</v>
      </c>
      <c r="Q197" s="29">
        <v>0</v>
      </c>
      <c r="R197" s="30">
        <v>780</v>
      </c>
    </row>
    <row r="198" spans="1:18">
      <c r="A198" s="27"/>
      <c r="B198" s="28">
        <v>194</v>
      </c>
      <c r="C198" s="1">
        <f>30000000+INDEX(编号表!$B:$B,MATCH(G198,编号表!$A:$A,0))*100000+INDEX(编号表!$F:$F,MATCH(H198,编号表!$E:$E,0))*1000+INDEX(编号表!$D:$D,MATCH(F198,编号表!$C:$C,0))*10000+E198</f>
        <v>31631000</v>
      </c>
      <c r="D198" s="23" t="s">
        <v>256</v>
      </c>
      <c r="E198" s="23">
        <v>0</v>
      </c>
      <c r="F198" s="23" t="s">
        <v>231</v>
      </c>
      <c r="G198" s="23" t="s">
        <v>82</v>
      </c>
      <c r="H198" s="23" t="s">
        <v>43</v>
      </c>
      <c r="I198" s="23"/>
      <c r="J198" s="23"/>
      <c r="K198" s="23"/>
      <c r="L198" s="29">
        <v>7</v>
      </c>
      <c r="M198" s="29">
        <v>0</v>
      </c>
      <c r="N198" s="29"/>
      <c r="O198" s="29">
        <v>0</v>
      </c>
      <c r="P198" s="29">
        <v>0</v>
      </c>
      <c r="Q198" s="29">
        <v>0</v>
      </c>
      <c r="R198" s="30">
        <v>360</v>
      </c>
    </row>
    <row r="199" spans="1:18">
      <c r="A199" s="27"/>
      <c r="B199" s="28">
        <v>195</v>
      </c>
      <c r="C199" s="1">
        <f>30000000+INDEX(编号表!$B:$B,MATCH(G199,编号表!$A:$A,0))*100000+INDEX(编号表!$F:$F,MATCH(H199,编号表!$E:$E,0))*1000+INDEX(编号表!$D:$D,MATCH(F199,编号表!$C:$C,0))*10000+E199</f>
        <v>31631001</v>
      </c>
      <c r="D199" s="23" t="s">
        <v>257</v>
      </c>
      <c r="E199" s="23">
        <v>1</v>
      </c>
      <c r="F199" s="23" t="s">
        <v>231</v>
      </c>
      <c r="G199" s="23" t="s">
        <v>82</v>
      </c>
      <c r="H199" s="23" t="s">
        <v>43</v>
      </c>
      <c r="I199" s="23"/>
      <c r="J199" s="23"/>
      <c r="K199" s="23"/>
      <c r="L199" s="29">
        <v>8</v>
      </c>
      <c r="M199" s="29">
        <v>0</v>
      </c>
      <c r="N199" s="29"/>
      <c r="O199" s="29">
        <v>0</v>
      </c>
      <c r="P199" s="29">
        <v>0</v>
      </c>
      <c r="Q199" s="29">
        <v>0</v>
      </c>
      <c r="R199" s="30">
        <v>660</v>
      </c>
    </row>
    <row r="200" spans="1:18">
      <c r="A200" s="27"/>
      <c r="B200" s="28">
        <v>196</v>
      </c>
      <c r="C200" s="1">
        <f>30000000+INDEX(编号表!$B:$B,MATCH(G200,编号表!$A:$A,0))*100000+INDEX(编号表!$F:$F,MATCH(H200,编号表!$E:$E,0))*1000+INDEX(编号表!$D:$D,MATCH(F200,编号表!$C:$C,0))*10000+E200</f>
        <v>31631002</v>
      </c>
      <c r="D200" s="23" t="s">
        <v>258</v>
      </c>
      <c r="E200" s="23">
        <v>2</v>
      </c>
      <c r="F200" s="23" t="s">
        <v>231</v>
      </c>
      <c r="G200" s="23" t="s">
        <v>82</v>
      </c>
      <c r="H200" s="23" t="s">
        <v>43</v>
      </c>
      <c r="I200" s="23"/>
      <c r="J200" s="23"/>
      <c r="K200" s="23"/>
      <c r="L200" s="29">
        <v>9</v>
      </c>
      <c r="M200" s="29">
        <v>0</v>
      </c>
      <c r="N200" s="29"/>
      <c r="O200" s="29">
        <v>0</v>
      </c>
      <c r="P200" s="29">
        <v>0</v>
      </c>
      <c r="Q200" s="29">
        <v>0</v>
      </c>
      <c r="R200" s="30">
        <v>1020</v>
      </c>
    </row>
    <row r="201" spans="1:18">
      <c r="A201" s="27"/>
      <c r="B201" s="28">
        <v>197</v>
      </c>
      <c r="C201" s="1">
        <f>30000000+INDEX(编号表!$B:$B,MATCH(G201,编号表!$A:$A,0))*100000+INDEX(编号表!$F:$F,MATCH(H201,编号表!$E:$E,0))*1000+INDEX(编号表!$D:$D,MATCH(F201,编号表!$C:$C,0))*10000+E201</f>
        <v>31232000</v>
      </c>
      <c r="D201" s="23" t="s">
        <v>259</v>
      </c>
      <c r="E201" s="23">
        <v>0</v>
      </c>
      <c r="F201" s="23" t="s">
        <v>231</v>
      </c>
      <c r="G201" s="23" t="s">
        <v>42</v>
      </c>
      <c r="H201" s="23" t="s">
        <v>86</v>
      </c>
      <c r="I201" s="23"/>
      <c r="J201" s="23"/>
      <c r="K201" s="23"/>
      <c r="L201" s="29">
        <v>0</v>
      </c>
      <c r="M201" s="29">
        <v>0</v>
      </c>
      <c r="N201" s="29"/>
      <c r="O201" s="29">
        <v>10800</v>
      </c>
      <c r="P201" s="29">
        <v>5762</v>
      </c>
      <c r="Q201" s="29">
        <v>54000</v>
      </c>
      <c r="R201" s="30">
        <v>972</v>
      </c>
    </row>
    <row r="202" spans="1:18">
      <c r="A202" s="27"/>
      <c r="B202" s="28">
        <v>198</v>
      </c>
      <c r="C202" s="1">
        <f>30000000+INDEX(编号表!$B:$B,MATCH(G202,编号表!$A:$A,0))*100000+INDEX(编号表!$F:$F,MATCH(H202,编号表!$E:$E,0))*1000+INDEX(编号表!$D:$D,MATCH(F202,编号表!$C:$C,0))*10000+E202</f>
        <v>31332000</v>
      </c>
      <c r="D202" s="23" t="s">
        <v>260</v>
      </c>
      <c r="E202" s="23">
        <v>0</v>
      </c>
      <c r="F202" s="23" t="s">
        <v>231</v>
      </c>
      <c r="G202" s="23" t="s">
        <v>45</v>
      </c>
      <c r="H202" s="23" t="s">
        <v>86</v>
      </c>
      <c r="I202" s="23" t="s">
        <v>46</v>
      </c>
      <c r="J202" s="23"/>
      <c r="K202" s="23"/>
      <c r="L202" s="29">
        <v>0</v>
      </c>
      <c r="M202" s="29">
        <v>-2</v>
      </c>
      <c r="N202" s="29"/>
      <c r="O202" s="29">
        <v>6453</v>
      </c>
      <c r="P202" s="29">
        <v>3444</v>
      </c>
      <c r="Q202" s="29">
        <v>0</v>
      </c>
      <c r="R202" s="30">
        <v>756</v>
      </c>
    </row>
    <row r="203" spans="1:18">
      <c r="A203" s="27"/>
      <c r="B203" s="28">
        <v>199</v>
      </c>
      <c r="C203" s="1">
        <f>30000000+INDEX(编号表!$B:$B,MATCH(G203,编号表!$A:$A,0))*100000+INDEX(编号表!$F:$F,MATCH(H203,编号表!$E:$E,0))*1000+INDEX(编号表!$D:$D,MATCH(F203,编号表!$C:$C,0))*10000+E203</f>
        <v>31332001</v>
      </c>
      <c r="D203" s="23" t="s">
        <v>261</v>
      </c>
      <c r="E203" s="23">
        <v>1</v>
      </c>
      <c r="F203" s="23" t="s">
        <v>231</v>
      </c>
      <c r="G203" s="23" t="s">
        <v>45</v>
      </c>
      <c r="H203" s="23" t="s">
        <v>86</v>
      </c>
      <c r="I203" s="23" t="s">
        <v>46</v>
      </c>
      <c r="J203" s="23"/>
      <c r="K203" s="23"/>
      <c r="L203" s="29">
        <v>0</v>
      </c>
      <c r="M203" s="29">
        <v>3</v>
      </c>
      <c r="N203" s="29"/>
      <c r="O203" s="29">
        <v>6895</v>
      </c>
      <c r="P203" s="29">
        <v>4549</v>
      </c>
      <c r="Q203" s="29">
        <v>0</v>
      </c>
      <c r="R203" s="30">
        <v>972</v>
      </c>
    </row>
    <row r="204" spans="1:18">
      <c r="A204" s="27"/>
      <c r="B204" s="28">
        <v>200</v>
      </c>
      <c r="C204" s="1">
        <f>30000000+INDEX(编号表!$B:$B,MATCH(G204,编号表!$A:$A,0))*100000+INDEX(编号表!$F:$F,MATCH(H204,编号表!$E:$E,0))*1000+INDEX(编号表!$D:$D,MATCH(F204,编号表!$C:$C,0))*10000+E204</f>
        <v>31332002</v>
      </c>
      <c r="D204" s="23" t="s">
        <v>262</v>
      </c>
      <c r="E204" s="23">
        <v>2</v>
      </c>
      <c r="F204" s="23" t="s">
        <v>231</v>
      </c>
      <c r="G204" s="23" t="s">
        <v>45</v>
      </c>
      <c r="H204" s="23" t="s">
        <v>86</v>
      </c>
      <c r="I204" s="23" t="s">
        <v>49</v>
      </c>
      <c r="J204" s="23"/>
      <c r="K204" s="23"/>
      <c r="L204" s="29">
        <v>0</v>
      </c>
      <c r="M204" s="29">
        <v>-1</v>
      </c>
      <c r="N204" s="29"/>
      <c r="O204" s="29">
        <v>6118</v>
      </c>
      <c r="P204" s="29">
        <v>2137</v>
      </c>
      <c r="Q204" s="29">
        <v>0</v>
      </c>
      <c r="R204" s="30">
        <v>1053</v>
      </c>
    </row>
    <row r="205" spans="1:18">
      <c r="A205" s="27"/>
      <c r="B205" s="28">
        <v>201</v>
      </c>
      <c r="C205" s="1">
        <f>30000000+INDEX(编号表!$B:$B,MATCH(G205,编号表!$A:$A,0))*100000+INDEX(编号表!$F:$F,MATCH(H205,编号表!$E:$E,0))*1000+INDEX(编号表!$D:$D,MATCH(F205,编号表!$C:$C,0))*10000+E205</f>
        <v>31332003</v>
      </c>
      <c r="D205" s="23" t="s">
        <v>263</v>
      </c>
      <c r="E205" s="23">
        <v>3</v>
      </c>
      <c r="F205" s="23" t="s">
        <v>231</v>
      </c>
      <c r="G205" s="23" t="s">
        <v>45</v>
      </c>
      <c r="H205" s="23" t="s">
        <v>86</v>
      </c>
      <c r="I205" s="23" t="s">
        <v>49</v>
      </c>
      <c r="J205" s="23"/>
      <c r="K205" s="23"/>
      <c r="L205" s="29">
        <v>0</v>
      </c>
      <c r="M205" s="29">
        <v>2</v>
      </c>
      <c r="N205" s="29"/>
      <c r="O205" s="29">
        <v>6453</v>
      </c>
      <c r="P205" s="29">
        <v>5134</v>
      </c>
      <c r="Q205" s="29">
        <v>0</v>
      </c>
      <c r="R205" s="30">
        <v>324</v>
      </c>
    </row>
    <row r="206" spans="1:18">
      <c r="A206" s="27"/>
      <c r="B206" s="28">
        <v>202</v>
      </c>
      <c r="C206" s="1">
        <f>30000000+INDEX(编号表!$B:$B,MATCH(G206,编号表!$A:$A,0))*100000+INDEX(编号表!$F:$F,MATCH(H206,编号表!$E:$E,0))*1000+INDEX(编号表!$D:$D,MATCH(F206,编号表!$C:$C,0))*10000+E206</f>
        <v>31332004</v>
      </c>
      <c r="D206" s="23" t="s">
        <v>264</v>
      </c>
      <c r="E206" s="23">
        <v>4</v>
      </c>
      <c r="F206" s="23" t="s">
        <v>231</v>
      </c>
      <c r="G206" s="23" t="s">
        <v>45</v>
      </c>
      <c r="H206" s="23" t="s">
        <v>86</v>
      </c>
      <c r="I206" s="23" t="s">
        <v>52</v>
      </c>
      <c r="J206" s="23"/>
      <c r="K206" s="23"/>
      <c r="L206" s="29">
        <v>0</v>
      </c>
      <c r="M206" s="29">
        <v>-1</v>
      </c>
      <c r="N206" s="29"/>
      <c r="O206" s="29">
        <v>6453</v>
      </c>
      <c r="P206" s="29">
        <v>4258</v>
      </c>
      <c r="Q206" s="29">
        <v>0</v>
      </c>
      <c r="R206" s="30">
        <v>783</v>
      </c>
    </row>
    <row r="207" spans="1:18">
      <c r="A207" s="27"/>
      <c r="B207" s="28">
        <v>203</v>
      </c>
      <c r="C207" s="1">
        <f>30000000+INDEX(编号表!$B:$B,MATCH(G207,编号表!$A:$A,0))*100000+INDEX(编号表!$F:$F,MATCH(H207,编号表!$E:$E,0))*1000+INDEX(编号表!$D:$D,MATCH(F207,编号表!$C:$C,0))*10000+E207</f>
        <v>31332005</v>
      </c>
      <c r="D207" s="23" t="inlineStr">
        <is>
          <t xml:space="preserve">十载沸泉苔·灵株</t>
        </is>
      </c>
      <c r="E207" s="23">
        <v>5</v>
      </c>
      <c r="F207" s="23" t="s">
        <v>231</v>
      </c>
      <c r="G207" s="23" t="s">
        <v>45</v>
      </c>
      <c r="H207" s="23" t="s">
        <v>86</v>
      </c>
      <c r="I207" s="23" t="s">
        <v>52</v>
      </c>
      <c r="J207" s="23"/>
      <c r="K207" s="23"/>
      <c r="L207" s="29">
        <v>0</v>
      </c>
      <c r="M207" s="29">
        <v>4</v>
      </c>
      <c r="N207" s="29"/>
      <c r="O207" s="29">
        <v>6674</v>
      </c>
      <c r="P207" s="29">
        <v>5310</v>
      </c>
      <c r="Q207" s="29">
        <v>0</v>
      </c>
      <c r="R207" s="30">
        <v>1404</v>
      </c>
    </row>
    <row r="208" spans="1:18">
      <c r="A208" s="27"/>
      <c r="B208" s="28">
        <v>204</v>
      </c>
      <c r="C208" s="1">
        <f>30000000+INDEX(编号表!$B:$B,MATCH(G208,编号表!$A:$A,0))*100000+INDEX(编号表!$F:$F,MATCH(H208,编号表!$E:$E,0))*1000+INDEX(编号表!$D:$D,MATCH(F208,编号表!$C:$C,0))*10000+E208</f>
        <v>31332006</v>
      </c>
      <c r="D208" s="23" t="inlineStr">
        <is>
          <t xml:space="preserve">十载丹露花·灵株</t>
        </is>
      </c>
      <c r="E208" s="23">
        <v>6</v>
      </c>
      <c r="F208" s="23" t="s">
        <v>231</v>
      </c>
      <c r="G208" s="23" t="s">
        <v>45</v>
      </c>
      <c r="H208" s="23" t="s">
        <v>86</v>
      </c>
      <c r="I208" s="23" t="s">
        <v>55</v>
      </c>
      <c r="J208" s="23"/>
      <c r="K208" s="23"/>
      <c r="L208" s="29">
        <v>0</v>
      </c>
      <c r="M208" s="29">
        <v>-1</v>
      </c>
      <c r="N208" s="29"/>
      <c r="O208" s="29">
        <v>6674</v>
      </c>
      <c r="P208" s="29">
        <v>1814</v>
      </c>
      <c r="Q208" s="29">
        <v>0</v>
      </c>
      <c r="R208" s="30">
        <v>2268</v>
      </c>
    </row>
    <row r="209" spans="1:18">
      <c r="A209" s="27"/>
      <c r="B209" s="28">
        <v>205</v>
      </c>
      <c r="C209" s="1">
        <f>30000000+INDEX(编号表!$B:$B,MATCH(G209,编号表!$A:$A,0))*100000+INDEX(编号表!$F:$F,MATCH(H209,编号表!$E:$E,0))*1000+INDEX(编号表!$D:$D,MATCH(F209,编号表!$C:$C,0))*10000+E209</f>
        <v>31332007</v>
      </c>
      <c r="D209" s="23" t="s">
        <v>267</v>
      </c>
      <c r="E209" s="23">
        <v>7</v>
      </c>
      <c r="F209" s="23" t="s">
        <v>231</v>
      </c>
      <c r="G209" s="23" t="s">
        <v>45</v>
      </c>
      <c r="H209" s="23" t="s">
        <v>86</v>
      </c>
      <c r="I209" s="23" t="s">
        <v>55</v>
      </c>
      <c r="J209" s="23"/>
      <c r="K209" s="23"/>
      <c r="L209" s="29">
        <v>0</v>
      </c>
      <c r="M209" s="29">
        <v>2</v>
      </c>
      <c r="N209" s="29"/>
      <c r="O209" s="29">
        <v>6453</v>
      </c>
      <c r="P209" s="29">
        <v>5134</v>
      </c>
      <c r="Q209" s="29">
        <v>0</v>
      </c>
      <c r="R209" s="30">
        <v>324</v>
      </c>
    </row>
    <row r="210" spans="1:18">
      <c r="A210" s="27"/>
      <c r="B210" s="28">
        <v>206</v>
      </c>
      <c r="C210" s="1">
        <f>30000000+INDEX(编号表!$B:$B,MATCH(G210,编号表!$A:$A,0))*100000+INDEX(编号表!$F:$F,MATCH(H210,编号表!$E:$E,0))*1000+INDEX(编号表!$D:$D,MATCH(F210,编号表!$C:$C,0))*10000+E210</f>
        <v>31332008</v>
      </c>
      <c r="D210" s="23" t="s">
        <v>268</v>
      </c>
      <c r="E210" s="23">
        <v>8</v>
      </c>
      <c r="F210" s="23" t="s">
        <v>231</v>
      </c>
      <c r="G210" s="23" t="s">
        <v>45</v>
      </c>
      <c r="H210" s="23" t="s">
        <v>86</v>
      </c>
      <c r="I210" s="23" t="s">
        <v>58</v>
      </c>
      <c r="J210" s="23"/>
      <c r="K210" s="23"/>
      <c r="L210" s="29">
        <v>0</v>
      </c>
      <c r="M210" s="29">
        <v>-2</v>
      </c>
      <c r="N210" s="29"/>
      <c r="O210" s="29">
        <v>6453</v>
      </c>
      <c r="P210" s="29">
        <v>3444</v>
      </c>
      <c r="Q210" s="29">
        <v>0</v>
      </c>
      <c r="R210" s="30">
        <v>756</v>
      </c>
    </row>
    <row r="211" spans="1:18">
      <c r="A211" s="27"/>
      <c r="B211" s="28">
        <v>207</v>
      </c>
      <c r="C211" s="1">
        <f>30000000+INDEX(编号表!$B:$B,MATCH(G211,编号表!$A:$A,0))*100000+INDEX(编号表!$F:$F,MATCH(H211,编号表!$E:$E,0))*1000+INDEX(编号表!$D:$D,MATCH(F211,编号表!$C:$C,0))*10000+E211</f>
        <v>31332009</v>
      </c>
      <c r="D211" s="23" t="s">
        <v>269</v>
      </c>
      <c r="E211" s="23">
        <v>9</v>
      </c>
      <c r="F211" s="23" t="s">
        <v>231</v>
      </c>
      <c r="G211" s="23" t="s">
        <v>45</v>
      </c>
      <c r="H211" s="23" t="s">
        <v>86</v>
      </c>
      <c r="I211" s="23" t="s">
        <v>58</v>
      </c>
      <c r="J211" s="23"/>
      <c r="K211" s="23"/>
      <c r="L211" s="29">
        <v>0</v>
      </c>
      <c r="M211" s="29">
        <v>1</v>
      </c>
      <c r="N211" s="29"/>
      <c r="O211" s="29">
        <v>6118</v>
      </c>
      <c r="P211" s="29">
        <v>2137</v>
      </c>
      <c r="Q211" s="29">
        <v>0</v>
      </c>
      <c r="R211" s="30">
        <v>1053</v>
      </c>
    </row>
    <row r="212" spans="1:18">
      <c r="A212" s="27"/>
      <c r="B212" s="28">
        <v>208</v>
      </c>
      <c r="C212" s="1">
        <f>30000000+INDEX(编号表!$B:$B,MATCH(G212,编号表!$A:$A,0))*100000+INDEX(编号表!$F:$F,MATCH(H212,编号表!$E:$E,0))*1000+INDEX(编号表!$D:$D,MATCH(F212,编号表!$C:$C,0))*10000+E212</f>
        <v>31532000</v>
      </c>
      <c r="D212" s="23" t="inlineStr">
        <is>
          <t xml:space="preserve">十载霜辛草·灵株</t>
        </is>
      </c>
      <c r="E212" s="23">
        <v>0</v>
      </c>
      <c r="F212" s="23" t="s">
        <v>231</v>
      </c>
      <c r="G212" s="23" t="s">
        <v>61</v>
      </c>
      <c r="H212" s="23" t="s">
        <v>86</v>
      </c>
      <c r="I212" s="23"/>
      <c r="J212" s="23" t="s">
        <v>62</v>
      </c>
      <c r="K212" s="23"/>
      <c r="L212" s="29">
        <v>0</v>
      </c>
      <c r="M212" s="29">
        <v>-2</v>
      </c>
      <c r="N212" s="29"/>
      <c r="O212" s="29">
        <v>6453</v>
      </c>
      <c r="P212" s="29">
        <v>3444</v>
      </c>
      <c r="Q212" s="29">
        <v>0</v>
      </c>
      <c r="R212" s="30">
        <v>756</v>
      </c>
    </row>
    <row r="213" spans="1:18">
      <c r="A213" s="27"/>
      <c r="B213" s="28">
        <v>209</v>
      </c>
      <c r="C213" s="1">
        <f>30000000+INDEX(编号表!$B:$B,MATCH(G213,编号表!$A:$A,0))*100000+INDEX(编号表!$F:$F,MATCH(H213,编号表!$E:$E,0))*1000+INDEX(编号表!$D:$D,MATCH(F213,编号表!$C:$C,0))*10000+E213</f>
        <v>31532001</v>
      </c>
      <c r="D213" s="23" t="s">
        <v>271</v>
      </c>
      <c r="E213" s="23">
        <v>1</v>
      </c>
      <c r="F213" s="23" t="s">
        <v>231</v>
      </c>
      <c r="G213" s="23" t="s">
        <v>61</v>
      </c>
      <c r="H213" s="23" t="s">
        <v>86</v>
      </c>
      <c r="I213" s="23"/>
      <c r="J213" s="23" t="s">
        <v>62</v>
      </c>
      <c r="K213" s="23"/>
      <c r="L213" s="29">
        <v>0</v>
      </c>
      <c r="M213" s="29">
        <v>3</v>
      </c>
      <c r="N213" s="29"/>
      <c r="O213" s="29">
        <v>6895</v>
      </c>
      <c r="P213" s="29">
        <v>4549</v>
      </c>
      <c r="Q213" s="29">
        <v>0</v>
      </c>
      <c r="R213" s="30">
        <v>972</v>
      </c>
    </row>
    <row r="214" spans="1:18">
      <c r="A214" s="27"/>
      <c r="B214" s="28">
        <v>210</v>
      </c>
      <c r="C214" s="1">
        <f>30000000+INDEX(编号表!$B:$B,MATCH(G214,编号表!$A:$A,0))*100000+INDEX(编号表!$F:$F,MATCH(H214,编号表!$E:$E,0))*1000+INDEX(编号表!$D:$D,MATCH(F214,编号表!$C:$C,0))*10000+E214</f>
        <v>31532002</v>
      </c>
      <c r="D214" s="23" t="s">
        <v>272</v>
      </c>
      <c r="E214" s="23">
        <v>2</v>
      </c>
      <c r="F214" s="23" t="s">
        <v>231</v>
      </c>
      <c r="G214" s="23" t="s">
        <v>61</v>
      </c>
      <c r="H214" s="23" t="s">
        <v>86</v>
      </c>
      <c r="I214" s="23"/>
      <c r="J214" s="23" t="s">
        <v>65</v>
      </c>
      <c r="K214" s="23"/>
      <c r="L214" s="29">
        <v>0</v>
      </c>
      <c r="M214" s="29">
        <v>-1</v>
      </c>
      <c r="N214" s="29"/>
      <c r="O214" s="29">
        <v>6118</v>
      </c>
      <c r="P214" s="29">
        <v>2137</v>
      </c>
      <c r="Q214" s="29">
        <v>0</v>
      </c>
      <c r="R214" s="30">
        <v>1053</v>
      </c>
    </row>
    <row r="215" spans="1:18">
      <c r="A215" s="27"/>
      <c r="B215" s="28">
        <v>211</v>
      </c>
      <c r="C215" s="1">
        <f>30000000+INDEX(编号表!$B:$B,MATCH(G215,编号表!$A:$A,0))*100000+INDEX(编号表!$F:$F,MATCH(H215,编号表!$E:$E,0))*1000+INDEX(编号表!$D:$D,MATCH(F215,编号表!$C:$C,0))*10000+E215</f>
        <v>31532003</v>
      </c>
      <c r="D215" s="23" t="s">
        <v>273</v>
      </c>
      <c r="E215" s="23">
        <v>3</v>
      </c>
      <c r="F215" s="23" t="s">
        <v>231</v>
      </c>
      <c r="G215" s="23" t="s">
        <v>61</v>
      </c>
      <c r="H215" s="23" t="s">
        <v>86</v>
      </c>
      <c r="I215" s="23"/>
      <c r="J215" s="23" t="s">
        <v>65</v>
      </c>
      <c r="K215" s="23"/>
      <c r="L215" s="29">
        <v>0</v>
      </c>
      <c r="M215" s="29">
        <v>2</v>
      </c>
      <c r="N215" s="29"/>
      <c r="O215" s="29">
        <v>6453</v>
      </c>
      <c r="P215" s="29">
        <v>5134</v>
      </c>
      <c r="Q215" s="29">
        <v>0</v>
      </c>
      <c r="R215" s="30">
        <v>324</v>
      </c>
    </row>
    <row r="216" spans="1:18">
      <c r="A216" s="27"/>
      <c r="B216" s="28">
        <v>212</v>
      </c>
      <c r="C216" s="1">
        <f>30000000+INDEX(编号表!$B:$B,MATCH(G216,编号表!$A:$A,0))*100000+INDEX(编号表!$F:$F,MATCH(H216,编号表!$E:$E,0))*1000+INDEX(编号表!$D:$D,MATCH(F216,编号表!$C:$C,0))*10000+E216</f>
        <v>31532004</v>
      </c>
      <c r="D216" s="23" t="s">
        <v>274</v>
      </c>
      <c r="E216" s="23">
        <v>4</v>
      </c>
      <c r="F216" s="23" t="s">
        <v>231</v>
      </c>
      <c r="G216" s="23" t="s">
        <v>61</v>
      </c>
      <c r="H216" s="23" t="s">
        <v>86</v>
      </c>
      <c r="I216" s="23"/>
      <c r="J216" s="23" t="s">
        <v>68</v>
      </c>
      <c r="K216" s="23"/>
      <c r="L216" s="29">
        <v>0</v>
      </c>
      <c r="M216" s="29">
        <v>-1</v>
      </c>
      <c r="N216" s="29"/>
      <c r="O216" s="29">
        <v>6453</v>
      </c>
      <c r="P216" s="29">
        <v>4258</v>
      </c>
      <c r="Q216" s="29">
        <v>0</v>
      </c>
      <c r="R216" s="30">
        <v>783</v>
      </c>
    </row>
    <row r="217" spans="1:18">
      <c r="A217" s="27"/>
      <c r="B217" s="28">
        <v>213</v>
      </c>
      <c r="C217" s="1">
        <f>30000000+INDEX(编号表!$B:$B,MATCH(G217,编号表!$A:$A,0))*100000+INDEX(编号表!$F:$F,MATCH(H217,编号表!$E:$E,0))*1000+INDEX(编号表!$D:$D,MATCH(F217,编号表!$C:$C,0))*10000+E217</f>
        <v>31532005</v>
      </c>
      <c r="D217" s="23" t="s">
        <v>275</v>
      </c>
      <c r="E217" s="23">
        <v>5</v>
      </c>
      <c r="F217" s="23" t="s">
        <v>231</v>
      </c>
      <c r="G217" s="23" t="s">
        <v>61</v>
      </c>
      <c r="H217" s="23" t="s">
        <v>86</v>
      </c>
      <c r="I217" s="23"/>
      <c r="J217" s="23" t="s">
        <v>68</v>
      </c>
      <c r="K217" s="23"/>
      <c r="L217" s="29">
        <v>0</v>
      </c>
      <c r="M217" s="29">
        <v>4</v>
      </c>
      <c r="N217" s="29"/>
      <c r="O217" s="29">
        <v>6674</v>
      </c>
      <c r="P217" s="29">
        <v>5310</v>
      </c>
      <c r="Q217" s="29">
        <v>0</v>
      </c>
      <c r="R217" s="30">
        <v>1404</v>
      </c>
    </row>
    <row r="218" spans="1:18">
      <c r="A218" s="27"/>
      <c r="B218" s="28">
        <v>214</v>
      </c>
      <c r="C218" s="1">
        <f>30000000+INDEX(编号表!$B:$B,MATCH(G218,编号表!$A:$A,0))*100000+INDEX(编号表!$F:$F,MATCH(H218,编号表!$E:$E,0))*1000+INDEX(编号表!$D:$D,MATCH(F218,编号表!$C:$C,0))*10000+E218</f>
        <v>31532006</v>
      </c>
      <c r="D218" s="23" t="s">
        <v>276</v>
      </c>
      <c r="E218" s="23">
        <v>6</v>
      </c>
      <c r="F218" s="23" t="s">
        <v>231</v>
      </c>
      <c r="G218" s="23" t="s">
        <v>61</v>
      </c>
      <c r="H218" s="23" t="s">
        <v>86</v>
      </c>
      <c r="I218" s="23"/>
      <c r="J218" s="23" t="s">
        <v>71</v>
      </c>
      <c r="K218" s="23"/>
      <c r="L218" s="29">
        <v>0</v>
      </c>
      <c r="M218" s="29">
        <v>-1</v>
      </c>
      <c r="N218" s="29"/>
      <c r="O218" s="29">
        <v>6674</v>
      </c>
      <c r="P218" s="29">
        <v>1814</v>
      </c>
      <c r="Q218" s="29">
        <v>0</v>
      </c>
      <c r="R218" s="30">
        <v>2268</v>
      </c>
    </row>
    <row r="219" spans="1:18">
      <c r="A219" s="27"/>
      <c r="B219" s="28">
        <v>215</v>
      </c>
      <c r="C219" s="1">
        <f>30000000+INDEX(编号表!$B:$B,MATCH(G219,编号表!$A:$A,0))*100000+INDEX(编号表!$F:$F,MATCH(H219,编号表!$E:$E,0))*1000+INDEX(编号表!$D:$D,MATCH(F219,编号表!$C:$C,0))*10000+E219</f>
        <v>31532007</v>
      </c>
      <c r="D219" s="23" t="s">
        <v>277</v>
      </c>
      <c r="E219" s="23">
        <v>7</v>
      </c>
      <c r="F219" s="23" t="s">
        <v>231</v>
      </c>
      <c r="G219" s="23" t="s">
        <v>61</v>
      </c>
      <c r="H219" s="23" t="s">
        <v>86</v>
      </c>
      <c r="I219" s="23"/>
      <c r="J219" s="23" t="s">
        <v>71</v>
      </c>
      <c r="K219" s="23"/>
      <c r="L219" s="29">
        <v>0</v>
      </c>
      <c r="M219" s="29">
        <v>2</v>
      </c>
      <c r="N219" s="29"/>
      <c r="O219" s="29">
        <v>6453</v>
      </c>
      <c r="P219" s="29">
        <v>5134</v>
      </c>
      <c r="Q219" s="29">
        <v>0</v>
      </c>
      <c r="R219" s="30">
        <v>324</v>
      </c>
    </row>
    <row r="220" spans="1:18">
      <c r="A220" s="27"/>
      <c r="B220" s="28">
        <v>216</v>
      </c>
      <c r="C220" s="1">
        <f>30000000+INDEX(编号表!$B:$B,MATCH(G220,编号表!$A:$A,0))*100000+INDEX(编号表!$F:$F,MATCH(H220,编号表!$E:$E,0))*1000+INDEX(编号表!$D:$D,MATCH(F220,编号表!$C:$C,0))*10000+E220</f>
        <v>31532008</v>
      </c>
      <c r="D220" s="23" t="s">
        <v>278</v>
      </c>
      <c r="E220" s="23">
        <v>8</v>
      </c>
      <c r="F220" s="23" t="s">
        <v>231</v>
      </c>
      <c r="G220" s="23" t="s">
        <v>61</v>
      </c>
      <c r="H220" s="23" t="s">
        <v>86</v>
      </c>
      <c r="I220" s="23"/>
      <c r="J220" s="23" t="s">
        <v>74</v>
      </c>
      <c r="K220" s="23"/>
      <c r="L220" s="29">
        <v>0</v>
      </c>
      <c r="M220" s="29">
        <v>-2</v>
      </c>
      <c r="N220" s="29"/>
      <c r="O220" s="29">
        <v>6453</v>
      </c>
      <c r="P220" s="29">
        <v>3444</v>
      </c>
      <c r="Q220" s="29">
        <v>0</v>
      </c>
      <c r="R220" s="30">
        <v>756</v>
      </c>
    </row>
    <row r="221" spans="1:18">
      <c r="A221" s="27"/>
      <c r="B221" s="28">
        <v>217</v>
      </c>
      <c r="C221" s="1">
        <f>30000000+INDEX(编号表!$B:$B,MATCH(G221,编号表!$A:$A,0))*100000+INDEX(编号表!$F:$F,MATCH(H221,编号表!$E:$E,0))*1000+INDEX(编号表!$D:$D,MATCH(F221,编号表!$C:$C,0))*10000+E221</f>
        <v>31532009</v>
      </c>
      <c r="D221" s="23" t="s">
        <v>279</v>
      </c>
      <c r="E221" s="23">
        <v>9</v>
      </c>
      <c r="F221" s="23" t="s">
        <v>231</v>
      </c>
      <c r="G221" s="23" t="s">
        <v>61</v>
      </c>
      <c r="H221" s="23" t="s">
        <v>86</v>
      </c>
      <c r="I221" s="23"/>
      <c r="J221" s="23" t="s">
        <v>74</v>
      </c>
      <c r="K221" s="23"/>
      <c r="L221" s="29">
        <v>0</v>
      </c>
      <c r="M221" s="29">
        <v>1</v>
      </c>
      <c r="N221" s="29"/>
      <c r="O221" s="29">
        <v>6118</v>
      </c>
      <c r="P221" s="29">
        <v>2137</v>
      </c>
      <c r="Q221" s="29">
        <v>0</v>
      </c>
      <c r="R221" s="30">
        <v>1053</v>
      </c>
    </row>
    <row r="222" spans="1:18">
      <c r="A222" s="27"/>
      <c r="B222" s="28">
        <v>218</v>
      </c>
      <c r="C222" s="1">
        <f>30000000+INDEX(编号表!$B:$B,MATCH(G222,编号表!$A:$A,0))*100000+INDEX(编号表!$F:$F,MATCH(H222,编号表!$E:$E,0))*1000+INDEX(编号表!$D:$D,MATCH(F222,编号表!$C:$C,0))*10000+E222</f>
        <v>31432000</v>
      </c>
      <c r="D222" s="23" t="s">
        <v>280</v>
      </c>
      <c r="E222" s="23">
        <v>0</v>
      </c>
      <c r="F222" s="23" t="s">
        <v>231</v>
      </c>
      <c r="G222" s="23" t="s">
        <v>77</v>
      </c>
      <c r="H222" s="23" t="s">
        <v>86</v>
      </c>
      <c r="I222" s="23"/>
      <c r="J222" s="23"/>
      <c r="K222" s="23"/>
      <c r="L222" s="29">
        <v>0</v>
      </c>
      <c r="M222" s="29">
        <v>0</v>
      </c>
      <c r="N222" s="29"/>
      <c r="O222" s="29">
        <v>6118</v>
      </c>
      <c r="P222" s="29">
        <v>1662</v>
      </c>
      <c r="Q222" s="29">
        <v>0</v>
      </c>
      <c r="R222" s="30">
        <v>1242</v>
      </c>
    </row>
    <row r="223" spans="1:18">
      <c r="A223" s="27"/>
      <c r="B223" s="28">
        <v>219</v>
      </c>
      <c r="C223" s="1">
        <f>30000000+INDEX(编号表!$B:$B,MATCH(G223,编号表!$A:$A,0))*100000+INDEX(编号表!$F:$F,MATCH(H223,编号表!$E:$E,0))*1000+INDEX(编号表!$D:$D,MATCH(F223,编号表!$C:$C,0))*10000+E223</f>
        <v>31432001</v>
      </c>
      <c r="D223" s="23" t="s">
        <v>281</v>
      </c>
      <c r="E223" s="23">
        <v>1</v>
      </c>
      <c r="F223" s="23" t="s">
        <v>231</v>
      </c>
      <c r="G223" s="23" t="s">
        <v>77</v>
      </c>
      <c r="H223" s="23" t="s">
        <v>86</v>
      </c>
      <c r="I223" s="23"/>
      <c r="J223" s="23"/>
      <c r="K223" s="23"/>
      <c r="L223" s="29">
        <v>0</v>
      </c>
      <c r="M223" s="29">
        <v>0</v>
      </c>
      <c r="N223" s="29"/>
      <c r="O223" s="29">
        <v>6895</v>
      </c>
      <c r="P223" s="29">
        <v>5486</v>
      </c>
      <c r="Q223" s="29">
        <v>0</v>
      </c>
      <c r="R223" s="30">
        <v>432</v>
      </c>
    </row>
    <row r="224" spans="1:18">
      <c r="A224" s="27"/>
      <c r="B224" s="28">
        <v>220</v>
      </c>
      <c r="C224" s="1">
        <f>30000000+INDEX(编号表!$B:$B,MATCH(G224,编号表!$A:$A,0))*100000+INDEX(编号表!$F:$F,MATCH(H224,编号表!$E:$E,0))*1000+INDEX(编号表!$D:$D,MATCH(F224,编号表!$C:$C,0))*10000+E224</f>
        <v>31432002</v>
      </c>
      <c r="D224" s="23" t="s">
        <v>282</v>
      </c>
      <c r="E224" s="23">
        <v>2</v>
      </c>
      <c r="F224" s="23" t="s">
        <v>231</v>
      </c>
      <c r="G224" s="23" t="s">
        <v>77</v>
      </c>
      <c r="H224" s="23" t="s">
        <v>86</v>
      </c>
      <c r="I224" s="23"/>
      <c r="J224" s="23"/>
      <c r="K224" s="23"/>
      <c r="L224" s="29">
        <v>0</v>
      </c>
      <c r="M224" s="29">
        <v>1</v>
      </c>
      <c r="N224" s="29"/>
      <c r="O224" s="29">
        <v>6674</v>
      </c>
      <c r="P224" s="29">
        <v>1814</v>
      </c>
      <c r="Q224" s="29">
        <v>0</v>
      </c>
      <c r="R224" s="30">
        <v>2268</v>
      </c>
    </row>
    <row r="225" spans="1:18">
      <c r="A225" s="27"/>
      <c r="B225" s="28">
        <v>221</v>
      </c>
      <c r="C225" s="1">
        <f>30000000+INDEX(编号表!$B:$B,MATCH(G225,编号表!$A:$A,0))*100000+INDEX(编号表!$F:$F,MATCH(H225,编号表!$E:$E,0))*1000+INDEX(编号表!$D:$D,MATCH(F225,编号表!$C:$C,0))*10000+E225</f>
        <v>31432003</v>
      </c>
      <c r="D225" s="23" t="s">
        <v>283</v>
      </c>
      <c r="E225" s="23">
        <v>3</v>
      </c>
      <c r="F225" s="23" t="s">
        <v>231</v>
      </c>
      <c r="G225" s="23" t="s">
        <v>77</v>
      </c>
      <c r="H225" s="23" t="s">
        <v>86</v>
      </c>
      <c r="I225" s="23"/>
      <c r="J225" s="23"/>
      <c r="K225" s="23"/>
      <c r="L225" s="29">
        <v>0</v>
      </c>
      <c r="M225" s="29">
        <v>4</v>
      </c>
      <c r="N225" s="29"/>
      <c r="O225" s="29">
        <v>6674</v>
      </c>
      <c r="P225" s="29">
        <v>5310</v>
      </c>
      <c r="Q225" s="29">
        <v>0</v>
      </c>
      <c r="R225" s="30">
        <v>1404</v>
      </c>
    </row>
    <row r="226" spans="1:18">
      <c r="A226" s="27"/>
      <c r="B226" s="28">
        <v>222</v>
      </c>
      <c r="C226" s="1">
        <f>30000000+INDEX(编号表!$B:$B,MATCH(G226,编号表!$A:$A,0))*100000+INDEX(编号表!$F:$F,MATCH(H226,编号表!$E:$E,0))*1000+INDEX(编号表!$D:$D,MATCH(F226,编号表!$C:$C,0))*10000+E226</f>
        <v>31632000</v>
      </c>
      <c r="D226" s="23" t="s">
        <v>284</v>
      </c>
      <c r="E226" s="23">
        <v>0</v>
      </c>
      <c r="F226" s="23" t="s">
        <v>231</v>
      </c>
      <c r="G226" s="23" t="s">
        <v>82</v>
      </c>
      <c r="H226" s="23" t="s">
        <v>86</v>
      </c>
      <c r="I226" s="23"/>
      <c r="J226" s="23"/>
      <c r="K226" s="23"/>
      <c r="L226" s="29">
        <v>7</v>
      </c>
      <c r="M226" s="29">
        <v>0</v>
      </c>
      <c r="N226" s="29"/>
      <c r="O226" s="29">
        <v>0</v>
      </c>
      <c r="P226" s="29">
        <v>0</v>
      </c>
      <c r="Q226" s="29">
        <v>0</v>
      </c>
      <c r="R226" s="30">
        <v>648</v>
      </c>
    </row>
    <row r="227" spans="1:18">
      <c r="A227" s="27"/>
      <c r="B227" s="28">
        <v>223</v>
      </c>
      <c r="C227" s="1">
        <f>30000000+INDEX(编号表!$B:$B,MATCH(G227,编号表!$A:$A,0))*100000+INDEX(编号表!$F:$F,MATCH(H227,编号表!$E:$E,0))*1000+INDEX(编号表!$D:$D,MATCH(F227,编号表!$C:$C,0))*10000+E227</f>
        <v>31632001</v>
      </c>
      <c r="D227" s="23" t="s">
        <v>285</v>
      </c>
      <c r="E227" s="23">
        <v>1</v>
      </c>
      <c r="F227" s="23" t="s">
        <v>231</v>
      </c>
      <c r="G227" s="23" t="s">
        <v>82</v>
      </c>
      <c r="H227" s="23" t="s">
        <v>86</v>
      </c>
      <c r="I227" s="23"/>
      <c r="J227" s="23"/>
      <c r="K227" s="23"/>
      <c r="L227" s="29">
        <v>8</v>
      </c>
      <c r="M227" s="29">
        <v>0</v>
      </c>
      <c r="N227" s="29"/>
      <c r="O227" s="29">
        <v>0</v>
      </c>
      <c r="P227" s="29">
        <v>0</v>
      </c>
      <c r="Q227" s="29">
        <v>0</v>
      </c>
      <c r="R227" s="30">
        <v>1188</v>
      </c>
    </row>
    <row r="228" spans="1:18">
      <c r="A228" s="27"/>
      <c r="B228" s="28">
        <v>224</v>
      </c>
      <c r="C228" s="1">
        <f>30000000+INDEX(编号表!$B:$B,MATCH(G228,编号表!$A:$A,0))*100000+INDEX(编号表!$F:$F,MATCH(H228,编号表!$E:$E,0))*1000+INDEX(编号表!$D:$D,MATCH(F228,编号表!$C:$C,0))*10000+E228</f>
        <v>31632002</v>
      </c>
      <c r="D228" s="23" t="s">
        <v>286</v>
      </c>
      <c r="E228" s="23">
        <v>2</v>
      </c>
      <c r="F228" s="23" t="s">
        <v>231</v>
      </c>
      <c r="G228" s="23" t="s">
        <v>82</v>
      </c>
      <c r="H228" s="23" t="s">
        <v>86</v>
      </c>
      <c r="I228" s="23"/>
      <c r="J228" s="23"/>
      <c r="K228" s="23"/>
      <c r="L228" s="29">
        <v>9</v>
      </c>
      <c r="M228" s="29">
        <v>0</v>
      </c>
      <c r="N228" s="29"/>
      <c r="O228" s="29">
        <v>0</v>
      </c>
      <c r="P228" s="29">
        <v>0</v>
      </c>
      <c r="Q228" s="29">
        <v>0</v>
      </c>
      <c r="R228" s="30">
        <v>1836</v>
      </c>
    </row>
    <row r="229" spans="1:18">
      <c r="A229" s="27"/>
      <c r="B229" s="28">
        <v>225</v>
      </c>
      <c r="C229" s="1">
        <f>30000000+INDEX(编号表!$B:$B,MATCH(G229,编号表!$A:$A,0))*100000+INDEX(编号表!$F:$F,MATCH(H229,编号表!$E:$E,0))*1000+INDEX(编号表!$D:$D,MATCH(F229,编号表!$C:$C,0))*10000+E229</f>
        <v>31233000</v>
      </c>
      <c r="D229" s="23" t="s">
        <v>287</v>
      </c>
      <c r="E229" s="23">
        <v>0</v>
      </c>
      <c r="F229" s="23" t="s">
        <v>231</v>
      </c>
      <c r="G229" s="23" t="s">
        <v>42</v>
      </c>
      <c r="H229" s="23" t="s">
        <v>115</v>
      </c>
      <c r="I229" s="23"/>
      <c r="J229" s="23"/>
      <c r="K229" s="23"/>
      <c r="L229" s="29">
        <v>0</v>
      </c>
      <c r="M229" s="29">
        <v>0</v>
      </c>
      <c r="N229" s="29"/>
      <c r="O229" s="29">
        <v>19440</v>
      </c>
      <c r="P229" s="29">
        <v>10051</v>
      </c>
      <c r="Q229" s="29">
        <v>97200</v>
      </c>
      <c r="R229" s="30">
        <v>1749</v>
      </c>
    </row>
    <row r="230" spans="1:18">
      <c r="A230" s="27"/>
      <c r="B230" s="28">
        <v>226</v>
      </c>
      <c r="C230" s="1">
        <f>30000000+INDEX(编号表!$B:$B,MATCH(G230,编号表!$A:$A,0))*100000+INDEX(编号表!$F:$F,MATCH(H230,编号表!$E:$E,0))*1000+INDEX(编号表!$D:$D,MATCH(F230,编号表!$C:$C,0))*10000+E230</f>
        <v>31333000</v>
      </c>
      <c r="D230" s="23" t="s">
        <v>288</v>
      </c>
      <c r="E230" s="23">
        <v>0</v>
      </c>
      <c r="F230" s="23" t="s">
        <v>231</v>
      </c>
      <c r="G230" s="23" t="s">
        <v>45</v>
      </c>
      <c r="H230" s="23" t="s">
        <v>115</v>
      </c>
      <c r="I230" s="23" t="s">
        <v>46</v>
      </c>
      <c r="J230" s="23"/>
      <c r="K230" s="23"/>
      <c r="L230" s="29">
        <v>0</v>
      </c>
      <c r="M230" s="29">
        <v>-2</v>
      </c>
      <c r="N230" s="29"/>
      <c r="O230" s="29">
        <v>11615</v>
      </c>
      <c r="P230" s="29">
        <v>6007</v>
      </c>
      <c r="Q230" s="29">
        <v>0</v>
      </c>
      <c r="R230" s="30">
        <v>1360</v>
      </c>
    </row>
    <row r="231" spans="1:18">
      <c r="A231" s="27"/>
      <c r="B231" s="28">
        <v>227</v>
      </c>
      <c r="C231" s="1">
        <f>30000000+INDEX(编号表!$B:$B,MATCH(G231,编号表!$A:$A,0))*100000+INDEX(编号表!$F:$F,MATCH(H231,编号表!$E:$E,0))*1000+INDEX(编号表!$D:$D,MATCH(F231,编号表!$C:$C,0))*10000+E231</f>
        <v>31333001</v>
      </c>
      <c r="D231" s="23" t="s">
        <v>289</v>
      </c>
      <c r="E231" s="23">
        <v>1</v>
      </c>
      <c r="F231" s="23" t="s">
        <v>231</v>
      </c>
      <c r="G231" s="23" t="s">
        <v>45</v>
      </c>
      <c r="H231" s="23" t="s">
        <v>115</v>
      </c>
      <c r="I231" s="23" t="s">
        <v>46</v>
      </c>
      <c r="J231" s="23"/>
      <c r="K231" s="23"/>
      <c r="L231" s="29">
        <v>0</v>
      </c>
      <c r="M231" s="29">
        <v>3</v>
      </c>
      <c r="N231" s="29"/>
      <c r="O231" s="29">
        <v>12412</v>
      </c>
      <c r="P231" s="29">
        <v>7934</v>
      </c>
      <c r="Q231" s="29">
        <v>0</v>
      </c>
      <c r="R231" s="30">
        <v>1749</v>
      </c>
    </row>
    <row r="232" spans="1:18">
      <c r="A232" s="27"/>
      <c r="B232" s="28">
        <v>228</v>
      </c>
      <c r="C232" s="1">
        <f>30000000+INDEX(编号表!$B:$B,MATCH(G232,编号表!$A:$A,0))*100000+INDEX(编号表!$F:$F,MATCH(H232,编号表!$E:$E,0))*1000+INDEX(编号表!$D:$D,MATCH(F232,编号表!$C:$C,0))*10000+E232</f>
        <v>31333002</v>
      </c>
      <c r="D232" s="23" t="s">
        <v>290</v>
      </c>
      <c r="E232" s="23">
        <v>2</v>
      </c>
      <c r="F232" s="23" t="s">
        <v>231</v>
      </c>
      <c r="G232" s="23" t="s">
        <v>45</v>
      </c>
      <c r="H232" s="23" t="s">
        <v>115</v>
      </c>
      <c r="I232" s="23" t="s">
        <v>49</v>
      </c>
      <c r="J232" s="23"/>
      <c r="K232" s="23"/>
      <c r="L232" s="29">
        <v>0</v>
      </c>
      <c r="M232" s="29">
        <v>-1</v>
      </c>
      <c r="N232" s="29"/>
      <c r="O232" s="29">
        <v>11012</v>
      </c>
      <c r="P232" s="29">
        <v>3728</v>
      </c>
      <c r="Q232" s="29">
        <v>0</v>
      </c>
      <c r="R232" s="30">
        <v>1895</v>
      </c>
    </row>
    <row r="233" spans="1:18">
      <c r="A233" s="27"/>
      <c r="B233" s="28">
        <v>229</v>
      </c>
      <c r="C233" s="1">
        <f>30000000+INDEX(编号表!$B:$B,MATCH(G233,编号表!$A:$A,0))*100000+INDEX(编号表!$F:$F,MATCH(H233,编号表!$E:$E,0))*1000+INDEX(编号表!$D:$D,MATCH(F233,编号表!$C:$C,0))*10000+E233</f>
        <v>31333003</v>
      </c>
      <c r="D233" s="23" t="s">
        <v>291</v>
      </c>
      <c r="E233" s="23">
        <v>3</v>
      </c>
      <c r="F233" s="23" t="s">
        <v>231</v>
      </c>
      <c r="G233" s="23" t="s">
        <v>45</v>
      </c>
      <c r="H233" s="23" t="s">
        <v>115</v>
      </c>
      <c r="I233" s="23" t="s">
        <v>49</v>
      </c>
      <c r="J233" s="23"/>
      <c r="K233" s="23"/>
      <c r="L233" s="29">
        <v>0</v>
      </c>
      <c r="M233" s="29">
        <v>2</v>
      </c>
      <c r="N233" s="29"/>
      <c r="O233" s="29">
        <v>11615</v>
      </c>
      <c r="P233" s="29">
        <v>8954</v>
      </c>
      <c r="Q233" s="29">
        <v>0</v>
      </c>
      <c r="R233" s="30">
        <v>583</v>
      </c>
    </row>
    <row r="234" spans="1:18">
      <c r="A234" s="27"/>
      <c r="B234" s="28">
        <v>230</v>
      </c>
      <c r="C234" s="1">
        <f>30000000+INDEX(编号表!$B:$B,MATCH(G234,编号表!$A:$A,0))*100000+INDEX(编号表!$F:$F,MATCH(H234,编号表!$E:$E,0))*1000+INDEX(编号表!$D:$D,MATCH(F234,编号表!$C:$C,0))*10000+E234</f>
        <v>31333004</v>
      </c>
      <c r="D234" s="23" t="s">
        <v>292</v>
      </c>
      <c r="E234" s="23">
        <v>4</v>
      </c>
      <c r="F234" s="23" t="s">
        <v>231</v>
      </c>
      <c r="G234" s="23" t="s">
        <v>45</v>
      </c>
      <c r="H234" s="23" t="s">
        <v>115</v>
      </c>
      <c r="I234" s="23" t="s">
        <v>52</v>
      </c>
      <c r="J234" s="23"/>
      <c r="K234" s="23"/>
      <c r="L234" s="29">
        <v>0</v>
      </c>
      <c r="M234" s="29">
        <v>-1</v>
      </c>
      <c r="N234" s="29"/>
      <c r="O234" s="29">
        <v>11615</v>
      </c>
      <c r="P234" s="29">
        <v>7425</v>
      </c>
      <c r="Q234" s="29">
        <v>0</v>
      </c>
      <c r="R234" s="30">
        <v>1409</v>
      </c>
    </row>
    <row r="235" spans="1:18">
      <c r="A235" s="27"/>
      <c r="B235" s="28">
        <v>231</v>
      </c>
      <c r="C235" s="1">
        <f>30000000+INDEX(编号表!$B:$B,MATCH(G235,编号表!$A:$A,0))*100000+INDEX(编号表!$F:$F,MATCH(H235,编号表!$E:$E,0))*1000+INDEX(编号表!$D:$D,MATCH(F235,编号表!$C:$C,0))*10000+E235</f>
        <v>31333005</v>
      </c>
      <c r="D235" s="23" t="inlineStr">
        <is>
          <t xml:space="preserve">十载沸泉苔·玄株</t>
        </is>
      </c>
      <c r="E235" s="23">
        <v>5</v>
      </c>
      <c r="F235" s="23" t="s">
        <v>231</v>
      </c>
      <c r="G235" s="23" t="s">
        <v>45</v>
      </c>
      <c r="H235" s="23" t="s">
        <v>115</v>
      </c>
      <c r="I235" s="23" t="s">
        <v>52</v>
      </c>
      <c r="J235" s="23"/>
      <c r="K235" s="23"/>
      <c r="L235" s="29">
        <v>0</v>
      </c>
      <c r="M235" s="29">
        <v>4</v>
      </c>
      <c r="N235" s="29"/>
      <c r="O235" s="29">
        <v>12013</v>
      </c>
      <c r="P235" s="29">
        <v>9260</v>
      </c>
      <c r="Q235" s="29">
        <v>0</v>
      </c>
      <c r="R235" s="30">
        <v>2527</v>
      </c>
    </row>
    <row r="236" spans="1:18">
      <c r="A236" s="27"/>
      <c r="B236" s="28">
        <v>232</v>
      </c>
      <c r="C236" s="1">
        <f>30000000+INDEX(编号表!$B:$B,MATCH(G236,编号表!$A:$A,0))*100000+INDEX(编号表!$F:$F,MATCH(H236,编号表!$E:$E,0))*1000+INDEX(编号表!$D:$D,MATCH(F236,编号表!$C:$C,0))*10000+E236</f>
        <v>31333006</v>
      </c>
      <c r="D236" s="23" t="inlineStr">
        <is>
          <t xml:space="preserve">十载丹露花·玄株</t>
        </is>
      </c>
      <c r="E236" s="23">
        <v>6</v>
      </c>
      <c r="F236" s="23" t="s">
        <v>231</v>
      </c>
      <c r="G236" s="23" t="s">
        <v>45</v>
      </c>
      <c r="H236" s="23" t="s">
        <v>115</v>
      </c>
      <c r="I236" s="23" t="s">
        <v>55</v>
      </c>
      <c r="J236" s="23"/>
      <c r="K236" s="23"/>
      <c r="L236" s="29">
        <v>0</v>
      </c>
      <c r="M236" s="29">
        <v>-1</v>
      </c>
      <c r="N236" s="29"/>
      <c r="O236" s="29">
        <v>12013</v>
      </c>
      <c r="P236" s="29">
        <v>3162</v>
      </c>
      <c r="Q236" s="29">
        <v>0</v>
      </c>
      <c r="R236" s="30">
        <v>4082</v>
      </c>
    </row>
    <row r="237" spans="1:18">
      <c r="A237" s="27"/>
      <c r="B237" s="28">
        <v>233</v>
      </c>
      <c r="C237" s="1">
        <f>30000000+INDEX(编号表!$B:$B,MATCH(G237,编号表!$A:$A,0))*100000+INDEX(编号表!$F:$F,MATCH(H237,编号表!$E:$E,0))*1000+INDEX(编号表!$D:$D,MATCH(F237,编号表!$C:$C,0))*10000+E237</f>
        <v>31333007</v>
      </c>
      <c r="D237" s="23" t="s">
        <v>295</v>
      </c>
      <c r="E237" s="23">
        <v>7</v>
      </c>
      <c r="F237" s="23" t="s">
        <v>231</v>
      </c>
      <c r="G237" s="23" t="s">
        <v>45</v>
      </c>
      <c r="H237" s="23" t="s">
        <v>115</v>
      </c>
      <c r="I237" s="23" t="s">
        <v>55</v>
      </c>
      <c r="J237" s="23"/>
      <c r="K237" s="23"/>
      <c r="L237" s="29">
        <v>0</v>
      </c>
      <c r="M237" s="29">
        <v>2</v>
      </c>
      <c r="N237" s="29"/>
      <c r="O237" s="29">
        <v>11615</v>
      </c>
      <c r="P237" s="29">
        <v>8954</v>
      </c>
      <c r="Q237" s="29">
        <v>0</v>
      </c>
      <c r="R237" s="30">
        <v>583</v>
      </c>
    </row>
    <row r="238" spans="1:18">
      <c r="A238" s="27"/>
      <c r="B238" s="28">
        <v>234</v>
      </c>
      <c r="C238" s="1">
        <f>30000000+INDEX(编号表!$B:$B,MATCH(G238,编号表!$A:$A,0))*100000+INDEX(编号表!$F:$F,MATCH(H238,编号表!$E:$E,0))*1000+INDEX(编号表!$D:$D,MATCH(F238,编号表!$C:$C,0))*10000+E238</f>
        <v>31333008</v>
      </c>
      <c r="D238" s="23" t="s">
        <v>296</v>
      </c>
      <c r="E238" s="23">
        <v>8</v>
      </c>
      <c r="F238" s="23" t="s">
        <v>231</v>
      </c>
      <c r="G238" s="23" t="s">
        <v>45</v>
      </c>
      <c r="H238" s="23" t="s">
        <v>115</v>
      </c>
      <c r="I238" s="23" t="s">
        <v>58</v>
      </c>
      <c r="J238" s="23"/>
      <c r="K238" s="23"/>
      <c r="L238" s="29">
        <v>0</v>
      </c>
      <c r="M238" s="29">
        <v>-2</v>
      </c>
      <c r="N238" s="29"/>
      <c r="O238" s="29">
        <v>11615</v>
      </c>
      <c r="P238" s="29">
        <v>6007</v>
      </c>
      <c r="Q238" s="29">
        <v>0</v>
      </c>
      <c r="R238" s="30">
        <v>1360</v>
      </c>
    </row>
    <row r="239" spans="1:18">
      <c r="A239" s="27"/>
      <c r="B239" s="28">
        <v>235</v>
      </c>
      <c r="C239" s="1">
        <f>30000000+INDEX(编号表!$B:$B,MATCH(G239,编号表!$A:$A,0))*100000+INDEX(编号表!$F:$F,MATCH(H239,编号表!$E:$E,0))*1000+INDEX(编号表!$D:$D,MATCH(F239,编号表!$C:$C,0))*10000+E239</f>
        <v>31333009</v>
      </c>
      <c r="D239" s="23" t="s">
        <v>297</v>
      </c>
      <c r="E239" s="23">
        <v>9</v>
      </c>
      <c r="F239" s="23" t="s">
        <v>231</v>
      </c>
      <c r="G239" s="23" t="s">
        <v>45</v>
      </c>
      <c r="H239" s="23" t="s">
        <v>115</v>
      </c>
      <c r="I239" s="23" t="s">
        <v>58</v>
      </c>
      <c r="J239" s="23"/>
      <c r="K239" s="23"/>
      <c r="L239" s="29">
        <v>0</v>
      </c>
      <c r="M239" s="29">
        <v>1</v>
      </c>
      <c r="N239" s="29"/>
      <c r="O239" s="29">
        <v>11012</v>
      </c>
      <c r="P239" s="29">
        <v>3728</v>
      </c>
      <c r="Q239" s="29">
        <v>0</v>
      </c>
      <c r="R239" s="30">
        <v>1895</v>
      </c>
    </row>
    <row r="240" spans="1:18">
      <c r="A240" s="27"/>
      <c r="B240" s="28">
        <v>236</v>
      </c>
      <c r="C240" s="1">
        <f>30000000+INDEX(编号表!$B:$B,MATCH(G240,编号表!$A:$A,0))*100000+INDEX(编号表!$F:$F,MATCH(H240,编号表!$E:$E,0))*1000+INDEX(编号表!$D:$D,MATCH(F240,编号表!$C:$C,0))*10000+E240</f>
        <v>31533000</v>
      </c>
      <c r="D240" s="23" t="inlineStr">
        <is>
          <t xml:space="preserve">十载霜辛草·玄株</t>
        </is>
      </c>
      <c r="E240" s="23">
        <v>0</v>
      </c>
      <c r="F240" s="23" t="s">
        <v>231</v>
      </c>
      <c r="G240" s="23" t="s">
        <v>61</v>
      </c>
      <c r="H240" s="23" t="s">
        <v>115</v>
      </c>
      <c r="I240" s="23"/>
      <c r="J240" s="23" t="s">
        <v>62</v>
      </c>
      <c r="K240" s="23"/>
      <c r="L240" s="29">
        <v>0</v>
      </c>
      <c r="M240" s="29">
        <v>-2</v>
      </c>
      <c r="N240" s="29"/>
      <c r="O240" s="29">
        <v>11615</v>
      </c>
      <c r="P240" s="29">
        <v>6007</v>
      </c>
      <c r="Q240" s="29">
        <v>0</v>
      </c>
      <c r="R240" s="30">
        <v>1360</v>
      </c>
    </row>
    <row r="241" spans="1:18">
      <c r="A241" s="27"/>
      <c r="B241" s="28">
        <v>237</v>
      </c>
      <c r="C241" s="1">
        <f>30000000+INDEX(编号表!$B:$B,MATCH(G241,编号表!$A:$A,0))*100000+INDEX(编号表!$F:$F,MATCH(H241,编号表!$E:$E,0))*1000+INDEX(编号表!$D:$D,MATCH(F241,编号表!$C:$C,0))*10000+E241</f>
        <v>31533001</v>
      </c>
      <c r="D241" s="23" t="s">
        <v>299</v>
      </c>
      <c r="E241" s="23">
        <v>1</v>
      </c>
      <c r="F241" s="23" t="s">
        <v>231</v>
      </c>
      <c r="G241" s="23" t="s">
        <v>61</v>
      </c>
      <c r="H241" s="23" t="s">
        <v>115</v>
      </c>
      <c r="I241" s="23"/>
      <c r="J241" s="23" t="s">
        <v>62</v>
      </c>
      <c r="K241" s="23"/>
      <c r="L241" s="29">
        <v>0</v>
      </c>
      <c r="M241" s="29">
        <v>3</v>
      </c>
      <c r="N241" s="29"/>
      <c r="O241" s="29">
        <v>12412</v>
      </c>
      <c r="P241" s="29">
        <v>7934</v>
      </c>
      <c r="Q241" s="29">
        <v>0</v>
      </c>
      <c r="R241" s="30">
        <v>1749</v>
      </c>
    </row>
    <row r="242" spans="1:18">
      <c r="A242" s="27"/>
      <c r="B242" s="28">
        <v>238</v>
      </c>
      <c r="C242" s="1">
        <f>30000000+INDEX(编号表!$B:$B,MATCH(G242,编号表!$A:$A,0))*100000+INDEX(编号表!$F:$F,MATCH(H242,编号表!$E:$E,0))*1000+INDEX(编号表!$D:$D,MATCH(F242,编号表!$C:$C,0))*10000+E242</f>
        <v>31533002</v>
      </c>
      <c r="D242" s="23" t="s">
        <v>300</v>
      </c>
      <c r="E242" s="23">
        <v>2</v>
      </c>
      <c r="F242" s="23" t="s">
        <v>231</v>
      </c>
      <c r="G242" s="23" t="s">
        <v>61</v>
      </c>
      <c r="H242" s="23" t="s">
        <v>115</v>
      </c>
      <c r="I242" s="23"/>
      <c r="J242" s="23" t="s">
        <v>65</v>
      </c>
      <c r="K242" s="23"/>
      <c r="L242" s="29">
        <v>0</v>
      </c>
      <c r="M242" s="29">
        <v>-1</v>
      </c>
      <c r="N242" s="29"/>
      <c r="O242" s="29">
        <v>11012</v>
      </c>
      <c r="P242" s="29">
        <v>3728</v>
      </c>
      <c r="Q242" s="29">
        <v>0</v>
      </c>
      <c r="R242" s="30">
        <v>1895</v>
      </c>
    </row>
    <row r="243" spans="1:18">
      <c r="A243" s="27"/>
      <c r="B243" s="28">
        <v>239</v>
      </c>
      <c r="C243" s="1">
        <f>30000000+INDEX(编号表!$B:$B,MATCH(G243,编号表!$A:$A,0))*100000+INDEX(编号表!$F:$F,MATCH(H243,编号表!$E:$E,0))*1000+INDEX(编号表!$D:$D,MATCH(F243,编号表!$C:$C,0))*10000+E243</f>
        <v>31533003</v>
      </c>
      <c r="D243" s="23" t="s">
        <v>301</v>
      </c>
      <c r="E243" s="23">
        <v>3</v>
      </c>
      <c r="F243" s="23" t="s">
        <v>231</v>
      </c>
      <c r="G243" s="23" t="s">
        <v>61</v>
      </c>
      <c r="H243" s="23" t="s">
        <v>115</v>
      </c>
      <c r="I243" s="23"/>
      <c r="J243" s="23" t="s">
        <v>65</v>
      </c>
      <c r="K243" s="23"/>
      <c r="L243" s="29">
        <v>0</v>
      </c>
      <c r="M243" s="29">
        <v>2</v>
      </c>
      <c r="N243" s="29"/>
      <c r="O243" s="29">
        <v>11615</v>
      </c>
      <c r="P243" s="29">
        <v>8954</v>
      </c>
      <c r="Q243" s="29">
        <v>0</v>
      </c>
      <c r="R243" s="30">
        <v>583</v>
      </c>
    </row>
    <row r="244" spans="1:18">
      <c r="A244" s="27"/>
      <c r="B244" s="28">
        <v>240</v>
      </c>
      <c r="C244" s="1">
        <f>30000000+INDEX(编号表!$B:$B,MATCH(G244,编号表!$A:$A,0))*100000+INDEX(编号表!$F:$F,MATCH(H244,编号表!$E:$E,0))*1000+INDEX(编号表!$D:$D,MATCH(F244,编号表!$C:$C,0))*10000+E244</f>
        <v>31533004</v>
      </c>
      <c r="D244" s="23" t="s">
        <v>302</v>
      </c>
      <c r="E244" s="23">
        <v>4</v>
      </c>
      <c r="F244" s="23" t="s">
        <v>231</v>
      </c>
      <c r="G244" s="23" t="s">
        <v>61</v>
      </c>
      <c r="H244" s="23" t="s">
        <v>115</v>
      </c>
      <c r="I244" s="23"/>
      <c r="J244" s="23" t="s">
        <v>68</v>
      </c>
      <c r="K244" s="23"/>
      <c r="L244" s="29">
        <v>0</v>
      </c>
      <c r="M244" s="29">
        <v>-1</v>
      </c>
      <c r="N244" s="29"/>
      <c r="O244" s="29">
        <v>11615</v>
      </c>
      <c r="P244" s="29">
        <v>7425</v>
      </c>
      <c r="Q244" s="29">
        <v>0</v>
      </c>
      <c r="R244" s="30">
        <v>1409</v>
      </c>
    </row>
    <row r="245" spans="1:18">
      <c r="A245" s="27"/>
      <c r="B245" s="28">
        <v>241</v>
      </c>
      <c r="C245" s="1">
        <f>30000000+INDEX(编号表!$B:$B,MATCH(G245,编号表!$A:$A,0))*100000+INDEX(编号表!$F:$F,MATCH(H245,编号表!$E:$E,0))*1000+INDEX(编号表!$D:$D,MATCH(F245,编号表!$C:$C,0))*10000+E245</f>
        <v>31533005</v>
      </c>
      <c r="D245" s="23" t="s">
        <v>303</v>
      </c>
      <c r="E245" s="23">
        <v>5</v>
      </c>
      <c r="F245" s="23" t="s">
        <v>231</v>
      </c>
      <c r="G245" s="23" t="s">
        <v>61</v>
      </c>
      <c r="H245" s="23" t="s">
        <v>115</v>
      </c>
      <c r="I245" s="23"/>
      <c r="J245" s="23" t="s">
        <v>68</v>
      </c>
      <c r="K245" s="23"/>
      <c r="L245" s="29">
        <v>0</v>
      </c>
      <c r="M245" s="29">
        <v>4</v>
      </c>
      <c r="N245" s="29"/>
      <c r="O245" s="29">
        <v>12013</v>
      </c>
      <c r="P245" s="29">
        <v>9260</v>
      </c>
      <c r="Q245" s="29">
        <v>0</v>
      </c>
      <c r="R245" s="30">
        <v>2527</v>
      </c>
    </row>
    <row r="246" spans="1:18">
      <c r="A246" s="27"/>
      <c r="B246" s="28">
        <v>242</v>
      </c>
      <c r="C246" s="1">
        <f>30000000+INDEX(编号表!$B:$B,MATCH(G246,编号表!$A:$A,0))*100000+INDEX(编号表!$F:$F,MATCH(H246,编号表!$E:$E,0))*1000+INDEX(编号表!$D:$D,MATCH(F246,编号表!$C:$C,0))*10000+E246</f>
        <v>31533006</v>
      </c>
      <c r="D246" s="23" t="s">
        <v>304</v>
      </c>
      <c r="E246" s="23">
        <v>6</v>
      </c>
      <c r="F246" s="23" t="s">
        <v>231</v>
      </c>
      <c r="G246" s="23" t="s">
        <v>61</v>
      </c>
      <c r="H246" s="23" t="s">
        <v>115</v>
      </c>
      <c r="I246" s="23"/>
      <c r="J246" s="23" t="s">
        <v>71</v>
      </c>
      <c r="K246" s="23"/>
      <c r="L246" s="29">
        <v>0</v>
      </c>
      <c r="M246" s="29">
        <v>-1</v>
      </c>
      <c r="N246" s="29"/>
      <c r="O246" s="29">
        <v>12013</v>
      </c>
      <c r="P246" s="29">
        <v>3162</v>
      </c>
      <c r="Q246" s="29">
        <v>0</v>
      </c>
      <c r="R246" s="30">
        <v>4082</v>
      </c>
    </row>
    <row r="247" spans="1:18">
      <c r="A247" s="27"/>
      <c r="B247" s="28">
        <v>243</v>
      </c>
      <c r="C247" s="1">
        <f>30000000+INDEX(编号表!$B:$B,MATCH(G247,编号表!$A:$A,0))*100000+INDEX(编号表!$F:$F,MATCH(H247,编号表!$E:$E,0))*1000+INDEX(编号表!$D:$D,MATCH(F247,编号表!$C:$C,0))*10000+E247</f>
        <v>31533007</v>
      </c>
      <c r="D247" s="23" t="s">
        <v>305</v>
      </c>
      <c r="E247" s="23">
        <v>7</v>
      </c>
      <c r="F247" s="23" t="s">
        <v>231</v>
      </c>
      <c r="G247" s="23" t="s">
        <v>61</v>
      </c>
      <c r="H247" s="23" t="s">
        <v>115</v>
      </c>
      <c r="I247" s="23"/>
      <c r="J247" s="23" t="s">
        <v>71</v>
      </c>
      <c r="K247" s="23"/>
      <c r="L247" s="29">
        <v>0</v>
      </c>
      <c r="M247" s="29">
        <v>2</v>
      </c>
      <c r="N247" s="29"/>
      <c r="O247" s="29">
        <v>11615</v>
      </c>
      <c r="P247" s="29">
        <v>8954</v>
      </c>
      <c r="Q247" s="29">
        <v>0</v>
      </c>
      <c r="R247" s="30">
        <v>583</v>
      </c>
    </row>
    <row r="248" spans="1:18">
      <c r="A248" s="27"/>
      <c r="B248" s="28">
        <v>244</v>
      </c>
      <c r="C248" s="1">
        <f>30000000+INDEX(编号表!$B:$B,MATCH(G248,编号表!$A:$A,0))*100000+INDEX(编号表!$F:$F,MATCH(H248,编号表!$E:$E,0))*1000+INDEX(编号表!$D:$D,MATCH(F248,编号表!$C:$C,0))*10000+E248</f>
        <v>31533008</v>
      </c>
      <c r="D248" s="23" t="s">
        <v>306</v>
      </c>
      <c r="E248" s="23">
        <v>8</v>
      </c>
      <c r="F248" s="23" t="s">
        <v>231</v>
      </c>
      <c r="G248" s="23" t="s">
        <v>61</v>
      </c>
      <c r="H248" s="23" t="s">
        <v>115</v>
      </c>
      <c r="I248" s="23"/>
      <c r="J248" s="23" t="s">
        <v>74</v>
      </c>
      <c r="K248" s="23"/>
      <c r="L248" s="29">
        <v>0</v>
      </c>
      <c r="M248" s="29">
        <v>-2</v>
      </c>
      <c r="N248" s="29"/>
      <c r="O248" s="29">
        <v>11615</v>
      </c>
      <c r="P248" s="29">
        <v>6007</v>
      </c>
      <c r="Q248" s="29">
        <v>0</v>
      </c>
      <c r="R248" s="30">
        <v>1360</v>
      </c>
    </row>
    <row r="249" spans="1:18">
      <c r="A249" s="27"/>
      <c r="B249" s="28">
        <v>245</v>
      </c>
      <c r="C249" s="1">
        <f>30000000+INDEX(编号表!$B:$B,MATCH(G249,编号表!$A:$A,0))*100000+INDEX(编号表!$F:$F,MATCH(H249,编号表!$E:$E,0))*1000+INDEX(编号表!$D:$D,MATCH(F249,编号表!$C:$C,0))*10000+E249</f>
        <v>31533009</v>
      </c>
      <c r="D249" s="23" t="s">
        <v>307</v>
      </c>
      <c r="E249" s="23">
        <v>9</v>
      </c>
      <c r="F249" s="23" t="s">
        <v>231</v>
      </c>
      <c r="G249" s="23" t="s">
        <v>61</v>
      </c>
      <c r="H249" s="23" t="s">
        <v>115</v>
      </c>
      <c r="I249" s="23"/>
      <c r="J249" s="23" t="s">
        <v>74</v>
      </c>
      <c r="K249" s="23"/>
      <c r="L249" s="29">
        <v>0</v>
      </c>
      <c r="M249" s="29">
        <v>1</v>
      </c>
      <c r="N249" s="29"/>
      <c r="O249" s="29">
        <v>11012</v>
      </c>
      <c r="P249" s="29">
        <v>3728</v>
      </c>
      <c r="Q249" s="29">
        <v>0</v>
      </c>
      <c r="R249" s="30">
        <v>1895</v>
      </c>
    </row>
    <row r="250" spans="1:18">
      <c r="A250" s="27"/>
      <c r="B250" s="28">
        <v>246</v>
      </c>
      <c r="C250" s="1">
        <f>30000000+INDEX(编号表!$B:$B,MATCH(G250,编号表!$A:$A,0))*100000+INDEX(编号表!$F:$F,MATCH(H250,编号表!$E:$E,0))*1000+INDEX(编号表!$D:$D,MATCH(F250,编号表!$C:$C,0))*10000+E250</f>
        <v>31433000</v>
      </c>
      <c r="D250" s="23" t="s">
        <v>308</v>
      </c>
      <c r="E250" s="23">
        <v>0</v>
      </c>
      <c r="F250" s="23" t="s">
        <v>231</v>
      </c>
      <c r="G250" s="23" t="s">
        <v>77</v>
      </c>
      <c r="H250" s="23" t="s">
        <v>115</v>
      </c>
      <c r="I250" s="23"/>
      <c r="J250" s="23"/>
      <c r="K250" s="23"/>
      <c r="L250" s="29">
        <v>0</v>
      </c>
      <c r="M250" s="29">
        <v>0</v>
      </c>
      <c r="N250" s="29"/>
      <c r="O250" s="29">
        <v>11012</v>
      </c>
      <c r="P250" s="29">
        <v>2900</v>
      </c>
      <c r="Q250" s="29">
        <v>0</v>
      </c>
      <c r="R250" s="30">
        <v>2235</v>
      </c>
    </row>
    <row r="251" spans="1:18">
      <c r="A251" s="27"/>
      <c r="B251" s="28">
        <v>247</v>
      </c>
      <c r="C251" s="1">
        <f>30000000+INDEX(编号表!$B:$B,MATCH(G251,编号表!$A:$A,0))*100000+INDEX(编号表!$F:$F,MATCH(H251,编号表!$E:$E,0))*1000+INDEX(编号表!$D:$D,MATCH(F251,编号表!$C:$C,0))*10000+E251</f>
        <v>31433001</v>
      </c>
      <c r="D251" s="23" t="s">
        <v>309</v>
      </c>
      <c r="E251" s="23">
        <v>1</v>
      </c>
      <c r="F251" s="23" t="s">
        <v>231</v>
      </c>
      <c r="G251" s="23" t="s">
        <v>77</v>
      </c>
      <c r="H251" s="23" t="s">
        <v>115</v>
      </c>
      <c r="I251" s="23"/>
      <c r="J251" s="23"/>
      <c r="K251" s="23"/>
      <c r="L251" s="29">
        <v>0</v>
      </c>
      <c r="M251" s="29">
        <v>0</v>
      </c>
      <c r="N251" s="29"/>
      <c r="O251" s="29">
        <v>12412</v>
      </c>
      <c r="P251" s="29">
        <v>9569</v>
      </c>
      <c r="Q251" s="29">
        <v>0</v>
      </c>
      <c r="R251" s="30">
        <v>777</v>
      </c>
    </row>
    <row r="252" spans="1:18">
      <c r="A252" s="27"/>
      <c r="B252" s="28">
        <v>248</v>
      </c>
      <c r="C252" s="1">
        <f>30000000+INDEX(编号表!$B:$B,MATCH(G252,编号表!$A:$A,0))*100000+INDEX(编号表!$F:$F,MATCH(H252,编号表!$E:$E,0))*1000+INDEX(编号表!$D:$D,MATCH(F252,编号表!$C:$C,0))*10000+E252</f>
        <v>31433002</v>
      </c>
      <c r="D252" s="23" t="s">
        <v>310</v>
      </c>
      <c r="E252" s="23">
        <v>2</v>
      </c>
      <c r="F252" s="23" t="s">
        <v>231</v>
      </c>
      <c r="G252" s="23" t="s">
        <v>77</v>
      </c>
      <c r="H252" s="23" t="s">
        <v>115</v>
      </c>
      <c r="I252" s="23"/>
      <c r="J252" s="23"/>
      <c r="K252" s="23"/>
      <c r="L252" s="29">
        <v>0</v>
      </c>
      <c r="M252" s="29">
        <v>1</v>
      </c>
      <c r="N252" s="29"/>
      <c r="O252" s="29">
        <v>12013</v>
      </c>
      <c r="P252" s="29">
        <v>3162</v>
      </c>
      <c r="Q252" s="29">
        <v>0</v>
      </c>
      <c r="R252" s="30">
        <v>4082</v>
      </c>
    </row>
    <row r="253" spans="1:18">
      <c r="A253" s="27"/>
      <c r="B253" s="28">
        <v>249</v>
      </c>
      <c r="C253" s="1">
        <f>30000000+INDEX(编号表!$B:$B,MATCH(G253,编号表!$A:$A,0))*100000+INDEX(编号表!$F:$F,MATCH(H253,编号表!$E:$E,0))*1000+INDEX(编号表!$D:$D,MATCH(F253,编号表!$C:$C,0))*10000+E253</f>
        <v>31433003</v>
      </c>
      <c r="D253" s="23" t="s">
        <v>311</v>
      </c>
      <c r="E253" s="23">
        <v>3</v>
      </c>
      <c r="F253" s="23" t="s">
        <v>231</v>
      </c>
      <c r="G253" s="23" t="s">
        <v>77</v>
      </c>
      <c r="H253" s="23" t="s">
        <v>115</v>
      </c>
      <c r="I253" s="23"/>
      <c r="J253" s="23"/>
      <c r="K253" s="23"/>
      <c r="L253" s="29">
        <v>0</v>
      </c>
      <c r="M253" s="29">
        <v>4</v>
      </c>
      <c r="N253" s="29"/>
      <c r="O253" s="29">
        <v>12013</v>
      </c>
      <c r="P253" s="29">
        <v>9260</v>
      </c>
      <c r="Q253" s="29">
        <v>0</v>
      </c>
      <c r="R253" s="30">
        <v>2527</v>
      </c>
    </row>
    <row r="254" spans="1:18">
      <c r="A254" s="27"/>
      <c r="B254" s="28">
        <v>250</v>
      </c>
      <c r="C254" s="1">
        <f>30000000+INDEX(编号表!$B:$B,MATCH(G254,编号表!$A:$A,0))*100000+INDEX(编号表!$F:$F,MATCH(H254,编号表!$E:$E,0))*1000+INDEX(编号表!$D:$D,MATCH(F254,编号表!$C:$C,0))*10000+E254</f>
        <v>31633000</v>
      </c>
      <c r="D254" s="23" t="s">
        <v>312</v>
      </c>
      <c r="E254" s="23">
        <v>0</v>
      </c>
      <c r="F254" s="23" t="s">
        <v>231</v>
      </c>
      <c r="G254" s="23" t="s">
        <v>82</v>
      </c>
      <c r="H254" s="23" t="s">
        <v>115</v>
      </c>
      <c r="I254" s="23"/>
      <c r="J254" s="23"/>
      <c r="K254" s="23"/>
      <c r="L254" s="29">
        <v>7</v>
      </c>
      <c r="M254" s="29">
        <v>0</v>
      </c>
      <c r="N254" s="29"/>
      <c r="O254" s="29">
        <v>0</v>
      </c>
      <c r="P254" s="29">
        <v>0</v>
      </c>
      <c r="Q254" s="29">
        <v>0</v>
      </c>
      <c r="R254" s="30">
        <v>1166</v>
      </c>
    </row>
    <row r="255" spans="1:18">
      <c r="A255" s="27"/>
      <c r="B255" s="28">
        <v>251</v>
      </c>
      <c r="C255" s="1">
        <f>30000000+INDEX(编号表!$B:$B,MATCH(G255,编号表!$A:$A,0))*100000+INDEX(编号表!$F:$F,MATCH(H255,编号表!$E:$E,0))*1000+INDEX(编号表!$D:$D,MATCH(F255,编号表!$C:$C,0))*10000+E255</f>
        <v>31633001</v>
      </c>
      <c r="D255" s="23" t="s">
        <v>313</v>
      </c>
      <c r="E255" s="23">
        <v>1</v>
      </c>
      <c r="F255" s="23" t="s">
        <v>231</v>
      </c>
      <c r="G255" s="23" t="s">
        <v>82</v>
      </c>
      <c r="H255" s="23" t="s">
        <v>115</v>
      </c>
      <c r="I255" s="23"/>
      <c r="J255" s="23"/>
      <c r="K255" s="23"/>
      <c r="L255" s="29">
        <v>8</v>
      </c>
      <c r="M255" s="29">
        <v>0</v>
      </c>
      <c r="N255" s="29"/>
      <c r="O255" s="29">
        <v>0</v>
      </c>
      <c r="P255" s="29">
        <v>0</v>
      </c>
      <c r="Q255" s="29">
        <v>0</v>
      </c>
      <c r="R255" s="30">
        <v>2138</v>
      </c>
    </row>
    <row r="256" spans="1:18">
      <c r="A256" s="27"/>
      <c r="B256" s="28">
        <v>252</v>
      </c>
      <c r="C256" s="1">
        <f>30000000+INDEX(编号表!$B:$B,MATCH(G256,编号表!$A:$A,0))*100000+INDEX(编号表!$F:$F,MATCH(H256,编号表!$E:$E,0))*1000+INDEX(编号表!$D:$D,MATCH(F256,编号表!$C:$C,0))*10000+E256</f>
        <v>31633002</v>
      </c>
      <c r="D256" s="23" t="s">
        <v>314</v>
      </c>
      <c r="E256" s="23">
        <v>2</v>
      </c>
      <c r="F256" s="23" t="s">
        <v>231</v>
      </c>
      <c r="G256" s="23" t="s">
        <v>82</v>
      </c>
      <c r="H256" s="23" t="s">
        <v>115</v>
      </c>
      <c r="I256" s="23"/>
      <c r="J256" s="23"/>
      <c r="K256" s="23"/>
      <c r="L256" s="29">
        <v>9</v>
      </c>
      <c r="M256" s="29">
        <v>0</v>
      </c>
      <c r="N256" s="29"/>
      <c r="O256" s="29">
        <v>0</v>
      </c>
      <c r="P256" s="29">
        <v>0</v>
      </c>
      <c r="Q256" s="29">
        <v>0</v>
      </c>
      <c r="R256" s="30">
        <v>3304</v>
      </c>
    </row>
    <row r="257" spans="1:18">
      <c r="A257" s="27"/>
      <c r="B257" s="28">
        <v>253</v>
      </c>
      <c r="C257" s="1">
        <f>30000000+INDEX(编号表!$B:$B,MATCH(G257,编号表!$A:$A,0))*100000+INDEX(编号表!$F:$F,MATCH(H257,编号表!$E:$E,0))*1000+INDEX(编号表!$D:$D,MATCH(F257,编号表!$C:$C,0))*10000+E257</f>
        <v>31234000</v>
      </c>
      <c r="D257" s="23" t="s">
        <v>315</v>
      </c>
      <c r="E257" s="23">
        <v>0</v>
      </c>
      <c r="F257" s="23" t="s">
        <v>231</v>
      </c>
      <c r="G257" s="23" t="s">
        <v>42</v>
      </c>
      <c r="H257" s="23" t="s">
        <v>144</v>
      </c>
      <c r="I257" s="23"/>
      <c r="J257" s="23"/>
      <c r="K257" s="23"/>
      <c r="L257" s="29">
        <v>0</v>
      </c>
      <c r="M257" s="29">
        <v>0</v>
      </c>
      <c r="N257" s="29"/>
      <c r="O257" s="29">
        <v>34992</v>
      </c>
      <c r="P257" s="29">
        <v>17322</v>
      </c>
      <c r="Q257" s="29">
        <v>174960</v>
      </c>
      <c r="R257" s="30">
        <v>3149</v>
      </c>
    </row>
    <row r="258" spans="1:18">
      <c r="A258" s="27"/>
      <c r="B258" s="28">
        <v>254</v>
      </c>
      <c r="C258" s="1">
        <f>30000000+INDEX(编号表!$B:$B,MATCH(G258,编号表!$A:$A,0))*100000+INDEX(编号表!$F:$F,MATCH(H258,编号表!$E:$E,0))*1000+INDEX(编号表!$D:$D,MATCH(F258,编号表!$C:$C,0))*10000+E258</f>
        <v>31334000</v>
      </c>
      <c r="D258" s="23" t="s">
        <v>316</v>
      </c>
      <c r="E258" s="23">
        <v>0</v>
      </c>
      <c r="F258" s="23" t="s">
        <v>231</v>
      </c>
      <c r="G258" s="23" t="s">
        <v>45</v>
      </c>
      <c r="H258" s="23" t="s">
        <v>144</v>
      </c>
      <c r="I258" s="23" t="s">
        <v>46</v>
      </c>
      <c r="J258" s="23"/>
      <c r="K258" s="23"/>
      <c r="L258" s="29">
        <v>0</v>
      </c>
      <c r="M258" s="29">
        <v>-2</v>
      </c>
      <c r="N258" s="29"/>
      <c r="O258" s="29">
        <v>20907</v>
      </c>
      <c r="P258" s="29">
        <v>10349</v>
      </c>
      <c r="Q258" s="29">
        <v>0</v>
      </c>
      <c r="R258" s="30">
        <v>2449</v>
      </c>
    </row>
    <row r="259" spans="1:18">
      <c r="A259" s="27"/>
      <c r="B259" s="28">
        <v>255</v>
      </c>
      <c r="C259" s="1">
        <f>30000000+INDEX(编号表!$B:$B,MATCH(G259,编号表!$A:$A,0))*100000+INDEX(编号表!$F:$F,MATCH(H259,编号表!$E:$E,0))*1000+INDEX(编号表!$D:$D,MATCH(F259,编号表!$C:$C,0))*10000+E259</f>
        <v>31334001</v>
      </c>
      <c r="D259" s="23" t="s">
        <v>317</v>
      </c>
      <c r="E259" s="23">
        <v>1</v>
      </c>
      <c r="F259" s="23" t="s">
        <v>231</v>
      </c>
      <c r="G259" s="23" t="s">
        <v>45</v>
      </c>
      <c r="H259" s="23" t="s">
        <v>144</v>
      </c>
      <c r="I259" s="23" t="s">
        <v>46</v>
      </c>
      <c r="J259" s="23"/>
      <c r="K259" s="23"/>
      <c r="L259" s="29">
        <v>0</v>
      </c>
      <c r="M259" s="29">
        <v>3</v>
      </c>
      <c r="N259" s="29"/>
      <c r="O259" s="29">
        <v>22342</v>
      </c>
      <c r="P259" s="29">
        <v>13674</v>
      </c>
      <c r="Q259" s="29">
        <v>0</v>
      </c>
      <c r="R259" s="30">
        <v>3149</v>
      </c>
    </row>
    <row r="260" spans="1:18">
      <c r="A260" s="27"/>
      <c r="B260" s="28">
        <v>256</v>
      </c>
      <c r="C260" s="1">
        <f>30000000+INDEX(编号表!$B:$B,MATCH(G260,编号表!$A:$A,0))*100000+INDEX(编号表!$F:$F,MATCH(H260,编号表!$E:$E,0))*1000+INDEX(编号表!$D:$D,MATCH(F260,编号表!$C:$C,0))*10000+E260</f>
        <v>31334002</v>
      </c>
      <c r="D260" s="23" t="s">
        <v>318</v>
      </c>
      <c r="E260" s="23">
        <v>2</v>
      </c>
      <c r="F260" s="23" t="s">
        <v>231</v>
      </c>
      <c r="G260" s="23" t="s">
        <v>45</v>
      </c>
      <c r="H260" s="23" t="s">
        <v>144</v>
      </c>
      <c r="I260" s="23" t="s">
        <v>49</v>
      </c>
      <c r="J260" s="23"/>
      <c r="K260" s="23"/>
      <c r="L260" s="29">
        <v>0</v>
      </c>
      <c r="M260" s="29">
        <v>-1</v>
      </c>
      <c r="N260" s="29"/>
      <c r="O260" s="29">
        <v>19822</v>
      </c>
      <c r="P260" s="29">
        <v>6423</v>
      </c>
      <c r="Q260" s="29">
        <v>0</v>
      </c>
      <c r="R260" s="30">
        <v>3411</v>
      </c>
    </row>
    <row r="261" spans="1:18">
      <c r="A261" s="27"/>
      <c r="B261" s="28">
        <v>257</v>
      </c>
      <c r="C261" s="1">
        <f>30000000+INDEX(编号表!$B:$B,MATCH(G261,编号表!$A:$A,0))*100000+INDEX(编号表!$F:$F,MATCH(H261,编号表!$E:$E,0))*1000+INDEX(编号表!$D:$D,MATCH(F261,编号表!$C:$C,0))*10000+E261</f>
        <v>31334003</v>
      </c>
      <c r="D261" s="23" t="s">
        <v>319</v>
      </c>
      <c r="E261" s="23">
        <v>3</v>
      </c>
      <c r="F261" s="23" t="s">
        <v>231</v>
      </c>
      <c r="G261" s="23" t="s">
        <v>45</v>
      </c>
      <c r="H261" s="23" t="s">
        <v>144</v>
      </c>
      <c r="I261" s="23" t="s">
        <v>49</v>
      </c>
      <c r="J261" s="23"/>
      <c r="K261" s="23"/>
      <c r="L261" s="29">
        <v>0</v>
      </c>
      <c r="M261" s="29">
        <v>2</v>
      </c>
      <c r="N261" s="29"/>
      <c r="O261" s="29">
        <v>20907</v>
      </c>
      <c r="P261" s="29">
        <v>15430</v>
      </c>
      <c r="Q261" s="29">
        <v>0</v>
      </c>
      <c r="R261" s="30">
        <v>1049</v>
      </c>
    </row>
    <row r="262" spans="1:18">
      <c r="A262" s="27"/>
      <c r="B262" s="28">
        <v>258</v>
      </c>
      <c r="C262" s="1">
        <f>30000000+INDEX(编号表!$B:$B,MATCH(G262,编号表!$A:$A,0))*100000+INDEX(编号表!$F:$F,MATCH(H262,编号表!$E:$E,0))*1000+INDEX(编号表!$D:$D,MATCH(F262,编号表!$C:$C,0))*10000+E262</f>
        <v>31334004</v>
      </c>
      <c r="D262" s="23" t="s">
        <v>320</v>
      </c>
      <c r="E262" s="23">
        <v>4</v>
      </c>
      <c r="F262" s="23" t="s">
        <v>231</v>
      </c>
      <c r="G262" s="23" t="s">
        <v>45</v>
      </c>
      <c r="H262" s="23" t="s">
        <v>144</v>
      </c>
      <c r="I262" s="23" t="s">
        <v>52</v>
      </c>
      <c r="J262" s="23"/>
      <c r="K262" s="23"/>
      <c r="L262" s="29">
        <v>0</v>
      </c>
      <c r="M262" s="29">
        <v>-1</v>
      </c>
      <c r="N262" s="29"/>
      <c r="O262" s="29">
        <v>20907</v>
      </c>
      <c r="P262" s="29">
        <v>12796</v>
      </c>
      <c r="Q262" s="29">
        <v>0</v>
      </c>
      <c r="R262" s="30">
        <v>2536</v>
      </c>
    </row>
    <row r="263" spans="1:18">
      <c r="A263" s="27"/>
      <c r="B263" s="28">
        <v>259</v>
      </c>
      <c r="C263" s="1">
        <f>30000000+INDEX(编号表!$B:$B,MATCH(G263,编号表!$A:$A,0))*100000+INDEX(编号表!$F:$F,MATCH(H263,编号表!$E:$E,0))*1000+INDEX(编号表!$D:$D,MATCH(F263,编号表!$C:$C,0))*10000+E263</f>
        <v>31334005</v>
      </c>
      <c r="D263" s="23" t="inlineStr">
        <is>
          <t xml:space="preserve">十载沸泉苔·仙株</t>
        </is>
      </c>
      <c r="E263" s="23">
        <v>5</v>
      </c>
      <c r="F263" s="23" t="s">
        <v>231</v>
      </c>
      <c r="G263" s="23" t="s">
        <v>45</v>
      </c>
      <c r="H263" s="23" t="s">
        <v>144</v>
      </c>
      <c r="I263" s="23" t="s">
        <v>52</v>
      </c>
      <c r="J263" s="23"/>
      <c r="K263" s="23"/>
      <c r="L263" s="29">
        <v>0</v>
      </c>
      <c r="M263" s="29">
        <v>4</v>
      </c>
      <c r="N263" s="29"/>
      <c r="O263" s="29">
        <v>21625</v>
      </c>
      <c r="P263" s="29">
        <v>15960</v>
      </c>
      <c r="Q263" s="29">
        <v>0</v>
      </c>
      <c r="R263" s="30">
        <v>4548</v>
      </c>
    </row>
    <row r="264" spans="1:18">
      <c r="A264" s="27"/>
      <c r="B264" s="28">
        <v>260</v>
      </c>
      <c r="C264" s="1">
        <f>30000000+INDEX(编号表!$B:$B,MATCH(G264,编号表!$A:$A,0))*100000+INDEX(编号表!$F:$F,MATCH(H264,编号表!$E:$E,0))*1000+INDEX(编号表!$D:$D,MATCH(F264,编号表!$C:$C,0))*10000+E264</f>
        <v>31334006</v>
      </c>
      <c r="D264" s="23" t="inlineStr">
        <is>
          <t xml:space="preserve">十载丹露花·仙株</t>
        </is>
      </c>
      <c r="E264" s="23">
        <v>6</v>
      </c>
      <c r="F264" s="23" t="s">
        <v>231</v>
      </c>
      <c r="G264" s="23" t="s">
        <v>45</v>
      </c>
      <c r="H264" s="23" t="s">
        <v>144</v>
      </c>
      <c r="I264" s="23" t="s">
        <v>55</v>
      </c>
      <c r="J264" s="23"/>
      <c r="K264" s="23"/>
      <c r="L264" s="29">
        <v>0</v>
      </c>
      <c r="M264" s="29">
        <v>-1</v>
      </c>
      <c r="N264" s="29"/>
      <c r="O264" s="29">
        <v>21625</v>
      </c>
      <c r="P264" s="29">
        <v>5450</v>
      </c>
      <c r="Q264" s="29">
        <v>0</v>
      </c>
      <c r="R264" s="30">
        <v>7348</v>
      </c>
    </row>
    <row r="265" spans="1:18">
      <c r="A265" s="27"/>
      <c r="B265" s="28">
        <v>261</v>
      </c>
      <c r="C265" s="1">
        <f>30000000+INDEX(编号表!$B:$B,MATCH(G265,编号表!$A:$A,0))*100000+INDEX(编号表!$F:$F,MATCH(H265,编号表!$E:$E,0))*1000+INDEX(编号表!$D:$D,MATCH(F265,编号表!$C:$C,0))*10000+E265</f>
        <v>31334007</v>
      </c>
      <c r="D265" s="23" t="s">
        <v>323</v>
      </c>
      <c r="E265" s="23">
        <v>7</v>
      </c>
      <c r="F265" s="23" t="s">
        <v>231</v>
      </c>
      <c r="G265" s="23" t="s">
        <v>45</v>
      </c>
      <c r="H265" s="23" t="s">
        <v>144</v>
      </c>
      <c r="I265" s="23" t="s">
        <v>55</v>
      </c>
      <c r="J265" s="23"/>
      <c r="K265" s="23"/>
      <c r="L265" s="29">
        <v>0</v>
      </c>
      <c r="M265" s="29">
        <v>2</v>
      </c>
      <c r="N265" s="29"/>
      <c r="O265" s="29">
        <v>20907</v>
      </c>
      <c r="P265" s="29">
        <v>15430</v>
      </c>
      <c r="Q265" s="29">
        <v>0</v>
      </c>
      <c r="R265" s="30">
        <v>1049</v>
      </c>
    </row>
    <row r="266" spans="1:18">
      <c r="A266" s="27"/>
      <c r="B266" s="28">
        <v>262</v>
      </c>
      <c r="C266" s="1">
        <f>30000000+INDEX(编号表!$B:$B,MATCH(G266,编号表!$A:$A,0))*100000+INDEX(编号表!$F:$F,MATCH(H266,编号表!$E:$E,0))*1000+INDEX(编号表!$D:$D,MATCH(F266,编号表!$C:$C,0))*10000+E266</f>
        <v>31334008</v>
      </c>
      <c r="D266" s="23" t="s">
        <v>324</v>
      </c>
      <c r="E266" s="23">
        <v>8</v>
      </c>
      <c r="F266" s="23" t="s">
        <v>231</v>
      </c>
      <c r="G266" s="23" t="s">
        <v>45</v>
      </c>
      <c r="H266" s="23" t="s">
        <v>144</v>
      </c>
      <c r="I266" s="23" t="s">
        <v>58</v>
      </c>
      <c r="J266" s="23"/>
      <c r="K266" s="23"/>
      <c r="L266" s="29">
        <v>0</v>
      </c>
      <c r="M266" s="29">
        <v>-2</v>
      </c>
      <c r="N266" s="29"/>
      <c r="O266" s="29">
        <v>20907</v>
      </c>
      <c r="P266" s="29">
        <v>10349</v>
      </c>
      <c r="Q266" s="29">
        <v>0</v>
      </c>
      <c r="R266" s="30">
        <v>2449</v>
      </c>
    </row>
    <row r="267" spans="1:18">
      <c r="A267" s="27"/>
      <c r="B267" s="28">
        <v>263</v>
      </c>
      <c r="C267" s="1">
        <f>30000000+INDEX(编号表!$B:$B,MATCH(G267,编号表!$A:$A,0))*100000+INDEX(编号表!$F:$F,MATCH(H267,编号表!$E:$E,0))*1000+INDEX(编号表!$D:$D,MATCH(F267,编号表!$C:$C,0))*10000+E267</f>
        <v>31334009</v>
      </c>
      <c r="D267" s="23" t="s">
        <v>325</v>
      </c>
      <c r="E267" s="23">
        <v>9</v>
      </c>
      <c r="F267" s="23" t="s">
        <v>231</v>
      </c>
      <c r="G267" s="23" t="s">
        <v>45</v>
      </c>
      <c r="H267" s="23" t="s">
        <v>144</v>
      </c>
      <c r="I267" s="23" t="s">
        <v>58</v>
      </c>
      <c r="J267" s="23"/>
      <c r="K267" s="23"/>
      <c r="L267" s="29">
        <v>0</v>
      </c>
      <c r="M267" s="29">
        <v>1</v>
      </c>
      <c r="N267" s="29"/>
      <c r="O267" s="29">
        <v>19822</v>
      </c>
      <c r="P267" s="29">
        <v>6423</v>
      </c>
      <c r="Q267" s="29">
        <v>0</v>
      </c>
      <c r="R267" s="30">
        <v>3411</v>
      </c>
    </row>
    <row r="268" spans="1:18">
      <c r="A268" s="27"/>
      <c r="B268" s="28">
        <v>264</v>
      </c>
      <c r="C268" s="1">
        <f>30000000+INDEX(编号表!$B:$B,MATCH(G268,编号表!$A:$A,0))*100000+INDEX(编号表!$F:$F,MATCH(H268,编号表!$E:$E,0))*1000+INDEX(编号表!$D:$D,MATCH(F268,编号表!$C:$C,0))*10000+E268</f>
        <v>31534000</v>
      </c>
      <c r="D268" s="23" t="inlineStr">
        <is>
          <t xml:space="preserve">十载霜辛草·仙株</t>
        </is>
      </c>
      <c r="E268" s="23">
        <v>0</v>
      </c>
      <c r="F268" s="23" t="s">
        <v>231</v>
      </c>
      <c r="G268" s="23" t="s">
        <v>61</v>
      </c>
      <c r="H268" s="23" t="s">
        <v>144</v>
      </c>
      <c r="I268" s="23"/>
      <c r="J268" s="23" t="s">
        <v>62</v>
      </c>
      <c r="K268" s="23"/>
      <c r="L268" s="29">
        <v>0</v>
      </c>
      <c r="M268" s="29">
        <v>-2</v>
      </c>
      <c r="N268" s="29"/>
      <c r="O268" s="29">
        <v>20907</v>
      </c>
      <c r="P268" s="29">
        <v>10349</v>
      </c>
      <c r="Q268" s="29">
        <v>0</v>
      </c>
      <c r="R268" s="30">
        <v>2449</v>
      </c>
    </row>
    <row r="269" spans="1:18">
      <c r="A269" s="27"/>
      <c r="B269" s="28">
        <v>265</v>
      </c>
      <c r="C269" s="1">
        <f>30000000+INDEX(编号表!$B:$B,MATCH(G269,编号表!$A:$A,0))*100000+INDEX(编号表!$F:$F,MATCH(H269,编号表!$E:$E,0))*1000+INDEX(编号表!$D:$D,MATCH(F269,编号表!$C:$C,0))*10000+E269</f>
        <v>31534001</v>
      </c>
      <c r="D269" s="23" t="s">
        <v>327</v>
      </c>
      <c r="E269" s="23">
        <v>1</v>
      </c>
      <c r="F269" s="23" t="s">
        <v>231</v>
      </c>
      <c r="G269" s="23" t="s">
        <v>61</v>
      </c>
      <c r="H269" s="23" t="s">
        <v>144</v>
      </c>
      <c r="I269" s="23"/>
      <c r="J269" s="23" t="s">
        <v>62</v>
      </c>
      <c r="K269" s="23"/>
      <c r="L269" s="29">
        <v>0</v>
      </c>
      <c r="M269" s="29">
        <v>3</v>
      </c>
      <c r="N269" s="29"/>
      <c r="O269" s="29">
        <v>22342</v>
      </c>
      <c r="P269" s="29">
        <v>13674</v>
      </c>
      <c r="Q269" s="29">
        <v>0</v>
      </c>
      <c r="R269" s="30">
        <v>3149</v>
      </c>
    </row>
    <row r="270" spans="1:18">
      <c r="A270" s="27"/>
      <c r="B270" s="28">
        <v>266</v>
      </c>
      <c r="C270" s="1">
        <f>30000000+INDEX(编号表!$B:$B,MATCH(G270,编号表!$A:$A,0))*100000+INDEX(编号表!$F:$F,MATCH(H270,编号表!$E:$E,0))*1000+INDEX(编号表!$D:$D,MATCH(F270,编号表!$C:$C,0))*10000+E270</f>
        <v>31534002</v>
      </c>
      <c r="D270" s="23" t="s">
        <v>328</v>
      </c>
      <c r="E270" s="23">
        <v>2</v>
      </c>
      <c r="F270" s="23" t="s">
        <v>231</v>
      </c>
      <c r="G270" s="23" t="s">
        <v>61</v>
      </c>
      <c r="H270" s="23" t="s">
        <v>144</v>
      </c>
      <c r="I270" s="23"/>
      <c r="J270" s="23" t="s">
        <v>65</v>
      </c>
      <c r="K270" s="23"/>
      <c r="L270" s="29">
        <v>0</v>
      </c>
      <c r="M270" s="29">
        <v>-1</v>
      </c>
      <c r="N270" s="29"/>
      <c r="O270" s="29">
        <v>19822</v>
      </c>
      <c r="P270" s="29">
        <v>6423</v>
      </c>
      <c r="Q270" s="29">
        <v>0</v>
      </c>
      <c r="R270" s="30">
        <v>3411</v>
      </c>
    </row>
    <row r="271" spans="1:18">
      <c r="A271" s="27"/>
      <c r="B271" s="28">
        <v>267</v>
      </c>
      <c r="C271" s="1">
        <f>30000000+INDEX(编号表!$B:$B,MATCH(G271,编号表!$A:$A,0))*100000+INDEX(编号表!$F:$F,MATCH(H271,编号表!$E:$E,0))*1000+INDEX(编号表!$D:$D,MATCH(F271,编号表!$C:$C,0))*10000+E271</f>
        <v>31534003</v>
      </c>
      <c r="D271" s="23" t="s">
        <v>329</v>
      </c>
      <c r="E271" s="23">
        <v>3</v>
      </c>
      <c r="F271" s="23" t="s">
        <v>231</v>
      </c>
      <c r="G271" s="23" t="s">
        <v>61</v>
      </c>
      <c r="H271" s="23" t="s">
        <v>144</v>
      </c>
      <c r="I271" s="23"/>
      <c r="J271" s="23" t="s">
        <v>65</v>
      </c>
      <c r="K271" s="23"/>
      <c r="L271" s="29">
        <v>0</v>
      </c>
      <c r="M271" s="29">
        <v>2</v>
      </c>
      <c r="N271" s="29"/>
      <c r="O271" s="29">
        <v>20907</v>
      </c>
      <c r="P271" s="29">
        <v>15430</v>
      </c>
      <c r="Q271" s="29">
        <v>0</v>
      </c>
      <c r="R271" s="30">
        <v>1049</v>
      </c>
    </row>
    <row r="272" spans="1:18">
      <c r="A272" s="27"/>
      <c r="B272" s="28">
        <v>268</v>
      </c>
      <c r="C272" s="1">
        <f>30000000+INDEX(编号表!$B:$B,MATCH(G272,编号表!$A:$A,0))*100000+INDEX(编号表!$F:$F,MATCH(H272,编号表!$E:$E,0))*1000+INDEX(编号表!$D:$D,MATCH(F272,编号表!$C:$C,0))*10000+E272</f>
        <v>31534004</v>
      </c>
      <c r="D272" s="23" t="s">
        <v>330</v>
      </c>
      <c r="E272" s="23">
        <v>4</v>
      </c>
      <c r="F272" s="23" t="s">
        <v>231</v>
      </c>
      <c r="G272" s="23" t="s">
        <v>61</v>
      </c>
      <c r="H272" s="23" t="s">
        <v>144</v>
      </c>
      <c r="I272" s="23"/>
      <c r="J272" s="23" t="s">
        <v>68</v>
      </c>
      <c r="K272" s="23"/>
      <c r="L272" s="29">
        <v>0</v>
      </c>
      <c r="M272" s="29">
        <v>-1</v>
      </c>
      <c r="N272" s="29"/>
      <c r="O272" s="29">
        <v>20907</v>
      </c>
      <c r="P272" s="29">
        <v>12796</v>
      </c>
      <c r="Q272" s="29">
        <v>0</v>
      </c>
      <c r="R272" s="30">
        <v>2536</v>
      </c>
    </row>
    <row r="273" spans="1:18">
      <c r="A273" s="27"/>
      <c r="B273" s="28">
        <v>269</v>
      </c>
      <c r="C273" s="1">
        <f>30000000+INDEX(编号表!$B:$B,MATCH(G273,编号表!$A:$A,0))*100000+INDEX(编号表!$F:$F,MATCH(H273,编号表!$E:$E,0))*1000+INDEX(编号表!$D:$D,MATCH(F273,编号表!$C:$C,0))*10000+E273</f>
        <v>31534005</v>
      </c>
      <c r="D273" s="23" t="s">
        <v>331</v>
      </c>
      <c r="E273" s="23">
        <v>5</v>
      </c>
      <c r="F273" s="23" t="s">
        <v>231</v>
      </c>
      <c r="G273" s="23" t="s">
        <v>61</v>
      </c>
      <c r="H273" s="23" t="s">
        <v>144</v>
      </c>
      <c r="I273" s="23"/>
      <c r="J273" s="23" t="s">
        <v>68</v>
      </c>
      <c r="K273" s="23"/>
      <c r="L273" s="29">
        <v>0</v>
      </c>
      <c r="M273" s="29">
        <v>4</v>
      </c>
      <c r="N273" s="29"/>
      <c r="O273" s="29">
        <v>21625</v>
      </c>
      <c r="P273" s="29">
        <v>15960</v>
      </c>
      <c r="Q273" s="29">
        <v>0</v>
      </c>
      <c r="R273" s="30">
        <v>4548</v>
      </c>
    </row>
    <row r="274" spans="1:18">
      <c r="A274" s="27"/>
      <c r="B274" s="28">
        <v>270</v>
      </c>
      <c r="C274" s="1">
        <f>30000000+INDEX(编号表!$B:$B,MATCH(G274,编号表!$A:$A,0))*100000+INDEX(编号表!$F:$F,MATCH(H274,编号表!$E:$E,0))*1000+INDEX(编号表!$D:$D,MATCH(F274,编号表!$C:$C,0))*10000+E274</f>
        <v>31534006</v>
      </c>
      <c r="D274" s="23" t="s">
        <v>332</v>
      </c>
      <c r="E274" s="23">
        <v>6</v>
      </c>
      <c r="F274" s="23" t="s">
        <v>231</v>
      </c>
      <c r="G274" s="23" t="s">
        <v>61</v>
      </c>
      <c r="H274" s="23" t="s">
        <v>144</v>
      </c>
      <c r="I274" s="23"/>
      <c r="J274" s="23" t="s">
        <v>71</v>
      </c>
      <c r="K274" s="23"/>
      <c r="L274" s="29">
        <v>0</v>
      </c>
      <c r="M274" s="29">
        <v>-1</v>
      </c>
      <c r="N274" s="29"/>
      <c r="O274" s="29">
        <v>21625</v>
      </c>
      <c r="P274" s="29">
        <v>5450</v>
      </c>
      <c r="Q274" s="29">
        <v>0</v>
      </c>
      <c r="R274" s="30">
        <v>7348</v>
      </c>
    </row>
    <row r="275" spans="1:18">
      <c r="A275" s="27"/>
      <c r="B275" s="28">
        <v>271</v>
      </c>
      <c r="C275" s="1">
        <f>30000000+INDEX(编号表!$B:$B,MATCH(G275,编号表!$A:$A,0))*100000+INDEX(编号表!$F:$F,MATCH(H275,编号表!$E:$E,0))*1000+INDEX(编号表!$D:$D,MATCH(F275,编号表!$C:$C,0))*10000+E275</f>
        <v>31534007</v>
      </c>
      <c r="D275" s="23" t="s">
        <v>333</v>
      </c>
      <c r="E275" s="23">
        <v>7</v>
      </c>
      <c r="F275" s="23" t="s">
        <v>231</v>
      </c>
      <c r="G275" s="23" t="s">
        <v>61</v>
      </c>
      <c r="H275" s="23" t="s">
        <v>144</v>
      </c>
      <c r="I275" s="23"/>
      <c r="J275" s="23" t="s">
        <v>71</v>
      </c>
      <c r="K275" s="23"/>
      <c r="L275" s="29">
        <v>0</v>
      </c>
      <c r="M275" s="29">
        <v>2</v>
      </c>
      <c r="N275" s="29"/>
      <c r="O275" s="29">
        <v>20907</v>
      </c>
      <c r="P275" s="29">
        <v>15430</v>
      </c>
      <c r="Q275" s="29">
        <v>0</v>
      </c>
      <c r="R275" s="30">
        <v>1049</v>
      </c>
    </row>
    <row r="276" spans="1:18">
      <c r="A276" s="27"/>
      <c r="B276" s="28">
        <v>272</v>
      </c>
      <c r="C276" s="1">
        <f>30000000+INDEX(编号表!$B:$B,MATCH(G276,编号表!$A:$A,0))*100000+INDEX(编号表!$F:$F,MATCH(H276,编号表!$E:$E,0))*1000+INDEX(编号表!$D:$D,MATCH(F276,编号表!$C:$C,0))*10000+E276</f>
        <v>31534008</v>
      </c>
      <c r="D276" s="23" t="s">
        <v>334</v>
      </c>
      <c r="E276" s="23">
        <v>8</v>
      </c>
      <c r="F276" s="23" t="s">
        <v>231</v>
      </c>
      <c r="G276" s="23" t="s">
        <v>61</v>
      </c>
      <c r="H276" s="23" t="s">
        <v>144</v>
      </c>
      <c r="I276" s="23"/>
      <c r="J276" s="23" t="s">
        <v>74</v>
      </c>
      <c r="K276" s="23"/>
      <c r="L276" s="29">
        <v>0</v>
      </c>
      <c r="M276" s="29">
        <v>-2</v>
      </c>
      <c r="N276" s="29"/>
      <c r="O276" s="29">
        <v>20907</v>
      </c>
      <c r="P276" s="29">
        <v>10349</v>
      </c>
      <c r="Q276" s="29">
        <v>0</v>
      </c>
      <c r="R276" s="30">
        <v>2449</v>
      </c>
    </row>
    <row r="277" spans="1:18">
      <c r="A277" s="27"/>
      <c r="B277" s="28">
        <v>273</v>
      </c>
      <c r="C277" s="1">
        <f>30000000+INDEX(编号表!$B:$B,MATCH(G277,编号表!$A:$A,0))*100000+INDEX(编号表!$F:$F,MATCH(H277,编号表!$E:$E,0))*1000+INDEX(编号表!$D:$D,MATCH(F277,编号表!$C:$C,0))*10000+E277</f>
        <v>31534009</v>
      </c>
      <c r="D277" s="23" t="s">
        <v>335</v>
      </c>
      <c r="E277" s="23">
        <v>9</v>
      </c>
      <c r="F277" s="23" t="s">
        <v>231</v>
      </c>
      <c r="G277" s="23" t="s">
        <v>61</v>
      </c>
      <c r="H277" s="23" t="s">
        <v>144</v>
      </c>
      <c r="I277" s="23"/>
      <c r="J277" s="23" t="s">
        <v>74</v>
      </c>
      <c r="K277" s="23"/>
      <c r="L277" s="29">
        <v>0</v>
      </c>
      <c r="M277" s="29">
        <v>1</v>
      </c>
      <c r="N277" s="29"/>
      <c r="O277" s="29">
        <v>19822</v>
      </c>
      <c r="P277" s="29">
        <v>6423</v>
      </c>
      <c r="Q277" s="29">
        <v>0</v>
      </c>
      <c r="R277" s="30">
        <v>3411</v>
      </c>
    </row>
    <row r="278" spans="1:18">
      <c r="A278" s="27"/>
      <c r="B278" s="28">
        <v>274</v>
      </c>
      <c r="C278" s="1">
        <f>30000000+INDEX(编号表!$B:$B,MATCH(G278,编号表!$A:$A,0))*100000+INDEX(编号表!$F:$F,MATCH(H278,编号表!$E:$E,0))*1000+INDEX(编号表!$D:$D,MATCH(F278,编号表!$C:$C,0))*10000+E278</f>
        <v>31434000</v>
      </c>
      <c r="D278" s="23" t="s">
        <v>336</v>
      </c>
      <c r="E278" s="23">
        <v>0</v>
      </c>
      <c r="F278" s="23" t="s">
        <v>231</v>
      </c>
      <c r="G278" s="23" t="s">
        <v>77</v>
      </c>
      <c r="H278" s="23" t="s">
        <v>144</v>
      </c>
      <c r="I278" s="23"/>
      <c r="J278" s="23"/>
      <c r="K278" s="23"/>
      <c r="L278" s="29">
        <v>0</v>
      </c>
      <c r="M278" s="29">
        <v>0</v>
      </c>
      <c r="N278" s="29"/>
      <c r="O278" s="29">
        <v>19822</v>
      </c>
      <c r="P278" s="29">
        <v>4996</v>
      </c>
      <c r="Q278" s="29">
        <v>0</v>
      </c>
      <c r="R278" s="30">
        <v>4024</v>
      </c>
    </row>
    <row r="279" spans="1:18">
      <c r="A279" s="27"/>
      <c r="B279" s="28">
        <v>275</v>
      </c>
      <c r="C279" s="1">
        <f>30000000+INDEX(编号表!$B:$B,MATCH(G279,编号表!$A:$A,0))*100000+INDEX(编号表!$F:$F,MATCH(H279,编号表!$E:$E,0))*1000+INDEX(编号表!$D:$D,MATCH(F279,编号表!$C:$C,0))*10000+E279</f>
        <v>31434001</v>
      </c>
      <c r="D279" s="23" t="s">
        <v>337</v>
      </c>
      <c r="E279" s="23">
        <v>1</v>
      </c>
      <c r="F279" s="23" t="s">
        <v>231</v>
      </c>
      <c r="G279" s="23" t="s">
        <v>77</v>
      </c>
      <c r="H279" s="23" t="s">
        <v>144</v>
      </c>
      <c r="I279" s="23"/>
      <c r="J279" s="23"/>
      <c r="K279" s="23"/>
      <c r="L279" s="29">
        <v>0</v>
      </c>
      <c r="M279" s="29">
        <v>0</v>
      </c>
      <c r="N279" s="29"/>
      <c r="O279" s="29">
        <v>22342</v>
      </c>
      <c r="P279" s="29">
        <v>16489</v>
      </c>
      <c r="Q279" s="29">
        <v>0</v>
      </c>
      <c r="R279" s="30">
        <v>1399</v>
      </c>
    </row>
    <row r="280" spans="1:18">
      <c r="A280" s="27"/>
      <c r="B280" s="28">
        <v>276</v>
      </c>
      <c r="C280" s="1">
        <f>30000000+INDEX(编号表!$B:$B,MATCH(G280,编号表!$A:$A,0))*100000+INDEX(编号表!$F:$F,MATCH(H280,编号表!$E:$E,0))*1000+INDEX(编号表!$D:$D,MATCH(F280,编号表!$C:$C,0))*10000+E280</f>
        <v>31434002</v>
      </c>
      <c r="D280" s="23" t="s">
        <v>338</v>
      </c>
      <c r="E280" s="23">
        <v>2</v>
      </c>
      <c r="F280" s="23" t="s">
        <v>231</v>
      </c>
      <c r="G280" s="23" t="s">
        <v>77</v>
      </c>
      <c r="H280" s="23" t="s">
        <v>144</v>
      </c>
      <c r="I280" s="23"/>
      <c r="J280" s="23"/>
      <c r="K280" s="23"/>
      <c r="L280" s="29">
        <v>0</v>
      </c>
      <c r="M280" s="29">
        <v>1</v>
      </c>
      <c r="N280" s="29"/>
      <c r="O280" s="29">
        <v>21625</v>
      </c>
      <c r="P280" s="29">
        <v>5450</v>
      </c>
      <c r="Q280" s="29">
        <v>0</v>
      </c>
      <c r="R280" s="30">
        <v>7348</v>
      </c>
    </row>
    <row r="281" spans="1:18">
      <c r="A281" s="27"/>
      <c r="B281" s="28">
        <v>277</v>
      </c>
      <c r="C281" s="1">
        <f>30000000+INDEX(编号表!$B:$B,MATCH(G281,编号表!$A:$A,0))*100000+INDEX(编号表!$F:$F,MATCH(H281,编号表!$E:$E,0))*1000+INDEX(编号表!$D:$D,MATCH(F281,编号表!$C:$C,0))*10000+E281</f>
        <v>31434003</v>
      </c>
      <c r="D281" s="23" t="s">
        <v>339</v>
      </c>
      <c r="E281" s="23">
        <v>3</v>
      </c>
      <c r="F281" s="23" t="s">
        <v>231</v>
      </c>
      <c r="G281" s="23" t="s">
        <v>77</v>
      </c>
      <c r="H281" s="23" t="s">
        <v>144</v>
      </c>
      <c r="I281" s="23"/>
      <c r="J281" s="23"/>
      <c r="K281" s="23"/>
      <c r="L281" s="29">
        <v>0</v>
      </c>
      <c r="M281" s="29">
        <v>4</v>
      </c>
      <c r="N281" s="29"/>
      <c r="O281" s="29">
        <v>21625</v>
      </c>
      <c r="P281" s="29">
        <v>15960</v>
      </c>
      <c r="Q281" s="29">
        <v>0</v>
      </c>
      <c r="R281" s="30">
        <v>4548</v>
      </c>
    </row>
    <row r="282" spans="1:18">
      <c r="A282" s="27"/>
      <c r="B282" s="28">
        <v>278</v>
      </c>
      <c r="C282" s="1">
        <f>30000000+INDEX(编号表!$B:$B,MATCH(G282,编号表!$A:$A,0))*100000+INDEX(编号表!$F:$F,MATCH(H282,编号表!$E:$E,0))*1000+INDEX(编号表!$D:$D,MATCH(F282,编号表!$C:$C,0))*10000+E282</f>
        <v>31634000</v>
      </c>
      <c r="D282" s="23" t="s">
        <v>340</v>
      </c>
      <c r="E282" s="23">
        <v>0</v>
      </c>
      <c r="F282" s="23" t="s">
        <v>231</v>
      </c>
      <c r="G282" s="23" t="s">
        <v>82</v>
      </c>
      <c r="H282" s="23" t="s">
        <v>144</v>
      </c>
      <c r="I282" s="23"/>
      <c r="J282" s="23"/>
      <c r="K282" s="23"/>
      <c r="L282" s="29">
        <v>7</v>
      </c>
      <c r="M282" s="29">
        <v>0</v>
      </c>
      <c r="N282" s="29"/>
      <c r="O282" s="29">
        <v>0</v>
      </c>
      <c r="P282" s="29">
        <v>0</v>
      </c>
      <c r="Q282" s="29">
        <v>0</v>
      </c>
      <c r="R282" s="30">
        <v>2099</v>
      </c>
    </row>
    <row r="283" spans="1:18">
      <c r="A283" s="27"/>
      <c r="B283" s="28">
        <v>279</v>
      </c>
      <c r="C283" s="1">
        <f>30000000+INDEX(编号表!$B:$B,MATCH(G283,编号表!$A:$A,0))*100000+INDEX(编号表!$F:$F,MATCH(H283,编号表!$E:$E,0))*1000+INDEX(编号表!$D:$D,MATCH(F283,编号表!$C:$C,0))*10000+E283</f>
        <v>31634001</v>
      </c>
      <c r="D283" s="23" t="s">
        <v>341</v>
      </c>
      <c r="E283" s="23">
        <v>1</v>
      </c>
      <c r="F283" s="23" t="s">
        <v>231</v>
      </c>
      <c r="G283" s="23" t="s">
        <v>82</v>
      </c>
      <c r="H283" s="23" t="s">
        <v>144</v>
      </c>
      <c r="I283" s="23"/>
      <c r="J283" s="23"/>
      <c r="K283" s="23"/>
      <c r="L283" s="29">
        <v>8</v>
      </c>
      <c r="M283" s="29">
        <v>0</v>
      </c>
      <c r="N283" s="29"/>
      <c r="O283" s="29">
        <v>0</v>
      </c>
      <c r="P283" s="29">
        <v>0</v>
      </c>
      <c r="Q283" s="29">
        <v>0</v>
      </c>
      <c r="R283" s="30">
        <v>3849</v>
      </c>
    </row>
    <row r="284" spans="1:18">
      <c r="A284" s="27"/>
      <c r="B284" s="28">
        <v>280</v>
      </c>
      <c r="C284" s="1">
        <f>30000000+INDEX(编号表!$B:$B,MATCH(G284,编号表!$A:$A,0))*100000+INDEX(编号表!$F:$F,MATCH(H284,编号表!$E:$E,0))*1000+INDEX(编号表!$D:$D,MATCH(F284,编号表!$C:$C,0))*10000+E284</f>
        <v>31634002</v>
      </c>
      <c r="D284" s="23" t="s">
        <v>342</v>
      </c>
      <c r="E284" s="23">
        <v>2</v>
      </c>
      <c r="F284" s="23" t="s">
        <v>231</v>
      </c>
      <c r="G284" s="23" t="s">
        <v>82</v>
      </c>
      <c r="H284" s="23" t="s">
        <v>144</v>
      </c>
      <c r="I284" s="23"/>
      <c r="J284" s="23"/>
      <c r="K284" s="23"/>
      <c r="L284" s="29">
        <v>9</v>
      </c>
      <c r="M284" s="29">
        <v>0</v>
      </c>
      <c r="N284" s="29"/>
      <c r="O284" s="29">
        <v>0</v>
      </c>
      <c r="P284" s="29">
        <v>0</v>
      </c>
      <c r="Q284" s="29">
        <v>0</v>
      </c>
      <c r="R284" s="30">
        <v>5948</v>
      </c>
    </row>
    <row r="285" spans="1:18">
      <c r="A285" s="27"/>
      <c r="B285" s="28">
        <v>281</v>
      </c>
      <c r="C285" s="1">
        <f>30000000+INDEX(编号表!$B:$B,MATCH(G285,编号表!$A:$A,0))*100000+INDEX(编号表!$F:$F,MATCH(H285,编号表!$E:$E,0))*1000+INDEX(编号表!$D:$D,MATCH(F285,编号表!$C:$C,0))*10000+E285</f>
        <v>31235000</v>
      </c>
      <c r="D285" s="23" t="s">
        <v>343</v>
      </c>
      <c r="E285" s="23">
        <v>0</v>
      </c>
      <c r="F285" s="23" t="s">
        <v>231</v>
      </c>
      <c r="G285" s="23" t="s">
        <v>42</v>
      </c>
      <c r="H285" s="23" t="s">
        <v>173</v>
      </c>
      <c r="I285" s="23"/>
      <c r="J285" s="23"/>
      <c r="K285" s="23"/>
      <c r="L285" s="29">
        <v>0</v>
      </c>
      <c r="M285" s="29">
        <v>0</v>
      </c>
      <c r="N285" s="29"/>
      <c r="O285" s="29">
        <v>62985</v>
      </c>
      <c r="P285" s="29">
        <v>26328</v>
      </c>
      <c r="Q285" s="29">
        <v>314928</v>
      </c>
      <c r="R285" s="30">
        <v>5668</v>
      </c>
    </row>
    <row r="286" spans="1:18">
      <c r="A286" s="27"/>
      <c r="B286" s="28">
        <v>282</v>
      </c>
      <c r="C286" s="1">
        <f>30000000+INDEX(编号表!$B:$B,MATCH(G286,编号表!$A:$A,0))*100000+INDEX(编号表!$F:$F,MATCH(H286,编号表!$E:$E,0))*1000+INDEX(编号表!$D:$D,MATCH(F286,编号表!$C:$C,0))*10000+E286</f>
        <v>31335000</v>
      </c>
      <c r="D286" s="23" t="s">
        <v>344</v>
      </c>
      <c r="E286" s="23">
        <v>0</v>
      </c>
      <c r="F286" s="23" t="s">
        <v>231</v>
      </c>
      <c r="G286" s="23" t="s">
        <v>45</v>
      </c>
      <c r="H286" s="23" t="s">
        <v>173</v>
      </c>
      <c r="I286" s="23" t="s">
        <v>46</v>
      </c>
      <c r="J286" s="23"/>
      <c r="K286" s="23"/>
      <c r="L286" s="29">
        <v>0</v>
      </c>
      <c r="M286" s="29">
        <v>-2</v>
      </c>
      <c r="N286" s="29"/>
      <c r="O286" s="29">
        <v>37633</v>
      </c>
      <c r="P286" s="29">
        <v>15731</v>
      </c>
      <c r="Q286" s="29">
        <v>0</v>
      </c>
      <c r="R286" s="30">
        <v>4408</v>
      </c>
    </row>
    <row r="287" spans="1:18">
      <c r="A287" s="27"/>
      <c r="B287" s="28">
        <v>283</v>
      </c>
      <c r="C287" s="1">
        <f>30000000+INDEX(编号表!$B:$B,MATCH(G287,编号表!$A:$A,0))*100000+INDEX(编号表!$F:$F,MATCH(H287,编号表!$E:$E,0))*1000+INDEX(编号表!$D:$D,MATCH(F287,编号表!$C:$C,0))*10000+E287</f>
        <v>31335001</v>
      </c>
      <c r="D287" s="23" t="s">
        <v>345</v>
      </c>
      <c r="E287" s="23">
        <v>1</v>
      </c>
      <c r="F287" s="23" t="s">
        <v>231</v>
      </c>
      <c r="G287" s="23" t="s">
        <v>45</v>
      </c>
      <c r="H287" s="23" t="s">
        <v>173</v>
      </c>
      <c r="I287" s="23" t="s">
        <v>46</v>
      </c>
      <c r="J287" s="23"/>
      <c r="K287" s="23"/>
      <c r="L287" s="29">
        <v>0</v>
      </c>
      <c r="M287" s="29">
        <v>3</v>
      </c>
      <c r="N287" s="29"/>
      <c r="O287" s="29">
        <v>40216</v>
      </c>
      <c r="P287" s="29">
        <v>20784</v>
      </c>
      <c r="Q287" s="29">
        <v>0</v>
      </c>
      <c r="R287" s="30">
        <v>5668</v>
      </c>
    </row>
    <row r="288" spans="1:18">
      <c r="A288" s="27"/>
      <c r="B288" s="28">
        <v>284</v>
      </c>
      <c r="C288" s="1">
        <f>30000000+INDEX(编号表!$B:$B,MATCH(G288,编号表!$A:$A,0))*100000+INDEX(编号表!$F:$F,MATCH(H288,编号表!$E:$E,0))*1000+INDEX(编号表!$D:$D,MATCH(F288,编号表!$C:$C,0))*10000+E288</f>
        <v>31335002</v>
      </c>
      <c r="D288" s="23" t="s">
        <v>346</v>
      </c>
      <c r="E288" s="23">
        <v>2</v>
      </c>
      <c r="F288" s="23" t="s">
        <v>231</v>
      </c>
      <c r="G288" s="23" t="s">
        <v>45</v>
      </c>
      <c r="H288" s="23" t="s">
        <v>173</v>
      </c>
      <c r="I288" s="23" t="s">
        <v>49</v>
      </c>
      <c r="J288" s="23"/>
      <c r="K288" s="23"/>
      <c r="L288" s="29">
        <v>0</v>
      </c>
      <c r="M288" s="29">
        <v>-1</v>
      </c>
      <c r="N288" s="29"/>
      <c r="O288" s="29">
        <v>35681</v>
      </c>
      <c r="P288" s="29">
        <v>9763</v>
      </c>
      <c r="Q288" s="29">
        <v>0</v>
      </c>
      <c r="R288" s="30">
        <v>6141</v>
      </c>
    </row>
    <row r="289" spans="1:18">
      <c r="A289" s="27"/>
      <c r="B289" s="28">
        <v>285</v>
      </c>
      <c r="C289" s="1">
        <f>30000000+INDEX(编号表!$B:$B,MATCH(G289,编号表!$A:$A,0))*100000+INDEX(编号表!$F:$F,MATCH(H289,编号表!$E:$E,0))*1000+INDEX(编号表!$D:$D,MATCH(F289,编号表!$C:$C,0))*10000+E289</f>
        <v>31335003</v>
      </c>
      <c r="D289" s="23" t="s">
        <v>347</v>
      </c>
      <c r="E289" s="23">
        <v>3</v>
      </c>
      <c r="F289" s="23" t="s">
        <v>231</v>
      </c>
      <c r="G289" s="23" t="s">
        <v>45</v>
      </c>
      <c r="H289" s="23" t="s">
        <v>173</v>
      </c>
      <c r="I289" s="23" t="s">
        <v>49</v>
      </c>
      <c r="J289" s="23"/>
      <c r="K289" s="23"/>
      <c r="L289" s="29">
        <v>0</v>
      </c>
      <c r="M289" s="29">
        <v>2</v>
      </c>
      <c r="N289" s="29"/>
      <c r="O289" s="29">
        <v>37633</v>
      </c>
      <c r="P289" s="29">
        <v>23453</v>
      </c>
      <c r="Q289" s="29">
        <v>0</v>
      </c>
      <c r="R289" s="30">
        <v>1889</v>
      </c>
    </row>
    <row r="290" spans="1:18">
      <c r="A290" s="27"/>
      <c r="B290" s="28">
        <v>286</v>
      </c>
      <c r="C290" s="1">
        <f>30000000+INDEX(编号表!$B:$B,MATCH(G290,编号表!$A:$A,0))*100000+INDEX(编号表!$F:$F,MATCH(H290,编号表!$E:$E,0))*1000+INDEX(编号表!$D:$D,MATCH(F290,编号表!$C:$C,0))*10000+E290</f>
        <v>31335004</v>
      </c>
      <c r="D290" s="23" t="s">
        <v>348</v>
      </c>
      <c r="E290" s="23">
        <v>4</v>
      </c>
      <c r="F290" s="23" t="s">
        <v>231</v>
      </c>
      <c r="G290" s="23" t="s">
        <v>45</v>
      </c>
      <c r="H290" s="23" t="s">
        <v>173</v>
      </c>
      <c r="I290" s="23" t="s">
        <v>52</v>
      </c>
      <c r="J290" s="23"/>
      <c r="K290" s="23"/>
      <c r="L290" s="29">
        <v>0</v>
      </c>
      <c r="M290" s="29">
        <v>-1</v>
      </c>
      <c r="N290" s="29"/>
      <c r="O290" s="29">
        <v>37633</v>
      </c>
      <c r="P290" s="29">
        <v>19449</v>
      </c>
      <c r="Q290" s="29">
        <v>0</v>
      </c>
      <c r="R290" s="30">
        <v>4566</v>
      </c>
    </row>
    <row r="291" spans="1:18">
      <c r="A291" s="27"/>
      <c r="B291" s="28">
        <v>287</v>
      </c>
      <c r="C291" s="1">
        <f>30000000+INDEX(编号表!$B:$B,MATCH(G291,编号表!$A:$A,0))*100000+INDEX(编号表!$F:$F,MATCH(H291,编号表!$E:$E,0))*1000+INDEX(编号表!$D:$D,MATCH(F291,编号表!$C:$C,0))*10000+E291</f>
        <v>31335005</v>
      </c>
      <c r="D291" s="23" t="inlineStr">
        <is>
          <t xml:space="preserve">十载沸泉苔·神株</t>
        </is>
      </c>
      <c r="E291" s="23">
        <v>5</v>
      </c>
      <c r="F291" s="23" t="s">
        <v>231</v>
      </c>
      <c r="G291" s="23" t="s">
        <v>45</v>
      </c>
      <c r="H291" s="23" t="s">
        <v>173</v>
      </c>
      <c r="I291" s="23" t="s">
        <v>52</v>
      </c>
      <c r="J291" s="23"/>
      <c r="K291" s="23"/>
      <c r="L291" s="29">
        <v>0</v>
      </c>
      <c r="M291" s="29">
        <v>4</v>
      </c>
      <c r="N291" s="29"/>
      <c r="O291" s="29">
        <v>38925</v>
      </c>
      <c r="P291" s="29">
        <v>24259</v>
      </c>
      <c r="Q291" s="29">
        <v>0</v>
      </c>
      <c r="R291" s="30">
        <v>8188</v>
      </c>
    </row>
    <row r="292" spans="1:18">
      <c r="A292" s="27"/>
      <c r="B292" s="28">
        <v>288</v>
      </c>
      <c r="C292" s="1">
        <f>30000000+INDEX(编号表!$B:$B,MATCH(G292,编号表!$A:$A,0))*100000+INDEX(编号表!$F:$F,MATCH(H292,编号表!$E:$E,0))*1000+INDEX(编号表!$D:$D,MATCH(F292,编号表!$C:$C,0))*10000+E292</f>
        <v>31335006</v>
      </c>
      <c r="D292" s="23" t="inlineStr">
        <is>
          <t xml:space="preserve">十载丹露花·神株</t>
        </is>
      </c>
      <c r="E292" s="23">
        <v>6</v>
      </c>
      <c r="F292" s="23" t="s">
        <v>231</v>
      </c>
      <c r="G292" s="23" t="s">
        <v>45</v>
      </c>
      <c r="H292" s="23" t="s">
        <v>173</v>
      </c>
      <c r="I292" s="23" t="s">
        <v>55</v>
      </c>
      <c r="J292" s="23"/>
      <c r="K292" s="23"/>
      <c r="L292" s="29">
        <v>0</v>
      </c>
      <c r="M292" s="29">
        <v>-1</v>
      </c>
      <c r="N292" s="29"/>
      <c r="O292" s="29">
        <v>38925</v>
      </c>
      <c r="P292" s="29">
        <v>8284</v>
      </c>
      <c r="Q292" s="29">
        <v>0</v>
      </c>
      <c r="R292" s="30">
        <v>13226</v>
      </c>
    </row>
    <row r="293" spans="1:18">
      <c r="A293" s="27"/>
      <c r="B293" s="28">
        <v>289</v>
      </c>
      <c r="C293" s="1">
        <f>30000000+INDEX(编号表!$B:$B,MATCH(G293,编号表!$A:$A,0))*100000+INDEX(编号表!$F:$F,MATCH(H293,编号表!$E:$E,0))*1000+INDEX(编号表!$D:$D,MATCH(F293,编号表!$C:$C,0))*10000+E293</f>
        <v>31335007</v>
      </c>
      <c r="D293" s="23" t="s">
        <v>351</v>
      </c>
      <c r="E293" s="23">
        <v>7</v>
      </c>
      <c r="F293" s="23" t="s">
        <v>231</v>
      </c>
      <c r="G293" s="23" t="s">
        <v>45</v>
      </c>
      <c r="H293" s="23" t="s">
        <v>173</v>
      </c>
      <c r="I293" s="23" t="s">
        <v>55</v>
      </c>
      <c r="J293" s="23"/>
      <c r="K293" s="23"/>
      <c r="L293" s="29">
        <v>0</v>
      </c>
      <c r="M293" s="29">
        <v>2</v>
      </c>
      <c r="N293" s="29"/>
      <c r="O293" s="29">
        <v>37633</v>
      </c>
      <c r="P293" s="29">
        <v>23453</v>
      </c>
      <c r="Q293" s="29">
        <v>0</v>
      </c>
      <c r="R293" s="30">
        <v>1889</v>
      </c>
    </row>
    <row r="294" spans="1:18">
      <c r="A294" s="27"/>
      <c r="B294" s="28">
        <v>290</v>
      </c>
      <c r="C294" s="1">
        <f>30000000+INDEX(编号表!$B:$B,MATCH(G294,编号表!$A:$A,0))*100000+INDEX(编号表!$F:$F,MATCH(H294,编号表!$E:$E,0))*1000+INDEX(编号表!$D:$D,MATCH(F294,编号表!$C:$C,0))*10000+E294</f>
        <v>31335008</v>
      </c>
      <c r="D294" s="23" t="s">
        <v>352</v>
      </c>
      <c r="E294" s="23">
        <v>8</v>
      </c>
      <c r="F294" s="23" t="s">
        <v>231</v>
      </c>
      <c r="G294" s="23" t="s">
        <v>45</v>
      </c>
      <c r="H294" s="23" t="s">
        <v>173</v>
      </c>
      <c r="I294" s="23" t="s">
        <v>58</v>
      </c>
      <c r="J294" s="23"/>
      <c r="K294" s="23"/>
      <c r="L294" s="29">
        <v>0</v>
      </c>
      <c r="M294" s="29">
        <v>-2</v>
      </c>
      <c r="N294" s="29"/>
      <c r="O294" s="29">
        <v>37633</v>
      </c>
      <c r="P294" s="29">
        <v>15731</v>
      </c>
      <c r="Q294" s="29">
        <v>0</v>
      </c>
      <c r="R294" s="30">
        <v>4408</v>
      </c>
    </row>
    <row r="295" spans="1:18">
      <c r="A295" s="27"/>
      <c r="B295" s="28">
        <v>291</v>
      </c>
      <c r="C295" s="1">
        <f>30000000+INDEX(编号表!$B:$B,MATCH(G295,编号表!$A:$A,0))*100000+INDEX(编号表!$F:$F,MATCH(H295,编号表!$E:$E,0))*1000+INDEX(编号表!$D:$D,MATCH(F295,编号表!$C:$C,0))*10000+E295</f>
        <v>31335009</v>
      </c>
      <c r="D295" s="23" t="s">
        <v>353</v>
      </c>
      <c r="E295" s="23">
        <v>9</v>
      </c>
      <c r="F295" s="23" t="s">
        <v>231</v>
      </c>
      <c r="G295" s="23" t="s">
        <v>45</v>
      </c>
      <c r="H295" s="23" t="s">
        <v>173</v>
      </c>
      <c r="I295" s="23" t="s">
        <v>58</v>
      </c>
      <c r="J295" s="23"/>
      <c r="K295" s="23"/>
      <c r="L295" s="29">
        <v>0</v>
      </c>
      <c r="M295" s="29">
        <v>1</v>
      </c>
      <c r="N295" s="29"/>
      <c r="O295" s="29">
        <v>35681</v>
      </c>
      <c r="P295" s="29">
        <v>9763</v>
      </c>
      <c r="Q295" s="29">
        <v>0</v>
      </c>
      <c r="R295" s="30">
        <v>6141</v>
      </c>
    </row>
    <row r="296" spans="1:18">
      <c r="A296" s="27"/>
      <c r="B296" s="28">
        <v>292</v>
      </c>
      <c r="C296" s="1">
        <f>30000000+INDEX(编号表!$B:$B,MATCH(G296,编号表!$A:$A,0))*100000+INDEX(编号表!$F:$F,MATCH(H296,编号表!$E:$E,0))*1000+INDEX(编号表!$D:$D,MATCH(F296,编号表!$C:$C,0))*10000+E296</f>
        <v>31535000</v>
      </c>
      <c r="D296" s="23" t="inlineStr">
        <is>
          <t xml:space="preserve">十载霜辛草·神株</t>
        </is>
      </c>
      <c r="E296" s="23">
        <v>0</v>
      </c>
      <c r="F296" s="23" t="s">
        <v>231</v>
      </c>
      <c r="G296" s="23" t="s">
        <v>61</v>
      </c>
      <c r="H296" s="23" t="s">
        <v>173</v>
      </c>
      <c r="I296" s="23"/>
      <c r="J296" s="23" t="s">
        <v>62</v>
      </c>
      <c r="K296" s="23"/>
      <c r="L296" s="29">
        <v>0</v>
      </c>
      <c r="M296" s="29">
        <v>-2</v>
      </c>
      <c r="N296" s="29"/>
      <c r="O296" s="29">
        <v>37633</v>
      </c>
      <c r="P296" s="29">
        <v>15731</v>
      </c>
      <c r="Q296" s="29">
        <v>0</v>
      </c>
      <c r="R296" s="30">
        <v>4408</v>
      </c>
    </row>
    <row r="297" spans="1:18">
      <c r="A297" s="27"/>
      <c r="B297" s="28">
        <v>293</v>
      </c>
      <c r="C297" s="1">
        <f>30000000+INDEX(编号表!$B:$B,MATCH(G297,编号表!$A:$A,0))*100000+INDEX(编号表!$F:$F,MATCH(H297,编号表!$E:$E,0))*1000+INDEX(编号表!$D:$D,MATCH(F297,编号表!$C:$C,0))*10000+E297</f>
        <v>31535001</v>
      </c>
      <c r="D297" s="23" t="s">
        <v>355</v>
      </c>
      <c r="E297" s="23">
        <v>1</v>
      </c>
      <c r="F297" s="23" t="s">
        <v>231</v>
      </c>
      <c r="G297" s="23" t="s">
        <v>61</v>
      </c>
      <c r="H297" s="23" t="s">
        <v>173</v>
      </c>
      <c r="I297" s="23"/>
      <c r="J297" s="23" t="s">
        <v>62</v>
      </c>
      <c r="K297" s="23"/>
      <c r="L297" s="29">
        <v>0</v>
      </c>
      <c r="M297" s="29">
        <v>3</v>
      </c>
      <c r="N297" s="29"/>
      <c r="O297" s="29">
        <v>40216</v>
      </c>
      <c r="P297" s="29">
        <v>20784</v>
      </c>
      <c r="Q297" s="29">
        <v>0</v>
      </c>
      <c r="R297" s="30">
        <v>5668</v>
      </c>
    </row>
    <row r="298" spans="1:18">
      <c r="A298" s="27"/>
      <c r="B298" s="28">
        <v>294</v>
      </c>
      <c r="C298" s="1">
        <f>30000000+INDEX(编号表!$B:$B,MATCH(G298,编号表!$A:$A,0))*100000+INDEX(编号表!$F:$F,MATCH(H298,编号表!$E:$E,0))*1000+INDEX(编号表!$D:$D,MATCH(F298,编号表!$C:$C,0))*10000+E298</f>
        <v>31535002</v>
      </c>
      <c r="D298" s="23" t="s">
        <v>356</v>
      </c>
      <c r="E298" s="23">
        <v>2</v>
      </c>
      <c r="F298" s="23" t="s">
        <v>231</v>
      </c>
      <c r="G298" s="23" t="s">
        <v>61</v>
      </c>
      <c r="H298" s="23" t="s">
        <v>173</v>
      </c>
      <c r="I298" s="23"/>
      <c r="J298" s="23" t="s">
        <v>65</v>
      </c>
      <c r="K298" s="23"/>
      <c r="L298" s="29">
        <v>0</v>
      </c>
      <c r="M298" s="29">
        <v>-1</v>
      </c>
      <c r="N298" s="29"/>
      <c r="O298" s="29">
        <v>35681</v>
      </c>
      <c r="P298" s="29">
        <v>9763</v>
      </c>
      <c r="Q298" s="29">
        <v>0</v>
      </c>
      <c r="R298" s="30">
        <v>6141</v>
      </c>
    </row>
    <row r="299" spans="1:18">
      <c r="A299" s="27"/>
      <c r="B299" s="28">
        <v>295</v>
      </c>
      <c r="C299" s="1">
        <f>30000000+INDEX(编号表!$B:$B,MATCH(G299,编号表!$A:$A,0))*100000+INDEX(编号表!$F:$F,MATCH(H299,编号表!$E:$E,0))*1000+INDEX(编号表!$D:$D,MATCH(F299,编号表!$C:$C,0))*10000+E299</f>
        <v>31535003</v>
      </c>
      <c r="D299" s="23" t="s">
        <v>357</v>
      </c>
      <c r="E299" s="23">
        <v>3</v>
      </c>
      <c r="F299" s="23" t="s">
        <v>231</v>
      </c>
      <c r="G299" s="23" t="s">
        <v>61</v>
      </c>
      <c r="H299" s="23" t="s">
        <v>173</v>
      </c>
      <c r="I299" s="23"/>
      <c r="J299" s="23" t="s">
        <v>65</v>
      </c>
      <c r="K299" s="23"/>
      <c r="L299" s="29">
        <v>0</v>
      </c>
      <c r="M299" s="29">
        <v>2</v>
      </c>
      <c r="N299" s="29"/>
      <c r="O299" s="29">
        <v>37633</v>
      </c>
      <c r="P299" s="29">
        <v>23453</v>
      </c>
      <c r="Q299" s="29">
        <v>0</v>
      </c>
      <c r="R299" s="30">
        <v>1889</v>
      </c>
    </row>
    <row r="300" spans="1:18">
      <c r="A300" s="27"/>
      <c r="B300" s="28">
        <v>296</v>
      </c>
      <c r="C300" s="1">
        <f>30000000+INDEX(编号表!$B:$B,MATCH(G300,编号表!$A:$A,0))*100000+INDEX(编号表!$F:$F,MATCH(H300,编号表!$E:$E,0))*1000+INDEX(编号表!$D:$D,MATCH(F300,编号表!$C:$C,0))*10000+E300</f>
        <v>31535004</v>
      </c>
      <c r="D300" s="23" t="s">
        <v>358</v>
      </c>
      <c r="E300" s="23">
        <v>4</v>
      </c>
      <c r="F300" s="23" t="s">
        <v>231</v>
      </c>
      <c r="G300" s="23" t="s">
        <v>61</v>
      </c>
      <c r="H300" s="23" t="s">
        <v>173</v>
      </c>
      <c r="I300" s="23"/>
      <c r="J300" s="23" t="s">
        <v>68</v>
      </c>
      <c r="K300" s="23"/>
      <c r="L300" s="29">
        <v>0</v>
      </c>
      <c r="M300" s="29">
        <v>-1</v>
      </c>
      <c r="N300" s="29"/>
      <c r="O300" s="29">
        <v>37633</v>
      </c>
      <c r="P300" s="29">
        <v>19449</v>
      </c>
      <c r="Q300" s="29">
        <v>0</v>
      </c>
      <c r="R300" s="30">
        <v>4566</v>
      </c>
    </row>
    <row r="301" spans="1:18">
      <c r="A301" s="27"/>
      <c r="B301" s="28">
        <v>297</v>
      </c>
      <c r="C301" s="1">
        <f>30000000+INDEX(编号表!$B:$B,MATCH(G301,编号表!$A:$A,0))*100000+INDEX(编号表!$F:$F,MATCH(H301,编号表!$E:$E,0))*1000+INDEX(编号表!$D:$D,MATCH(F301,编号表!$C:$C,0))*10000+E301</f>
        <v>31535005</v>
      </c>
      <c r="D301" s="23" t="s">
        <v>359</v>
      </c>
      <c r="E301" s="23">
        <v>5</v>
      </c>
      <c r="F301" s="23" t="s">
        <v>231</v>
      </c>
      <c r="G301" s="23" t="s">
        <v>61</v>
      </c>
      <c r="H301" s="23" t="s">
        <v>173</v>
      </c>
      <c r="I301" s="23"/>
      <c r="J301" s="23" t="s">
        <v>68</v>
      </c>
      <c r="K301" s="23"/>
      <c r="L301" s="29">
        <v>0</v>
      </c>
      <c r="M301" s="29">
        <v>4</v>
      </c>
      <c r="N301" s="29"/>
      <c r="O301" s="29">
        <v>38925</v>
      </c>
      <c r="P301" s="29">
        <v>24259</v>
      </c>
      <c r="Q301" s="29">
        <v>0</v>
      </c>
      <c r="R301" s="30">
        <v>8188</v>
      </c>
    </row>
    <row r="302" spans="1:18">
      <c r="A302" s="27"/>
      <c r="B302" s="28">
        <v>298</v>
      </c>
      <c r="C302" s="1">
        <f>30000000+INDEX(编号表!$B:$B,MATCH(G302,编号表!$A:$A,0))*100000+INDEX(编号表!$F:$F,MATCH(H302,编号表!$E:$E,0))*1000+INDEX(编号表!$D:$D,MATCH(F302,编号表!$C:$C,0))*10000+E302</f>
        <v>31535006</v>
      </c>
      <c r="D302" s="23" t="s">
        <v>360</v>
      </c>
      <c r="E302" s="23">
        <v>6</v>
      </c>
      <c r="F302" s="23" t="s">
        <v>231</v>
      </c>
      <c r="G302" s="23" t="s">
        <v>61</v>
      </c>
      <c r="H302" s="23" t="s">
        <v>173</v>
      </c>
      <c r="I302" s="23"/>
      <c r="J302" s="23" t="s">
        <v>71</v>
      </c>
      <c r="K302" s="23"/>
      <c r="L302" s="29">
        <v>0</v>
      </c>
      <c r="M302" s="29">
        <v>-1</v>
      </c>
      <c r="N302" s="29"/>
      <c r="O302" s="29">
        <v>38925</v>
      </c>
      <c r="P302" s="29">
        <v>8284</v>
      </c>
      <c r="Q302" s="29">
        <v>0</v>
      </c>
      <c r="R302" s="30">
        <v>13226</v>
      </c>
    </row>
    <row r="303" spans="1:18">
      <c r="A303" s="27"/>
      <c r="B303" s="28">
        <v>299</v>
      </c>
      <c r="C303" s="1">
        <f>30000000+INDEX(编号表!$B:$B,MATCH(G303,编号表!$A:$A,0))*100000+INDEX(编号表!$F:$F,MATCH(H303,编号表!$E:$E,0))*1000+INDEX(编号表!$D:$D,MATCH(F303,编号表!$C:$C,0))*10000+E303</f>
        <v>31535007</v>
      </c>
      <c r="D303" s="23" t="s">
        <v>361</v>
      </c>
      <c r="E303" s="23">
        <v>7</v>
      </c>
      <c r="F303" s="23" t="s">
        <v>231</v>
      </c>
      <c r="G303" s="23" t="s">
        <v>61</v>
      </c>
      <c r="H303" s="23" t="s">
        <v>173</v>
      </c>
      <c r="I303" s="23"/>
      <c r="J303" s="23" t="s">
        <v>71</v>
      </c>
      <c r="K303" s="23"/>
      <c r="L303" s="29">
        <v>0</v>
      </c>
      <c r="M303" s="29">
        <v>2</v>
      </c>
      <c r="N303" s="29"/>
      <c r="O303" s="29">
        <v>37633</v>
      </c>
      <c r="P303" s="29">
        <v>23453</v>
      </c>
      <c r="Q303" s="29">
        <v>0</v>
      </c>
      <c r="R303" s="30">
        <v>1889</v>
      </c>
    </row>
    <row r="304" spans="1:18">
      <c r="A304" s="27"/>
      <c r="B304" s="28">
        <v>300</v>
      </c>
      <c r="C304" s="1">
        <f>30000000+INDEX(编号表!$B:$B,MATCH(G304,编号表!$A:$A,0))*100000+INDEX(编号表!$F:$F,MATCH(H304,编号表!$E:$E,0))*1000+INDEX(编号表!$D:$D,MATCH(F304,编号表!$C:$C,0))*10000+E304</f>
        <v>31535008</v>
      </c>
      <c r="D304" s="23" t="s">
        <v>362</v>
      </c>
      <c r="E304" s="23">
        <v>8</v>
      </c>
      <c r="F304" s="23" t="s">
        <v>231</v>
      </c>
      <c r="G304" s="23" t="s">
        <v>61</v>
      </c>
      <c r="H304" s="23" t="s">
        <v>173</v>
      </c>
      <c r="I304" s="23"/>
      <c r="J304" s="23" t="s">
        <v>74</v>
      </c>
      <c r="K304" s="23"/>
      <c r="L304" s="29">
        <v>0</v>
      </c>
      <c r="M304" s="29">
        <v>-2</v>
      </c>
      <c r="N304" s="29"/>
      <c r="O304" s="29">
        <v>37633</v>
      </c>
      <c r="P304" s="29">
        <v>15731</v>
      </c>
      <c r="Q304" s="29">
        <v>0</v>
      </c>
      <c r="R304" s="30">
        <v>4408</v>
      </c>
    </row>
    <row r="305" spans="1:18">
      <c r="A305" s="27"/>
      <c r="B305" s="28">
        <v>301</v>
      </c>
      <c r="C305" s="1">
        <f>30000000+INDEX(编号表!$B:$B,MATCH(G305,编号表!$A:$A,0))*100000+INDEX(编号表!$F:$F,MATCH(H305,编号表!$E:$E,0))*1000+INDEX(编号表!$D:$D,MATCH(F305,编号表!$C:$C,0))*10000+E305</f>
        <v>31535009</v>
      </c>
      <c r="D305" s="23" t="s">
        <v>363</v>
      </c>
      <c r="E305" s="23">
        <v>9</v>
      </c>
      <c r="F305" s="23" t="s">
        <v>231</v>
      </c>
      <c r="G305" s="23" t="s">
        <v>61</v>
      </c>
      <c r="H305" s="23" t="s">
        <v>173</v>
      </c>
      <c r="I305" s="23"/>
      <c r="J305" s="23" t="s">
        <v>74</v>
      </c>
      <c r="K305" s="23"/>
      <c r="L305" s="29">
        <v>0</v>
      </c>
      <c r="M305" s="29">
        <v>1</v>
      </c>
      <c r="N305" s="29"/>
      <c r="O305" s="29">
        <v>35681</v>
      </c>
      <c r="P305" s="29">
        <v>9763</v>
      </c>
      <c r="Q305" s="29">
        <v>0</v>
      </c>
      <c r="R305" s="30">
        <v>6141</v>
      </c>
    </row>
    <row r="306" spans="1:18">
      <c r="A306" s="27"/>
      <c r="B306" s="28">
        <v>302</v>
      </c>
      <c r="C306" s="1">
        <f>30000000+INDEX(编号表!$B:$B,MATCH(G306,编号表!$A:$A,0))*100000+INDEX(编号表!$F:$F,MATCH(H306,编号表!$E:$E,0))*1000+INDEX(编号表!$D:$D,MATCH(F306,编号表!$C:$C,0))*10000+E306</f>
        <v>31435000</v>
      </c>
      <c r="D306" s="23" t="s">
        <v>364</v>
      </c>
      <c r="E306" s="23">
        <v>0</v>
      </c>
      <c r="F306" s="23" t="s">
        <v>231</v>
      </c>
      <c r="G306" s="23" t="s">
        <v>77</v>
      </c>
      <c r="H306" s="23" t="s">
        <v>173</v>
      </c>
      <c r="I306" s="23"/>
      <c r="J306" s="23"/>
      <c r="K306" s="23"/>
      <c r="L306" s="29">
        <v>0</v>
      </c>
      <c r="M306" s="29">
        <v>0</v>
      </c>
      <c r="N306" s="29"/>
      <c r="O306" s="29">
        <v>35681</v>
      </c>
      <c r="P306" s="29">
        <v>7593</v>
      </c>
      <c r="Q306" s="29">
        <v>0</v>
      </c>
      <c r="R306" s="30">
        <v>7243</v>
      </c>
    </row>
    <row r="307" spans="1:18">
      <c r="A307" s="27"/>
      <c r="B307" s="28">
        <v>303</v>
      </c>
      <c r="C307" s="1">
        <f>30000000+INDEX(编号表!$B:$B,MATCH(G307,编号表!$A:$A,0))*100000+INDEX(编号表!$F:$F,MATCH(H307,编号表!$E:$E,0))*1000+INDEX(编号表!$D:$D,MATCH(F307,编号表!$C:$C,0))*10000+E307</f>
        <v>31435001</v>
      </c>
      <c r="D307" s="23" t="s">
        <v>365</v>
      </c>
      <c r="E307" s="23">
        <v>1</v>
      </c>
      <c r="F307" s="23" t="s">
        <v>231</v>
      </c>
      <c r="G307" s="23" t="s">
        <v>77</v>
      </c>
      <c r="H307" s="23" t="s">
        <v>173</v>
      </c>
      <c r="I307" s="23"/>
      <c r="J307" s="23"/>
      <c r="K307" s="23"/>
      <c r="L307" s="29">
        <v>0</v>
      </c>
      <c r="M307" s="29">
        <v>0</v>
      </c>
      <c r="N307" s="29"/>
      <c r="O307" s="29">
        <v>40216</v>
      </c>
      <c r="P307" s="29">
        <v>25063</v>
      </c>
      <c r="Q307" s="29">
        <v>0</v>
      </c>
      <c r="R307" s="30">
        <v>2519</v>
      </c>
    </row>
    <row r="308" spans="1:18">
      <c r="A308" s="27"/>
      <c r="B308" s="28">
        <v>304</v>
      </c>
      <c r="C308" s="1">
        <f>30000000+INDEX(编号表!$B:$B,MATCH(G308,编号表!$A:$A,0))*100000+INDEX(编号表!$F:$F,MATCH(H308,编号表!$E:$E,0))*1000+INDEX(编号表!$D:$D,MATCH(F308,编号表!$C:$C,0))*10000+E308</f>
        <v>31435002</v>
      </c>
      <c r="D308" s="23" t="s">
        <v>366</v>
      </c>
      <c r="E308" s="23">
        <v>2</v>
      </c>
      <c r="F308" s="23" t="s">
        <v>231</v>
      </c>
      <c r="G308" s="23" t="s">
        <v>77</v>
      </c>
      <c r="H308" s="23" t="s">
        <v>173</v>
      </c>
      <c r="I308" s="23"/>
      <c r="J308" s="23"/>
      <c r="K308" s="23"/>
      <c r="L308" s="29">
        <v>0</v>
      </c>
      <c r="M308" s="29">
        <v>1</v>
      </c>
      <c r="N308" s="29"/>
      <c r="O308" s="29">
        <v>38925</v>
      </c>
      <c r="P308" s="29">
        <v>8284</v>
      </c>
      <c r="Q308" s="29">
        <v>0</v>
      </c>
      <c r="R308" s="30">
        <v>13226</v>
      </c>
    </row>
    <row r="309" spans="1:18">
      <c r="A309" s="27"/>
      <c r="B309" s="28">
        <v>305</v>
      </c>
      <c r="C309" s="1">
        <f>30000000+INDEX(编号表!$B:$B,MATCH(G309,编号表!$A:$A,0))*100000+INDEX(编号表!$F:$F,MATCH(H309,编号表!$E:$E,0))*1000+INDEX(编号表!$D:$D,MATCH(F309,编号表!$C:$C,0))*10000+E309</f>
        <v>31435003</v>
      </c>
      <c r="D309" s="23" t="s">
        <v>367</v>
      </c>
      <c r="E309" s="23">
        <v>3</v>
      </c>
      <c r="F309" s="23" t="s">
        <v>231</v>
      </c>
      <c r="G309" s="23" t="s">
        <v>77</v>
      </c>
      <c r="H309" s="23" t="s">
        <v>173</v>
      </c>
      <c r="I309" s="23"/>
      <c r="J309" s="23"/>
      <c r="K309" s="23"/>
      <c r="L309" s="29">
        <v>0</v>
      </c>
      <c r="M309" s="29">
        <v>4</v>
      </c>
      <c r="N309" s="29"/>
      <c r="O309" s="29">
        <v>38925</v>
      </c>
      <c r="P309" s="29">
        <v>24259</v>
      </c>
      <c r="Q309" s="29">
        <v>0</v>
      </c>
      <c r="R309" s="30">
        <v>8188</v>
      </c>
    </row>
    <row r="310" spans="1:18">
      <c r="A310" s="27"/>
      <c r="B310" s="28">
        <v>306</v>
      </c>
      <c r="C310" s="1">
        <f>30000000+INDEX(编号表!$B:$B,MATCH(G310,编号表!$A:$A,0))*100000+INDEX(编号表!$F:$F,MATCH(H310,编号表!$E:$E,0))*1000+INDEX(编号表!$D:$D,MATCH(F310,编号表!$C:$C,0))*10000+E310</f>
        <v>31635000</v>
      </c>
      <c r="D310" s="23" t="s">
        <v>368</v>
      </c>
      <c r="E310" s="23">
        <v>0</v>
      </c>
      <c r="F310" s="23" t="s">
        <v>231</v>
      </c>
      <c r="G310" s="23" t="s">
        <v>82</v>
      </c>
      <c r="H310" s="23" t="s">
        <v>173</v>
      </c>
      <c r="I310" s="23"/>
      <c r="J310" s="23"/>
      <c r="K310" s="23"/>
      <c r="L310" s="29">
        <v>7</v>
      </c>
      <c r="M310" s="29">
        <v>0</v>
      </c>
      <c r="N310" s="29"/>
      <c r="O310" s="29">
        <v>0</v>
      </c>
      <c r="P310" s="29">
        <v>0</v>
      </c>
      <c r="Q310" s="29">
        <v>0</v>
      </c>
      <c r="R310" s="30">
        <v>3779</v>
      </c>
    </row>
    <row r="311" spans="1:18">
      <c r="A311" s="27"/>
      <c r="B311" s="28">
        <v>307</v>
      </c>
      <c r="C311" s="1">
        <f>30000000+INDEX(编号表!$B:$B,MATCH(G311,编号表!$A:$A,0))*100000+INDEX(编号表!$F:$F,MATCH(H311,编号表!$E:$E,0))*1000+INDEX(编号表!$D:$D,MATCH(F311,编号表!$C:$C,0))*10000+E311</f>
        <v>31635001</v>
      </c>
      <c r="D311" s="23" t="s">
        <v>369</v>
      </c>
      <c r="E311" s="23">
        <v>1</v>
      </c>
      <c r="F311" s="23" t="s">
        <v>231</v>
      </c>
      <c r="G311" s="23" t="s">
        <v>82</v>
      </c>
      <c r="H311" s="23" t="s">
        <v>173</v>
      </c>
      <c r="I311" s="23"/>
      <c r="J311" s="23"/>
      <c r="K311" s="23"/>
      <c r="L311" s="29">
        <v>8</v>
      </c>
      <c r="M311" s="29">
        <v>0</v>
      </c>
      <c r="N311" s="29"/>
      <c r="O311" s="29">
        <v>0</v>
      </c>
      <c r="P311" s="29">
        <v>0</v>
      </c>
      <c r="Q311" s="29">
        <v>0</v>
      </c>
      <c r="R311" s="30">
        <v>6928</v>
      </c>
    </row>
    <row r="312" spans="1:18">
      <c r="A312" s="27"/>
      <c r="B312" s="28">
        <v>308</v>
      </c>
      <c r="C312" s="1">
        <f>30000000+INDEX(编号表!$B:$B,MATCH(G312,编号表!$A:$A,0))*100000+INDEX(编号表!$F:$F,MATCH(H312,编号表!$E:$E,0))*1000+INDEX(编号表!$D:$D,MATCH(F312,编号表!$C:$C,0))*10000+E312</f>
        <v>31635002</v>
      </c>
      <c r="D312" s="23" t="s">
        <v>370</v>
      </c>
      <c r="E312" s="23">
        <v>2</v>
      </c>
      <c r="F312" s="23" t="s">
        <v>231</v>
      </c>
      <c r="G312" s="23" t="s">
        <v>82</v>
      </c>
      <c r="H312" s="23" t="s">
        <v>173</v>
      </c>
      <c r="I312" s="23"/>
      <c r="J312" s="23"/>
      <c r="K312" s="23"/>
      <c r="L312" s="29">
        <v>9</v>
      </c>
      <c r="M312" s="29">
        <v>0</v>
      </c>
      <c r="N312" s="29"/>
      <c r="O312" s="29">
        <v>0</v>
      </c>
      <c r="P312" s="29">
        <v>0</v>
      </c>
      <c r="Q312" s="29">
        <v>0</v>
      </c>
      <c r="R312" s="30">
        <v>10707</v>
      </c>
    </row>
    <row r="313" spans="1:18">
      <c r="A313" s="27"/>
      <c r="B313" s="28">
        <v>309</v>
      </c>
      <c r="C313" s="1">
        <f>30000000+INDEX(编号表!$B:$B,MATCH(G313,编号表!$A:$A,0))*100000+INDEX(编号表!$F:$F,MATCH(H313,编号表!$E:$E,0))*1000+INDEX(编号表!$D:$D,MATCH(F313,编号表!$C:$C,0))*10000+E313</f>
        <v>31236000</v>
      </c>
      <c r="D313" s="23" t="s">
        <v>371</v>
      </c>
      <c r="E313" s="23">
        <v>0</v>
      </c>
      <c r="F313" s="23" t="s">
        <v>231</v>
      </c>
      <c r="G313" s="23" t="s">
        <v>42</v>
      </c>
      <c r="H313" s="23" t="s">
        <v>202</v>
      </c>
      <c r="I313" s="23"/>
      <c r="J313" s="23"/>
      <c r="K313" s="23"/>
      <c r="L313" s="29">
        <v>0</v>
      </c>
      <c r="M313" s="29">
        <v>0</v>
      </c>
      <c r="N313" s="29"/>
      <c r="O313" s="29">
        <v>113373</v>
      </c>
      <c r="P313" s="29">
        <v>43649</v>
      </c>
      <c r="Q313" s="29">
        <v>566868</v>
      </c>
      <c r="R313" s="30">
        <v>10203</v>
      </c>
    </row>
    <row r="314" spans="1:18">
      <c r="A314" s="27"/>
      <c r="B314" s="28">
        <v>310</v>
      </c>
      <c r="C314" s="1">
        <f>30000000+INDEX(编号表!$B:$B,MATCH(G314,编号表!$A:$A,0))*100000+INDEX(编号表!$F:$F,MATCH(H314,编号表!$E:$E,0))*1000+INDEX(编号表!$D:$D,MATCH(F314,编号表!$C:$C,0))*10000+E314</f>
        <v>31336000</v>
      </c>
      <c r="D314" s="23" t="s">
        <v>372</v>
      </c>
      <c r="E314" s="23">
        <v>0</v>
      </c>
      <c r="F314" s="23" t="s">
        <v>231</v>
      </c>
      <c r="G314" s="23" t="s">
        <v>45</v>
      </c>
      <c r="H314" s="23" t="s">
        <v>202</v>
      </c>
      <c r="I314" s="23" t="s">
        <v>46</v>
      </c>
      <c r="J314" s="23"/>
      <c r="K314" s="23"/>
      <c r="L314" s="29">
        <v>0</v>
      </c>
      <c r="M314" s="29">
        <v>-2</v>
      </c>
      <c r="N314" s="29"/>
      <c r="O314" s="29">
        <v>67740</v>
      </c>
      <c r="P314" s="29">
        <v>26080</v>
      </c>
      <c r="Q314" s="29">
        <v>0</v>
      </c>
      <c r="R314" s="30">
        <v>7936</v>
      </c>
    </row>
    <row r="315" spans="1:18">
      <c r="A315" s="27"/>
      <c r="B315" s="28">
        <v>311</v>
      </c>
      <c r="C315" s="1">
        <f>30000000+INDEX(编号表!$B:$B,MATCH(G315,编号表!$A:$A,0))*100000+INDEX(编号表!$F:$F,MATCH(H315,编号表!$E:$E,0))*1000+INDEX(编号表!$D:$D,MATCH(F315,编号表!$C:$C,0))*10000+E315</f>
        <v>31336001</v>
      </c>
      <c r="D315" s="23" t="s">
        <v>373</v>
      </c>
      <c r="E315" s="23">
        <v>1</v>
      </c>
      <c r="F315" s="23" t="s">
        <v>231</v>
      </c>
      <c r="G315" s="23" t="s">
        <v>45</v>
      </c>
      <c r="H315" s="23" t="s">
        <v>202</v>
      </c>
      <c r="I315" s="23" t="s">
        <v>46</v>
      </c>
      <c r="J315" s="23"/>
      <c r="K315" s="23"/>
      <c r="L315" s="29">
        <v>0</v>
      </c>
      <c r="M315" s="29">
        <v>3</v>
      </c>
      <c r="N315" s="29"/>
      <c r="O315" s="29">
        <v>72389</v>
      </c>
      <c r="P315" s="29">
        <v>34458</v>
      </c>
      <c r="Q315" s="29">
        <v>0</v>
      </c>
      <c r="R315" s="30">
        <v>10203</v>
      </c>
    </row>
    <row r="316" spans="1:18">
      <c r="A316" s="27"/>
      <c r="B316" s="28">
        <v>312</v>
      </c>
      <c r="C316" s="1">
        <f>30000000+INDEX(编号表!$B:$B,MATCH(G316,编号表!$A:$A,0))*100000+INDEX(编号表!$F:$F,MATCH(H316,编号表!$E:$E,0))*1000+INDEX(编号表!$D:$D,MATCH(F316,编号表!$C:$C,0))*10000+E316</f>
        <v>31336002</v>
      </c>
      <c r="D316" s="23" t="s">
        <v>374</v>
      </c>
      <c r="E316" s="23">
        <v>2</v>
      </c>
      <c r="F316" s="23" t="s">
        <v>231</v>
      </c>
      <c r="G316" s="23" t="s">
        <v>45</v>
      </c>
      <c r="H316" s="23" t="s">
        <v>202</v>
      </c>
      <c r="I316" s="23" t="s">
        <v>49</v>
      </c>
      <c r="J316" s="23"/>
      <c r="K316" s="23"/>
      <c r="L316" s="29">
        <v>0</v>
      </c>
      <c r="M316" s="29">
        <v>-1</v>
      </c>
      <c r="N316" s="29"/>
      <c r="O316" s="29">
        <v>64226</v>
      </c>
      <c r="P316" s="29">
        <v>16185</v>
      </c>
      <c r="Q316" s="29">
        <v>0</v>
      </c>
      <c r="R316" s="30">
        <v>11053</v>
      </c>
    </row>
    <row r="317" spans="1:18">
      <c r="A317" s="27"/>
      <c r="B317" s="28">
        <v>313</v>
      </c>
      <c r="C317" s="1">
        <f>30000000+INDEX(编号表!$B:$B,MATCH(G317,编号表!$A:$A,0))*100000+INDEX(编号表!$F:$F,MATCH(H317,编号表!$E:$E,0))*1000+INDEX(编号表!$D:$D,MATCH(F317,编号表!$C:$C,0))*10000+E317</f>
        <v>31336003</v>
      </c>
      <c r="D317" s="23" t="s">
        <v>375</v>
      </c>
      <c r="E317" s="23">
        <v>3</v>
      </c>
      <c r="F317" s="23" t="s">
        <v>231</v>
      </c>
      <c r="G317" s="23" t="s">
        <v>45</v>
      </c>
      <c r="H317" s="23" t="s">
        <v>202</v>
      </c>
      <c r="I317" s="23" t="s">
        <v>49</v>
      </c>
      <c r="J317" s="23"/>
      <c r="K317" s="23"/>
      <c r="L317" s="29">
        <v>0</v>
      </c>
      <c r="M317" s="29">
        <v>2</v>
      </c>
      <c r="N317" s="29"/>
      <c r="O317" s="29">
        <v>67740</v>
      </c>
      <c r="P317" s="29">
        <v>38883</v>
      </c>
      <c r="Q317" s="29">
        <v>0</v>
      </c>
      <c r="R317" s="30">
        <v>3401</v>
      </c>
    </row>
    <row r="318" spans="1:18">
      <c r="A318" s="27"/>
      <c r="B318" s="28">
        <v>314</v>
      </c>
      <c r="C318" s="1">
        <f>30000000+INDEX(编号表!$B:$B,MATCH(G318,编号表!$A:$A,0))*100000+INDEX(编号表!$F:$F,MATCH(H318,编号表!$E:$E,0))*1000+INDEX(编号表!$D:$D,MATCH(F318,编号表!$C:$C,0))*10000+E318</f>
        <v>31336004</v>
      </c>
      <c r="D318" s="23" t="s">
        <v>376</v>
      </c>
      <c r="E318" s="23">
        <v>4</v>
      </c>
      <c r="F318" s="23" t="s">
        <v>231</v>
      </c>
      <c r="G318" s="23" t="s">
        <v>45</v>
      </c>
      <c r="H318" s="23" t="s">
        <v>202</v>
      </c>
      <c r="I318" s="23" t="s">
        <v>52</v>
      </c>
      <c r="J318" s="23"/>
      <c r="K318" s="23"/>
      <c r="L318" s="29">
        <v>0</v>
      </c>
      <c r="M318" s="29">
        <v>-1</v>
      </c>
      <c r="N318" s="29"/>
      <c r="O318" s="29">
        <v>67740</v>
      </c>
      <c r="P318" s="29">
        <v>32245</v>
      </c>
      <c r="Q318" s="29">
        <v>0</v>
      </c>
      <c r="R318" s="30">
        <v>8219</v>
      </c>
    </row>
    <row r="319" spans="1:18">
      <c r="A319" s="27"/>
      <c r="B319" s="28">
        <v>315</v>
      </c>
      <c r="C319" s="1">
        <f>30000000+INDEX(编号表!$B:$B,MATCH(G319,编号表!$A:$A,0))*100000+INDEX(编号表!$F:$F,MATCH(H319,编号表!$E:$E,0))*1000+INDEX(编号表!$D:$D,MATCH(F319,编号表!$C:$C,0))*10000+E319</f>
        <v>31336005</v>
      </c>
      <c r="D319" s="23" t="inlineStr">
        <is>
          <t xml:space="preserve">十载沸泉苔·道株</t>
        </is>
      </c>
      <c r="E319" s="23">
        <v>5</v>
      </c>
      <c r="F319" s="23" t="s">
        <v>231</v>
      </c>
      <c r="G319" s="23" t="s">
        <v>45</v>
      </c>
      <c r="H319" s="23" t="s">
        <v>202</v>
      </c>
      <c r="I319" s="23" t="s">
        <v>52</v>
      </c>
      <c r="J319" s="23"/>
      <c r="K319" s="23"/>
      <c r="L319" s="29">
        <v>0</v>
      </c>
      <c r="M319" s="29">
        <v>4</v>
      </c>
      <c r="N319" s="29"/>
      <c r="O319" s="29">
        <v>70064</v>
      </c>
      <c r="P319" s="29">
        <v>40217</v>
      </c>
      <c r="Q319" s="29">
        <v>0</v>
      </c>
      <c r="R319" s="30">
        <v>14738</v>
      </c>
    </row>
    <row r="320" spans="1:18">
      <c r="A320" s="27"/>
      <c r="B320" s="28">
        <v>316</v>
      </c>
      <c r="C320" s="1">
        <f>30000000+INDEX(编号表!$B:$B,MATCH(G320,编号表!$A:$A,0))*100000+INDEX(编号表!$F:$F,MATCH(H320,编号表!$E:$E,0))*1000+INDEX(编号表!$D:$D,MATCH(F320,编号表!$C:$C,0))*10000+E320</f>
        <v>31336006</v>
      </c>
      <c r="D320" s="23" t="inlineStr">
        <is>
          <t xml:space="preserve">十载丹露花·道株</t>
        </is>
      </c>
      <c r="E320" s="23">
        <v>6</v>
      </c>
      <c r="F320" s="23" t="s">
        <v>231</v>
      </c>
      <c r="G320" s="23" t="s">
        <v>45</v>
      </c>
      <c r="H320" s="23" t="s">
        <v>202</v>
      </c>
      <c r="I320" s="23" t="s">
        <v>55</v>
      </c>
      <c r="J320" s="23"/>
      <c r="K320" s="23"/>
      <c r="L320" s="29">
        <v>0</v>
      </c>
      <c r="M320" s="29">
        <v>-1</v>
      </c>
      <c r="N320" s="29"/>
      <c r="O320" s="29">
        <v>70064</v>
      </c>
      <c r="P320" s="29">
        <v>13733</v>
      </c>
      <c r="Q320" s="29">
        <v>0</v>
      </c>
      <c r="R320" s="30">
        <v>23808</v>
      </c>
    </row>
    <row r="321" spans="1:18">
      <c r="A321" s="27"/>
      <c r="B321" s="28">
        <v>317</v>
      </c>
      <c r="C321" s="1">
        <f>30000000+INDEX(编号表!$B:$B,MATCH(G321,编号表!$A:$A,0))*100000+INDEX(编号表!$F:$F,MATCH(H321,编号表!$E:$E,0))*1000+INDEX(编号表!$D:$D,MATCH(F321,编号表!$C:$C,0))*10000+E321</f>
        <v>31336007</v>
      </c>
      <c r="D321" s="23" t="s">
        <v>379</v>
      </c>
      <c r="E321" s="23">
        <v>7</v>
      </c>
      <c r="F321" s="23" t="s">
        <v>231</v>
      </c>
      <c r="G321" s="23" t="s">
        <v>45</v>
      </c>
      <c r="H321" s="23" t="s">
        <v>202</v>
      </c>
      <c r="I321" s="23" t="s">
        <v>55</v>
      </c>
      <c r="J321" s="23"/>
      <c r="K321" s="23"/>
      <c r="L321" s="29">
        <v>0</v>
      </c>
      <c r="M321" s="29">
        <v>2</v>
      </c>
      <c r="N321" s="29"/>
      <c r="O321" s="29">
        <v>67740</v>
      </c>
      <c r="P321" s="29">
        <v>38883</v>
      </c>
      <c r="Q321" s="29">
        <v>0</v>
      </c>
      <c r="R321" s="30">
        <v>3401</v>
      </c>
    </row>
    <row r="322" spans="1:18">
      <c r="A322" s="27"/>
      <c r="B322" s="28">
        <v>318</v>
      </c>
      <c r="C322" s="1">
        <f>30000000+INDEX(编号表!$B:$B,MATCH(G322,编号表!$A:$A,0))*100000+INDEX(编号表!$F:$F,MATCH(H322,编号表!$E:$E,0))*1000+INDEX(编号表!$D:$D,MATCH(F322,编号表!$C:$C,0))*10000+E322</f>
        <v>31336008</v>
      </c>
      <c r="D322" s="23" t="s">
        <v>380</v>
      </c>
      <c r="E322" s="23">
        <v>8</v>
      </c>
      <c r="F322" s="23" t="s">
        <v>231</v>
      </c>
      <c r="G322" s="23" t="s">
        <v>45</v>
      </c>
      <c r="H322" s="23" t="s">
        <v>202</v>
      </c>
      <c r="I322" s="23" t="s">
        <v>58</v>
      </c>
      <c r="J322" s="23"/>
      <c r="K322" s="23"/>
      <c r="L322" s="29">
        <v>0</v>
      </c>
      <c r="M322" s="29">
        <v>-2</v>
      </c>
      <c r="N322" s="29"/>
      <c r="O322" s="29">
        <v>67740</v>
      </c>
      <c r="P322" s="29">
        <v>26080</v>
      </c>
      <c r="Q322" s="29">
        <v>0</v>
      </c>
      <c r="R322" s="30">
        <v>7936</v>
      </c>
    </row>
    <row r="323" spans="1:18">
      <c r="A323" s="27"/>
      <c r="B323" s="28">
        <v>319</v>
      </c>
      <c r="C323" s="1">
        <f>30000000+INDEX(编号表!$B:$B,MATCH(G323,编号表!$A:$A,0))*100000+INDEX(编号表!$F:$F,MATCH(H323,编号表!$E:$E,0))*1000+INDEX(编号表!$D:$D,MATCH(F323,编号表!$C:$C,0))*10000+E323</f>
        <v>31336009</v>
      </c>
      <c r="D323" s="23" t="s">
        <v>381</v>
      </c>
      <c r="E323" s="23">
        <v>9</v>
      </c>
      <c r="F323" s="23" t="s">
        <v>231</v>
      </c>
      <c r="G323" s="23" t="s">
        <v>45</v>
      </c>
      <c r="H323" s="23" t="s">
        <v>202</v>
      </c>
      <c r="I323" s="23" t="s">
        <v>58</v>
      </c>
      <c r="J323" s="23"/>
      <c r="K323" s="23"/>
      <c r="L323" s="29">
        <v>0</v>
      </c>
      <c r="M323" s="29">
        <v>1</v>
      </c>
      <c r="N323" s="29"/>
      <c r="O323" s="29">
        <v>64226</v>
      </c>
      <c r="P323" s="29">
        <v>16185</v>
      </c>
      <c r="Q323" s="29">
        <v>0</v>
      </c>
      <c r="R323" s="30">
        <v>11053</v>
      </c>
    </row>
    <row r="324" spans="1:18">
      <c r="A324" s="27"/>
      <c r="B324" s="28">
        <v>320</v>
      </c>
      <c r="C324" s="1">
        <f>30000000+INDEX(编号表!$B:$B,MATCH(G324,编号表!$A:$A,0))*100000+INDEX(编号表!$F:$F,MATCH(H324,编号表!$E:$E,0))*1000+INDEX(编号表!$D:$D,MATCH(F324,编号表!$C:$C,0))*10000+E324</f>
        <v>31536000</v>
      </c>
      <c r="D324" s="23" t="inlineStr">
        <is>
          <t xml:space="preserve">十载霜辛草·道株</t>
        </is>
      </c>
      <c r="E324" s="23">
        <v>0</v>
      </c>
      <c r="F324" s="23" t="s">
        <v>231</v>
      </c>
      <c r="G324" s="23" t="s">
        <v>61</v>
      </c>
      <c r="H324" s="23" t="s">
        <v>202</v>
      </c>
      <c r="I324" s="23"/>
      <c r="J324" s="23" t="s">
        <v>62</v>
      </c>
      <c r="K324" s="23"/>
      <c r="L324" s="29">
        <v>0</v>
      </c>
      <c r="M324" s="29">
        <v>-2</v>
      </c>
      <c r="N324" s="29"/>
      <c r="O324" s="29">
        <v>67740</v>
      </c>
      <c r="P324" s="29">
        <v>26080</v>
      </c>
      <c r="Q324" s="29">
        <v>0</v>
      </c>
      <c r="R324" s="30">
        <v>7936</v>
      </c>
    </row>
    <row r="325" spans="1:18">
      <c r="A325" s="27"/>
      <c r="B325" s="28">
        <v>321</v>
      </c>
      <c r="C325" s="1">
        <f>30000000+INDEX(编号表!$B:$B,MATCH(G325,编号表!$A:$A,0))*100000+INDEX(编号表!$F:$F,MATCH(H325,编号表!$E:$E,0))*1000+INDEX(编号表!$D:$D,MATCH(F325,编号表!$C:$C,0))*10000+E325</f>
        <v>31536001</v>
      </c>
      <c r="D325" s="23" t="s">
        <v>383</v>
      </c>
      <c r="E325" s="23">
        <v>1</v>
      </c>
      <c r="F325" s="23" t="s">
        <v>231</v>
      </c>
      <c r="G325" s="23" t="s">
        <v>61</v>
      </c>
      <c r="H325" s="23" t="s">
        <v>202</v>
      </c>
      <c r="I325" s="23"/>
      <c r="J325" s="23" t="s">
        <v>62</v>
      </c>
      <c r="K325" s="23"/>
      <c r="L325" s="29">
        <v>0</v>
      </c>
      <c r="M325" s="29">
        <v>3</v>
      </c>
      <c r="N325" s="29"/>
      <c r="O325" s="29">
        <v>72389</v>
      </c>
      <c r="P325" s="29">
        <v>34458</v>
      </c>
      <c r="Q325" s="29">
        <v>0</v>
      </c>
      <c r="R325" s="30">
        <v>10203</v>
      </c>
    </row>
    <row r="326" spans="1:18">
      <c r="A326" s="27"/>
      <c r="B326" s="28">
        <v>322</v>
      </c>
      <c r="C326" s="1">
        <f>30000000+INDEX(编号表!$B:$B,MATCH(G326,编号表!$A:$A,0))*100000+INDEX(编号表!$F:$F,MATCH(H326,编号表!$E:$E,0))*1000+INDEX(编号表!$D:$D,MATCH(F326,编号表!$C:$C,0))*10000+E326</f>
        <v>31536002</v>
      </c>
      <c r="D326" s="23" t="s">
        <v>384</v>
      </c>
      <c r="E326" s="23">
        <v>2</v>
      </c>
      <c r="F326" s="23" t="s">
        <v>231</v>
      </c>
      <c r="G326" s="23" t="s">
        <v>61</v>
      </c>
      <c r="H326" s="23" t="s">
        <v>202</v>
      </c>
      <c r="I326" s="23"/>
      <c r="J326" s="23" t="s">
        <v>65</v>
      </c>
      <c r="K326" s="23"/>
      <c r="L326" s="29">
        <v>0</v>
      </c>
      <c r="M326" s="29">
        <v>-1</v>
      </c>
      <c r="N326" s="29"/>
      <c r="O326" s="29">
        <v>64226</v>
      </c>
      <c r="P326" s="29">
        <v>16185</v>
      </c>
      <c r="Q326" s="29">
        <v>0</v>
      </c>
      <c r="R326" s="30">
        <v>11053</v>
      </c>
    </row>
    <row r="327" spans="1:18">
      <c r="A327" s="27"/>
      <c r="B327" s="28">
        <v>323</v>
      </c>
      <c r="C327" s="1">
        <f>30000000+INDEX(编号表!$B:$B,MATCH(G327,编号表!$A:$A,0))*100000+INDEX(编号表!$F:$F,MATCH(H327,编号表!$E:$E,0))*1000+INDEX(编号表!$D:$D,MATCH(F327,编号表!$C:$C,0))*10000+E327</f>
        <v>31536003</v>
      </c>
      <c r="D327" s="23" t="s">
        <v>385</v>
      </c>
      <c r="E327" s="23">
        <v>3</v>
      </c>
      <c r="F327" s="23" t="s">
        <v>231</v>
      </c>
      <c r="G327" s="23" t="s">
        <v>61</v>
      </c>
      <c r="H327" s="23" t="s">
        <v>202</v>
      </c>
      <c r="I327" s="23"/>
      <c r="J327" s="23" t="s">
        <v>65</v>
      </c>
      <c r="K327" s="23"/>
      <c r="L327" s="29">
        <v>0</v>
      </c>
      <c r="M327" s="29">
        <v>2</v>
      </c>
      <c r="N327" s="29"/>
      <c r="O327" s="29">
        <v>67740</v>
      </c>
      <c r="P327" s="29">
        <v>38883</v>
      </c>
      <c r="Q327" s="29">
        <v>0</v>
      </c>
      <c r="R327" s="30">
        <v>3401</v>
      </c>
    </row>
    <row r="328" spans="1:18">
      <c r="A328" s="27"/>
      <c r="B328" s="28">
        <v>324</v>
      </c>
      <c r="C328" s="1">
        <f>30000000+INDEX(编号表!$B:$B,MATCH(G328,编号表!$A:$A,0))*100000+INDEX(编号表!$F:$F,MATCH(H328,编号表!$E:$E,0))*1000+INDEX(编号表!$D:$D,MATCH(F328,编号表!$C:$C,0))*10000+E328</f>
        <v>31536004</v>
      </c>
      <c r="D328" s="23" t="s">
        <v>386</v>
      </c>
      <c r="E328" s="23">
        <v>4</v>
      </c>
      <c r="F328" s="23" t="s">
        <v>231</v>
      </c>
      <c r="G328" s="23" t="s">
        <v>61</v>
      </c>
      <c r="H328" s="23" t="s">
        <v>202</v>
      </c>
      <c r="I328" s="23"/>
      <c r="J328" s="23" t="s">
        <v>68</v>
      </c>
      <c r="K328" s="23"/>
      <c r="L328" s="29">
        <v>0</v>
      </c>
      <c r="M328" s="29">
        <v>-1</v>
      </c>
      <c r="N328" s="29"/>
      <c r="O328" s="29">
        <v>67740</v>
      </c>
      <c r="P328" s="29">
        <v>32245</v>
      </c>
      <c r="Q328" s="29">
        <v>0</v>
      </c>
      <c r="R328" s="30">
        <v>8219</v>
      </c>
    </row>
    <row r="329" spans="1:18">
      <c r="A329" s="27"/>
      <c r="B329" s="28">
        <v>325</v>
      </c>
      <c r="C329" s="1">
        <f>30000000+INDEX(编号表!$B:$B,MATCH(G329,编号表!$A:$A,0))*100000+INDEX(编号表!$F:$F,MATCH(H329,编号表!$E:$E,0))*1000+INDEX(编号表!$D:$D,MATCH(F329,编号表!$C:$C,0))*10000+E329</f>
        <v>31536005</v>
      </c>
      <c r="D329" s="23" t="s">
        <v>387</v>
      </c>
      <c r="E329" s="23">
        <v>5</v>
      </c>
      <c r="F329" s="23" t="s">
        <v>231</v>
      </c>
      <c r="G329" s="23" t="s">
        <v>61</v>
      </c>
      <c r="H329" s="23" t="s">
        <v>202</v>
      </c>
      <c r="I329" s="23"/>
      <c r="J329" s="23" t="s">
        <v>68</v>
      </c>
      <c r="K329" s="23"/>
      <c r="L329" s="29">
        <v>0</v>
      </c>
      <c r="M329" s="29">
        <v>4</v>
      </c>
      <c r="N329" s="29"/>
      <c r="O329" s="29">
        <v>70064</v>
      </c>
      <c r="P329" s="29">
        <v>40217</v>
      </c>
      <c r="Q329" s="29">
        <v>0</v>
      </c>
      <c r="R329" s="30">
        <v>14738</v>
      </c>
    </row>
    <row r="330" spans="1:18">
      <c r="A330" s="27"/>
      <c r="B330" s="28">
        <v>326</v>
      </c>
      <c r="C330" s="1">
        <f>30000000+INDEX(编号表!$B:$B,MATCH(G330,编号表!$A:$A,0))*100000+INDEX(编号表!$F:$F,MATCH(H330,编号表!$E:$E,0))*1000+INDEX(编号表!$D:$D,MATCH(F330,编号表!$C:$C,0))*10000+E330</f>
        <v>31536006</v>
      </c>
      <c r="D330" s="23" t="s">
        <v>388</v>
      </c>
      <c r="E330" s="23">
        <v>6</v>
      </c>
      <c r="F330" s="23" t="s">
        <v>231</v>
      </c>
      <c r="G330" s="23" t="s">
        <v>61</v>
      </c>
      <c r="H330" s="23" t="s">
        <v>202</v>
      </c>
      <c r="I330" s="23"/>
      <c r="J330" s="23" t="s">
        <v>71</v>
      </c>
      <c r="K330" s="23"/>
      <c r="L330" s="29">
        <v>0</v>
      </c>
      <c r="M330" s="29">
        <v>-1</v>
      </c>
      <c r="N330" s="29"/>
      <c r="O330" s="29">
        <v>70064</v>
      </c>
      <c r="P330" s="29">
        <v>13733</v>
      </c>
      <c r="Q330" s="29">
        <v>0</v>
      </c>
      <c r="R330" s="30">
        <v>23808</v>
      </c>
    </row>
    <row r="331" spans="1:18">
      <c r="A331" s="27"/>
      <c r="B331" s="28">
        <v>327</v>
      </c>
      <c r="C331" s="1">
        <f>30000000+INDEX(编号表!$B:$B,MATCH(G331,编号表!$A:$A,0))*100000+INDEX(编号表!$F:$F,MATCH(H331,编号表!$E:$E,0))*1000+INDEX(编号表!$D:$D,MATCH(F331,编号表!$C:$C,0))*10000+E331</f>
        <v>31536007</v>
      </c>
      <c r="D331" s="23" t="s">
        <v>389</v>
      </c>
      <c r="E331" s="23">
        <v>7</v>
      </c>
      <c r="F331" s="23" t="s">
        <v>231</v>
      </c>
      <c r="G331" s="23" t="s">
        <v>61</v>
      </c>
      <c r="H331" s="23" t="s">
        <v>202</v>
      </c>
      <c r="I331" s="23"/>
      <c r="J331" s="23" t="s">
        <v>71</v>
      </c>
      <c r="K331" s="23"/>
      <c r="L331" s="29">
        <v>0</v>
      </c>
      <c r="M331" s="29">
        <v>2</v>
      </c>
      <c r="N331" s="29"/>
      <c r="O331" s="29">
        <v>67740</v>
      </c>
      <c r="P331" s="29">
        <v>38883</v>
      </c>
      <c r="Q331" s="29">
        <v>0</v>
      </c>
      <c r="R331" s="30">
        <v>3401</v>
      </c>
    </row>
    <row r="332" spans="1:18">
      <c r="A332" s="27"/>
      <c r="B332" s="28">
        <v>328</v>
      </c>
      <c r="C332" s="1">
        <f>30000000+INDEX(编号表!$B:$B,MATCH(G332,编号表!$A:$A,0))*100000+INDEX(编号表!$F:$F,MATCH(H332,编号表!$E:$E,0))*1000+INDEX(编号表!$D:$D,MATCH(F332,编号表!$C:$C,0))*10000+E332</f>
        <v>31536008</v>
      </c>
      <c r="D332" s="23" t="s">
        <v>390</v>
      </c>
      <c r="E332" s="23">
        <v>8</v>
      </c>
      <c r="F332" s="23" t="s">
        <v>231</v>
      </c>
      <c r="G332" s="23" t="s">
        <v>61</v>
      </c>
      <c r="H332" s="23" t="s">
        <v>202</v>
      </c>
      <c r="I332" s="23"/>
      <c r="J332" s="23" t="s">
        <v>74</v>
      </c>
      <c r="K332" s="23"/>
      <c r="L332" s="29">
        <v>0</v>
      </c>
      <c r="M332" s="29">
        <v>-2</v>
      </c>
      <c r="N332" s="29"/>
      <c r="O332" s="29">
        <v>67740</v>
      </c>
      <c r="P332" s="29">
        <v>26080</v>
      </c>
      <c r="Q332" s="29">
        <v>0</v>
      </c>
      <c r="R332" s="30">
        <v>7936</v>
      </c>
    </row>
    <row r="333" spans="1:18">
      <c r="A333" s="27"/>
      <c r="B333" s="28">
        <v>329</v>
      </c>
      <c r="C333" s="1">
        <f>30000000+INDEX(编号表!$B:$B,MATCH(G333,编号表!$A:$A,0))*100000+INDEX(编号表!$F:$F,MATCH(H333,编号表!$E:$E,0))*1000+INDEX(编号表!$D:$D,MATCH(F333,编号表!$C:$C,0))*10000+E333</f>
        <v>31536009</v>
      </c>
      <c r="D333" s="23" t="s">
        <v>391</v>
      </c>
      <c r="E333" s="23">
        <v>9</v>
      </c>
      <c r="F333" s="23" t="s">
        <v>231</v>
      </c>
      <c r="G333" s="23" t="s">
        <v>61</v>
      </c>
      <c r="H333" s="23" t="s">
        <v>202</v>
      </c>
      <c r="I333" s="23"/>
      <c r="J333" s="23" t="s">
        <v>74</v>
      </c>
      <c r="K333" s="23"/>
      <c r="L333" s="29">
        <v>0</v>
      </c>
      <c r="M333" s="29">
        <v>1</v>
      </c>
      <c r="N333" s="29"/>
      <c r="O333" s="29">
        <v>64226</v>
      </c>
      <c r="P333" s="29">
        <v>16185</v>
      </c>
      <c r="Q333" s="29">
        <v>0</v>
      </c>
      <c r="R333" s="30">
        <v>11053</v>
      </c>
    </row>
    <row r="334" spans="1:18">
      <c r="A334" s="27"/>
      <c r="B334" s="28">
        <v>330</v>
      </c>
      <c r="C334" s="1">
        <f>30000000+INDEX(编号表!$B:$B,MATCH(G334,编号表!$A:$A,0))*100000+INDEX(编号表!$F:$F,MATCH(H334,编号表!$E:$E,0))*1000+INDEX(编号表!$D:$D,MATCH(F334,编号表!$C:$C,0))*10000+E334</f>
        <v>31436000</v>
      </c>
      <c r="D334" s="23" t="s">
        <v>392</v>
      </c>
      <c r="E334" s="23">
        <v>0</v>
      </c>
      <c r="F334" s="23" t="s">
        <v>231</v>
      </c>
      <c r="G334" s="23" t="s">
        <v>77</v>
      </c>
      <c r="H334" s="23" t="s">
        <v>202</v>
      </c>
      <c r="I334" s="23"/>
      <c r="J334" s="23"/>
      <c r="K334" s="23"/>
      <c r="L334" s="29">
        <v>0</v>
      </c>
      <c r="M334" s="29">
        <v>0</v>
      </c>
      <c r="N334" s="29"/>
      <c r="O334" s="29">
        <v>64226</v>
      </c>
      <c r="P334" s="29">
        <v>12589</v>
      </c>
      <c r="Q334" s="29">
        <v>0</v>
      </c>
      <c r="R334" s="30">
        <v>13037</v>
      </c>
    </row>
    <row r="335" spans="1:18">
      <c r="A335" s="27"/>
      <c r="B335" s="28">
        <v>331</v>
      </c>
      <c r="C335" s="1">
        <f>30000000+INDEX(编号表!$B:$B,MATCH(G335,编号表!$A:$A,0))*100000+INDEX(编号表!$F:$F,MATCH(H335,编号表!$E:$E,0))*1000+INDEX(编号表!$D:$D,MATCH(F335,编号表!$C:$C,0))*10000+E335</f>
        <v>31436001</v>
      </c>
      <c r="D335" s="23" t="s">
        <v>393</v>
      </c>
      <c r="E335" s="23">
        <v>1</v>
      </c>
      <c r="F335" s="23" t="s">
        <v>231</v>
      </c>
      <c r="G335" s="23" t="s">
        <v>77</v>
      </c>
      <c r="H335" s="23" t="s">
        <v>202</v>
      </c>
      <c r="I335" s="23"/>
      <c r="J335" s="23"/>
      <c r="K335" s="23"/>
      <c r="L335" s="29">
        <v>0</v>
      </c>
      <c r="M335" s="29">
        <v>0</v>
      </c>
      <c r="N335" s="29"/>
      <c r="O335" s="29">
        <v>72389</v>
      </c>
      <c r="P335" s="29">
        <v>41552</v>
      </c>
      <c r="Q335" s="29">
        <v>0</v>
      </c>
      <c r="R335" s="30">
        <v>4534</v>
      </c>
    </row>
    <row r="336" spans="1:18">
      <c r="A336" s="27"/>
      <c r="B336" s="28">
        <v>332</v>
      </c>
      <c r="C336" s="1">
        <f>30000000+INDEX(编号表!$B:$B,MATCH(G336,编号表!$A:$A,0))*100000+INDEX(编号表!$F:$F,MATCH(H336,编号表!$E:$E,0))*1000+INDEX(编号表!$D:$D,MATCH(F336,编号表!$C:$C,0))*10000+E336</f>
        <v>31436002</v>
      </c>
      <c r="D336" s="23" t="s">
        <v>394</v>
      </c>
      <c r="E336" s="23">
        <v>2</v>
      </c>
      <c r="F336" s="23" t="s">
        <v>231</v>
      </c>
      <c r="G336" s="23" t="s">
        <v>77</v>
      </c>
      <c r="H336" s="23" t="s">
        <v>202</v>
      </c>
      <c r="I336" s="23"/>
      <c r="J336" s="23"/>
      <c r="K336" s="23"/>
      <c r="L336" s="29">
        <v>0</v>
      </c>
      <c r="M336" s="29">
        <v>1</v>
      </c>
      <c r="N336" s="29"/>
      <c r="O336" s="29">
        <v>70064</v>
      </c>
      <c r="P336" s="29">
        <v>13733</v>
      </c>
      <c r="Q336" s="29">
        <v>0</v>
      </c>
      <c r="R336" s="30">
        <v>23808</v>
      </c>
    </row>
    <row r="337" spans="1:18">
      <c r="A337" s="27"/>
      <c r="B337" s="28">
        <v>333</v>
      </c>
      <c r="C337" s="1">
        <f>30000000+INDEX(编号表!$B:$B,MATCH(G337,编号表!$A:$A,0))*100000+INDEX(编号表!$F:$F,MATCH(H337,编号表!$E:$E,0))*1000+INDEX(编号表!$D:$D,MATCH(F337,编号表!$C:$C,0))*10000+E337</f>
        <v>31436003</v>
      </c>
      <c r="D337" s="23" t="s">
        <v>395</v>
      </c>
      <c r="E337" s="23">
        <v>3</v>
      </c>
      <c r="F337" s="23" t="s">
        <v>231</v>
      </c>
      <c r="G337" s="23" t="s">
        <v>77</v>
      </c>
      <c r="H337" s="23" t="s">
        <v>202</v>
      </c>
      <c r="I337" s="23"/>
      <c r="J337" s="23"/>
      <c r="K337" s="23"/>
      <c r="L337" s="29">
        <v>0</v>
      </c>
      <c r="M337" s="29">
        <v>4</v>
      </c>
      <c r="N337" s="29"/>
      <c r="O337" s="29">
        <v>70064</v>
      </c>
      <c r="P337" s="29">
        <v>40217</v>
      </c>
      <c r="Q337" s="29">
        <v>0</v>
      </c>
      <c r="R337" s="30">
        <v>14738</v>
      </c>
    </row>
    <row r="338" spans="1:18">
      <c r="A338" s="27"/>
      <c r="B338" s="28">
        <v>334</v>
      </c>
      <c r="C338" s="1">
        <f>30000000+INDEX(编号表!$B:$B,MATCH(G338,编号表!$A:$A,0))*100000+INDEX(编号表!$F:$F,MATCH(H338,编号表!$E:$E,0))*1000+INDEX(编号表!$D:$D,MATCH(F338,编号表!$C:$C,0))*10000+E338</f>
        <v>31636000</v>
      </c>
      <c r="D338" s="23" t="s">
        <v>396</v>
      </c>
      <c r="E338" s="23">
        <v>0</v>
      </c>
      <c r="F338" s="23" t="s">
        <v>231</v>
      </c>
      <c r="G338" s="23" t="s">
        <v>82</v>
      </c>
      <c r="H338" s="23" t="s">
        <v>202</v>
      </c>
      <c r="I338" s="23"/>
      <c r="J338" s="23"/>
      <c r="K338" s="23"/>
      <c r="L338" s="29">
        <v>7</v>
      </c>
      <c r="M338" s="29">
        <v>0</v>
      </c>
      <c r="N338" s="29"/>
      <c r="O338" s="29">
        <v>0</v>
      </c>
      <c r="P338" s="29">
        <v>0</v>
      </c>
      <c r="Q338" s="29">
        <v>0</v>
      </c>
      <c r="R338" s="30">
        <v>6802</v>
      </c>
    </row>
    <row r="339" spans="1:18">
      <c r="A339" s="27"/>
      <c r="B339" s="28">
        <v>335</v>
      </c>
      <c r="C339" s="1">
        <f>30000000+INDEX(编号表!$B:$B,MATCH(G339,编号表!$A:$A,0))*100000+INDEX(编号表!$F:$F,MATCH(H339,编号表!$E:$E,0))*1000+INDEX(编号表!$D:$D,MATCH(F339,编号表!$C:$C,0))*10000+E339</f>
        <v>31636001</v>
      </c>
      <c r="D339" s="23" t="s">
        <v>397</v>
      </c>
      <c r="E339" s="23">
        <v>1</v>
      </c>
      <c r="F339" s="23" t="s">
        <v>231</v>
      </c>
      <c r="G339" s="23" t="s">
        <v>82</v>
      </c>
      <c r="H339" s="23" t="s">
        <v>202</v>
      </c>
      <c r="I339" s="23"/>
      <c r="J339" s="23"/>
      <c r="K339" s="23"/>
      <c r="L339" s="29">
        <v>8</v>
      </c>
      <c r="M339" s="29">
        <v>0</v>
      </c>
      <c r="N339" s="29"/>
      <c r="O339" s="29">
        <v>0</v>
      </c>
      <c r="P339" s="29">
        <v>0</v>
      </c>
      <c r="Q339" s="29">
        <v>0</v>
      </c>
      <c r="R339" s="30">
        <v>12471</v>
      </c>
    </row>
    <row r="340" spans="1:18">
      <c r="A340" s="27"/>
      <c r="B340" s="28">
        <v>336</v>
      </c>
      <c r="C340" s="1">
        <f>30000000+INDEX(编号表!$B:$B,MATCH(G340,编号表!$A:$A,0))*100000+INDEX(编号表!$F:$F,MATCH(H340,编号表!$E:$E,0))*1000+INDEX(编号表!$D:$D,MATCH(F340,编号表!$C:$C,0))*10000+E340</f>
        <v>31636002</v>
      </c>
      <c r="D340" s="23" t="s">
        <v>398</v>
      </c>
      <c r="E340" s="23">
        <v>2</v>
      </c>
      <c r="F340" s="23" t="s">
        <v>231</v>
      </c>
      <c r="G340" s="23" t="s">
        <v>82</v>
      </c>
      <c r="H340" s="23" t="s">
        <v>202</v>
      </c>
      <c r="I340" s="23"/>
      <c r="J340" s="23"/>
      <c r="K340" s="23"/>
      <c r="L340" s="29">
        <v>9</v>
      </c>
      <c r="M340" s="29">
        <v>0</v>
      </c>
      <c r="N340" s="29"/>
      <c r="O340" s="29">
        <v>0</v>
      </c>
      <c r="P340" s="29">
        <v>0</v>
      </c>
      <c r="Q340" s="29">
        <v>0</v>
      </c>
      <c r="R340" s="30">
        <v>19273</v>
      </c>
    </row>
    <row r="341" spans="1:18">
      <c r="A341" s="27"/>
      <c r="B341" s="28">
        <v>337</v>
      </c>
      <c r="C341" s="1">
        <f>30000000+INDEX(编号表!$B:$B,MATCH(G341,编号表!$A:$A,0))*100000+INDEX(编号表!$F:$F,MATCH(H341,编号表!$E:$E,0))*1000+INDEX(编号表!$D:$D,MATCH(F341,编号表!$C:$C,0))*10000+E341</f>
        <v>31241000</v>
      </c>
      <c r="D341" s="23" t="s">
        <v>399</v>
      </c>
      <c r="E341" s="23">
        <v>0</v>
      </c>
      <c r="F341" s="23" t="s">
        <v>400</v>
      </c>
      <c r="G341" s="23" t="s">
        <v>42</v>
      </c>
      <c r="H341" s="23" t="s">
        <v>43</v>
      </c>
      <c r="I341" s="23"/>
      <c r="J341" s="23"/>
      <c r="K341" s="23"/>
      <c r="L341" s="29">
        <v>0</v>
      </c>
      <c r="M341" s="29">
        <v>0</v>
      </c>
      <c r="N341" s="29"/>
      <c r="O341" s="29">
        <v>18000</v>
      </c>
      <c r="P341" s="29">
        <v>9900</v>
      </c>
      <c r="Q341" s="29">
        <v>90000</v>
      </c>
      <c r="R341" s="30">
        <v>1620</v>
      </c>
    </row>
    <row r="342" spans="1:18">
      <c r="A342" s="27"/>
      <c r="B342" s="28">
        <v>338</v>
      </c>
      <c r="C342" s="1">
        <f>30000000+INDEX(编号表!$B:$B,MATCH(G342,编号表!$A:$A,0))*100000+INDEX(编号表!$F:$F,MATCH(H342,编号表!$E:$E,0))*1000+INDEX(编号表!$D:$D,MATCH(F342,编号表!$C:$C,0))*10000+E342</f>
        <v>31341000</v>
      </c>
      <c r="D342" s="23" t="s">
        <v>401</v>
      </c>
      <c r="E342" s="23">
        <v>0</v>
      </c>
      <c r="F342" s="23" t="s">
        <v>400</v>
      </c>
      <c r="G342" s="23" t="s">
        <v>45</v>
      </c>
      <c r="H342" s="23" t="s">
        <v>43</v>
      </c>
      <c r="I342" s="23" t="s">
        <v>46</v>
      </c>
      <c r="J342" s="23"/>
      <c r="K342" s="23"/>
      <c r="L342" s="29">
        <v>0</v>
      </c>
      <c r="M342" s="29">
        <v>-2</v>
      </c>
      <c r="N342" s="29"/>
      <c r="O342" s="29">
        <v>10755</v>
      </c>
      <c r="P342" s="29">
        <v>5917</v>
      </c>
      <c r="Q342" s="29">
        <v>0</v>
      </c>
      <c r="R342" s="30">
        <v>1260</v>
      </c>
    </row>
    <row r="343" spans="1:18">
      <c r="A343" s="27"/>
      <c r="B343" s="28">
        <v>339</v>
      </c>
      <c r="C343" s="1">
        <f>30000000+INDEX(编号表!$B:$B,MATCH(G343,编号表!$A:$A,0))*100000+INDEX(编号表!$F:$F,MATCH(H343,编号表!$E:$E,0))*1000+INDEX(编号表!$D:$D,MATCH(F343,编号表!$C:$C,0))*10000+E343</f>
        <v>31341001</v>
      </c>
      <c r="D343" s="23" t="s">
        <v>402</v>
      </c>
      <c r="E343" s="23">
        <v>1</v>
      </c>
      <c r="F343" s="23" t="s">
        <v>400</v>
      </c>
      <c r="G343" s="23" t="s">
        <v>45</v>
      </c>
      <c r="H343" s="23" t="s">
        <v>43</v>
      </c>
      <c r="I343" s="23" t="s">
        <v>46</v>
      </c>
      <c r="J343" s="23"/>
      <c r="K343" s="23"/>
      <c r="L343" s="29">
        <v>0</v>
      </c>
      <c r="M343" s="29">
        <v>3</v>
      </c>
      <c r="N343" s="29"/>
      <c r="O343" s="29">
        <v>11493</v>
      </c>
      <c r="P343" s="29">
        <v>7816</v>
      </c>
      <c r="Q343" s="29">
        <v>0</v>
      </c>
      <c r="R343" s="30">
        <v>1620</v>
      </c>
    </row>
    <row r="344" spans="1:18">
      <c r="A344" s="27"/>
      <c r="B344" s="28">
        <v>340</v>
      </c>
      <c r="C344" s="1">
        <f>30000000+INDEX(编号表!$B:$B,MATCH(G344,编号表!$A:$A,0))*100000+INDEX(编号表!$F:$F,MATCH(H344,编号表!$E:$E,0))*1000+INDEX(编号表!$D:$D,MATCH(F344,编号表!$C:$C,0))*10000+E344</f>
        <v>31341002</v>
      </c>
      <c r="D344" s="23" t="s">
        <v>403</v>
      </c>
      <c r="E344" s="23">
        <v>2</v>
      </c>
      <c r="F344" s="23" t="s">
        <v>400</v>
      </c>
      <c r="G344" s="23" t="s">
        <v>45</v>
      </c>
      <c r="H344" s="23" t="s">
        <v>43</v>
      </c>
      <c r="I344" s="23" t="s">
        <v>49</v>
      </c>
      <c r="J344" s="23"/>
      <c r="K344" s="23"/>
      <c r="L344" s="29">
        <v>0</v>
      </c>
      <c r="M344" s="29">
        <v>-1</v>
      </c>
      <c r="N344" s="29"/>
      <c r="O344" s="29">
        <v>10197</v>
      </c>
      <c r="P344" s="29">
        <v>3671</v>
      </c>
      <c r="Q344" s="29">
        <v>0</v>
      </c>
      <c r="R344" s="30">
        <v>1755</v>
      </c>
    </row>
    <row r="345" spans="1:18">
      <c r="A345" s="27"/>
      <c r="B345" s="28">
        <v>341</v>
      </c>
      <c r="C345" s="1">
        <f>30000000+INDEX(编号表!$B:$B,MATCH(G345,编号表!$A:$A,0))*100000+INDEX(编号表!$F:$F,MATCH(H345,编号表!$E:$E,0))*1000+INDEX(编号表!$D:$D,MATCH(F345,编号表!$C:$C,0))*10000+E345</f>
        <v>31341003</v>
      </c>
      <c r="D345" s="23" t="s">
        <v>404</v>
      </c>
      <c r="E345" s="23">
        <v>3</v>
      </c>
      <c r="F345" s="23" t="s">
        <v>400</v>
      </c>
      <c r="G345" s="23" t="s">
        <v>45</v>
      </c>
      <c r="H345" s="23" t="s">
        <v>43</v>
      </c>
      <c r="I345" s="23" t="s">
        <v>49</v>
      </c>
      <c r="J345" s="23"/>
      <c r="K345" s="23"/>
      <c r="L345" s="29">
        <v>0</v>
      </c>
      <c r="M345" s="29">
        <v>2</v>
      </c>
      <c r="N345" s="29"/>
      <c r="O345" s="29">
        <v>10755</v>
      </c>
      <c r="P345" s="29">
        <v>8820</v>
      </c>
      <c r="Q345" s="29">
        <v>0</v>
      </c>
      <c r="R345" s="30">
        <v>540</v>
      </c>
    </row>
    <row r="346" spans="1:18">
      <c r="A346" s="27"/>
      <c r="B346" s="28">
        <v>342</v>
      </c>
      <c r="C346" s="1">
        <f>30000000+INDEX(编号表!$B:$B,MATCH(G346,编号表!$A:$A,0))*100000+INDEX(编号表!$F:$F,MATCH(H346,编号表!$E:$E,0))*1000+INDEX(编号表!$D:$D,MATCH(F346,编号表!$C:$C,0))*10000+E346</f>
        <v>31341004</v>
      </c>
      <c r="D346" s="23" t="s">
        <v>405</v>
      </c>
      <c r="E346" s="23">
        <v>4</v>
      </c>
      <c r="F346" s="23" t="s">
        <v>400</v>
      </c>
      <c r="G346" s="23" t="s">
        <v>45</v>
      </c>
      <c r="H346" s="23" t="s">
        <v>43</v>
      </c>
      <c r="I346" s="23" t="s">
        <v>52</v>
      </c>
      <c r="J346" s="23"/>
      <c r="K346" s="23"/>
      <c r="L346" s="29">
        <v>0</v>
      </c>
      <c r="M346" s="29">
        <v>-1</v>
      </c>
      <c r="N346" s="29"/>
      <c r="O346" s="29">
        <v>10755</v>
      </c>
      <c r="P346" s="29">
        <v>7315</v>
      </c>
      <c r="Q346" s="29">
        <v>0</v>
      </c>
      <c r="R346" s="30">
        <v>1305</v>
      </c>
    </row>
    <row r="347" spans="1:18">
      <c r="A347" s="27"/>
      <c r="B347" s="28">
        <v>343</v>
      </c>
      <c r="C347" s="1">
        <f>30000000+INDEX(编号表!$B:$B,MATCH(G347,编号表!$A:$A,0))*100000+INDEX(编号表!$F:$F,MATCH(H347,编号表!$E:$E,0))*1000+INDEX(编号表!$D:$D,MATCH(F347,编号表!$C:$C,0))*10000+E347</f>
        <v>31341005</v>
      </c>
      <c r="D347" s="23" t="inlineStr">
        <is>
          <t xml:space="preserve">百载沸泉苔·凡株</t>
        </is>
      </c>
      <c r="E347" s="23">
        <v>5</v>
      </c>
      <c r="F347" s="23" t="s">
        <v>400</v>
      </c>
      <c r="G347" s="23" t="s">
        <v>45</v>
      </c>
      <c r="H347" s="23" t="s">
        <v>43</v>
      </c>
      <c r="I347" s="23" t="s">
        <v>52</v>
      </c>
      <c r="J347" s="23"/>
      <c r="K347" s="23"/>
      <c r="L347" s="29">
        <v>0</v>
      </c>
      <c r="M347" s="29">
        <v>4</v>
      </c>
      <c r="N347" s="29"/>
      <c r="O347" s="29">
        <v>11124</v>
      </c>
      <c r="P347" s="29">
        <v>9122</v>
      </c>
      <c r="Q347" s="29">
        <v>0</v>
      </c>
      <c r="R347" s="30">
        <v>2340</v>
      </c>
    </row>
    <row r="348" spans="1:18">
      <c r="A348" s="27"/>
      <c r="B348" s="28">
        <v>344</v>
      </c>
      <c r="C348" s="1">
        <f>30000000+INDEX(编号表!$B:$B,MATCH(G348,编号表!$A:$A,0))*100000+INDEX(编号表!$F:$F,MATCH(H348,编号表!$E:$E,0))*1000+INDEX(编号表!$D:$D,MATCH(F348,编号表!$C:$C,0))*10000+E348</f>
        <v>31341006</v>
      </c>
      <c r="D348" s="23" t="inlineStr">
        <is>
          <t xml:space="preserve">百载丹露花·凡株</t>
        </is>
      </c>
      <c r="E348" s="23">
        <v>6</v>
      </c>
      <c r="F348" s="23" t="s">
        <v>400</v>
      </c>
      <c r="G348" s="23" t="s">
        <v>45</v>
      </c>
      <c r="H348" s="23" t="s">
        <v>43</v>
      </c>
      <c r="I348" s="23" t="s">
        <v>55</v>
      </c>
      <c r="J348" s="23"/>
      <c r="K348" s="23"/>
      <c r="L348" s="29">
        <v>0</v>
      </c>
      <c r="M348" s="29">
        <v>-1</v>
      </c>
      <c r="N348" s="29"/>
      <c r="O348" s="29">
        <v>11124</v>
      </c>
      <c r="P348" s="29">
        <v>3115</v>
      </c>
      <c r="Q348" s="29">
        <v>0</v>
      </c>
      <c r="R348" s="30">
        <v>3780</v>
      </c>
    </row>
    <row r="349" spans="1:18">
      <c r="A349" s="27"/>
      <c r="B349" s="28">
        <v>345</v>
      </c>
      <c r="C349" s="1">
        <f>30000000+INDEX(编号表!$B:$B,MATCH(G349,编号表!$A:$A,0))*100000+INDEX(编号表!$F:$F,MATCH(H349,编号表!$E:$E,0))*1000+INDEX(编号表!$D:$D,MATCH(F349,编号表!$C:$C,0))*10000+E349</f>
        <v>31341007</v>
      </c>
      <c r="D349" s="23" t="s">
        <v>408</v>
      </c>
      <c r="E349" s="23">
        <v>7</v>
      </c>
      <c r="F349" s="23" t="s">
        <v>400</v>
      </c>
      <c r="G349" s="23" t="s">
        <v>45</v>
      </c>
      <c r="H349" s="23" t="s">
        <v>43</v>
      </c>
      <c r="I349" s="23" t="s">
        <v>55</v>
      </c>
      <c r="J349" s="23"/>
      <c r="K349" s="23"/>
      <c r="L349" s="29">
        <v>0</v>
      </c>
      <c r="M349" s="29">
        <v>2</v>
      </c>
      <c r="N349" s="29"/>
      <c r="O349" s="29">
        <v>10755</v>
      </c>
      <c r="P349" s="29">
        <v>8820</v>
      </c>
      <c r="Q349" s="29">
        <v>0</v>
      </c>
      <c r="R349" s="30">
        <v>540</v>
      </c>
    </row>
    <row r="350" spans="1:18">
      <c r="A350" s="27"/>
      <c r="B350" s="28">
        <v>346</v>
      </c>
      <c r="C350" s="1">
        <f>30000000+INDEX(编号表!$B:$B,MATCH(G350,编号表!$A:$A,0))*100000+INDEX(编号表!$F:$F,MATCH(H350,编号表!$E:$E,0))*1000+INDEX(编号表!$D:$D,MATCH(F350,编号表!$C:$C,0))*10000+E350</f>
        <v>31341008</v>
      </c>
      <c r="D350" s="23" t="s">
        <v>409</v>
      </c>
      <c r="E350" s="23">
        <v>8</v>
      </c>
      <c r="F350" s="23" t="s">
        <v>400</v>
      </c>
      <c r="G350" s="23" t="s">
        <v>45</v>
      </c>
      <c r="H350" s="23" t="s">
        <v>43</v>
      </c>
      <c r="I350" s="23" t="s">
        <v>58</v>
      </c>
      <c r="J350" s="23"/>
      <c r="K350" s="23"/>
      <c r="L350" s="29">
        <v>0</v>
      </c>
      <c r="M350" s="29">
        <v>-2</v>
      </c>
      <c r="N350" s="29"/>
      <c r="O350" s="29">
        <v>10755</v>
      </c>
      <c r="P350" s="29">
        <v>5917</v>
      </c>
      <c r="Q350" s="29">
        <v>0</v>
      </c>
      <c r="R350" s="30">
        <v>1260</v>
      </c>
    </row>
    <row r="351" spans="1:18">
      <c r="A351" s="27"/>
      <c r="B351" s="28">
        <v>347</v>
      </c>
      <c r="C351" s="1">
        <f>30000000+INDEX(编号表!$B:$B,MATCH(G351,编号表!$A:$A,0))*100000+INDEX(编号表!$F:$F,MATCH(H351,编号表!$E:$E,0))*1000+INDEX(编号表!$D:$D,MATCH(F351,编号表!$C:$C,0))*10000+E351</f>
        <v>31341009</v>
      </c>
      <c r="D351" s="23" t="s">
        <v>410</v>
      </c>
      <c r="E351" s="23">
        <v>9</v>
      </c>
      <c r="F351" s="23" t="s">
        <v>400</v>
      </c>
      <c r="G351" s="23" t="s">
        <v>45</v>
      </c>
      <c r="H351" s="23" t="s">
        <v>43</v>
      </c>
      <c r="I351" s="23" t="s">
        <v>58</v>
      </c>
      <c r="J351" s="23"/>
      <c r="K351" s="23"/>
      <c r="L351" s="29">
        <v>0</v>
      </c>
      <c r="M351" s="29">
        <v>1</v>
      </c>
      <c r="N351" s="29"/>
      <c r="O351" s="29">
        <v>10197</v>
      </c>
      <c r="P351" s="29">
        <v>3671</v>
      </c>
      <c r="Q351" s="29">
        <v>0</v>
      </c>
      <c r="R351" s="30">
        <v>1755</v>
      </c>
    </row>
    <row r="352" spans="1:18">
      <c r="A352" s="27"/>
      <c r="B352" s="28">
        <v>348</v>
      </c>
      <c r="C352" s="1">
        <f>30000000+INDEX(编号表!$B:$B,MATCH(G352,编号表!$A:$A,0))*100000+INDEX(编号表!$F:$F,MATCH(H352,编号表!$E:$E,0))*1000+INDEX(编号表!$D:$D,MATCH(F352,编号表!$C:$C,0))*10000+E352</f>
        <v>31541000</v>
      </c>
      <c r="D352" s="23" t="inlineStr">
        <is>
          <t xml:space="preserve">百载霜辛草·凡株</t>
        </is>
      </c>
      <c r="E352" s="23">
        <v>0</v>
      </c>
      <c r="F352" s="23" t="s">
        <v>400</v>
      </c>
      <c r="G352" s="23" t="s">
        <v>61</v>
      </c>
      <c r="H352" s="23" t="s">
        <v>43</v>
      </c>
      <c r="I352" s="23"/>
      <c r="J352" s="23" t="s">
        <v>62</v>
      </c>
      <c r="K352" s="23"/>
      <c r="L352" s="29">
        <v>0</v>
      </c>
      <c r="M352" s="29">
        <v>-2</v>
      </c>
      <c r="N352" s="29"/>
      <c r="O352" s="29">
        <v>10755</v>
      </c>
      <c r="P352" s="29">
        <v>5917</v>
      </c>
      <c r="Q352" s="29">
        <v>0</v>
      </c>
      <c r="R352" s="30">
        <v>1260</v>
      </c>
    </row>
    <row r="353" spans="1:18">
      <c r="A353" s="27"/>
      <c r="B353" s="28">
        <v>349</v>
      </c>
      <c r="C353" s="1">
        <f>30000000+INDEX(编号表!$B:$B,MATCH(G353,编号表!$A:$A,0))*100000+INDEX(编号表!$F:$F,MATCH(H353,编号表!$E:$E,0))*1000+INDEX(编号表!$D:$D,MATCH(F353,编号表!$C:$C,0))*10000+E353</f>
        <v>31541001</v>
      </c>
      <c r="D353" s="23" t="s">
        <v>412</v>
      </c>
      <c r="E353" s="23">
        <v>1</v>
      </c>
      <c r="F353" s="23" t="s">
        <v>400</v>
      </c>
      <c r="G353" s="23" t="s">
        <v>61</v>
      </c>
      <c r="H353" s="23" t="s">
        <v>43</v>
      </c>
      <c r="I353" s="23"/>
      <c r="J353" s="23" t="s">
        <v>62</v>
      </c>
      <c r="K353" s="23"/>
      <c r="L353" s="29">
        <v>0</v>
      </c>
      <c r="M353" s="29">
        <v>3</v>
      </c>
      <c r="N353" s="29"/>
      <c r="O353" s="29">
        <v>11493</v>
      </c>
      <c r="P353" s="29">
        <v>7816</v>
      </c>
      <c r="Q353" s="29">
        <v>0</v>
      </c>
      <c r="R353" s="30">
        <v>1620</v>
      </c>
    </row>
    <row r="354" spans="1:18">
      <c r="A354" s="27"/>
      <c r="B354" s="28">
        <v>350</v>
      </c>
      <c r="C354" s="1">
        <f>30000000+INDEX(编号表!$B:$B,MATCH(G354,编号表!$A:$A,0))*100000+INDEX(编号表!$F:$F,MATCH(H354,编号表!$E:$E,0))*1000+INDEX(编号表!$D:$D,MATCH(F354,编号表!$C:$C,0))*10000+E354</f>
        <v>31541002</v>
      </c>
      <c r="D354" s="23" t="s">
        <v>413</v>
      </c>
      <c r="E354" s="23">
        <v>2</v>
      </c>
      <c r="F354" s="23" t="s">
        <v>400</v>
      </c>
      <c r="G354" s="23" t="s">
        <v>61</v>
      </c>
      <c r="H354" s="23" t="s">
        <v>43</v>
      </c>
      <c r="I354" s="23"/>
      <c r="J354" s="23" t="s">
        <v>65</v>
      </c>
      <c r="K354" s="23"/>
      <c r="L354" s="29">
        <v>0</v>
      </c>
      <c r="M354" s="29">
        <v>-1</v>
      </c>
      <c r="N354" s="29"/>
      <c r="O354" s="29">
        <v>10197</v>
      </c>
      <c r="P354" s="29">
        <v>3671</v>
      </c>
      <c r="Q354" s="29">
        <v>0</v>
      </c>
      <c r="R354" s="30">
        <v>1755</v>
      </c>
    </row>
    <row r="355" spans="1:18">
      <c r="A355" s="27"/>
      <c r="B355" s="28">
        <v>351</v>
      </c>
      <c r="C355" s="1">
        <f>30000000+INDEX(编号表!$B:$B,MATCH(G355,编号表!$A:$A,0))*100000+INDEX(编号表!$F:$F,MATCH(H355,编号表!$E:$E,0))*1000+INDEX(编号表!$D:$D,MATCH(F355,编号表!$C:$C,0))*10000+E355</f>
        <v>31541003</v>
      </c>
      <c r="D355" s="23" t="s">
        <v>414</v>
      </c>
      <c r="E355" s="23">
        <v>3</v>
      </c>
      <c r="F355" s="23" t="s">
        <v>400</v>
      </c>
      <c r="G355" s="23" t="s">
        <v>61</v>
      </c>
      <c r="H355" s="23" t="s">
        <v>43</v>
      </c>
      <c r="I355" s="23"/>
      <c r="J355" s="23" t="s">
        <v>65</v>
      </c>
      <c r="K355" s="23"/>
      <c r="L355" s="29">
        <v>0</v>
      </c>
      <c r="M355" s="29">
        <v>2</v>
      </c>
      <c r="N355" s="29"/>
      <c r="O355" s="29">
        <v>10755</v>
      </c>
      <c r="P355" s="29">
        <v>8820</v>
      </c>
      <c r="Q355" s="29">
        <v>0</v>
      </c>
      <c r="R355" s="30">
        <v>540</v>
      </c>
    </row>
    <row r="356" spans="1:18">
      <c r="A356" s="27"/>
      <c r="B356" s="28">
        <v>352</v>
      </c>
      <c r="C356" s="1">
        <f>30000000+INDEX(编号表!$B:$B,MATCH(G356,编号表!$A:$A,0))*100000+INDEX(编号表!$F:$F,MATCH(H356,编号表!$E:$E,0))*1000+INDEX(编号表!$D:$D,MATCH(F356,编号表!$C:$C,0))*10000+E356</f>
        <v>31541004</v>
      </c>
      <c r="D356" s="23" t="s">
        <v>415</v>
      </c>
      <c r="E356" s="23">
        <v>4</v>
      </c>
      <c r="F356" s="23" t="s">
        <v>400</v>
      </c>
      <c r="G356" s="23" t="s">
        <v>61</v>
      </c>
      <c r="H356" s="23" t="s">
        <v>43</v>
      </c>
      <c r="I356" s="23"/>
      <c r="J356" s="23" t="s">
        <v>68</v>
      </c>
      <c r="K356" s="23"/>
      <c r="L356" s="29">
        <v>0</v>
      </c>
      <c r="M356" s="29">
        <v>-1</v>
      </c>
      <c r="N356" s="29"/>
      <c r="O356" s="29">
        <v>10755</v>
      </c>
      <c r="P356" s="29">
        <v>7315</v>
      </c>
      <c r="Q356" s="29">
        <v>0</v>
      </c>
      <c r="R356" s="30">
        <v>1305</v>
      </c>
    </row>
    <row r="357" spans="1:18">
      <c r="A357" s="27"/>
      <c r="B357" s="28">
        <v>353</v>
      </c>
      <c r="C357" s="1">
        <f>30000000+INDEX(编号表!$B:$B,MATCH(G357,编号表!$A:$A,0))*100000+INDEX(编号表!$F:$F,MATCH(H357,编号表!$E:$E,0))*1000+INDEX(编号表!$D:$D,MATCH(F357,编号表!$C:$C,0))*10000+E357</f>
        <v>31541005</v>
      </c>
      <c r="D357" s="23" t="s">
        <v>416</v>
      </c>
      <c r="E357" s="23">
        <v>5</v>
      </c>
      <c r="F357" s="23" t="s">
        <v>400</v>
      </c>
      <c r="G357" s="23" t="s">
        <v>61</v>
      </c>
      <c r="H357" s="23" t="s">
        <v>43</v>
      </c>
      <c r="I357" s="23"/>
      <c r="J357" s="23" t="s">
        <v>68</v>
      </c>
      <c r="K357" s="23"/>
      <c r="L357" s="29">
        <v>0</v>
      </c>
      <c r="M357" s="29">
        <v>4</v>
      </c>
      <c r="N357" s="29"/>
      <c r="O357" s="29">
        <v>11124</v>
      </c>
      <c r="P357" s="29">
        <v>9122</v>
      </c>
      <c r="Q357" s="29">
        <v>0</v>
      </c>
      <c r="R357" s="30">
        <v>2340</v>
      </c>
    </row>
    <row r="358" spans="1:18">
      <c r="A358" s="27"/>
      <c r="B358" s="28">
        <v>354</v>
      </c>
      <c r="C358" s="1">
        <f>30000000+INDEX(编号表!$B:$B,MATCH(G358,编号表!$A:$A,0))*100000+INDEX(编号表!$F:$F,MATCH(H358,编号表!$E:$E,0))*1000+INDEX(编号表!$D:$D,MATCH(F358,编号表!$C:$C,0))*10000+E358</f>
        <v>31541006</v>
      </c>
      <c r="D358" s="23" t="s">
        <v>417</v>
      </c>
      <c r="E358" s="23">
        <v>6</v>
      </c>
      <c r="F358" s="23" t="s">
        <v>400</v>
      </c>
      <c r="G358" s="23" t="s">
        <v>61</v>
      </c>
      <c r="H358" s="23" t="s">
        <v>43</v>
      </c>
      <c r="I358" s="23"/>
      <c r="J358" s="23" t="s">
        <v>71</v>
      </c>
      <c r="K358" s="23"/>
      <c r="L358" s="29">
        <v>0</v>
      </c>
      <c r="M358" s="29">
        <v>-1</v>
      </c>
      <c r="N358" s="29"/>
      <c r="O358" s="29">
        <v>11124</v>
      </c>
      <c r="P358" s="29">
        <v>3115</v>
      </c>
      <c r="Q358" s="29">
        <v>0</v>
      </c>
      <c r="R358" s="30">
        <v>3780</v>
      </c>
    </row>
    <row r="359" spans="1:18">
      <c r="A359" s="27"/>
      <c r="B359" s="28">
        <v>355</v>
      </c>
      <c r="C359" s="1">
        <f>30000000+INDEX(编号表!$B:$B,MATCH(G359,编号表!$A:$A,0))*100000+INDEX(编号表!$F:$F,MATCH(H359,编号表!$E:$E,0))*1000+INDEX(编号表!$D:$D,MATCH(F359,编号表!$C:$C,0))*10000+E359</f>
        <v>31541007</v>
      </c>
      <c r="D359" s="23" t="s">
        <v>418</v>
      </c>
      <c r="E359" s="23">
        <v>7</v>
      </c>
      <c r="F359" s="23" t="s">
        <v>400</v>
      </c>
      <c r="G359" s="23" t="s">
        <v>61</v>
      </c>
      <c r="H359" s="23" t="s">
        <v>43</v>
      </c>
      <c r="I359" s="23"/>
      <c r="J359" s="23" t="s">
        <v>71</v>
      </c>
      <c r="K359" s="23"/>
      <c r="L359" s="29">
        <v>0</v>
      </c>
      <c r="M359" s="29">
        <v>2</v>
      </c>
      <c r="N359" s="29"/>
      <c r="O359" s="29">
        <v>10755</v>
      </c>
      <c r="P359" s="29">
        <v>8820</v>
      </c>
      <c r="Q359" s="29">
        <v>0</v>
      </c>
      <c r="R359" s="30">
        <v>540</v>
      </c>
    </row>
    <row r="360" spans="1:18">
      <c r="A360" s="27"/>
      <c r="B360" s="28">
        <v>356</v>
      </c>
      <c r="C360" s="1">
        <f>30000000+INDEX(编号表!$B:$B,MATCH(G360,编号表!$A:$A,0))*100000+INDEX(编号表!$F:$F,MATCH(H360,编号表!$E:$E,0))*1000+INDEX(编号表!$D:$D,MATCH(F360,编号表!$C:$C,0))*10000+E360</f>
        <v>31541008</v>
      </c>
      <c r="D360" s="23" t="s">
        <v>419</v>
      </c>
      <c r="E360" s="23">
        <v>8</v>
      </c>
      <c r="F360" s="23" t="s">
        <v>400</v>
      </c>
      <c r="G360" s="23" t="s">
        <v>61</v>
      </c>
      <c r="H360" s="23" t="s">
        <v>43</v>
      </c>
      <c r="I360" s="23"/>
      <c r="J360" s="23" t="s">
        <v>74</v>
      </c>
      <c r="K360" s="23"/>
      <c r="L360" s="29">
        <v>0</v>
      </c>
      <c r="M360" s="29">
        <v>-2</v>
      </c>
      <c r="N360" s="29"/>
      <c r="O360" s="29">
        <v>10755</v>
      </c>
      <c r="P360" s="29">
        <v>5917</v>
      </c>
      <c r="Q360" s="29">
        <v>0</v>
      </c>
      <c r="R360" s="30">
        <v>1260</v>
      </c>
    </row>
    <row r="361" spans="1:18">
      <c r="A361" s="27"/>
      <c r="B361" s="28">
        <v>357</v>
      </c>
      <c r="C361" s="1">
        <f>30000000+INDEX(编号表!$B:$B,MATCH(G361,编号表!$A:$A,0))*100000+INDEX(编号表!$F:$F,MATCH(H361,编号表!$E:$E,0))*1000+INDEX(编号表!$D:$D,MATCH(F361,编号表!$C:$C,0))*10000+E361</f>
        <v>31541009</v>
      </c>
      <c r="D361" s="23" t="s">
        <v>420</v>
      </c>
      <c r="E361" s="23">
        <v>9</v>
      </c>
      <c r="F361" s="23" t="s">
        <v>400</v>
      </c>
      <c r="G361" s="23" t="s">
        <v>61</v>
      </c>
      <c r="H361" s="23" t="s">
        <v>43</v>
      </c>
      <c r="I361" s="23"/>
      <c r="J361" s="23" t="s">
        <v>74</v>
      </c>
      <c r="K361" s="23"/>
      <c r="L361" s="29">
        <v>0</v>
      </c>
      <c r="M361" s="29">
        <v>1</v>
      </c>
      <c r="N361" s="29"/>
      <c r="O361" s="29">
        <v>10197</v>
      </c>
      <c r="P361" s="29">
        <v>3671</v>
      </c>
      <c r="Q361" s="29">
        <v>0</v>
      </c>
      <c r="R361" s="30">
        <v>1755</v>
      </c>
    </row>
    <row r="362" spans="1:18">
      <c r="A362" s="27"/>
      <c r="B362" s="28">
        <v>358</v>
      </c>
      <c r="C362" s="1">
        <f>30000000+INDEX(编号表!$B:$B,MATCH(G362,编号表!$A:$A,0))*100000+INDEX(编号表!$F:$F,MATCH(H362,编号表!$E:$E,0))*1000+INDEX(编号表!$D:$D,MATCH(F362,编号表!$C:$C,0))*10000+E362</f>
        <v>31441000</v>
      </c>
      <c r="D362" s="23" t="s">
        <v>421</v>
      </c>
      <c r="E362" s="23">
        <v>0</v>
      </c>
      <c r="F362" s="23" t="s">
        <v>400</v>
      </c>
      <c r="G362" s="23" t="s">
        <v>77</v>
      </c>
      <c r="H362" s="23" t="s">
        <v>43</v>
      </c>
      <c r="I362" s="23"/>
      <c r="J362" s="23"/>
      <c r="K362" s="23"/>
      <c r="L362" s="29">
        <v>0</v>
      </c>
      <c r="M362" s="29">
        <v>0</v>
      </c>
      <c r="N362" s="29"/>
      <c r="O362" s="29">
        <v>10197</v>
      </c>
      <c r="P362" s="29">
        <v>2856</v>
      </c>
      <c r="Q362" s="29">
        <v>0</v>
      </c>
      <c r="R362" s="30">
        <v>2070</v>
      </c>
    </row>
    <row r="363" spans="1:18">
      <c r="A363" s="27"/>
      <c r="B363" s="28">
        <v>359</v>
      </c>
      <c r="C363" s="1">
        <f>30000000+INDEX(编号表!$B:$B,MATCH(G363,编号表!$A:$A,0))*100000+INDEX(编号表!$F:$F,MATCH(H363,编号表!$E:$E,0))*1000+INDEX(编号表!$D:$D,MATCH(F363,编号表!$C:$C,0))*10000+E363</f>
        <v>31441001</v>
      </c>
      <c r="D363" s="23" t="s">
        <v>422</v>
      </c>
      <c r="E363" s="23">
        <v>1</v>
      </c>
      <c r="F363" s="23" t="s">
        <v>400</v>
      </c>
      <c r="G363" s="23" t="s">
        <v>77</v>
      </c>
      <c r="H363" s="23" t="s">
        <v>43</v>
      </c>
      <c r="I363" s="23"/>
      <c r="J363" s="23"/>
      <c r="K363" s="23"/>
      <c r="L363" s="29">
        <v>0</v>
      </c>
      <c r="M363" s="29">
        <v>0</v>
      </c>
      <c r="N363" s="29"/>
      <c r="O363" s="29">
        <v>11493</v>
      </c>
      <c r="P363" s="29">
        <v>9425</v>
      </c>
      <c r="Q363" s="29">
        <v>0</v>
      </c>
      <c r="R363" s="30">
        <v>720</v>
      </c>
    </row>
    <row r="364" spans="1:18">
      <c r="A364" s="27"/>
      <c r="B364" s="28">
        <v>360</v>
      </c>
      <c r="C364" s="1">
        <f>30000000+INDEX(编号表!$B:$B,MATCH(G364,编号表!$A:$A,0))*100000+INDEX(编号表!$F:$F,MATCH(H364,编号表!$E:$E,0))*1000+INDEX(编号表!$D:$D,MATCH(F364,编号表!$C:$C,0))*10000+E364</f>
        <v>31441002</v>
      </c>
      <c r="D364" s="23" t="s">
        <v>423</v>
      </c>
      <c r="E364" s="23">
        <v>2</v>
      </c>
      <c r="F364" s="23" t="s">
        <v>400</v>
      </c>
      <c r="G364" s="23" t="s">
        <v>77</v>
      </c>
      <c r="H364" s="23" t="s">
        <v>43</v>
      </c>
      <c r="I364" s="23"/>
      <c r="J364" s="23"/>
      <c r="K364" s="23"/>
      <c r="L364" s="29">
        <v>0</v>
      </c>
      <c r="M364" s="29">
        <v>1</v>
      </c>
      <c r="N364" s="29"/>
      <c r="O364" s="29">
        <v>11124</v>
      </c>
      <c r="P364" s="29">
        <v>3115</v>
      </c>
      <c r="Q364" s="29">
        <v>0</v>
      </c>
      <c r="R364" s="30">
        <v>3780</v>
      </c>
    </row>
    <row r="365" spans="1:18">
      <c r="A365" s="27"/>
      <c r="B365" s="28">
        <v>361</v>
      </c>
      <c r="C365" s="1">
        <f>30000000+INDEX(编号表!$B:$B,MATCH(G365,编号表!$A:$A,0))*100000+INDEX(编号表!$F:$F,MATCH(H365,编号表!$E:$E,0))*1000+INDEX(编号表!$D:$D,MATCH(F365,编号表!$C:$C,0))*10000+E365</f>
        <v>31441003</v>
      </c>
      <c r="D365" s="23" t="s">
        <v>424</v>
      </c>
      <c r="E365" s="23">
        <v>3</v>
      </c>
      <c r="F365" s="23" t="s">
        <v>400</v>
      </c>
      <c r="G365" s="23" t="s">
        <v>77</v>
      </c>
      <c r="H365" s="23" t="s">
        <v>43</v>
      </c>
      <c r="I365" s="23"/>
      <c r="J365" s="23"/>
      <c r="K365" s="23"/>
      <c r="L365" s="29">
        <v>0</v>
      </c>
      <c r="M365" s="29">
        <v>4</v>
      </c>
      <c r="N365" s="29"/>
      <c r="O365" s="29">
        <v>11124</v>
      </c>
      <c r="P365" s="29">
        <v>9122</v>
      </c>
      <c r="Q365" s="29">
        <v>0</v>
      </c>
      <c r="R365" s="30">
        <v>2340</v>
      </c>
    </row>
    <row r="366" spans="1:18">
      <c r="A366" s="27"/>
      <c r="B366" s="28">
        <v>362</v>
      </c>
      <c r="C366" s="1">
        <f>30000000+INDEX(编号表!$B:$B,MATCH(G366,编号表!$A:$A,0))*100000+INDEX(编号表!$F:$F,MATCH(H366,编号表!$E:$E,0))*1000+INDEX(编号表!$D:$D,MATCH(F366,编号表!$C:$C,0))*10000+E366</f>
        <v>31641000</v>
      </c>
      <c r="D366" s="23" t="s">
        <v>425</v>
      </c>
      <c r="E366" s="23">
        <v>0</v>
      </c>
      <c r="F366" s="23" t="s">
        <v>400</v>
      </c>
      <c r="G366" s="23" t="s">
        <v>82</v>
      </c>
      <c r="H366" s="23" t="s">
        <v>43</v>
      </c>
      <c r="I366" s="23"/>
      <c r="J366" s="23"/>
      <c r="K366" s="23"/>
      <c r="L366" s="29">
        <v>7</v>
      </c>
      <c r="M366" s="29">
        <v>0</v>
      </c>
      <c r="N366" s="29"/>
      <c r="O366" s="29">
        <v>0</v>
      </c>
      <c r="P366" s="29">
        <v>0</v>
      </c>
      <c r="Q366" s="29">
        <v>0</v>
      </c>
      <c r="R366" s="30">
        <v>1080</v>
      </c>
    </row>
    <row r="367" spans="1:18">
      <c r="A367" s="27"/>
      <c r="B367" s="28">
        <v>363</v>
      </c>
      <c r="C367" s="1">
        <f>30000000+INDEX(编号表!$B:$B,MATCH(G367,编号表!$A:$A,0))*100000+INDEX(编号表!$F:$F,MATCH(H367,编号表!$E:$E,0))*1000+INDEX(编号表!$D:$D,MATCH(F367,编号表!$C:$C,0))*10000+E367</f>
        <v>31641001</v>
      </c>
      <c r="D367" s="23" t="s">
        <v>426</v>
      </c>
      <c r="E367" s="23">
        <v>1</v>
      </c>
      <c r="F367" s="23" t="s">
        <v>400</v>
      </c>
      <c r="G367" s="23" t="s">
        <v>82</v>
      </c>
      <c r="H367" s="23" t="s">
        <v>43</v>
      </c>
      <c r="I367" s="23"/>
      <c r="J367" s="23"/>
      <c r="K367" s="23"/>
      <c r="L367" s="29">
        <v>8</v>
      </c>
      <c r="M367" s="29">
        <v>0</v>
      </c>
      <c r="N367" s="29"/>
      <c r="O367" s="29">
        <v>0</v>
      </c>
      <c r="P367" s="29">
        <v>0</v>
      </c>
      <c r="Q367" s="29">
        <v>0</v>
      </c>
      <c r="R367" s="30">
        <v>1980</v>
      </c>
    </row>
    <row r="368" spans="1:18">
      <c r="A368" s="27"/>
      <c r="B368" s="28">
        <v>364</v>
      </c>
      <c r="C368" s="1">
        <f>30000000+INDEX(编号表!$B:$B,MATCH(G368,编号表!$A:$A,0))*100000+INDEX(编号表!$F:$F,MATCH(H368,编号表!$E:$E,0))*1000+INDEX(编号表!$D:$D,MATCH(F368,编号表!$C:$C,0))*10000+E368</f>
        <v>31641002</v>
      </c>
      <c r="D368" s="23" t="s">
        <v>427</v>
      </c>
      <c r="E368" s="23">
        <v>2</v>
      </c>
      <c r="F368" s="23" t="s">
        <v>400</v>
      </c>
      <c r="G368" s="23" t="s">
        <v>82</v>
      </c>
      <c r="H368" s="23" t="s">
        <v>43</v>
      </c>
      <c r="I368" s="23"/>
      <c r="J368" s="23"/>
      <c r="K368" s="23"/>
      <c r="L368" s="29">
        <v>9</v>
      </c>
      <c r="M368" s="29">
        <v>0</v>
      </c>
      <c r="N368" s="29"/>
      <c r="O368" s="29">
        <v>0</v>
      </c>
      <c r="P368" s="29">
        <v>0</v>
      </c>
      <c r="Q368" s="29">
        <v>0</v>
      </c>
      <c r="R368" s="30">
        <v>3060</v>
      </c>
    </row>
    <row r="369" spans="1:18">
      <c r="A369" s="27"/>
      <c r="B369" s="28">
        <v>365</v>
      </c>
      <c r="C369" s="1">
        <f>30000000+INDEX(编号表!$B:$B,MATCH(G369,编号表!$A:$A,0))*100000+INDEX(编号表!$F:$F,MATCH(H369,编号表!$E:$E,0))*1000+INDEX(编号表!$D:$D,MATCH(F369,编号表!$C:$C,0))*10000+E369</f>
        <v>31242000</v>
      </c>
      <c r="D369" s="23" t="s">
        <v>428</v>
      </c>
      <c r="E369" s="23">
        <v>0</v>
      </c>
      <c r="F369" s="23" t="s">
        <v>400</v>
      </c>
      <c r="G369" s="23" t="s">
        <v>42</v>
      </c>
      <c r="H369" s="23" t="s">
        <v>86</v>
      </c>
      <c r="I369" s="23"/>
      <c r="J369" s="23"/>
      <c r="K369" s="23"/>
      <c r="L369" s="29">
        <v>0</v>
      </c>
      <c r="M369" s="29">
        <v>0</v>
      </c>
      <c r="N369" s="29"/>
      <c r="O369" s="29">
        <v>32400</v>
      </c>
      <c r="P369" s="29">
        <v>17286</v>
      </c>
      <c r="Q369" s="29">
        <v>162000</v>
      </c>
      <c r="R369" s="30">
        <v>2916</v>
      </c>
    </row>
    <row r="370" spans="1:18">
      <c r="A370" s="27"/>
      <c r="B370" s="28">
        <v>366</v>
      </c>
      <c r="C370" s="1">
        <f>30000000+INDEX(编号表!$B:$B,MATCH(G370,编号表!$A:$A,0))*100000+INDEX(编号表!$F:$F,MATCH(H370,编号表!$E:$E,0))*1000+INDEX(编号表!$D:$D,MATCH(F370,编号表!$C:$C,0))*10000+E370</f>
        <v>31342000</v>
      </c>
      <c r="D370" s="23" t="s">
        <v>429</v>
      </c>
      <c r="E370" s="23">
        <v>0</v>
      </c>
      <c r="F370" s="23" t="s">
        <v>400</v>
      </c>
      <c r="G370" s="23" t="s">
        <v>45</v>
      </c>
      <c r="H370" s="23" t="s">
        <v>86</v>
      </c>
      <c r="I370" s="23" t="s">
        <v>46</v>
      </c>
      <c r="J370" s="23"/>
      <c r="K370" s="23"/>
      <c r="L370" s="29">
        <v>0</v>
      </c>
      <c r="M370" s="29">
        <v>-2</v>
      </c>
      <c r="N370" s="29"/>
      <c r="O370" s="29">
        <v>19359</v>
      </c>
      <c r="P370" s="29">
        <v>10330</v>
      </c>
      <c r="Q370" s="29">
        <v>0</v>
      </c>
      <c r="R370" s="30">
        <v>2268</v>
      </c>
    </row>
    <row r="371" spans="1:18">
      <c r="A371" s="27"/>
      <c r="B371" s="28">
        <v>367</v>
      </c>
      <c r="C371" s="1">
        <f>30000000+INDEX(编号表!$B:$B,MATCH(G371,编号表!$A:$A,0))*100000+INDEX(编号表!$F:$F,MATCH(H371,编号表!$E:$E,0))*1000+INDEX(编号表!$D:$D,MATCH(F371,编号表!$C:$C,0))*10000+E371</f>
        <v>31342001</v>
      </c>
      <c r="D371" s="23" t="s">
        <v>430</v>
      </c>
      <c r="E371" s="23">
        <v>1</v>
      </c>
      <c r="F371" s="23" t="s">
        <v>400</v>
      </c>
      <c r="G371" s="23" t="s">
        <v>45</v>
      </c>
      <c r="H371" s="23" t="s">
        <v>86</v>
      </c>
      <c r="I371" s="23" t="s">
        <v>46</v>
      </c>
      <c r="J371" s="23"/>
      <c r="K371" s="23"/>
      <c r="L371" s="29">
        <v>0</v>
      </c>
      <c r="M371" s="29">
        <v>3</v>
      </c>
      <c r="N371" s="29"/>
      <c r="O371" s="29">
        <v>20687</v>
      </c>
      <c r="P371" s="29">
        <v>13646</v>
      </c>
      <c r="Q371" s="29">
        <v>0</v>
      </c>
      <c r="R371" s="30">
        <v>2916</v>
      </c>
    </row>
    <row r="372" spans="1:18">
      <c r="A372" s="27"/>
      <c r="B372" s="28">
        <v>368</v>
      </c>
      <c r="C372" s="1">
        <f>30000000+INDEX(编号表!$B:$B,MATCH(G372,编号表!$A:$A,0))*100000+INDEX(编号表!$F:$F,MATCH(H372,编号表!$E:$E,0))*1000+INDEX(编号表!$D:$D,MATCH(F372,编号表!$C:$C,0))*10000+E372</f>
        <v>31342002</v>
      </c>
      <c r="D372" s="23" t="s">
        <v>431</v>
      </c>
      <c r="E372" s="23">
        <v>2</v>
      </c>
      <c r="F372" s="23" t="s">
        <v>400</v>
      </c>
      <c r="G372" s="23" t="s">
        <v>45</v>
      </c>
      <c r="H372" s="23" t="s">
        <v>86</v>
      </c>
      <c r="I372" s="23" t="s">
        <v>49</v>
      </c>
      <c r="J372" s="23"/>
      <c r="K372" s="23"/>
      <c r="L372" s="29">
        <v>0</v>
      </c>
      <c r="M372" s="29">
        <v>-1</v>
      </c>
      <c r="N372" s="29"/>
      <c r="O372" s="29">
        <v>18354</v>
      </c>
      <c r="P372" s="29">
        <v>6410</v>
      </c>
      <c r="Q372" s="29">
        <v>0</v>
      </c>
      <c r="R372" s="30">
        <v>3159</v>
      </c>
    </row>
    <row r="373" spans="1:18">
      <c r="A373" s="27"/>
      <c r="B373" s="28">
        <v>369</v>
      </c>
      <c r="C373" s="1">
        <f>30000000+INDEX(编号表!$B:$B,MATCH(G373,编号表!$A:$A,0))*100000+INDEX(编号表!$F:$F,MATCH(H373,编号表!$E:$E,0))*1000+INDEX(编号表!$D:$D,MATCH(F373,编号表!$C:$C,0))*10000+E373</f>
        <v>31342003</v>
      </c>
      <c r="D373" s="23" t="s">
        <v>432</v>
      </c>
      <c r="E373" s="23">
        <v>3</v>
      </c>
      <c r="F373" s="23" t="s">
        <v>400</v>
      </c>
      <c r="G373" s="23" t="s">
        <v>45</v>
      </c>
      <c r="H373" s="23" t="s">
        <v>86</v>
      </c>
      <c r="I373" s="23" t="s">
        <v>49</v>
      </c>
      <c r="J373" s="23"/>
      <c r="K373" s="23"/>
      <c r="L373" s="29">
        <v>0</v>
      </c>
      <c r="M373" s="29">
        <v>2</v>
      </c>
      <c r="N373" s="29"/>
      <c r="O373" s="29">
        <v>19359</v>
      </c>
      <c r="P373" s="29">
        <v>15399</v>
      </c>
      <c r="Q373" s="29">
        <v>0</v>
      </c>
      <c r="R373" s="30">
        <v>972</v>
      </c>
    </row>
    <row r="374" spans="1:18">
      <c r="A374" s="27"/>
      <c r="B374" s="28">
        <v>370</v>
      </c>
      <c r="C374" s="1">
        <f>30000000+INDEX(编号表!$B:$B,MATCH(G374,编号表!$A:$A,0))*100000+INDEX(编号表!$F:$F,MATCH(H374,编号表!$E:$E,0))*1000+INDEX(编号表!$D:$D,MATCH(F374,编号表!$C:$C,0))*10000+E374</f>
        <v>31342004</v>
      </c>
      <c r="D374" s="23" t="s">
        <v>433</v>
      </c>
      <c r="E374" s="23">
        <v>4</v>
      </c>
      <c r="F374" s="23" t="s">
        <v>400</v>
      </c>
      <c r="G374" s="23" t="s">
        <v>45</v>
      </c>
      <c r="H374" s="23" t="s">
        <v>86</v>
      </c>
      <c r="I374" s="23" t="s">
        <v>52</v>
      </c>
      <c r="J374" s="23"/>
      <c r="K374" s="23"/>
      <c r="L374" s="29">
        <v>0</v>
      </c>
      <c r="M374" s="29">
        <v>-1</v>
      </c>
      <c r="N374" s="29"/>
      <c r="O374" s="29">
        <v>19359</v>
      </c>
      <c r="P374" s="29">
        <v>12772</v>
      </c>
      <c r="Q374" s="29">
        <v>0</v>
      </c>
      <c r="R374" s="30">
        <v>2349</v>
      </c>
    </row>
    <row r="375" spans="1:18">
      <c r="A375" s="27"/>
      <c r="B375" s="28">
        <v>371</v>
      </c>
      <c r="C375" s="1">
        <f>30000000+INDEX(编号表!$B:$B,MATCH(G375,编号表!$A:$A,0))*100000+INDEX(编号表!$F:$F,MATCH(H375,编号表!$E:$E,0))*1000+INDEX(编号表!$D:$D,MATCH(F375,编号表!$C:$C,0))*10000+E375</f>
        <v>31342005</v>
      </c>
      <c r="D375" s="23" t="inlineStr">
        <is>
          <t xml:space="preserve">百载沸泉苔·灵株</t>
        </is>
      </c>
      <c r="E375" s="23">
        <v>5</v>
      </c>
      <c r="F375" s="23" t="s">
        <v>400</v>
      </c>
      <c r="G375" s="23" t="s">
        <v>45</v>
      </c>
      <c r="H375" s="23" t="s">
        <v>86</v>
      </c>
      <c r="I375" s="23" t="s">
        <v>52</v>
      </c>
      <c r="J375" s="23"/>
      <c r="K375" s="23"/>
      <c r="L375" s="29">
        <v>0</v>
      </c>
      <c r="M375" s="29">
        <v>4</v>
      </c>
      <c r="N375" s="29"/>
      <c r="O375" s="29">
        <v>20023</v>
      </c>
      <c r="P375" s="29">
        <v>15927</v>
      </c>
      <c r="Q375" s="29">
        <v>0</v>
      </c>
      <c r="R375" s="30">
        <v>4212</v>
      </c>
    </row>
    <row r="376" spans="1:18">
      <c r="A376" s="27"/>
      <c r="B376" s="28">
        <v>372</v>
      </c>
      <c r="C376" s="1">
        <f>30000000+INDEX(编号表!$B:$B,MATCH(G376,编号表!$A:$A,0))*100000+INDEX(编号表!$F:$F,MATCH(H376,编号表!$E:$E,0))*1000+INDEX(编号表!$D:$D,MATCH(F376,编号表!$C:$C,0))*10000+E376</f>
        <v>31342006</v>
      </c>
      <c r="D376" s="23" t="inlineStr">
        <is>
          <t xml:space="preserve">百载丹露花·灵株</t>
        </is>
      </c>
      <c r="E376" s="23">
        <v>6</v>
      </c>
      <c r="F376" s="23" t="s">
        <v>400</v>
      </c>
      <c r="G376" s="23" t="s">
        <v>45</v>
      </c>
      <c r="H376" s="23" t="s">
        <v>86</v>
      </c>
      <c r="I376" s="23" t="s">
        <v>55</v>
      </c>
      <c r="J376" s="23"/>
      <c r="K376" s="23"/>
      <c r="L376" s="29">
        <v>0</v>
      </c>
      <c r="M376" s="29">
        <v>-1</v>
      </c>
      <c r="N376" s="29"/>
      <c r="O376" s="29">
        <v>20023</v>
      </c>
      <c r="P376" s="29">
        <v>5439</v>
      </c>
      <c r="Q376" s="29">
        <v>0</v>
      </c>
      <c r="R376" s="30">
        <v>6804</v>
      </c>
    </row>
    <row r="377" spans="1:18">
      <c r="A377" s="27"/>
      <c r="B377" s="28">
        <v>373</v>
      </c>
      <c r="C377" s="1">
        <f>30000000+INDEX(编号表!$B:$B,MATCH(G377,编号表!$A:$A,0))*100000+INDEX(编号表!$F:$F,MATCH(H377,编号表!$E:$E,0))*1000+INDEX(编号表!$D:$D,MATCH(F377,编号表!$C:$C,0))*10000+E377</f>
        <v>31342007</v>
      </c>
      <c r="D377" s="23" t="s">
        <v>436</v>
      </c>
      <c r="E377" s="23">
        <v>7</v>
      </c>
      <c r="F377" s="23" t="s">
        <v>400</v>
      </c>
      <c r="G377" s="23" t="s">
        <v>45</v>
      </c>
      <c r="H377" s="23" t="s">
        <v>86</v>
      </c>
      <c r="I377" s="23" t="s">
        <v>55</v>
      </c>
      <c r="J377" s="23"/>
      <c r="K377" s="23"/>
      <c r="L377" s="29">
        <v>0</v>
      </c>
      <c r="M377" s="29">
        <v>2</v>
      </c>
      <c r="N377" s="29"/>
      <c r="O377" s="29">
        <v>19359</v>
      </c>
      <c r="P377" s="29">
        <v>15399</v>
      </c>
      <c r="Q377" s="29">
        <v>0</v>
      </c>
      <c r="R377" s="30">
        <v>972</v>
      </c>
    </row>
    <row r="378" spans="1:18">
      <c r="A378" s="27"/>
      <c r="B378" s="28">
        <v>374</v>
      </c>
      <c r="C378" s="1">
        <f>30000000+INDEX(编号表!$B:$B,MATCH(G378,编号表!$A:$A,0))*100000+INDEX(编号表!$F:$F,MATCH(H378,编号表!$E:$E,0))*1000+INDEX(编号表!$D:$D,MATCH(F378,编号表!$C:$C,0))*10000+E378</f>
        <v>31342008</v>
      </c>
      <c r="D378" s="23" t="s">
        <v>437</v>
      </c>
      <c r="E378" s="23">
        <v>8</v>
      </c>
      <c r="F378" s="23" t="s">
        <v>400</v>
      </c>
      <c r="G378" s="23" t="s">
        <v>45</v>
      </c>
      <c r="H378" s="23" t="s">
        <v>86</v>
      </c>
      <c r="I378" s="23" t="s">
        <v>58</v>
      </c>
      <c r="J378" s="23"/>
      <c r="K378" s="23"/>
      <c r="L378" s="29">
        <v>0</v>
      </c>
      <c r="M378" s="29">
        <v>-2</v>
      </c>
      <c r="N378" s="29"/>
      <c r="O378" s="29">
        <v>19359</v>
      </c>
      <c r="P378" s="29">
        <v>10330</v>
      </c>
      <c r="Q378" s="29">
        <v>0</v>
      </c>
      <c r="R378" s="30">
        <v>2268</v>
      </c>
    </row>
    <row r="379" spans="1:18">
      <c r="A379" s="27"/>
      <c r="B379" s="28">
        <v>375</v>
      </c>
      <c r="C379" s="1">
        <f>30000000+INDEX(编号表!$B:$B,MATCH(G379,编号表!$A:$A,0))*100000+INDEX(编号表!$F:$F,MATCH(H379,编号表!$E:$E,0))*1000+INDEX(编号表!$D:$D,MATCH(F379,编号表!$C:$C,0))*10000+E379</f>
        <v>31342009</v>
      </c>
      <c r="D379" s="23" t="s">
        <v>438</v>
      </c>
      <c r="E379" s="23">
        <v>9</v>
      </c>
      <c r="F379" s="23" t="s">
        <v>400</v>
      </c>
      <c r="G379" s="23" t="s">
        <v>45</v>
      </c>
      <c r="H379" s="23" t="s">
        <v>86</v>
      </c>
      <c r="I379" s="23" t="s">
        <v>58</v>
      </c>
      <c r="J379" s="23"/>
      <c r="K379" s="23"/>
      <c r="L379" s="29">
        <v>0</v>
      </c>
      <c r="M379" s="29">
        <v>1</v>
      </c>
      <c r="N379" s="29"/>
      <c r="O379" s="29">
        <v>18354</v>
      </c>
      <c r="P379" s="29">
        <v>6410</v>
      </c>
      <c r="Q379" s="29">
        <v>0</v>
      </c>
      <c r="R379" s="30">
        <v>3159</v>
      </c>
    </row>
    <row r="380" spans="1:18">
      <c r="A380" s="27"/>
      <c r="B380" s="28">
        <v>376</v>
      </c>
      <c r="C380" s="1">
        <f>30000000+INDEX(编号表!$B:$B,MATCH(G380,编号表!$A:$A,0))*100000+INDEX(编号表!$F:$F,MATCH(H380,编号表!$E:$E,0))*1000+INDEX(编号表!$D:$D,MATCH(F380,编号表!$C:$C,0))*10000+E380</f>
        <v>31542000</v>
      </c>
      <c r="D380" s="23" t="inlineStr">
        <is>
          <t xml:space="preserve">百载霜辛草·灵株</t>
        </is>
      </c>
      <c r="E380" s="23">
        <v>0</v>
      </c>
      <c r="F380" s="23" t="s">
        <v>400</v>
      </c>
      <c r="G380" s="23" t="s">
        <v>61</v>
      </c>
      <c r="H380" s="23" t="s">
        <v>86</v>
      </c>
      <c r="I380" s="23"/>
      <c r="J380" s="23" t="s">
        <v>62</v>
      </c>
      <c r="K380" s="23"/>
      <c r="L380" s="29">
        <v>0</v>
      </c>
      <c r="M380" s="29">
        <v>-2</v>
      </c>
      <c r="N380" s="29"/>
      <c r="O380" s="29">
        <v>19359</v>
      </c>
      <c r="P380" s="29">
        <v>10330</v>
      </c>
      <c r="Q380" s="29">
        <v>0</v>
      </c>
      <c r="R380" s="30">
        <v>2268</v>
      </c>
    </row>
    <row r="381" spans="1:18">
      <c r="A381" s="27"/>
      <c r="B381" s="28">
        <v>377</v>
      </c>
      <c r="C381" s="1">
        <f>30000000+INDEX(编号表!$B:$B,MATCH(G381,编号表!$A:$A,0))*100000+INDEX(编号表!$F:$F,MATCH(H381,编号表!$E:$E,0))*1000+INDEX(编号表!$D:$D,MATCH(F381,编号表!$C:$C,0))*10000+E381</f>
        <v>31542001</v>
      </c>
      <c r="D381" s="23" t="s">
        <v>440</v>
      </c>
      <c r="E381" s="23">
        <v>1</v>
      </c>
      <c r="F381" s="23" t="s">
        <v>400</v>
      </c>
      <c r="G381" s="23" t="s">
        <v>61</v>
      </c>
      <c r="H381" s="23" t="s">
        <v>86</v>
      </c>
      <c r="I381" s="23"/>
      <c r="J381" s="23" t="s">
        <v>62</v>
      </c>
      <c r="K381" s="23"/>
      <c r="L381" s="29">
        <v>0</v>
      </c>
      <c r="M381" s="29">
        <v>3</v>
      </c>
      <c r="N381" s="29"/>
      <c r="O381" s="29">
        <v>20687</v>
      </c>
      <c r="P381" s="29">
        <v>13646</v>
      </c>
      <c r="Q381" s="29">
        <v>0</v>
      </c>
      <c r="R381" s="30">
        <v>2916</v>
      </c>
    </row>
    <row r="382" spans="1:18">
      <c r="A382" s="27"/>
      <c r="B382" s="28">
        <v>378</v>
      </c>
      <c r="C382" s="1">
        <f>30000000+INDEX(编号表!$B:$B,MATCH(G382,编号表!$A:$A,0))*100000+INDEX(编号表!$F:$F,MATCH(H382,编号表!$E:$E,0))*1000+INDEX(编号表!$D:$D,MATCH(F382,编号表!$C:$C,0))*10000+E382</f>
        <v>31542002</v>
      </c>
      <c r="D382" s="23" t="s">
        <v>441</v>
      </c>
      <c r="E382" s="23">
        <v>2</v>
      </c>
      <c r="F382" s="23" t="s">
        <v>400</v>
      </c>
      <c r="G382" s="23" t="s">
        <v>61</v>
      </c>
      <c r="H382" s="23" t="s">
        <v>86</v>
      </c>
      <c r="I382" s="23"/>
      <c r="J382" s="23" t="s">
        <v>65</v>
      </c>
      <c r="K382" s="23"/>
      <c r="L382" s="29">
        <v>0</v>
      </c>
      <c r="M382" s="29">
        <v>-1</v>
      </c>
      <c r="N382" s="29"/>
      <c r="O382" s="29">
        <v>18354</v>
      </c>
      <c r="P382" s="29">
        <v>6410</v>
      </c>
      <c r="Q382" s="29">
        <v>0</v>
      </c>
      <c r="R382" s="30">
        <v>3159</v>
      </c>
    </row>
    <row r="383" spans="1:18">
      <c r="A383" s="27"/>
      <c r="B383" s="28">
        <v>379</v>
      </c>
      <c r="C383" s="1">
        <f>30000000+INDEX(编号表!$B:$B,MATCH(G383,编号表!$A:$A,0))*100000+INDEX(编号表!$F:$F,MATCH(H383,编号表!$E:$E,0))*1000+INDEX(编号表!$D:$D,MATCH(F383,编号表!$C:$C,0))*10000+E383</f>
        <v>31542003</v>
      </c>
      <c r="D383" s="23" t="s">
        <v>442</v>
      </c>
      <c r="E383" s="23">
        <v>3</v>
      </c>
      <c r="F383" s="23" t="s">
        <v>400</v>
      </c>
      <c r="G383" s="23" t="s">
        <v>61</v>
      </c>
      <c r="H383" s="23" t="s">
        <v>86</v>
      </c>
      <c r="I383" s="23"/>
      <c r="J383" s="23" t="s">
        <v>65</v>
      </c>
      <c r="K383" s="23"/>
      <c r="L383" s="29">
        <v>0</v>
      </c>
      <c r="M383" s="29">
        <v>2</v>
      </c>
      <c r="N383" s="29"/>
      <c r="O383" s="29">
        <v>19359</v>
      </c>
      <c r="P383" s="29">
        <v>15399</v>
      </c>
      <c r="Q383" s="29">
        <v>0</v>
      </c>
      <c r="R383" s="30">
        <v>972</v>
      </c>
    </row>
    <row r="384" spans="1:18">
      <c r="A384" s="27"/>
      <c r="B384" s="28">
        <v>380</v>
      </c>
      <c r="C384" s="1">
        <f>30000000+INDEX(编号表!$B:$B,MATCH(G384,编号表!$A:$A,0))*100000+INDEX(编号表!$F:$F,MATCH(H384,编号表!$E:$E,0))*1000+INDEX(编号表!$D:$D,MATCH(F384,编号表!$C:$C,0))*10000+E384</f>
        <v>31542004</v>
      </c>
      <c r="D384" s="23" t="s">
        <v>443</v>
      </c>
      <c r="E384" s="23">
        <v>4</v>
      </c>
      <c r="F384" s="23" t="s">
        <v>400</v>
      </c>
      <c r="G384" s="23" t="s">
        <v>61</v>
      </c>
      <c r="H384" s="23" t="s">
        <v>86</v>
      </c>
      <c r="I384" s="23"/>
      <c r="J384" s="23" t="s">
        <v>68</v>
      </c>
      <c r="K384" s="23"/>
      <c r="L384" s="29">
        <v>0</v>
      </c>
      <c r="M384" s="29">
        <v>-1</v>
      </c>
      <c r="N384" s="29"/>
      <c r="O384" s="29">
        <v>19359</v>
      </c>
      <c r="P384" s="29">
        <v>12772</v>
      </c>
      <c r="Q384" s="29">
        <v>0</v>
      </c>
      <c r="R384" s="30">
        <v>2349</v>
      </c>
    </row>
    <row r="385" spans="1:18">
      <c r="A385" s="27"/>
      <c r="B385" s="28">
        <v>381</v>
      </c>
      <c r="C385" s="1">
        <f>30000000+INDEX(编号表!$B:$B,MATCH(G385,编号表!$A:$A,0))*100000+INDEX(编号表!$F:$F,MATCH(H385,编号表!$E:$E,0))*1000+INDEX(编号表!$D:$D,MATCH(F385,编号表!$C:$C,0))*10000+E385</f>
        <v>31542005</v>
      </c>
      <c r="D385" s="23" t="s">
        <v>444</v>
      </c>
      <c r="E385" s="23">
        <v>5</v>
      </c>
      <c r="F385" s="23" t="s">
        <v>400</v>
      </c>
      <c r="G385" s="23" t="s">
        <v>61</v>
      </c>
      <c r="H385" s="23" t="s">
        <v>86</v>
      </c>
      <c r="I385" s="23"/>
      <c r="J385" s="23" t="s">
        <v>68</v>
      </c>
      <c r="K385" s="23"/>
      <c r="L385" s="29">
        <v>0</v>
      </c>
      <c r="M385" s="29">
        <v>4</v>
      </c>
      <c r="N385" s="29"/>
      <c r="O385" s="29">
        <v>20023</v>
      </c>
      <c r="P385" s="29">
        <v>15927</v>
      </c>
      <c r="Q385" s="29">
        <v>0</v>
      </c>
      <c r="R385" s="30">
        <v>4212</v>
      </c>
    </row>
    <row r="386" spans="1:18">
      <c r="A386" s="27"/>
      <c r="B386" s="28">
        <v>382</v>
      </c>
      <c r="C386" s="1">
        <f>30000000+INDEX(编号表!$B:$B,MATCH(G386,编号表!$A:$A,0))*100000+INDEX(编号表!$F:$F,MATCH(H386,编号表!$E:$E,0))*1000+INDEX(编号表!$D:$D,MATCH(F386,编号表!$C:$C,0))*10000+E386</f>
        <v>31542006</v>
      </c>
      <c r="D386" s="23" t="s">
        <v>445</v>
      </c>
      <c r="E386" s="23">
        <v>6</v>
      </c>
      <c r="F386" s="23" t="s">
        <v>400</v>
      </c>
      <c r="G386" s="23" t="s">
        <v>61</v>
      </c>
      <c r="H386" s="23" t="s">
        <v>86</v>
      </c>
      <c r="I386" s="23"/>
      <c r="J386" s="23" t="s">
        <v>71</v>
      </c>
      <c r="K386" s="23"/>
      <c r="L386" s="29">
        <v>0</v>
      </c>
      <c r="M386" s="29">
        <v>-1</v>
      </c>
      <c r="N386" s="29"/>
      <c r="O386" s="29">
        <v>20023</v>
      </c>
      <c r="P386" s="29">
        <v>5439</v>
      </c>
      <c r="Q386" s="29">
        <v>0</v>
      </c>
      <c r="R386" s="30">
        <v>6804</v>
      </c>
    </row>
    <row r="387" spans="1:18">
      <c r="A387" s="27"/>
      <c r="B387" s="28">
        <v>383</v>
      </c>
      <c r="C387" s="1">
        <f>30000000+INDEX(编号表!$B:$B,MATCH(G387,编号表!$A:$A,0))*100000+INDEX(编号表!$F:$F,MATCH(H387,编号表!$E:$E,0))*1000+INDEX(编号表!$D:$D,MATCH(F387,编号表!$C:$C,0))*10000+E387</f>
        <v>31542007</v>
      </c>
      <c r="D387" s="23" t="s">
        <v>446</v>
      </c>
      <c r="E387" s="23">
        <v>7</v>
      </c>
      <c r="F387" s="23" t="s">
        <v>400</v>
      </c>
      <c r="G387" s="23" t="s">
        <v>61</v>
      </c>
      <c r="H387" s="23" t="s">
        <v>86</v>
      </c>
      <c r="I387" s="23"/>
      <c r="J387" s="23" t="s">
        <v>71</v>
      </c>
      <c r="K387" s="23"/>
      <c r="L387" s="29">
        <v>0</v>
      </c>
      <c r="M387" s="29">
        <v>2</v>
      </c>
      <c r="N387" s="29"/>
      <c r="O387" s="29">
        <v>19359</v>
      </c>
      <c r="P387" s="29">
        <v>15399</v>
      </c>
      <c r="Q387" s="29">
        <v>0</v>
      </c>
      <c r="R387" s="30">
        <v>972</v>
      </c>
    </row>
    <row r="388" spans="1:18">
      <c r="A388" s="27"/>
      <c r="B388" s="28">
        <v>384</v>
      </c>
      <c r="C388" s="1">
        <f>30000000+INDEX(编号表!$B:$B,MATCH(G388,编号表!$A:$A,0))*100000+INDEX(编号表!$F:$F,MATCH(H388,编号表!$E:$E,0))*1000+INDEX(编号表!$D:$D,MATCH(F388,编号表!$C:$C,0))*10000+E388</f>
        <v>31542008</v>
      </c>
      <c r="D388" s="23" t="s">
        <v>447</v>
      </c>
      <c r="E388" s="23">
        <v>8</v>
      </c>
      <c r="F388" s="23" t="s">
        <v>400</v>
      </c>
      <c r="G388" s="23" t="s">
        <v>61</v>
      </c>
      <c r="H388" s="23" t="s">
        <v>86</v>
      </c>
      <c r="I388" s="23"/>
      <c r="J388" s="23" t="s">
        <v>74</v>
      </c>
      <c r="K388" s="23"/>
      <c r="L388" s="29">
        <v>0</v>
      </c>
      <c r="M388" s="29">
        <v>-2</v>
      </c>
      <c r="N388" s="29"/>
      <c r="O388" s="29">
        <v>19359</v>
      </c>
      <c r="P388" s="29">
        <v>10330</v>
      </c>
      <c r="Q388" s="29">
        <v>0</v>
      </c>
      <c r="R388" s="30">
        <v>2268</v>
      </c>
    </row>
    <row r="389" spans="1:18">
      <c r="A389" s="27"/>
      <c r="B389" s="28">
        <v>385</v>
      </c>
      <c r="C389" s="1">
        <f>30000000+INDEX(编号表!$B:$B,MATCH(G389,编号表!$A:$A,0))*100000+INDEX(编号表!$F:$F,MATCH(H389,编号表!$E:$E,0))*1000+INDEX(编号表!$D:$D,MATCH(F389,编号表!$C:$C,0))*10000+E389</f>
        <v>31542009</v>
      </c>
      <c r="D389" s="23" t="s">
        <v>448</v>
      </c>
      <c r="E389" s="23">
        <v>9</v>
      </c>
      <c r="F389" s="23" t="s">
        <v>400</v>
      </c>
      <c r="G389" s="23" t="s">
        <v>61</v>
      </c>
      <c r="H389" s="23" t="s">
        <v>86</v>
      </c>
      <c r="I389" s="23"/>
      <c r="J389" s="23" t="s">
        <v>74</v>
      </c>
      <c r="K389" s="23"/>
      <c r="L389" s="29">
        <v>0</v>
      </c>
      <c r="M389" s="29">
        <v>1</v>
      </c>
      <c r="N389" s="29"/>
      <c r="O389" s="29">
        <v>18354</v>
      </c>
      <c r="P389" s="29">
        <v>6410</v>
      </c>
      <c r="Q389" s="29">
        <v>0</v>
      </c>
      <c r="R389" s="30">
        <v>3159</v>
      </c>
    </row>
    <row r="390" spans="1:18">
      <c r="A390" s="27"/>
      <c r="B390" s="28">
        <v>386</v>
      </c>
      <c r="C390" s="1">
        <f>30000000+INDEX(编号表!$B:$B,MATCH(G390,编号表!$A:$A,0))*100000+INDEX(编号表!$F:$F,MATCH(H390,编号表!$E:$E,0))*1000+INDEX(编号表!$D:$D,MATCH(F390,编号表!$C:$C,0))*10000+E390</f>
        <v>31442000</v>
      </c>
      <c r="D390" s="23" t="s">
        <v>449</v>
      </c>
      <c r="E390" s="23">
        <v>0</v>
      </c>
      <c r="F390" s="23" t="s">
        <v>400</v>
      </c>
      <c r="G390" s="23" t="s">
        <v>77</v>
      </c>
      <c r="H390" s="23" t="s">
        <v>86</v>
      </c>
      <c r="I390" s="23"/>
      <c r="J390" s="23"/>
      <c r="K390" s="23"/>
      <c r="L390" s="29">
        <v>0</v>
      </c>
      <c r="M390" s="29">
        <v>0</v>
      </c>
      <c r="N390" s="29"/>
      <c r="O390" s="29">
        <v>18354</v>
      </c>
      <c r="P390" s="29">
        <v>4985</v>
      </c>
      <c r="Q390" s="29">
        <v>0</v>
      </c>
      <c r="R390" s="30">
        <v>3726</v>
      </c>
    </row>
    <row r="391" spans="1:18">
      <c r="A391" s="27"/>
      <c r="B391" s="28">
        <v>387</v>
      </c>
      <c r="C391" s="1">
        <f>30000000+INDEX(编号表!$B:$B,MATCH(G391,编号表!$A:$A,0))*100000+INDEX(编号表!$F:$F,MATCH(H391,编号表!$E:$E,0))*1000+INDEX(编号表!$D:$D,MATCH(F391,编号表!$C:$C,0))*10000+E391</f>
        <v>31442001</v>
      </c>
      <c r="D391" s="23" t="s">
        <v>450</v>
      </c>
      <c r="E391" s="23">
        <v>1</v>
      </c>
      <c r="F391" s="23" t="s">
        <v>400</v>
      </c>
      <c r="G391" s="23" t="s">
        <v>77</v>
      </c>
      <c r="H391" s="23" t="s">
        <v>86</v>
      </c>
      <c r="I391" s="23"/>
      <c r="J391" s="23"/>
      <c r="K391" s="23"/>
      <c r="L391" s="29">
        <v>0</v>
      </c>
      <c r="M391" s="29">
        <v>0</v>
      </c>
      <c r="N391" s="29"/>
      <c r="O391" s="29">
        <v>20687</v>
      </c>
      <c r="P391" s="29">
        <v>16455</v>
      </c>
      <c r="Q391" s="29">
        <v>0</v>
      </c>
      <c r="R391" s="30">
        <v>1296</v>
      </c>
    </row>
    <row r="392" spans="1:18">
      <c r="A392" s="27"/>
      <c r="B392" s="28">
        <v>388</v>
      </c>
      <c r="C392" s="1">
        <f>30000000+INDEX(编号表!$B:$B,MATCH(G392,编号表!$A:$A,0))*100000+INDEX(编号表!$F:$F,MATCH(H392,编号表!$E:$E,0))*1000+INDEX(编号表!$D:$D,MATCH(F392,编号表!$C:$C,0))*10000+E392</f>
        <v>31442002</v>
      </c>
      <c r="D392" s="23" t="s">
        <v>451</v>
      </c>
      <c r="E392" s="23">
        <v>2</v>
      </c>
      <c r="F392" s="23" t="s">
        <v>400</v>
      </c>
      <c r="G392" s="23" t="s">
        <v>77</v>
      </c>
      <c r="H392" s="23" t="s">
        <v>86</v>
      </c>
      <c r="I392" s="23"/>
      <c r="J392" s="23"/>
      <c r="K392" s="23"/>
      <c r="L392" s="29">
        <v>0</v>
      </c>
      <c r="M392" s="29">
        <v>1</v>
      </c>
      <c r="N392" s="29"/>
      <c r="O392" s="29">
        <v>20023</v>
      </c>
      <c r="P392" s="29">
        <v>5439</v>
      </c>
      <c r="Q392" s="29">
        <v>0</v>
      </c>
      <c r="R392" s="30">
        <v>6804</v>
      </c>
    </row>
    <row r="393" spans="1:18">
      <c r="A393" s="27"/>
      <c r="B393" s="28">
        <v>389</v>
      </c>
      <c r="C393" s="1">
        <f>30000000+INDEX(编号表!$B:$B,MATCH(G393,编号表!$A:$A,0))*100000+INDEX(编号表!$F:$F,MATCH(H393,编号表!$E:$E,0))*1000+INDEX(编号表!$D:$D,MATCH(F393,编号表!$C:$C,0))*10000+E393</f>
        <v>31442003</v>
      </c>
      <c r="D393" s="23" t="s">
        <v>452</v>
      </c>
      <c r="E393" s="23">
        <v>3</v>
      </c>
      <c r="F393" s="23" t="s">
        <v>400</v>
      </c>
      <c r="G393" s="23" t="s">
        <v>77</v>
      </c>
      <c r="H393" s="23" t="s">
        <v>86</v>
      </c>
      <c r="I393" s="23"/>
      <c r="J393" s="23"/>
      <c r="K393" s="23"/>
      <c r="L393" s="29">
        <v>0</v>
      </c>
      <c r="M393" s="29">
        <v>4</v>
      </c>
      <c r="N393" s="29"/>
      <c r="O393" s="29">
        <v>20023</v>
      </c>
      <c r="P393" s="29">
        <v>15927</v>
      </c>
      <c r="Q393" s="29">
        <v>0</v>
      </c>
      <c r="R393" s="30">
        <v>4212</v>
      </c>
    </row>
    <row r="394" spans="1:18">
      <c r="A394" s="27"/>
      <c r="B394" s="28">
        <v>390</v>
      </c>
      <c r="C394" s="1">
        <f>30000000+INDEX(编号表!$B:$B,MATCH(G394,编号表!$A:$A,0))*100000+INDEX(编号表!$F:$F,MATCH(H394,编号表!$E:$E,0))*1000+INDEX(编号表!$D:$D,MATCH(F394,编号表!$C:$C,0))*10000+E394</f>
        <v>31642000</v>
      </c>
      <c r="D394" s="23" t="s">
        <v>453</v>
      </c>
      <c r="E394" s="23">
        <v>0</v>
      </c>
      <c r="F394" s="23" t="s">
        <v>400</v>
      </c>
      <c r="G394" s="23" t="s">
        <v>82</v>
      </c>
      <c r="H394" s="23" t="s">
        <v>86</v>
      </c>
      <c r="I394" s="23"/>
      <c r="J394" s="23"/>
      <c r="K394" s="23"/>
      <c r="L394" s="29">
        <v>7</v>
      </c>
      <c r="M394" s="29">
        <v>0</v>
      </c>
      <c r="N394" s="29"/>
      <c r="O394" s="29">
        <v>0</v>
      </c>
      <c r="P394" s="29">
        <v>0</v>
      </c>
      <c r="Q394" s="29">
        <v>0</v>
      </c>
      <c r="R394" s="30">
        <v>1944</v>
      </c>
    </row>
    <row r="395" spans="1:18">
      <c r="A395" s="27"/>
      <c r="B395" s="28">
        <v>391</v>
      </c>
      <c r="C395" s="1">
        <f>30000000+INDEX(编号表!$B:$B,MATCH(G395,编号表!$A:$A,0))*100000+INDEX(编号表!$F:$F,MATCH(H395,编号表!$E:$E,0))*1000+INDEX(编号表!$D:$D,MATCH(F395,编号表!$C:$C,0))*10000+E395</f>
        <v>31642001</v>
      </c>
      <c r="D395" s="23" t="s">
        <v>454</v>
      </c>
      <c r="E395" s="23">
        <v>1</v>
      </c>
      <c r="F395" s="23" t="s">
        <v>400</v>
      </c>
      <c r="G395" s="23" t="s">
        <v>82</v>
      </c>
      <c r="H395" s="23" t="s">
        <v>86</v>
      </c>
      <c r="I395" s="23"/>
      <c r="J395" s="23"/>
      <c r="K395" s="23"/>
      <c r="L395" s="29">
        <v>8</v>
      </c>
      <c r="M395" s="29">
        <v>0</v>
      </c>
      <c r="N395" s="29"/>
      <c r="O395" s="29">
        <v>0</v>
      </c>
      <c r="P395" s="29">
        <v>0</v>
      </c>
      <c r="Q395" s="29">
        <v>0</v>
      </c>
      <c r="R395" s="30">
        <v>3564</v>
      </c>
    </row>
    <row r="396" spans="1:18">
      <c r="A396" s="27"/>
      <c r="B396" s="28">
        <v>392</v>
      </c>
      <c r="C396" s="1">
        <f>30000000+INDEX(编号表!$B:$B,MATCH(G396,编号表!$A:$A,0))*100000+INDEX(编号表!$F:$F,MATCH(H396,编号表!$E:$E,0))*1000+INDEX(编号表!$D:$D,MATCH(F396,编号表!$C:$C,0))*10000+E396</f>
        <v>31642002</v>
      </c>
      <c r="D396" s="23" t="s">
        <v>455</v>
      </c>
      <c r="E396" s="23">
        <v>2</v>
      </c>
      <c r="F396" s="23" t="s">
        <v>400</v>
      </c>
      <c r="G396" s="23" t="s">
        <v>82</v>
      </c>
      <c r="H396" s="23" t="s">
        <v>86</v>
      </c>
      <c r="I396" s="23"/>
      <c r="J396" s="23"/>
      <c r="K396" s="23"/>
      <c r="L396" s="29">
        <v>9</v>
      </c>
      <c r="M396" s="29">
        <v>0</v>
      </c>
      <c r="N396" s="29"/>
      <c r="O396" s="29">
        <v>0</v>
      </c>
      <c r="P396" s="29">
        <v>0</v>
      </c>
      <c r="Q396" s="29">
        <v>0</v>
      </c>
      <c r="R396" s="30">
        <v>5508</v>
      </c>
    </row>
    <row r="397" spans="1:18">
      <c r="A397" s="27"/>
      <c r="B397" s="28">
        <v>393</v>
      </c>
      <c r="C397" s="1">
        <f>30000000+INDEX(编号表!$B:$B,MATCH(G397,编号表!$A:$A,0))*100000+INDEX(编号表!$F:$F,MATCH(H397,编号表!$E:$E,0))*1000+INDEX(编号表!$D:$D,MATCH(F397,编号表!$C:$C,0))*10000+E397</f>
        <v>31243000</v>
      </c>
      <c r="D397" s="23" t="s">
        <v>456</v>
      </c>
      <c r="E397" s="23">
        <v>0</v>
      </c>
      <c r="F397" s="23" t="s">
        <v>400</v>
      </c>
      <c r="G397" s="23" t="s">
        <v>42</v>
      </c>
      <c r="H397" s="23" t="s">
        <v>115</v>
      </c>
      <c r="I397" s="23"/>
      <c r="J397" s="23"/>
      <c r="K397" s="23"/>
      <c r="L397" s="29">
        <v>0</v>
      </c>
      <c r="M397" s="29">
        <v>0</v>
      </c>
      <c r="N397" s="29"/>
      <c r="O397" s="29">
        <v>58320</v>
      </c>
      <c r="P397" s="29">
        <v>30152</v>
      </c>
      <c r="Q397" s="29">
        <v>291600</v>
      </c>
      <c r="R397" s="30">
        <v>5248</v>
      </c>
    </row>
    <row r="398" spans="1:18">
      <c r="A398" s="27"/>
      <c r="B398" s="28">
        <v>394</v>
      </c>
      <c r="C398" s="1">
        <f>30000000+INDEX(编号表!$B:$B,MATCH(G398,编号表!$A:$A,0))*100000+INDEX(编号表!$F:$F,MATCH(H398,编号表!$E:$E,0))*1000+INDEX(编号表!$D:$D,MATCH(F398,编号表!$C:$C,0))*10000+E398</f>
        <v>31343000</v>
      </c>
      <c r="D398" s="23" t="s">
        <v>457</v>
      </c>
      <c r="E398" s="23">
        <v>0</v>
      </c>
      <c r="F398" s="23" t="s">
        <v>400</v>
      </c>
      <c r="G398" s="23" t="s">
        <v>45</v>
      </c>
      <c r="H398" s="23" t="s">
        <v>115</v>
      </c>
      <c r="I398" s="23" t="s">
        <v>46</v>
      </c>
      <c r="J398" s="23"/>
      <c r="K398" s="23"/>
      <c r="L398" s="29">
        <v>0</v>
      </c>
      <c r="M398" s="29">
        <v>-2</v>
      </c>
      <c r="N398" s="29"/>
      <c r="O398" s="29">
        <v>34846</v>
      </c>
      <c r="P398" s="29">
        <v>18016</v>
      </c>
      <c r="Q398" s="29">
        <v>0</v>
      </c>
      <c r="R398" s="30">
        <v>4082</v>
      </c>
    </row>
    <row r="399" spans="1:18">
      <c r="A399" s="27"/>
      <c r="B399" s="28">
        <v>395</v>
      </c>
      <c r="C399" s="1">
        <f>30000000+INDEX(编号表!$B:$B,MATCH(G399,编号表!$A:$A,0))*100000+INDEX(编号表!$F:$F,MATCH(H399,编号表!$E:$E,0))*1000+INDEX(编号表!$D:$D,MATCH(F399,编号表!$C:$C,0))*10000+E399</f>
        <v>31343001</v>
      </c>
      <c r="D399" s="23" t="s">
        <v>458</v>
      </c>
      <c r="E399" s="23">
        <v>1</v>
      </c>
      <c r="F399" s="23" t="s">
        <v>400</v>
      </c>
      <c r="G399" s="23" t="s">
        <v>45</v>
      </c>
      <c r="H399" s="23" t="s">
        <v>115</v>
      </c>
      <c r="I399" s="23" t="s">
        <v>46</v>
      </c>
      <c r="J399" s="23"/>
      <c r="K399" s="23"/>
      <c r="L399" s="29">
        <v>0</v>
      </c>
      <c r="M399" s="29">
        <v>3</v>
      </c>
      <c r="N399" s="29"/>
      <c r="O399" s="29">
        <v>37237</v>
      </c>
      <c r="P399" s="29">
        <v>23802</v>
      </c>
      <c r="Q399" s="29">
        <v>0</v>
      </c>
      <c r="R399" s="30">
        <v>5248</v>
      </c>
    </row>
    <row r="400" spans="1:18">
      <c r="A400" s="27"/>
      <c r="B400" s="28">
        <v>396</v>
      </c>
      <c r="C400" s="1">
        <f>30000000+INDEX(编号表!$B:$B,MATCH(G400,编号表!$A:$A,0))*100000+INDEX(编号表!$F:$F,MATCH(H400,编号表!$E:$E,0))*1000+INDEX(编号表!$D:$D,MATCH(F400,编号表!$C:$C,0))*10000+E400</f>
        <v>31343002</v>
      </c>
      <c r="D400" s="23" t="s">
        <v>459</v>
      </c>
      <c r="E400" s="23">
        <v>2</v>
      </c>
      <c r="F400" s="23" t="s">
        <v>400</v>
      </c>
      <c r="G400" s="23" t="s">
        <v>45</v>
      </c>
      <c r="H400" s="23" t="s">
        <v>115</v>
      </c>
      <c r="I400" s="23" t="s">
        <v>49</v>
      </c>
      <c r="J400" s="23"/>
      <c r="K400" s="23"/>
      <c r="L400" s="29">
        <v>0</v>
      </c>
      <c r="M400" s="29">
        <v>-1</v>
      </c>
      <c r="N400" s="29"/>
      <c r="O400" s="29">
        <v>33038</v>
      </c>
      <c r="P400" s="29">
        <v>11181</v>
      </c>
      <c r="Q400" s="29">
        <v>0</v>
      </c>
      <c r="R400" s="30">
        <v>5686</v>
      </c>
    </row>
    <row r="401" spans="1:18">
      <c r="A401" s="27"/>
      <c r="B401" s="28">
        <v>397</v>
      </c>
      <c r="C401" s="1">
        <f>30000000+INDEX(编号表!$B:$B,MATCH(G401,编号表!$A:$A,0))*100000+INDEX(编号表!$F:$F,MATCH(H401,编号表!$E:$E,0))*1000+INDEX(编号表!$D:$D,MATCH(F401,编号表!$C:$C,0))*10000+E401</f>
        <v>31343003</v>
      </c>
      <c r="D401" s="23" t="s">
        <v>460</v>
      </c>
      <c r="E401" s="23">
        <v>3</v>
      </c>
      <c r="F401" s="23" t="s">
        <v>400</v>
      </c>
      <c r="G401" s="23" t="s">
        <v>45</v>
      </c>
      <c r="H401" s="23" t="s">
        <v>115</v>
      </c>
      <c r="I401" s="23" t="s">
        <v>49</v>
      </c>
      <c r="J401" s="23"/>
      <c r="K401" s="23"/>
      <c r="L401" s="29">
        <v>0</v>
      </c>
      <c r="M401" s="29">
        <v>2</v>
      </c>
      <c r="N401" s="29"/>
      <c r="O401" s="29">
        <v>34846</v>
      </c>
      <c r="P401" s="29">
        <v>26860</v>
      </c>
      <c r="Q401" s="29">
        <v>0</v>
      </c>
      <c r="R401" s="30">
        <v>1749</v>
      </c>
    </row>
    <row r="402" spans="1:18">
      <c r="A402" s="27"/>
      <c r="B402" s="28">
        <v>398</v>
      </c>
      <c r="C402" s="1">
        <f>30000000+INDEX(编号表!$B:$B,MATCH(G402,编号表!$A:$A,0))*100000+INDEX(编号表!$F:$F,MATCH(H402,编号表!$E:$E,0))*1000+INDEX(编号表!$D:$D,MATCH(F402,编号表!$C:$C,0))*10000+E402</f>
        <v>31343004</v>
      </c>
      <c r="D402" s="23" t="s">
        <v>461</v>
      </c>
      <c r="E402" s="23">
        <v>4</v>
      </c>
      <c r="F402" s="23" t="s">
        <v>400</v>
      </c>
      <c r="G402" s="23" t="s">
        <v>45</v>
      </c>
      <c r="H402" s="23" t="s">
        <v>115</v>
      </c>
      <c r="I402" s="23" t="s">
        <v>52</v>
      </c>
      <c r="J402" s="23"/>
      <c r="K402" s="23"/>
      <c r="L402" s="29">
        <v>0</v>
      </c>
      <c r="M402" s="29">
        <v>-1</v>
      </c>
      <c r="N402" s="29"/>
      <c r="O402" s="29">
        <v>34846</v>
      </c>
      <c r="P402" s="29">
        <v>22274</v>
      </c>
      <c r="Q402" s="29">
        <v>0</v>
      </c>
      <c r="R402" s="30">
        <v>4228</v>
      </c>
    </row>
    <row r="403" spans="1:18">
      <c r="A403" s="27"/>
      <c r="B403" s="28">
        <v>399</v>
      </c>
      <c r="C403" s="1">
        <f>30000000+INDEX(编号表!$B:$B,MATCH(G403,编号表!$A:$A,0))*100000+INDEX(编号表!$F:$F,MATCH(H403,编号表!$E:$E,0))*1000+INDEX(编号表!$D:$D,MATCH(F403,编号表!$C:$C,0))*10000+E403</f>
        <v>31343005</v>
      </c>
      <c r="D403" s="23" t="inlineStr">
        <is>
          <t xml:space="preserve">百载沸泉苔·玄株</t>
        </is>
      </c>
      <c r="E403" s="23">
        <v>5</v>
      </c>
      <c r="F403" s="23" t="s">
        <v>400</v>
      </c>
      <c r="G403" s="23" t="s">
        <v>45</v>
      </c>
      <c r="H403" s="23" t="s">
        <v>115</v>
      </c>
      <c r="I403" s="23" t="s">
        <v>52</v>
      </c>
      <c r="J403" s="23"/>
      <c r="K403" s="23"/>
      <c r="L403" s="29">
        <v>0</v>
      </c>
      <c r="M403" s="29">
        <v>4</v>
      </c>
      <c r="N403" s="29"/>
      <c r="O403" s="29">
        <v>36041</v>
      </c>
      <c r="P403" s="29">
        <v>27781</v>
      </c>
      <c r="Q403" s="29">
        <v>0</v>
      </c>
      <c r="R403" s="30">
        <v>7581</v>
      </c>
    </row>
    <row r="404" spans="1:18">
      <c r="A404" s="27"/>
      <c r="B404" s="28">
        <v>400</v>
      </c>
      <c r="C404" s="1">
        <f>30000000+INDEX(编号表!$B:$B,MATCH(G404,编号表!$A:$A,0))*100000+INDEX(编号表!$F:$F,MATCH(H404,编号表!$E:$E,0))*1000+INDEX(编号表!$D:$D,MATCH(F404,编号表!$C:$C,0))*10000+E404</f>
        <v>31343006</v>
      </c>
      <c r="D404" s="23" t="inlineStr">
        <is>
          <t xml:space="preserve">百载丹露花·玄株</t>
        </is>
      </c>
      <c r="E404" s="23">
        <v>6</v>
      </c>
      <c r="F404" s="23" t="s">
        <v>400</v>
      </c>
      <c r="G404" s="23" t="s">
        <v>45</v>
      </c>
      <c r="H404" s="23" t="s">
        <v>115</v>
      </c>
      <c r="I404" s="23" t="s">
        <v>55</v>
      </c>
      <c r="J404" s="23"/>
      <c r="K404" s="23"/>
      <c r="L404" s="29">
        <v>0</v>
      </c>
      <c r="M404" s="29">
        <v>-1</v>
      </c>
      <c r="N404" s="29"/>
      <c r="O404" s="29">
        <v>36041</v>
      </c>
      <c r="P404" s="29">
        <v>9486</v>
      </c>
      <c r="Q404" s="29">
        <v>0</v>
      </c>
      <c r="R404" s="30">
        <v>12247</v>
      </c>
    </row>
    <row r="405" spans="1:18">
      <c r="A405" s="27"/>
      <c r="B405" s="28">
        <v>401</v>
      </c>
      <c r="C405" s="1">
        <f>30000000+INDEX(编号表!$B:$B,MATCH(G405,编号表!$A:$A,0))*100000+INDEX(编号表!$F:$F,MATCH(H405,编号表!$E:$E,0))*1000+INDEX(编号表!$D:$D,MATCH(F405,编号表!$C:$C,0))*10000+E405</f>
        <v>31343007</v>
      </c>
      <c r="D405" s="23" t="s">
        <v>464</v>
      </c>
      <c r="E405" s="23">
        <v>7</v>
      </c>
      <c r="F405" s="23" t="s">
        <v>400</v>
      </c>
      <c r="G405" s="23" t="s">
        <v>45</v>
      </c>
      <c r="H405" s="23" t="s">
        <v>115</v>
      </c>
      <c r="I405" s="23" t="s">
        <v>55</v>
      </c>
      <c r="J405" s="23"/>
      <c r="K405" s="23"/>
      <c r="L405" s="29">
        <v>0</v>
      </c>
      <c r="M405" s="29">
        <v>2</v>
      </c>
      <c r="N405" s="29"/>
      <c r="O405" s="29">
        <v>34846</v>
      </c>
      <c r="P405" s="29">
        <v>26860</v>
      </c>
      <c r="Q405" s="29">
        <v>0</v>
      </c>
      <c r="R405" s="30">
        <v>1749</v>
      </c>
    </row>
    <row r="406" spans="1:18">
      <c r="A406" s="27"/>
      <c r="B406" s="28">
        <v>402</v>
      </c>
      <c r="C406" s="1">
        <f>30000000+INDEX(编号表!$B:$B,MATCH(G406,编号表!$A:$A,0))*100000+INDEX(编号表!$F:$F,MATCH(H406,编号表!$E:$E,0))*1000+INDEX(编号表!$D:$D,MATCH(F406,编号表!$C:$C,0))*10000+E406</f>
        <v>31343008</v>
      </c>
      <c r="D406" s="23" t="s">
        <v>465</v>
      </c>
      <c r="E406" s="23">
        <v>8</v>
      </c>
      <c r="F406" s="23" t="s">
        <v>400</v>
      </c>
      <c r="G406" s="23" t="s">
        <v>45</v>
      </c>
      <c r="H406" s="23" t="s">
        <v>115</v>
      </c>
      <c r="I406" s="23" t="s">
        <v>58</v>
      </c>
      <c r="J406" s="23"/>
      <c r="K406" s="23"/>
      <c r="L406" s="29">
        <v>0</v>
      </c>
      <c r="M406" s="29">
        <v>-2</v>
      </c>
      <c r="N406" s="29"/>
      <c r="O406" s="29">
        <v>34846</v>
      </c>
      <c r="P406" s="29">
        <v>18016</v>
      </c>
      <c r="Q406" s="29">
        <v>0</v>
      </c>
      <c r="R406" s="30">
        <v>4082</v>
      </c>
    </row>
    <row r="407" spans="1:18">
      <c r="A407" s="27"/>
      <c r="B407" s="28">
        <v>403</v>
      </c>
      <c r="C407" s="1">
        <f>30000000+INDEX(编号表!$B:$B,MATCH(G407,编号表!$A:$A,0))*100000+INDEX(编号表!$F:$F,MATCH(H407,编号表!$E:$E,0))*1000+INDEX(编号表!$D:$D,MATCH(F407,编号表!$C:$C,0))*10000+E407</f>
        <v>31343009</v>
      </c>
      <c r="D407" s="23" t="s">
        <v>466</v>
      </c>
      <c r="E407" s="23">
        <v>9</v>
      </c>
      <c r="F407" s="23" t="s">
        <v>400</v>
      </c>
      <c r="G407" s="23" t="s">
        <v>45</v>
      </c>
      <c r="H407" s="23" t="s">
        <v>115</v>
      </c>
      <c r="I407" s="23" t="s">
        <v>58</v>
      </c>
      <c r="J407" s="23"/>
      <c r="K407" s="23"/>
      <c r="L407" s="29">
        <v>0</v>
      </c>
      <c r="M407" s="29">
        <v>1</v>
      </c>
      <c r="N407" s="29"/>
      <c r="O407" s="29">
        <v>33038</v>
      </c>
      <c r="P407" s="29">
        <v>11181</v>
      </c>
      <c r="Q407" s="29">
        <v>0</v>
      </c>
      <c r="R407" s="30">
        <v>5686</v>
      </c>
    </row>
    <row r="408" spans="1:18">
      <c r="A408" s="27"/>
      <c r="B408" s="28">
        <v>404</v>
      </c>
      <c r="C408" s="1">
        <f>30000000+INDEX(编号表!$B:$B,MATCH(G408,编号表!$A:$A,0))*100000+INDEX(编号表!$F:$F,MATCH(H408,编号表!$E:$E,0))*1000+INDEX(编号表!$D:$D,MATCH(F408,编号表!$C:$C,0))*10000+E408</f>
        <v>31543000</v>
      </c>
      <c r="D408" s="23" t="inlineStr">
        <is>
          <t xml:space="preserve">百载霜辛草·玄株</t>
        </is>
      </c>
      <c r="E408" s="23">
        <v>0</v>
      </c>
      <c r="F408" s="23" t="s">
        <v>400</v>
      </c>
      <c r="G408" s="23" t="s">
        <v>61</v>
      </c>
      <c r="H408" s="23" t="s">
        <v>115</v>
      </c>
      <c r="I408" s="23"/>
      <c r="J408" s="23" t="s">
        <v>62</v>
      </c>
      <c r="K408" s="23"/>
      <c r="L408" s="29">
        <v>0</v>
      </c>
      <c r="M408" s="29">
        <v>-2</v>
      </c>
      <c r="N408" s="29"/>
      <c r="O408" s="29">
        <v>34846</v>
      </c>
      <c r="P408" s="29">
        <v>18016</v>
      </c>
      <c r="Q408" s="29">
        <v>0</v>
      </c>
      <c r="R408" s="30">
        <v>4082</v>
      </c>
    </row>
    <row r="409" spans="1:18">
      <c r="A409" s="27"/>
      <c r="B409" s="28">
        <v>405</v>
      </c>
      <c r="C409" s="1">
        <f>30000000+INDEX(编号表!$B:$B,MATCH(G409,编号表!$A:$A,0))*100000+INDEX(编号表!$F:$F,MATCH(H409,编号表!$E:$E,0))*1000+INDEX(编号表!$D:$D,MATCH(F409,编号表!$C:$C,0))*10000+E409</f>
        <v>31543001</v>
      </c>
      <c r="D409" s="23" t="s">
        <v>468</v>
      </c>
      <c r="E409" s="23">
        <v>1</v>
      </c>
      <c r="F409" s="23" t="s">
        <v>400</v>
      </c>
      <c r="G409" s="23" t="s">
        <v>61</v>
      </c>
      <c r="H409" s="23" t="s">
        <v>115</v>
      </c>
      <c r="I409" s="23"/>
      <c r="J409" s="23" t="s">
        <v>62</v>
      </c>
      <c r="K409" s="23"/>
      <c r="L409" s="29">
        <v>0</v>
      </c>
      <c r="M409" s="29">
        <v>3</v>
      </c>
      <c r="N409" s="29"/>
      <c r="O409" s="29">
        <v>37237</v>
      </c>
      <c r="P409" s="29">
        <v>23802</v>
      </c>
      <c r="Q409" s="29">
        <v>0</v>
      </c>
      <c r="R409" s="30">
        <v>5248</v>
      </c>
    </row>
    <row r="410" spans="1:18">
      <c r="A410" s="27"/>
      <c r="B410" s="28">
        <v>406</v>
      </c>
      <c r="C410" s="1">
        <f>30000000+INDEX(编号表!$B:$B,MATCH(G410,编号表!$A:$A,0))*100000+INDEX(编号表!$F:$F,MATCH(H410,编号表!$E:$E,0))*1000+INDEX(编号表!$D:$D,MATCH(F410,编号表!$C:$C,0))*10000+E410</f>
        <v>31543002</v>
      </c>
      <c r="D410" s="23" t="s">
        <v>469</v>
      </c>
      <c r="E410" s="23">
        <v>2</v>
      </c>
      <c r="F410" s="23" t="s">
        <v>400</v>
      </c>
      <c r="G410" s="23" t="s">
        <v>61</v>
      </c>
      <c r="H410" s="23" t="s">
        <v>115</v>
      </c>
      <c r="I410" s="23"/>
      <c r="J410" s="23" t="s">
        <v>65</v>
      </c>
      <c r="K410" s="23"/>
      <c r="L410" s="29">
        <v>0</v>
      </c>
      <c r="M410" s="29">
        <v>-1</v>
      </c>
      <c r="N410" s="29"/>
      <c r="O410" s="29">
        <v>33038</v>
      </c>
      <c r="P410" s="29">
        <v>11181</v>
      </c>
      <c r="Q410" s="29">
        <v>0</v>
      </c>
      <c r="R410" s="30">
        <v>5686</v>
      </c>
    </row>
    <row r="411" spans="1:18">
      <c r="A411" s="27"/>
      <c r="B411" s="28">
        <v>407</v>
      </c>
      <c r="C411" s="1">
        <f>30000000+INDEX(编号表!$B:$B,MATCH(G411,编号表!$A:$A,0))*100000+INDEX(编号表!$F:$F,MATCH(H411,编号表!$E:$E,0))*1000+INDEX(编号表!$D:$D,MATCH(F411,编号表!$C:$C,0))*10000+E411</f>
        <v>31543003</v>
      </c>
      <c r="D411" s="23" t="s">
        <v>470</v>
      </c>
      <c r="E411" s="23">
        <v>3</v>
      </c>
      <c r="F411" s="23" t="s">
        <v>400</v>
      </c>
      <c r="G411" s="23" t="s">
        <v>61</v>
      </c>
      <c r="H411" s="23" t="s">
        <v>115</v>
      </c>
      <c r="I411" s="23"/>
      <c r="J411" s="23" t="s">
        <v>65</v>
      </c>
      <c r="K411" s="23"/>
      <c r="L411" s="29">
        <v>0</v>
      </c>
      <c r="M411" s="29">
        <v>2</v>
      </c>
      <c r="N411" s="29"/>
      <c r="O411" s="29">
        <v>34846</v>
      </c>
      <c r="P411" s="29">
        <v>26860</v>
      </c>
      <c r="Q411" s="29">
        <v>0</v>
      </c>
      <c r="R411" s="30">
        <v>1749</v>
      </c>
    </row>
    <row r="412" spans="1:18">
      <c r="A412" s="27"/>
      <c r="B412" s="28">
        <v>408</v>
      </c>
      <c r="C412" s="1">
        <f>30000000+INDEX(编号表!$B:$B,MATCH(G412,编号表!$A:$A,0))*100000+INDEX(编号表!$F:$F,MATCH(H412,编号表!$E:$E,0))*1000+INDEX(编号表!$D:$D,MATCH(F412,编号表!$C:$C,0))*10000+E412</f>
        <v>31543004</v>
      </c>
      <c r="D412" s="23" t="s">
        <v>471</v>
      </c>
      <c r="E412" s="23">
        <v>4</v>
      </c>
      <c r="F412" s="23" t="s">
        <v>400</v>
      </c>
      <c r="G412" s="23" t="s">
        <v>61</v>
      </c>
      <c r="H412" s="23" t="s">
        <v>115</v>
      </c>
      <c r="I412" s="23"/>
      <c r="J412" s="23" t="s">
        <v>68</v>
      </c>
      <c r="K412" s="23"/>
      <c r="L412" s="29">
        <v>0</v>
      </c>
      <c r="M412" s="29">
        <v>-1</v>
      </c>
      <c r="N412" s="29"/>
      <c r="O412" s="29">
        <v>34846</v>
      </c>
      <c r="P412" s="29">
        <v>22274</v>
      </c>
      <c r="Q412" s="29">
        <v>0</v>
      </c>
      <c r="R412" s="30">
        <v>4228</v>
      </c>
    </row>
    <row r="413" spans="1:18">
      <c r="A413" s="27"/>
      <c r="B413" s="28">
        <v>409</v>
      </c>
      <c r="C413" s="1">
        <f>30000000+INDEX(编号表!$B:$B,MATCH(G413,编号表!$A:$A,0))*100000+INDEX(编号表!$F:$F,MATCH(H413,编号表!$E:$E,0))*1000+INDEX(编号表!$D:$D,MATCH(F413,编号表!$C:$C,0))*10000+E413</f>
        <v>31543005</v>
      </c>
      <c r="D413" s="23" t="s">
        <v>472</v>
      </c>
      <c r="E413" s="23">
        <v>5</v>
      </c>
      <c r="F413" s="23" t="s">
        <v>400</v>
      </c>
      <c r="G413" s="23" t="s">
        <v>61</v>
      </c>
      <c r="H413" s="23" t="s">
        <v>115</v>
      </c>
      <c r="I413" s="23"/>
      <c r="J413" s="23" t="s">
        <v>68</v>
      </c>
      <c r="K413" s="23"/>
      <c r="L413" s="29">
        <v>0</v>
      </c>
      <c r="M413" s="29">
        <v>4</v>
      </c>
      <c r="N413" s="29"/>
      <c r="O413" s="29">
        <v>36041</v>
      </c>
      <c r="P413" s="29">
        <v>27781</v>
      </c>
      <c r="Q413" s="29">
        <v>0</v>
      </c>
      <c r="R413" s="30">
        <v>7581</v>
      </c>
    </row>
    <row r="414" spans="1:18">
      <c r="A414" s="27"/>
      <c r="B414" s="28">
        <v>410</v>
      </c>
      <c r="C414" s="1">
        <f>30000000+INDEX(编号表!$B:$B,MATCH(G414,编号表!$A:$A,0))*100000+INDEX(编号表!$F:$F,MATCH(H414,编号表!$E:$E,0))*1000+INDEX(编号表!$D:$D,MATCH(F414,编号表!$C:$C,0))*10000+E414</f>
        <v>31543006</v>
      </c>
      <c r="D414" s="23" t="s">
        <v>473</v>
      </c>
      <c r="E414" s="23">
        <v>6</v>
      </c>
      <c r="F414" s="23" t="s">
        <v>400</v>
      </c>
      <c r="G414" s="23" t="s">
        <v>61</v>
      </c>
      <c r="H414" s="23" t="s">
        <v>115</v>
      </c>
      <c r="I414" s="23"/>
      <c r="J414" s="23" t="s">
        <v>71</v>
      </c>
      <c r="K414" s="23"/>
      <c r="L414" s="29">
        <v>0</v>
      </c>
      <c r="M414" s="29">
        <v>-1</v>
      </c>
      <c r="N414" s="29"/>
      <c r="O414" s="29">
        <v>36041</v>
      </c>
      <c r="P414" s="29">
        <v>9486</v>
      </c>
      <c r="Q414" s="29">
        <v>0</v>
      </c>
      <c r="R414" s="30">
        <v>12247</v>
      </c>
    </row>
    <row r="415" spans="1:18">
      <c r="A415" s="27"/>
      <c r="B415" s="28">
        <v>411</v>
      </c>
      <c r="C415" s="1">
        <f>30000000+INDEX(编号表!$B:$B,MATCH(G415,编号表!$A:$A,0))*100000+INDEX(编号表!$F:$F,MATCH(H415,编号表!$E:$E,0))*1000+INDEX(编号表!$D:$D,MATCH(F415,编号表!$C:$C,0))*10000+E415</f>
        <v>31543007</v>
      </c>
      <c r="D415" s="23" t="s">
        <v>474</v>
      </c>
      <c r="E415" s="23">
        <v>7</v>
      </c>
      <c r="F415" s="23" t="s">
        <v>400</v>
      </c>
      <c r="G415" s="23" t="s">
        <v>61</v>
      </c>
      <c r="H415" s="23" t="s">
        <v>115</v>
      </c>
      <c r="I415" s="23"/>
      <c r="J415" s="23" t="s">
        <v>71</v>
      </c>
      <c r="K415" s="23"/>
      <c r="L415" s="29">
        <v>0</v>
      </c>
      <c r="M415" s="29">
        <v>2</v>
      </c>
      <c r="N415" s="29"/>
      <c r="O415" s="29">
        <v>34846</v>
      </c>
      <c r="P415" s="29">
        <v>26860</v>
      </c>
      <c r="Q415" s="29">
        <v>0</v>
      </c>
      <c r="R415" s="30">
        <v>1749</v>
      </c>
    </row>
    <row r="416" spans="1:18">
      <c r="A416" s="27"/>
      <c r="B416" s="28">
        <v>412</v>
      </c>
      <c r="C416" s="1">
        <f>30000000+INDEX(编号表!$B:$B,MATCH(G416,编号表!$A:$A,0))*100000+INDEX(编号表!$F:$F,MATCH(H416,编号表!$E:$E,0))*1000+INDEX(编号表!$D:$D,MATCH(F416,编号表!$C:$C,0))*10000+E416</f>
        <v>31543008</v>
      </c>
      <c r="D416" s="23" t="s">
        <v>475</v>
      </c>
      <c r="E416" s="23">
        <v>8</v>
      </c>
      <c r="F416" s="23" t="s">
        <v>400</v>
      </c>
      <c r="G416" s="23" t="s">
        <v>61</v>
      </c>
      <c r="H416" s="23" t="s">
        <v>115</v>
      </c>
      <c r="I416" s="23"/>
      <c r="J416" s="23" t="s">
        <v>74</v>
      </c>
      <c r="K416" s="23"/>
      <c r="L416" s="29">
        <v>0</v>
      </c>
      <c r="M416" s="29">
        <v>-2</v>
      </c>
      <c r="N416" s="29"/>
      <c r="O416" s="29">
        <v>34846</v>
      </c>
      <c r="P416" s="29">
        <v>18016</v>
      </c>
      <c r="Q416" s="29">
        <v>0</v>
      </c>
      <c r="R416" s="30">
        <v>4082</v>
      </c>
    </row>
    <row r="417" spans="1:18">
      <c r="A417" s="27"/>
      <c r="B417" s="28">
        <v>413</v>
      </c>
      <c r="C417" s="1">
        <f>30000000+INDEX(编号表!$B:$B,MATCH(G417,编号表!$A:$A,0))*100000+INDEX(编号表!$F:$F,MATCH(H417,编号表!$E:$E,0))*1000+INDEX(编号表!$D:$D,MATCH(F417,编号表!$C:$C,0))*10000+E417</f>
        <v>31543009</v>
      </c>
      <c r="D417" s="23" t="s">
        <v>476</v>
      </c>
      <c r="E417" s="23">
        <v>9</v>
      </c>
      <c r="F417" s="23" t="s">
        <v>400</v>
      </c>
      <c r="G417" s="23" t="s">
        <v>61</v>
      </c>
      <c r="H417" s="23" t="s">
        <v>115</v>
      </c>
      <c r="I417" s="23"/>
      <c r="J417" s="23" t="s">
        <v>74</v>
      </c>
      <c r="K417" s="23"/>
      <c r="L417" s="29">
        <v>0</v>
      </c>
      <c r="M417" s="29">
        <v>1</v>
      </c>
      <c r="N417" s="29"/>
      <c r="O417" s="29">
        <v>33038</v>
      </c>
      <c r="P417" s="29">
        <v>11181</v>
      </c>
      <c r="Q417" s="29">
        <v>0</v>
      </c>
      <c r="R417" s="30">
        <v>5686</v>
      </c>
    </row>
    <row r="418" spans="1:18">
      <c r="A418" s="27"/>
      <c r="B418" s="28">
        <v>414</v>
      </c>
      <c r="C418" s="1">
        <f>30000000+INDEX(编号表!$B:$B,MATCH(G418,编号表!$A:$A,0))*100000+INDEX(编号表!$F:$F,MATCH(H418,编号表!$E:$E,0))*1000+INDEX(编号表!$D:$D,MATCH(F418,编号表!$C:$C,0))*10000+E418</f>
        <v>31443000</v>
      </c>
      <c r="D418" s="23" t="s">
        <v>477</v>
      </c>
      <c r="E418" s="23">
        <v>0</v>
      </c>
      <c r="F418" s="23" t="s">
        <v>400</v>
      </c>
      <c r="G418" s="23" t="s">
        <v>77</v>
      </c>
      <c r="H418" s="23" t="s">
        <v>115</v>
      </c>
      <c r="I418" s="23"/>
      <c r="J418" s="23"/>
      <c r="K418" s="23"/>
      <c r="L418" s="29">
        <v>0</v>
      </c>
      <c r="M418" s="29">
        <v>0</v>
      </c>
      <c r="N418" s="29"/>
      <c r="O418" s="29">
        <v>33038</v>
      </c>
      <c r="P418" s="29">
        <v>8696</v>
      </c>
      <c r="Q418" s="29">
        <v>0</v>
      </c>
      <c r="R418" s="30">
        <v>6706</v>
      </c>
    </row>
    <row r="419" spans="1:18">
      <c r="A419" s="27"/>
      <c r="B419" s="28">
        <v>415</v>
      </c>
      <c r="C419" s="1">
        <f>30000000+INDEX(编号表!$B:$B,MATCH(G419,编号表!$A:$A,0))*100000+INDEX(编号表!$F:$F,MATCH(H419,编号表!$E:$E,0))*1000+INDEX(编号表!$D:$D,MATCH(F419,编号表!$C:$C,0))*10000+E419</f>
        <v>31443001</v>
      </c>
      <c r="D419" s="23" t="s">
        <v>478</v>
      </c>
      <c r="E419" s="23">
        <v>1</v>
      </c>
      <c r="F419" s="23" t="s">
        <v>400</v>
      </c>
      <c r="G419" s="23" t="s">
        <v>77</v>
      </c>
      <c r="H419" s="23" t="s">
        <v>115</v>
      </c>
      <c r="I419" s="23"/>
      <c r="J419" s="23"/>
      <c r="K419" s="23"/>
      <c r="L419" s="29">
        <v>0</v>
      </c>
      <c r="M419" s="29">
        <v>0</v>
      </c>
      <c r="N419" s="29"/>
      <c r="O419" s="29">
        <v>37237</v>
      </c>
      <c r="P419" s="29">
        <v>28703</v>
      </c>
      <c r="Q419" s="29">
        <v>0</v>
      </c>
      <c r="R419" s="30">
        <v>2332</v>
      </c>
    </row>
    <row r="420" spans="1:18">
      <c r="A420" s="27"/>
      <c r="B420" s="28">
        <v>416</v>
      </c>
      <c r="C420" s="1">
        <f>30000000+INDEX(编号表!$B:$B,MATCH(G420,编号表!$A:$A,0))*100000+INDEX(编号表!$F:$F,MATCH(H420,编号表!$E:$E,0))*1000+INDEX(编号表!$D:$D,MATCH(F420,编号表!$C:$C,0))*10000+E420</f>
        <v>31443002</v>
      </c>
      <c r="D420" s="23" t="s">
        <v>479</v>
      </c>
      <c r="E420" s="23">
        <v>2</v>
      </c>
      <c r="F420" s="23" t="s">
        <v>400</v>
      </c>
      <c r="G420" s="23" t="s">
        <v>77</v>
      </c>
      <c r="H420" s="23" t="s">
        <v>115</v>
      </c>
      <c r="I420" s="23"/>
      <c r="J420" s="23"/>
      <c r="K420" s="23"/>
      <c r="L420" s="29">
        <v>0</v>
      </c>
      <c r="M420" s="29">
        <v>1</v>
      </c>
      <c r="N420" s="29"/>
      <c r="O420" s="29">
        <v>36041</v>
      </c>
      <c r="P420" s="29">
        <v>9486</v>
      </c>
      <c r="Q420" s="29">
        <v>0</v>
      </c>
      <c r="R420" s="30">
        <v>12247</v>
      </c>
    </row>
    <row r="421" spans="1:18">
      <c r="A421" s="27"/>
      <c r="B421" s="28">
        <v>417</v>
      </c>
      <c r="C421" s="1">
        <f>30000000+INDEX(编号表!$B:$B,MATCH(G421,编号表!$A:$A,0))*100000+INDEX(编号表!$F:$F,MATCH(H421,编号表!$E:$E,0))*1000+INDEX(编号表!$D:$D,MATCH(F421,编号表!$C:$C,0))*10000+E421</f>
        <v>31443003</v>
      </c>
      <c r="D421" s="23" t="s">
        <v>480</v>
      </c>
      <c r="E421" s="23">
        <v>3</v>
      </c>
      <c r="F421" s="23" t="s">
        <v>400</v>
      </c>
      <c r="G421" s="23" t="s">
        <v>77</v>
      </c>
      <c r="H421" s="23" t="s">
        <v>115</v>
      </c>
      <c r="I421" s="23"/>
      <c r="J421" s="23"/>
      <c r="K421" s="23"/>
      <c r="L421" s="29">
        <v>0</v>
      </c>
      <c r="M421" s="29">
        <v>4</v>
      </c>
      <c r="N421" s="29"/>
      <c r="O421" s="29">
        <v>36041</v>
      </c>
      <c r="P421" s="29">
        <v>27781</v>
      </c>
      <c r="Q421" s="29">
        <v>0</v>
      </c>
      <c r="R421" s="30">
        <v>7581</v>
      </c>
    </row>
    <row r="422" spans="1:18">
      <c r="A422" s="27"/>
      <c r="B422" s="28">
        <v>418</v>
      </c>
      <c r="C422" s="1">
        <f>30000000+INDEX(编号表!$B:$B,MATCH(G422,编号表!$A:$A,0))*100000+INDEX(编号表!$F:$F,MATCH(H422,编号表!$E:$E,0))*1000+INDEX(编号表!$D:$D,MATCH(F422,编号表!$C:$C,0))*10000+E422</f>
        <v>31643000</v>
      </c>
      <c r="D422" s="23" t="s">
        <v>481</v>
      </c>
      <c r="E422" s="23">
        <v>0</v>
      </c>
      <c r="F422" s="23" t="s">
        <v>400</v>
      </c>
      <c r="G422" s="23" t="s">
        <v>82</v>
      </c>
      <c r="H422" s="23" t="s">
        <v>115</v>
      </c>
      <c r="I422" s="23"/>
      <c r="J422" s="23"/>
      <c r="K422" s="23"/>
      <c r="L422" s="29">
        <v>7</v>
      </c>
      <c r="M422" s="29">
        <v>0</v>
      </c>
      <c r="N422" s="29"/>
      <c r="O422" s="29">
        <v>0</v>
      </c>
      <c r="P422" s="29">
        <v>0</v>
      </c>
      <c r="Q422" s="29">
        <v>0</v>
      </c>
      <c r="R422" s="30">
        <v>3499</v>
      </c>
    </row>
    <row r="423" spans="1:18">
      <c r="A423" s="27"/>
      <c r="B423" s="28">
        <v>419</v>
      </c>
      <c r="C423" s="1">
        <f>30000000+INDEX(编号表!$B:$B,MATCH(G423,编号表!$A:$A,0))*100000+INDEX(编号表!$F:$F,MATCH(H423,编号表!$E:$E,0))*1000+INDEX(编号表!$D:$D,MATCH(F423,编号表!$C:$C,0))*10000+E423</f>
        <v>31643001</v>
      </c>
      <c r="D423" s="23" t="s">
        <v>482</v>
      </c>
      <c r="E423" s="23">
        <v>1</v>
      </c>
      <c r="F423" s="23" t="s">
        <v>400</v>
      </c>
      <c r="G423" s="23" t="s">
        <v>82</v>
      </c>
      <c r="H423" s="23" t="s">
        <v>115</v>
      </c>
      <c r="I423" s="23"/>
      <c r="J423" s="23"/>
      <c r="K423" s="23"/>
      <c r="L423" s="29">
        <v>8</v>
      </c>
      <c r="M423" s="29">
        <v>0</v>
      </c>
      <c r="N423" s="29"/>
      <c r="O423" s="29">
        <v>0</v>
      </c>
      <c r="P423" s="29">
        <v>0</v>
      </c>
      <c r="Q423" s="29">
        <v>0</v>
      </c>
      <c r="R423" s="30">
        <v>6415</v>
      </c>
    </row>
    <row r="424" spans="1:18">
      <c r="A424" s="27"/>
      <c r="B424" s="28">
        <v>420</v>
      </c>
      <c r="C424" s="1">
        <f>30000000+INDEX(编号表!$B:$B,MATCH(G424,编号表!$A:$A,0))*100000+INDEX(编号表!$F:$F,MATCH(H424,编号表!$E:$E,0))*1000+INDEX(编号表!$D:$D,MATCH(F424,编号表!$C:$C,0))*10000+E424</f>
        <v>31643002</v>
      </c>
      <c r="D424" s="23" t="s">
        <v>483</v>
      </c>
      <c r="E424" s="23">
        <v>2</v>
      </c>
      <c r="F424" s="23" t="s">
        <v>400</v>
      </c>
      <c r="G424" s="23" t="s">
        <v>82</v>
      </c>
      <c r="H424" s="23" t="s">
        <v>115</v>
      </c>
      <c r="I424" s="23"/>
      <c r="J424" s="23"/>
      <c r="K424" s="23"/>
      <c r="L424" s="29">
        <v>9</v>
      </c>
      <c r="M424" s="29">
        <v>0</v>
      </c>
      <c r="N424" s="29"/>
      <c r="O424" s="29">
        <v>0</v>
      </c>
      <c r="P424" s="29">
        <v>0</v>
      </c>
      <c r="Q424" s="29">
        <v>0</v>
      </c>
      <c r="R424" s="30">
        <v>9914</v>
      </c>
    </row>
    <row r="425" spans="1:18">
      <c r="A425" s="27"/>
      <c r="B425" s="28">
        <v>421</v>
      </c>
      <c r="C425" s="1">
        <f>30000000+INDEX(编号表!$B:$B,MATCH(G425,编号表!$A:$A,0))*100000+INDEX(编号表!$F:$F,MATCH(H425,编号表!$E:$E,0))*1000+INDEX(编号表!$D:$D,MATCH(F425,编号表!$C:$C,0))*10000+E425</f>
        <v>31244000</v>
      </c>
      <c r="D425" s="23" t="s">
        <v>484</v>
      </c>
      <c r="E425" s="23">
        <v>0</v>
      </c>
      <c r="F425" s="23" t="s">
        <v>400</v>
      </c>
      <c r="G425" s="23" t="s">
        <v>42</v>
      </c>
      <c r="H425" s="23" t="s">
        <v>144</v>
      </c>
      <c r="I425" s="23"/>
      <c r="J425" s="23"/>
      <c r="K425" s="23"/>
      <c r="L425" s="29">
        <v>0</v>
      </c>
      <c r="M425" s="29">
        <v>0</v>
      </c>
      <c r="N425" s="29"/>
      <c r="O425" s="29">
        <v>104976</v>
      </c>
      <c r="P425" s="29">
        <v>51964</v>
      </c>
      <c r="Q425" s="29">
        <v>524880</v>
      </c>
      <c r="R425" s="30">
        <v>9447</v>
      </c>
    </row>
    <row r="426" spans="1:18">
      <c r="A426" s="27"/>
      <c r="B426" s="28">
        <v>422</v>
      </c>
      <c r="C426" s="1">
        <f>30000000+INDEX(编号表!$B:$B,MATCH(G426,编号表!$A:$A,0))*100000+INDEX(编号表!$F:$F,MATCH(H426,编号表!$E:$E,0))*1000+INDEX(编号表!$D:$D,MATCH(F426,编号表!$C:$C,0))*10000+E426</f>
        <v>31344000</v>
      </c>
      <c r="D426" s="23" t="s">
        <v>485</v>
      </c>
      <c r="E426" s="23">
        <v>0</v>
      </c>
      <c r="F426" s="23" t="s">
        <v>400</v>
      </c>
      <c r="G426" s="23" t="s">
        <v>45</v>
      </c>
      <c r="H426" s="23" t="s">
        <v>144</v>
      </c>
      <c r="I426" s="23" t="s">
        <v>46</v>
      </c>
      <c r="J426" s="23"/>
      <c r="K426" s="23"/>
      <c r="L426" s="29">
        <v>0</v>
      </c>
      <c r="M426" s="29">
        <v>-2</v>
      </c>
      <c r="N426" s="29"/>
      <c r="O426" s="29">
        <v>62723</v>
      </c>
      <c r="P426" s="29">
        <v>31048</v>
      </c>
      <c r="Q426" s="29">
        <v>0</v>
      </c>
      <c r="R426" s="30">
        <v>7348</v>
      </c>
    </row>
    <row r="427" spans="1:18">
      <c r="A427" s="27"/>
      <c r="B427" s="28">
        <v>423</v>
      </c>
      <c r="C427" s="1">
        <f>30000000+INDEX(编号表!$B:$B,MATCH(G427,编号表!$A:$A,0))*100000+INDEX(编号表!$F:$F,MATCH(H427,编号表!$E:$E,0))*1000+INDEX(编号表!$D:$D,MATCH(F427,编号表!$C:$C,0))*10000+E427</f>
        <v>31344001</v>
      </c>
      <c r="D427" s="23" t="s">
        <v>486</v>
      </c>
      <c r="E427" s="23">
        <v>1</v>
      </c>
      <c r="F427" s="23" t="s">
        <v>400</v>
      </c>
      <c r="G427" s="23" t="s">
        <v>45</v>
      </c>
      <c r="H427" s="23" t="s">
        <v>144</v>
      </c>
      <c r="I427" s="23" t="s">
        <v>46</v>
      </c>
      <c r="J427" s="23"/>
      <c r="K427" s="23"/>
      <c r="L427" s="29">
        <v>0</v>
      </c>
      <c r="M427" s="29">
        <v>3</v>
      </c>
      <c r="N427" s="29"/>
      <c r="O427" s="29">
        <v>67027</v>
      </c>
      <c r="P427" s="29">
        <v>41021</v>
      </c>
      <c r="Q427" s="29">
        <v>0</v>
      </c>
      <c r="R427" s="30">
        <v>9447</v>
      </c>
    </row>
    <row r="428" spans="1:18">
      <c r="A428" s="27"/>
      <c r="B428" s="28">
        <v>424</v>
      </c>
      <c r="C428" s="1">
        <f>30000000+INDEX(编号表!$B:$B,MATCH(G428,编号表!$A:$A,0))*100000+INDEX(编号表!$F:$F,MATCH(H428,编号表!$E:$E,0))*1000+INDEX(编号表!$D:$D,MATCH(F428,编号表!$C:$C,0))*10000+E428</f>
        <v>31344002</v>
      </c>
      <c r="D428" s="23" t="s">
        <v>487</v>
      </c>
      <c r="E428" s="23">
        <v>2</v>
      </c>
      <c r="F428" s="23" t="s">
        <v>400</v>
      </c>
      <c r="G428" s="23" t="s">
        <v>45</v>
      </c>
      <c r="H428" s="23" t="s">
        <v>144</v>
      </c>
      <c r="I428" s="23" t="s">
        <v>49</v>
      </c>
      <c r="J428" s="23"/>
      <c r="K428" s="23"/>
      <c r="L428" s="29">
        <v>0</v>
      </c>
      <c r="M428" s="29">
        <v>-1</v>
      </c>
      <c r="N428" s="29"/>
      <c r="O428" s="29">
        <v>59468</v>
      </c>
      <c r="P428" s="29">
        <v>19268</v>
      </c>
      <c r="Q428" s="29">
        <v>0</v>
      </c>
      <c r="R428" s="30">
        <v>10235</v>
      </c>
    </row>
    <row r="429" spans="1:18">
      <c r="A429" s="27"/>
      <c r="B429" s="28">
        <v>425</v>
      </c>
      <c r="C429" s="1">
        <f>30000000+INDEX(编号表!$B:$B,MATCH(G429,编号表!$A:$A,0))*100000+INDEX(编号表!$F:$F,MATCH(H429,编号表!$E:$E,0))*1000+INDEX(编号表!$D:$D,MATCH(F429,编号表!$C:$C,0))*10000+E429</f>
        <v>31344003</v>
      </c>
      <c r="D429" s="23" t="s">
        <v>488</v>
      </c>
      <c r="E429" s="23">
        <v>3</v>
      </c>
      <c r="F429" s="23" t="s">
        <v>400</v>
      </c>
      <c r="G429" s="23" t="s">
        <v>45</v>
      </c>
      <c r="H429" s="23" t="s">
        <v>144</v>
      </c>
      <c r="I429" s="23" t="s">
        <v>49</v>
      </c>
      <c r="J429" s="23"/>
      <c r="K429" s="23"/>
      <c r="L429" s="29">
        <v>0</v>
      </c>
      <c r="M429" s="29">
        <v>2</v>
      </c>
      <c r="N429" s="29"/>
      <c r="O429" s="29">
        <v>62723</v>
      </c>
      <c r="P429" s="29">
        <v>46290</v>
      </c>
      <c r="Q429" s="29">
        <v>0</v>
      </c>
      <c r="R429" s="30">
        <v>3149</v>
      </c>
    </row>
    <row r="430" spans="1:18">
      <c r="A430" s="27"/>
      <c r="B430" s="28">
        <v>426</v>
      </c>
      <c r="C430" s="1">
        <f>30000000+INDEX(编号表!$B:$B,MATCH(G430,编号表!$A:$A,0))*100000+INDEX(编号表!$F:$F,MATCH(H430,编号表!$E:$E,0))*1000+INDEX(编号表!$D:$D,MATCH(F430,编号表!$C:$C,0))*10000+E430</f>
        <v>31344004</v>
      </c>
      <c r="D430" s="23" t="s">
        <v>489</v>
      </c>
      <c r="E430" s="23">
        <v>4</v>
      </c>
      <c r="F430" s="23" t="s">
        <v>400</v>
      </c>
      <c r="G430" s="23" t="s">
        <v>45</v>
      </c>
      <c r="H430" s="23" t="s">
        <v>144</v>
      </c>
      <c r="I430" s="23" t="s">
        <v>52</v>
      </c>
      <c r="J430" s="23"/>
      <c r="K430" s="23"/>
      <c r="L430" s="29">
        <v>0</v>
      </c>
      <c r="M430" s="29">
        <v>-1</v>
      </c>
      <c r="N430" s="29"/>
      <c r="O430" s="29">
        <v>62723</v>
      </c>
      <c r="P430" s="29">
        <v>38387</v>
      </c>
      <c r="Q430" s="29">
        <v>0</v>
      </c>
      <c r="R430" s="30">
        <v>7610</v>
      </c>
    </row>
    <row r="431" spans="1:18">
      <c r="A431" s="27"/>
      <c r="B431" s="28">
        <v>427</v>
      </c>
      <c r="C431" s="1">
        <f>30000000+INDEX(编号表!$B:$B,MATCH(G431,编号表!$A:$A,0))*100000+INDEX(编号表!$F:$F,MATCH(H431,编号表!$E:$E,0))*1000+INDEX(编号表!$D:$D,MATCH(F431,编号表!$C:$C,0))*10000+E431</f>
        <v>31344005</v>
      </c>
      <c r="D431" s="23" t="inlineStr">
        <is>
          <t xml:space="preserve">百载沸泉苔·仙株</t>
        </is>
      </c>
      <c r="E431" s="23">
        <v>5</v>
      </c>
      <c r="F431" s="23" t="s">
        <v>400</v>
      </c>
      <c r="G431" s="23" t="s">
        <v>45</v>
      </c>
      <c r="H431" s="23" t="s">
        <v>144</v>
      </c>
      <c r="I431" s="23" t="s">
        <v>52</v>
      </c>
      <c r="J431" s="23"/>
      <c r="K431" s="23"/>
      <c r="L431" s="29">
        <v>0</v>
      </c>
      <c r="M431" s="29">
        <v>4</v>
      </c>
      <c r="N431" s="29"/>
      <c r="O431" s="29">
        <v>64875</v>
      </c>
      <c r="P431" s="29">
        <v>47878</v>
      </c>
      <c r="Q431" s="29">
        <v>0</v>
      </c>
      <c r="R431" s="30">
        <v>13646</v>
      </c>
    </row>
    <row r="432" spans="1:18">
      <c r="A432" s="27"/>
      <c r="B432" s="28">
        <v>428</v>
      </c>
      <c r="C432" s="1">
        <f>30000000+INDEX(编号表!$B:$B,MATCH(G432,编号表!$A:$A,0))*100000+INDEX(编号表!$F:$F,MATCH(H432,编号表!$E:$E,0))*1000+INDEX(编号表!$D:$D,MATCH(F432,编号表!$C:$C,0))*10000+E432</f>
        <v>31344006</v>
      </c>
      <c r="D432" s="23" t="inlineStr">
        <is>
          <t xml:space="preserve">百载丹露花·仙株</t>
        </is>
      </c>
      <c r="E432" s="23">
        <v>6</v>
      </c>
      <c r="F432" s="23" t="s">
        <v>400</v>
      </c>
      <c r="G432" s="23" t="s">
        <v>45</v>
      </c>
      <c r="H432" s="23" t="s">
        <v>144</v>
      </c>
      <c r="I432" s="23" t="s">
        <v>55</v>
      </c>
      <c r="J432" s="23"/>
      <c r="K432" s="23"/>
      <c r="L432" s="29">
        <v>0</v>
      </c>
      <c r="M432" s="29">
        <v>-1</v>
      </c>
      <c r="N432" s="29"/>
      <c r="O432" s="29">
        <v>64875</v>
      </c>
      <c r="P432" s="29">
        <v>16349</v>
      </c>
      <c r="Q432" s="29">
        <v>0</v>
      </c>
      <c r="R432" s="30">
        <v>22044</v>
      </c>
    </row>
    <row r="433" spans="1:18">
      <c r="A433" s="27"/>
      <c r="B433" s="28">
        <v>429</v>
      </c>
      <c r="C433" s="1">
        <f>30000000+INDEX(编号表!$B:$B,MATCH(G433,编号表!$A:$A,0))*100000+INDEX(编号表!$F:$F,MATCH(H433,编号表!$E:$E,0))*1000+INDEX(编号表!$D:$D,MATCH(F433,编号表!$C:$C,0))*10000+E433</f>
        <v>31344007</v>
      </c>
      <c r="D433" s="23" t="s">
        <v>492</v>
      </c>
      <c r="E433" s="23">
        <v>7</v>
      </c>
      <c r="F433" s="23" t="s">
        <v>400</v>
      </c>
      <c r="G433" s="23" t="s">
        <v>45</v>
      </c>
      <c r="H433" s="23" t="s">
        <v>144</v>
      </c>
      <c r="I433" s="23" t="s">
        <v>55</v>
      </c>
      <c r="J433" s="23"/>
      <c r="K433" s="23"/>
      <c r="L433" s="29">
        <v>0</v>
      </c>
      <c r="M433" s="29">
        <v>2</v>
      </c>
      <c r="N433" s="29"/>
      <c r="O433" s="29">
        <v>62723</v>
      </c>
      <c r="P433" s="29">
        <v>46290</v>
      </c>
      <c r="Q433" s="29">
        <v>0</v>
      </c>
      <c r="R433" s="30">
        <v>3149</v>
      </c>
    </row>
    <row r="434" spans="1:18">
      <c r="A434" s="27"/>
      <c r="B434" s="28">
        <v>430</v>
      </c>
      <c r="C434" s="1">
        <f>30000000+INDEX(编号表!$B:$B,MATCH(G434,编号表!$A:$A,0))*100000+INDEX(编号表!$F:$F,MATCH(H434,编号表!$E:$E,0))*1000+INDEX(编号表!$D:$D,MATCH(F434,编号表!$C:$C,0))*10000+E434</f>
        <v>31344008</v>
      </c>
      <c r="D434" s="23" t="s">
        <v>493</v>
      </c>
      <c r="E434" s="23">
        <v>8</v>
      </c>
      <c r="F434" s="23" t="s">
        <v>400</v>
      </c>
      <c r="G434" s="23" t="s">
        <v>45</v>
      </c>
      <c r="H434" s="23" t="s">
        <v>144</v>
      </c>
      <c r="I434" s="23" t="s">
        <v>58</v>
      </c>
      <c r="J434" s="23"/>
      <c r="K434" s="23"/>
      <c r="L434" s="29">
        <v>0</v>
      </c>
      <c r="M434" s="29">
        <v>-2</v>
      </c>
      <c r="N434" s="29"/>
      <c r="O434" s="29">
        <v>62723</v>
      </c>
      <c r="P434" s="29">
        <v>31048</v>
      </c>
      <c r="Q434" s="29">
        <v>0</v>
      </c>
      <c r="R434" s="30">
        <v>7348</v>
      </c>
    </row>
    <row r="435" spans="1:18">
      <c r="A435" s="27"/>
      <c r="B435" s="28">
        <v>431</v>
      </c>
      <c r="C435" s="1">
        <f>30000000+INDEX(编号表!$B:$B,MATCH(G435,编号表!$A:$A,0))*100000+INDEX(编号表!$F:$F,MATCH(H435,编号表!$E:$E,0))*1000+INDEX(编号表!$D:$D,MATCH(F435,编号表!$C:$C,0))*10000+E435</f>
        <v>31344009</v>
      </c>
      <c r="D435" s="23" t="s">
        <v>494</v>
      </c>
      <c r="E435" s="23">
        <v>9</v>
      </c>
      <c r="F435" s="23" t="s">
        <v>400</v>
      </c>
      <c r="G435" s="23" t="s">
        <v>45</v>
      </c>
      <c r="H435" s="23" t="s">
        <v>144</v>
      </c>
      <c r="I435" s="23" t="s">
        <v>58</v>
      </c>
      <c r="J435" s="23"/>
      <c r="K435" s="23"/>
      <c r="L435" s="29">
        <v>0</v>
      </c>
      <c r="M435" s="29">
        <v>1</v>
      </c>
      <c r="N435" s="29"/>
      <c r="O435" s="29">
        <v>59468</v>
      </c>
      <c r="P435" s="29">
        <v>19268</v>
      </c>
      <c r="Q435" s="29">
        <v>0</v>
      </c>
      <c r="R435" s="30">
        <v>10235</v>
      </c>
    </row>
    <row r="436" spans="1:18">
      <c r="A436" s="27"/>
      <c r="B436" s="28">
        <v>432</v>
      </c>
      <c r="C436" s="1">
        <f>30000000+INDEX(编号表!$B:$B,MATCH(G436,编号表!$A:$A,0))*100000+INDEX(编号表!$F:$F,MATCH(H436,编号表!$E:$E,0))*1000+INDEX(编号表!$D:$D,MATCH(F436,编号表!$C:$C,0))*10000+E436</f>
        <v>31544000</v>
      </c>
      <c r="D436" s="23" t="inlineStr">
        <is>
          <t xml:space="preserve">百载霜辛草·仙株</t>
        </is>
      </c>
      <c r="E436" s="23">
        <v>0</v>
      </c>
      <c r="F436" s="23" t="s">
        <v>400</v>
      </c>
      <c r="G436" s="23" t="s">
        <v>61</v>
      </c>
      <c r="H436" s="23" t="s">
        <v>144</v>
      </c>
      <c r="I436" s="23"/>
      <c r="J436" s="23" t="s">
        <v>62</v>
      </c>
      <c r="K436" s="23"/>
      <c r="L436" s="29">
        <v>0</v>
      </c>
      <c r="M436" s="29">
        <v>-2</v>
      </c>
      <c r="N436" s="29"/>
      <c r="O436" s="29">
        <v>62723</v>
      </c>
      <c r="P436" s="29">
        <v>31048</v>
      </c>
      <c r="Q436" s="29">
        <v>0</v>
      </c>
      <c r="R436" s="30">
        <v>7348</v>
      </c>
    </row>
    <row r="437" spans="1:18">
      <c r="A437" s="27"/>
      <c r="B437" s="28">
        <v>433</v>
      </c>
      <c r="C437" s="1">
        <f>30000000+INDEX(编号表!$B:$B,MATCH(G437,编号表!$A:$A,0))*100000+INDEX(编号表!$F:$F,MATCH(H437,编号表!$E:$E,0))*1000+INDEX(编号表!$D:$D,MATCH(F437,编号表!$C:$C,0))*10000+E437</f>
        <v>31544001</v>
      </c>
      <c r="D437" s="23" t="s">
        <v>496</v>
      </c>
      <c r="E437" s="23">
        <v>1</v>
      </c>
      <c r="F437" s="23" t="s">
        <v>400</v>
      </c>
      <c r="G437" s="23" t="s">
        <v>61</v>
      </c>
      <c r="H437" s="23" t="s">
        <v>144</v>
      </c>
      <c r="I437" s="23"/>
      <c r="J437" s="23" t="s">
        <v>62</v>
      </c>
      <c r="K437" s="23"/>
      <c r="L437" s="29">
        <v>0</v>
      </c>
      <c r="M437" s="29">
        <v>3</v>
      </c>
      <c r="N437" s="29"/>
      <c r="O437" s="29">
        <v>67027</v>
      </c>
      <c r="P437" s="29">
        <v>41021</v>
      </c>
      <c r="Q437" s="29">
        <v>0</v>
      </c>
      <c r="R437" s="30">
        <v>9447</v>
      </c>
    </row>
    <row r="438" spans="1:18">
      <c r="A438" s="27"/>
      <c r="B438" s="28">
        <v>434</v>
      </c>
      <c r="C438" s="1">
        <f>30000000+INDEX(编号表!$B:$B,MATCH(G438,编号表!$A:$A,0))*100000+INDEX(编号表!$F:$F,MATCH(H438,编号表!$E:$E,0))*1000+INDEX(编号表!$D:$D,MATCH(F438,编号表!$C:$C,0))*10000+E438</f>
        <v>31544002</v>
      </c>
      <c r="D438" s="23" t="s">
        <v>497</v>
      </c>
      <c r="E438" s="23">
        <v>2</v>
      </c>
      <c r="F438" s="23" t="s">
        <v>400</v>
      </c>
      <c r="G438" s="23" t="s">
        <v>61</v>
      </c>
      <c r="H438" s="23" t="s">
        <v>144</v>
      </c>
      <c r="I438" s="23"/>
      <c r="J438" s="23" t="s">
        <v>65</v>
      </c>
      <c r="K438" s="23"/>
      <c r="L438" s="29">
        <v>0</v>
      </c>
      <c r="M438" s="29">
        <v>-1</v>
      </c>
      <c r="N438" s="29"/>
      <c r="O438" s="29">
        <v>59468</v>
      </c>
      <c r="P438" s="29">
        <v>19268</v>
      </c>
      <c r="Q438" s="29">
        <v>0</v>
      </c>
      <c r="R438" s="30">
        <v>10235</v>
      </c>
    </row>
    <row r="439" spans="1:18">
      <c r="A439" s="27"/>
      <c r="B439" s="28">
        <v>435</v>
      </c>
      <c r="C439" s="1">
        <f>30000000+INDEX(编号表!$B:$B,MATCH(G439,编号表!$A:$A,0))*100000+INDEX(编号表!$F:$F,MATCH(H439,编号表!$E:$E,0))*1000+INDEX(编号表!$D:$D,MATCH(F439,编号表!$C:$C,0))*10000+E439</f>
        <v>31544003</v>
      </c>
      <c r="D439" s="23" t="s">
        <v>498</v>
      </c>
      <c r="E439" s="23">
        <v>3</v>
      </c>
      <c r="F439" s="23" t="s">
        <v>400</v>
      </c>
      <c r="G439" s="23" t="s">
        <v>61</v>
      </c>
      <c r="H439" s="23" t="s">
        <v>144</v>
      </c>
      <c r="I439" s="23"/>
      <c r="J439" s="23" t="s">
        <v>65</v>
      </c>
      <c r="K439" s="23"/>
      <c r="L439" s="29">
        <v>0</v>
      </c>
      <c r="M439" s="29">
        <v>2</v>
      </c>
      <c r="N439" s="29"/>
      <c r="O439" s="29">
        <v>62723</v>
      </c>
      <c r="P439" s="29">
        <v>46290</v>
      </c>
      <c r="Q439" s="29">
        <v>0</v>
      </c>
      <c r="R439" s="30">
        <v>3149</v>
      </c>
    </row>
    <row r="440" spans="1:18">
      <c r="A440" s="27"/>
      <c r="B440" s="28">
        <v>436</v>
      </c>
      <c r="C440" s="1">
        <f>30000000+INDEX(编号表!$B:$B,MATCH(G440,编号表!$A:$A,0))*100000+INDEX(编号表!$F:$F,MATCH(H440,编号表!$E:$E,0))*1000+INDEX(编号表!$D:$D,MATCH(F440,编号表!$C:$C,0))*10000+E440</f>
        <v>31544004</v>
      </c>
      <c r="D440" s="23" t="s">
        <v>499</v>
      </c>
      <c r="E440" s="23">
        <v>4</v>
      </c>
      <c r="F440" s="23" t="s">
        <v>400</v>
      </c>
      <c r="G440" s="23" t="s">
        <v>61</v>
      </c>
      <c r="H440" s="23" t="s">
        <v>144</v>
      </c>
      <c r="I440" s="23"/>
      <c r="J440" s="23" t="s">
        <v>68</v>
      </c>
      <c r="K440" s="23"/>
      <c r="L440" s="29">
        <v>0</v>
      </c>
      <c r="M440" s="29">
        <v>-1</v>
      </c>
      <c r="N440" s="29"/>
      <c r="O440" s="29">
        <v>62723</v>
      </c>
      <c r="P440" s="29">
        <v>38387</v>
      </c>
      <c r="Q440" s="29">
        <v>0</v>
      </c>
      <c r="R440" s="30">
        <v>7610</v>
      </c>
    </row>
    <row r="441" spans="1:18">
      <c r="A441" s="27"/>
      <c r="B441" s="28">
        <v>437</v>
      </c>
      <c r="C441" s="1">
        <f>30000000+INDEX(编号表!$B:$B,MATCH(G441,编号表!$A:$A,0))*100000+INDEX(编号表!$F:$F,MATCH(H441,编号表!$E:$E,0))*1000+INDEX(编号表!$D:$D,MATCH(F441,编号表!$C:$C,0))*10000+E441</f>
        <v>31544005</v>
      </c>
      <c r="D441" s="23" t="s">
        <v>500</v>
      </c>
      <c r="E441" s="23">
        <v>5</v>
      </c>
      <c r="F441" s="23" t="s">
        <v>400</v>
      </c>
      <c r="G441" s="23" t="s">
        <v>61</v>
      </c>
      <c r="H441" s="23" t="s">
        <v>144</v>
      </c>
      <c r="I441" s="23"/>
      <c r="J441" s="23" t="s">
        <v>68</v>
      </c>
      <c r="K441" s="23"/>
      <c r="L441" s="29">
        <v>0</v>
      </c>
      <c r="M441" s="29">
        <v>4</v>
      </c>
      <c r="N441" s="29"/>
      <c r="O441" s="29">
        <v>64875</v>
      </c>
      <c r="P441" s="29">
        <v>47878</v>
      </c>
      <c r="Q441" s="29">
        <v>0</v>
      </c>
      <c r="R441" s="30">
        <v>13646</v>
      </c>
    </row>
    <row r="442" spans="1:18">
      <c r="A442" s="27"/>
      <c r="B442" s="28">
        <v>438</v>
      </c>
      <c r="C442" s="1">
        <f>30000000+INDEX(编号表!$B:$B,MATCH(G442,编号表!$A:$A,0))*100000+INDEX(编号表!$F:$F,MATCH(H442,编号表!$E:$E,0))*1000+INDEX(编号表!$D:$D,MATCH(F442,编号表!$C:$C,0))*10000+E442</f>
        <v>31544006</v>
      </c>
      <c r="D442" s="23" t="s">
        <v>501</v>
      </c>
      <c r="E442" s="23">
        <v>6</v>
      </c>
      <c r="F442" s="23" t="s">
        <v>400</v>
      </c>
      <c r="G442" s="23" t="s">
        <v>61</v>
      </c>
      <c r="H442" s="23" t="s">
        <v>144</v>
      </c>
      <c r="I442" s="23"/>
      <c r="J442" s="23" t="s">
        <v>71</v>
      </c>
      <c r="K442" s="23"/>
      <c r="L442" s="29">
        <v>0</v>
      </c>
      <c r="M442" s="29">
        <v>-1</v>
      </c>
      <c r="N442" s="29"/>
      <c r="O442" s="29">
        <v>64875</v>
      </c>
      <c r="P442" s="29">
        <v>16349</v>
      </c>
      <c r="Q442" s="29">
        <v>0</v>
      </c>
      <c r="R442" s="30">
        <v>22044</v>
      </c>
    </row>
    <row r="443" spans="1:18">
      <c r="A443" s="27"/>
      <c r="B443" s="28">
        <v>439</v>
      </c>
      <c r="C443" s="1">
        <f>30000000+INDEX(编号表!$B:$B,MATCH(G443,编号表!$A:$A,0))*100000+INDEX(编号表!$F:$F,MATCH(H443,编号表!$E:$E,0))*1000+INDEX(编号表!$D:$D,MATCH(F443,编号表!$C:$C,0))*10000+E443</f>
        <v>31544007</v>
      </c>
      <c r="D443" s="23" t="s">
        <v>502</v>
      </c>
      <c r="E443" s="23">
        <v>7</v>
      </c>
      <c r="F443" s="23" t="s">
        <v>400</v>
      </c>
      <c r="G443" s="23" t="s">
        <v>61</v>
      </c>
      <c r="H443" s="23" t="s">
        <v>144</v>
      </c>
      <c r="I443" s="23"/>
      <c r="J443" s="23" t="s">
        <v>71</v>
      </c>
      <c r="K443" s="23"/>
      <c r="L443" s="29">
        <v>0</v>
      </c>
      <c r="M443" s="29">
        <v>2</v>
      </c>
      <c r="N443" s="29"/>
      <c r="O443" s="29">
        <v>62723</v>
      </c>
      <c r="P443" s="29">
        <v>46290</v>
      </c>
      <c r="Q443" s="29">
        <v>0</v>
      </c>
      <c r="R443" s="30">
        <v>3149</v>
      </c>
    </row>
    <row r="444" spans="1:18">
      <c r="A444" s="27"/>
      <c r="B444" s="28">
        <v>440</v>
      </c>
      <c r="C444" s="1">
        <f>30000000+INDEX(编号表!$B:$B,MATCH(G444,编号表!$A:$A,0))*100000+INDEX(编号表!$F:$F,MATCH(H444,编号表!$E:$E,0))*1000+INDEX(编号表!$D:$D,MATCH(F444,编号表!$C:$C,0))*10000+E444</f>
        <v>31544008</v>
      </c>
      <c r="D444" s="23" t="s">
        <v>503</v>
      </c>
      <c r="E444" s="23">
        <v>8</v>
      </c>
      <c r="F444" s="23" t="s">
        <v>400</v>
      </c>
      <c r="G444" s="23" t="s">
        <v>61</v>
      </c>
      <c r="H444" s="23" t="s">
        <v>144</v>
      </c>
      <c r="I444" s="23"/>
      <c r="J444" s="23" t="s">
        <v>74</v>
      </c>
      <c r="K444" s="23"/>
      <c r="L444" s="29">
        <v>0</v>
      </c>
      <c r="M444" s="29">
        <v>-2</v>
      </c>
      <c r="N444" s="29"/>
      <c r="O444" s="29">
        <v>62723</v>
      </c>
      <c r="P444" s="29">
        <v>31048</v>
      </c>
      <c r="Q444" s="29">
        <v>0</v>
      </c>
      <c r="R444" s="30">
        <v>7348</v>
      </c>
    </row>
    <row r="445" spans="1:18">
      <c r="A445" s="27"/>
      <c r="B445" s="28">
        <v>441</v>
      </c>
      <c r="C445" s="1">
        <f>30000000+INDEX(编号表!$B:$B,MATCH(G445,编号表!$A:$A,0))*100000+INDEX(编号表!$F:$F,MATCH(H445,编号表!$E:$E,0))*1000+INDEX(编号表!$D:$D,MATCH(F445,编号表!$C:$C,0))*10000+E445</f>
        <v>31544009</v>
      </c>
      <c r="D445" s="23" t="s">
        <v>504</v>
      </c>
      <c r="E445" s="23">
        <v>9</v>
      </c>
      <c r="F445" s="23" t="s">
        <v>400</v>
      </c>
      <c r="G445" s="23" t="s">
        <v>61</v>
      </c>
      <c r="H445" s="23" t="s">
        <v>144</v>
      </c>
      <c r="I445" s="23"/>
      <c r="J445" s="23" t="s">
        <v>74</v>
      </c>
      <c r="K445" s="23"/>
      <c r="L445" s="29">
        <v>0</v>
      </c>
      <c r="M445" s="29">
        <v>1</v>
      </c>
      <c r="N445" s="29"/>
      <c r="O445" s="29">
        <v>59468</v>
      </c>
      <c r="P445" s="29">
        <v>19268</v>
      </c>
      <c r="Q445" s="29">
        <v>0</v>
      </c>
      <c r="R445" s="30">
        <v>10235</v>
      </c>
    </row>
    <row r="446" spans="1:18">
      <c r="A446" s="27"/>
      <c r="B446" s="28">
        <v>442</v>
      </c>
      <c r="C446" s="1">
        <f>30000000+INDEX(编号表!$B:$B,MATCH(G446,编号表!$A:$A,0))*100000+INDEX(编号表!$F:$F,MATCH(H446,编号表!$E:$E,0))*1000+INDEX(编号表!$D:$D,MATCH(F446,编号表!$C:$C,0))*10000+E446</f>
        <v>31444000</v>
      </c>
      <c r="D446" s="23" t="s">
        <v>505</v>
      </c>
      <c r="E446" s="23">
        <v>0</v>
      </c>
      <c r="F446" s="23" t="s">
        <v>400</v>
      </c>
      <c r="G446" s="23" t="s">
        <v>77</v>
      </c>
      <c r="H446" s="23" t="s">
        <v>144</v>
      </c>
      <c r="I446" s="23"/>
      <c r="J446" s="23"/>
      <c r="K446" s="23"/>
      <c r="L446" s="29">
        <v>0</v>
      </c>
      <c r="M446" s="29">
        <v>0</v>
      </c>
      <c r="N446" s="29"/>
      <c r="O446" s="29">
        <v>59468</v>
      </c>
      <c r="P446" s="29">
        <v>14986</v>
      </c>
      <c r="Q446" s="29">
        <v>0</v>
      </c>
      <c r="R446" s="30">
        <v>12072</v>
      </c>
    </row>
    <row r="447" spans="1:18">
      <c r="A447" s="27"/>
      <c r="B447" s="28">
        <v>443</v>
      </c>
      <c r="C447" s="1">
        <f>30000000+INDEX(编号表!$B:$B,MATCH(G447,编号表!$A:$A,0))*100000+INDEX(编号表!$F:$F,MATCH(H447,编号表!$E:$E,0))*1000+INDEX(编号表!$D:$D,MATCH(F447,编号表!$C:$C,0))*10000+E447</f>
        <v>31444001</v>
      </c>
      <c r="D447" s="23" t="s">
        <v>506</v>
      </c>
      <c r="E447" s="23">
        <v>1</v>
      </c>
      <c r="F447" s="23" t="s">
        <v>400</v>
      </c>
      <c r="G447" s="23" t="s">
        <v>77</v>
      </c>
      <c r="H447" s="23" t="s">
        <v>144</v>
      </c>
      <c r="I447" s="23"/>
      <c r="J447" s="23"/>
      <c r="K447" s="23"/>
      <c r="L447" s="29">
        <v>0</v>
      </c>
      <c r="M447" s="29">
        <v>0</v>
      </c>
      <c r="N447" s="29"/>
      <c r="O447" s="29">
        <v>67027</v>
      </c>
      <c r="P447" s="29">
        <v>49466</v>
      </c>
      <c r="Q447" s="29">
        <v>0</v>
      </c>
      <c r="R447" s="30">
        <v>4199</v>
      </c>
    </row>
    <row r="448" spans="1:18">
      <c r="A448" s="27"/>
      <c r="B448" s="28">
        <v>444</v>
      </c>
      <c r="C448" s="1">
        <f>30000000+INDEX(编号表!$B:$B,MATCH(G448,编号表!$A:$A,0))*100000+INDEX(编号表!$F:$F,MATCH(H448,编号表!$E:$E,0))*1000+INDEX(编号表!$D:$D,MATCH(F448,编号表!$C:$C,0))*10000+E448</f>
        <v>31444002</v>
      </c>
      <c r="D448" s="23" t="s">
        <v>507</v>
      </c>
      <c r="E448" s="23">
        <v>2</v>
      </c>
      <c r="F448" s="23" t="s">
        <v>400</v>
      </c>
      <c r="G448" s="23" t="s">
        <v>77</v>
      </c>
      <c r="H448" s="23" t="s">
        <v>144</v>
      </c>
      <c r="I448" s="23"/>
      <c r="J448" s="23"/>
      <c r="K448" s="23"/>
      <c r="L448" s="29">
        <v>0</v>
      </c>
      <c r="M448" s="29">
        <v>1</v>
      </c>
      <c r="N448" s="29"/>
      <c r="O448" s="29">
        <v>64875</v>
      </c>
      <c r="P448" s="29">
        <v>16349</v>
      </c>
      <c r="Q448" s="29">
        <v>0</v>
      </c>
      <c r="R448" s="30">
        <v>22044</v>
      </c>
    </row>
    <row r="449" spans="1:18">
      <c r="A449" s="27"/>
      <c r="B449" s="28">
        <v>445</v>
      </c>
      <c r="C449" s="1">
        <f>30000000+INDEX(编号表!$B:$B,MATCH(G449,编号表!$A:$A,0))*100000+INDEX(编号表!$F:$F,MATCH(H449,编号表!$E:$E,0))*1000+INDEX(编号表!$D:$D,MATCH(F449,编号表!$C:$C,0))*10000+E449</f>
        <v>31444003</v>
      </c>
      <c r="D449" s="23" t="s">
        <v>508</v>
      </c>
      <c r="E449" s="23">
        <v>3</v>
      </c>
      <c r="F449" s="23" t="s">
        <v>400</v>
      </c>
      <c r="G449" s="23" t="s">
        <v>77</v>
      </c>
      <c r="H449" s="23" t="s">
        <v>144</v>
      </c>
      <c r="I449" s="23"/>
      <c r="J449" s="23"/>
      <c r="K449" s="23"/>
      <c r="L449" s="29">
        <v>0</v>
      </c>
      <c r="M449" s="29">
        <v>4</v>
      </c>
      <c r="N449" s="29"/>
      <c r="O449" s="29">
        <v>64875</v>
      </c>
      <c r="P449" s="29">
        <v>47878</v>
      </c>
      <c r="Q449" s="29">
        <v>0</v>
      </c>
      <c r="R449" s="30">
        <v>13646</v>
      </c>
    </row>
    <row r="450" spans="1:18">
      <c r="A450" s="27"/>
      <c r="B450" s="28">
        <v>446</v>
      </c>
      <c r="C450" s="1">
        <f>30000000+INDEX(编号表!$B:$B,MATCH(G450,编号表!$A:$A,0))*100000+INDEX(编号表!$F:$F,MATCH(H450,编号表!$E:$E,0))*1000+INDEX(编号表!$D:$D,MATCH(F450,编号表!$C:$C,0))*10000+E450</f>
        <v>31644000</v>
      </c>
      <c r="D450" s="23" t="s">
        <v>509</v>
      </c>
      <c r="E450" s="23">
        <v>0</v>
      </c>
      <c r="F450" s="23" t="s">
        <v>400</v>
      </c>
      <c r="G450" s="23" t="s">
        <v>82</v>
      </c>
      <c r="H450" s="23" t="s">
        <v>144</v>
      </c>
      <c r="I450" s="23"/>
      <c r="J450" s="23"/>
      <c r="K450" s="23"/>
      <c r="L450" s="29">
        <v>7</v>
      </c>
      <c r="M450" s="29">
        <v>0</v>
      </c>
      <c r="N450" s="29"/>
      <c r="O450" s="29">
        <v>0</v>
      </c>
      <c r="P450" s="29">
        <v>0</v>
      </c>
      <c r="Q450" s="29">
        <v>0</v>
      </c>
      <c r="R450" s="30">
        <v>6298</v>
      </c>
    </row>
    <row r="451" spans="1:18">
      <c r="A451" s="27"/>
      <c r="B451" s="28">
        <v>447</v>
      </c>
      <c r="C451" s="1">
        <f>30000000+INDEX(编号表!$B:$B,MATCH(G451,编号表!$A:$A,0))*100000+INDEX(编号表!$F:$F,MATCH(H451,编号表!$E:$E,0))*1000+INDEX(编号表!$D:$D,MATCH(F451,编号表!$C:$C,0))*10000+E451</f>
        <v>31644001</v>
      </c>
      <c r="D451" s="23" t="s">
        <v>510</v>
      </c>
      <c r="E451" s="23">
        <v>1</v>
      </c>
      <c r="F451" s="23" t="s">
        <v>400</v>
      </c>
      <c r="G451" s="23" t="s">
        <v>82</v>
      </c>
      <c r="H451" s="23" t="s">
        <v>144</v>
      </c>
      <c r="I451" s="23"/>
      <c r="J451" s="23"/>
      <c r="K451" s="23"/>
      <c r="L451" s="29">
        <v>8</v>
      </c>
      <c r="M451" s="29">
        <v>0</v>
      </c>
      <c r="N451" s="29"/>
      <c r="O451" s="29">
        <v>0</v>
      </c>
      <c r="P451" s="29">
        <v>0</v>
      </c>
      <c r="Q451" s="29">
        <v>0</v>
      </c>
      <c r="R451" s="30">
        <v>11547</v>
      </c>
    </row>
    <row r="452" spans="1:18">
      <c r="A452" s="27"/>
      <c r="B452" s="28">
        <v>448</v>
      </c>
      <c r="C452" s="1">
        <f>30000000+INDEX(编号表!$B:$B,MATCH(G452,编号表!$A:$A,0))*100000+INDEX(编号表!$F:$F,MATCH(H452,编号表!$E:$E,0))*1000+INDEX(编号表!$D:$D,MATCH(F452,编号表!$C:$C,0))*10000+E452</f>
        <v>31644002</v>
      </c>
      <c r="D452" s="23" t="s">
        <v>511</v>
      </c>
      <c r="E452" s="23">
        <v>2</v>
      </c>
      <c r="F452" s="23" t="s">
        <v>400</v>
      </c>
      <c r="G452" s="23" t="s">
        <v>82</v>
      </c>
      <c r="H452" s="23" t="s">
        <v>144</v>
      </c>
      <c r="I452" s="23"/>
      <c r="J452" s="23"/>
      <c r="K452" s="23"/>
      <c r="L452" s="29">
        <v>9</v>
      </c>
      <c r="M452" s="29">
        <v>0</v>
      </c>
      <c r="N452" s="29"/>
      <c r="O452" s="29">
        <v>0</v>
      </c>
      <c r="P452" s="29">
        <v>0</v>
      </c>
      <c r="Q452" s="29">
        <v>0</v>
      </c>
      <c r="R452" s="30">
        <v>17845</v>
      </c>
    </row>
    <row r="453" spans="1:18">
      <c r="A453" s="27"/>
      <c r="B453" s="28">
        <v>449</v>
      </c>
      <c r="C453" s="1">
        <f>30000000+INDEX(编号表!$B:$B,MATCH(G453,编号表!$A:$A,0))*100000+INDEX(编号表!$F:$F,MATCH(H453,编号表!$E:$E,0))*1000+INDEX(编号表!$D:$D,MATCH(F453,编号表!$C:$C,0))*10000+E453</f>
        <v>31245000</v>
      </c>
      <c r="D453" s="23" t="s">
        <v>512</v>
      </c>
      <c r="E453" s="23">
        <v>0</v>
      </c>
      <c r="F453" s="23" t="s">
        <v>400</v>
      </c>
      <c r="G453" s="23" t="s">
        <v>42</v>
      </c>
      <c r="H453" s="23" t="s">
        <v>173</v>
      </c>
      <c r="I453" s="23"/>
      <c r="J453" s="23"/>
      <c r="K453" s="23"/>
      <c r="L453" s="29">
        <v>0</v>
      </c>
      <c r="M453" s="29">
        <v>0</v>
      </c>
      <c r="N453" s="29"/>
      <c r="O453" s="29">
        <v>188956</v>
      </c>
      <c r="P453" s="29">
        <v>78984</v>
      </c>
      <c r="Q453" s="29">
        <v>944784</v>
      </c>
      <c r="R453" s="30">
        <v>17006</v>
      </c>
    </row>
    <row r="454" spans="1:18">
      <c r="A454" s="27"/>
      <c r="B454" s="28">
        <v>450</v>
      </c>
      <c r="C454" s="1">
        <f>30000000+INDEX(编号表!$B:$B,MATCH(G454,编号表!$A:$A,0))*100000+INDEX(编号表!$F:$F,MATCH(H454,编号表!$E:$E,0))*1000+INDEX(编号表!$D:$D,MATCH(F454,编号表!$C:$C,0))*10000+E454</f>
        <v>31345000</v>
      </c>
      <c r="D454" s="23" t="s">
        <v>513</v>
      </c>
      <c r="E454" s="23">
        <v>0</v>
      </c>
      <c r="F454" s="23" t="s">
        <v>400</v>
      </c>
      <c r="G454" s="23" t="s">
        <v>45</v>
      </c>
      <c r="H454" s="23" t="s">
        <v>173</v>
      </c>
      <c r="I454" s="23" t="s">
        <v>46</v>
      </c>
      <c r="J454" s="23"/>
      <c r="K454" s="23"/>
      <c r="L454" s="29">
        <v>0</v>
      </c>
      <c r="M454" s="29">
        <v>-2</v>
      </c>
      <c r="N454" s="29"/>
      <c r="O454" s="29">
        <v>112901</v>
      </c>
      <c r="P454" s="29">
        <v>47193</v>
      </c>
      <c r="Q454" s="29">
        <v>0</v>
      </c>
      <c r="R454" s="30">
        <v>13226</v>
      </c>
    </row>
    <row r="455" spans="1:18">
      <c r="A455" s="27"/>
      <c r="B455" s="28">
        <v>451</v>
      </c>
      <c r="C455" s="1">
        <f>30000000+INDEX(编号表!$B:$B,MATCH(G455,编号表!$A:$A,0))*100000+INDEX(编号表!$F:$F,MATCH(H455,编号表!$E:$E,0))*1000+INDEX(编号表!$D:$D,MATCH(F455,编号表!$C:$C,0))*10000+E455</f>
        <v>31345001</v>
      </c>
      <c r="D455" s="23" t="s">
        <v>514</v>
      </c>
      <c r="E455" s="23">
        <v>1</v>
      </c>
      <c r="F455" s="23" t="s">
        <v>400</v>
      </c>
      <c r="G455" s="23" t="s">
        <v>45</v>
      </c>
      <c r="H455" s="23" t="s">
        <v>173</v>
      </c>
      <c r="I455" s="23" t="s">
        <v>46</v>
      </c>
      <c r="J455" s="23"/>
      <c r="K455" s="23"/>
      <c r="L455" s="29">
        <v>0</v>
      </c>
      <c r="M455" s="29">
        <v>3</v>
      </c>
      <c r="N455" s="29"/>
      <c r="O455" s="29">
        <v>120648</v>
      </c>
      <c r="P455" s="29">
        <v>62351</v>
      </c>
      <c r="Q455" s="29">
        <v>0</v>
      </c>
      <c r="R455" s="30">
        <v>17006</v>
      </c>
    </row>
    <row r="456" spans="1:18">
      <c r="A456" s="27"/>
      <c r="B456" s="28">
        <v>452</v>
      </c>
      <c r="C456" s="1">
        <f>30000000+INDEX(编号表!$B:$B,MATCH(G456,编号表!$A:$A,0))*100000+INDEX(编号表!$F:$F,MATCH(H456,编号表!$E:$E,0))*1000+INDEX(编号表!$D:$D,MATCH(F456,编号表!$C:$C,0))*10000+E456</f>
        <v>31345002</v>
      </c>
      <c r="D456" s="23" t="s">
        <v>515</v>
      </c>
      <c r="E456" s="23">
        <v>2</v>
      </c>
      <c r="F456" s="23" t="s">
        <v>400</v>
      </c>
      <c r="G456" s="23" t="s">
        <v>45</v>
      </c>
      <c r="H456" s="23" t="s">
        <v>173</v>
      </c>
      <c r="I456" s="23" t="s">
        <v>49</v>
      </c>
      <c r="J456" s="23"/>
      <c r="K456" s="23"/>
      <c r="L456" s="29">
        <v>0</v>
      </c>
      <c r="M456" s="29">
        <v>-1</v>
      </c>
      <c r="N456" s="29"/>
      <c r="O456" s="29">
        <v>107044</v>
      </c>
      <c r="P456" s="29">
        <v>29288</v>
      </c>
      <c r="Q456" s="29">
        <v>0</v>
      </c>
      <c r="R456" s="30">
        <v>18423</v>
      </c>
    </row>
    <row r="457" spans="1:18">
      <c r="A457" s="27"/>
      <c r="B457" s="28">
        <v>453</v>
      </c>
      <c r="C457" s="1">
        <f>30000000+INDEX(编号表!$B:$B,MATCH(G457,编号表!$A:$A,0))*100000+INDEX(编号表!$F:$F,MATCH(H457,编号表!$E:$E,0))*1000+INDEX(编号表!$D:$D,MATCH(F457,编号表!$C:$C,0))*10000+E457</f>
        <v>31345003</v>
      </c>
      <c r="D457" s="23" t="s">
        <v>516</v>
      </c>
      <c r="E457" s="23">
        <v>3</v>
      </c>
      <c r="F457" s="23" t="s">
        <v>400</v>
      </c>
      <c r="G457" s="23" t="s">
        <v>45</v>
      </c>
      <c r="H457" s="23" t="s">
        <v>173</v>
      </c>
      <c r="I457" s="23" t="s">
        <v>49</v>
      </c>
      <c r="J457" s="23"/>
      <c r="K457" s="23"/>
      <c r="L457" s="29">
        <v>0</v>
      </c>
      <c r="M457" s="29">
        <v>2</v>
      </c>
      <c r="N457" s="29"/>
      <c r="O457" s="29">
        <v>112901</v>
      </c>
      <c r="P457" s="29">
        <v>70360</v>
      </c>
      <c r="Q457" s="29">
        <v>0</v>
      </c>
      <c r="R457" s="30">
        <v>5668</v>
      </c>
    </row>
    <row r="458" spans="1:18">
      <c r="A458" s="27"/>
      <c r="B458" s="28">
        <v>454</v>
      </c>
      <c r="C458" s="1">
        <f>30000000+INDEX(编号表!$B:$B,MATCH(G458,编号表!$A:$A,0))*100000+INDEX(编号表!$F:$F,MATCH(H458,编号表!$E:$E,0))*1000+INDEX(编号表!$D:$D,MATCH(F458,编号表!$C:$C,0))*10000+E458</f>
        <v>31345004</v>
      </c>
      <c r="D458" s="23" t="s">
        <v>517</v>
      </c>
      <c r="E458" s="23">
        <v>4</v>
      </c>
      <c r="F458" s="23" t="s">
        <v>400</v>
      </c>
      <c r="G458" s="23" t="s">
        <v>45</v>
      </c>
      <c r="H458" s="23" t="s">
        <v>173</v>
      </c>
      <c r="I458" s="23" t="s">
        <v>52</v>
      </c>
      <c r="J458" s="23"/>
      <c r="K458" s="23"/>
      <c r="L458" s="29">
        <v>0</v>
      </c>
      <c r="M458" s="29">
        <v>-1</v>
      </c>
      <c r="N458" s="29"/>
      <c r="O458" s="29">
        <v>112901</v>
      </c>
      <c r="P458" s="29">
        <v>58348</v>
      </c>
      <c r="Q458" s="29">
        <v>0</v>
      </c>
      <c r="R458" s="30">
        <v>13699</v>
      </c>
    </row>
    <row r="459" spans="1:18">
      <c r="A459" s="27"/>
      <c r="B459" s="28">
        <v>455</v>
      </c>
      <c r="C459" s="1">
        <f>30000000+INDEX(编号表!$B:$B,MATCH(G459,编号表!$A:$A,0))*100000+INDEX(编号表!$F:$F,MATCH(H459,编号表!$E:$E,0))*1000+INDEX(编号表!$D:$D,MATCH(F459,编号表!$C:$C,0))*10000+E459</f>
        <v>31345005</v>
      </c>
      <c r="D459" s="23" t="inlineStr">
        <is>
          <t xml:space="preserve">百载沸泉苔·神株</t>
        </is>
      </c>
      <c r="E459" s="23">
        <v>5</v>
      </c>
      <c r="F459" s="23" t="s">
        <v>400</v>
      </c>
      <c r="G459" s="23" t="s">
        <v>45</v>
      </c>
      <c r="H459" s="23" t="s">
        <v>173</v>
      </c>
      <c r="I459" s="23" t="s">
        <v>52</v>
      </c>
      <c r="J459" s="23"/>
      <c r="K459" s="23"/>
      <c r="L459" s="29">
        <v>0</v>
      </c>
      <c r="M459" s="29">
        <v>4</v>
      </c>
      <c r="N459" s="29"/>
      <c r="O459" s="29">
        <v>116775</v>
      </c>
      <c r="P459" s="29">
        <v>72775</v>
      </c>
      <c r="Q459" s="29">
        <v>0</v>
      </c>
      <c r="R459" s="30">
        <v>24564</v>
      </c>
    </row>
    <row r="460" spans="1:18">
      <c r="A460" s="27"/>
      <c r="B460" s="28">
        <v>456</v>
      </c>
      <c r="C460" s="1">
        <f>30000000+INDEX(编号表!$B:$B,MATCH(G460,编号表!$A:$A,0))*100000+INDEX(编号表!$F:$F,MATCH(H460,编号表!$E:$E,0))*1000+INDEX(编号表!$D:$D,MATCH(F460,编号表!$C:$C,0))*10000+E460</f>
        <v>31345006</v>
      </c>
      <c r="D460" s="23" t="inlineStr">
        <is>
          <t xml:space="preserve">百载丹露花·神株</t>
        </is>
      </c>
      <c r="E460" s="23">
        <v>6</v>
      </c>
      <c r="F460" s="23" t="s">
        <v>400</v>
      </c>
      <c r="G460" s="23" t="s">
        <v>45</v>
      </c>
      <c r="H460" s="23" t="s">
        <v>173</v>
      </c>
      <c r="I460" s="23" t="s">
        <v>55</v>
      </c>
      <c r="J460" s="23"/>
      <c r="K460" s="23"/>
      <c r="L460" s="29">
        <v>0</v>
      </c>
      <c r="M460" s="29">
        <v>-1</v>
      </c>
      <c r="N460" s="29"/>
      <c r="O460" s="29">
        <v>116775</v>
      </c>
      <c r="P460" s="29">
        <v>24850</v>
      </c>
      <c r="Q460" s="29">
        <v>0</v>
      </c>
      <c r="R460" s="30">
        <v>39680</v>
      </c>
    </row>
    <row r="461" spans="1:18">
      <c r="A461" s="27"/>
      <c r="B461" s="28">
        <v>457</v>
      </c>
      <c r="C461" s="1">
        <f>30000000+INDEX(编号表!$B:$B,MATCH(G461,编号表!$A:$A,0))*100000+INDEX(编号表!$F:$F,MATCH(H461,编号表!$E:$E,0))*1000+INDEX(编号表!$D:$D,MATCH(F461,编号表!$C:$C,0))*10000+E461</f>
        <v>31345007</v>
      </c>
      <c r="D461" s="23" t="s">
        <v>520</v>
      </c>
      <c r="E461" s="23">
        <v>7</v>
      </c>
      <c r="F461" s="23" t="s">
        <v>400</v>
      </c>
      <c r="G461" s="23" t="s">
        <v>45</v>
      </c>
      <c r="H461" s="23" t="s">
        <v>173</v>
      </c>
      <c r="I461" s="23" t="s">
        <v>55</v>
      </c>
      <c r="J461" s="23"/>
      <c r="K461" s="23"/>
      <c r="L461" s="29">
        <v>0</v>
      </c>
      <c r="M461" s="29">
        <v>2</v>
      </c>
      <c r="N461" s="29"/>
      <c r="O461" s="29">
        <v>112901</v>
      </c>
      <c r="P461" s="29">
        <v>70360</v>
      </c>
      <c r="Q461" s="29">
        <v>0</v>
      </c>
      <c r="R461" s="30">
        <v>5668</v>
      </c>
    </row>
    <row r="462" spans="1:18">
      <c r="A462" s="27"/>
      <c r="B462" s="28">
        <v>458</v>
      </c>
      <c r="C462" s="1">
        <f>30000000+INDEX(编号表!$B:$B,MATCH(G462,编号表!$A:$A,0))*100000+INDEX(编号表!$F:$F,MATCH(H462,编号表!$E:$E,0))*1000+INDEX(编号表!$D:$D,MATCH(F462,编号表!$C:$C,0))*10000+E462</f>
        <v>31345008</v>
      </c>
      <c r="D462" s="23" t="s">
        <v>521</v>
      </c>
      <c r="E462" s="23">
        <v>8</v>
      </c>
      <c r="F462" s="23" t="s">
        <v>400</v>
      </c>
      <c r="G462" s="23" t="s">
        <v>45</v>
      </c>
      <c r="H462" s="23" t="s">
        <v>173</v>
      </c>
      <c r="I462" s="23" t="s">
        <v>58</v>
      </c>
      <c r="J462" s="23"/>
      <c r="K462" s="23"/>
      <c r="L462" s="29">
        <v>0</v>
      </c>
      <c r="M462" s="29">
        <v>-2</v>
      </c>
      <c r="N462" s="29"/>
      <c r="O462" s="29">
        <v>112901</v>
      </c>
      <c r="P462" s="29">
        <v>47193</v>
      </c>
      <c r="Q462" s="29">
        <v>0</v>
      </c>
      <c r="R462" s="30">
        <v>13226</v>
      </c>
    </row>
    <row r="463" spans="1:18">
      <c r="A463" s="27"/>
      <c r="B463" s="28">
        <v>459</v>
      </c>
      <c r="C463" s="1">
        <f>30000000+INDEX(编号表!$B:$B,MATCH(G463,编号表!$A:$A,0))*100000+INDEX(编号表!$F:$F,MATCH(H463,编号表!$E:$E,0))*1000+INDEX(编号表!$D:$D,MATCH(F463,编号表!$C:$C,0))*10000+E463</f>
        <v>31345009</v>
      </c>
      <c r="D463" s="23" t="s">
        <v>522</v>
      </c>
      <c r="E463" s="23">
        <v>9</v>
      </c>
      <c r="F463" s="23" t="s">
        <v>400</v>
      </c>
      <c r="G463" s="23" t="s">
        <v>45</v>
      </c>
      <c r="H463" s="23" t="s">
        <v>173</v>
      </c>
      <c r="I463" s="23" t="s">
        <v>58</v>
      </c>
      <c r="J463" s="23"/>
      <c r="K463" s="23"/>
      <c r="L463" s="29">
        <v>0</v>
      </c>
      <c r="M463" s="29">
        <v>1</v>
      </c>
      <c r="N463" s="29"/>
      <c r="O463" s="29">
        <v>107044</v>
      </c>
      <c r="P463" s="29">
        <v>29288</v>
      </c>
      <c r="Q463" s="29">
        <v>0</v>
      </c>
      <c r="R463" s="30">
        <v>18423</v>
      </c>
    </row>
    <row r="464" spans="1:18">
      <c r="A464" s="27"/>
      <c r="B464" s="28">
        <v>460</v>
      </c>
      <c r="C464" s="1">
        <f>30000000+INDEX(编号表!$B:$B,MATCH(G464,编号表!$A:$A,0))*100000+INDEX(编号表!$F:$F,MATCH(H464,编号表!$E:$E,0))*1000+INDEX(编号表!$D:$D,MATCH(F464,编号表!$C:$C,0))*10000+E464</f>
        <v>31545000</v>
      </c>
      <c r="D464" s="23" t="inlineStr">
        <is>
          <t xml:space="preserve">百载霜辛草·神株</t>
        </is>
      </c>
      <c r="E464" s="23">
        <v>0</v>
      </c>
      <c r="F464" s="23" t="s">
        <v>400</v>
      </c>
      <c r="G464" s="23" t="s">
        <v>61</v>
      </c>
      <c r="H464" s="23" t="s">
        <v>173</v>
      </c>
      <c r="I464" s="23"/>
      <c r="J464" s="23" t="s">
        <v>62</v>
      </c>
      <c r="K464" s="23"/>
      <c r="L464" s="29">
        <v>0</v>
      </c>
      <c r="M464" s="29">
        <v>-2</v>
      </c>
      <c r="N464" s="29"/>
      <c r="O464" s="29">
        <v>112901</v>
      </c>
      <c r="P464" s="29">
        <v>47193</v>
      </c>
      <c r="Q464" s="29">
        <v>0</v>
      </c>
      <c r="R464" s="30">
        <v>13226</v>
      </c>
    </row>
    <row r="465" spans="1:18">
      <c r="A465" s="27"/>
      <c r="B465" s="28">
        <v>461</v>
      </c>
      <c r="C465" s="1">
        <f>30000000+INDEX(编号表!$B:$B,MATCH(G465,编号表!$A:$A,0))*100000+INDEX(编号表!$F:$F,MATCH(H465,编号表!$E:$E,0))*1000+INDEX(编号表!$D:$D,MATCH(F465,编号表!$C:$C,0))*10000+E465</f>
        <v>31545001</v>
      </c>
      <c r="D465" s="23" t="s">
        <v>524</v>
      </c>
      <c r="E465" s="23">
        <v>1</v>
      </c>
      <c r="F465" s="23" t="s">
        <v>400</v>
      </c>
      <c r="G465" s="23" t="s">
        <v>61</v>
      </c>
      <c r="H465" s="23" t="s">
        <v>173</v>
      </c>
      <c r="I465" s="23"/>
      <c r="J465" s="23" t="s">
        <v>62</v>
      </c>
      <c r="K465" s="23"/>
      <c r="L465" s="29">
        <v>0</v>
      </c>
      <c r="M465" s="29">
        <v>3</v>
      </c>
      <c r="N465" s="29"/>
      <c r="O465" s="29">
        <v>120648</v>
      </c>
      <c r="P465" s="29">
        <v>62351</v>
      </c>
      <c r="Q465" s="29">
        <v>0</v>
      </c>
      <c r="R465" s="30">
        <v>17006</v>
      </c>
    </row>
    <row r="466" spans="1:18">
      <c r="A466" s="27"/>
      <c r="B466" s="28">
        <v>462</v>
      </c>
      <c r="C466" s="1">
        <f>30000000+INDEX(编号表!$B:$B,MATCH(G466,编号表!$A:$A,0))*100000+INDEX(编号表!$F:$F,MATCH(H466,编号表!$E:$E,0))*1000+INDEX(编号表!$D:$D,MATCH(F466,编号表!$C:$C,0))*10000+E466</f>
        <v>31545002</v>
      </c>
      <c r="D466" s="23" t="s">
        <v>525</v>
      </c>
      <c r="E466" s="23">
        <v>2</v>
      </c>
      <c r="F466" s="23" t="s">
        <v>400</v>
      </c>
      <c r="G466" s="23" t="s">
        <v>61</v>
      </c>
      <c r="H466" s="23" t="s">
        <v>173</v>
      </c>
      <c r="I466" s="23"/>
      <c r="J466" s="23" t="s">
        <v>65</v>
      </c>
      <c r="K466" s="23"/>
      <c r="L466" s="29">
        <v>0</v>
      </c>
      <c r="M466" s="29">
        <v>-1</v>
      </c>
      <c r="N466" s="29"/>
      <c r="O466" s="29">
        <v>107044</v>
      </c>
      <c r="P466" s="29">
        <v>29288</v>
      </c>
      <c r="Q466" s="29">
        <v>0</v>
      </c>
      <c r="R466" s="30">
        <v>18423</v>
      </c>
    </row>
    <row r="467" spans="1:18">
      <c r="A467" s="27"/>
      <c r="B467" s="28">
        <v>463</v>
      </c>
      <c r="C467" s="1">
        <f>30000000+INDEX(编号表!$B:$B,MATCH(G467,编号表!$A:$A,0))*100000+INDEX(编号表!$F:$F,MATCH(H467,编号表!$E:$E,0))*1000+INDEX(编号表!$D:$D,MATCH(F467,编号表!$C:$C,0))*10000+E467</f>
        <v>31545003</v>
      </c>
      <c r="D467" s="23" t="s">
        <v>526</v>
      </c>
      <c r="E467" s="23">
        <v>3</v>
      </c>
      <c r="F467" s="23" t="s">
        <v>400</v>
      </c>
      <c r="G467" s="23" t="s">
        <v>61</v>
      </c>
      <c r="H467" s="23" t="s">
        <v>173</v>
      </c>
      <c r="I467" s="23"/>
      <c r="J467" s="23" t="s">
        <v>65</v>
      </c>
      <c r="K467" s="23"/>
      <c r="L467" s="29">
        <v>0</v>
      </c>
      <c r="M467" s="29">
        <v>2</v>
      </c>
      <c r="N467" s="29"/>
      <c r="O467" s="29">
        <v>112901</v>
      </c>
      <c r="P467" s="29">
        <v>70360</v>
      </c>
      <c r="Q467" s="29">
        <v>0</v>
      </c>
      <c r="R467" s="30">
        <v>5668</v>
      </c>
    </row>
    <row r="468" spans="1:18">
      <c r="A468" s="27"/>
      <c r="B468" s="28">
        <v>464</v>
      </c>
      <c r="C468" s="1">
        <f>30000000+INDEX(编号表!$B:$B,MATCH(G468,编号表!$A:$A,0))*100000+INDEX(编号表!$F:$F,MATCH(H468,编号表!$E:$E,0))*1000+INDEX(编号表!$D:$D,MATCH(F468,编号表!$C:$C,0))*10000+E468</f>
        <v>31545004</v>
      </c>
      <c r="D468" s="23" t="s">
        <v>527</v>
      </c>
      <c r="E468" s="23">
        <v>4</v>
      </c>
      <c r="F468" s="23" t="s">
        <v>400</v>
      </c>
      <c r="G468" s="23" t="s">
        <v>61</v>
      </c>
      <c r="H468" s="23" t="s">
        <v>173</v>
      </c>
      <c r="I468" s="23"/>
      <c r="J468" s="23" t="s">
        <v>68</v>
      </c>
      <c r="K468" s="23"/>
      <c r="L468" s="29">
        <v>0</v>
      </c>
      <c r="M468" s="29">
        <v>-1</v>
      </c>
      <c r="N468" s="29"/>
      <c r="O468" s="29">
        <v>112901</v>
      </c>
      <c r="P468" s="29">
        <v>58348</v>
      </c>
      <c r="Q468" s="29">
        <v>0</v>
      </c>
      <c r="R468" s="30">
        <v>13699</v>
      </c>
    </row>
    <row r="469" spans="1:18">
      <c r="A469" s="27"/>
      <c r="B469" s="28">
        <v>465</v>
      </c>
      <c r="C469" s="1">
        <f>30000000+INDEX(编号表!$B:$B,MATCH(G469,编号表!$A:$A,0))*100000+INDEX(编号表!$F:$F,MATCH(H469,编号表!$E:$E,0))*1000+INDEX(编号表!$D:$D,MATCH(F469,编号表!$C:$C,0))*10000+E469</f>
        <v>31545005</v>
      </c>
      <c r="D469" s="23" t="s">
        <v>528</v>
      </c>
      <c r="E469" s="23">
        <v>5</v>
      </c>
      <c r="F469" s="23" t="s">
        <v>400</v>
      </c>
      <c r="G469" s="23" t="s">
        <v>61</v>
      </c>
      <c r="H469" s="23" t="s">
        <v>173</v>
      </c>
      <c r="I469" s="23"/>
      <c r="J469" s="23" t="s">
        <v>68</v>
      </c>
      <c r="K469" s="23"/>
      <c r="L469" s="29">
        <v>0</v>
      </c>
      <c r="M469" s="29">
        <v>4</v>
      </c>
      <c r="N469" s="29"/>
      <c r="O469" s="29">
        <v>116775</v>
      </c>
      <c r="P469" s="29">
        <v>72775</v>
      </c>
      <c r="Q469" s="29">
        <v>0</v>
      </c>
      <c r="R469" s="30">
        <v>24564</v>
      </c>
    </row>
    <row r="470" spans="1:18">
      <c r="A470" s="27"/>
      <c r="B470" s="28">
        <v>466</v>
      </c>
      <c r="C470" s="1">
        <f>30000000+INDEX(编号表!$B:$B,MATCH(G470,编号表!$A:$A,0))*100000+INDEX(编号表!$F:$F,MATCH(H470,编号表!$E:$E,0))*1000+INDEX(编号表!$D:$D,MATCH(F470,编号表!$C:$C,0))*10000+E470</f>
        <v>31545006</v>
      </c>
      <c r="D470" s="23" t="s">
        <v>529</v>
      </c>
      <c r="E470" s="23">
        <v>6</v>
      </c>
      <c r="F470" s="23" t="s">
        <v>400</v>
      </c>
      <c r="G470" s="23" t="s">
        <v>61</v>
      </c>
      <c r="H470" s="23" t="s">
        <v>173</v>
      </c>
      <c r="I470" s="23"/>
      <c r="J470" s="23" t="s">
        <v>71</v>
      </c>
      <c r="K470" s="23"/>
      <c r="L470" s="29">
        <v>0</v>
      </c>
      <c r="M470" s="29">
        <v>-1</v>
      </c>
      <c r="N470" s="29"/>
      <c r="O470" s="29">
        <v>116775</v>
      </c>
      <c r="P470" s="29">
        <v>24850</v>
      </c>
      <c r="Q470" s="29">
        <v>0</v>
      </c>
      <c r="R470" s="30">
        <v>39680</v>
      </c>
    </row>
    <row r="471" spans="1:18">
      <c r="A471" s="27"/>
      <c r="B471" s="28">
        <v>467</v>
      </c>
      <c r="C471" s="1">
        <f>30000000+INDEX(编号表!$B:$B,MATCH(G471,编号表!$A:$A,0))*100000+INDEX(编号表!$F:$F,MATCH(H471,编号表!$E:$E,0))*1000+INDEX(编号表!$D:$D,MATCH(F471,编号表!$C:$C,0))*10000+E471</f>
        <v>31545007</v>
      </c>
      <c r="D471" s="23" t="s">
        <v>530</v>
      </c>
      <c r="E471" s="23">
        <v>7</v>
      </c>
      <c r="F471" s="23" t="s">
        <v>400</v>
      </c>
      <c r="G471" s="23" t="s">
        <v>61</v>
      </c>
      <c r="H471" s="23" t="s">
        <v>173</v>
      </c>
      <c r="I471" s="23"/>
      <c r="J471" s="23" t="s">
        <v>71</v>
      </c>
      <c r="K471" s="23"/>
      <c r="L471" s="29">
        <v>0</v>
      </c>
      <c r="M471" s="29">
        <v>2</v>
      </c>
      <c r="N471" s="29"/>
      <c r="O471" s="29">
        <v>112901</v>
      </c>
      <c r="P471" s="29">
        <v>70360</v>
      </c>
      <c r="Q471" s="29">
        <v>0</v>
      </c>
      <c r="R471" s="30">
        <v>5668</v>
      </c>
    </row>
    <row r="472" spans="1:18">
      <c r="A472" s="27"/>
      <c r="B472" s="28">
        <v>468</v>
      </c>
      <c r="C472" s="1">
        <f>30000000+INDEX(编号表!$B:$B,MATCH(G472,编号表!$A:$A,0))*100000+INDEX(编号表!$F:$F,MATCH(H472,编号表!$E:$E,0))*1000+INDEX(编号表!$D:$D,MATCH(F472,编号表!$C:$C,0))*10000+E472</f>
        <v>31545008</v>
      </c>
      <c r="D472" s="23" t="s">
        <v>531</v>
      </c>
      <c r="E472" s="23">
        <v>8</v>
      </c>
      <c r="F472" s="23" t="s">
        <v>400</v>
      </c>
      <c r="G472" s="23" t="s">
        <v>61</v>
      </c>
      <c r="H472" s="23" t="s">
        <v>173</v>
      </c>
      <c r="I472" s="23"/>
      <c r="J472" s="23" t="s">
        <v>74</v>
      </c>
      <c r="K472" s="23"/>
      <c r="L472" s="29">
        <v>0</v>
      </c>
      <c r="M472" s="29">
        <v>-2</v>
      </c>
      <c r="N472" s="29"/>
      <c r="O472" s="29">
        <v>112901</v>
      </c>
      <c r="P472" s="29">
        <v>47193</v>
      </c>
      <c r="Q472" s="29">
        <v>0</v>
      </c>
      <c r="R472" s="30">
        <v>13226</v>
      </c>
    </row>
    <row r="473" spans="1:18">
      <c r="A473" s="27"/>
      <c r="B473" s="28">
        <v>469</v>
      </c>
      <c r="C473" s="1">
        <f>30000000+INDEX(编号表!$B:$B,MATCH(G473,编号表!$A:$A,0))*100000+INDEX(编号表!$F:$F,MATCH(H473,编号表!$E:$E,0))*1000+INDEX(编号表!$D:$D,MATCH(F473,编号表!$C:$C,0))*10000+E473</f>
        <v>31545009</v>
      </c>
      <c r="D473" s="23" t="s">
        <v>532</v>
      </c>
      <c r="E473" s="23">
        <v>9</v>
      </c>
      <c r="F473" s="23" t="s">
        <v>400</v>
      </c>
      <c r="G473" s="23" t="s">
        <v>61</v>
      </c>
      <c r="H473" s="23" t="s">
        <v>173</v>
      </c>
      <c r="I473" s="23"/>
      <c r="J473" s="23" t="s">
        <v>74</v>
      </c>
      <c r="K473" s="23"/>
      <c r="L473" s="29">
        <v>0</v>
      </c>
      <c r="M473" s="29">
        <v>1</v>
      </c>
      <c r="N473" s="29"/>
      <c r="O473" s="29">
        <v>107044</v>
      </c>
      <c r="P473" s="29">
        <v>29288</v>
      </c>
      <c r="Q473" s="29">
        <v>0</v>
      </c>
      <c r="R473" s="30">
        <v>18423</v>
      </c>
    </row>
    <row r="474" spans="1:18">
      <c r="A474" s="27"/>
      <c r="B474" s="28">
        <v>470</v>
      </c>
      <c r="C474" s="1">
        <f>30000000+INDEX(编号表!$B:$B,MATCH(G474,编号表!$A:$A,0))*100000+INDEX(编号表!$F:$F,MATCH(H474,编号表!$E:$E,0))*1000+INDEX(编号表!$D:$D,MATCH(F474,编号表!$C:$C,0))*10000+E474</f>
        <v>31445000</v>
      </c>
      <c r="D474" s="23" t="s">
        <v>533</v>
      </c>
      <c r="E474" s="23">
        <v>0</v>
      </c>
      <c r="F474" s="23" t="s">
        <v>400</v>
      </c>
      <c r="G474" s="23" t="s">
        <v>77</v>
      </c>
      <c r="H474" s="23" t="s">
        <v>173</v>
      </c>
      <c r="I474" s="23"/>
      <c r="J474" s="23"/>
      <c r="K474" s="23"/>
      <c r="L474" s="29">
        <v>0</v>
      </c>
      <c r="M474" s="29">
        <v>0</v>
      </c>
      <c r="N474" s="29"/>
      <c r="O474" s="29">
        <v>107044</v>
      </c>
      <c r="P474" s="29">
        <v>22779</v>
      </c>
      <c r="Q474" s="29">
        <v>0</v>
      </c>
      <c r="R474" s="30">
        <v>21730</v>
      </c>
    </row>
    <row r="475" spans="1:18">
      <c r="A475" s="27"/>
      <c r="B475" s="28">
        <v>471</v>
      </c>
      <c r="C475" s="1">
        <f>30000000+INDEX(编号表!$B:$B,MATCH(G475,编号表!$A:$A,0))*100000+INDEX(编号表!$F:$F,MATCH(H475,编号表!$E:$E,0))*1000+INDEX(编号表!$D:$D,MATCH(F475,编号表!$C:$C,0))*10000+E475</f>
        <v>31445001</v>
      </c>
      <c r="D475" s="23" t="s">
        <v>534</v>
      </c>
      <c r="E475" s="23">
        <v>1</v>
      </c>
      <c r="F475" s="23" t="s">
        <v>400</v>
      </c>
      <c r="G475" s="23" t="s">
        <v>77</v>
      </c>
      <c r="H475" s="23" t="s">
        <v>173</v>
      </c>
      <c r="I475" s="23"/>
      <c r="J475" s="23"/>
      <c r="K475" s="23"/>
      <c r="L475" s="29">
        <v>0</v>
      </c>
      <c r="M475" s="29">
        <v>0</v>
      </c>
      <c r="N475" s="29"/>
      <c r="O475" s="29">
        <v>120648</v>
      </c>
      <c r="P475" s="29">
        <v>75188</v>
      </c>
      <c r="Q475" s="29">
        <v>0</v>
      </c>
      <c r="R475" s="30">
        <v>7558</v>
      </c>
    </row>
    <row r="476" spans="1:18">
      <c r="A476" s="27"/>
      <c r="B476" s="28">
        <v>472</v>
      </c>
      <c r="C476" s="1">
        <f>30000000+INDEX(编号表!$B:$B,MATCH(G476,编号表!$A:$A,0))*100000+INDEX(编号表!$F:$F,MATCH(H476,编号表!$E:$E,0))*1000+INDEX(编号表!$D:$D,MATCH(F476,编号表!$C:$C,0))*10000+E476</f>
        <v>31445002</v>
      </c>
      <c r="D476" s="23" t="s">
        <v>535</v>
      </c>
      <c r="E476" s="23">
        <v>2</v>
      </c>
      <c r="F476" s="23" t="s">
        <v>400</v>
      </c>
      <c r="G476" s="23" t="s">
        <v>77</v>
      </c>
      <c r="H476" s="23" t="s">
        <v>173</v>
      </c>
      <c r="I476" s="23"/>
      <c r="J476" s="23"/>
      <c r="K476" s="23"/>
      <c r="L476" s="29">
        <v>0</v>
      </c>
      <c r="M476" s="29">
        <v>1</v>
      </c>
      <c r="N476" s="29"/>
      <c r="O476" s="29">
        <v>116775</v>
      </c>
      <c r="P476" s="29">
        <v>24850</v>
      </c>
      <c r="Q476" s="29">
        <v>0</v>
      </c>
      <c r="R476" s="30">
        <v>39680</v>
      </c>
    </row>
    <row r="477" spans="1:18">
      <c r="A477" s="27"/>
      <c r="B477" s="28">
        <v>473</v>
      </c>
      <c r="C477" s="1">
        <f>30000000+INDEX(编号表!$B:$B,MATCH(G477,编号表!$A:$A,0))*100000+INDEX(编号表!$F:$F,MATCH(H477,编号表!$E:$E,0))*1000+INDEX(编号表!$D:$D,MATCH(F477,编号表!$C:$C,0))*10000+E477</f>
        <v>31445003</v>
      </c>
      <c r="D477" s="23" t="s">
        <v>536</v>
      </c>
      <c r="E477" s="23">
        <v>3</v>
      </c>
      <c r="F477" s="23" t="s">
        <v>400</v>
      </c>
      <c r="G477" s="23" t="s">
        <v>77</v>
      </c>
      <c r="H477" s="23" t="s">
        <v>173</v>
      </c>
      <c r="I477" s="23"/>
      <c r="J477" s="23"/>
      <c r="K477" s="23"/>
      <c r="L477" s="29">
        <v>0</v>
      </c>
      <c r="M477" s="29">
        <v>4</v>
      </c>
      <c r="N477" s="29"/>
      <c r="O477" s="29">
        <v>116775</v>
      </c>
      <c r="P477" s="29">
        <v>72775</v>
      </c>
      <c r="Q477" s="29">
        <v>0</v>
      </c>
      <c r="R477" s="30">
        <v>24564</v>
      </c>
    </row>
    <row r="478" spans="1:18">
      <c r="A478" s="27"/>
      <c r="B478" s="28">
        <v>474</v>
      </c>
      <c r="C478" s="1">
        <f>30000000+INDEX(编号表!$B:$B,MATCH(G478,编号表!$A:$A,0))*100000+INDEX(编号表!$F:$F,MATCH(H478,编号表!$E:$E,0))*1000+INDEX(编号表!$D:$D,MATCH(F478,编号表!$C:$C,0))*10000+E478</f>
        <v>31645000</v>
      </c>
      <c r="D478" s="23" t="s">
        <v>537</v>
      </c>
      <c r="E478" s="23">
        <v>0</v>
      </c>
      <c r="F478" s="23" t="s">
        <v>400</v>
      </c>
      <c r="G478" s="23" t="s">
        <v>82</v>
      </c>
      <c r="H478" s="23" t="s">
        <v>173</v>
      </c>
      <c r="I478" s="23"/>
      <c r="J478" s="23"/>
      <c r="K478" s="23"/>
      <c r="L478" s="29">
        <v>7</v>
      </c>
      <c r="M478" s="29">
        <v>0</v>
      </c>
      <c r="N478" s="29"/>
      <c r="O478" s="29">
        <v>0</v>
      </c>
      <c r="P478" s="29">
        <v>0</v>
      </c>
      <c r="Q478" s="29">
        <v>0</v>
      </c>
      <c r="R478" s="30">
        <v>11337</v>
      </c>
    </row>
    <row r="479" spans="1:18">
      <c r="A479" s="27"/>
      <c r="B479" s="28">
        <v>475</v>
      </c>
      <c r="C479" s="1">
        <f>30000000+INDEX(编号表!$B:$B,MATCH(G479,编号表!$A:$A,0))*100000+INDEX(编号表!$F:$F,MATCH(H479,编号表!$E:$E,0))*1000+INDEX(编号表!$D:$D,MATCH(F479,编号表!$C:$C,0))*10000+E479</f>
        <v>31645001</v>
      </c>
      <c r="D479" s="23" t="s">
        <v>538</v>
      </c>
      <c r="E479" s="23">
        <v>1</v>
      </c>
      <c r="F479" s="23" t="s">
        <v>400</v>
      </c>
      <c r="G479" s="23" t="s">
        <v>82</v>
      </c>
      <c r="H479" s="23" t="s">
        <v>173</v>
      </c>
      <c r="I479" s="23"/>
      <c r="J479" s="23"/>
      <c r="K479" s="23"/>
      <c r="L479" s="29">
        <v>8</v>
      </c>
      <c r="M479" s="29">
        <v>0</v>
      </c>
      <c r="N479" s="29"/>
      <c r="O479" s="29">
        <v>0</v>
      </c>
      <c r="P479" s="29">
        <v>0</v>
      </c>
      <c r="Q479" s="29">
        <v>0</v>
      </c>
      <c r="R479" s="30">
        <v>20785</v>
      </c>
    </row>
    <row r="480" spans="1:18">
      <c r="A480" s="27"/>
      <c r="B480" s="28">
        <v>476</v>
      </c>
      <c r="C480" s="1">
        <f>30000000+INDEX(编号表!$B:$B,MATCH(G480,编号表!$A:$A,0))*100000+INDEX(编号表!$F:$F,MATCH(H480,编号表!$E:$E,0))*1000+INDEX(编号表!$D:$D,MATCH(F480,编号表!$C:$C,0))*10000+E480</f>
        <v>31645002</v>
      </c>
      <c r="D480" s="23" t="s">
        <v>539</v>
      </c>
      <c r="E480" s="23">
        <v>2</v>
      </c>
      <c r="F480" s="23" t="s">
        <v>400</v>
      </c>
      <c r="G480" s="23" t="s">
        <v>82</v>
      </c>
      <c r="H480" s="23" t="s">
        <v>173</v>
      </c>
      <c r="I480" s="23"/>
      <c r="J480" s="23"/>
      <c r="K480" s="23"/>
      <c r="L480" s="29">
        <v>9</v>
      </c>
      <c r="M480" s="29">
        <v>0</v>
      </c>
      <c r="N480" s="29"/>
      <c r="O480" s="29">
        <v>0</v>
      </c>
      <c r="P480" s="29">
        <v>0</v>
      </c>
      <c r="Q480" s="29">
        <v>0</v>
      </c>
      <c r="R480" s="30">
        <v>32122</v>
      </c>
    </row>
    <row r="481" spans="1:18">
      <c r="A481" s="27"/>
      <c r="B481" s="28">
        <v>477</v>
      </c>
      <c r="C481" s="1">
        <f>30000000+INDEX(编号表!$B:$B,MATCH(G481,编号表!$A:$A,0))*100000+INDEX(编号表!$F:$F,MATCH(H481,编号表!$E:$E,0))*1000+INDEX(编号表!$D:$D,MATCH(F481,编号表!$C:$C,0))*10000+E481</f>
        <v>31246000</v>
      </c>
      <c r="D481" s="23" t="s">
        <v>540</v>
      </c>
      <c r="E481" s="23">
        <v>0</v>
      </c>
      <c r="F481" s="23" t="s">
        <v>400</v>
      </c>
      <c r="G481" s="23" t="s">
        <v>42</v>
      </c>
      <c r="H481" s="23" t="s">
        <v>202</v>
      </c>
      <c r="I481" s="23"/>
      <c r="J481" s="23"/>
      <c r="K481" s="23"/>
      <c r="L481" s="29">
        <v>0</v>
      </c>
      <c r="M481" s="29">
        <v>0</v>
      </c>
      <c r="N481" s="29"/>
      <c r="O481" s="29">
        <v>340120</v>
      </c>
      <c r="P481" s="29">
        <v>130947</v>
      </c>
      <c r="Q481" s="29">
        <v>1700604</v>
      </c>
      <c r="R481" s="30">
        <v>30610</v>
      </c>
    </row>
    <row r="482" spans="1:18">
      <c r="A482" s="27"/>
      <c r="B482" s="28">
        <v>478</v>
      </c>
      <c r="C482" s="1">
        <f>30000000+INDEX(编号表!$B:$B,MATCH(G482,编号表!$A:$A,0))*100000+INDEX(编号表!$F:$F,MATCH(H482,编号表!$E:$E,0))*1000+INDEX(编号表!$D:$D,MATCH(F482,编号表!$C:$C,0))*10000+E482</f>
        <v>31346000</v>
      </c>
      <c r="D482" s="23" t="s">
        <v>541</v>
      </c>
      <c r="E482" s="23">
        <v>0</v>
      </c>
      <c r="F482" s="23" t="s">
        <v>400</v>
      </c>
      <c r="G482" s="23" t="s">
        <v>45</v>
      </c>
      <c r="H482" s="23" t="s">
        <v>202</v>
      </c>
      <c r="I482" s="23" t="s">
        <v>46</v>
      </c>
      <c r="J482" s="23"/>
      <c r="K482" s="23"/>
      <c r="L482" s="29">
        <v>0</v>
      </c>
      <c r="M482" s="29">
        <v>-2</v>
      </c>
      <c r="N482" s="29"/>
      <c r="O482" s="29">
        <v>203222</v>
      </c>
      <c r="P482" s="29">
        <v>78241</v>
      </c>
      <c r="Q482" s="29">
        <v>0</v>
      </c>
      <c r="R482" s="30">
        <v>23808</v>
      </c>
    </row>
    <row r="483" spans="1:18">
      <c r="A483" s="27"/>
      <c r="B483" s="28">
        <v>479</v>
      </c>
      <c r="C483" s="1">
        <f>30000000+INDEX(编号表!$B:$B,MATCH(G483,编号表!$A:$A,0))*100000+INDEX(编号表!$F:$F,MATCH(H483,编号表!$E:$E,0))*1000+INDEX(编号表!$D:$D,MATCH(F483,编号表!$C:$C,0))*10000+E483</f>
        <v>31346001</v>
      </c>
      <c r="D483" s="23" t="s">
        <v>542</v>
      </c>
      <c r="E483" s="23">
        <v>1</v>
      </c>
      <c r="F483" s="23" t="s">
        <v>400</v>
      </c>
      <c r="G483" s="23" t="s">
        <v>45</v>
      </c>
      <c r="H483" s="23" t="s">
        <v>202</v>
      </c>
      <c r="I483" s="23" t="s">
        <v>46</v>
      </c>
      <c r="J483" s="23"/>
      <c r="K483" s="23"/>
      <c r="L483" s="29">
        <v>0</v>
      </c>
      <c r="M483" s="29">
        <v>3</v>
      </c>
      <c r="N483" s="29"/>
      <c r="O483" s="29">
        <v>217167</v>
      </c>
      <c r="P483" s="29">
        <v>103372</v>
      </c>
      <c r="Q483" s="29">
        <v>0</v>
      </c>
      <c r="R483" s="30">
        <v>30610</v>
      </c>
    </row>
    <row r="484" spans="1:18">
      <c r="A484" s="27"/>
      <c r="B484" s="28">
        <v>480</v>
      </c>
      <c r="C484" s="1">
        <f>30000000+INDEX(编号表!$B:$B,MATCH(G484,编号表!$A:$A,0))*100000+INDEX(编号表!$F:$F,MATCH(H484,编号表!$E:$E,0))*1000+INDEX(编号表!$D:$D,MATCH(F484,编号表!$C:$C,0))*10000+E484</f>
        <v>31346002</v>
      </c>
      <c r="D484" s="23" t="s">
        <v>543</v>
      </c>
      <c r="E484" s="23">
        <v>2</v>
      </c>
      <c r="F484" s="23" t="s">
        <v>400</v>
      </c>
      <c r="G484" s="23" t="s">
        <v>45</v>
      </c>
      <c r="H484" s="23" t="s">
        <v>202</v>
      </c>
      <c r="I484" s="23" t="s">
        <v>49</v>
      </c>
      <c r="J484" s="23"/>
      <c r="K484" s="23"/>
      <c r="L484" s="29">
        <v>0</v>
      </c>
      <c r="M484" s="29">
        <v>-1</v>
      </c>
      <c r="N484" s="29"/>
      <c r="O484" s="29">
        <v>192678</v>
      </c>
      <c r="P484" s="29">
        <v>48555</v>
      </c>
      <c r="Q484" s="29">
        <v>0</v>
      </c>
      <c r="R484" s="30">
        <v>33161</v>
      </c>
    </row>
    <row r="485" spans="1:18">
      <c r="A485" s="27"/>
      <c r="B485" s="28">
        <v>481</v>
      </c>
      <c r="C485" s="1">
        <f>30000000+INDEX(编号表!$B:$B,MATCH(G485,编号表!$A:$A,0))*100000+INDEX(编号表!$F:$F,MATCH(H485,编号表!$E:$E,0))*1000+INDEX(编号表!$D:$D,MATCH(F485,编号表!$C:$C,0))*10000+E485</f>
        <v>31346003</v>
      </c>
      <c r="D485" s="23" t="s">
        <v>544</v>
      </c>
      <c r="E485" s="23">
        <v>3</v>
      </c>
      <c r="F485" s="23" t="s">
        <v>400</v>
      </c>
      <c r="G485" s="23" t="s">
        <v>45</v>
      </c>
      <c r="H485" s="23" t="s">
        <v>202</v>
      </c>
      <c r="I485" s="23" t="s">
        <v>49</v>
      </c>
      <c r="J485" s="23"/>
      <c r="K485" s="23"/>
      <c r="L485" s="29">
        <v>0</v>
      </c>
      <c r="M485" s="29">
        <v>2</v>
      </c>
      <c r="N485" s="29"/>
      <c r="O485" s="29">
        <v>203222</v>
      </c>
      <c r="P485" s="29">
        <v>116650</v>
      </c>
      <c r="Q485" s="29">
        <v>0</v>
      </c>
      <c r="R485" s="30">
        <v>10203</v>
      </c>
    </row>
    <row r="486" spans="1:18">
      <c r="A486" s="27"/>
      <c r="B486" s="28">
        <v>482</v>
      </c>
      <c r="C486" s="1">
        <f>30000000+INDEX(编号表!$B:$B,MATCH(G486,编号表!$A:$A,0))*100000+INDEX(编号表!$F:$F,MATCH(H486,编号表!$E:$E,0))*1000+INDEX(编号表!$D:$D,MATCH(F486,编号表!$C:$C,0))*10000+E486</f>
        <v>31346004</v>
      </c>
      <c r="D486" s="23" t="s">
        <v>545</v>
      </c>
      <c r="E486" s="23">
        <v>4</v>
      </c>
      <c r="F486" s="23" t="s">
        <v>400</v>
      </c>
      <c r="G486" s="23" t="s">
        <v>45</v>
      </c>
      <c r="H486" s="23" t="s">
        <v>202</v>
      </c>
      <c r="I486" s="23" t="s">
        <v>52</v>
      </c>
      <c r="J486" s="23"/>
      <c r="K486" s="23"/>
      <c r="L486" s="29">
        <v>0</v>
      </c>
      <c r="M486" s="29">
        <v>-1</v>
      </c>
      <c r="N486" s="29"/>
      <c r="O486" s="29">
        <v>203222</v>
      </c>
      <c r="P486" s="29">
        <v>96734</v>
      </c>
      <c r="Q486" s="29">
        <v>0</v>
      </c>
      <c r="R486" s="30">
        <v>24658</v>
      </c>
    </row>
    <row r="487" spans="1:18">
      <c r="A487" s="27"/>
      <c r="B487" s="28">
        <v>483</v>
      </c>
      <c r="C487" s="1">
        <f>30000000+INDEX(编号表!$B:$B,MATCH(G487,编号表!$A:$A,0))*100000+INDEX(编号表!$F:$F,MATCH(H487,编号表!$E:$E,0))*1000+INDEX(编号表!$D:$D,MATCH(F487,编号表!$C:$C,0))*10000+E487</f>
        <v>31346005</v>
      </c>
      <c r="D487" s="23" t="inlineStr">
        <is>
          <t xml:space="preserve">百载沸泉苔·道株</t>
        </is>
      </c>
      <c r="E487" s="23">
        <v>5</v>
      </c>
      <c r="F487" s="23" t="s">
        <v>400</v>
      </c>
      <c r="G487" s="23" t="s">
        <v>45</v>
      </c>
      <c r="H487" s="23" t="s">
        <v>202</v>
      </c>
      <c r="I487" s="23" t="s">
        <v>52</v>
      </c>
      <c r="J487" s="23"/>
      <c r="K487" s="23"/>
      <c r="L487" s="29">
        <v>0</v>
      </c>
      <c r="M487" s="29">
        <v>4</v>
      </c>
      <c r="N487" s="29"/>
      <c r="O487" s="29">
        <v>210194</v>
      </c>
      <c r="P487" s="29">
        <v>120652</v>
      </c>
      <c r="Q487" s="29">
        <v>0</v>
      </c>
      <c r="R487" s="30">
        <v>44215</v>
      </c>
    </row>
    <row r="488" spans="1:18">
      <c r="A488" s="27"/>
      <c r="B488" s="28">
        <v>484</v>
      </c>
      <c r="C488" s="1">
        <f>30000000+INDEX(编号表!$B:$B,MATCH(G488,编号表!$A:$A,0))*100000+INDEX(编号表!$F:$F,MATCH(H488,编号表!$E:$E,0))*1000+INDEX(编号表!$D:$D,MATCH(F488,编号表!$C:$C,0))*10000+E488</f>
        <v>31346006</v>
      </c>
      <c r="D488" s="23" t="inlineStr">
        <is>
          <t xml:space="preserve">百载丹露花·道株</t>
        </is>
      </c>
      <c r="E488" s="23">
        <v>6</v>
      </c>
      <c r="F488" s="23" t="s">
        <v>400</v>
      </c>
      <c r="G488" s="23" t="s">
        <v>45</v>
      </c>
      <c r="H488" s="23" t="s">
        <v>202</v>
      </c>
      <c r="I488" s="23" t="s">
        <v>55</v>
      </c>
      <c r="J488" s="23"/>
      <c r="K488" s="23"/>
      <c r="L488" s="29">
        <v>0</v>
      </c>
      <c r="M488" s="29">
        <v>-1</v>
      </c>
      <c r="N488" s="29"/>
      <c r="O488" s="29">
        <v>210194</v>
      </c>
      <c r="P488" s="29">
        <v>41199</v>
      </c>
      <c r="Q488" s="29">
        <v>0</v>
      </c>
      <c r="R488" s="30">
        <v>71425</v>
      </c>
    </row>
    <row r="489" spans="1:18">
      <c r="A489" s="27"/>
      <c r="B489" s="28">
        <v>485</v>
      </c>
      <c r="C489" s="1">
        <f>30000000+INDEX(编号表!$B:$B,MATCH(G489,编号表!$A:$A,0))*100000+INDEX(编号表!$F:$F,MATCH(H489,编号表!$E:$E,0))*1000+INDEX(编号表!$D:$D,MATCH(F489,编号表!$C:$C,0))*10000+E489</f>
        <v>31346007</v>
      </c>
      <c r="D489" s="23" t="s">
        <v>548</v>
      </c>
      <c r="E489" s="23">
        <v>7</v>
      </c>
      <c r="F489" s="23" t="s">
        <v>400</v>
      </c>
      <c r="G489" s="23" t="s">
        <v>45</v>
      </c>
      <c r="H489" s="23" t="s">
        <v>202</v>
      </c>
      <c r="I489" s="23" t="s">
        <v>55</v>
      </c>
      <c r="J489" s="23"/>
      <c r="K489" s="23"/>
      <c r="L489" s="29">
        <v>0</v>
      </c>
      <c r="M489" s="29">
        <v>2</v>
      </c>
      <c r="N489" s="29"/>
      <c r="O489" s="29">
        <v>203222</v>
      </c>
      <c r="P489" s="29">
        <v>116650</v>
      </c>
      <c r="Q489" s="29">
        <v>0</v>
      </c>
      <c r="R489" s="30">
        <v>10203</v>
      </c>
    </row>
    <row r="490" spans="1:18">
      <c r="A490" s="27"/>
      <c r="B490" s="28">
        <v>486</v>
      </c>
      <c r="C490" s="1">
        <f>30000000+INDEX(编号表!$B:$B,MATCH(G490,编号表!$A:$A,0))*100000+INDEX(编号表!$F:$F,MATCH(H490,编号表!$E:$E,0))*1000+INDEX(编号表!$D:$D,MATCH(F490,编号表!$C:$C,0))*10000+E490</f>
        <v>31346008</v>
      </c>
      <c r="D490" s="23" t="s">
        <v>549</v>
      </c>
      <c r="E490" s="23">
        <v>8</v>
      </c>
      <c r="F490" s="23" t="s">
        <v>400</v>
      </c>
      <c r="G490" s="23" t="s">
        <v>45</v>
      </c>
      <c r="H490" s="23" t="s">
        <v>202</v>
      </c>
      <c r="I490" s="23" t="s">
        <v>58</v>
      </c>
      <c r="J490" s="23"/>
      <c r="K490" s="23"/>
      <c r="L490" s="29">
        <v>0</v>
      </c>
      <c r="M490" s="29">
        <v>-2</v>
      </c>
      <c r="N490" s="29"/>
      <c r="O490" s="29">
        <v>203222</v>
      </c>
      <c r="P490" s="29">
        <v>78241</v>
      </c>
      <c r="Q490" s="29">
        <v>0</v>
      </c>
      <c r="R490" s="30">
        <v>23808</v>
      </c>
    </row>
    <row r="491" spans="1:18">
      <c r="A491" s="27"/>
      <c r="B491" s="28">
        <v>487</v>
      </c>
      <c r="C491" s="1">
        <f>30000000+INDEX(编号表!$B:$B,MATCH(G491,编号表!$A:$A,0))*100000+INDEX(编号表!$F:$F,MATCH(H491,编号表!$E:$E,0))*1000+INDEX(编号表!$D:$D,MATCH(F491,编号表!$C:$C,0))*10000+E491</f>
        <v>31346009</v>
      </c>
      <c r="D491" s="23" t="s">
        <v>550</v>
      </c>
      <c r="E491" s="23">
        <v>9</v>
      </c>
      <c r="F491" s="23" t="s">
        <v>400</v>
      </c>
      <c r="G491" s="23" t="s">
        <v>45</v>
      </c>
      <c r="H491" s="23" t="s">
        <v>202</v>
      </c>
      <c r="I491" s="23" t="s">
        <v>58</v>
      </c>
      <c r="J491" s="23"/>
      <c r="K491" s="23"/>
      <c r="L491" s="29">
        <v>0</v>
      </c>
      <c r="M491" s="29">
        <v>1</v>
      </c>
      <c r="N491" s="29"/>
      <c r="O491" s="29">
        <v>192678</v>
      </c>
      <c r="P491" s="29">
        <v>48555</v>
      </c>
      <c r="Q491" s="29">
        <v>0</v>
      </c>
      <c r="R491" s="30">
        <v>33161</v>
      </c>
    </row>
    <row r="492" spans="1:18">
      <c r="A492" s="27"/>
      <c r="B492" s="28">
        <v>488</v>
      </c>
      <c r="C492" s="1">
        <f>30000000+INDEX(编号表!$B:$B,MATCH(G492,编号表!$A:$A,0))*100000+INDEX(编号表!$F:$F,MATCH(H492,编号表!$E:$E,0))*1000+INDEX(编号表!$D:$D,MATCH(F492,编号表!$C:$C,0))*10000+E492</f>
        <v>31546000</v>
      </c>
      <c r="D492" s="23" t="inlineStr">
        <is>
          <t xml:space="preserve">百载霜辛草·道株</t>
        </is>
      </c>
      <c r="E492" s="23">
        <v>0</v>
      </c>
      <c r="F492" s="23" t="s">
        <v>400</v>
      </c>
      <c r="G492" s="23" t="s">
        <v>61</v>
      </c>
      <c r="H492" s="23" t="s">
        <v>202</v>
      </c>
      <c r="I492" s="23"/>
      <c r="J492" s="23" t="s">
        <v>62</v>
      </c>
      <c r="K492" s="23"/>
      <c r="L492" s="29">
        <v>0</v>
      </c>
      <c r="M492" s="29">
        <v>-2</v>
      </c>
      <c r="N492" s="29"/>
      <c r="O492" s="29">
        <v>203222</v>
      </c>
      <c r="P492" s="29">
        <v>78241</v>
      </c>
      <c r="Q492" s="29">
        <v>0</v>
      </c>
      <c r="R492" s="30">
        <v>23808</v>
      </c>
    </row>
    <row r="493" spans="1:18">
      <c r="A493" s="27"/>
      <c r="B493" s="28">
        <v>489</v>
      </c>
      <c r="C493" s="1">
        <f>30000000+INDEX(编号表!$B:$B,MATCH(G493,编号表!$A:$A,0))*100000+INDEX(编号表!$F:$F,MATCH(H493,编号表!$E:$E,0))*1000+INDEX(编号表!$D:$D,MATCH(F493,编号表!$C:$C,0))*10000+E493</f>
        <v>31546001</v>
      </c>
      <c r="D493" s="23" t="s">
        <v>552</v>
      </c>
      <c r="E493" s="23">
        <v>1</v>
      </c>
      <c r="F493" s="23" t="s">
        <v>400</v>
      </c>
      <c r="G493" s="23" t="s">
        <v>61</v>
      </c>
      <c r="H493" s="23" t="s">
        <v>202</v>
      </c>
      <c r="I493" s="23"/>
      <c r="J493" s="23" t="s">
        <v>62</v>
      </c>
      <c r="K493" s="23"/>
      <c r="L493" s="29">
        <v>0</v>
      </c>
      <c r="M493" s="29">
        <v>3</v>
      </c>
      <c r="N493" s="29"/>
      <c r="O493" s="29">
        <v>217167</v>
      </c>
      <c r="P493" s="29">
        <v>103372</v>
      </c>
      <c r="Q493" s="29">
        <v>0</v>
      </c>
      <c r="R493" s="30">
        <v>30610</v>
      </c>
    </row>
    <row r="494" spans="1:18">
      <c r="A494" s="27"/>
      <c r="B494" s="28">
        <v>490</v>
      </c>
      <c r="C494" s="1">
        <f>30000000+INDEX(编号表!$B:$B,MATCH(G494,编号表!$A:$A,0))*100000+INDEX(编号表!$F:$F,MATCH(H494,编号表!$E:$E,0))*1000+INDEX(编号表!$D:$D,MATCH(F494,编号表!$C:$C,0))*10000+E494</f>
        <v>31546002</v>
      </c>
      <c r="D494" s="23" t="s">
        <v>553</v>
      </c>
      <c r="E494" s="23">
        <v>2</v>
      </c>
      <c r="F494" s="23" t="s">
        <v>400</v>
      </c>
      <c r="G494" s="23" t="s">
        <v>61</v>
      </c>
      <c r="H494" s="23" t="s">
        <v>202</v>
      </c>
      <c r="I494" s="23"/>
      <c r="J494" s="23" t="s">
        <v>65</v>
      </c>
      <c r="K494" s="23"/>
      <c r="L494" s="29">
        <v>0</v>
      </c>
      <c r="M494" s="29">
        <v>-1</v>
      </c>
      <c r="N494" s="29"/>
      <c r="O494" s="29">
        <v>192678</v>
      </c>
      <c r="P494" s="29">
        <v>48555</v>
      </c>
      <c r="Q494" s="29">
        <v>0</v>
      </c>
      <c r="R494" s="30">
        <v>33161</v>
      </c>
    </row>
    <row r="495" spans="1:18">
      <c r="A495" s="27"/>
      <c r="B495" s="28">
        <v>491</v>
      </c>
      <c r="C495" s="1">
        <f>30000000+INDEX(编号表!$B:$B,MATCH(G495,编号表!$A:$A,0))*100000+INDEX(编号表!$F:$F,MATCH(H495,编号表!$E:$E,0))*1000+INDEX(编号表!$D:$D,MATCH(F495,编号表!$C:$C,0))*10000+E495</f>
        <v>31546003</v>
      </c>
      <c r="D495" s="23" t="s">
        <v>554</v>
      </c>
      <c r="E495" s="23">
        <v>3</v>
      </c>
      <c r="F495" s="23" t="s">
        <v>400</v>
      </c>
      <c r="G495" s="23" t="s">
        <v>61</v>
      </c>
      <c r="H495" s="23" t="s">
        <v>202</v>
      </c>
      <c r="I495" s="23"/>
      <c r="J495" s="23" t="s">
        <v>65</v>
      </c>
      <c r="K495" s="23"/>
      <c r="L495" s="29">
        <v>0</v>
      </c>
      <c r="M495" s="29">
        <v>2</v>
      </c>
      <c r="N495" s="29"/>
      <c r="O495" s="29">
        <v>203222</v>
      </c>
      <c r="P495" s="29">
        <v>116650</v>
      </c>
      <c r="Q495" s="29">
        <v>0</v>
      </c>
      <c r="R495" s="30">
        <v>10203</v>
      </c>
    </row>
    <row r="496" spans="1:18">
      <c r="A496" s="27"/>
      <c r="B496" s="28">
        <v>492</v>
      </c>
      <c r="C496" s="1">
        <f>30000000+INDEX(编号表!$B:$B,MATCH(G496,编号表!$A:$A,0))*100000+INDEX(编号表!$F:$F,MATCH(H496,编号表!$E:$E,0))*1000+INDEX(编号表!$D:$D,MATCH(F496,编号表!$C:$C,0))*10000+E496</f>
        <v>31546004</v>
      </c>
      <c r="D496" s="23" t="s">
        <v>555</v>
      </c>
      <c r="E496" s="23">
        <v>4</v>
      </c>
      <c r="F496" s="23" t="s">
        <v>400</v>
      </c>
      <c r="G496" s="23" t="s">
        <v>61</v>
      </c>
      <c r="H496" s="23" t="s">
        <v>202</v>
      </c>
      <c r="I496" s="23"/>
      <c r="J496" s="23" t="s">
        <v>68</v>
      </c>
      <c r="K496" s="23"/>
      <c r="L496" s="29">
        <v>0</v>
      </c>
      <c r="M496" s="29">
        <v>-1</v>
      </c>
      <c r="N496" s="29"/>
      <c r="O496" s="29">
        <v>203222</v>
      </c>
      <c r="P496" s="29">
        <v>96734</v>
      </c>
      <c r="Q496" s="29">
        <v>0</v>
      </c>
      <c r="R496" s="30">
        <v>24658</v>
      </c>
    </row>
    <row r="497" spans="1:18">
      <c r="A497" s="27"/>
      <c r="B497" s="28">
        <v>493</v>
      </c>
      <c r="C497" s="1">
        <f>30000000+INDEX(编号表!$B:$B,MATCH(G497,编号表!$A:$A,0))*100000+INDEX(编号表!$F:$F,MATCH(H497,编号表!$E:$E,0))*1000+INDEX(编号表!$D:$D,MATCH(F497,编号表!$C:$C,0))*10000+E497</f>
        <v>31546005</v>
      </c>
      <c r="D497" s="23" t="s">
        <v>556</v>
      </c>
      <c r="E497" s="23">
        <v>5</v>
      </c>
      <c r="F497" s="23" t="s">
        <v>400</v>
      </c>
      <c r="G497" s="23" t="s">
        <v>61</v>
      </c>
      <c r="H497" s="23" t="s">
        <v>202</v>
      </c>
      <c r="I497" s="23"/>
      <c r="J497" s="23" t="s">
        <v>68</v>
      </c>
      <c r="K497" s="23"/>
      <c r="L497" s="29">
        <v>0</v>
      </c>
      <c r="M497" s="29">
        <v>4</v>
      </c>
      <c r="N497" s="29"/>
      <c r="O497" s="29">
        <v>210194</v>
      </c>
      <c r="P497" s="29">
        <v>120652</v>
      </c>
      <c r="Q497" s="29">
        <v>0</v>
      </c>
      <c r="R497" s="30">
        <v>44215</v>
      </c>
    </row>
    <row r="498" spans="1:18">
      <c r="A498" s="27"/>
      <c r="B498" s="28">
        <v>494</v>
      </c>
      <c r="C498" s="1">
        <f>30000000+INDEX(编号表!$B:$B,MATCH(G498,编号表!$A:$A,0))*100000+INDEX(编号表!$F:$F,MATCH(H498,编号表!$E:$E,0))*1000+INDEX(编号表!$D:$D,MATCH(F498,编号表!$C:$C,0))*10000+E498</f>
        <v>31546006</v>
      </c>
      <c r="D498" s="23" t="s">
        <v>557</v>
      </c>
      <c r="E498" s="23">
        <v>6</v>
      </c>
      <c r="F498" s="23" t="s">
        <v>400</v>
      </c>
      <c r="G498" s="23" t="s">
        <v>61</v>
      </c>
      <c r="H498" s="23" t="s">
        <v>202</v>
      </c>
      <c r="I498" s="23"/>
      <c r="J498" s="23" t="s">
        <v>71</v>
      </c>
      <c r="K498" s="23"/>
      <c r="L498" s="29">
        <v>0</v>
      </c>
      <c r="M498" s="29">
        <v>-1</v>
      </c>
      <c r="N498" s="29"/>
      <c r="O498" s="29">
        <v>210194</v>
      </c>
      <c r="P498" s="29">
        <v>41199</v>
      </c>
      <c r="Q498" s="29">
        <v>0</v>
      </c>
      <c r="R498" s="30">
        <v>71425</v>
      </c>
    </row>
    <row r="499" spans="1:18">
      <c r="A499" s="27"/>
      <c r="B499" s="28">
        <v>495</v>
      </c>
      <c r="C499" s="1">
        <f>30000000+INDEX(编号表!$B:$B,MATCH(G499,编号表!$A:$A,0))*100000+INDEX(编号表!$F:$F,MATCH(H499,编号表!$E:$E,0))*1000+INDEX(编号表!$D:$D,MATCH(F499,编号表!$C:$C,0))*10000+E499</f>
        <v>31546007</v>
      </c>
      <c r="D499" s="23" t="s">
        <v>558</v>
      </c>
      <c r="E499" s="23">
        <v>7</v>
      </c>
      <c r="F499" s="23" t="s">
        <v>400</v>
      </c>
      <c r="G499" s="23" t="s">
        <v>61</v>
      </c>
      <c r="H499" s="23" t="s">
        <v>202</v>
      </c>
      <c r="I499" s="23"/>
      <c r="J499" s="23" t="s">
        <v>71</v>
      </c>
      <c r="K499" s="23"/>
      <c r="L499" s="29">
        <v>0</v>
      </c>
      <c r="M499" s="29">
        <v>2</v>
      </c>
      <c r="N499" s="29"/>
      <c r="O499" s="29">
        <v>203222</v>
      </c>
      <c r="P499" s="29">
        <v>116650</v>
      </c>
      <c r="Q499" s="29">
        <v>0</v>
      </c>
      <c r="R499" s="30">
        <v>10203</v>
      </c>
    </row>
    <row r="500" spans="1:18">
      <c r="A500" s="27"/>
      <c r="B500" s="28">
        <v>496</v>
      </c>
      <c r="C500" s="1">
        <f>30000000+INDEX(编号表!$B:$B,MATCH(G500,编号表!$A:$A,0))*100000+INDEX(编号表!$F:$F,MATCH(H500,编号表!$E:$E,0))*1000+INDEX(编号表!$D:$D,MATCH(F500,编号表!$C:$C,0))*10000+E500</f>
        <v>31546008</v>
      </c>
      <c r="D500" s="23" t="s">
        <v>559</v>
      </c>
      <c r="E500" s="23">
        <v>8</v>
      </c>
      <c r="F500" s="23" t="s">
        <v>400</v>
      </c>
      <c r="G500" s="23" t="s">
        <v>61</v>
      </c>
      <c r="H500" s="23" t="s">
        <v>202</v>
      </c>
      <c r="I500" s="23"/>
      <c r="J500" s="23" t="s">
        <v>74</v>
      </c>
      <c r="K500" s="23"/>
      <c r="L500" s="29">
        <v>0</v>
      </c>
      <c r="M500" s="29">
        <v>-2</v>
      </c>
      <c r="N500" s="29"/>
      <c r="O500" s="29">
        <v>203222</v>
      </c>
      <c r="P500" s="29">
        <v>78241</v>
      </c>
      <c r="Q500" s="29">
        <v>0</v>
      </c>
      <c r="R500" s="30">
        <v>23808</v>
      </c>
    </row>
    <row r="501" spans="1:18">
      <c r="A501" s="27"/>
      <c r="B501" s="28">
        <v>497</v>
      </c>
      <c r="C501" s="1">
        <f>30000000+INDEX(编号表!$B:$B,MATCH(G501,编号表!$A:$A,0))*100000+INDEX(编号表!$F:$F,MATCH(H501,编号表!$E:$E,0))*1000+INDEX(编号表!$D:$D,MATCH(F501,编号表!$C:$C,0))*10000+E501</f>
        <v>31546009</v>
      </c>
      <c r="D501" s="23" t="s">
        <v>560</v>
      </c>
      <c r="E501" s="23">
        <v>9</v>
      </c>
      <c r="F501" s="23" t="s">
        <v>400</v>
      </c>
      <c r="G501" s="23" t="s">
        <v>61</v>
      </c>
      <c r="H501" s="23" t="s">
        <v>202</v>
      </c>
      <c r="I501" s="23"/>
      <c r="J501" s="23" t="s">
        <v>74</v>
      </c>
      <c r="K501" s="23"/>
      <c r="L501" s="29">
        <v>0</v>
      </c>
      <c r="M501" s="29">
        <v>1</v>
      </c>
      <c r="N501" s="29"/>
      <c r="O501" s="29">
        <v>192678</v>
      </c>
      <c r="P501" s="29">
        <v>48555</v>
      </c>
      <c r="Q501" s="29">
        <v>0</v>
      </c>
      <c r="R501" s="30">
        <v>33161</v>
      </c>
    </row>
    <row r="502" spans="1:18">
      <c r="A502" s="27"/>
      <c r="B502" s="28">
        <v>498</v>
      </c>
      <c r="C502" s="1">
        <f>30000000+INDEX(编号表!$B:$B,MATCH(G502,编号表!$A:$A,0))*100000+INDEX(编号表!$F:$F,MATCH(H502,编号表!$E:$E,0))*1000+INDEX(编号表!$D:$D,MATCH(F502,编号表!$C:$C,0))*10000+E502</f>
        <v>31446000</v>
      </c>
      <c r="D502" s="23" t="s">
        <v>561</v>
      </c>
      <c r="E502" s="23">
        <v>0</v>
      </c>
      <c r="F502" s="23" t="s">
        <v>400</v>
      </c>
      <c r="G502" s="23" t="s">
        <v>77</v>
      </c>
      <c r="H502" s="23" t="s">
        <v>202</v>
      </c>
      <c r="I502" s="23"/>
      <c r="J502" s="23"/>
      <c r="K502" s="23"/>
      <c r="L502" s="29">
        <v>0</v>
      </c>
      <c r="M502" s="29">
        <v>0</v>
      </c>
      <c r="N502" s="29"/>
      <c r="O502" s="29">
        <v>192678</v>
      </c>
      <c r="P502" s="29">
        <v>37765</v>
      </c>
      <c r="Q502" s="29">
        <v>0</v>
      </c>
      <c r="R502" s="30">
        <v>39113</v>
      </c>
    </row>
    <row r="503" spans="1:18">
      <c r="A503" s="27"/>
      <c r="B503" s="28">
        <v>499</v>
      </c>
      <c r="C503" s="1">
        <f>30000000+INDEX(编号表!$B:$B,MATCH(G503,编号表!$A:$A,0))*100000+INDEX(编号表!$F:$F,MATCH(H503,编号表!$E:$E,0))*1000+INDEX(编号表!$D:$D,MATCH(F503,编号表!$C:$C,0))*10000+E503</f>
        <v>31446001</v>
      </c>
      <c r="D503" s="23" t="s">
        <v>562</v>
      </c>
      <c r="E503" s="23">
        <v>1</v>
      </c>
      <c r="F503" s="23" t="s">
        <v>400</v>
      </c>
      <c r="G503" s="23" t="s">
        <v>77</v>
      </c>
      <c r="H503" s="23" t="s">
        <v>202</v>
      </c>
      <c r="I503" s="23"/>
      <c r="J503" s="23"/>
      <c r="K503" s="23"/>
      <c r="L503" s="29">
        <v>0</v>
      </c>
      <c r="M503" s="29">
        <v>0</v>
      </c>
      <c r="N503" s="29"/>
      <c r="O503" s="29">
        <v>217167</v>
      </c>
      <c r="P503" s="29">
        <v>124654</v>
      </c>
      <c r="Q503" s="29">
        <v>0</v>
      </c>
      <c r="R503" s="30">
        <v>13604</v>
      </c>
    </row>
    <row r="504" spans="1:18">
      <c r="A504" s="27"/>
      <c r="B504" s="28">
        <v>500</v>
      </c>
      <c r="C504" s="1">
        <f>30000000+INDEX(编号表!$B:$B,MATCH(G504,编号表!$A:$A,0))*100000+INDEX(编号表!$F:$F,MATCH(H504,编号表!$E:$E,0))*1000+INDEX(编号表!$D:$D,MATCH(F504,编号表!$C:$C,0))*10000+E504</f>
        <v>31446002</v>
      </c>
      <c r="D504" s="23" t="s">
        <v>563</v>
      </c>
      <c r="E504" s="23">
        <v>2</v>
      </c>
      <c r="F504" s="23" t="s">
        <v>400</v>
      </c>
      <c r="G504" s="23" t="s">
        <v>77</v>
      </c>
      <c r="H504" s="23" t="s">
        <v>202</v>
      </c>
      <c r="I504" s="23"/>
      <c r="J504" s="23"/>
      <c r="K504" s="23"/>
      <c r="L504" s="29">
        <v>0</v>
      </c>
      <c r="M504" s="29">
        <v>1</v>
      </c>
      <c r="N504" s="29"/>
      <c r="O504" s="29">
        <v>210194</v>
      </c>
      <c r="P504" s="29">
        <v>41199</v>
      </c>
      <c r="Q504" s="29">
        <v>0</v>
      </c>
      <c r="R504" s="30">
        <v>71425</v>
      </c>
    </row>
    <row r="505" spans="1:18">
      <c r="A505" s="27"/>
      <c r="B505" s="28">
        <v>501</v>
      </c>
      <c r="C505" s="1">
        <f>30000000+INDEX(编号表!$B:$B,MATCH(G505,编号表!$A:$A,0))*100000+INDEX(编号表!$F:$F,MATCH(H505,编号表!$E:$E,0))*1000+INDEX(编号表!$D:$D,MATCH(F505,编号表!$C:$C,0))*10000+E505</f>
        <v>31446003</v>
      </c>
      <c r="D505" s="23" t="s">
        <v>564</v>
      </c>
      <c r="E505" s="23">
        <v>3</v>
      </c>
      <c r="F505" s="23" t="s">
        <v>400</v>
      </c>
      <c r="G505" s="23" t="s">
        <v>77</v>
      </c>
      <c r="H505" s="23" t="s">
        <v>202</v>
      </c>
      <c r="I505" s="23"/>
      <c r="J505" s="23"/>
      <c r="K505" s="23"/>
      <c r="L505" s="29">
        <v>0</v>
      </c>
      <c r="M505" s="29">
        <v>4</v>
      </c>
      <c r="N505" s="29"/>
      <c r="O505" s="29">
        <v>210194</v>
      </c>
      <c r="P505" s="29">
        <v>120652</v>
      </c>
      <c r="Q505" s="29">
        <v>0</v>
      </c>
      <c r="R505" s="30">
        <v>44215</v>
      </c>
    </row>
    <row r="506" spans="1:18">
      <c r="A506" s="27"/>
      <c r="B506" s="28">
        <v>502</v>
      </c>
      <c r="C506" s="1">
        <f>30000000+INDEX(编号表!$B:$B,MATCH(G506,编号表!$A:$A,0))*100000+INDEX(编号表!$F:$F,MATCH(H506,编号表!$E:$E,0))*1000+INDEX(编号表!$D:$D,MATCH(F506,编号表!$C:$C,0))*10000+E506</f>
        <v>31646000</v>
      </c>
      <c r="D506" s="23" t="s">
        <v>565</v>
      </c>
      <c r="E506" s="23">
        <v>0</v>
      </c>
      <c r="F506" s="23" t="s">
        <v>400</v>
      </c>
      <c r="G506" s="23" t="s">
        <v>82</v>
      </c>
      <c r="H506" s="23" t="s">
        <v>202</v>
      </c>
      <c r="I506" s="23"/>
      <c r="J506" s="23"/>
      <c r="K506" s="23"/>
      <c r="L506" s="29">
        <v>7</v>
      </c>
      <c r="M506" s="29">
        <v>0</v>
      </c>
      <c r="N506" s="29"/>
      <c r="O506" s="29">
        <v>0</v>
      </c>
      <c r="P506" s="29">
        <v>0</v>
      </c>
      <c r="Q506" s="29">
        <v>0</v>
      </c>
      <c r="R506" s="30">
        <v>20407</v>
      </c>
    </row>
    <row r="507" spans="1:18">
      <c r="A507" s="27"/>
      <c r="B507" s="28">
        <v>503</v>
      </c>
      <c r="C507" s="1">
        <f>30000000+INDEX(编号表!$B:$B,MATCH(G507,编号表!$A:$A,0))*100000+INDEX(编号表!$F:$F,MATCH(H507,编号表!$E:$E,0))*1000+INDEX(编号表!$D:$D,MATCH(F507,编号表!$C:$C,0))*10000+E507</f>
        <v>31646001</v>
      </c>
      <c r="D507" s="23" t="s">
        <v>566</v>
      </c>
      <c r="E507" s="23">
        <v>1</v>
      </c>
      <c r="F507" s="23" t="s">
        <v>400</v>
      </c>
      <c r="G507" s="23" t="s">
        <v>82</v>
      </c>
      <c r="H507" s="23" t="s">
        <v>202</v>
      </c>
      <c r="I507" s="23"/>
      <c r="J507" s="23"/>
      <c r="K507" s="23"/>
      <c r="L507" s="29">
        <v>8</v>
      </c>
      <c r="M507" s="29">
        <v>0</v>
      </c>
      <c r="N507" s="29"/>
      <c r="O507" s="29">
        <v>0</v>
      </c>
      <c r="P507" s="29">
        <v>0</v>
      </c>
      <c r="Q507" s="29">
        <v>0</v>
      </c>
      <c r="R507" s="30">
        <v>37413</v>
      </c>
    </row>
    <row r="508" spans="1:18">
      <c r="A508" s="27"/>
      <c r="B508" s="28">
        <v>504</v>
      </c>
      <c r="C508" s="1">
        <f>30000000+INDEX(编号表!$B:$B,MATCH(G508,编号表!$A:$A,0))*100000+INDEX(编号表!$F:$F,MATCH(H508,编号表!$E:$E,0))*1000+INDEX(编号表!$D:$D,MATCH(F508,编号表!$C:$C,0))*10000+E508</f>
        <v>31646002</v>
      </c>
      <c r="D508" s="23" t="s">
        <v>567</v>
      </c>
      <c r="E508" s="23">
        <v>2</v>
      </c>
      <c r="F508" s="23" t="s">
        <v>400</v>
      </c>
      <c r="G508" s="23" t="s">
        <v>82</v>
      </c>
      <c r="H508" s="23" t="s">
        <v>202</v>
      </c>
      <c r="I508" s="23"/>
      <c r="J508" s="23"/>
      <c r="K508" s="23"/>
      <c r="L508" s="29">
        <v>9</v>
      </c>
      <c r="M508" s="29">
        <v>0</v>
      </c>
      <c r="N508" s="29"/>
      <c r="O508" s="29">
        <v>0</v>
      </c>
      <c r="P508" s="29">
        <v>0</v>
      </c>
      <c r="Q508" s="29">
        <v>0</v>
      </c>
      <c r="R508" s="30">
        <v>57820</v>
      </c>
    </row>
    <row r="509" spans="1:18">
      <c r="A509" s="27"/>
      <c r="B509" s="28">
        <v>505</v>
      </c>
      <c r="C509" s="1">
        <f>30000000+INDEX(编号表!$B:$B,MATCH(G509,编号表!$A:$A,0))*100000+INDEX(编号表!$F:$F,MATCH(H509,编号表!$E:$E,0))*1000+INDEX(编号表!$D:$D,MATCH(F509,编号表!$C:$C,0))*10000+E509</f>
        <v>31251000</v>
      </c>
      <c r="D509" s="23" t="s">
        <v>568</v>
      </c>
      <c r="E509" s="23">
        <v>0</v>
      </c>
      <c r="F509" s="23" t="s">
        <v>569</v>
      </c>
      <c r="G509" s="23" t="s">
        <v>42</v>
      </c>
      <c r="H509" s="23" t="s">
        <v>43</v>
      </c>
      <c r="I509" s="23"/>
      <c r="J509" s="23"/>
      <c r="K509" s="23"/>
      <c r="L509" s="29">
        <v>0</v>
      </c>
      <c r="M509" s="29">
        <v>0</v>
      </c>
      <c r="N509" s="29"/>
      <c r="O509" s="29">
        <v>54000</v>
      </c>
      <c r="P509" s="29">
        <v>29700</v>
      </c>
      <c r="Q509" s="29">
        <v>270000</v>
      </c>
      <c r="R509" s="30">
        <v>4860</v>
      </c>
    </row>
    <row r="510" spans="1:18">
      <c r="A510" s="27"/>
      <c r="B510" s="28">
        <v>506</v>
      </c>
      <c r="C510" s="1">
        <f>30000000+INDEX(编号表!$B:$B,MATCH(G510,编号表!$A:$A,0))*100000+INDEX(编号表!$F:$F,MATCH(H510,编号表!$E:$E,0))*1000+INDEX(编号表!$D:$D,MATCH(F510,编号表!$C:$C,0))*10000+E510</f>
        <v>31351000</v>
      </c>
      <c r="D510" s="23" t="s">
        <v>570</v>
      </c>
      <c r="E510" s="23">
        <v>0</v>
      </c>
      <c r="F510" s="23" t="s">
        <v>569</v>
      </c>
      <c r="G510" s="23" t="s">
        <v>45</v>
      </c>
      <c r="H510" s="23" t="s">
        <v>43</v>
      </c>
      <c r="I510" s="23" t="s">
        <v>46</v>
      </c>
      <c r="J510" s="23"/>
      <c r="K510" s="23"/>
      <c r="L510" s="29">
        <v>0</v>
      </c>
      <c r="M510" s="29">
        <v>-2</v>
      </c>
      <c r="N510" s="29"/>
      <c r="O510" s="29">
        <v>32265</v>
      </c>
      <c r="P510" s="29">
        <v>17746</v>
      </c>
      <c r="Q510" s="29">
        <v>0</v>
      </c>
      <c r="R510" s="30">
        <v>3780</v>
      </c>
    </row>
    <row r="511" spans="1:18">
      <c r="A511" s="27"/>
      <c r="B511" s="28">
        <v>507</v>
      </c>
      <c r="C511" s="1">
        <f>30000000+INDEX(编号表!$B:$B,MATCH(G511,编号表!$A:$A,0))*100000+INDEX(编号表!$F:$F,MATCH(H511,编号表!$E:$E,0))*1000+INDEX(编号表!$D:$D,MATCH(F511,编号表!$C:$C,0))*10000+E511</f>
        <v>31351001</v>
      </c>
      <c r="D511" s="23" t="s">
        <v>571</v>
      </c>
      <c r="E511" s="23">
        <v>1</v>
      </c>
      <c r="F511" s="23" t="s">
        <v>569</v>
      </c>
      <c r="G511" s="23" t="s">
        <v>45</v>
      </c>
      <c r="H511" s="23" t="s">
        <v>43</v>
      </c>
      <c r="I511" s="23" t="s">
        <v>46</v>
      </c>
      <c r="J511" s="23"/>
      <c r="K511" s="23"/>
      <c r="L511" s="29">
        <v>0</v>
      </c>
      <c r="M511" s="29">
        <v>3</v>
      </c>
      <c r="N511" s="29"/>
      <c r="O511" s="29">
        <v>34479</v>
      </c>
      <c r="P511" s="29">
        <v>23446</v>
      </c>
      <c r="Q511" s="29">
        <v>0</v>
      </c>
      <c r="R511" s="30">
        <v>4860</v>
      </c>
    </row>
    <row r="512" spans="1:18">
      <c r="A512" s="27"/>
      <c r="B512" s="28">
        <v>508</v>
      </c>
      <c r="C512" s="1">
        <f>30000000+INDEX(编号表!$B:$B,MATCH(G512,编号表!$A:$A,0))*100000+INDEX(编号表!$F:$F,MATCH(H512,编号表!$E:$E,0))*1000+INDEX(编号表!$D:$D,MATCH(F512,编号表!$C:$C,0))*10000+E512</f>
        <v>31351002</v>
      </c>
      <c r="D512" s="23" t="s">
        <v>572</v>
      </c>
      <c r="E512" s="23">
        <v>2</v>
      </c>
      <c r="F512" s="23" t="s">
        <v>569</v>
      </c>
      <c r="G512" s="23" t="s">
        <v>45</v>
      </c>
      <c r="H512" s="23" t="s">
        <v>43</v>
      </c>
      <c r="I512" s="23" t="s">
        <v>49</v>
      </c>
      <c r="J512" s="23"/>
      <c r="K512" s="23"/>
      <c r="L512" s="29">
        <v>0</v>
      </c>
      <c r="M512" s="29">
        <v>-1</v>
      </c>
      <c r="N512" s="29"/>
      <c r="O512" s="29">
        <v>30591</v>
      </c>
      <c r="P512" s="29">
        <v>11013</v>
      </c>
      <c r="Q512" s="29">
        <v>0</v>
      </c>
      <c r="R512" s="30">
        <v>5265</v>
      </c>
    </row>
    <row r="513" spans="1:18">
      <c r="A513" s="27"/>
      <c r="B513" s="28">
        <v>509</v>
      </c>
      <c r="C513" s="1">
        <f>30000000+INDEX(编号表!$B:$B,MATCH(G513,编号表!$A:$A,0))*100000+INDEX(编号表!$F:$F,MATCH(H513,编号表!$E:$E,0))*1000+INDEX(编号表!$D:$D,MATCH(F513,编号表!$C:$C,0))*10000+E513</f>
        <v>31351003</v>
      </c>
      <c r="D513" s="23" t="s">
        <v>573</v>
      </c>
      <c r="E513" s="23">
        <v>3</v>
      </c>
      <c r="F513" s="23" t="s">
        <v>569</v>
      </c>
      <c r="G513" s="23" t="s">
        <v>45</v>
      </c>
      <c r="H513" s="23" t="s">
        <v>43</v>
      </c>
      <c r="I513" s="23" t="s">
        <v>49</v>
      </c>
      <c r="J513" s="23"/>
      <c r="K513" s="23"/>
      <c r="L513" s="29">
        <v>0</v>
      </c>
      <c r="M513" s="29">
        <v>2</v>
      </c>
      <c r="N513" s="29"/>
      <c r="O513" s="29">
        <v>32265</v>
      </c>
      <c r="P513" s="29">
        <v>26458</v>
      </c>
      <c r="Q513" s="29">
        <v>0</v>
      </c>
      <c r="R513" s="30">
        <v>1620</v>
      </c>
    </row>
    <row r="514" spans="1:18">
      <c r="A514" s="27"/>
      <c r="B514" s="28">
        <v>510</v>
      </c>
      <c r="C514" s="1">
        <f>30000000+INDEX(编号表!$B:$B,MATCH(G514,编号表!$A:$A,0))*100000+INDEX(编号表!$F:$F,MATCH(H514,编号表!$E:$E,0))*1000+INDEX(编号表!$D:$D,MATCH(F514,编号表!$C:$C,0))*10000+E514</f>
        <v>31351004</v>
      </c>
      <c r="D514" s="23" t="s">
        <v>574</v>
      </c>
      <c r="E514" s="23">
        <v>4</v>
      </c>
      <c r="F514" s="23" t="s">
        <v>569</v>
      </c>
      <c r="G514" s="23" t="s">
        <v>45</v>
      </c>
      <c r="H514" s="23" t="s">
        <v>43</v>
      </c>
      <c r="I514" s="23" t="s">
        <v>52</v>
      </c>
      <c r="J514" s="23"/>
      <c r="K514" s="23"/>
      <c r="L514" s="29">
        <v>0</v>
      </c>
      <c r="M514" s="29">
        <v>-1</v>
      </c>
      <c r="N514" s="29"/>
      <c r="O514" s="29">
        <v>32265</v>
      </c>
      <c r="P514" s="29">
        <v>21941</v>
      </c>
      <c r="Q514" s="29">
        <v>0</v>
      </c>
      <c r="R514" s="30">
        <v>3915</v>
      </c>
    </row>
    <row r="515" spans="1:18">
      <c r="A515" s="27"/>
      <c r="B515" s="28">
        <v>511</v>
      </c>
      <c r="C515" s="1">
        <f>30000000+INDEX(编号表!$B:$B,MATCH(G515,编号表!$A:$A,0))*100000+INDEX(编号表!$F:$F,MATCH(H515,编号表!$E:$E,0))*1000+INDEX(编号表!$D:$D,MATCH(F515,编号表!$C:$C,0))*10000+E515</f>
        <v>31351005</v>
      </c>
      <c r="D515" s="23" t="inlineStr">
        <is>
          <t xml:space="preserve">千载沸泉苔·凡株</t>
        </is>
      </c>
      <c r="E515" s="23">
        <v>5</v>
      </c>
      <c r="F515" s="23" t="s">
        <v>569</v>
      </c>
      <c r="G515" s="23" t="s">
        <v>45</v>
      </c>
      <c r="H515" s="23" t="s">
        <v>43</v>
      </c>
      <c r="I515" s="23" t="s">
        <v>52</v>
      </c>
      <c r="J515" s="23"/>
      <c r="K515" s="23"/>
      <c r="L515" s="29">
        <v>0</v>
      </c>
      <c r="M515" s="29">
        <v>4</v>
      </c>
      <c r="N515" s="29"/>
      <c r="O515" s="29">
        <v>33372</v>
      </c>
      <c r="P515" s="29">
        <v>27366</v>
      </c>
      <c r="Q515" s="29">
        <v>0</v>
      </c>
      <c r="R515" s="30">
        <v>7020</v>
      </c>
    </row>
    <row r="516" spans="1:18">
      <c r="A516" s="27"/>
      <c r="B516" s="28">
        <v>512</v>
      </c>
      <c r="C516" s="1">
        <f>30000000+INDEX(编号表!$B:$B,MATCH(G516,编号表!$A:$A,0))*100000+INDEX(编号表!$F:$F,MATCH(H516,编号表!$E:$E,0))*1000+INDEX(编号表!$D:$D,MATCH(F516,编号表!$C:$C,0))*10000+E516</f>
        <v>31351006</v>
      </c>
      <c r="D516" s="23" t="inlineStr">
        <is>
          <t xml:space="preserve">千载丹露花·凡株</t>
        </is>
      </c>
      <c r="E516" s="23">
        <v>6</v>
      </c>
      <c r="F516" s="23" t="s">
        <v>569</v>
      </c>
      <c r="G516" s="23" t="s">
        <v>45</v>
      </c>
      <c r="H516" s="23" t="s">
        <v>43</v>
      </c>
      <c r="I516" s="23" t="s">
        <v>55</v>
      </c>
      <c r="J516" s="23"/>
      <c r="K516" s="23"/>
      <c r="L516" s="29">
        <v>0</v>
      </c>
      <c r="M516" s="29">
        <v>-1</v>
      </c>
      <c r="N516" s="29"/>
      <c r="O516" s="29">
        <v>33372</v>
      </c>
      <c r="P516" s="29">
        <v>9345</v>
      </c>
      <c r="Q516" s="29">
        <v>0</v>
      </c>
      <c r="R516" s="30">
        <v>11340</v>
      </c>
    </row>
    <row r="517" spans="1:18">
      <c r="A517" s="27"/>
      <c r="B517" s="28">
        <v>513</v>
      </c>
      <c r="C517" s="1">
        <f>30000000+INDEX(编号表!$B:$B,MATCH(G517,编号表!$A:$A,0))*100000+INDEX(编号表!$F:$F,MATCH(H517,编号表!$E:$E,0))*1000+INDEX(编号表!$D:$D,MATCH(F517,编号表!$C:$C,0))*10000+E517</f>
        <v>31351007</v>
      </c>
      <c r="D517" s="23" t="s">
        <v>577</v>
      </c>
      <c r="E517" s="23">
        <v>7</v>
      </c>
      <c r="F517" s="23" t="s">
        <v>569</v>
      </c>
      <c r="G517" s="23" t="s">
        <v>45</v>
      </c>
      <c r="H517" s="23" t="s">
        <v>43</v>
      </c>
      <c r="I517" s="23" t="s">
        <v>55</v>
      </c>
      <c r="J517" s="23"/>
      <c r="K517" s="23"/>
      <c r="L517" s="29">
        <v>0</v>
      </c>
      <c r="M517" s="29">
        <v>2</v>
      </c>
      <c r="N517" s="29"/>
      <c r="O517" s="29">
        <v>32265</v>
      </c>
      <c r="P517" s="29">
        <v>26458</v>
      </c>
      <c r="Q517" s="29">
        <v>0</v>
      </c>
      <c r="R517" s="30">
        <v>1620</v>
      </c>
    </row>
    <row r="518" spans="1:18">
      <c r="A518" s="27"/>
      <c r="B518" s="28">
        <v>514</v>
      </c>
      <c r="C518" s="1">
        <f>30000000+INDEX(编号表!$B:$B,MATCH(G518,编号表!$A:$A,0))*100000+INDEX(编号表!$F:$F,MATCH(H518,编号表!$E:$E,0))*1000+INDEX(编号表!$D:$D,MATCH(F518,编号表!$C:$C,0))*10000+E518</f>
        <v>31351008</v>
      </c>
      <c r="D518" s="23" t="s">
        <v>578</v>
      </c>
      <c r="E518" s="23">
        <v>8</v>
      </c>
      <c r="F518" s="23" t="s">
        <v>569</v>
      </c>
      <c r="G518" s="23" t="s">
        <v>45</v>
      </c>
      <c r="H518" s="23" t="s">
        <v>43</v>
      </c>
      <c r="I518" s="23" t="s">
        <v>58</v>
      </c>
      <c r="J518" s="23"/>
      <c r="K518" s="23"/>
      <c r="L518" s="29">
        <v>0</v>
      </c>
      <c r="M518" s="29">
        <v>-2</v>
      </c>
      <c r="N518" s="29"/>
      <c r="O518" s="29">
        <v>32265</v>
      </c>
      <c r="P518" s="29">
        <v>17746</v>
      </c>
      <c r="Q518" s="29">
        <v>0</v>
      </c>
      <c r="R518" s="30">
        <v>3780</v>
      </c>
    </row>
    <row r="519" spans="1:18">
      <c r="A519" s="27"/>
      <c r="B519" s="28">
        <v>515</v>
      </c>
      <c r="C519" s="1">
        <f>30000000+INDEX(编号表!$B:$B,MATCH(G519,编号表!$A:$A,0))*100000+INDEX(编号表!$F:$F,MATCH(H519,编号表!$E:$E,0))*1000+INDEX(编号表!$D:$D,MATCH(F519,编号表!$C:$C,0))*10000+E519</f>
        <v>31351009</v>
      </c>
      <c r="D519" s="23" t="s">
        <v>579</v>
      </c>
      <c r="E519" s="23">
        <v>9</v>
      </c>
      <c r="F519" s="23" t="s">
        <v>569</v>
      </c>
      <c r="G519" s="23" t="s">
        <v>45</v>
      </c>
      <c r="H519" s="23" t="s">
        <v>43</v>
      </c>
      <c r="I519" s="23" t="s">
        <v>58</v>
      </c>
      <c r="J519" s="23"/>
      <c r="K519" s="23"/>
      <c r="L519" s="29">
        <v>0</v>
      </c>
      <c r="M519" s="29">
        <v>1</v>
      </c>
      <c r="N519" s="29"/>
      <c r="O519" s="29">
        <v>30591</v>
      </c>
      <c r="P519" s="29">
        <v>11013</v>
      </c>
      <c r="Q519" s="29">
        <v>0</v>
      </c>
      <c r="R519" s="30">
        <v>5265</v>
      </c>
    </row>
    <row r="520" spans="1:18">
      <c r="A520" s="27"/>
      <c r="B520" s="28">
        <v>516</v>
      </c>
      <c r="C520" s="1">
        <f>30000000+INDEX(编号表!$B:$B,MATCH(G520,编号表!$A:$A,0))*100000+INDEX(编号表!$F:$F,MATCH(H520,编号表!$E:$E,0))*1000+INDEX(编号表!$D:$D,MATCH(F520,编号表!$C:$C,0))*10000+E520</f>
        <v>31551000</v>
      </c>
      <c r="D520" s="23" t="inlineStr">
        <is>
          <t xml:space="preserve">千载霜辛草·凡株</t>
        </is>
      </c>
      <c r="E520" s="23">
        <v>0</v>
      </c>
      <c r="F520" s="23" t="s">
        <v>569</v>
      </c>
      <c r="G520" s="23" t="s">
        <v>61</v>
      </c>
      <c r="H520" s="23" t="s">
        <v>43</v>
      </c>
      <c r="I520" s="23"/>
      <c r="J520" s="23" t="s">
        <v>62</v>
      </c>
      <c r="K520" s="23"/>
      <c r="L520" s="29">
        <v>0</v>
      </c>
      <c r="M520" s="29">
        <v>-2</v>
      </c>
      <c r="N520" s="29"/>
      <c r="O520" s="29">
        <v>32265</v>
      </c>
      <c r="P520" s="29">
        <v>17746</v>
      </c>
      <c r="Q520" s="29">
        <v>0</v>
      </c>
      <c r="R520" s="30">
        <v>3780</v>
      </c>
    </row>
    <row r="521" spans="1:18">
      <c r="A521" s="27"/>
      <c r="B521" s="28">
        <v>517</v>
      </c>
      <c r="C521" s="1">
        <f>30000000+INDEX(编号表!$B:$B,MATCH(G521,编号表!$A:$A,0))*100000+INDEX(编号表!$F:$F,MATCH(H521,编号表!$E:$E,0))*1000+INDEX(编号表!$D:$D,MATCH(F521,编号表!$C:$C,0))*10000+E521</f>
        <v>31551001</v>
      </c>
      <c r="D521" s="23" t="s">
        <v>581</v>
      </c>
      <c r="E521" s="23">
        <v>1</v>
      </c>
      <c r="F521" s="23" t="s">
        <v>569</v>
      </c>
      <c r="G521" s="23" t="s">
        <v>61</v>
      </c>
      <c r="H521" s="23" t="s">
        <v>43</v>
      </c>
      <c r="I521" s="23"/>
      <c r="J521" s="23" t="s">
        <v>62</v>
      </c>
      <c r="K521" s="23"/>
      <c r="L521" s="29">
        <v>0</v>
      </c>
      <c r="M521" s="29">
        <v>3</v>
      </c>
      <c r="N521" s="29"/>
      <c r="O521" s="29">
        <v>34479</v>
      </c>
      <c r="P521" s="29">
        <v>23446</v>
      </c>
      <c r="Q521" s="29">
        <v>0</v>
      </c>
      <c r="R521" s="30">
        <v>4860</v>
      </c>
    </row>
    <row r="522" spans="1:18">
      <c r="A522" s="27"/>
      <c r="B522" s="28">
        <v>518</v>
      </c>
      <c r="C522" s="1">
        <f>30000000+INDEX(编号表!$B:$B,MATCH(G522,编号表!$A:$A,0))*100000+INDEX(编号表!$F:$F,MATCH(H522,编号表!$E:$E,0))*1000+INDEX(编号表!$D:$D,MATCH(F522,编号表!$C:$C,0))*10000+E522</f>
        <v>31551002</v>
      </c>
      <c r="D522" s="23" t="s">
        <v>582</v>
      </c>
      <c r="E522" s="23">
        <v>2</v>
      </c>
      <c r="F522" s="23" t="s">
        <v>569</v>
      </c>
      <c r="G522" s="23" t="s">
        <v>61</v>
      </c>
      <c r="H522" s="23" t="s">
        <v>43</v>
      </c>
      <c r="I522" s="23"/>
      <c r="J522" s="23" t="s">
        <v>65</v>
      </c>
      <c r="K522" s="23"/>
      <c r="L522" s="29">
        <v>0</v>
      </c>
      <c r="M522" s="29">
        <v>-1</v>
      </c>
      <c r="N522" s="29"/>
      <c r="O522" s="29">
        <v>30591</v>
      </c>
      <c r="P522" s="29">
        <v>11013</v>
      </c>
      <c r="Q522" s="29">
        <v>0</v>
      </c>
      <c r="R522" s="30">
        <v>5265</v>
      </c>
    </row>
    <row r="523" spans="1:18">
      <c r="A523" s="27"/>
      <c r="B523" s="28">
        <v>519</v>
      </c>
      <c r="C523" s="1">
        <f>30000000+INDEX(编号表!$B:$B,MATCH(G523,编号表!$A:$A,0))*100000+INDEX(编号表!$F:$F,MATCH(H523,编号表!$E:$E,0))*1000+INDEX(编号表!$D:$D,MATCH(F523,编号表!$C:$C,0))*10000+E523</f>
        <v>31551003</v>
      </c>
      <c r="D523" s="23" t="s">
        <v>583</v>
      </c>
      <c r="E523" s="23">
        <v>3</v>
      </c>
      <c r="F523" s="23" t="s">
        <v>569</v>
      </c>
      <c r="G523" s="23" t="s">
        <v>61</v>
      </c>
      <c r="H523" s="23" t="s">
        <v>43</v>
      </c>
      <c r="I523" s="23"/>
      <c r="J523" s="23" t="s">
        <v>65</v>
      </c>
      <c r="K523" s="23"/>
      <c r="L523" s="29">
        <v>0</v>
      </c>
      <c r="M523" s="29">
        <v>2</v>
      </c>
      <c r="N523" s="29"/>
      <c r="O523" s="29">
        <v>32265</v>
      </c>
      <c r="P523" s="29">
        <v>26458</v>
      </c>
      <c r="Q523" s="29">
        <v>0</v>
      </c>
      <c r="R523" s="30">
        <v>1620</v>
      </c>
    </row>
    <row r="524" spans="1:18">
      <c r="A524" s="27"/>
      <c r="B524" s="28">
        <v>520</v>
      </c>
      <c r="C524" s="1">
        <f>30000000+INDEX(编号表!$B:$B,MATCH(G524,编号表!$A:$A,0))*100000+INDEX(编号表!$F:$F,MATCH(H524,编号表!$E:$E,0))*1000+INDEX(编号表!$D:$D,MATCH(F524,编号表!$C:$C,0))*10000+E524</f>
        <v>31551004</v>
      </c>
      <c r="D524" s="23" t="s">
        <v>584</v>
      </c>
      <c r="E524" s="23">
        <v>4</v>
      </c>
      <c r="F524" s="23" t="s">
        <v>569</v>
      </c>
      <c r="G524" s="23" t="s">
        <v>61</v>
      </c>
      <c r="H524" s="23" t="s">
        <v>43</v>
      </c>
      <c r="I524" s="23"/>
      <c r="J524" s="23" t="s">
        <v>68</v>
      </c>
      <c r="K524" s="23"/>
      <c r="L524" s="29">
        <v>0</v>
      </c>
      <c r="M524" s="29">
        <v>-1</v>
      </c>
      <c r="N524" s="29"/>
      <c r="O524" s="29">
        <v>32265</v>
      </c>
      <c r="P524" s="29">
        <v>21941</v>
      </c>
      <c r="Q524" s="29">
        <v>0</v>
      </c>
      <c r="R524" s="30">
        <v>3915</v>
      </c>
    </row>
    <row r="525" spans="1:18">
      <c r="A525" s="27"/>
      <c r="B525" s="28">
        <v>521</v>
      </c>
      <c r="C525" s="1">
        <f>30000000+INDEX(编号表!$B:$B,MATCH(G525,编号表!$A:$A,0))*100000+INDEX(编号表!$F:$F,MATCH(H525,编号表!$E:$E,0))*1000+INDEX(编号表!$D:$D,MATCH(F525,编号表!$C:$C,0))*10000+E525</f>
        <v>31551005</v>
      </c>
      <c r="D525" s="23" t="s">
        <v>585</v>
      </c>
      <c r="E525" s="23">
        <v>5</v>
      </c>
      <c r="F525" s="23" t="s">
        <v>569</v>
      </c>
      <c r="G525" s="23" t="s">
        <v>61</v>
      </c>
      <c r="H525" s="23" t="s">
        <v>43</v>
      </c>
      <c r="I525" s="23"/>
      <c r="J525" s="23" t="s">
        <v>68</v>
      </c>
      <c r="K525" s="23"/>
      <c r="L525" s="29">
        <v>0</v>
      </c>
      <c r="M525" s="29">
        <v>4</v>
      </c>
      <c r="N525" s="29"/>
      <c r="O525" s="29">
        <v>33372</v>
      </c>
      <c r="P525" s="29">
        <v>27366</v>
      </c>
      <c r="Q525" s="29">
        <v>0</v>
      </c>
      <c r="R525" s="30">
        <v>7020</v>
      </c>
    </row>
    <row r="526" spans="1:18">
      <c r="A526" s="27"/>
      <c r="B526" s="28">
        <v>522</v>
      </c>
      <c r="C526" s="1">
        <f>30000000+INDEX(编号表!$B:$B,MATCH(G526,编号表!$A:$A,0))*100000+INDEX(编号表!$F:$F,MATCH(H526,编号表!$E:$E,0))*1000+INDEX(编号表!$D:$D,MATCH(F526,编号表!$C:$C,0))*10000+E526</f>
        <v>31551006</v>
      </c>
      <c r="D526" s="23" t="s">
        <v>586</v>
      </c>
      <c r="E526" s="23">
        <v>6</v>
      </c>
      <c r="F526" s="23" t="s">
        <v>569</v>
      </c>
      <c r="G526" s="23" t="s">
        <v>61</v>
      </c>
      <c r="H526" s="23" t="s">
        <v>43</v>
      </c>
      <c r="I526" s="23"/>
      <c r="J526" s="23" t="s">
        <v>71</v>
      </c>
      <c r="K526" s="23"/>
      <c r="L526" s="29">
        <v>0</v>
      </c>
      <c r="M526" s="29">
        <v>-1</v>
      </c>
      <c r="N526" s="29"/>
      <c r="O526" s="29">
        <v>33372</v>
      </c>
      <c r="P526" s="29">
        <v>9345</v>
      </c>
      <c r="Q526" s="29">
        <v>0</v>
      </c>
      <c r="R526" s="30">
        <v>11340</v>
      </c>
    </row>
    <row r="527" spans="1:18">
      <c r="A527" s="27"/>
      <c r="B527" s="28">
        <v>523</v>
      </c>
      <c r="C527" s="1">
        <f>30000000+INDEX(编号表!$B:$B,MATCH(G527,编号表!$A:$A,0))*100000+INDEX(编号表!$F:$F,MATCH(H527,编号表!$E:$E,0))*1000+INDEX(编号表!$D:$D,MATCH(F527,编号表!$C:$C,0))*10000+E527</f>
        <v>31551007</v>
      </c>
      <c r="D527" s="23" t="s">
        <v>587</v>
      </c>
      <c r="E527" s="23">
        <v>7</v>
      </c>
      <c r="F527" s="23" t="s">
        <v>569</v>
      </c>
      <c r="G527" s="23" t="s">
        <v>61</v>
      </c>
      <c r="H527" s="23" t="s">
        <v>43</v>
      </c>
      <c r="I527" s="23"/>
      <c r="J527" s="23" t="s">
        <v>71</v>
      </c>
      <c r="K527" s="23"/>
      <c r="L527" s="29">
        <v>0</v>
      </c>
      <c r="M527" s="29">
        <v>2</v>
      </c>
      <c r="N527" s="29"/>
      <c r="O527" s="29">
        <v>32265</v>
      </c>
      <c r="P527" s="29">
        <v>26458</v>
      </c>
      <c r="Q527" s="29">
        <v>0</v>
      </c>
      <c r="R527" s="30">
        <v>1620</v>
      </c>
    </row>
    <row r="528" spans="1:18">
      <c r="A528" s="27"/>
      <c r="B528" s="28">
        <v>524</v>
      </c>
      <c r="C528" s="1">
        <f>30000000+INDEX(编号表!$B:$B,MATCH(G528,编号表!$A:$A,0))*100000+INDEX(编号表!$F:$F,MATCH(H528,编号表!$E:$E,0))*1000+INDEX(编号表!$D:$D,MATCH(F528,编号表!$C:$C,0))*10000+E528</f>
        <v>31551008</v>
      </c>
      <c r="D528" s="23" t="s">
        <v>588</v>
      </c>
      <c r="E528" s="23">
        <v>8</v>
      </c>
      <c r="F528" s="23" t="s">
        <v>569</v>
      </c>
      <c r="G528" s="23" t="s">
        <v>61</v>
      </c>
      <c r="H528" s="23" t="s">
        <v>43</v>
      </c>
      <c r="I528" s="23"/>
      <c r="J528" s="23" t="s">
        <v>74</v>
      </c>
      <c r="K528" s="23"/>
      <c r="L528" s="29">
        <v>0</v>
      </c>
      <c r="M528" s="29">
        <v>-2</v>
      </c>
      <c r="N528" s="29"/>
      <c r="O528" s="29">
        <v>32265</v>
      </c>
      <c r="P528" s="29">
        <v>17746</v>
      </c>
      <c r="Q528" s="29">
        <v>0</v>
      </c>
      <c r="R528" s="30">
        <v>3780</v>
      </c>
    </row>
    <row r="529" spans="1:18">
      <c r="A529" s="27"/>
      <c r="B529" s="28">
        <v>525</v>
      </c>
      <c r="C529" s="1">
        <f>30000000+INDEX(编号表!$B:$B,MATCH(G529,编号表!$A:$A,0))*100000+INDEX(编号表!$F:$F,MATCH(H529,编号表!$E:$E,0))*1000+INDEX(编号表!$D:$D,MATCH(F529,编号表!$C:$C,0))*10000+E529</f>
        <v>31551009</v>
      </c>
      <c r="D529" s="23" t="s">
        <v>589</v>
      </c>
      <c r="E529" s="23">
        <v>9</v>
      </c>
      <c r="F529" s="23" t="s">
        <v>569</v>
      </c>
      <c r="G529" s="23" t="s">
        <v>61</v>
      </c>
      <c r="H529" s="23" t="s">
        <v>43</v>
      </c>
      <c r="I529" s="23"/>
      <c r="J529" s="23" t="s">
        <v>74</v>
      </c>
      <c r="K529" s="23"/>
      <c r="L529" s="29">
        <v>0</v>
      </c>
      <c r="M529" s="29">
        <v>1</v>
      </c>
      <c r="N529" s="29"/>
      <c r="O529" s="29">
        <v>30591</v>
      </c>
      <c r="P529" s="29">
        <v>11013</v>
      </c>
      <c r="Q529" s="29">
        <v>0</v>
      </c>
      <c r="R529" s="30">
        <v>5265</v>
      </c>
    </row>
    <row r="530" spans="1:18">
      <c r="A530" s="27"/>
      <c r="B530" s="28">
        <v>526</v>
      </c>
      <c r="C530" s="1">
        <f>30000000+INDEX(编号表!$B:$B,MATCH(G530,编号表!$A:$A,0))*100000+INDEX(编号表!$F:$F,MATCH(H530,编号表!$E:$E,0))*1000+INDEX(编号表!$D:$D,MATCH(F530,编号表!$C:$C,0))*10000+E530</f>
        <v>31451000</v>
      </c>
      <c r="D530" s="23" t="s">
        <v>590</v>
      </c>
      <c r="E530" s="23">
        <v>0</v>
      </c>
      <c r="F530" s="23" t="s">
        <v>569</v>
      </c>
      <c r="G530" s="23" t="s">
        <v>77</v>
      </c>
      <c r="H530" s="23" t="s">
        <v>43</v>
      </c>
      <c r="I530" s="23"/>
      <c r="J530" s="23"/>
      <c r="K530" s="23"/>
      <c r="L530" s="29">
        <v>0</v>
      </c>
      <c r="M530" s="29">
        <v>0</v>
      </c>
      <c r="N530" s="29"/>
      <c r="O530" s="29">
        <v>30591</v>
      </c>
      <c r="P530" s="29">
        <v>8566</v>
      </c>
      <c r="Q530" s="29">
        <v>0</v>
      </c>
      <c r="R530" s="30">
        <v>6210</v>
      </c>
    </row>
    <row r="531" spans="1:18">
      <c r="A531" s="27"/>
      <c r="B531" s="28">
        <v>527</v>
      </c>
      <c r="C531" s="1">
        <f>30000000+INDEX(编号表!$B:$B,MATCH(G531,编号表!$A:$A,0))*100000+INDEX(编号表!$F:$F,MATCH(H531,编号表!$E:$E,0))*1000+INDEX(编号表!$D:$D,MATCH(F531,编号表!$C:$C,0))*10000+E531</f>
        <v>31451001</v>
      </c>
      <c r="D531" s="23" t="s">
        <v>591</v>
      </c>
      <c r="E531" s="23">
        <v>1</v>
      </c>
      <c r="F531" s="23" t="s">
        <v>569</v>
      </c>
      <c r="G531" s="23" t="s">
        <v>77</v>
      </c>
      <c r="H531" s="23" t="s">
        <v>43</v>
      </c>
      <c r="I531" s="23"/>
      <c r="J531" s="23"/>
      <c r="K531" s="23"/>
      <c r="L531" s="29">
        <v>0</v>
      </c>
      <c r="M531" s="29">
        <v>0</v>
      </c>
      <c r="N531" s="29"/>
      <c r="O531" s="29">
        <v>34479</v>
      </c>
      <c r="P531" s="29">
        <v>28273</v>
      </c>
      <c r="Q531" s="29">
        <v>0</v>
      </c>
      <c r="R531" s="30">
        <v>2160</v>
      </c>
    </row>
    <row r="532" spans="1:18">
      <c r="A532" s="27"/>
      <c r="B532" s="28">
        <v>528</v>
      </c>
      <c r="C532" s="1">
        <f>30000000+INDEX(编号表!$B:$B,MATCH(G532,编号表!$A:$A,0))*100000+INDEX(编号表!$F:$F,MATCH(H532,编号表!$E:$E,0))*1000+INDEX(编号表!$D:$D,MATCH(F532,编号表!$C:$C,0))*10000+E532</f>
        <v>31451002</v>
      </c>
      <c r="D532" s="23" t="s">
        <v>592</v>
      </c>
      <c r="E532" s="23">
        <v>2</v>
      </c>
      <c r="F532" s="23" t="s">
        <v>569</v>
      </c>
      <c r="G532" s="23" t="s">
        <v>77</v>
      </c>
      <c r="H532" s="23" t="s">
        <v>43</v>
      </c>
      <c r="I532" s="23"/>
      <c r="J532" s="23"/>
      <c r="K532" s="23"/>
      <c r="L532" s="29">
        <v>0</v>
      </c>
      <c r="M532" s="29">
        <v>1</v>
      </c>
      <c r="N532" s="29"/>
      <c r="O532" s="29">
        <v>33372</v>
      </c>
      <c r="P532" s="29">
        <v>9345</v>
      </c>
      <c r="Q532" s="29">
        <v>0</v>
      </c>
      <c r="R532" s="30">
        <v>11340</v>
      </c>
    </row>
    <row r="533" spans="1:18">
      <c r="A533" s="27"/>
      <c r="B533" s="28">
        <v>529</v>
      </c>
      <c r="C533" s="1">
        <f>30000000+INDEX(编号表!$B:$B,MATCH(G533,编号表!$A:$A,0))*100000+INDEX(编号表!$F:$F,MATCH(H533,编号表!$E:$E,0))*1000+INDEX(编号表!$D:$D,MATCH(F533,编号表!$C:$C,0))*10000+E533</f>
        <v>31451003</v>
      </c>
      <c r="D533" s="23" t="s">
        <v>593</v>
      </c>
      <c r="E533" s="23">
        <v>3</v>
      </c>
      <c r="F533" s="23" t="s">
        <v>569</v>
      </c>
      <c r="G533" s="23" t="s">
        <v>77</v>
      </c>
      <c r="H533" s="23" t="s">
        <v>43</v>
      </c>
      <c r="I533" s="23"/>
      <c r="J533" s="23"/>
      <c r="K533" s="23"/>
      <c r="L533" s="29">
        <v>0</v>
      </c>
      <c r="M533" s="29">
        <v>4</v>
      </c>
      <c r="N533" s="29"/>
      <c r="O533" s="29">
        <v>33372</v>
      </c>
      <c r="P533" s="29">
        <v>27366</v>
      </c>
      <c r="Q533" s="29">
        <v>0</v>
      </c>
      <c r="R533" s="30">
        <v>7020</v>
      </c>
    </row>
    <row r="534" spans="1:18">
      <c r="A534" s="27"/>
      <c r="B534" s="28">
        <v>530</v>
      </c>
      <c r="C534" s="1">
        <f>30000000+INDEX(编号表!$B:$B,MATCH(G534,编号表!$A:$A,0))*100000+INDEX(编号表!$F:$F,MATCH(H534,编号表!$E:$E,0))*1000+INDEX(编号表!$D:$D,MATCH(F534,编号表!$C:$C,0))*10000+E534</f>
        <v>31651000</v>
      </c>
      <c r="D534" s="23" t="s">
        <v>594</v>
      </c>
      <c r="E534" s="23">
        <v>0</v>
      </c>
      <c r="F534" s="23" t="s">
        <v>569</v>
      </c>
      <c r="G534" s="23" t="s">
        <v>82</v>
      </c>
      <c r="H534" s="23" t="s">
        <v>43</v>
      </c>
      <c r="I534" s="23"/>
      <c r="J534" s="23"/>
      <c r="K534" s="23"/>
      <c r="L534" s="29">
        <v>7</v>
      </c>
      <c r="M534" s="29">
        <v>0</v>
      </c>
      <c r="N534" s="29"/>
      <c r="O534" s="29">
        <v>0</v>
      </c>
      <c r="P534" s="29">
        <v>0</v>
      </c>
      <c r="Q534" s="29">
        <v>0</v>
      </c>
      <c r="R534" s="30">
        <v>3240</v>
      </c>
    </row>
    <row r="535" spans="1:18">
      <c r="A535" s="27"/>
      <c r="B535" s="28">
        <v>531</v>
      </c>
      <c r="C535" s="1">
        <f>30000000+INDEX(编号表!$B:$B,MATCH(G535,编号表!$A:$A,0))*100000+INDEX(编号表!$F:$F,MATCH(H535,编号表!$E:$E,0))*1000+INDEX(编号表!$D:$D,MATCH(F535,编号表!$C:$C,0))*10000+E535</f>
        <v>31651001</v>
      </c>
      <c r="D535" s="23" t="s">
        <v>595</v>
      </c>
      <c r="E535" s="23">
        <v>1</v>
      </c>
      <c r="F535" s="23" t="s">
        <v>569</v>
      </c>
      <c r="G535" s="23" t="s">
        <v>82</v>
      </c>
      <c r="H535" s="23" t="s">
        <v>43</v>
      </c>
      <c r="I535" s="23"/>
      <c r="J535" s="23"/>
      <c r="K535" s="23"/>
      <c r="L535" s="29">
        <v>8</v>
      </c>
      <c r="M535" s="29">
        <v>0</v>
      </c>
      <c r="N535" s="29"/>
      <c r="O535" s="29">
        <v>0</v>
      </c>
      <c r="P535" s="29">
        <v>0</v>
      </c>
      <c r="Q535" s="29">
        <v>0</v>
      </c>
      <c r="R535" s="30">
        <v>5940</v>
      </c>
    </row>
    <row r="536" spans="1:18">
      <c r="A536" s="27"/>
      <c r="B536" s="28">
        <v>532</v>
      </c>
      <c r="C536" s="1">
        <f>30000000+INDEX(编号表!$B:$B,MATCH(G536,编号表!$A:$A,0))*100000+INDEX(编号表!$F:$F,MATCH(H536,编号表!$E:$E,0))*1000+INDEX(编号表!$D:$D,MATCH(F536,编号表!$C:$C,0))*10000+E536</f>
        <v>31651002</v>
      </c>
      <c r="D536" s="23" t="s">
        <v>596</v>
      </c>
      <c r="E536" s="23">
        <v>2</v>
      </c>
      <c r="F536" s="23" t="s">
        <v>569</v>
      </c>
      <c r="G536" s="23" t="s">
        <v>82</v>
      </c>
      <c r="H536" s="23" t="s">
        <v>43</v>
      </c>
      <c r="I536" s="23"/>
      <c r="J536" s="23"/>
      <c r="K536" s="23"/>
      <c r="L536" s="29">
        <v>9</v>
      </c>
      <c r="M536" s="29">
        <v>0</v>
      </c>
      <c r="N536" s="29"/>
      <c r="O536" s="29">
        <v>0</v>
      </c>
      <c r="P536" s="29">
        <v>0</v>
      </c>
      <c r="Q536" s="29">
        <v>0</v>
      </c>
      <c r="R536" s="30">
        <v>9180</v>
      </c>
    </row>
    <row r="537" spans="1:18">
      <c r="A537" s="27"/>
      <c r="B537" s="28">
        <v>533</v>
      </c>
      <c r="C537" s="1">
        <f>30000000+INDEX(编号表!$B:$B,MATCH(G537,编号表!$A:$A,0))*100000+INDEX(编号表!$F:$F,MATCH(H537,编号表!$E:$E,0))*1000+INDEX(编号表!$D:$D,MATCH(F537,编号表!$C:$C,0))*10000+E537</f>
        <v>31252000</v>
      </c>
      <c r="D537" s="23" t="s">
        <v>597</v>
      </c>
      <c r="E537" s="23">
        <v>0</v>
      </c>
      <c r="F537" s="23" t="s">
        <v>569</v>
      </c>
      <c r="G537" s="23" t="s">
        <v>42</v>
      </c>
      <c r="H537" s="23" t="s">
        <v>86</v>
      </c>
      <c r="I537" s="23"/>
      <c r="J537" s="23"/>
      <c r="K537" s="23"/>
      <c r="L537" s="29">
        <v>0</v>
      </c>
      <c r="M537" s="29">
        <v>0</v>
      </c>
      <c r="N537" s="29"/>
      <c r="O537" s="29">
        <v>97200</v>
      </c>
      <c r="P537" s="29">
        <v>51857</v>
      </c>
      <c r="Q537" s="29">
        <v>486000</v>
      </c>
      <c r="R537" s="30">
        <v>8748</v>
      </c>
    </row>
    <row r="538" spans="1:18">
      <c r="A538" s="27"/>
      <c r="B538" s="28">
        <v>534</v>
      </c>
      <c r="C538" s="1">
        <f>30000000+INDEX(编号表!$B:$B,MATCH(G538,编号表!$A:$A,0))*100000+INDEX(编号表!$F:$F,MATCH(H538,编号表!$E:$E,0))*1000+INDEX(编号表!$D:$D,MATCH(F538,编号表!$C:$C,0))*10000+E538</f>
        <v>31352000</v>
      </c>
      <c r="D538" s="23" t="s">
        <v>598</v>
      </c>
      <c r="E538" s="23">
        <v>0</v>
      </c>
      <c r="F538" s="23" t="s">
        <v>569</v>
      </c>
      <c r="G538" s="23" t="s">
        <v>45</v>
      </c>
      <c r="H538" s="23" t="s">
        <v>86</v>
      </c>
      <c r="I538" s="23" t="s">
        <v>46</v>
      </c>
      <c r="J538" s="23"/>
      <c r="K538" s="23"/>
      <c r="L538" s="29">
        <v>0</v>
      </c>
      <c r="M538" s="29">
        <v>-2</v>
      </c>
      <c r="N538" s="29"/>
      <c r="O538" s="29">
        <v>58077</v>
      </c>
      <c r="P538" s="29">
        <v>30985</v>
      </c>
      <c r="Q538" s="29">
        <v>0</v>
      </c>
      <c r="R538" s="30">
        <v>6804</v>
      </c>
    </row>
    <row r="539" spans="1:18">
      <c r="A539" s="27"/>
      <c r="B539" s="28">
        <v>535</v>
      </c>
      <c r="C539" s="1">
        <f>30000000+INDEX(编号表!$B:$B,MATCH(G539,编号表!$A:$A,0))*100000+INDEX(编号表!$F:$F,MATCH(H539,编号表!$E:$E,0))*1000+INDEX(编号表!$D:$D,MATCH(F539,编号表!$C:$C,0))*10000+E539</f>
        <v>31352001</v>
      </c>
      <c r="D539" s="23" t="s">
        <v>599</v>
      </c>
      <c r="E539" s="23">
        <v>1</v>
      </c>
      <c r="F539" s="23" t="s">
        <v>569</v>
      </c>
      <c r="G539" s="23" t="s">
        <v>45</v>
      </c>
      <c r="H539" s="23" t="s">
        <v>86</v>
      </c>
      <c r="I539" s="23" t="s">
        <v>46</v>
      </c>
      <c r="J539" s="23"/>
      <c r="K539" s="23"/>
      <c r="L539" s="29">
        <v>0</v>
      </c>
      <c r="M539" s="29">
        <v>3</v>
      </c>
      <c r="N539" s="29"/>
      <c r="O539" s="29">
        <v>62062</v>
      </c>
      <c r="P539" s="29">
        <v>40937</v>
      </c>
      <c r="Q539" s="29">
        <v>0</v>
      </c>
      <c r="R539" s="30">
        <v>8748</v>
      </c>
    </row>
    <row r="540" spans="1:18">
      <c r="A540" s="27"/>
      <c r="B540" s="28">
        <v>536</v>
      </c>
      <c r="C540" s="1">
        <f>30000000+INDEX(编号表!$B:$B,MATCH(G540,编号表!$A:$A,0))*100000+INDEX(编号表!$F:$F,MATCH(H540,编号表!$E:$E,0))*1000+INDEX(编号表!$D:$D,MATCH(F540,编号表!$C:$C,0))*10000+E540</f>
        <v>31352002</v>
      </c>
      <c r="D540" s="23" t="s">
        <v>600</v>
      </c>
      <c r="E540" s="23">
        <v>2</v>
      </c>
      <c r="F540" s="23" t="s">
        <v>569</v>
      </c>
      <c r="G540" s="23" t="s">
        <v>45</v>
      </c>
      <c r="H540" s="23" t="s">
        <v>86</v>
      </c>
      <c r="I540" s="23" t="s">
        <v>49</v>
      </c>
      <c r="J540" s="23"/>
      <c r="K540" s="23"/>
      <c r="L540" s="29">
        <v>0</v>
      </c>
      <c r="M540" s="29">
        <v>-1</v>
      </c>
      <c r="N540" s="29"/>
      <c r="O540" s="29">
        <v>55063</v>
      </c>
      <c r="P540" s="29">
        <v>19228</v>
      </c>
      <c r="Q540" s="29">
        <v>0</v>
      </c>
      <c r="R540" s="30">
        <v>9477</v>
      </c>
    </row>
    <row r="541" spans="1:18">
      <c r="A541" s="27"/>
      <c r="B541" s="28">
        <v>537</v>
      </c>
      <c r="C541" s="1">
        <f>30000000+INDEX(编号表!$B:$B,MATCH(G541,编号表!$A:$A,0))*100000+INDEX(编号表!$F:$F,MATCH(H541,编号表!$E:$E,0))*1000+INDEX(编号表!$D:$D,MATCH(F541,编号表!$C:$C,0))*10000+E541</f>
        <v>31352003</v>
      </c>
      <c r="D541" s="23" t="s">
        <v>601</v>
      </c>
      <c r="E541" s="23">
        <v>3</v>
      </c>
      <c r="F541" s="23" t="s">
        <v>569</v>
      </c>
      <c r="G541" s="23" t="s">
        <v>45</v>
      </c>
      <c r="H541" s="23" t="s">
        <v>86</v>
      </c>
      <c r="I541" s="23" t="s">
        <v>49</v>
      </c>
      <c r="J541" s="23"/>
      <c r="K541" s="23"/>
      <c r="L541" s="29">
        <v>0</v>
      </c>
      <c r="M541" s="29">
        <v>2</v>
      </c>
      <c r="N541" s="29"/>
      <c r="O541" s="29">
        <v>58077</v>
      </c>
      <c r="P541" s="29">
        <v>46195</v>
      </c>
      <c r="Q541" s="29">
        <v>0</v>
      </c>
      <c r="R541" s="30">
        <v>2916</v>
      </c>
    </row>
    <row r="542" spans="1:18">
      <c r="A542" s="27"/>
      <c r="B542" s="28">
        <v>538</v>
      </c>
      <c r="C542" s="1">
        <f>30000000+INDEX(编号表!$B:$B,MATCH(G542,编号表!$A:$A,0))*100000+INDEX(编号表!$F:$F,MATCH(H542,编号表!$E:$E,0))*1000+INDEX(编号表!$D:$D,MATCH(F542,编号表!$C:$C,0))*10000+E542</f>
        <v>31352004</v>
      </c>
      <c r="D542" s="23" t="s">
        <v>602</v>
      </c>
      <c r="E542" s="23">
        <v>4</v>
      </c>
      <c r="F542" s="23" t="s">
        <v>569</v>
      </c>
      <c r="G542" s="23" t="s">
        <v>45</v>
      </c>
      <c r="H542" s="23" t="s">
        <v>86</v>
      </c>
      <c r="I542" s="23" t="s">
        <v>52</v>
      </c>
      <c r="J542" s="23"/>
      <c r="K542" s="23"/>
      <c r="L542" s="29">
        <v>0</v>
      </c>
      <c r="M542" s="29">
        <v>-1</v>
      </c>
      <c r="N542" s="29"/>
      <c r="O542" s="29">
        <v>58077</v>
      </c>
      <c r="P542" s="29">
        <v>38308</v>
      </c>
      <c r="Q542" s="29">
        <v>0</v>
      </c>
      <c r="R542" s="30">
        <v>7047</v>
      </c>
    </row>
    <row r="543" spans="1:18">
      <c r="A543" s="27"/>
      <c r="B543" s="28">
        <v>539</v>
      </c>
      <c r="C543" s="1">
        <f>30000000+INDEX(编号表!$B:$B,MATCH(G543,编号表!$A:$A,0))*100000+INDEX(编号表!$F:$F,MATCH(H543,编号表!$E:$E,0))*1000+INDEX(编号表!$D:$D,MATCH(F543,编号表!$C:$C,0))*10000+E543</f>
        <v>31352005</v>
      </c>
      <c r="D543" s="23" t="inlineStr">
        <is>
          <t xml:space="preserve">千载沸泉苔·灵株</t>
        </is>
      </c>
      <c r="E543" s="23">
        <v>5</v>
      </c>
      <c r="F543" s="23" t="s">
        <v>569</v>
      </c>
      <c r="G543" s="23" t="s">
        <v>45</v>
      </c>
      <c r="H543" s="23" t="s">
        <v>86</v>
      </c>
      <c r="I543" s="23" t="s">
        <v>52</v>
      </c>
      <c r="J543" s="23"/>
      <c r="K543" s="23"/>
      <c r="L543" s="29">
        <v>0</v>
      </c>
      <c r="M543" s="29">
        <v>4</v>
      </c>
      <c r="N543" s="29"/>
      <c r="O543" s="29">
        <v>60069</v>
      </c>
      <c r="P543" s="29">
        <v>47779</v>
      </c>
      <c r="Q543" s="29">
        <v>0</v>
      </c>
      <c r="R543" s="30">
        <v>12636</v>
      </c>
    </row>
    <row r="544" spans="1:18">
      <c r="A544" s="27"/>
      <c r="B544" s="28">
        <v>540</v>
      </c>
      <c r="C544" s="1">
        <f>30000000+INDEX(编号表!$B:$B,MATCH(G544,编号表!$A:$A,0))*100000+INDEX(编号表!$F:$F,MATCH(H544,编号表!$E:$E,0))*1000+INDEX(编号表!$D:$D,MATCH(F544,编号表!$C:$C,0))*10000+E544</f>
        <v>31352006</v>
      </c>
      <c r="D544" s="23" t="inlineStr">
        <is>
          <t xml:space="preserve">千载丹露花·灵株</t>
        </is>
      </c>
      <c r="E544" s="23">
        <v>6</v>
      </c>
      <c r="F544" s="23" t="s">
        <v>569</v>
      </c>
      <c r="G544" s="23" t="s">
        <v>45</v>
      </c>
      <c r="H544" s="23" t="s">
        <v>86</v>
      </c>
      <c r="I544" s="23" t="s">
        <v>55</v>
      </c>
      <c r="J544" s="23"/>
      <c r="K544" s="23"/>
      <c r="L544" s="29">
        <v>0</v>
      </c>
      <c r="M544" s="29">
        <v>-1</v>
      </c>
      <c r="N544" s="29"/>
      <c r="O544" s="29">
        <v>60069</v>
      </c>
      <c r="P544" s="29">
        <v>16315</v>
      </c>
      <c r="Q544" s="29">
        <v>0</v>
      </c>
      <c r="R544" s="30">
        <v>20412</v>
      </c>
    </row>
    <row r="545" spans="1:18">
      <c r="A545" s="27"/>
      <c r="B545" s="28">
        <v>541</v>
      </c>
      <c r="C545" s="1">
        <f>30000000+INDEX(编号表!$B:$B,MATCH(G545,编号表!$A:$A,0))*100000+INDEX(编号表!$F:$F,MATCH(H545,编号表!$E:$E,0))*1000+INDEX(编号表!$D:$D,MATCH(F545,编号表!$C:$C,0))*10000+E545</f>
        <v>31352007</v>
      </c>
      <c r="D545" s="23" t="s">
        <v>605</v>
      </c>
      <c r="E545" s="23">
        <v>7</v>
      </c>
      <c r="F545" s="23" t="s">
        <v>569</v>
      </c>
      <c r="G545" s="23" t="s">
        <v>45</v>
      </c>
      <c r="H545" s="23" t="s">
        <v>86</v>
      </c>
      <c r="I545" s="23" t="s">
        <v>55</v>
      </c>
      <c r="J545" s="23"/>
      <c r="K545" s="23"/>
      <c r="L545" s="29">
        <v>0</v>
      </c>
      <c r="M545" s="29">
        <v>2</v>
      </c>
      <c r="N545" s="29"/>
      <c r="O545" s="29">
        <v>58077</v>
      </c>
      <c r="P545" s="29">
        <v>46195</v>
      </c>
      <c r="Q545" s="29">
        <v>0</v>
      </c>
      <c r="R545" s="30">
        <v>2916</v>
      </c>
    </row>
    <row r="546" spans="1:18">
      <c r="A546" s="27"/>
      <c r="B546" s="28">
        <v>542</v>
      </c>
      <c r="C546" s="1">
        <f>30000000+INDEX(编号表!$B:$B,MATCH(G546,编号表!$A:$A,0))*100000+INDEX(编号表!$F:$F,MATCH(H546,编号表!$E:$E,0))*1000+INDEX(编号表!$D:$D,MATCH(F546,编号表!$C:$C,0))*10000+E546</f>
        <v>31352008</v>
      </c>
      <c r="D546" s="23" t="s">
        <v>606</v>
      </c>
      <c r="E546" s="23">
        <v>8</v>
      </c>
      <c r="F546" s="23" t="s">
        <v>569</v>
      </c>
      <c r="G546" s="23" t="s">
        <v>45</v>
      </c>
      <c r="H546" s="23" t="s">
        <v>86</v>
      </c>
      <c r="I546" s="23" t="s">
        <v>58</v>
      </c>
      <c r="J546" s="23"/>
      <c r="K546" s="23"/>
      <c r="L546" s="29">
        <v>0</v>
      </c>
      <c r="M546" s="29">
        <v>-2</v>
      </c>
      <c r="N546" s="29"/>
      <c r="O546" s="29">
        <v>58077</v>
      </c>
      <c r="P546" s="29">
        <v>30985</v>
      </c>
      <c r="Q546" s="29">
        <v>0</v>
      </c>
      <c r="R546" s="30">
        <v>6804</v>
      </c>
    </row>
    <row r="547" spans="1:18">
      <c r="A547" s="27"/>
      <c r="B547" s="28">
        <v>543</v>
      </c>
      <c r="C547" s="1">
        <f>30000000+INDEX(编号表!$B:$B,MATCH(G547,编号表!$A:$A,0))*100000+INDEX(编号表!$F:$F,MATCH(H547,编号表!$E:$E,0))*1000+INDEX(编号表!$D:$D,MATCH(F547,编号表!$C:$C,0))*10000+E547</f>
        <v>31352009</v>
      </c>
      <c r="D547" s="23" t="s">
        <v>607</v>
      </c>
      <c r="E547" s="23">
        <v>9</v>
      </c>
      <c r="F547" s="23" t="s">
        <v>569</v>
      </c>
      <c r="G547" s="23" t="s">
        <v>45</v>
      </c>
      <c r="H547" s="23" t="s">
        <v>86</v>
      </c>
      <c r="I547" s="23" t="s">
        <v>58</v>
      </c>
      <c r="J547" s="23"/>
      <c r="K547" s="23"/>
      <c r="L547" s="29">
        <v>0</v>
      </c>
      <c r="M547" s="29">
        <v>1</v>
      </c>
      <c r="N547" s="29"/>
      <c r="O547" s="29">
        <v>55063</v>
      </c>
      <c r="P547" s="29">
        <v>19228</v>
      </c>
      <c r="Q547" s="29">
        <v>0</v>
      </c>
      <c r="R547" s="30">
        <v>9477</v>
      </c>
    </row>
    <row r="548" spans="1:18">
      <c r="A548" s="27"/>
      <c r="B548" s="28">
        <v>544</v>
      </c>
      <c r="C548" s="1">
        <f>30000000+INDEX(编号表!$B:$B,MATCH(G548,编号表!$A:$A,0))*100000+INDEX(编号表!$F:$F,MATCH(H548,编号表!$E:$E,0))*1000+INDEX(编号表!$D:$D,MATCH(F548,编号表!$C:$C,0))*10000+E548</f>
        <v>31552000</v>
      </c>
      <c r="D548" s="23" t="inlineStr">
        <is>
          <t xml:space="preserve">千载霜辛草·灵株</t>
        </is>
      </c>
      <c r="E548" s="23">
        <v>0</v>
      </c>
      <c r="F548" s="23" t="s">
        <v>569</v>
      </c>
      <c r="G548" s="23" t="s">
        <v>61</v>
      </c>
      <c r="H548" s="23" t="s">
        <v>86</v>
      </c>
      <c r="I548" s="23"/>
      <c r="J548" s="23" t="s">
        <v>62</v>
      </c>
      <c r="K548" s="23"/>
      <c r="L548" s="29">
        <v>0</v>
      </c>
      <c r="M548" s="29">
        <v>-2</v>
      </c>
      <c r="N548" s="29"/>
      <c r="O548" s="29">
        <v>58077</v>
      </c>
      <c r="P548" s="29">
        <v>30985</v>
      </c>
      <c r="Q548" s="29">
        <v>0</v>
      </c>
      <c r="R548" s="30">
        <v>6804</v>
      </c>
    </row>
    <row r="549" spans="1:18">
      <c r="A549" s="27"/>
      <c r="B549" s="28">
        <v>545</v>
      </c>
      <c r="C549" s="1">
        <f>30000000+INDEX(编号表!$B:$B,MATCH(G549,编号表!$A:$A,0))*100000+INDEX(编号表!$F:$F,MATCH(H549,编号表!$E:$E,0))*1000+INDEX(编号表!$D:$D,MATCH(F549,编号表!$C:$C,0))*10000+E549</f>
        <v>31552001</v>
      </c>
      <c r="D549" s="23" t="s">
        <v>609</v>
      </c>
      <c r="E549" s="23">
        <v>1</v>
      </c>
      <c r="F549" s="23" t="s">
        <v>569</v>
      </c>
      <c r="G549" s="23" t="s">
        <v>61</v>
      </c>
      <c r="H549" s="23" t="s">
        <v>86</v>
      </c>
      <c r="I549" s="23"/>
      <c r="J549" s="23" t="s">
        <v>62</v>
      </c>
      <c r="K549" s="23"/>
      <c r="L549" s="29">
        <v>0</v>
      </c>
      <c r="M549" s="29">
        <v>3</v>
      </c>
      <c r="N549" s="29"/>
      <c r="O549" s="29">
        <v>62062</v>
      </c>
      <c r="P549" s="29">
        <v>40937</v>
      </c>
      <c r="Q549" s="29">
        <v>0</v>
      </c>
      <c r="R549" s="30">
        <v>8748</v>
      </c>
    </row>
    <row r="550" spans="1:18">
      <c r="A550" s="27"/>
      <c r="B550" s="28">
        <v>546</v>
      </c>
      <c r="C550" s="1">
        <f>30000000+INDEX(编号表!$B:$B,MATCH(G550,编号表!$A:$A,0))*100000+INDEX(编号表!$F:$F,MATCH(H550,编号表!$E:$E,0))*1000+INDEX(编号表!$D:$D,MATCH(F550,编号表!$C:$C,0))*10000+E550</f>
        <v>31552002</v>
      </c>
      <c r="D550" s="23" t="s">
        <v>610</v>
      </c>
      <c r="E550" s="23">
        <v>2</v>
      </c>
      <c r="F550" s="23" t="s">
        <v>569</v>
      </c>
      <c r="G550" s="23" t="s">
        <v>61</v>
      </c>
      <c r="H550" s="23" t="s">
        <v>86</v>
      </c>
      <c r="I550" s="23"/>
      <c r="J550" s="23" t="s">
        <v>65</v>
      </c>
      <c r="K550" s="23"/>
      <c r="L550" s="29">
        <v>0</v>
      </c>
      <c r="M550" s="29">
        <v>-1</v>
      </c>
      <c r="N550" s="29"/>
      <c r="O550" s="29">
        <v>55063</v>
      </c>
      <c r="P550" s="29">
        <v>19228</v>
      </c>
      <c r="Q550" s="29">
        <v>0</v>
      </c>
      <c r="R550" s="30">
        <v>9477</v>
      </c>
    </row>
    <row r="551" spans="1:18">
      <c r="A551" s="27"/>
      <c r="B551" s="28">
        <v>547</v>
      </c>
      <c r="C551" s="1">
        <f>30000000+INDEX(编号表!$B:$B,MATCH(G551,编号表!$A:$A,0))*100000+INDEX(编号表!$F:$F,MATCH(H551,编号表!$E:$E,0))*1000+INDEX(编号表!$D:$D,MATCH(F551,编号表!$C:$C,0))*10000+E551</f>
        <v>31552003</v>
      </c>
      <c r="D551" s="23" t="s">
        <v>611</v>
      </c>
      <c r="E551" s="23">
        <v>3</v>
      </c>
      <c r="F551" s="23" t="s">
        <v>569</v>
      </c>
      <c r="G551" s="23" t="s">
        <v>61</v>
      </c>
      <c r="H551" s="23" t="s">
        <v>86</v>
      </c>
      <c r="I551" s="23"/>
      <c r="J551" s="23" t="s">
        <v>65</v>
      </c>
      <c r="K551" s="23"/>
      <c r="L551" s="29">
        <v>0</v>
      </c>
      <c r="M551" s="29">
        <v>2</v>
      </c>
      <c r="N551" s="29"/>
      <c r="O551" s="29">
        <v>58077</v>
      </c>
      <c r="P551" s="29">
        <v>46195</v>
      </c>
      <c r="Q551" s="29">
        <v>0</v>
      </c>
      <c r="R551" s="30">
        <v>2916</v>
      </c>
    </row>
    <row r="552" spans="1:18">
      <c r="A552" s="27"/>
      <c r="B552" s="28">
        <v>548</v>
      </c>
      <c r="C552" s="1">
        <f>30000000+INDEX(编号表!$B:$B,MATCH(G552,编号表!$A:$A,0))*100000+INDEX(编号表!$F:$F,MATCH(H552,编号表!$E:$E,0))*1000+INDEX(编号表!$D:$D,MATCH(F552,编号表!$C:$C,0))*10000+E552</f>
        <v>31552004</v>
      </c>
      <c r="D552" s="23" t="s">
        <v>612</v>
      </c>
      <c r="E552" s="23">
        <v>4</v>
      </c>
      <c r="F552" s="23" t="s">
        <v>569</v>
      </c>
      <c r="G552" s="23" t="s">
        <v>61</v>
      </c>
      <c r="H552" s="23" t="s">
        <v>86</v>
      </c>
      <c r="I552" s="23"/>
      <c r="J552" s="23" t="s">
        <v>68</v>
      </c>
      <c r="K552" s="23"/>
      <c r="L552" s="29">
        <v>0</v>
      </c>
      <c r="M552" s="29">
        <v>-1</v>
      </c>
      <c r="N552" s="29"/>
      <c r="O552" s="29">
        <v>58077</v>
      </c>
      <c r="P552" s="29">
        <v>38308</v>
      </c>
      <c r="Q552" s="29">
        <v>0</v>
      </c>
      <c r="R552" s="30">
        <v>7047</v>
      </c>
    </row>
    <row r="553" spans="1:18">
      <c r="A553" s="27"/>
      <c r="B553" s="28">
        <v>549</v>
      </c>
      <c r="C553" s="1">
        <f>30000000+INDEX(编号表!$B:$B,MATCH(G553,编号表!$A:$A,0))*100000+INDEX(编号表!$F:$F,MATCH(H553,编号表!$E:$E,0))*1000+INDEX(编号表!$D:$D,MATCH(F553,编号表!$C:$C,0))*10000+E553</f>
        <v>31552005</v>
      </c>
      <c r="D553" s="23" t="s">
        <v>613</v>
      </c>
      <c r="E553" s="23">
        <v>5</v>
      </c>
      <c r="F553" s="23" t="s">
        <v>569</v>
      </c>
      <c r="G553" s="23" t="s">
        <v>61</v>
      </c>
      <c r="H553" s="23" t="s">
        <v>86</v>
      </c>
      <c r="I553" s="23"/>
      <c r="J553" s="23" t="s">
        <v>68</v>
      </c>
      <c r="K553" s="23"/>
      <c r="L553" s="29">
        <v>0</v>
      </c>
      <c r="M553" s="29">
        <v>4</v>
      </c>
      <c r="N553" s="29"/>
      <c r="O553" s="29">
        <v>60069</v>
      </c>
      <c r="P553" s="29">
        <v>47779</v>
      </c>
      <c r="Q553" s="29">
        <v>0</v>
      </c>
      <c r="R553" s="30">
        <v>12636</v>
      </c>
    </row>
    <row r="554" spans="1:18">
      <c r="A554" s="27"/>
      <c r="B554" s="28">
        <v>550</v>
      </c>
      <c r="C554" s="1">
        <f>30000000+INDEX(编号表!$B:$B,MATCH(G554,编号表!$A:$A,0))*100000+INDEX(编号表!$F:$F,MATCH(H554,编号表!$E:$E,0))*1000+INDEX(编号表!$D:$D,MATCH(F554,编号表!$C:$C,0))*10000+E554</f>
        <v>31552006</v>
      </c>
      <c r="D554" s="23" t="s">
        <v>614</v>
      </c>
      <c r="E554" s="23">
        <v>6</v>
      </c>
      <c r="F554" s="23" t="s">
        <v>569</v>
      </c>
      <c r="G554" s="23" t="s">
        <v>61</v>
      </c>
      <c r="H554" s="23" t="s">
        <v>86</v>
      </c>
      <c r="I554" s="23"/>
      <c r="J554" s="23" t="s">
        <v>71</v>
      </c>
      <c r="K554" s="23"/>
      <c r="L554" s="29">
        <v>0</v>
      </c>
      <c r="M554" s="29">
        <v>-1</v>
      </c>
      <c r="N554" s="29"/>
      <c r="O554" s="29">
        <v>60069</v>
      </c>
      <c r="P554" s="29">
        <v>16315</v>
      </c>
      <c r="Q554" s="29">
        <v>0</v>
      </c>
      <c r="R554" s="30">
        <v>20412</v>
      </c>
    </row>
    <row r="555" spans="1:18">
      <c r="A555" s="27"/>
      <c r="B555" s="28">
        <v>551</v>
      </c>
      <c r="C555" s="1">
        <f>30000000+INDEX(编号表!$B:$B,MATCH(G555,编号表!$A:$A,0))*100000+INDEX(编号表!$F:$F,MATCH(H555,编号表!$E:$E,0))*1000+INDEX(编号表!$D:$D,MATCH(F555,编号表!$C:$C,0))*10000+E555</f>
        <v>31552007</v>
      </c>
      <c r="D555" s="23" t="s">
        <v>615</v>
      </c>
      <c r="E555" s="23">
        <v>7</v>
      </c>
      <c r="F555" s="23" t="s">
        <v>569</v>
      </c>
      <c r="G555" s="23" t="s">
        <v>61</v>
      </c>
      <c r="H555" s="23" t="s">
        <v>86</v>
      </c>
      <c r="I555" s="23"/>
      <c r="J555" s="23" t="s">
        <v>71</v>
      </c>
      <c r="K555" s="23"/>
      <c r="L555" s="29">
        <v>0</v>
      </c>
      <c r="M555" s="29">
        <v>2</v>
      </c>
      <c r="N555" s="29"/>
      <c r="O555" s="29">
        <v>58077</v>
      </c>
      <c r="P555" s="29">
        <v>46195</v>
      </c>
      <c r="Q555" s="29">
        <v>0</v>
      </c>
      <c r="R555" s="30">
        <v>2916</v>
      </c>
    </row>
    <row r="556" spans="1:18">
      <c r="A556" s="27"/>
      <c r="B556" s="28">
        <v>552</v>
      </c>
      <c r="C556" s="1">
        <f>30000000+INDEX(编号表!$B:$B,MATCH(G556,编号表!$A:$A,0))*100000+INDEX(编号表!$F:$F,MATCH(H556,编号表!$E:$E,0))*1000+INDEX(编号表!$D:$D,MATCH(F556,编号表!$C:$C,0))*10000+E556</f>
        <v>31552008</v>
      </c>
      <c r="D556" s="23" t="s">
        <v>616</v>
      </c>
      <c r="E556" s="23">
        <v>8</v>
      </c>
      <c r="F556" s="23" t="s">
        <v>569</v>
      </c>
      <c r="G556" s="23" t="s">
        <v>61</v>
      </c>
      <c r="H556" s="23" t="s">
        <v>86</v>
      </c>
      <c r="I556" s="23"/>
      <c r="J556" s="23" t="s">
        <v>74</v>
      </c>
      <c r="K556" s="23"/>
      <c r="L556" s="29">
        <v>0</v>
      </c>
      <c r="M556" s="29">
        <v>-2</v>
      </c>
      <c r="N556" s="29"/>
      <c r="O556" s="29">
        <v>58077</v>
      </c>
      <c r="P556" s="29">
        <v>30985</v>
      </c>
      <c r="Q556" s="29">
        <v>0</v>
      </c>
      <c r="R556" s="30">
        <v>6804</v>
      </c>
    </row>
    <row r="557" spans="1:18">
      <c r="A557" s="27"/>
      <c r="B557" s="28">
        <v>553</v>
      </c>
      <c r="C557" s="1">
        <f>30000000+INDEX(编号表!$B:$B,MATCH(G557,编号表!$A:$A,0))*100000+INDEX(编号表!$F:$F,MATCH(H557,编号表!$E:$E,0))*1000+INDEX(编号表!$D:$D,MATCH(F557,编号表!$C:$C,0))*10000+E557</f>
        <v>31552009</v>
      </c>
      <c r="D557" s="23" t="s">
        <v>617</v>
      </c>
      <c r="E557" s="23">
        <v>9</v>
      </c>
      <c r="F557" s="23" t="s">
        <v>569</v>
      </c>
      <c r="G557" s="23" t="s">
        <v>61</v>
      </c>
      <c r="H557" s="23" t="s">
        <v>86</v>
      </c>
      <c r="I557" s="23"/>
      <c r="J557" s="23" t="s">
        <v>74</v>
      </c>
      <c r="K557" s="23"/>
      <c r="L557" s="29">
        <v>0</v>
      </c>
      <c r="M557" s="29">
        <v>1</v>
      </c>
      <c r="N557" s="29"/>
      <c r="O557" s="29">
        <v>55063</v>
      </c>
      <c r="P557" s="29">
        <v>19228</v>
      </c>
      <c r="Q557" s="29">
        <v>0</v>
      </c>
      <c r="R557" s="30">
        <v>9477</v>
      </c>
    </row>
    <row r="558" spans="1:18">
      <c r="A558" s="27"/>
      <c r="B558" s="28">
        <v>554</v>
      </c>
      <c r="C558" s="1">
        <f>30000000+INDEX(编号表!$B:$B,MATCH(G558,编号表!$A:$A,0))*100000+INDEX(编号表!$F:$F,MATCH(H558,编号表!$E:$E,0))*1000+INDEX(编号表!$D:$D,MATCH(F558,编号表!$C:$C,0))*10000+E558</f>
        <v>31452000</v>
      </c>
      <c r="D558" s="23" t="s">
        <v>618</v>
      </c>
      <c r="E558" s="23">
        <v>0</v>
      </c>
      <c r="F558" s="23" t="s">
        <v>569</v>
      </c>
      <c r="G558" s="23" t="s">
        <v>77</v>
      </c>
      <c r="H558" s="23" t="s">
        <v>86</v>
      </c>
      <c r="I558" s="23"/>
      <c r="J558" s="23"/>
      <c r="K558" s="23"/>
      <c r="L558" s="29">
        <v>0</v>
      </c>
      <c r="M558" s="29">
        <v>0</v>
      </c>
      <c r="N558" s="29"/>
      <c r="O558" s="29">
        <v>55063</v>
      </c>
      <c r="P558" s="29">
        <v>14956</v>
      </c>
      <c r="Q558" s="29">
        <v>0</v>
      </c>
      <c r="R558" s="30">
        <v>11178</v>
      </c>
    </row>
    <row r="559" spans="1:18">
      <c r="A559" s="27"/>
      <c r="B559" s="28">
        <v>555</v>
      </c>
      <c r="C559" s="1">
        <f>30000000+INDEX(编号表!$B:$B,MATCH(G559,编号表!$A:$A,0))*100000+INDEX(编号表!$F:$F,MATCH(H559,编号表!$E:$E,0))*1000+INDEX(编号表!$D:$D,MATCH(F559,编号表!$C:$C,0))*10000+E559</f>
        <v>31452001</v>
      </c>
      <c r="D559" s="23" t="s">
        <v>619</v>
      </c>
      <c r="E559" s="23">
        <v>1</v>
      </c>
      <c r="F559" s="23" t="s">
        <v>569</v>
      </c>
      <c r="G559" s="23" t="s">
        <v>77</v>
      </c>
      <c r="H559" s="23" t="s">
        <v>86</v>
      </c>
      <c r="I559" s="23"/>
      <c r="J559" s="23"/>
      <c r="K559" s="23"/>
      <c r="L559" s="29">
        <v>0</v>
      </c>
      <c r="M559" s="29">
        <v>0</v>
      </c>
      <c r="N559" s="29"/>
      <c r="O559" s="29">
        <v>62062</v>
      </c>
      <c r="P559" s="29">
        <v>49365</v>
      </c>
      <c r="Q559" s="29">
        <v>0</v>
      </c>
      <c r="R559" s="30">
        <v>3888</v>
      </c>
    </row>
    <row r="560" spans="1:18">
      <c r="A560" s="27"/>
      <c r="B560" s="28">
        <v>556</v>
      </c>
      <c r="C560" s="1">
        <f>30000000+INDEX(编号表!$B:$B,MATCH(G560,编号表!$A:$A,0))*100000+INDEX(编号表!$F:$F,MATCH(H560,编号表!$E:$E,0))*1000+INDEX(编号表!$D:$D,MATCH(F560,编号表!$C:$C,0))*10000+E560</f>
        <v>31452002</v>
      </c>
      <c r="D560" s="23" t="s">
        <v>620</v>
      </c>
      <c r="E560" s="23">
        <v>2</v>
      </c>
      <c r="F560" s="23" t="s">
        <v>569</v>
      </c>
      <c r="G560" s="23" t="s">
        <v>77</v>
      </c>
      <c r="H560" s="23" t="s">
        <v>86</v>
      </c>
      <c r="I560" s="23"/>
      <c r="J560" s="23"/>
      <c r="K560" s="23"/>
      <c r="L560" s="29">
        <v>0</v>
      </c>
      <c r="M560" s="29">
        <v>1</v>
      </c>
      <c r="N560" s="29"/>
      <c r="O560" s="29">
        <v>60069</v>
      </c>
      <c r="P560" s="29">
        <v>16315</v>
      </c>
      <c r="Q560" s="29">
        <v>0</v>
      </c>
      <c r="R560" s="30">
        <v>20412</v>
      </c>
    </row>
    <row r="561" spans="1:18">
      <c r="A561" s="27"/>
      <c r="B561" s="28">
        <v>557</v>
      </c>
      <c r="C561" s="1">
        <f>30000000+INDEX(编号表!$B:$B,MATCH(G561,编号表!$A:$A,0))*100000+INDEX(编号表!$F:$F,MATCH(H561,编号表!$E:$E,0))*1000+INDEX(编号表!$D:$D,MATCH(F561,编号表!$C:$C,0))*10000+E561</f>
        <v>31452003</v>
      </c>
      <c r="D561" s="23" t="s">
        <v>621</v>
      </c>
      <c r="E561" s="23">
        <v>3</v>
      </c>
      <c r="F561" s="23" t="s">
        <v>569</v>
      </c>
      <c r="G561" s="23" t="s">
        <v>77</v>
      </c>
      <c r="H561" s="23" t="s">
        <v>86</v>
      </c>
      <c r="I561" s="23"/>
      <c r="J561" s="23"/>
      <c r="K561" s="23"/>
      <c r="L561" s="29">
        <v>0</v>
      </c>
      <c r="M561" s="29">
        <v>4</v>
      </c>
      <c r="N561" s="29"/>
      <c r="O561" s="29">
        <v>60069</v>
      </c>
      <c r="P561" s="29">
        <v>47779</v>
      </c>
      <c r="Q561" s="29">
        <v>0</v>
      </c>
      <c r="R561" s="30">
        <v>12636</v>
      </c>
    </row>
    <row r="562" spans="1:18">
      <c r="A562" s="27"/>
      <c r="B562" s="28">
        <v>558</v>
      </c>
      <c r="C562" s="1">
        <f>30000000+INDEX(编号表!$B:$B,MATCH(G562,编号表!$A:$A,0))*100000+INDEX(编号表!$F:$F,MATCH(H562,编号表!$E:$E,0))*1000+INDEX(编号表!$D:$D,MATCH(F562,编号表!$C:$C,0))*10000+E562</f>
        <v>31652000</v>
      </c>
      <c r="D562" s="23" t="s">
        <v>622</v>
      </c>
      <c r="E562" s="23">
        <v>0</v>
      </c>
      <c r="F562" s="23" t="s">
        <v>569</v>
      </c>
      <c r="G562" s="23" t="s">
        <v>82</v>
      </c>
      <c r="H562" s="23" t="s">
        <v>86</v>
      </c>
      <c r="I562" s="23"/>
      <c r="J562" s="23"/>
      <c r="K562" s="23"/>
      <c r="L562" s="29">
        <v>7</v>
      </c>
      <c r="M562" s="29">
        <v>0</v>
      </c>
      <c r="N562" s="29"/>
      <c r="O562" s="29">
        <v>0</v>
      </c>
      <c r="P562" s="29">
        <v>0</v>
      </c>
      <c r="Q562" s="29">
        <v>0</v>
      </c>
      <c r="R562" s="30">
        <v>5832</v>
      </c>
    </row>
    <row r="563" spans="1:18">
      <c r="A563" s="27"/>
      <c r="B563" s="28">
        <v>559</v>
      </c>
      <c r="C563" s="1">
        <f>30000000+INDEX(编号表!$B:$B,MATCH(G563,编号表!$A:$A,0))*100000+INDEX(编号表!$F:$F,MATCH(H563,编号表!$E:$E,0))*1000+INDEX(编号表!$D:$D,MATCH(F563,编号表!$C:$C,0))*10000+E563</f>
        <v>31652001</v>
      </c>
      <c r="D563" s="23" t="s">
        <v>623</v>
      </c>
      <c r="E563" s="23">
        <v>1</v>
      </c>
      <c r="F563" s="23" t="s">
        <v>569</v>
      </c>
      <c r="G563" s="23" t="s">
        <v>82</v>
      </c>
      <c r="H563" s="23" t="s">
        <v>86</v>
      </c>
      <c r="I563" s="23"/>
      <c r="J563" s="23"/>
      <c r="K563" s="23"/>
      <c r="L563" s="29">
        <v>8</v>
      </c>
      <c r="M563" s="29">
        <v>0</v>
      </c>
      <c r="N563" s="29"/>
      <c r="O563" s="29">
        <v>0</v>
      </c>
      <c r="P563" s="29">
        <v>0</v>
      </c>
      <c r="Q563" s="29">
        <v>0</v>
      </c>
      <c r="R563" s="30">
        <v>10692</v>
      </c>
    </row>
    <row r="564" spans="1:18">
      <c r="A564" s="27"/>
      <c r="B564" s="28">
        <v>560</v>
      </c>
      <c r="C564" s="1">
        <f>30000000+INDEX(编号表!$B:$B,MATCH(G564,编号表!$A:$A,0))*100000+INDEX(编号表!$F:$F,MATCH(H564,编号表!$E:$E,0))*1000+INDEX(编号表!$D:$D,MATCH(F564,编号表!$C:$C,0))*10000+E564</f>
        <v>31652002</v>
      </c>
      <c r="D564" s="23" t="s">
        <v>624</v>
      </c>
      <c r="E564" s="23">
        <v>2</v>
      </c>
      <c r="F564" s="23" t="s">
        <v>569</v>
      </c>
      <c r="G564" s="23" t="s">
        <v>82</v>
      </c>
      <c r="H564" s="23" t="s">
        <v>86</v>
      </c>
      <c r="I564" s="23"/>
      <c r="J564" s="23"/>
      <c r="K564" s="23"/>
      <c r="L564" s="29">
        <v>9</v>
      </c>
      <c r="M564" s="29">
        <v>0</v>
      </c>
      <c r="N564" s="29"/>
      <c r="O564" s="29">
        <v>0</v>
      </c>
      <c r="P564" s="29">
        <v>0</v>
      </c>
      <c r="Q564" s="29">
        <v>0</v>
      </c>
      <c r="R564" s="30">
        <v>16524</v>
      </c>
    </row>
    <row r="565" spans="1:18">
      <c r="A565" s="27"/>
      <c r="B565" s="28">
        <v>561</v>
      </c>
      <c r="C565" s="1">
        <f>30000000+INDEX(编号表!$B:$B,MATCH(G565,编号表!$A:$A,0))*100000+INDEX(编号表!$F:$F,MATCH(H565,编号表!$E:$E,0))*1000+INDEX(编号表!$D:$D,MATCH(F565,编号表!$C:$C,0))*10000+E565</f>
        <v>31253000</v>
      </c>
      <c r="D565" s="23" t="s">
        <v>625</v>
      </c>
      <c r="E565" s="23">
        <v>0</v>
      </c>
      <c r="F565" s="23" t="s">
        <v>569</v>
      </c>
      <c r="G565" s="23" t="s">
        <v>42</v>
      </c>
      <c r="H565" s="23" t="s">
        <v>115</v>
      </c>
      <c r="I565" s="23"/>
      <c r="J565" s="23"/>
      <c r="K565" s="23"/>
      <c r="L565" s="29">
        <v>0</v>
      </c>
      <c r="M565" s="29">
        <v>0</v>
      </c>
      <c r="N565" s="29"/>
      <c r="O565" s="29">
        <v>174960</v>
      </c>
      <c r="P565" s="29">
        <v>90455</v>
      </c>
      <c r="Q565" s="29">
        <v>874800</v>
      </c>
      <c r="R565" s="30">
        <v>15746</v>
      </c>
    </row>
    <row r="566" spans="1:18">
      <c r="A566" s="27"/>
      <c r="B566" s="28">
        <v>562</v>
      </c>
      <c r="C566" s="1">
        <f>30000000+INDEX(编号表!$B:$B,MATCH(G566,编号表!$A:$A,0))*100000+INDEX(编号表!$F:$F,MATCH(H566,编号表!$E:$E,0))*1000+INDEX(编号表!$D:$D,MATCH(F566,编号表!$C:$C,0))*10000+E566</f>
        <v>31353000</v>
      </c>
      <c r="D566" s="23" t="s">
        <v>626</v>
      </c>
      <c r="E566" s="23">
        <v>0</v>
      </c>
      <c r="F566" s="23" t="s">
        <v>569</v>
      </c>
      <c r="G566" s="23" t="s">
        <v>45</v>
      </c>
      <c r="H566" s="23" t="s">
        <v>115</v>
      </c>
      <c r="I566" s="23" t="s">
        <v>46</v>
      </c>
      <c r="J566" s="23"/>
      <c r="K566" s="23"/>
      <c r="L566" s="29">
        <v>0</v>
      </c>
      <c r="M566" s="29">
        <v>-2</v>
      </c>
      <c r="N566" s="29"/>
      <c r="O566" s="29">
        <v>104538</v>
      </c>
      <c r="P566" s="29">
        <v>54047</v>
      </c>
      <c r="Q566" s="29">
        <v>0</v>
      </c>
      <c r="R566" s="30">
        <v>12247</v>
      </c>
    </row>
    <row r="567" spans="1:18">
      <c r="A567" s="27"/>
      <c r="B567" s="28">
        <v>563</v>
      </c>
      <c r="C567" s="1">
        <f>30000000+INDEX(编号表!$B:$B,MATCH(G567,编号表!$A:$A,0))*100000+INDEX(编号表!$F:$F,MATCH(H567,编号表!$E:$E,0))*1000+INDEX(编号表!$D:$D,MATCH(F567,编号表!$C:$C,0))*10000+E567</f>
        <v>31353001</v>
      </c>
      <c r="D567" s="23" t="s">
        <v>627</v>
      </c>
      <c r="E567" s="23">
        <v>1</v>
      </c>
      <c r="F567" s="23" t="s">
        <v>569</v>
      </c>
      <c r="G567" s="23" t="s">
        <v>45</v>
      </c>
      <c r="H567" s="23" t="s">
        <v>115</v>
      </c>
      <c r="I567" s="23" t="s">
        <v>46</v>
      </c>
      <c r="J567" s="23"/>
      <c r="K567" s="23"/>
      <c r="L567" s="29">
        <v>0</v>
      </c>
      <c r="M567" s="29">
        <v>3</v>
      </c>
      <c r="N567" s="29"/>
      <c r="O567" s="29">
        <v>111711</v>
      </c>
      <c r="P567" s="29">
        <v>71406</v>
      </c>
      <c r="Q567" s="29">
        <v>0</v>
      </c>
      <c r="R567" s="30">
        <v>15746</v>
      </c>
    </row>
    <row r="568" spans="1:18">
      <c r="A568" s="27"/>
      <c r="B568" s="28">
        <v>564</v>
      </c>
      <c r="C568" s="1">
        <f>30000000+INDEX(编号表!$B:$B,MATCH(G568,编号表!$A:$A,0))*100000+INDEX(编号表!$F:$F,MATCH(H568,编号表!$E:$E,0))*1000+INDEX(编号表!$D:$D,MATCH(F568,编号表!$C:$C,0))*10000+E568</f>
        <v>31353002</v>
      </c>
      <c r="D568" s="23" t="s">
        <v>628</v>
      </c>
      <c r="E568" s="23">
        <v>2</v>
      </c>
      <c r="F568" s="23" t="s">
        <v>569</v>
      </c>
      <c r="G568" s="23" t="s">
        <v>45</v>
      </c>
      <c r="H568" s="23" t="s">
        <v>115</v>
      </c>
      <c r="I568" s="23" t="s">
        <v>49</v>
      </c>
      <c r="J568" s="23"/>
      <c r="K568" s="23"/>
      <c r="L568" s="29">
        <v>0</v>
      </c>
      <c r="M568" s="29">
        <v>-1</v>
      </c>
      <c r="N568" s="29"/>
      <c r="O568" s="29">
        <v>99114</v>
      </c>
      <c r="P568" s="29">
        <v>33541</v>
      </c>
      <c r="Q568" s="29">
        <v>0</v>
      </c>
      <c r="R568" s="30">
        <v>17058</v>
      </c>
    </row>
    <row r="569" spans="1:18">
      <c r="A569" s="27"/>
      <c r="B569" s="28">
        <v>565</v>
      </c>
      <c r="C569" s="1">
        <f>30000000+INDEX(编号表!$B:$B,MATCH(G569,编号表!$A:$A,0))*100000+INDEX(编号表!$F:$F,MATCH(H569,编号表!$E:$E,0))*1000+INDEX(编号表!$D:$D,MATCH(F569,编号表!$C:$C,0))*10000+E569</f>
        <v>31353003</v>
      </c>
      <c r="D569" s="23" t="s">
        <v>629</v>
      </c>
      <c r="E569" s="23">
        <v>3</v>
      </c>
      <c r="F569" s="23" t="s">
        <v>569</v>
      </c>
      <c r="G569" s="23" t="s">
        <v>45</v>
      </c>
      <c r="H569" s="23" t="s">
        <v>115</v>
      </c>
      <c r="I569" s="23" t="s">
        <v>49</v>
      </c>
      <c r="J569" s="23"/>
      <c r="K569" s="23"/>
      <c r="L569" s="29">
        <v>0</v>
      </c>
      <c r="M569" s="29">
        <v>2</v>
      </c>
      <c r="N569" s="29"/>
      <c r="O569" s="29">
        <v>104538</v>
      </c>
      <c r="P569" s="29">
        <v>80578</v>
      </c>
      <c r="Q569" s="29">
        <v>0</v>
      </c>
      <c r="R569" s="30">
        <v>5248</v>
      </c>
    </row>
    <row r="570" spans="1:18">
      <c r="A570" s="27"/>
      <c r="B570" s="28">
        <v>566</v>
      </c>
      <c r="C570" s="1">
        <f>30000000+INDEX(编号表!$B:$B,MATCH(G570,编号表!$A:$A,0))*100000+INDEX(编号表!$F:$F,MATCH(H570,编号表!$E:$E,0))*1000+INDEX(编号表!$D:$D,MATCH(F570,编号表!$C:$C,0))*10000+E570</f>
        <v>31353004</v>
      </c>
      <c r="D570" s="23" t="s">
        <v>630</v>
      </c>
      <c r="E570" s="23">
        <v>4</v>
      </c>
      <c r="F570" s="23" t="s">
        <v>569</v>
      </c>
      <c r="G570" s="23" t="s">
        <v>45</v>
      </c>
      <c r="H570" s="23" t="s">
        <v>115</v>
      </c>
      <c r="I570" s="23" t="s">
        <v>52</v>
      </c>
      <c r="J570" s="23"/>
      <c r="K570" s="23"/>
      <c r="L570" s="29">
        <v>0</v>
      </c>
      <c r="M570" s="29">
        <v>-1</v>
      </c>
      <c r="N570" s="29"/>
      <c r="O570" s="29">
        <v>104538</v>
      </c>
      <c r="P570" s="29">
        <v>66821</v>
      </c>
      <c r="Q570" s="29">
        <v>0</v>
      </c>
      <c r="R570" s="30">
        <v>12684</v>
      </c>
    </row>
    <row r="571" spans="1:18">
      <c r="A571" s="27"/>
      <c r="B571" s="28">
        <v>567</v>
      </c>
      <c r="C571" s="1">
        <f>30000000+INDEX(编号表!$B:$B,MATCH(G571,编号表!$A:$A,0))*100000+INDEX(编号表!$F:$F,MATCH(H571,编号表!$E:$E,0))*1000+INDEX(编号表!$D:$D,MATCH(F571,编号表!$C:$C,0))*10000+E571</f>
        <v>31353005</v>
      </c>
      <c r="D571" s="23" t="inlineStr">
        <is>
          <t xml:space="preserve">千载沸泉苔·玄株</t>
        </is>
      </c>
      <c r="E571" s="23">
        <v>5</v>
      </c>
      <c r="F571" s="23" t="s">
        <v>569</v>
      </c>
      <c r="G571" s="23" t="s">
        <v>45</v>
      </c>
      <c r="H571" s="23" t="s">
        <v>115</v>
      </c>
      <c r="I571" s="23" t="s">
        <v>52</v>
      </c>
      <c r="J571" s="23"/>
      <c r="K571" s="23"/>
      <c r="L571" s="29">
        <v>0</v>
      </c>
      <c r="M571" s="29">
        <v>4</v>
      </c>
      <c r="N571" s="29"/>
      <c r="O571" s="29">
        <v>108125</v>
      </c>
      <c r="P571" s="29">
        <v>83343</v>
      </c>
      <c r="Q571" s="29">
        <v>0</v>
      </c>
      <c r="R571" s="30">
        <v>22744</v>
      </c>
    </row>
    <row r="572" spans="1:18">
      <c r="A572" s="27"/>
      <c r="B572" s="28">
        <v>568</v>
      </c>
      <c r="C572" s="1">
        <f>30000000+INDEX(编号表!$B:$B,MATCH(G572,编号表!$A:$A,0))*100000+INDEX(编号表!$F:$F,MATCH(H572,编号表!$E:$E,0))*1000+INDEX(编号表!$D:$D,MATCH(F572,编号表!$C:$C,0))*10000+E572</f>
        <v>31353006</v>
      </c>
      <c r="D572" s="23" t="inlineStr">
        <is>
          <t xml:space="preserve">千载丹露花·玄株</t>
        </is>
      </c>
      <c r="E572" s="23">
        <v>6</v>
      </c>
      <c r="F572" s="23" t="s">
        <v>569</v>
      </c>
      <c r="G572" s="23" t="s">
        <v>45</v>
      </c>
      <c r="H572" s="23" t="s">
        <v>115</v>
      </c>
      <c r="I572" s="23" t="s">
        <v>55</v>
      </c>
      <c r="J572" s="23"/>
      <c r="K572" s="23"/>
      <c r="L572" s="29">
        <v>0</v>
      </c>
      <c r="M572" s="29">
        <v>-1</v>
      </c>
      <c r="N572" s="29"/>
      <c r="O572" s="29">
        <v>108125</v>
      </c>
      <c r="P572" s="29">
        <v>28459</v>
      </c>
      <c r="Q572" s="29">
        <v>0</v>
      </c>
      <c r="R572" s="30">
        <v>36741</v>
      </c>
    </row>
    <row r="573" spans="1:18">
      <c r="A573" s="27"/>
      <c r="B573" s="28">
        <v>569</v>
      </c>
      <c r="C573" s="1">
        <f>30000000+INDEX(编号表!$B:$B,MATCH(G573,编号表!$A:$A,0))*100000+INDEX(编号表!$F:$F,MATCH(H573,编号表!$E:$E,0))*1000+INDEX(编号表!$D:$D,MATCH(F573,编号表!$C:$C,0))*10000+E573</f>
        <v>31353007</v>
      </c>
      <c r="D573" s="23" t="s">
        <v>633</v>
      </c>
      <c r="E573" s="23">
        <v>7</v>
      </c>
      <c r="F573" s="23" t="s">
        <v>569</v>
      </c>
      <c r="G573" s="23" t="s">
        <v>45</v>
      </c>
      <c r="H573" s="23" t="s">
        <v>115</v>
      </c>
      <c r="I573" s="23" t="s">
        <v>55</v>
      </c>
      <c r="J573" s="23"/>
      <c r="K573" s="23"/>
      <c r="L573" s="29">
        <v>0</v>
      </c>
      <c r="M573" s="29">
        <v>2</v>
      </c>
      <c r="N573" s="29"/>
      <c r="O573" s="29">
        <v>104538</v>
      </c>
      <c r="P573" s="29">
        <v>80578</v>
      </c>
      <c r="Q573" s="29">
        <v>0</v>
      </c>
      <c r="R573" s="30">
        <v>5248</v>
      </c>
    </row>
    <row r="574" spans="1:18">
      <c r="A574" s="27"/>
      <c r="B574" s="28">
        <v>570</v>
      </c>
      <c r="C574" s="1">
        <f>30000000+INDEX(编号表!$B:$B,MATCH(G574,编号表!$A:$A,0))*100000+INDEX(编号表!$F:$F,MATCH(H574,编号表!$E:$E,0))*1000+INDEX(编号表!$D:$D,MATCH(F574,编号表!$C:$C,0))*10000+E574</f>
        <v>31353008</v>
      </c>
      <c r="D574" s="23" t="s">
        <v>634</v>
      </c>
      <c r="E574" s="23">
        <v>8</v>
      </c>
      <c r="F574" s="23" t="s">
        <v>569</v>
      </c>
      <c r="G574" s="23" t="s">
        <v>45</v>
      </c>
      <c r="H574" s="23" t="s">
        <v>115</v>
      </c>
      <c r="I574" s="23" t="s">
        <v>58</v>
      </c>
      <c r="J574" s="23"/>
      <c r="K574" s="23"/>
      <c r="L574" s="29">
        <v>0</v>
      </c>
      <c r="M574" s="29">
        <v>-2</v>
      </c>
      <c r="N574" s="29"/>
      <c r="O574" s="29">
        <v>104538</v>
      </c>
      <c r="P574" s="29">
        <v>54047</v>
      </c>
      <c r="Q574" s="29">
        <v>0</v>
      </c>
      <c r="R574" s="30">
        <v>12247</v>
      </c>
    </row>
    <row r="575" spans="1:18">
      <c r="A575" s="27"/>
      <c r="B575" s="28">
        <v>571</v>
      </c>
      <c r="C575" s="1">
        <f>30000000+INDEX(编号表!$B:$B,MATCH(G575,编号表!$A:$A,0))*100000+INDEX(编号表!$F:$F,MATCH(H575,编号表!$E:$E,0))*1000+INDEX(编号表!$D:$D,MATCH(F575,编号表!$C:$C,0))*10000+E575</f>
        <v>31353009</v>
      </c>
      <c r="D575" s="23" t="s">
        <v>635</v>
      </c>
      <c r="E575" s="23">
        <v>9</v>
      </c>
      <c r="F575" s="23" t="s">
        <v>569</v>
      </c>
      <c r="G575" s="23" t="s">
        <v>45</v>
      </c>
      <c r="H575" s="23" t="s">
        <v>115</v>
      </c>
      <c r="I575" s="23" t="s">
        <v>58</v>
      </c>
      <c r="J575" s="23"/>
      <c r="K575" s="23"/>
      <c r="L575" s="29">
        <v>0</v>
      </c>
      <c r="M575" s="29">
        <v>1</v>
      </c>
      <c r="N575" s="29"/>
      <c r="O575" s="29">
        <v>99114</v>
      </c>
      <c r="P575" s="29">
        <v>33541</v>
      </c>
      <c r="Q575" s="29">
        <v>0</v>
      </c>
      <c r="R575" s="30">
        <v>17058</v>
      </c>
    </row>
    <row r="576" spans="1:18">
      <c r="A576" s="27"/>
      <c r="B576" s="28">
        <v>572</v>
      </c>
      <c r="C576" s="1">
        <f>30000000+INDEX(编号表!$B:$B,MATCH(G576,编号表!$A:$A,0))*100000+INDEX(编号表!$F:$F,MATCH(H576,编号表!$E:$E,0))*1000+INDEX(编号表!$D:$D,MATCH(F576,编号表!$C:$C,0))*10000+E576</f>
        <v>31553000</v>
      </c>
      <c r="D576" s="23" t="inlineStr">
        <is>
          <t xml:space="preserve">千载霜辛草·玄株</t>
        </is>
      </c>
      <c r="E576" s="23">
        <v>0</v>
      </c>
      <c r="F576" s="23" t="s">
        <v>569</v>
      </c>
      <c r="G576" s="23" t="s">
        <v>61</v>
      </c>
      <c r="H576" s="23" t="s">
        <v>115</v>
      </c>
      <c r="I576" s="23"/>
      <c r="J576" s="23" t="s">
        <v>62</v>
      </c>
      <c r="K576" s="23"/>
      <c r="L576" s="29">
        <v>0</v>
      </c>
      <c r="M576" s="29">
        <v>-2</v>
      </c>
      <c r="N576" s="29"/>
      <c r="O576" s="29">
        <v>104538</v>
      </c>
      <c r="P576" s="29">
        <v>54047</v>
      </c>
      <c r="Q576" s="29">
        <v>0</v>
      </c>
      <c r="R576" s="30">
        <v>12247</v>
      </c>
    </row>
    <row r="577" spans="1:18">
      <c r="A577" s="27"/>
      <c r="B577" s="28">
        <v>573</v>
      </c>
      <c r="C577" s="1">
        <f>30000000+INDEX(编号表!$B:$B,MATCH(G577,编号表!$A:$A,0))*100000+INDEX(编号表!$F:$F,MATCH(H577,编号表!$E:$E,0))*1000+INDEX(编号表!$D:$D,MATCH(F577,编号表!$C:$C,0))*10000+E577</f>
        <v>31553001</v>
      </c>
      <c r="D577" s="23" t="s">
        <v>637</v>
      </c>
      <c r="E577" s="23">
        <v>1</v>
      </c>
      <c r="F577" s="23" t="s">
        <v>569</v>
      </c>
      <c r="G577" s="23" t="s">
        <v>61</v>
      </c>
      <c r="H577" s="23" t="s">
        <v>115</v>
      </c>
      <c r="I577" s="23"/>
      <c r="J577" s="23" t="s">
        <v>62</v>
      </c>
      <c r="K577" s="23"/>
      <c r="L577" s="29">
        <v>0</v>
      </c>
      <c r="M577" s="29">
        <v>3</v>
      </c>
      <c r="N577" s="29"/>
      <c r="O577" s="29">
        <v>111711</v>
      </c>
      <c r="P577" s="29">
        <v>71406</v>
      </c>
      <c r="Q577" s="29">
        <v>0</v>
      </c>
      <c r="R577" s="30">
        <v>15746</v>
      </c>
    </row>
    <row r="578" spans="1:18">
      <c r="A578" s="27"/>
      <c r="B578" s="28">
        <v>574</v>
      </c>
      <c r="C578" s="1">
        <f>30000000+INDEX(编号表!$B:$B,MATCH(G578,编号表!$A:$A,0))*100000+INDEX(编号表!$F:$F,MATCH(H578,编号表!$E:$E,0))*1000+INDEX(编号表!$D:$D,MATCH(F578,编号表!$C:$C,0))*10000+E578</f>
        <v>31553002</v>
      </c>
      <c r="D578" s="23" t="s">
        <v>638</v>
      </c>
      <c r="E578" s="23">
        <v>2</v>
      </c>
      <c r="F578" s="23" t="s">
        <v>569</v>
      </c>
      <c r="G578" s="23" t="s">
        <v>61</v>
      </c>
      <c r="H578" s="23" t="s">
        <v>115</v>
      </c>
      <c r="I578" s="23"/>
      <c r="J578" s="23" t="s">
        <v>65</v>
      </c>
      <c r="K578" s="23"/>
      <c r="L578" s="29">
        <v>0</v>
      </c>
      <c r="M578" s="29">
        <v>-1</v>
      </c>
      <c r="N578" s="29"/>
      <c r="O578" s="29">
        <v>99114</v>
      </c>
      <c r="P578" s="29">
        <v>33541</v>
      </c>
      <c r="Q578" s="29">
        <v>0</v>
      </c>
      <c r="R578" s="30">
        <v>17058</v>
      </c>
    </row>
    <row r="579" spans="1:18">
      <c r="A579" s="27"/>
      <c r="B579" s="28">
        <v>575</v>
      </c>
      <c r="C579" s="1">
        <f>30000000+INDEX(编号表!$B:$B,MATCH(G579,编号表!$A:$A,0))*100000+INDEX(编号表!$F:$F,MATCH(H579,编号表!$E:$E,0))*1000+INDEX(编号表!$D:$D,MATCH(F579,编号表!$C:$C,0))*10000+E579</f>
        <v>31553003</v>
      </c>
      <c r="D579" s="23" t="s">
        <v>639</v>
      </c>
      <c r="E579" s="23">
        <v>3</v>
      </c>
      <c r="F579" s="23" t="s">
        <v>569</v>
      </c>
      <c r="G579" s="23" t="s">
        <v>61</v>
      </c>
      <c r="H579" s="23" t="s">
        <v>115</v>
      </c>
      <c r="I579" s="23"/>
      <c r="J579" s="23" t="s">
        <v>65</v>
      </c>
      <c r="K579" s="23"/>
      <c r="L579" s="29">
        <v>0</v>
      </c>
      <c r="M579" s="29">
        <v>2</v>
      </c>
      <c r="N579" s="29"/>
      <c r="O579" s="29">
        <v>104538</v>
      </c>
      <c r="P579" s="29">
        <v>80578</v>
      </c>
      <c r="Q579" s="29">
        <v>0</v>
      </c>
      <c r="R579" s="30">
        <v>5248</v>
      </c>
    </row>
    <row r="580" spans="1:18">
      <c r="A580" s="27"/>
      <c r="B580" s="28">
        <v>576</v>
      </c>
      <c r="C580" s="1">
        <f>30000000+INDEX(编号表!$B:$B,MATCH(G580,编号表!$A:$A,0))*100000+INDEX(编号表!$F:$F,MATCH(H580,编号表!$E:$E,0))*1000+INDEX(编号表!$D:$D,MATCH(F580,编号表!$C:$C,0))*10000+E580</f>
        <v>31553004</v>
      </c>
      <c r="D580" s="23" t="s">
        <v>640</v>
      </c>
      <c r="E580" s="23">
        <v>4</v>
      </c>
      <c r="F580" s="23" t="s">
        <v>569</v>
      </c>
      <c r="G580" s="23" t="s">
        <v>61</v>
      </c>
      <c r="H580" s="23" t="s">
        <v>115</v>
      </c>
      <c r="I580" s="23"/>
      <c r="J580" s="23" t="s">
        <v>68</v>
      </c>
      <c r="K580" s="23"/>
      <c r="L580" s="29">
        <v>0</v>
      </c>
      <c r="M580" s="29">
        <v>-1</v>
      </c>
      <c r="N580" s="29"/>
      <c r="O580" s="29">
        <v>104538</v>
      </c>
      <c r="P580" s="29">
        <v>66821</v>
      </c>
      <c r="Q580" s="29">
        <v>0</v>
      </c>
      <c r="R580" s="30">
        <v>12684</v>
      </c>
    </row>
    <row r="581" spans="1:18">
      <c r="A581" s="27"/>
      <c r="B581" s="28">
        <v>577</v>
      </c>
      <c r="C581" s="1">
        <f>30000000+INDEX(编号表!$B:$B,MATCH(G581,编号表!$A:$A,0))*100000+INDEX(编号表!$F:$F,MATCH(H581,编号表!$E:$E,0))*1000+INDEX(编号表!$D:$D,MATCH(F581,编号表!$C:$C,0))*10000+E581</f>
        <v>31553005</v>
      </c>
      <c r="D581" s="23" t="s">
        <v>641</v>
      </c>
      <c r="E581" s="23">
        <v>5</v>
      </c>
      <c r="F581" s="23" t="s">
        <v>569</v>
      </c>
      <c r="G581" s="23" t="s">
        <v>61</v>
      </c>
      <c r="H581" s="23" t="s">
        <v>115</v>
      </c>
      <c r="I581" s="23"/>
      <c r="J581" s="23" t="s">
        <v>68</v>
      </c>
      <c r="K581" s="23"/>
      <c r="L581" s="29">
        <v>0</v>
      </c>
      <c r="M581" s="29">
        <v>4</v>
      </c>
      <c r="N581" s="29"/>
      <c r="O581" s="29">
        <v>108125</v>
      </c>
      <c r="P581" s="29">
        <v>83343</v>
      </c>
      <c r="Q581" s="29">
        <v>0</v>
      </c>
      <c r="R581" s="30">
        <v>22744</v>
      </c>
    </row>
    <row r="582" spans="1:18">
      <c r="A582" s="27"/>
      <c r="B582" s="28">
        <v>578</v>
      </c>
      <c r="C582" s="1">
        <f>30000000+INDEX(编号表!$B:$B,MATCH(G582,编号表!$A:$A,0))*100000+INDEX(编号表!$F:$F,MATCH(H582,编号表!$E:$E,0))*1000+INDEX(编号表!$D:$D,MATCH(F582,编号表!$C:$C,0))*10000+E582</f>
        <v>31553006</v>
      </c>
      <c r="D582" s="23" t="s">
        <v>642</v>
      </c>
      <c r="E582" s="23">
        <v>6</v>
      </c>
      <c r="F582" s="23" t="s">
        <v>569</v>
      </c>
      <c r="G582" s="23" t="s">
        <v>61</v>
      </c>
      <c r="H582" s="23" t="s">
        <v>115</v>
      </c>
      <c r="I582" s="23"/>
      <c r="J582" s="23" t="s">
        <v>71</v>
      </c>
      <c r="K582" s="23"/>
      <c r="L582" s="29">
        <v>0</v>
      </c>
      <c r="M582" s="29">
        <v>-1</v>
      </c>
      <c r="N582" s="29"/>
      <c r="O582" s="29">
        <v>108125</v>
      </c>
      <c r="P582" s="29">
        <v>28459</v>
      </c>
      <c r="Q582" s="29">
        <v>0</v>
      </c>
      <c r="R582" s="30">
        <v>36741</v>
      </c>
    </row>
    <row r="583" spans="1:18">
      <c r="A583" s="27"/>
      <c r="B583" s="28">
        <v>579</v>
      </c>
      <c r="C583" s="1">
        <f>30000000+INDEX(编号表!$B:$B,MATCH(G583,编号表!$A:$A,0))*100000+INDEX(编号表!$F:$F,MATCH(H583,编号表!$E:$E,0))*1000+INDEX(编号表!$D:$D,MATCH(F583,编号表!$C:$C,0))*10000+E583</f>
        <v>31553007</v>
      </c>
      <c r="D583" s="23" t="s">
        <v>643</v>
      </c>
      <c r="E583" s="23">
        <v>7</v>
      </c>
      <c r="F583" s="23" t="s">
        <v>569</v>
      </c>
      <c r="G583" s="23" t="s">
        <v>61</v>
      </c>
      <c r="H583" s="23" t="s">
        <v>115</v>
      </c>
      <c r="I583" s="23"/>
      <c r="J583" s="23" t="s">
        <v>71</v>
      </c>
      <c r="K583" s="23"/>
      <c r="L583" s="29">
        <v>0</v>
      </c>
      <c r="M583" s="29">
        <v>2</v>
      </c>
      <c r="N583" s="29"/>
      <c r="O583" s="29">
        <v>104538</v>
      </c>
      <c r="P583" s="29">
        <v>80578</v>
      </c>
      <c r="Q583" s="29">
        <v>0</v>
      </c>
      <c r="R583" s="30">
        <v>5248</v>
      </c>
    </row>
    <row r="584" spans="1:18">
      <c r="A584" s="27"/>
      <c r="B584" s="28">
        <v>580</v>
      </c>
      <c r="C584" s="1">
        <f>30000000+INDEX(编号表!$B:$B,MATCH(G584,编号表!$A:$A,0))*100000+INDEX(编号表!$F:$F,MATCH(H584,编号表!$E:$E,0))*1000+INDEX(编号表!$D:$D,MATCH(F584,编号表!$C:$C,0))*10000+E584</f>
        <v>31553008</v>
      </c>
      <c r="D584" s="23" t="s">
        <v>644</v>
      </c>
      <c r="E584" s="23">
        <v>8</v>
      </c>
      <c r="F584" s="23" t="s">
        <v>569</v>
      </c>
      <c r="G584" s="23" t="s">
        <v>61</v>
      </c>
      <c r="H584" s="23" t="s">
        <v>115</v>
      </c>
      <c r="I584" s="23"/>
      <c r="J584" s="23" t="s">
        <v>74</v>
      </c>
      <c r="K584" s="23"/>
      <c r="L584" s="29">
        <v>0</v>
      </c>
      <c r="M584" s="29">
        <v>-2</v>
      </c>
      <c r="N584" s="29"/>
      <c r="O584" s="29">
        <v>104538</v>
      </c>
      <c r="P584" s="29">
        <v>54047</v>
      </c>
      <c r="Q584" s="29">
        <v>0</v>
      </c>
      <c r="R584" s="30">
        <v>12247</v>
      </c>
    </row>
    <row r="585" spans="1:18">
      <c r="A585" s="27"/>
      <c r="B585" s="28">
        <v>581</v>
      </c>
      <c r="C585" s="1">
        <f>30000000+INDEX(编号表!$B:$B,MATCH(G585,编号表!$A:$A,0))*100000+INDEX(编号表!$F:$F,MATCH(H585,编号表!$E:$E,0))*1000+INDEX(编号表!$D:$D,MATCH(F585,编号表!$C:$C,0))*10000+E585</f>
        <v>31553009</v>
      </c>
      <c r="D585" s="23" t="s">
        <v>645</v>
      </c>
      <c r="E585" s="23">
        <v>9</v>
      </c>
      <c r="F585" s="23" t="s">
        <v>569</v>
      </c>
      <c r="G585" s="23" t="s">
        <v>61</v>
      </c>
      <c r="H585" s="23" t="s">
        <v>115</v>
      </c>
      <c r="I585" s="23"/>
      <c r="J585" s="23" t="s">
        <v>74</v>
      </c>
      <c r="K585" s="23"/>
      <c r="L585" s="29">
        <v>0</v>
      </c>
      <c r="M585" s="29">
        <v>1</v>
      </c>
      <c r="N585" s="29"/>
      <c r="O585" s="29">
        <v>99114</v>
      </c>
      <c r="P585" s="29">
        <v>33541</v>
      </c>
      <c r="Q585" s="29">
        <v>0</v>
      </c>
      <c r="R585" s="30">
        <v>17058</v>
      </c>
    </row>
    <row r="586" spans="1:18">
      <c r="A586" s="27"/>
      <c r="B586" s="28">
        <v>582</v>
      </c>
      <c r="C586" s="1">
        <f>30000000+INDEX(编号表!$B:$B,MATCH(G586,编号表!$A:$A,0))*100000+INDEX(编号表!$F:$F,MATCH(H586,编号表!$E:$E,0))*1000+INDEX(编号表!$D:$D,MATCH(F586,编号表!$C:$C,0))*10000+E586</f>
        <v>31453000</v>
      </c>
      <c r="D586" s="23" t="s">
        <v>646</v>
      </c>
      <c r="E586" s="23">
        <v>0</v>
      </c>
      <c r="F586" s="23" t="s">
        <v>569</v>
      </c>
      <c r="G586" s="23" t="s">
        <v>77</v>
      </c>
      <c r="H586" s="23" t="s">
        <v>115</v>
      </c>
      <c r="I586" s="23"/>
      <c r="J586" s="23"/>
      <c r="K586" s="23"/>
      <c r="L586" s="29">
        <v>0</v>
      </c>
      <c r="M586" s="29">
        <v>0</v>
      </c>
      <c r="N586" s="29"/>
      <c r="O586" s="29">
        <v>99114</v>
      </c>
      <c r="P586" s="29">
        <v>26087</v>
      </c>
      <c r="Q586" s="29">
        <v>0</v>
      </c>
      <c r="R586" s="30">
        <v>20120</v>
      </c>
    </row>
    <row r="587" spans="1:18">
      <c r="A587" s="27"/>
      <c r="B587" s="28">
        <v>583</v>
      </c>
      <c r="C587" s="1">
        <f>30000000+INDEX(编号表!$B:$B,MATCH(G587,编号表!$A:$A,0))*100000+INDEX(编号表!$F:$F,MATCH(H587,编号表!$E:$E,0))*1000+INDEX(编号表!$D:$D,MATCH(F587,编号表!$C:$C,0))*10000+E587</f>
        <v>31453001</v>
      </c>
      <c r="D587" s="23" t="s">
        <v>647</v>
      </c>
      <c r="E587" s="23">
        <v>1</v>
      </c>
      <c r="F587" s="23" t="s">
        <v>569</v>
      </c>
      <c r="G587" s="23" t="s">
        <v>77</v>
      </c>
      <c r="H587" s="23" t="s">
        <v>115</v>
      </c>
      <c r="I587" s="23"/>
      <c r="J587" s="23"/>
      <c r="K587" s="23"/>
      <c r="L587" s="29">
        <v>0</v>
      </c>
      <c r="M587" s="29">
        <v>0</v>
      </c>
      <c r="N587" s="29"/>
      <c r="O587" s="29">
        <v>111711</v>
      </c>
      <c r="P587" s="29">
        <v>86107</v>
      </c>
      <c r="Q587" s="29">
        <v>0</v>
      </c>
      <c r="R587" s="30">
        <v>6998</v>
      </c>
    </row>
    <row r="588" spans="1:18">
      <c r="A588" s="27"/>
      <c r="B588" s="28">
        <v>584</v>
      </c>
      <c r="C588" s="1">
        <f>30000000+INDEX(编号表!$B:$B,MATCH(G588,编号表!$A:$A,0))*100000+INDEX(编号表!$F:$F,MATCH(H588,编号表!$E:$E,0))*1000+INDEX(编号表!$D:$D,MATCH(F588,编号表!$C:$C,0))*10000+E588</f>
        <v>31453002</v>
      </c>
      <c r="D588" s="23" t="s">
        <v>648</v>
      </c>
      <c r="E588" s="23">
        <v>2</v>
      </c>
      <c r="F588" s="23" t="s">
        <v>569</v>
      </c>
      <c r="G588" s="23" t="s">
        <v>77</v>
      </c>
      <c r="H588" s="23" t="s">
        <v>115</v>
      </c>
      <c r="I588" s="23"/>
      <c r="J588" s="23"/>
      <c r="K588" s="23"/>
      <c r="L588" s="29">
        <v>0</v>
      </c>
      <c r="M588" s="29">
        <v>1</v>
      </c>
      <c r="N588" s="29"/>
      <c r="O588" s="29">
        <v>108125</v>
      </c>
      <c r="P588" s="29">
        <v>28459</v>
      </c>
      <c r="Q588" s="29">
        <v>0</v>
      </c>
      <c r="R588" s="30">
        <v>36741</v>
      </c>
    </row>
    <row r="589" spans="1:18">
      <c r="A589" s="27"/>
      <c r="B589" s="28">
        <v>585</v>
      </c>
      <c r="C589" s="1">
        <f>30000000+INDEX(编号表!$B:$B,MATCH(G589,编号表!$A:$A,0))*100000+INDEX(编号表!$F:$F,MATCH(H589,编号表!$E:$E,0))*1000+INDEX(编号表!$D:$D,MATCH(F589,编号表!$C:$C,0))*10000+E589</f>
        <v>31453003</v>
      </c>
      <c r="D589" s="23" t="s">
        <v>649</v>
      </c>
      <c r="E589" s="23">
        <v>3</v>
      </c>
      <c r="F589" s="23" t="s">
        <v>569</v>
      </c>
      <c r="G589" s="23" t="s">
        <v>77</v>
      </c>
      <c r="H589" s="23" t="s">
        <v>115</v>
      </c>
      <c r="I589" s="23"/>
      <c r="J589" s="23"/>
      <c r="K589" s="23"/>
      <c r="L589" s="29">
        <v>0</v>
      </c>
      <c r="M589" s="29">
        <v>4</v>
      </c>
      <c r="N589" s="29"/>
      <c r="O589" s="29">
        <v>108125</v>
      </c>
      <c r="P589" s="29">
        <v>83343</v>
      </c>
      <c r="Q589" s="29">
        <v>0</v>
      </c>
      <c r="R589" s="30">
        <v>22744</v>
      </c>
    </row>
    <row r="590" spans="1:18">
      <c r="A590" s="27"/>
      <c r="B590" s="28">
        <v>586</v>
      </c>
      <c r="C590" s="1">
        <f>30000000+INDEX(编号表!$B:$B,MATCH(G590,编号表!$A:$A,0))*100000+INDEX(编号表!$F:$F,MATCH(H590,编号表!$E:$E,0))*1000+INDEX(编号表!$D:$D,MATCH(F590,编号表!$C:$C,0))*10000+E590</f>
        <v>31653000</v>
      </c>
      <c r="D590" s="23" t="s">
        <v>650</v>
      </c>
      <c r="E590" s="23">
        <v>0</v>
      </c>
      <c r="F590" s="23" t="s">
        <v>569</v>
      </c>
      <c r="G590" s="23" t="s">
        <v>82</v>
      </c>
      <c r="H590" s="23" t="s">
        <v>115</v>
      </c>
      <c r="I590" s="23"/>
      <c r="J590" s="23"/>
      <c r="K590" s="23"/>
      <c r="L590" s="29">
        <v>7</v>
      </c>
      <c r="M590" s="29">
        <v>0</v>
      </c>
      <c r="N590" s="29"/>
      <c r="O590" s="29">
        <v>0</v>
      </c>
      <c r="P590" s="29">
        <v>0</v>
      </c>
      <c r="Q590" s="29">
        <v>0</v>
      </c>
      <c r="R590" s="30">
        <v>10497</v>
      </c>
    </row>
    <row r="591" spans="1:18">
      <c r="A591" s="27"/>
      <c r="B591" s="28">
        <v>587</v>
      </c>
      <c r="C591" s="1">
        <f>30000000+INDEX(编号表!$B:$B,MATCH(G591,编号表!$A:$A,0))*100000+INDEX(编号表!$F:$F,MATCH(H591,编号表!$E:$E,0))*1000+INDEX(编号表!$D:$D,MATCH(F591,编号表!$C:$C,0))*10000+E591</f>
        <v>31653001</v>
      </c>
      <c r="D591" s="23" t="s">
        <v>651</v>
      </c>
      <c r="E591" s="23">
        <v>1</v>
      </c>
      <c r="F591" s="23" t="s">
        <v>569</v>
      </c>
      <c r="G591" s="23" t="s">
        <v>82</v>
      </c>
      <c r="H591" s="23" t="s">
        <v>115</v>
      </c>
      <c r="I591" s="23"/>
      <c r="J591" s="23"/>
      <c r="K591" s="23"/>
      <c r="L591" s="29">
        <v>8</v>
      </c>
      <c r="M591" s="29">
        <v>0</v>
      </c>
      <c r="N591" s="29"/>
      <c r="O591" s="29">
        <v>0</v>
      </c>
      <c r="P591" s="29">
        <v>0</v>
      </c>
      <c r="Q591" s="29">
        <v>0</v>
      </c>
      <c r="R591" s="30">
        <v>19245</v>
      </c>
    </row>
    <row r="592" spans="1:18">
      <c r="A592" s="27"/>
      <c r="B592" s="28">
        <v>588</v>
      </c>
      <c r="C592" s="1">
        <f>30000000+INDEX(编号表!$B:$B,MATCH(G592,编号表!$A:$A,0))*100000+INDEX(编号表!$F:$F,MATCH(H592,编号表!$E:$E,0))*1000+INDEX(编号表!$D:$D,MATCH(F592,编号表!$C:$C,0))*10000+E592</f>
        <v>31653002</v>
      </c>
      <c r="D592" s="23" t="s">
        <v>652</v>
      </c>
      <c r="E592" s="23">
        <v>2</v>
      </c>
      <c r="F592" s="23" t="s">
        <v>569</v>
      </c>
      <c r="G592" s="23" t="s">
        <v>82</v>
      </c>
      <c r="H592" s="23" t="s">
        <v>115</v>
      </c>
      <c r="I592" s="23"/>
      <c r="J592" s="23"/>
      <c r="K592" s="23"/>
      <c r="L592" s="29">
        <v>9</v>
      </c>
      <c r="M592" s="29">
        <v>0</v>
      </c>
      <c r="N592" s="29"/>
      <c r="O592" s="29">
        <v>0</v>
      </c>
      <c r="P592" s="29">
        <v>0</v>
      </c>
      <c r="Q592" s="29">
        <v>0</v>
      </c>
      <c r="R592" s="30">
        <v>29743</v>
      </c>
    </row>
    <row r="593" spans="1:18">
      <c r="A593" s="27"/>
      <c r="B593" s="28">
        <v>589</v>
      </c>
      <c r="C593" s="1">
        <f>30000000+INDEX(编号表!$B:$B,MATCH(G593,编号表!$A:$A,0))*100000+INDEX(编号表!$F:$F,MATCH(H593,编号表!$E:$E,0))*1000+INDEX(编号表!$D:$D,MATCH(F593,编号表!$C:$C,0))*10000+E593</f>
        <v>31254000</v>
      </c>
      <c r="D593" s="23" t="s">
        <v>653</v>
      </c>
      <c r="E593" s="23">
        <v>0</v>
      </c>
      <c r="F593" s="23" t="s">
        <v>569</v>
      </c>
      <c r="G593" s="23" t="s">
        <v>42</v>
      </c>
      <c r="H593" s="23" t="s">
        <v>144</v>
      </c>
      <c r="I593" s="23"/>
      <c r="J593" s="23"/>
      <c r="K593" s="23"/>
      <c r="L593" s="29">
        <v>0</v>
      </c>
      <c r="M593" s="29">
        <v>0</v>
      </c>
      <c r="N593" s="29"/>
      <c r="O593" s="29">
        <v>314928</v>
      </c>
      <c r="P593" s="29">
        <v>155890</v>
      </c>
      <c r="Q593" s="29">
        <v>1574640</v>
      </c>
      <c r="R593" s="30">
        <v>28343</v>
      </c>
    </row>
    <row r="594" spans="1:18">
      <c r="A594" s="27"/>
      <c r="B594" s="28">
        <v>590</v>
      </c>
      <c r="C594" s="1">
        <f>30000000+INDEX(编号表!$B:$B,MATCH(G594,编号表!$A:$A,0))*100000+INDEX(编号表!$F:$F,MATCH(H594,编号表!$E:$E,0))*1000+INDEX(编号表!$D:$D,MATCH(F594,编号表!$C:$C,0))*10000+E594</f>
        <v>31354000</v>
      </c>
      <c r="D594" s="23" t="s">
        <v>654</v>
      </c>
      <c r="E594" s="23">
        <v>0</v>
      </c>
      <c r="F594" s="23" t="s">
        <v>569</v>
      </c>
      <c r="G594" s="23" t="s">
        <v>45</v>
      </c>
      <c r="H594" s="23" t="s">
        <v>144</v>
      </c>
      <c r="I594" s="23" t="s">
        <v>46</v>
      </c>
      <c r="J594" s="23"/>
      <c r="K594" s="23"/>
      <c r="L594" s="29">
        <v>0</v>
      </c>
      <c r="M594" s="29">
        <v>-2</v>
      </c>
      <c r="N594" s="29"/>
      <c r="O594" s="29">
        <v>188169</v>
      </c>
      <c r="P594" s="29">
        <v>93144</v>
      </c>
      <c r="Q594" s="29">
        <v>0</v>
      </c>
      <c r="R594" s="30">
        <v>22044</v>
      </c>
    </row>
    <row r="595" spans="1:18">
      <c r="A595" s="27"/>
      <c r="B595" s="28">
        <v>591</v>
      </c>
      <c r="C595" s="1">
        <f>30000000+INDEX(编号表!$B:$B,MATCH(G595,编号表!$A:$A,0))*100000+INDEX(编号表!$F:$F,MATCH(H595,编号表!$E:$E,0))*1000+INDEX(编号表!$D:$D,MATCH(F595,编号表!$C:$C,0))*10000+E595</f>
        <v>31354001</v>
      </c>
      <c r="D595" s="23" t="s">
        <v>655</v>
      </c>
      <c r="E595" s="23">
        <v>1</v>
      </c>
      <c r="F595" s="23" t="s">
        <v>569</v>
      </c>
      <c r="G595" s="23" t="s">
        <v>45</v>
      </c>
      <c r="H595" s="23" t="s">
        <v>144</v>
      </c>
      <c r="I595" s="23" t="s">
        <v>46</v>
      </c>
      <c r="J595" s="23"/>
      <c r="K595" s="23"/>
      <c r="L595" s="29">
        <v>0</v>
      </c>
      <c r="M595" s="29">
        <v>3</v>
      </c>
      <c r="N595" s="29"/>
      <c r="O595" s="29">
        <v>201081</v>
      </c>
      <c r="P595" s="29">
        <v>123062</v>
      </c>
      <c r="Q595" s="29">
        <v>0</v>
      </c>
      <c r="R595" s="30">
        <v>28343</v>
      </c>
    </row>
    <row r="596" spans="1:18">
      <c r="A596" s="27"/>
      <c r="B596" s="28">
        <v>592</v>
      </c>
      <c r="C596" s="1">
        <f>30000000+INDEX(编号表!$B:$B,MATCH(G596,编号表!$A:$A,0))*100000+INDEX(编号表!$F:$F,MATCH(H596,编号表!$E:$E,0))*1000+INDEX(编号表!$D:$D,MATCH(F596,编号表!$C:$C,0))*10000+E596</f>
        <v>31354002</v>
      </c>
      <c r="D596" s="23" t="s">
        <v>656</v>
      </c>
      <c r="E596" s="23">
        <v>2</v>
      </c>
      <c r="F596" s="23" t="s">
        <v>569</v>
      </c>
      <c r="G596" s="23" t="s">
        <v>45</v>
      </c>
      <c r="H596" s="23" t="s">
        <v>144</v>
      </c>
      <c r="I596" s="23" t="s">
        <v>49</v>
      </c>
      <c r="J596" s="23"/>
      <c r="K596" s="23"/>
      <c r="L596" s="29">
        <v>0</v>
      </c>
      <c r="M596" s="29">
        <v>-1</v>
      </c>
      <c r="N596" s="29"/>
      <c r="O596" s="29">
        <v>178406</v>
      </c>
      <c r="P596" s="29">
        <v>57804</v>
      </c>
      <c r="Q596" s="29">
        <v>0</v>
      </c>
      <c r="R596" s="30">
        <v>30705</v>
      </c>
    </row>
    <row r="597" spans="1:18">
      <c r="A597" s="27"/>
      <c r="B597" s="28">
        <v>593</v>
      </c>
      <c r="C597" s="1">
        <f>30000000+INDEX(编号表!$B:$B,MATCH(G597,编号表!$A:$A,0))*100000+INDEX(编号表!$F:$F,MATCH(H597,编号表!$E:$E,0))*1000+INDEX(编号表!$D:$D,MATCH(F597,编号表!$C:$C,0))*10000+E597</f>
        <v>31354003</v>
      </c>
      <c r="D597" s="23" t="s">
        <v>657</v>
      </c>
      <c r="E597" s="23">
        <v>3</v>
      </c>
      <c r="F597" s="23" t="s">
        <v>569</v>
      </c>
      <c r="G597" s="23" t="s">
        <v>45</v>
      </c>
      <c r="H597" s="23" t="s">
        <v>144</v>
      </c>
      <c r="I597" s="23" t="s">
        <v>49</v>
      </c>
      <c r="J597" s="23"/>
      <c r="K597" s="23"/>
      <c r="L597" s="29">
        <v>0</v>
      </c>
      <c r="M597" s="29">
        <v>2</v>
      </c>
      <c r="N597" s="29"/>
      <c r="O597" s="29">
        <v>188169</v>
      </c>
      <c r="P597" s="29">
        <v>138869</v>
      </c>
      <c r="Q597" s="29">
        <v>0</v>
      </c>
      <c r="R597" s="30">
        <v>9447</v>
      </c>
    </row>
    <row r="598" spans="1:18">
      <c r="A598" s="27"/>
      <c r="B598" s="28">
        <v>594</v>
      </c>
      <c r="C598" s="1">
        <f>30000000+INDEX(编号表!$B:$B,MATCH(G598,编号表!$A:$A,0))*100000+INDEX(编号表!$F:$F,MATCH(H598,编号表!$E:$E,0))*1000+INDEX(编号表!$D:$D,MATCH(F598,编号表!$C:$C,0))*10000+E598</f>
        <v>31354004</v>
      </c>
      <c r="D598" s="23" t="s">
        <v>658</v>
      </c>
      <c r="E598" s="23">
        <v>4</v>
      </c>
      <c r="F598" s="23" t="s">
        <v>569</v>
      </c>
      <c r="G598" s="23" t="s">
        <v>45</v>
      </c>
      <c r="H598" s="23" t="s">
        <v>144</v>
      </c>
      <c r="I598" s="23" t="s">
        <v>52</v>
      </c>
      <c r="J598" s="23"/>
      <c r="K598" s="23"/>
      <c r="L598" s="29">
        <v>0</v>
      </c>
      <c r="M598" s="29">
        <v>-1</v>
      </c>
      <c r="N598" s="29"/>
      <c r="O598" s="29">
        <v>188169</v>
      </c>
      <c r="P598" s="29">
        <v>115160</v>
      </c>
      <c r="Q598" s="29">
        <v>0</v>
      </c>
      <c r="R598" s="30">
        <v>22832</v>
      </c>
    </row>
    <row r="599" spans="1:18">
      <c r="A599" s="27"/>
      <c r="B599" s="28">
        <v>595</v>
      </c>
      <c r="C599" s="1">
        <f>30000000+INDEX(编号表!$B:$B,MATCH(G599,编号表!$A:$A,0))*100000+INDEX(编号表!$F:$F,MATCH(H599,编号表!$E:$E,0))*1000+INDEX(编号表!$D:$D,MATCH(F599,编号表!$C:$C,0))*10000+E599</f>
        <v>31354005</v>
      </c>
      <c r="D599" s="23" t="inlineStr">
        <is>
          <t xml:space="preserve">千载沸泉苔·仙株</t>
        </is>
      </c>
      <c r="E599" s="23">
        <v>5</v>
      </c>
      <c r="F599" s="23" t="s">
        <v>569</v>
      </c>
      <c r="G599" s="23" t="s">
        <v>45</v>
      </c>
      <c r="H599" s="23" t="s">
        <v>144</v>
      </c>
      <c r="I599" s="23" t="s">
        <v>52</v>
      </c>
      <c r="J599" s="23"/>
      <c r="K599" s="23"/>
      <c r="L599" s="29">
        <v>0</v>
      </c>
      <c r="M599" s="29">
        <v>4</v>
      </c>
      <c r="N599" s="29"/>
      <c r="O599" s="29">
        <v>194625</v>
      </c>
      <c r="P599" s="29">
        <v>143634</v>
      </c>
      <c r="Q599" s="29">
        <v>0</v>
      </c>
      <c r="R599" s="30">
        <v>40940</v>
      </c>
    </row>
    <row r="600" spans="1:18">
      <c r="A600" s="27"/>
      <c r="B600" s="28">
        <v>596</v>
      </c>
      <c r="C600" s="1">
        <f>30000000+INDEX(编号表!$B:$B,MATCH(G600,编号表!$A:$A,0))*100000+INDEX(编号表!$F:$F,MATCH(H600,编号表!$E:$E,0))*1000+INDEX(编号表!$D:$D,MATCH(F600,编号表!$C:$C,0))*10000+E600</f>
        <v>31354006</v>
      </c>
      <c r="D600" s="23" t="inlineStr">
        <is>
          <t xml:space="preserve">千载丹露花·仙株</t>
        </is>
      </c>
      <c r="E600" s="23">
        <v>6</v>
      </c>
      <c r="F600" s="23" t="s">
        <v>569</v>
      </c>
      <c r="G600" s="23" t="s">
        <v>45</v>
      </c>
      <c r="H600" s="23" t="s">
        <v>144</v>
      </c>
      <c r="I600" s="23" t="s">
        <v>55</v>
      </c>
      <c r="J600" s="23"/>
      <c r="K600" s="23"/>
      <c r="L600" s="29">
        <v>0</v>
      </c>
      <c r="M600" s="29">
        <v>-1</v>
      </c>
      <c r="N600" s="29"/>
      <c r="O600" s="29">
        <v>194625</v>
      </c>
      <c r="P600" s="29">
        <v>49046</v>
      </c>
      <c r="Q600" s="29">
        <v>0</v>
      </c>
      <c r="R600" s="30">
        <v>66134</v>
      </c>
    </row>
    <row r="601" spans="1:18">
      <c r="A601" s="27"/>
      <c r="B601" s="28">
        <v>597</v>
      </c>
      <c r="C601" s="1">
        <f>30000000+INDEX(编号表!$B:$B,MATCH(G601,编号表!$A:$A,0))*100000+INDEX(编号表!$F:$F,MATCH(H601,编号表!$E:$E,0))*1000+INDEX(编号表!$D:$D,MATCH(F601,编号表!$C:$C,0))*10000+E601</f>
        <v>31354007</v>
      </c>
      <c r="D601" s="23" t="s">
        <v>661</v>
      </c>
      <c r="E601" s="23">
        <v>7</v>
      </c>
      <c r="F601" s="23" t="s">
        <v>569</v>
      </c>
      <c r="G601" s="23" t="s">
        <v>45</v>
      </c>
      <c r="H601" s="23" t="s">
        <v>144</v>
      </c>
      <c r="I601" s="23" t="s">
        <v>55</v>
      </c>
      <c r="J601" s="23"/>
      <c r="K601" s="23"/>
      <c r="L601" s="29">
        <v>0</v>
      </c>
      <c r="M601" s="29">
        <v>2</v>
      </c>
      <c r="N601" s="29"/>
      <c r="O601" s="29">
        <v>188169</v>
      </c>
      <c r="P601" s="29">
        <v>138869</v>
      </c>
      <c r="Q601" s="29">
        <v>0</v>
      </c>
      <c r="R601" s="30">
        <v>9447</v>
      </c>
    </row>
    <row r="602" spans="1:18">
      <c r="A602" s="27"/>
      <c r="B602" s="28">
        <v>598</v>
      </c>
      <c r="C602" s="1">
        <f>30000000+INDEX(编号表!$B:$B,MATCH(G602,编号表!$A:$A,0))*100000+INDEX(编号表!$F:$F,MATCH(H602,编号表!$E:$E,0))*1000+INDEX(编号表!$D:$D,MATCH(F602,编号表!$C:$C,0))*10000+E602</f>
        <v>31354008</v>
      </c>
      <c r="D602" s="23" t="s">
        <v>662</v>
      </c>
      <c r="E602" s="23">
        <v>8</v>
      </c>
      <c r="F602" s="23" t="s">
        <v>569</v>
      </c>
      <c r="G602" s="23" t="s">
        <v>45</v>
      </c>
      <c r="H602" s="23" t="s">
        <v>144</v>
      </c>
      <c r="I602" s="23" t="s">
        <v>58</v>
      </c>
      <c r="J602" s="23"/>
      <c r="K602" s="23"/>
      <c r="L602" s="29">
        <v>0</v>
      </c>
      <c r="M602" s="29">
        <v>-2</v>
      </c>
      <c r="N602" s="29"/>
      <c r="O602" s="29">
        <v>188169</v>
      </c>
      <c r="P602" s="29">
        <v>93144</v>
      </c>
      <c r="Q602" s="29">
        <v>0</v>
      </c>
      <c r="R602" s="30">
        <v>22044</v>
      </c>
    </row>
    <row r="603" spans="1:18">
      <c r="A603" s="27"/>
      <c r="B603" s="28">
        <v>599</v>
      </c>
      <c r="C603" s="1">
        <f>30000000+INDEX(编号表!$B:$B,MATCH(G603,编号表!$A:$A,0))*100000+INDEX(编号表!$F:$F,MATCH(H603,编号表!$E:$E,0))*1000+INDEX(编号表!$D:$D,MATCH(F603,编号表!$C:$C,0))*10000+E603</f>
        <v>31354009</v>
      </c>
      <c r="D603" s="23" t="s">
        <v>663</v>
      </c>
      <c r="E603" s="23">
        <v>9</v>
      </c>
      <c r="F603" s="23" t="s">
        <v>569</v>
      </c>
      <c r="G603" s="23" t="s">
        <v>45</v>
      </c>
      <c r="H603" s="23" t="s">
        <v>144</v>
      </c>
      <c r="I603" s="23" t="s">
        <v>58</v>
      </c>
      <c r="J603" s="23"/>
      <c r="K603" s="23"/>
      <c r="L603" s="29">
        <v>0</v>
      </c>
      <c r="M603" s="29">
        <v>1</v>
      </c>
      <c r="N603" s="29"/>
      <c r="O603" s="29">
        <v>178406</v>
      </c>
      <c r="P603" s="29">
        <v>57804</v>
      </c>
      <c r="Q603" s="29">
        <v>0</v>
      </c>
      <c r="R603" s="30">
        <v>30705</v>
      </c>
    </row>
    <row r="604" spans="1:18">
      <c r="A604" s="27"/>
      <c r="B604" s="28">
        <v>600</v>
      </c>
      <c r="C604" s="1">
        <f>30000000+INDEX(编号表!$B:$B,MATCH(G604,编号表!$A:$A,0))*100000+INDEX(编号表!$F:$F,MATCH(H604,编号表!$E:$E,0))*1000+INDEX(编号表!$D:$D,MATCH(F604,编号表!$C:$C,0))*10000+E604</f>
        <v>31554000</v>
      </c>
      <c r="D604" s="23" t="inlineStr">
        <is>
          <t xml:space="preserve">千载霜辛草·仙株</t>
        </is>
      </c>
      <c r="E604" s="23">
        <v>0</v>
      </c>
      <c r="F604" s="23" t="s">
        <v>569</v>
      </c>
      <c r="G604" s="23" t="s">
        <v>61</v>
      </c>
      <c r="H604" s="23" t="s">
        <v>144</v>
      </c>
      <c r="I604" s="23"/>
      <c r="J604" s="23" t="s">
        <v>62</v>
      </c>
      <c r="K604" s="23"/>
      <c r="L604" s="29">
        <v>0</v>
      </c>
      <c r="M604" s="29">
        <v>-2</v>
      </c>
      <c r="N604" s="29"/>
      <c r="O604" s="29">
        <v>188169</v>
      </c>
      <c r="P604" s="29">
        <v>93144</v>
      </c>
      <c r="Q604" s="29">
        <v>0</v>
      </c>
      <c r="R604" s="30">
        <v>22044</v>
      </c>
    </row>
    <row r="605" spans="1:18">
      <c r="A605" s="27"/>
      <c r="B605" s="28">
        <v>601</v>
      </c>
      <c r="C605" s="1">
        <f>30000000+INDEX(编号表!$B:$B,MATCH(G605,编号表!$A:$A,0))*100000+INDEX(编号表!$F:$F,MATCH(H605,编号表!$E:$E,0))*1000+INDEX(编号表!$D:$D,MATCH(F605,编号表!$C:$C,0))*10000+E605</f>
        <v>31554001</v>
      </c>
      <c r="D605" s="23" t="s">
        <v>665</v>
      </c>
      <c r="E605" s="23">
        <v>1</v>
      </c>
      <c r="F605" s="23" t="s">
        <v>569</v>
      </c>
      <c r="G605" s="23" t="s">
        <v>61</v>
      </c>
      <c r="H605" s="23" t="s">
        <v>144</v>
      </c>
      <c r="I605" s="23"/>
      <c r="J605" s="23" t="s">
        <v>62</v>
      </c>
      <c r="K605" s="23"/>
      <c r="L605" s="29">
        <v>0</v>
      </c>
      <c r="M605" s="29">
        <v>3</v>
      </c>
      <c r="N605" s="29"/>
      <c r="O605" s="29">
        <v>201081</v>
      </c>
      <c r="P605" s="29">
        <v>123062</v>
      </c>
      <c r="Q605" s="29">
        <v>0</v>
      </c>
      <c r="R605" s="30">
        <v>28343</v>
      </c>
    </row>
    <row r="606" spans="1:18">
      <c r="A606" s="27"/>
      <c r="B606" s="28">
        <v>602</v>
      </c>
      <c r="C606" s="1">
        <f>30000000+INDEX(编号表!$B:$B,MATCH(G606,编号表!$A:$A,0))*100000+INDEX(编号表!$F:$F,MATCH(H606,编号表!$E:$E,0))*1000+INDEX(编号表!$D:$D,MATCH(F606,编号表!$C:$C,0))*10000+E606</f>
        <v>31554002</v>
      </c>
      <c r="D606" s="23" t="s">
        <v>666</v>
      </c>
      <c r="E606" s="23">
        <v>2</v>
      </c>
      <c r="F606" s="23" t="s">
        <v>569</v>
      </c>
      <c r="G606" s="23" t="s">
        <v>61</v>
      </c>
      <c r="H606" s="23" t="s">
        <v>144</v>
      </c>
      <c r="I606" s="23"/>
      <c r="J606" s="23" t="s">
        <v>65</v>
      </c>
      <c r="K606" s="23"/>
      <c r="L606" s="29">
        <v>0</v>
      </c>
      <c r="M606" s="29">
        <v>-1</v>
      </c>
      <c r="N606" s="29"/>
      <c r="O606" s="29">
        <v>178406</v>
      </c>
      <c r="P606" s="29">
        <v>57804</v>
      </c>
      <c r="Q606" s="29">
        <v>0</v>
      </c>
      <c r="R606" s="30">
        <v>30705</v>
      </c>
    </row>
    <row r="607" spans="1:18">
      <c r="A607" s="27"/>
      <c r="B607" s="28">
        <v>603</v>
      </c>
      <c r="C607" s="1">
        <f>30000000+INDEX(编号表!$B:$B,MATCH(G607,编号表!$A:$A,0))*100000+INDEX(编号表!$F:$F,MATCH(H607,编号表!$E:$E,0))*1000+INDEX(编号表!$D:$D,MATCH(F607,编号表!$C:$C,0))*10000+E607</f>
        <v>31554003</v>
      </c>
      <c r="D607" s="23" t="s">
        <v>667</v>
      </c>
      <c r="E607" s="23">
        <v>3</v>
      </c>
      <c r="F607" s="23" t="s">
        <v>569</v>
      </c>
      <c r="G607" s="23" t="s">
        <v>61</v>
      </c>
      <c r="H607" s="23" t="s">
        <v>144</v>
      </c>
      <c r="I607" s="23"/>
      <c r="J607" s="23" t="s">
        <v>65</v>
      </c>
      <c r="K607" s="23"/>
      <c r="L607" s="29">
        <v>0</v>
      </c>
      <c r="M607" s="29">
        <v>2</v>
      </c>
      <c r="N607" s="29"/>
      <c r="O607" s="29">
        <v>188169</v>
      </c>
      <c r="P607" s="29">
        <v>138869</v>
      </c>
      <c r="Q607" s="29">
        <v>0</v>
      </c>
      <c r="R607" s="30">
        <v>9447</v>
      </c>
    </row>
    <row r="608" spans="1:18">
      <c r="A608" s="27"/>
      <c r="B608" s="28">
        <v>604</v>
      </c>
      <c r="C608" s="1">
        <f>30000000+INDEX(编号表!$B:$B,MATCH(G608,编号表!$A:$A,0))*100000+INDEX(编号表!$F:$F,MATCH(H608,编号表!$E:$E,0))*1000+INDEX(编号表!$D:$D,MATCH(F608,编号表!$C:$C,0))*10000+E608</f>
        <v>31554004</v>
      </c>
      <c r="D608" s="23" t="s">
        <v>668</v>
      </c>
      <c r="E608" s="23">
        <v>4</v>
      </c>
      <c r="F608" s="23" t="s">
        <v>569</v>
      </c>
      <c r="G608" s="23" t="s">
        <v>61</v>
      </c>
      <c r="H608" s="23" t="s">
        <v>144</v>
      </c>
      <c r="I608" s="23"/>
      <c r="J608" s="23" t="s">
        <v>68</v>
      </c>
      <c r="K608" s="23"/>
      <c r="L608" s="29">
        <v>0</v>
      </c>
      <c r="M608" s="29">
        <v>-1</v>
      </c>
      <c r="N608" s="29"/>
      <c r="O608" s="29">
        <v>188169</v>
      </c>
      <c r="P608" s="29">
        <v>115160</v>
      </c>
      <c r="Q608" s="29">
        <v>0</v>
      </c>
      <c r="R608" s="30">
        <v>22832</v>
      </c>
    </row>
    <row r="609" spans="1:18">
      <c r="A609" s="27"/>
      <c r="B609" s="28">
        <v>605</v>
      </c>
      <c r="C609" s="1">
        <f>30000000+INDEX(编号表!$B:$B,MATCH(G609,编号表!$A:$A,0))*100000+INDEX(编号表!$F:$F,MATCH(H609,编号表!$E:$E,0))*1000+INDEX(编号表!$D:$D,MATCH(F609,编号表!$C:$C,0))*10000+E609</f>
        <v>31554005</v>
      </c>
      <c r="D609" s="23" t="s">
        <v>669</v>
      </c>
      <c r="E609" s="23">
        <v>5</v>
      </c>
      <c r="F609" s="23" t="s">
        <v>569</v>
      </c>
      <c r="G609" s="23" t="s">
        <v>61</v>
      </c>
      <c r="H609" s="23" t="s">
        <v>144</v>
      </c>
      <c r="I609" s="23"/>
      <c r="J609" s="23" t="s">
        <v>68</v>
      </c>
      <c r="K609" s="23"/>
      <c r="L609" s="29">
        <v>0</v>
      </c>
      <c r="M609" s="29">
        <v>4</v>
      </c>
      <c r="N609" s="29"/>
      <c r="O609" s="29">
        <v>194625</v>
      </c>
      <c r="P609" s="29">
        <v>143634</v>
      </c>
      <c r="Q609" s="29">
        <v>0</v>
      </c>
      <c r="R609" s="30">
        <v>40940</v>
      </c>
    </row>
    <row r="610" spans="1:18">
      <c r="A610" s="27"/>
      <c r="B610" s="28">
        <v>606</v>
      </c>
      <c r="C610" s="1">
        <f>30000000+INDEX(编号表!$B:$B,MATCH(G610,编号表!$A:$A,0))*100000+INDEX(编号表!$F:$F,MATCH(H610,编号表!$E:$E,0))*1000+INDEX(编号表!$D:$D,MATCH(F610,编号表!$C:$C,0))*10000+E610</f>
        <v>31554006</v>
      </c>
      <c r="D610" s="23" t="s">
        <v>670</v>
      </c>
      <c r="E610" s="23">
        <v>6</v>
      </c>
      <c r="F610" s="23" t="s">
        <v>569</v>
      </c>
      <c r="G610" s="23" t="s">
        <v>61</v>
      </c>
      <c r="H610" s="23" t="s">
        <v>144</v>
      </c>
      <c r="I610" s="23"/>
      <c r="J610" s="23" t="s">
        <v>71</v>
      </c>
      <c r="K610" s="23"/>
      <c r="L610" s="29">
        <v>0</v>
      </c>
      <c r="M610" s="29">
        <v>-1</v>
      </c>
      <c r="N610" s="29"/>
      <c r="O610" s="29">
        <v>194625</v>
      </c>
      <c r="P610" s="29">
        <v>49046</v>
      </c>
      <c r="Q610" s="29">
        <v>0</v>
      </c>
      <c r="R610" s="30">
        <v>66134</v>
      </c>
    </row>
    <row r="611" spans="1:18">
      <c r="A611" s="27"/>
      <c r="B611" s="28">
        <v>607</v>
      </c>
      <c r="C611" s="1">
        <f>30000000+INDEX(编号表!$B:$B,MATCH(G611,编号表!$A:$A,0))*100000+INDEX(编号表!$F:$F,MATCH(H611,编号表!$E:$E,0))*1000+INDEX(编号表!$D:$D,MATCH(F611,编号表!$C:$C,0))*10000+E611</f>
        <v>31554007</v>
      </c>
      <c r="D611" s="23" t="s">
        <v>671</v>
      </c>
      <c r="E611" s="23">
        <v>7</v>
      </c>
      <c r="F611" s="23" t="s">
        <v>569</v>
      </c>
      <c r="G611" s="23" t="s">
        <v>61</v>
      </c>
      <c r="H611" s="23" t="s">
        <v>144</v>
      </c>
      <c r="I611" s="23"/>
      <c r="J611" s="23" t="s">
        <v>71</v>
      </c>
      <c r="K611" s="23"/>
      <c r="L611" s="29">
        <v>0</v>
      </c>
      <c r="M611" s="29">
        <v>2</v>
      </c>
      <c r="N611" s="29"/>
      <c r="O611" s="29">
        <v>188169</v>
      </c>
      <c r="P611" s="29">
        <v>138869</v>
      </c>
      <c r="Q611" s="29">
        <v>0</v>
      </c>
      <c r="R611" s="30">
        <v>9447</v>
      </c>
    </row>
    <row r="612" spans="1:18">
      <c r="A612" s="27"/>
      <c r="B612" s="28">
        <v>608</v>
      </c>
      <c r="C612" s="1">
        <f>30000000+INDEX(编号表!$B:$B,MATCH(G612,编号表!$A:$A,0))*100000+INDEX(编号表!$F:$F,MATCH(H612,编号表!$E:$E,0))*1000+INDEX(编号表!$D:$D,MATCH(F612,编号表!$C:$C,0))*10000+E612</f>
        <v>31554008</v>
      </c>
      <c r="D612" s="23" t="s">
        <v>672</v>
      </c>
      <c r="E612" s="23">
        <v>8</v>
      </c>
      <c r="F612" s="23" t="s">
        <v>569</v>
      </c>
      <c r="G612" s="23" t="s">
        <v>61</v>
      </c>
      <c r="H612" s="23" t="s">
        <v>144</v>
      </c>
      <c r="I612" s="23"/>
      <c r="J612" s="23" t="s">
        <v>74</v>
      </c>
      <c r="K612" s="23"/>
      <c r="L612" s="29">
        <v>0</v>
      </c>
      <c r="M612" s="29">
        <v>-2</v>
      </c>
      <c r="N612" s="29"/>
      <c r="O612" s="29">
        <v>188169</v>
      </c>
      <c r="P612" s="29">
        <v>93144</v>
      </c>
      <c r="Q612" s="29">
        <v>0</v>
      </c>
      <c r="R612" s="30">
        <v>22044</v>
      </c>
    </row>
    <row r="613" spans="1:18">
      <c r="A613" s="27"/>
      <c r="B613" s="28">
        <v>609</v>
      </c>
      <c r="C613" s="1">
        <f>30000000+INDEX(编号表!$B:$B,MATCH(G613,编号表!$A:$A,0))*100000+INDEX(编号表!$F:$F,MATCH(H613,编号表!$E:$E,0))*1000+INDEX(编号表!$D:$D,MATCH(F613,编号表!$C:$C,0))*10000+E613</f>
        <v>31554009</v>
      </c>
      <c r="D613" s="23" t="s">
        <v>673</v>
      </c>
      <c r="E613" s="23">
        <v>9</v>
      </c>
      <c r="F613" s="23" t="s">
        <v>569</v>
      </c>
      <c r="G613" s="23" t="s">
        <v>61</v>
      </c>
      <c r="H613" s="23" t="s">
        <v>144</v>
      </c>
      <c r="I613" s="23"/>
      <c r="J613" s="23" t="s">
        <v>74</v>
      </c>
      <c r="K613" s="23"/>
      <c r="L613" s="29">
        <v>0</v>
      </c>
      <c r="M613" s="29">
        <v>1</v>
      </c>
      <c r="N613" s="29"/>
      <c r="O613" s="29">
        <v>178406</v>
      </c>
      <c r="P613" s="29">
        <v>57804</v>
      </c>
      <c r="Q613" s="29">
        <v>0</v>
      </c>
      <c r="R613" s="30">
        <v>30705</v>
      </c>
    </row>
    <row r="614" spans="1:18">
      <c r="A614" s="27"/>
      <c r="B614" s="28">
        <v>610</v>
      </c>
      <c r="C614" s="1">
        <f>30000000+INDEX(编号表!$B:$B,MATCH(G614,编号表!$A:$A,0))*100000+INDEX(编号表!$F:$F,MATCH(H614,编号表!$E:$E,0))*1000+INDEX(编号表!$D:$D,MATCH(F614,编号表!$C:$C,0))*10000+E614</f>
        <v>31454000</v>
      </c>
      <c r="D614" s="23" t="s">
        <v>674</v>
      </c>
      <c r="E614" s="23">
        <v>0</v>
      </c>
      <c r="F614" s="23" t="s">
        <v>569</v>
      </c>
      <c r="G614" s="23" t="s">
        <v>77</v>
      </c>
      <c r="H614" s="23" t="s">
        <v>144</v>
      </c>
      <c r="I614" s="23"/>
      <c r="J614" s="23"/>
      <c r="K614" s="23"/>
      <c r="L614" s="29">
        <v>0</v>
      </c>
      <c r="M614" s="29">
        <v>0</v>
      </c>
      <c r="N614" s="29"/>
      <c r="O614" s="29">
        <v>178406</v>
      </c>
      <c r="P614" s="29">
        <v>44959</v>
      </c>
      <c r="Q614" s="29">
        <v>0</v>
      </c>
      <c r="R614" s="30">
        <v>36216</v>
      </c>
    </row>
    <row r="615" spans="1:18">
      <c r="A615" s="27"/>
      <c r="B615" s="28">
        <v>611</v>
      </c>
      <c r="C615" s="1">
        <f>30000000+INDEX(编号表!$B:$B,MATCH(G615,编号表!$A:$A,0))*100000+INDEX(编号表!$F:$F,MATCH(H615,编号表!$E:$E,0))*1000+INDEX(编号表!$D:$D,MATCH(F615,编号表!$C:$C,0))*10000+E615</f>
        <v>31454001</v>
      </c>
      <c r="D615" s="23" t="s">
        <v>675</v>
      </c>
      <c r="E615" s="23">
        <v>1</v>
      </c>
      <c r="F615" s="23" t="s">
        <v>569</v>
      </c>
      <c r="G615" s="23" t="s">
        <v>77</v>
      </c>
      <c r="H615" s="23" t="s">
        <v>144</v>
      </c>
      <c r="I615" s="23"/>
      <c r="J615" s="23"/>
      <c r="K615" s="23"/>
      <c r="L615" s="29">
        <v>0</v>
      </c>
      <c r="M615" s="29">
        <v>0</v>
      </c>
      <c r="N615" s="29"/>
      <c r="O615" s="29">
        <v>201081</v>
      </c>
      <c r="P615" s="29">
        <v>148398</v>
      </c>
      <c r="Q615" s="29">
        <v>0</v>
      </c>
      <c r="R615" s="30">
        <v>12597</v>
      </c>
    </row>
    <row r="616" spans="1:18">
      <c r="A616" s="27"/>
      <c r="B616" s="28">
        <v>612</v>
      </c>
      <c r="C616" s="1">
        <f>30000000+INDEX(编号表!$B:$B,MATCH(G616,编号表!$A:$A,0))*100000+INDEX(编号表!$F:$F,MATCH(H616,编号表!$E:$E,0))*1000+INDEX(编号表!$D:$D,MATCH(F616,编号表!$C:$C,0))*10000+E616</f>
        <v>31454002</v>
      </c>
      <c r="D616" s="23" t="s">
        <v>676</v>
      </c>
      <c r="E616" s="23">
        <v>2</v>
      </c>
      <c r="F616" s="23" t="s">
        <v>569</v>
      </c>
      <c r="G616" s="23" t="s">
        <v>77</v>
      </c>
      <c r="H616" s="23" t="s">
        <v>144</v>
      </c>
      <c r="I616" s="23"/>
      <c r="J616" s="23"/>
      <c r="K616" s="23"/>
      <c r="L616" s="29">
        <v>0</v>
      </c>
      <c r="M616" s="29">
        <v>1</v>
      </c>
      <c r="N616" s="29"/>
      <c r="O616" s="29">
        <v>194625</v>
      </c>
      <c r="P616" s="29">
        <v>49046</v>
      </c>
      <c r="Q616" s="29">
        <v>0</v>
      </c>
      <c r="R616" s="30">
        <v>66134</v>
      </c>
    </row>
    <row r="617" spans="1:18">
      <c r="A617" s="27"/>
      <c r="B617" s="28">
        <v>613</v>
      </c>
      <c r="C617" s="1">
        <f>30000000+INDEX(编号表!$B:$B,MATCH(G617,编号表!$A:$A,0))*100000+INDEX(编号表!$F:$F,MATCH(H617,编号表!$E:$E,0))*1000+INDEX(编号表!$D:$D,MATCH(F617,编号表!$C:$C,0))*10000+E617</f>
        <v>31454003</v>
      </c>
      <c r="D617" s="23" t="s">
        <v>677</v>
      </c>
      <c r="E617" s="23">
        <v>3</v>
      </c>
      <c r="F617" s="23" t="s">
        <v>569</v>
      </c>
      <c r="G617" s="23" t="s">
        <v>77</v>
      </c>
      <c r="H617" s="23" t="s">
        <v>144</v>
      </c>
      <c r="I617" s="23"/>
      <c r="J617" s="23"/>
      <c r="K617" s="23"/>
      <c r="L617" s="29">
        <v>0</v>
      </c>
      <c r="M617" s="29">
        <v>4</v>
      </c>
      <c r="N617" s="29"/>
      <c r="O617" s="29">
        <v>194625</v>
      </c>
      <c r="P617" s="29">
        <v>143634</v>
      </c>
      <c r="Q617" s="29">
        <v>0</v>
      </c>
      <c r="R617" s="30">
        <v>40940</v>
      </c>
    </row>
    <row r="618" spans="1:18">
      <c r="A618" s="27"/>
      <c r="B618" s="28">
        <v>614</v>
      </c>
      <c r="C618" s="1">
        <f>30000000+INDEX(编号表!$B:$B,MATCH(G618,编号表!$A:$A,0))*100000+INDEX(编号表!$F:$F,MATCH(H618,编号表!$E:$E,0))*1000+INDEX(编号表!$D:$D,MATCH(F618,编号表!$C:$C,0))*10000+E618</f>
        <v>31654000</v>
      </c>
      <c r="D618" s="23" t="s">
        <v>678</v>
      </c>
      <c r="E618" s="23">
        <v>0</v>
      </c>
      <c r="F618" s="23" t="s">
        <v>569</v>
      </c>
      <c r="G618" s="23" t="s">
        <v>82</v>
      </c>
      <c r="H618" s="23" t="s">
        <v>144</v>
      </c>
      <c r="I618" s="23"/>
      <c r="J618" s="23"/>
      <c r="K618" s="23"/>
      <c r="L618" s="29">
        <v>7</v>
      </c>
      <c r="M618" s="29">
        <v>0</v>
      </c>
      <c r="N618" s="29"/>
      <c r="O618" s="29">
        <v>0</v>
      </c>
      <c r="P618" s="29">
        <v>0</v>
      </c>
      <c r="Q618" s="29">
        <v>0</v>
      </c>
      <c r="R618" s="30">
        <v>18895</v>
      </c>
    </row>
    <row r="619" spans="1:18">
      <c r="A619" s="27"/>
      <c r="B619" s="28">
        <v>615</v>
      </c>
      <c r="C619" s="1">
        <f>30000000+INDEX(编号表!$B:$B,MATCH(G619,编号表!$A:$A,0))*100000+INDEX(编号表!$F:$F,MATCH(H619,编号表!$E:$E,0))*1000+INDEX(编号表!$D:$D,MATCH(F619,编号表!$C:$C,0))*10000+E619</f>
        <v>31654001</v>
      </c>
      <c r="D619" s="23" t="s">
        <v>679</v>
      </c>
      <c r="E619" s="23">
        <v>1</v>
      </c>
      <c r="F619" s="23" t="s">
        <v>569</v>
      </c>
      <c r="G619" s="23" t="s">
        <v>82</v>
      </c>
      <c r="H619" s="23" t="s">
        <v>144</v>
      </c>
      <c r="I619" s="23"/>
      <c r="J619" s="23"/>
      <c r="K619" s="23"/>
      <c r="L619" s="29">
        <v>8</v>
      </c>
      <c r="M619" s="29">
        <v>0</v>
      </c>
      <c r="N619" s="29"/>
      <c r="O619" s="29">
        <v>0</v>
      </c>
      <c r="P619" s="29">
        <v>0</v>
      </c>
      <c r="Q619" s="29">
        <v>0</v>
      </c>
      <c r="R619" s="30">
        <v>34642</v>
      </c>
    </row>
    <row r="620" spans="1:18">
      <c r="A620" s="27"/>
      <c r="B620" s="28">
        <v>616</v>
      </c>
      <c r="C620" s="1">
        <f>30000000+INDEX(编号表!$B:$B,MATCH(G620,编号表!$A:$A,0))*100000+INDEX(编号表!$F:$F,MATCH(H620,编号表!$E:$E,0))*1000+INDEX(编号表!$D:$D,MATCH(F620,编号表!$C:$C,0))*10000+E620</f>
        <v>31654002</v>
      </c>
      <c r="D620" s="23" t="s">
        <v>680</v>
      </c>
      <c r="E620" s="23">
        <v>2</v>
      </c>
      <c r="F620" s="23" t="s">
        <v>569</v>
      </c>
      <c r="G620" s="23" t="s">
        <v>82</v>
      </c>
      <c r="H620" s="23" t="s">
        <v>144</v>
      </c>
      <c r="I620" s="23"/>
      <c r="J620" s="23"/>
      <c r="K620" s="23"/>
      <c r="L620" s="29">
        <v>9</v>
      </c>
      <c r="M620" s="29">
        <v>0</v>
      </c>
      <c r="N620" s="29"/>
      <c r="O620" s="29">
        <v>0</v>
      </c>
      <c r="P620" s="29">
        <v>0</v>
      </c>
      <c r="Q620" s="29">
        <v>0</v>
      </c>
      <c r="R620" s="30">
        <v>53537</v>
      </c>
    </row>
    <row r="621" spans="1:18">
      <c r="A621" s="27"/>
      <c r="B621" s="28">
        <v>617</v>
      </c>
      <c r="C621" s="1">
        <f>30000000+INDEX(编号表!$B:$B,MATCH(G621,编号表!$A:$A,0))*100000+INDEX(编号表!$F:$F,MATCH(H621,编号表!$E:$E,0))*1000+INDEX(编号表!$D:$D,MATCH(F621,编号表!$C:$C,0))*10000+E621</f>
        <v>31255000</v>
      </c>
      <c r="D621" s="23" t="s">
        <v>681</v>
      </c>
      <c r="E621" s="23">
        <v>0</v>
      </c>
      <c r="F621" s="23" t="s">
        <v>569</v>
      </c>
      <c r="G621" s="23" t="s">
        <v>42</v>
      </c>
      <c r="H621" s="23" t="s">
        <v>173</v>
      </c>
      <c r="I621" s="23"/>
      <c r="J621" s="23"/>
      <c r="K621" s="23"/>
      <c r="L621" s="29">
        <v>0</v>
      </c>
      <c r="M621" s="29">
        <v>0</v>
      </c>
      <c r="N621" s="29"/>
      <c r="O621" s="29">
        <v>566870</v>
      </c>
      <c r="P621" s="29">
        <v>236952</v>
      </c>
      <c r="Q621" s="29">
        <v>2834352</v>
      </c>
      <c r="R621" s="30">
        <v>51018</v>
      </c>
    </row>
    <row r="622" spans="1:18">
      <c r="A622" s="27"/>
      <c r="B622" s="28">
        <v>618</v>
      </c>
      <c r="C622" s="1">
        <f>30000000+INDEX(编号表!$B:$B,MATCH(G622,编号表!$A:$A,0))*100000+INDEX(编号表!$F:$F,MATCH(H622,编号表!$E:$E,0))*1000+INDEX(编号表!$D:$D,MATCH(F622,编号表!$C:$C,0))*10000+E622</f>
        <v>31355000</v>
      </c>
      <c r="D622" s="23" t="s">
        <v>682</v>
      </c>
      <c r="E622" s="23">
        <v>0</v>
      </c>
      <c r="F622" s="23" t="s">
        <v>569</v>
      </c>
      <c r="G622" s="23" t="s">
        <v>45</v>
      </c>
      <c r="H622" s="23" t="s">
        <v>173</v>
      </c>
      <c r="I622" s="23" t="s">
        <v>46</v>
      </c>
      <c r="J622" s="23"/>
      <c r="K622" s="23"/>
      <c r="L622" s="29">
        <v>0</v>
      </c>
      <c r="M622" s="29">
        <v>-2</v>
      </c>
      <c r="N622" s="29"/>
      <c r="O622" s="29">
        <v>338705</v>
      </c>
      <c r="P622" s="29">
        <v>141579</v>
      </c>
      <c r="Q622" s="29">
        <v>0</v>
      </c>
      <c r="R622" s="30">
        <v>39680</v>
      </c>
    </row>
    <row r="623" spans="1:18">
      <c r="A623" s="27"/>
      <c r="B623" s="28">
        <v>619</v>
      </c>
      <c r="C623" s="1">
        <f>30000000+INDEX(编号表!$B:$B,MATCH(G623,编号表!$A:$A,0))*100000+INDEX(编号表!$F:$F,MATCH(H623,编号表!$E:$E,0))*1000+INDEX(编号表!$D:$D,MATCH(F623,编号表!$C:$C,0))*10000+E623</f>
        <v>31355001</v>
      </c>
      <c r="D623" s="23" t="s">
        <v>683</v>
      </c>
      <c r="E623" s="23">
        <v>1</v>
      </c>
      <c r="F623" s="23" t="s">
        <v>569</v>
      </c>
      <c r="G623" s="23" t="s">
        <v>45</v>
      </c>
      <c r="H623" s="23" t="s">
        <v>173</v>
      </c>
      <c r="I623" s="23" t="s">
        <v>46</v>
      </c>
      <c r="J623" s="23"/>
      <c r="K623" s="23"/>
      <c r="L623" s="29">
        <v>0</v>
      </c>
      <c r="M623" s="29">
        <v>3</v>
      </c>
      <c r="N623" s="29"/>
      <c r="O623" s="29">
        <v>361946</v>
      </c>
      <c r="P623" s="29">
        <v>187054</v>
      </c>
      <c r="Q623" s="29">
        <v>0</v>
      </c>
      <c r="R623" s="30">
        <v>51018</v>
      </c>
    </row>
    <row r="624" spans="1:18">
      <c r="A624" s="27"/>
      <c r="B624" s="28">
        <v>620</v>
      </c>
      <c r="C624" s="1">
        <f>30000000+INDEX(编号表!$B:$B,MATCH(G624,编号表!$A:$A,0))*100000+INDEX(编号表!$F:$F,MATCH(H624,编号表!$E:$E,0))*1000+INDEX(编号表!$D:$D,MATCH(F624,编号表!$C:$C,0))*10000+E624</f>
        <v>31355002</v>
      </c>
      <c r="D624" s="23" t="s">
        <v>684</v>
      </c>
      <c r="E624" s="23">
        <v>2</v>
      </c>
      <c r="F624" s="23" t="s">
        <v>569</v>
      </c>
      <c r="G624" s="23" t="s">
        <v>45</v>
      </c>
      <c r="H624" s="23" t="s">
        <v>173</v>
      </c>
      <c r="I624" s="23" t="s">
        <v>49</v>
      </c>
      <c r="J624" s="23"/>
      <c r="K624" s="23"/>
      <c r="L624" s="29">
        <v>0</v>
      </c>
      <c r="M624" s="29">
        <v>-1</v>
      </c>
      <c r="N624" s="29"/>
      <c r="O624" s="29">
        <v>321132</v>
      </c>
      <c r="P624" s="29">
        <v>87862</v>
      </c>
      <c r="Q624" s="29">
        <v>0</v>
      </c>
      <c r="R624" s="30">
        <v>55269</v>
      </c>
    </row>
    <row r="625" spans="1:18">
      <c r="A625" s="27"/>
      <c r="B625" s="28">
        <v>621</v>
      </c>
      <c r="C625" s="1">
        <f>30000000+INDEX(编号表!$B:$B,MATCH(G625,编号表!$A:$A,0))*100000+INDEX(编号表!$F:$F,MATCH(H625,编号表!$E:$E,0))*1000+INDEX(编号表!$D:$D,MATCH(F625,编号表!$C:$C,0))*10000+E625</f>
        <v>31355003</v>
      </c>
      <c r="D625" s="23" t="s">
        <v>685</v>
      </c>
      <c r="E625" s="23">
        <v>3</v>
      </c>
      <c r="F625" s="23" t="s">
        <v>569</v>
      </c>
      <c r="G625" s="23" t="s">
        <v>45</v>
      </c>
      <c r="H625" s="23" t="s">
        <v>173</v>
      </c>
      <c r="I625" s="23" t="s">
        <v>49</v>
      </c>
      <c r="J625" s="23"/>
      <c r="K625" s="23"/>
      <c r="L625" s="29">
        <v>0</v>
      </c>
      <c r="M625" s="29">
        <v>2</v>
      </c>
      <c r="N625" s="29"/>
      <c r="O625" s="29">
        <v>338705</v>
      </c>
      <c r="P625" s="29">
        <v>211081</v>
      </c>
      <c r="Q625" s="29">
        <v>0</v>
      </c>
      <c r="R625" s="30">
        <v>17006</v>
      </c>
    </row>
    <row r="626" spans="1:18">
      <c r="A626" s="27"/>
      <c r="B626" s="28">
        <v>622</v>
      </c>
      <c r="C626" s="1">
        <f>30000000+INDEX(编号表!$B:$B,MATCH(G626,编号表!$A:$A,0))*100000+INDEX(编号表!$F:$F,MATCH(H626,编号表!$E:$E,0))*1000+INDEX(编号表!$D:$D,MATCH(F626,编号表!$C:$C,0))*10000+E626</f>
        <v>31355004</v>
      </c>
      <c r="D626" s="23" t="s">
        <v>686</v>
      </c>
      <c r="E626" s="23">
        <v>4</v>
      </c>
      <c r="F626" s="23" t="s">
        <v>569</v>
      </c>
      <c r="G626" s="23" t="s">
        <v>45</v>
      </c>
      <c r="H626" s="23" t="s">
        <v>173</v>
      </c>
      <c r="I626" s="23" t="s">
        <v>52</v>
      </c>
      <c r="J626" s="23"/>
      <c r="K626" s="23"/>
      <c r="L626" s="29">
        <v>0</v>
      </c>
      <c r="M626" s="29">
        <v>-1</v>
      </c>
      <c r="N626" s="29"/>
      <c r="O626" s="29">
        <v>338705</v>
      </c>
      <c r="P626" s="29">
        <v>175043</v>
      </c>
      <c r="Q626" s="29">
        <v>0</v>
      </c>
      <c r="R626" s="30">
        <v>41098</v>
      </c>
    </row>
    <row r="627" spans="1:18">
      <c r="A627" s="27"/>
      <c r="B627" s="28">
        <v>623</v>
      </c>
      <c r="C627" s="1">
        <f>30000000+INDEX(编号表!$B:$B,MATCH(G627,编号表!$A:$A,0))*100000+INDEX(编号表!$F:$F,MATCH(H627,编号表!$E:$E,0))*1000+INDEX(编号表!$D:$D,MATCH(F627,编号表!$C:$C,0))*10000+E627</f>
        <v>31355005</v>
      </c>
      <c r="D627" s="23" t="inlineStr">
        <is>
          <t xml:space="preserve">千载沸泉苔·神株</t>
        </is>
      </c>
      <c r="E627" s="23">
        <v>5</v>
      </c>
      <c r="F627" s="23" t="s">
        <v>569</v>
      </c>
      <c r="G627" s="23" t="s">
        <v>45</v>
      </c>
      <c r="H627" s="23" t="s">
        <v>173</v>
      </c>
      <c r="I627" s="23" t="s">
        <v>52</v>
      </c>
      <c r="J627" s="23"/>
      <c r="K627" s="23"/>
      <c r="L627" s="29">
        <v>0</v>
      </c>
      <c r="M627" s="29">
        <v>4</v>
      </c>
      <c r="N627" s="29"/>
      <c r="O627" s="29">
        <v>350325</v>
      </c>
      <c r="P627" s="29">
        <v>218323</v>
      </c>
      <c r="Q627" s="29">
        <v>0</v>
      </c>
      <c r="R627" s="30">
        <v>73693</v>
      </c>
    </row>
    <row r="628" spans="1:18">
      <c r="A628" s="27"/>
      <c r="B628" s="28">
        <v>624</v>
      </c>
      <c r="C628" s="1">
        <f>30000000+INDEX(编号表!$B:$B,MATCH(G628,编号表!$A:$A,0))*100000+INDEX(编号表!$F:$F,MATCH(H628,编号表!$E:$E,0))*1000+INDEX(编号表!$D:$D,MATCH(F628,编号表!$C:$C,0))*10000+E628</f>
        <v>31355006</v>
      </c>
      <c r="D628" s="23" t="inlineStr">
        <is>
          <t xml:space="preserve">千载丹露花·神株</t>
        </is>
      </c>
      <c r="E628" s="23">
        <v>6</v>
      </c>
      <c r="F628" s="23" t="s">
        <v>569</v>
      </c>
      <c r="G628" s="23" t="s">
        <v>45</v>
      </c>
      <c r="H628" s="23" t="s">
        <v>173</v>
      </c>
      <c r="I628" s="23" t="s">
        <v>55</v>
      </c>
      <c r="J628" s="23"/>
      <c r="K628" s="23"/>
      <c r="L628" s="29">
        <v>0</v>
      </c>
      <c r="M628" s="29">
        <v>-1</v>
      </c>
      <c r="N628" s="29"/>
      <c r="O628" s="29">
        <v>350325</v>
      </c>
      <c r="P628" s="29">
        <v>74550</v>
      </c>
      <c r="Q628" s="29">
        <v>0</v>
      </c>
      <c r="R628" s="30">
        <v>119042</v>
      </c>
    </row>
    <row r="629" spans="1:18">
      <c r="A629" s="27"/>
      <c r="B629" s="28">
        <v>625</v>
      </c>
      <c r="C629" s="1">
        <f>30000000+INDEX(编号表!$B:$B,MATCH(G629,编号表!$A:$A,0))*100000+INDEX(编号表!$F:$F,MATCH(H629,编号表!$E:$E,0))*1000+INDEX(编号表!$D:$D,MATCH(F629,编号表!$C:$C,0))*10000+E629</f>
        <v>31355007</v>
      </c>
      <c r="D629" s="23" t="s">
        <v>689</v>
      </c>
      <c r="E629" s="23">
        <v>7</v>
      </c>
      <c r="F629" s="23" t="s">
        <v>569</v>
      </c>
      <c r="G629" s="23" t="s">
        <v>45</v>
      </c>
      <c r="H629" s="23" t="s">
        <v>173</v>
      </c>
      <c r="I629" s="23" t="s">
        <v>55</v>
      </c>
      <c r="J629" s="23"/>
      <c r="K629" s="23"/>
      <c r="L629" s="29">
        <v>0</v>
      </c>
      <c r="M629" s="29">
        <v>2</v>
      </c>
      <c r="N629" s="29"/>
      <c r="O629" s="29">
        <v>338705</v>
      </c>
      <c r="P629" s="29">
        <v>211081</v>
      </c>
      <c r="Q629" s="29">
        <v>0</v>
      </c>
      <c r="R629" s="30">
        <v>17006</v>
      </c>
    </row>
    <row r="630" spans="1:18">
      <c r="A630" s="27"/>
      <c r="B630" s="28">
        <v>626</v>
      </c>
      <c r="C630" s="1">
        <f>30000000+INDEX(编号表!$B:$B,MATCH(G630,编号表!$A:$A,0))*100000+INDEX(编号表!$F:$F,MATCH(H630,编号表!$E:$E,0))*1000+INDEX(编号表!$D:$D,MATCH(F630,编号表!$C:$C,0))*10000+E630</f>
        <v>31355008</v>
      </c>
      <c r="D630" s="23" t="s">
        <v>690</v>
      </c>
      <c r="E630" s="23">
        <v>8</v>
      </c>
      <c r="F630" s="23" t="s">
        <v>569</v>
      </c>
      <c r="G630" s="23" t="s">
        <v>45</v>
      </c>
      <c r="H630" s="23" t="s">
        <v>173</v>
      </c>
      <c r="I630" s="23" t="s">
        <v>58</v>
      </c>
      <c r="J630" s="23"/>
      <c r="K630" s="23"/>
      <c r="L630" s="29">
        <v>0</v>
      </c>
      <c r="M630" s="29">
        <v>-2</v>
      </c>
      <c r="N630" s="29"/>
      <c r="O630" s="29">
        <v>338705</v>
      </c>
      <c r="P630" s="29">
        <v>141579</v>
      </c>
      <c r="Q630" s="29">
        <v>0</v>
      </c>
      <c r="R630" s="30">
        <v>39680</v>
      </c>
    </row>
    <row r="631" spans="1:18">
      <c r="A631" s="27"/>
      <c r="B631" s="28">
        <v>627</v>
      </c>
      <c r="C631" s="1">
        <f>30000000+INDEX(编号表!$B:$B,MATCH(G631,编号表!$A:$A,0))*100000+INDEX(编号表!$F:$F,MATCH(H631,编号表!$E:$E,0))*1000+INDEX(编号表!$D:$D,MATCH(F631,编号表!$C:$C,0))*10000+E631</f>
        <v>31355009</v>
      </c>
      <c r="D631" s="23" t="s">
        <v>691</v>
      </c>
      <c r="E631" s="23">
        <v>9</v>
      </c>
      <c r="F631" s="23" t="s">
        <v>569</v>
      </c>
      <c r="G631" s="23" t="s">
        <v>45</v>
      </c>
      <c r="H631" s="23" t="s">
        <v>173</v>
      </c>
      <c r="I631" s="23" t="s">
        <v>58</v>
      </c>
      <c r="J631" s="23"/>
      <c r="K631" s="23"/>
      <c r="L631" s="29">
        <v>0</v>
      </c>
      <c r="M631" s="29">
        <v>1</v>
      </c>
      <c r="N631" s="29"/>
      <c r="O631" s="29">
        <v>321132</v>
      </c>
      <c r="P631" s="29">
        <v>87862</v>
      </c>
      <c r="Q631" s="29">
        <v>0</v>
      </c>
      <c r="R631" s="30">
        <v>55269</v>
      </c>
    </row>
    <row r="632" spans="1:18">
      <c r="A632" s="27"/>
      <c r="B632" s="28">
        <v>628</v>
      </c>
      <c r="C632" s="1">
        <f>30000000+INDEX(编号表!$B:$B,MATCH(G632,编号表!$A:$A,0))*100000+INDEX(编号表!$F:$F,MATCH(H632,编号表!$E:$E,0))*1000+INDEX(编号表!$D:$D,MATCH(F632,编号表!$C:$C,0))*10000+E632</f>
        <v>31555000</v>
      </c>
      <c r="D632" s="23" t="inlineStr">
        <is>
          <t xml:space="preserve">千载霜辛草·神株</t>
        </is>
      </c>
      <c r="E632" s="23">
        <v>0</v>
      </c>
      <c r="F632" s="23" t="s">
        <v>569</v>
      </c>
      <c r="G632" s="23" t="s">
        <v>61</v>
      </c>
      <c r="H632" s="23" t="s">
        <v>173</v>
      </c>
      <c r="I632" s="23"/>
      <c r="J632" s="23" t="s">
        <v>62</v>
      </c>
      <c r="K632" s="23"/>
      <c r="L632" s="29">
        <v>0</v>
      </c>
      <c r="M632" s="29">
        <v>-2</v>
      </c>
      <c r="N632" s="29"/>
      <c r="O632" s="29">
        <v>338705</v>
      </c>
      <c r="P632" s="29">
        <v>141579</v>
      </c>
      <c r="Q632" s="29">
        <v>0</v>
      </c>
      <c r="R632" s="30">
        <v>39680</v>
      </c>
    </row>
    <row r="633" spans="1:18">
      <c r="A633" s="27"/>
      <c r="B633" s="28">
        <v>629</v>
      </c>
      <c r="C633" s="1">
        <f>30000000+INDEX(编号表!$B:$B,MATCH(G633,编号表!$A:$A,0))*100000+INDEX(编号表!$F:$F,MATCH(H633,编号表!$E:$E,0))*1000+INDEX(编号表!$D:$D,MATCH(F633,编号表!$C:$C,0))*10000+E633</f>
        <v>31555001</v>
      </c>
      <c r="D633" s="23" t="s">
        <v>693</v>
      </c>
      <c r="E633" s="23">
        <v>1</v>
      </c>
      <c r="F633" s="23" t="s">
        <v>569</v>
      </c>
      <c r="G633" s="23" t="s">
        <v>61</v>
      </c>
      <c r="H633" s="23" t="s">
        <v>173</v>
      </c>
      <c r="I633" s="23"/>
      <c r="J633" s="23" t="s">
        <v>62</v>
      </c>
      <c r="K633" s="23"/>
      <c r="L633" s="29">
        <v>0</v>
      </c>
      <c r="M633" s="29">
        <v>3</v>
      </c>
      <c r="N633" s="29"/>
      <c r="O633" s="29">
        <v>361946</v>
      </c>
      <c r="P633" s="29">
        <v>187054</v>
      </c>
      <c r="Q633" s="29">
        <v>0</v>
      </c>
      <c r="R633" s="30">
        <v>51018</v>
      </c>
    </row>
    <row r="634" spans="1:18">
      <c r="A634" s="27"/>
      <c r="B634" s="28">
        <v>630</v>
      </c>
      <c r="C634" s="1">
        <f>30000000+INDEX(编号表!$B:$B,MATCH(G634,编号表!$A:$A,0))*100000+INDEX(编号表!$F:$F,MATCH(H634,编号表!$E:$E,0))*1000+INDEX(编号表!$D:$D,MATCH(F634,编号表!$C:$C,0))*10000+E634</f>
        <v>31555002</v>
      </c>
      <c r="D634" s="23" t="s">
        <v>694</v>
      </c>
      <c r="E634" s="23">
        <v>2</v>
      </c>
      <c r="F634" s="23" t="s">
        <v>569</v>
      </c>
      <c r="G634" s="23" t="s">
        <v>61</v>
      </c>
      <c r="H634" s="23" t="s">
        <v>173</v>
      </c>
      <c r="I634" s="23"/>
      <c r="J634" s="23" t="s">
        <v>65</v>
      </c>
      <c r="K634" s="23"/>
      <c r="L634" s="29">
        <v>0</v>
      </c>
      <c r="M634" s="29">
        <v>-1</v>
      </c>
      <c r="N634" s="29"/>
      <c r="O634" s="29">
        <v>321132</v>
      </c>
      <c r="P634" s="29">
        <v>87862</v>
      </c>
      <c r="Q634" s="29">
        <v>0</v>
      </c>
      <c r="R634" s="30">
        <v>55269</v>
      </c>
    </row>
    <row r="635" spans="1:18">
      <c r="A635" s="27"/>
      <c r="B635" s="28">
        <v>631</v>
      </c>
      <c r="C635" s="1">
        <f>30000000+INDEX(编号表!$B:$B,MATCH(G635,编号表!$A:$A,0))*100000+INDEX(编号表!$F:$F,MATCH(H635,编号表!$E:$E,0))*1000+INDEX(编号表!$D:$D,MATCH(F635,编号表!$C:$C,0))*10000+E635</f>
        <v>31555003</v>
      </c>
      <c r="D635" s="23" t="s">
        <v>695</v>
      </c>
      <c r="E635" s="23">
        <v>3</v>
      </c>
      <c r="F635" s="23" t="s">
        <v>569</v>
      </c>
      <c r="G635" s="23" t="s">
        <v>61</v>
      </c>
      <c r="H635" s="23" t="s">
        <v>173</v>
      </c>
      <c r="I635" s="23"/>
      <c r="J635" s="23" t="s">
        <v>65</v>
      </c>
      <c r="K635" s="23"/>
      <c r="L635" s="29">
        <v>0</v>
      </c>
      <c r="M635" s="29">
        <v>2</v>
      </c>
      <c r="N635" s="29"/>
      <c r="O635" s="29">
        <v>338705</v>
      </c>
      <c r="P635" s="29">
        <v>211081</v>
      </c>
      <c r="Q635" s="29">
        <v>0</v>
      </c>
      <c r="R635" s="30">
        <v>17006</v>
      </c>
    </row>
    <row r="636" spans="1:18">
      <c r="A636" s="27"/>
      <c r="B636" s="28">
        <v>632</v>
      </c>
      <c r="C636" s="1">
        <f>30000000+INDEX(编号表!$B:$B,MATCH(G636,编号表!$A:$A,0))*100000+INDEX(编号表!$F:$F,MATCH(H636,编号表!$E:$E,0))*1000+INDEX(编号表!$D:$D,MATCH(F636,编号表!$C:$C,0))*10000+E636</f>
        <v>31555004</v>
      </c>
      <c r="D636" s="23" t="s">
        <v>696</v>
      </c>
      <c r="E636" s="23">
        <v>4</v>
      </c>
      <c r="F636" s="23" t="s">
        <v>569</v>
      </c>
      <c r="G636" s="23" t="s">
        <v>61</v>
      </c>
      <c r="H636" s="23" t="s">
        <v>173</v>
      </c>
      <c r="I636" s="23"/>
      <c r="J636" s="23" t="s">
        <v>68</v>
      </c>
      <c r="K636" s="23"/>
      <c r="L636" s="29">
        <v>0</v>
      </c>
      <c r="M636" s="29">
        <v>-1</v>
      </c>
      <c r="N636" s="29"/>
      <c r="O636" s="29">
        <v>338705</v>
      </c>
      <c r="P636" s="29">
        <v>175043</v>
      </c>
      <c r="Q636" s="29">
        <v>0</v>
      </c>
      <c r="R636" s="30">
        <v>41098</v>
      </c>
    </row>
    <row r="637" spans="1:18">
      <c r="A637" s="27"/>
      <c r="B637" s="28">
        <v>633</v>
      </c>
      <c r="C637" s="1">
        <f>30000000+INDEX(编号表!$B:$B,MATCH(G637,编号表!$A:$A,0))*100000+INDEX(编号表!$F:$F,MATCH(H637,编号表!$E:$E,0))*1000+INDEX(编号表!$D:$D,MATCH(F637,编号表!$C:$C,0))*10000+E637</f>
        <v>31555005</v>
      </c>
      <c r="D637" s="23" t="s">
        <v>697</v>
      </c>
      <c r="E637" s="23">
        <v>5</v>
      </c>
      <c r="F637" s="23" t="s">
        <v>569</v>
      </c>
      <c r="G637" s="23" t="s">
        <v>61</v>
      </c>
      <c r="H637" s="23" t="s">
        <v>173</v>
      </c>
      <c r="I637" s="23"/>
      <c r="J637" s="23" t="s">
        <v>68</v>
      </c>
      <c r="K637" s="23"/>
      <c r="L637" s="29">
        <v>0</v>
      </c>
      <c r="M637" s="29">
        <v>4</v>
      </c>
      <c r="N637" s="29"/>
      <c r="O637" s="29">
        <v>350325</v>
      </c>
      <c r="P637" s="29">
        <v>218323</v>
      </c>
      <c r="Q637" s="29">
        <v>0</v>
      </c>
      <c r="R637" s="30">
        <v>73693</v>
      </c>
    </row>
    <row r="638" spans="1:18">
      <c r="A638" s="27"/>
      <c r="B638" s="28">
        <v>634</v>
      </c>
      <c r="C638" s="1">
        <f>30000000+INDEX(编号表!$B:$B,MATCH(G638,编号表!$A:$A,0))*100000+INDEX(编号表!$F:$F,MATCH(H638,编号表!$E:$E,0))*1000+INDEX(编号表!$D:$D,MATCH(F638,编号表!$C:$C,0))*10000+E638</f>
        <v>31555006</v>
      </c>
      <c r="D638" s="23" t="s">
        <v>698</v>
      </c>
      <c r="E638" s="23">
        <v>6</v>
      </c>
      <c r="F638" s="23" t="s">
        <v>569</v>
      </c>
      <c r="G638" s="23" t="s">
        <v>61</v>
      </c>
      <c r="H638" s="23" t="s">
        <v>173</v>
      </c>
      <c r="I638" s="23"/>
      <c r="J638" s="23" t="s">
        <v>71</v>
      </c>
      <c r="K638" s="23"/>
      <c r="L638" s="29">
        <v>0</v>
      </c>
      <c r="M638" s="29">
        <v>-1</v>
      </c>
      <c r="N638" s="29"/>
      <c r="O638" s="29">
        <v>350325</v>
      </c>
      <c r="P638" s="29">
        <v>74550</v>
      </c>
      <c r="Q638" s="29">
        <v>0</v>
      </c>
      <c r="R638" s="30">
        <v>119042</v>
      </c>
    </row>
    <row r="639" spans="1:18">
      <c r="A639" s="27"/>
      <c r="B639" s="28">
        <v>635</v>
      </c>
      <c r="C639" s="1">
        <f>30000000+INDEX(编号表!$B:$B,MATCH(G639,编号表!$A:$A,0))*100000+INDEX(编号表!$F:$F,MATCH(H639,编号表!$E:$E,0))*1000+INDEX(编号表!$D:$D,MATCH(F639,编号表!$C:$C,0))*10000+E639</f>
        <v>31555007</v>
      </c>
      <c r="D639" s="23" t="s">
        <v>699</v>
      </c>
      <c r="E639" s="23">
        <v>7</v>
      </c>
      <c r="F639" s="23" t="s">
        <v>569</v>
      </c>
      <c r="G639" s="23" t="s">
        <v>61</v>
      </c>
      <c r="H639" s="23" t="s">
        <v>173</v>
      </c>
      <c r="I639" s="23"/>
      <c r="J639" s="23" t="s">
        <v>71</v>
      </c>
      <c r="K639" s="23"/>
      <c r="L639" s="29">
        <v>0</v>
      </c>
      <c r="M639" s="29">
        <v>2</v>
      </c>
      <c r="N639" s="29"/>
      <c r="O639" s="29">
        <v>338705</v>
      </c>
      <c r="P639" s="29">
        <v>211081</v>
      </c>
      <c r="Q639" s="29">
        <v>0</v>
      </c>
      <c r="R639" s="30">
        <v>17006</v>
      </c>
    </row>
    <row r="640" spans="1:18">
      <c r="A640" s="27"/>
      <c r="B640" s="28">
        <v>636</v>
      </c>
      <c r="C640" s="1">
        <f>30000000+INDEX(编号表!$B:$B,MATCH(G640,编号表!$A:$A,0))*100000+INDEX(编号表!$F:$F,MATCH(H640,编号表!$E:$E,0))*1000+INDEX(编号表!$D:$D,MATCH(F640,编号表!$C:$C,0))*10000+E640</f>
        <v>31555008</v>
      </c>
      <c r="D640" s="23" t="s">
        <v>700</v>
      </c>
      <c r="E640" s="23">
        <v>8</v>
      </c>
      <c r="F640" s="23" t="s">
        <v>569</v>
      </c>
      <c r="G640" s="23" t="s">
        <v>61</v>
      </c>
      <c r="H640" s="23" t="s">
        <v>173</v>
      </c>
      <c r="I640" s="23"/>
      <c r="J640" s="23" t="s">
        <v>74</v>
      </c>
      <c r="K640" s="23"/>
      <c r="L640" s="29">
        <v>0</v>
      </c>
      <c r="M640" s="29">
        <v>-2</v>
      </c>
      <c r="N640" s="29"/>
      <c r="O640" s="29">
        <v>338705</v>
      </c>
      <c r="P640" s="29">
        <v>141579</v>
      </c>
      <c r="Q640" s="29">
        <v>0</v>
      </c>
      <c r="R640" s="30">
        <v>39680</v>
      </c>
    </row>
    <row r="641" spans="1:18">
      <c r="A641" s="27"/>
      <c r="B641" s="28">
        <v>637</v>
      </c>
      <c r="C641" s="1">
        <f>30000000+INDEX(编号表!$B:$B,MATCH(G641,编号表!$A:$A,0))*100000+INDEX(编号表!$F:$F,MATCH(H641,编号表!$E:$E,0))*1000+INDEX(编号表!$D:$D,MATCH(F641,编号表!$C:$C,0))*10000+E641</f>
        <v>31555009</v>
      </c>
      <c r="D641" s="23" t="s">
        <v>701</v>
      </c>
      <c r="E641" s="23">
        <v>9</v>
      </c>
      <c r="F641" s="23" t="s">
        <v>569</v>
      </c>
      <c r="G641" s="23" t="s">
        <v>61</v>
      </c>
      <c r="H641" s="23" t="s">
        <v>173</v>
      </c>
      <c r="I641" s="23"/>
      <c r="J641" s="23" t="s">
        <v>74</v>
      </c>
      <c r="K641" s="23"/>
      <c r="L641" s="29">
        <v>0</v>
      </c>
      <c r="M641" s="29">
        <v>1</v>
      </c>
      <c r="N641" s="29"/>
      <c r="O641" s="29">
        <v>321132</v>
      </c>
      <c r="P641" s="29">
        <v>87862</v>
      </c>
      <c r="Q641" s="29">
        <v>0</v>
      </c>
      <c r="R641" s="30">
        <v>55269</v>
      </c>
    </row>
    <row r="642" spans="1:18">
      <c r="A642" s="27"/>
      <c r="B642" s="28">
        <v>638</v>
      </c>
      <c r="C642" s="1">
        <f>30000000+INDEX(编号表!$B:$B,MATCH(G642,编号表!$A:$A,0))*100000+INDEX(编号表!$F:$F,MATCH(H642,编号表!$E:$E,0))*1000+INDEX(编号表!$D:$D,MATCH(F642,编号表!$C:$C,0))*10000+E642</f>
        <v>31455000</v>
      </c>
      <c r="D642" s="23" t="s">
        <v>702</v>
      </c>
      <c r="E642" s="23">
        <v>0</v>
      </c>
      <c r="F642" s="23" t="s">
        <v>569</v>
      </c>
      <c r="G642" s="23" t="s">
        <v>77</v>
      </c>
      <c r="H642" s="23" t="s">
        <v>173</v>
      </c>
      <c r="I642" s="23"/>
      <c r="J642" s="23"/>
      <c r="K642" s="23"/>
      <c r="L642" s="29">
        <v>0</v>
      </c>
      <c r="M642" s="29">
        <v>0</v>
      </c>
      <c r="N642" s="29"/>
      <c r="O642" s="29">
        <v>321132</v>
      </c>
      <c r="P642" s="29">
        <v>68337</v>
      </c>
      <c r="Q642" s="29">
        <v>0</v>
      </c>
      <c r="R642" s="30">
        <v>65190</v>
      </c>
    </row>
    <row r="643" spans="1:18">
      <c r="A643" s="27"/>
      <c r="B643" s="28">
        <v>639</v>
      </c>
      <c r="C643" s="1">
        <f>30000000+INDEX(编号表!$B:$B,MATCH(G643,编号表!$A:$A,0))*100000+INDEX(编号表!$F:$F,MATCH(H643,编号表!$E:$E,0))*1000+INDEX(编号表!$D:$D,MATCH(F643,编号表!$C:$C,0))*10000+E643</f>
        <v>31455001</v>
      </c>
      <c r="D643" s="23" t="s">
        <v>703</v>
      </c>
      <c r="E643" s="23">
        <v>1</v>
      </c>
      <c r="F643" s="23" t="s">
        <v>569</v>
      </c>
      <c r="G643" s="23" t="s">
        <v>77</v>
      </c>
      <c r="H643" s="23" t="s">
        <v>173</v>
      </c>
      <c r="I643" s="23"/>
      <c r="J643" s="23"/>
      <c r="K643" s="23"/>
      <c r="L643" s="29">
        <v>0</v>
      </c>
      <c r="M643" s="29">
        <v>0</v>
      </c>
      <c r="N643" s="29"/>
      <c r="O643" s="29">
        <v>361946</v>
      </c>
      <c r="P643" s="29">
        <v>225565</v>
      </c>
      <c r="Q643" s="29">
        <v>0</v>
      </c>
      <c r="R643" s="30">
        <v>22674</v>
      </c>
    </row>
    <row r="644" spans="1:18">
      <c r="A644" s="27"/>
      <c r="B644" s="28">
        <v>640</v>
      </c>
      <c r="C644" s="1">
        <f>30000000+INDEX(编号表!$B:$B,MATCH(G644,编号表!$A:$A,0))*100000+INDEX(编号表!$F:$F,MATCH(H644,编号表!$E:$E,0))*1000+INDEX(编号表!$D:$D,MATCH(F644,编号表!$C:$C,0))*10000+E644</f>
        <v>31455002</v>
      </c>
      <c r="D644" s="23" t="s">
        <v>704</v>
      </c>
      <c r="E644" s="23">
        <v>2</v>
      </c>
      <c r="F644" s="23" t="s">
        <v>569</v>
      </c>
      <c r="G644" s="23" t="s">
        <v>77</v>
      </c>
      <c r="H644" s="23" t="s">
        <v>173</v>
      </c>
      <c r="I644" s="23"/>
      <c r="J644" s="23"/>
      <c r="K644" s="23"/>
      <c r="L644" s="29">
        <v>0</v>
      </c>
      <c r="M644" s="29">
        <v>1</v>
      </c>
      <c r="N644" s="29"/>
      <c r="O644" s="29">
        <v>350325</v>
      </c>
      <c r="P644" s="29">
        <v>74550</v>
      </c>
      <c r="Q644" s="29">
        <v>0</v>
      </c>
      <c r="R644" s="30">
        <v>119042</v>
      </c>
    </row>
    <row r="645" spans="1:18">
      <c r="A645" s="27"/>
      <c r="B645" s="28">
        <v>641</v>
      </c>
      <c r="C645" s="1">
        <f>30000000+INDEX(编号表!$B:$B,MATCH(G645,编号表!$A:$A,0))*100000+INDEX(编号表!$F:$F,MATCH(H645,编号表!$E:$E,0))*1000+INDEX(编号表!$D:$D,MATCH(F645,编号表!$C:$C,0))*10000+E645</f>
        <v>31455003</v>
      </c>
      <c r="D645" s="23" t="s">
        <v>705</v>
      </c>
      <c r="E645" s="23">
        <v>3</v>
      </c>
      <c r="F645" s="23" t="s">
        <v>569</v>
      </c>
      <c r="G645" s="23" t="s">
        <v>77</v>
      </c>
      <c r="H645" s="23" t="s">
        <v>173</v>
      </c>
      <c r="I645" s="23"/>
      <c r="J645" s="23"/>
      <c r="K645" s="23"/>
      <c r="L645" s="29">
        <v>0</v>
      </c>
      <c r="M645" s="29">
        <v>4</v>
      </c>
      <c r="N645" s="29"/>
      <c r="O645" s="29">
        <v>350325</v>
      </c>
      <c r="P645" s="29">
        <v>218323</v>
      </c>
      <c r="Q645" s="29">
        <v>0</v>
      </c>
      <c r="R645" s="30">
        <v>73693</v>
      </c>
    </row>
    <row r="646" spans="1:18">
      <c r="A646" s="27"/>
      <c r="B646" s="28">
        <v>642</v>
      </c>
      <c r="C646" s="1">
        <f>30000000+INDEX(编号表!$B:$B,MATCH(G646,编号表!$A:$A,0))*100000+INDEX(编号表!$F:$F,MATCH(H646,编号表!$E:$E,0))*1000+INDEX(编号表!$D:$D,MATCH(F646,编号表!$C:$C,0))*10000+E646</f>
        <v>31655000</v>
      </c>
      <c r="D646" s="23" t="s">
        <v>706</v>
      </c>
      <c r="E646" s="23">
        <v>0</v>
      </c>
      <c r="F646" s="23" t="s">
        <v>569</v>
      </c>
      <c r="G646" s="23" t="s">
        <v>82</v>
      </c>
      <c r="H646" s="23" t="s">
        <v>173</v>
      </c>
      <c r="I646" s="23"/>
      <c r="J646" s="23"/>
      <c r="K646" s="23"/>
      <c r="L646" s="29">
        <v>7</v>
      </c>
      <c r="M646" s="29">
        <v>0</v>
      </c>
      <c r="N646" s="29"/>
      <c r="O646" s="29">
        <v>0</v>
      </c>
      <c r="P646" s="29">
        <v>0</v>
      </c>
      <c r="Q646" s="29">
        <v>0</v>
      </c>
      <c r="R646" s="30">
        <v>34012</v>
      </c>
    </row>
    <row r="647" spans="1:18">
      <c r="A647" s="27"/>
      <c r="B647" s="28">
        <v>643</v>
      </c>
      <c r="C647" s="1">
        <f>30000000+INDEX(编号表!$B:$B,MATCH(G647,编号表!$A:$A,0))*100000+INDEX(编号表!$F:$F,MATCH(H647,编号表!$E:$E,0))*1000+INDEX(编号表!$D:$D,MATCH(F647,编号表!$C:$C,0))*10000+E647</f>
        <v>31655001</v>
      </c>
      <c r="D647" s="23" t="s">
        <v>707</v>
      </c>
      <c r="E647" s="23">
        <v>1</v>
      </c>
      <c r="F647" s="23" t="s">
        <v>569</v>
      </c>
      <c r="G647" s="23" t="s">
        <v>82</v>
      </c>
      <c r="H647" s="23" t="s">
        <v>173</v>
      </c>
      <c r="I647" s="23"/>
      <c r="J647" s="23"/>
      <c r="K647" s="23"/>
      <c r="L647" s="29">
        <v>8</v>
      </c>
      <c r="M647" s="29">
        <v>0</v>
      </c>
      <c r="N647" s="29"/>
      <c r="O647" s="29">
        <v>0</v>
      </c>
      <c r="P647" s="29">
        <v>0</v>
      </c>
      <c r="Q647" s="29">
        <v>0</v>
      </c>
      <c r="R647" s="30">
        <v>62355</v>
      </c>
    </row>
    <row r="648" spans="1:18">
      <c r="A648" s="27"/>
      <c r="B648" s="28">
        <v>644</v>
      </c>
      <c r="C648" s="1">
        <f>30000000+INDEX(编号表!$B:$B,MATCH(G648,编号表!$A:$A,0))*100000+INDEX(编号表!$F:$F,MATCH(H648,编号表!$E:$E,0))*1000+INDEX(编号表!$D:$D,MATCH(F648,编号表!$C:$C,0))*10000+E648</f>
        <v>31655002</v>
      </c>
      <c r="D648" s="23" t="s">
        <v>708</v>
      </c>
      <c r="E648" s="23">
        <v>2</v>
      </c>
      <c r="F648" s="23" t="s">
        <v>569</v>
      </c>
      <c r="G648" s="23" t="s">
        <v>82</v>
      </c>
      <c r="H648" s="23" t="s">
        <v>173</v>
      </c>
      <c r="I648" s="23"/>
      <c r="J648" s="23"/>
      <c r="K648" s="23"/>
      <c r="L648" s="29">
        <v>9</v>
      </c>
      <c r="M648" s="29">
        <v>0</v>
      </c>
      <c r="N648" s="29"/>
      <c r="O648" s="29">
        <v>0</v>
      </c>
      <c r="P648" s="29">
        <v>0</v>
      </c>
      <c r="Q648" s="29">
        <v>0</v>
      </c>
      <c r="R648" s="30">
        <v>96367</v>
      </c>
    </row>
    <row r="649" spans="1:18">
      <c r="A649" s="27"/>
      <c r="B649" s="28">
        <v>645</v>
      </c>
      <c r="C649" s="1">
        <f>30000000+INDEX(编号表!$B:$B,MATCH(G649,编号表!$A:$A,0))*100000+INDEX(编号表!$F:$F,MATCH(H649,编号表!$E:$E,0))*1000+INDEX(编号表!$D:$D,MATCH(F649,编号表!$C:$C,0))*10000+E649</f>
        <v>31256000</v>
      </c>
      <c r="D649" s="23" t="s">
        <v>709</v>
      </c>
      <c r="E649" s="23">
        <v>0</v>
      </c>
      <c r="F649" s="23" t="s">
        <v>569</v>
      </c>
      <c r="G649" s="23" t="s">
        <v>42</v>
      </c>
      <c r="H649" s="23" t="s">
        <v>202</v>
      </c>
      <c r="I649" s="23"/>
      <c r="J649" s="23"/>
      <c r="K649" s="23"/>
      <c r="L649" s="29">
        <v>0</v>
      </c>
      <c r="M649" s="29">
        <v>0</v>
      </c>
      <c r="N649" s="29"/>
      <c r="O649" s="29">
        <v>1020362</v>
      </c>
      <c r="P649" s="29">
        <v>392840</v>
      </c>
      <c r="Q649" s="29">
        <v>5101812</v>
      </c>
      <c r="R649" s="30">
        <v>91832</v>
      </c>
    </row>
    <row r="650" spans="1:18">
      <c r="A650" s="27"/>
      <c r="B650" s="28">
        <v>646</v>
      </c>
      <c r="C650" s="1">
        <f>30000000+INDEX(编号表!$B:$B,MATCH(G650,编号表!$A:$A,0))*100000+INDEX(编号表!$F:$F,MATCH(H650,编号表!$E:$E,0))*1000+INDEX(编号表!$D:$D,MATCH(F650,编号表!$C:$C,0))*10000+E650</f>
        <v>31356000</v>
      </c>
      <c r="D650" s="23" t="s">
        <v>710</v>
      </c>
      <c r="E650" s="23">
        <v>0</v>
      </c>
      <c r="F650" s="23" t="s">
        <v>569</v>
      </c>
      <c r="G650" s="23" t="s">
        <v>45</v>
      </c>
      <c r="H650" s="23" t="s">
        <v>202</v>
      </c>
      <c r="I650" s="23" t="s">
        <v>46</v>
      </c>
      <c r="J650" s="23"/>
      <c r="K650" s="23"/>
      <c r="L650" s="29">
        <v>0</v>
      </c>
      <c r="M650" s="29">
        <v>-2</v>
      </c>
      <c r="N650" s="29"/>
      <c r="O650" s="29">
        <v>609666</v>
      </c>
      <c r="P650" s="29">
        <v>234722</v>
      </c>
      <c r="Q650" s="29">
        <v>0</v>
      </c>
      <c r="R650" s="30">
        <v>71425</v>
      </c>
    </row>
    <row r="651" spans="1:18">
      <c r="A651" s="27"/>
      <c r="B651" s="28">
        <v>647</v>
      </c>
      <c r="C651" s="1">
        <f>30000000+INDEX(编号表!$B:$B,MATCH(G651,编号表!$A:$A,0))*100000+INDEX(编号表!$F:$F,MATCH(H651,编号表!$E:$E,0))*1000+INDEX(编号表!$D:$D,MATCH(F651,编号表!$C:$C,0))*10000+E651</f>
        <v>31356001</v>
      </c>
      <c r="D651" s="23" t="s">
        <v>711</v>
      </c>
      <c r="E651" s="23">
        <v>1</v>
      </c>
      <c r="F651" s="23" t="s">
        <v>569</v>
      </c>
      <c r="G651" s="23" t="s">
        <v>45</v>
      </c>
      <c r="H651" s="23" t="s">
        <v>202</v>
      </c>
      <c r="I651" s="23" t="s">
        <v>46</v>
      </c>
      <c r="J651" s="23"/>
      <c r="K651" s="23"/>
      <c r="L651" s="29">
        <v>0</v>
      </c>
      <c r="M651" s="29">
        <v>3</v>
      </c>
      <c r="N651" s="29"/>
      <c r="O651" s="29">
        <v>651501</v>
      </c>
      <c r="P651" s="29">
        <v>310115</v>
      </c>
      <c r="Q651" s="29">
        <v>0</v>
      </c>
      <c r="R651" s="30">
        <v>91832</v>
      </c>
    </row>
    <row r="652" spans="1:18">
      <c r="A652" s="27"/>
      <c r="B652" s="28">
        <v>648</v>
      </c>
      <c r="C652" s="1">
        <f>30000000+INDEX(编号表!$B:$B,MATCH(G652,编号表!$A:$A,0))*100000+INDEX(编号表!$F:$F,MATCH(H652,编号表!$E:$E,0))*1000+INDEX(编号表!$D:$D,MATCH(F652,编号表!$C:$C,0))*10000+E652</f>
        <v>31356002</v>
      </c>
      <c r="D652" s="23" t="s">
        <v>712</v>
      </c>
      <c r="E652" s="23">
        <v>2</v>
      </c>
      <c r="F652" s="23" t="s">
        <v>569</v>
      </c>
      <c r="G652" s="23" t="s">
        <v>45</v>
      </c>
      <c r="H652" s="23" t="s">
        <v>202</v>
      </c>
      <c r="I652" s="23" t="s">
        <v>49</v>
      </c>
      <c r="J652" s="23"/>
      <c r="K652" s="23"/>
      <c r="L652" s="29">
        <v>0</v>
      </c>
      <c r="M652" s="29">
        <v>-1</v>
      </c>
      <c r="N652" s="29"/>
      <c r="O652" s="29">
        <v>578035</v>
      </c>
      <c r="P652" s="29">
        <v>145665</v>
      </c>
      <c r="Q652" s="29">
        <v>0</v>
      </c>
      <c r="R652" s="30">
        <v>99485</v>
      </c>
    </row>
    <row r="653" spans="1:18">
      <c r="A653" s="27"/>
      <c r="B653" s="28">
        <v>649</v>
      </c>
      <c r="C653" s="1">
        <f>30000000+INDEX(编号表!$B:$B,MATCH(G653,编号表!$A:$A,0))*100000+INDEX(编号表!$F:$F,MATCH(H653,编号表!$E:$E,0))*1000+INDEX(编号表!$D:$D,MATCH(F653,编号表!$C:$C,0))*10000+E653</f>
        <v>31356003</v>
      </c>
      <c r="D653" s="23" t="s">
        <v>713</v>
      </c>
      <c r="E653" s="23">
        <v>3</v>
      </c>
      <c r="F653" s="23" t="s">
        <v>569</v>
      </c>
      <c r="G653" s="23" t="s">
        <v>45</v>
      </c>
      <c r="H653" s="23" t="s">
        <v>202</v>
      </c>
      <c r="I653" s="23" t="s">
        <v>49</v>
      </c>
      <c r="J653" s="23"/>
      <c r="K653" s="23"/>
      <c r="L653" s="29">
        <v>0</v>
      </c>
      <c r="M653" s="29">
        <v>2</v>
      </c>
      <c r="N653" s="29"/>
      <c r="O653" s="29">
        <v>609666</v>
      </c>
      <c r="P653" s="29">
        <v>349949</v>
      </c>
      <c r="Q653" s="29">
        <v>0</v>
      </c>
      <c r="R653" s="30">
        <v>30610</v>
      </c>
    </row>
    <row r="654" spans="1:18">
      <c r="A654" s="27"/>
      <c r="B654" s="28">
        <v>650</v>
      </c>
      <c r="C654" s="1">
        <f>30000000+INDEX(编号表!$B:$B,MATCH(G654,编号表!$A:$A,0))*100000+INDEX(编号表!$F:$F,MATCH(H654,编号表!$E:$E,0))*1000+INDEX(编号表!$D:$D,MATCH(F654,编号表!$C:$C,0))*10000+E654</f>
        <v>31356004</v>
      </c>
      <c r="D654" s="23" t="s">
        <v>714</v>
      </c>
      <c r="E654" s="23">
        <v>4</v>
      </c>
      <c r="F654" s="23" t="s">
        <v>569</v>
      </c>
      <c r="G654" s="23" t="s">
        <v>45</v>
      </c>
      <c r="H654" s="23" t="s">
        <v>202</v>
      </c>
      <c r="I654" s="23" t="s">
        <v>52</v>
      </c>
      <c r="J654" s="23"/>
      <c r="K654" s="23"/>
      <c r="L654" s="29">
        <v>0</v>
      </c>
      <c r="M654" s="29">
        <v>-1</v>
      </c>
      <c r="N654" s="29"/>
      <c r="O654" s="29">
        <v>609666</v>
      </c>
      <c r="P654" s="29">
        <v>290202</v>
      </c>
      <c r="Q654" s="29">
        <v>0</v>
      </c>
      <c r="R654" s="30">
        <v>73976</v>
      </c>
    </row>
    <row r="655" spans="1:18">
      <c r="A655" s="27"/>
      <c r="B655" s="28">
        <v>651</v>
      </c>
      <c r="C655" s="1">
        <f>30000000+INDEX(编号表!$B:$B,MATCH(G655,编号表!$A:$A,0))*100000+INDEX(编号表!$F:$F,MATCH(H655,编号表!$E:$E,0))*1000+INDEX(编号表!$D:$D,MATCH(F655,编号表!$C:$C,0))*10000+E655</f>
        <v>31356005</v>
      </c>
      <c r="D655" s="23" t="inlineStr">
        <is>
          <t xml:space="preserve">千载沸泉苔·道株</t>
        </is>
      </c>
      <c r="E655" s="23">
        <v>5</v>
      </c>
      <c r="F655" s="23" t="s">
        <v>569</v>
      </c>
      <c r="G655" s="23" t="s">
        <v>45</v>
      </c>
      <c r="H655" s="23" t="s">
        <v>202</v>
      </c>
      <c r="I655" s="23" t="s">
        <v>52</v>
      </c>
      <c r="J655" s="23"/>
      <c r="K655" s="23"/>
      <c r="L655" s="29">
        <v>0</v>
      </c>
      <c r="M655" s="29">
        <v>4</v>
      </c>
      <c r="N655" s="29"/>
      <c r="O655" s="29">
        <v>630583</v>
      </c>
      <c r="P655" s="29">
        <v>361955</v>
      </c>
      <c r="Q655" s="29">
        <v>0</v>
      </c>
      <c r="R655" s="30">
        <v>132647</v>
      </c>
    </row>
    <row r="656" spans="1:18">
      <c r="A656" s="27"/>
      <c r="B656" s="28">
        <v>652</v>
      </c>
      <c r="C656" s="1">
        <f>30000000+INDEX(编号表!$B:$B,MATCH(G656,编号表!$A:$A,0))*100000+INDEX(编号表!$F:$F,MATCH(H656,编号表!$E:$E,0))*1000+INDEX(编号表!$D:$D,MATCH(F656,编号表!$C:$C,0))*10000+E656</f>
        <v>31356006</v>
      </c>
      <c r="D656" s="23" t="inlineStr">
        <is>
          <t xml:space="preserve">千载丹露花·道株</t>
        </is>
      </c>
      <c r="E656" s="23">
        <v>6</v>
      </c>
      <c r="F656" s="23" t="s">
        <v>569</v>
      </c>
      <c r="G656" s="23" t="s">
        <v>45</v>
      </c>
      <c r="H656" s="23" t="s">
        <v>202</v>
      </c>
      <c r="I656" s="23" t="s">
        <v>55</v>
      </c>
      <c r="J656" s="23"/>
      <c r="K656" s="23"/>
      <c r="L656" s="29">
        <v>0</v>
      </c>
      <c r="M656" s="29">
        <v>-1</v>
      </c>
      <c r="N656" s="29"/>
      <c r="O656" s="29">
        <v>630583</v>
      </c>
      <c r="P656" s="29">
        <v>123595</v>
      </c>
      <c r="Q656" s="29">
        <v>0</v>
      </c>
      <c r="R656" s="30">
        <v>214276</v>
      </c>
    </row>
    <row r="657" spans="1:18">
      <c r="A657" s="27"/>
      <c r="B657" s="28">
        <v>653</v>
      </c>
      <c r="C657" s="1">
        <f>30000000+INDEX(编号表!$B:$B,MATCH(G657,编号表!$A:$A,0))*100000+INDEX(编号表!$F:$F,MATCH(H657,编号表!$E:$E,0))*1000+INDEX(编号表!$D:$D,MATCH(F657,编号表!$C:$C,0))*10000+E657</f>
        <v>31356007</v>
      </c>
      <c r="D657" s="23" t="s">
        <v>717</v>
      </c>
      <c r="E657" s="23">
        <v>7</v>
      </c>
      <c r="F657" s="23" t="s">
        <v>569</v>
      </c>
      <c r="G657" s="23" t="s">
        <v>45</v>
      </c>
      <c r="H657" s="23" t="s">
        <v>202</v>
      </c>
      <c r="I657" s="23" t="s">
        <v>55</v>
      </c>
      <c r="J657" s="23"/>
      <c r="K657" s="23"/>
      <c r="L657" s="29">
        <v>0</v>
      </c>
      <c r="M657" s="29">
        <v>2</v>
      </c>
      <c r="N657" s="29"/>
      <c r="O657" s="29">
        <v>609666</v>
      </c>
      <c r="P657" s="29">
        <v>349949</v>
      </c>
      <c r="Q657" s="29">
        <v>0</v>
      </c>
      <c r="R657" s="30">
        <v>30610</v>
      </c>
    </row>
    <row r="658" spans="1:18">
      <c r="A658" s="27"/>
      <c r="B658" s="28">
        <v>654</v>
      </c>
      <c r="C658" s="1">
        <f>30000000+INDEX(编号表!$B:$B,MATCH(G658,编号表!$A:$A,0))*100000+INDEX(编号表!$F:$F,MATCH(H658,编号表!$E:$E,0))*1000+INDEX(编号表!$D:$D,MATCH(F658,编号表!$C:$C,0))*10000+E658</f>
        <v>31356008</v>
      </c>
      <c r="D658" s="23" t="s">
        <v>718</v>
      </c>
      <c r="E658" s="23">
        <v>8</v>
      </c>
      <c r="F658" s="23" t="s">
        <v>569</v>
      </c>
      <c r="G658" s="23" t="s">
        <v>45</v>
      </c>
      <c r="H658" s="23" t="s">
        <v>202</v>
      </c>
      <c r="I658" s="23" t="s">
        <v>58</v>
      </c>
      <c r="J658" s="23"/>
      <c r="K658" s="23"/>
      <c r="L658" s="29">
        <v>0</v>
      </c>
      <c r="M658" s="29">
        <v>-2</v>
      </c>
      <c r="N658" s="29"/>
      <c r="O658" s="29">
        <v>609666</v>
      </c>
      <c r="P658" s="29">
        <v>234722</v>
      </c>
      <c r="Q658" s="29">
        <v>0</v>
      </c>
      <c r="R658" s="30">
        <v>71425</v>
      </c>
    </row>
    <row r="659" spans="1:18">
      <c r="A659" s="27"/>
      <c r="B659" s="28">
        <v>655</v>
      </c>
      <c r="C659" s="1">
        <f>30000000+INDEX(编号表!$B:$B,MATCH(G659,编号表!$A:$A,0))*100000+INDEX(编号表!$F:$F,MATCH(H659,编号表!$E:$E,0))*1000+INDEX(编号表!$D:$D,MATCH(F659,编号表!$C:$C,0))*10000+E659</f>
        <v>31356009</v>
      </c>
      <c r="D659" s="23" t="s">
        <v>719</v>
      </c>
      <c r="E659" s="23">
        <v>9</v>
      </c>
      <c r="F659" s="23" t="s">
        <v>569</v>
      </c>
      <c r="G659" s="23" t="s">
        <v>45</v>
      </c>
      <c r="H659" s="23" t="s">
        <v>202</v>
      </c>
      <c r="I659" s="23" t="s">
        <v>58</v>
      </c>
      <c r="J659" s="23"/>
      <c r="K659" s="23"/>
      <c r="L659" s="29">
        <v>0</v>
      </c>
      <c r="M659" s="29">
        <v>1</v>
      </c>
      <c r="N659" s="29"/>
      <c r="O659" s="29">
        <v>578035</v>
      </c>
      <c r="P659" s="29">
        <v>145665</v>
      </c>
      <c r="Q659" s="29">
        <v>0</v>
      </c>
      <c r="R659" s="30">
        <v>99485</v>
      </c>
    </row>
    <row r="660" spans="1:18">
      <c r="A660" s="27"/>
      <c r="B660" s="28">
        <v>656</v>
      </c>
      <c r="C660" s="1">
        <f>30000000+INDEX(编号表!$B:$B,MATCH(G660,编号表!$A:$A,0))*100000+INDEX(编号表!$F:$F,MATCH(H660,编号表!$E:$E,0))*1000+INDEX(编号表!$D:$D,MATCH(F660,编号表!$C:$C,0))*10000+E660</f>
        <v>31556000</v>
      </c>
      <c r="D660" s="23" t="inlineStr">
        <is>
          <t xml:space="preserve">千载霜辛草·道株</t>
        </is>
      </c>
      <c r="E660" s="23">
        <v>0</v>
      </c>
      <c r="F660" s="23" t="s">
        <v>569</v>
      </c>
      <c r="G660" s="23" t="s">
        <v>61</v>
      </c>
      <c r="H660" s="23" t="s">
        <v>202</v>
      </c>
      <c r="I660" s="23"/>
      <c r="J660" s="23" t="s">
        <v>62</v>
      </c>
      <c r="K660" s="23"/>
      <c r="L660" s="29">
        <v>0</v>
      </c>
      <c r="M660" s="29">
        <v>-2</v>
      </c>
      <c r="N660" s="29"/>
      <c r="O660" s="29">
        <v>609666</v>
      </c>
      <c r="P660" s="29">
        <v>234722</v>
      </c>
      <c r="Q660" s="29">
        <v>0</v>
      </c>
      <c r="R660" s="30">
        <v>71425</v>
      </c>
    </row>
    <row r="661" spans="1:18">
      <c r="A661" s="27"/>
      <c r="B661" s="28">
        <v>657</v>
      </c>
      <c r="C661" s="1">
        <f>30000000+INDEX(编号表!$B:$B,MATCH(G661,编号表!$A:$A,0))*100000+INDEX(编号表!$F:$F,MATCH(H661,编号表!$E:$E,0))*1000+INDEX(编号表!$D:$D,MATCH(F661,编号表!$C:$C,0))*10000+E661</f>
        <v>31556001</v>
      </c>
      <c r="D661" s="23" t="s">
        <v>721</v>
      </c>
      <c r="E661" s="23">
        <v>1</v>
      </c>
      <c r="F661" s="23" t="s">
        <v>569</v>
      </c>
      <c r="G661" s="23" t="s">
        <v>61</v>
      </c>
      <c r="H661" s="23" t="s">
        <v>202</v>
      </c>
      <c r="I661" s="23"/>
      <c r="J661" s="23" t="s">
        <v>62</v>
      </c>
      <c r="K661" s="23"/>
      <c r="L661" s="29">
        <v>0</v>
      </c>
      <c r="M661" s="29">
        <v>3</v>
      </c>
      <c r="N661" s="29"/>
      <c r="O661" s="29">
        <v>651501</v>
      </c>
      <c r="P661" s="29">
        <v>310115</v>
      </c>
      <c r="Q661" s="29">
        <v>0</v>
      </c>
      <c r="R661" s="30">
        <v>91832</v>
      </c>
    </row>
    <row r="662" spans="1:18">
      <c r="A662" s="27"/>
      <c r="B662" s="28">
        <v>658</v>
      </c>
      <c r="C662" s="1">
        <f>30000000+INDEX(编号表!$B:$B,MATCH(G662,编号表!$A:$A,0))*100000+INDEX(编号表!$F:$F,MATCH(H662,编号表!$E:$E,0))*1000+INDEX(编号表!$D:$D,MATCH(F662,编号表!$C:$C,0))*10000+E662</f>
        <v>31556002</v>
      </c>
      <c r="D662" s="23" t="s">
        <v>722</v>
      </c>
      <c r="E662" s="23">
        <v>2</v>
      </c>
      <c r="F662" s="23" t="s">
        <v>569</v>
      </c>
      <c r="G662" s="23" t="s">
        <v>61</v>
      </c>
      <c r="H662" s="23" t="s">
        <v>202</v>
      </c>
      <c r="I662" s="23"/>
      <c r="J662" s="23" t="s">
        <v>65</v>
      </c>
      <c r="K662" s="23"/>
      <c r="L662" s="29">
        <v>0</v>
      </c>
      <c r="M662" s="29">
        <v>-1</v>
      </c>
      <c r="N662" s="29"/>
      <c r="O662" s="29">
        <v>578035</v>
      </c>
      <c r="P662" s="29">
        <v>145665</v>
      </c>
      <c r="Q662" s="29">
        <v>0</v>
      </c>
      <c r="R662" s="30">
        <v>99485</v>
      </c>
    </row>
    <row r="663" spans="1:18">
      <c r="A663" s="27"/>
      <c r="B663" s="28">
        <v>659</v>
      </c>
      <c r="C663" s="1">
        <f>30000000+INDEX(编号表!$B:$B,MATCH(G663,编号表!$A:$A,0))*100000+INDEX(编号表!$F:$F,MATCH(H663,编号表!$E:$E,0))*1000+INDEX(编号表!$D:$D,MATCH(F663,编号表!$C:$C,0))*10000+E663</f>
        <v>31556003</v>
      </c>
      <c r="D663" s="23" t="s">
        <v>723</v>
      </c>
      <c r="E663" s="23">
        <v>3</v>
      </c>
      <c r="F663" s="23" t="s">
        <v>569</v>
      </c>
      <c r="G663" s="23" t="s">
        <v>61</v>
      </c>
      <c r="H663" s="23" t="s">
        <v>202</v>
      </c>
      <c r="I663" s="23"/>
      <c r="J663" s="23" t="s">
        <v>65</v>
      </c>
      <c r="K663" s="23"/>
      <c r="L663" s="29">
        <v>0</v>
      </c>
      <c r="M663" s="29">
        <v>2</v>
      </c>
      <c r="N663" s="29"/>
      <c r="O663" s="29">
        <v>609666</v>
      </c>
      <c r="P663" s="29">
        <v>349949</v>
      </c>
      <c r="Q663" s="29">
        <v>0</v>
      </c>
      <c r="R663" s="30">
        <v>30610</v>
      </c>
    </row>
    <row r="664" spans="1:18">
      <c r="A664" s="27"/>
      <c r="B664" s="28">
        <v>660</v>
      </c>
      <c r="C664" s="1">
        <f>30000000+INDEX(编号表!$B:$B,MATCH(G664,编号表!$A:$A,0))*100000+INDEX(编号表!$F:$F,MATCH(H664,编号表!$E:$E,0))*1000+INDEX(编号表!$D:$D,MATCH(F664,编号表!$C:$C,0))*10000+E664</f>
        <v>31556004</v>
      </c>
      <c r="D664" s="23" t="s">
        <v>724</v>
      </c>
      <c r="E664" s="23">
        <v>4</v>
      </c>
      <c r="F664" s="23" t="s">
        <v>569</v>
      </c>
      <c r="G664" s="23" t="s">
        <v>61</v>
      </c>
      <c r="H664" s="23" t="s">
        <v>202</v>
      </c>
      <c r="I664" s="23"/>
      <c r="J664" s="23" t="s">
        <v>68</v>
      </c>
      <c r="K664" s="23"/>
      <c r="L664" s="29">
        <v>0</v>
      </c>
      <c r="M664" s="29">
        <v>-1</v>
      </c>
      <c r="N664" s="29"/>
      <c r="O664" s="29">
        <v>609666</v>
      </c>
      <c r="P664" s="29">
        <v>290202</v>
      </c>
      <c r="Q664" s="29">
        <v>0</v>
      </c>
      <c r="R664" s="30">
        <v>73976</v>
      </c>
    </row>
    <row r="665" spans="1:18">
      <c r="A665" s="27"/>
      <c r="B665" s="28">
        <v>661</v>
      </c>
      <c r="C665" s="1">
        <f>30000000+INDEX(编号表!$B:$B,MATCH(G665,编号表!$A:$A,0))*100000+INDEX(编号表!$F:$F,MATCH(H665,编号表!$E:$E,0))*1000+INDEX(编号表!$D:$D,MATCH(F665,编号表!$C:$C,0))*10000+E665</f>
        <v>31556005</v>
      </c>
      <c r="D665" s="23" t="s">
        <v>725</v>
      </c>
      <c r="E665" s="23">
        <v>5</v>
      </c>
      <c r="F665" s="23" t="s">
        <v>569</v>
      </c>
      <c r="G665" s="23" t="s">
        <v>61</v>
      </c>
      <c r="H665" s="23" t="s">
        <v>202</v>
      </c>
      <c r="I665" s="23"/>
      <c r="J665" s="23" t="s">
        <v>68</v>
      </c>
      <c r="K665" s="23"/>
      <c r="L665" s="29">
        <v>0</v>
      </c>
      <c r="M665" s="29">
        <v>4</v>
      </c>
      <c r="N665" s="29"/>
      <c r="O665" s="29">
        <v>630583</v>
      </c>
      <c r="P665" s="29">
        <v>361955</v>
      </c>
      <c r="Q665" s="29">
        <v>0</v>
      </c>
      <c r="R665" s="30">
        <v>132647</v>
      </c>
    </row>
    <row r="666" spans="1:18">
      <c r="A666" s="27"/>
      <c r="B666" s="28">
        <v>662</v>
      </c>
      <c r="C666" s="1">
        <f>30000000+INDEX(编号表!$B:$B,MATCH(G666,编号表!$A:$A,0))*100000+INDEX(编号表!$F:$F,MATCH(H666,编号表!$E:$E,0))*1000+INDEX(编号表!$D:$D,MATCH(F666,编号表!$C:$C,0))*10000+E666</f>
        <v>31556006</v>
      </c>
      <c r="D666" s="23" t="s">
        <v>726</v>
      </c>
      <c r="E666" s="23">
        <v>6</v>
      </c>
      <c r="F666" s="23" t="s">
        <v>569</v>
      </c>
      <c r="G666" s="23" t="s">
        <v>61</v>
      </c>
      <c r="H666" s="23" t="s">
        <v>202</v>
      </c>
      <c r="I666" s="23"/>
      <c r="J666" s="23" t="s">
        <v>71</v>
      </c>
      <c r="K666" s="23"/>
      <c r="L666" s="29">
        <v>0</v>
      </c>
      <c r="M666" s="29">
        <v>-1</v>
      </c>
      <c r="N666" s="29"/>
      <c r="O666" s="29">
        <v>630583</v>
      </c>
      <c r="P666" s="29">
        <v>123595</v>
      </c>
      <c r="Q666" s="29">
        <v>0</v>
      </c>
      <c r="R666" s="30">
        <v>214276</v>
      </c>
    </row>
    <row r="667" spans="1:18">
      <c r="A667" s="27"/>
      <c r="B667" s="28">
        <v>663</v>
      </c>
      <c r="C667" s="1">
        <f>30000000+INDEX(编号表!$B:$B,MATCH(G667,编号表!$A:$A,0))*100000+INDEX(编号表!$F:$F,MATCH(H667,编号表!$E:$E,0))*1000+INDEX(编号表!$D:$D,MATCH(F667,编号表!$C:$C,0))*10000+E667</f>
        <v>31556007</v>
      </c>
      <c r="D667" s="23" t="s">
        <v>727</v>
      </c>
      <c r="E667" s="23">
        <v>7</v>
      </c>
      <c r="F667" s="23" t="s">
        <v>569</v>
      </c>
      <c r="G667" s="23" t="s">
        <v>61</v>
      </c>
      <c r="H667" s="23" t="s">
        <v>202</v>
      </c>
      <c r="I667" s="23"/>
      <c r="J667" s="23" t="s">
        <v>71</v>
      </c>
      <c r="K667" s="23"/>
      <c r="L667" s="29">
        <v>0</v>
      </c>
      <c r="M667" s="29">
        <v>2</v>
      </c>
      <c r="N667" s="29"/>
      <c r="O667" s="29">
        <v>609666</v>
      </c>
      <c r="P667" s="29">
        <v>349949</v>
      </c>
      <c r="Q667" s="29">
        <v>0</v>
      </c>
      <c r="R667" s="30">
        <v>30610</v>
      </c>
    </row>
    <row r="668" spans="1:18">
      <c r="A668" s="27"/>
      <c r="B668" s="28">
        <v>664</v>
      </c>
      <c r="C668" s="1">
        <f>30000000+INDEX(编号表!$B:$B,MATCH(G668,编号表!$A:$A,0))*100000+INDEX(编号表!$F:$F,MATCH(H668,编号表!$E:$E,0))*1000+INDEX(编号表!$D:$D,MATCH(F668,编号表!$C:$C,0))*10000+E668</f>
        <v>31556008</v>
      </c>
      <c r="D668" s="23" t="s">
        <v>728</v>
      </c>
      <c r="E668" s="23">
        <v>8</v>
      </c>
      <c r="F668" s="23" t="s">
        <v>569</v>
      </c>
      <c r="G668" s="23" t="s">
        <v>61</v>
      </c>
      <c r="H668" s="23" t="s">
        <v>202</v>
      </c>
      <c r="I668" s="23"/>
      <c r="J668" s="23" t="s">
        <v>74</v>
      </c>
      <c r="K668" s="23"/>
      <c r="L668" s="29">
        <v>0</v>
      </c>
      <c r="M668" s="29">
        <v>-2</v>
      </c>
      <c r="N668" s="29"/>
      <c r="O668" s="29">
        <v>609666</v>
      </c>
      <c r="P668" s="29">
        <v>234722</v>
      </c>
      <c r="Q668" s="29">
        <v>0</v>
      </c>
      <c r="R668" s="30">
        <v>71425</v>
      </c>
    </row>
    <row r="669" spans="1:18">
      <c r="A669" s="27"/>
      <c r="B669" s="28">
        <v>665</v>
      </c>
      <c r="C669" s="1">
        <f>30000000+INDEX(编号表!$B:$B,MATCH(G669,编号表!$A:$A,0))*100000+INDEX(编号表!$F:$F,MATCH(H669,编号表!$E:$E,0))*1000+INDEX(编号表!$D:$D,MATCH(F669,编号表!$C:$C,0))*10000+E669</f>
        <v>31556009</v>
      </c>
      <c r="D669" s="23" t="s">
        <v>729</v>
      </c>
      <c r="E669" s="23">
        <v>9</v>
      </c>
      <c r="F669" s="23" t="s">
        <v>569</v>
      </c>
      <c r="G669" s="23" t="s">
        <v>61</v>
      </c>
      <c r="H669" s="23" t="s">
        <v>202</v>
      </c>
      <c r="I669" s="23"/>
      <c r="J669" s="23" t="s">
        <v>74</v>
      </c>
      <c r="K669" s="23"/>
      <c r="L669" s="29">
        <v>0</v>
      </c>
      <c r="M669" s="29">
        <v>1</v>
      </c>
      <c r="N669" s="29"/>
      <c r="O669" s="29">
        <v>578035</v>
      </c>
      <c r="P669" s="29">
        <v>145665</v>
      </c>
      <c r="Q669" s="29">
        <v>0</v>
      </c>
      <c r="R669" s="30">
        <v>99485</v>
      </c>
    </row>
    <row r="670" spans="1:18">
      <c r="A670" s="27"/>
      <c r="B670" s="28">
        <v>666</v>
      </c>
      <c r="C670" s="1">
        <f>30000000+INDEX(编号表!$B:$B,MATCH(G670,编号表!$A:$A,0))*100000+INDEX(编号表!$F:$F,MATCH(H670,编号表!$E:$E,0))*1000+INDEX(编号表!$D:$D,MATCH(F670,编号表!$C:$C,0))*10000+E670</f>
        <v>31456000</v>
      </c>
      <c r="D670" s="23" t="s">
        <v>730</v>
      </c>
      <c r="E670" s="23">
        <v>0</v>
      </c>
      <c r="F670" s="23" t="s">
        <v>569</v>
      </c>
      <c r="G670" s="23" t="s">
        <v>77</v>
      </c>
      <c r="H670" s="23" t="s">
        <v>202</v>
      </c>
      <c r="I670" s="23"/>
      <c r="J670" s="23"/>
      <c r="K670" s="23"/>
      <c r="L670" s="29">
        <v>0</v>
      </c>
      <c r="M670" s="29">
        <v>0</v>
      </c>
      <c r="N670" s="29"/>
      <c r="O670" s="29">
        <v>578035</v>
      </c>
      <c r="P670" s="29">
        <v>113295</v>
      </c>
      <c r="Q670" s="29">
        <v>0</v>
      </c>
      <c r="R670" s="30">
        <v>117341</v>
      </c>
    </row>
    <row r="671" spans="1:18">
      <c r="A671" s="27"/>
      <c r="B671" s="28">
        <v>667</v>
      </c>
      <c r="C671" s="1">
        <f>30000000+INDEX(编号表!$B:$B,MATCH(G671,编号表!$A:$A,0))*100000+INDEX(编号表!$F:$F,MATCH(H671,编号表!$E:$E,0))*1000+INDEX(编号表!$D:$D,MATCH(F671,编号表!$C:$C,0))*10000+E671</f>
        <v>31456001</v>
      </c>
      <c r="D671" s="23" t="s">
        <v>731</v>
      </c>
      <c r="E671" s="23">
        <v>1</v>
      </c>
      <c r="F671" s="23" t="s">
        <v>569</v>
      </c>
      <c r="G671" s="23" t="s">
        <v>77</v>
      </c>
      <c r="H671" s="23" t="s">
        <v>202</v>
      </c>
      <c r="I671" s="23"/>
      <c r="J671" s="23"/>
      <c r="K671" s="23"/>
      <c r="L671" s="29">
        <v>0</v>
      </c>
      <c r="M671" s="29">
        <v>0</v>
      </c>
      <c r="N671" s="29"/>
      <c r="O671" s="29">
        <v>651501</v>
      </c>
      <c r="P671" s="29">
        <v>373962</v>
      </c>
      <c r="Q671" s="29">
        <v>0</v>
      </c>
      <c r="R671" s="30">
        <v>40814</v>
      </c>
    </row>
    <row r="672" spans="1:18">
      <c r="A672" s="27"/>
      <c r="B672" s="28">
        <v>668</v>
      </c>
      <c r="C672" s="1">
        <f>30000000+INDEX(编号表!$B:$B,MATCH(G672,编号表!$A:$A,0))*100000+INDEX(编号表!$F:$F,MATCH(H672,编号表!$E:$E,0))*1000+INDEX(编号表!$D:$D,MATCH(F672,编号表!$C:$C,0))*10000+E672</f>
        <v>31456002</v>
      </c>
      <c r="D672" s="23" t="s">
        <v>732</v>
      </c>
      <c r="E672" s="23">
        <v>2</v>
      </c>
      <c r="F672" s="23" t="s">
        <v>569</v>
      </c>
      <c r="G672" s="23" t="s">
        <v>77</v>
      </c>
      <c r="H672" s="23" t="s">
        <v>202</v>
      </c>
      <c r="I672" s="23"/>
      <c r="J672" s="23"/>
      <c r="K672" s="23"/>
      <c r="L672" s="29">
        <v>0</v>
      </c>
      <c r="M672" s="29">
        <v>1</v>
      </c>
      <c r="N672" s="29"/>
      <c r="O672" s="29">
        <v>630583</v>
      </c>
      <c r="P672" s="29">
        <v>123595</v>
      </c>
      <c r="Q672" s="29">
        <v>0</v>
      </c>
      <c r="R672" s="30">
        <v>214276</v>
      </c>
    </row>
    <row r="673" spans="1:18">
      <c r="A673" s="27"/>
      <c r="B673" s="28">
        <v>669</v>
      </c>
      <c r="C673" s="1">
        <f>30000000+INDEX(编号表!$B:$B,MATCH(G673,编号表!$A:$A,0))*100000+INDEX(编号表!$F:$F,MATCH(H673,编号表!$E:$E,0))*1000+INDEX(编号表!$D:$D,MATCH(F673,编号表!$C:$C,0))*10000+E673</f>
        <v>31456003</v>
      </c>
      <c r="D673" s="23" t="s">
        <v>733</v>
      </c>
      <c r="E673" s="23">
        <v>3</v>
      </c>
      <c r="F673" s="23" t="s">
        <v>569</v>
      </c>
      <c r="G673" s="23" t="s">
        <v>77</v>
      </c>
      <c r="H673" s="23" t="s">
        <v>202</v>
      </c>
      <c r="I673" s="23"/>
      <c r="J673" s="23"/>
      <c r="K673" s="23"/>
      <c r="L673" s="29">
        <v>0</v>
      </c>
      <c r="M673" s="29">
        <v>4</v>
      </c>
      <c r="N673" s="29"/>
      <c r="O673" s="29">
        <v>630583</v>
      </c>
      <c r="P673" s="29">
        <v>361955</v>
      </c>
      <c r="Q673" s="29">
        <v>0</v>
      </c>
      <c r="R673" s="30">
        <v>132647</v>
      </c>
    </row>
    <row r="674" spans="1:18">
      <c r="A674" s="27"/>
      <c r="B674" s="28">
        <v>670</v>
      </c>
      <c r="C674" s="1">
        <f>30000000+INDEX(编号表!$B:$B,MATCH(G674,编号表!$A:$A,0))*100000+INDEX(编号表!$F:$F,MATCH(H674,编号表!$E:$E,0))*1000+INDEX(编号表!$D:$D,MATCH(F674,编号表!$C:$C,0))*10000+E674</f>
        <v>31656000</v>
      </c>
      <c r="D674" s="23" t="s">
        <v>734</v>
      </c>
      <c r="E674" s="23">
        <v>0</v>
      </c>
      <c r="F674" s="23" t="s">
        <v>569</v>
      </c>
      <c r="G674" s="23" t="s">
        <v>82</v>
      </c>
      <c r="H674" s="23" t="s">
        <v>202</v>
      </c>
      <c r="I674" s="23"/>
      <c r="J674" s="23"/>
      <c r="K674" s="23"/>
      <c r="L674" s="29">
        <v>7</v>
      </c>
      <c r="M674" s="29">
        <v>0</v>
      </c>
      <c r="N674" s="29"/>
      <c r="O674" s="29">
        <v>0</v>
      </c>
      <c r="P674" s="29">
        <v>0</v>
      </c>
      <c r="Q674" s="29">
        <v>0</v>
      </c>
      <c r="R674" s="30">
        <v>61221</v>
      </c>
    </row>
    <row r="675" spans="1:18">
      <c r="A675" s="27"/>
      <c r="B675" s="28">
        <v>671</v>
      </c>
      <c r="C675" s="1">
        <f>30000000+INDEX(编号表!$B:$B,MATCH(G675,编号表!$A:$A,0))*100000+INDEX(编号表!$F:$F,MATCH(H675,编号表!$E:$E,0))*1000+INDEX(编号表!$D:$D,MATCH(F675,编号表!$C:$C,0))*10000+E675</f>
        <v>31656001</v>
      </c>
      <c r="D675" s="23" t="s">
        <v>735</v>
      </c>
      <c r="E675" s="23">
        <v>1</v>
      </c>
      <c r="F675" s="23" t="s">
        <v>569</v>
      </c>
      <c r="G675" s="23" t="s">
        <v>82</v>
      </c>
      <c r="H675" s="23" t="s">
        <v>202</v>
      </c>
      <c r="I675" s="23"/>
      <c r="J675" s="23"/>
      <c r="K675" s="23"/>
      <c r="L675" s="29">
        <v>8</v>
      </c>
      <c r="M675" s="29">
        <v>0</v>
      </c>
      <c r="N675" s="29"/>
      <c r="O675" s="29">
        <v>0</v>
      </c>
      <c r="P675" s="29">
        <v>0</v>
      </c>
      <c r="Q675" s="29">
        <v>0</v>
      </c>
      <c r="R675" s="30">
        <v>112239</v>
      </c>
    </row>
    <row r="676" spans="1:18">
      <c r="A676" s="27"/>
      <c r="B676" s="28">
        <v>672</v>
      </c>
      <c r="C676" s="1">
        <f>30000000+INDEX(编号表!$B:$B,MATCH(G676,编号表!$A:$A,0))*100000+INDEX(编号表!$F:$F,MATCH(H676,编号表!$E:$E,0))*1000+INDEX(编号表!$D:$D,MATCH(F676,编号表!$C:$C,0))*10000+E676</f>
        <v>31656002</v>
      </c>
      <c r="D676" s="23" t="s">
        <v>736</v>
      </c>
      <c r="E676" s="23">
        <v>2</v>
      </c>
      <c r="F676" s="23" t="s">
        <v>569</v>
      </c>
      <c r="G676" s="23" t="s">
        <v>82</v>
      </c>
      <c r="H676" s="23" t="s">
        <v>202</v>
      </c>
      <c r="I676" s="23"/>
      <c r="J676" s="23"/>
      <c r="K676" s="23"/>
      <c r="L676" s="29">
        <v>9</v>
      </c>
      <c r="M676" s="29">
        <v>0</v>
      </c>
      <c r="N676" s="29"/>
      <c r="O676" s="29">
        <v>0</v>
      </c>
      <c r="P676" s="29">
        <v>0</v>
      </c>
      <c r="Q676" s="29">
        <v>0</v>
      </c>
      <c r="R676" s="30">
        <v>173461</v>
      </c>
    </row>
    <row r="677" spans="1:18">
      <c r="A677" s="27"/>
      <c r="B677" s="28">
        <v>673</v>
      </c>
      <c r="C677" s="1">
        <f>30000000+INDEX(编号表!$B:$B,MATCH(G677,编号表!$A:$A,0))*100000+INDEX(编号表!$F:$F,MATCH(H677,编号表!$E:$E,0))*1000+INDEX(编号表!$D:$D,MATCH(F677,编号表!$C:$C,0))*10000+E677</f>
        <v>31261000</v>
      </c>
      <c r="D677" s="23" t="s">
        <v>737</v>
      </c>
      <c r="E677" s="23">
        <v>0</v>
      </c>
      <c r="F677" s="23" t="s">
        <v>738</v>
      </c>
      <c r="G677" s="23" t="s">
        <v>42</v>
      </c>
      <c r="H677" s="23" t="s">
        <v>43</v>
      </c>
      <c r="I677" s="23"/>
      <c r="J677" s="23"/>
      <c r="K677" s="23"/>
      <c r="L677" s="29">
        <v>0</v>
      </c>
      <c r="M677" s="29">
        <v>0</v>
      </c>
      <c r="N677" s="29"/>
      <c r="O677" s="29">
        <v>162000</v>
      </c>
      <c r="P677" s="29">
        <v>89100</v>
      </c>
      <c r="Q677" s="29">
        <v>810000</v>
      </c>
      <c r="R677" s="30">
        <v>14580</v>
      </c>
    </row>
    <row r="678" spans="1:18">
      <c r="A678" s="27"/>
      <c r="B678" s="28">
        <v>674</v>
      </c>
      <c r="C678" s="1">
        <f>30000000+INDEX(编号表!$B:$B,MATCH(G678,编号表!$A:$A,0))*100000+INDEX(编号表!$F:$F,MATCH(H678,编号表!$E:$E,0))*1000+INDEX(编号表!$D:$D,MATCH(F678,编号表!$C:$C,0))*10000+E678</f>
        <v>31361000</v>
      </c>
      <c r="D678" s="23" t="s">
        <v>739</v>
      </c>
      <c r="E678" s="23">
        <v>0</v>
      </c>
      <c r="F678" s="23" t="s">
        <v>738</v>
      </c>
      <c r="G678" s="23" t="s">
        <v>45</v>
      </c>
      <c r="H678" s="23" t="s">
        <v>43</v>
      </c>
      <c r="I678" s="23" t="s">
        <v>46</v>
      </c>
      <c r="J678" s="23"/>
      <c r="K678" s="23"/>
      <c r="L678" s="29">
        <v>0</v>
      </c>
      <c r="M678" s="29">
        <v>-2</v>
      </c>
      <c r="N678" s="29"/>
      <c r="O678" s="29">
        <v>96795</v>
      </c>
      <c r="P678" s="29">
        <v>53238</v>
      </c>
      <c r="Q678" s="29">
        <v>0</v>
      </c>
      <c r="R678" s="30">
        <v>11340</v>
      </c>
    </row>
    <row r="679" spans="1:18">
      <c r="A679" s="27"/>
      <c r="B679" s="28">
        <v>675</v>
      </c>
      <c r="C679" s="1">
        <f>30000000+INDEX(编号表!$B:$B,MATCH(G679,编号表!$A:$A,0))*100000+INDEX(编号表!$F:$F,MATCH(H679,编号表!$E:$E,0))*1000+INDEX(编号表!$D:$D,MATCH(F679,编号表!$C:$C,0))*10000+E679</f>
        <v>31361001</v>
      </c>
      <c r="D679" s="23" t="s">
        <v>740</v>
      </c>
      <c r="E679" s="23">
        <v>1</v>
      </c>
      <c r="F679" s="23" t="s">
        <v>738</v>
      </c>
      <c r="G679" s="23" t="s">
        <v>45</v>
      </c>
      <c r="H679" s="23" t="s">
        <v>43</v>
      </c>
      <c r="I679" s="23" t="s">
        <v>46</v>
      </c>
      <c r="J679" s="23"/>
      <c r="K679" s="23"/>
      <c r="L679" s="29">
        <v>0</v>
      </c>
      <c r="M679" s="29">
        <v>3</v>
      </c>
      <c r="N679" s="29"/>
      <c r="O679" s="29">
        <v>103437</v>
      </c>
      <c r="P679" s="29">
        <v>70338</v>
      </c>
      <c r="Q679" s="29">
        <v>0</v>
      </c>
      <c r="R679" s="30">
        <v>14580</v>
      </c>
    </row>
    <row r="680" spans="1:18">
      <c r="A680" s="27"/>
      <c r="B680" s="28">
        <v>676</v>
      </c>
      <c r="C680" s="1">
        <f>30000000+INDEX(编号表!$B:$B,MATCH(G680,编号表!$A:$A,0))*100000+INDEX(编号表!$F:$F,MATCH(H680,编号表!$E:$E,0))*1000+INDEX(编号表!$D:$D,MATCH(F680,编号表!$C:$C,0))*10000+E680</f>
        <v>31361002</v>
      </c>
      <c r="D680" s="23" t="s">
        <v>741</v>
      </c>
      <c r="E680" s="23">
        <v>2</v>
      </c>
      <c r="F680" s="23" t="s">
        <v>738</v>
      </c>
      <c r="G680" s="23" t="s">
        <v>45</v>
      </c>
      <c r="H680" s="23" t="s">
        <v>43</v>
      </c>
      <c r="I680" s="23" t="s">
        <v>49</v>
      </c>
      <c r="J680" s="23"/>
      <c r="K680" s="23"/>
      <c r="L680" s="29">
        <v>0</v>
      </c>
      <c r="M680" s="29">
        <v>-1</v>
      </c>
      <c r="N680" s="29"/>
      <c r="O680" s="29">
        <v>91773</v>
      </c>
      <c r="P680" s="29">
        <v>33039</v>
      </c>
      <c r="Q680" s="29">
        <v>0</v>
      </c>
      <c r="R680" s="30">
        <v>15795</v>
      </c>
    </row>
    <row r="681" spans="1:18">
      <c r="A681" s="27"/>
      <c r="B681" s="28">
        <v>677</v>
      </c>
      <c r="C681" s="1">
        <f>30000000+INDEX(编号表!$B:$B,MATCH(G681,编号表!$A:$A,0))*100000+INDEX(编号表!$F:$F,MATCH(H681,编号表!$E:$E,0))*1000+INDEX(编号表!$D:$D,MATCH(F681,编号表!$C:$C,0))*10000+E681</f>
        <v>31361003</v>
      </c>
      <c r="D681" s="23" t="s">
        <v>742</v>
      </c>
      <c r="E681" s="23">
        <v>3</v>
      </c>
      <c r="F681" s="23" t="s">
        <v>738</v>
      </c>
      <c r="G681" s="23" t="s">
        <v>45</v>
      </c>
      <c r="H681" s="23" t="s">
        <v>43</v>
      </c>
      <c r="I681" s="23" t="s">
        <v>49</v>
      </c>
      <c r="J681" s="23"/>
      <c r="K681" s="23"/>
      <c r="L681" s="29">
        <v>0</v>
      </c>
      <c r="M681" s="29">
        <v>2</v>
      </c>
      <c r="N681" s="29"/>
      <c r="O681" s="29">
        <v>96795</v>
      </c>
      <c r="P681" s="29">
        <v>79372</v>
      </c>
      <c r="Q681" s="29">
        <v>0</v>
      </c>
      <c r="R681" s="30">
        <v>4860</v>
      </c>
    </row>
    <row r="682" spans="1:18">
      <c r="A682" s="27"/>
      <c r="B682" s="28">
        <v>678</v>
      </c>
      <c r="C682" s="1">
        <f>30000000+INDEX(编号表!$B:$B,MATCH(G682,编号表!$A:$A,0))*100000+INDEX(编号表!$F:$F,MATCH(H682,编号表!$E:$E,0))*1000+INDEX(编号表!$D:$D,MATCH(F682,编号表!$C:$C,0))*10000+E682</f>
        <v>31361004</v>
      </c>
      <c r="D682" s="23" t="s">
        <v>743</v>
      </c>
      <c r="E682" s="23">
        <v>4</v>
      </c>
      <c r="F682" s="23" t="s">
        <v>738</v>
      </c>
      <c r="G682" s="23" t="s">
        <v>45</v>
      </c>
      <c r="H682" s="23" t="s">
        <v>43</v>
      </c>
      <c r="I682" s="23" t="s">
        <v>52</v>
      </c>
      <c r="J682" s="23"/>
      <c r="K682" s="23"/>
      <c r="L682" s="29">
        <v>0</v>
      </c>
      <c r="M682" s="29">
        <v>-1</v>
      </c>
      <c r="N682" s="29"/>
      <c r="O682" s="29">
        <v>96795</v>
      </c>
      <c r="P682" s="29">
        <v>65821</v>
      </c>
      <c r="Q682" s="29">
        <v>0</v>
      </c>
      <c r="R682" s="30">
        <v>11745</v>
      </c>
    </row>
    <row r="683" spans="1:18">
      <c r="A683" s="27"/>
      <c r="B683" s="28">
        <v>679</v>
      </c>
      <c r="C683" s="1">
        <f>30000000+INDEX(编号表!$B:$B,MATCH(G683,编号表!$A:$A,0))*100000+INDEX(编号表!$F:$F,MATCH(H683,编号表!$E:$E,0))*1000+INDEX(编号表!$D:$D,MATCH(F683,编号表!$C:$C,0))*10000+E683</f>
        <v>31361005</v>
      </c>
      <c r="D683" s="23" t="inlineStr">
        <is>
          <t xml:space="preserve">万载沸泉苔·凡株</t>
        </is>
      </c>
      <c r="E683" s="23">
        <v>5</v>
      </c>
      <c r="F683" s="23" t="s">
        <v>738</v>
      </c>
      <c r="G683" s="23" t="s">
        <v>45</v>
      </c>
      <c r="H683" s="23" t="s">
        <v>43</v>
      </c>
      <c r="I683" s="23" t="s">
        <v>52</v>
      </c>
      <c r="J683" s="23"/>
      <c r="K683" s="23"/>
      <c r="L683" s="29">
        <v>0</v>
      </c>
      <c r="M683" s="29">
        <v>4</v>
      </c>
      <c r="N683" s="29"/>
      <c r="O683" s="29">
        <v>100116</v>
      </c>
      <c r="P683" s="29">
        <v>82096</v>
      </c>
      <c r="Q683" s="29">
        <v>0</v>
      </c>
      <c r="R683" s="30">
        <v>21060</v>
      </c>
    </row>
    <row r="684" spans="1:18">
      <c r="A684" s="27"/>
      <c r="B684" s="28">
        <v>680</v>
      </c>
      <c r="C684" s="1">
        <f>30000000+INDEX(编号表!$B:$B,MATCH(G684,编号表!$A:$A,0))*100000+INDEX(编号表!$F:$F,MATCH(H684,编号表!$E:$E,0))*1000+INDEX(编号表!$D:$D,MATCH(F684,编号表!$C:$C,0))*10000+E684</f>
        <v>31361006</v>
      </c>
      <c r="D684" s="23" t="inlineStr">
        <is>
          <t xml:space="preserve">万载丹露花·凡株</t>
        </is>
      </c>
      <c r="E684" s="23">
        <v>6</v>
      </c>
      <c r="F684" s="23" t="s">
        <v>738</v>
      </c>
      <c r="G684" s="23" t="s">
        <v>45</v>
      </c>
      <c r="H684" s="23" t="s">
        <v>43</v>
      </c>
      <c r="I684" s="23" t="s">
        <v>55</v>
      </c>
      <c r="J684" s="23"/>
      <c r="K684" s="23"/>
      <c r="L684" s="29">
        <v>0</v>
      </c>
      <c r="M684" s="29">
        <v>-1</v>
      </c>
      <c r="N684" s="29"/>
      <c r="O684" s="29">
        <v>100116</v>
      </c>
      <c r="P684" s="29">
        <v>28033</v>
      </c>
      <c r="Q684" s="29">
        <v>0</v>
      </c>
      <c r="R684" s="30">
        <v>34020</v>
      </c>
    </row>
    <row r="685" spans="1:18">
      <c r="A685" s="27"/>
      <c r="B685" s="28">
        <v>681</v>
      </c>
      <c r="C685" s="1">
        <f>30000000+INDEX(编号表!$B:$B,MATCH(G685,编号表!$A:$A,0))*100000+INDEX(编号表!$F:$F,MATCH(H685,编号表!$E:$E,0))*1000+INDEX(编号表!$D:$D,MATCH(F685,编号表!$C:$C,0))*10000+E685</f>
        <v>31361007</v>
      </c>
      <c r="D685" s="23" t="s">
        <v>746</v>
      </c>
      <c r="E685" s="23">
        <v>7</v>
      </c>
      <c r="F685" s="23" t="s">
        <v>738</v>
      </c>
      <c r="G685" s="23" t="s">
        <v>45</v>
      </c>
      <c r="H685" s="23" t="s">
        <v>43</v>
      </c>
      <c r="I685" s="23" t="s">
        <v>55</v>
      </c>
      <c r="J685" s="23"/>
      <c r="K685" s="23"/>
      <c r="L685" s="29">
        <v>0</v>
      </c>
      <c r="M685" s="29">
        <v>2</v>
      </c>
      <c r="N685" s="29"/>
      <c r="O685" s="29">
        <v>96795</v>
      </c>
      <c r="P685" s="29">
        <v>79372</v>
      </c>
      <c r="Q685" s="29">
        <v>0</v>
      </c>
      <c r="R685" s="30">
        <v>4860</v>
      </c>
    </row>
    <row r="686" spans="1:18">
      <c r="A686" s="27"/>
      <c r="B686" s="28">
        <v>682</v>
      </c>
      <c r="C686" s="1">
        <f>30000000+INDEX(编号表!$B:$B,MATCH(G686,编号表!$A:$A,0))*100000+INDEX(编号表!$F:$F,MATCH(H686,编号表!$E:$E,0))*1000+INDEX(编号表!$D:$D,MATCH(F686,编号表!$C:$C,0))*10000+E686</f>
        <v>31361008</v>
      </c>
      <c r="D686" s="23" t="s">
        <v>747</v>
      </c>
      <c r="E686" s="23">
        <v>8</v>
      </c>
      <c r="F686" s="23" t="s">
        <v>738</v>
      </c>
      <c r="G686" s="23" t="s">
        <v>45</v>
      </c>
      <c r="H686" s="23" t="s">
        <v>43</v>
      </c>
      <c r="I686" s="23" t="s">
        <v>58</v>
      </c>
      <c r="J686" s="23"/>
      <c r="K686" s="23"/>
      <c r="L686" s="29">
        <v>0</v>
      </c>
      <c r="M686" s="29">
        <v>-2</v>
      </c>
      <c r="N686" s="29"/>
      <c r="O686" s="29">
        <v>96795</v>
      </c>
      <c r="P686" s="29">
        <v>53238</v>
      </c>
      <c r="Q686" s="29">
        <v>0</v>
      </c>
      <c r="R686" s="30">
        <v>11340</v>
      </c>
    </row>
    <row r="687" spans="1:18">
      <c r="A687" s="27"/>
      <c r="B687" s="28">
        <v>683</v>
      </c>
      <c r="C687" s="1">
        <f>30000000+INDEX(编号表!$B:$B,MATCH(G687,编号表!$A:$A,0))*100000+INDEX(编号表!$F:$F,MATCH(H687,编号表!$E:$E,0))*1000+INDEX(编号表!$D:$D,MATCH(F687,编号表!$C:$C,0))*10000+E687</f>
        <v>31361009</v>
      </c>
      <c r="D687" s="23" t="s">
        <v>748</v>
      </c>
      <c r="E687" s="23">
        <v>9</v>
      </c>
      <c r="F687" s="23" t="s">
        <v>738</v>
      </c>
      <c r="G687" s="23" t="s">
        <v>45</v>
      </c>
      <c r="H687" s="23" t="s">
        <v>43</v>
      </c>
      <c r="I687" s="23" t="s">
        <v>58</v>
      </c>
      <c r="J687" s="23"/>
      <c r="K687" s="23"/>
      <c r="L687" s="29">
        <v>0</v>
      </c>
      <c r="M687" s="29">
        <v>1</v>
      </c>
      <c r="N687" s="29"/>
      <c r="O687" s="29">
        <v>91773</v>
      </c>
      <c r="P687" s="29">
        <v>33039</v>
      </c>
      <c r="Q687" s="29">
        <v>0</v>
      </c>
      <c r="R687" s="30">
        <v>15795</v>
      </c>
    </row>
    <row r="688" spans="1:18">
      <c r="A688" s="27"/>
      <c r="B688" s="28">
        <v>684</v>
      </c>
      <c r="C688" s="1">
        <f>30000000+INDEX(编号表!$B:$B,MATCH(G688,编号表!$A:$A,0))*100000+INDEX(编号表!$F:$F,MATCH(H688,编号表!$E:$E,0))*1000+INDEX(编号表!$D:$D,MATCH(F688,编号表!$C:$C,0))*10000+E688</f>
        <v>31561000</v>
      </c>
      <c r="D688" s="23" t="inlineStr">
        <is>
          <t xml:space="preserve">万载霜辛草·凡株</t>
        </is>
      </c>
      <c r="E688" s="23">
        <v>0</v>
      </c>
      <c r="F688" s="23" t="s">
        <v>738</v>
      </c>
      <c r="G688" s="23" t="s">
        <v>61</v>
      </c>
      <c r="H688" s="23" t="s">
        <v>43</v>
      </c>
      <c r="I688" s="23"/>
      <c r="J688" s="23" t="s">
        <v>62</v>
      </c>
      <c r="K688" s="23"/>
      <c r="L688" s="29">
        <v>0</v>
      </c>
      <c r="M688" s="29">
        <v>-2</v>
      </c>
      <c r="N688" s="29"/>
      <c r="O688" s="29">
        <v>96795</v>
      </c>
      <c r="P688" s="29">
        <v>53238</v>
      </c>
      <c r="Q688" s="29">
        <v>0</v>
      </c>
      <c r="R688" s="30">
        <v>11340</v>
      </c>
    </row>
    <row r="689" spans="1:18">
      <c r="A689" s="27"/>
      <c r="B689" s="28">
        <v>685</v>
      </c>
      <c r="C689" s="1">
        <f>30000000+INDEX(编号表!$B:$B,MATCH(G689,编号表!$A:$A,0))*100000+INDEX(编号表!$F:$F,MATCH(H689,编号表!$E:$E,0))*1000+INDEX(编号表!$D:$D,MATCH(F689,编号表!$C:$C,0))*10000+E689</f>
        <v>31561001</v>
      </c>
      <c r="D689" s="23" t="s">
        <v>750</v>
      </c>
      <c r="E689" s="23">
        <v>1</v>
      </c>
      <c r="F689" s="23" t="s">
        <v>738</v>
      </c>
      <c r="G689" s="23" t="s">
        <v>61</v>
      </c>
      <c r="H689" s="23" t="s">
        <v>43</v>
      </c>
      <c r="I689" s="23"/>
      <c r="J689" s="23" t="s">
        <v>62</v>
      </c>
      <c r="K689" s="23"/>
      <c r="L689" s="29">
        <v>0</v>
      </c>
      <c r="M689" s="29">
        <v>3</v>
      </c>
      <c r="N689" s="29"/>
      <c r="O689" s="29">
        <v>103437</v>
      </c>
      <c r="P689" s="29">
        <v>70338</v>
      </c>
      <c r="Q689" s="29">
        <v>0</v>
      </c>
      <c r="R689" s="30">
        <v>14580</v>
      </c>
    </row>
    <row r="690" spans="1:18">
      <c r="A690" s="27"/>
      <c r="B690" s="28">
        <v>686</v>
      </c>
      <c r="C690" s="1">
        <f>30000000+INDEX(编号表!$B:$B,MATCH(G690,编号表!$A:$A,0))*100000+INDEX(编号表!$F:$F,MATCH(H690,编号表!$E:$E,0))*1000+INDEX(编号表!$D:$D,MATCH(F690,编号表!$C:$C,0))*10000+E690</f>
        <v>31561002</v>
      </c>
      <c r="D690" s="23" t="s">
        <v>751</v>
      </c>
      <c r="E690" s="23">
        <v>2</v>
      </c>
      <c r="F690" s="23" t="s">
        <v>738</v>
      </c>
      <c r="G690" s="23" t="s">
        <v>61</v>
      </c>
      <c r="H690" s="23" t="s">
        <v>43</v>
      </c>
      <c r="I690" s="23"/>
      <c r="J690" s="23" t="s">
        <v>65</v>
      </c>
      <c r="K690" s="23"/>
      <c r="L690" s="29">
        <v>0</v>
      </c>
      <c r="M690" s="29">
        <v>-1</v>
      </c>
      <c r="N690" s="29"/>
      <c r="O690" s="29">
        <v>91773</v>
      </c>
      <c r="P690" s="29">
        <v>33039</v>
      </c>
      <c r="Q690" s="29">
        <v>0</v>
      </c>
      <c r="R690" s="30">
        <v>15795</v>
      </c>
    </row>
    <row r="691" spans="1:18">
      <c r="A691" s="27"/>
      <c r="B691" s="28">
        <v>687</v>
      </c>
      <c r="C691" s="1">
        <f>30000000+INDEX(编号表!$B:$B,MATCH(G691,编号表!$A:$A,0))*100000+INDEX(编号表!$F:$F,MATCH(H691,编号表!$E:$E,0))*1000+INDEX(编号表!$D:$D,MATCH(F691,编号表!$C:$C,0))*10000+E691</f>
        <v>31561003</v>
      </c>
      <c r="D691" s="23" t="s">
        <v>752</v>
      </c>
      <c r="E691" s="23">
        <v>3</v>
      </c>
      <c r="F691" s="23" t="s">
        <v>738</v>
      </c>
      <c r="G691" s="23" t="s">
        <v>61</v>
      </c>
      <c r="H691" s="23" t="s">
        <v>43</v>
      </c>
      <c r="I691" s="23"/>
      <c r="J691" s="23" t="s">
        <v>65</v>
      </c>
      <c r="K691" s="23"/>
      <c r="L691" s="29">
        <v>0</v>
      </c>
      <c r="M691" s="29">
        <v>2</v>
      </c>
      <c r="N691" s="29"/>
      <c r="O691" s="29">
        <v>96795</v>
      </c>
      <c r="P691" s="29">
        <v>79372</v>
      </c>
      <c r="Q691" s="29">
        <v>0</v>
      </c>
      <c r="R691" s="30">
        <v>4860</v>
      </c>
    </row>
    <row r="692" spans="1:18">
      <c r="A692" s="27"/>
      <c r="B692" s="28">
        <v>688</v>
      </c>
      <c r="C692" s="1">
        <f>30000000+INDEX(编号表!$B:$B,MATCH(G692,编号表!$A:$A,0))*100000+INDEX(编号表!$F:$F,MATCH(H692,编号表!$E:$E,0))*1000+INDEX(编号表!$D:$D,MATCH(F692,编号表!$C:$C,0))*10000+E692</f>
        <v>31561004</v>
      </c>
      <c r="D692" s="23" t="s">
        <v>753</v>
      </c>
      <c r="E692" s="23">
        <v>4</v>
      </c>
      <c r="F692" s="23" t="s">
        <v>738</v>
      </c>
      <c r="G692" s="23" t="s">
        <v>61</v>
      </c>
      <c r="H692" s="23" t="s">
        <v>43</v>
      </c>
      <c r="I692" s="23"/>
      <c r="J692" s="23" t="s">
        <v>68</v>
      </c>
      <c r="K692" s="23"/>
      <c r="L692" s="29">
        <v>0</v>
      </c>
      <c r="M692" s="29">
        <v>-1</v>
      </c>
      <c r="N692" s="29"/>
      <c r="O692" s="29">
        <v>96795</v>
      </c>
      <c r="P692" s="29">
        <v>65821</v>
      </c>
      <c r="Q692" s="29">
        <v>0</v>
      </c>
      <c r="R692" s="30">
        <v>11745</v>
      </c>
    </row>
    <row r="693" spans="1:18">
      <c r="A693" s="27"/>
      <c r="B693" s="28">
        <v>689</v>
      </c>
      <c r="C693" s="1">
        <f>30000000+INDEX(编号表!$B:$B,MATCH(G693,编号表!$A:$A,0))*100000+INDEX(编号表!$F:$F,MATCH(H693,编号表!$E:$E,0))*1000+INDEX(编号表!$D:$D,MATCH(F693,编号表!$C:$C,0))*10000+E693</f>
        <v>31561005</v>
      </c>
      <c r="D693" s="23" t="s">
        <v>754</v>
      </c>
      <c r="E693" s="23">
        <v>5</v>
      </c>
      <c r="F693" s="23" t="s">
        <v>738</v>
      </c>
      <c r="G693" s="23" t="s">
        <v>61</v>
      </c>
      <c r="H693" s="23" t="s">
        <v>43</v>
      </c>
      <c r="I693" s="23"/>
      <c r="J693" s="23" t="s">
        <v>68</v>
      </c>
      <c r="K693" s="23"/>
      <c r="L693" s="29">
        <v>0</v>
      </c>
      <c r="M693" s="29">
        <v>4</v>
      </c>
      <c r="N693" s="29"/>
      <c r="O693" s="29">
        <v>100116</v>
      </c>
      <c r="P693" s="29">
        <v>82096</v>
      </c>
      <c r="Q693" s="29">
        <v>0</v>
      </c>
      <c r="R693" s="30">
        <v>21060</v>
      </c>
    </row>
    <row r="694" spans="1:18">
      <c r="A694" s="27"/>
      <c r="B694" s="28">
        <v>690</v>
      </c>
      <c r="C694" s="1">
        <f>30000000+INDEX(编号表!$B:$B,MATCH(G694,编号表!$A:$A,0))*100000+INDEX(编号表!$F:$F,MATCH(H694,编号表!$E:$E,0))*1000+INDEX(编号表!$D:$D,MATCH(F694,编号表!$C:$C,0))*10000+E694</f>
        <v>31561006</v>
      </c>
      <c r="D694" s="23" t="s">
        <v>755</v>
      </c>
      <c r="E694" s="23">
        <v>6</v>
      </c>
      <c r="F694" s="23" t="s">
        <v>738</v>
      </c>
      <c r="G694" s="23" t="s">
        <v>61</v>
      </c>
      <c r="H694" s="23" t="s">
        <v>43</v>
      </c>
      <c r="I694" s="23"/>
      <c r="J694" s="23" t="s">
        <v>71</v>
      </c>
      <c r="K694" s="23"/>
      <c r="L694" s="29">
        <v>0</v>
      </c>
      <c r="M694" s="29">
        <v>-1</v>
      </c>
      <c r="N694" s="29"/>
      <c r="O694" s="29">
        <v>100116</v>
      </c>
      <c r="P694" s="29">
        <v>28033</v>
      </c>
      <c r="Q694" s="29">
        <v>0</v>
      </c>
      <c r="R694" s="30">
        <v>34020</v>
      </c>
    </row>
    <row r="695" spans="1:18">
      <c r="A695" s="27"/>
      <c r="B695" s="28">
        <v>691</v>
      </c>
      <c r="C695" s="1">
        <f>30000000+INDEX(编号表!$B:$B,MATCH(G695,编号表!$A:$A,0))*100000+INDEX(编号表!$F:$F,MATCH(H695,编号表!$E:$E,0))*1000+INDEX(编号表!$D:$D,MATCH(F695,编号表!$C:$C,0))*10000+E695</f>
        <v>31561007</v>
      </c>
      <c r="D695" s="23" t="s">
        <v>756</v>
      </c>
      <c r="E695" s="23">
        <v>7</v>
      </c>
      <c r="F695" s="23" t="s">
        <v>738</v>
      </c>
      <c r="G695" s="23" t="s">
        <v>61</v>
      </c>
      <c r="H695" s="23" t="s">
        <v>43</v>
      </c>
      <c r="I695" s="23"/>
      <c r="J695" s="23" t="s">
        <v>71</v>
      </c>
      <c r="K695" s="23"/>
      <c r="L695" s="29">
        <v>0</v>
      </c>
      <c r="M695" s="29">
        <v>2</v>
      </c>
      <c r="N695" s="29"/>
      <c r="O695" s="29">
        <v>96795</v>
      </c>
      <c r="P695" s="29">
        <v>79372</v>
      </c>
      <c r="Q695" s="29">
        <v>0</v>
      </c>
      <c r="R695" s="30">
        <v>4860</v>
      </c>
    </row>
    <row r="696" spans="1:18">
      <c r="A696" s="27"/>
      <c r="B696" s="28">
        <v>692</v>
      </c>
      <c r="C696" s="1">
        <f>30000000+INDEX(编号表!$B:$B,MATCH(G696,编号表!$A:$A,0))*100000+INDEX(编号表!$F:$F,MATCH(H696,编号表!$E:$E,0))*1000+INDEX(编号表!$D:$D,MATCH(F696,编号表!$C:$C,0))*10000+E696</f>
        <v>31561008</v>
      </c>
      <c r="D696" s="23" t="s">
        <v>757</v>
      </c>
      <c r="E696" s="23">
        <v>8</v>
      </c>
      <c r="F696" s="23" t="s">
        <v>738</v>
      </c>
      <c r="G696" s="23" t="s">
        <v>61</v>
      </c>
      <c r="H696" s="23" t="s">
        <v>43</v>
      </c>
      <c r="I696" s="23"/>
      <c r="J696" s="23" t="s">
        <v>74</v>
      </c>
      <c r="K696" s="23"/>
      <c r="L696" s="29">
        <v>0</v>
      </c>
      <c r="M696" s="29">
        <v>-2</v>
      </c>
      <c r="N696" s="29"/>
      <c r="O696" s="29">
        <v>96795</v>
      </c>
      <c r="P696" s="29">
        <v>53238</v>
      </c>
      <c r="Q696" s="29">
        <v>0</v>
      </c>
      <c r="R696" s="30">
        <v>11340</v>
      </c>
    </row>
    <row r="697" spans="1:18">
      <c r="A697" s="27"/>
      <c r="B697" s="28">
        <v>693</v>
      </c>
      <c r="C697" s="1">
        <f>30000000+INDEX(编号表!$B:$B,MATCH(G697,编号表!$A:$A,0))*100000+INDEX(编号表!$F:$F,MATCH(H697,编号表!$E:$E,0))*1000+INDEX(编号表!$D:$D,MATCH(F697,编号表!$C:$C,0))*10000+E697</f>
        <v>31561009</v>
      </c>
      <c r="D697" s="23" t="s">
        <v>758</v>
      </c>
      <c r="E697" s="23">
        <v>9</v>
      </c>
      <c r="F697" s="23" t="s">
        <v>738</v>
      </c>
      <c r="G697" s="23" t="s">
        <v>61</v>
      </c>
      <c r="H697" s="23" t="s">
        <v>43</v>
      </c>
      <c r="I697" s="23"/>
      <c r="J697" s="23" t="s">
        <v>74</v>
      </c>
      <c r="K697" s="23"/>
      <c r="L697" s="29">
        <v>0</v>
      </c>
      <c r="M697" s="29">
        <v>1</v>
      </c>
      <c r="N697" s="29"/>
      <c r="O697" s="29">
        <v>91773</v>
      </c>
      <c r="P697" s="29">
        <v>33039</v>
      </c>
      <c r="Q697" s="29">
        <v>0</v>
      </c>
      <c r="R697" s="30">
        <v>15795</v>
      </c>
    </row>
    <row r="698" spans="1:18">
      <c r="A698" s="27"/>
      <c r="B698" s="28">
        <v>694</v>
      </c>
      <c r="C698" s="1">
        <f>30000000+INDEX(编号表!$B:$B,MATCH(G698,编号表!$A:$A,0))*100000+INDEX(编号表!$F:$F,MATCH(H698,编号表!$E:$E,0))*1000+INDEX(编号表!$D:$D,MATCH(F698,编号表!$C:$C,0))*10000+E698</f>
        <v>31461000</v>
      </c>
      <c r="D698" s="23" t="s">
        <v>759</v>
      </c>
      <c r="E698" s="23">
        <v>0</v>
      </c>
      <c r="F698" s="23" t="s">
        <v>738</v>
      </c>
      <c r="G698" s="23" t="s">
        <v>77</v>
      </c>
      <c r="H698" s="23" t="s">
        <v>43</v>
      </c>
      <c r="I698" s="23"/>
      <c r="J698" s="23"/>
      <c r="K698" s="23"/>
      <c r="L698" s="29">
        <v>0</v>
      </c>
      <c r="M698" s="29">
        <v>0</v>
      </c>
      <c r="N698" s="29"/>
      <c r="O698" s="29">
        <v>91773</v>
      </c>
      <c r="P698" s="29">
        <v>25697</v>
      </c>
      <c r="Q698" s="29">
        <v>0</v>
      </c>
      <c r="R698" s="30">
        <v>18630</v>
      </c>
    </row>
    <row r="699" spans="1:18">
      <c r="A699" s="27"/>
      <c r="B699" s="28">
        <v>695</v>
      </c>
      <c r="C699" s="1">
        <f>30000000+INDEX(编号表!$B:$B,MATCH(G699,编号表!$A:$A,0))*100000+INDEX(编号表!$F:$F,MATCH(H699,编号表!$E:$E,0))*1000+INDEX(编号表!$D:$D,MATCH(F699,编号表!$C:$C,0))*10000+E699</f>
        <v>31461001</v>
      </c>
      <c r="D699" s="23" t="s">
        <v>760</v>
      </c>
      <c r="E699" s="23">
        <v>1</v>
      </c>
      <c r="F699" s="23" t="s">
        <v>738</v>
      </c>
      <c r="G699" s="23" t="s">
        <v>77</v>
      </c>
      <c r="H699" s="23" t="s">
        <v>43</v>
      </c>
      <c r="I699" s="23"/>
      <c r="J699" s="23"/>
      <c r="K699" s="23"/>
      <c r="L699" s="29">
        <v>0</v>
      </c>
      <c r="M699" s="29">
        <v>0</v>
      </c>
      <c r="N699" s="29"/>
      <c r="O699" s="29">
        <v>103437</v>
      </c>
      <c r="P699" s="29">
        <v>84819</v>
      </c>
      <c r="Q699" s="29">
        <v>0</v>
      </c>
      <c r="R699" s="30">
        <v>6480</v>
      </c>
    </row>
    <row r="700" spans="1:18">
      <c r="A700" s="27"/>
      <c r="B700" s="28">
        <v>696</v>
      </c>
      <c r="C700" s="1">
        <f>30000000+INDEX(编号表!$B:$B,MATCH(G700,编号表!$A:$A,0))*100000+INDEX(编号表!$F:$F,MATCH(H700,编号表!$E:$E,0))*1000+INDEX(编号表!$D:$D,MATCH(F700,编号表!$C:$C,0))*10000+E700</f>
        <v>31461002</v>
      </c>
      <c r="D700" s="23" t="s">
        <v>761</v>
      </c>
      <c r="E700" s="23">
        <v>2</v>
      </c>
      <c r="F700" s="23" t="s">
        <v>738</v>
      </c>
      <c r="G700" s="23" t="s">
        <v>77</v>
      </c>
      <c r="H700" s="23" t="s">
        <v>43</v>
      </c>
      <c r="I700" s="23"/>
      <c r="J700" s="23"/>
      <c r="K700" s="23"/>
      <c r="L700" s="29">
        <v>0</v>
      </c>
      <c r="M700" s="29">
        <v>1</v>
      </c>
      <c r="N700" s="29"/>
      <c r="O700" s="29">
        <v>100116</v>
      </c>
      <c r="P700" s="29">
        <v>28033</v>
      </c>
      <c r="Q700" s="29">
        <v>0</v>
      </c>
      <c r="R700" s="30">
        <v>34020</v>
      </c>
    </row>
    <row r="701" spans="1:18">
      <c r="A701" s="27"/>
      <c r="B701" s="28">
        <v>697</v>
      </c>
      <c r="C701" s="1">
        <f>30000000+INDEX(编号表!$B:$B,MATCH(G701,编号表!$A:$A,0))*100000+INDEX(编号表!$F:$F,MATCH(H701,编号表!$E:$E,0))*1000+INDEX(编号表!$D:$D,MATCH(F701,编号表!$C:$C,0))*10000+E701</f>
        <v>31461003</v>
      </c>
      <c r="D701" s="23" t="s">
        <v>762</v>
      </c>
      <c r="E701" s="23">
        <v>3</v>
      </c>
      <c r="F701" s="23" t="s">
        <v>738</v>
      </c>
      <c r="G701" s="23" t="s">
        <v>77</v>
      </c>
      <c r="H701" s="23" t="s">
        <v>43</v>
      </c>
      <c r="I701" s="23"/>
      <c r="J701" s="23"/>
      <c r="K701" s="23"/>
      <c r="L701" s="29">
        <v>0</v>
      </c>
      <c r="M701" s="29">
        <v>4</v>
      </c>
      <c r="N701" s="29"/>
      <c r="O701" s="29">
        <v>100116</v>
      </c>
      <c r="P701" s="29">
        <v>82096</v>
      </c>
      <c r="Q701" s="29">
        <v>0</v>
      </c>
      <c r="R701" s="30">
        <v>21060</v>
      </c>
    </row>
    <row r="702" spans="1:18">
      <c r="A702" s="27"/>
      <c r="B702" s="28">
        <v>698</v>
      </c>
      <c r="C702" s="1">
        <f>30000000+INDEX(编号表!$B:$B,MATCH(G702,编号表!$A:$A,0))*100000+INDEX(编号表!$F:$F,MATCH(H702,编号表!$E:$E,0))*1000+INDEX(编号表!$D:$D,MATCH(F702,编号表!$C:$C,0))*10000+E702</f>
        <v>31661000</v>
      </c>
      <c r="D702" s="23" t="s">
        <v>763</v>
      </c>
      <c r="E702" s="23">
        <v>0</v>
      </c>
      <c r="F702" s="23" t="s">
        <v>738</v>
      </c>
      <c r="G702" s="23" t="s">
        <v>82</v>
      </c>
      <c r="H702" s="23" t="s">
        <v>43</v>
      </c>
      <c r="I702" s="23"/>
      <c r="J702" s="23"/>
      <c r="K702" s="23"/>
      <c r="L702" s="29">
        <v>7</v>
      </c>
      <c r="M702" s="29">
        <v>0</v>
      </c>
      <c r="N702" s="29"/>
      <c r="O702" s="29">
        <v>0</v>
      </c>
      <c r="P702" s="29">
        <v>0</v>
      </c>
      <c r="Q702" s="29">
        <v>0</v>
      </c>
      <c r="R702" s="30">
        <v>9720</v>
      </c>
    </row>
    <row r="703" spans="1:18">
      <c r="A703" s="27"/>
      <c r="B703" s="28">
        <v>699</v>
      </c>
      <c r="C703" s="1">
        <f>30000000+INDEX(编号表!$B:$B,MATCH(G703,编号表!$A:$A,0))*100000+INDEX(编号表!$F:$F,MATCH(H703,编号表!$E:$E,0))*1000+INDEX(编号表!$D:$D,MATCH(F703,编号表!$C:$C,0))*10000+E703</f>
        <v>31661001</v>
      </c>
      <c r="D703" s="23" t="s">
        <v>764</v>
      </c>
      <c r="E703" s="23">
        <v>1</v>
      </c>
      <c r="F703" s="23" t="s">
        <v>738</v>
      </c>
      <c r="G703" s="23" t="s">
        <v>82</v>
      </c>
      <c r="H703" s="23" t="s">
        <v>43</v>
      </c>
      <c r="I703" s="23"/>
      <c r="J703" s="23"/>
      <c r="K703" s="23"/>
      <c r="L703" s="29">
        <v>8</v>
      </c>
      <c r="M703" s="29">
        <v>0</v>
      </c>
      <c r="N703" s="29"/>
      <c r="O703" s="29">
        <v>0</v>
      </c>
      <c r="P703" s="29">
        <v>0</v>
      </c>
      <c r="Q703" s="29">
        <v>0</v>
      </c>
      <c r="R703" s="30">
        <v>17820</v>
      </c>
    </row>
    <row r="704" spans="1:18">
      <c r="A704" s="27"/>
      <c r="B704" s="28">
        <v>700</v>
      </c>
      <c r="C704" s="1">
        <f>30000000+INDEX(编号表!$B:$B,MATCH(G704,编号表!$A:$A,0))*100000+INDEX(编号表!$F:$F,MATCH(H704,编号表!$E:$E,0))*1000+INDEX(编号表!$D:$D,MATCH(F704,编号表!$C:$C,0))*10000+E704</f>
        <v>31661002</v>
      </c>
      <c r="D704" s="23" t="s">
        <v>765</v>
      </c>
      <c r="E704" s="23">
        <v>2</v>
      </c>
      <c r="F704" s="23" t="s">
        <v>738</v>
      </c>
      <c r="G704" s="23" t="s">
        <v>82</v>
      </c>
      <c r="H704" s="23" t="s">
        <v>43</v>
      </c>
      <c r="I704" s="23"/>
      <c r="J704" s="23"/>
      <c r="K704" s="23"/>
      <c r="L704" s="29">
        <v>9</v>
      </c>
      <c r="M704" s="29">
        <v>0</v>
      </c>
      <c r="N704" s="29"/>
      <c r="O704" s="29">
        <v>0</v>
      </c>
      <c r="P704" s="29">
        <v>0</v>
      </c>
      <c r="Q704" s="29">
        <v>0</v>
      </c>
      <c r="R704" s="30">
        <v>27540</v>
      </c>
    </row>
    <row r="705" spans="1:18">
      <c r="A705" s="27"/>
      <c r="B705" s="28">
        <v>701</v>
      </c>
      <c r="C705" s="1">
        <f>30000000+INDEX(编号表!$B:$B,MATCH(G705,编号表!$A:$A,0))*100000+INDEX(编号表!$F:$F,MATCH(H705,编号表!$E:$E,0))*1000+INDEX(编号表!$D:$D,MATCH(F705,编号表!$C:$C,0))*10000+E705</f>
        <v>31262000</v>
      </c>
      <c r="D705" s="23" t="s">
        <v>766</v>
      </c>
      <c r="E705" s="23">
        <v>0</v>
      </c>
      <c r="F705" s="23" t="s">
        <v>738</v>
      </c>
      <c r="G705" s="23" t="s">
        <v>42</v>
      </c>
      <c r="H705" s="23" t="s">
        <v>86</v>
      </c>
      <c r="I705" s="23"/>
      <c r="J705" s="23"/>
      <c r="K705" s="23"/>
      <c r="L705" s="29">
        <v>0</v>
      </c>
      <c r="M705" s="29">
        <v>0</v>
      </c>
      <c r="N705" s="29"/>
      <c r="O705" s="29">
        <v>291600</v>
      </c>
      <c r="P705" s="29">
        <v>155569</v>
      </c>
      <c r="Q705" s="29">
        <v>1458000</v>
      </c>
      <c r="R705" s="30">
        <v>26244</v>
      </c>
    </row>
    <row r="706" spans="1:18">
      <c r="A706" s="27"/>
      <c r="B706" s="28">
        <v>702</v>
      </c>
      <c r="C706" s="1">
        <f>30000000+INDEX(编号表!$B:$B,MATCH(G706,编号表!$A:$A,0))*100000+INDEX(编号表!$F:$F,MATCH(H706,编号表!$E:$E,0))*1000+INDEX(编号表!$D:$D,MATCH(F706,编号表!$C:$C,0))*10000+E706</f>
        <v>31362000</v>
      </c>
      <c r="D706" s="23" t="s">
        <v>767</v>
      </c>
      <c r="E706" s="23">
        <v>0</v>
      </c>
      <c r="F706" s="23" t="s">
        <v>738</v>
      </c>
      <c r="G706" s="23" t="s">
        <v>45</v>
      </c>
      <c r="H706" s="23" t="s">
        <v>86</v>
      </c>
      <c r="I706" s="23" t="s">
        <v>46</v>
      </c>
      <c r="J706" s="23"/>
      <c r="K706" s="23"/>
      <c r="L706" s="29">
        <v>0</v>
      </c>
      <c r="M706" s="29">
        <v>-2</v>
      </c>
      <c r="N706" s="29"/>
      <c r="O706" s="29">
        <v>174231</v>
      </c>
      <c r="P706" s="29">
        <v>92953</v>
      </c>
      <c r="Q706" s="29">
        <v>0</v>
      </c>
      <c r="R706" s="30">
        <v>20412</v>
      </c>
    </row>
    <row r="707" spans="1:18">
      <c r="A707" s="27"/>
      <c r="B707" s="28">
        <v>703</v>
      </c>
      <c r="C707" s="1">
        <f>30000000+INDEX(编号表!$B:$B,MATCH(G707,编号表!$A:$A,0))*100000+INDEX(编号表!$F:$F,MATCH(H707,编号表!$E:$E,0))*1000+INDEX(编号表!$D:$D,MATCH(F707,编号表!$C:$C,0))*10000+E707</f>
        <v>31362001</v>
      </c>
      <c r="D707" s="23" t="s">
        <v>768</v>
      </c>
      <c r="E707" s="23">
        <v>1</v>
      </c>
      <c r="F707" s="23" t="s">
        <v>738</v>
      </c>
      <c r="G707" s="23" t="s">
        <v>45</v>
      </c>
      <c r="H707" s="23" t="s">
        <v>86</v>
      </c>
      <c r="I707" s="23" t="s">
        <v>46</v>
      </c>
      <c r="J707" s="23"/>
      <c r="K707" s="23"/>
      <c r="L707" s="29">
        <v>0</v>
      </c>
      <c r="M707" s="29">
        <v>3</v>
      </c>
      <c r="N707" s="29"/>
      <c r="O707" s="29">
        <v>186186</v>
      </c>
      <c r="P707" s="29">
        <v>122809</v>
      </c>
      <c r="Q707" s="29">
        <v>0</v>
      </c>
      <c r="R707" s="30">
        <v>26244</v>
      </c>
    </row>
    <row r="708" spans="1:18">
      <c r="A708" s="27"/>
      <c r="B708" s="28">
        <v>704</v>
      </c>
      <c r="C708" s="1">
        <f>30000000+INDEX(编号表!$B:$B,MATCH(G708,编号表!$A:$A,0))*100000+INDEX(编号表!$F:$F,MATCH(H708,编号表!$E:$E,0))*1000+INDEX(编号表!$D:$D,MATCH(F708,编号表!$C:$C,0))*10000+E708</f>
        <v>31362002</v>
      </c>
      <c r="D708" s="23" t="s">
        <v>769</v>
      </c>
      <c r="E708" s="23">
        <v>2</v>
      </c>
      <c r="F708" s="23" t="s">
        <v>738</v>
      </c>
      <c r="G708" s="23" t="s">
        <v>45</v>
      </c>
      <c r="H708" s="23" t="s">
        <v>86</v>
      </c>
      <c r="I708" s="23" t="s">
        <v>49</v>
      </c>
      <c r="J708" s="23"/>
      <c r="K708" s="23"/>
      <c r="L708" s="29">
        <v>0</v>
      </c>
      <c r="M708" s="29">
        <v>-1</v>
      </c>
      <c r="N708" s="29"/>
      <c r="O708" s="29">
        <v>165191</v>
      </c>
      <c r="P708" s="29">
        <v>57685</v>
      </c>
      <c r="Q708" s="29">
        <v>0</v>
      </c>
      <c r="R708" s="30">
        <v>28431</v>
      </c>
    </row>
    <row r="709" spans="1:18">
      <c r="A709" s="27"/>
      <c r="B709" s="28">
        <v>705</v>
      </c>
      <c r="C709" s="1">
        <f>30000000+INDEX(编号表!$B:$B,MATCH(G709,编号表!$A:$A,0))*100000+INDEX(编号表!$F:$F,MATCH(H709,编号表!$E:$E,0))*1000+INDEX(编号表!$D:$D,MATCH(F709,编号表!$C:$C,0))*10000+E709</f>
        <v>31362003</v>
      </c>
      <c r="D709" s="23" t="s">
        <v>770</v>
      </c>
      <c r="E709" s="23">
        <v>3</v>
      </c>
      <c r="F709" s="23" t="s">
        <v>738</v>
      </c>
      <c r="G709" s="23" t="s">
        <v>45</v>
      </c>
      <c r="H709" s="23" t="s">
        <v>86</v>
      </c>
      <c r="I709" s="23" t="s">
        <v>49</v>
      </c>
      <c r="J709" s="23"/>
      <c r="K709" s="23"/>
      <c r="L709" s="29">
        <v>0</v>
      </c>
      <c r="M709" s="29">
        <v>2</v>
      </c>
      <c r="N709" s="29"/>
      <c r="O709" s="29">
        <v>174231</v>
      </c>
      <c r="P709" s="29">
        <v>138584</v>
      </c>
      <c r="Q709" s="29">
        <v>0</v>
      </c>
      <c r="R709" s="30">
        <v>8748</v>
      </c>
    </row>
    <row r="710" spans="1:18">
      <c r="A710" s="27"/>
      <c r="B710" s="28">
        <v>706</v>
      </c>
      <c r="C710" s="1">
        <f>30000000+INDEX(编号表!$B:$B,MATCH(G710,编号表!$A:$A,0))*100000+INDEX(编号表!$F:$F,MATCH(H710,编号表!$E:$E,0))*1000+INDEX(编号表!$D:$D,MATCH(F710,编号表!$C:$C,0))*10000+E710</f>
        <v>31362004</v>
      </c>
      <c r="D710" s="23" t="s">
        <v>771</v>
      </c>
      <c r="E710" s="23">
        <v>4</v>
      </c>
      <c r="F710" s="23" t="s">
        <v>738</v>
      </c>
      <c r="G710" s="23" t="s">
        <v>45</v>
      </c>
      <c r="H710" s="23" t="s">
        <v>86</v>
      </c>
      <c r="I710" s="23" t="s">
        <v>52</v>
      </c>
      <c r="J710" s="23"/>
      <c r="K710" s="23"/>
      <c r="L710" s="29">
        <v>0</v>
      </c>
      <c r="M710" s="29">
        <v>-1</v>
      </c>
      <c r="N710" s="29"/>
      <c r="O710" s="29">
        <v>174231</v>
      </c>
      <c r="P710" s="29">
        <v>114923</v>
      </c>
      <c r="Q710" s="29">
        <v>0</v>
      </c>
      <c r="R710" s="30">
        <v>21141</v>
      </c>
    </row>
    <row r="711" spans="1:18">
      <c r="A711" s="27"/>
      <c r="B711" s="28">
        <v>707</v>
      </c>
      <c r="C711" s="1">
        <f>30000000+INDEX(编号表!$B:$B,MATCH(G711,编号表!$A:$A,0))*100000+INDEX(编号表!$F:$F,MATCH(H711,编号表!$E:$E,0))*1000+INDEX(编号表!$D:$D,MATCH(F711,编号表!$C:$C,0))*10000+E711</f>
        <v>31362005</v>
      </c>
      <c r="D711" s="23" t="inlineStr">
        <is>
          <t xml:space="preserve">万载沸泉苔·灵株</t>
        </is>
      </c>
      <c r="E711" s="23">
        <v>5</v>
      </c>
      <c r="F711" s="23" t="s">
        <v>738</v>
      </c>
      <c r="G711" s="23" t="s">
        <v>45</v>
      </c>
      <c r="H711" s="23" t="s">
        <v>86</v>
      </c>
      <c r="I711" s="23" t="s">
        <v>52</v>
      </c>
      <c r="J711" s="23"/>
      <c r="K711" s="23"/>
      <c r="L711" s="29">
        <v>0</v>
      </c>
      <c r="M711" s="29">
        <v>4</v>
      </c>
      <c r="N711" s="29"/>
      <c r="O711" s="29">
        <v>180208</v>
      </c>
      <c r="P711" s="29">
        <v>143338</v>
      </c>
      <c r="Q711" s="29">
        <v>0</v>
      </c>
      <c r="R711" s="30">
        <v>37908</v>
      </c>
    </row>
    <row r="712" spans="1:18">
      <c r="A712" s="27"/>
      <c r="B712" s="28">
        <v>708</v>
      </c>
      <c r="C712" s="1">
        <f>30000000+INDEX(编号表!$B:$B,MATCH(G712,编号表!$A:$A,0))*100000+INDEX(编号表!$F:$F,MATCH(H712,编号表!$E:$E,0))*1000+INDEX(编号表!$D:$D,MATCH(F712,编号表!$C:$C,0))*10000+E712</f>
        <v>31362006</v>
      </c>
      <c r="D712" s="23" t="inlineStr">
        <is>
          <t xml:space="preserve">万载丹露花·灵株</t>
        </is>
      </c>
      <c r="E712" s="23">
        <v>6</v>
      </c>
      <c r="F712" s="23" t="s">
        <v>738</v>
      </c>
      <c r="G712" s="23" t="s">
        <v>45</v>
      </c>
      <c r="H712" s="23" t="s">
        <v>86</v>
      </c>
      <c r="I712" s="23" t="s">
        <v>55</v>
      </c>
      <c r="J712" s="23"/>
      <c r="K712" s="23"/>
      <c r="L712" s="29">
        <v>0</v>
      </c>
      <c r="M712" s="29">
        <v>-1</v>
      </c>
      <c r="N712" s="29"/>
      <c r="O712" s="29">
        <v>180208</v>
      </c>
      <c r="P712" s="29">
        <v>48945</v>
      </c>
      <c r="Q712" s="29">
        <v>0</v>
      </c>
      <c r="R712" s="30">
        <v>61236</v>
      </c>
    </row>
    <row r="713" spans="1:18">
      <c r="A713" s="27"/>
      <c r="B713" s="28">
        <v>709</v>
      </c>
      <c r="C713" s="1">
        <f>30000000+INDEX(编号表!$B:$B,MATCH(G713,编号表!$A:$A,0))*100000+INDEX(编号表!$F:$F,MATCH(H713,编号表!$E:$E,0))*1000+INDEX(编号表!$D:$D,MATCH(F713,编号表!$C:$C,0))*10000+E713</f>
        <v>31362007</v>
      </c>
      <c r="D713" s="23" t="s">
        <v>774</v>
      </c>
      <c r="E713" s="23">
        <v>7</v>
      </c>
      <c r="F713" s="23" t="s">
        <v>738</v>
      </c>
      <c r="G713" s="23" t="s">
        <v>45</v>
      </c>
      <c r="H713" s="23" t="s">
        <v>86</v>
      </c>
      <c r="I713" s="23" t="s">
        <v>55</v>
      </c>
      <c r="J713" s="23"/>
      <c r="K713" s="23"/>
      <c r="L713" s="29">
        <v>0</v>
      </c>
      <c r="M713" s="29">
        <v>2</v>
      </c>
      <c r="N713" s="29"/>
      <c r="O713" s="29">
        <v>174231</v>
      </c>
      <c r="P713" s="29">
        <v>138584</v>
      </c>
      <c r="Q713" s="29">
        <v>0</v>
      </c>
      <c r="R713" s="30">
        <v>8748</v>
      </c>
    </row>
    <row r="714" spans="1:18">
      <c r="A714" s="27"/>
      <c r="B714" s="28">
        <v>710</v>
      </c>
      <c r="C714" s="1">
        <f>30000000+INDEX(编号表!$B:$B,MATCH(G714,编号表!$A:$A,0))*100000+INDEX(编号表!$F:$F,MATCH(H714,编号表!$E:$E,0))*1000+INDEX(编号表!$D:$D,MATCH(F714,编号表!$C:$C,0))*10000+E714</f>
        <v>31362008</v>
      </c>
      <c r="D714" s="23" t="s">
        <v>775</v>
      </c>
      <c r="E714" s="23">
        <v>8</v>
      </c>
      <c r="F714" s="23" t="s">
        <v>738</v>
      </c>
      <c r="G714" s="23" t="s">
        <v>45</v>
      </c>
      <c r="H714" s="23" t="s">
        <v>86</v>
      </c>
      <c r="I714" s="23" t="s">
        <v>58</v>
      </c>
      <c r="J714" s="23"/>
      <c r="K714" s="23"/>
      <c r="L714" s="29">
        <v>0</v>
      </c>
      <c r="M714" s="29">
        <v>-2</v>
      </c>
      <c r="N714" s="29"/>
      <c r="O714" s="29">
        <v>174231</v>
      </c>
      <c r="P714" s="29">
        <v>92953</v>
      </c>
      <c r="Q714" s="29">
        <v>0</v>
      </c>
      <c r="R714" s="30">
        <v>20412</v>
      </c>
    </row>
    <row r="715" spans="1:18">
      <c r="A715" s="27"/>
      <c r="B715" s="28">
        <v>711</v>
      </c>
      <c r="C715" s="1">
        <f>30000000+INDEX(编号表!$B:$B,MATCH(G715,编号表!$A:$A,0))*100000+INDEX(编号表!$F:$F,MATCH(H715,编号表!$E:$E,0))*1000+INDEX(编号表!$D:$D,MATCH(F715,编号表!$C:$C,0))*10000+E715</f>
        <v>31362009</v>
      </c>
      <c r="D715" s="23" t="s">
        <v>776</v>
      </c>
      <c r="E715" s="23">
        <v>9</v>
      </c>
      <c r="F715" s="23" t="s">
        <v>738</v>
      </c>
      <c r="G715" s="23" t="s">
        <v>45</v>
      </c>
      <c r="H715" s="23" t="s">
        <v>86</v>
      </c>
      <c r="I715" s="23" t="s">
        <v>58</v>
      </c>
      <c r="J715" s="23"/>
      <c r="K715" s="23"/>
      <c r="L715" s="29">
        <v>0</v>
      </c>
      <c r="M715" s="29">
        <v>1</v>
      </c>
      <c r="N715" s="29"/>
      <c r="O715" s="29">
        <v>165191</v>
      </c>
      <c r="P715" s="29">
        <v>57685</v>
      </c>
      <c r="Q715" s="29">
        <v>0</v>
      </c>
      <c r="R715" s="30">
        <v>28431</v>
      </c>
    </row>
    <row r="716" spans="1:18">
      <c r="A716" s="27"/>
      <c r="B716" s="28">
        <v>712</v>
      </c>
      <c r="C716" s="1">
        <f>30000000+INDEX(编号表!$B:$B,MATCH(G716,编号表!$A:$A,0))*100000+INDEX(编号表!$F:$F,MATCH(H716,编号表!$E:$E,0))*1000+INDEX(编号表!$D:$D,MATCH(F716,编号表!$C:$C,0))*10000+E716</f>
        <v>31562000</v>
      </c>
      <c r="D716" s="23" t="inlineStr">
        <is>
          <t xml:space="preserve">万载霜辛草·灵株</t>
        </is>
      </c>
      <c r="E716" s="23">
        <v>0</v>
      </c>
      <c r="F716" s="23" t="s">
        <v>738</v>
      </c>
      <c r="G716" s="23" t="s">
        <v>61</v>
      </c>
      <c r="H716" s="23" t="s">
        <v>86</v>
      </c>
      <c r="I716" s="23"/>
      <c r="J716" s="23" t="s">
        <v>62</v>
      </c>
      <c r="K716" s="23"/>
      <c r="L716" s="29">
        <v>0</v>
      </c>
      <c r="M716" s="29">
        <v>-2</v>
      </c>
      <c r="N716" s="29"/>
      <c r="O716" s="29">
        <v>174231</v>
      </c>
      <c r="P716" s="29">
        <v>92953</v>
      </c>
      <c r="Q716" s="29">
        <v>0</v>
      </c>
      <c r="R716" s="30">
        <v>20412</v>
      </c>
    </row>
    <row r="717" spans="1:18">
      <c r="A717" s="27"/>
      <c r="B717" s="28">
        <v>713</v>
      </c>
      <c r="C717" s="1">
        <f>30000000+INDEX(编号表!$B:$B,MATCH(G717,编号表!$A:$A,0))*100000+INDEX(编号表!$F:$F,MATCH(H717,编号表!$E:$E,0))*1000+INDEX(编号表!$D:$D,MATCH(F717,编号表!$C:$C,0))*10000+E717</f>
        <v>31562001</v>
      </c>
      <c r="D717" s="23" t="s">
        <v>778</v>
      </c>
      <c r="E717" s="23">
        <v>1</v>
      </c>
      <c r="F717" s="23" t="s">
        <v>738</v>
      </c>
      <c r="G717" s="23" t="s">
        <v>61</v>
      </c>
      <c r="H717" s="23" t="s">
        <v>86</v>
      </c>
      <c r="I717" s="23"/>
      <c r="J717" s="23" t="s">
        <v>62</v>
      </c>
      <c r="K717" s="23"/>
      <c r="L717" s="29">
        <v>0</v>
      </c>
      <c r="M717" s="29">
        <v>3</v>
      </c>
      <c r="N717" s="29"/>
      <c r="O717" s="29">
        <v>186186</v>
      </c>
      <c r="P717" s="29">
        <v>122809</v>
      </c>
      <c r="Q717" s="29">
        <v>0</v>
      </c>
      <c r="R717" s="30">
        <v>26244</v>
      </c>
    </row>
    <row r="718" spans="1:18">
      <c r="A718" s="27"/>
      <c r="B718" s="28">
        <v>714</v>
      </c>
      <c r="C718" s="1">
        <f>30000000+INDEX(编号表!$B:$B,MATCH(G718,编号表!$A:$A,0))*100000+INDEX(编号表!$F:$F,MATCH(H718,编号表!$E:$E,0))*1000+INDEX(编号表!$D:$D,MATCH(F718,编号表!$C:$C,0))*10000+E718</f>
        <v>31562002</v>
      </c>
      <c r="D718" s="23" t="s">
        <v>779</v>
      </c>
      <c r="E718" s="23">
        <v>2</v>
      </c>
      <c r="F718" s="23" t="s">
        <v>738</v>
      </c>
      <c r="G718" s="23" t="s">
        <v>61</v>
      </c>
      <c r="H718" s="23" t="s">
        <v>86</v>
      </c>
      <c r="I718" s="23"/>
      <c r="J718" s="23" t="s">
        <v>65</v>
      </c>
      <c r="K718" s="23"/>
      <c r="L718" s="29">
        <v>0</v>
      </c>
      <c r="M718" s="29">
        <v>-1</v>
      </c>
      <c r="N718" s="29"/>
      <c r="O718" s="29">
        <v>165191</v>
      </c>
      <c r="P718" s="29">
        <v>57685</v>
      </c>
      <c r="Q718" s="29">
        <v>0</v>
      </c>
      <c r="R718" s="30">
        <v>28431</v>
      </c>
    </row>
    <row r="719" spans="1:18">
      <c r="A719" s="27"/>
      <c r="B719" s="28">
        <v>715</v>
      </c>
      <c r="C719" s="1">
        <f>30000000+INDEX(编号表!$B:$B,MATCH(G719,编号表!$A:$A,0))*100000+INDEX(编号表!$F:$F,MATCH(H719,编号表!$E:$E,0))*1000+INDEX(编号表!$D:$D,MATCH(F719,编号表!$C:$C,0))*10000+E719</f>
        <v>31562003</v>
      </c>
      <c r="D719" s="23" t="s">
        <v>780</v>
      </c>
      <c r="E719" s="23">
        <v>3</v>
      </c>
      <c r="F719" s="23" t="s">
        <v>738</v>
      </c>
      <c r="G719" s="23" t="s">
        <v>61</v>
      </c>
      <c r="H719" s="23" t="s">
        <v>86</v>
      </c>
      <c r="I719" s="23"/>
      <c r="J719" s="23" t="s">
        <v>65</v>
      </c>
      <c r="K719" s="23"/>
      <c r="L719" s="29">
        <v>0</v>
      </c>
      <c r="M719" s="29">
        <v>2</v>
      </c>
      <c r="N719" s="29"/>
      <c r="O719" s="29">
        <v>174231</v>
      </c>
      <c r="P719" s="29">
        <v>138584</v>
      </c>
      <c r="Q719" s="29">
        <v>0</v>
      </c>
      <c r="R719" s="30">
        <v>8748</v>
      </c>
    </row>
    <row r="720" spans="1:18">
      <c r="A720" s="27"/>
      <c r="B720" s="28">
        <v>716</v>
      </c>
      <c r="C720" s="1">
        <f>30000000+INDEX(编号表!$B:$B,MATCH(G720,编号表!$A:$A,0))*100000+INDEX(编号表!$F:$F,MATCH(H720,编号表!$E:$E,0))*1000+INDEX(编号表!$D:$D,MATCH(F720,编号表!$C:$C,0))*10000+E720</f>
        <v>31562004</v>
      </c>
      <c r="D720" s="23" t="s">
        <v>781</v>
      </c>
      <c r="E720" s="23">
        <v>4</v>
      </c>
      <c r="F720" s="23" t="s">
        <v>738</v>
      </c>
      <c r="G720" s="23" t="s">
        <v>61</v>
      </c>
      <c r="H720" s="23" t="s">
        <v>86</v>
      </c>
      <c r="I720" s="23"/>
      <c r="J720" s="23" t="s">
        <v>68</v>
      </c>
      <c r="K720" s="23"/>
      <c r="L720" s="29">
        <v>0</v>
      </c>
      <c r="M720" s="29">
        <v>-1</v>
      </c>
      <c r="N720" s="29"/>
      <c r="O720" s="29">
        <v>174231</v>
      </c>
      <c r="P720" s="29">
        <v>114923</v>
      </c>
      <c r="Q720" s="29">
        <v>0</v>
      </c>
      <c r="R720" s="30">
        <v>21141</v>
      </c>
    </row>
    <row r="721" spans="1:18">
      <c r="A721" s="27"/>
      <c r="B721" s="28">
        <v>717</v>
      </c>
      <c r="C721" s="1">
        <f>30000000+INDEX(编号表!$B:$B,MATCH(G721,编号表!$A:$A,0))*100000+INDEX(编号表!$F:$F,MATCH(H721,编号表!$E:$E,0))*1000+INDEX(编号表!$D:$D,MATCH(F721,编号表!$C:$C,0))*10000+E721</f>
        <v>31562005</v>
      </c>
      <c r="D721" s="23" t="s">
        <v>782</v>
      </c>
      <c r="E721" s="23">
        <v>5</v>
      </c>
      <c r="F721" s="23" t="s">
        <v>738</v>
      </c>
      <c r="G721" s="23" t="s">
        <v>61</v>
      </c>
      <c r="H721" s="23" t="s">
        <v>86</v>
      </c>
      <c r="I721" s="23"/>
      <c r="J721" s="23" t="s">
        <v>68</v>
      </c>
      <c r="K721" s="23"/>
      <c r="L721" s="29">
        <v>0</v>
      </c>
      <c r="M721" s="29">
        <v>4</v>
      </c>
      <c r="N721" s="29"/>
      <c r="O721" s="29">
        <v>180208</v>
      </c>
      <c r="P721" s="29">
        <v>143338</v>
      </c>
      <c r="Q721" s="29">
        <v>0</v>
      </c>
      <c r="R721" s="30">
        <v>37908</v>
      </c>
    </row>
    <row r="722" spans="1:18">
      <c r="A722" s="27"/>
      <c r="B722" s="28">
        <v>718</v>
      </c>
      <c r="C722" s="1">
        <f>30000000+INDEX(编号表!$B:$B,MATCH(G722,编号表!$A:$A,0))*100000+INDEX(编号表!$F:$F,MATCH(H722,编号表!$E:$E,0))*1000+INDEX(编号表!$D:$D,MATCH(F722,编号表!$C:$C,0))*10000+E722</f>
        <v>31562006</v>
      </c>
      <c r="D722" s="23" t="s">
        <v>783</v>
      </c>
      <c r="E722" s="23">
        <v>6</v>
      </c>
      <c r="F722" s="23" t="s">
        <v>738</v>
      </c>
      <c r="G722" s="23" t="s">
        <v>61</v>
      </c>
      <c r="H722" s="23" t="s">
        <v>86</v>
      </c>
      <c r="I722" s="23"/>
      <c r="J722" s="23" t="s">
        <v>71</v>
      </c>
      <c r="K722" s="23"/>
      <c r="L722" s="29">
        <v>0</v>
      </c>
      <c r="M722" s="29">
        <v>-1</v>
      </c>
      <c r="N722" s="29"/>
      <c r="O722" s="29">
        <v>180208</v>
      </c>
      <c r="P722" s="29">
        <v>48945</v>
      </c>
      <c r="Q722" s="29">
        <v>0</v>
      </c>
      <c r="R722" s="30">
        <v>61236</v>
      </c>
    </row>
    <row r="723" spans="1:18">
      <c r="A723" s="27"/>
      <c r="B723" s="28">
        <v>719</v>
      </c>
      <c r="C723" s="1">
        <f>30000000+INDEX(编号表!$B:$B,MATCH(G723,编号表!$A:$A,0))*100000+INDEX(编号表!$F:$F,MATCH(H723,编号表!$E:$E,0))*1000+INDEX(编号表!$D:$D,MATCH(F723,编号表!$C:$C,0))*10000+E723</f>
        <v>31562007</v>
      </c>
      <c r="D723" s="23" t="s">
        <v>784</v>
      </c>
      <c r="E723" s="23">
        <v>7</v>
      </c>
      <c r="F723" s="23" t="s">
        <v>738</v>
      </c>
      <c r="G723" s="23" t="s">
        <v>61</v>
      </c>
      <c r="H723" s="23" t="s">
        <v>86</v>
      </c>
      <c r="I723" s="23"/>
      <c r="J723" s="23" t="s">
        <v>71</v>
      </c>
      <c r="K723" s="23"/>
      <c r="L723" s="29">
        <v>0</v>
      </c>
      <c r="M723" s="29">
        <v>2</v>
      </c>
      <c r="N723" s="29"/>
      <c r="O723" s="29">
        <v>174231</v>
      </c>
      <c r="P723" s="29">
        <v>138584</v>
      </c>
      <c r="Q723" s="29">
        <v>0</v>
      </c>
      <c r="R723" s="30">
        <v>8748</v>
      </c>
    </row>
    <row r="724" spans="1:18">
      <c r="A724" s="27"/>
      <c r="B724" s="28">
        <v>720</v>
      </c>
      <c r="C724" s="1">
        <f>30000000+INDEX(编号表!$B:$B,MATCH(G724,编号表!$A:$A,0))*100000+INDEX(编号表!$F:$F,MATCH(H724,编号表!$E:$E,0))*1000+INDEX(编号表!$D:$D,MATCH(F724,编号表!$C:$C,0))*10000+E724</f>
        <v>31562008</v>
      </c>
      <c r="D724" s="23" t="s">
        <v>785</v>
      </c>
      <c r="E724" s="23">
        <v>8</v>
      </c>
      <c r="F724" s="23" t="s">
        <v>738</v>
      </c>
      <c r="G724" s="23" t="s">
        <v>61</v>
      </c>
      <c r="H724" s="23" t="s">
        <v>86</v>
      </c>
      <c r="I724" s="23"/>
      <c r="J724" s="23" t="s">
        <v>74</v>
      </c>
      <c r="K724" s="23"/>
      <c r="L724" s="29">
        <v>0</v>
      </c>
      <c r="M724" s="29">
        <v>-2</v>
      </c>
      <c r="N724" s="29"/>
      <c r="O724" s="29">
        <v>174231</v>
      </c>
      <c r="P724" s="29">
        <v>92953</v>
      </c>
      <c r="Q724" s="29">
        <v>0</v>
      </c>
      <c r="R724" s="30">
        <v>20412</v>
      </c>
    </row>
    <row r="725" spans="1:18">
      <c r="A725" s="27"/>
      <c r="B725" s="28">
        <v>721</v>
      </c>
      <c r="C725" s="1">
        <f>30000000+INDEX(编号表!$B:$B,MATCH(G725,编号表!$A:$A,0))*100000+INDEX(编号表!$F:$F,MATCH(H725,编号表!$E:$E,0))*1000+INDEX(编号表!$D:$D,MATCH(F725,编号表!$C:$C,0))*10000+E725</f>
        <v>31562009</v>
      </c>
      <c r="D725" s="23" t="s">
        <v>786</v>
      </c>
      <c r="E725" s="23">
        <v>9</v>
      </c>
      <c r="F725" s="23" t="s">
        <v>738</v>
      </c>
      <c r="G725" s="23" t="s">
        <v>61</v>
      </c>
      <c r="H725" s="23" t="s">
        <v>86</v>
      </c>
      <c r="I725" s="23"/>
      <c r="J725" s="23" t="s">
        <v>74</v>
      </c>
      <c r="K725" s="23"/>
      <c r="L725" s="29">
        <v>0</v>
      </c>
      <c r="M725" s="29">
        <v>1</v>
      </c>
      <c r="N725" s="29"/>
      <c r="O725" s="29">
        <v>165191</v>
      </c>
      <c r="P725" s="29">
        <v>57685</v>
      </c>
      <c r="Q725" s="29">
        <v>0</v>
      </c>
      <c r="R725" s="30">
        <v>28431</v>
      </c>
    </row>
    <row r="726" spans="1:18">
      <c r="A726" s="27"/>
      <c r="B726" s="28">
        <v>722</v>
      </c>
      <c r="C726" s="1">
        <f>30000000+INDEX(编号表!$B:$B,MATCH(G726,编号表!$A:$A,0))*100000+INDEX(编号表!$F:$F,MATCH(H726,编号表!$E:$E,0))*1000+INDEX(编号表!$D:$D,MATCH(F726,编号表!$C:$C,0))*10000+E726</f>
        <v>31462000</v>
      </c>
      <c r="D726" s="23" t="s">
        <v>787</v>
      </c>
      <c r="E726" s="23">
        <v>0</v>
      </c>
      <c r="F726" s="23" t="s">
        <v>738</v>
      </c>
      <c r="G726" s="23" t="s">
        <v>77</v>
      </c>
      <c r="H726" s="23" t="s">
        <v>86</v>
      </c>
      <c r="I726" s="23"/>
      <c r="J726" s="23"/>
      <c r="K726" s="23"/>
      <c r="L726" s="29">
        <v>0</v>
      </c>
      <c r="M726" s="29">
        <v>0</v>
      </c>
      <c r="N726" s="29"/>
      <c r="O726" s="29">
        <v>165191</v>
      </c>
      <c r="P726" s="29">
        <v>44866</v>
      </c>
      <c r="Q726" s="29">
        <v>0</v>
      </c>
      <c r="R726" s="30">
        <v>33534</v>
      </c>
    </row>
    <row r="727" spans="1:18">
      <c r="A727" s="27"/>
      <c r="B727" s="28">
        <v>723</v>
      </c>
      <c r="C727" s="1">
        <f>30000000+INDEX(编号表!$B:$B,MATCH(G727,编号表!$A:$A,0))*100000+INDEX(编号表!$F:$F,MATCH(H727,编号表!$E:$E,0))*1000+INDEX(编号表!$D:$D,MATCH(F727,编号表!$C:$C,0))*10000+E727</f>
        <v>31462001</v>
      </c>
      <c r="D727" s="23" t="s">
        <v>788</v>
      </c>
      <c r="E727" s="23">
        <v>1</v>
      </c>
      <c r="F727" s="23" t="s">
        <v>738</v>
      </c>
      <c r="G727" s="23" t="s">
        <v>77</v>
      </c>
      <c r="H727" s="23" t="s">
        <v>86</v>
      </c>
      <c r="I727" s="23"/>
      <c r="J727" s="23"/>
      <c r="K727" s="23"/>
      <c r="L727" s="29">
        <v>0</v>
      </c>
      <c r="M727" s="29">
        <v>0</v>
      </c>
      <c r="N727" s="29"/>
      <c r="O727" s="29">
        <v>186186</v>
      </c>
      <c r="P727" s="29">
        <v>148093</v>
      </c>
      <c r="Q727" s="29">
        <v>0</v>
      </c>
      <c r="R727" s="30">
        <v>11664</v>
      </c>
    </row>
    <row r="728" spans="1:18">
      <c r="A728" s="27"/>
      <c r="B728" s="28">
        <v>724</v>
      </c>
      <c r="C728" s="1">
        <f>30000000+INDEX(编号表!$B:$B,MATCH(G728,编号表!$A:$A,0))*100000+INDEX(编号表!$F:$F,MATCH(H728,编号表!$E:$E,0))*1000+INDEX(编号表!$D:$D,MATCH(F728,编号表!$C:$C,0))*10000+E728</f>
        <v>31462002</v>
      </c>
      <c r="D728" s="23" t="s">
        <v>789</v>
      </c>
      <c r="E728" s="23">
        <v>2</v>
      </c>
      <c r="F728" s="23" t="s">
        <v>738</v>
      </c>
      <c r="G728" s="23" t="s">
        <v>77</v>
      </c>
      <c r="H728" s="23" t="s">
        <v>86</v>
      </c>
      <c r="I728" s="23"/>
      <c r="J728" s="23"/>
      <c r="K728" s="23"/>
      <c r="L728" s="29">
        <v>0</v>
      </c>
      <c r="M728" s="29">
        <v>1</v>
      </c>
      <c r="N728" s="29"/>
      <c r="O728" s="29">
        <v>180208</v>
      </c>
      <c r="P728" s="29">
        <v>48945</v>
      </c>
      <c r="Q728" s="29">
        <v>0</v>
      </c>
      <c r="R728" s="30">
        <v>61236</v>
      </c>
    </row>
    <row r="729" spans="1:18">
      <c r="A729" s="27"/>
      <c r="B729" s="28">
        <v>725</v>
      </c>
      <c r="C729" s="1">
        <f>30000000+INDEX(编号表!$B:$B,MATCH(G729,编号表!$A:$A,0))*100000+INDEX(编号表!$F:$F,MATCH(H729,编号表!$E:$E,0))*1000+INDEX(编号表!$D:$D,MATCH(F729,编号表!$C:$C,0))*10000+E729</f>
        <v>31462003</v>
      </c>
      <c r="D729" s="23" t="s">
        <v>790</v>
      </c>
      <c r="E729" s="23">
        <v>3</v>
      </c>
      <c r="F729" s="23" t="s">
        <v>738</v>
      </c>
      <c r="G729" s="23" t="s">
        <v>77</v>
      </c>
      <c r="H729" s="23" t="s">
        <v>86</v>
      </c>
      <c r="I729" s="23"/>
      <c r="J729" s="23"/>
      <c r="K729" s="23"/>
      <c r="L729" s="29">
        <v>0</v>
      </c>
      <c r="M729" s="29">
        <v>4</v>
      </c>
      <c r="N729" s="29"/>
      <c r="O729" s="29">
        <v>180208</v>
      </c>
      <c r="P729" s="29">
        <v>143338</v>
      </c>
      <c r="Q729" s="29">
        <v>0</v>
      </c>
      <c r="R729" s="30">
        <v>37908</v>
      </c>
    </row>
    <row r="730" spans="1:18">
      <c r="A730" s="27"/>
      <c r="B730" s="28">
        <v>726</v>
      </c>
      <c r="C730" s="1">
        <f>30000000+INDEX(编号表!$B:$B,MATCH(G730,编号表!$A:$A,0))*100000+INDEX(编号表!$F:$F,MATCH(H730,编号表!$E:$E,0))*1000+INDEX(编号表!$D:$D,MATCH(F730,编号表!$C:$C,0))*10000+E730</f>
        <v>31662000</v>
      </c>
      <c r="D730" s="23" t="s">
        <v>791</v>
      </c>
      <c r="E730" s="23">
        <v>0</v>
      </c>
      <c r="F730" s="23" t="s">
        <v>738</v>
      </c>
      <c r="G730" s="23" t="s">
        <v>82</v>
      </c>
      <c r="H730" s="23" t="s">
        <v>86</v>
      </c>
      <c r="I730" s="23"/>
      <c r="J730" s="23"/>
      <c r="K730" s="23"/>
      <c r="L730" s="29">
        <v>7</v>
      </c>
      <c r="M730" s="29">
        <v>0</v>
      </c>
      <c r="N730" s="29"/>
      <c r="O730" s="29">
        <v>0</v>
      </c>
      <c r="P730" s="29">
        <v>0</v>
      </c>
      <c r="Q730" s="29">
        <v>0</v>
      </c>
      <c r="R730" s="30">
        <v>17496</v>
      </c>
    </row>
    <row r="731" spans="1:18">
      <c r="A731" s="27"/>
      <c r="B731" s="28">
        <v>727</v>
      </c>
      <c r="C731" s="1">
        <f>30000000+INDEX(编号表!$B:$B,MATCH(G731,编号表!$A:$A,0))*100000+INDEX(编号表!$F:$F,MATCH(H731,编号表!$E:$E,0))*1000+INDEX(编号表!$D:$D,MATCH(F731,编号表!$C:$C,0))*10000+E731</f>
        <v>31662001</v>
      </c>
      <c r="D731" s="23" t="s">
        <v>792</v>
      </c>
      <c r="E731" s="23">
        <v>1</v>
      </c>
      <c r="F731" s="23" t="s">
        <v>738</v>
      </c>
      <c r="G731" s="23" t="s">
        <v>82</v>
      </c>
      <c r="H731" s="23" t="s">
        <v>86</v>
      </c>
      <c r="I731" s="23"/>
      <c r="J731" s="23"/>
      <c r="K731" s="23"/>
      <c r="L731" s="29">
        <v>8</v>
      </c>
      <c r="M731" s="29">
        <v>0</v>
      </c>
      <c r="N731" s="29"/>
      <c r="O731" s="29">
        <v>0</v>
      </c>
      <c r="P731" s="29">
        <v>0</v>
      </c>
      <c r="Q731" s="29">
        <v>0</v>
      </c>
      <c r="R731" s="30">
        <v>32076</v>
      </c>
    </row>
    <row r="732" spans="1:18">
      <c r="A732" s="27"/>
      <c r="B732" s="28">
        <v>728</v>
      </c>
      <c r="C732" s="1">
        <f>30000000+INDEX(编号表!$B:$B,MATCH(G732,编号表!$A:$A,0))*100000+INDEX(编号表!$F:$F,MATCH(H732,编号表!$E:$E,0))*1000+INDEX(编号表!$D:$D,MATCH(F732,编号表!$C:$C,0))*10000+E732</f>
        <v>31662002</v>
      </c>
      <c r="D732" s="23" t="s">
        <v>793</v>
      </c>
      <c r="E732" s="23">
        <v>2</v>
      </c>
      <c r="F732" s="23" t="s">
        <v>738</v>
      </c>
      <c r="G732" s="23" t="s">
        <v>82</v>
      </c>
      <c r="H732" s="23" t="s">
        <v>86</v>
      </c>
      <c r="I732" s="23"/>
      <c r="J732" s="23"/>
      <c r="K732" s="23"/>
      <c r="L732" s="29">
        <v>9</v>
      </c>
      <c r="M732" s="29">
        <v>0</v>
      </c>
      <c r="N732" s="29"/>
      <c r="O732" s="29">
        <v>0</v>
      </c>
      <c r="P732" s="29">
        <v>0</v>
      </c>
      <c r="Q732" s="29">
        <v>0</v>
      </c>
      <c r="R732" s="30">
        <v>49572</v>
      </c>
    </row>
    <row r="733" spans="1:18">
      <c r="A733" s="27"/>
      <c r="B733" s="28">
        <v>729</v>
      </c>
      <c r="C733" s="1">
        <f>30000000+INDEX(编号表!$B:$B,MATCH(G733,编号表!$A:$A,0))*100000+INDEX(编号表!$F:$F,MATCH(H733,编号表!$E:$E,0))*1000+INDEX(编号表!$D:$D,MATCH(F733,编号表!$C:$C,0))*10000+E733</f>
        <v>31263000</v>
      </c>
      <c r="D733" s="23" t="s">
        <v>794</v>
      </c>
      <c r="E733" s="23">
        <v>0</v>
      </c>
      <c r="F733" s="23" t="s">
        <v>738</v>
      </c>
      <c r="G733" s="23" t="s">
        <v>42</v>
      </c>
      <c r="H733" s="23" t="s">
        <v>115</v>
      </c>
      <c r="I733" s="23"/>
      <c r="J733" s="23"/>
      <c r="K733" s="23"/>
      <c r="L733" s="29">
        <v>0</v>
      </c>
      <c r="M733" s="29">
        <v>0</v>
      </c>
      <c r="N733" s="29"/>
      <c r="O733" s="29">
        <v>524880</v>
      </c>
      <c r="P733" s="29">
        <v>271363</v>
      </c>
      <c r="Q733" s="29">
        <v>2624400</v>
      </c>
      <c r="R733" s="30">
        <v>47239</v>
      </c>
    </row>
    <row r="734" spans="1:18">
      <c r="A734" s="27"/>
      <c r="B734" s="28">
        <v>730</v>
      </c>
      <c r="C734" s="1">
        <f>30000000+INDEX(编号表!$B:$B,MATCH(G734,编号表!$A:$A,0))*100000+INDEX(编号表!$F:$F,MATCH(H734,编号表!$E:$E,0))*1000+INDEX(编号表!$D:$D,MATCH(F734,编号表!$C:$C,0))*10000+E734</f>
        <v>31363000</v>
      </c>
      <c r="D734" s="23" t="s">
        <v>795</v>
      </c>
      <c r="E734" s="23">
        <v>0</v>
      </c>
      <c r="F734" s="23" t="s">
        <v>738</v>
      </c>
      <c r="G734" s="23" t="s">
        <v>45</v>
      </c>
      <c r="H734" s="23" t="s">
        <v>115</v>
      </c>
      <c r="I734" s="23" t="s">
        <v>46</v>
      </c>
      <c r="J734" s="23"/>
      <c r="K734" s="23"/>
      <c r="L734" s="29">
        <v>0</v>
      </c>
      <c r="M734" s="29">
        <v>-2</v>
      </c>
      <c r="N734" s="29"/>
      <c r="O734" s="29">
        <v>313615</v>
      </c>
      <c r="P734" s="29">
        <v>162139</v>
      </c>
      <c r="Q734" s="29">
        <v>0</v>
      </c>
      <c r="R734" s="30">
        <v>36741</v>
      </c>
    </row>
    <row r="735" spans="1:18">
      <c r="A735" s="27"/>
      <c r="B735" s="28">
        <v>731</v>
      </c>
      <c r="C735" s="1">
        <f>30000000+INDEX(编号表!$B:$B,MATCH(G735,编号表!$A:$A,0))*100000+INDEX(编号表!$F:$F,MATCH(H735,编号表!$E:$E,0))*1000+INDEX(编号表!$D:$D,MATCH(F735,编号表!$C:$C,0))*10000+E735</f>
        <v>31363001</v>
      </c>
      <c r="D735" s="23" t="s">
        <v>796</v>
      </c>
      <c r="E735" s="23">
        <v>1</v>
      </c>
      <c r="F735" s="23" t="s">
        <v>738</v>
      </c>
      <c r="G735" s="23" t="s">
        <v>45</v>
      </c>
      <c r="H735" s="23" t="s">
        <v>115</v>
      </c>
      <c r="I735" s="23" t="s">
        <v>46</v>
      </c>
      <c r="J735" s="23"/>
      <c r="K735" s="23"/>
      <c r="L735" s="29">
        <v>0</v>
      </c>
      <c r="M735" s="29">
        <v>3</v>
      </c>
      <c r="N735" s="29"/>
      <c r="O735" s="29">
        <v>335135</v>
      </c>
      <c r="P735" s="29">
        <v>214219</v>
      </c>
      <c r="Q735" s="29">
        <v>0</v>
      </c>
      <c r="R735" s="30">
        <v>47239</v>
      </c>
    </row>
    <row r="736" spans="1:18">
      <c r="A736" s="27"/>
      <c r="B736" s="28">
        <v>732</v>
      </c>
      <c r="C736" s="1">
        <f>30000000+INDEX(编号表!$B:$B,MATCH(G736,编号表!$A:$A,0))*100000+INDEX(编号表!$F:$F,MATCH(H736,编号表!$E:$E,0))*1000+INDEX(编号表!$D:$D,MATCH(F736,编号表!$C:$C,0))*10000+E736</f>
        <v>31363002</v>
      </c>
      <c r="D736" s="23" t="s">
        <v>797</v>
      </c>
      <c r="E736" s="23">
        <v>2</v>
      </c>
      <c r="F736" s="23" t="s">
        <v>738</v>
      </c>
      <c r="G736" s="23" t="s">
        <v>45</v>
      </c>
      <c r="H736" s="23" t="s">
        <v>115</v>
      </c>
      <c r="I736" s="23" t="s">
        <v>49</v>
      </c>
      <c r="J736" s="23"/>
      <c r="K736" s="23"/>
      <c r="L736" s="29">
        <v>0</v>
      </c>
      <c r="M736" s="29">
        <v>-1</v>
      </c>
      <c r="N736" s="29"/>
      <c r="O736" s="29">
        <v>297344</v>
      </c>
      <c r="P736" s="29">
        <v>100622</v>
      </c>
      <c r="Q736" s="29">
        <v>0</v>
      </c>
      <c r="R736" s="30">
        <v>51175</v>
      </c>
    </row>
    <row r="737" spans="1:18">
      <c r="A737" s="27"/>
      <c r="B737" s="28">
        <v>733</v>
      </c>
      <c r="C737" s="1">
        <f>30000000+INDEX(编号表!$B:$B,MATCH(G737,编号表!$A:$A,0))*100000+INDEX(编号表!$F:$F,MATCH(H737,编号表!$E:$E,0))*1000+INDEX(编号表!$D:$D,MATCH(F737,编号表!$C:$C,0))*10000+E737</f>
        <v>31363003</v>
      </c>
      <c r="D737" s="23" t="s">
        <v>798</v>
      </c>
      <c r="E737" s="23">
        <v>3</v>
      </c>
      <c r="F737" s="23" t="s">
        <v>738</v>
      </c>
      <c r="G737" s="23" t="s">
        <v>45</v>
      </c>
      <c r="H737" s="23" t="s">
        <v>115</v>
      </c>
      <c r="I737" s="23" t="s">
        <v>49</v>
      </c>
      <c r="J737" s="23"/>
      <c r="K737" s="23"/>
      <c r="L737" s="29">
        <v>0</v>
      </c>
      <c r="M737" s="29">
        <v>2</v>
      </c>
      <c r="N737" s="29"/>
      <c r="O737" s="29">
        <v>313615</v>
      </c>
      <c r="P737" s="29">
        <v>241735</v>
      </c>
      <c r="Q737" s="29">
        <v>0</v>
      </c>
      <c r="R737" s="30">
        <v>15746</v>
      </c>
    </row>
    <row r="738" spans="1:18">
      <c r="A738" s="27"/>
      <c r="B738" s="28">
        <v>734</v>
      </c>
      <c r="C738" s="1">
        <f>30000000+INDEX(编号表!$B:$B,MATCH(G738,编号表!$A:$A,0))*100000+INDEX(编号表!$F:$F,MATCH(H738,编号表!$E:$E,0))*1000+INDEX(编号表!$D:$D,MATCH(F738,编号表!$C:$C,0))*10000+E738</f>
        <v>31363004</v>
      </c>
      <c r="D738" s="23" t="s">
        <v>799</v>
      </c>
      <c r="E738" s="23">
        <v>4</v>
      </c>
      <c r="F738" s="23" t="s">
        <v>738</v>
      </c>
      <c r="G738" s="23" t="s">
        <v>45</v>
      </c>
      <c r="H738" s="23" t="s">
        <v>115</v>
      </c>
      <c r="I738" s="23" t="s">
        <v>52</v>
      </c>
      <c r="J738" s="23"/>
      <c r="K738" s="23"/>
      <c r="L738" s="29">
        <v>0</v>
      </c>
      <c r="M738" s="29">
        <v>-1</v>
      </c>
      <c r="N738" s="29"/>
      <c r="O738" s="29">
        <v>313615</v>
      </c>
      <c r="P738" s="29">
        <v>200463</v>
      </c>
      <c r="Q738" s="29">
        <v>0</v>
      </c>
      <c r="R738" s="30">
        <v>38053</v>
      </c>
    </row>
    <row r="739" spans="1:18">
      <c r="A739" s="27"/>
      <c r="B739" s="28">
        <v>735</v>
      </c>
      <c r="C739" s="1">
        <f>30000000+INDEX(编号表!$B:$B,MATCH(G739,编号表!$A:$A,0))*100000+INDEX(编号表!$F:$F,MATCH(H739,编号表!$E:$E,0))*1000+INDEX(编号表!$D:$D,MATCH(F739,编号表!$C:$C,0))*10000+E739</f>
        <v>31363005</v>
      </c>
      <c r="D739" s="23" t="inlineStr">
        <is>
          <t xml:space="preserve">万载沸泉苔·玄株</t>
        </is>
      </c>
      <c r="E739" s="23">
        <v>5</v>
      </c>
      <c r="F739" s="23" t="s">
        <v>738</v>
      </c>
      <c r="G739" s="23" t="s">
        <v>45</v>
      </c>
      <c r="H739" s="23" t="s">
        <v>115</v>
      </c>
      <c r="I739" s="23" t="s">
        <v>52</v>
      </c>
      <c r="J739" s="23"/>
      <c r="K739" s="23"/>
      <c r="L739" s="29">
        <v>0</v>
      </c>
      <c r="M739" s="29">
        <v>4</v>
      </c>
      <c r="N739" s="29"/>
      <c r="O739" s="29">
        <v>324375</v>
      </c>
      <c r="P739" s="29">
        <v>250029</v>
      </c>
      <c r="Q739" s="29">
        <v>0</v>
      </c>
      <c r="R739" s="30">
        <v>68234</v>
      </c>
    </row>
    <row r="740" spans="1:18">
      <c r="A740" s="27"/>
      <c r="B740" s="28">
        <v>736</v>
      </c>
      <c r="C740" s="1">
        <f>30000000+INDEX(编号表!$B:$B,MATCH(G740,编号表!$A:$A,0))*100000+INDEX(编号表!$F:$F,MATCH(H740,编号表!$E:$E,0))*1000+INDEX(编号表!$D:$D,MATCH(F740,编号表!$C:$C,0))*10000+E740</f>
        <v>31363006</v>
      </c>
      <c r="D740" s="23" t="inlineStr">
        <is>
          <t xml:space="preserve">万载丹露花·玄株</t>
        </is>
      </c>
      <c r="E740" s="23">
        <v>6</v>
      </c>
      <c r="F740" s="23" t="s">
        <v>738</v>
      </c>
      <c r="G740" s="23" t="s">
        <v>45</v>
      </c>
      <c r="H740" s="23" t="s">
        <v>115</v>
      </c>
      <c r="I740" s="23" t="s">
        <v>55</v>
      </c>
      <c r="J740" s="23"/>
      <c r="K740" s="23"/>
      <c r="L740" s="29">
        <v>0</v>
      </c>
      <c r="M740" s="29">
        <v>-1</v>
      </c>
      <c r="N740" s="29"/>
      <c r="O740" s="29">
        <v>324375</v>
      </c>
      <c r="P740" s="29">
        <v>85376</v>
      </c>
      <c r="Q740" s="29">
        <v>0</v>
      </c>
      <c r="R740" s="30">
        <v>110224</v>
      </c>
    </row>
    <row r="741" spans="1:18">
      <c r="A741" s="27"/>
      <c r="B741" s="28">
        <v>737</v>
      </c>
      <c r="C741" s="1">
        <f>30000000+INDEX(编号表!$B:$B,MATCH(G741,编号表!$A:$A,0))*100000+INDEX(编号表!$F:$F,MATCH(H741,编号表!$E:$E,0))*1000+INDEX(编号表!$D:$D,MATCH(F741,编号表!$C:$C,0))*10000+E741</f>
        <v>31363007</v>
      </c>
      <c r="D741" s="23" t="s">
        <v>802</v>
      </c>
      <c r="E741" s="23">
        <v>7</v>
      </c>
      <c r="F741" s="23" t="s">
        <v>738</v>
      </c>
      <c r="G741" s="23" t="s">
        <v>45</v>
      </c>
      <c r="H741" s="23" t="s">
        <v>115</v>
      </c>
      <c r="I741" s="23" t="s">
        <v>55</v>
      </c>
      <c r="J741" s="23"/>
      <c r="K741" s="23"/>
      <c r="L741" s="29">
        <v>0</v>
      </c>
      <c r="M741" s="29">
        <v>2</v>
      </c>
      <c r="N741" s="29"/>
      <c r="O741" s="29">
        <v>313615</v>
      </c>
      <c r="P741" s="29">
        <v>241735</v>
      </c>
      <c r="Q741" s="29">
        <v>0</v>
      </c>
      <c r="R741" s="30">
        <v>15746</v>
      </c>
    </row>
    <row r="742" spans="1:18">
      <c r="A742" s="27"/>
      <c r="B742" s="28">
        <v>738</v>
      </c>
      <c r="C742" s="1">
        <f>30000000+INDEX(编号表!$B:$B,MATCH(G742,编号表!$A:$A,0))*100000+INDEX(编号表!$F:$F,MATCH(H742,编号表!$E:$E,0))*1000+INDEX(编号表!$D:$D,MATCH(F742,编号表!$C:$C,0))*10000+E742</f>
        <v>31363008</v>
      </c>
      <c r="D742" s="23" t="s">
        <v>803</v>
      </c>
      <c r="E742" s="23">
        <v>8</v>
      </c>
      <c r="F742" s="23" t="s">
        <v>738</v>
      </c>
      <c r="G742" s="23" t="s">
        <v>45</v>
      </c>
      <c r="H742" s="23" t="s">
        <v>115</v>
      </c>
      <c r="I742" s="23" t="s">
        <v>58</v>
      </c>
      <c r="J742" s="23"/>
      <c r="K742" s="23"/>
      <c r="L742" s="29">
        <v>0</v>
      </c>
      <c r="M742" s="29">
        <v>-2</v>
      </c>
      <c r="N742" s="29"/>
      <c r="O742" s="29">
        <v>313615</v>
      </c>
      <c r="P742" s="29">
        <v>162139</v>
      </c>
      <c r="Q742" s="29">
        <v>0</v>
      </c>
      <c r="R742" s="30">
        <v>36741</v>
      </c>
    </row>
    <row r="743" spans="1:18">
      <c r="A743" s="27"/>
      <c r="B743" s="28">
        <v>739</v>
      </c>
      <c r="C743" s="1">
        <f>30000000+INDEX(编号表!$B:$B,MATCH(G743,编号表!$A:$A,0))*100000+INDEX(编号表!$F:$F,MATCH(H743,编号表!$E:$E,0))*1000+INDEX(编号表!$D:$D,MATCH(F743,编号表!$C:$C,0))*10000+E743</f>
        <v>31363009</v>
      </c>
      <c r="D743" s="23" t="s">
        <v>804</v>
      </c>
      <c r="E743" s="23">
        <v>9</v>
      </c>
      <c r="F743" s="23" t="s">
        <v>738</v>
      </c>
      <c r="G743" s="23" t="s">
        <v>45</v>
      </c>
      <c r="H743" s="23" t="s">
        <v>115</v>
      </c>
      <c r="I743" s="23" t="s">
        <v>58</v>
      </c>
      <c r="J743" s="23"/>
      <c r="K743" s="23"/>
      <c r="L743" s="29">
        <v>0</v>
      </c>
      <c r="M743" s="29">
        <v>1</v>
      </c>
      <c r="N743" s="29"/>
      <c r="O743" s="29">
        <v>297344</v>
      </c>
      <c r="P743" s="29">
        <v>100622</v>
      </c>
      <c r="Q743" s="29">
        <v>0</v>
      </c>
      <c r="R743" s="30">
        <v>51175</v>
      </c>
    </row>
    <row r="744" spans="1:18">
      <c r="A744" s="27"/>
      <c r="B744" s="28">
        <v>740</v>
      </c>
      <c r="C744" s="1">
        <f>30000000+INDEX(编号表!$B:$B,MATCH(G744,编号表!$A:$A,0))*100000+INDEX(编号表!$F:$F,MATCH(H744,编号表!$E:$E,0))*1000+INDEX(编号表!$D:$D,MATCH(F744,编号表!$C:$C,0))*10000+E744</f>
        <v>31563000</v>
      </c>
      <c r="D744" s="23" t="inlineStr">
        <is>
          <t xml:space="preserve">万载霜辛草·玄株</t>
        </is>
      </c>
      <c r="E744" s="23">
        <v>0</v>
      </c>
      <c r="F744" s="23" t="s">
        <v>738</v>
      </c>
      <c r="G744" s="23" t="s">
        <v>61</v>
      </c>
      <c r="H744" s="23" t="s">
        <v>115</v>
      </c>
      <c r="I744" s="23"/>
      <c r="J744" s="23" t="s">
        <v>62</v>
      </c>
      <c r="K744" s="23"/>
      <c r="L744" s="29">
        <v>0</v>
      </c>
      <c r="M744" s="29">
        <v>-2</v>
      </c>
      <c r="N744" s="29"/>
      <c r="O744" s="29">
        <v>313615</v>
      </c>
      <c r="P744" s="29">
        <v>162139</v>
      </c>
      <c r="Q744" s="29">
        <v>0</v>
      </c>
      <c r="R744" s="30">
        <v>36741</v>
      </c>
    </row>
    <row r="745" spans="1:18">
      <c r="A745" s="27"/>
      <c r="B745" s="28">
        <v>741</v>
      </c>
      <c r="C745" s="1">
        <f>30000000+INDEX(编号表!$B:$B,MATCH(G745,编号表!$A:$A,0))*100000+INDEX(编号表!$F:$F,MATCH(H745,编号表!$E:$E,0))*1000+INDEX(编号表!$D:$D,MATCH(F745,编号表!$C:$C,0))*10000+E745</f>
        <v>31563001</v>
      </c>
      <c r="D745" s="23" t="s">
        <v>806</v>
      </c>
      <c r="E745" s="23">
        <v>1</v>
      </c>
      <c r="F745" s="23" t="s">
        <v>738</v>
      </c>
      <c r="G745" s="23" t="s">
        <v>61</v>
      </c>
      <c r="H745" s="23" t="s">
        <v>115</v>
      </c>
      <c r="I745" s="23"/>
      <c r="J745" s="23" t="s">
        <v>62</v>
      </c>
      <c r="K745" s="23"/>
      <c r="L745" s="29">
        <v>0</v>
      </c>
      <c r="M745" s="29">
        <v>3</v>
      </c>
      <c r="N745" s="29"/>
      <c r="O745" s="29">
        <v>335135</v>
      </c>
      <c r="P745" s="29">
        <v>214219</v>
      </c>
      <c r="Q745" s="29">
        <v>0</v>
      </c>
      <c r="R745" s="30">
        <v>47239</v>
      </c>
    </row>
    <row r="746" spans="1:18">
      <c r="A746" s="27"/>
      <c r="B746" s="28">
        <v>742</v>
      </c>
      <c r="C746" s="1">
        <f>30000000+INDEX(编号表!$B:$B,MATCH(G746,编号表!$A:$A,0))*100000+INDEX(编号表!$F:$F,MATCH(H746,编号表!$E:$E,0))*1000+INDEX(编号表!$D:$D,MATCH(F746,编号表!$C:$C,0))*10000+E746</f>
        <v>31563002</v>
      </c>
      <c r="D746" s="23" t="s">
        <v>807</v>
      </c>
      <c r="E746" s="23">
        <v>2</v>
      </c>
      <c r="F746" s="23" t="s">
        <v>738</v>
      </c>
      <c r="G746" s="23" t="s">
        <v>61</v>
      </c>
      <c r="H746" s="23" t="s">
        <v>115</v>
      </c>
      <c r="I746" s="23"/>
      <c r="J746" s="23" t="s">
        <v>65</v>
      </c>
      <c r="K746" s="23"/>
      <c r="L746" s="29">
        <v>0</v>
      </c>
      <c r="M746" s="29">
        <v>-1</v>
      </c>
      <c r="N746" s="29"/>
      <c r="O746" s="29">
        <v>297344</v>
      </c>
      <c r="P746" s="29">
        <v>100622</v>
      </c>
      <c r="Q746" s="29">
        <v>0</v>
      </c>
      <c r="R746" s="30">
        <v>51175</v>
      </c>
    </row>
    <row r="747" spans="1:18">
      <c r="A747" s="27"/>
      <c r="B747" s="28">
        <v>743</v>
      </c>
      <c r="C747" s="1">
        <f>30000000+INDEX(编号表!$B:$B,MATCH(G747,编号表!$A:$A,0))*100000+INDEX(编号表!$F:$F,MATCH(H747,编号表!$E:$E,0))*1000+INDEX(编号表!$D:$D,MATCH(F747,编号表!$C:$C,0))*10000+E747</f>
        <v>31563003</v>
      </c>
      <c r="D747" s="23" t="s">
        <v>808</v>
      </c>
      <c r="E747" s="23">
        <v>3</v>
      </c>
      <c r="F747" s="23" t="s">
        <v>738</v>
      </c>
      <c r="G747" s="23" t="s">
        <v>61</v>
      </c>
      <c r="H747" s="23" t="s">
        <v>115</v>
      </c>
      <c r="I747" s="23"/>
      <c r="J747" s="23" t="s">
        <v>65</v>
      </c>
      <c r="K747" s="23"/>
      <c r="L747" s="29">
        <v>0</v>
      </c>
      <c r="M747" s="29">
        <v>2</v>
      </c>
      <c r="N747" s="29"/>
      <c r="O747" s="29">
        <v>313615</v>
      </c>
      <c r="P747" s="29">
        <v>241735</v>
      </c>
      <c r="Q747" s="29">
        <v>0</v>
      </c>
      <c r="R747" s="30">
        <v>15746</v>
      </c>
    </row>
    <row r="748" spans="1:18">
      <c r="A748" s="27"/>
      <c r="B748" s="28">
        <v>744</v>
      </c>
      <c r="C748" s="1">
        <f>30000000+INDEX(编号表!$B:$B,MATCH(G748,编号表!$A:$A,0))*100000+INDEX(编号表!$F:$F,MATCH(H748,编号表!$E:$E,0))*1000+INDEX(编号表!$D:$D,MATCH(F748,编号表!$C:$C,0))*10000+E748</f>
        <v>31563004</v>
      </c>
      <c r="D748" s="23" t="s">
        <v>809</v>
      </c>
      <c r="E748" s="23">
        <v>4</v>
      </c>
      <c r="F748" s="23" t="s">
        <v>738</v>
      </c>
      <c r="G748" s="23" t="s">
        <v>61</v>
      </c>
      <c r="H748" s="23" t="s">
        <v>115</v>
      </c>
      <c r="I748" s="23"/>
      <c r="J748" s="23" t="s">
        <v>68</v>
      </c>
      <c r="K748" s="23"/>
      <c r="L748" s="29">
        <v>0</v>
      </c>
      <c r="M748" s="29">
        <v>-1</v>
      </c>
      <c r="N748" s="29"/>
      <c r="O748" s="29">
        <v>313615</v>
      </c>
      <c r="P748" s="29">
        <v>200463</v>
      </c>
      <c r="Q748" s="29">
        <v>0</v>
      </c>
      <c r="R748" s="30">
        <v>38053</v>
      </c>
    </row>
    <row r="749" spans="1:18">
      <c r="A749" s="27"/>
      <c r="B749" s="28">
        <v>745</v>
      </c>
      <c r="C749" s="1">
        <f>30000000+INDEX(编号表!$B:$B,MATCH(G749,编号表!$A:$A,0))*100000+INDEX(编号表!$F:$F,MATCH(H749,编号表!$E:$E,0))*1000+INDEX(编号表!$D:$D,MATCH(F749,编号表!$C:$C,0))*10000+E749</f>
        <v>31563005</v>
      </c>
      <c r="D749" s="23" t="s">
        <v>810</v>
      </c>
      <c r="E749" s="23">
        <v>5</v>
      </c>
      <c r="F749" s="23" t="s">
        <v>738</v>
      </c>
      <c r="G749" s="23" t="s">
        <v>61</v>
      </c>
      <c r="H749" s="23" t="s">
        <v>115</v>
      </c>
      <c r="I749" s="23"/>
      <c r="J749" s="23" t="s">
        <v>68</v>
      </c>
      <c r="K749" s="23"/>
      <c r="L749" s="29">
        <v>0</v>
      </c>
      <c r="M749" s="29">
        <v>4</v>
      </c>
      <c r="N749" s="29"/>
      <c r="O749" s="29">
        <v>324375</v>
      </c>
      <c r="P749" s="29">
        <v>250029</v>
      </c>
      <c r="Q749" s="29">
        <v>0</v>
      </c>
      <c r="R749" s="30">
        <v>68234</v>
      </c>
    </row>
    <row r="750" spans="1:18">
      <c r="A750" s="27"/>
      <c r="B750" s="28">
        <v>746</v>
      </c>
      <c r="C750" s="1">
        <f>30000000+INDEX(编号表!$B:$B,MATCH(G750,编号表!$A:$A,0))*100000+INDEX(编号表!$F:$F,MATCH(H750,编号表!$E:$E,0))*1000+INDEX(编号表!$D:$D,MATCH(F750,编号表!$C:$C,0))*10000+E750</f>
        <v>31563006</v>
      </c>
      <c r="D750" s="23" t="s">
        <v>811</v>
      </c>
      <c r="E750" s="23">
        <v>6</v>
      </c>
      <c r="F750" s="23" t="s">
        <v>738</v>
      </c>
      <c r="G750" s="23" t="s">
        <v>61</v>
      </c>
      <c r="H750" s="23" t="s">
        <v>115</v>
      </c>
      <c r="I750" s="23"/>
      <c r="J750" s="23" t="s">
        <v>71</v>
      </c>
      <c r="K750" s="23"/>
      <c r="L750" s="29">
        <v>0</v>
      </c>
      <c r="M750" s="29">
        <v>-1</v>
      </c>
      <c r="N750" s="29"/>
      <c r="O750" s="29">
        <v>324375</v>
      </c>
      <c r="P750" s="29">
        <v>85376</v>
      </c>
      <c r="Q750" s="29">
        <v>0</v>
      </c>
      <c r="R750" s="30">
        <v>110224</v>
      </c>
    </row>
    <row r="751" spans="1:18">
      <c r="A751" s="27"/>
      <c r="B751" s="28">
        <v>747</v>
      </c>
      <c r="C751" s="1">
        <f>30000000+INDEX(编号表!$B:$B,MATCH(G751,编号表!$A:$A,0))*100000+INDEX(编号表!$F:$F,MATCH(H751,编号表!$E:$E,0))*1000+INDEX(编号表!$D:$D,MATCH(F751,编号表!$C:$C,0))*10000+E751</f>
        <v>31563007</v>
      </c>
      <c r="D751" s="23" t="s">
        <v>812</v>
      </c>
      <c r="E751" s="23">
        <v>7</v>
      </c>
      <c r="F751" s="23" t="s">
        <v>738</v>
      </c>
      <c r="G751" s="23" t="s">
        <v>61</v>
      </c>
      <c r="H751" s="23" t="s">
        <v>115</v>
      </c>
      <c r="I751" s="23"/>
      <c r="J751" s="23" t="s">
        <v>71</v>
      </c>
      <c r="K751" s="23"/>
      <c r="L751" s="29">
        <v>0</v>
      </c>
      <c r="M751" s="29">
        <v>2</v>
      </c>
      <c r="N751" s="29"/>
      <c r="O751" s="29">
        <v>313615</v>
      </c>
      <c r="P751" s="29">
        <v>241735</v>
      </c>
      <c r="Q751" s="29">
        <v>0</v>
      </c>
      <c r="R751" s="30">
        <v>15746</v>
      </c>
    </row>
    <row r="752" spans="1:18">
      <c r="A752" s="27"/>
      <c r="B752" s="28">
        <v>748</v>
      </c>
      <c r="C752" s="1">
        <f>30000000+INDEX(编号表!$B:$B,MATCH(G752,编号表!$A:$A,0))*100000+INDEX(编号表!$F:$F,MATCH(H752,编号表!$E:$E,0))*1000+INDEX(编号表!$D:$D,MATCH(F752,编号表!$C:$C,0))*10000+E752</f>
        <v>31563008</v>
      </c>
      <c r="D752" s="23" t="s">
        <v>813</v>
      </c>
      <c r="E752" s="23">
        <v>8</v>
      </c>
      <c r="F752" s="23" t="s">
        <v>738</v>
      </c>
      <c r="G752" s="23" t="s">
        <v>61</v>
      </c>
      <c r="H752" s="23" t="s">
        <v>115</v>
      </c>
      <c r="I752" s="23"/>
      <c r="J752" s="23" t="s">
        <v>74</v>
      </c>
      <c r="K752" s="23"/>
      <c r="L752" s="29">
        <v>0</v>
      </c>
      <c r="M752" s="29">
        <v>-2</v>
      </c>
      <c r="N752" s="29"/>
      <c r="O752" s="29">
        <v>313615</v>
      </c>
      <c r="P752" s="29">
        <v>162139</v>
      </c>
      <c r="Q752" s="29">
        <v>0</v>
      </c>
      <c r="R752" s="30">
        <v>36741</v>
      </c>
    </row>
    <row r="753" spans="1:18">
      <c r="A753" s="27"/>
      <c r="B753" s="28">
        <v>749</v>
      </c>
      <c r="C753" s="1">
        <f>30000000+INDEX(编号表!$B:$B,MATCH(G753,编号表!$A:$A,0))*100000+INDEX(编号表!$F:$F,MATCH(H753,编号表!$E:$E,0))*1000+INDEX(编号表!$D:$D,MATCH(F753,编号表!$C:$C,0))*10000+E753</f>
        <v>31563009</v>
      </c>
      <c r="D753" s="23" t="s">
        <v>814</v>
      </c>
      <c r="E753" s="23">
        <v>9</v>
      </c>
      <c r="F753" s="23" t="s">
        <v>738</v>
      </c>
      <c r="G753" s="23" t="s">
        <v>61</v>
      </c>
      <c r="H753" s="23" t="s">
        <v>115</v>
      </c>
      <c r="I753" s="23"/>
      <c r="J753" s="23" t="s">
        <v>74</v>
      </c>
      <c r="K753" s="23"/>
      <c r="L753" s="29">
        <v>0</v>
      </c>
      <c r="M753" s="29">
        <v>1</v>
      </c>
      <c r="N753" s="29"/>
      <c r="O753" s="29">
        <v>297344</v>
      </c>
      <c r="P753" s="29">
        <v>100622</v>
      </c>
      <c r="Q753" s="29">
        <v>0</v>
      </c>
      <c r="R753" s="30">
        <v>51175</v>
      </c>
    </row>
    <row r="754" spans="1:18">
      <c r="A754" s="27"/>
      <c r="B754" s="28">
        <v>750</v>
      </c>
      <c r="C754" s="1">
        <f>30000000+INDEX(编号表!$B:$B,MATCH(G754,编号表!$A:$A,0))*100000+INDEX(编号表!$F:$F,MATCH(H754,编号表!$E:$E,0))*1000+INDEX(编号表!$D:$D,MATCH(F754,编号表!$C:$C,0))*10000+E754</f>
        <v>31463000</v>
      </c>
      <c r="D754" s="23" t="s">
        <v>815</v>
      </c>
      <c r="E754" s="23">
        <v>0</v>
      </c>
      <c r="F754" s="23" t="s">
        <v>738</v>
      </c>
      <c r="G754" s="23" t="s">
        <v>77</v>
      </c>
      <c r="H754" s="23" t="s">
        <v>115</v>
      </c>
      <c r="I754" s="23"/>
      <c r="J754" s="23"/>
      <c r="K754" s="23"/>
      <c r="L754" s="29">
        <v>0</v>
      </c>
      <c r="M754" s="29">
        <v>0</v>
      </c>
      <c r="N754" s="29"/>
      <c r="O754" s="29">
        <v>297344</v>
      </c>
      <c r="P754" s="29">
        <v>78261</v>
      </c>
      <c r="Q754" s="29">
        <v>0</v>
      </c>
      <c r="R754" s="30">
        <v>60361</v>
      </c>
    </row>
    <row r="755" spans="1:18">
      <c r="A755" s="27"/>
      <c r="B755" s="28">
        <v>751</v>
      </c>
      <c r="C755" s="1">
        <f>30000000+INDEX(编号表!$B:$B,MATCH(G755,编号表!$A:$A,0))*100000+INDEX(编号表!$F:$F,MATCH(H755,编号表!$E:$E,0))*1000+INDEX(编号表!$D:$D,MATCH(F755,编号表!$C:$C,0))*10000+E755</f>
        <v>31463001</v>
      </c>
      <c r="D755" s="23" t="s">
        <v>816</v>
      </c>
      <c r="E755" s="23">
        <v>1</v>
      </c>
      <c r="F755" s="23" t="s">
        <v>738</v>
      </c>
      <c r="G755" s="23" t="s">
        <v>77</v>
      </c>
      <c r="H755" s="23" t="s">
        <v>115</v>
      </c>
      <c r="I755" s="23"/>
      <c r="J755" s="23"/>
      <c r="K755" s="23"/>
      <c r="L755" s="29">
        <v>0</v>
      </c>
      <c r="M755" s="29">
        <v>0</v>
      </c>
      <c r="N755" s="29"/>
      <c r="O755" s="29">
        <v>335135</v>
      </c>
      <c r="P755" s="29">
        <v>258323</v>
      </c>
      <c r="Q755" s="29">
        <v>0</v>
      </c>
      <c r="R755" s="30">
        <v>20995</v>
      </c>
    </row>
    <row r="756" spans="1:18">
      <c r="A756" s="27"/>
      <c r="B756" s="28">
        <v>752</v>
      </c>
      <c r="C756" s="1">
        <f>30000000+INDEX(编号表!$B:$B,MATCH(G756,编号表!$A:$A,0))*100000+INDEX(编号表!$F:$F,MATCH(H756,编号表!$E:$E,0))*1000+INDEX(编号表!$D:$D,MATCH(F756,编号表!$C:$C,0))*10000+E756</f>
        <v>31463002</v>
      </c>
      <c r="D756" s="23" t="s">
        <v>817</v>
      </c>
      <c r="E756" s="23">
        <v>2</v>
      </c>
      <c r="F756" s="23" t="s">
        <v>738</v>
      </c>
      <c r="G756" s="23" t="s">
        <v>77</v>
      </c>
      <c r="H756" s="23" t="s">
        <v>115</v>
      </c>
      <c r="I756" s="23"/>
      <c r="J756" s="23"/>
      <c r="K756" s="23"/>
      <c r="L756" s="29">
        <v>0</v>
      </c>
      <c r="M756" s="29">
        <v>1</v>
      </c>
      <c r="N756" s="29"/>
      <c r="O756" s="29">
        <v>324375</v>
      </c>
      <c r="P756" s="29">
        <v>85376</v>
      </c>
      <c r="Q756" s="29">
        <v>0</v>
      </c>
      <c r="R756" s="30">
        <v>110224</v>
      </c>
    </row>
    <row r="757" spans="1:18">
      <c r="A757" s="27"/>
      <c r="B757" s="28">
        <v>753</v>
      </c>
      <c r="C757" s="1">
        <f>30000000+INDEX(编号表!$B:$B,MATCH(G757,编号表!$A:$A,0))*100000+INDEX(编号表!$F:$F,MATCH(H757,编号表!$E:$E,0))*1000+INDEX(编号表!$D:$D,MATCH(F757,编号表!$C:$C,0))*10000+E757</f>
        <v>31463003</v>
      </c>
      <c r="D757" s="23" t="s">
        <v>818</v>
      </c>
      <c r="E757" s="23">
        <v>3</v>
      </c>
      <c r="F757" s="23" t="s">
        <v>738</v>
      </c>
      <c r="G757" s="23" t="s">
        <v>77</v>
      </c>
      <c r="H757" s="23" t="s">
        <v>115</v>
      </c>
      <c r="I757" s="23"/>
      <c r="J757" s="23"/>
      <c r="K757" s="23"/>
      <c r="L757" s="29">
        <v>0</v>
      </c>
      <c r="M757" s="29">
        <v>4</v>
      </c>
      <c r="N757" s="29"/>
      <c r="O757" s="29">
        <v>324375</v>
      </c>
      <c r="P757" s="29">
        <v>250029</v>
      </c>
      <c r="Q757" s="29">
        <v>0</v>
      </c>
      <c r="R757" s="30">
        <v>68234</v>
      </c>
    </row>
    <row r="758" spans="1:18">
      <c r="A758" s="27"/>
      <c r="B758" s="28">
        <v>754</v>
      </c>
      <c r="C758" s="1">
        <f>30000000+INDEX(编号表!$B:$B,MATCH(G758,编号表!$A:$A,0))*100000+INDEX(编号表!$F:$F,MATCH(H758,编号表!$E:$E,0))*1000+INDEX(编号表!$D:$D,MATCH(F758,编号表!$C:$C,0))*10000+E758</f>
        <v>31663000</v>
      </c>
      <c r="D758" s="23" t="s">
        <v>819</v>
      </c>
      <c r="E758" s="23">
        <v>0</v>
      </c>
      <c r="F758" s="23" t="s">
        <v>738</v>
      </c>
      <c r="G758" s="23" t="s">
        <v>82</v>
      </c>
      <c r="H758" s="23" t="s">
        <v>115</v>
      </c>
      <c r="I758" s="23"/>
      <c r="J758" s="23"/>
      <c r="K758" s="23"/>
      <c r="L758" s="29">
        <v>7</v>
      </c>
      <c r="M758" s="29">
        <v>0</v>
      </c>
      <c r="N758" s="29"/>
      <c r="O758" s="29">
        <v>0</v>
      </c>
      <c r="P758" s="29">
        <v>0</v>
      </c>
      <c r="Q758" s="29">
        <v>0</v>
      </c>
      <c r="R758" s="30">
        <v>31492</v>
      </c>
    </row>
    <row r="759" spans="1:18">
      <c r="A759" s="27"/>
      <c r="B759" s="28">
        <v>755</v>
      </c>
      <c r="C759" s="1">
        <f>30000000+INDEX(编号表!$B:$B,MATCH(G759,编号表!$A:$A,0))*100000+INDEX(编号表!$F:$F,MATCH(H759,编号表!$E:$E,0))*1000+INDEX(编号表!$D:$D,MATCH(F759,编号表!$C:$C,0))*10000+E759</f>
        <v>31663001</v>
      </c>
      <c r="D759" s="23" t="s">
        <v>820</v>
      </c>
      <c r="E759" s="23">
        <v>1</v>
      </c>
      <c r="F759" s="23" t="s">
        <v>738</v>
      </c>
      <c r="G759" s="23" t="s">
        <v>82</v>
      </c>
      <c r="H759" s="23" t="s">
        <v>115</v>
      </c>
      <c r="I759" s="23"/>
      <c r="J759" s="23"/>
      <c r="K759" s="23"/>
      <c r="L759" s="29">
        <v>8</v>
      </c>
      <c r="M759" s="29">
        <v>0</v>
      </c>
      <c r="N759" s="29"/>
      <c r="O759" s="29">
        <v>0</v>
      </c>
      <c r="P759" s="29">
        <v>0</v>
      </c>
      <c r="Q759" s="29">
        <v>0</v>
      </c>
      <c r="R759" s="30">
        <v>57736</v>
      </c>
    </row>
    <row r="760" spans="1:18">
      <c r="A760" s="27"/>
      <c r="B760" s="28">
        <v>756</v>
      </c>
      <c r="C760" s="1">
        <f>30000000+INDEX(编号表!$B:$B,MATCH(G760,编号表!$A:$A,0))*100000+INDEX(编号表!$F:$F,MATCH(H760,编号表!$E:$E,0))*1000+INDEX(编号表!$D:$D,MATCH(F760,编号表!$C:$C,0))*10000+E760</f>
        <v>31663002</v>
      </c>
      <c r="D760" s="23" t="s">
        <v>821</v>
      </c>
      <c r="E760" s="23">
        <v>2</v>
      </c>
      <c r="F760" s="23" t="s">
        <v>738</v>
      </c>
      <c r="G760" s="23" t="s">
        <v>82</v>
      </c>
      <c r="H760" s="23" t="s">
        <v>115</v>
      </c>
      <c r="I760" s="23"/>
      <c r="J760" s="23"/>
      <c r="K760" s="23"/>
      <c r="L760" s="29">
        <v>9</v>
      </c>
      <c r="M760" s="29">
        <v>0</v>
      </c>
      <c r="N760" s="29"/>
      <c r="O760" s="29">
        <v>0</v>
      </c>
      <c r="P760" s="29">
        <v>0</v>
      </c>
      <c r="Q760" s="29">
        <v>0</v>
      </c>
      <c r="R760" s="30">
        <v>89229</v>
      </c>
    </row>
    <row r="761" spans="1:18">
      <c r="A761" s="27"/>
      <c r="B761" s="28">
        <v>757</v>
      </c>
      <c r="C761" s="1">
        <f>30000000+INDEX(编号表!$B:$B,MATCH(G761,编号表!$A:$A,0))*100000+INDEX(编号表!$F:$F,MATCH(H761,编号表!$E:$E,0))*1000+INDEX(编号表!$D:$D,MATCH(F761,编号表!$C:$C,0))*10000+E761</f>
        <v>31264000</v>
      </c>
      <c r="D761" s="23" t="s">
        <v>822</v>
      </c>
      <c r="E761" s="23">
        <v>0</v>
      </c>
      <c r="F761" s="23" t="s">
        <v>738</v>
      </c>
      <c r="G761" s="23" t="s">
        <v>42</v>
      </c>
      <c r="H761" s="23" t="s">
        <v>144</v>
      </c>
      <c r="I761" s="23"/>
      <c r="J761" s="23"/>
      <c r="K761" s="23"/>
      <c r="L761" s="29">
        <v>0</v>
      </c>
      <c r="M761" s="29">
        <v>0</v>
      </c>
      <c r="N761" s="29"/>
      <c r="O761" s="29">
        <v>944784</v>
      </c>
      <c r="P761" s="29">
        <v>467669</v>
      </c>
      <c r="Q761" s="29">
        <v>4723920</v>
      </c>
      <c r="R761" s="30">
        <v>85030</v>
      </c>
    </row>
    <row r="762" spans="1:18">
      <c r="A762" s="27"/>
      <c r="B762" s="28">
        <v>758</v>
      </c>
      <c r="C762" s="1">
        <f>30000000+INDEX(编号表!$B:$B,MATCH(G762,编号表!$A:$A,0))*100000+INDEX(编号表!$F:$F,MATCH(H762,编号表!$E:$E,0))*1000+INDEX(编号表!$D:$D,MATCH(F762,编号表!$C:$C,0))*10000+E762</f>
        <v>31364000</v>
      </c>
      <c r="D762" s="23" t="s">
        <v>823</v>
      </c>
      <c r="E762" s="23">
        <v>0</v>
      </c>
      <c r="F762" s="23" t="s">
        <v>738</v>
      </c>
      <c r="G762" s="23" t="s">
        <v>45</v>
      </c>
      <c r="H762" s="23" t="s">
        <v>144</v>
      </c>
      <c r="I762" s="23" t="s">
        <v>46</v>
      </c>
      <c r="J762" s="23"/>
      <c r="K762" s="23"/>
      <c r="L762" s="29">
        <v>0</v>
      </c>
      <c r="M762" s="29">
        <v>-2</v>
      </c>
      <c r="N762" s="29"/>
      <c r="O762" s="29">
        <v>564508</v>
      </c>
      <c r="P762" s="29">
        <v>279432</v>
      </c>
      <c r="Q762" s="29">
        <v>0</v>
      </c>
      <c r="R762" s="30">
        <v>66134</v>
      </c>
    </row>
    <row r="763" spans="1:18">
      <c r="A763" s="27"/>
      <c r="B763" s="28">
        <v>759</v>
      </c>
      <c r="C763" s="1">
        <f>30000000+INDEX(编号表!$B:$B,MATCH(G763,编号表!$A:$A,0))*100000+INDEX(编号表!$F:$F,MATCH(H763,编号表!$E:$E,0))*1000+INDEX(编号表!$D:$D,MATCH(F763,编号表!$C:$C,0))*10000+E763</f>
        <v>31364001</v>
      </c>
      <c r="D763" s="23" t="s">
        <v>824</v>
      </c>
      <c r="E763" s="23">
        <v>1</v>
      </c>
      <c r="F763" s="23" t="s">
        <v>738</v>
      </c>
      <c r="G763" s="23" t="s">
        <v>45</v>
      </c>
      <c r="H763" s="23" t="s">
        <v>144</v>
      </c>
      <c r="I763" s="23" t="s">
        <v>46</v>
      </c>
      <c r="J763" s="23"/>
      <c r="K763" s="23"/>
      <c r="L763" s="29">
        <v>0</v>
      </c>
      <c r="M763" s="29">
        <v>3</v>
      </c>
      <c r="N763" s="29"/>
      <c r="O763" s="29">
        <v>603244</v>
      </c>
      <c r="P763" s="29">
        <v>369186</v>
      </c>
      <c r="Q763" s="29">
        <v>0</v>
      </c>
      <c r="R763" s="30">
        <v>85030</v>
      </c>
    </row>
    <row r="764" spans="1:18">
      <c r="A764" s="27"/>
      <c r="B764" s="28">
        <v>760</v>
      </c>
      <c r="C764" s="1">
        <f>30000000+INDEX(编号表!$B:$B,MATCH(G764,编号表!$A:$A,0))*100000+INDEX(编号表!$F:$F,MATCH(H764,编号表!$E:$E,0))*1000+INDEX(编号表!$D:$D,MATCH(F764,编号表!$C:$C,0))*10000+E764</f>
        <v>31364002</v>
      </c>
      <c r="D764" s="23" t="s">
        <v>825</v>
      </c>
      <c r="E764" s="23">
        <v>2</v>
      </c>
      <c r="F764" s="23" t="s">
        <v>738</v>
      </c>
      <c r="G764" s="23" t="s">
        <v>45</v>
      </c>
      <c r="H764" s="23" t="s">
        <v>144</v>
      </c>
      <c r="I764" s="23" t="s">
        <v>49</v>
      </c>
      <c r="J764" s="23"/>
      <c r="K764" s="23"/>
      <c r="L764" s="29">
        <v>0</v>
      </c>
      <c r="M764" s="29">
        <v>-1</v>
      </c>
      <c r="N764" s="29"/>
      <c r="O764" s="29">
        <v>535220</v>
      </c>
      <c r="P764" s="29">
        <v>173412</v>
      </c>
      <c r="Q764" s="29">
        <v>0</v>
      </c>
      <c r="R764" s="30">
        <v>92116</v>
      </c>
    </row>
    <row r="765" spans="1:18">
      <c r="A765" s="27"/>
      <c r="B765" s="28">
        <v>761</v>
      </c>
      <c r="C765" s="1">
        <f>30000000+INDEX(编号表!$B:$B,MATCH(G765,编号表!$A:$A,0))*100000+INDEX(编号表!$F:$F,MATCH(H765,编号表!$E:$E,0))*1000+INDEX(编号表!$D:$D,MATCH(F765,编号表!$C:$C,0))*10000+E765</f>
        <v>31364003</v>
      </c>
      <c r="D765" s="23" t="s">
        <v>826</v>
      </c>
      <c r="E765" s="23">
        <v>3</v>
      </c>
      <c r="F765" s="23" t="s">
        <v>738</v>
      </c>
      <c r="G765" s="23" t="s">
        <v>45</v>
      </c>
      <c r="H765" s="23" t="s">
        <v>144</v>
      </c>
      <c r="I765" s="23" t="s">
        <v>49</v>
      </c>
      <c r="J765" s="23"/>
      <c r="K765" s="23"/>
      <c r="L765" s="29">
        <v>0</v>
      </c>
      <c r="M765" s="29">
        <v>2</v>
      </c>
      <c r="N765" s="29"/>
      <c r="O765" s="29">
        <v>564508</v>
      </c>
      <c r="P765" s="29">
        <v>416607</v>
      </c>
      <c r="Q765" s="29">
        <v>0</v>
      </c>
      <c r="R765" s="30">
        <v>28343</v>
      </c>
    </row>
    <row r="766" spans="1:18">
      <c r="A766" s="27"/>
      <c r="B766" s="28">
        <v>762</v>
      </c>
      <c r="C766" s="1">
        <f>30000000+INDEX(编号表!$B:$B,MATCH(G766,编号表!$A:$A,0))*100000+INDEX(编号表!$F:$F,MATCH(H766,编号表!$E:$E,0))*1000+INDEX(编号表!$D:$D,MATCH(F766,编号表!$C:$C,0))*10000+E766</f>
        <v>31364004</v>
      </c>
      <c r="D766" s="23" t="s">
        <v>827</v>
      </c>
      <c r="E766" s="23">
        <v>4</v>
      </c>
      <c r="F766" s="23" t="s">
        <v>738</v>
      </c>
      <c r="G766" s="23" t="s">
        <v>45</v>
      </c>
      <c r="H766" s="23" t="s">
        <v>144</v>
      </c>
      <c r="I766" s="23" t="s">
        <v>52</v>
      </c>
      <c r="J766" s="23"/>
      <c r="K766" s="23"/>
      <c r="L766" s="29">
        <v>0</v>
      </c>
      <c r="M766" s="29">
        <v>-1</v>
      </c>
      <c r="N766" s="29"/>
      <c r="O766" s="29">
        <v>564508</v>
      </c>
      <c r="P766" s="29">
        <v>345479</v>
      </c>
      <c r="Q766" s="29">
        <v>0</v>
      </c>
      <c r="R766" s="30">
        <v>68496</v>
      </c>
    </row>
    <row r="767" spans="1:18">
      <c r="A767" s="27"/>
      <c r="B767" s="28">
        <v>763</v>
      </c>
      <c r="C767" s="1">
        <f>30000000+INDEX(编号表!$B:$B,MATCH(G767,编号表!$A:$A,0))*100000+INDEX(编号表!$F:$F,MATCH(H767,编号表!$E:$E,0))*1000+INDEX(编号表!$D:$D,MATCH(F767,编号表!$C:$C,0))*10000+E767</f>
        <v>31364005</v>
      </c>
      <c r="D767" s="23" t="inlineStr">
        <is>
          <t xml:space="preserve">万载沸泉苔·仙株</t>
        </is>
      </c>
      <c r="E767" s="23">
        <v>5</v>
      </c>
      <c r="F767" s="23" t="s">
        <v>738</v>
      </c>
      <c r="G767" s="23" t="s">
        <v>45</v>
      </c>
      <c r="H767" s="23" t="s">
        <v>144</v>
      </c>
      <c r="I767" s="23" t="s">
        <v>52</v>
      </c>
      <c r="J767" s="23"/>
      <c r="K767" s="23"/>
      <c r="L767" s="29">
        <v>0</v>
      </c>
      <c r="M767" s="29">
        <v>4</v>
      </c>
      <c r="N767" s="29"/>
      <c r="O767" s="29">
        <v>583876</v>
      </c>
      <c r="P767" s="29">
        <v>430901</v>
      </c>
      <c r="Q767" s="29">
        <v>0</v>
      </c>
      <c r="R767" s="30">
        <v>122821</v>
      </c>
    </row>
    <row r="768" spans="1:18">
      <c r="A768" s="27"/>
      <c r="B768" s="28">
        <v>764</v>
      </c>
      <c r="C768" s="1">
        <f>30000000+INDEX(编号表!$B:$B,MATCH(G768,编号表!$A:$A,0))*100000+INDEX(编号表!$F:$F,MATCH(H768,编号表!$E:$E,0))*1000+INDEX(编号表!$D:$D,MATCH(F768,编号表!$C:$C,0))*10000+E768</f>
        <v>31364006</v>
      </c>
      <c r="D768" s="23" t="inlineStr">
        <is>
          <t xml:space="preserve">万载丹露花·仙株</t>
        </is>
      </c>
      <c r="E768" s="23">
        <v>6</v>
      </c>
      <c r="F768" s="23" t="s">
        <v>738</v>
      </c>
      <c r="G768" s="23" t="s">
        <v>45</v>
      </c>
      <c r="H768" s="23" t="s">
        <v>144</v>
      </c>
      <c r="I768" s="23" t="s">
        <v>55</v>
      </c>
      <c r="J768" s="23"/>
      <c r="K768" s="23"/>
      <c r="L768" s="29">
        <v>0</v>
      </c>
      <c r="M768" s="29">
        <v>-1</v>
      </c>
      <c r="N768" s="29"/>
      <c r="O768" s="29">
        <v>583876</v>
      </c>
      <c r="P768" s="29">
        <v>147137</v>
      </c>
      <c r="Q768" s="29">
        <v>0</v>
      </c>
      <c r="R768" s="30">
        <v>198404</v>
      </c>
    </row>
    <row r="769" spans="1:18">
      <c r="A769" s="27"/>
      <c r="B769" s="28">
        <v>765</v>
      </c>
      <c r="C769" s="1">
        <f>30000000+INDEX(编号表!$B:$B,MATCH(G769,编号表!$A:$A,0))*100000+INDEX(编号表!$F:$F,MATCH(H769,编号表!$E:$E,0))*1000+INDEX(编号表!$D:$D,MATCH(F769,编号表!$C:$C,0))*10000+E769</f>
        <v>31364007</v>
      </c>
      <c r="D769" s="23" t="s">
        <v>830</v>
      </c>
      <c r="E769" s="23">
        <v>7</v>
      </c>
      <c r="F769" s="23" t="s">
        <v>738</v>
      </c>
      <c r="G769" s="23" t="s">
        <v>45</v>
      </c>
      <c r="H769" s="23" t="s">
        <v>144</v>
      </c>
      <c r="I769" s="23" t="s">
        <v>55</v>
      </c>
      <c r="J769" s="23"/>
      <c r="K769" s="23"/>
      <c r="L769" s="29">
        <v>0</v>
      </c>
      <c r="M769" s="29">
        <v>2</v>
      </c>
      <c r="N769" s="29"/>
      <c r="O769" s="29">
        <v>564508</v>
      </c>
      <c r="P769" s="29">
        <v>416607</v>
      </c>
      <c r="Q769" s="29">
        <v>0</v>
      </c>
      <c r="R769" s="30">
        <v>28343</v>
      </c>
    </row>
    <row r="770" spans="1:18">
      <c r="A770" s="27"/>
      <c r="B770" s="28">
        <v>766</v>
      </c>
      <c r="C770" s="1">
        <f>30000000+INDEX(编号表!$B:$B,MATCH(G770,编号表!$A:$A,0))*100000+INDEX(编号表!$F:$F,MATCH(H770,编号表!$E:$E,0))*1000+INDEX(编号表!$D:$D,MATCH(F770,编号表!$C:$C,0))*10000+E770</f>
        <v>31364008</v>
      </c>
      <c r="D770" s="23" t="s">
        <v>831</v>
      </c>
      <c r="E770" s="23">
        <v>8</v>
      </c>
      <c r="F770" s="23" t="s">
        <v>738</v>
      </c>
      <c r="G770" s="23" t="s">
        <v>45</v>
      </c>
      <c r="H770" s="23" t="s">
        <v>144</v>
      </c>
      <c r="I770" s="23" t="s">
        <v>58</v>
      </c>
      <c r="J770" s="23"/>
      <c r="K770" s="23"/>
      <c r="L770" s="29">
        <v>0</v>
      </c>
      <c r="M770" s="29">
        <v>-2</v>
      </c>
      <c r="N770" s="29"/>
      <c r="O770" s="29">
        <v>564508</v>
      </c>
      <c r="P770" s="29">
        <v>279432</v>
      </c>
      <c r="Q770" s="29">
        <v>0</v>
      </c>
      <c r="R770" s="30">
        <v>66134</v>
      </c>
    </row>
    <row r="771" spans="1:18">
      <c r="A771" s="27"/>
      <c r="B771" s="28">
        <v>767</v>
      </c>
      <c r="C771" s="1">
        <f>30000000+INDEX(编号表!$B:$B,MATCH(G771,编号表!$A:$A,0))*100000+INDEX(编号表!$F:$F,MATCH(H771,编号表!$E:$E,0))*1000+INDEX(编号表!$D:$D,MATCH(F771,编号表!$C:$C,0))*10000+E771</f>
        <v>31364009</v>
      </c>
      <c r="D771" s="23" t="s">
        <v>832</v>
      </c>
      <c r="E771" s="23">
        <v>9</v>
      </c>
      <c r="F771" s="23" t="s">
        <v>738</v>
      </c>
      <c r="G771" s="23" t="s">
        <v>45</v>
      </c>
      <c r="H771" s="23" t="s">
        <v>144</v>
      </c>
      <c r="I771" s="23" t="s">
        <v>58</v>
      </c>
      <c r="J771" s="23"/>
      <c r="K771" s="23"/>
      <c r="L771" s="29">
        <v>0</v>
      </c>
      <c r="M771" s="29">
        <v>1</v>
      </c>
      <c r="N771" s="29"/>
      <c r="O771" s="29">
        <v>535220</v>
      </c>
      <c r="P771" s="29">
        <v>173412</v>
      </c>
      <c r="Q771" s="29">
        <v>0</v>
      </c>
      <c r="R771" s="30">
        <v>92116</v>
      </c>
    </row>
    <row r="772" spans="1:18">
      <c r="A772" s="27"/>
      <c r="B772" s="28">
        <v>768</v>
      </c>
      <c r="C772" s="1">
        <f>30000000+INDEX(编号表!$B:$B,MATCH(G772,编号表!$A:$A,0))*100000+INDEX(编号表!$F:$F,MATCH(H772,编号表!$E:$E,0))*1000+INDEX(编号表!$D:$D,MATCH(F772,编号表!$C:$C,0))*10000+E772</f>
        <v>31564000</v>
      </c>
      <c r="D772" s="23" t="inlineStr">
        <is>
          <t xml:space="preserve">万载霜辛草·仙株</t>
        </is>
      </c>
      <c r="E772" s="23">
        <v>0</v>
      </c>
      <c r="F772" s="23" t="s">
        <v>738</v>
      </c>
      <c r="G772" s="23" t="s">
        <v>61</v>
      </c>
      <c r="H772" s="23" t="s">
        <v>144</v>
      </c>
      <c r="I772" s="23"/>
      <c r="J772" s="23" t="s">
        <v>62</v>
      </c>
      <c r="K772" s="23"/>
      <c r="L772" s="29">
        <v>0</v>
      </c>
      <c r="M772" s="29">
        <v>-2</v>
      </c>
      <c r="N772" s="29"/>
      <c r="O772" s="29">
        <v>564508</v>
      </c>
      <c r="P772" s="29">
        <v>279432</v>
      </c>
      <c r="Q772" s="29">
        <v>0</v>
      </c>
      <c r="R772" s="30">
        <v>66134</v>
      </c>
    </row>
    <row r="773" spans="1:18">
      <c r="A773" s="27"/>
      <c r="B773" s="28">
        <v>769</v>
      </c>
      <c r="C773" s="1">
        <f>30000000+INDEX(编号表!$B:$B,MATCH(G773,编号表!$A:$A,0))*100000+INDEX(编号表!$F:$F,MATCH(H773,编号表!$E:$E,0))*1000+INDEX(编号表!$D:$D,MATCH(F773,编号表!$C:$C,0))*10000+E773</f>
        <v>31564001</v>
      </c>
      <c r="D773" s="23" t="s">
        <v>834</v>
      </c>
      <c r="E773" s="23">
        <v>1</v>
      </c>
      <c r="F773" s="23" t="s">
        <v>738</v>
      </c>
      <c r="G773" s="23" t="s">
        <v>61</v>
      </c>
      <c r="H773" s="23" t="s">
        <v>144</v>
      </c>
      <c r="I773" s="23"/>
      <c r="J773" s="23" t="s">
        <v>62</v>
      </c>
      <c r="K773" s="23"/>
      <c r="L773" s="29">
        <v>0</v>
      </c>
      <c r="M773" s="29">
        <v>3</v>
      </c>
      <c r="N773" s="29"/>
      <c r="O773" s="29">
        <v>603244</v>
      </c>
      <c r="P773" s="29">
        <v>369186</v>
      </c>
      <c r="Q773" s="29">
        <v>0</v>
      </c>
      <c r="R773" s="30">
        <v>85030</v>
      </c>
    </row>
    <row r="774" spans="1:18">
      <c r="A774" s="27"/>
      <c r="B774" s="28">
        <v>770</v>
      </c>
      <c r="C774" s="1">
        <f>30000000+INDEX(编号表!$B:$B,MATCH(G774,编号表!$A:$A,0))*100000+INDEX(编号表!$F:$F,MATCH(H774,编号表!$E:$E,0))*1000+INDEX(编号表!$D:$D,MATCH(F774,编号表!$C:$C,0))*10000+E774</f>
        <v>31564002</v>
      </c>
      <c r="D774" s="23" t="s">
        <v>835</v>
      </c>
      <c r="E774" s="23">
        <v>2</v>
      </c>
      <c r="F774" s="23" t="s">
        <v>738</v>
      </c>
      <c r="G774" s="23" t="s">
        <v>61</v>
      </c>
      <c r="H774" s="23" t="s">
        <v>144</v>
      </c>
      <c r="I774" s="23"/>
      <c r="J774" s="23" t="s">
        <v>65</v>
      </c>
      <c r="K774" s="23"/>
      <c r="L774" s="29">
        <v>0</v>
      </c>
      <c r="M774" s="29">
        <v>-1</v>
      </c>
      <c r="N774" s="29"/>
      <c r="O774" s="29">
        <v>535220</v>
      </c>
      <c r="P774" s="29">
        <v>173412</v>
      </c>
      <c r="Q774" s="29">
        <v>0</v>
      </c>
      <c r="R774" s="30">
        <v>92116</v>
      </c>
    </row>
    <row r="775" spans="1:18">
      <c r="A775" s="27"/>
      <c r="B775" s="28">
        <v>771</v>
      </c>
      <c r="C775" s="1">
        <f>30000000+INDEX(编号表!$B:$B,MATCH(G775,编号表!$A:$A,0))*100000+INDEX(编号表!$F:$F,MATCH(H775,编号表!$E:$E,0))*1000+INDEX(编号表!$D:$D,MATCH(F775,编号表!$C:$C,0))*10000+E775</f>
        <v>31564003</v>
      </c>
      <c r="D775" s="23" t="s">
        <v>836</v>
      </c>
      <c r="E775" s="23">
        <v>3</v>
      </c>
      <c r="F775" s="23" t="s">
        <v>738</v>
      </c>
      <c r="G775" s="23" t="s">
        <v>61</v>
      </c>
      <c r="H775" s="23" t="s">
        <v>144</v>
      </c>
      <c r="I775" s="23"/>
      <c r="J775" s="23" t="s">
        <v>65</v>
      </c>
      <c r="K775" s="23"/>
      <c r="L775" s="29">
        <v>0</v>
      </c>
      <c r="M775" s="29">
        <v>2</v>
      </c>
      <c r="N775" s="29"/>
      <c r="O775" s="29">
        <v>564508</v>
      </c>
      <c r="P775" s="29">
        <v>416607</v>
      </c>
      <c r="Q775" s="29">
        <v>0</v>
      </c>
      <c r="R775" s="30">
        <v>28343</v>
      </c>
    </row>
    <row r="776" spans="1:18">
      <c r="A776" s="27"/>
      <c r="B776" s="28">
        <v>772</v>
      </c>
      <c r="C776" s="1">
        <f>30000000+INDEX(编号表!$B:$B,MATCH(G776,编号表!$A:$A,0))*100000+INDEX(编号表!$F:$F,MATCH(H776,编号表!$E:$E,0))*1000+INDEX(编号表!$D:$D,MATCH(F776,编号表!$C:$C,0))*10000+E776</f>
        <v>31564004</v>
      </c>
      <c r="D776" s="23" t="s">
        <v>837</v>
      </c>
      <c r="E776" s="23">
        <v>4</v>
      </c>
      <c r="F776" s="23" t="s">
        <v>738</v>
      </c>
      <c r="G776" s="23" t="s">
        <v>61</v>
      </c>
      <c r="H776" s="23" t="s">
        <v>144</v>
      </c>
      <c r="I776" s="23"/>
      <c r="J776" s="23" t="s">
        <v>68</v>
      </c>
      <c r="K776" s="23"/>
      <c r="L776" s="29">
        <v>0</v>
      </c>
      <c r="M776" s="29">
        <v>-1</v>
      </c>
      <c r="N776" s="29"/>
      <c r="O776" s="29">
        <v>564508</v>
      </c>
      <c r="P776" s="29">
        <v>345479</v>
      </c>
      <c r="Q776" s="29">
        <v>0</v>
      </c>
      <c r="R776" s="30">
        <v>68496</v>
      </c>
    </row>
    <row r="777" spans="1:18">
      <c r="A777" s="27"/>
      <c r="B777" s="28">
        <v>773</v>
      </c>
      <c r="C777" s="1">
        <f>30000000+INDEX(编号表!$B:$B,MATCH(G777,编号表!$A:$A,0))*100000+INDEX(编号表!$F:$F,MATCH(H777,编号表!$E:$E,0))*1000+INDEX(编号表!$D:$D,MATCH(F777,编号表!$C:$C,0))*10000+E777</f>
        <v>31564005</v>
      </c>
      <c r="D777" s="23" t="s">
        <v>838</v>
      </c>
      <c r="E777" s="23">
        <v>5</v>
      </c>
      <c r="F777" s="23" t="s">
        <v>738</v>
      </c>
      <c r="G777" s="23" t="s">
        <v>61</v>
      </c>
      <c r="H777" s="23" t="s">
        <v>144</v>
      </c>
      <c r="I777" s="23"/>
      <c r="J777" s="23" t="s">
        <v>68</v>
      </c>
      <c r="K777" s="23"/>
      <c r="L777" s="29">
        <v>0</v>
      </c>
      <c r="M777" s="29">
        <v>4</v>
      </c>
      <c r="N777" s="29"/>
      <c r="O777" s="29">
        <v>583876</v>
      </c>
      <c r="P777" s="29">
        <v>430901</v>
      </c>
      <c r="Q777" s="29">
        <v>0</v>
      </c>
      <c r="R777" s="30">
        <v>122821</v>
      </c>
    </row>
    <row r="778" spans="1:18">
      <c r="A778" s="27"/>
      <c r="B778" s="28">
        <v>774</v>
      </c>
      <c r="C778" s="1">
        <f>30000000+INDEX(编号表!$B:$B,MATCH(G778,编号表!$A:$A,0))*100000+INDEX(编号表!$F:$F,MATCH(H778,编号表!$E:$E,0))*1000+INDEX(编号表!$D:$D,MATCH(F778,编号表!$C:$C,0))*10000+E778</f>
        <v>31564006</v>
      </c>
      <c r="D778" s="23" t="s">
        <v>839</v>
      </c>
      <c r="E778" s="23">
        <v>6</v>
      </c>
      <c r="F778" s="23" t="s">
        <v>738</v>
      </c>
      <c r="G778" s="23" t="s">
        <v>61</v>
      </c>
      <c r="H778" s="23" t="s">
        <v>144</v>
      </c>
      <c r="I778" s="23"/>
      <c r="J778" s="23" t="s">
        <v>71</v>
      </c>
      <c r="K778" s="23"/>
      <c r="L778" s="29">
        <v>0</v>
      </c>
      <c r="M778" s="29">
        <v>-1</v>
      </c>
      <c r="N778" s="29"/>
      <c r="O778" s="29">
        <v>583876</v>
      </c>
      <c r="P778" s="29">
        <v>147137</v>
      </c>
      <c r="Q778" s="29">
        <v>0</v>
      </c>
      <c r="R778" s="30">
        <v>198404</v>
      </c>
    </row>
    <row r="779" spans="1:18">
      <c r="A779" s="27"/>
      <c r="B779" s="28">
        <v>775</v>
      </c>
      <c r="C779" s="1">
        <f>30000000+INDEX(编号表!$B:$B,MATCH(G779,编号表!$A:$A,0))*100000+INDEX(编号表!$F:$F,MATCH(H779,编号表!$E:$E,0))*1000+INDEX(编号表!$D:$D,MATCH(F779,编号表!$C:$C,0))*10000+E779</f>
        <v>31564007</v>
      </c>
      <c r="D779" s="23" t="s">
        <v>840</v>
      </c>
      <c r="E779" s="23">
        <v>7</v>
      </c>
      <c r="F779" s="23" t="s">
        <v>738</v>
      </c>
      <c r="G779" s="23" t="s">
        <v>61</v>
      </c>
      <c r="H779" s="23" t="s">
        <v>144</v>
      </c>
      <c r="I779" s="23"/>
      <c r="J779" s="23" t="s">
        <v>71</v>
      </c>
      <c r="K779" s="23"/>
      <c r="L779" s="29">
        <v>0</v>
      </c>
      <c r="M779" s="29">
        <v>2</v>
      </c>
      <c r="N779" s="29"/>
      <c r="O779" s="29">
        <v>564508</v>
      </c>
      <c r="P779" s="29">
        <v>416607</v>
      </c>
      <c r="Q779" s="29">
        <v>0</v>
      </c>
      <c r="R779" s="30">
        <v>28343</v>
      </c>
    </row>
    <row r="780" spans="1:18">
      <c r="A780" s="27"/>
      <c r="B780" s="28">
        <v>776</v>
      </c>
      <c r="C780" s="1">
        <f>30000000+INDEX(编号表!$B:$B,MATCH(G780,编号表!$A:$A,0))*100000+INDEX(编号表!$F:$F,MATCH(H780,编号表!$E:$E,0))*1000+INDEX(编号表!$D:$D,MATCH(F780,编号表!$C:$C,0))*10000+E780</f>
        <v>31564008</v>
      </c>
      <c r="D780" s="23" t="s">
        <v>841</v>
      </c>
      <c r="E780" s="23">
        <v>8</v>
      </c>
      <c r="F780" s="23" t="s">
        <v>738</v>
      </c>
      <c r="G780" s="23" t="s">
        <v>61</v>
      </c>
      <c r="H780" s="23" t="s">
        <v>144</v>
      </c>
      <c r="I780" s="23"/>
      <c r="J780" s="23" t="s">
        <v>74</v>
      </c>
      <c r="K780" s="23"/>
      <c r="L780" s="29">
        <v>0</v>
      </c>
      <c r="M780" s="29">
        <v>-2</v>
      </c>
      <c r="N780" s="29"/>
      <c r="O780" s="29">
        <v>564508</v>
      </c>
      <c r="P780" s="29">
        <v>279432</v>
      </c>
      <c r="Q780" s="29">
        <v>0</v>
      </c>
      <c r="R780" s="30">
        <v>66134</v>
      </c>
    </row>
    <row r="781" spans="1:18">
      <c r="A781" s="27"/>
      <c r="B781" s="28">
        <v>777</v>
      </c>
      <c r="C781" s="1">
        <f>30000000+INDEX(编号表!$B:$B,MATCH(G781,编号表!$A:$A,0))*100000+INDEX(编号表!$F:$F,MATCH(H781,编号表!$E:$E,0))*1000+INDEX(编号表!$D:$D,MATCH(F781,编号表!$C:$C,0))*10000+E781</f>
        <v>31564009</v>
      </c>
      <c r="D781" s="23" t="s">
        <v>842</v>
      </c>
      <c r="E781" s="23">
        <v>9</v>
      </c>
      <c r="F781" s="23" t="s">
        <v>738</v>
      </c>
      <c r="G781" s="23" t="s">
        <v>61</v>
      </c>
      <c r="H781" s="23" t="s">
        <v>144</v>
      </c>
      <c r="I781" s="23"/>
      <c r="J781" s="23" t="s">
        <v>74</v>
      </c>
      <c r="K781" s="23"/>
      <c r="L781" s="29">
        <v>0</v>
      </c>
      <c r="M781" s="29">
        <v>1</v>
      </c>
      <c r="N781" s="29"/>
      <c r="O781" s="29">
        <v>535220</v>
      </c>
      <c r="P781" s="29">
        <v>173412</v>
      </c>
      <c r="Q781" s="29">
        <v>0</v>
      </c>
      <c r="R781" s="30">
        <v>92116</v>
      </c>
    </row>
    <row r="782" spans="1:18">
      <c r="A782" s="27"/>
      <c r="B782" s="28">
        <v>778</v>
      </c>
      <c r="C782" s="1">
        <f>30000000+INDEX(编号表!$B:$B,MATCH(G782,编号表!$A:$A,0))*100000+INDEX(编号表!$F:$F,MATCH(H782,编号表!$E:$E,0))*1000+INDEX(编号表!$D:$D,MATCH(F782,编号表!$C:$C,0))*10000+E782</f>
        <v>31464000</v>
      </c>
      <c r="D782" s="23" t="s">
        <v>843</v>
      </c>
      <c r="E782" s="23">
        <v>0</v>
      </c>
      <c r="F782" s="23" t="s">
        <v>738</v>
      </c>
      <c r="G782" s="23" t="s">
        <v>77</v>
      </c>
      <c r="H782" s="23" t="s">
        <v>144</v>
      </c>
      <c r="I782" s="23"/>
      <c r="J782" s="23"/>
      <c r="K782" s="23"/>
      <c r="L782" s="29">
        <v>0</v>
      </c>
      <c r="M782" s="29">
        <v>0</v>
      </c>
      <c r="N782" s="29"/>
      <c r="O782" s="29">
        <v>535220</v>
      </c>
      <c r="P782" s="29">
        <v>134876</v>
      </c>
      <c r="Q782" s="29">
        <v>0</v>
      </c>
      <c r="R782" s="30">
        <v>108650</v>
      </c>
    </row>
    <row r="783" spans="1:18">
      <c r="A783" s="27"/>
      <c r="B783" s="28">
        <v>779</v>
      </c>
      <c r="C783" s="1">
        <f>30000000+INDEX(编号表!$B:$B,MATCH(G783,编号表!$A:$A,0))*100000+INDEX(编号表!$F:$F,MATCH(H783,编号表!$E:$E,0))*1000+INDEX(编号表!$D:$D,MATCH(F783,编号表!$C:$C,0))*10000+E783</f>
        <v>31464001</v>
      </c>
      <c r="D783" s="23" t="s">
        <v>844</v>
      </c>
      <c r="E783" s="23">
        <v>1</v>
      </c>
      <c r="F783" s="23" t="s">
        <v>738</v>
      </c>
      <c r="G783" s="23" t="s">
        <v>77</v>
      </c>
      <c r="H783" s="23" t="s">
        <v>144</v>
      </c>
      <c r="I783" s="23"/>
      <c r="J783" s="23"/>
      <c r="K783" s="23"/>
      <c r="L783" s="29">
        <v>0</v>
      </c>
      <c r="M783" s="29">
        <v>0</v>
      </c>
      <c r="N783" s="29"/>
      <c r="O783" s="29">
        <v>603244</v>
      </c>
      <c r="P783" s="29">
        <v>445195</v>
      </c>
      <c r="Q783" s="29">
        <v>0</v>
      </c>
      <c r="R783" s="30">
        <v>37791</v>
      </c>
    </row>
    <row r="784" spans="1:18">
      <c r="A784" s="27"/>
      <c r="B784" s="28">
        <v>780</v>
      </c>
      <c r="C784" s="1">
        <f>30000000+INDEX(编号表!$B:$B,MATCH(G784,编号表!$A:$A,0))*100000+INDEX(编号表!$F:$F,MATCH(H784,编号表!$E:$E,0))*1000+INDEX(编号表!$D:$D,MATCH(F784,编号表!$C:$C,0))*10000+E784</f>
        <v>31464002</v>
      </c>
      <c r="D784" s="23" t="s">
        <v>845</v>
      </c>
      <c r="E784" s="23">
        <v>2</v>
      </c>
      <c r="F784" s="23" t="s">
        <v>738</v>
      </c>
      <c r="G784" s="23" t="s">
        <v>77</v>
      </c>
      <c r="H784" s="23" t="s">
        <v>144</v>
      </c>
      <c r="I784" s="23"/>
      <c r="J784" s="23"/>
      <c r="K784" s="23"/>
      <c r="L784" s="29">
        <v>0</v>
      </c>
      <c r="M784" s="29">
        <v>1</v>
      </c>
      <c r="N784" s="29"/>
      <c r="O784" s="29">
        <v>583876</v>
      </c>
      <c r="P784" s="29">
        <v>147137</v>
      </c>
      <c r="Q784" s="29">
        <v>0</v>
      </c>
      <c r="R784" s="30">
        <v>198404</v>
      </c>
    </row>
    <row r="785" spans="1:18">
      <c r="A785" s="27"/>
      <c r="B785" s="28">
        <v>781</v>
      </c>
      <c r="C785" s="1">
        <f>30000000+INDEX(编号表!$B:$B,MATCH(G785,编号表!$A:$A,0))*100000+INDEX(编号表!$F:$F,MATCH(H785,编号表!$E:$E,0))*1000+INDEX(编号表!$D:$D,MATCH(F785,编号表!$C:$C,0))*10000+E785</f>
        <v>31464003</v>
      </c>
      <c r="D785" s="23" t="s">
        <v>846</v>
      </c>
      <c r="E785" s="23">
        <v>3</v>
      </c>
      <c r="F785" s="23" t="s">
        <v>738</v>
      </c>
      <c r="G785" s="23" t="s">
        <v>77</v>
      </c>
      <c r="H785" s="23" t="s">
        <v>144</v>
      </c>
      <c r="I785" s="23"/>
      <c r="J785" s="23"/>
      <c r="K785" s="23"/>
      <c r="L785" s="29">
        <v>0</v>
      </c>
      <c r="M785" s="29">
        <v>4</v>
      </c>
      <c r="N785" s="29"/>
      <c r="O785" s="29">
        <v>583876</v>
      </c>
      <c r="P785" s="29">
        <v>430901</v>
      </c>
      <c r="Q785" s="29">
        <v>0</v>
      </c>
      <c r="R785" s="30">
        <v>122821</v>
      </c>
    </row>
    <row r="786" spans="1:18">
      <c r="A786" s="27"/>
      <c r="B786" s="28">
        <v>782</v>
      </c>
      <c r="C786" s="1">
        <f>30000000+INDEX(编号表!$B:$B,MATCH(G786,编号表!$A:$A,0))*100000+INDEX(编号表!$F:$F,MATCH(H786,编号表!$E:$E,0))*1000+INDEX(编号表!$D:$D,MATCH(F786,编号表!$C:$C,0))*10000+E786</f>
        <v>31664000</v>
      </c>
      <c r="D786" s="23" t="s">
        <v>847</v>
      </c>
      <c r="E786" s="23">
        <v>0</v>
      </c>
      <c r="F786" s="23" t="s">
        <v>738</v>
      </c>
      <c r="G786" s="23" t="s">
        <v>82</v>
      </c>
      <c r="H786" s="23" t="s">
        <v>144</v>
      </c>
      <c r="I786" s="23"/>
      <c r="J786" s="23"/>
      <c r="K786" s="23"/>
      <c r="L786" s="29">
        <v>7</v>
      </c>
      <c r="M786" s="29">
        <v>0</v>
      </c>
      <c r="N786" s="29"/>
      <c r="O786" s="29">
        <v>0</v>
      </c>
      <c r="P786" s="29">
        <v>0</v>
      </c>
      <c r="Q786" s="29">
        <v>0</v>
      </c>
      <c r="R786" s="30">
        <v>56687</v>
      </c>
    </row>
    <row r="787" spans="1:18">
      <c r="A787" s="27"/>
      <c r="B787" s="28">
        <v>783</v>
      </c>
      <c r="C787" s="1">
        <f>30000000+INDEX(编号表!$B:$B,MATCH(G787,编号表!$A:$A,0))*100000+INDEX(编号表!$F:$F,MATCH(H787,编号表!$E:$E,0))*1000+INDEX(编号表!$D:$D,MATCH(F787,编号表!$C:$C,0))*10000+E787</f>
        <v>31664001</v>
      </c>
      <c r="D787" s="23" t="s">
        <v>848</v>
      </c>
      <c r="E787" s="23">
        <v>1</v>
      </c>
      <c r="F787" s="23" t="s">
        <v>738</v>
      </c>
      <c r="G787" s="23" t="s">
        <v>82</v>
      </c>
      <c r="H787" s="23" t="s">
        <v>144</v>
      </c>
      <c r="I787" s="23"/>
      <c r="J787" s="23"/>
      <c r="K787" s="23"/>
      <c r="L787" s="29">
        <v>8</v>
      </c>
      <c r="M787" s="29">
        <v>0</v>
      </c>
      <c r="N787" s="29"/>
      <c r="O787" s="29">
        <v>0</v>
      </c>
      <c r="P787" s="29">
        <v>0</v>
      </c>
      <c r="Q787" s="29">
        <v>0</v>
      </c>
      <c r="R787" s="30">
        <v>103926</v>
      </c>
    </row>
    <row r="788" spans="1:18">
      <c r="A788" s="27"/>
      <c r="B788" s="28">
        <v>784</v>
      </c>
      <c r="C788" s="1">
        <f>30000000+INDEX(编号表!$B:$B,MATCH(G788,编号表!$A:$A,0))*100000+INDEX(编号表!$F:$F,MATCH(H788,编号表!$E:$E,0))*1000+INDEX(编号表!$D:$D,MATCH(F788,编号表!$C:$C,0))*10000+E788</f>
        <v>31664002</v>
      </c>
      <c r="D788" s="23" t="s">
        <v>849</v>
      </c>
      <c r="E788" s="23">
        <v>2</v>
      </c>
      <c r="F788" s="23" t="s">
        <v>738</v>
      </c>
      <c r="G788" s="23" t="s">
        <v>82</v>
      </c>
      <c r="H788" s="23" t="s">
        <v>144</v>
      </c>
      <c r="I788" s="23"/>
      <c r="J788" s="23"/>
      <c r="K788" s="23"/>
      <c r="L788" s="29">
        <v>9</v>
      </c>
      <c r="M788" s="29">
        <v>0</v>
      </c>
      <c r="N788" s="29"/>
      <c r="O788" s="29">
        <v>0</v>
      </c>
      <c r="P788" s="29">
        <v>0</v>
      </c>
      <c r="Q788" s="29">
        <v>0</v>
      </c>
      <c r="R788" s="30">
        <v>160613</v>
      </c>
    </row>
    <row r="789" spans="1:18">
      <c r="A789" s="27"/>
      <c r="B789" s="28">
        <v>785</v>
      </c>
      <c r="C789" s="1">
        <f>30000000+INDEX(编号表!$B:$B,MATCH(G789,编号表!$A:$A,0))*100000+INDEX(编号表!$F:$F,MATCH(H789,编号表!$E:$E,0))*1000+INDEX(编号表!$D:$D,MATCH(F789,编号表!$C:$C,0))*10000+E789</f>
        <v>31265000</v>
      </c>
      <c r="D789" s="23" t="s">
        <v>850</v>
      </c>
      <c r="E789" s="23">
        <v>0</v>
      </c>
      <c r="F789" s="23" t="s">
        <v>738</v>
      </c>
      <c r="G789" s="23" t="s">
        <v>42</v>
      </c>
      <c r="H789" s="23" t="s">
        <v>173</v>
      </c>
      <c r="I789" s="23"/>
      <c r="J789" s="23"/>
      <c r="K789" s="23"/>
      <c r="L789" s="29">
        <v>0</v>
      </c>
      <c r="M789" s="29">
        <v>0</v>
      </c>
      <c r="N789" s="29"/>
      <c r="O789" s="29">
        <v>1700611</v>
      </c>
      <c r="P789" s="29">
        <v>710856</v>
      </c>
      <c r="Q789" s="29">
        <v>8503056</v>
      </c>
      <c r="R789" s="30">
        <v>153055</v>
      </c>
    </row>
    <row r="790" spans="1:18">
      <c r="A790" s="27"/>
      <c r="B790" s="28">
        <v>786</v>
      </c>
      <c r="C790" s="1">
        <f>30000000+INDEX(编号表!$B:$B,MATCH(G790,编号表!$A:$A,0))*100000+INDEX(编号表!$F:$F,MATCH(H790,编号表!$E:$E,0))*1000+INDEX(编号表!$D:$D,MATCH(F790,编号表!$C:$C,0))*10000+E790</f>
        <v>31365000</v>
      </c>
      <c r="D790" s="23" t="s">
        <v>851</v>
      </c>
      <c r="E790" s="23">
        <v>0</v>
      </c>
      <c r="F790" s="23" t="s">
        <v>738</v>
      </c>
      <c r="G790" s="23" t="s">
        <v>45</v>
      </c>
      <c r="H790" s="23" t="s">
        <v>173</v>
      </c>
      <c r="I790" s="23" t="s">
        <v>46</v>
      </c>
      <c r="J790" s="23"/>
      <c r="K790" s="23"/>
      <c r="L790" s="29">
        <v>0</v>
      </c>
      <c r="M790" s="29">
        <v>-2</v>
      </c>
      <c r="N790" s="29"/>
      <c r="O790" s="29">
        <v>1016115</v>
      </c>
      <c r="P790" s="29">
        <v>424737</v>
      </c>
      <c r="Q790" s="29">
        <v>0</v>
      </c>
      <c r="R790" s="30">
        <v>119042</v>
      </c>
    </row>
    <row r="791" spans="1:18">
      <c r="A791" s="27"/>
      <c r="B791" s="28">
        <v>787</v>
      </c>
      <c r="C791" s="1">
        <f>30000000+INDEX(编号表!$B:$B,MATCH(G791,编号表!$A:$A,0))*100000+INDEX(编号表!$F:$F,MATCH(H791,编号表!$E:$E,0))*1000+INDEX(编号表!$D:$D,MATCH(F791,编号表!$C:$C,0))*10000+E791</f>
        <v>31365001</v>
      </c>
      <c r="D791" s="23" t="s">
        <v>852</v>
      </c>
      <c r="E791" s="23">
        <v>1</v>
      </c>
      <c r="F791" s="23" t="s">
        <v>738</v>
      </c>
      <c r="G791" s="23" t="s">
        <v>45</v>
      </c>
      <c r="H791" s="23" t="s">
        <v>173</v>
      </c>
      <c r="I791" s="23" t="s">
        <v>46</v>
      </c>
      <c r="J791" s="23"/>
      <c r="K791" s="23"/>
      <c r="L791" s="29">
        <v>0</v>
      </c>
      <c r="M791" s="29">
        <v>3</v>
      </c>
      <c r="N791" s="29"/>
      <c r="O791" s="29">
        <v>1085840</v>
      </c>
      <c r="P791" s="29">
        <v>561163</v>
      </c>
      <c r="Q791" s="29">
        <v>0</v>
      </c>
      <c r="R791" s="30">
        <v>153055</v>
      </c>
    </row>
    <row r="792" spans="1:18">
      <c r="A792" s="27"/>
      <c r="B792" s="28">
        <v>788</v>
      </c>
      <c r="C792" s="1">
        <f>30000000+INDEX(编号表!$B:$B,MATCH(G792,编号表!$A:$A,0))*100000+INDEX(编号表!$F:$F,MATCH(H792,编号表!$E:$E,0))*1000+INDEX(编号表!$D:$D,MATCH(F792,编号表!$C:$C,0))*10000+E792</f>
        <v>31365002</v>
      </c>
      <c r="D792" s="23" t="s">
        <v>853</v>
      </c>
      <c r="E792" s="23">
        <v>2</v>
      </c>
      <c r="F792" s="23" t="s">
        <v>738</v>
      </c>
      <c r="G792" s="23" t="s">
        <v>45</v>
      </c>
      <c r="H792" s="23" t="s">
        <v>173</v>
      </c>
      <c r="I792" s="23" t="s">
        <v>49</v>
      </c>
      <c r="J792" s="23"/>
      <c r="K792" s="23"/>
      <c r="L792" s="29">
        <v>0</v>
      </c>
      <c r="M792" s="29">
        <v>-1</v>
      </c>
      <c r="N792" s="29"/>
      <c r="O792" s="29">
        <v>963396</v>
      </c>
      <c r="P792" s="29">
        <v>263586</v>
      </c>
      <c r="Q792" s="29">
        <v>0</v>
      </c>
      <c r="R792" s="30">
        <v>165809</v>
      </c>
    </row>
    <row r="793" spans="1:18">
      <c r="A793" s="27"/>
      <c r="B793" s="28">
        <v>789</v>
      </c>
      <c r="C793" s="1">
        <f>30000000+INDEX(编号表!$B:$B,MATCH(G793,编号表!$A:$A,0))*100000+INDEX(编号表!$F:$F,MATCH(H793,编号表!$E:$E,0))*1000+INDEX(编号表!$D:$D,MATCH(F793,编号表!$C:$C,0))*10000+E793</f>
        <v>31365003</v>
      </c>
      <c r="D793" s="23" t="s">
        <v>854</v>
      </c>
      <c r="E793" s="23">
        <v>3</v>
      </c>
      <c r="F793" s="23" t="s">
        <v>738</v>
      </c>
      <c r="G793" s="23" t="s">
        <v>45</v>
      </c>
      <c r="H793" s="23" t="s">
        <v>173</v>
      </c>
      <c r="I793" s="23" t="s">
        <v>49</v>
      </c>
      <c r="J793" s="23"/>
      <c r="K793" s="23"/>
      <c r="L793" s="29">
        <v>0</v>
      </c>
      <c r="M793" s="29">
        <v>2</v>
      </c>
      <c r="N793" s="29"/>
      <c r="O793" s="29">
        <v>1016115</v>
      </c>
      <c r="P793" s="29">
        <v>633243</v>
      </c>
      <c r="Q793" s="29">
        <v>0</v>
      </c>
      <c r="R793" s="30">
        <v>51018</v>
      </c>
    </row>
    <row r="794" spans="1:18">
      <c r="A794" s="27"/>
      <c r="B794" s="28">
        <v>790</v>
      </c>
      <c r="C794" s="1">
        <f>30000000+INDEX(编号表!$B:$B,MATCH(G794,编号表!$A:$A,0))*100000+INDEX(编号表!$F:$F,MATCH(H794,编号表!$E:$E,0))*1000+INDEX(编号表!$D:$D,MATCH(F794,编号表!$C:$C,0))*10000+E794</f>
        <v>31365004</v>
      </c>
      <c r="D794" s="23" t="s">
        <v>855</v>
      </c>
      <c r="E794" s="23">
        <v>4</v>
      </c>
      <c r="F794" s="23" t="s">
        <v>738</v>
      </c>
      <c r="G794" s="23" t="s">
        <v>45</v>
      </c>
      <c r="H794" s="23" t="s">
        <v>173</v>
      </c>
      <c r="I794" s="23" t="s">
        <v>52</v>
      </c>
      <c r="J794" s="23"/>
      <c r="K794" s="23"/>
      <c r="L794" s="29">
        <v>0</v>
      </c>
      <c r="M794" s="29">
        <v>-1</v>
      </c>
      <c r="N794" s="29"/>
      <c r="O794" s="29">
        <v>1016115</v>
      </c>
      <c r="P794" s="29">
        <v>525129</v>
      </c>
      <c r="Q794" s="29">
        <v>0</v>
      </c>
      <c r="R794" s="30">
        <v>123294</v>
      </c>
    </row>
    <row r="795" spans="1:18">
      <c r="A795" s="27"/>
      <c r="B795" s="28">
        <v>791</v>
      </c>
      <c r="C795" s="1">
        <f>30000000+INDEX(编号表!$B:$B,MATCH(G795,编号表!$A:$A,0))*100000+INDEX(编号表!$F:$F,MATCH(H795,编号表!$E:$E,0))*1000+INDEX(编号表!$D:$D,MATCH(F795,编号表!$C:$C,0))*10000+E795</f>
        <v>31365005</v>
      </c>
      <c r="D795" s="23" t="inlineStr">
        <is>
          <t xml:space="preserve">万载沸泉苔·神株</t>
        </is>
      </c>
      <c r="E795" s="23">
        <v>5</v>
      </c>
      <c r="F795" s="23" t="s">
        <v>738</v>
      </c>
      <c r="G795" s="23" t="s">
        <v>45</v>
      </c>
      <c r="H795" s="23" t="s">
        <v>173</v>
      </c>
      <c r="I795" s="23" t="s">
        <v>52</v>
      </c>
      <c r="J795" s="23"/>
      <c r="K795" s="23"/>
      <c r="L795" s="29">
        <v>0</v>
      </c>
      <c r="M795" s="29">
        <v>4</v>
      </c>
      <c r="N795" s="29"/>
      <c r="O795" s="29">
        <v>1050977</v>
      </c>
      <c r="P795" s="29">
        <v>654969</v>
      </c>
      <c r="Q795" s="29">
        <v>0</v>
      </c>
      <c r="R795" s="30">
        <v>221079</v>
      </c>
    </row>
    <row r="796" spans="1:18">
      <c r="A796" s="27"/>
      <c r="B796" s="28">
        <v>792</v>
      </c>
      <c r="C796" s="1">
        <f>30000000+INDEX(编号表!$B:$B,MATCH(G796,编号表!$A:$A,0))*100000+INDEX(编号表!$F:$F,MATCH(H796,编号表!$E:$E,0))*1000+INDEX(编号表!$D:$D,MATCH(F796,编号表!$C:$C,0))*10000+E796</f>
        <v>31365006</v>
      </c>
      <c r="D796" s="23" t="inlineStr">
        <is>
          <t xml:space="preserve">万载丹露花·神株</t>
        </is>
      </c>
      <c r="E796" s="23">
        <v>6</v>
      </c>
      <c r="F796" s="23" t="s">
        <v>738</v>
      </c>
      <c r="G796" s="23" t="s">
        <v>45</v>
      </c>
      <c r="H796" s="23" t="s">
        <v>173</v>
      </c>
      <c r="I796" s="23" t="s">
        <v>55</v>
      </c>
      <c r="J796" s="23"/>
      <c r="K796" s="23"/>
      <c r="L796" s="29">
        <v>0</v>
      </c>
      <c r="M796" s="29">
        <v>-1</v>
      </c>
      <c r="N796" s="29"/>
      <c r="O796" s="29">
        <v>1050977</v>
      </c>
      <c r="P796" s="29">
        <v>223648</v>
      </c>
      <c r="Q796" s="29">
        <v>0</v>
      </c>
      <c r="R796" s="30">
        <v>357128</v>
      </c>
    </row>
    <row r="797" spans="1:18">
      <c r="A797" s="27"/>
      <c r="B797" s="28">
        <v>793</v>
      </c>
      <c r="C797" s="1">
        <f>30000000+INDEX(编号表!$B:$B,MATCH(G797,编号表!$A:$A,0))*100000+INDEX(编号表!$F:$F,MATCH(H797,编号表!$E:$E,0))*1000+INDEX(编号表!$D:$D,MATCH(F797,编号表!$C:$C,0))*10000+E797</f>
        <v>31365007</v>
      </c>
      <c r="D797" s="23" t="s">
        <v>858</v>
      </c>
      <c r="E797" s="23">
        <v>7</v>
      </c>
      <c r="F797" s="23" t="s">
        <v>738</v>
      </c>
      <c r="G797" s="23" t="s">
        <v>45</v>
      </c>
      <c r="H797" s="23" t="s">
        <v>173</v>
      </c>
      <c r="I797" s="23" t="s">
        <v>55</v>
      </c>
      <c r="J797" s="23"/>
      <c r="K797" s="23"/>
      <c r="L797" s="29">
        <v>0</v>
      </c>
      <c r="M797" s="29">
        <v>2</v>
      </c>
      <c r="N797" s="29"/>
      <c r="O797" s="29">
        <v>1016115</v>
      </c>
      <c r="P797" s="29">
        <v>633243</v>
      </c>
      <c r="Q797" s="29">
        <v>0</v>
      </c>
      <c r="R797" s="30">
        <v>51018</v>
      </c>
    </row>
    <row r="798" spans="1:18">
      <c r="A798" s="27"/>
      <c r="B798" s="28">
        <v>794</v>
      </c>
      <c r="C798" s="1">
        <f>30000000+INDEX(编号表!$B:$B,MATCH(G798,编号表!$A:$A,0))*100000+INDEX(编号表!$F:$F,MATCH(H798,编号表!$E:$E,0))*1000+INDEX(编号表!$D:$D,MATCH(F798,编号表!$C:$C,0))*10000+E798</f>
        <v>31365008</v>
      </c>
      <c r="D798" s="23" t="s">
        <v>859</v>
      </c>
      <c r="E798" s="23">
        <v>8</v>
      </c>
      <c r="F798" s="23" t="s">
        <v>738</v>
      </c>
      <c r="G798" s="23" t="s">
        <v>45</v>
      </c>
      <c r="H798" s="23" t="s">
        <v>173</v>
      </c>
      <c r="I798" s="23" t="s">
        <v>58</v>
      </c>
      <c r="J798" s="23"/>
      <c r="K798" s="23"/>
      <c r="L798" s="29">
        <v>0</v>
      </c>
      <c r="M798" s="29">
        <v>-2</v>
      </c>
      <c r="N798" s="29"/>
      <c r="O798" s="29">
        <v>1016115</v>
      </c>
      <c r="P798" s="29">
        <v>424737</v>
      </c>
      <c r="Q798" s="29">
        <v>0</v>
      </c>
      <c r="R798" s="30">
        <v>119042</v>
      </c>
    </row>
    <row r="799" spans="1:18">
      <c r="A799" s="27"/>
      <c r="B799" s="28">
        <v>795</v>
      </c>
      <c r="C799" s="1">
        <f>30000000+INDEX(编号表!$B:$B,MATCH(G799,编号表!$A:$A,0))*100000+INDEX(编号表!$F:$F,MATCH(H799,编号表!$E:$E,0))*1000+INDEX(编号表!$D:$D,MATCH(F799,编号表!$C:$C,0))*10000+E799</f>
        <v>31365009</v>
      </c>
      <c r="D799" s="23" t="s">
        <v>860</v>
      </c>
      <c r="E799" s="23">
        <v>9</v>
      </c>
      <c r="F799" s="23" t="s">
        <v>738</v>
      </c>
      <c r="G799" s="23" t="s">
        <v>45</v>
      </c>
      <c r="H799" s="23" t="s">
        <v>173</v>
      </c>
      <c r="I799" s="23" t="s">
        <v>58</v>
      </c>
      <c r="J799" s="23"/>
      <c r="K799" s="23"/>
      <c r="L799" s="29">
        <v>0</v>
      </c>
      <c r="M799" s="29">
        <v>1</v>
      </c>
      <c r="N799" s="29"/>
      <c r="O799" s="29">
        <v>963396</v>
      </c>
      <c r="P799" s="29">
        <v>263586</v>
      </c>
      <c r="Q799" s="29">
        <v>0</v>
      </c>
      <c r="R799" s="30">
        <v>165809</v>
      </c>
    </row>
    <row r="800" spans="1:18">
      <c r="A800" s="27"/>
      <c r="B800" s="28">
        <v>796</v>
      </c>
      <c r="C800" s="1">
        <f>30000000+INDEX(编号表!$B:$B,MATCH(G800,编号表!$A:$A,0))*100000+INDEX(编号表!$F:$F,MATCH(H800,编号表!$E:$E,0))*1000+INDEX(编号表!$D:$D,MATCH(F800,编号表!$C:$C,0))*10000+E800</f>
        <v>31565000</v>
      </c>
      <c r="D800" s="23" t="inlineStr">
        <is>
          <t xml:space="preserve">万载霜辛草·神株</t>
        </is>
      </c>
      <c r="E800" s="23">
        <v>0</v>
      </c>
      <c r="F800" s="23" t="s">
        <v>738</v>
      </c>
      <c r="G800" s="23" t="s">
        <v>61</v>
      </c>
      <c r="H800" s="23" t="s">
        <v>173</v>
      </c>
      <c r="I800" s="23"/>
      <c r="J800" s="23" t="s">
        <v>62</v>
      </c>
      <c r="K800" s="23"/>
      <c r="L800" s="29">
        <v>0</v>
      </c>
      <c r="M800" s="29">
        <v>-2</v>
      </c>
      <c r="N800" s="29"/>
      <c r="O800" s="29">
        <v>1016115</v>
      </c>
      <c r="P800" s="29">
        <v>424737</v>
      </c>
      <c r="Q800" s="29">
        <v>0</v>
      </c>
      <c r="R800" s="30">
        <v>119042</v>
      </c>
    </row>
    <row r="801" spans="1:18">
      <c r="A801" s="27"/>
      <c r="B801" s="28">
        <v>797</v>
      </c>
      <c r="C801" s="1">
        <f>30000000+INDEX(编号表!$B:$B,MATCH(G801,编号表!$A:$A,0))*100000+INDEX(编号表!$F:$F,MATCH(H801,编号表!$E:$E,0))*1000+INDEX(编号表!$D:$D,MATCH(F801,编号表!$C:$C,0))*10000+E801</f>
        <v>31565001</v>
      </c>
      <c r="D801" s="23" t="s">
        <v>862</v>
      </c>
      <c r="E801" s="23">
        <v>1</v>
      </c>
      <c r="F801" s="23" t="s">
        <v>738</v>
      </c>
      <c r="G801" s="23" t="s">
        <v>61</v>
      </c>
      <c r="H801" s="23" t="s">
        <v>173</v>
      </c>
      <c r="I801" s="23"/>
      <c r="J801" s="23" t="s">
        <v>62</v>
      </c>
      <c r="K801" s="23"/>
      <c r="L801" s="29">
        <v>0</v>
      </c>
      <c r="M801" s="29">
        <v>3</v>
      </c>
      <c r="N801" s="29"/>
      <c r="O801" s="29">
        <v>1085840</v>
      </c>
      <c r="P801" s="29">
        <v>561163</v>
      </c>
      <c r="Q801" s="29">
        <v>0</v>
      </c>
      <c r="R801" s="30">
        <v>153055</v>
      </c>
    </row>
    <row r="802" spans="1:18">
      <c r="A802" s="27"/>
      <c r="B802" s="28">
        <v>798</v>
      </c>
      <c r="C802" s="1">
        <f>30000000+INDEX(编号表!$B:$B,MATCH(G802,编号表!$A:$A,0))*100000+INDEX(编号表!$F:$F,MATCH(H802,编号表!$E:$E,0))*1000+INDEX(编号表!$D:$D,MATCH(F802,编号表!$C:$C,0))*10000+E802</f>
        <v>31565002</v>
      </c>
      <c r="D802" s="23" t="s">
        <v>863</v>
      </c>
      <c r="E802" s="23">
        <v>2</v>
      </c>
      <c r="F802" s="23" t="s">
        <v>738</v>
      </c>
      <c r="G802" s="23" t="s">
        <v>61</v>
      </c>
      <c r="H802" s="23" t="s">
        <v>173</v>
      </c>
      <c r="I802" s="23"/>
      <c r="J802" s="23" t="s">
        <v>65</v>
      </c>
      <c r="K802" s="23"/>
      <c r="L802" s="29">
        <v>0</v>
      </c>
      <c r="M802" s="29">
        <v>-1</v>
      </c>
      <c r="N802" s="29"/>
      <c r="O802" s="29">
        <v>963396</v>
      </c>
      <c r="P802" s="29">
        <v>263586</v>
      </c>
      <c r="Q802" s="29">
        <v>0</v>
      </c>
      <c r="R802" s="30">
        <v>165809</v>
      </c>
    </row>
    <row r="803" spans="1:18">
      <c r="A803" s="27"/>
      <c r="B803" s="28">
        <v>799</v>
      </c>
      <c r="C803" s="1">
        <f>30000000+INDEX(编号表!$B:$B,MATCH(G803,编号表!$A:$A,0))*100000+INDEX(编号表!$F:$F,MATCH(H803,编号表!$E:$E,0))*1000+INDEX(编号表!$D:$D,MATCH(F803,编号表!$C:$C,0))*10000+E803</f>
        <v>31565003</v>
      </c>
      <c r="D803" s="23" t="s">
        <v>864</v>
      </c>
      <c r="E803" s="23">
        <v>3</v>
      </c>
      <c r="F803" s="23" t="s">
        <v>738</v>
      </c>
      <c r="G803" s="23" t="s">
        <v>61</v>
      </c>
      <c r="H803" s="23" t="s">
        <v>173</v>
      </c>
      <c r="I803" s="23"/>
      <c r="J803" s="23" t="s">
        <v>65</v>
      </c>
      <c r="K803" s="23"/>
      <c r="L803" s="29">
        <v>0</v>
      </c>
      <c r="M803" s="29">
        <v>2</v>
      </c>
      <c r="N803" s="29"/>
      <c r="O803" s="29">
        <v>1016115</v>
      </c>
      <c r="P803" s="29">
        <v>633243</v>
      </c>
      <c r="Q803" s="29">
        <v>0</v>
      </c>
      <c r="R803" s="30">
        <v>51018</v>
      </c>
    </row>
    <row r="804" spans="1:18">
      <c r="A804" s="27"/>
      <c r="B804" s="28">
        <v>800</v>
      </c>
      <c r="C804" s="1">
        <f>30000000+INDEX(编号表!$B:$B,MATCH(G804,编号表!$A:$A,0))*100000+INDEX(编号表!$F:$F,MATCH(H804,编号表!$E:$E,0))*1000+INDEX(编号表!$D:$D,MATCH(F804,编号表!$C:$C,0))*10000+E804</f>
        <v>31565004</v>
      </c>
      <c r="D804" s="23" t="s">
        <v>865</v>
      </c>
      <c r="E804" s="23">
        <v>4</v>
      </c>
      <c r="F804" s="23" t="s">
        <v>738</v>
      </c>
      <c r="G804" s="23" t="s">
        <v>61</v>
      </c>
      <c r="H804" s="23" t="s">
        <v>173</v>
      </c>
      <c r="I804" s="23"/>
      <c r="J804" s="23" t="s">
        <v>68</v>
      </c>
      <c r="K804" s="23"/>
      <c r="L804" s="29">
        <v>0</v>
      </c>
      <c r="M804" s="29">
        <v>-1</v>
      </c>
      <c r="N804" s="29"/>
      <c r="O804" s="29">
        <v>1016115</v>
      </c>
      <c r="P804" s="29">
        <v>525129</v>
      </c>
      <c r="Q804" s="29">
        <v>0</v>
      </c>
      <c r="R804" s="30">
        <v>123294</v>
      </c>
    </row>
    <row r="805" spans="1:18">
      <c r="A805" s="27"/>
      <c r="B805" s="28">
        <v>801</v>
      </c>
      <c r="C805" s="1">
        <f>30000000+INDEX(编号表!$B:$B,MATCH(G805,编号表!$A:$A,0))*100000+INDEX(编号表!$F:$F,MATCH(H805,编号表!$E:$E,0))*1000+INDEX(编号表!$D:$D,MATCH(F805,编号表!$C:$C,0))*10000+E805</f>
        <v>31565005</v>
      </c>
      <c r="D805" s="23" t="s">
        <v>866</v>
      </c>
      <c r="E805" s="23">
        <v>5</v>
      </c>
      <c r="F805" s="23" t="s">
        <v>738</v>
      </c>
      <c r="G805" s="23" t="s">
        <v>61</v>
      </c>
      <c r="H805" s="23" t="s">
        <v>173</v>
      </c>
      <c r="I805" s="23"/>
      <c r="J805" s="23" t="s">
        <v>68</v>
      </c>
      <c r="K805" s="23"/>
      <c r="L805" s="29">
        <v>0</v>
      </c>
      <c r="M805" s="29">
        <v>4</v>
      </c>
      <c r="N805" s="29"/>
      <c r="O805" s="29">
        <v>1050977</v>
      </c>
      <c r="P805" s="29">
        <v>654969</v>
      </c>
      <c r="Q805" s="29">
        <v>0</v>
      </c>
      <c r="R805" s="30">
        <v>221079</v>
      </c>
    </row>
    <row r="806" spans="1:18">
      <c r="A806" s="27"/>
      <c r="B806" s="28">
        <v>802</v>
      </c>
      <c r="C806" s="1">
        <f>30000000+INDEX(编号表!$B:$B,MATCH(G806,编号表!$A:$A,0))*100000+INDEX(编号表!$F:$F,MATCH(H806,编号表!$E:$E,0))*1000+INDEX(编号表!$D:$D,MATCH(F806,编号表!$C:$C,0))*10000+E806</f>
        <v>31565006</v>
      </c>
      <c r="D806" s="23" t="s">
        <v>867</v>
      </c>
      <c r="E806" s="23">
        <v>6</v>
      </c>
      <c r="F806" s="23" t="s">
        <v>738</v>
      </c>
      <c r="G806" s="23" t="s">
        <v>61</v>
      </c>
      <c r="H806" s="23" t="s">
        <v>173</v>
      </c>
      <c r="I806" s="23"/>
      <c r="J806" s="23" t="s">
        <v>71</v>
      </c>
      <c r="K806" s="23"/>
      <c r="L806" s="29">
        <v>0</v>
      </c>
      <c r="M806" s="29">
        <v>-1</v>
      </c>
      <c r="N806" s="29"/>
      <c r="O806" s="29">
        <v>1050977</v>
      </c>
      <c r="P806" s="29">
        <v>223648</v>
      </c>
      <c r="Q806" s="29">
        <v>0</v>
      </c>
      <c r="R806" s="30">
        <v>357128</v>
      </c>
    </row>
    <row r="807" spans="1:18">
      <c r="A807" s="27"/>
      <c r="B807" s="28">
        <v>803</v>
      </c>
      <c r="C807" s="1">
        <f>30000000+INDEX(编号表!$B:$B,MATCH(G807,编号表!$A:$A,0))*100000+INDEX(编号表!$F:$F,MATCH(H807,编号表!$E:$E,0))*1000+INDEX(编号表!$D:$D,MATCH(F807,编号表!$C:$C,0))*10000+E807</f>
        <v>31565007</v>
      </c>
      <c r="D807" s="23" t="s">
        <v>868</v>
      </c>
      <c r="E807" s="23">
        <v>7</v>
      </c>
      <c r="F807" s="23" t="s">
        <v>738</v>
      </c>
      <c r="G807" s="23" t="s">
        <v>61</v>
      </c>
      <c r="H807" s="23" t="s">
        <v>173</v>
      </c>
      <c r="I807" s="23"/>
      <c r="J807" s="23" t="s">
        <v>71</v>
      </c>
      <c r="K807" s="23"/>
      <c r="L807" s="29">
        <v>0</v>
      </c>
      <c r="M807" s="29">
        <v>2</v>
      </c>
      <c r="N807" s="29"/>
      <c r="O807" s="29">
        <v>1016115</v>
      </c>
      <c r="P807" s="29">
        <v>633243</v>
      </c>
      <c r="Q807" s="29">
        <v>0</v>
      </c>
      <c r="R807" s="30">
        <v>51018</v>
      </c>
    </row>
    <row r="808" spans="1:18">
      <c r="A808" s="27"/>
      <c r="B808" s="28">
        <v>804</v>
      </c>
      <c r="C808" s="1">
        <f>30000000+INDEX(编号表!$B:$B,MATCH(G808,编号表!$A:$A,0))*100000+INDEX(编号表!$F:$F,MATCH(H808,编号表!$E:$E,0))*1000+INDEX(编号表!$D:$D,MATCH(F808,编号表!$C:$C,0))*10000+E808</f>
        <v>31565008</v>
      </c>
      <c r="D808" s="23" t="s">
        <v>869</v>
      </c>
      <c r="E808" s="23">
        <v>8</v>
      </c>
      <c r="F808" s="23" t="s">
        <v>738</v>
      </c>
      <c r="G808" s="23" t="s">
        <v>61</v>
      </c>
      <c r="H808" s="23" t="s">
        <v>173</v>
      </c>
      <c r="I808" s="23"/>
      <c r="J808" s="23" t="s">
        <v>74</v>
      </c>
      <c r="K808" s="23"/>
      <c r="L808" s="29">
        <v>0</v>
      </c>
      <c r="M808" s="29">
        <v>-2</v>
      </c>
      <c r="N808" s="29"/>
      <c r="O808" s="29">
        <v>1016115</v>
      </c>
      <c r="P808" s="29">
        <v>424737</v>
      </c>
      <c r="Q808" s="29">
        <v>0</v>
      </c>
      <c r="R808" s="30">
        <v>119042</v>
      </c>
    </row>
    <row r="809" spans="1:18">
      <c r="A809" s="27"/>
      <c r="B809" s="28">
        <v>805</v>
      </c>
      <c r="C809" s="1">
        <f>30000000+INDEX(编号表!$B:$B,MATCH(G809,编号表!$A:$A,0))*100000+INDEX(编号表!$F:$F,MATCH(H809,编号表!$E:$E,0))*1000+INDEX(编号表!$D:$D,MATCH(F809,编号表!$C:$C,0))*10000+E809</f>
        <v>31565009</v>
      </c>
      <c r="D809" s="23" t="s">
        <v>870</v>
      </c>
      <c r="E809" s="23">
        <v>9</v>
      </c>
      <c r="F809" s="23" t="s">
        <v>738</v>
      </c>
      <c r="G809" s="23" t="s">
        <v>61</v>
      </c>
      <c r="H809" s="23" t="s">
        <v>173</v>
      </c>
      <c r="I809" s="23"/>
      <c r="J809" s="23" t="s">
        <v>74</v>
      </c>
      <c r="K809" s="23"/>
      <c r="L809" s="29">
        <v>0</v>
      </c>
      <c r="M809" s="29">
        <v>1</v>
      </c>
      <c r="N809" s="29"/>
      <c r="O809" s="29">
        <v>963396</v>
      </c>
      <c r="P809" s="29">
        <v>263586</v>
      </c>
      <c r="Q809" s="29">
        <v>0</v>
      </c>
      <c r="R809" s="30">
        <v>165809</v>
      </c>
    </row>
    <row r="810" spans="1:18">
      <c r="A810" s="27"/>
      <c r="B810" s="28">
        <v>806</v>
      </c>
      <c r="C810" s="1">
        <f>30000000+INDEX(编号表!$B:$B,MATCH(G810,编号表!$A:$A,0))*100000+INDEX(编号表!$F:$F,MATCH(H810,编号表!$E:$E,0))*1000+INDEX(编号表!$D:$D,MATCH(F810,编号表!$C:$C,0))*10000+E810</f>
        <v>31465000</v>
      </c>
      <c r="D810" s="23" t="s">
        <v>871</v>
      </c>
      <c r="E810" s="23">
        <v>0</v>
      </c>
      <c r="F810" s="23" t="s">
        <v>738</v>
      </c>
      <c r="G810" s="23" t="s">
        <v>77</v>
      </c>
      <c r="H810" s="23" t="s">
        <v>173</v>
      </c>
      <c r="I810" s="23"/>
      <c r="J810" s="23"/>
      <c r="K810" s="23"/>
      <c r="L810" s="29">
        <v>0</v>
      </c>
      <c r="M810" s="29">
        <v>0</v>
      </c>
      <c r="N810" s="29"/>
      <c r="O810" s="29">
        <v>963396</v>
      </c>
      <c r="P810" s="29">
        <v>205011</v>
      </c>
      <c r="Q810" s="29">
        <v>0</v>
      </c>
      <c r="R810" s="30">
        <v>195570</v>
      </c>
    </row>
    <row r="811" spans="1:18">
      <c r="A811" s="27"/>
      <c r="B811" s="28">
        <v>807</v>
      </c>
      <c r="C811" s="1">
        <f>30000000+INDEX(编号表!$B:$B,MATCH(G811,编号表!$A:$A,0))*100000+INDEX(编号表!$F:$F,MATCH(H811,编号表!$E:$E,0))*1000+INDEX(编号表!$D:$D,MATCH(F811,编号表!$C:$C,0))*10000+E811</f>
        <v>31465001</v>
      </c>
      <c r="D811" s="23" t="s">
        <v>872</v>
      </c>
      <c r="E811" s="23">
        <v>1</v>
      </c>
      <c r="F811" s="23" t="s">
        <v>738</v>
      </c>
      <c r="G811" s="23" t="s">
        <v>77</v>
      </c>
      <c r="H811" s="23" t="s">
        <v>173</v>
      </c>
      <c r="I811" s="23"/>
      <c r="J811" s="23"/>
      <c r="K811" s="23"/>
      <c r="L811" s="29">
        <v>0</v>
      </c>
      <c r="M811" s="29">
        <v>0</v>
      </c>
      <c r="N811" s="29"/>
      <c r="O811" s="29">
        <v>1085840</v>
      </c>
      <c r="P811" s="29">
        <v>676696</v>
      </c>
      <c r="Q811" s="29">
        <v>0</v>
      </c>
      <c r="R811" s="30">
        <v>68024</v>
      </c>
    </row>
    <row r="812" spans="1:18">
      <c r="A812" s="27"/>
      <c r="B812" s="28">
        <v>808</v>
      </c>
      <c r="C812" s="1">
        <f>30000000+INDEX(编号表!$B:$B,MATCH(G812,编号表!$A:$A,0))*100000+INDEX(编号表!$F:$F,MATCH(H812,编号表!$E:$E,0))*1000+INDEX(编号表!$D:$D,MATCH(F812,编号表!$C:$C,0))*10000+E812</f>
        <v>31465002</v>
      </c>
      <c r="D812" s="23" t="s">
        <v>873</v>
      </c>
      <c r="E812" s="23">
        <v>2</v>
      </c>
      <c r="F812" s="23" t="s">
        <v>738</v>
      </c>
      <c r="G812" s="23" t="s">
        <v>77</v>
      </c>
      <c r="H812" s="23" t="s">
        <v>173</v>
      </c>
      <c r="I812" s="23"/>
      <c r="J812" s="23"/>
      <c r="K812" s="23"/>
      <c r="L812" s="29">
        <v>0</v>
      </c>
      <c r="M812" s="29">
        <v>1</v>
      </c>
      <c r="N812" s="29"/>
      <c r="O812" s="29">
        <v>1050977</v>
      </c>
      <c r="P812" s="29">
        <v>223648</v>
      </c>
      <c r="Q812" s="29">
        <v>0</v>
      </c>
      <c r="R812" s="30">
        <v>357128</v>
      </c>
    </row>
    <row r="813" spans="1:18">
      <c r="A813" s="27"/>
      <c r="B813" s="28">
        <v>809</v>
      </c>
      <c r="C813" s="1">
        <f>30000000+INDEX(编号表!$B:$B,MATCH(G813,编号表!$A:$A,0))*100000+INDEX(编号表!$F:$F,MATCH(H813,编号表!$E:$E,0))*1000+INDEX(编号表!$D:$D,MATCH(F813,编号表!$C:$C,0))*10000+E813</f>
        <v>31465003</v>
      </c>
      <c r="D813" s="23" t="s">
        <v>874</v>
      </c>
      <c r="E813" s="23">
        <v>3</v>
      </c>
      <c r="F813" s="23" t="s">
        <v>738</v>
      </c>
      <c r="G813" s="23" t="s">
        <v>77</v>
      </c>
      <c r="H813" s="23" t="s">
        <v>173</v>
      </c>
      <c r="I813" s="23"/>
      <c r="J813" s="23"/>
      <c r="K813" s="23"/>
      <c r="L813" s="29">
        <v>0</v>
      </c>
      <c r="M813" s="29">
        <v>4</v>
      </c>
      <c r="N813" s="29"/>
      <c r="O813" s="29">
        <v>1050977</v>
      </c>
      <c r="P813" s="29">
        <v>654969</v>
      </c>
      <c r="Q813" s="29">
        <v>0</v>
      </c>
      <c r="R813" s="30">
        <v>221079</v>
      </c>
    </row>
    <row r="814" spans="1:18">
      <c r="A814" s="27"/>
      <c r="B814" s="28">
        <v>810</v>
      </c>
      <c r="C814" s="1">
        <f>30000000+INDEX(编号表!$B:$B,MATCH(G814,编号表!$A:$A,0))*100000+INDEX(编号表!$F:$F,MATCH(H814,编号表!$E:$E,0))*1000+INDEX(编号表!$D:$D,MATCH(F814,编号表!$C:$C,0))*10000+E814</f>
        <v>31665000</v>
      </c>
      <c r="D814" s="23" t="s">
        <v>875</v>
      </c>
      <c r="E814" s="23">
        <v>0</v>
      </c>
      <c r="F814" s="23" t="s">
        <v>738</v>
      </c>
      <c r="G814" s="23" t="s">
        <v>82</v>
      </c>
      <c r="H814" s="23" t="s">
        <v>173</v>
      </c>
      <c r="I814" s="23"/>
      <c r="J814" s="23"/>
      <c r="K814" s="23"/>
      <c r="L814" s="29">
        <v>7</v>
      </c>
      <c r="M814" s="29">
        <v>0</v>
      </c>
      <c r="N814" s="29"/>
      <c r="O814" s="29">
        <v>0</v>
      </c>
      <c r="P814" s="29">
        <v>0</v>
      </c>
      <c r="Q814" s="29">
        <v>0</v>
      </c>
      <c r="R814" s="30">
        <v>102036</v>
      </c>
    </row>
    <row r="815" spans="1:18">
      <c r="A815" s="27"/>
      <c r="B815" s="28">
        <v>811</v>
      </c>
      <c r="C815" s="1">
        <f>30000000+INDEX(编号表!$B:$B,MATCH(G815,编号表!$A:$A,0))*100000+INDEX(编号表!$F:$F,MATCH(H815,编号表!$E:$E,0))*1000+INDEX(编号表!$D:$D,MATCH(F815,编号表!$C:$C,0))*10000+E815</f>
        <v>31665001</v>
      </c>
      <c r="D815" s="23" t="s">
        <v>876</v>
      </c>
      <c r="E815" s="23">
        <v>1</v>
      </c>
      <c r="F815" s="23" t="s">
        <v>738</v>
      </c>
      <c r="G815" s="23" t="s">
        <v>82</v>
      </c>
      <c r="H815" s="23" t="s">
        <v>173</v>
      </c>
      <c r="I815" s="23"/>
      <c r="J815" s="23"/>
      <c r="K815" s="23"/>
      <c r="L815" s="29">
        <v>8</v>
      </c>
      <c r="M815" s="29">
        <v>0</v>
      </c>
      <c r="N815" s="29"/>
      <c r="O815" s="29">
        <v>0</v>
      </c>
      <c r="P815" s="29">
        <v>0</v>
      </c>
      <c r="Q815" s="29">
        <v>0</v>
      </c>
      <c r="R815" s="30">
        <v>187067</v>
      </c>
    </row>
    <row r="816" spans="1:18">
      <c r="A816" s="27"/>
      <c r="B816" s="28">
        <v>812</v>
      </c>
      <c r="C816" s="1">
        <f>30000000+INDEX(编号表!$B:$B,MATCH(G816,编号表!$A:$A,0))*100000+INDEX(编号表!$F:$F,MATCH(H816,编号表!$E:$E,0))*1000+INDEX(编号表!$D:$D,MATCH(F816,编号表!$C:$C,0))*10000+E816</f>
        <v>31665002</v>
      </c>
      <c r="D816" s="23" t="s">
        <v>877</v>
      </c>
      <c r="E816" s="23">
        <v>2</v>
      </c>
      <c r="F816" s="23" t="s">
        <v>738</v>
      </c>
      <c r="G816" s="23" t="s">
        <v>82</v>
      </c>
      <c r="H816" s="23" t="s">
        <v>173</v>
      </c>
      <c r="I816" s="23"/>
      <c r="J816" s="23"/>
      <c r="K816" s="23"/>
      <c r="L816" s="29">
        <v>9</v>
      </c>
      <c r="M816" s="29">
        <v>0</v>
      </c>
      <c r="N816" s="29"/>
      <c r="O816" s="29">
        <v>0</v>
      </c>
      <c r="P816" s="29">
        <v>0</v>
      </c>
      <c r="Q816" s="29">
        <v>0</v>
      </c>
      <c r="R816" s="30">
        <v>289103</v>
      </c>
    </row>
    <row r="817" spans="1:18">
      <c r="A817" s="27"/>
      <c r="B817" s="28">
        <v>813</v>
      </c>
      <c r="C817" s="1">
        <f>30000000+INDEX(编号表!$B:$B,MATCH(G817,编号表!$A:$A,0))*100000+INDEX(编号表!$F:$F,MATCH(H817,编号表!$E:$E,0))*1000+INDEX(编号表!$D:$D,MATCH(F817,编号表!$C:$C,0))*10000+E817</f>
        <v>31266000</v>
      </c>
      <c r="D817" s="23" t="s">
        <v>878</v>
      </c>
      <c r="E817" s="23">
        <v>0</v>
      </c>
      <c r="F817" s="23" t="s">
        <v>738</v>
      </c>
      <c r="G817" s="23" t="s">
        <v>42</v>
      </c>
      <c r="H817" s="23" t="s">
        <v>202</v>
      </c>
      <c r="I817" s="23"/>
      <c r="J817" s="23"/>
      <c r="K817" s="23"/>
      <c r="L817" s="29">
        <v>0</v>
      </c>
      <c r="M817" s="29">
        <v>0</v>
      </c>
      <c r="N817" s="29"/>
      <c r="O817" s="29">
        <v>3061087</v>
      </c>
      <c r="P817" s="29">
        <v>1178519</v>
      </c>
      <c r="Q817" s="29">
        <v>15305436</v>
      </c>
      <c r="R817" s="30">
        <v>275497</v>
      </c>
    </row>
    <row r="818" spans="1:18">
      <c r="A818" s="27"/>
      <c r="B818" s="28">
        <v>814</v>
      </c>
      <c r="C818" s="1">
        <f>30000000+INDEX(编号表!$B:$B,MATCH(G818,编号表!$A:$A,0))*100000+INDEX(编号表!$F:$F,MATCH(H818,编号表!$E:$E,0))*1000+INDEX(编号表!$D:$D,MATCH(F818,编号表!$C:$C,0))*10000+E818</f>
        <v>31366000</v>
      </c>
      <c r="D818" s="23" t="s">
        <v>879</v>
      </c>
      <c r="E818" s="23">
        <v>0</v>
      </c>
      <c r="F818" s="23" t="s">
        <v>738</v>
      </c>
      <c r="G818" s="23" t="s">
        <v>45</v>
      </c>
      <c r="H818" s="23" t="s">
        <v>202</v>
      </c>
      <c r="I818" s="23" t="s">
        <v>46</v>
      </c>
      <c r="J818" s="23"/>
      <c r="K818" s="23"/>
      <c r="L818" s="29">
        <v>0</v>
      </c>
      <c r="M818" s="29">
        <v>-2</v>
      </c>
      <c r="N818" s="29"/>
      <c r="O818" s="29">
        <v>1828999</v>
      </c>
      <c r="P818" s="29">
        <v>704165</v>
      </c>
      <c r="Q818" s="29">
        <v>0</v>
      </c>
      <c r="R818" s="30">
        <v>214276</v>
      </c>
    </row>
    <row r="819" spans="1:18">
      <c r="A819" s="27"/>
      <c r="B819" s="28">
        <v>815</v>
      </c>
      <c r="C819" s="1">
        <f>30000000+INDEX(编号表!$B:$B,MATCH(G819,编号表!$A:$A,0))*100000+INDEX(编号表!$F:$F,MATCH(H819,编号表!$E:$E,0))*1000+INDEX(编号表!$D:$D,MATCH(F819,编号表!$C:$C,0))*10000+E819</f>
        <v>31366001</v>
      </c>
      <c r="D819" s="23" t="s">
        <v>880</v>
      </c>
      <c r="E819" s="23">
        <v>1</v>
      </c>
      <c r="F819" s="23" t="s">
        <v>738</v>
      </c>
      <c r="G819" s="23" t="s">
        <v>45</v>
      </c>
      <c r="H819" s="23" t="s">
        <v>202</v>
      </c>
      <c r="I819" s="23" t="s">
        <v>46</v>
      </c>
      <c r="J819" s="23"/>
      <c r="K819" s="23"/>
      <c r="L819" s="29">
        <v>0</v>
      </c>
      <c r="M819" s="29">
        <v>3</v>
      </c>
      <c r="N819" s="29"/>
      <c r="O819" s="29">
        <v>1954504</v>
      </c>
      <c r="P819" s="29">
        <v>930344</v>
      </c>
      <c r="Q819" s="29">
        <v>0</v>
      </c>
      <c r="R819" s="30">
        <v>275497</v>
      </c>
    </row>
    <row r="820" spans="1:18">
      <c r="A820" s="27"/>
      <c r="B820" s="28">
        <v>816</v>
      </c>
      <c r="C820" s="1">
        <f>30000000+INDEX(编号表!$B:$B,MATCH(G820,编号表!$A:$A,0))*100000+INDEX(编号表!$F:$F,MATCH(H820,编号表!$E:$E,0))*1000+INDEX(编号表!$D:$D,MATCH(F820,编号表!$C:$C,0))*10000+E820</f>
        <v>31366002</v>
      </c>
      <c r="D820" s="23" t="s">
        <v>881</v>
      </c>
      <c r="E820" s="23">
        <v>2</v>
      </c>
      <c r="F820" s="23" t="s">
        <v>738</v>
      </c>
      <c r="G820" s="23" t="s">
        <v>45</v>
      </c>
      <c r="H820" s="23" t="s">
        <v>202</v>
      </c>
      <c r="I820" s="23" t="s">
        <v>49</v>
      </c>
      <c r="J820" s="23"/>
      <c r="K820" s="23"/>
      <c r="L820" s="29">
        <v>0</v>
      </c>
      <c r="M820" s="29">
        <v>-1</v>
      </c>
      <c r="N820" s="29"/>
      <c r="O820" s="29">
        <v>1734105</v>
      </c>
      <c r="P820" s="29">
        <v>436995</v>
      </c>
      <c r="Q820" s="29">
        <v>0</v>
      </c>
      <c r="R820" s="30">
        <v>298456</v>
      </c>
    </row>
    <row r="821" spans="1:18">
      <c r="A821" s="27"/>
      <c r="B821" s="28">
        <v>817</v>
      </c>
      <c r="C821" s="1">
        <f>30000000+INDEX(编号表!$B:$B,MATCH(G821,编号表!$A:$A,0))*100000+INDEX(编号表!$F:$F,MATCH(H821,编号表!$E:$E,0))*1000+INDEX(编号表!$D:$D,MATCH(F821,编号表!$C:$C,0))*10000+E821</f>
        <v>31366003</v>
      </c>
      <c r="D821" s="23" t="s">
        <v>882</v>
      </c>
      <c r="E821" s="23">
        <v>3</v>
      </c>
      <c r="F821" s="23" t="s">
        <v>738</v>
      </c>
      <c r="G821" s="23" t="s">
        <v>45</v>
      </c>
      <c r="H821" s="23" t="s">
        <v>202</v>
      </c>
      <c r="I821" s="23" t="s">
        <v>49</v>
      </c>
      <c r="J821" s="23"/>
      <c r="K821" s="23"/>
      <c r="L821" s="29">
        <v>0</v>
      </c>
      <c r="M821" s="29">
        <v>2</v>
      </c>
      <c r="N821" s="29"/>
      <c r="O821" s="29">
        <v>1828999</v>
      </c>
      <c r="P821" s="29">
        <v>1049846</v>
      </c>
      <c r="Q821" s="29">
        <v>0</v>
      </c>
      <c r="R821" s="30">
        <v>91832</v>
      </c>
    </row>
    <row r="822" spans="1:18">
      <c r="A822" s="27"/>
      <c r="B822" s="28">
        <v>818</v>
      </c>
      <c r="C822" s="1">
        <f>30000000+INDEX(编号表!$B:$B,MATCH(G822,编号表!$A:$A,0))*100000+INDEX(编号表!$F:$F,MATCH(H822,编号表!$E:$E,0))*1000+INDEX(编号表!$D:$D,MATCH(F822,编号表!$C:$C,0))*10000+E822</f>
        <v>31366004</v>
      </c>
      <c r="D822" s="23" t="s">
        <v>883</v>
      </c>
      <c r="E822" s="23">
        <v>4</v>
      </c>
      <c r="F822" s="23" t="s">
        <v>738</v>
      </c>
      <c r="G822" s="23" t="s">
        <v>45</v>
      </c>
      <c r="H822" s="23" t="s">
        <v>202</v>
      </c>
      <c r="I822" s="23" t="s">
        <v>52</v>
      </c>
      <c r="J822" s="23"/>
      <c r="K822" s="23"/>
      <c r="L822" s="29">
        <v>0</v>
      </c>
      <c r="M822" s="29">
        <v>-1</v>
      </c>
      <c r="N822" s="29"/>
      <c r="O822" s="29">
        <v>1828999</v>
      </c>
      <c r="P822" s="29">
        <v>870604</v>
      </c>
      <c r="Q822" s="29">
        <v>0</v>
      </c>
      <c r="R822" s="30">
        <v>221928</v>
      </c>
    </row>
    <row r="823" spans="1:18">
      <c r="A823" s="27"/>
      <c r="B823" s="28">
        <v>819</v>
      </c>
      <c r="C823" s="1">
        <f>30000000+INDEX(编号表!$B:$B,MATCH(G823,编号表!$A:$A,0))*100000+INDEX(编号表!$F:$F,MATCH(H823,编号表!$E:$E,0))*1000+INDEX(编号表!$D:$D,MATCH(F823,编号表!$C:$C,0))*10000+E823</f>
        <v>31366005</v>
      </c>
      <c r="D823" s="23" t="inlineStr">
        <is>
          <t xml:space="preserve">万载沸泉苔·道株</t>
        </is>
      </c>
      <c r="E823" s="23">
        <v>5</v>
      </c>
      <c r="F823" s="23" t="s">
        <v>738</v>
      </c>
      <c r="G823" s="23" t="s">
        <v>45</v>
      </c>
      <c r="H823" s="23" t="s">
        <v>202</v>
      </c>
      <c r="I823" s="23" t="s">
        <v>52</v>
      </c>
      <c r="J823" s="23"/>
      <c r="K823" s="23"/>
      <c r="L823" s="29">
        <v>0</v>
      </c>
      <c r="M823" s="29">
        <v>4</v>
      </c>
      <c r="N823" s="29"/>
      <c r="O823" s="29">
        <v>1891751</v>
      </c>
      <c r="P823" s="29">
        <v>1085866</v>
      </c>
      <c r="Q823" s="29">
        <v>0</v>
      </c>
      <c r="R823" s="30">
        <v>397941</v>
      </c>
    </row>
    <row r="824" spans="1:18">
      <c r="A824" s="27"/>
      <c r="B824" s="28">
        <v>820</v>
      </c>
      <c r="C824" s="1">
        <f>30000000+INDEX(编号表!$B:$B,MATCH(G824,编号表!$A:$A,0))*100000+INDEX(编号表!$F:$F,MATCH(H824,编号表!$E:$E,0))*1000+INDEX(编号表!$D:$D,MATCH(F824,编号表!$C:$C,0))*10000+E824</f>
        <v>31366006</v>
      </c>
      <c r="D824" s="23" t="inlineStr">
        <is>
          <t xml:space="preserve">万载丹露花·道株</t>
        </is>
      </c>
      <c r="E824" s="23">
        <v>6</v>
      </c>
      <c r="F824" s="23" t="s">
        <v>738</v>
      </c>
      <c r="G824" s="23" t="s">
        <v>45</v>
      </c>
      <c r="H824" s="23" t="s">
        <v>202</v>
      </c>
      <c r="I824" s="23" t="s">
        <v>55</v>
      </c>
      <c r="J824" s="23"/>
      <c r="K824" s="23"/>
      <c r="L824" s="29">
        <v>0</v>
      </c>
      <c r="M824" s="29">
        <v>-1</v>
      </c>
      <c r="N824" s="29"/>
      <c r="O824" s="29">
        <v>1891751</v>
      </c>
      <c r="P824" s="29">
        <v>370784</v>
      </c>
      <c r="Q824" s="29">
        <v>0</v>
      </c>
      <c r="R824" s="30">
        <v>642828</v>
      </c>
    </row>
    <row r="825" spans="1:18">
      <c r="A825" s="27"/>
      <c r="B825" s="28">
        <v>821</v>
      </c>
      <c r="C825" s="1">
        <f>30000000+INDEX(编号表!$B:$B,MATCH(G825,编号表!$A:$A,0))*100000+INDEX(编号表!$F:$F,MATCH(H825,编号表!$E:$E,0))*1000+INDEX(编号表!$D:$D,MATCH(F825,编号表!$C:$C,0))*10000+E825</f>
        <v>31366007</v>
      </c>
      <c r="D825" s="23" t="s">
        <v>886</v>
      </c>
      <c r="E825" s="23">
        <v>7</v>
      </c>
      <c r="F825" s="23" t="s">
        <v>738</v>
      </c>
      <c r="G825" s="23" t="s">
        <v>45</v>
      </c>
      <c r="H825" s="23" t="s">
        <v>202</v>
      </c>
      <c r="I825" s="23" t="s">
        <v>55</v>
      </c>
      <c r="J825" s="23"/>
      <c r="K825" s="23"/>
      <c r="L825" s="29">
        <v>0</v>
      </c>
      <c r="M825" s="29">
        <v>2</v>
      </c>
      <c r="N825" s="29"/>
      <c r="O825" s="29">
        <v>1828999</v>
      </c>
      <c r="P825" s="29">
        <v>1049846</v>
      </c>
      <c r="Q825" s="29">
        <v>0</v>
      </c>
      <c r="R825" s="30">
        <v>91832</v>
      </c>
    </row>
    <row r="826" spans="1:18">
      <c r="A826" s="27"/>
      <c r="B826" s="28">
        <v>822</v>
      </c>
      <c r="C826" s="1">
        <f>30000000+INDEX(编号表!$B:$B,MATCH(G826,编号表!$A:$A,0))*100000+INDEX(编号表!$F:$F,MATCH(H826,编号表!$E:$E,0))*1000+INDEX(编号表!$D:$D,MATCH(F826,编号表!$C:$C,0))*10000+E826</f>
        <v>31366008</v>
      </c>
      <c r="D826" s="23" t="s">
        <v>887</v>
      </c>
      <c r="E826" s="23">
        <v>8</v>
      </c>
      <c r="F826" s="23" t="s">
        <v>738</v>
      </c>
      <c r="G826" s="23" t="s">
        <v>45</v>
      </c>
      <c r="H826" s="23" t="s">
        <v>202</v>
      </c>
      <c r="I826" s="23" t="s">
        <v>58</v>
      </c>
      <c r="J826" s="23"/>
      <c r="K826" s="23"/>
      <c r="L826" s="29">
        <v>0</v>
      </c>
      <c r="M826" s="29">
        <v>-2</v>
      </c>
      <c r="N826" s="29"/>
      <c r="O826" s="29">
        <v>1828999</v>
      </c>
      <c r="P826" s="29">
        <v>704165</v>
      </c>
      <c r="Q826" s="29">
        <v>0</v>
      </c>
      <c r="R826" s="30">
        <v>214276</v>
      </c>
    </row>
    <row r="827" spans="1:18">
      <c r="A827" s="27"/>
      <c r="B827" s="28">
        <v>823</v>
      </c>
      <c r="C827" s="1">
        <f>30000000+INDEX(编号表!$B:$B,MATCH(G827,编号表!$A:$A,0))*100000+INDEX(编号表!$F:$F,MATCH(H827,编号表!$E:$E,0))*1000+INDEX(编号表!$D:$D,MATCH(F827,编号表!$C:$C,0))*10000+E827</f>
        <v>31366009</v>
      </c>
      <c r="D827" s="23" t="s">
        <v>888</v>
      </c>
      <c r="E827" s="23">
        <v>9</v>
      </c>
      <c r="F827" s="23" t="s">
        <v>738</v>
      </c>
      <c r="G827" s="23" t="s">
        <v>45</v>
      </c>
      <c r="H827" s="23" t="s">
        <v>202</v>
      </c>
      <c r="I827" s="23" t="s">
        <v>58</v>
      </c>
      <c r="J827" s="23"/>
      <c r="K827" s="23"/>
      <c r="L827" s="29">
        <v>0</v>
      </c>
      <c r="M827" s="29">
        <v>1</v>
      </c>
      <c r="N827" s="29"/>
      <c r="O827" s="29">
        <v>1734105</v>
      </c>
      <c r="P827" s="29">
        <v>436995</v>
      </c>
      <c r="Q827" s="29">
        <v>0</v>
      </c>
      <c r="R827" s="30">
        <v>298456</v>
      </c>
    </row>
    <row r="828" spans="1:18">
      <c r="A828" s="27"/>
      <c r="B828" s="28">
        <v>824</v>
      </c>
      <c r="C828" s="1">
        <f>30000000+INDEX(编号表!$B:$B,MATCH(G828,编号表!$A:$A,0))*100000+INDEX(编号表!$F:$F,MATCH(H828,编号表!$E:$E,0))*1000+INDEX(编号表!$D:$D,MATCH(F828,编号表!$C:$C,0))*10000+E828</f>
        <v>31566000</v>
      </c>
      <c r="D828" s="23" t="inlineStr">
        <is>
          <t xml:space="preserve">万载霜辛草·道株</t>
        </is>
      </c>
      <c r="E828" s="23">
        <v>0</v>
      </c>
      <c r="F828" s="23" t="s">
        <v>738</v>
      </c>
      <c r="G828" s="23" t="s">
        <v>61</v>
      </c>
      <c r="H828" s="23" t="s">
        <v>202</v>
      </c>
      <c r="I828" s="23"/>
      <c r="J828" s="23" t="s">
        <v>62</v>
      </c>
      <c r="K828" s="23"/>
      <c r="L828" s="29">
        <v>0</v>
      </c>
      <c r="M828" s="29">
        <v>-2</v>
      </c>
      <c r="N828" s="29"/>
      <c r="O828" s="29">
        <v>1828999</v>
      </c>
      <c r="P828" s="29">
        <v>704165</v>
      </c>
      <c r="Q828" s="29">
        <v>0</v>
      </c>
      <c r="R828" s="30">
        <v>214276</v>
      </c>
    </row>
    <row r="829" spans="1:18">
      <c r="A829" s="27"/>
      <c r="B829" s="28">
        <v>825</v>
      </c>
      <c r="C829" s="1">
        <f>30000000+INDEX(编号表!$B:$B,MATCH(G829,编号表!$A:$A,0))*100000+INDEX(编号表!$F:$F,MATCH(H829,编号表!$E:$E,0))*1000+INDEX(编号表!$D:$D,MATCH(F829,编号表!$C:$C,0))*10000+E829</f>
        <v>31566001</v>
      </c>
      <c r="D829" s="23" t="s">
        <v>890</v>
      </c>
      <c r="E829" s="23">
        <v>1</v>
      </c>
      <c r="F829" s="23" t="s">
        <v>738</v>
      </c>
      <c r="G829" s="23" t="s">
        <v>61</v>
      </c>
      <c r="H829" s="23" t="s">
        <v>202</v>
      </c>
      <c r="I829" s="23"/>
      <c r="J829" s="23" t="s">
        <v>62</v>
      </c>
      <c r="K829" s="23"/>
      <c r="L829" s="29">
        <v>0</v>
      </c>
      <c r="M829" s="29">
        <v>3</v>
      </c>
      <c r="N829" s="29"/>
      <c r="O829" s="29">
        <v>1954504</v>
      </c>
      <c r="P829" s="29">
        <v>930344</v>
      </c>
      <c r="Q829" s="29">
        <v>0</v>
      </c>
      <c r="R829" s="30">
        <v>275497</v>
      </c>
    </row>
    <row r="830" spans="1:18">
      <c r="A830" s="27"/>
      <c r="B830" s="28">
        <v>826</v>
      </c>
      <c r="C830" s="1">
        <f>30000000+INDEX(编号表!$B:$B,MATCH(G830,编号表!$A:$A,0))*100000+INDEX(编号表!$F:$F,MATCH(H830,编号表!$E:$E,0))*1000+INDEX(编号表!$D:$D,MATCH(F830,编号表!$C:$C,0))*10000+E830</f>
        <v>31566002</v>
      </c>
      <c r="D830" s="23" t="s">
        <v>891</v>
      </c>
      <c r="E830" s="23">
        <v>2</v>
      </c>
      <c r="F830" s="23" t="s">
        <v>738</v>
      </c>
      <c r="G830" s="23" t="s">
        <v>61</v>
      </c>
      <c r="H830" s="23" t="s">
        <v>202</v>
      </c>
      <c r="I830" s="23"/>
      <c r="J830" s="23" t="s">
        <v>65</v>
      </c>
      <c r="K830" s="23"/>
      <c r="L830" s="29">
        <v>0</v>
      </c>
      <c r="M830" s="29">
        <v>-1</v>
      </c>
      <c r="N830" s="29"/>
      <c r="O830" s="29">
        <v>1734105</v>
      </c>
      <c r="P830" s="29">
        <v>436995</v>
      </c>
      <c r="Q830" s="29">
        <v>0</v>
      </c>
      <c r="R830" s="30">
        <v>298456</v>
      </c>
    </row>
    <row r="831" spans="1:18">
      <c r="A831" s="27"/>
      <c r="B831" s="28">
        <v>827</v>
      </c>
      <c r="C831" s="1">
        <f>30000000+INDEX(编号表!$B:$B,MATCH(G831,编号表!$A:$A,0))*100000+INDEX(编号表!$F:$F,MATCH(H831,编号表!$E:$E,0))*1000+INDEX(编号表!$D:$D,MATCH(F831,编号表!$C:$C,0))*10000+E831</f>
        <v>31566003</v>
      </c>
      <c r="D831" s="23" t="s">
        <v>892</v>
      </c>
      <c r="E831" s="23">
        <v>3</v>
      </c>
      <c r="F831" s="23" t="s">
        <v>738</v>
      </c>
      <c r="G831" s="23" t="s">
        <v>61</v>
      </c>
      <c r="H831" s="23" t="s">
        <v>202</v>
      </c>
      <c r="I831" s="23"/>
      <c r="J831" s="23" t="s">
        <v>65</v>
      </c>
      <c r="K831" s="23"/>
      <c r="L831" s="29">
        <v>0</v>
      </c>
      <c r="M831" s="29">
        <v>2</v>
      </c>
      <c r="N831" s="29"/>
      <c r="O831" s="29">
        <v>1828999</v>
      </c>
      <c r="P831" s="29">
        <v>1049846</v>
      </c>
      <c r="Q831" s="29">
        <v>0</v>
      </c>
      <c r="R831" s="30">
        <v>91832</v>
      </c>
    </row>
    <row r="832" spans="1:18">
      <c r="A832" s="27"/>
      <c r="B832" s="28">
        <v>828</v>
      </c>
      <c r="C832" s="1">
        <f>30000000+INDEX(编号表!$B:$B,MATCH(G832,编号表!$A:$A,0))*100000+INDEX(编号表!$F:$F,MATCH(H832,编号表!$E:$E,0))*1000+INDEX(编号表!$D:$D,MATCH(F832,编号表!$C:$C,0))*10000+E832</f>
        <v>31566004</v>
      </c>
      <c r="D832" s="23" t="s">
        <v>893</v>
      </c>
      <c r="E832" s="23">
        <v>4</v>
      </c>
      <c r="F832" s="23" t="s">
        <v>738</v>
      </c>
      <c r="G832" s="23" t="s">
        <v>61</v>
      </c>
      <c r="H832" s="23" t="s">
        <v>202</v>
      </c>
      <c r="I832" s="23"/>
      <c r="J832" s="23" t="s">
        <v>68</v>
      </c>
      <c r="K832" s="23"/>
      <c r="L832" s="29">
        <v>0</v>
      </c>
      <c r="M832" s="29">
        <v>-1</v>
      </c>
      <c r="N832" s="29"/>
      <c r="O832" s="29">
        <v>1828999</v>
      </c>
      <c r="P832" s="29">
        <v>870604</v>
      </c>
      <c r="Q832" s="29">
        <v>0</v>
      </c>
      <c r="R832" s="30">
        <v>221928</v>
      </c>
    </row>
    <row r="833" spans="1:18">
      <c r="A833" s="27"/>
      <c r="B833" s="28">
        <v>829</v>
      </c>
      <c r="C833" s="1">
        <f>30000000+INDEX(编号表!$B:$B,MATCH(G833,编号表!$A:$A,0))*100000+INDEX(编号表!$F:$F,MATCH(H833,编号表!$E:$E,0))*1000+INDEX(编号表!$D:$D,MATCH(F833,编号表!$C:$C,0))*10000+E833</f>
        <v>31566005</v>
      </c>
      <c r="D833" s="23" t="s">
        <v>894</v>
      </c>
      <c r="E833" s="23">
        <v>5</v>
      </c>
      <c r="F833" s="23" t="s">
        <v>738</v>
      </c>
      <c r="G833" s="23" t="s">
        <v>61</v>
      </c>
      <c r="H833" s="23" t="s">
        <v>202</v>
      </c>
      <c r="I833" s="23"/>
      <c r="J833" s="23" t="s">
        <v>68</v>
      </c>
      <c r="K833" s="23"/>
      <c r="L833" s="29">
        <v>0</v>
      </c>
      <c r="M833" s="29">
        <v>4</v>
      </c>
      <c r="N833" s="29"/>
      <c r="O833" s="29">
        <v>1891751</v>
      </c>
      <c r="P833" s="29">
        <v>1085866</v>
      </c>
      <c r="Q833" s="29">
        <v>0</v>
      </c>
      <c r="R833" s="30">
        <v>397941</v>
      </c>
    </row>
    <row r="834" spans="1:18">
      <c r="A834" s="27"/>
      <c r="B834" s="28">
        <v>830</v>
      </c>
      <c r="C834" s="1">
        <f>30000000+INDEX(编号表!$B:$B,MATCH(G834,编号表!$A:$A,0))*100000+INDEX(编号表!$F:$F,MATCH(H834,编号表!$E:$E,0))*1000+INDEX(编号表!$D:$D,MATCH(F834,编号表!$C:$C,0))*10000+E834</f>
        <v>31566006</v>
      </c>
      <c r="D834" s="23" t="s">
        <v>895</v>
      </c>
      <c r="E834" s="23">
        <v>6</v>
      </c>
      <c r="F834" s="23" t="s">
        <v>738</v>
      </c>
      <c r="G834" s="23" t="s">
        <v>61</v>
      </c>
      <c r="H834" s="23" t="s">
        <v>202</v>
      </c>
      <c r="I834" s="23"/>
      <c r="J834" s="23" t="s">
        <v>71</v>
      </c>
      <c r="K834" s="23"/>
      <c r="L834" s="29">
        <v>0</v>
      </c>
      <c r="M834" s="29">
        <v>-1</v>
      </c>
      <c r="N834" s="29"/>
      <c r="O834" s="29">
        <v>1891751</v>
      </c>
      <c r="P834" s="29">
        <v>370784</v>
      </c>
      <c r="Q834" s="29">
        <v>0</v>
      </c>
      <c r="R834" s="30">
        <v>642828</v>
      </c>
    </row>
    <row r="835" spans="1:18">
      <c r="A835" s="27"/>
      <c r="B835" s="28">
        <v>831</v>
      </c>
      <c r="C835" s="1">
        <f>30000000+INDEX(编号表!$B:$B,MATCH(G835,编号表!$A:$A,0))*100000+INDEX(编号表!$F:$F,MATCH(H835,编号表!$E:$E,0))*1000+INDEX(编号表!$D:$D,MATCH(F835,编号表!$C:$C,0))*10000+E835</f>
        <v>31566007</v>
      </c>
      <c r="D835" s="23" t="s">
        <v>896</v>
      </c>
      <c r="E835" s="23">
        <v>7</v>
      </c>
      <c r="F835" s="23" t="s">
        <v>738</v>
      </c>
      <c r="G835" s="23" t="s">
        <v>61</v>
      </c>
      <c r="H835" s="23" t="s">
        <v>202</v>
      </c>
      <c r="I835" s="23"/>
      <c r="J835" s="23" t="s">
        <v>71</v>
      </c>
      <c r="K835" s="23"/>
      <c r="L835" s="29">
        <v>0</v>
      </c>
      <c r="M835" s="29">
        <v>2</v>
      </c>
      <c r="N835" s="29"/>
      <c r="O835" s="29">
        <v>1828999</v>
      </c>
      <c r="P835" s="29">
        <v>1049846</v>
      </c>
      <c r="Q835" s="29">
        <v>0</v>
      </c>
      <c r="R835" s="30">
        <v>91832</v>
      </c>
    </row>
    <row r="836" spans="1:18">
      <c r="A836" s="27"/>
      <c r="B836" s="28">
        <v>832</v>
      </c>
      <c r="C836" s="1">
        <f>30000000+INDEX(编号表!$B:$B,MATCH(G836,编号表!$A:$A,0))*100000+INDEX(编号表!$F:$F,MATCH(H836,编号表!$E:$E,0))*1000+INDEX(编号表!$D:$D,MATCH(F836,编号表!$C:$C,0))*10000+E836</f>
        <v>31566008</v>
      </c>
      <c r="D836" s="23" t="s">
        <v>897</v>
      </c>
      <c r="E836" s="23">
        <v>8</v>
      </c>
      <c r="F836" s="23" t="s">
        <v>738</v>
      </c>
      <c r="G836" s="23" t="s">
        <v>61</v>
      </c>
      <c r="H836" s="23" t="s">
        <v>202</v>
      </c>
      <c r="I836" s="23"/>
      <c r="J836" s="23" t="s">
        <v>74</v>
      </c>
      <c r="K836" s="23"/>
      <c r="L836" s="29">
        <v>0</v>
      </c>
      <c r="M836" s="29">
        <v>-2</v>
      </c>
      <c r="N836" s="29"/>
      <c r="O836" s="29">
        <v>1828999</v>
      </c>
      <c r="P836" s="29">
        <v>704165</v>
      </c>
      <c r="Q836" s="29">
        <v>0</v>
      </c>
      <c r="R836" s="30">
        <v>214276</v>
      </c>
    </row>
    <row r="837" spans="1:18">
      <c r="A837" s="27"/>
      <c r="B837" s="28">
        <v>833</v>
      </c>
      <c r="C837" s="1">
        <f>30000000+INDEX(编号表!$B:$B,MATCH(G837,编号表!$A:$A,0))*100000+INDEX(编号表!$F:$F,MATCH(H837,编号表!$E:$E,0))*1000+INDEX(编号表!$D:$D,MATCH(F837,编号表!$C:$C,0))*10000+E837</f>
        <v>31566009</v>
      </c>
      <c r="D837" s="23" t="s">
        <v>898</v>
      </c>
      <c r="E837" s="23">
        <v>9</v>
      </c>
      <c r="F837" s="23" t="s">
        <v>738</v>
      </c>
      <c r="G837" s="23" t="s">
        <v>61</v>
      </c>
      <c r="H837" s="23" t="s">
        <v>202</v>
      </c>
      <c r="I837" s="23"/>
      <c r="J837" s="23" t="s">
        <v>74</v>
      </c>
      <c r="K837" s="23"/>
      <c r="L837" s="29">
        <v>0</v>
      </c>
      <c r="M837" s="29">
        <v>1</v>
      </c>
      <c r="N837" s="29"/>
      <c r="O837" s="29">
        <v>1734105</v>
      </c>
      <c r="P837" s="29">
        <v>436995</v>
      </c>
      <c r="Q837" s="29">
        <v>0</v>
      </c>
      <c r="R837" s="30">
        <v>298456</v>
      </c>
    </row>
    <row r="838" spans="1:18">
      <c r="A838" s="27"/>
      <c r="B838" s="28">
        <v>834</v>
      </c>
      <c r="C838" s="1">
        <f>30000000+INDEX(编号表!$B:$B,MATCH(G838,编号表!$A:$A,0))*100000+INDEX(编号表!$F:$F,MATCH(H838,编号表!$E:$E,0))*1000+INDEX(编号表!$D:$D,MATCH(F838,编号表!$C:$C,0))*10000+E838</f>
        <v>31466000</v>
      </c>
      <c r="D838" s="23" t="s">
        <v>899</v>
      </c>
      <c r="E838" s="23">
        <v>0</v>
      </c>
      <c r="F838" s="23" t="s">
        <v>738</v>
      </c>
      <c r="G838" s="23" t="s">
        <v>77</v>
      </c>
      <c r="H838" s="23" t="s">
        <v>202</v>
      </c>
      <c r="I838" s="23"/>
      <c r="J838" s="23"/>
      <c r="K838" s="23"/>
      <c r="L838" s="29">
        <v>0</v>
      </c>
      <c r="M838" s="29">
        <v>0</v>
      </c>
      <c r="N838" s="29"/>
      <c r="O838" s="29">
        <v>1734105</v>
      </c>
      <c r="P838" s="29">
        <v>339885</v>
      </c>
      <c r="Q838" s="29">
        <v>0</v>
      </c>
      <c r="R838" s="30">
        <v>352025</v>
      </c>
    </row>
    <row r="839" spans="1:18">
      <c r="A839" s="27"/>
      <c r="B839" s="28">
        <v>835</v>
      </c>
      <c r="C839" s="1">
        <f>30000000+INDEX(编号表!$B:$B,MATCH(G839,编号表!$A:$A,0))*100000+INDEX(编号表!$F:$F,MATCH(H839,编号表!$E:$E,0))*1000+INDEX(编号表!$D:$D,MATCH(F839,编号表!$C:$C,0))*10000+E839</f>
        <v>31466001</v>
      </c>
      <c r="D839" s="23" t="s">
        <v>900</v>
      </c>
      <c r="E839" s="23">
        <v>1</v>
      </c>
      <c r="F839" s="23" t="s">
        <v>738</v>
      </c>
      <c r="G839" s="23" t="s">
        <v>77</v>
      </c>
      <c r="H839" s="23" t="s">
        <v>202</v>
      </c>
      <c r="I839" s="23"/>
      <c r="J839" s="23"/>
      <c r="K839" s="23"/>
      <c r="L839" s="29">
        <v>0</v>
      </c>
      <c r="M839" s="29">
        <v>0</v>
      </c>
      <c r="N839" s="29"/>
      <c r="O839" s="29">
        <v>1954504</v>
      </c>
      <c r="P839" s="29">
        <v>1121886</v>
      </c>
      <c r="Q839" s="29">
        <v>0</v>
      </c>
      <c r="R839" s="30">
        <v>122443</v>
      </c>
    </row>
    <row r="840" spans="1:18">
      <c r="A840" s="27"/>
      <c r="B840" s="28">
        <v>836</v>
      </c>
      <c r="C840" s="1">
        <f>30000000+INDEX(编号表!$B:$B,MATCH(G840,编号表!$A:$A,0))*100000+INDEX(编号表!$F:$F,MATCH(H840,编号表!$E:$E,0))*1000+INDEX(编号表!$D:$D,MATCH(F840,编号表!$C:$C,0))*10000+E840</f>
        <v>31466002</v>
      </c>
      <c r="D840" s="23" t="s">
        <v>901</v>
      </c>
      <c r="E840" s="23">
        <v>2</v>
      </c>
      <c r="F840" s="23" t="s">
        <v>738</v>
      </c>
      <c r="G840" s="23" t="s">
        <v>77</v>
      </c>
      <c r="H840" s="23" t="s">
        <v>202</v>
      </c>
      <c r="I840" s="23"/>
      <c r="J840" s="23"/>
      <c r="K840" s="23"/>
      <c r="L840" s="29">
        <v>0</v>
      </c>
      <c r="M840" s="29">
        <v>1</v>
      </c>
      <c r="N840" s="29"/>
      <c r="O840" s="29">
        <v>1891751</v>
      </c>
      <c r="P840" s="29">
        <v>370784</v>
      </c>
      <c r="Q840" s="29">
        <v>0</v>
      </c>
      <c r="R840" s="30">
        <v>642828</v>
      </c>
    </row>
    <row r="841" spans="1:18">
      <c r="A841" s="27"/>
      <c r="B841" s="28">
        <v>837</v>
      </c>
      <c r="C841" s="1">
        <f>30000000+INDEX(编号表!$B:$B,MATCH(G841,编号表!$A:$A,0))*100000+INDEX(编号表!$F:$F,MATCH(H841,编号表!$E:$E,0))*1000+INDEX(编号表!$D:$D,MATCH(F841,编号表!$C:$C,0))*10000+E841</f>
        <v>31466003</v>
      </c>
      <c r="D841" s="23" t="s">
        <v>902</v>
      </c>
      <c r="E841" s="23">
        <v>3</v>
      </c>
      <c r="F841" s="23" t="s">
        <v>738</v>
      </c>
      <c r="G841" s="23" t="s">
        <v>77</v>
      </c>
      <c r="H841" s="23" t="s">
        <v>202</v>
      </c>
      <c r="I841" s="23"/>
      <c r="J841" s="23"/>
      <c r="K841" s="23"/>
      <c r="L841" s="29">
        <v>0</v>
      </c>
      <c r="M841" s="29">
        <v>4</v>
      </c>
      <c r="N841" s="29"/>
      <c r="O841" s="29">
        <v>1891751</v>
      </c>
      <c r="P841" s="29">
        <v>1085866</v>
      </c>
      <c r="Q841" s="29">
        <v>0</v>
      </c>
      <c r="R841" s="30">
        <v>397941</v>
      </c>
    </row>
    <row r="842" spans="1:18">
      <c r="A842" s="27"/>
      <c r="B842" s="28">
        <v>838</v>
      </c>
      <c r="C842" s="1">
        <f>30000000+INDEX(编号表!$B:$B,MATCH(G842,编号表!$A:$A,0))*100000+INDEX(编号表!$F:$F,MATCH(H842,编号表!$E:$E,0))*1000+INDEX(编号表!$D:$D,MATCH(F842,编号表!$C:$C,0))*10000+E842</f>
        <v>31666000</v>
      </c>
      <c r="D842" s="23" t="s">
        <v>903</v>
      </c>
      <c r="E842" s="23">
        <v>0</v>
      </c>
      <c r="F842" s="23" t="s">
        <v>738</v>
      </c>
      <c r="G842" s="23" t="s">
        <v>82</v>
      </c>
      <c r="H842" s="23" t="s">
        <v>202</v>
      </c>
      <c r="I842" s="23"/>
      <c r="J842" s="23"/>
      <c r="K842" s="23"/>
      <c r="L842" s="29">
        <v>7</v>
      </c>
      <c r="M842" s="29">
        <v>0</v>
      </c>
      <c r="N842" s="29"/>
      <c r="O842" s="29">
        <v>0</v>
      </c>
      <c r="P842" s="29">
        <v>0</v>
      </c>
      <c r="Q842" s="29">
        <v>0</v>
      </c>
      <c r="R842" s="30">
        <v>183665</v>
      </c>
    </row>
    <row r="843" spans="1:18">
      <c r="A843" s="27"/>
      <c r="B843" s="28">
        <v>839</v>
      </c>
      <c r="C843" s="1">
        <f>30000000+INDEX(编号表!$B:$B,MATCH(G843,编号表!$A:$A,0))*100000+INDEX(编号表!$F:$F,MATCH(H843,编号表!$E:$E,0))*1000+INDEX(编号表!$D:$D,MATCH(F843,编号表!$C:$C,0))*10000+E843</f>
        <v>31666001</v>
      </c>
      <c r="D843" s="23" t="s">
        <v>904</v>
      </c>
      <c r="E843" s="23">
        <v>1</v>
      </c>
      <c r="F843" s="23" t="s">
        <v>738</v>
      </c>
      <c r="G843" s="23" t="s">
        <v>82</v>
      </c>
      <c r="H843" s="23" t="s">
        <v>202</v>
      </c>
      <c r="I843" s="23"/>
      <c r="J843" s="23"/>
      <c r="K843" s="23"/>
      <c r="L843" s="29">
        <v>8</v>
      </c>
      <c r="M843" s="29">
        <v>0</v>
      </c>
      <c r="N843" s="29"/>
      <c r="O843" s="29">
        <v>0</v>
      </c>
      <c r="P843" s="29">
        <v>0</v>
      </c>
      <c r="Q843" s="29">
        <v>0</v>
      </c>
      <c r="R843" s="30">
        <v>336719</v>
      </c>
    </row>
    <row r="844" spans="1:18">
      <c r="A844" s="27"/>
      <c r="B844" s="28">
        <v>840</v>
      </c>
      <c r="C844" s="1">
        <f>30000000+INDEX(编号表!$B:$B,MATCH(G844,编号表!$A:$A,0))*100000+INDEX(编号表!$F:$F,MATCH(H844,编号表!$E:$E,0))*1000+INDEX(编号表!$D:$D,MATCH(F844,编号表!$C:$C,0))*10000+E844</f>
        <v>31666002</v>
      </c>
      <c r="D844" s="23" t="s">
        <v>905</v>
      </c>
      <c r="E844" s="23">
        <v>2</v>
      </c>
      <c r="F844" s="23" t="s">
        <v>738</v>
      </c>
      <c r="G844" s="23" t="s">
        <v>82</v>
      </c>
      <c r="H844" s="23" t="s">
        <v>202</v>
      </c>
      <c r="I844" s="23"/>
      <c r="J844" s="23"/>
      <c r="K844" s="23"/>
      <c r="L844" s="29">
        <v>9</v>
      </c>
      <c r="M844" s="29">
        <v>0</v>
      </c>
      <c r="N844" s="29"/>
      <c r="O844" s="29">
        <v>0</v>
      </c>
      <c r="P844" s="29">
        <v>0</v>
      </c>
      <c r="Q844" s="29">
        <v>0</v>
      </c>
      <c r="R844" s="30">
        <v>520384</v>
      </c>
    </row>
    <row r="845" spans="1:18">
      <c r="A845" s="27"/>
      <c r="B845" s="28">
        <v>841</v>
      </c>
      <c r="C845" s="1">
        <f>30000000+INDEX(编号表!$B:$B,MATCH(G845,编号表!$A:$A,0))*100000+INDEX(编号表!$F:$F,MATCH(H845,编号表!$E:$E,0))*1000+INDEX(编号表!$D:$D,MATCH(F845,编号表!$C:$C,0))*10000+E845</f>
        <v>31271000</v>
      </c>
      <c r="D845" s="23" t="s">
        <v>906</v>
      </c>
      <c r="E845" s="23">
        <v>0</v>
      </c>
      <c r="F845" s="23" t="s">
        <v>907</v>
      </c>
      <c r="G845" s="23" t="s">
        <v>42</v>
      </c>
      <c r="H845" s="23" t="s">
        <v>43</v>
      </c>
      <c r="I845" s="23"/>
      <c r="J845" s="23"/>
      <c r="K845" s="23"/>
      <c r="L845" s="29">
        <v>0</v>
      </c>
      <c r="M845" s="29">
        <v>0</v>
      </c>
      <c r="N845" s="29"/>
      <c r="O845" s="29">
        <v>486000</v>
      </c>
      <c r="P845" s="29">
        <v>267300</v>
      </c>
      <c r="Q845" s="29">
        <v>2430000</v>
      </c>
      <c r="R845" s="30">
        <v>43740</v>
      </c>
    </row>
    <row r="846" spans="1:18">
      <c r="A846" s="27"/>
      <c r="B846" s="28">
        <v>842</v>
      </c>
      <c r="C846" s="1">
        <f>30000000+INDEX(编号表!$B:$B,MATCH(G846,编号表!$A:$A,0))*100000+INDEX(编号表!$F:$F,MATCH(H846,编号表!$E:$E,0))*1000+INDEX(编号表!$D:$D,MATCH(F846,编号表!$C:$C,0))*10000+E846</f>
        <v>31371000</v>
      </c>
      <c r="D846" s="23" t="s">
        <v>908</v>
      </c>
      <c r="E846" s="23">
        <v>0</v>
      </c>
      <c r="F846" s="23" t="s">
        <v>907</v>
      </c>
      <c r="G846" s="23" t="s">
        <v>45</v>
      </c>
      <c r="H846" s="23" t="s">
        <v>43</v>
      </c>
      <c r="I846" s="23" t="s">
        <v>46</v>
      </c>
      <c r="J846" s="23"/>
      <c r="K846" s="23"/>
      <c r="L846" s="29">
        <v>0</v>
      </c>
      <c r="M846" s="29">
        <v>-2</v>
      </c>
      <c r="N846" s="29"/>
      <c r="O846" s="29">
        <v>290385</v>
      </c>
      <c r="P846" s="29">
        <v>159712</v>
      </c>
      <c r="Q846" s="29">
        <v>0</v>
      </c>
      <c r="R846" s="30">
        <v>34020</v>
      </c>
    </row>
    <row r="847" spans="1:18">
      <c r="A847" s="27"/>
      <c r="B847" s="28">
        <v>843</v>
      </c>
      <c r="C847" s="1">
        <f>30000000+INDEX(编号表!$B:$B,MATCH(G847,编号表!$A:$A,0))*100000+INDEX(编号表!$F:$F,MATCH(H847,编号表!$E:$E,0))*1000+INDEX(编号表!$D:$D,MATCH(F847,编号表!$C:$C,0))*10000+E847</f>
        <v>31371001</v>
      </c>
      <c r="D847" s="23" t="s">
        <v>909</v>
      </c>
      <c r="E847" s="23">
        <v>1</v>
      </c>
      <c r="F847" s="23" t="s">
        <v>907</v>
      </c>
      <c r="G847" s="23" t="s">
        <v>45</v>
      </c>
      <c r="H847" s="23" t="s">
        <v>43</v>
      </c>
      <c r="I847" s="23" t="s">
        <v>46</v>
      </c>
      <c r="J847" s="23"/>
      <c r="K847" s="23"/>
      <c r="L847" s="29">
        <v>0</v>
      </c>
      <c r="M847" s="29">
        <v>3</v>
      </c>
      <c r="N847" s="29"/>
      <c r="O847" s="29">
        <v>310311</v>
      </c>
      <c r="P847" s="29">
        <v>211012</v>
      </c>
      <c r="Q847" s="29">
        <v>0</v>
      </c>
      <c r="R847" s="30">
        <v>43740</v>
      </c>
    </row>
    <row r="848" spans="1:18">
      <c r="A848" s="27"/>
      <c r="B848" s="28">
        <v>844</v>
      </c>
      <c r="C848" s="1">
        <f>30000000+INDEX(编号表!$B:$B,MATCH(G848,编号表!$A:$A,0))*100000+INDEX(编号表!$F:$F,MATCH(H848,编号表!$E:$E,0))*1000+INDEX(编号表!$D:$D,MATCH(F848,编号表!$C:$C,0))*10000+E848</f>
        <v>31371002</v>
      </c>
      <c r="D848" s="23" t="s">
        <v>910</v>
      </c>
      <c r="E848" s="23">
        <v>2</v>
      </c>
      <c r="F848" s="23" t="s">
        <v>907</v>
      </c>
      <c r="G848" s="23" t="s">
        <v>45</v>
      </c>
      <c r="H848" s="23" t="s">
        <v>43</v>
      </c>
      <c r="I848" s="23" t="s">
        <v>49</v>
      </c>
      <c r="J848" s="23"/>
      <c r="K848" s="23"/>
      <c r="L848" s="29">
        <v>0</v>
      </c>
      <c r="M848" s="29">
        <v>-1</v>
      </c>
      <c r="N848" s="29"/>
      <c r="O848" s="29">
        <v>275319</v>
      </c>
      <c r="P848" s="29">
        <v>99115</v>
      </c>
      <c r="Q848" s="29">
        <v>0</v>
      </c>
      <c r="R848" s="30">
        <v>47385</v>
      </c>
    </row>
    <row r="849" spans="1:18">
      <c r="A849" s="27"/>
      <c r="B849" s="28">
        <v>845</v>
      </c>
      <c r="C849" s="1">
        <f>30000000+INDEX(编号表!$B:$B,MATCH(G849,编号表!$A:$A,0))*100000+INDEX(编号表!$F:$F,MATCH(H849,编号表!$E:$E,0))*1000+INDEX(编号表!$D:$D,MATCH(F849,编号表!$C:$C,0))*10000+E849</f>
        <v>31371003</v>
      </c>
      <c r="D849" s="23" t="s">
        <v>911</v>
      </c>
      <c r="E849" s="23">
        <v>3</v>
      </c>
      <c r="F849" s="23" t="s">
        <v>907</v>
      </c>
      <c r="G849" s="23" t="s">
        <v>45</v>
      </c>
      <c r="H849" s="23" t="s">
        <v>43</v>
      </c>
      <c r="I849" s="23" t="s">
        <v>49</v>
      </c>
      <c r="J849" s="23"/>
      <c r="K849" s="23"/>
      <c r="L849" s="29">
        <v>0</v>
      </c>
      <c r="M849" s="29">
        <v>2</v>
      </c>
      <c r="N849" s="29"/>
      <c r="O849" s="29">
        <v>290385</v>
      </c>
      <c r="P849" s="29">
        <v>238116</v>
      </c>
      <c r="Q849" s="29">
        <v>0</v>
      </c>
      <c r="R849" s="30">
        <v>14580</v>
      </c>
    </row>
    <row r="850" spans="1:18">
      <c r="A850" s="27"/>
      <c r="B850" s="28">
        <v>846</v>
      </c>
      <c r="C850" s="1">
        <f>30000000+INDEX(编号表!$B:$B,MATCH(G850,编号表!$A:$A,0))*100000+INDEX(编号表!$F:$F,MATCH(H850,编号表!$E:$E,0))*1000+INDEX(编号表!$D:$D,MATCH(F850,编号表!$C:$C,0))*10000+E850</f>
        <v>31371004</v>
      </c>
      <c r="D850" s="23" t="s">
        <v>912</v>
      </c>
      <c r="E850" s="23">
        <v>4</v>
      </c>
      <c r="F850" s="23" t="s">
        <v>907</v>
      </c>
      <c r="G850" s="23" t="s">
        <v>45</v>
      </c>
      <c r="H850" s="23" t="s">
        <v>43</v>
      </c>
      <c r="I850" s="23" t="s">
        <v>52</v>
      </c>
      <c r="J850" s="23"/>
      <c r="K850" s="23"/>
      <c r="L850" s="29">
        <v>0</v>
      </c>
      <c r="M850" s="29">
        <v>-1</v>
      </c>
      <c r="N850" s="29"/>
      <c r="O850" s="29">
        <v>290385</v>
      </c>
      <c r="P850" s="29">
        <v>197462</v>
      </c>
      <c r="Q850" s="29">
        <v>0</v>
      </c>
      <c r="R850" s="30">
        <v>35235</v>
      </c>
    </row>
    <row r="851" spans="1:18">
      <c r="A851" s="27"/>
      <c r="B851" s="28">
        <v>847</v>
      </c>
      <c r="C851" s="1">
        <f>30000000+INDEX(编号表!$B:$B,MATCH(G851,编号表!$A:$A,0))*100000+INDEX(编号表!$F:$F,MATCH(H851,编号表!$E:$E,0))*1000+INDEX(编号表!$D:$D,MATCH(F851,编号表!$C:$C,0))*10000+E851</f>
        <v>31371005</v>
      </c>
      <c r="D851" s="23" t="inlineStr">
        <is>
          <t xml:space="preserve">十万载沸泉苔·凡株</t>
        </is>
      </c>
      <c r="E851" s="23">
        <v>5</v>
      </c>
      <c r="F851" s="23" t="s">
        <v>907</v>
      </c>
      <c r="G851" s="23" t="s">
        <v>45</v>
      </c>
      <c r="H851" s="23" t="s">
        <v>43</v>
      </c>
      <c r="I851" s="23" t="s">
        <v>52</v>
      </c>
      <c r="J851" s="23"/>
      <c r="K851" s="23"/>
      <c r="L851" s="29">
        <v>0</v>
      </c>
      <c r="M851" s="29">
        <v>4</v>
      </c>
      <c r="N851" s="29"/>
      <c r="O851" s="29">
        <v>300348</v>
      </c>
      <c r="P851" s="29">
        <v>246286</v>
      </c>
      <c r="Q851" s="29">
        <v>0</v>
      </c>
      <c r="R851" s="30">
        <v>63180</v>
      </c>
    </row>
    <row r="852" spans="1:18">
      <c r="A852" s="27"/>
      <c r="B852" s="28">
        <v>848</v>
      </c>
      <c r="C852" s="1">
        <f>30000000+INDEX(编号表!$B:$B,MATCH(G852,编号表!$A:$A,0))*100000+INDEX(编号表!$F:$F,MATCH(H852,编号表!$E:$E,0))*1000+INDEX(编号表!$D:$D,MATCH(F852,编号表!$C:$C,0))*10000+E852</f>
        <v>31371006</v>
      </c>
      <c r="D852" s="23" t="inlineStr">
        <is>
          <t xml:space="preserve">十万载丹露花·凡株</t>
        </is>
      </c>
      <c r="E852" s="23">
        <v>6</v>
      </c>
      <c r="F852" s="23" t="s">
        <v>907</v>
      </c>
      <c r="G852" s="23" t="s">
        <v>45</v>
      </c>
      <c r="H852" s="23" t="s">
        <v>43</v>
      </c>
      <c r="I852" s="23" t="s">
        <v>55</v>
      </c>
      <c r="J852" s="23"/>
      <c r="K852" s="23"/>
      <c r="L852" s="29">
        <v>0</v>
      </c>
      <c r="M852" s="29">
        <v>-1</v>
      </c>
      <c r="N852" s="29"/>
      <c r="O852" s="29">
        <v>300348</v>
      </c>
      <c r="P852" s="29">
        <v>84098</v>
      </c>
      <c r="Q852" s="29">
        <v>0</v>
      </c>
      <c r="R852" s="30">
        <v>102060</v>
      </c>
    </row>
    <row r="853" spans="1:18">
      <c r="A853" s="27"/>
      <c r="B853" s="28">
        <v>849</v>
      </c>
      <c r="C853" s="1">
        <f>30000000+INDEX(编号表!$B:$B,MATCH(G853,编号表!$A:$A,0))*100000+INDEX(编号表!$F:$F,MATCH(H853,编号表!$E:$E,0))*1000+INDEX(编号表!$D:$D,MATCH(F853,编号表!$C:$C,0))*10000+E853</f>
        <v>31371007</v>
      </c>
      <c r="D853" s="23" t="s">
        <v>915</v>
      </c>
      <c r="E853" s="23">
        <v>7</v>
      </c>
      <c r="F853" s="23" t="s">
        <v>907</v>
      </c>
      <c r="G853" s="23" t="s">
        <v>45</v>
      </c>
      <c r="H853" s="23" t="s">
        <v>43</v>
      </c>
      <c r="I853" s="23" t="s">
        <v>55</v>
      </c>
      <c r="J853" s="23"/>
      <c r="K853" s="23"/>
      <c r="L853" s="29">
        <v>0</v>
      </c>
      <c r="M853" s="29">
        <v>2</v>
      </c>
      <c r="N853" s="29"/>
      <c r="O853" s="29">
        <v>290385</v>
      </c>
      <c r="P853" s="29">
        <v>238116</v>
      </c>
      <c r="Q853" s="29">
        <v>0</v>
      </c>
      <c r="R853" s="30">
        <v>14580</v>
      </c>
    </row>
    <row r="854" spans="1:18">
      <c r="A854" s="27"/>
      <c r="B854" s="28">
        <v>850</v>
      </c>
      <c r="C854" s="1">
        <f>30000000+INDEX(编号表!$B:$B,MATCH(G854,编号表!$A:$A,0))*100000+INDEX(编号表!$F:$F,MATCH(H854,编号表!$E:$E,0))*1000+INDEX(编号表!$D:$D,MATCH(F854,编号表!$C:$C,0))*10000+E854</f>
        <v>31371008</v>
      </c>
      <c r="D854" s="23" t="s">
        <v>916</v>
      </c>
      <c r="E854" s="23">
        <v>8</v>
      </c>
      <c r="F854" s="23" t="s">
        <v>907</v>
      </c>
      <c r="G854" s="23" t="s">
        <v>45</v>
      </c>
      <c r="H854" s="23" t="s">
        <v>43</v>
      </c>
      <c r="I854" s="23" t="s">
        <v>58</v>
      </c>
      <c r="J854" s="23"/>
      <c r="K854" s="23"/>
      <c r="L854" s="29">
        <v>0</v>
      </c>
      <c r="M854" s="29">
        <v>-2</v>
      </c>
      <c r="N854" s="29"/>
      <c r="O854" s="29">
        <v>290385</v>
      </c>
      <c r="P854" s="29">
        <v>159712</v>
      </c>
      <c r="Q854" s="29">
        <v>0</v>
      </c>
      <c r="R854" s="30">
        <v>34020</v>
      </c>
    </row>
    <row r="855" spans="1:18">
      <c r="A855" s="27"/>
      <c r="B855" s="28">
        <v>851</v>
      </c>
      <c r="C855" s="1">
        <f>30000000+INDEX(编号表!$B:$B,MATCH(G855,编号表!$A:$A,0))*100000+INDEX(编号表!$F:$F,MATCH(H855,编号表!$E:$E,0))*1000+INDEX(编号表!$D:$D,MATCH(F855,编号表!$C:$C,0))*10000+E855</f>
        <v>31371009</v>
      </c>
      <c r="D855" s="23" t="s">
        <v>917</v>
      </c>
      <c r="E855" s="23">
        <v>9</v>
      </c>
      <c r="F855" s="23" t="s">
        <v>907</v>
      </c>
      <c r="G855" s="23" t="s">
        <v>45</v>
      </c>
      <c r="H855" s="23" t="s">
        <v>43</v>
      </c>
      <c r="I855" s="23" t="s">
        <v>58</v>
      </c>
      <c r="J855" s="23"/>
      <c r="K855" s="23"/>
      <c r="L855" s="29">
        <v>0</v>
      </c>
      <c r="M855" s="29">
        <v>1</v>
      </c>
      <c r="N855" s="29"/>
      <c r="O855" s="29">
        <v>275319</v>
      </c>
      <c r="P855" s="29">
        <v>99115</v>
      </c>
      <c r="Q855" s="29">
        <v>0</v>
      </c>
      <c r="R855" s="30">
        <v>47385</v>
      </c>
    </row>
    <row r="856" spans="1:18">
      <c r="A856" s="27"/>
      <c r="B856" s="28">
        <v>852</v>
      </c>
      <c r="C856" s="1">
        <f>30000000+INDEX(编号表!$B:$B,MATCH(G856,编号表!$A:$A,0))*100000+INDEX(编号表!$F:$F,MATCH(H856,编号表!$E:$E,0))*1000+INDEX(编号表!$D:$D,MATCH(F856,编号表!$C:$C,0))*10000+E856</f>
        <v>31571000</v>
      </c>
      <c r="D856" s="23" t="inlineStr">
        <is>
          <t xml:space="preserve">十万载霜辛草·凡株</t>
        </is>
      </c>
      <c r="E856" s="23">
        <v>0</v>
      </c>
      <c r="F856" s="23" t="s">
        <v>907</v>
      </c>
      <c r="G856" s="23" t="s">
        <v>61</v>
      </c>
      <c r="H856" s="23" t="s">
        <v>43</v>
      </c>
      <c r="I856" s="23"/>
      <c r="J856" s="23" t="s">
        <v>62</v>
      </c>
      <c r="K856" s="23"/>
      <c r="L856" s="29">
        <v>0</v>
      </c>
      <c r="M856" s="29">
        <v>-2</v>
      </c>
      <c r="N856" s="29"/>
      <c r="O856" s="29">
        <v>290385</v>
      </c>
      <c r="P856" s="29">
        <v>159712</v>
      </c>
      <c r="Q856" s="29">
        <v>0</v>
      </c>
      <c r="R856" s="30">
        <v>34020</v>
      </c>
    </row>
    <row r="857" spans="1:18">
      <c r="A857" s="27"/>
      <c r="B857" s="28">
        <v>853</v>
      </c>
      <c r="C857" s="1">
        <f>30000000+INDEX(编号表!$B:$B,MATCH(G857,编号表!$A:$A,0))*100000+INDEX(编号表!$F:$F,MATCH(H857,编号表!$E:$E,0))*1000+INDEX(编号表!$D:$D,MATCH(F857,编号表!$C:$C,0))*10000+E857</f>
        <v>31571001</v>
      </c>
      <c r="D857" s="23" t="s">
        <v>919</v>
      </c>
      <c r="E857" s="23">
        <v>1</v>
      </c>
      <c r="F857" s="23" t="s">
        <v>907</v>
      </c>
      <c r="G857" s="23" t="s">
        <v>61</v>
      </c>
      <c r="H857" s="23" t="s">
        <v>43</v>
      </c>
      <c r="I857" s="23"/>
      <c r="J857" s="23" t="s">
        <v>62</v>
      </c>
      <c r="K857" s="23"/>
      <c r="L857" s="29">
        <v>0</v>
      </c>
      <c r="M857" s="29">
        <v>3</v>
      </c>
      <c r="N857" s="29"/>
      <c r="O857" s="29">
        <v>310311</v>
      </c>
      <c r="P857" s="29">
        <v>211012</v>
      </c>
      <c r="Q857" s="29">
        <v>0</v>
      </c>
      <c r="R857" s="30">
        <v>43740</v>
      </c>
    </row>
    <row r="858" spans="1:18">
      <c r="A858" s="27"/>
      <c r="B858" s="28">
        <v>854</v>
      </c>
      <c r="C858" s="1">
        <f>30000000+INDEX(编号表!$B:$B,MATCH(G858,编号表!$A:$A,0))*100000+INDEX(编号表!$F:$F,MATCH(H858,编号表!$E:$E,0))*1000+INDEX(编号表!$D:$D,MATCH(F858,编号表!$C:$C,0))*10000+E858</f>
        <v>31571002</v>
      </c>
      <c r="D858" s="23" t="s">
        <v>920</v>
      </c>
      <c r="E858" s="23">
        <v>2</v>
      </c>
      <c r="F858" s="23" t="s">
        <v>907</v>
      </c>
      <c r="G858" s="23" t="s">
        <v>61</v>
      </c>
      <c r="H858" s="23" t="s">
        <v>43</v>
      </c>
      <c r="I858" s="23"/>
      <c r="J858" s="23" t="s">
        <v>65</v>
      </c>
      <c r="K858" s="23"/>
      <c r="L858" s="29">
        <v>0</v>
      </c>
      <c r="M858" s="29">
        <v>-1</v>
      </c>
      <c r="N858" s="29"/>
      <c r="O858" s="29">
        <v>275319</v>
      </c>
      <c r="P858" s="29">
        <v>99115</v>
      </c>
      <c r="Q858" s="29">
        <v>0</v>
      </c>
      <c r="R858" s="30">
        <v>47385</v>
      </c>
    </row>
    <row r="859" spans="1:18">
      <c r="A859" s="27"/>
      <c r="B859" s="28">
        <v>855</v>
      </c>
      <c r="C859" s="1">
        <f>30000000+INDEX(编号表!$B:$B,MATCH(G859,编号表!$A:$A,0))*100000+INDEX(编号表!$F:$F,MATCH(H859,编号表!$E:$E,0))*1000+INDEX(编号表!$D:$D,MATCH(F859,编号表!$C:$C,0))*10000+E859</f>
        <v>31571003</v>
      </c>
      <c r="D859" s="23" t="s">
        <v>921</v>
      </c>
      <c r="E859" s="23">
        <v>3</v>
      </c>
      <c r="F859" s="23" t="s">
        <v>907</v>
      </c>
      <c r="G859" s="23" t="s">
        <v>61</v>
      </c>
      <c r="H859" s="23" t="s">
        <v>43</v>
      </c>
      <c r="I859" s="23"/>
      <c r="J859" s="23" t="s">
        <v>65</v>
      </c>
      <c r="K859" s="23"/>
      <c r="L859" s="29">
        <v>0</v>
      </c>
      <c r="M859" s="29">
        <v>2</v>
      </c>
      <c r="N859" s="29"/>
      <c r="O859" s="29">
        <v>290385</v>
      </c>
      <c r="P859" s="29">
        <v>238116</v>
      </c>
      <c r="Q859" s="29">
        <v>0</v>
      </c>
      <c r="R859" s="30">
        <v>14580</v>
      </c>
    </row>
    <row r="860" spans="1:18">
      <c r="A860" s="27"/>
      <c r="B860" s="28">
        <v>856</v>
      </c>
      <c r="C860" s="1">
        <f>30000000+INDEX(编号表!$B:$B,MATCH(G860,编号表!$A:$A,0))*100000+INDEX(编号表!$F:$F,MATCH(H860,编号表!$E:$E,0))*1000+INDEX(编号表!$D:$D,MATCH(F860,编号表!$C:$C,0))*10000+E860</f>
        <v>31571004</v>
      </c>
      <c r="D860" s="23" t="s">
        <v>922</v>
      </c>
      <c r="E860" s="23">
        <v>4</v>
      </c>
      <c r="F860" s="23" t="s">
        <v>907</v>
      </c>
      <c r="G860" s="23" t="s">
        <v>61</v>
      </c>
      <c r="H860" s="23" t="s">
        <v>43</v>
      </c>
      <c r="I860" s="23"/>
      <c r="J860" s="23" t="s">
        <v>68</v>
      </c>
      <c r="K860" s="23"/>
      <c r="L860" s="29">
        <v>0</v>
      </c>
      <c r="M860" s="29">
        <v>-1</v>
      </c>
      <c r="N860" s="29"/>
      <c r="O860" s="29">
        <v>290385</v>
      </c>
      <c r="P860" s="29">
        <v>197462</v>
      </c>
      <c r="Q860" s="29">
        <v>0</v>
      </c>
      <c r="R860" s="30">
        <v>35235</v>
      </c>
    </row>
    <row r="861" spans="1:18">
      <c r="A861" s="27"/>
      <c r="B861" s="28">
        <v>857</v>
      </c>
      <c r="C861" s="1">
        <f>30000000+INDEX(编号表!$B:$B,MATCH(G861,编号表!$A:$A,0))*100000+INDEX(编号表!$F:$F,MATCH(H861,编号表!$E:$E,0))*1000+INDEX(编号表!$D:$D,MATCH(F861,编号表!$C:$C,0))*10000+E861</f>
        <v>31571005</v>
      </c>
      <c r="D861" s="23" t="s">
        <v>923</v>
      </c>
      <c r="E861" s="23">
        <v>5</v>
      </c>
      <c r="F861" s="23" t="s">
        <v>907</v>
      </c>
      <c r="G861" s="23" t="s">
        <v>61</v>
      </c>
      <c r="H861" s="23" t="s">
        <v>43</v>
      </c>
      <c r="I861" s="23"/>
      <c r="J861" s="23" t="s">
        <v>68</v>
      </c>
      <c r="K861" s="23"/>
      <c r="L861" s="29">
        <v>0</v>
      </c>
      <c r="M861" s="29">
        <v>4</v>
      </c>
      <c r="N861" s="29"/>
      <c r="O861" s="29">
        <v>300348</v>
      </c>
      <c r="P861" s="29">
        <v>246286</v>
      </c>
      <c r="Q861" s="29">
        <v>0</v>
      </c>
      <c r="R861" s="30">
        <v>63180</v>
      </c>
    </row>
    <row r="862" spans="1:18">
      <c r="A862" s="27"/>
      <c r="B862" s="28">
        <v>858</v>
      </c>
      <c r="C862" s="1">
        <f>30000000+INDEX(编号表!$B:$B,MATCH(G862,编号表!$A:$A,0))*100000+INDEX(编号表!$F:$F,MATCH(H862,编号表!$E:$E,0))*1000+INDEX(编号表!$D:$D,MATCH(F862,编号表!$C:$C,0))*10000+E862</f>
        <v>31571006</v>
      </c>
      <c r="D862" s="23" t="s">
        <v>924</v>
      </c>
      <c r="E862" s="23">
        <v>6</v>
      </c>
      <c r="F862" s="23" t="s">
        <v>907</v>
      </c>
      <c r="G862" s="23" t="s">
        <v>61</v>
      </c>
      <c r="H862" s="23" t="s">
        <v>43</v>
      </c>
      <c r="I862" s="23"/>
      <c r="J862" s="23" t="s">
        <v>71</v>
      </c>
      <c r="K862" s="23"/>
      <c r="L862" s="29">
        <v>0</v>
      </c>
      <c r="M862" s="29">
        <v>-1</v>
      </c>
      <c r="N862" s="29"/>
      <c r="O862" s="29">
        <v>300348</v>
      </c>
      <c r="P862" s="29">
        <v>84098</v>
      </c>
      <c r="Q862" s="29">
        <v>0</v>
      </c>
      <c r="R862" s="30">
        <v>102060</v>
      </c>
    </row>
    <row r="863" spans="1:18">
      <c r="A863" s="27"/>
      <c r="B863" s="28">
        <v>859</v>
      </c>
      <c r="C863" s="1">
        <f>30000000+INDEX(编号表!$B:$B,MATCH(G863,编号表!$A:$A,0))*100000+INDEX(编号表!$F:$F,MATCH(H863,编号表!$E:$E,0))*1000+INDEX(编号表!$D:$D,MATCH(F863,编号表!$C:$C,0))*10000+E863</f>
        <v>31571007</v>
      </c>
      <c r="D863" s="23" t="s">
        <v>925</v>
      </c>
      <c r="E863" s="23">
        <v>7</v>
      </c>
      <c r="F863" s="23" t="s">
        <v>907</v>
      </c>
      <c r="G863" s="23" t="s">
        <v>61</v>
      </c>
      <c r="H863" s="23" t="s">
        <v>43</v>
      </c>
      <c r="I863" s="23"/>
      <c r="J863" s="23" t="s">
        <v>71</v>
      </c>
      <c r="K863" s="23"/>
      <c r="L863" s="29">
        <v>0</v>
      </c>
      <c r="M863" s="29">
        <v>2</v>
      </c>
      <c r="N863" s="29"/>
      <c r="O863" s="29">
        <v>290385</v>
      </c>
      <c r="P863" s="29">
        <v>238116</v>
      </c>
      <c r="Q863" s="29">
        <v>0</v>
      </c>
      <c r="R863" s="30">
        <v>14580</v>
      </c>
    </row>
    <row r="864" spans="1:18">
      <c r="A864" s="27"/>
      <c r="B864" s="28">
        <v>860</v>
      </c>
      <c r="C864" s="1">
        <f>30000000+INDEX(编号表!$B:$B,MATCH(G864,编号表!$A:$A,0))*100000+INDEX(编号表!$F:$F,MATCH(H864,编号表!$E:$E,0))*1000+INDEX(编号表!$D:$D,MATCH(F864,编号表!$C:$C,0))*10000+E864</f>
        <v>31571008</v>
      </c>
      <c r="D864" s="23" t="s">
        <v>926</v>
      </c>
      <c r="E864" s="23">
        <v>8</v>
      </c>
      <c r="F864" s="23" t="s">
        <v>907</v>
      </c>
      <c r="G864" s="23" t="s">
        <v>61</v>
      </c>
      <c r="H864" s="23" t="s">
        <v>43</v>
      </c>
      <c r="I864" s="23"/>
      <c r="J864" s="23" t="s">
        <v>74</v>
      </c>
      <c r="K864" s="23"/>
      <c r="L864" s="29">
        <v>0</v>
      </c>
      <c r="M864" s="29">
        <v>-2</v>
      </c>
      <c r="N864" s="29"/>
      <c r="O864" s="29">
        <v>290385</v>
      </c>
      <c r="P864" s="29">
        <v>159712</v>
      </c>
      <c r="Q864" s="29">
        <v>0</v>
      </c>
      <c r="R864" s="30">
        <v>34020</v>
      </c>
    </row>
    <row r="865" spans="1:18">
      <c r="A865" s="27"/>
      <c r="B865" s="28">
        <v>861</v>
      </c>
      <c r="C865" s="1">
        <f>30000000+INDEX(编号表!$B:$B,MATCH(G865,编号表!$A:$A,0))*100000+INDEX(编号表!$F:$F,MATCH(H865,编号表!$E:$E,0))*1000+INDEX(编号表!$D:$D,MATCH(F865,编号表!$C:$C,0))*10000+E865</f>
        <v>31571009</v>
      </c>
      <c r="D865" s="23" t="s">
        <v>927</v>
      </c>
      <c r="E865" s="23">
        <v>9</v>
      </c>
      <c r="F865" s="23" t="s">
        <v>907</v>
      </c>
      <c r="G865" s="23" t="s">
        <v>61</v>
      </c>
      <c r="H865" s="23" t="s">
        <v>43</v>
      </c>
      <c r="I865" s="23"/>
      <c r="J865" s="23" t="s">
        <v>74</v>
      </c>
      <c r="K865" s="23"/>
      <c r="L865" s="29">
        <v>0</v>
      </c>
      <c r="M865" s="29">
        <v>1</v>
      </c>
      <c r="N865" s="29"/>
      <c r="O865" s="29">
        <v>275319</v>
      </c>
      <c r="P865" s="29">
        <v>99115</v>
      </c>
      <c r="Q865" s="29">
        <v>0</v>
      </c>
      <c r="R865" s="30">
        <v>47385</v>
      </c>
    </row>
    <row r="866" spans="1:18">
      <c r="A866" s="27"/>
      <c r="B866" s="28">
        <v>862</v>
      </c>
      <c r="C866" s="1">
        <f>30000000+INDEX(编号表!$B:$B,MATCH(G866,编号表!$A:$A,0))*100000+INDEX(编号表!$F:$F,MATCH(H866,编号表!$E:$E,0))*1000+INDEX(编号表!$D:$D,MATCH(F866,编号表!$C:$C,0))*10000+E866</f>
        <v>31471000</v>
      </c>
      <c r="D866" s="23" t="s">
        <v>928</v>
      </c>
      <c r="E866" s="23">
        <v>0</v>
      </c>
      <c r="F866" s="23" t="s">
        <v>907</v>
      </c>
      <c r="G866" s="23" t="s">
        <v>77</v>
      </c>
      <c r="H866" s="23" t="s">
        <v>43</v>
      </c>
      <c r="I866" s="23"/>
      <c r="J866" s="23"/>
      <c r="K866" s="23"/>
      <c r="L866" s="29">
        <v>0</v>
      </c>
      <c r="M866" s="29">
        <v>0</v>
      </c>
      <c r="N866" s="29"/>
      <c r="O866" s="29">
        <v>275319</v>
      </c>
      <c r="P866" s="29">
        <v>77090</v>
      </c>
      <c r="Q866" s="29">
        <v>0</v>
      </c>
      <c r="R866" s="30">
        <v>55890</v>
      </c>
    </row>
    <row r="867" spans="1:18">
      <c r="A867" s="27"/>
      <c r="B867" s="28">
        <v>863</v>
      </c>
      <c r="C867" s="1">
        <f>30000000+INDEX(编号表!$B:$B,MATCH(G867,编号表!$A:$A,0))*100000+INDEX(编号表!$F:$F,MATCH(H867,编号表!$E:$E,0))*1000+INDEX(编号表!$D:$D,MATCH(F867,编号表!$C:$C,0))*10000+E867</f>
        <v>31471001</v>
      </c>
      <c r="D867" s="23" t="s">
        <v>929</v>
      </c>
      <c r="E867" s="23">
        <v>1</v>
      </c>
      <c r="F867" s="23" t="s">
        <v>907</v>
      </c>
      <c r="G867" s="23" t="s">
        <v>77</v>
      </c>
      <c r="H867" s="23" t="s">
        <v>43</v>
      </c>
      <c r="I867" s="23"/>
      <c r="J867" s="23"/>
      <c r="K867" s="23"/>
      <c r="L867" s="29">
        <v>0</v>
      </c>
      <c r="M867" s="29">
        <v>0</v>
      </c>
      <c r="N867" s="29"/>
      <c r="O867" s="29">
        <v>310311</v>
      </c>
      <c r="P867" s="29">
        <v>254456</v>
      </c>
      <c r="Q867" s="29">
        <v>0</v>
      </c>
      <c r="R867" s="30">
        <v>19440</v>
      </c>
    </row>
    <row r="868" spans="1:18">
      <c r="A868" s="27"/>
      <c r="B868" s="28">
        <v>864</v>
      </c>
      <c r="C868" s="1">
        <f>30000000+INDEX(编号表!$B:$B,MATCH(G868,编号表!$A:$A,0))*100000+INDEX(编号表!$F:$F,MATCH(H868,编号表!$E:$E,0))*1000+INDEX(编号表!$D:$D,MATCH(F868,编号表!$C:$C,0))*10000+E868</f>
        <v>31471002</v>
      </c>
      <c r="D868" s="23" t="s">
        <v>930</v>
      </c>
      <c r="E868" s="23">
        <v>2</v>
      </c>
      <c r="F868" s="23" t="s">
        <v>907</v>
      </c>
      <c r="G868" s="23" t="s">
        <v>77</v>
      </c>
      <c r="H868" s="23" t="s">
        <v>43</v>
      </c>
      <c r="I868" s="23"/>
      <c r="J868" s="23"/>
      <c r="K868" s="23"/>
      <c r="L868" s="29">
        <v>0</v>
      </c>
      <c r="M868" s="29">
        <v>1</v>
      </c>
      <c r="N868" s="29"/>
      <c r="O868" s="29">
        <v>300348</v>
      </c>
      <c r="P868" s="29">
        <v>84098</v>
      </c>
      <c r="Q868" s="29">
        <v>0</v>
      </c>
      <c r="R868" s="30">
        <v>102060</v>
      </c>
    </row>
    <row r="869" spans="1:18">
      <c r="A869" s="27"/>
      <c r="B869" s="28">
        <v>865</v>
      </c>
      <c r="C869" s="1">
        <f>30000000+INDEX(编号表!$B:$B,MATCH(G869,编号表!$A:$A,0))*100000+INDEX(编号表!$F:$F,MATCH(H869,编号表!$E:$E,0))*1000+INDEX(编号表!$D:$D,MATCH(F869,编号表!$C:$C,0))*10000+E869</f>
        <v>31471003</v>
      </c>
      <c r="D869" s="23" t="s">
        <v>931</v>
      </c>
      <c r="E869" s="23">
        <v>3</v>
      </c>
      <c r="F869" s="23" t="s">
        <v>907</v>
      </c>
      <c r="G869" s="23" t="s">
        <v>77</v>
      </c>
      <c r="H869" s="23" t="s">
        <v>43</v>
      </c>
      <c r="I869" s="23"/>
      <c r="J869" s="23"/>
      <c r="K869" s="23"/>
      <c r="L869" s="29">
        <v>0</v>
      </c>
      <c r="M869" s="29">
        <v>4</v>
      </c>
      <c r="N869" s="29"/>
      <c r="O869" s="29">
        <v>300348</v>
      </c>
      <c r="P869" s="29">
        <v>246286</v>
      </c>
      <c r="Q869" s="29">
        <v>0</v>
      </c>
      <c r="R869" s="30">
        <v>63180</v>
      </c>
    </row>
    <row r="870" spans="1:18">
      <c r="A870" s="27"/>
      <c r="B870" s="28">
        <v>866</v>
      </c>
      <c r="C870" s="1">
        <f>30000000+INDEX(编号表!$B:$B,MATCH(G870,编号表!$A:$A,0))*100000+INDEX(编号表!$F:$F,MATCH(H870,编号表!$E:$E,0))*1000+INDEX(编号表!$D:$D,MATCH(F870,编号表!$C:$C,0))*10000+E870</f>
        <v>31671000</v>
      </c>
      <c r="D870" s="23" t="s">
        <v>932</v>
      </c>
      <c r="E870" s="23">
        <v>0</v>
      </c>
      <c r="F870" s="23" t="s">
        <v>907</v>
      </c>
      <c r="G870" s="23" t="s">
        <v>82</v>
      </c>
      <c r="H870" s="23" t="s">
        <v>43</v>
      </c>
      <c r="I870" s="23"/>
      <c r="J870" s="23"/>
      <c r="K870" s="23"/>
      <c r="L870" s="29">
        <v>7</v>
      </c>
      <c r="M870" s="29">
        <v>0</v>
      </c>
      <c r="N870" s="29"/>
      <c r="O870" s="29">
        <v>0</v>
      </c>
      <c r="P870" s="29">
        <v>0</v>
      </c>
      <c r="Q870" s="29">
        <v>0</v>
      </c>
      <c r="R870" s="30">
        <v>29160</v>
      </c>
    </row>
    <row r="871" spans="1:18">
      <c r="A871" s="27"/>
      <c r="B871" s="28">
        <v>867</v>
      </c>
      <c r="C871" s="1">
        <f>30000000+INDEX(编号表!$B:$B,MATCH(G871,编号表!$A:$A,0))*100000+INDEX(编号表!$F:$F,MATCH(H871,编号表!$E:$E,0))*1000+INDEX(编号表!$D:$D,MATCH(F871,编号表!$C:$C,0))*10000+E871</f>
        <v>31671001</v>
      </c>
      <c r="D871" s="23" t="s">
        <v>933</v>
      </c>
      <c r="E871" s="23">
        <v>1</v>
      </c>
      <c r="F871" s="23" t="s">
        <v>907</v>
      </c>
      <c r="G871" s="23" t="s">
        <v>82</v>
      </c>
      <c r="H871" s="23" t="s">
        <v>43</v>
      </c>
      <c r="I871" s="23"/>
      <c r="J871" s="23"/>
      <c r="K871" s="23"/>
      <c r="L871" s="29">
        <v>8</v>
      </c>
      <c r="M871" s="29">
        <v>0</v>
      </c>
      <c r="N871" s="29"/>
      <c r="O871" s="29">
        <v>0</v>
      </c>
      <c r="P871" s="29">
        <v>0</v>
      </c>
      <c r="Q871" s="29">
        <v>0</v>
      </c>
      <c r="R871" s="30">
        <v>53460</v>
      </c>
    </row>
    <row r="872" spans="1:18">
      <c r="A872" s="27"/>
      <c r="B872" s="28">
        <v>868</v>
      </c>
      <c r="C872" s="1">
        <f>30000000+INDEX(编号表!$B:$B,MATCH(G872,编号表!$A:$A,0))*100000+INDEX(编号表!$F:$F,MATCH(H872,编号表!$E:$E,0))*1000+INDEX(编号表!$D:$D,MATCH(F872,编号表!$C:$C,0))*10000+E872</f>
        <v>31671002</v>
      </c>
      <c r="D872" s="23" t="s">
        <v>934</v>
      </c>
      <c r="E872" s="23">
        <v>2</v>
      </c>
      <c r="F872" s="23" t="s">
        <v>907</v>
      </c>
      <c r="G872" s="23" t="s">
        <v>82</v>
      </c>
      <c r="H872" s="23" t="s">
        <v>43</v>
      </c>
      <c r="I872" s="23"/>
      <c r="J872" s="23"/>
      <c r="K872" s="23"/>
      <c r="L872" s="29">
        <v>9</v>
      </c>
      <c r="M872" s="29">
        <v>0</v>
      </c>
      <c r="N872" s="29"/>
      <c r="O872" s="29">
        <v>0</v>
      </c>
      <c r="P872" s="29">
        <v>0</v>
      </c>
      <c r="Q872" s="29">
        <v>0</v>
      </c>
      <c r="R872" s="30">
        <v>82620</v>
      </c>
    </row>
    <row r="873" spans="1:18">
      <c r="A873" s="27"/>
      <c r="B873" s="28">
        <v>869</v>
      </c>
      <c r="C873" s="1">
        <f>30000000+INDEX(编号表!$B:$B,MATCH(G873,编号表!$A:$A,0))*100000+INDEX(编号表!$F:$F,MATCH(H873,编号表!$E:$E,0))*1000+INDEX(编号表!$D:$D,MATCH(F873,编号表!$C:$C,0))*10000+E873</f>
        <v>31272000</v>
      </c>
      <c r="D873" s="23" t="s">
        <v>935</v>
      </c>
      <c r="E873" s="23">
        <v>0</v>
      </c>
      <c r="F873" s="23" t="s">
        <v>907</v>
      </c>
      <c r="G873" s="23" t="s">
        <v>42</v>
      </c>
      <c r="H873" s="23" t="s">
        <v>86</v>
      </c>
      <c r="I873" s="23"/>
      <c r="J873" s="23"/>
      <c r="K873" s="23"/>
      <c r="L873" s="29">
        <v>0</v>
      </c>
      <c r="M873" s="29">
        <v>0</v>
      </c>
      <c r="N873" s="29"/>
      <c r="O873" s="29">
        <v>874800</v>
      </c>
      <c r="P873" s="29">
        <v>466706</v>
      </c>
      <c r="Q873" s="29">
        <v>4374000</v>
      </c>
      <c r="R873" s="30">
        <v>78732</v>
      </c>
    </row>
    <row r="874" spans="1:18">
      <c r="A874" s="27"/>
      <c r="B874" s="28">
        <v>870</v>
      </c>
      <c r="C874" s="1">
        <f>30000000+INDEX(编号表!$B:$B,MATCH(G874,编号表!$A:$A,0))*100000+INDEX(编号表!$F:$F,MATCH(H874,编号表!$E:$E,0))*1000+INDEX(编号表!$D:$D,MATCH(F874,编号表!$C:$C,0))*10000+E874</f>
        <v>31372000</v>
      </c>
      <c r="D874" s="23" t="s">
        <v>936</v>
      </c>
      <c r="E874" s="23">
        <v>0</v>
      </c>
      <c r="F874" s="23" t="s">
        <v>907</v>
      </c>
      <c r="G874" s="23" t="s">
        <v>45</v>
      </c>
      <c r="H874" s="23" t="s">
        <v>86</v>
      </c>
      <c r="I874" s="23" t="s">
        <v>46</v>
      </c>
      <c r="J874" s="23"/>
      <c r="K874" s="23"/>
      <c r="L874" s="29">
        <v>0</v>
      </c>
      <c r="M874" s="29">
        <v>-2</v>
      </c>
      <c r="N874" s="29"/>
      <c r="O874" s="29">
        <v>522693</v>
      </c>
      <c r="P874" s="29">
        <v>278857</v>
      </c>
      <c r="Q874" s="29">
        <v>0</v>
      </c>
      <c r="R874" s="30">
        <v>61236</v>
      </c>
    </row>
    <row r="875" spans="1:18">
      <c r="A875" s="27"/>
      <c r="B875" s="28">
        <v>871</v>
      </c>
      <c r="C875" s="1">
        <f>30000000+INDEX(编号表!$B:$B,MATCH(G875,编号表!$A:$A,0))*100000+INDEX(编号表!$F:$F,MATCH(H875,编号表!$E:$E,0))*1000+INDEX(编号表!$D:$D,MATCH(F875,编号表!$C:$C,0))*10000+E875</f>
        <v>31372001</v>
      </c>
      <c r="D875" s="23" t="s">
        <v>937</v>
      </c>
      <c r="E875" s="23">
        <v>1</v>
      </c>
      <c r="F875" s="23" t="s">
        <v>907</v>
      </c>
      <c r="G875" s="23" t="s">
        <v>45</v>
      </c>
      <c r="H875" s="23" t="s">
        <v>86</v>
      </c>
      <c r="I875" s="23" t="s">
        <v>46</v>
      </c>
      <c r="J875" s="23"/>
      <c r="K875" s="23"/>
      <c r="L875" s="29">
        <v>0</v>
      </c>
      <c r="M875" s="29">
        <v>3</v>
      </c>
      <c r="N875" s="29"/>
      <c r="O875" s="29">
        <v>558559</v>
      </c>
      <c r="P875" s="29">
        <v>368426</v>
      </c>
      <c r="Q875" s="29">
        <v>0</v>
      </c>
      <c r="R875" s="30">
        <v>78732</v>
      </c>
    </row>
    <row r="876" spans="1:18">
      <c r="A876" s="27"/>
      <c r="B876" s="28">
        <v>872</v>
      </c>
      <c r="C876" s="1">
        <f>30000000+INDEX(编号表!$B:$B,MATCH(G876,编号表!$A:$A,0))*100000+INDEX(编号表!$F:$F,MATCH(H876,编号表!$E:$E,0))*1000+INDEX(编号表!$D:$D,MATCH(F876,编号表!$C:$C,0))*10000+E876</f>
        <v>31372002</v>
      </c>
      <c r="D876" s="23" t="s">
        <v>938</v>
      </c>
      <c r="E876" s="23">
        <v>2</v>
      </c>
      <c r="F876" s="23" t="s">
        <v>907</v>
      </c>
      <c r="G876" s="23" t="s">
        <v>45</v>
      </c>
      <c r="H876" s="23" t="s">
        <v>86</v>
      </c>
      <c r="I876" s="23" t="s">
        <v>49</v>
      </c>
      <c r="J876" s="23"/>
      <c r="K876" s="23"/>
      <c r="L876" s="29">
        <v>0</v>
      </c>
      <c r="M876" s="29">
        <v>-1</v>
      </c>
      <c r="N876" s="29"/>
      <c r="O876" s="29">
        <v>495574</v>
      </c>
      <c r="P876" s="29">
        <v>173055</v>
      </c>
      <c r="Q876" s="29">
        <v>0</v>
      </c>
      <c r="R876" s="30">
        <v>85293</v>
      </c>
    </row>
    <row r="877" spans="1:18">
      <c r="A877" s="27"/>
      <c r="B877" s="28">
        <v>873</v>
      </c>
      <c r="C877" s="1">
        <f>30000000+INDEX(编号表!$B:$B,MATCH(G877,编号表!$A:$A,0))*100000+INDEX(编号表!$F:$F,MATCH(H877,编号表!$E:$E,0))*1000+INDEX(编号表!$D:$D,MATCH(F877,编号表!$C:$C,0))*10000+E877</f>
        <v>31372003</v>
      </c>
      <c r="D877" s="23" t="s">
        <v>939</v>
      </c>
      <c r="E877" s="23">
        <v>3</v>
      </c>
      <c r="F877" s="23" t="s">
        <v>907</v>
      </c>
      <c r="G877" s="23" t="s">
        <v>45</v>
      </c>
      <c r="H877" s="23" t="s">
        <v>86</v>
      </c>
      <c r="I877" s="23" t="s">
        <v>49</v>
      </c>
      <c r="J877" s="23"/>
      <c r="K877" s="23"/>
      <c r="L877" s="29">
        <v>0</v>
      </c>
      <c r="M877" s="29">
        <v>2</v>
      </c>
      <c r="N877" s="29"/>
      <c r="O877" s="29">
        <v>522693</v>
      </c>
      <c r="P877" s="29">
        <v>415751</v>
      </c>
      <c r="Q877" s="29">
        <v>0</v>
      </c>
      <c r="R877" s="30">
        <v>26244</v>
      </c>
    </row>
    <row r="878" spans="1:18">
      <c r="A878" s="27"/>
      <c r="B878" s="28">
        <v>874</v>
      </c>
      <c r="C878" s="1">
        <f>30000000+INDEX(编号表!$B:$B,MATCH(G878,编号表!$A:$A,0))*100000+INDEX(编号表!$F:$F,MATCH(H878,编号表!$E:$E,0))*1000+INDEX(编号表!$D:$D,MATCH(F878,编号表!$C:$C,0))*10000+E878</f>
        <v>31372004</v>
      </c>
      <c r="D878" s="23" t="s">
        <v>940</v>
      </c>
      <c r="E878" s="23">
        <v>4</v>
      </c>
      <c r="F878" s="23" t="s">
        <v>907</v>
      </c>
      <c r="G878" s="23" t="s">
        <v>45</v>
      </c>
      <c r="H878" s="23" t="s">
        <v>86</v>
      </c>
      <c r="I878" s="23" t="s">
        <v>52</v>
      </c>
      <c r="J878" s="23"/>
      <c r="K878" s="23"/>
      <c r="L878" s="29">
        <v>0</v>
      </c>
      <c r="M878" s="29">
        <v>-1</v>
      </c>
      <c r="N878" s="29"/>
      <c r="O878" s="29">
        <v>522693</v>
      </c>
      <c r="P878" s="29">
        <v>344769</v>
      </c>
      <c r="Q878" s="29">
        <v>0</v>
      </c>
      <c r="R878" s="30">
        <v>63423</v>
      </c>
    </row>
    <row r="879" spans="1:18">
      <c r="A879" s="27"/>
      <c r="B879" s="28">
        <v>875</v>
      </c>
      <c r="C879" s="1">
        <f>30000000+INDEX(编号表!$B:$B,MATCH(G879,编号表!$A:$A,0))*100000+INDEX(编号表!$F:$F,MATCH(H879,编号表!$E:$E,0))*1000+INDEX(编号表!$D:$D,MATCH(F879,编号表!$C:$C,0))*10000+E879</f>
        <v>31372005</v>
      </c>
      <c r="D879" s="23" t="inlineStr">
        <is>
          <t xml:space="preserve">十万载沸泉苔·灵株</t>
        </is>
      </c>
      <c r="E879" s="23">
        <v>5</v>
      </c>
      <c r="F879" s="23" t="s">
        <v>907</v>
      </c>
      <c r="G879" s="23" t="s">
        <v>45</v>
      </c>
      <c r="H879" s="23" t="s">
        <v>86</v>
      </c>
      <c r="I879" s="23" t="s">
        <v>52</v>
      </c>
      <c r="J879" s="23"/>
      <c r="K879" s="23"/>
      <c r="L879" s="29">
        <v>0</v>
      </c>
      <c r="M879" s="29">
        <v>4</v>
      </c>
      <c r="N879" s="29"/>
      <c r="O879" s="29">
        <v>540626</v>
      </c>
      <c r="P879" s="29">
        <v>430014</v>
      </c>
      <c r="Q879" s="29">
        <v>0</v>
      </c>
      <c r="R879" s="30">
        <v>113724</v>
      </c>
    </row>
    <row r="880" spans="1:18">
      <c r="A880" s="27"/>
      <c r="B880" s="28">
        <v>876</v>
      </c>
      <c r="C880" s="1">
        <f>30000000+INDEX(编号表!$B:$B,MATCH(G880,编号表!$A:$A,0))*100000+INDEX(编号表!$F:$F,MATCH(H880,编号表!$E:$E,0))*1000+INDEX(编号表!$D:$D,MATCH(F880,编号表!$C:$C,0))*10000+E880</f>
        <v>31372006</v>
      </c>
      <c r="D880" s="23" t="inlineStr">
        <is>
          <t xml:space="preserve">十万载丹露花·灵株</t>
        </is>
      </c>
      <c r="E880" s="23">
        <v>6</v>
      </c>
      <c r="F880" s="23" t="s">
        <v>907</v>
      </c>
      <c r="G880" s="23" t="s">
        <v>45</v>
      </c>
      <c r="H880" s="23" t="s">
        <v>86</v>
      </c>
      <c r="I880" s="23" t="s">
        <v>55</v>
      </c>
      <c r="J880" s="23"/>
      <c r="K880" s="23"/>
      <c r="L880" s="29">
        <v>0</v>
      </c>
      <c r="M880" s="29">
        <v>-1</v>
      </c>
      <c r="N880" s="29"/>
      <c r="O880" s="29">
        <v>540626</v>
      </c>
      <c r="P880" s="29">
        <v>146835</v>
      </c>
      <c r="Q880" s="29">
        <v>0</v>
      </c>
      <c r="R880" s="30">
        <v>183708</v>
      </c>
    </row>
    <row r="881" spans="1:18">
      <c r="A881" s="27"/>
      <c r="B881" s="28">
        <v>877</v>
      </c>
      <c r="C881" s="1">
        <f>30000000+INDEX(编号表!$B:$B,MATCH(G881,编号表!$A:$A,0))*100000+INDEX(编号表!$F:$F,MATCH(H881,编号表!$E:$E,0))*1000+INDEX(编号表!$D:$D,MATCH(F881,编号表!$C:$C,0))*10000+E881</f>
        <v>31372007</v>
      </c>
      <c r="D881" s="23" t="s">
        <v>943</v>
      </c>
      <c r="E881" s="23">
        <v>7</v>
      </c>
      <c r="F881" s="23" t="s">
        <v>907</v>
      </c>
      <c r="G881" s="23" t="s">
        <v>45</v>
      </c>
      <c r="H881" s="23" t="s">
        <v>86</v>
      </c>
      <c r="I881" s="23" t="s">
        <v>55</v>
      </c>
      <c r="J881" s="23"/>
      <c r="K881" s="23"/>
      <c r="L881" s="29">
        <v>0</v>
      </c>
      <c r="M881" s="29">
        <v>2</v>
      </c>
      <c r="N881" s="29"/>
      <c r="O881" s="29">
        <v>522693</v>
      </c>
      <c r="P881" s="29">
        <v>415751</v>
      </c>
      <c r="Q881" s="29">
        <v>0</v>
      </c>
      <c r="R881" s="30">
        <v>26244</v>
      </c>
    </row>
    <row r="882" spans="1:18">
      <c r="A882" s="27"/>
      <c r="B882" s="28">
        <v>878</v>
      </c>
      <c r="C882" s="1">
        <f>30000000+INDEX(编号表!$B:$B,MATCH(G882,编号表!$A:$A,0))*100000+INDEX(编号表!$F:$F,MATCH(H882,编号表!$E:$E,0))*1000+INDEX(编号表!$D:$D,MATCH(F882,编号表!$C:$C,0))*10000+E882</f>
        <v>31372008</v>
      </c>
      <c r="D882" s="23" t="s">
        <v>944</v>
      </c>
      <c r="E882" s="23">
        <v>8</v>
      </c>
      <c r="F882" s="23" t="s">
        <v>907</v>
      </c>
      <c r="G882" s="23" t="s">
        <v>45</v>
      </c>
      <c r="H882" s="23" t="s">
        <v>86</v>
      </c>
      <c r="I882" s="23" t="s">
        <v>58</v>
      </c>
      <c r="J882" s="23"/>
      <c r="K882" s="23"/>
      <c r="L882" s="29">
        <v>0</v>
      </c>
      <c r="M882" s="29">
        <v>-2</v>
      </c>
      <c r="N882" s="29"/>
      <c r="O882" s="29">
        <v>522693</v>
      </c>
      <c r="P882" s="29">
        <v>278857</v>
      </c>
      <c r="Q882" s="29">
        <v>0</v>
      </c>
      <c r="R882" s="30">
        <v>61236</v>
      </c>
    </row>
    <row r="883" spans="1:18">
      <c r="A883" s="27"/>
      <c r="B883" s="28">
        <v>879</v>
      </c>
      <c r="C883" s="1">
        <f>30000000+INDEX(编号表!$B:$B,MATCH(G883,编号表!$A:$A,0))*100000+INDEX(编号表!$F:$F,MATCH(H883,编号表!$E:$E,0))*1000+INDEX(编号表!$D:$D,MATCH(F883,编号表!$C:$C,0))*10000+E883</f>
        <v>31372009</v>
      </c>
      <c r="D883" s="23" t="s">
        <v>945</v>
      </c>
      <c r="E883" s="23">
        <v>9</v>
      </c>
      <c r="F883" s="23" t="s">
        <v>907</v>
      </c>
      <c r="G883" s="23" t="s">
        <v>45</v>
      </c>
      <c r="H883" s="23" t="s">
        <v>86</v>
      </c>
      <c r="I883" s="23" t="s">
        <v>58</v>
      </c>
      <c r="J883" s="23"/>
      <c r="K883" s="23"/>
      <c r="L883" s="29">
        <v>0</v>
      </c>
      <c r="M883" s="29">
        <v>1</v>
      </c>
      <c r="N883" s="29"/>
      <c r="O883" s="29">
        <v>495574</v>
      </c>
      <c r="P883" s="29">
        <v>173055</v>
      </c>
      <c r="Q883" s="29">
        <v>0</v>
      </c>
      <c r="R883" s="30">
        <v>85293</v>
      </c>
    </row>
    <row r="884" spans="1:18">
      <c r="A884" s="27"/>
      <c r="B884" s="28">
        <v>880</v>
      </c>
      <c r="C884" s="1">
        <f>30000000+INDEX(编号表!$B:$B,MATCH(G884,编号表!$A:$A,0))*100000+INDEX(编号表!$F:$F,MATCH(H884,编号表!$E:$E,0))*1000+INDEX(编号表!$D:$D,MATCH(F884,编号表!$C:$C,0))*10000+E884</f>
        <v>31572000</v>
      </c>
      <c r="D884" s="23" t="inlineStr">
        <is>
          <t xml:space="preserve">十万载霜辛草·灵株</t>
        </is>
      </c>
      <c r="E884" s="23">
        <v>0</v>
      </c>
      <c r="F884" s="23" t="s">
        <v>907</v>
      </c>
      <c r="G884" s="23" t="s">
        <v>61</v>
      </c>
      <c r="H884" s="23" t="s">
        <v>86</v>
      </c>
      <c r="I884" s="23"/>
      <c r="J884" s="23" t="s">
        <v>62</v>
      </c>
      <c r="K884" s="23"/>
      <c r="L884" s="29">
        <v>0</v>
      </c>
      <c r="M884" s="29">
        <v>-2</v>
      </c>
      <c r="N884" s="29"/>
      <c r="O884" s="29">
        <v>522693</v>
      </c>
      <c r="P884" s="29">
        <v>278857</v>
      </c>
      <c r="Q884" s="29">
        <v>0</v>
      </c>
      <c r="R884" s="30">
        <v>61236</v>
      </c>
    </row>
    <row r="885" spans="1:18">
      <c r="A885" s="27"/>
      <c r="B885" s="28">
        <v>881</v>
      </c>
      <c r="C885" s="1">
        <f>30000000+INDEX(编号表!$B:$B,MATCH(G885,编号表!$A:$A,0))*100000+INDEX(编号表!$F:$F,MATCH(H885,编号表!$E:$E,0))*1000+INDEX(编号表!$D:$D,MATCH(F885,编号表!$C:$C,0))*10000+E885</f>
        <v>31572001</v>
      </c>
      <c r="D885" s="23" t="s">
        <v>947</v>
      </c>
      <c r="E885" s="23">
        <v>1</v>
      </c>
      <c r="F885" s="23" t="s">
        <v>907</v>
      </c>
      <c r="G885" s="23" t="s">
        <v>61</v>
      </c>
      <c r="H885" s="23" t="s">
        <v>86</v>
      </c>
      <c r="I885" s="23"/>
      <c r="J885" s="23" t="s">
        <v>62</v>
      </c>
      <c r="K885" s="23"/>
      <c r="L885" s="29">
        <v>0</v>
      </c>
      <c r="M885" s="29">
        <v>3</v>
      </c>
      <c r="N885" s="29"/>
      <c r="O885" s="29">
        <v>558559</v>
      </c>
      <c r="P885" s="29">
        <v>368426</v>
      </c>
      <c r="Q885" s="29">
        <v>0</v>
      </c>
      <c r="R885" s="30">
        <v>78732</v>
      </c>
    </row>
    <row r="886" spans="1:18">
      <c r="A886" s="27"/>
      <c r="B886" s="28">
        <v>882</v>
      </c>
      <c r="C886" s="1">
        <f>30000000+INDEX(编号表!$B:$B,MATCH(G886,编号表!$A:$A,0))*100000+INDEX(编号表!$F:$F,MATCH(H886,编号表!$E:$E,0))*1000+INDEX(编号表!$D:$D,MATCH(F886,编号表!$C:$C,0))*10000+E886</f>
        <v>31572002</v>
      </c>
      <c r="D886" s="23" t="s">
        <v>948</v>
      </c>
      <c r="E886" s="23">
        <v>2</v>
      </c>
      <c r="F886" s="23" t="s">
        <v>907</v>
      </c>
      <c r="G886" s="23" t="s">
        <v>61</v>
      </c>
      <c r="H886" s="23" t="s">
        <v>86</v>
      </c>
      <c r="I886" s="23"/>
      <c r="J886" s="23" t="s">
        <v>65</v>
      </c>
      <c r="K886" s="23"/>
      <c r="L886" s="29">
        <v>0</v>
      </c>
      <c r="M886" s="29">
        <v>-1</v>
      </c>
      <c r="N886" s="29"/>
      <c r="O886" s="29">
        <v>495574</v>
      </c>
      <c r="P886" s="29">
        <v>173055</v>
      </c>
      <c r="Q886" s="29">
        <v>0</v>
      </c>
      <c r="R886" s="30">
        <v>85293</v>
      </c>
    </row>
    <row r="887" spans="1:18">
      <c r="A887" s="27"/>
      <c r="B887" s="28">
        <v>883</v>
      </c>
      <c r="C887" s="1">
        <f>30000000+INDEX(编号表!$B:$B,MATCH(G887,编号表!$A:$A,0))*100000+INDEX(编号表!$F:$F,MATCH(H887,编号表!$E:$E,0))*1000+INDEX(编号表!$D:$D,MATCH(F887,编号表!$C:$C,0))*10000+E887</f>
        <v>31572003</v>
      </c>
      <c r="D887" s="23" t="s">
        <v>949</v>
      </c>
      <c r="E887" s="23">
        <v>3</v>
      </c>
      <c r="F887" s="23" t="s">
        <v>907</v>
      </c>
      <c r="G887" s="23" t="s">
        <v>61</v>
      </c>
      <c r="H887" s="23" t="s">
        <v>86</v>
      </c>
      <c r="I887" s="23"/>
      <c r="J887" s="23" t="s">
        <v>65</v>
      </c>
      <c r="K887" s="23"/>
      <c r="L887" s="29">
        <v>0</v>
      </c>
      <c r="M887" s="29">
        <v>2</v>
      </c>
      <c r="N887" s="29"/>
      <c r="O887" s="29">
        <v>522693</v>
      </c>
      <c r="P887" s="29">
        <v>415751</v>
      </c>
      <c r="Q887" s="29">
        <v>0</v>
      </c>
      <c r="R887" s="30">
        <v>26244</v>
      </c>
    </row>
    <row r="888" spans="1:18">
      <c r="A888" s="27"/>
      <c r="B888" s="28">
        <v>884</v>
      </c>
      <c r="C888" s="1">
        <f>30000000+INDEX(编号表!$B:$B,MATCH(G888,编号表!$A:$A,0))*100000+INDEX(编号表!$F:$F,MATCH(H888,编号表!$E:$E,0))*1000+INDEX(编号表!$D:$D,MATCH(F888,编号表!$C:$C,0))*10000+E888</f>
        <v>31572004</v>
      </c>
      <c r="D888" s="23" t="s">
        <v>950</v>
      </c>
      <c r="E888" s="23">
        <v>4</v>
      </c>
      <c r="F888" s="23" t="s">
        <v>907</v>
      </c>
      <c r="G888" s="23" t="s">
        <v>61</v>
      </c>
      <c r="H888" s="23" t="s">
        <v>86</v>
      </c>
      <c r="I888" s="23"/>
      <c r="J888" s="23" t="s">
        <v>68</v>
      </c>
      <c r="K888" s="23"/>
      <c r="L888" s="29">
        <v>0</v>
      </c>
      <c r="M888" s="29">
        <v>-1</v>
      </c>
      <c r="N888" s="29"/>
      <c r="O888" s="29">
        <v>522693</v>
      </c>
      <c r="P888" s="29">
        <v>344769</v>
      </c>
      <c r="Q888" s="29">
        <v>0</v>
      </c>
      <c r="R888" s="30">
        <v>63423</v>
      </c>
    </row>
    <row r="889" spans="1:18">
      <c r="A889" s="27"/>
      <c r="B889" s="28">
        <v>885</v>
      </c>
      <c r="C889" s="1">
        <f>30000000+INDEX(编号表!$B:$B,MATCH(G889,编号表!$A:$A,0))*100000+INDEX(编号表!$F:$F,MATCH(H889,编号表!$E:$E,0))*1000+INDEX(编号表!$D:$D,MATCH(F889,编号表!$C:$C,0))*10000+E889</f>
        <v>31572005</v>
      </c>
      <c r="D889" s="23" t="s">
        <v>951</v>
      </c>
      <c r="E889" s="23">
        <v>5</v>
      </c>
      <c r="F889" s="23" t="s">
        <v>907</v>
      </c>
      <c r="G889" s="23" t="s">
        <v>61</v>
      </c>
      <c r="H889" s="23" t="s">
        <v>86</v>
      </c>
      <c r="I889" s="23"/>
      <c r="J889" s="23" t="s">
        <v>68</v>
      </c>
      <c r="K889" s="23"/>
      <c r="L889" s="29">
        <v>0</v>
      </c>
      <c r="M889" s="29">
        <v>4</v>
      </c>
      <c r="N889" s="29"/>
      <c r="O889" s="29">
        <v>540626</v>
      </c>
      <c r="P889" s="29">
        <v>430014</v>
      </c>
      <c r="Q889" s="29">
        <v>0</v>
      </c>
      <c r="R889" s="30">
        <v>113724</v>
      </c>
    </row>
    <row r="890" spans="1:18">
      <c r="A890" s="27"/>
      <c r="B890" s="28">
        <v>886</v>
      </c>
      <c r="C890" s="1">
        <f>30000000+INDEX(编号表!$B:$B,MATCH(G890,编号表!$A:$A,0))*100000+INDEX(编号表!$F:$F,MATCH(H890,编号表!$E:$E,0))*1000+INDEX(编号表!$D:$D,MATCH(F890,编号表!$C:$C,0))*10000+E890</f>
        <v>31572006</v>
      </c>
      <c r="D890" s="23" t="s">
        <v>952</v>
      </c>
      <c r="E890" s="23">
        <v>6</v>
      </c>
      <c r="F890" s="23" t="s">
        <v>907</v>
      </c>
      <c r="G890" s="23" t="s">
        <v>61</v>
      </c>
      <c r="H890" s="23" t="s">
        <v>86</v>
      </c>
      <c r="I890" s="23"/>
      <c r="J890" s="23" t="s">
        <v>71</v>
      </c>
      <c r="K890" s="23"/>
      <c r="L890" s="29">
        <v>0</v>
      </c>
      <c r="M890" s="29">
        <v>-1</v>
      </c>
      <c r="N890" s="29"/>
      <c r="O890" s="29">
        <v>540626</v>
      </c>
      <c r="P890" s="29">
        <v>146835</v>
      </c>
      <c r="Q890" s="29">
        <v>0</v>
      </c>
      <c r="R890" s="30">
        <v>183708</v>
      </c>
    </row>
    <row r="891" spans="1:18">
      <c r="A891" s="27"/>
      <c r="B891" s="28">
        <v>887</v>
      </c>
      <c r="C891" s="1">
        <f>30000000+INDEX(编号表!$B:$B,MATCH(G891,编号表!$A:$A,0))*100000+INDEX(编号表!$F:$F,MATCH(H891,编号表!$E:$E,0))*1000+INDEX(编号表!$D:$D,MATCH(F891,编号表!$C:$C,0))*10000+E891</f>
        <v>31572007</v>
      </c>
      <c r="D891" s="23" t="s">
        <v>953</v>
      </c>
      <c r="E891" s="23">
        <v>7</v>
      </c>
      <c r="F891" s="23" t="s">
        <v>907</v>
      </c>
      <c r="G891" s="23" t="s">
        <v>61</v>
      </c>
      <c r="H891" s="23" t="s">
        <v>86</v>
      </c>
      <c r="I891" s="23"/>
      <c r="J891" s="23" t="s">
        <v>71</v>
      </c>
      <c r="K891" s="23"/>
      <c r="L891" s="29">
        <v>0</v>
      </c>
      <c r="M891" s="29">
        <v>2</v>
      </c>
      <c r="N891" s="29"/>
      <c r="O891" s="29">
        <v>522693</v>
      </c>
      <c r="P891" s="29">
        <v>415751</v>
      </c>
      <c r="Q891" s="29">
        <v>0</v>
      </c>
      <c r="R891" s="30">
        <v>26244</v>
      </c>
    </row>
    <row r="892" spans="1:18">
      <c r="A892" s="27"/>
      <c r="B892" s="28">
        <v>888</v>
      </c>
      <c r="C892" s="1">
        <f>30000000+INDEX(编号表!$B:$B,MATCH(G892,编号表!$A:$A,0))*100000+INDEX(编号表!$F:$F,MATCH(H892,编号表!$E:$E,0))*1000+INDEX(编号表!$D:$D,MATCH(F892,编号表!$C:$C,0))*10000+E892</f>
        <v>31572008</v>
      </c>
      <c r="D892" s="23" t="s">
        <v>954</v>
      </c>
      <c r="E892" s="23">
        <v>8</v>
      </c>
      <c r="F892" s="23" t="s">
        <v>907</v>
      </c>
      <c r="G892" s="23" t="s">
        <v>61</v>
      </c>
      <c r="H892" s="23" t="s">
        <v>86</v>
      </c>
      <c r="I892" s="23"/>
      <c r="J892" s="23" t="s">
        <v>74</v>
      </c>
      <c r="K892" s="23"/>
      <c r="L892" s="29">
        <v>0</v>
      </c>
      <c r="M892" s="29">
        <v>-2</v>
      </c>
      <c r="N892" s="29"/>
      <c r="O892" s="29">
        <v>522693</v>
      </c>
      <c r="P892" s="29">
        <v>278857</v>
      </c>
      <c r="Q892" s="29">
        <v>0</v>
      </c>
      <c r="R892" s="30">
        <v>61236</v>
      </c>
    </row>
    <row r="893" spans="1:18">
      <c r="A893" s="27"/>
      <c r="B893" s="28">
        <v>889</v>
      </c>
      <c r="C893" s="1">
        <f>30000000+INDEX(编号表!$B:$B,MATCH(G893,编号表!$A:$A,0))*100000+INDEX(编号表!$F:$F,MATCH(H893,编号表!$E:$E,0))*1000+INDEX(编号表!$D:$D,MATCH(F893,编号表!$C:$C,0))*10000+E893</f>
        <v>31572009</v>
      </c>
      <c r="D893" s="23" t="s">
        <v>955</v>
      </c>
      <c r="E893" s="23">
        <v>9</v>
      </c>
      <c r="F893" s="23" t="s">
        <v>907</v>
      </c>
      <c r="G893" s="23" t="s">
        <v>61</v>
      </c>
      <c r="H893" s="23" t="s">
        <v>86</v>
      </c>
      <c r="I893" s="23"/>
      <c r="J893" s="23" t="s">
        <v>74</v>
      </c>
      <c r="K893" s="23"/>
      <c r="L893" s="29">
        <v>0</v>
      </c>
      <c r="M893" s="29">
        <v>1</v>
      </c>
      <c r="N893" s="29"/>
      <c r="O893" s="29">
        <v>495574</v>
      </c>
      <c r="P893" s="29">
        <v>173055</v>
      </c>
      <c r="Q893" s="29">
        <v>0</v>
      </c>
      <c r="R893" s="30">
        <v>85293</v>
      </c>
    </row>
    <row r="894" spans="1:18">
      <c r="A894" s="27"/>
      <c r="B894" s="28">
        <v>890</v>
      </c>
      <c r="C894" s="1">
        <f>30000000+INDEX(编号表!$B:$B,MATCH(G894,编号表!$A:$A,0))*100000+INDEX(编号表!$F:$F,MATCH(H894,编号表!$E:$E,0))*1000+INDEX(编号表!$D:$D,MATCH(F894,编号表!$C:$C,0))*10000+E894</f>
        <v>31472000</v>
      </c>
      <c r="D894" s="23" t="s">
        <v>956</v>
      </c>
      <c r="E894" s="23">
        <v>0</v>
      </c>
      <c r="F894" s="23" t="s">
        <v>907</v>
      </c>
      <c r="G894" s="23" t="s">
        <v>77</v>
      </c>
      <c r="H894" s="23" t="s">
        <v>86</v>
      </c>
      <c r="I894" s="23"/>
      <c r="J894" s="23"/>
      <c r="K894" s="23"/>
      <c r="L894" s="29">
        <v>0</v>
      </c>
      <c r="M894" s="29">
        <v>0</v>
      </c>
      <c r="N894" s="29"/>
      <c r="O894" s="29">
        <v>495574</v>
      </c>
      <c r="P894" s="29">
        <v>134598</v>
      </c>
      <c r="Q894" s="29">
        <v>0</v>
      </c>
      <c r="R894" s="30">
        <v>100602</v>
      </c>
    </row>
    <row r="895" spans="1:18">
      <c r="A895" s="27"/>
      <c r="B895" s="28">
        <v>891</v>
      </c>
      <c r="C895" s="1">
        <f>30000000+INDEX(编号表!$B:$B,MATCH(G895,编号表!$A:$A,0))*100000+INDEX(编号表!$F:$F,MATCH(H895,编号表!$E:$E,0))*1000+INDEX(编号表!$D:$D,MATCH(F895,编号表!$C:$C,0))*10000+E895</f>
        <v>31472001</v>
      </c>
      <c r="D895" s="23" t="s">
        <v>957</v>
      </c>
      <c r="E895" s="23">
        <v>1</v>
      </c>
      <c r="F895" s="23" t="s">
        <v>907</v>
      </c>
      <c r="G895" s="23" t="s">
        <v>77</v>
      </c>
      <c r="H895" s="23" t="s">
        <v>86</v>
      </c>
      <c r="I895" s="23"/>
      <c r="J895" s="23"/>
      <c r="K895" s="23"/>
      <c r="L895" s="29">
        <v>0</v>
      </c>
      <c r="M895" s="29">
        <v>0</v>
      </c>
      <c r="N895" s="29"/>
      <c r="O895" s="29">
        <v>558559</v>
      </c>
      <c r="P895" s="29">
        <v>444278</v>
      </c>
      <c r="Q895" s="29">
        <v>0</v>
      </c>
      <c r="R895" s="30">
        <v>34992</v>
      </c>
    </row>
    <row r="896" spans="1:18">
      <c r="A896" s="27"/>
      <c r="B896" s="28">
        <v>892</v>
      </c>
      <c r="C896" s="1">
        <f>30000000+INDEX(编号表!$B:$B,MATCH(G896,编号表!$A:$A,0))*100000+INDEX(编号表!$F:$F,MATCH(H896,编号表!$E:$E,0))*1000+INDEX(编号表!$D:$D,MATCH(F896,编号表!$C:$C,0))*10000+E896</f>
        <v>31472002</v>
      </c>
      <c r="D896" s="23" t="s">
        <v>958</v>
      </c>
      <c r="E896" s="23">
        <v>2</v>
      </c>
      <c r="F896" s="23" t="s">
        <v>907</v>
      </c>
      <c r="G896" s="23" t="s">
        <v>77</v>
      </c>
      <c r="H896" s="23" t="s">
        <v>86</v>
      </c>
      <c r="I896" s="23"/>
      <c r="J896" s="23"/>
      <c r="K896" s="23"/>
      <c r="L896" s="29">
        <v>0</v>
      </c>
      <c r="M896" s="29">
        <v>1</v>
      </c>
      <c r="N896" s="29"/>
      <c r="O896" s="29">
        <v>540626</v>
      </c>
      <c r="P896" s="29">
        <v>146835</v>
      </c>
      <c r="Q896" s="29">
        <v>0</v>
      </c>
      <c r="R896" s="30">
        <v>183708</v>
      </c>
    </row>
    <row r="897" spans="1:18">
      <c r="A897" s="27"/>
      <c r="B897" s="28">
        <v>893</v>
      </c>
      <c r="C897" s="1">
        <f>30000000+INDEX(编号表!$B:$B,MATCH(G897,编号表!$A:$A,0))*100000+INDEX(编号表!$F:$F,MATCH(H897,编号表!$E:$E,0))*1000+INDEX(编号表!$D:$D,MATCH(F897,编号表!$C:$C,0))*10000+E897</f>
        <v>31472003</v>
      </c>
      <c r="D897" s="23" t="s">
        <v>959</v>
      </c>
      <c r="E897" s="23">
        <v>3</v>
      </c>
      <c r="F897" s="23" t="s">
        <v>907</v>
      </c>
      <c r="G897" s="23" t="s">
        <v>77</v>
      </c>
      <c r="H897" s="23" t="s">
        <v>86</v>
      </c>
      <c r="I897" s="23"/>
      <c r="J897" s="23"/>
      <c r="K897" s="23"/>
      <c r="L897" s="29">
        <v>0</v>
      </c>
      <c r="M897" s="29">
        <v>4</v>
      </c>
      <c r="N897" s="29"/>
      <c r="O897" s="29">
        <v>540626</v>
      </c>
      <c r="P897" s="29">
        <v>430014</v>
      </c>
      <c r="Q897" s="29">
        <v>0</v>
      </c>
      <c r="R897" s="30">
        <v>113724</v>
      </c>
    </row>
    <row r="898" spans="1:18">
      <c r="A898" s="27"/>
      <c r="B898" s="28">
        <v>894</v>
      </c>
      <c r="C898" s="1">
        <f>30000000+INDEX(编号表!$B:$B,MATCH(G898,编号表!$A:$A,0))*100000+INDEX(编号表!$F:$F,MATCH(H898,编号表!$E:$E,0))*1000+INDEX(编号表!$D:$D,MATCH(F898,编号表!$C:$C,0))*10000+E898</f>
        <v>31672000</v>
      </c>
      <c r="D898" s="23" t="s">
        <v>960</v>
      </c>
      <c r="E898" s="23">
        <v>0</v>
      </c>
      <c r="F898" s="23" t="s">
        <v>907</v>
      </c>
      <c r="G898" s="23" t="s">
        <v>82</v>
      </c>
      <c r="H898" s="23" t="s">
        <v>86</v>
      </c>
      <c r="I898" s="23"/>
      <c r="J898" s="23"/>
      <c r="K898" s="23"/>
      <c r="L898" s="29">
        <v>7</v>
      </c>
      <c r="M898" s="29">
        <v>0</v>
      </c>
      <c r="N898" s="29"/>
      <c r="O898" s="29">
        <v>0</v>
      </c>
      <c r="P898" s="29">
        <v>0</v>
      </c>
      <c r="Q898" s="29">
        <v>0</v>
      </c>
      <c r="R898" s="30">
        <v>52488</v>
      </c>
    </row>
    <row r="899" spans="1:18">
      <c r="A899" s="27"/>
      <c r="B899" s="28">
        <v>895</v>
      </c>
      <c r="C899" s="1">
        <f>30000000+INDEX(编号表!$B:$B,MATCH(G899,编号表!$A:$A,0))*100000+INDEX(编号表!$F:$F,MATCH(H899,编号表!$E:$E,0))*1000+INDEX(编号表!$D:$D,MATCH(F899,编号表!$C:$C,0))*10000+E899</f>
        <v>31672001</v>
      </c>
      <c r="D899" s="23" t="s">
        <v>961</v>
      </c>
      <c r="E899" s="23">
        <v>1</v>
      </c>
      <c r="F899" s="23" t="s">
        <v>907</v>
      </c>
      <c r="G899" s="23" t="s">
        <v>82</v>
      </c>
      <c r="H899" s="23" t="s">
        <v>86</v>
      </c>
      <c r="I899" s="23"/>
      <c r="J899" s="23"/>
      <c r="K899" s="23"/>
      <c r="L899" s="29">
        <v>8</v>
      </c>
      <c r="M899" s="29">
        <v>0</v>
      </c>
      <c r="N899" s="29"/>
      <c r="O899" s="29">
        <v>0</v>
      </c>
      <c r="P899" s="29">
        <v>0</v>
      </c>
      <c r="Q899" s="29">
        <v>0</v>
      </c>
      <c r="R899" s="30">
        <v>96228</v>
      </c>
    </row>
    <row r="900" spans="1:18">
      <c r="A900" s="27"/>
      <c r="B900" s="28">
        <v>896</v>
      </c>
      <c r="C900" s="1">
        <f>30000000+INDEX(编号表!$B:$B,MATCH(G900,编号表!$A:$A,0))*100000+INDEX(编号表!$F:$F,MATCH(H900,编号表!$E:$E,0))*1000+INDEX(编号表!$D:$D,MATCH(F900,编号表!$C:$C,0))*10000+E900</f>
        <v>31672002</v>
      </c>
      <c r="D900" s="23" t="s">
        <v>962</v>
      </c>
      <c r="E900" s="23">
        <v>2</v>
      </c>
      <c r="F900" s="23" t="s">
        <v>907</v>
      </c>
      <c r="G900" s="23" t="s">
        <v>82</v>
      </c>
      <c r="H900" s="23" t="s">
        <v>86</v>
      </c>
      <c r="I900" s="23"/>
      <c r="J900" s="23"/>
      <c r="K900" s="23"/>
      <c r="L900" s="29">
        <v>9</v>
      </c>
      <c r="M900" s="29">
        <v>0</v>
      </c>
      <c r="N900" s="29"/>
      <c r="O900" s="29">
        <v>0</v>
      </c>
      <c r="P900" s="29">
        <v>0</v>
      </c>
      <c r="Q900" s="29">
        <v>0</v>
      </c>
      <c r="R900" s="30">
        <v>148716</v>
      </c>
    </row>
    <row r="901" spans="1:18">
      <c r="A901" s="27"/>
      <c r="B901" s="28">
        <v>897</v>
      </c>
      <c r="C901" s="1">
        <f>30000000+INDEX(编号表!$B:$B,MATCH(G901,编号表!$A:$A,0))*100000+INDEX(编号表!$F:$F,MATCH(H901,编号表!$E:$E,0))*1000+INDEX(编号表!$D:$D,MATCH(F901,编号表!$C:$C,0))*10000+E901</f>
        <v>31273000</v>
      </c>
      <c r="D901" s="23" t="s">
        <v>963</v>
      </c>
      <c r="E901" s="23">
        <v>0</v>
      </c>
      <c r="F901" s="23" t="s">
        <v>907</v>
      </c>
      <c r="G901" s="23" t="s">
        <v>42</v>
      </c>
      <c r="H901" s="23" t="s">
        <v>115</v>
      </c>
      <c r="I901" s="23"/>
      <c r="J901" s="23"/>
      <c r="K901" s="23"/>
      <c r="L901" s="29">
        <v>0</v>
      </c>
      <c r="M901" s="29">
        <v>0</v>
      </c>
      <c r="N901" s="29"/>
      <c r="O901" s="29">
        <v>1574640</v>
      </c>
      <c r="P901" s="29">
        <v>814089</v>
      </c>
      <c r="Q901" s="29">
        <v>7873200</v>
      </c>
      <c r="R901" s="30">
        <v>141717</v>
      </c>
    </row>
    <row r="902" spans="1:18">
      <c r="A902" s="27"/>
      <c r="B902" s="28">
        <v>898</v>
      </c>
      <c r="C902" s="1">
        <f>30000000+INDEX(编号表!$B:$B,MATCH(G902,编号表!$A:$A,0))*100000+INDEX(编号表!$F:$F,MATCH(H902,编号表!$E:$E,0))*1000+INDEX(编号表!$D:$D,MATCH(F902,编号表!$C:$C,0))*10000+E902</f>
        <v>31373000</v>
      </c>
      <c r="D902" s="23" t="s">
        <v>964</v>
      </c>
      <c r="E902" s="23">
        <v>0</v>
      </c>
      <c r="F902" s="23" t="s">
        <v>907</v>
      </c>
      <c r="G902" s="23" t="s">
        <v>45</v>
      </c>
      <c r="H902" s="23" t="s">
        <v>115</v>
      </c>
      <c r="I902" s="23" t="s">
        <v>46</v>
      </c>
      <c r="J902" s="23"/>
      <c r="K902" s="23"/>
      <c r="L902" s="29">
        <v>0</v>
      </c>
      <c r="M902" s="29">
        <v>-2</v>
      </c>
      <c r="N902" s="29"/>
      <c r="O902" s="29">
        <v>940847</v>
      </c>
      <c r="P902" s="29">
        <v>486418</v>
      </c>
      <c r="Q902" s="29">
        <v>0</v>
      </c>
      <c r="R902" s="30">
        <v>110224</v>
      </c>
    </row>
    <row r="903" spans="1:18">
      <c r="A903" s="27"/>
      <c r="B903" s="28">
        <v>899</v>
      </c>
      <c r="C903" s="1">
        <f>30000000+INDEX(编号表!$B:$B,MATCH(G903,编号表!$A:$A,0))*100000+INDEX(编号表!$F:$F,MATCH(H903,编号表!$E:$E,0))*1000+INDEX(编号表!$D:$D,MATCH(F903,编号表!$C:$C,0))*10000+E903</f>
        <v>31373001</v>
      </c>
      <c r="D903" s="23" t="s">
        <v>965</v>
      </c>
      <c r="E903" s="23">
        <v>1</v>
      </c>
      <c r="F903" s="23" t="s">
        <v>907</v>
      </c>
      <c r="G903" s="23" t="s">
        <v>45</v>
      </c>
      <c r="H903" s="23" t="s">
        <v>115</v>
      </c>
      <c r="I903" s="23" t="s">
        <v>46</v>
      </c>
      <c r="J903" s="23"/>
      <c r="K903" s="23"/>
      <c r="L903" s="29">
        <v>0</v>
      </c>
      <c r="M903" s="29">
        <v>3</v>
      </c>
      <c r="N903" s="29"/>
      <c r="O903" s="29">
        <v>1005407</v>
      </c>
      <c r="P903" s="29">
        <v>642657</v>
      </c>
      <c r="Q903" s="29">
        <v>0</v>
      </c>
      <c r="R903" s="30">
        <v>141717</v>
      </c>
    </row>
    <row r="904" spans="1:18">
      <c r="A904" s="27"/>
      <c r="B904" s="28">
        <v>900</v>
      </c>
      <c r="C904" s="1">
        <f>30000000+INDEX(编号表!$B:$B,MATCH(G904,编号表!$A:$A,0))*100000+INDEX(编号表!$F:$F,MATCH(H904,编号表!$E:$E,0))*1000+INDEX(编号表!$D:$D,MATCH(F904,编号表!$C:$C,0))*10000+E904</f>
        <v>31373002</v>
      </c>
      <c r="D904" s="23" t="s">
        <v>966</v>
      </c>
      <c r="E904" s="23">
        <v>2</v>
      </c>
      <c r="F904" s="23" t="s">
        <v>907</v>
      </c>
      <c r="G904" s="23" t="s">
        <v>45</v>
      </c>
      <c r="H904" s="23" t="s">
        <v>115</v>
      </c>
      <c r="I904" s="23" t="s">
        <v>49</v>
      </c>
      <c r="J904" s="23"/>
      <c r="K904" s="23"/>
      <c r="L904" s="29">
        <v>0</v>
      </c>
      <c r="M904" s="29">
        <v>-1</v>
      </c>
      <c r="N904" s="29"/>
      <c r="O904" s="29">
        <v>892033</v>
      </c>
      <c r="P904" s="29">
        <v>301864</v>
      </c>
      <c r="Q904" s="29">
        <v>0</v>
      </c>
      <c r="R904" s="30">
        <v>153527</v>
      </c>
    </row>
    <row r="905" spans="1:18">
      <c r="A905" s="27"/>
      <c r="B905" s="28">
        <v>901</v>
      </c>
      <c r="C905" s="1">
        <f>30000000+INDEX(编号表!$B:$B,MATCH(G905,编号表!$A:$A,0))*100000+INDEX(编号表!$F:$F,MATCH(H905,编号表!$E:$E,0))*1000+INDEX(编号表!$D:$D,MATCH(F905,编号表!$C:$C,0))*10000+E905</f>
        <v>31373003</v>
      </c>
      <c r="D905" s="23" t="s">
        <v>967</v>
      </c>
      <c r="E905" s="23">
        <v>3</v>
      </c>
      <c r="F905" s="23" t="s">
        <v>907</v>
      </c>
      <c r="G905" s="23" t="s">
        <v>45</v>
      </c>
      <c r="H905" s="23" t="s">
        <v>115</v>
      </c>
      <c r="I905" s="23" t="s">
        <v>49</v>
      </c>
      <c r="J905" s="23"/>
      <c r="K905" s="23"/>
      <c r="L905" s="29">
        <v>0</v>
      </c>
      <c r="M905" s="29">
        <v>2</v>
      </c>
      <c r="N905" s="29"/>
      <c r="O905" s="29">
        <v>940847</v>
      </c>
      <c r="P905" s="29">
        <v>725205</v>
      </c>
      <c r="Q905" s="29">
        <v>0</v>
      </c>
      <c r="R905" s="30">
        <v>47239</v>
      </c>
    </row>
    <row r="906" spans="1:18">
      <c r="A906" s="27"/>
      <c r="B906" s="28">
        <v>902</v>
      </c>
      <c r="C906" s="1">
        <f>30000000+INDEX(编号表!$B:$B,MATCH(G906,编号表!$A:$A,0))*100000+INDEX(编号表!$F:$F,MATCH(H906,编号表!$E:$E,0))*1000+INDEX(编号表!$D:$D,MATCH(F906,编号表!$C:$C,0))*10000+E906</f>
        <v>31373004</v>
      </c>
      <c r="D906" s="23" t="s">
        <v>968</v>
      </c>
      <c r="E906" s="23">
        <v>4</v>
      </c>
      <c r="F906" s="23" t="s">
        <v>907</v>
      </c>
      <c r="G906" s="23" t="s">
        <v>45</v>
      </c>
      <c r="H906" s="23" t="s">
        <v>115</v>
      </c>
      <c r="I906" s="23" t="s">
        <v>52</v>
      </c>
      <c r="J906" s="23"/>
      <c r="K906" s="23"/>
      <c r="L906" s="29">
        <v>0</v>
      </c>
      <c r="M906" s="29">
        <v>-1</v>
      </c>
      <c r="N906" s="29"/>
      <c r="O906" s="29">
        <v>940847</v>
      </c>
      <c r="P906" s="29">
        <v>601390</v>
      </c>
      <c r="Q906" s="29">
        <v>0</v>
      </c>
      <c r="R906" s="30">
        <v>114161</v>
      </c>
    </row>
    <row r="907" spans="1:18">
      <c r="A907" s="27"/>
      <c r="B907" s="28">
        <v>903</v>
      </c>
      <c r="C907" s="1">
        <f>30000000+INDEX(编号表!$B:$B,MATCH(G907,编号表!$A:$A,0))*100000+INDEX(编号表!$F:$F,MATCH(H907,编号表!$E:$E,0))*1000+INDEX(编号表!$D:$D,MATCH(F907,编号表!$C:$C,0))*10000+E907</f>
        <v>31373005</v>
      </c>
      <c r="D907" s="23" t="inlineStr">
        <is>
          <t xml:space="preserve">十万载沸泉苔·玄株</t>
        </is>
      </c>
      <c r="E907" s="23">
        <v>5</v>
      </c>
      <c r="F907" s="23" t="s">
        <v>907</v>
      </c>
      <c r="G907" s="23" t="s">
        <v>45</v>
      </c>
      <c r="H907" s="23" t="s">
        <v>115</v>
      </c>
      <c r="I907" s="23" t="s">
        <v>52</v>
      </c>
      <c r="J907" s="23"/>
      <c r="K907" s="23"/>
      <c r="L907" s="29">
        <v>0</v>
      </c>
      <c r="M907" s="29">
        <v>4</v>
      </c>
      <c r="N907" s="29"/>
      <c r="O907" s="29">
        <v>973127</v>
      </c>
      <c r="P907" s="29">
        <v>750087</v>
      </c>
      <c r="Q907" s="29">
        <v>0</v>
      </c>
      <c r="R907" s="30">
        <v>204703</v>
      </c>
    </row>
    <row r="908" spans="1:18">
      <c r="A908" s="27"/>
      <c r="B908" s="28">
        <v>904</v>
      </c>
      <c r="C908" s="1">
        <f>30000000+INDEX(编号表!$B:$B,MATCH(G908,编号表!$A:$A,0))*100000+INDEX(编号表!$F:$F,MATCH(H908,编号表!$E:$E,0))*1000+INDEX(编号表!$D:$D,MATCH(F908,编号表!$C:$C,0))*10000+E908</f>
        <v>31373006</v>
      </c>
      <c r="D908" s="23" t="inlineStr">
        <is>
          <t xml:space="preserve">十万载丹露花·玄株</t>
        </is>
      </c>
      <c r="E908" s="23">
        <v>6</v>
      </c>
      <c r="F908" s="23" t="s">
        <v>907</v>
      </c>
      <c r="G908" s="23" t="s">
        <v>45</v>
      </c>
      <c r="H908" s="23" t="s">
        <v>115</v>
      </c>
      <c r="I908" s="23" t="s">
        <v>55</v>
      </c>
      <c r="J908" s="23"/>
      <c r="K908" s="23"/>
      <c r="L908" s="29">
        <v>0</v>
      </c>
      <c r="M908" s="29">
        <v>-1</v>
      </c>
      <c r="N908" s="29"/>
      <c r="O908" s="29">
        <v>973127</v>
      </c>
      <c r="P908" s="29">
        <v>256128</v>
      </c>
      <c r="Q908" s="29">
        <v>0</v>
      </c>
      <c r="R908" s="30">
        <v>330674</v>
      </c>
    </row>
    <row r="909" spans="1:18">
      <c r="A909" s="27"/>
      <c r="B909" s="28">
        <v>905</v>
      </c>
      <c r="C909" s="1">
        <f>30000000+INDEX(编号表!$B:$B,MATCH(G909,编号表!$A:$A,0))*100000+INDEX(编号表!$F:$F,MATCH(H909,编号表!$E:$E,0))*1000+INDEX(编号表!$D:$D,MATCH(F909,编号表!$C:$C,0))*10000+E909</f>
        <v>31373007</v>
      </c>
      <c r="D909" s="23" t="s">
        <v>971</v>
      </c>
      <c r="E909" s="23">
        <v>7</v>
      </c>
      <c r="F909" s="23" t="s">
        <v>907</v>
      </c>
      <c r="G909" s="23" t="s">
        <v>45</v>
      </c>
      <c r="H909" s="23" t="s">
        <v>115</v>
      </c>
      <c r="I909" s="23" t="s">
        <v>55</v>
      </c>
      <c r="J909" s="23"/>
      <c r="K909" s="23"/>
      <c r="L909" s="29">
        <v>0</v>
      </c>
      <c r="M909" s="29">
        <v>2</v>
      </c>
      <c r="N909" s="29"/>
      <c r="O909" s="29">
        <v>940847</v>
      </c>
      <c r="P909" s="29">
        <v>725205</v>
      </c>
      <c r="Q909" s="29">
        <v>0</v>
      </c>
      <c r="R909" s="30">
        <v>47239</v>
      </c>
    </row>
    <row r="910" spans="1:18">
      <c r="A910" s="27"/>
      <c r="B910" s="28">
        <v>906</v>
      </c>
      <c r="C910" s="1">
        <f>30000000+INDEX(编号表!$B:$B,MATCH(G910,编号表!$A:$A,0))*100000+INDEX(编号表!$F:$F,MATCH(H910,编号表!$E:$E,0))*1000+INDEX(编号表!$D:$D,MATCH(F910,编号表!$C:$C,0))*10000+E910</f>
        <v>31373008</v>
      </c>
      <c r="D910" s="23" t="s">
        <v>972</v>
      </c>
      <c r="E910" s="23">
        <v>8</v>
      </c>
      <c r="F910" s="23" t="s">
        <v>907</v>
      </c>
      <c r="G910" s="23" t="s">
        <v>45</v>
      </c>
      <c r="H910" s="23" t="s">
        <v>115</v>
      </c>
      <c r="I910" s="23" t="s">
        <v>58</v>
      </c>
      <c r="J910" s="23"/>
      <c r="K910" s="23"/>
      <c r="L910" s="29">
        <v>0</v>
      </c>
      <c r="M910" s="29">
        <v>-2</v>
      </c>
      <c r="N910" s="29"/>
      <c r="O910" s="29">
        <v>940847</v>
      </c>
      <c r="P910" s="29">
        <v>486418</v>
      </c>
      <c r="Q910" s="29">
        <v>0</v>
      </c>
      <c r="R910" s="30">
        <v>110224</v>
      </c>
    </row>
    <row r="911" spans="1:18">
      <c r="A911" s="27"/>
      <c r="B911" s="28">
        <v>907</v>
      </c>
      <c r="C911" s="1">
        <f>30000000+INDEX(编号表!$B:$B,MATCH(G911,编号表!$A:$A,0))*100000+INDEX(编号表!$F:$F,MATCH(H911,编号表!$E:$E,0))*1000+INDEX(编号表!$D:$D,MATCH(F911,编号表!$C:$C,0))*10000+E911</f>
        <v>31373009</v>
      </c>
      <c r="D911" s="23" t="s">
        <v>973</v>
      </c>
      <c r="E911" s="23">
        <v>9</v>
      </c>
      <c r="F911" s="23" t="s">
        <v>907</v>
      </c>
      <c r="G911" s="23" t="s">
        <v>45</v>
      </c>
      <c r="H911" s="23" t="s">
        <v>115</v>
      </c>
      <c r="I911" s="23" t="s">
        <v>58</v>
      </c>
      <c r="J911" s="23"/>
      <c r="K911" s="23"/>
      <c r="L911" s="29">
        <v>0</v>
      </c>
      <c r="M911" s="29">
        <v>1</v>
      </c>
      <c r="N911" s="29"/>
      <c r="O911" s="29">
        <v>892033</v>
      </c>
      <c r="P911" s="29">
        <v>301864</v>
      </c>
      <c r="Q911" s="29">
        <v>0</v>
      </c>
      <c r="R911" s="30">
        <v>153527</v>
      </c>
    </row>
    <row r="912" spans="1:18">
      <c r="A912" s="27"/>
      <c r="B912" s="28">
        <v>908</v>
      </c>
      <c r="C912" s="1">
        <f>30000000+INDEX(编号表!$B:$B,MATCH(G912,编号表!$A:$A,0))*100000+INDEX(编号表!$F:$F,MATCH(H912,编号表!$E:$E,0))*1000+INDEX(编号表!$D:$D,MATCH(F912,编号表!$C:$C,0))*10000+E912</f>
        <v>31573000</v>
      </c>
      <c r="D912" s="23" t="inlineStr">
        <is>
          <t xml:space="preserve">十万载霜辛草·玄株</t>
        </is>
      </c>
      <c r="E912" s="23">
        <v>0</v>
      </c>
      <c r="F912" s="23" t="s">
        <v>907</v>
      </c>
      <c r="G912" s="23" t="s">
        <v>61</v>
      </c>
      <c r="H912" s="23" t="s">
        <v>115</v>
      </c>
      <c r="I912" s="23"/>
      <c r="J912" s="23" t="s">
        <v>62</v>
      </c>
      <c r="K912" s="23"/>
      <c r="L912" s="29">
        <v>0</v>
      </c>
      <c r="M912" s="29">
        <v>-2</v>
      </c>
      <c r="N912" s="29"/>
      <c r="O912" s="29">
        <v>940847</v>
      </c>
      <c r="P912" s="29">
        <v>486418</v>
      </c>
      <c r="Q912" s="29">
        <v>0</v>
      </c>
      <c r="R912" s="30">
        <v>110224</v>
      </c>
    </row>
    <row r="913" spans="1:18">
      <c r="A913" s="27"/>
      <c r="B913" s="28">
        <v>909</v>
      </c>
      <c r="C913" s="1">
        <f>30000000+INDEX(编号表!$B:$B,MATCH(G913,编号表!$A:$A,0))*100000+INDEX(编号表!$F:$F,MATCH(H913,编号表!$E:$E,0))*1000+INDEX(编号表!$D:$D,MATCH(F913,编号表!$C:$C,0))*10000+E913</f>
        <v>31573001</v>
      </c>
      <c r="D913" s="23" t="s">
        <v>975</v>
      </c>
      <c r="E913" s="23">
        <v>1</v>
      </c>
      <c r="F913" s="23" t="s">
        <v>907</v>
      </c>
      <c r="G913" s="23" t="s">
        <v>61</v>
      </c>
      <c r="H913" s="23" t="s">
        <v>115</v>
      </c>
      <c r="I913" s="23"/>
      <c r="J913" s="23" t="s">
        <v>62</v>
      </c>
      <c r="K913" s="23"/>
      <c r="L913" s="29">
        <v>0</v>
      </c>
      <c r="M913" s="29">
        <v>3</v>
      </c>
      <c r="N913" s="29"/>
      <c r="O913" s="29">
        <v>1005407</v>
      </c>
      <c r="P913" s="29">
        <v>642657</v>
      </c>
      <c r="Q913" s="29">
        <v>0</v>
      </c>
      <c r="R913" s="30">
        <v>141717</v>
      </c>
    </row>
    <row r="914" spans="1:18">
      <c r="A914" s="27"/>
      <c r="B914" s="28">
        <v>910</v>
      </c>
      <c r="C914" s="1">
        <f>30000000+INDEX(编号表!$B:$B,MATCH(G914,编号表!$A:$A,0))*100000+INDEX(编号表!$F:$F,MATCH(H914,编号表!$E:$E,0))*1000+INDEX(编号表!$D:$D,MATCH(F914,编号表!$C:$C,0))*10000+E914</f>
        <v>31573002</v>
      </c>
      <c r="D914" s="23" t="s">
        <v>976</v>
      </c>
      <c r="E914" s="23">
        <v>2</v>
      </c>
      <c r="F914" s="23" t="s">
        <v>907</v>
      </c>
      <c r="G914" s="23" t="s">
        <v>61</v>
      </c>
      <c r="H914" s="23" t="s">
        <v>115</v>
      </c>
      <c r="I914" s="23"/>
      <c r="J914" s="23" t="s">
        <v>65</v>
      </c>
      <c r="K914" s="23"/>
      <c r="L914" s="29">
        <v>0</v>
      </c>
      <c r="M914" s="29">
        <v>-1</v>
      </c>
      <c r="N914" s="29"/>
      <c r="O914" s="29">
        <v>892033</v>
      </c>
      <c r="P914" s="29">
        <v>301864</v>
      </c>
      <c r="Q914" s="29">
        <v>0</v>
      </c>
      <c r="R914" s="30">
        <v>153527</v>
      </c>
    </row>
    <row r="915" spans="1:18">
      <c r="A915" s="27"/>
      <c r="B915" s="28">
        <v>911</v>
      </c>
      <c r="C915" s="1">
        <f>30000000+INDEX(编号表!$B:$B,MATCH(G915,编号表!$A:$A,0))*100000+INDEX(编号表!$F:$F,MATCH(H915,编号表!$E:$E,0))*1000+INDEX(编号表!$D:$D,MATCH(F915,编号表!$C:$C,0))*10000+E915</f>
        <v>31573003</v>
      </c>
      <c r="D915" s="23" t="s">
        <v>977</v>
      </c>
      <c r="E915" s="23">
        <v>3</v>
      </c>
      <c r="F915" s="23" t="s">
        <v>907</v>
      </c>
      <c r="G915" s="23" t="s">
        <v>61</v>
      </c>
      <c r="H915" s="23" t="s">
        <v>115</v>
      </c>
      <c r="I915" s="23"/>
      <c r="J915" s="23" t="s">
        <v>65</v>
      </c>
      <c r="K915" s="23"/>
      <c r="L915" s="29">
        <v>0</v>
      </c>
      <c r="M915" s="29">
        <v>2</v>
      </c>
      <c r="N915" s="29"/>
      <c r="O915" s="29">
        <v>940847</v>
      </c>
      <c r="P915" s="29">
        <v>725205</v>
      </c>
      <c r="Q915" s="29">
        <v>0</v>
      </c>
      <c r="R915" s="30">
        <v>47239</v>
      </c>
    </row>
    <row r="916" spans="1:18">
      <c r="A916" s="27"/>
      <c r="B916" s="28">
        <v>912</v>
      </c>
      <c r="C916" s="1">
        <f>30000000+INDEX(编号表!$B:$B,MATCH(G916,编号表!$A:$A,0))*100000+INDEX(编号表!$F:$F,MATCH(H916,编号表!$E:$E,0))*1000+INDEX(编号表!$D:$D,MATCH(F916,编号表!$C:$C,0))*10000+E916</f>
        <v>31573004</v>
      </c>
      <c r="D916" s="23" t="s">
        <v>978</v>
      </c>
      <c r="E916" s="23">
        <v>4</v>
      </c>
      <c r="F916" s="23" t="s">
        <v>907</v>
      </c>
      <c r="G916" s="23" t="s">
        <v>61</v>
      </c>
      <c r="H916" s="23" t="s">
        <v>115</v>
      </c>
      <c r="I916" s="23"/>
      <c r="J916" s="23" t="s">
        <v>68</v>
      </c>
      <c r="K916" s="23"/>
      <c r="L916" s="29">
        <v>0</v>
      </c>
      <c r="M916" s="29">
        <v>-1</v>
      </c>
      <c r="N916" s="29"/>
      <c r="O916" s="29">
        <v>940847</v>
      </c>
      <c r="P916" s="29">
        <v>601390</v>
      </c>
      <c r="Q916" s="29">
        <v>0</v>
      </c>
      <c r="R916" s="30">
        <v>114161</v>
      </c>
    </row>
    <row r="917" spans="1:18">
      <c r="A917" s="27"/>
      <c r="B917" s="28">
        <v>913</v>
      </c>
      <c r="C917" s="1">
        <f>30000000+INDEX(编号表!$B:$B,MATCH(G917,编号表!$A:$A,0))*100000+INDEX(编号表!$F:$F,MATCH(H917,编号表!$E:$E,0))*1000+INDEX(编号表!$D:$D,MATCH(F917,编号表!$C:$C,0))*10000+E917</f>
        <v>31573005</v>
      </c>
      <c r="D917" s="23" t="s">
        <v>979</v>
      </c>
      <c r="E917" s="23">
        <v>5</v>
      </c>
      <c r="F917" s="23" t="s">
        <v>907</v>
      </c>
      <c r="G917" s="23" t="s">
        <v>61</v>
      </c>
      <c r="H917" s="23" t="s">
        <v>115</v>
      </c>
      <c r="I917" s="23"/>
      <c r="J917" s="23" t="s">
        <v>68</v>
      </c>
      <c r="K917" s="23"/>
      <c r="L917" s="29">
        <v>0</v>
      </c>
      <c r="M917" s="29">
        <v>4</v>
      </c>
      <c r="N917" s="29"/>
      <c r="O917" s="29">
        <v>973127</v>
      </c>
      <c r="P917" s="29">
        <v>750087</v>
      </c>
      <c r="Q917" s="29">
        <v>0</v>
      </c>
      <c r="R917" s="30">
        <v>204703</v>
      </c>
    </row>
    <row r="918" spans="1:18">
      <c r="A918" s="27"/>
      <c r="B918" s="28">
        <v>914</v>
      </c>
      <c r="C918" s="1">
        <f>30000000+INDEX(编号表!$B:$B,MATCH(G918,编号表!$A:$A,0))*100000+INDEX(编号表!$F:$F,MATCH(H918,编号表!$E:$E,0))*1000+INDEX(编号表!$D:$D,MATCH(F918,编号表!$C:$C,0))*10000+E918</f>
        <v>31573006</v>
      </c>
      <c r="D918" s="23" t="s">
        <v>980</v>
      </c>
      <c r="E918" s="23">
        <v>6</v>
      </c>
      <c r="F918" s="23" t="s">
        <v>907</v>
      </c>
      <c r="G918" s="23" t="s">
        <v>61</v>
      </c>
      <c r="H918" s="23" t="s">
        <v>115</v>
      </c>
      <c r="I918" s="23"/>
      <c r="J918" s="23" t="s">
        <v>71</v>
      </c>
      <c r="K918" s="23"/>
      <c r="L918" s="29">
        <v>0</v>
      </c>
      <c r="M918" s="29">
        <v>-1</v>
      </c>
      <c r="N918" s="29"/>
      <c r="O918" s="29">
        <v>973127</v>
      </c>
      <c r="P918" s="29">
        <v>256128</v>
      </c>
      <c r="Q918" s="29">
        <v>0</v>
      </c>
      <c r="R918" s="30">
        <v>330674</v>
      </c>
    </row>
    <row r="919" spans="1:18">
      <c r="A919" s="27"/>
      <c r="B919" s="28">
        <v>915</v>
      </c>
      <c r="C919" s="1">
        <f>30000000+INDEX(编号表!$B:$B,MATCH(G919,编号表!$A:$A,0))*100000+INDEX(编号表!$F:$F,MATCH(H919,编号表!$E:$E,0))*1000+INDEX(编号表!$D:$D,MATCH(F919,编号表!$C:$C,0))*10000+E919</f>
        <v>31573007</v>
      </c>
      <c r="D919" s="23" t="s">
        <v>981</v>
      </c>
      <c r="E919" s="23">
        <v>7</v>
      </c>
      <c r="F919" s="23" t="s">
        <v>907</v>
      </c>
      <c r="G919" s="23" t="s">
        <v>61</v>
      </c>
      <c r="H919" s="23" t="s">
        <v>115</v>
      </c>
      <c r="I919" s="23"/>
      <c r="J919" s="23" t="s">
        <v>71</v>
      </c>
      <c r="K919" s="23"/>
      <c r="L919" s="29">
        <v>0</v>
      </c>
      <c r="M919" s="29">
        <v>2</v>
      </c>
      <c r="N919" s="29"/>
      <c r="O919" s="29">
        <v>940847</v>
      </c>
      <c r="P919" s="29">
        <v>725205</v>
      </c>
      <c r="Q919" s="29">
        <v>0</v>
      </c>
      <c r="R919" s="30">
        <v>47239</v>
      </c>
    </row>
    <row r="920" spans="1:18">
      <c r="A920" s="27"/>
      <c r="B920" s="28">
        <v>916</v>
      </c>
      <c r="C920" s="1">
        <f>30000000+INDEX(编号表!$B:$B,MATCH(G920,编号表!$A:$A,0))*100000+INDEX(编号表!$F:$F,MATCH(H920,编号表!$E:$E,0))*1000+INDEX(编号表!$D:$D,MATCH(F920,编号表!$C:$C,0))*10000+E920</f>
        <v>31573008</v>
      </c>
      <c r="D920" s="23" t="s">
        <v>982</v>
      </c>
      <c r="E920" s="23">
        <v>8</v>
      </c>
      <c r="F920" s="23" t="s">
        <v>907</v>
      </c>
      <c r="G920" s="23" t="s">
        <v>61</v>
      </c>
      <c r="H920" s="23" t="s">
        <v>115</v>
      </c>
      <c r="I920" s="23"/>
      <c r="J920" s="23" t="s">
        <v>74</v>
      </c>
      <c r="K920" s="23"/>
      <c r="L920" s="29">
        <v>0</v>
      </c>
      <c r="M920" s="29">
        <v>-2</v>
      </c>
      <c r="N920" s="29"/>
      <c r="O920" s="29">
        <v>940847</v>
      </c>
      <c r="P920" s="29">
        <v>486418</v>
      </c>
      <c r="Q920" s="29">
        <v>0</v>
      </c>
      <c r="R920" s="30">
        <v>110224</v>
      </c>
    </row>
    <row r="921" spans="1:18">
      <c r="A921" s="27"/>
      <c r="B921" s="28">
        <v>917</v>
      </c>
      <c r="C921" s="1">
        <f>30000000+INDEX(编号表!$B:$B,MATCH(G921,编号表!$A:$A,0))*100000+INDEX(编号表!$F:$F,MATCH(H921,编号表!$E:$E,0))*1000+INDEX(编号表!$D:$D,MATCH(F921,编号表!$C:$C,0))*10000+E921</f>
        <v>31573009</v>
      </c>
      <c r="D921" s="23" t="s">
        <v>983</v>
      </c>
      <c r="E921" s="23">
        <v>9</v>
      </c>
      <c r="F921" s="23" t="s">
        <v>907</v>
      </c>
      <c r="G921" s="23" t="s">
        <v>61</v>
      </c>
      <c r="H921" s="23" t="s">
        <v>115</v>
      </c>
      <c r="I921" s="23"/>
      <c r="J921" s="23" t="s">
        <v>74</v>
      </c>
      <c r="K921" s="23"/>
      <c r="L921" s="29">
        <v>0</v>
      </c>
      <c r="M921" s="29">
        <v>1</v>
      </c>
      <c r="N921" s="29"/>
      <c r="O921" s="29">
        <v>892033</v>
      </c>
      <c r="P921" s="29">
        <v>301864</v>
      </c>
      <c r="Q921" s="29">
        <v>0</v>
      </c>
      <c r="R921" s="30">
        <v>153527</v>
      </c>
    </row>
    <row r="922" spans="1:18">
      <c r="A922" s="27"/>
      <c r="B922" s="28">
        <v>918</v>
      </c>
      <c r="C922" s="1">
        <f>30000000+INDEX(编号表!$B:$B,MATCH(G922,编号表!$A:$A,0))*100000+INDEX(编号表!$F:$F,MATCH(H922,编号表!$E:$E,0))*1000+INDEX(编号表!$D:$D,MATCH(F922,编号表!$C:$C,0))*10000+E922</f>
        <v>31473000</v>
      </c>
      <c r="D922" s="23" t="s">
        <v>984</v>
      </c>
      <c r="E922" s="23">
        <v>0</v>
      </c>
      <c r="F922" s="23" t="s">
        <v>907</v>
      </c>
      <c r="G922" s="23" t="s">
        <v>77</v>
      </c>
      <c r="H922" s="23" t="s">
        <v>115</v>
      </c>
      <c r="I922" s="23"/>
      <c r="J922" s="23"/>
      <c r="K922" s="23"/>
      <c r="L922" s="29">
        <v>0</v>
      </c>
      <c r="M922" s="29">
        <v>0</v>
      </c>
      <c r="N922" s="29"/>
      <c r="O922" s="29">
        <v>892033</v>
      </c>
      <c r="P922" s="29">
        <v>234784</v>
      </c>
      <c r="Q922" s="29">
        <v>0</v>
      </c>
      <c r="R922" s="30">
        <v>181083</v>
      </c>
    </row>
    <row r="923" spans="1:18">
      <c r="A923" s="27"/>
      <c r="B923" s="28">
        <v>919</v>
      </c>
      <c r="C923" s="1">
        <f>30000000+INDEX(编号表!$B:$B,MATCH(G923,编号表!$A:$A,0))*100000+INDEX(编号表!$F:$F,MATCH(H923,编号表!$E:$E,0))*1000+INDEX(编号表!$D:$D,MATCH(F923,编号表!$C:$C,0))*10000+E923</f>
        <v>31473001</v>
      </c>
      <c r="D923" s="23" t="s">
        <v>985</v>
      </c>
      <c r="E923" s="23">
        <v>1</v>
      </c>
      <c r="F923" s="23" t="s">
        <v>907</v>
      </c>
      <c r="G923" s="23" t="s">
        <v>77</v>
      </c>
      <c r="H923" s="23" t="s">
        <v>115</v>
      </c>
      <c r="I923" s="23"/>
      <c r="J923" s="23"/>
      <c r="K923" s="23"/>
      <c r="L923" s="29">
        <v>0</v>
      </c>
      <c r="M923" s="29">
        <v>0</v>
      </c>
      <c r="N923" s="29"/>
      <c r="O923" s="29">
        <v>1005407</v>
      </c>
      <c r="P923" s="29">
        <v>774968</v>
      </c>
      <c r="Q923" s="29">
        <v>0</v>
      </c>
      <c r="R923" s="30">
        <v>62985</v>
      </c>
    </row>
    <row r="924" spans="1:18">
      <c r="A924" s="27"/>
      <c r="B924" s="28">
        <v>920</v>
      </c>
      <c r="C924" s="1">
        <f>30000000+INDEX(编号表!$B:$B,MATCH(G924,编号表!$A:$A,0))*100000+INDEX(编号表!$F:$F,MATCH(H924,编号表!$E:$E,0))*1000+INDEX(编号表!$D:$D,MATCH(F924,编号表!$C:$C,0))*10000+E924</f>
        <v>31473002</v>
      </c>
      <c r="D924" s="23" t="s">
        <v>986</v>
      </c>
      <c r="E924" s="23">
        <v>2</v>
      </c>
      <c r="F924" s="23" t="s">
        <v>907</v>
      </c>
      <c r="G924" s="23" t="s">
        <v>77</v>
      </c>
      <c r="H924" s="23" t="s">
        <v>115</v>
      </c>
      <c r="I924" s="23"/>
      <c r="J924" s="23"/>
      <c r="K924" s="23"/>
      <c r="L924" s="29">
        <v>0</v>
      </c>
      <c r="M924" s="29">
        <v>1</v>
      </c>
      <c r="N924" s="29"/>
      <c r="O924" s="29">
        <v>973127</v>
      </c>
      <c r="P924" s="29">
        <v>256128</v>
      </c>
      <c r="Q924" s="29">
        <v>0</v>
      </c>
      <c r="R924" s="30">
        <v>330674</v>
      </c>
    </row>
    <row r="925" spans="1:18">
      <c r="A925" s="27"/>
      <c r="B925" s="28">
        <v>921</v>
      </c>
      <c r="C925" s="1">
        <f>30000000+INDEX(编号表!$B:$B,MATCH(G925,编号表!$A:$A,0))*100000+INDEX(编号表!$F:$F,MATCH(H925,编号表!$E:$E,0))*1000+INDEX(编号表!$D:$D,MATCH(F925,编号表!$C:$C,0))*10000+E925</f>
        <v>31473003</v>
      </c>
      <c r="D925" s="23" t="s">
        <v>987</v>
      </c>
      <c r="E925" s="23">
        <v>3</v>
      </c>
      <c r="F925" s="23" t="s">
        <v>907</v>
      </c>
      <c r="G925" s="23" t="s">
        <v>77</v>
      </c>
      <c r="H925" s="23" t="s">
        <v>115</v>
      </c>
      <c r="I925" s="23"/>
      <c r="J925" s="23"/>
      <c r="K925" s="23"/>
      <c r="L925" s="29">
        <v>0</v>
      </c>
      <c r="M925" s="29">
        <v>4</v>
      </c>
      <c r="N925" s="29"/>
      <c r="O925" s="29">
        <v>973127</v>
      </c>
      <c r="P925" s="29">
        <v>750087</v>
      </c>
      <c r="Q925" s="29">
        <v>0</v>
      </c>
      <c r="R925" s="30">
        <v>204703</v>
      </c>
    </row>
    <row r="926" spans="1:18">
      <c r="A926" s="27"/>
      <c r="B926" s="28">
        <v>922</v>
      </c>
      <c r="C926" s="1">
        <f>30000000+INDEX(编号表!$B:$B,MATCH(G926,编号表!$A:$A,0))*100000+INDEX(编号表!$F:$F,MATCH(H926,编号表!$E:$E,0))*1000+INDEX(编号表!$D:$D,MATCH(F926,编号表!$C:$C,0))*10000+E926</f>
        <v>31673000</v>
      </c>
      <c r="D926" s="23" t="s">
        <v>988</v>
      </c>
      <c r="E926" s="23">
        <v>0</v>
      </c>
      <c r="F926" s="23" t="s">
        <v>907</v>
      </c>
      <c r="G926" s="23" t="s">
        <v>82</v>
      </c>
      <c r="H926" s="23" t="s">
        <v>115</v>
      </c>
      <c r="I926" s="23"/>
      <c r="J926" s="23"/>
      <c r="K926" s="23"/>
      <c r="L926" s="29">
        <v>7</v>
      </c>
      <c r="M926" s="29">
        <v>0</v>
      </c>
      <c r="N926" s="29"/>
      <c r="O926" s="29">
        <v>0</v>
      </c>
      <c r="P926" s="29">
        <v>0</v>
      </c>
      <c r="Q926" s="29">
        <v>0</v>
      </c>
      <c r="R926" s="30">
        <v>94478</v>
      </c>
    </row>
    <row r="927" spans="1:18">
      <c r="A927" s="27"/>
      <c r="B927" s="28">
        <v>923</v>
      </c>
      <c r="C927" s="1">
        <f>30000000+INDEX(编号表!$B:$B,MATCH(G927,编号表!$A:$A,0))*100000+INDEX(编号表!$F:$F,MATCH(H927,编号表!$E:$E,0))*1000+INDEX(编号表!$D:$D,MATCH(F927,编号表!$C:$C,0))*10000+E927</f>
        <v>31673001</v>
      </c>
      <c r="D927" s="23" t="s">
        <v>989</v>
      </c>
      <c r="E927" s="23">
        <v>1</v>
      </c>
      <c r="F927" s="23" t="s">
        <v>907</v>
      </c>
      <c r="G927" s="23" t="s">
        <v>82</v>
      </c>
      <c r="H927" s="23" t="s">
        <v>115</v>
      </c>
      <c r="I927" s="23"/>
      <c r="J927" s="23"/>
      <c r="K927" s="23"/>
      <c r="L927" s="29">
        <v>8</v>
      </c>
      <c r="M927" s="29">
        <v>0</v>
      </c>
      <c r="N927" s="29"/>
      <c r="O927" s="29">
        <v>0</v>
      </c>
      <c r="P927" s="29">
        <v>0</v>
      </c>
      <c r="Q927" s="29">
        <v>0</v>
      </c>
      <c r="R927" s="30">
        <v>173210</v>
      </c>
    </row>
    <row r="928" spans="1:18">
      <c r="A928" s="27"/>
      <c r="B928" s="28">
        <v>924</v>
      </c>
      <c r="C928" s="1">
        <f>30000000+INDEX(编号表!$B:$B,MATCH(G928,编号表!$A:$A,0))*100000+INDEX(编号表!$F:$F,MATCH(H928,编号表!$E:$E,0))*1000+INDEX(编号表!$D:$D,MATCH(F928,编号表!$C:$C,0))*10000+E928</f>
        <v>31673002</v>
      </c>
      <c r="D928" s="23" t="s">
        <v>990</v>
      </c>
      <c r="E928" s="23">
        <v>2</v>
      </c>
      <c r="F928" s="23" t="s">
        <v>907</v>
      </c>
      <c r="G928" s="23" t="s">
        <v>82</v>
      </c>
      <c r="H928" s="23" t="s">
        <v>115</v>
      </c>
      <c r="I928" s="23"/>
      <c r="J928" s="23"/>
      <c r="K928" s="23"/>
      <c r="L928" s="29">
        <v>9</v>
      </c>
      <c r="M928" s="29">
        <v>0</v>
      </c>
      <c r="N928" s="29"/>
      <c r="O928" s="29">
        <v>0</v>
      </c>
      <c r="P928" s="29">
        <v>0</v>
      </c>
      <c r="Q928" s="29">
        <v>0</v>
      </c>
      <c r="R928" s="30">
        <v>267688</v>
      </c>
    </row>
    <row r="929" spans="1:18">
      <c r="A929" s="27"/>
      <c r="B929" s="28">
        <v>925</v>
      </c>
      <c r="C929" s="1">
        <f>30000000+INDEX(编号表!$B:$B,MATCH(G929,编号表!$A:$A,0))*100000+INDEX(编号表!$F:$F,MATCH(H929,编号表!$E:$E,0))*1000+INDEX(编号表!$D:$D,MATCH(F929,编号表!$C:$C,0))*10000+E929</f>
        <v>31274000</v>
      </c>
      <c r="D929" s="23" t="s">
        <v>991</v>
      </c>
      <c r="E929" s="23">
        <v>0</v>
      </c>
      <c r="F929" s="23" t="s">
        <v>907</v>
      </c>
      <c r="G929" s="23" t="s">
        <v>42</v>
      </c>
      <c r="H929" s="23" t="s">
        <v>144</v>
      </c>
      <c r="I929" s="23"/>
      <c r="J929" s="23"/>
      <c r="K929" s="23"/>
      <c r="L929" s="29">
        <v>0</v>
      </c>
      <c r="M929" s="29">
        <v>0</v>
      </c>
      <c r="N929" s="29"/>
      <c r="O929" s="29">
        <v>2834352</v>
      </c>
      <c r="P929" s="29">
        <v>1403005</v>
      </c>
      <c r="Q929" s="29">
        <v>14171760</v>
      </c>
      <c r="R929" s="30">
        <v>255091</v>
      </c>
    </row>
    <row r="930" spans="1:18">
      <c r="A930" s="27"/>
      <c r="B930" s="28">
        <v>926</v>
      </c>
      <c r="C930" s="1">
        <f>30000000+INDEX(编号表!$B:$B,MATCH(G930,编号表!$A:$A,0))*100000+INDEX(编号表!$F:$F,MATCH(H930,编号表!$E:$E,0))*1000+INDEX(编号表!$D:$D,MATCH(F930,编号表!$C:$C,0))*10000+E930</f>
        <v>31374000</v>
      </c>
      <c r="D930" s="23" t="s">
        <v>992</v>
      </c>
      <c r="E930" s="23">
        <v>0</v>
      </c>
      <c r="F930" s="23" t="s">
        <v>907</v>
      </c>
      <c r="G930" s="23" t="s">
        <v>45</v>
      </c>
      <c r="H930" s="23" t="s">
        <v>144</v>
      </c>
      <c r="I930" s="23" t="s">
        <v>46</v>
      </c>
      <c r="J930" s="23"/>
      <c r="K930" s="23"/>
      <c r="L930" s="29">
        <v>0</v>
      </c>
      <c r="M930" s="29">
        <v>-2</v>
      </c>
      <c r="N930" s="29"/>
      <c r="O930" s="29">
        <v>1693525</v>
      </c>
      <c r="P930" s="29">
        <v>838295</v>
      </c>
      <c r="Q930" s="29">
        <v>0</v>
      </c>
      <c r="R930" s="30">
        <v>198404</v>
      </c>
    </row>
    <row r="931" spans="1:18">
      <c r="A931" s="27"/>
      <c r="B931" s="28">
        <v>927</v>
      </c>
      <c r="C931" s="1">
        <f>30000000+INDEX(编号表!$B:$B,MATCH(G931,编号表!$A:$A,0))*100000+INDEX(编号表!$F:$F,MATCH(H931,编号表!$E:$E,0))*1000+INDEX(编号表!$D:$D,MATCH(F931,编号表!$C:$C,0))*10000+E931</f>
        <v>31374001</v>
      </c>
      <c r="D931" s="23" t="s">
        <v>993</v>
      </c>
      <c r="E931" s="23">
        <v>1</v>
      </c>
      <c r="F931" s="23" t="s">
        <v>907</v>
      </c>
      <c r="G931" s="23" t="s">
        <v>45</v>
      </c>
      <c r="H931" s="23" t="s">
        <v>144</v>
      </c>
      <c r="I931" s="23" t="s">
        <v>46</v>
      </c>
      <c r="J931" s="23"/>
      <c r="K931" s="23"/>
      <c r="L931" s="29">
        <v>0</v>
      </c>
      <c r="M931" s="29">
        <v>3</v>
      </c>
      <c r="N931" s="29"/>
      <c r="O931" s="29">
        <v>1809733</v>
      </c>
      <c r="P931" s="29">
        <v>1107557</v>
      </c>
      <c r="Q931" s="29">
        <v>0</v>
      </c>
      <c r="R931" s="30">
        <v>255091</v>
      </c>
    </row>
    <row r="932" spans="1:18">
      <c r="A932" s="27"/>
      <c r="B932" s="28">
        <v>928</v>
      </c>
      <c r="C932" s="1">
        <f>30000000+INDEX(编号表!$B:$B,MATCH(G932,编号表!$A:$A,0))*100000+INDEX(编号表!$F:$F,MATCH(H932,编号表!$E:$E,0))*1000+INDEX(编号表!$D:$D,MATCH(F932,编号表!$C:$C,0))*10000+E932</f>
        <v>31374002</v>
      </c>
      <c r="D932" s="23" t="s">
        <v>994</v>
      </c>
      <c r="E932" s="23">
        <v>2</v>
      </c>
      <c r="F932" s="23" t="s">
        <v>907</v>
      </c>
      <c r="G932" s="23" t="s">
        <v>45</v>
      </c>
      <c r="H932" s="23" t="s">
        <v>144</v>
      </c>
      <c r="I932" s="23" t="s">
        <v>49</v>
      </c>
      <c r="J932" s="23"/>
      <c r="K932" s="23"/>
      <c r="L932" s="29">
        <v>0</v>
      </c>
      <c r="M932" s="29">
        <v>-1</v>
      </c>
      <c r="N932" s="29"/>
      <c r="O932" s="29">
        <v>1605660</v>
      </c>
      <c r="P932" s="29">
        <v>520234</v>
      </c>
      <c r="Q932" s="29">
        <v>0</v>
      </c>
      <c r="R932" s="30">
        <v>276349</v>
      </c>
    </row>
    <row r="933" spans="1:18">
      <c r="A933" s="27"/>
      <c r="B933" s="28">
        <v>929</v>
      </c>
      <c r="C933" s="1">
        <f>30000000+INDEX(编号表!$B:$B,MATCH(G933,编号表!$A:$A,0))*100000+INDEX(编号表!$F:$F,MATCH(H933,编号表!$E:$E,0))*1000+INDEX(编号表!$D:$D,MATCH(F933,编号表!$C:$C,0))*10000+E933</f>
        <v>31374003</v>
      </c>
      <c r="D933" s="23" t="s">
        <v>995</v>
      </c>
      <c r="E933" s="23">
        <v>3</v>
      </c>
      <c r="F933" s="23" t="s">
        <v>907</v>
      </c>
      <c r="G933" s="23" t="s">
        <v>45</v>
      </c>
      <c r="H933" s="23" t="s">
        <v>144</v>
      </c>
      <c r="I933" s="23" t="s">
        <v>49</v>
      </c>
      <c r="J933" s="23"/>
      <c r="K933" s="23"/>
      <c r="L933" s="29">
        <v>0</v>
      </c>
      <c r="M933" s="29">
        <v>2</v>
      </c>
      <c r="N933" s="29"/>
      <c r="O933" s="29">
        <v>1693525</v>
      </c>
      <c r="P933" s="29">
        <v>1249822</v>
      </c>
      <c r="Q933" s="29">
        <v>0</v>
      </c>
      <c r="R933" s="30">
        <v>85030</v>
      </c>
    </row>
    <row r="934" spans="1:18">
      <c r="A934" s="27"/>
      <c r="B934" s="28">
        <v>930</v>
      </c>
      <c r="C934" s="1">
        <f>30000000+INDEX(编号表!$B:$B,MATCH(G934,编号表!$A:$A,0))*100000+INDEX(编号表!$F:$F,MATCH(H934,编号表!$E:$E,0))*1000+INDEX(编号表!$D:$D,MATCH(F934,编号表!$C:$C,0))*10000+E934</f>
        <v>31374004</v>
      </c>
      <c r="D934" s="23" t="s">
        <v>996</v>
      </c>
      <c r="E934" s="23">
        <v>4</v>
      </c>
      <c r="F934" s="23" t="s">
        <v>907</v>
      </c>
      <c r="G934" s="23" t="s">
        <v>45</v>
      </c>
      <c r="H934" s="23" t="s">
        <v>144</v>
      </c>
      <c r="I934" s="23" t="s">
        <v>52</v>
      </c>
      <c r="J934" s="23"/>
      <c r="K934" s="23"/>
      <c r="L934" s="29">
        <v>0</v>
      </c>
      <c r="M934" s="29">
        <v>-1</v>
      </c>
      <c r="N934" s="29"/>
      <c r="O934" s="29">
        <v>1693525</v>
      </c>
      <c r="P934" s="29">
        <v>1036438</v>
      </c>
      <c r="Q934" s="29">
        <v>0</v>
      </c>
      <c r="R934" s="30">
        <v>205490</v>
      </c>
    </row>
    <row r="935" spans="1:18">
      <c r="A935" s="27"/>
      <c r="B935" s="28">
        <v>931</v>
      </c>
      <c r="C935" s="1">
        <f>30000000+INDEX(编号表!$B:$B,MATCH(G935,编号表!$A:$A,0))*100000+INDEX(编号表!$F:$F,MATCH(H935,编号表!$E:$E,0))*1000+INDEX(编号表!$D:$D,MATCH(F935,编号表!$C:$C,0))*10000+E935</f>
        <v>31374005</v>
      </c>
      <c r="D935" s="23" t="inlineStr">
        <is>
          <t xml:space="preserve">十万载沸泉苔·仙株</t>
        </is>
      </c>
      <c r="E935" s="23">
        <v>5</v>
      </c>
      <c r="F935" s="23" t="s">
        <v>907</v>
      </c>
      <c r="G935" s="23" t="s">
        <v>45</v>
      </c>
      <c r="H935" s="23" t="s">
        <v>144</v>
      </c>
      <c r="I935" s="23" t="s">
        <v>52</v>
      </c>
      <c r="J935" s="23"/>
      <c r="K935" s="23"/>
      <c r="L935" s="29">
        <v>0</v>
      </c>
      <c r="M935" s="29">
        <v>4</v>
      </c>
      <c r="N935" s="29"/>
      <c r="O935" s="29">
        <v>1751629</v>
      </c>
      <c r="P935" s="29">
        <v>1292703</v>
      </c>
      <c r="Q935" s="29">
        <v>0</v>
      </c>
      <c r="R935" s="30">
        <v>368465</v>
      </c>
    </row>
    <row r="936" spans="1:18">
      <c r="A936" s="27"/>
      <c r="B936" s="28">
        <v>932</v>
      </c>
      <c r="C936" s="1">
        <f>30000000+INDEX(编号表!$B:$B,MATCH(G936,编号表!$A:$A,0))*100000+INDEX(编号表!$F:$F,MATCH(H936,编号表!$E:$E,0))*1000+INDEX(编号表!$D:$D,MATCH(F936,编号表!$C:$C,0))*10000+E936</f>
        <v>31374006</v>
      </c>
      <c r="D936" s="23" t="inlineStr">
        <is>
          <t xml:space="preserve">十万载丹露花·仙株</t>
        </is>
      </c>
      <c r="E936" s="23">
        <v>6</v>
      </c>
      <c r="F936" s="23" t="s">
        <v>907</v>
      </c>
      <c r="G936" s="23" t="s">
        <v>45</v>
      </c>
      <c r="H936" s="23" t="s">
        <v>144</v>
      </c>
      <c r="I936" s="23" t="s">
        <v>55</v>
      </c>
      <c r="J936" s="23"/>
      <c r="K936" s="23"/>
      <c r="L936" s="29">
        <v>0</v>
      </c>
      <c r="M936" s="29">
        <v>-1</v>
      </c>
      <c r="N936" s="29"/>
      <c r="O936" s="29">
        <v>1751629</v>
      </c>
      <c r="P936" s="29">
        <v>441411</v>
      </c>
      <c r="Q936" s="29">
        <v>0</v>
      </c>
      <c r="R936" s="30">
        <v>595213</v>
      </c>
    </row>
    <row r="937" spans="1:18">
      <c r="A937" s="27"/>
      <c r="B937" s="28">
        <v>933</v>
      </c>
      <c r="C937" s="1">
        <f>30000000+INDEX(编号表!$B:$B,MATCH(G937,编号表!$A:$A,0))*100000+INDEX(编号表!$F:$F,MATCH(H937,编号表!$E:$E,0))*1000+INDEX(编号表!$D:$D,MATCH(F937,编号表!$C:$C,0))*10000+E937</f>
        <v>31374007</v>
      </c>
      <c r="D937" s="23" t="s">
        <v>999</v>
      </c>
      <c r="E937" s="23">
        <v>7</v>
      </c>
      <c r="F937" s="23" t="s">
        <v>907</v>
      </c>
      <c r="G937" s="23" t="s">
        <v>45</v>
      </c>
      <c r="H937" s="23" t="s">
        <v>144</v>
      </c>
      <c r="I937" s="23" t="s">
        <v>55</v>
      </c>
      <c r="J937" s="23"/>
      <c r="K937" s="23"/>
      <c r="L937" s="29">
        <v>0</v>
      </c>
      <c r="M937" s="29">
        <v>2</v>
      </c>
      <c r="N937" s="29"/>
      <c r="O937" s="29">
        <v>1693525</v>
      </c>
      <c r="P937" s="29">
        <v>1249822</v>
      </c>
      <c r="Q937" s="29">
        <v>0</v>
      </c>
      <c r="R937" s="30">
        <v>85030</v>
      </c>
    </row>
    <row r="938" spans="1:18">
      <c r="A938" s="27"/>
      <c r="B938" s="28">
        <v>934</v>
      </c>
      <c r="C938" s="1">
        <f>30000000+INDEX(编号表!$B:$B,MATCH(G938,编号表!$A:$A,0))*100000+INDEX(编号表!$F:$F,MATCH(H938,编号表!$E:$E,0))*1000+INDEX(编号表!$D:$D,MATCH(F938,编号表!$C:$C,0))*10000+E938</f>
        <v>31374008</v>
      </c>
      <c r="D938" s="23" t="s">
        <v>1000</v>
      </c>
      <c r="E938" s="23">
        <v>8</v>
      </c>
      <c r="F938" s="23" t="s">
        <v>907</v>
      </c>
      <c r="G938" s="23" t="s">
        <v>45</v>
      </c>
      <c r="H938" s="23" t="s">
        <v>144</v>
      </c>
      <c r="I938" s="23" t="s">
        <v>58</v>
      </c>
      <c r="J938" s="23"/>
      <c r="K938" s="23"/>
      <c r="L938" s="29">
        <v>0</v>
      </c>
      <c r="M938" s="29">
        <v>-2</v>
      </c>
      <c r="N938" s="29"/>
      <c r="O938" s="29">
        <v>1693525</v>
      </c>
      <c r="P938" s="29">
        <v>838295</v>
      </c>
      <c r="Q938" s="29">
        <v>0</v>
      </c>
      <c r="R938" s="30">
        <v>198404</v>
      </c>
    </row>
    <row r="939" spans="1:18">
      <c r="A939" s="27"/>
      <c r="B939" s="28">
        <v>935</v>
      </c>
      <c r="C939" s="1">
        <f>30000000+INDEX(编号表!$B:$B,MATCH(G939,编号表!$A:$A,0))*100000+INDEX(编号表!$F:$F,MATCH(H939,编号表!$E:$E,0))*1000+INDEX(编号表!$D:$D,MATCH(F939,编号表!$C:$C,0))*10000+E939</f>
        <v>31374009</v>
      </c>
      <c r="D939" s="23" t="s">
        <v>1001</v>
      </c>
      <c r="E939" s="23">
        <v>9</v>
      </c>
      <c r="F939" s="23" t="s">
        <v>907</v>
      </c>
      <c r="G939" s="23" t="s">
        <v>45</v>
      </c>
      <c r="H939" s="23" t="s">
        <v>144</v>
      </c>
      <c r="I939" s="23" t="s">
        <v>58</v>
      </c>
      <c r="J939" s="23"/>
      <c r="K939" s="23"/>
      <c r="L939" s="29">
        <v>0</v>
      </c>
      <c r="M939" s="29">
        <v>1</v>
      </c>
      <c r="N939" s="29"/>
      <c r="O939" s="29">
        <v>1605660</v>
      </c>
      <c r="P939" s="29">
        <v>520234</v>
      </c>
      <c r="Q939" s="29">
        <v>0</v>
      </c>
      <c r="R939" s="30">
        <v>276349</v>
      </c>
    </row>
    <row r="940" spans="1:18">
      <c r="A940" s="27"/>
      <c r="B940" s="28">
        <v>936</v>
      </c>
      <c r="C940" s="1">
        <f>30000000+INDEX(编号表!$B:$B,MATCH(G940,编号表!$A:$A,0))*100000+INDEX(编号表!$F:$F,MATCH(H940,编号表!$E:$E,0))*1000+INDEX(编号表!$D:$D,MATCH(F940,编号表!$C:$C,0))*10000+E940</f>
        <v>31574000</v>
      </c>
      <c r="D940" s="23" t="inlineStr">
        <is>
          <t xml:space="preserve">十万载霜辛草·仙株</t>
        </is>
      </c>
      <c r="E940" s="23">
        <v>0</v>
      </c>
      <c r="F940" s="23" t="s">
        <v>907</v>
      </c>
      <c r="G940" s="23" t="s">
        <v>61</v>
      </c>
      <c r="H940" s="23" t="s">
        <v>144</v>
      </c>
      <c r="I940" s="23"/>
      <c r="J940" s="23" t="s">
        <v>62</v>
      </c>
      <c r="K940" s="23"/>
      <c r="L940" s="29">
        <v>0</v>
      </c>
      <c r="M940" s="29">
        <v>-2</v>
      </c>
      <c r="N940" s="29"/>
      <c r="O940" s="29">
        <v>1693525</v>
      </c>
      <c r="P940" s="29">
        <v>838295</v>
      </c>
      <c r="Q940" s="29">
        <v>0</v>
      </c>
      <c r="R940" s="30">
        <v>198404</v>
      </c>
    </row>
    <row r="941" spans="1:18">
      <c r="A941" s="27"/>
      <c r="B941" s="28">
        <v>937</v>
      </c>
      <c r="C941" s="1">
        <f>30000000+INDEX(编号表!$B:$B,MATCH(G941,编号表!$A:$A,0))*100000+INDEX(编号表!$F:$F,MATCH(H941,编号表!$E:$E,0))*1000+INDEX(编号表!$D:$D,MATCH(F941,编号表!$C:$C,0))*10000+E941</f>
        <v>31574001</v>
      </c>
      <c r="D941" s="23" t="s">
        <v>1003</v>
      </c>
      <c r="E941" s="23">
        <v>1</v>
      </c>
      <c r="F941" s="23" t="s">
        <v>907</v>
      </c>
      <c r="G941" s="23" t="s">
        <v>61</v>
      </c>
      <c r="H941" s="23" t="s">
        <v>144</v>
      </c>
      <c r="I941" s="23"/>
      <c r="J941" s="23" t="s">
        <v>62</v>
      </c>
      <c r="K941" s="23"/>
      <c r="L941" s="29">
        <v>0</v>
      </c>
      <c r="M941" s="29">
        <v>3</v>
      </c>
      <c r="N941" s="29"/>
      <c r="O941" s="29">
        <v>1809733</v>
      </c>
      <c r="P941" s="29">
        <v>1107557</v>
      </c>
      <c r="Q941" s="29">
        <v>0</v>
      </c>
      <c r="R941" s="30">
        <v>255091</v>
      </c>
    </row>
    <row r="942" spans="1:18">
      <c r="A942" s="27"/>
      <c r="B942" s="28">
        <v>938</v>
      </c>
      <c r="C942" s="1">
        <f>30000000+INDEX(编号表!$B:$B,MATCH(G942,编号表!$A:$A,0))*100000+INDEX(编号表!$F:$F,MATCH(H942,编号表!$E:$E,0))*1000+INDEX(编号表!$D:$D,MATCH(F942,编号表!$C:$C,0))*10000+E942</f>
        <v>31574002</v>
      </c>
      <c r="D942" s="23" t="s">
        <v>1004</v>
      </c>
      <c r="E942" s="23">
        <v>2</v>
      </c>
      <c r="F942" s="23" t="s">
        <v>907</v>
      </c>
      <c r="G942" s="23" t="s">
        <v>61</v>
      </c>
      <c r="H942" s="23" t="s">
        <v>144</v>
      </c>
      <c r="I942" s="23"/>
      <c r="J942" s="23" t="s">
        <v>65</v>
      </c>
      <c r="K942" s="23"/>
      <c r="L942" s="29">
        <v>0</v>
      </c>
      <c r="M942" s="29">
        <v>-1</v>
      </c>
      <c r="N942" s="29"/>
      <c r="O942" s="29">
        <v>1605660</v>
      </c>
      <c r="P942" s="29">
        <v>520234</v>
      </c>
      <c r="Q942" s="29">
        <v>0</v>
      </c>
      <c r="R942" s="30">
        <v>276349</v>
      </c>
    </row>
    <row r="943" spans="1:18">
      <c r="A943" s="27"/>
      <c r="B943" s="28">
        <v>939</v>
      </c>
      <c r="C943" s="1">
        <f>30000000+INDEX(编号表!$B:$B,MATCH(G943,编号表!$A:$A,0))*100000+INDEX(编号表!$F:$F,MATCH(H943,编号表!$E:$E,0))*1000+INDEX(编号表!$D:$D,MATCH(F943,编号表!$C:$C,0))*10000+E943</f>
        <v>31574003</v>
      </c>
      <c r="D943" s="23" t="s">
        <v>1005</v>
      </c>
      <c r="E943" s="23">
        <v>3</v>
      </c>
      <c r="F943" s="23" t="s">
        <v>907</v>
      </c>
      <c r="G943" s="23" t="s">
        <v>61</v>
      </c>
      <c r="H943" s="23" t="s">
        <v>144</v>
      </c>
      <c r="I943" s="23"/>
      <c r="J943" s="23" t="s">
        <v>65</v>
      </c>
      <c r="K943" s="23"/>
      <c r="L943" s="29">
        <v>0</v>
      </c>
      <c r="M943" s="29">
        <v>2</v>
      </c>
      <c r="N943" s="29"/>
      <c r="O943" s="29">
        <v>1693525</v>
      </c>
      <c r="P943" s="29">
        <v>1249822</v>
      </c>
      <c r="Q943" s="29">
        <v>0</v>
      </c>
      <c r="R943" s="30">
        <v>85030</v>
      </c>
    </row>
    <row r="944" spans="1:18">
      <c r="A944" s="27"/>
      <c r="B944" s="28">
        <v>940</v>
      </c>
      <c r="C944" s="1">
        <f>30000000+INDEX(编号表!$B:$B,MATCH(G944,编号表!$A:$A,0))*100000+INDEX(编号表!$F:$F,MATCH(H944,编号表!$E:$E,0))*1000+INDEX(编号表!$D:$D,MATCH(F944,编号表!$C:$C,0))*10000+E944</f>
        <v>31574004</v>
      </c>
      <c r="D944" s="23" t="s">
        <v>1006</v>
      </c>
      <c r="E944" s="23">
        <v>4</v>
      </c>
      <c r="F944" s="23" t="s">
        <v>907</v>
      </c>
      <c r="G944" s="23" t="s">
        <v>61</v>
      </c>
      <c r="H944" s="23" t="s">
        <v>144</v>
      </c>
      <c r="I944" s="23"/>
      <c r="J944" s="23" t="s">
        <v>68</v>
      </c>
      <c r="K944" s="23"/>
      <c r="L944" s="29">
        <v>0</v>
      </c>
      <c r="M944" s="29">
        <v>-1</v>
      </c>
      <c r="N944" s="29"/>
      <c r="O944" s="29">
        <v>1693525</v>
      </c>
      <c r="P944" s="29">
        <v>1036438</v>
      </c>
      <c r="Q944" s="29">
        <v>0</v>
      </c>
      <c r="R944" s="30">
        <v>205490</v>
      </c>
    </row>
    <row r="945" spans="1:18">
      <c r="A945" s="27"/>
      <c r="B945" s="28">
        <v>941</v>
      </c>
      <c r="C945" s="1">
        <f>30000000+INDEX(编号表!$B:$B,MATCH(G945,编号表!$A:$A,0))*100000+INDEX(编号表!$F:$F,MATCH(H945,编号表!$E:$E,0))*1000+INDEX(编号表!$D:$D,MATCH(F945,编号表!$C:$C,0))*10000+E945</f>
        <v>31574005</v>
      </c>
      <c r="D945" s="23" t="s">
        <v>1007</v>
      </c>
      <c r="E945" s="23">
        <v>5</v>
      </c>
      <c r="F945" s="23" t="s">
        <v>907</v>
      </c>
      <c r="G945" s="23" t="s">
        <v>61</v>
      </c>
      <c r="H945" s="23" t="s">
        <v>144</v>
      </c>
      <c r="I945" s="23"/>
      <c r="J945" s="23" t="s">
        <v>68</v>
      </c>
      <c r="K945" s="23"/>
      <c r="L945" s="29">
        <v>0</v>
      </c>
      <c r="M945" s="29">
        <v>4</v>
      </c>
      <c r="N945" s="29"/>
      <c r="O945" s="29">
        <v>1751629</v>
      </c>
      <c r="P945" s="29">
        <v>1292703</v>
      </c>
      <c r="Q945" s="29">
        <v>0</v>
      </c>
      <c r="R945" s="30">
        <v>368465</v>
      </c>
    </row>
    <row r="946" spans="1:18">
      <c r="A946" s="27"/>
      <c r="B946" s="28">
        <v>942</v>
      </c>
      <c r="C946" s="1">
        <f>30000000+INDEX(编号表!$B:$B,MATCH(G946,编号表!$A:$A,0))*100000+INDEX(编号表!$F:$F,MATCH(H946,编号表!$E:$E,0))*1000+INDEX(编号表!$D:$D,MATCH(F946,编号表!$C:$C,0))*10000+E946</f>
        <v>31574006</v>
      </c>
      <c r="D946" s="23" t="s">
        <v>1008</v>
      </c>
      <c r="E946" s="23">
        <v>6</v>
      </c>
      <c r="F946" s="23" t="s">
        <v>907</v>
      </c>
      <c r="G946" s="23" t="s">
        <v>61</v>
      </c>
      <c r="H946" s="23" t="s">
        <v>144</v>
      </c>
      <c r="I946" s="23"/>
      <c r="J946" s="23" t="s">
        <v>71</v>
      </c>
      <c r="K946" s="23"/>
      <c r="L946" s="29">
        <v>0</v>
      </c>
      <c r="M946" s="29">
        <v>-1</v>
      </c>
      <c r="N946" s="29"/>
      <c r="O946" s="29">
        <v>1751629</v>
      </c>
      <c r="P946" s="29">
        <v>441411</v>
      </c>
      <c r="Q946" s="29">
        <v>0</v>
      </c>
      <c r="R946" s="30">
        <v>595213</v>
      </c>
    </row>
    <row r="947" spans="1:18">
      <c r="A947" s="27"/>
      <c r="B947" s="28">
        <v>943</v>
      </c>
      <c r="C947" s="1">
        <f>30000000+INDEX(编号表!$B:$B,MATCH(G947,编号表!$A:$A,0))*100000+INDEX(编号表!$F:$F,MATCH(H947,编号表!$E:$E,0))*1000+INDEX(编号表!$D:$D,MATCH(F947,编号表!$C:$C,0))*10000+E947</f>
        <v>31574007</v>
      </c>
      <c r="D947" s="23" t="s">
        <v>1009</v>
      </c>
      <c r="E947" s="23">
        <v>7</v>
      </c>
      <c r="F947" s="23" t="s">
        <v>907</v>
      </c>
      <c r="G947" s="23" t="s">
        <v>61</v>
      </c>
      <c r="H947" s="23" t="s">
        <v>144</v>
      </c>
      <c r="I947" s="23"/>
      <c r="J947" s="23" t="s">
        <v>71</v>
      </c>
      <c r="K947" s="23"/>
      <c r="L947" s="29">
        <v>0</v>
      </c>
      <c r="M947" s="29">
        <v>2</v>
      </c>
      <c r="N947" s="29"/>
      <c r="O947" s="29">
        <v>1693525</v>
      </c>
      <c r="P947" s="29">
        <v>1249822</v>
      </c>
      <c r="Q947" s="29">
        <v>0</v>
      </c>
      <c r="R947" s="30">
        <v>85030</v>
      </c>
    </row>
    <row r="948" spans="1:18">
      <c r="A948" s="27"/>
      <c r="B948" s="28">
        <v>944</v>
      </c>
      <c r="C948" s="1">
        <f>30000000+INDEX(编号表!$B:$B,MATCH(G948,编号表!$A:$A,0))*100000+INDEX(编号表!$F:$F,MATCH(H948,编号表!$E:$E,0))*1000+INDEX(编号表!$D:$D,MATCH(F948,编号表!$C:$C,0))*10000+E948</f>
        <v>31574008</v>
      </c>
      <c r="D948" s="23" t="s">
        <v>1010</v>
      </c>
      <c r="E948" s="23">
        <v>8</v>
      </c>
      <c r="F948" s="23" t="s">
        <v>907</v>
      </c>
      <c r="G948" s="23" t="s">
        <v>61</v>
      </c>
      <c r="H948" s="23" t="s">
        <v>144</v>
      </c>
      <c r="I948" s="23"/>
      <c r="J948" s="23" t="s">
        <v>74</v>
      </c>
      <c r="K948" s="23"/>
      <c r="L948" s="29">
        <v>0</v>
      </c>
      <c r="M948" s="29">
        <v>-2</v>
      </c>
      <c r="N948" s="29"/>
      <c r="O948" s="29">
        <v>1693525</v>
      </c>
      <c r="P948" s="29">
        <v>838295</v>
      </c>
      <c r="Q948" s="29">
        <v>0</v>
      </c>
      <c r="R948" s="30">
        <v>198404</v>
      </c>
    </row>
    <row r="949" spans="1:18">
      <c r="A949" s="27"/>
      <c r="B949" s="28">
        <v>945</v>
      </c>
      <c r="C949" s="1">
        <f>30000000+INDEX(编号表!$B:$B,MATCH(G949,编号表!$A:$A,0))*100000+INDEX(编号表!$F:$F,MATCH(H949,编号表!$E:$E,0))*1000+INDEX(编号表!$D:$D,MATCH(F949,编号表!$C:$C,0))*10000+E949</f>
        <v>31574009</v>
      </c>
      <c r="D949" s="23" t="s">
        <v>1011</v>
      </c>
      <c r="E949" s="23">
        <v>9</v>
      </c>
      <c r="F949" s="23" t="s">
        <v>907</v>
      </c>
      <c r="G949" s="23" t="s">
        <v>61</v>
      </c>
      <c r="H949" s="23" t="s">
        <v>144</v>
      </c>
      <c r="I949" s="23"/>
      <c r="J949" s="23" t="s">
        <v>74</v>
      </c>
      <c r="K949" s="23"/>
      <c r="L949" s="29">
        <v>0</v>
      </c>
      <c r="M949" s="29">
        <v>1</v>
      </c>
      <c r="N949" s="29"/>
      <c r="O949" s="29">
        <v>1605660</v>
      </c>
      <c r="P949" s="29">
        <v>520234</v>
      </c>
      <c r="Q949" s="29">
        <v>0</v>
      </c>
      <c r="R949" s="30">
        <v>276349</v>
      </c>
    </row>
    <row r="950" spans="1:18">
      <c r="A950" s="27"/>
      <c r="B950" s="28">
        <v>946</v>
      </c>
      <c r="C950" s="1">
        <f>30000000+INDEX(编号表!$B:$B,MATCH(G950,编号表!$A:$A,0))*100000+INDEX(编号表!$F:$F,MATCH(H950,编号表!$E:$E,0))*1000+INDEX(编号表!$D:$D,MATCH(F950,编号表!$C:$C,0))*10000+E950</f>
        <v>31474000</v>
      </c>
      <c r="D950" s="23" t="s">
        <v>1012</v>
      </c>
      <c r="E950" s="23">
        <v>0</v>
      </c>
      <c r="F950" s="23" t="s">
        <v>907</v>
      </c>
      <c r="G950" s="23" t="s">
        <v>77</v>
      </c>
      <c r="H950" s="23" t="s">
        <v>144</v>
      </c>
      <c r="I950" s="23"/>
      <c r="J950" s="23"/>
      <c r="K950" s="23"/>
      <c r="L950" s="29">
        <v>0</v>
      </c>
      <c r="M950" s="29">
        <v>0</v>
      </c>
      <c r="N950" s="29"/>
      <c r="O950" s="29">
        <v>1605660</v>
      </c>
      <c r="P950" s="29">
        <v>404627</v>
      </c>
      <c r="Q950" s="29">
        <v>0</v>
      </c>
      <c r="R950" s="30">
        <v>325950</v>
      </c>
    </row>
    <row r="951" spans="1:18">
      <c r="A951" s="27"/>
      <c r="B951" s="28">
        <v>947</v>
      </c>
      <c r="C951" s="1">
        <f>30000000+INDEX(编号表!$B:$B,MATCH(G951,编号表!$A:$A,0))*100000+INDEX(编号表!$F:$F,MATCH(H951,编号表!$E:$E,0))*1000+INDEX(编号表!$D:$D,MATCH(F951,编号表!$C:$C,0))*10000+E951</f>
        <v>31474001</v>
      </c>
      <c r="D951" s="23" t="s">
        <v>1013</v>
      </c>
      <c r="E951" s="23">
        <v>1</v>
      </c>
      <c r="F951" s="23" t="s">
        <v>907</v>
      </c>
      <c r="G951" s="23" t="s">
        <v>77</v>
      </c>
      <c r="H951" s="23" t="s">
        <v>144</v>
      </c>
      <c r="I951" s="23"/>
      <c r="J951" s="23"/>
      <c r="K951" s="23"/>
      <c r="L951" s="29">
        <v>0</v>
      </c>
      <c r="M951" s="29">
        <v>0</v>
      </c>
      <c r="N951" s="29"/>
      <c r="O951" s="29">
        <v>1809733</v>
      </c>
      <c r="P951" s="29">
        <v>1335583</v>
      </c>
      <c r="Q951" s="29">
        <v>0</v>
      </c>
      <c r="R951" s="30">
        <v>113374</v>
      </c>
    </row>
    <row r="952" spans="1:18">
      <c r="A952" s="27"/>
      <c r="B952" s="28">
        <v>948</v>
      </c>
      <c r="C952" s="1">
        <f>30000000+INDEX(编号表!$B:$B,MATCH(G952,编号表!$A:$A,0))*100000+INDEX(编号表!$F:$F,MATCH(H952,编号表!$E:$E,0))*1000+INDEX(编号表!$D:$D,MATCH(F952,编号表!$C:$C,0))*10000+E952</f>
        <v>31474002</v>
      </c>
      <c r="D952" s="23" t="s">
        <v>1014</v>
      </c>
      <c r="E952" s="23">
        <v>2</v>
      </c>
      <c r="F952" s="23" t="s">
        <v>907</v>
      </c>
      <c r="G952" s="23" t="s">
        <v>77</v>
      </c>
      <c r="H952" s="23" t="s">
        <v>144</v>
      </c>
      <c r="I952" s="23"/>
      <c r="J952" s="23"/>
      <c r="K952" s="23"/>
      <c r="L952" s="29">
        <v>0</v>
      </c>
      <c r="M952" s="29">
        <v>1</v>
      </c>
      <c r="N952" s="29"/>
      <c r="O952" s="29">
        <v>1751629</v>
      </c>
      <c r="P952" s="29">
        <v>441411</v>
      </c>
      <c r="Q952" s="29">
        <v>0</v>
      </c>
      <c r="R952" s="30">
        <v>595213</v>
      </c>
    </row>
    <row r="953" spans="1:18">
      <c r="A953" s="27"/>
      <c r="B953" s="28">
        <v>949</v>
      </c>
      <c r="C953" s="1">
        <f>30000000+INDEX(编号表!$B:$B,MATCH(G953,编号表!$A:$A,0))*100000+INDEX(编号表!$F:$F,MATCH(H953,编号表!$E:$E,0))*1000+INDEX(编号表!$D:$D,MATCH(F953,编号表!$C:$C,0))*10000+E953</f>
        <v>31474003</v>
      </c>
      <c r="D953" s="23" t="s">
        <v>1015</v>
      </c>
      <c r="E953" s="23">
        <v>3</v>
      </c>
      <c r="F953" s="23" t="s">
        <v>907</v>
      </c>
      <c r="G953" s="23" t="s">
        <v>77</v>
      </c>
      <c r="H953" s="23" t="s">
        <v>144</v>
      </c>
      <c r="I953" s="23"/>
      <c r="J953" s="23"/>
      <c r="K953" s="23"/>
      <c r="L953" s="29">
        <v>0</v>
      </c>
      <c r="M953" s="29">
        <v>4</v>
      </c>
      <c r="N953" s="29"/>
      <c r="O953" s="29">
        <v>1751629</v>
      </c>
      <c r="P953" s="29">
        <v>1292703</v>
      </c>
      <c r="Q953" s="29">
        <v>0</v>
      </c>
      <c r="R953" s="30">
        <v>368465</v>
      </c>
    </row>
    <row r="954" spans="1:18">
      <c r="A954" s="27"/>
      <c r="B954" s="28">
        <v>950</v>
      </c>
      <c r="C954" s="1">
        <f>30000000+INDEX(编号表!$B:$B,MATCH(G954,编号表!$A:$A,0))*100000+INDEX(编号表!$F:$F,MATCH(H954,编号表!$E:$E,0))*1000+INDEX(编号表!$D:$D,MATCH(F954,编号表!$C:$C,0))*10000+E954</f>
        <v>31674000</v>
      </c>
      <c r="D954" s="23" t="s">
        <v>1016</v>
      </c>
      <c r="E954" s="23">
        <v>0</v>
      </c>
      <c r="F954" s="23" t="s">
        <v>907</v>
      </c>
      <c r="G954" s="23" t="s">
        <v>82</v>
      </c>
      <c r="H954" s="23" t="s">
        <v>144</v>
      </c>
      <c r="I954" s="23"/>
      <c r="J954" s="23"/>
      <c r="K954" s="23"/>
      <c r="L954" s="29">
        <v>7</v>
      </c>
      <c r="M954" s="29">
        <v>0</v>
      </c>
      <c r="N954" s="29"/>
      <c r="O954" s="29">
        <v>0</v>
      </c>
      <c r="P954" s="29">
        <v>0</v>
      </c>
      <c r="Q954" s="29">
        <v>0</v>
      </c>
      <c r="R954" s="30">
        <v>170061</v>
      </c>
    </row>
    <row r="955" spans="1:18">
      <c r="A955" s="27"/>
      <c r="B955" s="28">
        <v>951</v>
      </c>
      <c r="C955" s="1">
        <f>30000000+INDEX(编号表!$B:$B,MATCH(G955,编号表!$A:$A,0))*100000+INDEX(编号表!$F:$F,MATCH(H955,编号表!$E:$E,0))*1000+INDEX(编号表!$D:$D,MATCH(F955,编号表!$C:$C,0))*10000+E955</f>
        <v>31674001</v>
      </c>
      <c r="D955" s="23" t="s">
        <v>1017</v>
      </c>
      <c r="E955" s="23">
        <v>1</v>
      </c>
      <c r="F955" s="23" t="s">
        <v>907</v>
      </c>
      <c r="G955" s="23" t="s">
        <v>82</v>
      </c>
      <c r="H955" s="23" t="s">
        <v>144</v>
      </c>
      <c r="I955" s="23"/>
      <c r="J955" s="23"/>
      <c r="K955" s="23"/>
      <c r="L955" s="29">
        <v>8</v>
      </c>
      <c r="M955" s="29">
        <v>0</v>
      </c>
      <c r="N955" s="29"/>
      <c r="O955" s="29">
        <v>0</v>
      </c>
      <c r="P955" s="29">
        <v>0</v>
      </c>
      <c r="Q955" s="29">
        <v>0</v>
      </c>
      <c r="R955" s="30">
        <v>311778</v>
      </c>
    </row>
    <row r="956" spans="1:18">
      <c r="A956" s="27"/>
      <c r="B956" s="28">
        <v>952</v>
      </c>
      <c r="C956" s="1">
        <f>30000000+INDEX(编号表!$B:$B,MATCH(G956,编号表!$A:$A,0))*100000+INDEX(编号表!$F:$F,MATCH(H956,编号表!$E:$E,0))*1000+INDEX(编号表!$D:$D,MATCH(F956,编号表!$C:$C,0))*10000+E956</f>
        <v>31674002</v>
      </c>
      <c r="D956" s="23" t="s">
        <v>1018</v>
      </c>
      <c r="E956" s="23">
        <v>2</v>
      </c>
      <c r="F956" s="23" t="s">
        <v>907</v>
      </c>
      <c r="G956" s="23" t="s">
        <v>82</v>
      </c>
      <c r="H956" s="23" t="s">
        <v>144</v>
      </c>
      <c r="I956" s="23"/>
      <c r="J956" s="23"/>
      <c r="K956" s="23"/>
      <c r="L956" s="29">
        <v>9</v>
      </c>
      <c r="M956" s="29">
        <v>0</v>
      </c>
      <c r="N956" s="29"/>
      <c r="O956" s="29">
        <v>0</v>
      </c>
      <c r="P956" s="29">
        <v>0</v>
      </c>
      <c r="Q956" s="29">
        <v>0</v>
      </c>
      <c r="R956" s="30">
        <v>481839</v>
      </c>
    </row>
    <row r="957" spans="1:18">
      <c r="A957" s="27"/>
      <c r="B957" s="28">
        <v>953</v>
      </c>
      <c r="C957" s="1">
        <f>30000000+INDEX(编号表!$B:$B,MATCH(G957,编号表!$A:$A,0))*100000+INDEX(编号表!$F:$F,MATCH(H957,编号表!$E:$E,0))*1000+INDEX(编号表!$D:$D,MATCH(F957,编号表!$C:$C,0))*10000+E957</f>
        <v>31275000</v>
      </c>
      <c r="D957" s="23" t="s">
        <v>1019</v>
      </c>
      <c r="E957" s="23">
        <v>0</v>
      </c>
      <c r="F957" s="23" t="s">
        <v>907</v>
      </c>
      <c r="G957" s="23" t="s">
        <v>42</v>
      </c>
      <c r="H957" s="23" t="s">
        <v>173</v>
      </c>
      <c r="I957" s="23"/>
      <c r="J957" s="23"/>
      <c r="K957" s="23"/>
      <c r="L957" s="29">
        <v>0</v>
      </c>
      <c r="M957" s="29">
        <v>0</v>
      </c>
      <c r="N957" s="29"/>
      <c r="O957" s="29">
        <v>5101833</v>
      </c>
      <c r="P957" s="29">
        <v>2132567</v>
      </c>
      <c r="Q957" s="29">
        <v>25509168</v>
      </c>
      <c r="R957" s="30">
        <v>459165</v>
      </c>
    </row>
    <row r="958" spans="1:18">
      <c r="A958" s="27"/>
      <c r="B958" s="28">
        <v>954</v>
      </c>
      <c r="C958" s="1">
        <f>30000000+INDEX(编号表!$B:$B,MATCH(G958,编号表!$A:$A,0))*100000+INDEX(编号表!$F:$F,MATCH(H958,编号表!$E:$E,0))*1000+INDEX(编号表!$D:$D,MATCH(F958,编号表!$C:$C,0))*10000+E958</f>
        <v>31375000</v>
      </c>
      <c r="D958" s="23" t="s">
        <v>1020</v>
      </c>
      <c r="E958" s="23">
        <v>0</v>
      </c>
      <c r="F958" s="23" t="s">
        <v>907</v>
      </c>
      <c r="G958" s="23" t="s">
        <v>45</v>
      </c>
      <c r="H958" s="23" t="s">
        <v>173</v>
      </c>
      <c r="I958" s="23" t="s">
        <v>46</v>
      </c>
      <c r="J958" s="23"/>
      <c r="K958" s="23"/>
      <c r="L958" s="29">
        <v>0</v>
      </c>
      <c r="M958" s="29">
        <v>-2</v>
      </c>
      <c r="N958" s="29"/>
      <c r="O958" s="29">
        <v>3048345</v>
      </c>
      <c r="P958" s="29">
        <v>1274209</v>
      </c>
      <c r="Q958" s="29">
        <v>0</v>
      </c>
      <c r="R958" s="30">
        <v>357128</v>
      </c>
    </row>
    <row r="959" spans="1:18">
      <c r="A959" s="27"/>
      <c r="B959" s="28">
        <v>955</v>
      </c>
      <c r="C959" s="1">
        <f>30000000+INDEX(编号表!$B:$B,MATCH(G959,编号表!$A:$A,0))*100000+INDEX(编号表!$F:$F,MATCH(H959,编号表!$E:$E,0))*1000+INDEX(编号表!$D:$D,MATCH(F959,编号表!$C:$C,0))*10000+E959</f>
        <v>31375001</v>
      </c>
      <c r="D959" s="23" t="s">
        <v>1021</v>
      </c>
      <c r="E959" s="23">
        <v>1</v>
      </c>
      <c r="F959" s="23" t="s">
        <v>907</v>
      </c>
      <c r="G959" s="23" t="s">
        <v>45</v>
      </c>
      <c r="H959" s="23" t="s">
        <v>173</v>
      </c>
      <c r="I959" s="23" t="s">
        <v>46</v>
      </c>
      <c r="J959" s="23"/>
      <c r="K959" s="23"/>
      <c r="L959" s="29">
        <v>0</v>
      </c>
      <c r="M959" s="29">
        <v>3</v>
      </c>
      <c r="N959" s="29"/>
      <c r="O959" s="29">
        <v>3257520</v>
      </c>
      <c r="P959" s="29">
        <v>1683487</v>
      </c>
      <c r="Q959" s="29">
        <v>0</v>
      </c>
      <c r="R959" s="30">
        <v>459165</v>
      </c>
    </row>
    <row r="960" spans="1:18">
      <c r="A960" s="27"/>
      <c r="B960" s="28">
        <v>956</v>
      </c>
      <c r="C960" s="1">
        <f>30000000+INDEX(编号表!$B:$B,MATCH(G960,编号表!$A:$A,0))*100000+INDEX(编号表!$F:$F,MATCH(H960,编号表!$E:$E,0))*1000+INDEX(编号表!$D:$D,MATCH(F960,编号表!$C:$C,0))*10000+E960</f>
        <v>31375002</v>
      </c>
      <c r="D960" s="23" t="s">
        <v>1022</v>
      </c>
      <c r="E960" s="23">
        <v>2</v>
      </c>
      <c r="F960" s="23" t="s">
        <v>907</v>
      </c>
      <c r="G960" s="23" t="s">
        <v>45</v>
      </c>
      <c r="H960" s="23" t="s">
        <v>173</v>
      </c>
      <c r="I960" s="23" t="s">
        <v>49</v>
      </c>
      <c r="J960" s="23"/>
      <c r="K960" s="23"/>
      <c r="L960" s="29">
        <v>0</v>
      </c>
      <c r="M960" s="29">
        <v>-1</v>
      </c>
      <c r="N960" s="29"/>
      <c r="O960" s="29">
        <v>2890188</v>
      </c>
      <c r="P960" s="29">
        <v>790756</v>
      </c>
      <c r="Q960" s="29">
        <v>0</v>
      </c>
      <c r="R960" s="30">
        <v>497428</v>
      </c>
    </row>
    <row r="961" spans="1:18">
      <c r="A961" s="27"/>
      <c r="B961" s="28">
        <v>957</v>
      </c>
      <c r="C961" s="1">
        <f>30000000+INDEX(编号表!$B:$B,MATCH(G961,编号表!$A:$A,0))*100000+INDEX(编号表!$F:$F,MATCH(H961,编号表!$E:$E,0))*1000+INDEX(编号表!$D:$D,MATCH(F961,编号表!$C:$C,0))*10000+E961</f>
        <v>31375003</v>
      </c>
      <c r="D961" s="23" t="s">
        <v>1023</v>
      </c>
      <c r="E961" s="23">
        <v>3</v>
      </c>
      <c r="F961" s="23" t="s">
        <v>907</v>
      </c>
      <c r="G961" s="23" t="s">
        <v>45</v>
      </c>
      <c r="H961" s="23" t="s">
        <v>173</v>
      </c>
      <c r="I961" s="23" t="s">
        <v>49</v>
      </c>
      <c r="J961" s="23"/>
      <c r="K961" s="23"/>
      <c r="L961" s="29">
        <v>0</v>
      </c>
      <c r="M961" s="29">
        <v>2</v>
      </c>
      <c r="N961" s="29"/>
      <c r="O961" s="29">
        <v>3048345</v>
      </c>
      <c r="P961" s="29">
        <v>1899729</v>
      </c>
      <c r="Q961" s="29">
        <v>0</v>
      </c>
      <c r="R961" s="30">
        <v>153055</v>
      </c>
    </row>
    <row r="962" spans="1:18">
      <c r="A962" s="27"/>
      <c r="B962" s="28">
        <v>958</v>
      </c>
      <c r="C962" s="1">
        <f>30000000+INDEX(编号表!$B:$B,MATCH(G962,编号表!$A:$A,0))*100000+INDEX(编号表!$F:$F,MATCH(H962,编号表!$E:$E,0))*1000+INDEX(编号表!$D:$D,MATCH(F962,编号表!$C:$C,0))*10000+E962</f>
        <v>31375004</v>
      </c>
      <c r="D962" s="23" t="s">
        <v>1024</v>
      </c>
      <c r="E962" s="23">
        <v>4</v>
      </c>
      <c r="F962" s="23" t="s">
        <v>907</v>
      </c>
      <c r="G962" s="23" t="s">
        <v>45</v>
      </c>
      <c r="H962" s="23" t="s">
        <v>173</v>
      </c>
      <c r="I962" s="23" t="s">
        <v>52</v>
      </c>
      <c r="J962" s="23"/>
      <c r="K962" s="23"/>
      <c r="L962" s="29">
        <v>0</v>
      </c>
      <c r="M962" s="29">
        <v>-1</v>
      </c>
      <c r="N962" s="29"/>
      <c r="O962" s="29">
        <v>3048345</v>
      </c>
      <c r="P962" s="29">
        <v>1575385</v>
      </c>
      <c r="Q962" s="29">
        <v>0</v>
      </c>
      <c r="R962" s="30">
        <v>369882</v>
      </c>
    </row>
    <row r="963" spans="1:18">
      <c r="A963" s="27"/>
      <c r="B963" s="28">
        <v>959</v>
      </c>
      <c r="C963" s="1">
        <f>30000000+INDEX(编号表!$B:$B,MATCH(G963,编号表!$A:$A,0))*100000+INDEX(编号表!$F:$F,MATCH(H963,编号表!$E:$E,0))*1000+INDEX(编号表!$D:$D,MATCH(F963,编号表!$C:$C,0))*10000+E963</f>
        <v>31375005</v>
      </c>
      <c r="D963" s="23" t="inlineStr">
        <is>
          <t xml:space="preserve">十万载沸泉苔·神株</t>
        </is>
      </c>
      <c r="E963" s="23">
        <v>5</v>
      </c>
      <c r="F963" s="23" t="s">
        <v>907</v>
      </c>
      <c r="G963" s="23" t="s">
        <v>45</v>
      </c>
      <c r="H963" s="23" t="s">
        <v>173</v>
      </c>
      <c r="I963" s="23" t="s">
        <v>52</v>
      </c>
      <c r="J963" s="23"/>
      <c r="K963" s="23"/>
      <c r="L963" s="29">
        <v>0</v>
      </c>
      <c r="M963" s="29">
        <v>4</v>
      </c>
      <c r="N963" s="29"/>
      <c r="O963" s="29">
        <v>3152933</v>
      </c>
      <c r="P963" s="29">
        <v>1964908</v>
      </c>
      <c r="Q963" s="29">
        <v>0</v>
      </c>
      <c r="R963" s="30">
        <v>663238</v>
      </c>
    </row>
    <row r="964" spans="1:18">
      <c r="A964" s="27"/>
      <c r="B964" s="28">
        <v>960</v>
      </c>
      <c r="C964" s="1">
        <f>30000000+INDEX(编号表!$B:$B,MATCH(G964,编号表!$A:$A,0))*100000+INDEX(编号表!$F:$F,MATCH(H964,编号表!$E:$E,0))*1000+INDEX(编号表!$D:$D,MATCH(F964,编号表!$C:$C,0))*10000+E964</f>
        <v>31375006</v>
      </c>
      <c r="D964" s="23" t="inlineStr">
        <is>
          <t xml:space="preserve">十万载丹露花·神株</t>
        </is>
      </c>
      <c r="E964" s="23">
        <v>6</v>
      </c>
      <c r="F964" s="23" t="s">
        <v>907</v>
      </c>
      <c r="G964" s="23" t="s">
        <v>45</v>
      </c>
      <c r="H964" s="23" t="s">
        <v>173</v>
      </c>
      <c r="I964" s="23" t="s">
        <v>55</v>
      </c>
      <c r="J964" s="23"/>
      <c r="K964" s="23"/>
      <c r="L964" s="29">
        <v>0</v>
      </c>
      <c r="M964" s="29">
        <v>-1</v>
      </c>
      <c r="N964" s="29"/>
      <c r="O964" s="29">
        <v>3152933</v>
      </c>
      <c r="P964" s="29">
        <v>670945</v>
      </c>
      <c r="Q964" s="29">
        <v>0</v>
      </c>
      <c r="R964" s="30">
        <v>1071385</v>
      </c>
    </row>
    <row r="965" spans="1:18">
      <c r="A965" s="27"/>
      <c r="B965" s="28">
        <v>961</v>
      </c>
      <c r="C965" s="1">
        <f>30000000+INDEX(编号表!$B:$B,MATCH(G965,编号表!$A:$A,0))*100000+INDEX(编号表!$F:$F,MATCH(H965,编号表!$E:$E,0))*1000+INDEX(编号表!$D:$D,MATCH(F965,编号表!$C:$C,0))*10000+E965</f>
        <v>31375007</v>
      </c>
      <c r="D965" s="23" t="s">
        <v>1027</v>
      </c>
      <c r="E965" s="23">
        <v>7</v>
      </c>
      <c r="F965" s="23" t="s">
        <v>907</v>
      </c>
      <c r="G965" s="23" t="s">
        <v>45</v>
      </c>
      <c r="H965" s="23" t="s">
        <v>173</v>
      </c>
      <c r="I965" s="23" t="s">
        <v>55</v>
      </c>
      <c r="J965" s="23"/>
      <c r="K965" s="23"/>
      <c r="L965" s="29">
        <v>0</v>
      </c>
      <c r="M965" s="29">
        <v>2</v>
      </c>
      <c r="N965" s="29"/>
      <c r="O965" s="29">
        <v>3048345</v>
      </c>
      <c r="P965" s="29">
        <v>1899729</v>
      </c>
      <c r="Q965" s="29">
        <v>0</v>
      </c>
      <c r="R965" s="30">
        <v>153055</v>
      </c>
    </row>
    <row r="966" spans="1:18">
      <c r="A966" s="27"/>
      <c r="B966" s="28">
        <v>962</v>
      </c>
      <c r="C966" s="1">
        <f>30000000+INDEX(编号表!$B:$B,MATCH(G966,编号表!$A:$A,0))*100000+INDEX(编号表!$F:$F,MATCH(H966,编号表!$E:$E,0))*1000+INDEX(编号表!$D:$D,MATCH(F966,编号表!$C:$C,0))*10000+E966</f>
        <v>31375008</v>
      </c>
      <c r="D966" s="23" t="s">
        <v>1028</v>
      </c>
      <c r="E966" s="23">
        <v>8</v>
      </c>
      <c r="F966" s="23" t="s">
        <v>907</v>
      </c>
      <c r="G966" s="23" t="s">
        <v>45</v>
      </c>
      <c r="H966" s="23" t="s">
        <v>173</v>
      </c>
      <c r="I966" s="23" t="s">
        <v>58</v>
      </c>
      <c r="J966" s="23"/>
      <c r="K966" s="23"/>
      <c r="L966" s="29">
        <v>0</v>
      </c>
      <c r="M966" s="29">
        <v>-2</v>
      </c>
      <c r="N966" s="29"/>
      <c r="O966" s="29">
        <v>3048345</v>
      </c>
      <c r="P966" s="29">
        <v>1274209</v>
      </c>
      <c r="Q966" s="29">
        <v>0</v>
      </c>
      <c r="R966" s="30">
        <v>357128</v>
      </c>
    </row>
    <row r="967" spans="1:18">
      <c r="A967" s="27"/>
      <c r="B967" s="28">
        <v>963</v>
      </c>
      <c r="C967" s="1">
        <f>30000000+INDEX(编号表!$B:$B,MATCH(G967,编号表!$A:$A,0))*100000+INDEX(编号表!$F:$F,MATCH(H967,编号表!$E:$E,0))*1000+INDEX(编号表!$D:$D,MATCH(F967,编号表!$C:$C,0))*10000+E967</f>
        <v>31375009</v>
      </c>
      <c r="D967" s="23" t="s">
        <v>1029</v>
      </c>
      <c r="E967" s="23">
        <v>9</v>
      </c>
      <c r="F967" s="23" t="s">
        <v>907</v>
      </c>
      <c r="G967" s="23" t="s">
        <v>45</v>
      </c>
      <c r="H967" s="23" t="s">
        <v>173</v>
      </c>
      <c r="I967" s="23" t="s">
        <v>58</v>
      </c>
      <c r="J967" s="23"/>
      <c r="K967" s="23"/>
      <c r="L967" s="29">
        <v>0</v>
      </c>
      <c r="M967" s="29">
        <v>1</v>
      </c>
      <c r="N967" s="29"/>
      <c r="O967" s="29">
        <v>2890188</v>
      </c>
      <c r="P967" s="29">
        <v>790756</v>
      </c>
      <c r="Q967" s="29">
        <v>0</v>
      </c>
      <c r="R967" s="30">
        <v>497428</v>
      </c>
    </row>
    <row r="968" spans="1:18">
      <c r="A968" s="27"/>
      <c r="B968" s="28">
        <v>964</v>
      </c>
      <c r="C968" s="1">
        <f>30000000+INDEX(编号表!$B:$B,MATCH(G968,编号表!$A:$A,0))*100000+INDEX(编号表!$F:$F,MATCH(H968,编号表!$E:$E,0))*1000+INDEX(编号表!$D:$D,MATCH(F968,编号表!$C:$C,0))*10000+E968</f>
        <v>31575000</v>
      </c>
      <c r="D968" s="23" t="inlineStr">
        <is>
          <t xml:space="preserve">十万载霜辛草·神株</t>
        </is>
      </c>
      <c r="E968" s="23">
        <v>0</v>
      </c>
      <c r="F968" s="23" t="s">
        <v>907</v>
      </c>
      <c r="G968" s="23" t="s">
        <v>61</v>
      </c>
      <c r="H968" s="23" t="s">
        <v>173</v>
      </c>
      <c r="I968" s="23"/>
      <c r="J968" s="23" t="s">
        <v>62</v>
      </c>
      <c r="K968" s="23"/>
      <c r="L968" s="29">
        <v>0</v>
      </c>
      <c r="M968" s="29">
        <v>-2</v>
      </c>
      <c r="N968" s="29"/>
      <c r="O968" s="29">
        <v>3048345</v>
      </c>
      <c r="P968" s="29">
        <v>1274209</v>
      </c>
      <c r="Q968" s="29">
        <v>0</v>
      </c>
      <c r="R968" s="30">
        <v>357128</v>
      </c>
    </row>
    <row r="969" spans="1:18">
      <c r="A969" s="27"/>
      <c r="B969" s="28">
        <v>965</v>
      </c>
      <c r="C969" s="1">
        <f>30000000+INDEX(编号表!$B:$B,MATCH(G969,编号表!$A:$A,0))*100000+INDEX(编号表!$F:$F,MATCH(H969,编号表!$E:$E,0))*1000+INDEX(编号表!$D:$D,MATCH(F969,编号表!$C:$C,0))*10000+E969</f>
        <v>31575001</v>
      </c>
      <c r="D969" s="23" t="s">
        <v>1031</v>
      </c>
      <c r="E969" s="23">
        <v>1</v>
      </c>
      <c r="F969" s="23" t="s">
        <v>907</v>
      </c>
      <c r="G969" s="23" t="s">
        <v>61</v>
      </c>
      <c r="H969" s="23" t="s">
        <v>173</v>
      </c>
      <c r="I969" s="23"/>
      <c r="J969" s="23" t="s">
        <v>62</v>
      </c>
      <c r="K969" s="23"/>
      <c r="L969" s="29">
        <v>0</v>
      </c>
      <c r="M969" s="29">
        <v>3</v>
      </c>
      <c r="N969" s="29"/>
      <c r="O969" s="29">
        <v>3257520</v>
      </c>
      <c r="P969" s="29">
        <v>1683487</v>
      </c>
      <c r="Q969" s="29">
        <v>0</v>
      </c>
      <c r="R969" s="30">
        <v>459165</v>
      </c>
    </row>
    <row r="970" spans="1:18">
      <c r="A970" s="27"/>
      <c r="B970" s="28">
        <v>966</v>
      </c>
      <c r="C970" s="1">
        <f>30000000+INDEX(编号表!$B:$B,MATCH(G970,编号表!$A:$A,0))*100000+INDEX(编号表!$F:$F,MATCH(H970,编号表!$E:$E,0))*1000+INDEX(编号表!$D:$D,MATCH(F970,编号表!$C:$C,0))*10000+E970</f>
        <v>31575002</v>
      </c>
      <c r="D970" s="23" t="s">
        <v>1032</v>
      </c>
      <c r="E970" s="23">
        <v>2</v>
      </c>
      <c r="F970" s="23" t="s">
        <v>907</v>
      </c>
      <c r="G970" s="23" t="s">
        <v>61</v>
      </c>
      <c r="H970" s="23" t="s">
        <v>173</v>
      </c>
      <c r="I970" s="23"/>
      <c r="J970" s="23" t="s">
        <v>65</v>
      </c>
      <c r="K970" s="23"/>
      <c r="L970" s="29">
        <v>0</v>
      </c>
      <c r="M970" s="29">
        <v>-1</v>
      </c>
      <c r="N970" s="29"/>
      <c r="O970" s="29">
        <v>2890188</v>
      </c>
      <c r="P970" s="29">
        <v>790756</v>
      </c>
      <c r="Q970" s="29">
        <v>0</v>
      </c>
      <c r="R970" s="30">
        <v>497428</v>
      </c>
    </row>
    <row r="971" spans="1:18">
      <c r="A971" s="27"/>
      <c r="B971" s="28">
        <v>967</v>
      </c>
      <c r="C971" s="1">
        <f>30000000+INDEX(编号表!$B:$B,MATCH(G971,编号表!$A:$A,0))*100000+INDEX(编号表!$F:$F,MATCH(H971,编号表!$E:$E,0))*1000+INDEX(编号表!$D:$D,MATCH(F971,编号表!$C:$C,0))*10000+E971</f>
        <v>31575003</v>
      </c>
      <c r="D971" s="23" t="s">
        <v>1033</v>
      </c>
      <c r="E971" s="23">
        <v>3</v>
      </c>
      <c r="F971" s="23" t="s">
        <v>907</v>
      </c>
      <c r="G971" s="23" t="s">
        <v>61</v>
      </c>
      <c r="H971" s="23" t="s">
        <v>173</v>
      </c>
      <c r="I971" s="23"/>
      <c r="J971" s="23" t="s">
        <v>65</v>
      </c>
      <c r="K971" s="23"/>
      <c r="L971" s="29">
        <v>0</v>
      </c>
      <c r="M971" s="29">
        <v>2</v>
      </c>
      <c r="N971" s="29"/>
      <c r="O971" s="29">
        <v>3048345</v>
      </c>
      <c r="P971" s="29">
        <v>1899729</v>
      </c>
      <c r="Q971" s="29">
        <v>0</v>
      </c>
      <c r="R971" s="30">
        <v>153055</v>
      </c>
    </row>
    <row r="972" spans="1:18">
      <c r="A972" s="27"/>
      <c r="B972" s="28">
        <v>968</v>
      </c>
      <c r="C972" s="1">
        <f>30000000+INDEX(编号表!$B:$B,MATCH(G972,编号表!$A:$A,0))*100000+INDEX(编号表!$F:$F,MATCH(H972,编号表!$E:$E,0))*1000+INDEX(编号表!$D:$D,MATCH(F972,编号表!$C:$C,0))*10000+E972</f>
        <v>31575004</v>
      </c>
      <c r="D972" s="23" t="s">
        <v>1034</v>
      </c>
      <c r="E972" s="23">
        <v>4</v>
      </c>
      <c r="F972" s="23" t="s">
        <v>907</v>
      </c>
      <c r="G972" s="23" t="s">
        <v>61</v>
      </c>
      <c r="H972" s="23" t="s">
        <v>173</v>
      </c>
      <c r="I972" s="23"/>
      <c r="J972" s="23" t="s">
        <v>68</v>
      </c>
      <c r="K972" s="23"/>
      <c r="L972" s="29">
        <v>0</v>
      </c>
      <c r="M972" s="29">
        <v>-1</v>
      </c>
      <c r="N972" s="29"/>
      <c r="O972" s="29">
        <v>3048345</v>
      </c>
      <c r="P972" s="29">
        <v>1575385</v>
      </c>
      <c r="Q972" s="29">
        <v>0</v>
      </c>
      <c r="R972" s="30">
        <v>369882</v>
      </c>
    </row>
    <row r="973" spans="1:18">
      <c r="A973" s="27"/>
      <c r="B973" s="28">
        <v>969</v>
      </c>
      <c r="C973" s="1">
        <f>30000000+INDEX(编号表!$B:$B,MATCH(G973,编号表!$A:$A,0))*100000+INDEX(编号表!$F:$F,MATCH(H973,编号表!$E:$E,0))*1000+INDEX(编号表!$D:$D,MATCH(F973,编号表!$C:$C,0))*10000+E973</f>
        <v>31575005</v>
      </c>
      <c r="D973" s="23" t="s">
        <v>1035</v>
      </c>
      <c r="E973" s="23">
        <v>5</v>
      </c>
      <c r="F973" s="23" t="s">
        <v>907</v>
      </c>
      <c r="G973" s="23" t="s">
        <v>61</v>
      </c>
      <c r="H973" s="23" t="s">
        <v>173</v>
      </c>
      <c r="I973" s="23"/>
      <c r="J973" s="23" t="s">
        <v>68</v>
      </c>
      <c r="K973" s="23"/>
      <c r="L973" s="29">
        <v>0</v>
      </c>
      <c r="M973" s="29">
        <v>4</v>
      </c>
      <c r="N973" s="29"/>
      <c r="O973" s="29">
        <v>3152933</v>
      </c>
      <c r="P973" s="29">
        <v>1964908</v>
      </c>
      <c r="Q973" s="29">
        <v>0</v>
      </c>
      <c r="R973" s="30">
        <v>663238</v>
      </c>
    </row>
    <row r="974" spans="1:18">
      <c r="A974" s="27"/>
      <c r="B974" s="28">
        <v>970</v>
      </c>
      <c r="C974" s="1">
        <f>30000000+INDEX(编号表!$B:$B,MATCH(G974,编号表!$A:$A,0))*100000+INDEX(编号表!$F:$F,MATCH(H974,编号表!$E:$E,0))*1000+INDEX(编号表!$D:$D,MATCH(F974,编号表!$C:$C,0))*10000+E974</f>
        <v>31575006</v>
      </c>
      <c r="D974" s="23" t="s">
        <v>1036</v>
      </c>
      <c r="E974" s="23">
        <v>6</v>
      </c>
      <c r="F974" s="23" t="s">
        <v>907</v>
      </c>
      <c r="G974" s="23" t="s">
        <v>61</v>
      </c>
      <c r="H974" s="23" t="s">
        <v>173</v>
      </c>
      <c r="I974" s="23"/>
      <c r="J974" s="23" t="s">
        <v>71</v>
      </c>
      <c r="K974" s="23"/>
      <c r="L974" s="29">
        <v>0</v>
      </c>
      <c r="M974" s="29">
        <v>-1</v>
      </c>
      <c r="N974" s="29"/>
      <c r="O974" s="29">
        <v>3152933</v>
      </c>
      <c r="P974" s="29">
        <v>670945</v>
      </c>
      <c r="Q974" s="29">
        <v>0</v>
      </c>
      <c r="R974" s="30">
        <v>1071385</v>
      </c>
    </row>
    <row r="975" spans="1:18">
      <c r="A975" s="27"/>
      <c r="B975" s="28">
        <v>971</v>
      </c>
      <c r="C975" s="1">
        <f>30000000+INDEX(编号表!$B:$B,MATCH(G975,编号表!$A:$A,0))*100000+INDEX(编号表!$F:$F,MATCH(H975,编号表!$E:$E,0))*1000+INDEX(编号表!$D:$D,MATCH(F975,编号表!$C:$C,0))*10000+E975</f>
        <v>31575007</v>
      </c>
      <c r="D975" s="23" t="s">
        <v>1037</v>
      </c>
      <c r="E975" s="23">
        <v>7</v>
      </c>
      <c r="F975" s="23" t="s">
        <v>907</v>
      </c>
      <c r="G975" s="23" t="s">
        <v>61</v>
      </c>
      <c r="H975" s="23" t="s">
        <v>173</v>
      </c>
      <c r="I975" s="23"/>
      <c r="J975" s="23" t="s">
        <v>71</v>
      </c>
      <c r="K975" s="23"/>
      <c r="L975" s="29">
        <v>0</v>
      </c>
      <c r="M975" s="29">
        <v>2</v>
      </c>
      <c r="N975" s="29"/>
      <c r="O975" s="29">
        <v>3048345</v>
      </c>
      <c r="P975" s="29">
        <v>1899729</v>
      </c>
      <c r="Q975" s="29">
        <v>0</v>
      </c>
      <c r="R975" s="30">
        <v>153055</v>
      </c>
    </row>
    <row r="976" spans="1:18">
      <c r="A976" s="27"/>
      <c r="B976" s="28">
        <v>972</v>
      </c>
      <c r="C976" s="1">
        <f>30000000+INDEX(编号表!$B:$B,MATCH(G976,编号表!$A:$A,0))*100000+INDEX(编号表!$F:$F,MATCH(H976,编号表!$E:$E,0))*1000+INDEX(编号表!$D:$D,MATCH(F976,编号表!$C:$C,0))*10000+E976</f>
        <v>31575008</v>
      </c>
      <c r="D976" s="23" t="s">
        <v>1038</v>
      </c>
      <c r="E976" s="23">
        <v>8</v>
      </c>
      <c r="F976" s="23" t="s">
        <v>907</v>
      </c>
      <c r="G976" s="23" t="s">
        <v>61</v>
      </c>
      <c r="H976" s="23" t="s">
        <v>173</v>
      </c>
      <c r="I976" s="23"/>
      <c r="J976" s="23" t="s">
        <v>74</v>
      </c>
      <c r="K976" s="23"/>
      <c r="L976" s="29">
        <v>0</v>
      </c>
      <c r="M976" s="29">
        <v>-2</v>
      </c>
      <c r="N976" s="29"/>
      <c r="O976" s="29">
        <v>3048345</v>
      </c>
      <c r="P976" s="29">
        <v>1274209</v>
      </c>
      <c r="Q976" s="29">
        <v>0</v>
      </c>
      <c r="R976" s="30">
        <v>357128</v>
      </c>
    </row>
    <row r="977" spans="1:18">
      <c r="A977" s="27"/>
      <c r="B977" s="28">
        <v>973</v>
      </c>
      <c r="C977" s="1">
        <f>30000000+INDEX(编号表!$B:$B,MATCH(G977,编号表!$A:$A,0))*100000+INDEX(编号表!$F:$F,MATCH(H977,编号表!$E:$E,0))*1000+INDEX(编号表!$D:$D,MATCH(F977,编号表!$C:$C,0))*10000+E977</f>
        <v>31575009</v>
      </c>
      <c r="D977" s="23" t="s">
        <v>1039</v>
      </c>
      <c r="E977" s="23">
        <v>9</v>
      </c>
      <c r="F977" s="23" t="s">
        <v>907</v>
      </c>
      <c r="G977" s="23" t="s">
        <v>61</v>
      </c>
      <c r="H977" s="23" t="s">
        <v>173</v>
      </c>
      <c r="I977" s="23"/>
      <c r="J977" s="23" t="s">
        <v>74</v>
      </c>
      <c r="K977" s="23"/>
      <c r="L977" s="29">
        <v>0</v>
      </c>
      <c r="M977" s="29">
        <v>1</v>
      </c>
      <c r="N977" s="29"/>
      <c r="O977" s="29">
        <v>2890188</v>
      </c>
      <c r="P977" s="29">
        <v>790756</v>
      </c>
      <c r="Q977" s="29">
        <v>0</v>
      </c>
      <c r="R977" s="30">
        <v>497428</v>
      </c>
    </row>
    <row r="978" spans="1:18">
      <c r="A978" s="27"/>
      <c r="B978" s="28">
        <v>974</v>
      </c>
      <c r="C978" s="1">
        <f>30000000+INDEX(编号表!$B:$B,MATCH(G978,编号表!$A:$A,0))*100000+INDEX(编号表!$F:$F,MATCH(H978,编号表!$E:$E,0))*1000+INDEX(编号表!$D:$D,MATCH(F978,编号表!$C:$C,0))*10000+E978</f>
        <v>31475000</v>
      </c>
      <c r="D978" s="23" t="s">
        <v>1040</v>
      </c>
      <c r="E978" s="23">
        <v>0</v>
      </c>
      <c r="F978" s="23" t="s">
        <v>907</v>
      </c>
      <c r="G978" s="23" t="s">
        <v>77</v>
      </c>
      <c r="H978" s="23" t="s">
        <v>173</v>
      </c>
      <c r="I978" s="23"/>
      <c r="J978" s="23"/>
      <c r="K978" s="23"/>
      <c r="L978" s="29">
        <v>0</v>
      </c>
      <c r="M978" s="29">
        <v>0</v>
      </c>
      <c r="N978" s="29"/>
      <c r="O978" s="29">
        <v>2890188</v>
      </c>
      <c r="P978" s="29">
        <v>615033</v>
      </c>
      <c r="Q978" s="29">
        <v>0</v>
      </c>
      <c r="R978" s="30">
        <v>586710</v>
      </c>
    </row>
    <row r="979" spans="1:18">
      <c r="A979" s="27"/>
      <c r="B979" s="28">
        <v>975</v>
      </c>
      <c r="C979" s="1">
        <f>30000000+INDEX(编号表!$B:$B,MATCH(G979,编号表!$A:$A,0))*100000+INDEX(编号表!$F:$F,MATCH(H979,编号表!$E:$E,0))*1000+INDEX(编号表!$D:$D,MATCH(F979,编号表!$C:$C,0))*10000+E979</f>
        <v>31475001</v>
      </c>
      <c r="D979" s="23" t="s">
        <v>1041</v>
      </c>
      <c r="E979" s="23">
        <v>1</v>
      </c>
      <c r="F979" s="23" t="s">
        <v>907</v>
      </c>
      <c r="G979" s="23" t="s">
        <v>77</v>
      </c>
      <c r="H979" s="23" t="s">
        <v>173</v>
      </c>
      <c r="I979" s="23"/>
      <c r="J979" s="23"/>
      <c r="K979" s="23"/>
      <c r="L979" s="29">
        <v>0</v>
      </c>
      <c r="M979" s="29">
        <v>0</v>
      </c>
      <c r="N979" s="29"/>
      <c r="O979" s="29">
        <v>3257520</v>
      </c>
      <c r="P979" s="29">
        <v>2030087</v>
      </c>
      <c r="Q979" s="29">
        <v>0</v>
      </c>
      <c r="R979" s="30">
        <v>204073</v>
      </c>
    </row>
    <row r="980" spans="1:18">
      <c r="A980" s="27"/>
      <c r="B980" s="28">
        <v>976</v>
      </c>
      <c r="C980" s="1">
        <f>30000000+INDEX(编号表!$B:$B,MATCH(G980,编号表!$A:$A,0))*100000+INDEX(编号表!$F:$F,MATCH(H980,编号表!$E:$E,0))*1000+INDEX(编号表!$D:$D,MATCH(F980,编号表!$C:$C,0))*10000+E980</f>
        <v>31475002</v>
      </c>
      <c r="D980" s="23" t="s">
        <v>1042</v>
      </c>
      <c r="E980" s="23">
        <v>2</v>
      </c>
      <c r="F980" s="23" t="s">
        <v>907</v>
      </c>
      <c r="G980" s="23" t="s">
        <v>77</v>
      </c>
      <c r="H980" s="23" t="s">
        <v>173</v>
      </c>
      <c r="I980" s="23"/>
      <c r="J980" s="23"/>
      <c r="K980" s="23"/>
      <c r="L980" s="29">
        <v>0</v>
      </c>
      <c r="M980" s="29">
        <v>1</v>
      </c>
      <c r="N980" s="29"/>
      <c r="O980" s="29">
        <v>3152933</v>
      </c>
      <c r="P980" s="29">
        <v>670945</v>
      </c>
      <c r="Q980" s="29">
        <v>0</v>
      </c>
      <c r="R980" s="30">
        <v>1071385</v>
      </c>
    </row>
    <row r="981" spans="1:18">
      <c r="A981" s="27"/>
      <c r="B981" s="28">
        <v>977</v>
      </c>
      <c r="C981" s="1">
        <f>30000000+INDEX(编号表!$B:$B,MATCH(G981,编号表!$A:$A,0))*100000+INDEX(编号表!$F:$F,MATCH(H981,编号表!$E:$E,0))*1000+INDEX(编号表!$D:$D,MATCH(F981,编号表!$C:$C,0))*10000+E981</f>
        <v>31475003</v>
      </c>
      <c r="D981" s="23" t="s">
        <v>1043</v>
      </c>
      <c r="E981" s="23">
        <v>3</v>
      </c>
      <c r="F981" s="23" t="s">
        <v>907</v>
      </c>
      <c r="G981" s="23" t="s">
        <v>77</v>
      </c>
      <c r="H981" s="23" t="s">
        <v>173</v>
      </c>
      <c r="I981" s="23"/>
      <c r="J981" s="23"/>
      <c r="K981" s="23"/>
      <c r="L981" s="29">
        <v>0</v>
      </c>
      <c r="M981" s="29">
        <v>4</v>
      </c>
      <c r="N981" s="29"/>
      <c r="O981" s="29">
        <v>3152933</v>
      </c>
      <c r="P981" s="29">
        <v>1964908</v>
      </c>
      <c r="Q981" s="29">
        <v>0</v>
      </c>
      <c r="R981" s="30">
        <v>663238</v>
      </c>
    </row>
    <row r="982" spans="1:18">
      <c r="A982" s="27"/>
      <c r="B982" s="28">
        <v>978</v>
      </c>
      <c r="C982" s="1">
        <f>30000000+INDEX(编号表!$B:$B,MATCH(G982,编号表!$A:$A,0))*100000+INDEX(编号表!$F:$F,MATCH(H982,编号表!$E:$E,0))*1000+INDEX(编号表!$D:$D,MATCH(F982,编号表!$C:$C,0))*10000+E982</f>
        <v>31675000</v>
      </c>
      <c r="D982" s="23" t="s">
        <v>1044</v>
      </c>
      <c r="E982" s="23">
        <v>0</v>
      </c>
      <c r="F982" s="23" t="s">
        <v>907</v>
      </c>
      <c r="G982" s="23" t="s">
        <v>82</v>
      </c>
      <c r="H982" s="23" t="s">
        <v>173</v>
      </c>
      <c r="I982" s="23"/>
      <c r="J982" s="23"/>
      <c r="K982" s="23"/>
      <c r="L982" s="29">
        <v>7</v>
      </c>
      <c r="M982" s="29">
        <v>0</v>
      </c>
      <c r="N982" s="29"/>
      <c r="O982" s="29">
        <v>0</v>
      </c>
      <c r="P982" s="29">
        <v>0</v>
      </c>
      <c r="Q982" s="29">
        <v>0</v>
      </c>
      <c r="R982" s="30">
        <v>306110</v>
      </c>
    </row>
    <row r="983" spans="1:18">
      <c r="A983" s="27"/>
      <c r="B983" s="28">
        <v>979</v>
      </c>
      <c r="C983" s="1">
        <f>30000000+INDEX(编号表!$B:$B,MATCH(G983,编号表!$A:$A,0))*100000+INDEX(编号表!$F:$F,MATCH(H983,编号表!$E:$E,0))*1000+INDEX(编号表!$D:$D,MATCH(F983,编号表!$C:$C,0))*10000+E983</f>
        <v>31675001</v>
      </c>
      <c r="D983" s="23" t="s">
        <v>1045</v>
      </c>
      <c r="E983" s="23">
        <v>1</v>
      </c>
      <c r="F983" s="23" t="s">
        <v>907</v>
      </c>
      <c r="G983" s="23" t="s">
        <v>82</v>
      </c>
      <c r="H983" s="23" t="s">
        <v>173</v>
      </c>
      <c r="I983" s="23"/>
      <c r="J983" s="23"/>
      <c r="K983" s="23"/>
      <c r="L983" s="29">
        <v>8</v>
      </c>
      <c r="M983" s="29">
        <v>0</v>
      </c>
      <c r="N983" s="29"/>
      <c r="O983" s="29">
        <v>0</v>
      </c>
      <c r="P983" s="29">
        <v>0</v>
      </c>
      <c r="Q983" s="29">
        <v>0</v>
      </c>
      <c r="R983" s="30">
        <v>561201</v>
      </c>
    </row>
    <row r="984" spans="1:18">
      <c r="A984" s="27"/>
      <c r="B984" s="28">
        <v>980</v>
      </c>
      <c r="C984" s="1">
        <f>30000000+INDEX(编号表!$B:$B,MATCH(G984,编号表!$A:$A,0))*100000+INDEX(编号表!$F:$F,MATCH(H984,编号表!$E:$E,0))*1000+INDEX(编号表!$D:$D,MATCH(F984,编号表!$C:$C,0))*10000+E984</f>
        <v>31675002</v>
      </c>
      <c r="D984" s="23" t="s">
        <v>1046</v>
      </c>
      <c r="E984" s="23">
        <v>2</v>
      </c>
      <c r="F984" s="23" t="s">
        <v>907</v>
      </c>
      <c r="G984" s="23" t="s">
        <v>82</v>
      </c>
      <c r="H984" s="23" t="s">
        <v>173</v>
      </c>
      <c r="I984" s="23"/>
      <c r="J984" s="23"/>
      <c r="K984" s="23"/>
      <c r="L984" s="29">
        <v>9</v>
      </c>
      <c r="M984" s="29">
        <v>0</v>
      </c>
      <c r="N984" s="29"/>
      <c r="O984" s="29">
        <v>0</v>
      </c>
      <c r="P984" s="29">
        <v>0</v>
      </c>
      <c r="Q984" s="29">
        <v>0</v>
      </c>
      <c r="R984" s="30">
        <v>867311</v>
      </c>
    </row>
    <row r="985" spans="1:18">
      <c r="A985" s="27"/>
      <c r="B985" s="28">
        <v>981</v>
      </c>
      <c r="C985" s="1">
        <f>30000000+INDEX(编号表!$B:$B,MATCH(G985,编号表!$A:$A,0))*100000+INDEX(编号表!$F:$F,MATCH(H985,编号表!$E:$E,0))*1000+INDEX(编号表!$D:$D,MATCH(F985,编号表!$C:$C,0))*10000+E985</f>
        <v>31276000</v>
      </c>
      <c r="D985" s="23" t="s">
        <v>1047</v>
      </c>
      <c r="E985" s="23">
        <v>0</v>
      </c>
      <c r="F985" s="23" t="s">
        <v>907</v>
      </c>
      <c r="G985" s="23" t="s">
        <v>42</v>
      </c>
      <c r="H985" s="23" t="s">
        <v>202</v>
      </c>
      <c r="I985" s="23"/>
      <c r="J985" s="23"/>
      <c r="K985" s="23"/>
      <c r="L985" s="29">
        <v>0</v>
      </c>
      <c r="M985" s="29">
        <v>0</v>
      </c>
      <c r="N985" s="29"/>
      <c r="O985" s="29">
        <v>9183261</v>
      </c>
      <c r="P985" s="29">
        <v>3535556</v>
      </c>
      <c r="Q985" s="29">
        <v>45916308</v>
      </c>
      <c r="R985" s="30">
        <v>826493</v>
      </c>
    </row>
    <row r="986" spans="1:18">
      <c r="A986" s="27"/>
      <c r="B986" s="28">
        <v>982</v>
      </c>
      <c r="C986" s="1">
        <f>30000000+INDEX(编号表!$B:$B,MATCH(G986,编号表!$A:$A,0))*100000+INDEX(编号表!$F:$F,MATCH(H986,编号表!$E:$E,0))*1000+INDEX(编号表!$D:$D,MATCH(F986,编号表!$C:$C,0))*10000+E986</f>
        <v>31376000</v>
      </c>
      <c r="D986" s="23" t="s">
        <v>1048</v>
      </c>
      <c r="E986" s="23">
        <v>0</v>
      </c>
      <c r="F986" s="23" t="s">
        <v>907</v>
      </c>
      <c r="G986" s="23" t="s">
        <v>45</v>
      </c>
      <c r="H986" s="23" t="s">
        <v>202</v>
      </c>
      <c r="I986" s="23" t="s">
        <v>46</v>
      </c>
      <c r="J986" s="23"/>
      <c r="K986" s="23"/>
      <c r="L986" s="29">
        <v>0</v>
      </c>
      <c r="M986" s="29">
        <v>-2</v>
      </c>
      <c r="N986" s="29"/>
      <c r="O986" s="29">
        <v>5486998</v>
      </c>
      <c r="P986" s="29">
        <v>2112495</v>
      </c>
      <c r="Q986" s="29">
        <v>0</v>
      </c>
      <c r="R986" s="30">
        <v>642828</v>
      </c>
    </row>
    <row r="987" spans="1:18">
      <c r="A987" s="27"/>
      <c r="B987" s="28">
        <v>983</v>
      </c>
      <c r="C987" s="1">
        <f>30000000+INDEX(编号表!$B:$B,MATCH(G987,编号表!$A:$A,0))*100000+INDEX(编号表!$F:$F,MATCH(H987,编号表!$E:$E,0))*1000+INDEX(编号表!$D:$D,MATCH(F987,编号表!$C:$C,0))*10000+E987</f>
        <v>31376001</v>
      </c>
      <c r="D987" s="23" t="s">
        <v>1049</v>
      </c>
      <c r="E987" s="23">
        <v>1</v>
      </c>
      <c r="F987" s="23" t="s">
        <v>907</v>
      </c>
      <c r="G987" s="23" t="s">
        <v>45</v>
      </c>
      <c r="H987" s="23" t="s">
        <v>202</v>
      </c>
      <c r="I987" s="23" t="s">
        <v>46</v>
      </c>
      <c r="J987" s="23"/>
      <c r="K987" s="23"/>
      <c r="L987" s="29">
        <v>0</v>
      </c>
      <c r="M987" s="29">
        <v>3</v>
      </c>
      <c r="N987" s="29"/>
      <c r="O987" s="29">
        <v>5863512</v>
      </c>
      <c r="P987" s="29">
        <v>2791032</v>
      </c>
      <c r="Q987" s="29">
        <v>0</v>
      </c>
      <c r="R987" s="30">
        <v>826493</v>
      </c>
    </row>
    <row r="988" spans="1:18">
      <c r="A988" s="27"/>
      <c r="B988" s="28">
        <v>984</v>
      </c>
      <c r="C988" s="1">
        <f>30000000+INDEX(编号表!$B:$B,MATCH(G988,编号表!$A:$A,0))*100000+INDEX(编号表!$F:$F,MATCH(H988,编号表!$E:$E,0))*1000+INDEX(编号表!$D:$D,MATCH(F988,编号表!$C:$C,0))*10000+E988</f>
        <v>31376002</v>
      </c>
      <c r="D988" s="23" t="s">
        <v>1050</v>
      </c>
      <c r="E988" s="23">
        <v>2</v>
      </c>
      <c r="F988" s="23" t="s">
        <v>907</v>
      </c>
      <c r="G988" s="23" t="s">
        <v>45</v>
      </c>
      <c r="H988" s="23" t="s">
        <v>202</v>
      </c>
      <c r="I988" s="23" t="s">
        <v>49</v>
      </c>
      <c r="J988" s="23"/>
      <c r="K988" s="23"/>
      <c r="L988" s="29">
        <v>0</v>
      </c>
      <c r="M988" s="29">
        <v>-1</v>
      </c>
      <c r="N988" s="29"/>
      <c r="O988" s="29">
        <v>5202317</v>
      </c>
      <c r="P988" s="29">
        <v>1310984</v>
      </c>
      <c r="Q988" s="29">
        <v>0</v>
      </c>
      <c r="R988" s="30">
        <v>895368</v>
      </c>
    </row>
    <row r="989" spans="1:18">
      <c r="A989" s="27"/>
      <c r="B989" s="28">
        <v>985</v>
      </c>
      <c r="C989" s="1">
        <f>30000000+INDEX(编号表!$B:$B,MATCH(G989,编号表!$A:$A,0))*100000+INDEX(编号表!$F:$F,MATCH(H989,编号表!$E:$E,0))*1000+INDEX(编号表!$D:$D,MATCH(F989,编号表!$C:$C,0))*10000+E989</f>
        <v>31376003</v>
      </c>
      <c r="D989" s="23" t="s">
        <v>1051</v>
      </c>
      <c r="E989" s="23">
        <v>3</v>
      </c>
      <c r="F989" s="23" t="s">
        <v>907</v>
      </c>
      <c r="G989" s="23" t="s">
        <v>45</v>
      </c>
      <c r="H989" s="23" t="s">
        <v>202</v>
      </c>
      <c r="I989" s="23" t="s">
        <v>49</v>
      </c>
      <c r="J989" s="23"/>
      <c r="K989" s="23"/>
      <c r="L989" s="29">
        <v>0</v>
      </c>
      <c r="M989" s="29">
        <v>2</v>
      </c>
      <c r="N989" s="29"/>
      <c r="O989" s="29">
        <v>5486998</v>
      </c>
      <c r="P989" s="29">
        <v>3149537</v>
      </c>
      <c r="Q989" s="29">
        <v>0</v>
      </c>
      <c r="R989" s="30">
        <v>275497</v>
      </c>
    </row>
    <row r="990" spans="1:18">
      <c r="A990" s="27"/>
      <c r="B990" s="28">
        <v>986</v>
      </c>
      <c r="C990" s="1">
        <f>30000000+INDEX(编号表!$B:$B,MATCH(G990,编号表!$A:$A,0))*100000+INDEX(编号表!$F:$F,MATCH(H990,编号表!$E:$E,0))*1000+INDEX(编号表!$D:$D,MATCH(F990,编号表!$C:$C,0))*10000+E990</f>
        <v>31376004</v>
      </c>
      <c r="D990" s="23" t="s">
        <v>1052</v>
      </c>
      <c r="E990" s="23">
        <v>4</v>
      </c>
      <c r="F990" s="23" t="s">
        <v>907</v>
      </c>
      <c r="G990" s="23" t="s">
        <v>45</v>
      </c>
      <c r="H990" s="23" t="s">
        <v>202</v>
      </c>
      <c r="I990" s="23" t="s">
        <v>52</v>
      </c>
      <c r="J990" s="23"/>
      <c r="K990" s="23"/>
      <c r="L990" s="29">
        <v>0</v>
      </c>
      <c r="M990" s="29">
        <v>-1</v>
      </c>
      <c r="N990" s="29"/>
      <c r="O990" s="29">
        <v>5486998</v>
      </c>
      <c r="P990" s="29">
        <v>2611812</v>
      </c>
      <c r="Q990" s="29">
        <v>0</v>
      </c>
      <c r="R990" s="30">
        <v>665786</v>
      </c>
    </row>
    <row r="991" spans="1:18">
      <c r="A991" s="27"/>
      <c r="B991" s="28">
        <v>987</v>
      </c>
      <c r="C991" s="1">
        <f>30000000+INDEX(编号表!$B:$B,MATCH(G991,编号表!$A:$A,0))*100000+INDEX(编号表!$F:$F,MATCH(H991,编号表!$E:$E,0))*1000+INDEX(编号表!$D:$D,MATCH(F991,编号表!$C:$C,0))*10000+E991</f>
        <v>31376005</v>
      </c>
      <c r="D991" s="23" t="inlineStr">
        <is>
          <t xml:space="preserve">十万载沸泉苔·道株</t>
        </is>
      </c>
      <c r="E991" s="23">
        <v>5</v>
      </c>
      <c r="F991" s="23" t="s">
        <v>907</v>
      </c>
      <c r="G991" s="23" t="s">
        <v>45</v>
      </c>
      <c r="H991" s="23" t="s">
        <v>202</v>
      </c>
      <c r="I991" s="23" t="s">
        <v>52</v>
      </c>
      <c r="J991" s="23"/>
      <c r="K991" s="23"/>
      <c r="L991" s="29">
        <v>0</v>
      </c>
      <c r="M991" s="29">
        <v>4</v>
      </c>
      <c r="N991" s="29"/>
      <c r="O991" s="29">
        <v>5675255</v>
      </c>
      <c r="P991" s="29">
        <v>3257597</v>
      </c>
      <c r="Q991" s="29">
        <v>0</v>
      </c>
      <c r="R991" s="30">
        <v>1193824</v>
      </c>
    </row>
    <row r="992" spans="1:18">
      <c r="A992" s="27"/>
      <c r="B992" s="28">
        <v>988</v>
      </c>
      <c r="C992" s="1">
        <f>30000000+INDEX(编号表!$B:$B,MATCH(G992,编号表!$A:$A,0))*100000+INDEX(编号表!$F:$F,MATCH(H992,编号表!$E:$E,0))*1000+INDEX(编号表!$D:$D,MATCH(F992,编号表!$C:$C,0))*10000+E992</f>
        <v>31376006</v>
      </c>
      <c r="D992" s="23" t="inlineStr">
        <is>
          <t xml:space="preserve">十万载丹露花·道株</t>
        </is>
      </c>
      <c r="E992" s="23">
        <v>6</v>
      </c>
      <c r="F992" s="23" t="s">
        <v>907</v>
      </c>
      <c r="G992" s="23" t="s">
        <v>45</v>
      </c>
      <c r="H992" s="23" t="s">
        <v>202</v>
      </c>
      <c r="I992" s="23" t="s">
        <v>55</v>
      </c>
      <c r="J992" s="23"/>
      <c r="K992" s="23"/>
      <c r="L992" s="29">
        <v>0</v>
      </c>
      <c r="M992" s="29">
        <v>-1</v>
      </c>
      <c r="N992" s="29"/>
      <c r="O992" s="29">
        <v>5675255</v>
      </c>
      <c r="P992" s="29">
        <v>1112350</v>
      </c>
      <c r="Q992" s="29">
        <v>0</v>
      </c>
      <c r="R992" s="30">
        <v>1928484</v>
      </c>
    </row>
    <row r="993" spans="1:18">
      <c r="A993" s="27"/>
      <c r="B993" s="28">
        <v>989</v>
      </c>
      <c r="C993" s="1">
        <f>30000000+INDEX(编号表!$B:$B,MATCH(G993,编号表!$A:$A,0))*100000+INDEX(编号表!$F:$F,MATCH(H993,编号表!$E:$E,0))*1000+INDEX(编号表!$D:$D,MATCH(F993,编号表!$C:$C,0))*10000+E993</f>
        <v>31376007</v>
      </c>
      <c r="D993" s="23" t="s">
        <v>1055</v>
      </c>
      <c r="E993" s="23">
        <v>7</v>
      </c>
      <c r="F993" s="23" t="s">
        <v>907</v>
      </c>
      <c r="G993" s="23" t="s">
        <v>45</v>
      </c>
      <c r="H993" s="23" t="s">
        <v>202</v>
      </c>
      <c r="I993" s="23" t="s">
        <v>55</v>
      </c>
      <c r="J993" s="23"/>
      <c r="K993" s="23"/>
      <c r="L993" s="29">
        <v>0</v>
      </c>
      <c r="M993" s="29">
        <v>2</v>
      </c>
      <c r="N993" s="29"/>
      <c r="O993" s="29">
        <v>5486998</v>
      </c>
      <c r="P993" s="29">
        <v>3149537</v>
      </c>
      <c r="Q993" s="29">
        <v>0</v>
      </c>
      <c r="R993" s="30">
        <v>275497</v>
      </c>
    </row>
    <row r="994" spans="1:18">
      <c r="A994" s="27"/>
      <c r="B994" s="28">
        <v>990</v>
      </c>
      <c r="C994" s="1">
        <f>30000000+INDEX(编号表!$B:$B,MATCH(G994,编号表!$A:$A,0))*100000+INDEX(编号表!$F:$F,MATCH(H994,编号表!$E:$E,0))*1000+INDEX(编号表!$D:$D,MATCH(F994,编号表!$C:$C,0))*10000+E994</f>
        <v>31376008</v>
      </c>
      <c r="D994" s="23" t="s">
        <v>1056</v>
      </c>
      <c r="E994" s="23">
        <v>8</v>
      </c>
      <c r="F994" s="23" t="s">
        <v>907</v>
      </c>
      <c r="G994" s="23" t="s">
        <v>45</v>
      </c>
      <c r="H994" s="23" t="s">
        <v>202</v>
      </c>
      <c r="I994" s="23" t="s">
        <v>58</v>
      </c>
      <c r="J994" s="23"/>
      <c r="K994" s="23"/>
      <c r="L994" s="29">
        <v>0</v>
      </c>
      <c r="M994" s="29">
        <v>-2</v>
      </c>
      <c r="N994" s="29"/>
      <c r="O994" s="29">
        <v>5486998</v>
      </c>
      <c r="P994" s="29">
        <v>2112495</v>
      </c>
      <c r="Q994" s="29">
        <v>0</v>
      </c>
      <c r="R994" s="30">
        <v>642828</v>
      </c>
    </row>
    <row r="995" spans="1:18">
      <c r="A995" s="27"/>
      <c r="B995" s="28">
        <v>991</v>
      </c>
      <c r="C995" s="1">
        <f>30000000+INDEX(编号表!$B:$B,MATCH(G995,编号表!$A:$A,0))*100000+INDEX(编号表!$F:$F,MATCH(H995,编号表!$E:$E,0))*1000+INDEX(编号表!$D:$D,MATCH(F995,编号表!$C:$C,0))*10000+E995</f>
        <v>31376009</v>
      </c>
      <c r="D995" s="23" t="s">
        <v>1057</v>
      </c>
      <c r="E995" s="23">
        <v>9</v>
      </c>
      <c r="F995" s="23" t="s">
        <v>907</v>
      </c>
      <c r="G995" s="23" t="s">
        <v>45</v>
      </c>
      <c r="H995" s="23" t="s">
        <v>202</v>
      </c>
      <c r="I995" s="23" t="s">
        <v>58</v>
      </c>
      <c r="J995" s="23"/>
      <c r="K995" s="23"/>
      <c r="L995" s="29">
        <v>0</v>
      </c>
      <c r="M995" s="29">
        <v>1</v>
      </c>
      <c r="N995" s="29"/>
      <c r="O995" s="29">
        <v>5202317</v>
      </c>
      <c r="P995" s="29">
        <v>1310984</v>
      </c>
      <c r="Q995" s="29">
        <v>0</v>
      </c>
      <c r="R995" s="30">
        <v>895368</v>
      </c>
    </row>
    <row r="996" spans="1:18">
      <c r="A996" s="27"/>
      <c r="B996" s="28">
        <v>992</v>
      </c>
      <c r="C996" s="1">
        <f>30000000+INDEX(编号表!$B:$B,MATCH(G996,编号表!$A:$A,0))*100000+INDEX(编号表!$F:$F,MATCH(H996,编号表!$E:$E,0))*1000+INDEX(编号表!$D:$D,MATCH(F996,编号表!$C:$C,0))*10000+E996</f>
        <v>31576000</v>
      </c>
      <c r="D996" s="23" t="inlineStr">
        <is>
          <t xml:space="preserve">十万载霜辛草·道株</t>
        </is>
      </c>
      <c r="E996" s="23">
        <v>0</v>
      </c>
      <c r="F996" s="23" t="s">
        <v>907</v>
      </c>
      <c r="G996" s="23" t="s">
        <v>61</v>
      </c>
      <c r="H996" s="23" t="s">
        <v>202</v>
      </c>
      <c r="I996" s="23"/>
      <c r="J996" s="23" t="s">
        <v>62</v>
      </c>
      <c r="K996" s="23"/>
      <c r="L996" s="29">
        <v>0</v>
      </c>
      <c r="M996" s="29">
        <v>-2</v>
      </c>
      <c r="N996" s="29"/>
      <c r="O996" s="29">
        <v>5486998</v>
      </c>
      <c r="P996" s="29">
        <v>2112495</v>
      </c>
      <c r="Q996" s="29">
        <v>0</v>
      </c>
      <c r="R996" s="30">
        <v>642828</v>
      </c>
    </row>
    <row r="997" spans="1:18">
      <c r="A997" s="27"/>
      <c r="B997" s="28">
        <v>993</v>
      </c>
      <c r="C997" s="1">
        <f>30000000+INDEX(编号表!$B:$B,MATCH(G997,编号表!$A:$A,0))*100000+INDEX(编号表!$F:$F,MATCH(H997,编号表!$E:$E,0))*1000+INDEX(编号表!$D:$D,MATCH(F997,编号表!$C:$C,0))*10000+E997</f>
        <v>31576001</v>
      </c>
      <c r="D997" s="23" t="s">
        <v>1059</v>
      </c>
      <c r="E997" s="23">
        <v>1</v>
      </c>
      <c r="F997" s="23" t="s">
        <v>907</v>
      </c>
      <c r="G997" s="23" t="s">
        <v>61</v>
      </c>
      <c r="H997" s="23" t="s">
        <v>202</v>
      </c>
      <c r="I997" s="23"/>
      <c r="J997" s="23" t="s">
        <v>62</v>
      </c>
      <c r="K997" s="23"/>
      <c r="L997" s="29">
        <v>0</v>
      </c>
      <c r="M997" s="29">
        <v>3</v>
      </c>
      <c r="N997" s="29"/>
      <c r="O997" s="29">
        <v>5863512</v>
      </c>
      <c r="P997" s="29">
        <v>2791032</v>
      </c>
      <c r="Q997" s="29">
        <v>0</v>
      </c>
      <c r="R997" s="30">
        <v>826493</v>
      </c>
    </row>
    <row r="998" spans="1:18">
      <c r="A998" s="27"/>
      <c r="B998" s="28">
        <v>994</v>
      </c>
      <c r="C998" s="1">
        <f>30000000+INDEX(编号表!$B:$B,MATCH(G998,编号表!$A:$A,0))*100000+INDEX(编号表!$F:$F,MATCH(H998,编号表!$E:$E,0))*1000+INDEX(编号表!$D:$D,MATCH(F998,编号表!$C:$C,0))*10000+E998</f>
        <v>31576002</v>
      </c>
      <c r="D998" s="23" t="s">
        <v>1060</v>
      </c>
      <c r="E998" s="23">
        <v>2</v>
      </c>
      <c r="F998" s="23" t="s">
        <v>907</v>
      </c>
      <c r="G998" s="23" t="s">
        <v>61</v>
      </c>
      <c r="H998" s="23" t="s">
        <v>202</v>
      </c>
      <c r="I998" s="23"/>
      <c r="J998" s="23" t="s">
        <v>65</v>
      </c>
      <c r="K998" s="23"/>
      <c r="L998" s="29">
        <v>0</v>
      </c>
      <c r="M998" s="29">
        <v>-1</v>
      </c>
      <c r="N998" s="29"/>
      <c r="O998" s="29">
        <v>5202317</v>
      </c>
      <c r="P998" s="29">
        <v>1310984</v>
      </c>
      <c r="Q998" s="29">
        <v>0</v>
      </c>
      <c r="R998" s="30">
        <v>895368</v>
      </c>
    </row>
    <row r="999" spans="1:18">
      <c r="A999" s="27"/>
      <c r="B999" s="28">
        <v>995</v>
      </c>
      <c r="C999" s="1">
        <f>30000000+INDEX(编号表!$B:$B,MATCH(G999,编号表!$A:$A,0))*100000+INDEX(编号表!$F:$F,MATCH(H999,编号表!$E:$E,0))*1000+INDEX(编号表!$D:$D,MATCH(F999,编号表!$C:$C,0))*10000+E999</f>
        <v>31576003</v>
      </c>
      <c r="D999" s="23" t="s">
        <v>1061</v>
      </c>
      <c r="E999" s="23">
        <v>3</v>
      </c>
      <c r="F999" s="23" t="s">
        <v>907</v>
      </c>
      <c r="G999" s="23" t="s">
        <v>61</v>
      </c>
      <c r="H999" s="23" t="s">
        <v>202</v>
      </c>
      <c r="I999" s="23"/>
      <c r="J999" s="23" t="s">
        <v>65</v>
      </c>
      <c r="K999" s="23"/>
      <c r="L999" s="29">
        <v>0</v>
      </c>
      <c r="M999" s="29">
        <v>2</v>
      </c>
      <c r="N999" s="29"/>
      <c r="O999" s="29">
        <v>5486998</v>
      </c>
      <c r="P999" s="29">
        <v>3149537</v>
      </c>
      <c r="Q999" s="29">
        <v>0</v>
      </c>
      <c r="R999" s="30">
        <v>275497</v>
      </c>
    </row>
    <row r="1000" spans="1:18">
      <c r="A1000" s="27"/>
      <c r="B1000" s="28">
        <v>996</v>
      </c>
      <c r="C1000" s="1">
        <f>30000000+INDEX(编号表!$B:$B,MATCH(G1000,编号表!$A:$A,0))*100000+INDEX(编号表!$F:$F,MATCH(H1000,编号表!$E:$E,0))*1000+INDEX(编号表!$D:$D,MATCH(F1000,编号表!$C:$C,0))*10000+E1000</f>
        <v>31576004</v>
      </c>
      <c r="D1000" s="23" t="s">
        <v>1062</v>
      </c>
      <c r="E1000" s="23">
        <v>4</v>
      </c>
      <c r="F1000" s="23" t="s">
        <v>907</v>
      </c>
      <c r="G1000" s="23" t="s">
        <v>61</v>
      </c>
      <c r="H1000" s="23" t="s">
        <v>202</v>
      </c>
      <c r="I1000" s="23"/>
      <c r="J1000" s="23" t="s">
        <v>68</v>
      </c>
      <c r="K1000" s="23"/>
      <c r="L1000" s="29">
        <v>0</v>
      </c>
      <c r="M1000" s="29">
        <v>-1</v>
      </c>
      <c r="N1000" s="29"/>
      <c r="O1000" s="29">
        <v>5486998</v>
      </c>
      <c r="P1000" s="29">
        <v>2611812</v>
      </c>
      <c r="Q1000" s="29">
        <v>0</v>
      </c>
      <c r="R1000" s="30">
        <v>665786</v>
      </c>
    </row>
    <row r="1001" spans="1:18">
      <c r="A1001" s="27"/>
      <c r="B1001" s="28">
        <v>997</v>
      </c>
      <c r="C1001" s="1">
        <f>30000000+INDEX(编号表!$B:$B,MATCH(G1001,编号表!$A:$A,0))*100000+INDEX(编号表!$F:$F,MATCH(H1001,编号表!$E:$E,0))*1000+INDEX(编号表!$D:$D,MATCH(F1001,编号表!$C:$C,0))*10000+E1001</f>
        <v>31576005</v>
      </c>
      <c r="D1001" s="23" t="s">
        <v>1063</v>
      </c>
      <c r="E1001" s="23">
        <v>5</v>
      </c>
      <c r="F1001" s="23" t="s">
        <v>907</v>
      </c>
      <c r="G1001" s="23" t="s">
        <v>61</v>
      </c>
      <c r="H1001" s="23" t="s">
        <v>202</v>
      </c>
      <c r="I1001" s="23"/>
      <c r="J1001" s="23" t="s">
        <v>68</v>
      </c>
      <c r="K1001" s="23"/>
      <c r="L1001" s="29">
        <v>0</v>
      </c>
      <c r="M1001" s="29">
        <v>4</v>
      </c>
      <c r="N1001" s="29"/>
      <c r="O1001" s="29">
        <v>5675255</v>
      </c>
      <c r="P1001" s="29">
        <v>3257597</v>
      </c>
      <c r="Q1001" s="29">
        <v>0</v>
      </c>
      <c r="R1001" s="30">
        <v>1193824</v>
      </c>
    </row>
    <row r="1002" spans="1:18">
      <c r="A1002" s="27"/>
      <c r="B1002" s="28">
        <v>998</v>
      </c>
      <c r="C1002" s="1">
        <f>30000000+INDEX(编号表!$B:$B,MATCH(G1002,编号表!$A:$A,0))*100000+INDEX(编号表!$F:$F,MATCH(H1002,编号表!$E:$E,0))*1000+INDEX(编号表!$D:$D,MATCH(F1002,编号表!$C:$C,0))*10000+E1002</f>
        <v>31576006</v>
      </c>
      <c r="D1002" s="23" t="s">
        <v>1064</v>
      </c>
      <c r="E1002" s="23">
        <v>6</v>
      </c>
      <c r="F1002" s="23" t="s">
        <v>907</v>
      </c>
      <c r="G1002" s="23" t="s">
        <v>61</v>
      </c>
      <c r="H1002" s="23" t="s">
        <v>202</v>
      </c>
      <c r="I1002" s="23"/>
      <c r="J1002" s="23" t="s">
        <v>71</v>
      </c>
      <c r="K1002" s="23"/>
      <c r="L1002" s="29">
        <v>0</v>
      </c>
      <c r="M1002" s="29">
        <v>-1</v>
      </c>
      <c r="N1002" s="29"/>
      <c r="O1002" s="29">
        <v>5675255</v>
      </c>
      <c r="P1002" s="29">
        <v>1112350</v>
      </c>
      <c r="Q1002" s="29">
        <v>0</v>
      </c>
      <c r="R1002" s="30">
        <v>1928484</v>
      </c>
    </row>
    <row r="1003" spans="1:18">
      <c r="A1003" s="27"/>
      <c r="B1003" s="28">
        <v>999</v>
      </c>
      <c r="C1003" s="1">
        <f>30000000+INDEX(编号表!$B:$B,MATCH(G1003,编号表!$A:$A,0))*100000+INDEX(编号表!$F:$F,MATCH(H1003,编号表!$E:$E,0))*1000+INDEX(编号表!$D:$D,MATCH(F1003,编号表!$C:$C,0))*10000+E1003</f>
        <v>31576007</v>
      </c>
      <c r="D1003" s="23" t="s">
        <v>1065</v>
      </c>
      <c r="E1003" s="23">
        <v>7</v>
      </c>
      <c r="F1003" s="23" t="s">
        <v>907</v>
      </c>
      <c r="G1003" s="23" t="s">
        <v>61</v>
      </c>
      <c r="H1003" s="23" t="s">
        <v>202</v>
      </c>
      <c r="I1003" s="23"/>
      <c r="J1003" s="23" t="s">
        <v>71</v>
      </c>
      <c r="K1003" s="23"/>
      <c r="L1003" s="29">
        <v>0</v>
      </c>
      <c r="M1003" s="29">
        <v>2</v>
      </c>
      <c r="N1003" s="29"/>
      <c r="O1003" s="29">
        <v>5486998</v>
      </c>
      <c r="P1003" s="29">
        <v>3149537</v>
      </c>
      <c r="Q1003" s="29">
        <v>0</v>
      </c>
      <c r="R1003" s="30">
        <v>275497</v>
      </c>
    </row>
    <row r="1004" spans="1:18">
      <c r="A1004" s="27"/>
      <c r="B1004" s="28">
        <v>1000</v>
      </c>
      <c r="C1004" s="1">
        <f>30000000+INDEX(编号表!$B:$B,MATCH(G1004,编号表!$A:$A,0))*100000+INDEX(编号表!$F:$F,MATCH(H1004,编号表!$E:$E,0))*1000+INDEX(编号表!$D:$D,MATCH(F1004,编号表!$C:$C,0))*10000+E1004</f>
        <v>31576008</v>
      </c>
      <c r="D1004" s="23" t="s">
        <v>1066</v>
      </c>
      <c r="E1004" s="23">
        <v>8</v>
      </c>
      <c r="F1004" s="23" t="s">
        <v>907</v>
      </c>
      <c r="G1004" s="23" t="s">
        <v>61</v>
      </c>
      <c r="H1004" s="23" t="s">
        <v>202</v>
      </c>
      <c r="I1004" s="23"/>
      <c r="J1004" s="23" t="s">
        <v>74</v>
      </c>
      <c r="K1004" s="23"/>
      <c r="L1004" s="29">
        <v>0</v>
      </c>
      <c r="M1004" s="29">
        <v>-2</v>
      </c>
      <c r="N1004" s="29"/>
      <c r="O1004" s="29">
        <v>5486998</v>
      </c>
      <c r="P1004" s="29">
        <v>2112495</v>
      </c>
      <c r="Q1004" s="29">
        <v>0</v>
      </c>
      <c r="R1004" s="30">
        <v>642828</v>
      </c>
    </row>
    <row r="1005" spans="1:18">
      <c r="A1005" s="27"/>
      <c r="B1005" s="28">
        <v>1001</v>
      </c>
      <c r="C1005" s="1">
        <f>30000000+INDEX(编号表!$B:$B,MATCH(G1005,编号表!$A:$A,0))*100000+INDEX(编号表!$F:$F,MATCH(H1005,编号表!$E:$E,0))*1000+INDEX(编号表!$D:$D,MATCH(F1005,编号表!$C:$C,0))*10000+E1005</f>
        <v>31576009</v>
      </c>
      <c r="D1005" s="23" t="s">
        <v>1067</v>
      </c>
      <c r="E1005" s="23">
        <v>9</v>
      </c>
      <c r="F1005" s="23" t="s">
        <v>907</v>
      </c>
      <c r="G1005" s="23" t="s">
        <v>61</v>
      </c>
      <c r="H1005" s="23" t="s">
        <v>202</v>
      </c>
      <c r="I1005" s="23"/>
      <c r="J1005" s="23" t="s">
        <v>74</v>
      </c>
      <c r="K1005" s="23"/>
      <c r="L1005" s="29">
        <v>0</v>
      </c>
      <c r="M1005" s="29">
        <v>1</v>
      </c>
      <c r="N1005" s="29"/>
      <c r="O1005" s="29">
        <v>5202317</v>
      </c>
      <c r="P1005" s="29">
        <v>1310984</v>
      </c>
      <c r="Q1005" s="29">
        <v>0</v>
      </c>
      <c r="R1005" s="30">
        <v>895368</v>
      </c>
    </row>
    <row r="1006" spans="1:18">
      <c r="A1006" s="27"/>
      <c r="B1006" s="28">
        <v>1002</v>
      </c>
      <c r="C1006" s="1">
        <f>30000000+INDEX(编号表!$B:$B,MATCH(G1006,编号表!$A:$A,0))*100000+INDEX(编号表!$F:$F,MATCH(H1006,编号表!$E:$E,0))*1000+INDEX(编号表!$D:$D,MATCH(F1006,编号表!$C:$C,0))*10000+E1006</f>
        <v>31476000</v>
      </c>
      <c r="D1006" s="23" t="s">
        <v>1068</v>
      </c>
      <c r="E1006" s="23">
        <v>0</v>
      </c>
      <c r="F1006" s="23" t="s">
        <v>907</v>
      </c>
      <c r="G1006" s="23" t="s">
        <v>77</v>
      </c>
      <c r="H1006" s="23" t="s">
        <v>202</v>
      </c>
      <c r="I1006" s="23"/>
      <c r="J1006" s="23"/>
      <c r="K1006" s="23"/>
      <c r="L1006" s="29">
        <v>0</v>
      </c>
      <c r="M1006" s="29">
        <v>0</v>
      </c>
      <c r="N1006" s="29"/>
      <c r="O1006" s="29">
        <v>5202317</v>
      </c>
      <c r="P1006" s="29">
        <v>1019655</v>
      </c>
      <c r="Q1006" s="29">
        <v>0</v>
      </c>
      <c r="R1006" s="30">
        <v>1056075</v>
      </c>
    </row>
    <row r="1007" spans="1:18">
      <c r="A1007" s="27"/>
      <c r="B1007" s="28">
        <v>1003</v>
      </c>
      <c r="C1007" s="1">
        <f>30000000+INDEX(编号表!$B:$B,MATCH(G1007,编号表!$A:$A,0))*100000+INDEX(编号表!$F:$F,MATCH(H1007,编号表!$E:$E,0))*1000+INDEX(编号表!$D:$D,MATCH(F1007,编号表!$C:$C,0))*10000+E1007</f>
        <v>31476001</v>
      </c>
      <c r="D1007" s="23" t="s">
        <v>1069</v>
      </c>
      <c r="E1007" s="23">
        <v>1</v>
      </c>
      <c r="F1007" s="23" t="s">
        <v>907</v>
      </c>
      <c r="G1007" s="23" t="s">
        <v>77</v>
      </c>
      <c r="H1007" s="23" t="s">
        <v>202</v>
      </c>
      <c r="I1007" s="23"/>
      <c r="J1007" s="23"/>
      <c r="K1007" s="23"/>
      <c r="L1007" s="29">
        <v>0</v>
      </c>
      <c r="M1007" s="29">
        <v>0</v>
      </c>
      <c r="N1007" s="29"/>
      <c r="O1007" s="29">
        <v>5863512</v>
      </c>
      <c r="P1007" s="29">
        <v>3365656</v>
      </c>
      <c r="Q1007" s="29">
        <v>0</v>
      </c>
      <c r="R1007" s="30">
        <v>367330</v>
      </c>
    </row>
    <row r="1008" spans="1:18">
      <c r="A1008" s="27"/>
      <c r="B1008" s="28">
        <v>1004</v>
      </c>
      <c r="C1008" s="1">
        <f>30000000+INDEX(编号表!$B:$B,MATCH(G1008,编号表!$A:$A,0))*100000+INDEX(编号表!$F:$F,MATCH(H1008,编号表!$E:$E,0))*1000+INDEX(编号表!$D:$D,MATCH(F1008,编号表!$C:$C,0))*10000+E1008</f>
        <v>31476002</v>
      </c>
      <c r="D1008" s="23" t="s">
        <v>1070</v>
      </c>
      <c r="E1008" s="23">
        <v>2</v>
      </c>
      <c r="F1008" s="23" t="s">
        <v>907</v>
      </c>
      <c r="G1008" s="23" t="s">
        <v>77</v>
      </c>
      <c r="H1008" s="23" t="s">
        <v>202</v>
      </c>
      <c r="I1008" s="23"/>
      <c r="J1008" s="23"/>
      <c r="K1008" s="23"/>
      <c r="L1008" s="29">
        <v>0</v>
      </c>
      <c r="M1008" s="29">
        <v>1</v>
      </c>
      <c r="N1008" s="29"/>
      <c r="O1008" s="29">
        <v>5675255</v>
      </c>
      <c r="P1008" s="29">
        <v>1112350</v>
      </c>
      <c r="Q1008" s="29">
        <v>0</v>
      </c>
      <c r="R1008" s="30">
        <v>1928484</v>
      </c>
    </row>
    <row r="1009" spans="1:18">
      <c r="A1009" s="27"/>
      <c r="B1009" s="28">
        <v>1005</v>
      </c>
      <c r="C1009" s="1">
        <f>30000000+INDEX(编号表!$B:$B,MATCH(G1009,编号表!$A:$A,0))*100000+INDEX(编号表!$F:$F,MATCH(H1009,编号表!$E:$E,0))*1000+INDEX(编号表!$D:$D,MATCH(F1009,编号表!$C:$C,0))*10000+E1009</f>
        <v>31476003</v>
      </c>
      <c r="D1009" s="23" t="s">
        <v>1071</v>
      </c>
      <c r="E1009" s="23">
        <v>3</v>
      </c>
      <c r="F1009" s="23" t="s">
        <v>907</v>
      </c>
      <c r="G1009" s="23" t="s">
        <v>77</v>
      </c>
      <c r="H1009" s="23" t="s">
        <v>202</v>
      </c>
      <c r="I1009" s="23"/>
      <c r="J1009" s="23"/>
      <c r="K1009" s="23"/>
      <c r="L1009" s="29">
        <v>0</v>
      </c>
      <c r="M1009" s="29">
        <v>4</v>
      </c>
      <c r="N1009" s="29"/>
      <c r="O1009" s="29">
        <v>5675255</v>
      </c>
      <c r="P1009" s="29">
        <v>3257597</v>
      </c>
      <c r="Q1009" s="29">
        <v>0</v>
      </c>
      <c r="R1009" s="30">
        <v>1193824</v>
      </c>
    </row>
    <row r="1010" spans="1:18">
      <c r="A1010" s="27"/>
      <c r="B1010" s="28">
        <v>1006</v>
      </c>
      <c r="C1010" s="1">
        <f>30000000+INDEX(编号表!$B:$B,MATCH(G1010,编号表!$A:$A,0))*100000+INDEX(编号表!$F:$F,MATCH(H1010,编号表!$E:$E,0))*1000+INDEX(编号表!$D:$D,MATCH(F1010,编号表!$C:$C,0))*10000+E1010</f>
        <v>31676000</v>
      </c>
      <c r="D1010" s="23" t="s">
        <v>1072</v>
      </c>
      <c r="E1010" s="23">
        <v>0</v>
      </c>
      <c r="F1010" s="23" t="s">
        <v>907</v>
      </c>
      <c r="G1010" s="23" t="s">
        <v>82</v>
      </c>
      <c r="H1010" s="23" t="s">
        <v>202</v>
      </c>
      <c r="I1010" s="23"/>
      <c r="J1010" s="23"/>
      <c r="K1010" s="23"/>
      <c r="L1010" s="29">
        <v>7</v>
      </c>
      <c r="M1010" s="29">
        <v>0</v>
      </c>
      <c r="N1010" s="29"/>
      <c r="O1010" s="29">
        <v>0</v>
      </c>
      <c r="P1010" s="29">
        <v>0</v>
      </c>
      <c r="Q1010" s="29">
        <v>0</v>
      </c>
      <c r="R1010" s="30">
        <v>550995</v>
      </c>
    </row>
    <row r="1011" spans="1:18">
      <c r="A1011" s="27"/>
      <c r="B1011" s="28">
        <v>1007</v>
      </c>
      <c r="C1011" s="1">
        <f>30000000+INDEX(编号表!$B:$B,MATCH(G1011,编号表!$A:$A,0))*100000+INDEX(编号表!$F:$F,MATCH(H1011,编号表!$E:$E,0))*1000+INDEX(编号表!$D:$D,MATCH(F1011,编号表!$C:$C,0))*10000+E1011</f>
        <v>31676001</v>
      </c>
      <c r="D1011" s="23" t="s">
        <v>1073</v>
      </c>
      <c r="E1011" s="23">
        <v>1</v>
      </c>
      <c r="F1011" s="23" t="s">
        <v>907</v>
      </c>
      <c r="G1011" s="23" t="s">
        <v>82</v>
      </c>
      <c r="H1011" s="23" t="s">
        <v>202</v>
      </c>
      <c r="I1011" s="23"/>
      <c r="J1011" s="23"/>
      <c r="K1011" s="23"/>
      <c r="L1011" s="29">
        <v>8</v>
      </c>
      <c r="M1011" s="29">
        <v>0</v>
      </c>
      <c r="N1011" s="29"/>
      <c r="O1011" s="29">
        <v>0</v>
      </c>
      <c r="P1011" s="29">
        <v>0</v>
      </c>
      <c r="Q1011" s="29">
        <v>0</v>
      </c>
      <c r="R1011" s="30">
        <v>1010158</v>
      </c>
    </row>
    <row r="1012" spans="1:18">
      <c r="A1012" s="27"/>
      <c r="B1012" s="28">
        <v>1008</v>
      </c>
      <c r="C1012" s="1">
        <f>30000000+INDEX(编号表!$B:$B,MATCH(G1012,编号表!$A:$A,0))*100000+INDEX(编号表!$F:$F,MATCH(H1012,编号表!$E:$E,0))*1000+INDEX(编号表!$D:$D,MATCH(F1012,编号表!$C:$C,0))*10000+E1012</f>
        <v>31676002</v>
      </c>
      <c r="D1012" s="23" t="s">
        <v>1074</v>
      </c>
      <c r="E1012" s="23">
        <v>2</v>
      </c>
      <c r="F1012" s="23" t="s">
        <v>907</v>
      </c>
      <c r="G1012" s="23" t="s">
        <v>82</v>
      </c>
      <c r="H1012" s="23" t="s">
        <v>202</v>
      </c>
      <c r="I1012" s="23"/>
      <c r="J1012" s="23"/>
      <c r="K1012" s="23"/>
      <c r="L1012" s="29">
        <v>9</v>
      </c>
      <c r="M1012" s="29">
        <v>0</v>
      </c>
      <c r="N1012" s="29"/>
      <c r="O1012" s="29">
        <v>0</v>
      </c>
      <c r="P1012" s="29">
        <v>0</v>
      </c>
      <c r="Q1012" s="29">
        <v>0</v>
      </c>
      <c r="R1012" s="30">
        <v>1561154</v>
      </c>
    </row>
    <row r="1013" spans="1:18">
      <c r="A1013" s="27"/>
      <c r="B1013" s="28">
        <v>1009</v>
      </c>
      <c r="C1013" s="1">
        <f>30000000+INDEX(编号表!$B:$B,MATCH(G1013,编号表!$A:$A,0))*100000+INDEX(编号表!$F:$F,MATCH(H1013,编号表!$E:$E,0))*1000+INDEX(编号表!$D:$D,MATCH(F1013,编号表!$C:$C,0))*10000+E1013</f>
        <v>31281000</v>
      </c>
      <c r="D1013" s="23" t="s">
        <v>1075</v>
      </c>
      <c r="E1013" s="23">
        <v>0</v>
      </c>
      <c r="F1013" s="23" t="s">
        <v>1076</v>
      </c>
      <c r="G1013" s="23" t="s">
        <v>42</v>
      </c>
      <c r="H1013" s="23" t="s">
        <v>43</v>
      </c>
      <c r="I1013" s="23"/>
      <c r="J1013" s="23"/>
      <c r="K1013" s="23"/>
      <c r="L1013" s="29">
        <v>0</v>
      </c>
      <c r="M1013" s="29">
        <v>0</v>
      </c>
      <c r="N1013" s="29"/>
      <c r="O1013" s="29">
        <v>1458000</v>
      </c>
      <c r="P1013" s="29">
        <v>801900</v>
      </c>
      <c r="Q1013" s="29">
        <v>7290000</v>
      </c>
      <c r="R1013" s="30">
        <v>131220</v>
      </c>
    </row>
    <row r="1014" spans="1:18">
      <c r="A1014" s="27"/>
      <c r="B1014" s="28">
        <v>1010</v>
      </c>
      <c r="C1014" s="1">
        <f>30000000+INDEX(编号表!$B:$B,MATCH(G1014,编号表!$A:$A,0))*100000+INDEX(编号表!$F:$F,MATCH(H1014,编号表!$E:$E,0))*1000+INDEX(编号表!$D:$D,MATCH(F1014,编号表!$C:$C,0))*10000+E1014</f>
        <v>31381000</v>
      </c>
      <c r="D1014" s="23" t="s">
        <v>1077</v>
      </c>
      <c r="E1014" s="23">
        <v>0</v>
      </c>
      <c r="F1014" s="23" t="s">
        <v>1076</v>
      </c>
      <c r="G1014" s="23" t="s">
        <v>45</v>
      </c>
      <c r="H1014" s="23" t="s">
        <v>43</v>
      </c>
      <c r="I1014" s="23" t="s">
        <v>46</v>
      </c>
      <c r="J1014" s="23"/>
      <c r="K1014" s="23"/>
      <c r="L1014" s="29">
        <v>0</v>
      </c>
      <c r="M1014" s="29">
        <v>-2</v>
      </c>
      <c r="N1014" s="29"/>
      <c r="O1014" s="29">
        <v>871155</v>
      </c>
      <c r="P1014" s="29">
        <v>479136</v>
      </c>
      <c r="Q1014" s="29">
        <v>0</v>
      </c>
      <c r="R1014" s="30">
        <v>102060</v>
      </c>
    </row>
    <row r="1015" spans="1:18">
      <c r="A1015" s="27"/>
      <c r="B1015" s="28">
        <v>1011</v>
      </c>
      <c r="C1015" s="1">
        <f>30000000+INDEX(编号表!$B:$B,MATCH(G1015,编号表!$A:$A,0))*100000+INDEX(编号表!$F:$F,MATCH(H1015,编号表!$E:$E,0))*1000+INDEX(编号表!$D:$D,MATCH(F1015,编号表!$C:$C,0))*10000+E1015</f>
        <v>31381001</v>
      </c>
      <c r="D1015" s="23" t="s">
        <v>1078</v>
      </c>
      <c r="E1015" s="23">
        <v>1</v>
      </c>
      <c r="F1015" s="23" t="s">
        <v>1076</v>
      </c>
      <c r="G1015" s="23" t="s">
        <v>45</v>
      </c>
      <c r="H1015" s="23" t="s">
        <v>43</v>
      </c>
      <c r="I1015" s="23" t="s">
        <v>46</v>
      </c>
      <c r="J1015" s="23"/>
      <c r="K1015" s="23"/>
      <c r="L1015" s="29">
        <v>0</v>
      </c>
      <c r="M1015" s="29">
        <v>3</v>
      </c>
      <c r="N1015" s="29"/>
      <c r="O1015" s="29">
        <v>930933</v>
      </c>
      <c r="P1015" s="29">
        <v>633035</v>
      </c>
      <c r="Q1015" s="29">
        <v>0</v>
      </c>
      <c r="R1015" s="30">
        <v>131220</v>
      </c>
    </row>
    <row r="1016" spans="1:18">
      <c r="A1016" s="27"/>
      <c r="B1016" s="28">
        <v>1012</v>
      </c>
      <c r="C1016" s="1">
        <f>30000000+INDEX(编号表!$B:$B,MATCH(G1016,编号表!$A:$A,0))*100000+INDEX(编号表!$F:$F,MATCH(H1016,编号表!$E:$E,0))*1000+INDEX(编号表!$D:$D,MATCH(F1016,编号表!$C:$C,0))*10000+E1016</f>
        <v>31381002</v>
      </c>
      <c r="D1016" s="23" t="s">
        <v>1079</v>
      </c>
      <c r="E1016" s="23">
        <v>2</v>
      </c>
      <c r="F1016" s="23" t="s">
        <v>1076</v>
      </c>
      <c r="G1016" s="23" t="s">
        <v>45</v>
      </c>
      <c r="H1016" s="23" t="s">
        <v>43</v>
      </c>
      <c r="I1016" s="23" t="s">
        <v>49</v>
      </c>
      <c r="J1016" s="23"/>
      <c r="K1016" s="23"/>
      <c r="L1016" s="29">
        <v>0</v>
      </c>
      <c r="M1016" s="29">
        <v>-1</v>
      </c>
      <c r="N1016" s="29"/>
      <c r="O1016" s="29">
        <v>825957</v>
      </c>
      <c r="P1016" s="29">
        <v>297345</v>
      </c>
      <c r="Q1016" s="29">
        <v>0</v>
      </c>
      <c r="R1016" s="30">
        <v>142155</v>
      </c>
    </row>
    <row r="1017" spans="1:18">
      <c r="A1017" s="27"/>
      <c r="B1017" s="28">
        <v>1013</v>
      </c>
      <c r="C1017" s="1">
        <f>30000000+INDEX(编号表!$B:$B,MATCH(G1017,编号表!$A:$A,0))*100000+INDEX(编号表!$F:$F,MATCH(H1017,编号表!$E:$E,0))*1000+INDEX(编号表!$D:$D,MATCH(F1017,编号表!$C:$C,0))*10000+E1017</f>
        <v>31381003</v>
      </c>
      <c r="D1017" s="23" t="s">
        <v>1080</v>
      </c>
      <c r="E1017" s="23">
        <v>3</v>
      </c>
      <c r="F1017" s="23" t="s">
        <v>1076</v>
      </c>
      <c r="G1017" s="23" t="s">
        <v>45</v>
      </c>
      <c r="H1017" s="23" t="s">
        <v>43</v>
      </c>
      <c r="I1017" s="23" t="s">
        <v>49</v>
      </c>
      <c r="J1017" s="23"/>
      <c r="K1017" s="23"/>
      <c r="L1017" s="29">
        <v>0</v>
      </c>
      <c r="M1017" s="29">
        <v>2</v>
      </c>
      <c r="N1017" s="29"/>
      <c r="O1017" s="29">
        <v>871155</v>
      </c>
      <c r="P1017" s="29">
        <v>714348</v>
      </c>
      <c r="Q1017" s="29">
        <v>0</v>
      </c>
      <c r="R1017" s="30">
        <v>43740</v>
      </c>
    </row>
    <row r="1018" spans="1:18">
      <c r="A1018" s="27"/>
      <c r="B1018" s="28">
        <v>1014</v>
      </c>
      <c r="C1018" s="1">
        <f>30000000+INDEX(编号表!$B:$B,MATCH(G1018,编号表!$A:$A,0))*100000+INDEX(编号表!$F:$F,MATCH(H1018,编号表!$E:$E,0))*1000+INDEX(编号表!$D:$D,MATCH(F1018,编号表!$C:$C,0))*10000+E1018</f>
        <v>31381004</v>
      </c>
      <c r="D1018" s="23" t="s">
        <v>1081</v>
      </c>
      <c r="E1018" s="23">
        <v>4</v>
      </c>
      <c r="F1018" s="23" t="s">
        <v>1076</v>
      </c>
      <c r="G1018" s="23" t="s">
        <v>45</v>
      </c>
      <c r="H1018" s="23" t="s">
        <v>43</v>
      </c>
      <c r="I1018" s="23" t="s">
        <v>52</v>
      </c>
      <c r="J1018" s="23"/>
      <c r="K1018" s="23"/>
      <c r="L1018" s="29">
        <v>0</v>
      </c>
      <c r="M1018" s="29">
        <v>-1</v>
      </c>
      <c r="N1018" s="29"/>
      <c r="O1018" s="29">
        <v>871155</v>
      </c>
      <c r="P1018" s="29">
        <v>592386</v>
      </c>
      <c r="Q1018" s="29">
        <v>0</v>
      </c>
      <c r="R1018" s="30">
        <v>105705</v>
      </c>
    </row>
    <row r="1019" spans="1:18">
      <c r="A1019" s="27"/>
      <c r="B1019" s="28">
        <v>1015</v>
      </c>
      <c r="C1019" s="1">
        <f>30000000+INDEX(编号表!$B:$B,MATCH(G1019,编号表!$A:$A,0))*100000+INDEX(编号表!$F:$F,MATCH(H1019,编号表!$E:$E,0))*1000+INDEX(编号表!$D:$D,MATCH(F1019,编号表!$C:$C,0))*10000+E1019</f>
        <v>31381005</v>
      </c>
      <c r="D1019" s="23" t="inlineStr">
        <is>
          <t xml:space="preserve">百万载沸泉苔·凡株</t>
        </is>
      </c>
      <c r="E1019" s="23">
        <v>5</v>
      </c>
      <c r="F1019" s="23" t="s">
        <v>1076</v>
      </c>
      <c r="G1019" s="23" t="s">
        <v>45</v>
      </c>
      <c r="H1019" s="23" t="s">
        <v>43</v>
      </c>
      <c r="I1019" s="23" t="s">
        <v>52</v>
      </c>
      <c r="J1019" s="23"/>
      <c r="K1019" s="23"/>
      <c r="L1019" s="29">
        <v>0</v>
      </c>
      <c r="M1019" s="29">
        <v>4</v>
      </c>
      <c r="N1019" s="29"/>
      <c r="O1019" s="29">
        <v>901044</v>
      </c>
      <c r="P1019" s="29">
        <v>738857</v>
      </c>
      <c r="Q1019" s="29">
        <v>0</v>
      </c>
      <c r="R1019" s="30">
        <v>189540</v>
      </c>
    </row>
    <row r="1020" spans="1:18">
      <c r="A1020" s="27"/>
      <c r="B1020" s="28">
        <v>1016</v>
      </c>
      <c r="C1020" s="1">
        <f>30000000+INDEX(编号表!$B:$B,MATCH(G1020,编号表!$A:$A,0))*100000+INDEX(编号表!$F:$F,MATCH(H1020,编号表!$E:$E,0))*1000+INDEX(编号表!$D:$D,MATCH(F1020,编号表!$C:$C,0))*10000+E1020</f>
        <v>31381006</v>
      </c>
      <c r="D1020" s="23" t="inlineStr">
        <is>
          <t xml:space="preserve">百万载丹露花·凡株</t>
        </is>
      </c>
      <c r="E1020" s="23">
        <v>6</v>
      </c>
      <c r="F1020" s="23" t="s">
        <v>1076</v>
      </c>
      <c r="G1020" s="23" t="s">
        <v>45</v>
      </c>
      <c r="H1020" s="23" t="s">
        <v>43</v>
      </c>
      <c r="I1020" s="23" t="s">
        <v>55</v>
      </c>
      <c r="J1020" s="23"/>
      <c r="K1020" s="23"/>
      <c r="L1020" s="29">
        <v>0</v>
      </c>
      <c r="M1020" s="29">
        <v>-1</v>
      </c>
      <c r="N1020" s="29"/>
      <c r="O1020" s="29">
        <v>901044</v>
      </c>
      <c r="P1020" s="29">
        <v>252293</v>
      </c>
      <c r="Q1020" s="29">
        <v>0</v>
      </c>
      <c r="R1020" s="30">
        <v>306180</v>
      </c>
    </row>
    <row r="1021" spans="1:18">
      <c r="A1021" s="27"/>
      <c r="B1021" s="28">
        <v>1017</v>
      </c>
      <c r="C1021" s="1">
        <f>30000000+INDEX(编号表!$B:$B,MATCH(G1021,编号表!$A:$A,0))*100000+INDEX(编号表!$F:$F,MATCH(H1021,编号表!$E:$E,0))*1000+INDEX(编号表!$D:$D,MATCH(F1021,编号表!$C:$C,0))*10000+E1021</f>
        <v>31381007</v>
      </c>
      <c r="D1021" s="23" t="s">
        <v>1084</v>
      </c>
      <c r="E1021" s="23">
        <v>7</v>
      </c>
      <c r="F1021" s="23" t="s">
        <v>1076</v>
      </c>
      <c r="G1021" s="23" t="s">
        <v>45</v>
      </c>
      <c r="H1021" s="23" t="s">
        <v>43</v>
      </c>
      <c r="I1021" s="23" t="s">
        <v>55</v>
      </c>
      <c r="J1021" s="23"/>
      <c r="K1021" s="23"/>
      <c r="L1021" s="29">
        <v>0</v>
      </c>
      <c r="M1021" s="29">
        <v>2</v>
      </c>
      <c r="N1021" s="29"/>
      <c r="O1021" s="29">
        <v>871155</v>
      </c>
      <c r="P1021" s="29">
        <v>714348</v>
      </c>
      <c r="Q1021" s="29">
        <v>0</v>
      </c>
      <c r="R1021" s="30">
        <v>43740</v>
      </c>
    </row>
    <row r="1022" spans="1:18">
      <c r="A1022" s="27"/>
      <c r="B1022" s="28">
        <v>1018</v>
      </c>
      <c r="C1022" s="1">
        <f>30000000+INDEX(编号表!$B:$B,MATCH(G1022,编号表!$A:$A,0))*100000+INDEX(编号表!$F:$F,MATCH(H1022,编号表!$E:$E,0))*1000+INDEX(编号表!$D:$D,MATCH(F1022,编号表!$C:$C,0))*10000+E1022</f>
        <v>31381008</v>
      </c>
      <c r="D1022" s="23" t="s">
        <v>1085</v>
      </c>
      <c r="E1022" s="23">
        <v>8</v>
      </c>
      <c r="F1022" s="23" t="s">
        <v>1076</v>
      </c>
      <c r="G1022" s="23" t="s">
        <v>45</v>
      </c>
      <c r="H1022" s="23" t="s">
        <v>43</v>
      </c>
      <c r="I1022" s="23" t="s">
        <v>58</v>
      </c>
      <c r="J1022" s="23"/>
      <c r="K1022" s="23"/>
      <c r="L1022" s="29">
        <v>0</v>
      </c>
      <c r="M1022" s="29">
        <v>-2</v>
      </c>
      <c r="N1022" s="29"/>
      <c r="O1022" s="29">
        <v>871155</v>
      </c>
      <c r="P1022" s="29">
        <v>479136</v>
      </c>
      <c r="Q1022" s="29">
        <v>0</v>
      </c>
      <c r="R1022" s="30">
        <v>102060</v>
      </c>
    </row>
    <row r="1023" spans="1:18">
      <c r="A1023" s="27"/>
      <c r="B1023" s="28">
        <v>1019</v>
      </c>
      <c r="C1023" s="1">
        <f>30000000+INDEX(编号表!$B:$B,MATCH(G1023,编号表!$A:$A,0))*100000+INDEX(编号表!$F:$F,MATCH(H1023,编号表!$E:$E,0))*1000+INDEX(编号表!$D:$D,MATCH(F1023,编号表!$C:$C,0))*10000+E1023</f>
        <v>31381009</v>
      </c>
      <c r="D1023" s="23" t="s">
        <v>1086</v>
      </c>
      <c r="E1023" s="23">
        <v>9</v>
      </c>
      <c r="F1023" s="23" t="s">
        <v>1076</v>
      </c>
      <c r="G1023" s="23" t="s">
        <v>45</v>
      </c>
      <c r="H1023" s="23" t="s">
        <v>43</v>
      </c>
      <c r="I1023" s="23" t="s">
        <v>58</v>
      </c>
      <c r="J1023" s="23"/>
      <c r="K1023" s="23"/>
      <c r="L1023" s="29">
        <v>0</v>
      </c>
      <c r="M1023" s="29">
        <v>1</v>
      </c>
      <c r="N1023" s="29"/>
      <c r="O1023" s="29">
        <v>825957</v>
      </c>
      <c r="P1023" s="29">
        <v>297345</v>
      </c>
      <c r="Q1023" s="29">
        <v>0</v>
      </c>
      <c r="R1023" s="30">
        <v>142155</v>
      </c>
    </row>
    <row r="1024" spans="1:18">
      <c r="A1024" s="27"/>
      <c r="B1024" s="28">
        <v>1020</v>
      </c>
      <c r="C1024" s="1">
        <f>30000000+INDEX(编号表!$B:$B,MATCH(G1024,编号表!$A:$A,0))*100000+INDEX(编号表!$F:$F,MATCH(H1024,编号表!$E:$E,0))*1000+INDEX(编号表!$D:$D,MATCH(F1024,编号表!$C:$C,0))*10000+E1024</f>
        <v>31581000</v>
      </c>
      <c r="D1024" s="23" t="inlineStr">
        <is>
          <t xml:space="preserve">百万载霜辛草·凡株</t>
        </is>
      </c>
      <c r="E1024" s="23">
        <v>0</v>
      </c>
      <c r="F1024" s="23" t="s">
        <v>1076</v>
      </c>
      <c r="G1024" s="23" t="s">
        <v>61</v>
      </c>
      <c r="H1024" s="23" t="s">
        <v>43</v>
      </c>
      <c r="I1024" s="23"/>
      <c r="J1024" s="23" t="s">
        <v>62</v>
      </c>
      <c r="K1024" s="23"/>
      <c r="L1024" s="29">
        <v>0</v>
      </c>
      <c r="M1024" s="29">
        <v>-2</v>
      </c>
      <c r="N1024" s="29"/>
      <c r="O1024" s="29">
        <v>871155</v>
      </c>
      <c r="P1024" s="29">
        <v>479136</v>
      </c>
      <c r="Q1024" s="29">
        <v>0</v>
      </c>
      <c r="R1024" s="30">
        <v>102060</v>
      </c>
    </row>
    <row r="1025" spans="1:18">
      <c r="A1025" s="27"/>
      <c r="B1025" s="28">
        <v>1021</v>
      </c>
      <c r="C1025" s="1">
        <f>30000000+INDEX(编号表!$B:$B,MATCH(G1025,编号表!$A:$A,0))*100000+INDEX(编号表!$F:$F,MATCH(H1025,编号表!$E:$E,0))*1000+INDEX(编号表!$D:$D,MATCH(F1025,编号表!$C:$C,0))*10000+E1025</f>
        <v>31581001</v>
      </c>
      <c r="D1025" s="23" t="s">
        <v>1088</v>
      </c>
      <c r="E1025" s="23">
        <v>1</v>
      </c>
      <c r="F1025" s="23" t="s">
        <v>1076</v>
      </c>
      <c r="G1025" s="23" t="s">
        <v>61</v>
      </c>
      <c r="H1025" s="23" t="s">
        <v>43</v>
      </c>
      <c r="I1025" s="23"/>
      <c r="J1025" s="23" t="s">
        <v>62</v>
      </c>
      <c r="K1025" s="23"/>
      <c r="L1025" s="29">
        <v>0</v>
      </c>
      <c r="M1025" s="29">
        <v>3</v>
      </c>
      <c r="N1025" s="29"/>
      <c r="O1025" s="29">
        <v>930933</v>
      </c>
      <c r="P1025" s="29">
        <v>633035</v>
      </c>
      <c r="Q1025" s="29">
        <v>0</v>
      </c>
      <c r="R1025" s="30">
        <v>131220</v>
      </c>
    </row>
    <row r="1026" spans="1:18">
      <c r="A1026" s="27"/>
      <c r="B1026" s="28">
        <v>1022</v>
      </c>
      <c r="C1026" s="1">
        <f>30000000+INDEX(编号表!$B:$B,MATCH(G1026,编号表!$A:$A,0))*100000+INDEX(编号表!$F:$F,MATCH(H1026,编号表!$E:$E,0))*1000+INDEX(编号表!$D:$D,MATCH(F1026,编号表!$C:$C,0))*10000+E1026</f>
        <v>31581002</v>
      </c>
      <c r="D1026" s="23" t="s">
        <v>1089</v>
      </c>
      <c r="E1026" s="23">
        <v>2</v>
      </c>
      <c r="F1026" s="23" t="s">
        <v>1076</v>
      </c>
      <c r="G1026" s="23" t="s">
        <v>61</v>
      </c>
      <c r="H1026" s="23" t="s">
        <v>43</v>
      </c>
      <c r="I1026" s="23"/>
      <c r="J1026" s="23" t="s">
        <v>65</v>
      </c>
      <c r="K1026" s="23"/>
      <c r="L1026" s="29">
        <v>0</v>
      </c>
      <c r="M1026" s="29">
        <v>-1</v>
      </c>
      <c r="N1026" s="29"/>
      <c r="O1026" s="29">
        <v>825957</v>
      </c>
      <c r="P1026" s="29">
        <v>297345</v>
      </c>
      <c r="Q1026" s="29">
        <v>0</v>
      </c>
      <c r="R1026" s="30">
        <v>142155</v>
      </c>
    </row>
    <row r="1027" spans="1:18">
      <c r="A1027" s="27"/>
      <c r="B1027" s="28">
        <v>1023</v>
      </c>
      <c r="C1027" s="1">
        <f>30000000+INDEX(编号表!$B:$B,MATCH(G1027,编号表!$A:$A,0))*100000+INDEX(编号表!$F:$F,MATCH(H1027,编号表!$E:$E,0))*1000+INDEX(编号表!$D:$D,MATCH(F1027,编号表!$C:$C,0))*10000+E1027</f>
        <v>31581003</v>
      </c>
      <c r="D1027" s="23" t="s">
        <v>1090</v>
      </c>
      <c r="E1027" s="23">
        <v>3</v>
      </c>
      <c r="F1027" s="23" t="s">
        <v>1076</v>
      </c>
      <c r="G1027" s="23" t="s">
        <v>61</v>
      </c>
      <c r="H1027" s="23" t="s">
        <v>43</v>
      </c>
      <c r="I1027" s="23"/>
      <c r="J1027" s="23" t="s">
        <v>65</v>
      </c>
      <c r="K1027" s="23"/>
      <c r="L1027" s="29">
        <v>0</v>
      </c>
      <c r="M1027" s="29">
        <v>2</v>
      </c>
      <c r="N1027" s="29"/>
      <c r="O1027" s="29">
        <v>871155</v>
      </c>
      <c r="P1027" s="29">
        <v>714348</v>
      </c>
      <c r="Q1027" s="29">
        <v>0</v>
      </c>
      <c r="R1027" s="30">
        <v>43740</v>
      </c>
    </row>
    <row r="1028" spans="1:18">
      <c r="A1028" s="27"/>
      <c r="B1028" s="28">
        <v>1024</v>
      </c>
      <c r="C1028" s="1">
        <f>30000000+INDEX(编号表!$B:$B,MATCH(G1028,编号表!$A:$A,0))*100000+INDEX(编号表!$F:$F,MATCH(H1028,编号表!$E:$E,0))*1000+INDEX(编号表!$D:$D,MATCH(F1028,编号表!$C:$C,0))*10000+E1028</f>
        <v>31581004</v>
      </c>
      <c r="D1028" s="23" t="s">
        <v>1091</v>
      </c>
      <c r="E1028" s="23">
        <v>4</v>
      </c>
      <c r="F1028" s="23" t="s">
        <v>1076</v>
      </c>
      <c r="G1028" s="23" t="s">
        <v>61</v>
      </c>
      <c r="H1028" s="23" t="s">
        <v>43</v>
      </c>
      <c r="I1028" s="23"/>
      <c r="J1028" s="23" t="s">
        <v>68</v>
      </c>
      <c r="K1028" s="23"/>
      <c r="L1028" s="29">
        <v>0</v>
      </c>
      <c r="M1028" s="29">
        <v>-1</v>
      </c>
      <c r="N1028" s="29"/>
      <c r="O1028" s="29">
        <v>871155</v>
      </c>
      <c r="P1028" s="29">
        <v>592386</v>
      </c>
      <c r="Q1028" s="29">
        <v>0</v>
      </c>
      <c r="R1028" s="30">
        <v>105705</v>
      </c>
    </row>
    <row r="1029" spans="1:18">
      <c r="A1029" s="27"/>
      <c r="B1029" s="28">
        <v>1025</v>
      </c>
      <c r="C1029" s="1">
        <f>30000000+INDEX(编号表!$B:$B,MATCH(G1029,编号表!$A:$A,0))*100000+INDEX(编号表!$F:$F,MATCH(H1029,编号表!$E:$E,0))*1000+INDEX(编号表!$D:$D,MATCH(F1029,编号表!$C:$C,0))*10000+E1029</f>
        <v>31581005</v>
      </c>
      <c r="D1029" s="23" t="s">
        <v>1092</v>
      </c>
      <c r="E1029" s="23">
        <v>5</v>
      </c>
      <c r="F1029" s="23" t="s">
        <v>1076</v>
      </c>
      <c r="G1029" s="23" t="s">
        <v>61</v>
      </c>
      <c r="H1029" s="23" t="s">
        <v>43</v>
      </c>
      <c r="I1029" s="23"/>
      <c r="J1029" s="23" t="s">
        <v>68</v>
      </c>
      <c r="K1029" s="23"/>
      <c r="L1029" s="29">
        <v>0</v>
      </c>
      <c r="M1029" s="29">
        <v>4</v>
      </c>
      <c r="N1029" s="29"/>
      <c r="O1029" s="29">
        <v>901044</v>
      </c>
      <c r="P1029" s="29">
        <v>738857</v>
      </c>
      <c r="Q1029" s="29">
        <v>0</v>
      </c>
      <c r="R1029" s="30">
        <v>189540</v>
      </c>
    </row>
    <row r="1030" spans="1:18">
      <c r="A1030" s="27"/>
      <c r="B1030" s="28">
        <v>1026</v>
      </c>
      <c r="C1030" s="1">
        <f>30000000+INDEX(编号表!$B:$B,MATCH(G1030,编号表!$A:$A,0))*100000+INDEX(编号表!$F:$F,MATCH(H1030,编号表!$E:$E,0))*1000+INDEX(编号表!$D:$D,MATCH(F1030,编号表!$C:$C,0))*10000+E1030</f>
        <v>31581006</v>
      </c>
      <c r="D1030" s="23" t="s">
        <v>1093</v>
      </c>
      <c r="E1030" s="23">
        <v>6</v>
      </c>
      <c r="F1030" s="23" t="s">
        <v>1076</v>
      </c>
      <c r="G1030" s="23" t="s">
        <v>61</v>
      </c>
      <c r="H1030" s="23" t="s">
        <v>43</v>
      </c>
      <c r="I1030" s="23"/>
      <c r="J1030" s="23" t="s">
        <v>71</v>
      </c>
      <c r="K1030" s="23"/>
      <c r="L1030" s="29">
        <v>0</v>
      </c>
      <c r="M1030" s="29">
        <v>-1</v>
      </c>
      <c r="N1030" s="29"/>
      <c r="O1030" s="29">
        <v>901044</v>
      </c>
      <c r="P1030" s="29">
        <v>252293</v>
      </c>
      <c r="Q1030" s="29">
        <v>0</v>
      </c>
      <c r="R1030" s="30">
        <v>306180</v>
      </c>
    </row>
    <row r="1031" spans="1:18">
      <c r="A1031" s="27"/>
      <c r="B1031" s="28">
        <v>1027</v>
      </c>
      <c r="C1031" s="1">
        <f>30000000+INDEX(编号表!$B:$B,MATCH(G1031,编号表!$A:$A,0))*100000+INDEX(编号表!$F:$F,MATCH(H1031,编号表!$E:$E,0))*1000+INDEX(编号表!$D:$D,MATCH(F1031,编号表!$C:$C,0))*10000+E1031</f>
        <v>31581007</v>
      </c>
      <c r="D1031" s="23" t="s">
        <v>1094</v>
      </c>
      <c r="E1031" s="23">
        <v>7</v>
      </c>
      <c r="F1031" s="23" t="s">
        <v>1076</v>
      </c>
      <c r="G1031" s="23" t="s">
        <v>61</v>
      </c>
      <c r="H1031" s="23" t="s">
        <v>43</v>
      </c>
      <c r="I1031" s="23"/>
      <c r="J1031" s="23" t="s">
        <v>71</v>
      </c>
      <c r="K1031" s="23"/>
      <c r="L1031" s="29">
        <v>0</v>
      </c>
      <c r="M1031" s="29">
        <v>2</v>
      </c>
      <c r="N1031" s="29"/>
      <c r="O1031" s="29">
        <v>871155</v>
      </c>
      <c r="P1031" s="29">
        <v>714348</v>
      </c>
      <c r="Q1031" s="29">
        <v>0</v>
      </c>
      <c r="R1031" s="30">
        <v>43740</v>
      </c>
    </row>
    <row r="1032" spans="1:18">
      <c r="A1032" s="27"/>
      <c r="B1032" s="28">
        <v>1028</v>
      </c>
      <c r="C1032" s="1">
        <f>30000000+INDEX(编号表!$B:$B,MATCH(G1032,编号表!$A:$A,0))*100000+INDEX(编号表!$F:$F,MATCH(H1032,编号表!$E:$E,0))*1000+INDEX(编号表!$D:$D,MATCH(F1032,编号表!$C:$C,0))*10000+E1032</f>
        <v>31581008</v>
      </c>
      <c r="D1032" s="23" t="s">
        <v>1095</v>
      </c>
      <c r="E1032" s="23">
        <v>8</v>
      </c>
      <c r="F1032" s="23" t="s">
        <v>1076</v>
      </c>
      <c r="G1032" s="23" t="s">
        <v>61</v>
      </c>
      <c r="H1032" s="23" t="s">
        <v>43</v>
      </c>
      <c r="I1032" s="23"/>
      <c r="J1032" s="23" t="s">
        <v>74</v>
      </c>
      <c r="K1032" s="23"/>
      <c r="L1032" s="29">
        <v>0</v>
      </c>
      <c r="M1032" s="29">
        <v>-2</v>
      </c>
      <c r="N1032" s="29"/>
      <c r="O1032" s="29">
        <v>871155</v>
      </c>
      <c r="P1032" s="29">
        <v>479136</v>
      </c>
      <c r="Q1032" s="29">
        <v>0</v>
      </c>
      <c r="R1032" s="30">
        <v>102060</v>
      </c>
    </row>
    <row r="1033" spans="1:18">
      <c r="A1033" s="27"/>
      <c r="B1033" s="28">
        <v>1029</v>
      </c>
      <c r="C1033" s="1">
        <f>30000000+INDEX(编号表!$B:$B,MATCH(G1033,编号表!$A:$A,0))*100000+INDEX(编号表!$F:$F,MATCH(H1033,编号表!$E:$E,0))*1000+INDEX(编号表!$D:$D,MATCH(F1033,编号表!$C:$C,0))*10000+E1033</f>
        <v>31581009</v>
      </c>
      <c r="D1033" s="23" t="s">
        <v>1096</v>
      </c>
      <c r="E1033" s="23">
        <v>9</v>
      </c>
      <c r="F1033" s="23" t="s">
        <v>1076</v>
      </c>
      <c r="G1033" s="23" t="s">
        <v>61</v>
      </c>
      <c r="H1033" s="23" t="s">
        <v>43</v>
      </c>
      <c r="I1033" s="23"/>
      <c r="J1033" s="23" t="s">
        <v>74</v>
      </c>
      <c r="K1033" s="23"/>
      <c r="L1033" s="29">
        <v>0</v>
      </c>
      <c r="M1033" s="29">
        <v>1</v>
      </c>
      <c r="N1033" s="29"/>
      <c r="O1033" s="29">
        <v>825957</v>
      </c>
      <c r="P1033" s="29">
        <v>297345</v>
      </c>
      <c r="Q1033" s="29">
        <v>0</v>
      </c>
      <c r="R1033" s="30">
        <v>142155</v>
      </c>
    </row>
    <row r="1034" spans="1:18">
      <c r="A1034" s="27"/>
      <c r="B1034" s="28">
        <v>1030</v>
      </c>
      <c r="C1034" s="1">
        <f>30000000+INDEX(编号表!$B:$B,MATCH(G1034,编号表!$A:$A,0))*100000+INDEX(编号表!$F:$F,MATCH(H1034,编号表!$E:$E,0))*1000+INDEX(编号表!$D:$D,MATCH(F1034,编号表!$C:$C,0))*10000+E1034</f>
        <v>31481000</v>
      </c>
      <c r="D1034" s="23" t="s">
        <v>1097</v>
      </c>
      <c r="E1034" s="23">
        <v>0</v>
      </c>
      <c r="F1034" s="23" t="s">
        <v>1076</v>
      </c>
      <c r="G1034" s="23" t="s">
        <v>77</v>
      </c>
      <c r="H1034" s="23" t="s">
        <v>43</v>
      </c>
      <c r="I1034" s="23"/>
      <c r="J1034" s="23"/>
      <c r="K1034" s="23"/>
      <c r="L1034" s="29">
        <v>0</v>
      </c>
      <c r="M1034" s="29">
        <v>0</v>
      </c>
      <c r="N1034" s="29"/>
      <c r="O1034" s="29">
        <v>825957</v>
      </c>
      <c r="P1034" s="29">
        <v>231268</v>
      </c>
      <c r="Q1034" s="29">
        <v>0</v>
      </c>
      <c r="R1034" s="30">
        <v>167670</v>
      </c>
    </row>
    <row r="1035" spans="1:18">
      <c r="A1035" s="27"/>
      <c r="B1035" s="28">
        <v>1031</v>
      </c>
      <c r="C1035" s="1">
        <f>30000000+INDEX(编号表!$B:$B,MATCH(G1035,编号表!$A:$A,0))*100000+INDEX(编号表!$F:$F,MATCH(H1035,编号表!$E:$E,0))*1000+INDEX(编号表!$D:$D,MATCH(F1035,编号表!$C:$C,0))*10000+E1035</f>
        <v>31481001</v>
      </c>
      <c r="D1035" s="23" t="s">
        <v>1098</v>
      </c>
      <c r="E1035" s="23">
        <v>1</v>
      </c>
      <c r="F1035" s="23" t="s">
        <v>1076</v>
      </c>
      <c r="G1035" s="23" t="s">
        <v>77</v>
      </c>
      <c r="H1035" s="23" t="s">
        <v>43</v>
      </c>
      <c r="I1035" s="23"/>
      <c r="J1035" s="23"/>
      <c r="K1035" s="23"/>
      <c r="L1035" s="29">
        <v>0</v>
      </c>
      <c r="M1035" s="29">
        <v>0</v>
      </c>
      <c r="N1035" s="29"/>
      <c r="O1035" s="29">
        <v>930933</v>
      </c>
      <c r="P1035" s="29">
        <v>763366</v>
      </c>
      <c r="Q1035" s="29">
        <v>0</v>
      </c>
      <c r="R1035" s="30">
        <v>58320</v>
      </c>
    </row>
    <row r="1036" spans="1:18">
      <c r="A1036" s="27"/>
      <c r="B1036" s="28">
        <v>1032</v>
      </c>
      <c r="C1036" s="1">
        <f>30000000+INDEX(编号表!$B:$B,MATCH(G1036,编号表!$A:$A,0))*100000+INDEX(编号表!$F:$F,MATCH(H1036,编号表!$E:$E,0))*1000+INDEX(编号表!$D:$D,MATCH(F1036,编号表!$C:$C,0))*10000+E1036</f>
        <v>31481002</v>
      </c>
      <c r="D1036" s="23" t="s">
        <v>1099</v>
      </c>
      <c r="E1036" s="23">
        <v>2</v>
      </c>
      <c r="F1036" s="23" t="s">
        <v>1076</v>
      </c>
      <c r="G1036" s="23" t="s">
        <v>77</v>
      </c>
      <c r="H1036" s="23" t="s">
        <v>43</v>
      </c>
      <c r="I1036" s="23"/>
      <c r="J1036" s="23"/>
      <c r="K1036" s="23"/>
      <c r="L1036" s="29">
        <v>0</v>
      </c>
      <c r="M1036" s="29">
        <v>1</v>
      </c>
      <c r="N1036" s="29"/>
      <c r="O1036" s="29">
        <v>901044</v>
      </c>
      <c r="P1036" s="29">
        <v>252293</v>
      </c>
      <c r="Q1036" s="29">
        <v>0</v>
      </c>
      <c r="R1036" s="30">
        <v>306180</v>
      </c>
    </row>
    <row r="1037" spans="1:18">
      <c r="A1037" s="27"/>
      <c r="B1037" s="28">
        <v>1033</v>
      </c>
      <c r="C1037" s="1">
        <f>30000000+INDEX(编号表!$B:$B,MATCH(G1037,编号表!$A:$A,0))*100000+INDEX(编号表!$F:$F,MATCH(H1037,编号表!$E:$E,0))*1000+INDEX(编号表!$D:$D,MATCH(F1037,编号表!$C:$C,0))*10000+E1037</f>
        <v>31481003</v>
      </c>
      <c r="D1037" s="23" t="s">
        <v>1100</v>
      </c>
      <c r="E1037" s="23">
        <v>3</v>
      </c>
      <c r="F1037" s="23" t="s">
        <v>1076</v>
      </c>
      <c r="G1037" s="23" t="s">
        <v>77</v>
      </c>
      <c r="H1037" s="23" t="s">
        <v>43</v>
      </c>
      <c r="I1037" s="23"/>
      <c r="J1037" s="23"/>
      <c r="K1037" s="23"/>
      <c r="L1037" s="29">
        <v>0</v>
      </c>
      <c r="M1037" s="29">
        <v>4</v>
      </c>
      <c r="N1037" s="29"/>
      <c r="O1037" s="29">
        <v>901044</v>
      </c>
      <c r="P1037" s="29">
        <v>738857</v>
      </c>
      <c r="Q1037" s="29">
        <v>0</v>
      </c>
      <c r="R1037" s="30">
        <v>189540</v>
      </c>
    </row>
    <row r="1038" spans="1:18">
      <c r="A1038" s="27"/>
      <c r="B1038" s="28">
        <v>1034</v>
      </c>
      <c r="C1038" s="1">
        <f>30000000+INDEX(编号表!$B:$B,MATCH(G1038,编号表!$A:$A,0))*100000+INDEX(编号表!$F:$F,MATCH(H1038,编号表!$E:$E,0))*1000+INDEX(编号表!$D:$D,MATCH(F1038,编号表!$C:$C,0))*10000+E1038</f>
        <v>31681000</v>
      </c>
      <c r="D1038" s="23" t="s">
        <v>1101</v>
      </c>
      <c r="E1038" s="23">
        <v>0</v>
      </c>
      <c r="F1038" s="23" t="s">
        <v>1076</v>
      </c>
      <c r="G1038" s="23" t="s">
        <v>82</v>
      </c>
      <c r="H1038" s="23" t="s">
        <v>43</v>
      </c>
      <c r="I1038" s="23"/>
      <c r="J1038" s="23"/>
      <c r="K1038" s="23"/>
      <c r="L1038" s="29">
        <v>7</v>
      </c>
      <c r="M1038" s="29">
        <v>0</v>
      </c>
      <c r="N1038" s="29"/>
      <c r="O1038" s="29">
        <v>0</v>
      </c>
      <c r="P1038" s="29">
        <v>0</v>
      </c>
      <c r="Q1038" s="29">
        <v>0</v>
      </c>
      <c r="R1038" s="30">
        <v>87480</v>
      </c>
    </row>
    <row r="1039" spans="1:18">
      <c r="A1039" s="27"/>
      <c r="B1039" s="28">
        <v>1035</v>
      </c>
      <c r="C1039" s="1">
        <f>30000000+INDEX(编号表!$B:$B,MATCH(G1039,编号表!$A:$A,0))*100000+INDEX(编号表!$F:$F,MATCH(H1039,编号表!$E:$E,0))*1000+INDEX(编号表!$D:$D,MATCH(F1039,编号表!$C:$C,0))*10000+E1039</f>
        <v>31681001</v>
      </c>
      <c r="D1039" s="23" t="s">
        <v>1102</v>
      </c>
      <c r="E1039" s="23">
        <v>1</v>
      </c>
      <c r="F1039" s="23" t="s">
        <v>1076</v>
      </c>
      <c r="G1039" s="23" t="s">
        <v>82</v>
      </c>
      <c r="H1039" s="23" t="s">
        <v>43</v>
      </c>
      <c r="I1039" s="23"/>
      <c r="J1039" s="23"/>
      <c r="K1039" s="23"/>
      <c r="L1039" s="29">
        <v>8</v>
      </c>
      <c r="M1039" s="29">
        <v>0</v>
      </c>
      <c r="N1039" s="29"/>
      <c r="O1039" s="29">
        <v>0</v>
      </c>
      <c r="P1039" s="29">
        <v>0</v>
      </c>
      <c r="Q1039" s="29">
        <v>0</v>
      </c>
      <c r="R1039" s="30">
        <v>160380</v>
      </c>
    </row>
    <row r="1040" spans="1:18">
      <c r="A1040" s="27"/>
      <c r="B1040" s="28">
        <v>1036</v>
      </c>
      <c r="C1040" s="1">
        <f>30000000+INDEX(编号表!$B:$B,MATCH(G1040,编号表!$A:$A,0))*100000+INDEX(编号表!$F:$F,MATCH(H1040,编号表!$E:$E,0))*1000+INDEX(编号表!$D:$D,MATCH(F1040,编号表!$C:$C,0))*10000+E1040</f>
        <v>31681002</v>
      </c>
      <c r="D1040" s="23" t="s">
        <v>1103</v>
      </c>
      <c r="E1040" s="23">
        <v>2</v>
      </c>
      <c r="F1040" s="23" t="s">
        <v>1076</v>
      </c>
      <c r="G1040" s="23" t="s">
        <v>82</v>
      </c>
      <c r="H1040" s="23" t="s">
        <v>43</v>
      </c>
      <c r="I1040" s="23"/>
      <c r="J1040" s="23"/>
      <c r="K1040" s="23"/>
      <c r="L1040" s="29">
        <v>9</v>
      </c>
      <c r="M1040" s="29">
        <v>0</v>
      </c>
      <c r="N1040" s="29"/>
      <c r="O1040" s="29">
        <v>0</v>
      </c>
      <c r="P1040" s="29">
        <v>0</v>
      </c>
      <c r="Q1040" s="29">
        <v>0</v>
      </c>
      <c r="R1040" s="30">
        <v>247860</v>
      </c>
    </row>
    <row r="1041" spans="1:18">
      <c r="A1041" s="27"/>
      <c r="B1041" s="28">
        <v>1037</v>
      </c>
      <c r="C1041" s="1">
        <f>30000000+INDEX(编号表!$B:$B,MATCH(G1041,编号表!$A:$A,0))*100000+INDEX(编号表!$F:$F,MATCH(H1041,编号表!$E:$E,0))*1000+INDEX(编号表!$D:$D,MATCH(F1041,编号表!$C:$C,0))*10000+E1041</f>
        <v>31282000</v>
      </c>
      <c r="D1041" s="23" t="s">
        <v>1104</v>
      </c>
      <c r="E1041" s="23">
        <v>0</v>
      </c>
      <c r="F1041" s="23" t="s">
        <v>1076</v>
      </c>
      <c r="G1041" s="23" t="s">
        <v>42</v>
      </c>
      <c r="H1041" s="23" t="s">
        <v>86</v>
      </c>
      <c r="I1041" s="23"/>
      <c r="J1041" s="23"/>
      <c r="K1041" s="23"/>
      <c r="L1041" s="29">
        <v>0</v>
      </c>
      <c r="M1041" s="29">
        <v>0</v>
      </c>
      <c r="N1041" s="29"/>
      <c r="O1041" s="29">
        <v>2624400</v>
      </c>
      <c r="P1041" s="29">
        <v>1400118</v>
      </c>
      <c r="Q1041" s="29">
        <v>13122000</v>
      </c>
      <c r="R1041" s="30">
        <v>236196</v>
      </c>
    </row>
    <row r="1042" spans="1:18">
      <c r="A1042" s="27"/>
      <c r="B1042" s="28">
        <v>1038</v>
      </c>
      <c r="C1042" s="1">
        <f>30000000+INDEX(编号表!$B:$B,MATCH(G1042,编号表!$A:$A,0))*100000+INDEX(编号表!$F:$F,MATCH(H1042,编号表!$E:$E,0))*1000+INDEX(编号表!$D:$D,MATCH(F1042,编号表!$C:$C,0))*10000+E1042</f>
        <v>31382000</v>
      </c>
      <c r="D1042" s="23" t="s">
        <v>1105</v>
      </c>
      <c r="E1042" s="23">
        <v>0</v>
      </c>
      <c r="F1042" s="23" t="s">
        <v>1076</v>
      </c>
      <c r="G1042" s="23" t="s">
        <v>45</v>
      </c>
      <c r="H1042" s="23" t="s">
        <v>86</v>
      </c>
      <c r="I1042" s="23" t="s">
        <v>46</v>
      </c>
      <c r="J1042" s="23"/>
      <c r="K1042" s="23"/>
      <c r="L1042" s="29">
        <v>0</v>
      </c>
      <c r="M1042" s="29">
        <v>-2</v>
      </c>
      <c r="N1042" s="29"/>
      <c r="O1042" s="29">
        <v>1568079</v>
      </c>
      <c r="P1042" s="29">
        <v>836571</v>
      </c>
      <c r="Q1042" s="29">
        <v>0</v>
      </c>
      <c r="R1042" s="30">
        <v>183708</v>
      </c>
    </row>
    <row r="1043" spans="1:18">
      <c r="A1043" s="27"/>
      <c r="B1043" s="28">
        <v>1039</v>
      </c>
      <c r="C1043" s="1">
        <f>30000000+INDEX(编号表!$B:$B,MATCH(G1043,编号表!$A:$A,0))*100000+INDEX(编号表!$F:$F,MATCH(H1043,编号表!$E:$E,0))*1000+INDEX(编号表!$D:$D,MATCH(F1043,编号表!$C:$C,0))*10000+E1043</f>
        <v>31382001</v>
      </c>
      <c r="D1043" s="23" t="s">
        <v>1106</v>
      </c>
      <c r="E1043" s="23">
        <v>1</v>
      </c>
      <c r="F1043" s="23" t="s">
        <v>1076</v>
      </c>
      <c r="G1043" s="23" t="s">
        <v>45</v>
      </c>
      <c r="H1043" s="23" t="s">
        <v>86</v>
      </c>
      <c r="I1043" s="23" t="s">
        <v>46</v>
      </c>
      <c r="J1043" s="23"/>
      <c r="K1043" s="23"/>
      <c r="L1043" s="29">
        <v>0</v>
      </c>
      <c r="M1043" s="29">
        <v>3</v>
      </c>
      <c r="N1043" s="29"/>
      <c r="O1043" s="29">
        <v>1675679</v>
      </c>
      <c r="P1043" s="29">
        <v>1105278</v>
      </c>
      <c r="Q1043" s="29">
        <v>0</v>
      </c>
      <c r="R1043" s="30">
        <v>236196</v>
      </c>
    </row>
    <row r="1044" spans="1:18">
      <c r="A1044" s="27"/>
      <c r="B1044" s="28">
        <v>1040</v>
      </c>
      <c r="C1044" s="1">
        <f>30000000+INDEX(编号表!$B:$B,MATCH(G1044,编号表!$A:$A,0))*100000+INDEX(编号表!$F:$F,MATCH(H1044,编号表!$E:$E,0))*1000+INDEX(编号表!$D:$D,MATCH(F1044,编号表!$C:$C,0))*10000+E1044</f>
        <v>31382002</v>
      </c>
      <c r="D1044" s="23" t="s">
        <v>1107</v>
      </c>
      <c r="E1044" s="23">
        <v>2</v>
      </c>
      <c r="F1044" s="23" t="s">
        <v>1076</v>
      </c>
      <c r="G1044" s="23" t="s">
        <v>45</v>
      </c>
      <c r="H1044" s="23" t="s">
        <v>86</v>
      </c>
      <c r="I1044" s="23" t="s">
        <v>49</v>
      </c>
      <c r="J1044" s="23"/>
      <c r="K1044" s="23"/>
      <c r="L1044" s="29">
        <v>0</v>
      </c>
      <c r="M1044" s="29">
        <v>-1</v>
      </c>
      <c r="N1044" s="29"/>
      <c r="O1044" s="29">
        <v>1486722</v>
      </c>
      <c r="P1044" s="29">
        <v>519164</v>
      </c>
      <c r="Q1044" s="29">
        <v>0</v>
      </c>
      <c r="R1044" s="30">
        <v>255879</v>
      </c>
    </row>
    <row r="1045" spans="1:18">
      <c r="A1045" s="27"/>
      <c r="B1045" s="28">
        <v>1041</v>
      </c>
      <c r="C1045" s="1">
        <f>30000000+INDEX(编号表!$B:$B,MATCH(G1045,编号表!$A:$A,0))*100000+INDEX(编号表!$F:$F,MATCH(H1045,编号表!$E:$E,0))*1000+INDEX(编号表!$D:$D,MATCH(F1045,编号表!$C:$C,0))*10000+E1045</f>
        <v>31382003</v>
      </c>
      <c r="D1045" s="23" t="s">
        <v>1108</v>
      </c>
      <c r="E1045" s="23">
        <v>3</v>
      </c>
      <c r="F1045" s="23" t="s">
        <v>1076</v>
      </c>
      <c r="G1045" s="23" t="s">
        <v>45</v>
      </c>
      <c r="H1045" s="23" t="s">
        <v>86</v>
      </c>
      <c r="I1045" s="23" t="s">
        <v>49</v>
      </c>
      <c r="J1045" s="23"/>
      <c r="K1045" s="23"/>
      <c r="L1045" s="29">
        <v>0</v>
      </c>
      <c r="M1045" s="29">
        <v>2</v>
      </c>
      <c r="N1045" s="29"/>
      <c r="O1045" s="29">
        <v>1568079</v>
      </c>
      <c r="P1045" s="29">
        <v>1247251</v>
      </c>
      <c r="Q1045" s="29">
        <v>0</v>
      </c>
      <c r="R1045" s="30">
        <v>78732</v>
      </c>
    </row>
    <row r="1046" spans="1:18">
      <c r="A1046" s="27"/>
      <c r="B1046" s="28">
        <v>1042</v>
      </c>
      <c r="C1046" s="1">
        <f>30000000+INDEX(编号表!$B:$B,MATCH(G1046,编号表!$A:$A,0))*100000+INDEX(编号表!$F:$F,MATCH(H1046,编号表!$E:$E,0))*1000+INDEX(编号表!$D:$D,MATCH(F1046,编号表!$C:$C,0))*10000+E1046</f>
        <v>31382004</v>
      </c>
      <c r="D1046" s="23" t="s">
        <v>1109</v>
      </c>
      <c r="E1046" s="23">
        <v>4</v>
      </c>
      <c r="F1046" s="23" t="s">
        <v>1076</v>
      </c>
      <c r="G1046" s="23" t="s">
        <v>45</v>
      </c>
      <c r="H1046" s="23" t="s">
        <v>86</v>
      </c>
      <c r="I1046" s="23" t="s">
        <v>52</v>
      </c>
      <c r="J1046" s="23"/>
      <c r="K1046" s="23"/>
      <c r="L1046" s="29">
        <v>0</v>
      </c>
      <c r="M1046" s="29">
        <v>-1</v>
      </c>
      <c r="N1046" s="29"/>
      <c r="O1046" s="29">
        <v>1568079</v>
      </c>
      <c r="P1046" s="29">
        <v>1034305</v>
      </c>
      <c r="Q1046" s="29">
        <v>0</v>
      </c>
      <c r="R1046" s="30">
        <v>190269</v>
      </c>
    </row>
    <row r="1047" spans="1:18">
      <c r="A1047" s="27"/>
      <c r="B1047" s="28">
        <v>1043</v>
      </c>
      <c r="C1047" s="1">
        <f>30000000+INDEX(编号表!$B:$B,MATCH(G1047,编号表!$A:$A,0))*100000+INDEX(编号表!$F:$F,MATCH(H1047,编号表!$E:$E,0))*1000+INDEX(编号表!$D:$D,MATCH(F1047,编号表!$C:$C,0))*10000+E1047</f>
        <v>31382005</v>
      </c>
      <c r="D1047" s="23" t="inlineStr">
        <is>
          <t xml:space="preserve">百万载沸泉苔·灵株</t>
        </is>
      </c>
      <c r="E1047" s="23">
        <v>5</v>
      </c>
      <c r="F1047" s="23" t="s">
        <v>1076</v>
      </c>
      <c r="G1047" s="23" t="s">
        <v>45</v>
      </c>
      <c r="H1047" s="23" t="s">
        <v>86</v>
      </c>
      <c r="I1047" s="23" t="s">
        <v>52</v>
      </c>
      <c r="J1047" s="23"/>
      <c r="K1047" s="23"/>
      <c r="L1047" s="29">
        <v>0</v>
      </c>
      <c r="M1047" s="29">
        <v>4</v>
      </c>
      <c r="N1047" s="29"/>
      <c r="O1047" s="29">
        <v>1621879</v>
      </c>
      <c r="P1047" s="29">
        <v>1290043</v>
      </c>
      <c r="Q1047" s="29">
        <v>0</v>
      </c>
      <c r="R1047" s="30">
        <v>341172</v>
      </c>
    </row>
    <row r="1048" spans="1:18">
      <c r="A1048" s="27"/>
      <c r="B1048" s="28">
        <v>1044</v>
      </c>
      <c r="C1048" s="1">
        <f>30000000+INDEX(编号表!$B:$B,MATCH(G1048,编号表!$A:$A,0))*100000+INDEX(编号表!$F:$F,MATCH(H1048,编号表!$E:$E,0))*1000+INDEX(编号表!$D:$D,MATCH(F1048,编号表!$C:$C,0))*10000+E1048</f>
        <v>31382006</v>
      </c>
      <c r="D1048" s="23" t="inlineStr">
        <is>
          <t xml:space="preserve">百万载丹露花·灵株</t>
        </is>
      </c>
      <c r="E1048" s="23">
        <v>6</v>
      </c>
      <c r="F1048" s="23" t="s">
        <v>1076</v>
      </c>
      <c r="G1048" s="23" t="s">
        <v>45</v>
      </c>
      <c r="H1048" s="23" t="s">
        <v>86</v>
      </c>
      <c r="I1048" s="23" t="s">
        <v>55</v>
      </c>
      <c r="J1048" s="23"/>
      <c r="K1048" s="23"/>
      <c r="L1048" s="29">
        <v>0</v>
      </c>
      <c r="M1048" s="29">
        <v>-1</v>
      </c>
      <c r="N1048" s="29"/>
      <c r="O1048" s="29">
        <v>1621879</v>
      </c>
      <c r="P1048" s="29">
        <v>440503</v>
      </c>
      <c r="Q1048" s="29">
        <v>0</v>
      </c>
      <c r="R1048" s="30">
        <v>551124</v>
      </c>
    </row>
    <row r="1049" spans="1:18">
      <c r="A1049" s="27"/>
      <c r="B1049" s="28">
        <v>1045</v>
      </c>
      <c r="C1049" s="1">
        <f>30000000+INDEX(编号表!$B:$B,MATCH(G1049,编号表!$A:$A,0))*100000+INDEX(编号表!$F:$F,MATCH(H1049,编号表!$E:$E,0))*1000+INDEX(编号表!$D:$D,MATCH(F1049,编号表!$C:$C,0))*10000+E1049</f>
        <v>31382007</v>
      </c>
      <c r="D1049" s="23" t="s">
        <v>1112</v>
      </c>
      <c r="E1049" s="23">
        <v>7</v>
      </c>
      <c r="F1049" s="23" t="s">
        <v>1076</v>
      </c>
      <c r="G1049" s="23" t="s">
        <v>45</v>
      </c>
      <c r="H1049" s="23" t="s">
        <v>86</v>
      </c>
      <c r="I1049" s="23" t="s">
        <v>55</v>
      </c>
      <c r="J1049" s="23"/>
      <c r="K1049" s="23"/>
      <c r="L1049" s="29">
        <v>0</v>
      </c>
      <c r="M1049" s="29">
        <v>2</v>
      </c>
      <c r="N1049" s="29"/>
      <c r="O1049" s="29">
        <v>1568079</v>
      </c>
      <c r="P1049" s="29">
        <v>1247251</v>
      </c>
      <c r="Q1049" s="29">
        <v>0</v>
      </c>
      <c r="R1049" s="30">
        <v>78732</v>
      </c>
    </row>
    <row r="1050" spans="1:18">
      <c r="A1050" s="27"/>
      <c r="B1050" s="28">
        <v>1046</v>
      </c>
      <c r="C1050" s="1">
        <f>30000000+INDEX(编号表!$B:$B,MATCH(G1050,编号表!$A:$A,0))*100000+INDEX(编号表!$F:$F,MATCH(H1050,编号表!$E:$E,0))*1000+INDEX(编号表!$D:$D,MATCH(F1050,编号表!$C:$C,0))*10000+E1050</f>
        <v>31382008</v>
      </c>
      <c r="D1050" s="23" t="s">
        <v>1113</v>
      </c>
      <c r="E1050" s="23">
        <v>8</v>
      </c>
      <c r="F1050" s="23" t="s">
        <v>1076</v>
      </c>
      <c r="G1050" s="23" t="s">
        <v>45</v>
      </c>
      <c r="H1050" s="23" t="s">
        <v>86</v>
      </c>
      <c r="I1050" s="23" t="s">
        <v>58</v>
      </c>
      <c r="J1050" s="23"/>
      <c r="K1050" s="23"/>
      <c r="L1050" s="29">
        <v>0</v>
      </c>
      <c r="M1050" s="29">
        <v>-2</v>
      </c>
      <c r="N1050" s="29"/>
      <c r="O1050" s="29">
        <v>1568079</v>
      </c>
      <c r="P1050" s="29">
        <v>836571</v>
      </c>
      <c r="Q1050" s="29">
        <v>0</v>
      </c>
      <c r="R1050" s="30">
        <v>183708</v>
      </c>
    </row>
    <row r="1051" spans="1:18">
      <c r="A1051" s="27"/>
      <c r="B1051" s="28">
        <v>1047</v>
      </c>
      <c r="C1051" s="1">
        <f>30000000+INDEX(编号表!$B:$B,MATCH(G1051,编号表!$A:$A,0))*100000+INDEX(编号表!$F:$F,MATCH(H1051,编号表!$E:$E,0))*1000+INDEX(编号表!$D:$D,MATCH(F1051,编号表!$C:$C,0))*10000+E1051</f>
        <v>31382009</v>
      </c>
      <c r="D1051" s="23" t="s">
        <v>1114</v>
      </c>
      <c r="E1051" s="23">
        <v>9</v>
      </c>
      <c r="F1051" s="23" t="s">
        <v>1076</v>
      </c>
      <c r="G1051" s="23" t="s">
        <v>45</v>
      </c>
      <c r="H1051" s="23" t="s">
        <v>86</v>
      </c>
      <c r="I1051" s="23" t="s">
        <v>58</v>
      </c>
      <c r="J1051" s="23"/>
      <c r="K1051" s="23"/>
      <c r="L1051" s="29">
        <v>0</v>
      </c>
      <c r="M1051" s="29">
        <v>1</v>
      </c>
      <c r="N1051" s="29"/>
      <c r="O1051" s="29">
        <v>1486722</v>
      </c>
      <c r="P1051" s="29">
        <v>519164</v>
      </c>
      <c r="Q1051" s="29">
        <v>0</v>
      </c>
      <c r="R1051" s="30">
        <v>255879</v>
      </c>
    </row>
    <row r="1052" spans="1:18">
      <c r="A1052" s="27"/>
      <c r="B1052" s="28">
        <v>1048</v>
      </c>
      <c r="C1052" s="1">
        <f>30000000+INDEX(编号表!$B:$B,MATCH(G1052,编号表!$A:$A,0))*100000+INDEX(编号表!$F:$F,MATCH(H1052,编号表!$E:$E,0))*1000+INDEX(编号表!$D:$D,MATCH(F1052,编号表!$C:$C,0))*10000+E1052</f>
        <v>31582000</v>
      </c>
      <c r="D1052" s="23" t="inlineStr">
        <is>
          <t xml:space="preserve">百万载霜辛草·灵株</t>
        </is>
      </c>
      <c r="E1052" s="23">
        <v>0</v>
      </c>
      <c r="F1052" s="23" t="s">
        <v>1076</v>
      </c>
      <c r="G1052" s="23" t="s">
        <v>61</v>
      </c>
      <c r="H1052" s="23" t="s">
        <v>86</v>
      </c>
      <c r="I1052" s="23"/>
      <c r="J1052" s="23" t="s">
        <v>62</v>
      </c>
      <c r="K1052" s="23"/>
      <c r="L1052" s="29">
        <v>0</v>
      </c>
      <c r="M1052" s="29">
        <v>-2</v>
      </c>
      <c r="N1052" s="29"/>
      <c r="O1052" s="29">
        <v>1568079</v>
      </c>
      <c r="P1052" s="29">
        <v>836571</v>
      </c>
      <c r="Q1052" s="29">
        <v>0</v>
      </c>
      <c r="R1052" s="30">
        <v>183708</v>
      </c>
    </row>
    <row r="1053" spans="1:18">
      <c r="A1053" s="27"/>
      <c r="B1053" s="28">
        <v>1049</v>
      </c>
      <c r="C1053" s="1">
        <f>30000000+INDEX(编号表!$B:$B,MATCH(G1053,编号表!$A:$A,0))*100000+INDEX(编号表!$F:$F,MATCH(H1053,编号表!$E:$E,0))*1000+INDEX(编号表!$D:$D,MATCH(F1053,编号表!$C:$C,0))*10000+E1053</f>
        <v>31582001</v>
      </c>
      <c r="D1053" s="23" t="s">
        <v>1116</v>
      </c>
      <c r="E1053" s="23">
        <v>1</v>
      </c>
      <c r="F1053" s="23" t="s">
        <v>1076</v>
      </c>
      <c r="G1053" s="23" t="s">
        <v>61</v>
      </c>
      <c r="H1053" s="23" t="s">
        <v>86</v>
      </c>
      <c r="I1053" s="23"/>
      <c r="J1053" s="23" t="s">
        <v>62</v>
      </c>
      <c r="K1053" s="23"/>
      <c r="L1053" s="29">
        <v>0</v>
      </c>
      <c r="M1053" s="29">
        <v>3</v>
      </c>
      <c r="N1053" s="29"/>
      <c r="O1053" s="29">
        <v>1675679</v>
      </c>
      <c r="P1053" s="29">
        <v>1105278</v>
      </c>
      <c r="Q1053" s="29">
        <v>0</v>
      </c>
      <c r="R1053" s="30">
        <v>236196</v>
      </c>
    </row>
    <row r="1054" spans="1:18">
      <c r="A1054" s="27"/>
      <c r="B1054" s="28">
        <v>1050</v>
      </c>
      <c r="C1054" s="1">
        <f>30000000+INDEX(编号表!$B:$B,MATCH(G1054,编号表!$A:$A,0))*100000+INDEX(编号表!$F:$F,MATCH(H1054,编号表!$E:$E,0))*1000+INDEX(编号表!$D:$D,MATCH(F1054,编号表!$C:$C,0))*10000+E1054</f>
        <v>31582002</v>
      </c>
      <c r="D1054" s="23" t="s">
        <v>1117</v>
      </c>
      <c r="E1054" s="23">
        <v>2</v>
      </c>
      <c r="F1054" s="23" t="s">
        <v>1076</v>
      </c>
      <c r="G1054" s="23" t="s">
        <v>61</v>
      </c>
      <c r="H1054" s="23" t="s">
        <v>86</v>
      </c>
      <c r="I1054" s="23"/>
      <c r="J1054" s="23" t="s">
        <v>65</v>
      </c>
      <c r="K1054" s="23"/>
      <c r="L1054" s="29">
        <v>0</v>
      </c>
      <c r="M1054" s="29">
        <v>-1</v>
      </c>
      <c r="N1054" s="29"/>
      <c r="O1054" s="29">
        <v>1486722</v>
      </c>
      <c r="P1054" s="29">
        <v>519164</v>
      </c>
      <c r="Q1054" s="29">
        <v>0</v>
      </c>
      <c r="R1054" s="30">
        <v>255879</v>
      </c>
    </row>
    <row r="1055" spans="1:18">
      <c r="A1055" s="27"/>
      <c r="B1055" s="28">
        <v>1051</v>
      </c>
      <c r="C1055" s="1">
        <f>30000000+INDEX(编号表!$B:$B,MATCH(G1055,编号表!$A:$A,0))*100000+INDEX(编号表!$F:$F,MATCH(H1055,编号表!$E:$E,0))*1000+INDEX(编号表!$D:$D,MATCH(F1055,编号表!$C:$C,0))*10000+E1055</f>
        <v>31582003</v>
      </c>
      <c r="D1055" s="23" t="s">
        <v>1118</v>
      </c>
      <c r="E1055" s="23">
        <v>3</v>
      </c>
      <c r="F1055" s="23" t="s">
        <v>1076</v>
      </c>
      <c r="G1055" s="23" t="s">
        <v>61</v>
      </c>
      <c r="H1055" s="23" t="s">
        <v>86</v>
      </c>
      <c r="I1055" s="23"/>
      <c r="J1055" s="23" t="s">
        <v>65</v>
      </c>
      <c r="K1055" s="23"/>
      <c r="L1055" s="29">
        <v>0</v>
      </c>
      <c r="M1055" s="29">
        <v>2</v>
      </c>
      <c r="N1055" s="29"/>
      <c r="O1055" s="29">
        <v>1568079</v>
      </c>
      <c r="P1055" s="29">
        <v>1247251</v>
      </c>
      <c r="Q1055" s="29">
        <v>0</v>
      </c>
      <c r="R1055" s="30">
        <v>78732</v>
      </c>
    </row>
    <row r="1056" spans="1:18">
      <c r="A1056" s="27"/>
      <c r="B1056" s="28">
        <v>1052</v>
      </c>
      <c r="C1056" s="1">
        <f>30000000+INDEX(编号表!$B:$B,MATCH(G1056,编号表!$A:$A,0))*100000+INDEX(编号表!$F:$F,MATCH(H1056,编号表!$E:$E,0))*1000+INDEX(编号表!$D:$D,MATCH(F1056,编号表!$C:$C,0))*10000+E1056</f>
        <v>31582004</v>
      </c>
      <c r="D1056" s="23" t="s">
        <v>1119</v>
      </c>
      <c r="E1056" s="23">
        <v>4</v>
      </c>
      <c r="F1056" s="23" t="s">
        <v>1076</v>
      </c>
      <c r="G1056" s="23" t="s">
        <v>61</v>
      </c>
      <c r="H1056" s="23" t="s">
        <v>86</v>
      </c>
      <c r="I1056" s="23"/>
      <c r="J1056" s="23" t="s">
        <v>68</v>
      </c>
      <c r="K1056" s="23"/>
      <c r="L1056" s="29">
        <v>0</v>
      </c>
      <c r="M1056" s="29">
        <v>-1</v>
      </c>
      <c r="N1056" s="29"/>
      <c r="O1056" s="29">
        <v>1568079</v>
      </c>
      <c r="P1056" s="29">
        <v>1034305</v>
      </c>
      <c r="Q1056" s="29">
        <v>0</v>
      </c>
      <c r="R1056" s="30">
        <v>190269</v>
      </c>
    </row>
    <row r="1057" spans="1:18">
      <c r="A1057" s="27"/>
      <c r="B1057" s="28">
        <v>1053</v>
      </c>
      <c r="C1057" s="1">
        <f>30000000+INDEX(编号表!$B:$B,MATCH(G1057,编号表!$A:$A,0))*100000+INDEX(编号表!$F:$F,MATCH(H1057,编号表!$E:$E,0))*1000+INDEX(编号表!$D:$D,MATCH(F1057,编号表!$C:$C,0))*10000+E1057</f>
        <v>31582005</v>
      </c>
      <c r="D1057" s="23" t="s">
        <v>1120</v>
      </c>
      <c r="E1057" s="23">
        <v>5</v>
      </c>
      <c r="F1057" s="23" t="s">
        <v>1076</v>
      </c>
      <c r="G1057" s="23" t="s">
        <v>61</v>
      </c>
      <c r="H1057" s="23" t="s">
        <v>86</v>
      </c>
      <c r="I1057" s="23"/>
      <c r="J1057" s="23" t="s">
        <v>68</v>
      </c>
      <c r="K1057" s="23"/>
      <c r="L1057" s="29">
        <v>0</v>
      </c>
      <c r="M1057" s="29">
        <v>4</v>
      </c>
      <c r="N1057" s="29"/>
      <c r="O1057" s="29">
        <v>1621879</v>
      </c>
      <c r="P1057" s="29">
        <v>1290043</v>
      </c>
      <c r="Q1057" s="29">
        <v>0</v>
      </c>
      <c r="R1057" s="30">
        <v>341172</v>
      </c>
    </row>
    <row r="1058" spans="1:18">
      <c r="A1058" s="27"/>
      <c r="B1058" s="28">
        <v>1054</v>
      </c>
      <c r="C1058" s="1">
        <f>30000000+INDEX(编号表!$B:$B,MATCH(G1058,编号表!$A:$A,0))*100000+INDEX(编号表!$F:$F,MATCH(H1058,编号表!$E:$E,0))*1000+INDEX(编号表!$D:$D,MATCH(F1058,编号表!$C:$C,0))*10000+E1058</f>
        <v>31582006</v>
      </c>
      <c r="D1058" s="23" t="s">
        <v>1121</v>
      </c>
      <c r="E1058" s="23">
        <v>6</v>
      </c>
      <c r="F1058" s="23" t="s">
        <v>1076</v>
      </c>
      <c r="G1058" s="23" t="s">
        <v>61</v>
      </c>
      <c r="H1058" s="23" t="s">
        <v>86</v>
      </c>
      <c r="I1058" s="23"/>
      <c r="J1058" s="23" t="s">
        <v>71</v>
      </c>
      <c r="K1058" s="23"/>
      <c r="L1058" s="29">
        <v>0</v>
      </c>
      <c r="M1058" s="29">
        <v>-1</v>
      </c>
      <c r="N1058" s="29"/>
      <c r="O1058" s="29">
        <v>1621879</v>
      </c>
      <c r="P1058" s="29">
        <v>440503</v>
      </c>
      <c r="Q1058" s="29">
        <v>0</v>
      </c>
      <c r="R1058" s="30">
        <v>551124</v>
      </c>
    </row>
    <row r="1059" spans="1:18">
      <c r="A1059" s="27"/>
      <c r="B1059" s="28">
        <v>1055</v>
      </c>
      <c r="C1059" s="1">
        <f>30000000+INDEX(编号表!$B:$B,MATCH(G1059,编号表!$A:$A,0))*100000+INDEX(编号表!$F:$F,MATCH(H1059,编号表!$E:$E,0))*1000+INDEX(编号表!$D:$D,MATCH(F1059,编号表!$C:$C,0))*10000+E1059</f>
        <v>31582007</v>
      </c>
      <c r="D1059" s="23" t="s">
        <v>1122</v>
      </c>
      <c r="E1059" s="23">
        <v>7</v>
      </c>
      <c r="F1059" s="23" t="s">
        <v>1076</v>
      </c>
      <c r="G1059" s="23" t="s">
        <v>61</v>
      </c>
      <c r="H1059" s="23" t="s">
        <v>86</v>
      </c>
      <c r="I1059" s="23"/>
      <c r="J1059" s="23" t="s">
        <v>71</v>
      </c>
      <c r="K1059" s="23"/>
      <c r="L1059" s="29">
        <v>0</v>
      </c>
      <c r="M1059" s="29">
        <v>2</v>
      </c>
      <c r="N1059" s="29"/>
      <c r="O1059" s="29">
        <v>1568079</v>
      </c>
      <c r="P1059" s="29">
        <v>1247251</v>
      </c>
      <c r="Q1059" s="29">
        <v>0</v>
      </c>
      <c r="R1059" s="30">
        <v>78732</v>
      </c>
    </row>
    <row r="1060" spans="1:18">
      <c r="A1060" s="27"/>
      <c r="B1060" s="28">
        <v>1056</v>
      </c>
      <c r="C1060" s="1">
        <f>30000000+INDEX(编号表!$B:$B,MATCH(G1060,编号表!$A:$A,0))*100000+INDEX(编号表!$F:$F,MATCH(H1060,编号表!$E:$E,0))*1000+INDEX(编号表!$D:$D,MATCH(F1060,编号表!$C:$C,0))*10000+E1060</f>
        <v>31582008</v>
      </c>
      <c r="D1060" s="23" t="s">
        <v>1123</v>
      </c>
      <c r="E1060" s="23">
        <v>8</v>
      </c>
      <c r="F1060" s="23" t="s">
        <v>1076</v>
      </c>
      <c r="G1060" s="23" t="s">
        <v>61</v>
      </c>
      <c r="H1060" s="23" t="s">
        <v>86</v>
      </c>
      <c r="I1060" s="23"/>
      <c r="J1060" s="23" t="s">
        <v>74</v>
      </c>
      <c r="K1060" s="23"/>
      <c r="L1060" s="29">
        <v>0</v>
      </c>
      <c r="M1060" s="29">
        <v>-2</v>
      </c>
      <c r="N1060" s="29"/>
      <c r="O1060" s="29">
        <v>1568079</v>
      </c>
      <c r="P1060" s="29">
        <v>836571</v>
      </c>
      <c r="Q1060" s="29">
        <v>0</v>
      </c>
      <c r="R1060" s="30">
        <v>183708</v>
      </c>
    </row>
    <row r="1061" spans="1:18">
      <c r="A1061" s="27"/>
      <c r="B1061" s="28">
        <v>1057</v>
      </c>
      <c r="C1061" s="1">
        <f>30000000+INDEX(编号表!$B:$B,MATCH(G1061,编号表!$A:$A,0))*100000+INDEX(编号表!$F:$F,MATCH(H1061,编号表!$E:$E,0))*1000+INDEX(编号表!$D:$D,MATCH(F1061,编号表!$C:$C,0))*10000+E1061</f>
        <v>31582009</v>
      </c>
      <c r="D1061" s="23" t="s">
        <v>1124</v>
      </c>
      <c r="E1061" s="23">
        <v>9</v>
      </c>
      <c r="F1061" s="23" t="s">
        <v>1076</v>
      </c>
      <c r="G1061" s="23" t="s">
        <v>61</v>
      </c>
      <c r="H1061" s="23" t="s">
        <v>86</v>
      </c>
      <c r="I1061" s="23"/>
      <c r="J1061" s="23" t="s">
        <v>74</v>
      </c>
      <c r="K1061" s="23"/>
      <c r="L1061" s="29">
        <v>0</v>
      </c>
      <c r="M1061" s="29">
        <v>1</v>
      </c>
      <c r="N1061" s="29"/>
      <c r="O1061" s="29">
        <v>1486722</v>
      </c>
      <c r="P1061" s="29">
        <v>519164</v>
      </c>
      <c r="Q1061" s="29">
        <v>0</v>
      </c>
      <c r="R1061" s="30">
        <v>255879</v>
      </c>
    </row>
    <row r="1062" spans="1:18">
      <c r="A1062" s="27"/>
      <c r="B1062" s="28">
        <v>1058</v>
      </c>
      <c r="C1062" s="1">
        <f>30000000+INDEX(编号表!$B:$B,MATCH(G1062,编号表!$A:$A,0))*100000+INDEX(编号表!$F:$F,MATCH(H1062,编号表!$E:$E,0))*1000+INDEX(编号表!$D:$D,MATCH(F1062,编号表!$C:$C,0))*10000+E1062</f>
        <v>31482000</v>
      </c>
      <c r="D1062" s="23" t="s">
        <v>1125</v>
      </c>
      <c r="E1062" s="23">
        <v>0</v>
      </c>
      <c r="F1062" s="23" t="s">
        <v>1076</v>
      </c>
      <c r="G1062" s="23" t="s">
        <v>77</v>
      </c>
      <c r="H1062" s="23" t="s">
        <v>86</v>
      </c>
      <c r="I1062" s="23"/>
      <c r="J1062" s="23"/>
      <c r="K1062" s="23"/>
      <c r="L1062" s="29">
        <v>0</v>
      </c>
      <c r="M1062" s="29">
        <v>0</v>
      </c>
      <c r="N1062" s="29"/>
      <c r="O1062" s="29">
        <v>1486722</v>
      </c>
      <c r="P1062" s="29">
        <v>403794</v>
      </c>
      <c r="Q1062" s="29">
        <v>0</v>
      </c>
      <c r="R1062" s="30">
        <v>301806</v>
      </c>
    </row>
    <row r="1063" spans="1:18">
      <c r="A1063" s="27"/>
      <c r="B1063" s="28">
        <v>1059</v>
      </c>
      <c r="C1063" s="1">
        <f>30000000+INDEX(编号表!$B:$B,MATCH(G1063,编号表!$A:$A,0))*100000+INDEX(编号表!$F:$F,MATCH(H1063,编号表!$E:$E,0))*1000+INDEX(编号表!$D:$D,MATCH(F1063,编号表!$C:$C,0))*10000+E1063</f>
        <v>31482001</v>
      </c>
      <c r="D1063" s="23" t="s">
        <v>1126</v>
      </c>
      <c r="E1063" s="23">
        <v>1</v>
      </c>
      <c r="F1063" s="23" t="s">
        <v>1076</v>
      </c>
      <c r="G1063" s="23" t="s">
        <v>77</v>
      </c>
      <c r="H1063" s="23" t="s">
        <v>86</v>
      </c>
      <c r="I1063" s="23"/>
      <c r="J1063" s="23"/>
      <c r="K1063" s="23"/>
      <c r="L1063" s="29">
        <v>0</v>
      </c>
      <c r="M1063" s="29">
        <v>0</v>
      </c>
      <c r="N1063" s="29"/>
      <c r="O1063" s="29">
        <v>1675679</v>
      </c>
      <c r="P1063" s="29">
        <v>1332836</v>
      </c>
      <c r="Q1063" s="29">
        <v>0</v>
      </c>
      <c r="R1063" s="30">
        <v>104976</v>
      </c>
    </row>
    <row r="1064" spans="1:18">
      <c r="A1064" s="27"/>
      <c r="B1064" s="28">
        <v>1060</v>
      </c>
      <c r="C1064" s="1">
        <f>30000000+INDEX(编号表!$B:$B,MATCH(G1064,编号表!$A:$A,0))*100000+INDEX(编号表!$F:$F,MATCH(H1064,编号表!$E:$E,0))*1000+INDEX(编号表!$D:$D,MATCH(F1064,编号表!$C:$C,0))*10000+E1064</f>
        <v>31482002</v>
      </c>
      <c r="D1064" s="23" t="s">
        <v>1127</v>
      </c>
      <c r="E1064" s="23">
        <v>2</v>
      </c>
      <c r="F1064" s="23" t="s">
        <v>1076</v>
      </c>
      <c r="G1064" s="23" t="s">
        <v>77</v>
      </c>
      <c r="H1064" s="23" t="s">
        <v>86</v>
      </c>
      <c r="I1064" s="23"/>
      <c r="J1064" s="23"/>
      <c r="K1064" s="23"/>
      <c r="L1064" s="29">
        <v>0</v>
      </c>
      <c r="M1064" s="29">
        <v>1</v>
      </c>
      <c r="N1064" s="29"/>
      <c r="O1064" s="29">
        <v>1621879</v>
      </c>
      <c r="P1064" s="29">
        <v>440503</v>
      </c>
      <c r="Q1064" s="29">
        <v>0</v>
      </c>
      <c r="R1064" s="30">
        <v>551124</v>
      </c>
    </row>
    <row r="1065" spans="1:18">
      <c r="A1065" s="27"/>
      <c r="B1065" s="28">
        <v>1061</v>
      </c>
      <c r="C1065" s="1">
        <f>30000000+INDEX(编号表!$B:$B,MATCH(G1065,编号表!$A:$A,0))*100000+INDEX(编号表!$F:$F,MATCH(H1065,编号表!$E:$E,0))*1000+INDEX(编号表!$D:$D,MATCH(F1065,编号表!$C:$C,0))*10000+E1065</f>
        <v>31482003</v>
      </c>
      <c r="D1065" s="23" t="s">
        <v>1128</v>
      </c>
      <c r="E1065" s="23">
        <v>3</v>
      </c>
      <c r="F1065" s="23" t="s">
        <v>1076</v>
      </c>
      <c r="G1065" s="23" t="s">
        <v>77</v>
      </c>
      <c r="H1065" s="23" t="s">
        <v>86</v>
      </c>
      <c r="I1065" s="23"/>
      <c r="J1065" s="23"/>
      <c r="K1065" s="23"/>
      <c r="L1065" s="29">
        <v>0</v>
      </c>
      <c r="M1065" s="29">
        <v>4</v>
      </c>
      <c r="N1065" s="29"/>
      <c r="O1065" s="29">
        <v>1621879</v>
      </c>
      <c r="P1065" s="29">
        <v>1290043</v>
      </c>
      <c r="Q1065" s="29">
        <v>0</v>
      </c>
      <c r="R1065" s="30">
        <v>341172</v>
      </c>
    </row>
    <row r="1066" spans="1:18">
      <c r="A1066" s="27"/>
      <c r="B1066" s="28">
        <v>1062</v>
      </c>
      <c r="C1066" s="1">
        <f>30000000+INDEX(编号表!$B:$B,MATCH(G1066,编号表!$A:$A,0))*100000+INDEX(编号表!$F:$F,MATCH(H1066,编号表!$E:$E,0))*1000+INDEX(编号表!$D:$D,MATCH(F1066,编号表!$C:$C,0))*10000+E1066</f>
        <v>31682000</v>
      </c>
      <c r="D1066" s="23" t="s">
        <v>1129</v>
      </c>
      <c r="E1066" s="23">
        <v>0</v>
      </c>
      <c r="F1066" s="23" t="s">
        <v>1076</v>
      </c>
      <c r="G1066" s="23" t="s">
        <v>82</v>
      </c>
      <c r="H1066" s="23" t="s">
        <v>86</v>
      </c>
      <c r="I1066" s="23"/>
      <c r="J1066" s="23"/>
      <c r="K1066" s="23"/>
      <c r="L1066" s="29">
        <v>7</v>
      </c>
      <c r="M1066" s="29">
        <v>0</v>
      </c>
      <c r="N1066" s="29"/>
      <c r="O1066" s="29">
        <v>0</v>
      </c>
      <c r="P1066" s="29">
        <v>0</v>
      </c>
      <c r="Q1066" s="29">
        <v>0</v>
      </c>
      <c r="R1066" s="30">
        <v>157464</v>
      </c>
    </row>
    <row r="1067" spans="1:18">
      <c r="A1067" s="27"/>
      <c r="B1067" s="28">
        <v>1063</v>
      </c>
      <c r="C1067" s="1">
        <f>30000000+INDEX(编号表!$B:$B,MATCH(G1067,编号表!$A:$A,0))*100000+INDEX(编号表!$F:$F,MATCH(H1067,编号表!$E:$E,0))*1000+INDEX(编号表!$D:$D,MATCH(F1067,编号表!$C:$C,0))*10000+E1067</f>
        <v>31682001</v>
      </c>
      <c r="D1067" s="23" t="s">
        <v>1130</v>
      </c>
      <c r="E1067" s="23">
        <v>1</v>
      </c>
      <c r="F1067" s="23" t="s">
        <v>1076</v>
      </c>
      <c r="G1067" s="23" t="s">
        <v>82</v>
      </c>
      <c r="H1067" s="23" t="s">
        <v>86</v>
      </c>
      <c r="I1067" s="23"/>
      <c r="J1067" s="23"/>
      <c r="K1067" s="23"/>
      <c r="L1067" s="29">
        <v>8</v>
      </c>
      <c r="M1067" s="29">
        <v>0</v>
      </c>
      <c r="N1067" s="29"/>
      <c r="O1067" s="29">
        <v>0</v>
      </c>
      <c r="P1067" s="29">
        <v>0</v>
      </c>
      <c r="Q1067" s="29">
        <v>0</v>
      </c>
      <c r="R1067" s="30">
        <v>288684</v>
      </c>
    </row>
    <row r="1068" spans="1:18">
      <c r="A1068" s="27"/>
      <c r="B1068" s="28">
        <v>1064</v>
      </c>
      <c r="C1068" s="1">
        <f>30000000+INDEX(编号表!$B:$B,MATCH(G1068,编号表!$A:$A,0))*100000+INDEX(编号表!$F:$F,MATCH(H1068,编号表!$E:$E,0))*1000+INDEX(编号表!$D:$D,MATCH(F1068,编号表!$C:$C,0))*10000+E1068</f>
        <v>31682002</v>
      </c>
      <c r="D1068" s="23" t="s">
        <v>1131</v>
      </c>
      <c r="E1068" s="23">
        <v>2</v>
      </c>
      <c r="F1068" s="23" t="s">
        <v>1076</v>
      </c>
      <c r="G1068" s="23" t="s">
        <v>82</v>
      </c>
      <c r="H1068" s="23" t="s">
        <v>86</v>
      </c>
      <c r="I1068" s="23"/>
      <c r="J1068" s="23"/>
      <c r="K1068" s="23"/>
      <c r="L1068" s="29">
        <v>9</v>
      </c>
      <c r="M1068" s="29">
        <v>0</v>
      </c>
      <c r="N1068" s="29"/>
      <c r="O1068" s="29">
        <v>0</v>
      </c>
      <c r="P1068" s="29">
        <v>0</v>
      </c>
      <c r="Q1068" s="29">
        <v>0</v>
      </c>
      <c r="R1068" s="30">
        <v>446148</v>
      </c>
    </row>
    <row r="1069" spans="1:18">
      <c r="A1069" s="27"/>
      <c r="B1069" s="28">
        <v>1065</v>
      </c>
      <c r="C1069" s="1">
        <f>30000000+INDEX(编号表!$B:$B,MATCH(G1069,编号表!$A:$A,0))*100000+INDEX(编号表!$F:$F,MATCH(H1069,编号表!$E:$E,0))*1000+INDEX(编号表!$D:$D,MATCH(F1069,编号表!$C:$C,0))*10000+E1069</f>
        <v>31283000</v>
      </c>
      <c r="D1069" s="23" t="s">
        <v>1132</v>
      </c>
      <c r="E1069" s="23">
        <v>0</v>
      </c>
      <c r="F1069" s="23" t="s">
        <v>1076</v>
      </c>
      <c r="G1069" s="23" t="s">
        <v>42</v>
      </c>
      <c r="H1069" s="23" t="s">
        <v>115</v>
      </c>
      <c r="I1069" s="23"/>
      <c r="J1069" s="23"/>
      <c r="K1069" s="23"/>
      <c r="L1069" s="29">
        <v>0</v>
      </c>
      <c r="M1069" s="29">
        <v>0</v>
      </c>
      <c r="N1069" s="29"/>
      <c r="O1069" s="29">
        <v>4723920</v>
      </c>
      <c r="P1069" s="29">
        <v>2442267</v>
      </c>
      <c r="Q1069" s="29">
        <v>23619600</v>
      </c>
      <c r="R1069" s="30">
        <v>425152</v>
      </c>
    </row>
    <row r="1070" spans="1:18">
      <c r="A1070" s="27"/>
      <c r="B1070" s="28">
        <v>1066</v>
      </c>
      <c r="C1070" s="1">
        <f>30000000+INDEX(编号表!$B:$B,MATCH(G1070,编号表!$A:$A,0))*100000+INDEX(编号表!$F:$F,MATCH(H1070,编号表!$E:$E,0))*1000+INDEX(编号表!$D:$D,MATCH(F1070,编号表!$C:$C,0))*10000+E1070</f>
        <v>31383000</v>
      </c>
      <c r="D1070" s="23" t="s">
        <v>1133</v>
      </c>
      <c r="E1070" s="23">
        <v>0</v>
      </c>
      <c r="F1070" s="23" t="s">
        <v>1076</v>
      </c>
      <c r="G1070" s="23" t="s">
        <v>45</v>
      </c>
      <c r="H1070" s="23" t="s">
        <v>115</v>
      </c>
      <c r="I1070" s="23" t="s">
        <v>46</v>
      </c>
      <c r="J1070" s="23"/>
      <c r="K1070" s="23"/>
      <c r="L1070" s="29">
        <v>0</v>
      </c>
      <c r="M1070" s="29">
        <v>-2</v>
      </c>
      <c r="N1070" s="29"/>
      <c r="O1070" s="29">
        <v>2822542</v>
      </c>
      <c r="P1070" s="29">
        <v>1459255</v>
      </c>
      <c r="Q1070" s="29">
        <v>0</v>
      </c>
      <c r="R1070" s="30">
        <v>330674</v>
      </c>
    </row>
    <row r="1071" spans="1:18">
      <c r="A1071" s="27"/>
      <c r="B1071" s="28">
        <v>1067</v>
      </c>
      <c r="C1071" s="1">
        <f>30000000+INDEX(编号表!$B:$B,MATCH(G1071,编号表!$A:$A,0))*100000+INDEX(编号表!$F:$F,MATCH(H1071,编号表!$E:$E,0))*1000+INDEX(编号表!$D:$D,MATCH(F1071,编号表!$C:$C,0))*10000+E1071</f>
        <v>31383001</v>
      </c>
      <c r="D1071" s="23" t="s">
        <v>1134</v>
      </c>
      <c r="E1071" s="23">
        <v>1</v>
      </c>
      <c r="F1071" s="23" t="s">
        <v>1076</v>
      </c>
      <c r="G1071" s="23" t="s">
        <v>45</v>
      </c>
      <c r="H1071" s="23" t="s">
        <v>115</v>
      </c>
      <c r="I1071" s="23" t="s">
        <v>46</v>
      </c>
      <c r="J1071" s="23"/>
      <c r="K1071" s="23"/>
      <c r="L1071" s="29">
        <v>0</v>
      </c>
      <c r="M1071" s="29">
        <v>3</v>
      </c>
      <c r="N1071" s="29"/>
      <c r="O1071" s="29">
        <v>3016222</v>
      </c>
      <c r="P1071" s="29">
        <v>1927970</v>
      </c>
      <c r="Q1071" s="29">
        <v>0</v>
      </c>
      <c r="R1071" s="30">
        <v>425152</v>
      </c>
    </row>
    <row r="1072" spans="1:18">
      <c r="A1072" s="27"/>
      <c r="B1072" s="28">
        <v>1068</v>
      </c>
      <c r="C1072" s="1">
        <f>30000000+INDEX(编号表!$B:$B,MATCH(G1072,编号表!$A:$A,0))*100000+INDEX(编号表!$F:$F,MATCH(H1072,编号表!$E:$E,0))*1000+INDEX(编号表!$D:$D,MATCH(F1072,编号表!$C:$C,0))*10000+E1072</f>
        <v>31383002</v>
      </c>
      <c r="D1072" s="23" t="s">
        <v>1135</v>
      </c>
      <c r="E1072" s="23">
        <v>2</v>
      </c>
      <c r="F1072" s="23" t="s">
        <v>1076</v>
      </c>
      <c r="G1072" s="23" t="s">
        <v>45</v>
      </c>
      <c r="H1072" s="23" t="s">
        <v>115</v>
      </c>
      <c r="I1072" s="23" t="s">
        <v>49</v>
      </c>
      <c r="J1072" s="23"/>
      <c r="K1072" s="23"/>
      <c r="L1072" s="29">
        <v>0</v>
      </c>
      <c r="M1072" s="29">
        <v>-1</v>
      </c>
      <c r="N1072" s="29"/>
      <c r="O1072" s="29">
        <v>2676100</v>
      </c>
      <c r="P1072" s="29">
        <v>905593</v>
      </c>
      <c r="Q1072" s="29">
        <v>0</v>
      </c>
      <c r="R1072" s="30">
        <v>460582</v>
      </c>
    </row>
    <row r="1073" spans="1:18">
      <c r="A1073" s="27"/>
      <c r="B1073" s="28">
        <v>1069</v>
      </c>
      <c r="C1073" s="1">
        <f>30000000+INDEX(编号表!$B:$B,MATCH(G1073,编号表!$A:$A,0))*100000+INDEX(编号表!$F:$F,MATCH(H1073,编号表!$E:$E,0))*1000+INDEX(编号表!$D:$D,MATCH(F1073,编号表!$C:$C,0))*10000+E1073</f>
        <v>31383003</v>
      </c>
      <c r="D1073" s="23" t="s">
        <v>1136</v>
      </c>
      <c r="E1073" s="23">
        <v>3</v>
      </c>
      <c r="F1073" s="23" t="s">
        <v>1076</v>
      </c>
      <c r="G1073" s="23" t="s">
        <v>45</v>
      </c>
      <c r="H1073" s="23" t="s">
        <v>115</v>
      </c>
      <c r="I1073" s="23" t="s">
        <v>49</v>
      </c>
      <c r="J1073" s="23"/>
      <c r="K1073" s="23"/>
      <c r="L1073" s="29">
        <v>0</v>
      </c>
      <c r="M1073" s="29">
        <v>2</v>
      </c>
      <c r="N1073" s="29"/>
      <c r="O1073" s="29">
        <v>2822542</v>
      </c>
      <c r="P1073" s="29">
        <v>2175616</v>
      </c>
      <c r="Q1073" s="29">
        <v>0</v>
      </c>
      <c r="R1073" s="30">
        <v>141717</v>
      </c>
    </row>
    <row r="1074" spans="1:18">
      <c r="A1074" s="27"/>
      <c r="B1074" s="28">
        <v>1070</v>
      </c>
      <c r="C1074" s="1">
        <f>30000000+INDEX(编号表!$B:$B,MATCH(G1074,编号表!$A:$A,0))*100000+INDEX(编号表!$F:$F,MATCH(H1074,编号表!$E:$E,0))*1000+INDEX(编号表!$D:$D,MATCH(F1074,编号表!$C:$C,0))*10000+E1074</f>
        <v>31383004</v>
      </c>
      <c r="D1074" s="23" t="s">
        <v>1137</v>
      </c>
      <c r="E1074" s="23">
        <v>4</v>
      </c>
      <c r="F1074" s="23" t="s">
        <v>1076</v>
      </c>
      <c r="G1074" s="23" t="s">
        <v>45</v>
      </c>
      <c r="H1074" s="23" t="s">
        <v>115</v>
      </c>
      <c r="I1074" s="23" t="s">
        <v>52</v>
      </c>
      <c r="J1074" s="23"/>
      <c r="K1074" s="23"/>
      <c r="L1074" s="29">
        <v>0</v>
      </c>
      <c r="M1074" s="29">
        <v>-1</v>
      </c>
      <c r="N1074" s="29"/>
      <c r="O1074" s="29">
        <v>2822542</v>
      </c>
      <c r="P1074" s="29">
        <v>1804169</v>
      </c>
      <c r="Q1074" s="29">
        <v>0</v>
      </c>
      <c r="R1074" s="30">
        <v>342484</v>
      </c>
    </row>
    <row r="1075" spans="1:18">
      <c r="A1075" s="27"/>
      <c r="B1075" s="28">
        <v>1071</v>
      </c>
      <c r="C1075" s="1">
        <f>30000000+INDEX(编号表!$B:$B,MATCH(G1075,编号表!$A:$A,0))*100000+INDEX(编号表!$F:$F,MATCH(H1075,编号表!$E:$E,0))*1000+INDEX(编号表!$D:$D,MATCH(F1075,编号表!$C:$C,0))*10000+E1075</f>
        <v>31383005</v>
      </c>
      <c r="D1075" s="23" t="inlineStr">
        <is>
          <t xml:space="preserve">百万载沸泉苔·玄株</t>
        </is>
      </c>
      <c r="E1075" s="23">
        <v>5</v>
      </c>
      <c r="F1075" s="23" t="s">
        <v>1076</v>
      </c>
      <c r="G1075" s="23" t="s">
        <v>45</v>
      </c>
      <c r="H1075" s="23" t="s">
        <v>115</v>
      </c>
      <c r="I1075" s="23" t="s">
        <v>52</v>
      </c>
      <c r="J1075" s="23"/>
      <c r="K1075" s="23"/>
      <c r="L1075" s="29">
        <v>0</v>
      </c>
      <c r="M1075" s="29">
        <v>4</v>
      </c>
      <c r="N1075" s="29"/>
      <c r="O1075" s="29">
        <v>2919382</v>
      </c>
      <c r="P1075" s="29">
        <v>2250260</v>
      </c>
      <c r="Q1075" s="29">
        <v>0</v>
      </c>
      <c r="R1075" s="30">
        <v>614109</v>
      </c>
    </row>
    <row r="1076" spans="1:18">
      <c r="A1076" s="27"/>
      <c r="B1076" s="28">
        <v>1072</v>
      </c>
      <c r="C1076" s="1">
        <f>30000000+INDEX(编号表!$B:$B,MATCH(G1076,编号表!$A:$A,0))*100000+INDEX(编号表!$F:$F,MATCH(H1076,编号表!$E:$E,0))*1000+INDEX(编号表!$D:$D,MATCH(F1076,编号表!$C:$C,0))*10000+E1076</f>
        <v>31383006</v>
      </c>
      <c r="D1076" s="23" t="inlineStr">
        <is>
          <t xml:space="preserve">百万载丹露花·玄株</t>
        </is>
      </c>
      <c r="E1076" s="23">
        <v>6</v>
      </c>
      <c r="F1076" s="23" t="s">
        <v>1076</v>
      </c>
      <c r="G1076" s="23" t="s">
        <v>45</v>
      </c>
      <c r="H1076" s="23" t="s">
        <v>115</v>
      </c>
      <c r="I1076" s="23" t="s">
        <v>55</v>
      </c>
      <c r="J1076" s="23"/>
      <c r="K1076" s="23"/>
      <c r="L1076" s="29">
        <v>0</v>
      </c>
      <c r="M1076" s="29">
        <v>-1</v>
      </c>
      <c r="N1076" s="29"/>
      <c r="O1076" s="29">
        <v>2919382</v>
      </c>
      <c r="P1076" s="29">
        <v>768382</v>
      </c>
      <c r="Q1076" s="29">
        <v>0</v>
      </c>
      <c r="R1076" s="30">
        <v>992023</v>
      </c>
    </row>
    <row r="1077" spans="1:18">
      <c r="A1077" s="27"/>
      <c r="B1077" s="28">
        <v>1073</v>
      </c>
      <c r="C1077" s="1">
        <f>30000000+INDEX(编号表!$B:$B,MATCH(G1077,编号表!$A:$A,0))*100000+INDEX(编号表!$F:$F,MATCH(H1077,编号表!$E:$E,0))*1000+INDEX(编号表!$D:$D,MATCH(F1077,编号表!$C:$C,0))*10000+E1077</f>
        <v>31383007</v>
      </c>
      <c r="D1077" s="23" t="s">
        <v>1140</v>
      </c>
      <c r="E1077" s="23">
        <v>7</v>
      </c>
      <c r="F1077" s="23" t="s">
        <v>1076</v>
      </c>
      <c r="G1077" s="23" t="s">
        <v>45</v>
      </c>
      <c r="H1077" s="23" t="s">
        <v>115</v>
      </c>
      <c r="I1077" s="23" t="s">
        <v>55</v>
      </c>
      <c r="J1077" s="23"/>
      <c r="K1077" s="23"/>
      <c r="L1077" s="29">
        <v>0</v>
      </c>
      <c r="M1077" s="29">
        <v>2</v>
      </c>
      <c r="N1077" s="29"/>
      <c r="O1077" s="29">
        <v>2822542</v>
      </c>
      <c r="P1077" s="29">
        <v>2175616</v>
      </c>
      <c r="Q1077" s="29">
        <v>0</v>
      </c>
      <c r="R1077" s="30">
        <v>141717</v>
      </c>
    </row>
    <row r="1078" spans="1:18">
      <c r="A1078" s="27"/>
      <c r="B1078" s="28">
        <v>1074</v>
      </c>
      <c r="C1078" s="1">
        <f>30000000+INDEX(编号表!$B:$B,MATCH(G1078,编号表!$A:$A,0))*100000+INDEX(编号表!$F:$F,MATCH(H1078,编号表!$E:$E,0))*1000+INDEX(编号表!$D:$D,MATCH(F1078,编号表!$C:$C,0))*10000+E1078</f>
        <v>31383008</v>
      </c>
      <c r="D1078" s="23" t="s">
        <v>1141</v>
      </c>
      <c r="E1078" s="23">
        <v>8</v>
      </c>
      <c r="F1078" s="23" t="s">
        <v>1076</v>
      </c>
      <c r="G1078" s="23" t="s">
        <v>45</v>
      </c>
      <c r="H1078" s="23" t="s">
        <v>115</v>
      </c>
      <c r="I1078" s="23" t="s">
        <v>58</v>
      </c>
      <c r="J1078" s="23"/>
      <c r="K1078" s="23"/>
      <c r="L1078" s="29">
        <v>0</v>
      </c>
      <c r="M1078" s="29">
        <v>-2</v>
      </c>
      <c r="N1078" s="29"/>
      <c r="O1078" s="29">
        <v>2822542</v>
      </c>
      <c r="P1078" s="29">
        <v>1459255</v>
      </c>
      <c r="Q1078" s="29">
        <v>0</v>
      </c>
      <c r="R1078" s="30">
        <v>330674</v>
      </c>
    </row>
    <row r="1079" spans="1:18">
      <c r="A1079" s="27"/>
      <c r="B1079" s="28">
        <v>1075</v>
      </c>
      <c r="C1079" s="1">
        <f>30000000+INDEX(编号表!$B:$B,MATCH(G1079,编号表!$A:$A,0))*100000+INDEX(编号表!$F:$F,MATCH(H1079,编号表!$E:$E,0))*1000+INDEX(编号表!$D:$D,MATCH(F1079,编号表!$C:$C,0))*10000+E1079</f>
        <v>31383009</v>
      </c>
      <c r="D1079" s="23" t="s">
        <v>1142</v>
      </c>
      <c r="E1079" s="23">
        <v>9</v>
      </c>
      <c r="F1079" s="23" t="s">
        <v>1076</v>
      </c>
      <c r="G1079" s="23" t="s">
        <v>45</v>
      </c>
      <c r="H1079" s="23" t="s">
        <v>115</v>
      </c>
      <c r="I1079" s="23" t="s">
        <v>58</v>
      </c>
      <c r="J1079" s="23"/>
      <c r="K1079" s="23"/>
      <c r="L1079" s="29">
        <v>0</v>
      </c>
      <c r="M1079" s="29">
        <v>1</v>
      </c>
      <c r="N1079" s="29"/>
      <c r="O1079" s="29">
        <v>2676100</v>
      </c>
      <c r="P1079" s="29">
        <v>905593</v>
      </c>
      <c r="Q1079" s="29">
        <v>0</v>
      </c>
      <c r="R1079" s="30">
        <v>460582</v>
      </c>
    </row>
    <row r="1080" spans="1:18">
      <c r="A1080" s="27"/>
      <c r="B1080" s="28">
        <v>1076</v>
      </c>
      <c r="C1080" s="1">
        <f>30000000+INDEX(编号表!$B:$B,MATCH(G1080,编号表!$A:$A,0))*100000+INDEX(编号表!$F:$F,MATCH(H1080,编号表!$E:$E,0))*1000+INDEX(编号表!$D:$D,MATCH(F1080,编号表!$C:$C,0))*10000+E1080</f>
        <v>31583000</v>
      </c>
      <c r="D1080" s="23" t="inlineStr">
        <is>
          <t xml:space="preserve">百万载霜辛草·玄株</t>
        </is>
      </c>
      <c r="E1080" s="23">
        <v>0</v>
      </c>
      <c r="F1080" s="23" t="s">
        <v>1076</v>
      </c>
      <c r="G1080" s="23" t="s">
        <v>61</v>
      </c>
      <c r="H1080" s="23" t="s">
        <v>115</v>
      </c>
      <c r="I1080" s="23"/>
      <c r="J1080" s="23" t="s">
        <v>62</v>
      </c>
      <c r="K1080" s="23"/>
      <c r="L1080" s="29">
        <v>0</v>
      </c>
      <c r="M1080" s="29">
        <v>-2</v>
      </c>
      <c r="N1080" s="29"/>
      <c r="O1080" s="29">
        <v>2822542</v>
      </c>
      <c r="P1080" s="29">
        <v>1459255</v>
      </c>
      <c r="Q1080" s="29">
        <v>0</v>
      </c>
      <c r="R1080" s="30">
        <v>330674</v>
      </c>
    </row>
    <row r="1081" spans="1:18">
      <c r="A1081" s="27"/>
      <c r="B1081" s="28">
        <v>1077</v>
      </c>
      <c r="C1081" s="1">
        <f>30000000+INDEX(编号表!$B:$B,MATCH(G1081,编号表!$A:$A,0))*100000+INDEX(编号表!$F:$F,MATCH(H1081,编号表!$E:$E,0))*1000+INDEX(编号表!$D:$D,MATCH(F1081,编号表!$C:$C,0))*10000+E1081</f>
        <v>31583001</v>
      </c>
      <c r="D1081" s="23" t="s">
        <v>1144</v>
      </c>
      <c r="E1081" s="23">
        <v>1</v>
      </c>
      <c r="F1081" s="23" t="s">
        <v>1076</v>
      </c>
      <c r="G1081" s="23" t="s">
        <v>61</v>
      </c>
      <c r="H1081" s="23" t="s">
        <v>115</v>
      </c>
      <c r="I1081" s="23"/>
      <c r="J1081" s="23" t="s">
        <v>62</v>
      </c>
      <c r="K1081" s="23"/>
      <c r="L1081" s="29">
        <v>0</v>
      </c>
      <c r="M1081" s="29">
        <v>3</v>
      </c>
      <c r="N1081" s="29"/>
      <c r="O1081" s="29">
        <v>3016222</v>
      </c>
      <c r="P1081" s="29">
        <v>1927970</v>
      </c>
      <c r="Q1081" s="29">
        <v>0</v>
      </c>
      <c r="R1081" s="30">
        <v>425152</v>
      </c>
    </row>
    <row r="1082" spans="1:18">
      <c r="A1082" s="27"/>
      <c r="B1082" s="28">
        <v>1078</v>
      </c>
      <c r="C1082" s="1">
        <f>30000000+INDEX(编号表!$B:$B,MATCH(G1082,编号表!$A:$A,0))*100000+INDEX(编号表!$F:$F,MATCH(H1082,编号表!$E:$E,0))*1000+INDEX(编号表!$D:$D,MATCH(F1082,编号表!$C:$C,0))*10000+E1082</f>
        <v>31583002</v>
      </c>
      <c r="D1082" s="23" t="s">
        <v>1145</v>
      </c>
      <c r="E1082" s="23">
        <v>2</v>
      </c>
      <c r="F1082" s="23" t="s">
        <v>1076</v>
      </c>
      <c r="G1082" s="23" t="s">
        <v>61</v>
      </c>
      <c r="H1082" s="23" t="s">
        <v>115</v>
      </c>
      <c r="I1082" s="23"/>
      <c r="J1082" s="23" t="s">
        <v>65</v>
      </c>
      <c r="K1082" s="23"/>
      <c r="L1082" s="29">
        <v>0</v>
      </c>
      <c r="M1082" s="29">
        <v>-1</v>
      </c>
      <c r="N1082" s="29"/>
      <c r="O1082" s="29">
        <v>2676100</v>
      </c>
      <c r="P1082" s="29">
        <v>905593</v>
      </c>
      <c r="Q1082" s="29">
        <v>0</v>
      </c>
      <c r="R1082" s="30">
        <v>460582</v>
      </c>
    </row>
    <row r="1083" spans="1:18">
      <c r="A1083" s="27"/>
      <c r="B1083" s="28">
        <v>1079</v>
      </c>
      <c r="C1083" s="1">
        <f>30000000+INDEX(编号表!$B:$B,MATCH(G1083,编号表!$A:$A,0))*100000+INDEX(编号表!$F:$F,MATCH(H1083,编号表!$E:$E,0))*1000+INDEX(编号表!$D:$D,MATCH(F1083,编号表!$C:$C,0))*10000+E1083</f>
        <v>31583003</v>
      </c>
      <c r="D1083" s="23" t="s">
        <v>1146</v>
      </c>
      <c r="E1083" s="23">
        <v>3</v>
      </c>
      <c r="F1083" s="23" t="s">
        <v>1076</v>
      </c>
      <c r="G1083" s="23" t="s">
        <v>61</v>
      </c>
      <c r="H1083" s="23" t="s">
        <v>115</v>
      </c>
      <c r="I1083" s="23"/>
      <c r="J1083" s="23" t="s">
        <v>65</v>
      </c>
      <c r="K1083" s="23"/>
      <c r="L1083" s="29">
        <v>0</v>
      </c>
      <c r="M1083" s="29">
        <v>2</v>
      </c>
      <c r="N1083" s="29"/>
      <c r="O1083" s="29">
        <v>2822542</v>
      </c>
      <c r="P1083" s="29">
        <v>2175616</v>
      </c>
      <c r="Q1083" s="29">
        <v>0</v>
      </c>
      <c r="R1083" s="30">
        <v>141717</v>
      </c>
    </row>
    <row r="1084" spans="1:18">
      <c r="A1084" s="27"/>
      <c r="B1084" s="28">
        <v>1080</v>
      </c>
      <c r="C1084" s="1">
        <f>30000000+INDEX(编号表!$B:$B,MATCH(G1084,编号表!$A:$A,0))*100000+INDEX(编号表!$F:$F,MATCH(H1084,编号表!$E:$E,0))*1000+INDEX(编号表!$D:$D,MATCH(F1084,编号表!$C:$C,0))*10000+E1084</f>
        <v>31583004</v>
      </c>
      <c r="D1084" s="23" t="s">
        <v>1147</v>
      </c>
      <c r="E1084" s="23">
        <v>4</v>
      </c>
      <c r="F1084" s="23" t="s">
        <v>1076</v>
      </c>
      <c r="G1084" s="23" t="s">
        <v>61</v>
      </c>
      <c r="H1084" s="23" t="s">
        <v>115</v>
      </c>
      <c r="I1084" s="23"/>
      <c r="J1084" s="23" t="s">
        <v>68</v>
      </c>
      <c r="K1084" s="23"/>
      <c r="L1084" s="29">
        <v>0</v>
      </c>
      <c r="M1084" s="29">
        <v>-1</v>
      </c>
      <c r="N1084" s="29"/>
      <c r="O1084" s="29">
        <v>2822542</v>
      </c>
      <c r="P1084" s="29">
        <v>1804169</v>
      </c>
      <c r="Q1084" s="29">
        <v>0</v>
      </c>
      <c r="R1084" s="30">
        <v>342484</v>
      </c>
    </row>
    <row r="1085" spans="1:18">
      <c r="A1085" s="27"/>
      <c r="B1085" s="28">
        <v>1081</v>
      </c>
      <c r="C1085" s="1">
        <f>30000000+INDEX(编号表!$B:$B,MATCH(G1085,编号表!$A:$A,0))*100000+INDEX(编号表!$F:$F,MATCH(H1085,编号表!$E:$E,0))*1000+INDEX(编号表!$D:$D,MATCH(F1085,编号表!$C:$C,0))*10000+E1085</f>
        <v>31583005</v>
      </c>
      <c r="D1085" s="23" t="s">
        <v>1148</v>
      </c>
      <c r="E1085" s="23">
        <v>5</v>
      </c>
      <c r="F1085" s="23" t="s">
        <v>1076</v>
      </c>
      <c r="G1085" s="23" t="s">
        <v>61</v>
      </c>
      <c r="H1085" s="23" t="s">
        <v>115</v>
      </c>
      <c r="I1085" s="23"/>
      <c r="J1085" s="23" t="s">
        <v>68</v>
      </c>
      <c r="K1085" s="23"/>
      <c r="L1085" s="29">
        <v>0</v>
      </c>
      <c r="M1085" s="29">
        <v>4</v>
      </c>
      <c r="N1085" s="29"/>
      <c r="O1085" s="29">
        <v>2919382</v>
      </c>
      <c r="P1085" s="29">
        <v>2250260</v>
      </c>
      <c r="Q1085" s="29">
        <v>0</v>
      </c>
      <c r="R1085" s="30">
        <v>614109</v>
      </c>
    </row>
    <row r="1086" spans="1:18">
      <c r="A1086" s="27"/>
      <c r="B1086" s="28">
        <v>1082</v>
      </c>
      <c r="C1086" s="1">
        <f>30000000+INDEX(编号表!$B:$B,MATCH(G1086,编号表!$A:$A,0))*100000+INDEX(编号表!$F:$F,MATCH(H1086,编号表!$E:$E,0))*1000+INDEX(编号表!$D:$D,MATCH(F1086,编号表!$C:$C,0))*10000+E1086</f>
        <v>31583006</v>
      </c>
      <c r="D1086" s="23" t="s">
        <v>1149</v>
      </c>
      <c r="E1086" s="23">
        <v>6</v>
      </c>
      <c r="F1086" s="23" t="s">
        <v>1076</v>
      </c>
      <c r="G1086" s="23" t="s">
        <v>61</v>
      </c>
      <c r="H1086" s="23" t="s">
        <v>115</v>
      </c>
      <c r="I1086" s="23"/>
      <c r="J1086" s="23" t="s">
        <v>71</v>
      </c>
      <c r="K1086" s="23"/>
      <c r="L1086" s="29">
        <v>0</v>
      </c>
      <c r="M1086" s="29">
        <v>-1</v>
      </c>
      <c r="N1086" s="29"/>
      <c r="O1086" s="29">
        <v>2919382</v>
      </c>
      <c r="P1086" s="29">
        <v>768382</v>
      </c>
      <c r="Q1086" s="29">
        <v>0</v>
      </c>
      <c r="R1086" s="30">
        <v>992023</v>
      </c>
    </row>
    <row r="1087" spans="1:18">
      <c r="A1087" s="27"/>
      <c r="B1087" s="28">
        <v>1083</v>
      </c>
      <c r="C1087" s="1">
        <f>30000000+INDEX(编号表!$B:$B,MATCH(G1087,编号表!$A:$A,0))*100000+INDEX(编号表!$F:$F,MATCH(H1087,编号表!$E:$E,0))*1000+INDEX(编号表!$D:$D,MATCH(F1087,编号表!$C:$C,0))*10000+E1087</f>
        <v>31583007</v>
      </c>
      <c r="D1087" s="23" t="s">
        <v>1150</v>
      </c>
      <c r="E1087" s="23">
        <v>7</v>
      </c>
      <c r="F1087" s="23" t="s">
        <v>1076</v>
      </c>
      <c r="G1087" s="23" t="s">
        <v>61</v>
      </c>
      <c r="H1087" s="23" t="s">
        <v>115</v>
      </c>
      <c r="I1087" s="23"/>
      <c r="J1087" s="23" t="s">
        <v>71</v>
      </c>
      <c r="K1087" s="23"/>
      <c r="L1087" s="29">
        <v>0</v>
      </c>
      <c r="M1087" s="29">
        <v>2</v>
      </c>
      <c r="N1087" s="29"/>
      <c r="O1087" s="29">
        <v>2822542</v>
      </c>
      <c r="P1087" s="29">
        <v>2175616</v>
      </c>
      <c r="Q1087" s="29">
        <v>0</v>
      </c>
      <c r="R1087" s="30">
        <v>141717</v>
      </c>
    </row>
    <row r="1088" spans="1:18">
      <c r="A1088" s="27"/>
      <c r="B1088" s="28">
        <v>1084</v>
      </c>
      <c r="C1088" s="1">
        <f>30000000+INDEX(编号表!$B:$B,MATCH(G1088,编号表!$A:$A,0))*100000+INDEX(编号表!$F:$F,MATCH(H1088,编号表!$E:$E,0))*1000+INDEX(编号表!$D:$D,MATCH(F1088,编号表!$C:$C,0))*10000+E1088</f>
        <v>31583008</v>
      </c>
      <c r="D1088" s="23" t="s">
        <v>1151</v>
      </c>
      <c r="E1088" s="23">
        <v>8</v>
      </c>
      <c r="F1088" s="23" t="s">
        <v>1076</v>
      </c>
      <c r="G1088" s="23" t="s">
        <v>61</v>
      </c>
      <c r="H1088" s="23" t="s">
        <v>115</v>
      </c>
      <c r="I1088" s="23"/>
      <c r="J1088" s="23" t="s">
        <v>74</v>
      </c>
      <c r="K1088" s="23"/>
      <c r="L1088" s="29">
        <v>0</v>
      </c>
      <c r="M1088" s="29">
        <v>-2</v>
      </c>
      <c r="N1088" s="29"/>
      <c r="O1088" s="29">
        <v>2822542</v>
      </c>
      <c r="P1088" s="29">
        <v>1459255</v>
      </c>
      <c r="Q1088" s="29">
        <v>0</v>
      </c>
      <c r="R1088" s="30">
        <v>330674</v>
      </c>
    </row>
    <row r="1089" spans="1:18">
      <c r="A1089" s="27"/>
      <c r="B1089" s="28">
        <v>1085</v>
      </c>
      <c r="C1089" s="1">
        <f>30000000+INDEX(编号表!$B:$B,MATCH(G1089,编号表!$A:$A,0))*100000+INDEX(编号表!$F:$F,MATCH(H1089,编号表!$E:$E,0))*1000+INDEX(编号表!$D:$D,MATCH(F1089,编号表!$C:$C,0))*10000+E1089</f>
        <v>31583009</v>
      </c>
      <c r="D1089" s="23" t="s">
        <v>1152</v>
      </c>
      <c r="E1089" s="23">
        <v>9</v>
      </c>
      <c r="F1089" s="23" t="s">
        <v>1076</v>
      </c>
      <c r="G1089" s="23" t="s">
        <v>61</v>
      </c>
      <c r="H1089" s="23" t="s">
        <v>115</v>
      </c>
      <c r="I1089" s="23"/>
      <c r="J1089" s="23" t="s">
        <v>74</v>
      </c>
      <c r="K1089" s="23"/>
      <c r="L1089" s="29">
        <v>0</v>
      </c>
      <c r="M1089" s="29">
        <v>1</v>
      </c>
      <c r="N1089" s="29"/>
      <c r="O1089" s="29">
        <v>2676100</v>
      </c>
      <c r="P1089" s="29">
        <v>905593</v>
      </c>
      <c r="Q1089" s="29">
        <v>0</v>
      </c>
      <c r="R1089" s="30">
        <v>460582</v>
      </c>
    </row>
    <row r="1090" spans="1:18">
      <c r="A1090" s="27"/>
      <c r="B1090" s="28">
        <v>1086</v>
      </c>
      <c r="C1090" s="1">
        <f>30000000+INDEX(编号表!$B:$B,MATCH(G1090,编号表!$A:$A,0))*100000+INDEX(编号表!$F:$F,MATCH(H1090,编号表!$E:$E,0))*1000+INDEX(编号表!$D:$D,MATCH(F1090,编号表!$C:$C,0))*10000+E1090</f>
        <v>31483000</v>
      </c>
      <c r="D1090" s="23" t="s">
        <v>1153</v>
      </c>
      <c r="E1090" s="23">
        <v>0</v>
      </c>
      <c r="F1090" s="23" t="s">
        <v>1076</v>
      </c>
      <c r="G1090" s="23" t="s">
        <v>77</v>
      </c>
      <c r="H1090" s="23" t="s">
        <v>115</v>
      </c>
      <c r="I1090" s="23"/>
      <c r="J1090" s="23"/>
      <c r="K1090" s="23"/>
      <c r="L1090" s="29">
        <v>0</v>
      </c>
      <c r="M1090" s="29">
        <v>0</v>
      </c>
      <c r="N1090" s="29"/>
      <c r="O1090" s="29">
        <v>2676100</v>
      </c>
      <c r="P1090" s="29">
        <v>704350</v>
      </c>
      <c r="Q1090" s="29">
        <v>0</v>
      </c>
      <c r="R1090" s="30">
        <v>543250</v>
      </c>
    </row>
    <row r="1091" spans="1:18">
      <c r="A1091" s="27"/>
      <c r="B1091" s="28">
        <v>1087</v>
      </c>
      <c r="C1091" s="1">
        <f>30000000+INDEX(编号表!$B:$B,MATCH(G1091,编号表!$A:$A,0))*100000+INDEX(编号表!$F:$F,MATCH(H1091,编号表!$E:$E,0))*1000+INDEX(编号表!$D:$D,MATCH(F1091,编号表!$C:$C,0))*10000+E1091</f>
        <v>31483001</v>
      </c>
      <c r="D1091" s="23" t="s">
        <v>1154</v>
      </c>
      <c r="E1091" s="23">
        <v>1</v>
      </c>
      <c r="F1091" s="23" t="s">
        <v>1076</v>
      </c>
      <c r="G1091" s="23" t="s">
        <v>77</v>
      </c>
      <c r="H1091" s="23" t="s">
        <v>115</v>
      </c>
      <c r="I1091" s="23"/>
      <c r="J1091" s="23"/>
      <c r="K1091" s="23"/>
      <c r="L1091" s="29">
        <v>0</v>
      </c>
      <c r="M1091" s="29">
        <v>0</v>
      </c>
      <c r="N1091" s="29"/>
      <c r="O1091" s="29">
        <v>3016222</v>
      </c>
      <c r="P1091" s="29">
        <v>2324904</v>
      </c>
      <c r="Q1091" s="29">
        <v>0</v>
      </c>
      <c r="R1091" s="30">
        <v>188956</v>
      </c>
    </row>
    <row r="1092" spans="1:18">
      <c r="A1092" s="27"/>
      <c r="B1092" s="28">
        <v>1088</v>
      </c>
      <c r="C1092" s="1">
        <f>30000000+INDEX(编号表!$B:$B,MATCH(G1092,编号表!$A:$A,0))*100000+INDEX(编号表!$F:$F,MATCH(H1092,编号表!$E:$E,0))*1000+INDEX(编号表!$D:$D,MATCH(F1092,编号表!$C:$C,0))*10000+E1092</f>
        <v>31483002</v>
      </c>
      <c r="D1092" s="23" t="s">
        <v>1155</v>
      </c>
      <c r="E1092" s="23">
        <v>2</v>
      </c>
      <c r="F1092" s="23" t="s">
        <v>1076</v>
      </c>
      <c r="G1092" s="23" t="s">
        <v>77</v>
      </c>
      <c r="H1092" s="23" t="s">
        <v>115</v>
      </c>
      <c r="I1092" s="23"/>
      <c r="J1092" s="23"/>
      <c r="K1092" s="23"/>
      <c r="L1092" s="29">
        <v>0</v>
      </c>
      <c r="M1092" s="29">
        <v>1</v>
      </c>
      <c r="N1092" s="29"/>
      <c r="O1092" s="29">
        <v>2919382</v>
      </c>
      <c r="P1092" s="29">
        <v>768382</v>
      </c>
      <c r="Q1092" s="29">
        <v>0</v>
      </c>
      <c r="R1092" s="30">
        <v>992023</v>
      </c>
    </row>
    <row r="1093" spans="1:18">
      <c r="A1093" s="27"/>
      <c r="B1093" s="28">
        <v>1089</v>
      </c>
      <c r="C1093" s="1">
        <f>30000000+INDEX(编号表!$B:$B,MATCH(G1093,编号表!$A:$A,0))*100000+INDEX(编号表!$F:$F,MATCH(H1093,编号表!$E:$E,0))*1000+INDEX(编号表!$D:$D,MATCH(F1093,编号表!$C:$C,0))*10000+E1093</f>
        <v>31483003</v>
      </c>
      <c r="D1093" s="23" t="s">
        <v>1156</v>
      </c>
      <c r="E1093" s="23">
        <v>3</v>
      </c>
      <c r="F1093" s="23" t="s">
        <v>1076</v>
      </c>
      <c r="G1093" s="23" t="s">
        <v>77</v>
      </c>
      <c r="H1093" s="23" t="s">
        <v>115</v>
      </c>
      <c r="I1093" s="23"/>
      <c r="J1093" s="23"/>
      <c r="K1093" s="23"/>
      <c r="L1093" s="29">
        <v>0</v>
      </c>
      <c r="M1093" s="29">
        <v>4</v>
      </c>
      <c r="N1093" s="29"/>
      <c r="O1093" s="29">
        <v>2919382</v>
      </c>
      <c r="P1093" s="29">
        <v>2250260</v>
      </c>
      <c r="Q1093" s="29">
        <v>0</v>
      </c>
      <c r="R1093" s="30">
        <v>614109</v>
      </c>
    </row>
    <row r="1094" spans="1:18">
      <c r="A1094" s="27"/>
      <c r="B1094" s="28">
        <v>1090</v>
      </c>
      <c r="C1094" s="1">
        <f>30000000+INDEX(编号表!$B:$B,MATCH(G1094,编号表!$A:$A,0))*100000+INDEX(编号表!$F:$F,MATCH(H1094,编号表!$E:$E,0))*1000+INDEX(编号表!$D:$D,MATCH(F1094,编号表!$C:$C,0))*10000+E1094</f>
        <v>31683000</v>
      </c>
      <c r="D1094" s="23" t="s">
        <v>1157</v>
      </c>
      <c r="E1094" s="23">
        <v>0</v>
      </c>
      <c r="F1094" s="23" t="s">
        <v>1076</v>
      </c>
      <c r="G1094" s="23" t="s">
        <v>82</v>
      </c>
      <c r="H1094" s="23" t="s">
        <v>115</v>
      </c>
      <c r="I1094" s="23"/>
      <c r="J1094" s="23"/>
      <c r="K1094" s="23"/>
      <c r="L1094" s="29">
        <v>7</v>
      </c>
      <c r="M1094" s="29">
        <v>0</v>
      </c>
      <c r="N1094" s="29"/>
      <c r="O1094" s="29">
        <v>0</v>
      </c>
      <c r="P1094" s="29">
        <v>0</v>
      </c>
      <c r="Q1094" s="29">
        <v>0</v>
      </c>
      <c r="R1094" s="30">
        <v>283435</v>
      </c>
    </row>
    <row r="1095" spans="1:18">
      <c r="A1095" s="27"/>
      <c r="B1095" s="28">
        <v>1091</v>
      </c>
      <c r="C1095" s="1">
        <f>30000000+INDEX(编号表!$B:$B,MATCH(G1095,编号表!$A:$A,0))*100000+INDEX(编号表!$F:$F,MATCH(H1095,编号表!$E:$E,0))*1000+INDEX(编号表!$D:$D,MATCH(F1095,编号表!$C:$C,0))*10000+E1095</f>
        <v>31683001</v>
      </c>
      <c r="D1095" s="23" t="s">
        <v>1158</v>
      </c>
      <c r="E1095" s="23">
        <v>1</v>
      </c>
      <c r="F1095" s="23" t="s">
        <v>1076</v>
      </c>
      <c r="G1095" s="23" t="s">
        <v>82</v>
      </c>
      <c r="H1095" s="23" t="s">
        <v>115</v>
      </c>
      <c r="I1095" s="23"/>
      <c r="J1095" s="23"/>
      <c r="K1095" s="23"/>
      <c r="L1095" s="29">
        <v>8</v>
      </c>
      <c r="M1095" s="29">
        <v>0</v>
      </c>
      <c r="N1095" s="29"/>
      <c r="O1095" s="29">
        <v>0</v>
      </c>
      <c r="P1095" s="29">
        <v>0</v>
      </c>
      <c r="Q1095" s="29">
        <v>0</v>
      </c>
      <c r="R1095" s="30">
        <v>519631</v>
      </c>
    </row>
    <row r="1096" spans="1:18">
      <c r="A1096" s="27"/>
      <c r="B1096" s="28">
        <v>1092</v>
      </c>
      <c r="C1096" s="1">
        <f>30000000+INDEX(编号表!$B:$B,MATCH(G1096,编号表!$A:$A,0))*100000+INDEX(编号表!$F:$F,MATCH(H1096,编号表!$E:$E,0))*1000+INDEX(编号表!$D:$D,MATCH(F1096,编号表!$C:$C,0))*10000+E1096</f>
        <v>31683002</v>
      </c>
      <c r="D1096" s="23" t="s">
        <v>1159</v>
      </c>
      <c r="E1096" s="23">
        <v>2</v>
      </c>
      <c r="F1096" s="23" t="s">
        <v>1076</v>
      </c>
      <c r="G1096" s="23" t="s">
        <v>82</v>
      </c>
      <c r="H1096" s="23" t="s">
        <v>115</v>
      </c>
      <c r="I1096" s="23"/>
      <c r="J1096" s="23"/>
      <c r="K1096" s="23"/>
      <c r="L1096" s="29">
        <v>9</v>
      </c>
      <c r="M1096" s="29">
        <v>0</v>
      </c>
      <c r="N1096" s="29"/>
      <c r="O1096" s="29">
        <v>0</v>
      </c>
      <c r="P1096" s="29">
        <v>0</v>
      </c>
      <c r="Q1096" s="29">
        <v>0</v>
      </c>
      <c r="R1096" s="30">
        <v>803066</v>
      </c>
    </row>
    <row r="1097" spans="1:18">
      <c r="A1097" s="27"/>
      <c r="B1097" s="28">
        <v>1093</v>
      </c>
      <c r="C1097" s="1">
        <f>30000000+INDEX(编号表!$B:$B,MATCH(G1097,编号表!$A:$A,0))*100000+INDEX(编号表!$F:$F,MATCH(H1097,编号表!$E:$E,0))*1000+INDEX(编号表!$D:$D,MATCH(F1097,编号表!$C:$C,0))*10000+E1097</f>
        <v>31284000</v>
      </c>
      <c r="D1097" s="23" t="s">
        <v>1160</v>
      </c>
      <c r="E1097" s="23">
        <v>0</v>
      </c>
      <c r="F1097" s="23" t="s">
        <v>1076</v>
      </c>
      <c r="G1097" s="23" t="s">
        <v>42</v>
      </c>
      <c r="H1097" s="23" t="s">
        <v>144</v>
      </c>
      <c r="I1097" s="23"/>
      <c r="J1097" s="23"/>
      <c r="K1097" s="23"/>
      <c r="L1097" s="29">
        <v>0</v>
      </c>
      <c r="M1097" s="29">
        <v>0</v>
      </c>
      <c r="N1097" s="29"/>
      <c r="O1097" s="29">
        <v>8503056</v>
      </c>
      <c r="P1097" s="29">
        <v>4209013</v>
      </c>
      <c r="Q1097" s="29">
        <v>42515280</v>
      </c>
      <c r="R1097" s="30">
        <v>765275</v>
      </c>
    </row>
    <row r="1098" spans="1:18">
      <c r="A1098" s="27"/>
      <c r="B1098" s="28">
        <v>1094</v>
      </c>
      <c r="C1098" s="1">
        <f>30000000+INDEX(编号表!$B:$B,MATCH(G1098,编号表!$A:$A,0))*100000+INDEX(编号表!$F:$F,MATCH(H1098,编号表!$E:$E,0))*1000+INDEX(编号表!$D:$D,MATCH(F1098,编号表!$C:$C,0))*10000+E1098</f>
        <v>31384000</v>
      </c>
      <c r="D1098" s="23" t="s">
        <v>1161</v>
      </c>
      <c r="E1098" s="23">
        <v>0</v>
      </c>
      <c r="F1098" s="23" t="s">
        <v>1076</v>
      </c>
      <c r="G1098" s="23" t="s">
        <v>45</v>
      </c>
      <c r="H1098" s="23" t="s">
        <v>144</v>
      </c>
      <c r="I1098" s="23" t="s">
        <v>46</v>
      </c>
      <c r="J1098" s="23"/>
      <c r="K1098" s="23"/>
      <c r="L1098" s="29">
        <v>0</v>
      </c>
      <c r="M1098" s="29">
        <v>-2</v>
      </c>
      <c r="N1098" s="29"/>
      <c r="O1098" s="29">
        <v>5080575</v>
      </c>
      <c r="P1098" s="29">
        <v>2514885</v>
      </c>
      <c r="Q1098" s="29">
        <v>0</v>
      </c>
      <c r="R1098" s="30">
        <v>595213</v>
      </c>
    </row>
    <row r="1099" spans="1:18">
      <c r="A1099" s="27"/>
      <c r="B1099" s="28">
        <v>1095</v>
      </c>
      <c r="C1099" s="1">
        <f>30000000+INDEX(编号表!$B:$B,MATCH(G1099,编号表!$A:$A,0))*100000+INDEX(编号表!$F:$F,MATCH(H1099,编号表!$E:$E,0))*1000+INDEX(编号表!$D:$D,MATCH(F1099,编号表!$C:$C,0))*10000+E1099</f>
        <v>31384001</v>
      </c>
      <c r="D1099" s="23" t="s">
        <v>1162</v>
      </c>
      <c r="E1099" s="23">
        <v>1</v>
      </c>
      <c r="F1099" s="23" t="s">
        <v>1076</v>
      </c>
      <c r="G1099" s="23" t="s">
        <v>45</v>
      </c>
      <c r="H1099" s="23" t="s">
        <v>144</v>
      </c>
      <c r="I1099" s="23" t="s">
        <v>46</v>
      </c>
      <c r="J1099" s="23"/>
      <c r="K1099" s="23"/>
      <c r="L1099" s="29">
        <v>0</v>
      </c>
      <c r="M1099" s="29">
        <v>3</v>
      </c>
      <c r="N1099" s="29"/>
      <c r="O1099" s="29">
        <v>5429201</v>
      </c>
      <c r="P1099" s="29">
        <v>3322672</v>
      </c>
      <c r="Q1099" s="29">
        <v>0</v>
      </c>
      <c r="R1099" s="30">
        <v>765275</v>
      </c>
    </row>
    <row r="1100" spans="1:18">
      <c r="A1100" s="27"/>
      <c r="B1100" s="28">
        <v>1096</v>
      </c>
      <c r="C1100" s="1">
        <f>30000000+INDEX(编号表!$B:$B,MATCH(G1100,编号表!$A:$A,0))*100000+INDEX(编号表!$F:$F,MATCH(H1100,编号表!$E:$E,0))*1000+INDEX(编号表!$D:$D,MATCH(F1100,编号表!$C:$C,0))*10000+E1100</f>
        <v>31384002</v>
      </c>
      <c r="D1100" s="23" t="s">
        <v>1163</v>
      </c>
      <c r="E1100" s="23">
        <v>2</v>
      </c>
      <c r="F1100" s="23" t="s">
        <v>1076</v>
      </c>
      <c r="G1100" s="23" t="s">
        <v>45</v>
      </c>
      <c r="H1100" s="23" t="s">
        <v>144</v>
      </c>
      <c r="I1100" s="23" t="s">
        <v>49</v>
      </c>
      <c r="J1100" s="23"/>
      <c r="K1100" s="23"/>
      <c r="L1100" s="29">
        <v>0</v>
      </c>
      <c r="M1100" s="29">
        <v>-1</v>
      </c>
      <c r="N1100" s="29"/>
      <c r="O1100" s="29">
        <v>4816981</v>
      </c>
      <c r="P1100" s="29">
        <v>1560702</v>
      </c>
      <c r="Q1100" s="29">
        <v>0</v>
      </c>
      <c r="R1100" s="30">
        <v>829047</v>
      </c>
    </row>
    <row r="1101" spans="1:18">
      <c r="A1101" s="27"/>
      <c r="B1101" s="28">
        <v>1097</v>
      </c>
      <c r="C1101" s="1">
        <f>30000000+INDEX(编号表!$B:$B,MATCH(G1101,编号表!$A:$A,0))*100000+INDEX(编号表!$F:$F,MATCH(H1101,编号表!$E:$E,0))*1000+INDEX(编号表!$D:$D,MATCH(F1101,编号表!$C:$C,0))*10000+E1101</f>
        <v>31384003</v>
      </c>
      <c r="D1101" s="23" t="s">
        <v>1164</v>
      </c>
      <c r="E1101" s="23">
        <v>3</v>
      </c>
      <c r="F1101" s="23" t="s">
        <v>1076</v>
      </c>
      <c r="G1101" s="23" t="s">
        <v>45</v>
      </c>
      <c r="H1101" s="23" t="s">
        <v>144</v>
      </c>
      <c r="I1101" s="23" t="s">
        <v>49</v>
      </c>
      <c r="J1101" s="23"/>
      <c r="K1101" s="23"/>
      <c r="L1101" s="29">
        <v>0</v>
      </c>
      <c r="M1101" s="29">
        <v>2</v>
      </c>
      <c r="N1101" s="29"/>
      <c r="O1101" s="29">
        <v>5080575</v>
      </c>
      <c r="P1101" s="29">
        <v>3749465</v>
      </c>
      <c r="Q1101" s="29">
        <v>0</v>
      </c>
      <c r="R1101" s="30">
        <v>255091</v>
      </c>
    </row>
    <row r="1102" spans="1:18">
      <c r="A1102" s="27"/>
      <c r="B1102" s="28">
        <v>1098</v>
      </c>
      <c r="C1102" s="1">
        <f>30000000+INDEX(编号表!$B:$B,MATCH(G1102,编号表!$A:$A,0))*100000+INDEX(编号表!$F:$F,MATCH(H1102,编号表!$E:$E,0))*1000+INDEX(编号表!$D:$D,MATCH(F1102,编号表!$C:$C,0))*10000+E1102</f>
        <v>31384004</v>
      </c>
      <c r="D1102" s="23" t="s">
        <v>1165</v>
      </c>
      <c r="E1102" s="23">
        <v>4</v>
      </c>
      <c r="F1102" s="23" t="s">
        <v>1076</v>
      </c>
      <c r="G1102" s="23" t="s">
        <v>45</v>
      </c>
      <c r="H1102" s="23" t="s">
        <v>144</v>
      </c>
      <c r="I1102" s="23" t="s">
        <v>52</v>
      </c>
      <c r="J1102" s="23"/>
      <c r="K1102" s="23"/>
      <c r="L1102" s="29">
        <v>0</v>
      </c>
      <c r="M1102" s="29">
        <v>-1</v>
      </c>
      <c r="N1102" s="29"/>
      <c r="O1102" s="29">
        <v>5080575</v>
      </c>
      <c r="P1102" s="29">
        <v>3109312</v>
      </c>
      <c r="Q1102" s="29">
        <v>0</v>
      </c>
      <c r="R1102" s="30">
        <v>616471</v>
      </c>
    </row>
    <row r="1103" spans="1:18">
      <c r="A1103" s="27"/>
      <c r="B1103" s="28">
        <v>1099</v>
      </c>
      <c r="C1103" s="1">
        <f>30000000+INDEX(编号表!$B:$B,MATCH(G1103,编号表!$A:$A,0))*100000+INDEX(编号表!$F:$F,MATCH(H1103,编号表!$E:$E,0))*1000+INDEX(编号表!$D:$D,MATCH(F1103,编号表!$C:$C,0))*10000+E1103</f>
        <v>31384005</v>
      </c>
      <c r="D1103" s="23" t="inlineStr">
        <is>
          <t xml:space="preserve">百万载沸泉苔·仙株</t>
        </is>
      </c>
      <c r="E1103" s="23">
        <v>5</v>
      </c>
      <c r="F1103" s="23" t="s">
        <v>1076</v>
      </c>
      <c r="G1103" s="23" t="s">
        <v>45</v>
      </c>
      <c r="H1103" s="23" t="s">
        <v>144</v>
      </c>
      <c r="I1103" s="23" t="s">
        <v>52</v>
      </c>
      <c r="J1103" s="23"/>
      <c r="K1103" s="23"/>
      <c r="L1103" s="29">
        <v>0</v>
      </c>
      <c r="M1103" s="29">
        <v>4</v>
      </c>
      <c r="N1103" s="29"/>
      <c r="O1103" s="29">
        <v>5254888</v>
      </c>
      <c r="P1103" s="29">
        <v>3878108</v>
      </c>
      <c r="Q1103" s="29">
        <v>0</v>
      </c>
      <c r="R1103" s="30">
        <v>1105397</v>
      </c>
    </row>
    <row r="1104" spans="1:18">
      <c r="A1104" s="27"/>
      <c r="B1104" s="28">
        <v>1100</v>
      </c>
      <c r="C1104" s="1">
        <f>30000000+INDEX(编号表!$B:$B,MATCH(G1104,编号表!$A:$A,0))*100000+INDEX(编号表!$F:$F,MATCH(H1104,编号表!$E:$E,0))*1000+INDEX(编号表!$D:$D,MATCH(F1104,编号表!$C:$C,0))*10000+E1104</f>
        <v>31384006</v>
      </c>
      <c r="D1104" s="23" t="inlineStr">
        <is>
          <t xml:space="preserve">百万载丹露花·仙株</t>
        </is>
      </c>
      <c r="E1104" s="23">
        <v>6</v>
      </c>
      <c r="F1104" s="23" t="s">
        <v>1076</v>
      </c>
      <c r="G1104" s="23" t="s">
        <v>45</v>
      </c>
      <c r="H1104" s="23" t="s">
        <v>144</v>
      </c>
      <c r="I1104" s="23" t="s">
        <v>55</v>
      </c>
      <c r="J1104" s="23"/>
      <c r="K1104" s="23"/>
      <c r="L1104" s="29">
        <v>0</v>
      </c>
      <c r="M1104" s="29">
        <v>-1</v>
      </c>
      <c r="N1104" s="29"/>
      <c r="O1104" s="29">
        <v>5254888</v>
      </c>
      <c r="P1104" s="29">
        <v>1324232</v>
      </c>
      <c r="Q1104" s="29">
        <v>0</v>
      </c>
      <c r="R1104" s="30">
        <v>1785641</v>
      </c>
    </row>
    <row r="1105" spans="1:18">
      <c r="A1105" s="27"/>
      <c r="B1105" s="28">
        <v>1101</v>
      </c>
      <c r="C1105" s="1">
        <f>30000000+INDEX(编号表!$B:$B,MATCH(G1105,编号表!$A:$A,0))*100000+INDEX(编号表!$F:$F,MATCH(H1105,编号表!$E:$E,0))*1000+INDEX(编号表!$D:$D,MATCH(F1105,编号表!$C:$C,0))*10000+E1105</f>
        <v>31384007</v>
      </c>
      <c r="D1105" s="23" t="s">
        <v>1168</v>
      </c>
      <c r="E1105" s="23">
        <v>7</v>
      </c>
      <c r="F1105" s="23" t="s">
        <v>1076</v>
      </c>
      <c r="G1105" s="23" t="s">
        <v>45</v>
      </c>
      <c r="H1105" s="23" t="s">
        <v>144</v>
      </c>
      <c r="I1105" s="23" t="s">
        <v>55</v>
      </c>
      <c r="J1105" s="23"/>
      <c r="K1105" s="23"/>
      <c r="L1105" s="29">
        <v>0</v>
      </c>
      <c r="M1105" s="29">
        <v>2</v>
      </c>
      <c r="N1105" s="29"/>
      <c r="O1105" s="29">
        <v>5080575</v>
      </c>
      <c r="P1105" s="29">
        <v>3749465</v>
      </c>
      <c r="Q1105" s="29">
        <v>0</v>
      </c>
      <c r="R1105" s="30">
        <v>255091</v>
      </c>
    </row>
    <row r="1106" spans="1:18">
      <c r="A1106" s="27"/>
      <c r="B1106" s="28">
        <v>1102</v>
      </c>
      <c r="C1106" s="1">
        <f>30000000+INDEX(编号表!$B:$B,MATCH(G1106,编号表!$A:$A,0))*100000+INDEX(编号表!$F:$F,MATCH(H1106,编号表!$E:$E,0))*1000+INDEX(编号表!$D:$D,MATCH(F1106,编号表!$C:$C,0))*10000+E1106</f>
        <v>31384008</v>
      </c>
      <c r="D1106" s="23" t="s">
        <v>1169</v>
      </c>
      <c r="E1106" s="23">
        <v>8</v>
      </c>
      <c r="F1106" s="23" t="s">
        <v>1076</v>
      </c>
      <c r="G1106" s="23" t="s">
        <v>45</v>
      </c>
      <c r="H1106" s="23" t="s">
        <v>144</v>
      </c>
      <c r="I1106" s="23" t="s">
        <v>58</v>
      </c>
      <c r="J1106" s="23"/>
      <c r="K1106" s="23"/>
      <c r="L1106" s="29">
        <v>0</v>
      </c>
      <c r="M1106" s="29">
        <v>-2</v>
      </c>
      <c r="N1106" s="29"/>
      <c r="O1106" s="29">
        <v>5080575</v>
      </c>
      <c r="P1106" s="29">
        <v>2514885</v>
      </c>
      <c r="Q1106" s="29">
        <v>0</v>
      </c>
      <c r="R1106" s="30">
        <v>595213</v>
      </c>
    </row>
    <row r="1107" spans="1:18">
      <c r="A1107" s="27"/>
      <c r="B1107" s="28">
        <v>1103</v>
      </c>
      <c r="C1107" s="1">
        <f>30000000+INDEX(编号表!$B:$B,MATCH(G1107,编号表!$A:$A,0))*100000+INDEX(编号表!$F:$F,MATCH(H1107,编号表!$E:$E,0))*1000+INDEX(编号表!$D:$D,MATCH(F1107,编号表!$C:$C,0))*10000+E1107</f>
        <v>31384009</v>
      </c>
      <c r="D1107" s="23" t="s">
        <v>1170</v>
      </c>
      <c r="E1107" s="23">
        <v>9</v>
      </c>
      <c r="F1107" s="23" t="s">
        <v>1076</v>
      </c>
      <c r="G1107" s="23" t="s">
        <v>45</v>
      </c>
      <c r="H1107" s="23" t="s">
        <v>144</v>
      </c>
      <c r="I1107" s="23" t="s">
        <v>58</v>
      </c>
      <c r="J1107" s="23"/>
      <c r="K1107" s="23"/>
      <c r="L1107" s="29">
        <v>0</v>
      </c>
      <c r="M1107" s="29">
        <v>1</v>
      </c>
      <c r="N1107" s="29"/>
      <c r="O1107" s="29">
        <v>4816981</v>
      </c>
      <c r="P1107" s="29">
        <v>1560702</v>
      </c>
      <c r="Q1107" s="29">
        <v>0</v>
      </c>
      <c r="R1107" s="30">
        <v>829047</v>
      </c>
    </row>
    <row r="1108" spans="1:18">
      <c r="A1108" s="27"/>
      <c r="B1108" s="28">
        <v>1104</v>
      </c>
      <c r="C1108" s="1">
        <f>30000000+INDEX(编号表!$B:$B,MATCH(G1108,编号表!$A:$A,0))*100000+INDEX(编号表!$F:$F,MATCH(H1108,编号表!$E:$E,0))*1000+INDEX(编号表!$D:$D,MATCH(F1108,编号表!$C:$C,0))*10000+E1108</f>
        <v>31584000</v>
      </c>
      <c r="D1108" s="23" t="inlineStr">
        <is>
          <t xml:space="preserve">百万载霜辛草·仙株</t>
        </is>
      </c>
      <c r="E1108" s="23">
        <v>0</v>
      </c>
      <c r="F1108" s="23" t="s">
        <v>1076</v>
      </c>
      <c r="G1108" s="23" t="s">
        <v>61</v>
      </c>
      <c r="H1108" s="23" t="s">
        <v>144</v>
      </c>
      <c r="I1108" s="23"/>
      <c r="J1108" s="23" t="s">
        <v>62</v>
      </c>
      <c r="K1108" s="23"/>
      <c r="L1108" s="29">
        <v>0</v>
      </c>
      <c r="M1108" s="29">
        <v>-2</v>
      </c>
      <c r="N1108" s="29"/>
      <c r="O1108" s="29">
        <v>5080575</v>
      </c>
      <c r="P1108" s="29">
        <v>2514885</v>
      </c>
      <c r="Q1108" s="29">
        <v>0</v>
      </c>
      <c r="R1108" s="30">
        <v>595213</v>
      </c>
    </row>
    <row r="1109" spans="1:18">
      <c r="A1109" s="27"/>
      <c r="B1109" s="28">
        <v>1105</v>
      </c>
      <c r="C1109" s="1">
        <f>30000000+INDEX(编号表!$B:$B,MATCH(G1109,编号表!$A:$A,0))*100000+INDEX(编号表!$F:$F,MATCH(H1109,编号表!$E:$E,0))*1000+INDEX(编号表!$D:$D,MATCH(F1109,编号表!$C:$C,0))*10000+E1109</f>
        <v>31584001</v>
      </c>
      <c r="D1109" s="23" t="s">
        <v>1172</v>
      </c>
      <c r="E1109" s="23">
        <v>1</v>
      </c>
      <c r="F1109" s="23" t="s">
        <v>1076</v>
      </c>
      <c r="G1109" s="23" t="s">
        <v>61</v>
      </c>
      <c r="H1109" s="23" t="s">
        <v>144</v>
      </c>
      <c r="I1109" s="23"/>
      <c r="J1109" s="23" t="s">
        <v>62</v>
      </c>
      <c r="K1109" s="23"/>
      <c r="L1109" s="29">
        <v>0</v>
      </c>
      <c r="M1109" s="29">
        <v>3</v>
      </c>
      <c r="N1109" s="29"/>
      <c r="O1109" s="29">
        <v>5429201</v>
      </c>
      <c r="P1109" s="29">
        <v>3322672</v>
      </c>
      <c r="Q1109" s="29">
        <v>0</v>
      </c>
      <c r="R1109" s="30">
        <v>765275</v>
      </c>
    </row>
    <row r="1110" spans="1:18">
      <c r="A1110" s="27"/>
      <c r="B1110" s="28">
        <v>1106</v>
      </c>
      <c r="C1110" s="1">
        <f>30000000+INDEX(编号表!$B:$B,MATCH(G1110,编号表!$A:$A,0))*100000+INDEX(编号表!$F:$F,MATCH(H1110,编号表!$E:$E,0))*1000+INDEX(编号表!$D:$D,MATCH(F1110,编号表!$C:$C,0))*10000+E1110</f>
        <v>31584002</v>
      </c>
      <c r="D1110" s="23" t="s">
        <v>1173</v>
      </c>
      <c r="E1110" s="23">
        <v>2</v>
      </c>
      <c r="F1110" s="23" t="s">
        <v>1076</v>
      </c>
      <c r="G1110" s="23" t="s">
        <v>61</v>
      </c>
      <c r="H1110" s="23" t="s">
        <v>144</v>
      </c>
      <c r="I1110" s="23"/>
      <c r="J1110" s="23" t="s">
        <v>65</v>
      </c>
      <c r="K1110" s="23"/>
      <c r="L1110" s="29">
        <v>0</v>
      </c>
      <c r="M1110" s="29">
        <v>-1</v>
      </c>
      <c r="N1110" s="29"/>
      <c r="O1110" s="29">
        <v>4816981</v>
      </c>
      <c r="P1110" s="29">
        <v>1560702</v>
      </c>
      <c r="Q1110" s="29">
        <v>0</v>
      </c>
      <c r="R1110" s="30">
        <v>829047</v>
      </c>
    </row>
    <row r="1111" spans="1:18">
      <c r="A1111" s="27"/>
      <c r="B1111" s="28">
        <v>1107</v>
      </c>
      <c r="C1111" s="1">
        <f>30000000+INDEX(编号表!$B:$B,MATCH(G1111,编号表!$A:$A,0))*100000+INDEX(编号表!$F:$F,MATCH(H1111,编号表!$E:$E,0))*1000+INDEX(编号表!$D:$D,MATCH(F1111,编号表!$C:$C,0))*10000+E1111</f>
        <v>31584003</v>
      </c>
      <c r="D1111" s="23" t="s">
        <v>1174</v>
      </c>
      <c r="E1111" s="23">
        <v>3</v>
      </c>
      <c r="F1111" s="23" t="s">
        <v>1076</v>
      </c>
      <c r="G1111" s="23" t="s">
        <v>61</v>
      </c>
      <c r="H1111" s="23" t="s">
        <v>144</v>
      </c>
      <c r="I1111" s="23"/>
      <c r="J1111" s="23" t="s">
        <v>65</v>
      </c>
      <c r="K1111" s="23"/>
      <c r="L1111" s="29">
        <v>0</v>
      </c>
      <c r="M1111" s="29">
        <v>2</v>
      </c>
      <c r="N1111" s="29"/>
      <c r="O1111" s="29">
        <v>5080575</v>
      </c>
      <c r="P1111" s="29">
        <v>3749465</v>
      </c>
      <c r="Q1111" s="29">
        <v>0</v>
      </c>
      <c r="R1111" s="30">
        <v>255091</v>
      </c>
    </row>
    <row r="1112" spans="1:18">
      <c r="A1112" s="27"/>
      <c r="B1112" s="28">
        <v>1108</v>
      </c>
      <c r="C1112" s="1">
        <f>30000000+INDEX(编号表!$B:$B,MATCH(G1112,编号表!$A:$A,0))*100000+INDEX(编号表!$F:$F,MATCH(H1112,编号表!$E:$E,0))*1000+INDEX(编号表!$D:$D,MATCH(F1112,编号表!$C:$C,0))*10000+E1112</f>
        <v>31584004</v>
      </c>
      <c r="D1112" s="23" t="s">
        <v>1175</v>
      </c>
      <c r="E1112" s="23">
        <v>4</v>
      </c>
      <c r="F1112" s="23" t="s">
        <v>1076</v>
      </c>
      <c r="G1112" s="23" t="s">
        <v>61</v>
      </c>
      <c r="H1112" s="23" t="s">
        <v>144</v>
      </c>
      <c r="I1112" s="23"/>
      <c r="J1112" s="23" t="s">
        <v>68</v>
      </c>
      <c r="K1112" s="23"/>
      <c r="L1112" s="29">
        <v>0</v>
      </c>
      <c r="M1112" s="29">
        <v>-1</v>
      </c>
      <c r="N1112" s="29"/>
      <c r="O1112" s="29">
        <v>5080575</v>
      </c>
      <c r="P1112" s="29">
        <v>3109312</v>
      </c>
      <c r="Q1112" s="29">
        <v>0</v>
      </c>
      <c r="R1112" s="30">
        <v>616471</v>
      </c>
    </row>
    <row r="1113" spans="1:18">
      <c r="A1113" s="27"/>
      <c r="B1113" s="28">
        <v>1109</v>
      </c>
      <c r="C1113" s="1">
        <f>30000000+INDEX(编号表!$B:$B,MATCH(G1113,编号表!$A:$A,0))*100000+INDEX(编号表!$F:$F,MATCH(H1113,编号表!$E:$E,0))*1000+INDEX(编号表!$D:$D,MATCH(F1113,编号表!$C:$C,0))*10000+E1113</f>
        <v>31584005</v>
      </c>
      <c r="D1113" s="23" t="s">
        <v>1176</v>
      </c>
      <c r="E1113" s="23">
        <v>5</v>
      </c>
      <c r="F1113" s="23" t="s">
        <v>1076</v>
      </c>
      <c r="G1113" s="23" t="s">
        <v>61</v>
      </c>
      <c r="H1113" s="23" t="s">
        <v>144</v>
      </c>
      <c r="I1113" s="23"/>
      <c r="J1113" s="23" t="s">
        <v>68</v>
      </c>
      <c r="K1113" s="23"/>
      <c r="L1113" s="29">
        <v>0</v>
      </c>
      <c r="M1113" s="29">
        <v>4</v>
      </c>
      <c r="N1113" s="29"/>
      <c r="O1113" s="29">
        <v>5254888</v>
      </c>
      <c r="P1113" s="29">
        <v>3878108</v>
      </c>
      <c r="Q1113" s="29">
        <v>0</v>
      </c>
      <c r="R1113" s="30">
        <v>1105397</v>
      </c>
    </row>
    <row r="1114" spans="1:18">
      <c r="A1114" s="27"/>
      <c r="B1114" s="28">
        <v>1110</v>
      </c>
      <c r="C1114" s="1">
        <f>30000000+INDEX(编号表!$B:$B,MATCH(G1114,编号表!$A:$A,0))*100000+INDEX(编号表!$F:$F,MATCH(H1114,编号表!$E:$E,0))*1000+INDEX(编号表!$D:$D,MATCH(F1114,编号表!$C:$C,0))*10000+E1114</f>
        <v>31584006</v>
      </c>
      <c r="D1114" s="23" t="s">
        <v>1177</v>
      </c>
      <c r="E1114" s="23">
        <v>6</v>
      </c>
      <c r="F1114" s="23" t="s">
        <v>1076</v>
      </c>
      <c r="G1114" s="23" t="s">
        <v>61</v>
      </c>
      <c r="H1114" s="23" t="s">
        <v>144</v>
      </c>
      <c r="I1114" s="23"/>
      <c r="J1114" s="23" t="s">
        <v>71</v>
      </c>
      <c r="K1114" s="23"/>
      <c r="L1114" s="29">
        <v>0</v>
      </c>
      <c r="M1114" s="29">
        <v>-1</v>
      </c>
      <c r="N1114" s="29"/>
      <c r="O1114" s="29">
        <v>5254888</v>
      </c>
      <c r="P1114" s="29">
        <v>1324232</v>
      </c>
      <c r="Q1114" s="29">
        <v>0</v>
      </c>
      <c r="R1114" s="30">
        <v>1785641</v>
      </c>
    </row>
    <row r="1115" spans="1:18">
      <c r="A1115" s="27"/>
      <c r="B1115" s="28">
        <v>1111</v>
      </c>
      <c r="C1115" s="1">
        <f>30000000+INDEX(编号表!$B:$B,MATCH(G1115,编号表!$A:$A,0))*100000+INDEX(编号表!$F:$F,MATCH(H1115,编号表!$E:$E,0))*1000+INDEX(编号表!$D:$D,MATCH(F1115,编号表!$C:$C,0))*10000+E1115</f>
        <v>31584007</v>
      </c>
      <c r="D1115" s="23" t="s">
        <v>1178</v>
      </c>
      <c r="E1115" s="23">
        <v>7</v>
      </c>
      <c r="F1115" s="23" t="s">
        <v>1076</v>
      </c>
      <c r="G1115" s="23" t="s">
        <v>61</v>
      </c>
      <c r="H1115" s="23" t="s">
        <v>144</v>
      </c>
      <c r="I1115" s="23"/>
      <c r="J1115" s="23" t="s">
        <v>71</v>
      </c>
      <c r="K1115" s="23"/>
      <c r="L1115" s="29">
        <v>0</v>
      </c>
      <c r="M1115" s="29">
        <v>2</v>
      </c>
      <c r="N1115" s="29"/>
      <c r="O1115" s="29">
        <v>5080575</v>
      </c>
      <c r="P1115" s="29">
        <v>3749465</v>
      </c>
      <c r="Q1115" s="29">
        <v>0</v>
      </c>
      <c r="R1115" s="30">
        <v>255091</v>
      </c>
    </row>
    <row r="1116" spans="1:18">
      <c r="A1116" s="27"/>
      <c r="B1116" s="28">
        <v>1112</v>
      </c>
      <c r="C1116" s="1">
        <f>30000000+INDEX(编号表!$B:$B,MATCH(G1116,编号表!$A:$A,0))*100000+INDEX(编号表!$F:$F,MATCH(H1116,编号表!$E:$E,0))*1000+INDEX(编号表!$D:$D,MATCH(F1116,编号表!$C:$C,0))*10000+E1116</f>
        <v>31584008</v>
      </c>
      <c r="D1116" s="23" t="s">
        <v>1179</v>
      </c>
      <c r="E1116" s="23">
        <v>8</v>
      </c>
      <c r="F1116" s="23" t="s">
        <v>1076</v>
      </c>
      <c r="G1116" s="23" t="s">
        <v>61</v>
      </c>
      <c r="H1116" s="23" t="s">
        <v>144</v>
      </c>
      <c r="I1116" s="23"/>
      <c r="J1116" s="23" t="s">
        <v>74</v>
      </c>
      <c r="K1116" s="23"/>
      <c r="L1116" s="29">
        <v>0</v>
      </c>
      <c r="M1116" s="29">
        <v>-2</v>
      </c>
      <c r="N1116" s="29"/>
      <c r="O1116" s="29">
        <v>5080575</v>
      </c>
      <c r="P1116" s="29">
        <v>2514885</v>
      </c>
      <c r="Q1116" s="29">
        <v>0</v>
      </c>
      <c r="R1116" s="30">
        <v>595213</v>
      </c>
    </row>
    <row r="1117" spans="1:18">
      <c r="A1117" s="27"/>
      <c r="B1117" s="28">
        <v>1113</v>
      </c>
      <c r="C1117" s="1">
        <f>30000000+INDEX(编号表!$B:$B,MATCH(G1117,编号表!$A:$A,0))*100000+INDEX(编号表!$F:$F,MATCH(H1117,编号表!$E:$E,0))*1000+INDEX(编号表!$D:$D,MATCH(F1117,编号表!$C:$C,0))*10000+E1117</f>
        <v>31584009</v>
      </c>
      <c r="D1117" s="23" t="s">
        <v>1180</v>
      </c>
      <c r="E1117" s="23">
        <v>9</v>
      </c>
      <c r="F1117" s="23" t="s">
        <v>1076</v>
      </c>
      <c r="G1117" s="23" t="s">
        <v>61</v>
      </c>
      <c r="H1117" s="23" t="s">
        <v>144</v>
      </c>
      <c r="I1117" s="23"/>
      <c r="J1117" s="23" t="s">
        <v>74</v>
      </c>
      <c r="K1117" s="23"/>
      <c r="L1117" s="29">
        <v>0</v>
      </c>
      <c r="M1117" s="29">
        <v>1</v>
      </c>
      <c r="N1117" s="29"/>
      <c r="O1117" s="29">
        <v>4816981</v>
      </c>
      <c r="P1117" s="29">
        <v>1560702</v>
      </c>
      <c r="Q1117" s="29">
        <v>0</v>
      </c>
      <c r="R1117" s="30">
        <v>829047</v>
      </c>
    </row>
    <row r="1118" spans="1:18">
      <c r="A1118" s="27"/>
      <c r="B1118" s="28">
        <v>1114</v>
      </c>
      <c r="C1118" s="1">
        <f>30000000+INDEX(编号表!$B:$B,MATCH(G1118,编号表!$A:$A,0))*100000+INDEX(编号表!$F:$F,MATCH(H1118,编号表!$E:$E,0))*1000+INDEX(编号表!$D:$D,MATCH(F1118,编号表!$C:$C,0))*10000+E1118</f>
        <v>31484000</v>
      </c>
      <c r="D1118" s="23" t="s">
        <v>1181</v>
      </c>
      <c r="E1118" s="23">
        <v>0</v>
      </c>
      <c r="F1118" s="23" t="s">
        <v>1076</v>
      </c>
      <c r="G1118" s="23" t="s">
        <v>77</v>
      </c>
      <c r="H1118" s="23" t="s">
        <v>144</v>
      </c>
      <c r="I1118" s="23"/>
      <c r="J1118" s="23"/>
      <c r="K1118" s="23"/>
      <c r="L1118" s="29">
        <v>0</v>
      </c>
      <c r="M1118" s="29">
        <v>0</v>
      </c>
      <c r="N1118" s="29"/>
      <c r="O1118" s="29">
        <v>4816981</v>
      </c>
      <c r="P1118" s="29">
        <v>1213880</v>
      </c>
      <c r="Q1118" s="29">
        <v>0</v>
      </c>
      <c r="R1118" s="30">
        <v>977851</v>
      </c>
    </row>
    <row r="1119" spans="1:18">
      <c r="A1119" s="27"/>
      <c r="B1119" s="28">
        <v>1115</v>
      </c>
      <c r="C1119" s="1">
        <f>30000000+INDEX(编号表!$B:$B,MATCH(G1119,编号表!$A:$A,0))*100000+INDEX(编号表!$F:$F,MATCH(H1119,编号表!$E:$E,0))*1000+INDEX(编号表!$D:$D,MATCH(F1119,编号表!$C:$C,0))*10000+E1119</f>
        <v>31484001</v>
      </c>
      <c r="D1119" s="23" t="s">
        <v>1182</v>
      </c>
      <c r="E1119" s="23">
        <v>1</v>
      </c>
      <c r="F1119" s="23" t="s">
        <v>1076</v>
      </c>
      <c r="G1119" s="23" t="s">
        <v>77</v>
      </c>
      <c r="H1119" s="23" t="s">
        <v>144</v>
      </c>
      <c r="I1119" s="23"/>
      <c r="J1119" s="23"/>
      <c r="K1119" s="23"/>
      <c r="L1119" s="29">
        <v>0</v>
      </c>
      <c r="M1119" s="29">
        <v>0</v>
      </c>
      <c r="N1119" s="29"/>
      <c r="O1119" s="29">
        <v>5429201</v>
      </c>
      <c r="P1119" s="29">
        <v>4006751</v>
      </c>
      <c r="Q1119" s="29">
        <v>0</v>
      </c>
      <c r="R1119" s="30">
        <v>340122</v>
      </c>
    </row>
    <row r="1120" spans="1:18">
      <c r="A1120" s="27"/>
      <c r="B1120" s="28">
        <v>1116</v>
      </c>
      <c r="C1120" s="1">
        <f>30000000+INDEX(编号表!$B:$B,MATCH(G1120,编号表!$A:$A,0))*100000+INDEX(编号表!$F:$F,MATCH(H1120,编号表!$E:$E,0))*1000+INDEX(编号表!$D:$D,MATCH(F1120,编号表!$C:$C,0))*10000+E1120</f>
        <v>31484002</v>
      </c>
      <c r="D1120" s="23" t="s">
        <v>1183</v>
      </c>
      <c r="E1120" s="23">
        <v>2</v>
      </c>
      <c r="F1120" s="23" t="s">
        <v>1076</v>
      </c>
      <c r="G1120" s="23" t="s">
        <v>77</v>
      </c>
      <c r="H1120" s="23" t="s">
        <v>144</v>
      </c>
      <c r="I1120" s="23"/>
      <c r="J1120" s="23"/>
      <c r="K1120" s="23"/>
      <c r="L1120" s="29">
        <v>0</v>
      </c>
      <c r="M1120" s="29">
        <v>1</v>
      </c>
      <c r="N1120" s="29"/>
      <c r="O1120" s="29">
        <v>5254888</v>
      </c>
      <c r="P1120" s="29">
        <v>1324232</v>
      </c>
      <c r="Q1120" s="29">
        <v>0</v>
      </c>
      <c r="R1120" s="30">
        <v>1785641</v>
      </c>
    </row>
    <row r="1121" spans="1:18">
      <c r="A1121" s="27"/>
      <c r="B1121" s="28">
        <v>1117</v>
      </c>
      <c r="C1121" s="1">
        <f>30000000+INDEX(编号表!$B:$B,MATCH(G1121,编号表!$A:$A,0))*100000+INDEX(编号表!$F:$F,MATCH(H1121,编号表!$E:$E,0))*1000+INDEX(编号表!$D:$D,MATCH(F1121,编号表!$C:$C,0))*10000+E1121</f>
        <v>31484003</v>
      </c>
      <c r="D1121" s="23" t="s">
        <v>1184</v>
      </c>
      <c r="E1121" s="23">
        <v>3</v>
      </c>
      <c r="F1121" s="23" t="s">
        <v>1076</v>
      </c>
      <c r="G1121" s="23" t="s">
        <v>77</v>
      </c>
      <c r="H1121" s="23" t="s">
        <v>144</v>
      </c>
      <c r="I1121" s="23"/>
      <c r="J1121" s="23"/>
      <c r="K1121" s="23"/>
      <c r="L1121" s="29">
        <v>0</v>
      </c>
      <c r="M1121" s="29">
        <v>4</v>
      </c>
      <c r="N1121" s="29"/>
      <c r="O1121" s="29">
        <v>5254888</v>
      </c>
      <c r="P1121" s="29">
        <v>3878108</v>
      </c>
      <c r="Q1121" s="29">
        <v>0</v>
      </c>
      <c r="R1121" s="30">
        <v>1105397</v>
      </c>
    </row>
    <row r="1122" spans="1:18">
      <c r="A1122" s="27"/>
      <c r="B1122" s="28">
        <v>1118</v>
      </c>
      <c r="C1122" s="1">
        <f>30000000+INDEX(编号表!$B:$B,MATCH(G1122,编号表!$A:$A,0))*100000+INDEX(编号表!$F:$F,MATCH(H1122,编号表!$E:$E,0))*1000+INDEX(编号表!$D:$D,MATCH(F1122,编号表!$C:$C,0))*10000+E1122</f>
        <v>31684000</v>
      </c>
      <c r="D1122" s="23" t="s">
        <v>1185</v>
      </c>
      <c r="E1122" s="23">
        <v>0</v>
      </c>
      <c r="F1122" s="23" t="s">
        <v>1076</v>
      </c>
      <c r="G1122" s="23" t="s">
        <v>82</v>
      </c>
      <c r="H1122" s="23" t="s">
        <v>144</v>
      </c>
      <c r="I1122" s="23"/>
      <c r="J1122" s="23"/>
      <c r="K1122" s="23"/>
      <c r="L1122" s="29">
        <v>7</v>
      </c>
      <c r="M1122" s="29">
        <v>0</v>
      </c>
      <c r="N1122" s="29"/>
      <c r="O1122" s="29">
        <v>0</v>
      </c>
      <c r="P1122" s="29">
        <v>0</v>
      </c>
      <c r="Q1122" s="29">
        <v>0</v>
      </c>
      <c r="R1122" s="30">
        <v>510183</v>
      </c>
    </row>
    <row r="1123" spans="1:18">
      <c r="A1123" s="27"/>
      <c r="B1123" s="28">
        <v>1119</v>
      </c>
      <c r="C1123" s="1">
        <f>30000000+INDEX(编号表!$B:$B,MATCH(G1123,编号表!$A:$A,0))*100000+INDEX(编号表!$F:$F,MATCH(H1123,编号表!$E:$E,0))*1000+INDEX(编号表!$D:$D,MATCH(F1123,编号表!$C:$C,0))*10000+E1123</f>
        <v>31684001</v>
      </c>
      <c r="D1123" s="23" t="s">
        <v>1186</v>
      </c>
      <c r="E1123" s="23">
        <v>1</v>
      </c>
      <c r="F1123" s="23" t="s">
        <v>1076</v>
      </c>
      <c r="G1123" s="23" t="s">
        <v>82</v>
      </c>
      <c r="H1123" s="23" t="s">
        <v>144</v>
      </c>
      <c r="I1123" s="23"/>
      <c r="J1123" s="23"/>
      <c r="K1123" s="23"/>
      <c r="L1123" s="29">
        <v>8</v>
      </c>
      <c r="M1123" s="29">
        <v>0</v>
      </c>
      <c r="N1123" s="29"/>
      <c r="O1123" s="29">
        <v>0</v>
      </c>
      <c r="P1123" s="29">
        <v>0</v>
      </c>
      <c r="Q1123" s="29">
        <v>0</v>
      </c>
      <c r="R1123" s="30">
        <v>935336</v>
      </c>
    </row>
    <row r="1124" spans="1:18">
      <c r="A1124" s="27"/>
      <c r="B1124" s="28">
        <v>1120</v>
      </c>
      <c r="C1124" s="1">
        <f>30000000+INDEX(编号表!$B:$B,MATCH(G1124,编号表!$A:$A,0))*100000+INDEX(编号表!$F:$F,MATCH(H1124,编号表!$E:$E,0))*1000+INDEX(编号表!$D:$D,MATCH(F1124,编号表!$C:$C,0))*10000+E1124</f>
        <v>31684002</v>
      </c>
      <c r="D1124" s="23" t="s">
        <v>1187</v>
      </c>
      <c r="E1124" s="23">
        <v>2</v>
      </c>
      <c r="F1124" s="23" t="s">
        <v>1076</v>
      </c>
      <c r="G1124" s="23" t="s">
        <v>82</v>
      </c>
      <c r="H1124" s="23" t="s">
        <v>144</v>
      </c>
      <c r="I1124" s="23"/>
      <c r="J1124" s="23"/>
      <c r="K1124" s="23"/>
      <c r="L1124" s="29">
        <v>9</v>
      </c>
      <c r="M1124" s="29">
        <v>0</v>
      </c>
      <c r="N1124" s="29"/>
      <c r="O1124" s="29">
        <v>0</v>
      </c>
      <c r="P1124" s="29">
        <v>0</v>
      </c>
      <c r="Q1124" s="29">
        <v>0</v>
      </c>
      <c r="R1124" s="30">
        <v>1445519</v>
      </c>
    </row>
    <row r="1125" spans="1:18">
      <c r="A1125" s="27"/>
      <c r="B1125" s="28">
        <v>1121</v>
      </c>
      <c r="C1125" s="1">
        <f>30000000+INDEX(编号表!$B:$B,MATCH(G1125,编号表!$A:$A,0))*100000+INDEX(编号表!$F:$F,MATCH(H1125,编号表!$E:$E,0))*1000+INDEX(编号表!$D:$D,MATCH(F1125,编号表!$C:$C,0))*10000+E1125</f>
        <v>31285000</v>
      </c>
      <c r="D1125" s="23" t="s">
        <v>1188</v>
      </c>
      <c r="E1125" s="23">
        <v>0</v>
      </c>
      <c r="F1125" s="23" t="s">
        <v>1076</v>
      </c>
      <c r="G1125" s="23" t="s">
        <v>42</v>
      </c>
      <c r="H1125" s="23" t="s">
        <v>173</v>
      </c>
      <c r="I1125" s="23"/>
      <c r="J1125" s="23"/>
      <c r="K1125" s="23"/>
      <c r="L1125" s="29">
        <v>0</v>
      </c>
      <c r="M1125" s="29">
        <v>0</v>
      </c>
      <c r="N1125" s="29"/>
      <c r="O1125" s="29">
        <v>15305500</v>
      </c>
      <c r="P1125" s="29">
        <v>6397699</v>
      </c>
      <c r="Q1125" s="29">
        <v>76527504</v>
      </c>
      <c r="R1125" s="30">
        <v>1377495</v>
      </c>
    </row>
    <row r="1126" spans="1:18">
      <c r="A1126" s="27"/>
      <c r="B1126" s="28">
        <v>1122</v>
      </c>
      <c r="C1126" s="1">
        <f>30000000+INDEX(编号表!$B:$B,MATCH(G1126,编号表!$A:$A,0))*100000+INDEX(编号表!$F:$F,MATCH(H1126,编号表!$E:$E,0))*1000+INDEX(编号表!$D:$D,MATCH(F1126,编号表!$C:$C,0))*10000+E1126</f>
        <v>31385000</v>
      </c>
      <c r="D1126" s="23" t="s">
        <v>1189</v>
      </c>
      <c r="E1126" s="23">
        <v>0</v>
      </c>
      <c r="F1126" s="23" t="s">
        <v>1076</v>
      </c>
      <c r="G1126" s="23" t="s">
        <v>45</v>
      </c>
      <c r="H1126" s="23" t="s">
        <v>173</v>
      </c>
      <c r="I1126" s="23" t="s">
        <v>46</v>
      </c>
      <c r="J1126" s="23"/>
      <c r="K1126" s="23"/>
      <c r="L1126" s="29">
        <v>0</v>
      </c>
      <c r="M1126" s="29">
        <v>-2</v>
      </c>
      <c r="N1126" s="29"/>
      <c r="O1126" s="29">
        <v>9145036</v>
      </c>
      <c r="P1126" s="29">
        <v>3822626</v>
      </c>
      <c r="Q1126" s="29">
        <v>0</v>
      </c>
      <c r="R1126" s="30">
        <v>1071385</v>
      </c>
    </row>
    <row r="1127" spans="1:18">
      <c r="A1127" s="27"/>
      <c r="B1127" s="28">
        <v>1123</v>
      </c>
      <c r="C1127" s="1">
        <f>30000000+INDEX(编号表!$B:$B,MATCH(G1127,编号表!$A:$A,0))*100000+INDEX(编号表!$F:$F,MATCH(H1127,编号表!$E:$E,0))*1000+INDEX(编号表!$D:$D,MATCH(F1127,编号表!$C:$C,0))*10000+E1127</f>
        <v>31385001</v>
      </c>
      <c r="D1127" s="23" t="s">
        <v>1190</v>
      </c>
      <c r="E1127" s="23">
        <v>1</v>
      </c>
      <c r="F1127" s="23" t="s">
        <v>1076</v>
      </c>
      <c r="G1127" s="23" t="s">
        <v>45</v>
      </c>
      <c r="H1127" s="23" t="s">
        <v>173</v>
      </c>
      <c r="I1127" s="23" t="s">
        <v>46</v>
      </c>
      <c r="J1127" s="23"/>
      <c r="K1127" s="23"/>
      <c r="L1127" s="29">
        <v>0</v>
      </c>
      <c r="M1127" s="29">
        <v>3</v>
      </c>
      <c r="N1127" s="29"/>
      <c r="O1127" s="29">
        <v>9772562</v>
      </c>
      <c r="P1127" s="29">
        <v>5050461</v>
      </c>
      <c r="Q1127" s="29">
        <v>0</v>
      </c>
      <c r="R1127" s="30">
        <v>1377495</v>
      </c>
    </row>
    <row r="1128" spans="1:18">
      <c r="A1128" s="27"/>
      <c r="B1128" s="28">
        <v>1124</v>
      </c>
      <c r="C1128" s="1">
        <f>30000000+INDEX(编号表!$B:$B,MATCH(G1128,编号表!$A:$A,0))*100000+INDEX(编号表!$F:$F,MATCH(H1128,编号表!$E:$E,0))*1000+INDEX(编号表!$D:$D,MATCH(F1128,编号表!$C:$C,0))*10000+E1128</f>
        <v>31385002</v>
      </c>
      <c r="D1128" s="23" t="s">
        <v>1191</v>
      </c>
      <c r="E1128" s="23">
        <v>2</v>
      </c>
      <c r="F1128" s="23" t="s">
        <v>1076</v>
      </c>
      <c r="G1128" s="23" t="s">
        <v>45</v>
      </c>
      <c r="H1128" s="23" t="s">
        <v>173</v>
      </c>
      <c r="I1128" s="23" t="s">
        <v>49</v>
      </c>
      <c r="J1128" s="23"/>
      <c r="K1128" s="23"/>
      <c r="L1128" s="29">
        <v>0</v>
      </c>
      <c r="M1128" s="29">
        <v>-1</v>
      </c>
      <c r="N1128" s="29"/>
      <c r="O1128" s="29">
        <v>8670566</v>
      </c>
      <c r="P1128" s="29">
        <v>2372267</v>
      </c>
      <c r="Q1128" s="29">
        <v>0</v>
      </c>
      <c r="R1128" s="30">
        <v>1492286</v>
      </c>
    </row>
    <row r="1129" spans="1:18">
      <c r="A1129" s="27"/>
      <c r="B1129" s="28">
        <v>1125</v>
      </c>
      <c r="C1129" s="1">
        <f>30000000+INDEX(编号表!$B:$B,MATCH(G1129,编号表!$A:$A,0))*100000+INDEX(编号表!$F:$F,MATCH(H1129,编号表!$E:$E,0))*1000+INDEX(编号表!$D:$D,MATCH(F1129,编号表!$C:$C,0))*10000+E1129</f>
        <v>31385003</v>
      </c>
      <c r="D1129" s="23" t="s">
        <v>1192</v>
      </c>
      <c r="E1129" s="23">
        <v>3</v>
      </c>
      <c r="F1129" s="23" t="s">
        <v>1076</v>
      </c>
      <c r="G1129" s="23" t="s">
        <v>45</v>
      </c>
      <c r="H1129" s="23" t="s">
        <v>173</v>
      </c>
      <c r="I1129" s="23" t="s">
        <v>49</v>
      </c>
      <c r="J1129" s="23"/>
      <c r="K1129" s="23"/>
      <c r="L1129" s="29">
        <v>0</v>
      </c>
      <c r="M1129" s="29">
        <v>2</v>
      </c>
      <c r="N1129" s="29"/>
      <c r="O1129" s="29">
        <v>9145036</v>
      </c>
      <c r="P1129" s="29">
        <v>5699187</v>
      </c>
      <c r="Q1129" s="29">
        <v>0</v>
      </c>
      <c r="R1129" s="30">
        <v>459165</v>
      </c>
    </row>
    <row r="1130" spans="1:18">
      <c r="A1130" s="27"/>
      <c r="B1130" s="28">
        <v>1126</v>
      </c>
      <c r="C1130" s="1">
        <f>30000000+INDEX(编号表!$B:$B,MATCH(G1130,编号表!$A:$A,0))*100000+INDEX(编号表!$F:$F,MATCH(H1130,编号表!$E:$E,0))*1000+INDEX(编号表!$D:$D,MATCH(F1130,编号表!$C:$C,0))*10000+E1130</f>
        <v>31385004</v>
      </c>
      <c r="D1130" s="23" t="s">
        <v>1193</v>
      </c>
      <c r="E1130" s="23">
        <v>4</v>
      </c>
      <c r="F1130" s="23" t="s">
        <v>1076</v>
      </c>
      <c r="G1130" s="23" t="s">
        <v>45</v>
      </c>
      <c r="H1130" s="23" t="s">
        <v>173</v>
      </c>
      <c r="I1130" s="23" t="s">
        <v>52</v>
      </c>
      <c r="J1130" s="23"/>
      <c r="K1130" s="23"/>
      <c r="L1130" s="29">
        <v>0</v>
      </c>
      <c r="M1130" s="29">
        <v>-1</v>
      </c>
      <c r="N1130" s="29"/>
      <c r="O1130" s="29">
        <v>9145036</v>
      </c>
      <c r="P1130" s="29">
        <v>4726155</v>
      </c>
      <c r="Q1130" s="29">
        <v>0</v>
      </c>
      <c r="R1130" s="30">
        <v>1109648</v>
      </c>
    </row>
    <row r="1131" spans="1:18">
      <c r="A1131" s="27"/>
      <c r="B1131" s="28">
        <v>1127</v>
      </c>
      <c r="C1131" s="1">
        <f>30000000+INDEX(编号表!$B:$B,MATCH(G1131,编号表!$A:$A,0))*100000+INDEX(编号表!$F:$F,MATCH(H1131,编号表!$E:$E,0))*1000+INDEX(编号表!$D:$D,MATCH(F1131,编号表!$C:$C,0))*10000+E1131</f>
        <v>31385005</v>
      </c>
      <c r="D1131" s="23" t="inlineStr">
        <is>
          <t xml:space="preserve">百万载沸泉苔·神株</t>
        </is>
      </c>
      <c r="E1131" s="23">
        <v>5</v>
      </c>
      <c r="F1131" s="23" t="s">
        <v>1076</v>
      </c>
      <c r="G1131" s="23" t="s">
        <v>45</v>
      </c>
      <c r="H1131" s="23" t="s">
        <v>173</v>
      </c>
      <c r="I1131" s="23" t="s">
        <v>52</v>
      </c>
      <c r="J1131" s="23"/>
      <c r="K1131" s="23"/>
      <c r="L1131" s="29">
        <v>0</v>
      </c>
      <c r="M1131" s="29">
        <v>4</v>
      </c>
      <c r="N1131" s="29"/>
      <c r="O1131" s="29">
        <v>9458799</v>
      </c>
      <c r="P1131" s="29">
        <v>5894724</v>
      </c>
      <c r="Q1131" s="29">
        <v>0</v>
      </c>
      <c r="R1131" s="30">
        <v>1989715</v>
      </c>
    </row>
    <row r="1132" spans="1:18">
      <c r="A1132" s="27"/>
      <c r="B1132" s="28">
        <v>1128</v>
      </c>
      <c r="C1132" s="1">
        <f>30000000+INDEX(编号表!$B:$B,MATCH(G1132,编号表!$A:$A,0))*100000+INDEX(编号表!$F:$F,MATCH(H1132,编号表!$E:$E,0))*1000+INDEX(编号表!$D:$D,MATCH(F1132,编号表!$C:$C,0))*10000+E1132</f>
        <v>31385006</v>
      </c>
      <c r="D1132" s="23" t="inlineStr">
        <is>
          <t xml:space="preserve">百万载丹露花·神株</t>
        </is>
      </c>
      <c r="E1132" s="23">
        <v>6</v>
      </c>
      <c r="F1132" s="23" t="s">
        <v>1076</v>
      </c>
      <c r="G1132" s="23" t="s">
        <v>45</v>
      </c>
      <c r="H1132" s="23" t="s">
        <v>173</v>
      </c>
      <c r="I1132" s="23" t="s">
        <v>55</v>
      </c>
      <c r="J1132" s="23"/>
      <c r="K1132" s="23"/>
      <c r="L1132" s="29">
        <v>0</v>
      </c>
      <c r="M1132" s="29">
        <v>-1</v>
      </c>
      <c r="N1132" s="29"/>
      <c r="O1132" s="29">
        <v>9458799</v>
      </c>
      <c r="P1132" s="29">
        <v>2012833</v>
      </c>
      <c r="Q1132" s="29">
        <v>0</v>
      </c>
      <c r="R1132" s="30">
        <v>3214155</v>
      </c>
    </row>
    <row r="1133" spans="1:18">
      <c r="A1133" s="27"/>
      <c r="B1133" s="28">
        <v>1129</v>
      </c>
      <c r="C1133" s="1">
        <f>30000000+INDEX(编号表!$B:$B,MATCH(G1133,编号表!$A:$A,0))*100000+INDEX(编号表!$F:$F,MATCH(H1133,编号表!$E:$E,0))*1000+INDEX(编号表!$D:$D,MATCH(F1133,编号表!$C:$C,0))*10000+E1133</f>
        <v>31385007</v>
      </c>
      <c r="D1133" s="23" t="s">
        <v>1196</v>
      </c>
      <c r="E1133" s="23">
        <v>7</v>
      </c>
      <c r="F1133" s="23" t="s">
        <v>1076</v>
      </c>
      <c r="G1133" s="23" t="s">
        <v>45</v>
      </c>
      <c r="H1133" s="23" t="s">
        <v>173</v>
      </c>
      <c r="I1133" s="23" t="s">
        <v>55</v>
      </c>
      <c r="J1133" s="23"/>
      <c r="K1133" s="23"/>
      <c r="L1133" s="29">
        <v>0</v>
      </c>
      <c r="M1133" s="29">
        <v>2</v>
      </c>
      <c r="N1133" s="29"/>
      <c r="O1133" s="29">
        <v>9145036</v>
      </c>
      <c r="P1133" s="29">
        <v>5699187</v>
      </c>
      <c r="Q1133" s="29">
        <v>0</v>
      </c>
      <c r="R1133" s="30">
        <v>459165</v>
      </c>
    </row>
    <row r="1134" spans="1:18">
      <c r="A1134" s="27"/>
      <c r="B1134" s="28">
        <v>1130</v>
      </c>
      <c r="C1134" s="1">
        <f>30000000+INDEX(编号表!$B:$B,MATCH(G1134,编号表!$A:$A,0))*100000+INDEX(编号表!$F:$F,MATCH(H1134,编号表!$E:$E,0))*1000+INDEX(编号表!$D:$D,MATCH(F1134,编号表!$C:$C,0))*10000+E1134</f>
        <v>31385008</v>
      </c>
      <c r="D1134" s="23" t="s">
        <v>1197</v>
      </c>
      <c r="E1134" s="23">
        <v>8</v>
      </c>
      <c r="F1134" s="23" t="s">
        <v>1076</v>
      </c>
      <c r="G1134" s="23" t="s">
        <v>45</v>
      </c>
      <c r="H1134" s="23" t="s">
        <v>173</v>
      </c>
      <c r="I1134" s="23" t="s">
        <v>58</v>
      </c>
      <c r="J1134" s="23"/>
      <c r="K1134" s="23"/>
      <c r="L1134" s="29">
        <v>0</v>
      </c>
      <c r="M1134" s="29">
        <v>-2</v>
      </c>
      <c r="N1134" s="29"/>
      <c r="O1134" s="29">
        <v>9145036</v>
      </c>
      <c r="P1134" s="29">
        <v>3822626</v>
      </c>
      <c r="Q1134" s="29">
        <v>0</v>
      </c>
      <c r="R1134" s="30">
        <v>1071385</v>
      </c>
    </row>
    <row r="1135" spans="1:18">
      <c r="A1135" s="27"/>
      <c r="B1135" s="28">
        <v>1131</v>
      </c>
      <c r="C1135" s="1">
        <f>30000000+INDEX(编号表!$B:$B,MATCH(G1135,编号表!$A:$A,0))*100000+INDEX(编号表!$F:$F,MATCH(H1135,编号表!$E:$E,0))*1000+INDEX(编号表!$D:$D,MATCH(F1135,编号表!$C:$C,0))*10000+E1135</f>
        <v>31385009</v>
      </c>
      <c r="D1135" s="23" t="s">
        <v>1198</v>
      </c>
      <c r="E1135" s="23">
        <v>9</v>
      </c>
      <c r="F1135" s="23" t="s">
        <v>1076</v>
      </c>
      <c r="G1135" s="23" t="s">
        <v>45</v>
      </c>
      <c r="H1135" s="23" t="s">
        <v>173</v>
      </c>
      <c r="I1135" s="23" t="s">
        <v>58</v>
      </c>
      <c r="J1135" s="23"/>
      <c r="K1135" s="23"/>
      <c r="L1135" s="29">
        <v>0</v>
      </c>
      <c r="M1135" s="29">
        <v>1</v>
      </c>
      <c r="N1135" s="29"/>
      <c r="O1135" s="29">
        <v>8670566</v>
      </c>
      <c r="P1135" s="29">
        <v>2372267</v>
      </c>
      <c r="Q1135" s="29">
        <v>0</v>
      </c>
      <c r="R1135" s="30">
        <v>1492286</v>
      </c>
    </row>
    <row r="1136" spans="1:18">
      <c r="A1136" s="27"/>
      <c r="B1136" s="28">
        <v>1132</v>
      </c>
      <c r="C1136" s="1">
        <f>30000000+INDEX(编号表!$B:$B,MATCH(G1136,编号表!$A:$A,0))*100000+INDEX(编号表!$F:$F,MATCH(H1136,编号表!$E:$E,0))*1000+INDEX(编号表!$D:$D,MATCH(F1136,编号表!$C:$C,0))*10000+E1136</f>
        <v>31585000</v>
      </c>
      <c r="D1136" s="23" t="inlineStr">
        <is>
          <t xml:space="preserve">百万载霜辛草·神株</t>
        </is>
      </c>
      <c r="E1136" s="23">
        <v>0</v>
      </c>
      <c r="F1136" s="23" t="s">
        <v>1076</v>
      </c>
      <c r="G1136" s="23" t="s">
        <v>61</v>
      </c>
      <c r="H1136" s="23" t="s">
        <v>173</v>
      </c>
      <c r="I1136" s="23"/>
      <c r="J1136" s="23" t="s">
        <v>62</v>
      </c>
      <c r="K1136" s="23"/>
      <c r="L1136" s="29">
        <v>0</v>
      </c>
      <c r="M1136" s="29">
        <v>-2</v>
      </c>
      <c r="N1136" s="29"/>
      <c r="O1136" s="29">
        <v>9145036</v>
      </c>
      <c r="P1136" s="29">
        <v>3822626</v>
      </c>
      <c r="Q1136" s="29">
        <v>0</v>
      </c>
      <c r="R1136" s="30">
        <v>1071385</v>
      </c>
    </row>
    <row r="1137" spans="1:18">
      <c r="A1137" s="27"/>
      <c r="B1137" s="28">
        <v>1133</v>
      </c>
      <c r="C1137" s="1">
        <f>30000000+INDEX(编号表!$B:$B,MATCH(G1137,编号表!$A:$A,0))*100000+INDEX(编号表!$F:$F,MATCH(H1137,编号表!$E:$E,0))*1000+INDEX(编号表!$D:$D,MATCH(F1137,编号表!$C:$C,0))*10000+E1137</f>
        <v>31585001</v>
      </c>
      <c r="D1137" s="23" t="s">
        <v>1200</v>
      </c>
      <c r="E1137" s="23">
        <v>1</v>
      </c>
      <c r="F1137" s="23" t="s">
        <v>1076</v>
      </c>
      <c r="G1137" s="23" t="s">
        <v>61</v>
      </c>
      <c r="H1137" s="23" t="s">
        <v>173</v>
      </c>
      <c r="I1137" s="23"/>
      <c r="J1137" s="23" t="s">
        <v>62</v>
      </c>
      <c r="K1137" s="23"/>
      <c r="L1137" s="29">
        <v>0</v>
      </c>
      <c r="M1137" s="29">
        <v>3</v>
      </c>
      <c r="N1137" s="29"/>
      <c r="O1137" s="29">
        <v>9772562</v>
      </c>
      <c r="P1137" s="29">
        <v>5050461</v>
      </c>
      <c r="Q1137" s="29">
        <v>0</v>
      </c>
      <c r="R1137" s="30">
        <v>1377495</v>
      </c>
    </row>
    <row r="1138" spans="1:18">
      <c r="A1138" s="27"/>
      <c r="B1138" s="28">
        <v>1134</v>
      </c>
      <c r="C1138" s="1">
        <f>30000000+INDEX(编号表!$B:$B,MATCH(G1138,编号表!$A:$A,0))*100000+INDEX(编号表!$F:$F,MATCH(H1138,编号表!$E:$E,0))*1000+INDEX(编号表!$D:$D,MATCH(F1138,编号表!$C:$C,0))*10000+E1138</f>
        <v>31585002</v>
      </c>
      <c r="D1138" s="23" t="s">
        <v>1201</v>
      </c>
      <c r="E1138" s="23">
        <v>2</v>
      </c>
      <c r="F1138" s="23" t="s">
        <v>1076</v>
      </c>
      <c r="G1138" s="23" t="s">
        <v>61</v>
      </c>
      <c r="H1138" s="23" t="s">
        <v>173</v>
      </c>
      <c r="I1138" s="23"/>
      <c r="J1138" s="23" t="s">
        <v>65</v>
      </c>
      <c r="K1138" s="23"/>
      <c r="L1138" s="29">
        <v>0</v>
      </c>
      <c r="M1138" s="29">
        <v>-1</v>
      </c>
      <c r="N1138" s="29"/>
      <c r="O1138" s="29">
        <v>8670566</v>
      </c>
      <c r="P1138" s="29">
        <v>2372267</v>
      </c>
      <c r="Q1138" s="29">
        <v>0</v>
      </c>
      <c r="R1138" s="30">
        <v>1492286</v>
      </c>
    </row>
    <row r="1139" spans="1:18">
      <c r="A1139" s="27"/>
      <c r="B1139" s="28">
        <v>1135</v>
      </c>
      <c r="C1139" s="1">
        <f>30000000+INDEX(编号表!$B:$B,MATCH(G1139,编号表!$A:$A,0))*100000+INDEX(编号表!$F:$F,MATCH(H1139,编号表!$E:$E,0))*1000+INDEX(编号表!$D:$D,MATCH(F1139,编号表!$C:$C,0))*10000+E1139</f>
        <v>31585003</v>
      </c>
      <c r="D1139" s="23" t="s">
        <v>1202</v>
      </c>
      <c r="E1139" s="23">
        <v>3</v>
      </c>
      <c r="F1139" s="23" t="s">
        <v>1076</v>
      </c>
      <c r="G1139" s="23" t="s">
        <v>61</v>
      </c>
      <c r="H1139" s="23" t="s">
        <v>173</v>
      </c>
      <c r="I1139" s="23"/>
      <c r="J1139" s="23" t="s">
        <v>65</v>
      </c>
      <c r="K1139" s="23"/>
      <c r="L1139" s="29">
        <v>0</v>
      </c>
      <c r="M1139" s="29">
        <v>2</v>
      </c>
      <c r="N1139" s="29"/>
      <c r="O1139" s="29">
        <v>9145036</v>
      </c>
      <c r="P1139" s="29">
        <v>5699187</v>
      </c>
      <c r="Q1139" s="29">
        <v>0</v>
      </c>
      <c r="R1139" s="30">
        <v>459165</v>
      </c>
    </row>
    <row r="1140" spans="1:18">
      <c r="A1140" s="27"/>
      <c r="B1140" s="28">
        <v>1136</v>
      </c>
      <c r="C1140" s="1">
        <f>30000000+INDEX(编号表!$B:$B,MATCH(G1140,编号表!$A:$A,0))*100000+INDEX(编号表!$F:$F,MATCH(H1140,编号表!$E:$E,0))*1000+INDEX(编号表!$D:$D,MATCH(F1140,编号表!$C:$C,0))*10000+E1140</f>
        <v>31585004</v>
      </c>
      <c r="D1140" s="23" t="s">
        <v>1203</v>
      </c>
      <c r="E1140" s="23">
        <v>4</v>
      </c>
      <c r="F1140" s="23" t="s">
        <v>1076</v>
      </c>
      <c r="G1140" s="23" t="s">
        <v>61</v>
      </c>
      <c r="H1140" s="23" t="s">
        <v>173</v>
      </c>
      <c r="I1140" s="23"/>
      <c r="J1140" s="23" t="s">
        <v>68</v>
      </c>
      <c r="K1140" s="23"/>
      <c r="L1140" s="29">
        <v>0</v>
      </c>
      <c r="M1140" s="29">
        <v>-1</v>
      </c>
      <c r="N1140" s="29"/>
      <c r="O1140" s="29">
        <v>9145036</v>
      </c>
      <c r="P1140" s="29">
        <v>4726155</v>
      </c>
      <c r="Q1140" s="29">
        <v>0</v>
      </c>
      <c r="R1140" s="30">
        <v>1109648</v>
      </c>
    </row>
    <row r="1141" spans="1:18">
      <c r="A1141" s="27"/>
      <c r="B1141" s="28">
        <v>1137</v>
      </c>
      <c r="C1141" s="1">
        <f>30000000+INDEX(编号表!$B:$B,MATCH(G1141,编号表!$A:$A,0))*100000+INDEX(编号表!$F:$F,MATCH(H1141,编号表!$E:$E,0))*1000+INDEX(编号表!$D:$D,MATCH(F1141,编号表!$C:$C,0))*10000+E1141</f>
        <v>31585005</v>
      </c>
      <c r="D1141" s="23" t="s">
        <v>1204</v>
      </c>
      <c r="E1141" s="23">
        <v>5</v>
      </c>
      <c r="F1141" s="23" t="s">
        <v>1076</v>
      </c>
      <c r="G1141" s="23" t="s">
        <v>61</v>
      </c>
      <c r="H1141" s="23" t="s">
        <v>173</v>
      </c>
      <c r="I1141" s="23"/>
      <c r="J1141" s="23" t="s">
        <v>68</v>
      </c>
      <c r="K1141" s="23"/>
      <c r="L1141" s="29">
        <v>0</v>
      </c>
      <c r="M1141" s="29">
        <v>4</v>
      </c>
      <c r="N1141" s="29"/>
      <c r="O1141" s="29">
        <v>9458799</v>
      </c>
      <c r="P1141" s="29">
        <v>5894724</v>
      </c>
      <c r="Q1141" s="29">
        <v>0</v>
      </c>
      <c r="R1141" s="30">
        <v>1989715</v>
      </c>
    </row>
    <row r="1142" spans="1:18">
      <c r="A1142" s="27"/>
      <c r="B1142" s="28">
        <v>1138</v>
      </c>
      <c r="C1142" s="1">
        <f>30000000+INDEX(编号表!$B:$B,MATCH(G1142,编号表!$A:$A,0))*100000+INDEX(编号表!$F:$F,MATCH(H1142,编号表!$E:$E,0))*1000+INDEX(编号表!$D:$D,MATCH(F1142,编号表!$C:$C,0))*10000+E1142</f>
        <v>31585006</v>
      </c>
      <c r="D1142" s="23" t="s">
        <v>1205</v>
      </c>
      <c r="E1142" s="23">
        <v>6</v>
      </c>
      <c r="F1142" s="23" t="s">
        <v>1076</v>
      </c>
      <c r="G1142" s="23" t="s">
        <v>61</v>
      </c>
      <c r="H1142" s="23" t="s">
        <v>173</v>
      </c>
      <c r="I1142" s="23"/>
      <c r="J1142" s="23" t="s">
        <v>71</v>
      </c>
      <c r="K1142" s="23"/>
      <c r="L1142" s="29">
        <v>0</v>
      </c>
      <c r="M1142" s="29">
        <v>-1</v>
      </c>
      <c r="N1142" s="29"/>
      <c r="O1142" s="29">
        <v>9458799</v>
      </c>
      <c r="P1142" s="29">
        <v>2012833</v>
      </c>
      <c r="Q1142" s="29">
        <v>0</v>
      </c>
      <c r="R1142" s="30">
        <v>3214155</v>
      </c>
    </row>
    <row r="1143" spans="1:18">
      <c r="A1143" s="27"/>
      <c r="B1143" s="28">
        <v>1139</v>
      </c>
      <c r="C1143" s="1">
        <f>30000000+INDEX(编号表!$B:$B,MATCH(G1143,编号表!$A:$A,0))*100000+INDEX(编号表!$F:$F,MATCH(H1143,编号表!$E:$E,0))*1000+INDEX(编号表!$D:$D,MATCH(F1143,编号表!$C:$C,0))*10000+E1143</f>
        <v>31585007</v>
      </c>
      <c r="D1143" s="23" t="s">
        <v>1206</v>
      </c>
      <c r="E1143" s="23">
        <v>7</v>
      </c>
      <c r="F1143" s="23" t="s">
        <v>1076</v>
      </c>
      <c r="G1143" s="23" t="s">
        <v>61</v>
      </c>
      <c r="H1143" s="23" t="s">
        <v>173</v>
      </c>
      <c r="I1143" s="23"/>
      <c r="J1143" s="23" t="s">
        <v>71</v>
      </c>
      <c r="K1143" s="23"/>
      <c r="L1143" s="29">
        <v>0</v>
      </c>
      <c r="M1143" s="29">
        <v>2</v>
      </c>
      <c r="N1143" s="29"/>
      <c r="O1143" s="29">
        <v>9145036</v>
      </c>
      <c r="P1143" s="29">
        <v>5699187</v>
      </c>
      <c r="Q1143" s="29">
        <v>0</v>
      </c>
      <c r="R1143" s="30">
        <v>459165</v>
      </c>
    </row>
    <row r="1144" spans="1:18">
      <c r="A1144" s="27"/>
      <c r="B1144" s="28">
        <v>1140</v>
      </c>
      <c r="C1144" s="1">
        <f>30000000+INDEX(编号表!$B:$B,MATCH(G1144,编号表!$A:$A,0))*100000+INDEX(编号表!$F:$F,MATCH(H1144,编号表!$E:$E,0))*1000+INDEX(编号表!$D:$D,MATCH(F1144,编号表!$C:$C,0))*10000+E1144</f>
        <v>31585008</v>
      </c>
      <c r="D1144" s="23" t="s">
        <v>1207</v>
      </c>
      <c r="E1144" s="23">
        <v>8</v>
      </c>
      <c r="F1144" s="23" t="s">
        <v>1076</v>
      </c>
      <c r="G1144" s="23" t="s">
        <v>61</v>
      </c>
      <c r="H1144" s="23" t="s">
        <v>173</v>
      </c>
      <c r="I1144" s="23"/>
      <c r="J1144" s="23" t="s">
        <v>74</v>
      </c>
      <c r="K1144" s="23"/>
      <c r="L1144" s="29">
        <v>0</v>
      </c>
      <c r="M1144" s="29">
        <v>-2</v>
      </c>
      <c r="N1144" s="29"/>
      <c r="O1144" s="29">
        <v>9145036</v>
      </c>
      <c r="P1144" s="29">
        <v>3822626</v>
      </c>
      <c r="Q1144" s="29">
        <v>0</v>
      </c>
      <c r="R1144" s="30">
        <v>1071385</v>
      </c>
    </row>
    <row r="1145" spans="1:18">
      <c r="A1145" s="27"/>
      <c r="B1145" s="28">
        <v>1141</v>
      </c>
      <c r="C1145" s="1">
        <f>30000000+INDEX(编号表!$B:$B,MATCH(G1145,编号表!$A:$A,0))*100000+INDEX(编号表!$F:$F,MATCH(H1145,编号表!$E:$E,0))*1000+INDEX(编号表!$D:$D,MATCH(F1145,编号表!$C:$C,0))*10000+E1145</f>
        <v>31585009</v>
      </c>
      <c r="D1145" s="23" t="s">
        <v>1208</v>
      </c>
      <c r="E1145" s="23">
        <v>9</v>
      </c>
      <c r="F1145" s="23" t="s">
        <v>1076</v>
      </c>
      <c r="G1145" s="23" t="s">
        <v>61</v>
      </c>
      <c r="H1145" s="23" t="s">
        <v>173</v>
      </c>
      <c r="I1145" s="23"/>
      <c r="J1145" s="23" t="s">
        <v>74</v>
      </c>
      <c r="K1145" s="23"/>
      <c r="L1145" s="29">
        <v>0</v>
      </c>
      <c r="M1145" s="29">
        <v>1</v>
      </c>
      <c r="N1145" s="29"/>
      <c r="O1145" s="29">
        <v>8670566</v>
      </c>
      <c r="P1145" s="29">
        <v>2372267</v>
      </c>
      <c r="Q1145" s="29">
        <v>0</v>
      </c>
      <c r="R1145" s="30">
        <v>1492286</v>
      </c>
    </row>
    <row r="1146" spans="1:18">
      <c r="A1146" s="27"/>
      <c r="B1146" s="28">
        <v>1142</v>
      </c>
      <c r="C1146" s="1">
        <f>30000000+INDEX(编号表!$B:$B,MATCH(G1146,编号表!$A:$A,0))*100000+INDEX(编号表!$F:$F,MATCH(H1146,编号表!$E:$E,0))*1000+INDEX(编号表!$D:$D,MATCH(F1146,编号表!$C:$C,0))*10000+E1146</f>
        <v>31485000</v>
      </c>
      <c r="D1146" s="23" t="s">
        <v>1209</v>
      </c>
      <c r="E1146" s="23">
        <v>0</v>
      </c>
      <c r="F1146" s="23" t="s">
        <v>1076</v>
      </c>
      <c r="G1146" s="23" t="s">
        <v>77</v>
      </c>
      <c r="H1146" s="23" t="s">
        <v>173</v>
      </c>
      <c r="I1146" s="23"/>
      <c r="J1146" s="23"/>
      <c r="K1146" s="23"/>
      <c r="L1146" s="29">
        <v>0</v>
      </c>
      <c r="M1146" s="29">
        <v>0</v>
      </c>
      <c r="N1146" s="29"/>
      <c r="O1146" s="29">
        <v>8670566</v>
      </c>
      <c r="P1146" s="29">
        <v>1845097</v>
      </c>
      <c r="Q1146" s="29">
        <v>0</v>
      </c>
      <c r="R1146" s="30">
        <v>1760132</v>
      </c>
    </row>
    <row r="1147" spans="1:18">
      <c r="A1147" s="27"/>
      <c r="B1147" s="28">
        <v>1143</v>
      </c>
      <c r="C1147" s="1">
        <f>30000000+INDEX(编号表!$B:$B,MATCH(G1147,编号表!$A:$A,0))*100000+INDEX(编号表!$F:$F,MATCH(H1147,编号表!$E:$E,0))*1000+INDEX(编号表!$D:$D,MATCH(F1147,编号表!$C:$C,0))*10000+E1147</f>
        <v>31485001</v>
      </c>
      <c r="D1147" s="23" t="s">
        <v>1210</v>
      </c>
      <c r="E1147" s="23">
        <v>1</v>
      </c>
      <c r="F1147" s="23" t="s">
        <v>1076</v>
      </c>
      <c r="G1147" s="23" t="s">
        <v>77</v>
      </c>
      <c r="H1147" s="23" t="s">
        <v>173</v>
      </c>
      <c r="I1147" s="23"/>
      <c r="J1147" s="23"/>
      <c r="K1147" s="23"/>
      <c r="L1147" s="29">
        <v>0</v>
      </c>
      <c r="M1147" s="29">
        <v>0</v>
      </c>
      <c r="N1147" s="29"/>
      <c r="O1147" s="29">
        <v>9772562</v>
      </c>
      <c r="P1147" s="29">
        <v>6090261</v>
      </c>
      <c r="Q1147" s="29">
        <v>0</v>
      </c>
      <c r="R1147" s="30">
        <v>612220</v>
      </c>
    </row>
    <row r="1148" spans="1:18">
      <c r="A1148" s="27"/>
      <c r="B1148" s="28">
        <v>1144</v>
      </c>
      <c r="C1148" s="1">
        <f>30000000+INDEX(编号表!$B:$B,MATCH(G1148,编号表!$A:$A,0))*100000+INDEX(编号表!$F:$F,MATCH(H1148,编号表!$E:$E,0))*1000+INDEX(编号表!$D:$D,MATCH(F1148,编号表!$C:$C,0))*10000+E1148</f>
        <v>31485002</v>
      </c>
      <c r="D1148" s="23" t="s">
        <v>1211</v>
      </c>
      <c r="E1148" s="23">
        <v>2</v>
      </c>
      <c r="F1148" s="23" t="s">
        <v>1076</v>
      </c>
      <c r="G1148" s="23" t="s">
        <v>77</v>
      </c>
      <c r="H1148" s="23" t="s">
        <v>173</v>
      </c>
      <c r="I1148" s="23"/>
      <c r="J1148" s="23"/>
      <c r="K1148" s="23"/>
      <c r="L1148" s="29">
        <v>0</v>
      </c>
      <c r="M1148" s="29">
        <v>1</v>
      </c>
      <c r="N1148" s="29"/>
      <c r="O1148" s="29">
        <v>9458799</v>
      </c>
      <c r="P1148" s="29">
        <v>2012833</v>
      </c>
      <c r="Q1148" s="29">
        <v>0</v>
      </c>
      <c r="R1148" s="30">
        <v>3214155</v>
      </c>
    </row>
    <row r="1149" spans="1:18">
      <c r="A1149" s="27"/>
      <c r="B1149" s="28">
        <v>1145</v>
      </c>
      <c r="C1149" s="1">
        <f>30000000+INDEX(编号表!$B:$B,MATCH(G1149,编号表!$A:$A,0))*100000+INDEX(编号表!$F:$F,MATCH(H1149,编号表!$E:$E,0))*1000+INDEX(编号表!$D:$D,MATCH(F1149,编号表!$C:$C,0))*10000+E1149</f>
        <v>31485003</v>
      </c>
      <c r="D1149" s="23" t="s">
        <v>1212</v>
      </c>
      <c r="E1149" s="23">
        <v>3</v>
      </c>
      <c r="F1149" s="23" t="s">
        <v>1076</v>
      </c>
      <c r="G1149" s="23" t="s">
        <v>77</v>
      </c>
      <c r="H1149" s="23" t="s">
        <v>173</v>
      </c>
      <c r="I1149" s="23"/>
      <c r="J1149" s="23"/>
      <c r="K1149" s="23"/>
      <c r="L1149" s="29">
        <v>0</v>
      </c>
      <c r="M1149" s="29">
        <v>4</v>
      </c>
      <c r="N1149" s="29"/>
      <c r="O1149" s="29">
        <v>9458799</v>
      </c>
      <c r="P1149" s="29">
        <v>5894724</v>
      </c>
      <c r="Q1149" s="29">
        <v>0</v>
      </c>
      <c r="R1149" s="30">
        <v>1989715</v>
      </c>
    </row>
    <row r="1150" spans="1:18">
      <c r="A1150" s="27"/>
      <c r="B1150" s="28">
        <v>1146</v>
      </c>
      <c r="C1150" s="1">
        <f>30000000+INDEX(编号表!$B:$B,MATCH(G1150,编号表!$A:$A,0))*100000+INDEX(编号表!$F:$F,MATCH(H1150,编号表!$E:$E,0))*1000+INDEX(编号表!$D:$D,MATCH(F1150,编号表!$C:$C,0))*10000+E1150</f>
        <v>31685000</v>
      </c>
      <c r="D1150" s="23" t="s">
        <v>1213</v>
      </c>
      <c r="E1150" s="23">
        <v>0</v>
      </c>
      <c r="F1150" s="23" t="s">
        <v>1076</v>
      </c>
      <c r="G1150" s="23" t="s">
        <v>82</v>
      </c>
      <c r="H1150" s="23" t="s">
        <v>173</v>
      </c>
      <c r="I1150" s="23"/>
      <c r="J1150" s="23"/>
      <c r="K1150" s="23"/>
      <c r="L1150" s="29">
        <v>7</v>
      </c>
      <c r="M1150" s="29">
        <v>0</v>
      </c>
      <c r="N1150" s="29"/>
      <c r="O1150" s="29">
        <v>0</v>
      </c>
      <c r="P1150" s="29">
        <v>0</v>
      </c>
      <c r="Q1150" s="29">
        <v>0</v>
      </c>
      <c r="R1150" s="30">
        <v>918330</v>
      </c>
    </row>
    <row r="1151" spans="1:18">
      <c r="A1151" s="27"/>
      <c r="B1151" s="28">
        <v>1147</v>
      </c>
      <c r="C1151" s="1">
        <f>30000000+INDEX(编号表!$B:$B,MATCH(G1151,编号表!$A:$A,0))*100000+INDEX(编号表!$F:$F,MATCH(H1151,编号表!$E:$E,0))*1000+INDEX(编号表!$D:$D,MATCH(F1151,编号表!$C:$C,0))*10000+E1151</f>
        <v>31685001</v>
      </c>
      <c r="D1151" s="23" t="s">
        <v>1214</v>
      </c>
      <c r="E1151" s="23">
        <v>1</v>
      </c>
      <c r="F1151" s="23" t="s">
        <v>1076</v>
      </c>
      <c r="G1151" s="23" t="s">
        <v>82</v>
      </c>
      <c r="H1151" s="23" t="s">
        <v>173</v>
      </c>
      <c r="I1151" s="23"/>
      <c r="J1151" s="23"/>
      <c r="K1151" s="23"/>
      <c r="L1151" s="29">
        <v>8</v>
      </c>
      <c r="M1151" s="29">
        <v>0</v>
      </c>
      <c r="N1151" s="29"/>
      <c r="O1151" s="29">
        <v>0</v>
      </c>
      <c r="P1151" s="29">
        <v>0</v>
      </c>
      <c r="Q1151" s="29">
        <v>0</v>
      </c>
      <c r="R1151" s="30">
        <v>1683605</v>
      </c>
    </row>
    <row r="1152" spans="1:18">
      <c r="A1152" s="27"/>
      <c r="B1152" s="28">
        <v>1148</v>
      </c>
      <c r="C1152" s="1">
        <f>30000000+INDEX(编号表!$B:$B,MATCH(G1152,编号表!$A:$A,0))*100000+INDEX(编号表!$F:$F,MATCH(H1152,编号表!$E:$E,0))*1000+INDEX(编号表!$D:$D,MATCH(F1152,编号表!$C:$C,0))*10000+E1152</f>
        <v>31685002</v>
      </c>
      <c r="D1152" s="23" t="s">
        <v>1215</v>
      </c>
      <c r="E1152" s="23">
        <v>2</v>
      </c>
      <c r="F1152" s="23" t="s">
        <v>1076</v>
      </c>
      <c r="G1152" s="23" t="s">
        <v>82</v>
      </c>
      <c r="H1152" s="23" t="s">
        <v>173</v>
      </c>
      <c r="I1152" s="23"/>
      <c r="J1152" s="23"/>
      <c r="K1152" s="23"/>
      <c r="L1152" s="29">
        <v>9</v>
      </c>
      <c r="M1152" s="29">
        <v>0</v>
      </c>
      <c r="N1152" s="29"/>
      <c r="O1152" s="29">
        <v>0</v>
      </c>
      <c r="P1152" s="29">
        <v>0</v>
      </c>
      <c r="Q1152" s="29">
        <v>0</v>
      </c>
      <c r="R1152" s="30">
        <v>2601935</v>
      </c>
    </row>
    <row r="1153" spans="1:18">
      <c r="A1153" s="27"/>
      <c r="B1153" s="28">
        <v>1149</v>
      </c>
      <c r="C1153" s="1">
        <f>30000000+INDEX(编号表!$B:$B,MATCH(G1153,编号表!$A:$A,0))*100000+INDEX(编号表!$F:$F,MATCH(H1153,编号表!$E:$E,0))*1000+INDEX(编号表!$D:$D,MATCH(F1153,编号表!$C:$C,0))*10000+E1153</f>
        <v>31286000</v>
      </c>
      <c r="D1153" s="23" t="s">
        <v>1216</v>
      </c>
      <c r="E1153" s="23">
        <v>0</v>
      </c>
      <c r="F1153" s="23" t="s">
        <v>1076</v>
      </c>
      <c r="G1153" s="23" t="s">
        <v>42</v>
      </c>
      <c r="H1153" s="23" t="s">
        <v>202</v>
      </c>
      <c r="I1153" s="23"/>
      <c r="J1153" s="23"/>
      <c r="K1153" s="23"/>
      <c r="L1153" s="29">
        <v>0</v>
      </c>
      <c r="M1153" s="29">
        <v>0</v>
      </c>
      <c r="N1153" s="29"/>
      <c r="O1153" s="29">
        <v>27549784</v>
      </c>
      <c r="P1153" s="29">
        <v>10606667</v>
      </c>
      <c r="Q1153" s="29">
        <v>137748924</v>
      </c>
      <c r="R1153" s="30">
        <v>2479480</v>
      </c>
    </row>
    <row r="1154" spans="1:18">
      <c r="A1154" s="27"/>
      <c r="B1154" s="28">
        <v>1150</v>
      </c>
      <c r="C1154" s="1">
        <f>30000000+INDEX(编号表!$B:$B,MATCH(G1154,编号表!$A:$A,0))*100000+INDEX(编号表!$F:$F,MATCH(H1154,编号表!$E:$E,0))*1000+INDEX(编号表!$D:$D,MATCH(F1154,编号表!$C:$C,0))*10000+E1154</f>
        <v>31386000</v>
      </c>
      <c r="D1154" s="23" t="s">
        <v>1217</v>
      </c>
      <c r="E1154" s="23">
        <v>0</v>
      </c>
      <c r="F1154" s="23" t="s">
        <v>1076</v>
      </c>
      <c r="G1154" s="23" t="s">
        <v>45</v>
      </c>
      <c r="H1154" s="23" t="s">
        <v>202</v>
      </c>
      <c r="I1154" s="23" t="s">
        <v>46</v>
      </c>
      <c r="J1154" s="23"/>
      <c r="K1154" s="23"/>
      <c r="L1154" s="29">
        <v>0</v>
      </c>
      <c r="M1154" s="29">
        <v>-2</v>
      </c>
      <c r="N1154" s="29"/>
      <c r="O1154" s="29">
        <v>16460996</v>
      </c>
      <c r="P1154" s="29">
        <v>6337484</v>
      </c>
      <c r="Q1154" s="29">
        <v>0</v>
      </c>
      <c r="R1154" s="30">
        <v>1928484</v>
      </c>
    </row>
    <row r="1155" spans="1:18">
      <c r="A1155" s="27"/>
      <c r="B1155" s="28">
        <v>1151</v>
      </c>
      <c r="C1155" s="1">
        <f>30000000+INDEX(编号表!$B:$B,MATCH(G1155,编号表!$A:$A,0))*100000+INDEX(编号表!$F:$F,MATCH(H1155,编号表!$E:$E,0))*1000+INDEX(编号表!$D:$D,MATCH(F1155,编号表!$C:$C,0))*10000+E1155</f>
        <v>31386001</v>
      </c>
      <c r="D1155" s="23" t="s">
        <v>1218</v>
      </c>
      <c r="E1155" s="23">
        <v>1</v>
      </c>
      <c r="F1155" s="23" t="s">
        <v>1076</v>
      </c>
      <c r="G1155" s="23" t="s">
        <v>45</v>
      </c>
      <c r="H1155" s="23" t="s">
        <v>202</v>
      </c>
      <c r="I1155" s="23" t="s">
        <v>46</v>
      </c>
      <c r="J1155" s="23"/>
      <c r="K1155" s="23"/>
      <c r="L1155" s="29">
        <v>0</v>
      </c>
      <c r="M1155" s="29">
        <v>3</v>
      </c>
      <c r="N1155" s="29"/>
      <c r="O1155" s="29">
        <v>17590537</v>
      </c>
      <c r="P1155" s="29">
        <v>8373096</v>
      </c>
      <c r="Q1155" s="29">
        <v>0</v>
      </c>
      <c r="R1155" s="30">
        <v>2479480</v>
      </c>
    </row>
    <row r="1156" spans="1:18">
      <c r="A1156" s="27"/>
      <c r="B1156" s="28">
        <v>1152</v>
      </c>
      <c r="C1156" s="1">
        <f>30000000+INDEX(编号表!$B:$B,MATCH(G1156,编号表!$A:$A,0))*100000+INDEX(编号表!$F:$F,MATCH(H1156,编号表!$E:$E,0))*1000+INDEX(编号表!$D:$D,MATCH(F1156,编号表!$C:$C,0))*10000+E1156</f>
        <v>31386002</v>
      </c>
      <c r="D1156" s="23" t="s">
        <v>1219</v>
      </c>
      <c r="E1156" s="23">
        <v>2</v>
      </c>
      <c r="F1156" s="23" t="s">
        <v>1076</v>
      </c>
      <c r="G1156" s="23" t="s">
        <v>45</v>
      </c>
      <c r="H1156" s="23" t="s">
        <v>202</v>
      </c>
      <c r="I1156" s="23" t="s">
        <v>49</v>
      </c>
      <c r="J1156" s="23"/>
      <c r="K1156" s="23"/>
      <c r="L1156" s="29">
        <v>0</v>
      </c>
      <c r="M1156" s="29">
        <v>-1</v>
      </c>
      <c r="N1156" s="29"/>
      <c r="O1156" s="29">
        <v>15606953</v>
      </c>
      <c r="P1156" s="29">
        <v>3932953</v>
      </c>
      <c r="Q1156" s="29">
        <v>0</v>
      </c>
      <c r="R1156" s="30">
        <v>2686104</v>
      </c>
    </row>
    <row r="1157" spans="1:18">
      <c r="A1157" s="27"/>
      <c r="B1157" s="28">
        <v>1153</v>
      </c>
      <c r="C1157" s="1">
        <f>30000000+INDEX(编号表!$B:$B,MATCH(G1157,编号表!$A:$A,0))*100000+INDEX(编号表!$F:$F,MATCH(H1157,编号表!$E:$E,0))*1000+INDEX(编号表!$D:$D,MATCH(F1157,编号表!$C:$C,0))*10000+E1157</f>
        <v>31386003</v>
      </c>
      <c r="D1157" s="23" t="s">
        <v>1220</v>
      </c>
      <c r="E1157" s="23">
        <v>3</v>
      </c>
      <c r="F1157" s="23" t="s">
        <v>1076</v>
      </c>
      <c r="G1157" s="23" t="s">
        <v>45</v>
      </c>
      <c r="H1157" s="23" t="s">
        <v>202</v>
      </c>
      <c r="I1157" s="23" t="s">
        <v>49</v>
      </c>
      <c r="J1157" s="23"/>
      <c r="K1157" s="23"/>
      <c r="L1157" s="29">
        <v>0</v>
      </c>
      <c r="M1157" s="29">
        <v>2</v>
      </c>
      <c r="N1157" s="29"/>
      <c r="O1157" s="29">
        <v>16460996</v>
      </c>
      <c r="P1157" s="29">
        <v>9448612</v>
      </c>
      <c r="Q1157" s="29">
        <v>0</v>
      </c>
      <c r="R1157" s="30">
        <v>826493</v>
      </c>
    </row>
    <row r="1158" spans="1:18">
      <c r="A1158" s="27"/>
      <c r="B1158" s="28">
        <v>1154</v>
      </c>
      <c r="C1158" s="1">
        <f>30000000+INDEX(编号表!$B:$B,MATCH(G1158,编号表!$A:$A,0))*100000+INDEX(编号表!$F:$F,MATCH(H1158,编号表!$E:$E,0))*1000+INDEX(编号表!$D:$D,MATCH(F1158,编号表!$C:$C,0))*10000+E1158</f>
        <v>31386004</v>
      </c>
      <c r="D1158" s="23" t="s">
        <v>1221</v>
      </c>
      <c r="E1158" s="23">
        <v>4</v>
      </c>
      <c r="F1158" s="23" t="s">
        <v>1076</v>
      </c>
      <c r="G1158" s="23" t="s">
        <v>45</v>
      </c>
      <c r="H1158" s="23" t="s">
        <v>202</v>
      </c>
      <c r="I1158" s="23" t="s">
        <v>52</v>
      </c>
      <c r="J1158" s="23"/>
      <c r="K1158" s="23"/>
      <c r="L1158" s="29">
        <v>0</v>
      </c>
      <c r="M1158" s="29">
        <v>-1</v>
      </c>
      <c r="N1158" s="29"/>
      <c r="O1158" s="29">
        <v>16460996</v>
      </c>
      <c r="P1158" s="29">
        <v>7835435</v>
      </c>
      <c r="Q1158" s="29">
        <v>0</v>
      </c>
      <c r="R1158" s="30">
        <v>1997359</v>
      </c>
    </row>
    <row r="1159" spans="1:18">
      <c r="A1159" s="27"/>
      <c r="B1159" s="28">
        <v>1155</v>
      </c>
      <c r="C1159" s="1">
        <f>30000000+INDEX(编号表!$B:$B,MATCH(G1159,编号表!$A:$A,0))*100000+INDEX(编号表!$F:$F,MATCH(H1159,编号表!$E:$E,0))*1000+INDEX(编号表!$D:$D,MATCH(F1159,编号表!$C:$C,0))*10000+E1159</f>
        <v>31386005</v>
      </c>
      <c r="D1159" s="23" t="inlineStr">
        <is>
          <t xml:space="preserve">百万载沸泉苔·道株</t>
        </is>
      </c>
      <c r="E1159" s="23">
        <v>5</v>
      </c>
      <c r="F1159" s="23" t="s">
        <v>1076</v>
      </c>
      <c r="G1159" s="23" t="s">
        <v>45</v>
      </c>
      <c r="H1159" s="23" t="s">
        <v>202</v>
      </c>
      <c r="I1159" s="23" t="s">
        <v>52</v>
      </c>
      <c r="J1159" s="23"/>
      <c r="K1159" s="23"/>
      <c r="L1159" s="29">
        <v>0</v>
      </c>
      <c r="M1159" s="29">
        <v>4</v>
      </c>
      <c r="N1159" s="29"/>
      <c r="O1159" s="29">
        <v>17025767</v>
      </c>
      <c r="P1159" s="29">
        <v>9772791</v>
      </c>
      <c r="Q1159" s="29">
        <v>0</v>
      </c>
      <c r="R1159" s="30">
        <v>3581472</v>
      </c>
    </row>
    <row r="1160" spans="1:18">
      <c r="A1160" s="27"/>
      <c r="B1160" s="28">
        <v>1156</v>
      </c>
      <c r="C1160" s="1">
        <f>30000000+INDEX(编号表!$B:$B,MATCH(G1160,编号表!$A:$A,0))*100000+INDEX(编号表!$F:$F,MATCH(H1160,编号表!$E:$E,0))*1000+INDEX(编号表!$D:$D,MATCH(F1160,编号表!$C:$C,0))*10000+E1160</f>
        <v>31386006</v>
      </c>
      <c r="D1160" s="23" t="inlineStr">
        <is>
          <t xml:space="preserve">百万载丹露花·道株</t>
        </is>
      </c>
      <c r="E1160" s="23">
        <v>6</v>
      </c>
      <c r="F1160" s="23" t="s">
        <v>1076</v>
      </c>
      <c r="G1160" s="23" t="s">
        <v>45</v>
      </c>
      <c r="H1160" s="23" t="s">
        <v>202</v>
      </c>
      <c r="I1160" s="23" t="s">
        <v>55</v>
      </c>
      <c r="J1160" s="23"/>
      <c r="K1160" s="23"/>
      <c r="L1160" s="29">
        <v>0</v>
      </c>
      <c r="M1160" s="29">
        <v>-1</v>
      </c>
      <c r="N1160" s="29"/>
      <c r="O1160" s="29">
        <v>17025767</v>
      </c>
      <c r="P1160" s="29">
        <v>3337051</v>
      </c>
      <c r="Q1160" s="29">
        <v>0</v>
      </c>
      <c r="R1160" s="30">
        <v>5785454</v>
      </c>
    </row>
    <row r="1161" spans="1:18">
      <c r="A1161" s="27"/>
      <c r="B1161" s="28">
        <v>1157</v>
      </c>
      <c r="C1161" s="1">
        <f>30000000+INDEX(编号表!$B:$B,MATCH(G1161,编号表!$A:$A,0))*100000+INDEX(编号表!$F:$F,MATCH(H1161,编号表!$E:$E,0))*1000+INDEX(编号表!$D:$D,MATCH(F1161,编号表!$C:$C,0))*10000+E1161</f>
        <v>31386007</v>
      </c>
      <c r="D1161" s="23" t="s">
        <v>1224</v>
      </c>
      <c r="E1161" s="23">
        <v>7</v>
      </c>
      <c r="F1161" s="23" t="s">
        <v>1076</v>
      </c>
      <c r="G1161" s="23" t="s">
        <v>45</v>
      </c>
      <c r="H1161" s="23" t="s">
        <v>202</v>
      </c>
      <c r="I1161" s="23" t="s">
        <v>55</v>
      </c>
      <c r="J1161" s="23"/>
      <c r="K1161" s="23"/>
      <c r="L1161" s="29">
        <v>0</v>
      </c>
      <c r="M1161" s="29">
        <v>2</v>
      </c>
      <c r="N1161" s="29"/>
      <c r="O1161" s="29">
        <v>16460996</v>
      </c>
      <c r="P1161" s="29">
        <v>9448612</v>
      </c>
      <c r="Q1161" s="29">
        <v>0</v>
      </c>
      <c r="R1161" s="30">
        <v>826493</v>
      </c>
    </row>
    <row r="1162" spans="1:18">
      <c r="A1162" s="27"/>
      <c r="B1162" s="28">
        <v>1158</v>
      </c>
      <c r="C1162" s="1">
        <f>30000000+INDEX(编号表!$B:$B,MATCH(G1162,编号表!$A:$A,0))*100000+INDEX(编号表!$F:$F,MATCH(H1162,编号表!$E:$E,0))*1000+INDEX(编号表!$D:$D,MATCH(F1162,编号表!$C:$C,0))*10000+E1162</f>
        <v>31386008</v>
      </c>
      <c r="D1162" s="23" t="s">
        <v>1225</v>
      </c>
      <c r="E1162" s="23">
        <v>8</v>
      </c>
      <c r="F1162" s="23" t="s">
        <v>1076</v>
      </c>
      <c r="G1162" s="23" t="s">
        <v>45</v>
      </c>
      <c r="H1162" s="23" t="s">
        <v>202</v>
      </c>
      <c r="I1162" s="23" t="s">
        <v>58</v>
      </c>
      <c r="J1162" s="23"/>
      <c r="K1162" s="23"/>
      <c r="L1162" s="29">
        <v>0</v>
      </c>
      <c r="M1162" s="29">
        <v>-2</v>
      </c>
      <c r="N1162" s="29"/>
      <c r="O1162" s="29">
        <v>16460996</v>
      </c>
      <c r="P1162" s="29">
        <v>6337484</v>
      </c>
      <c r="Q1162" s="29">
        <v>0</v>
      </c>
      <c r="R1162" s="30">
        <v>1928484</v>
      </c>
    </row>
    <row r="1163" spans="1:18">
      <c r="A1163" s="27"/>
      <c r="B1163" s="28">
        <v>1159</v>
      </c>
      <c r="C1163" s="1">
        <f>30000000+INDEX(编号表!$B:$B,MATCH(G1163,编号表!$A:$A,0))*100000+INDEX(编号表!$F:$F,MATCH(H1163,编号表!$E:$E,0))*1000+INDEX(编号表!$D:$D,MATCH(F1163,编号表!$C:$C,0))*10000+E1163</f>
        <v>31386009</v>
      </c>
      <c r="D1163" s="23" t="s">
        <v>1226</v>
      </c>
      <c r="E1163" s="23">
        <v>9</v>
      </c>
      <c r="F1163" s="23" t="s">
        <v>1076</v>
      </c>
      <c r="G1163" s="23" t="s">
        <v>45</v>
      </c>
      <c r="H1163" s="23" t="s">
        <v>202</v>
      </c>
      <c r="I1163" s="23" t="s">
        <v>58</v>
      </c>
      <c r="J1163" s="23"/>
      <c r="K1163" s="23"/>
      <c r="L1163" s="29">
        <v>0</v>
      </c>
      <c r="M1163" s="29">
        <v>1</v>
      </c>
      <c r="N1163" s="29"/>
      <c r="O1163" s="29">
        <v>15606953</v>
      </c>
      <c r="P1163" s="29">
        <v>3932953</v>
      </c>
      <c r="Q1163" s="29">
        <v>0</v>
      </c>
      <c r="R1163" s="30">
        <v>2686104</v>
      </c>
    </row>
    <row r="1164" spans="1:18">
      <c r="A1164" s="27"/>
      <c r="B1164" s="28">
        <v>1160</v>
      </c>
      <c r="C1164" s="1">
        <f>30000000+INDEX(编号表!$B:$B,MATCH(G1164,编号表!$A:$A,0))*100000+INDEX(编号表!$F:$F,MATCH(H1164,编号表!$E:$E,0))*1000+INDEX(编号表!$D:$D,MATCH(F1164,编号表!$C:$C,0))*10000+E1164</f>
        <v>31586000</v>
      </c>
      <c r="D1164" s="23" t="inlineStr">
        <is>
          <t xml:space="preserve">百万载霜辛草·道株</t>
        </is>
      </c>
      <c r="E1164" s="23">
        <v>0</v>
      </c>
      <c r="F1164" s="23" t="s">
        <v>1076</v>
      </c>
      <c r="G1164" s="23" t="s">
        <v>61</v>
      </c>
      <c r="H1164" s="23" t="s">
        <v>202</v>
      </c>
      <c r="I1164" s="23"/>
      <c r="J1164" s="23" t="s">
        <v>62</v>
      </c>
      <c r="K1164" s="23"/>
      <c r="L1164" s="29">
        <v>0</v>
      </c>
      <c r="M1164" s="29">
        <v>-2</v>
      </c>
      <c r="N1164" s="29"/>
      <c r="O1164" s="29">
        <v>16460996</v>
      </c>
      <c r="P1164" s="29">
        <v>6337484</v>
      </c>
      <c r="Q1164" s="29">
        <v>0</v>
      </c>
      <c r="R1164" s="30">
        <v>1928484</v>
      </c>
    </row>
    <row r="1165" spans="1:18">
      <c r="A1165" s="27"/>
      <c r="B1165" s="28">
        <v>1161</v>
      </c>
      <c r="C1165" s="1">
        <f>30000000+INDEX(编号表!$B:$B,MATCH(G1165,编号表!$A:$A,0))*100000+INDEX(编号表!$F:$F,MATCH(H1165,编号表!$E:$E,0))*1000+INDEX(编号表!$D:$D,MATCH(F1165,编号表!$C:$C,0))*10000+E1165</f>
        <v>31586001</v>
      </c>
      <c r="D1165" s="23" t="s">
        <v>1228</v>
      </c>
      <c r="E1165" s="23">
        <v>1</v>
      </c>
      <c r="F1165" s="23" t="s">
        <v>1076</v>
      </c>
      <c r="G1165" s="23" t="s">
        <v>61</v>
      </c>
      <c r="H1165" s="23" t="s">
        <v>202</v>
      </c>
      <c r="I1165" s="23"/>
      <c r="J1165" s="23" t="s">
        <v>62</v>
      </c>
      <c r="K1165" s="23"/>
      <c r="L1165" s="29">
        <v>0</v>
      </c>
      <c r="M1165" s="29">
        <v>3</v>
      </c>
      <c r="N1165" s="29"/>
      <c r="O1165" s="29">
        <v>17590537</v>
      </c>
      <c r="P1165" s="29">
        <v>8373096</v>
      </c>
      <c r="Q1165" s="29">
        <v>0</v>
      </c>
      <c r="R1165" s="30">
        <v>2479480</v>
      </c>
    </row>
    <row r="1166" spans="1:18">
      <c r="A1166" s="27"/>
      <c r="B1166" s="28">
        <v>1162</v>
      </c>
      <c r="C1166" s="1">
        <f>30000000+INDEX(编号表!$B:$B,MATCH(G1166,编号表!$A:$A,0))*100000+INDEX(编号表!$F:$F,MATCH(H1166,编号表!$E:$E,0))*1000+INDEX(编号表!$D:$D,MATCH(F1166,编号表!$C:$C,0))*10000+E1166</f>
        <v>31586002</v>
      </c>
      <c r="D1166" s="23" t="s">
        <v>1229</v>
      </c>
      <c r="E1166" s="23">
        <v>2</v>
      </c>
      <c r="F1166" s="23" t="s">
        <v>1076</v>
      </c>
      <c r="G1166" s="23" t="s">
        <v>61</v>
      </c>
      <c r="H1166" s="23" t="s">
        <v>202</v>
      </c>
      <c r="I1166" s="23"/>
      <c r="J1166" s="23" t="s">
        <v>65</v>
      </c>
      <c r="K1166" s="23"/>
      <c r="L1166" s="29">
        <v>0</v>
      </c>
      <c r="M1166" s="29">
        <v>-1</v>
      </c>
      <c r="N1166" s="29"/>
      <c r="O1166" s="29">
        <v>15606953</v>
      </c>
      <c r="P1166" s="29">
        <v>3932953</v>
      </c>
      <c r="Q1166" s="29">
        <v>0</v>
      </c>
      <c r="R1166" s="30">
        <v>2686104</v>
      </c>
    </row>
    <row r="1167" spans="1:18">
      <c r="A1167" s="27"/>
      <c r="B1167" s="28">
        <v>1163</v>
      </c>
      <c r="C1167" s="1">
        <f>30000000+INDEX(编号表!$B:$B,MATCH(G1167,编号表!$A:$A,0))*100000+INDEX(编号表!$F:$F,MATCH(H1167,编号表!$E:$E,0))*1000+INDEX(编号表!$D:$D,MATCH(F1167,编号表!$C:$C,0))*10000+E1167</f>
        <v>31586003</v>
      </c>
      <c r="D1167" s="23" t="s">
        <v>1230</v>
      </c>
      <c r="E1167" s="23">
        <v>3</v>
      </c>
      <c r="F1167" s="23" t="s">
        <v>1076</v>
      </c>
      <c r="G1167" s="23" t="s">
        <v>61</v>
      </c>
      <c r="H1167" s="23" t="s">
        <v>202</v>
      </c>
      <c r="I1167" s="23"/>
      <c r="J1167" s="23" t="s">
        <v>65</v>
      </c>
      <c r="K1167" s="23"/>
      <c r="L1167" s="29">
        <v>0</v>
      </c>
      <c r="M1167" s="29">
        <v>2</v>
      </c>
      <c r="N1167" s="29"/>
      <c r="O1167" s="29">
        <v>16460996</v>
      </c>
      <c r="P1167" s="29">
        <v>9448612</v>
      </c>
      <c r="Q1167" s="29">
        <v>0</v>
      </c>
      <c r="R1167" s="30">
        <v>826493</v>
      </c>
    </row>
    <row r="1168" spans="1:18">
      <c r="A1168" s="27"/>
      <c r="B1168" s="28">
        <v>1164</v>
      </c>
      <c r="C1168" s="1">
        <f>30000000+INDEX(编号表!$B:$B,MATCH(G1168,编号表!$A:$A,0))*100000+INDEX(编号表!$F:$F,MATCH(H1168,编号表!$E:$E,0))*1000+INDEX(编号表!$D:$D,MATCH(F1168,编号表!$C:$C,0))*10000+E1168</f>
        <v>31586004</v>
      </c>
      <c r="D1168" s="23" t="s">
        <v>1231</v>
      </c>
      <c r="E1168" s="23">
        <v>4</v>
      </c>
      <c r="F1168" s="23" t="s">
        <v>1076</v>
      </c>
      <c r="G1168" s="23" t="s">
        <v>61</v>
      </c>
      <c r="H1168" s="23" t="s">
        <v>202</v>
      </c>
      <c r="I1168" s="23"/>
      <c r="J1168" s="23" t="s">
        <v>68</v>
      </c>
      <c r="K1168" s="23"/>
      <c r="L1168" s="29">
        <v>0</v>
      </c>
      <c r="M1168" s="29">
        <v>-1</v>
      </c>
      <c r="N1168" s="29"/>
      <c r="O1168" s="29">
        <v>16460996</v>
      </c>
      <c r="P1168" s="29">
        <v>7835435</v>
      </c>
      <c r="Q1168" s="29">
        <v>0</v>
      </c>
      <c r="R1168" s="30">
        <v>1997359</v>
      </c>
    </row>
    <row r="1169" spans="1:18">
      <c r="A1169" s="27"/>
      <c r="B1169" s="28">
        <v>1165</v>
      </c>
      <c r="C1169" s="1">
        <f>30000000+INDEX(编号表!$B:$B,MATCH(G1169,编号表!$A:$A,0))*100000+INDEX(编号表!$F:$F,MATCH(H1169,编号表!$E:$E,0))*1000+INDEX(编号表!$D:$D,MATCH(F1169,编号表!$C:$C,0))*10000+E1169</f>
        <v>31586005</v>
      </c>
      <c r="D1169" s="23" t="s">
        <v>1232</v>
      </c>
      <c r="E1169" s="23">
        <v>5</v>
      </c>
      <c r="F1169" s="23" t="s">
        <v>1076</v>
      </c>
      <c r="G1169" s="23" t="s">
        <v>61</v>
      </c>
      <c r="H1169" s="23" t="s">
        <v>202</v>
      </c>
      <c r="I1169" s="23"/>
      <c r="J1169" s="23" t="s">
        <v>68</v>
      </c>
      <c r="K1169" s="23"/>
      <c r="L1169" s="29">
        <v>0</v>
      </c>
      <c r="M1169" s="29">
        <v>4</v>
      </c>
      <c r="N1169" s="29"/>
      <c r="O1169" s="29">
        <v>17025767</v>
      </c>
      <c r="P1169" s="29">
        <v>9772791</v>
      </c>
      <c r="Q1169" s="29">
        <v>0</v>
      </c>
      <c r="R1169" s="30">
        <v>3581472</v>
      </c>
    </row>
    <row r="1170" spans="1:18">
      <c r="A1170" s="27"/>
      <c r="B1170" s="28">
        <v>1166</v>
      </c>
      <c r="C1170" s="1">
        <f>30000000+INDEX(编号表!$B:$B,MATCH(G1170,编号表!$A:$A,0))*100000+INDEX(编号表!$F:$F,MATCH(H1170,编号表!$E:$E,0))*1000+INDEX(编号表!$D:$D,MATCH(F1170,编号表!$C:$C,0))*10000+E1170</f>
        <v>31586006</v>
      </c>
      <c r="D1170" s="23" t="s">
        <v>1233</v>
      </c>
      <c r="E1170" s="23">
        <v>6</v>
      </c>
      <c r="F1170" s="23" t="s">
        <v>1076</v>
      </c>
      <c r="G1170" s="23" t="s">
        <v>61</v>
      </c>
      <c r="H1170" s="23" t="s">
        <v>202</v>
      </c>
      <c r="I1170" s="23"/>
      <c r="J1170" s="23" t="s">
        <v>71</v>
      </c>
      <c r="K1170" s="23"/>
      <c r="L1170" s="29">
        <v>0</v>
      </c>
      <c r="M1170" s="29">
        <v>-1</v>
      </c>
      <c r="N1170" s="29"/>
      <c r="O1170" s="29">
        <v>17025767</v>
      </c>
      <c r="P1170" s="29">
        <v>3337051</v>
      </c>
      <c r="Q1170" s="29">
        <v>0</v>
      </c>
      <c r="R1170" s="30">
        <v>5785454</v>
      </c>
    </row>
    <row r="1171" spans="1:18">
      <c r="A1171" s="27"/>
      <c r="B1171" s="28">
        <v>1167</v>
      </c>
      <c r="C1171" s="1">
        <f>30000000+INDEX(编号表!$B:$B,MATCH(G1171,编号表!$A:$A,0))*100000+INDEX(编号表!$F:$F,MATCH(H1171,编号表!$E:$E,0))*1000+INDEX(编号表!$D:$D,MATCH(F1171,编号表!$C:$C,0))*10000+E1171</f>
        <v>31586007</v>
      </c>
      <c r="D1171" s="23" t="s">
        <v>1234</v>
      </c>
      <c r="E1171" s="23">
        <v>7</v>
      </c>
      <c r="F1171" s="23" t="s">
        <v>1076</v>
      </c>
      <c r="G1171" s="23" t="s">
        <v>61</v>
      </c>
      <c r="H1171" s="23" t="s">
        <v>202</v>
      </c>
      <c r="I1171" s="23"/>
      <c r="J1171" s="23" t="s">
        <v>71</v>
      </c>
      <c r="K1171" s="23"/>
      <c r="L1171" s="29">
        <v>0</v>
      </c>
      <c r="M1171" s="29">
        <v>2</v>
      </c>
      <c r="N1171" s="29"/>
      <c r="O1171" s="29">
        <v>16460996</v>
      </c>
      <c r="P1171" s="29">
        <v>9448612</v>
      </c>
      <c r="Q1171" s="29">
        <v>0</v>
      </c>
      <c r="R1171" s="30">
        <v>826493</v>
      </c>
    </row>
    <row r="1172" spans="1:18">
      <c r="A1172" s="27"/>
      <c r="B1172" s="28">
        <v>1168</v>
      </c>
      <c r="C1172" s="1">
        <f>30000000+INDEX(编号表!$B:$B,MATCH(G1172,编号表!$A:$A,0))*100000+INDEX(编号表!$F:$F,MATCH(H1172,编号表!$E:$E,0))*1000+INDEX(编号表!$D:$D,MATCH(F1172,编号表!$C:$C,0))*10000+E1172</f>
        <v>31586008</v>
      </c>
      <c r="D1172" s="23" t="s">
        <v>1235</v>
      </c>
      <c r="E1172" s="23">
        <v>8</v>
      </c>
      <c r="F1172" s="23" t="s">
        <v>1076</v>
      </c>
      <c r="G1172" s="23" t="s">
        <v>61</v>
      </c>
      <c r="H1172" s="23" t="s">
        <v>202</v>
      </c>
      <c r="I1172" s="23"/>
      <c r="J1172" s="23" t="s">
        <v>74</v>
      </c>
      <c r="K1172" s="23"/>
      <c r="L1172" s="29">
        <v>0</v>
      </c>
      <c r="M1172" s="29">
        <v>-2</v>
      </c>
      <c r="N1172" s="29"/>
      <c r="O1172" s="29">
        <v>16460996</v>
      </c>
      <c r="P1172" s="29">
        <v>6337484</v>
      </c>
      <c r="Q1172" s="29">
        <v>0</v>
      </c>
      <c r="R1172" s="30">
        <v>1928484</v>
      </c>
    </row>
    <row r="1173" spans="1:18">
      <c r="A1173" s="27"/>
      <c r="B1173" s="28">
        <v>1169</v>
      </c>
      <c r="C1173" s="1">
        <f>30000000+INDEX(编号表!$B:$B,MATCH(G1173,编号表!$A:$A,0))*100000+INDEX(编号表!$F:$F,MATCH(H1173,编号表!$E:$E,0))*1000+INDEX(编号表!$D:$D,MATCH(F1173,编号表!$C:$C,0))*10000+E1173</f>
        <v>31586009</v>
      </c>
      <c r="D1173" s="23" t="s">
        <v>1236</v>
      </c>
      <c r="E1173" s="23">
        <v>9</v>
      </c>
      <c r="F1173" s="23" t="s">
        <v>1076</v>
      </c>
      <c r="G1173" s="23" t="s">
        <v>61</v>
      </c>
      <c r="H1173" s="23" t="s">
        <v>202</v>
      </c>
      <c r="I1173" s="23"/>
      <c r="J1173" s="23" t="s">
        <v>74</v>
      </c>
      <c r="K1173" s="23"/>
      <c r="L1173" s="29">
        <v>0</v>
      </c>
      <c r="M1173" s="29">
        <v>1</v>
      </c>
      <c r="N1173" s="29"/>
      <c r="O1173" s="29">
        <v>15606953</v>
      </c>
      <c r="P1173" s="29">
        <v>3932953</v>
      </c>
      <c r="Q1173" s="29">
        <v>0</v>
      </c>
      <c r="R1173" s="30">
        <v>2686104</v>
      </c>
    </row>
    <row r="1174" spans="1:18">
      <c r="A1174" s="27"/>
      <c r="B1174" s="28">
        <v>1170</v>
      </c>
      <c r="C1174" s="1">
        <f>30000000+INDEX(编号表!$B:$B,MATCH(G1174,编号表!$A:$A,0))*100000+INDEX(编号表!$F:$F,MATCH(H1174,编号表!$E:$E,0))*1000+INDEX(编号表!$D:$D,MATCH(F1174,编号表!$C:$C,0))*10000+E1174</f>
        <v>31486000</v>
      </c>
      <c r="D1174" s="23" t="s">
        <v>1237</v>
      </c>
      <c r="E1174" s="23">
        <v>0</v>
      </c>
      <c r="F1174" s="23" t="s">
        <v>1076</v>
      </c>
      <c r="G1174" s="23" t="s">
        <v>77</v>
      </c>
      <c r="H1174" s="23" t="s">
        <v>202</v>
      </c>
      <c r="I1174" s="23"/>
      <c r="J1174" s="23"/>
      <c r="K1174" s="23"/>
      <c r="L1174" s="29">
        <v>0</v>
      </c>
      <c r="M1174" s="29">
        <v>0</v>
      </c>
      <c r="N1174" s="29"/>
      <c r="O1174" s="29">
        <v>15606953</v>
      </c>
      <c r="P1174" s="29">
        <v>3058963</v>
      </c>
      <c r="Q1174" s="29">
        <v>0</v>
      </c>
      <c r="R1174" s="30">
        <v>3168225</v>
      </c>
    </row>
    <row r="1175" spans="1:18">
      <c r="A1175" s="27"/>
      <c r="B1175" s="28">
        <v>1171</v>
      </c>
      <c r="C1175" s="1">
        <f>30000000+INDEX(编号表!$B:$B,MATCH(G1175,编号表!$A:$A,0))*100000+INDEX(编号表!$F:$F,MATCH(H1175,编号表!$E:$E,0))*1000+INDEX(编号表!$D:$D,MATCH(F1175,编号表!$C:$C,0))*10000+E1175</f>
        <v>31486001</v>
      </c>
      <c r="D1175" s="23" t="s">
        <v>1238</v>
      </c>
      <c r="E1175" s="23">
        <v>1</v>
      </c>
      <c r="F1175" s="23" t="s">
        <v>1076</v>
      </c>
      <c r="G1175" s="23" t="s">
        <v>77</v>
      </c>
      <c r="H1175" s="23" t="s">
        <v>202</v>
      </c>
      <c r="I1175" s="23"/>
      <c r="J1175" s="23"/>
      <c r="K1175" s="23"/>
      <c r="L1175" s="29">
        <v>0</v>
      </c>
      <c r="M1175" s="29">
        <v>0</v>
      </c>
      <c r="N1175" s="29"/>
      <c r="O1175" s="29">
        <v>17590537</v>
      </c>
      <c r="P1175" s="29">
        <v>10096969</v>
      </c>
      <c r="Q1175" s="29">
        <v>0</v>
      </c>
      <c r="R1175" s="30">
        <v>1101991</v>
      </c>
    </row>
    <row r="1176" spans="1:18">
      <c r="A1176" s="27"/>
      <c r="B1176" s="28">
        <v>1172</v>
      </c>
      <c r="C1176" s="1">
        <f>30000000+INDEX(编号表!$B:$B,MATCH(G1176,编号表!$A:$A,0))*100000+INDEX(编号表!$F:$F,MATCH(H1176,编号表!$E:$E,0))*1000+INDEX(编号表!$D:$D,MATCH(F1176,编号表!$C:$C,0))*10000+E1176</f>
        <v>31486002</v>
      </c>
      <c r="D1176" s="23" t="s">
        <v>1239</v>
      </c>
      <c r="E1176" s="23">
        <v>2</v>
      </c>
      <c r="F1176" s="23" t="s">
        <v>1076</v>
      </c>
      <c r="G1176" s="23" t="s">
        <v>77</v>
      </c>
      <c r="H1176" s="23" t="s">
        <v>202</v>
      </c>
      <c r="I1176" s="23"/>
      <c r="J1176" s="23"/>
      <c r="K1176" s="23"/>
      <c r="L1176" s="29">
        <v>0</v>
      </c>
      <c r="M1176" s="29">
        <v>1</v>
      </c>
      <c r="N1176" s="29"/>
      <c r="O1176" s="29">
        <v>17025767</v>
      </c>
      <c r="P1176" s="29">
        <v>3337051</v>
      </c>
      <c r="Q1176" s="29">
        <v>0</v>
      </c>
      <c r="R1176" s="30">
        <v>5785454</v>
      </c>
    </row>
    <row r="1177" spans="1:18">
      <c r="A1177" s="27"/>
      <c r="B1177" s="28">
        <v>1173</v>
      </c>
      <c r="C1177" s="1">
        <f>30000000+INDEX(编号表!$B:$B,MATCH(G1177,编号表!$A:$A,0))*100000+INDEX(编号表!$F:$F,MATCH(H1177,编号表!$E:$E,0))*1000+INDEX(编号表!$D:$D,MATCH(F1177,编号表!$C:$C,0))*10000+E1177</f>
        <v>31486003</v>
      </c>
      <c r="D1177" s="23" t="s">
        <v>1240</v>
      </c>
      <c r="E1177" s="23">
        <v>3</v>
      </c>
      <c r="F1177" s="23" t="s">
        <v>1076</v>
      </c>
      <c r="G1177" s="23" t="s">
        <v>77</v>
      </c>
      <c r="H1177" s="23" t="s">
        <v>202</v>
      </c>
      <c r="I1177" s="23"/>
      <c r="J1177" s="23"/>
      <c r="K1177" s="23"/>
      <c r="L1177" s="29">
        <v>0</v>
      </c>
      <c r="M1177" s="29">
        <v>4</v>
      </c>
      <c r="N1177" s="29"/>
      <c r="O1177" s="29">
        <v>17025767</v>
      </c>
      <c r="P1177" s="29">
        <v>9772791</v>
      </c>
      <c r="Q1177" s="29">
        <v>0</v>
      </c>
      <c r="R1177" s="30">
        <v>3581472</v>
      </c>
    </row>
    <row r="1178" spans="1:18">
      <c r="A1178" s="27"/>
      <c r="B1178" s="28">
        <v>1174</v>
      </c>
      <c r="C1178" s="1">
        <f>30000000+INDEX(编号表!$B:$B,MATCH(G1178,编号表!$A:$A,0))*100000+INDEX(编号表!$F:$F,MATCH(H1178,编号表!$E:$E,0))*1000+INDEX(编号表!$D:$D,MATCH(F1178,编号表!$C:$C,0))*10000+E1178</f>
        <v>31686000</v>
      </c>
      <c r="D1178" s="23" t="s">
        <v>1241</v>
      </c>
      <c r="E1178" s="23">
        <v>0</v>
      </c>
      <c r="F1178" s="23" t="s">
        <v>1076</v>
      </c>
      <c r="G1178" s="23" t="s">
        <v>82</v>
      </c>
      <c r="H1178" s="23" t="s">
        <v>202</v>
      </c>
      <c r="I1178" s="23"/>
      <c r="J1178" s="23"/>
      <c r="K1178" s="23"/>
      <c r="L1178" s="29">
        <v>7</v>
      </c>
      <c r="M1178" s="29">
        <v>0</v>
      </c>
      <c r="N1178" s="29"/>
      <c r="O1178" s="29">
        <v>0</v>
      </c>
      <c r="P1178" s="29">
        <v>0</v>
      </c>
      <c r="Q1178" s="29">
        <v>0</v>
      </c>
      <c r="R1178" s="30">
        <v>1652987</v>
      </c>
    </row>
    <row r="1179" spans="1:18">
      <c r="A1179" s="27"/>
      <c r="B1179" s="28">
        <v>1175</v>
      </c>
      <c r="C1179" s="1">
        <f>30000000+INDEX(编号表!$B:$B,MATCH(G1179,编号表!$A:$A,0))*100000+INDEX(编号表!$F:$F,MATCH(H1179,编号表!$E:$E,0))*1000+INDEX(编号表!$D:$D,MATCH(F1179,编号表!$C:$C,0))*10000+E1179</f>
        <v>31686001</v>
      </c>
      <c r="D1179" s="23" t="s">
        <v>1242</v>
      </c>
      <c r="E1179" s="23">
        <v>1</v>
      </c>
      <c r="F1179" s="23" t="s">
        <v>1076</v>
      </c>
      <c r="G1179" s="23" t="s">
        <v>82</v>
      </c>
      <c r="H1179" s="23" t="s">
        <v>202</v>
      </c>
      <c r="I1179" s="23"/>
      <c r="J1179" s="23"/>
      <c r="K1179" s="23"/>
      <c r="L1179" s="29">
        <v>8</v>
      </c>
      <c r="M1179" s="29">
        <v>0</v>
      </c>
      <c r="N1179" s="29"/>
      <c r="O1179" s="29">
        <v>0</v>
      </c>
      <c r="P1179" s="29">
        <v>0</v>
      </c>
      <c r="Q1179" s="29">
        <v>0</v>
      </c>
      <c r="R1179" s="30">
        <v>3030476</v>
      </c>
    </row>
    <row r="1180" spans="1:18">
      <c r="A1180" s="31"/>
      <c r="B1180" s="32">
        <v>1176</v>
      </c>
      <c r="C1180" s="1">
        <f>30000000+INDEX(编号表!$B:$B,MATCH(G1180,编号表!$A:$A,0))*100000+INDEX(编号表!$F:$F,MATCH(H1180,编号表!$E:$E,0))*1000+INDEX(编号表!$D:$D,MATCH(F1180,编号表!$C:$C,0))*10000+E1180</f>
        <v>31686002</v>
      </c>
      <c r="D1180" s="33" t="s">
        <v>1243</v>
      </c>
      <c r="E1180" s="33">
        <v>2</v>
      </c>
      <c r="F1180" s="33" t="s">
        <v>1076</v>
      </c>
      <c r="G1180" s="33" t="s">
        <v>82</v>
      </c>
      <c r="H1180" s="33" t="s">
        <v>202</v>
      </c>
      <c r="I1180" s="33"/>
      <c r="J1180" s="33"/>
      <c r="K1180" s="33"/>
      <c r="L1180" s="34">
        <v>9</v>
      </c>
      <c r="M1180" s="34">
        <v>0</v>
      </c>
      <c r="N1180" s="34"/>
      <c r="O1180" s="34">
        <v>0</v>
      </c>
      <c r="P1180" s="34">
        <v>0</v>
      </c>
      <c r="Q1180" s="34">
        <v>0</v>
      </c>
      <c r="R1180" s="35">
        <v>4683463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showGridLines="0" workbookViewId="0">
      <selection activeCell="A1" sqref="A1:C1"/>
    </sheetView>
  </sheetViews>
  <sheetFormatPr defaultColWidth="9" defaultRowHeight="14.25" outlineLevelCol="2"/>
  <cols>
    <col min="1" max="1" width="33.75" style="1" customWidth="1"/>
    <col min="2" max="2" width="38" style="1" customWidth="1"/>
    <col min="3" max="3" width="34" style="1" customWidth="1"/>
  </cols>
  <sheetData>
    <row r="1" s="1" customFormat="1" ht="15" customHeight="1" spans="1:3">
      <c r="A1" s="8" t="s">
        <v>1244</v>
      </c>
    </row>
    <row r="2" ht="15" spans="1:3">
      <c r="A2" s="9" t="s">
        <v>1245</v>
      </c>
      <c r="B2" s="9" t="s">
        <v>1246</v>
      </c>
      <c r="C2" s="9" t="s">
        <v>1247</v>
      </c>
    </row>
    <row r="3" spans="1:3">
      <c r="A3" s="4" t="s">
        <v>1248</v>
      </c>
      <c r="B3" s="4" t="s">
        <v>1249</v>
      </c>
      <c r="C3" s="4" t="s">
        <v>1250</v>
      </c>
    </row>
    <row r="4" s="1" customFormat="1" ht="15" customHeight="1" spans="1:3">
      <c r="A4" s="5" t="s">
        <v>1251</v>
      </c>
      <c r="B4" s="5" t="s">
        <v>1252</v>
      </c>
      <c r="C4" s="5" t="s">
        <v>1253</v>
      </c>
    </row>
    <row r="5" spans="1:3">
      <c r="A5" s="4" t="s">
        <v>1254</v>
      </c>
      <c r="B5" s="4" t="s">
        <v>1255</v>
      </c>
      <c r="C5" s="4" t="s">
        <v>1256</v>
      </c>
    </row>
    <row r="6" spans="1:3">
      <c r="A6" s="4" t="s">
        <v>1257</v>
      </c>
      <c r="B6" s="4" t="s">
        <v>1258</v>
      </c>
      <c r="C6" s="4" t="s">
        <v>1259</v>
      </c>
    </row>
    <row r="7" ht="27" spans="1:3">
      <c r="A7" s="4" t="s">
        <v>1260</v>
      </c>
      <c r="B7" s="4" t="s">
        <v>1261</v>
      </c>
      <c r="C7" s="4" t="s">
        <v>1262</v>
      </c>
    </row>
    <row r="8" spans="1:3">
      <c r="A8" s="4" t="s">
        <v>1263</v>
      </c>
      <c r="B8" s="4" t="s">
        <v>1264</v>
      </c>
      <c r="C8" s="4" t="s">
        <v>1265</v>
      </c>
    </row>
    <row r="9" spans="1:3">
      <c r="A9" s="4" t="s">
        <v>1266</v>
      </c>
      <c r="B9" s="4" t="s">
        <v>1267</v>
      </c>
      <c r="C9" s="4" t="s">
        <v>1268</v>
      </c>
    </row>
    <row r="10" spans="1:3">
      <c r="A10" s="4" t="s">
        <v>1269</v>
      </c>
      <c r="B10" s="4" t="s">
        <v>1270</v>
      </c>
      <c r="C10" s="4" t="s">
        <v>1268</v>
      </c>
    </row>
    <row r="11" spans="1:3">
      <c r="A11" s="4" t="s">
        <v>1271</v>
      </c>
      <c r="B11" s="4" t="s">
        <v>1272</v>
      </c>
      <c r="C11" s="4" t="s">
        <v>1268</v>
      </c>
    </row>
    <row r="12" spans="1:3">
      <c r="A12" s="4" t="s">
        <v>1273</v>
      </c>
      <c r="B12" s="4" t="s">
        <v>1274</v>
      </c>
      <c r="C12" s="4" t="s">
        <v>1268</v>
      </c>
    </row>
    <row r="13" spans="1:3">
      <c r="A13" s="4" t="s">
        <v>1275</v>
      </c>
      <c r="B13" s="4" t="s">
        <v>1276</v>
      </c>
      <c r="C13" s="4" t="s">
        <v>1277</v>
      </c>
    </row>
    <row r="14" spans="1:3">
      <c r="A14" s="4" t="s">
        <v>1278</v>
      </c>
      <c r="B14" s="4" t="s">
        <v>1279</v>
      </c>
      <c r="C14" s="4" t="s">
        <v>1280</v>
      </c>
    </row>
    <row r="15" spans="1:3">
      <c r="A15" s="4" t="s">
        <v>1281</v>
      </c>
      <c r="B15" s="4" t="s">
        <v>1282</v>
      </c>
      <c r="C15" s="4" t="s">
        <v>1283</v>
      </c>
    </row>
    <row r="16" spans="1:3">
      <c r="A16" s="4" t="s">
        <v>1284</v>
      </c>
      <c r="B16" s="4" t="s">
        <v>1285</v>
      </c>
      <c r="C16" s="4" t="s">
        <v>1286</v>
      </c>
    </row>
    <row r="17" spans="1:3">
      <c r="A17" s="4" t="s">
        <v>39</v>
      </c>
      <c r="B17" s="4" t="s">
        <v>1287</v>
      </c>
      <c r="C17" s="4" t="s">
        <v>1288</v>
      </c>
    </row>
    <row r="18" ht="27.75" spans="1:3">
      <c r="A18" s="4" t="s">
        <v>1289</v>
      </c>
      <c r="B18" s="4" t="s">
        <v>1290</v>
      </c>
      <c r="C18" s="4" t="s">
        <v>1291</v>
      </c>
    </row>
    <row r="19" spans="1:3">
      <c r="A19" t="s">
        <v>1292</v>
      </c>
      <c r="B19" t="s">
        <v>1293</v>
      </c>
      <c r="C19" t="s">
        <v>1294</v>
      </c>
    </row>
    <row r="20" spans="1:3">
      <c r="A20" t="s">
        <v>1295</v>
      </c>
      <c r="B20" t="s">
        <v>1296</v>
      </c>
      <c r="C20" t="s">
        <v>1297</v>
      </c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</sheetData>
  <mergeCells count="1">
    <mergeCell ref="A1:C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showGridLines="0" workbookViewId="0">
      <selection activeCell="A1" sqref="A1:C1"/>
    </sheetView>
  </sheetViews>
  <sheetFormatPr defaultColWidth="9" defaultRowHeight="14.25" outlineLevelCol="2"/>
  <cols>
    <col min="1" max="1" width="32" style="1" customWidth="1"/>
    <col min="2" max="2" width="46" style="1" customWidth="1"/>
    <col min="3" max="3" width="34" style="1" customWidth="1"/>
  </cols>
  <sheetData>
    <row r="1" s="1" customFormat="1" ht="15" customHeight="1" spans="1:3">
      <c r="A1" s="8" t="s">
        <v>1298</v>
      </c>
    </row>
    <row r="2" spans="1:3">
      <c r="A2" t="s">
        <v>39</v>
      </c>
      <c r="B2" t="s">
        <v>1299</v>
      </c>
      <c r="C2" t="s">
        <v>1300</v>
      </c>
    </row>
    <row r="3" spans="1:3">
      <c r="A3" s="4" t="s">
        <v>1301</v>
      </c>
      <c r="B3" s="4" t="s">
        <v>1302</v>
      </c>
      <c r="C3" s="4" t="s">
        <v>1303</v>
      </c>
    </row>
    <row r="4" s="1" customFormat="1" ht="15" customHeight="1" spans="1:3">
      <c r="A4" s="5" t="s">
        <v>1304</v>
      </c>
      <c r="B4" s="5" t="s">
        <v>1305</v>
      </c>
      <c r="C4" s="5" t="s">
        <v>1306</v>
      </c>
    </row>
    <row r="5" spans="1:3">
      <c r="A5" s="4" t="s">
        <v>1307</v>
      </c>
      <c r="B5" s="4" t="s">
        <v>1308</v>
      </c>
      <c r="C5" s="4" t="s">
        <v>1309</v>
      </c>
    </row>
    <row r="6" spans="1:3">
      <c r="A6" s="4" t="s">
        <v>1310</v>
      </c>
      <c r="B6" s="4" t="s">
        <v>1311</v>
      </c>
      <c r="C6" s="4" t="s">
        <v>1312</v>
      </c>
    </row>
    <row r="7" ht="27.75" spans="1:3">
      <c r="A7" s="4" t="s">
        <v>1313</v>
      </c>
      <c r="B7" s="4" t="s">
        <v>1314</v>
      </c>
      <c r="C7" s="4" t="s">
        <v>1315</v>
      </c>
    </row>
    <row r="8" spans="1:3">
      <c r="A8" s="4" t="s">
        <v>1316</v>
      </c>
      <c r="B8" s="4" t="s">
        <v>1317</v>
      </c>
      <c r="C8" s="4" t="s">
        <v>1318</v>
      </c>
    </row>
    <row r="9" spans="1:3">
      <c r="A9" s="4" t="s">
        <v>1319</v>
      </c>
      <c r="B9" s="4" t="s">
        <v>1320</v>
      </c>
      <c r="C9" s="4" t="s">
        <v>1321</v>
      </c>
    </row>
    <row r="10" spans="1:3">
      <c r="A10" s="4" t="s">
        <v>1322</v>
      </c>
      <c r="B10" s="4" t="s">
        <v>1323</v>
      </c>
      <c r="C10" s="4" t="s">
        <v>1324</v>
      </c>
    </row>
  </sheetData>
  <mergeCells count="1">
    <mergeCell ref="A1:C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showGridLines="0" workbookViewId="0">
      <selection activeCell="A1" sqref="A1"/>
    </sheetView>
  </sheetViews>
  <sheetFormatPr defaultColWidth="9" defaultRowHeight="14.25"/>
  <sheetData>
    <row r="1" s="1" customFormat="1" ht="15" customHeight="1" spans="1:18">
      <c r="A1" s="7" t="s">
        <v>1325</v>
      </c>
      <c r="B1" s="7" t="s">
        <v>1326</v>
      </c>
      <c r="C1" s="7" t="s">
        <v>27</v>
      </c>
      <c r="D1" s="7" t="s">
        <v>1326</v>
      </c>
      <c r="E1" s="7" t="s">
        <v>29</v>
      </c>
      <c r="F1" s="7" t="s">
        <v>1326</v>
      </c>
      <c r="G1" s="7" t="s">
        <v>1327</v>
      </c>
      <c r="H1" s="3"/>
      <c r="I1" s="3" t="s">
        <v>1328</v>
      </c>
      <c r="J1" s="3"/>
      <c r="K1" s="3"/>
      <c r="L1" s="3" t="s">
        <v>1329</v>
      </c>
      <c r="M1" s="3" t="s">
        <v>1326</v>
      </c>
      <c r="N1" s="3" t="s">
        <v>1330</v>
      </c>
      <c r="O1" s="3" t="s">
        <v>1326</v>
      </c>
      <c r="P1" s="3" t="s">
        <v>1331</v>
      </c>
      <c r="Q1" s="3" t="s">
        <v>1326</v>
      </c>
      <c r="R1" s="3" t="s">
        <v>1332</v>
      </c>
    </row>
    <row r="2" spans="1:18">
      <c r="A2" s="7"/>
      <c r="B2" s="7">
        <v>1</v>
      </c>
      <c r="C2" s="7" t="s">
        <v>1333</v>
      </c>
      <c r="D2" s="7">
        <v>0</v>
      </c>
      <c r="E2" s="7" t="s">
        <v>43</v>
      </c>
      <c r="F2" s="7">
        <v>1</v>
      </c>
      <c r="G2" s="7" t="s">
        <v>1334</v>
      </c>
      <c r="L2" t="s">
        <v>42</v>
      </c>
      <c r="M2">
        <v>0</v>
      </c>
      <c r="N2" t="s">
        <v>65</v>
      </c>
      <c r="O2">
        <v>0</v>
      </c>
      <c r="P2">
        <v>4</v>
      </c>
      <c r="Q2">
        <v>0</v>
      </c>
      <c r="R2" t="s">
        <v>1335</v>
      </c>
    </row>
    <row r="3" spans="1:18">
      <c r="A3" s="7"/>
      <c r="B3" s="7">
        <v>2</v>
      </c>
      <c r="C3" s="7" t="s">
        <v>1336</v>
      </c>
      <c r="D3" s="7">
        <v>1</v>
      </c>
      <c r="E3" s="7" t="s">
        <v>86</v>
      </c>
      <c r="F3" s="7">
        <v>2</v>
      </c>
      <c r="G3" s="7" t="s">
        <v>1337</v>
      </c>
      <c r="L3" t="s">
        <v>45</v>
      </c>
      <c r="M3">
        <v>1</v>
      </c>
      <c r="N3" t="s">
        <v>62</v>
      </c>
      <c r="O3">
        <v>1</v>
      </c>
      <c r="P3">
        <v>3</v>
      </c>
      <c r="Q3">
        <v>1</v>
      </c>
      <c r="R3" t="s">
        <v>1338</v>
      </c>
    </row>
    <row r="4" s="1" customFormat="1" ht="15" customHeight="1" spans="1:18">
      <c r="A4" s="7"/>
      <c r="B4" s="7">
        <v>3</v>
      </c>
      <c r="C4" s="7" t="s">
        <v>41</v>
      </c>
      <c r="D4" s="7">
        <v>2</v>
      </c>
      <c r="E4" s="7" t="s">
        <v>115</v>
      </c>
      <c r="F4" s="7">
        <v>3</v>
      </c>
      <c r="G4" s="7" t="s">
        <v>1339</v>
      </c>
      <c r="H4" s="6"/>
      <c r="I4" s="6"/>
      <c r="J4" s="6"/>
      <c r="K4" s="6"/>
      <c r="L4" s="6" t="s">
        <v>77</v>
      </c>
      <c r="M4" s="6">
        <v>2</v>
      </c>
      <c r="N4" s="6" t="s">
        <v>74</v>
      </c>
      <c r="O4" s="6">
        <v>2</v>
      </c>
      <c r="P4" s="6">
        <v>2</v>
      </c>
      <c r="Q4" s="6">
        <v>2</v>
      </c>
      <c r="R4" s="6" t="s">
        <v>1340</v>
      </c>
    </row>
    <row r="5" spans="1:18">
      <c r="A5" s="7"/>
      <c r="B5" s="7">
        <v>4</v>
      </c>
      <c r="C5" s="7" t="s">
        <v>231</v>
      </c>
      <c r="D5" s="7">
        <v>3</v>
      </c>
      <c r="E5" s="7" t="s">
        <v>144</v>
      </c>
      <c r="F5" s="7">
        <v>4</v>
      </c>
      <c r="G5" s="7" t="s">
        <v>1341</v>
      </c>
      <c r="L5" t="s">
        <v>61</v>
      </c>
      <c r="M5">
        <v>3</v>
      </c>
      <c r="N5" t="s">
        <v>71</v>
      </c>
      <c r="O5">
        <v>3</v>
      </c>
      <c r="P5">
        <v>1</v>
      </c>
      <c r="Q5">
        <v>3</v>
      </c>
      <c r="R5" t="s">
        <v>1342</v>
      </c>
    </row>
    <row r="6" spans="1:18">
      <c r="A6" s="7"/>
      <c r="B6" s="7">
        <v>5</v>
      </c>
      <c r="C6" s="7" t="s">
        <v>400</v>
      </c>
      <c r="D6" s="7">
        <v>4</v>
      </c>
      <c r="E6" s="7" t="s">
        <v>173</v>
      </c>
      <c r="F6" s="7">
        <v>5</v>
      </c>
      <c r="G6" s="7" t="s">
        <v>1343</v>
      </c>
      <c r="L6" t="s">
        <v>82</v>
      </c>
      <c r="M6">
        <v>4</v>
      </c>
      <c r="N6" t="s">
        <v>68</v>
      </c>
      <c r="O6">
        <v>4</v>
      </c>
      <c r="P6">
        <v>0</v>
      </c>
      <c r="Q6">
        <v>4</v>
      </c>
      <c r="R6" t="s">
        <v>1344</v>
      </c>
    </row>
    <row r="7" spans="1:18">
      <c r="A7" s="7"/>
      <c r="B7" s="7">
        <v>6</v>
      </c>
      <c r="C7" s="7" t="s">
        <v>569</v>
      </c>
      <c r="D7" s="7">
        <v>5</v>
      </c>
      <c r="E7" s="7" t="s">
        <v>202</v>
      </c>
      <c r="F7" s="7">
        <v>6</v>
      </c>
      <c r="G7" s="7" t="s">
        <v>1345</v>
      </c>
      <c r="N7" t="s">
        <v>46</v>
      </c>
      <c r="O7">
        <v>0</v>
      </c>
      <c r="P7">
        <v>-1</v>
      </c>
      <c r="Q7">
        <v>5</v>
      </c>
      <c r="R7" t="s">
        <v>1346</v>
      </c>
    </row>
    <row r="8" spans="1:18">
      <c r="A8" s="7"/>
      <c r="B8" s="7">
        <v>7</v>
      </c>
      <c r="C8" s="7" t="s">
        <v>738</v>
      </c>
      <c r="D8" s="7">
        <v>6</v>
      </c>
      <c r="E8" s="7"/>
      <c r="F8" s="7">
        <v>7</v>
      </c>
      <c r="G8" s="7"/>
      <c r="N8" t="s">
        <v>49</v>
      </c>
      <c r="O8">
        <v>1</v>
      </c>
      <c r="P8">
        <v>-2</v>
      </c>
      <c r="Q8">
        <v>6</v>
      </c>
      <c r="R8" t="s">
        <v>1347</v>
      </c>
    </row>
    <row r="9" spans="1:18">
      <c r="A9" s="7"/>
      <c r="B9" s="7">
        <v>8</v>
      </c>
      <c r="C9" s="7" t="s">
        <v>907</v>
      </c>
      <c r="D9" s="7">
        <v>7</v>
      </c>
      <c r="E9" s="7"/>
      <c r="F9" s="7">
        <v>8</v>
      </c>
      <c r="G9" s="7"/>
      <c r="N9" t="s">
        <v>52</v>
      </c>
      <c r="O9">
        <v>2</v>
      </c>
      <c r="P9">
        <v>-3</v>
      </c>
      <c r="Q9">
        <v>7</v>
      </c>
      <c r="R9" t="s">
        <v>1348</v>
      </c>
    </row>
    <row r="10" spans="1:18">
      <c r="A10" s="7"/>
      <c r="B10" s="7">
        <v>9</v>
      </c>
      <c r="C10" s="7" t="s">
        <v>1076</v>
      </c>
      <c r="D10" s="7">
        <v>8</v>
      </c>
      <c r="E10" s="7"/>
      <c r="F10" s="7">
        <v>9</v>
      </c>
      <c r="G10" s="7"/>
      <c r="N10" t="s">
        <v>55</v>
      </c>
      <c r="O10">
        <v>3</v>
      </c>
      <c r="P10">
        <v>-4</v>
      </c>
      <c r="Q10">
        <v>8</v>
      </c>
      <c r="R10" t="s">
        <v>1349</v>
      </c>
    </row>
    <row r="11" spans="1:18">
      <c r="A11" s="7"/>
      <c r="B11" s="7">
        <v>10</v>
      </c>
      <c r="C11" s="7"/>
      <c r="D11" s="7">
        <v>9</v>
      </c>
      <c r="E11" s="7"/>
      <c r="F11" s="7"/>
      <c r="G11" s="7"/>
      <c r="N11" t="s">
        <v>58</v>
      </c>
      <c r="O11">
        <v>4</v>
      </c>
    </row>
    <row r="12" spans="1:18">
      <c r="A12" s="7"/>
      <c r="B12" s="7">
        <v>11</v>
      </c>
      <c r="C12" s="7"/>
      <c r="D12" s="7"/>
      <c r="E12" s="7"/>
      <c r="F12" s="7"/>
      <c r="G12" s="7"/>
      <c r="N12" t="s">
        <v>1350</v>
      </c>
      <c r="O12">
        <v>0</v>
      </c>
    </row>
    <row r="13" spans="1:18">
      <c r="A13" s="7" t="s">
        <v>42</v>
      </c>
      <c r="B13" s="7">
        <v>12</v>
      </c>
      <c r="C13" s="7"/>
      <c r="D13" s="7"/>
      <c r="E13" s="7"/>
      <c r="F13" s="7"/>
      <c r="G13" s="7"/>
      <c r="N13" t="s">
        <v>1351</v>
      </c>
      <c r="O13">
        <v>1</v>
      </c>
    </row>
    <row r="14" spans="1:18">
      <c r="A14" s="7" t="s">
        <v>45</v>
      </c>
      <c r="B14" s="7">
        <v>13</v>
      </c>
      <c r="C14" s="7"/>
      <c r="D14" s="7"/>
      <c r="E14" s="7"/>
      <c r="F14" s="7"/>
      <c r="G14" s="7"/>
      <c r="N14" t="s">
        <v>1352</v>
      </c>
      <c r="O14">
        <v>2</v>
      </c>
    </row>
    <row r="15" spans="1:18">
      <c r="A15" s="7" t="s">
        <v>77</v>
      </c>
      <c r="B15" s="7">
        <v>14</v>
      </c>
      <c r="C15" s="7"/>
      <c r="D15" s="7"/>
      <c r="E15" s="7"/>
      <c r="F15" s="7"/>
      <c r="G15" s="7"/>
      <c r="N15" t="s">
        <v>1353</v>
      </c>
      <c r="O15">
        <v>3</v>
      </c>
    </row>
    <row r="16" spans="1:18">
      <c r="A16" s="7" t="s">
        <v>61</v>
      </c>
      <c r="B16" s="7">
        <v>15</v>
      </c>
      <c r="C16" s="7"/>
      <c r="D16" s="7"/>
      <c r="E16" s="7"/>
      <c r="F16" s="7"/>
      <c r="G16" s="7"/>
      <c r="N16" t="s">
        <v>1354</v>
      </c>
      <c r="O16">
        <v>4</v>
      </c>
    </row>
    <row r="17" spans="1:7">
      <c r="A17" s="7" t="s">
        <v>82</v>
      </c>
      <c r="B17" s="7">
        <v>16</v>
      </c>
      <c r="C17" s="7"/>
      <c r="D17" s="7"/>
      <c r="E17" s="7"/>
      <c r="F17" s="7"/>
      <c r="G17" s="7"/>
    </row>
    <row r="18" spans="1:7">
      <c r="A18" s="7"/>
      <c r="B18" s="7">
        <v>17</v>
      </c>
      <c r="C18" s="7"/>
      <c r="D18" s="7"/>
      <c r="E18" s="7"/>
      <c r="F18" s="7"/>
      <c r="G18" s="7"/>
    </row>
    <row r="19" spans="1:7">
      <c r="A19" s="7"/>
      <c r="B19" s="7">
        <v>18</v>
      </c>
      <c r="C19" s="7"/>
      <c r="D19" s="7"/>
      <c r="E19" s="7"/>
      <c r="F19" s="7"/>
      <c r="G19" s="7"/>
    </row>
    <row r="20" spans="1:7">
      <c r="A20" s="7"/>
      <c r="B20" s="7">
        <v>19</v>
      </c>
      <c r="C20" s="7"/>
      <c r="D20" s="7"/>
      <c r="E20" s="7"/>
      <c r="F20" s="7"/>
      <c r="G20" s="7"/>
    </row>
    <row r="21" spans="1:7">
      <c r="A21" s="7"/>
      <c r="B21" s="7"/>
      <c r="C21" s="7"/>
      <c r="D21" s="7"/>
      <c r="E21" s="7"/>
      <c r="F21" s="7"/>
      <c r="G21" s="7"/>
    </row>
    <row r="22" spans="1:7">
      <c r="E22" t="s">
        <v>1355</v>
      </c>
    </row>
    <row r="23" spans="1:7">
      <c r="E23" t="s">
        <v>1356</v>
      </c>
    </row>
    <row r="24" spans="1:7">
      <c r="E24" t="s">
        <v>1357</v>
      </c>
    </row>
  </sheetData>
  <conditionalFormatting sqref="A12">
    <cfRule type="duplicateValues" dxfId="0" priority="1"/>
  </conditionalFormatting>
  <conditionalFormatting sqref="A1:A9">
    <cfRule type="duplicateValues" dxfId="0" priority="3"/>
  </conditionalFormatting>
  <conditionalFormatting sqref="A10:A11">
    <cfRule type="duplicateValues" dxfId="0" priority="2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4"/>
  <sheetViews>
    <sheetView showGridLines="0" workbookViewId="0">
      <selection activeCell="A1" sqref="A1:C1"/>
    </sheetView>
  </sheetViews>
  <sheetFormatPr defaultColWidth="9" defaultRowHeight="14.25"/>
  <cols>
    <col min="1" max="1" width="17" style="1" customWidth="1"/>
    <col min="2" max="2" width="36" style="1" customWidth="1"/>
    <col min="3" max="3" width="30" style="1" customWidth="1"/>
  </cols>
  <sheetData>
    <row r="1" s="1" customFormat="1" ht="15" customHeight="1" spans="1:16">
      <c r="A1" s="2" t="s">
        <v>1358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/>
      <c r="B2"/>
      <c r="C2"/>
    </row>
    <row r="3" spans="1:16">
      <c r="A3" s="4" t="s">
        <v>1304</v>
      </c>
      <c r="B3" s="4" t="s">
        <v>1359</v>
      </c>
      <c r="C3" s="4" t="s">
        <v>1360</v>
      </c>
    </row>
    <row r="4" s="1" customFormat="1" ht="15" customHeight="1" spans="1:16">
      <c r="A4" s="5" t="s">
        <v>1361</v>
      </c>
      <c r="B4" s="5" t="s">
        <v>1362</v>
      </c>
      <c r="C4" s="5" t="s">
        <v>1363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4" t="s">
        <v>1364</v>
      </c>
      <c r="B5" s="4" t="s">
        <v>1365</v>
      </c>
      <c r="C5" s="4" t="s">
        <v>1366</v>
      </c>
    </row>
    <row r="6" spans="1:16">
      <c r="A6"/>
      <c r="B6"/>
      <c r="C6"/>
    </row>
    <row r="7" spans="1:16">
      <c r="A7"/>
      <c r="B7"/>
      <c r="C7"/>
    </row>
    <row r="8" spans="1:16">
      <c r="A8"/>
      <c r="B8"/>
      <c r="C8"/>
    </row>
    <row r="9" spans="1:16">
      <c r="A9"/>
      <c r="B9"/>
      <c r="C9"/>
    </row>
    <row r="10" spans="1:16">
      <c r="A10"/>
      <c r="B10"/>
      <c r="C10"/>
    </row>
    <row r="11" spans="1:16">
      <c r="A11"/>
      <c r="B11"/>
      <c r="C11"/>
    </row>
    <row r="12" spans="1:16">
      <c r="A12"/>
      <c r="B12"/>
      <c r="C12"/>
    </row>
    <row r="13" spans="1:16">
      <c r="A13"/>
      <c r="B13"/>
      <c r="C13"/>
    </row>
    <row r="14" spans="1:16">
      <c r="A14"/>
      <c r="B14"/>
      <c r="C14"/>
    </row>
    <row r="15" spans="1:16">
      <c r="A15"/>
      <c r="B15"/>
      <c r="C15"/>
    </row>
    <row r="16" spans="1:16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spans="1:3">
      <c r="A31"/>
      <c r="B31"/>
      <c r="C31"/>
    </row>
    <row r="32" spans="1:3">
      <c r="A32"/>
      <c r="B32"/>
      <c r="C32"/>
    </row>
    <row r="33" spans="1:3">
      <c r="A33"/>
      <c r="B33"/>
      <c r="C33"/>
    </row>
    <row r="34" spans="1:3">
      <c r="A34"/>
      <c r="B34"/>
      <c r="C34"/>
    </row>
    <row r="35" spans="1:3">
      <c r="A35"/>
      <c r="B35"/>
      <c r="C35"/>
    </row>
    <row r="36" spans="1:3">
      <c r="A36"/>
      <c r="B36"/>
      <c r="C36"/>
    </row>
    <row r="37" spans="1:3">
      <c r="A37"/>
      <c r="B37"/>
      <c r="C37"/>
    </row>
    <row r="38" spans="1:3">
      <c r="A38"/>
      <c r="B38"/>
      <c r="C38"/>
    </row>
    <row r="39" spans="1:3">
      <c r="A39"/>
      <c r="B39"/>
      <c r="C39"/>
    </row>
    <row r="40" spans="1:3">
      <c r="A40"/>
      <c r="B40"/>
      <c r="C40"/>
    </row>
    <row r="41" spans="1:3">
      <c r="A41"/>
      <c r="B41"/>
      <c r="C41"/>
    </row>
    <row r="42" spans="1:3">
      <c r="A42"/>
      <c r="B42"/>
      <c r="C42"/>
    </row>
    <row r="43" spans="1:3">
      <c r="A43"/>
      <c r="B43"/>
      <c r="C43"/>
    </row>
    <row r="44" spans="1:3">
      <c r="A44"/>
      <c r="B44"/>
      <c r="C44"/>
    </row>
    <row r="45" spans="1:3">
      <c r="A45"/>
      <c r="B45"/>
      <c r="C45"/>
    </row>
    <row r="46" spans="1:3">
      <c r="A46"/>
      <c r="B46"/>
      <c r="C46"/>
    </row>
    <row r="47" spans="1:3">
      <c r="A47"/>
      <c r="B47"/>
      <c r="C47"/>
    </row>
    <row r="48" spans="1:3">
      <c r="A48"/>
      <c r="B48"/>
      <c r="C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 spans="1:3">
      <c r="A57"/>
      <c r="B57"/>
      <c r="C57"/>
    </row>
    <row r="58" spans="1:3">
      <c r="A58"/>
      <c r="B58"/>
      <c r="C58"/>
    </row>
    <row r="59" spans="1:3">
      <c r="A59"/>
      <c r="B59"/>
      <c r="C59"/>
    </row>
    <row r="60" spans="1:3">
      <c r="A60"/>
      <c r="B60"/>
      <c r="C60"/>
    </row>
    <row r="61" spans="1:3">
      <c r="A61"/>
      <c r="B61"/>
      <c r="C61"/>
    </row>
    <row r="62" spans="1:3">
      <c r="A62"/>
      <c r="B62"/>
      <c r="C62"/>
    </row>
    <row r="63" spans="1:3">
      <c r="A63"/>
      <c r="B63"/>
      <c r="C63"/>
    </row>
    <row r="64" spans="1:3">
      <c r="A64"/>
      <c r="B64"/>
      <c r="C64"/>
    </row>
    <row r="65" spans="1:3">
      <c r="A65"/>
      <c r="B65"/>
      <c r="C65"/>
    </row>
    <row r="66" spans="1:3">
      <c r="A66"/>
      <c r="B66"/>
      <c r="C66"/>
    </row>
    <row r="67" spans="1:3">
      <c r="A67"/>
      <c r="B67"/>
      <c r="C67"/>
    </row>
    <row r="68" spans="1:3">
      <c r="A68"/>
      <c r="B68"/>
      <c r="C68"/>
    </row>
    <row r="69" spans="1:3">
      <c r="A69"/>
      <c r="B69"/>
      <c r="C69"/>
    </row>
    <row r="70" spans="1:3">
      <c r="A70"/>
      <c r="B70"/>
      <c r="C70"/>
    </row>
    <row r="71" spans="1:3">
      <c r="A71"/>
      <c r="B71"/>
      <c r="C71"/>
    </row>
    <row r="72" spans="1:3">
      <c r="A72"/>
      <c r="B72"/>
      <c r="C72"/>
    </row>
    <row r="73" spans="1:3">
      <c r="A73"/>
      <c r="B73"/>
      <c r="C73"/>
    </row>
    <row r="74" spans="1:3">
      <c r="A74"/>
      <c r="B74"/>
      <c r="C74"/>
    </row>
    <row r="75" spans="1:3">
      <c r="A75"/>
      <c r="B75"/>
      <c r="C75"/>
    </row>
    <row r="76" spans="1:3">
      <c r="A76"/>
      <c r="B76"/>
      <c r="C76"/>
    </row>
    <row r="77" spans="1:3">
      <c r="A77"/>
      <c r="B77"/>
      <c r="C77"/>
    </row>
    <row r="78" spans="1:3">
      <c r="A78"/>
      <c r="B78"/>
      <c r="C78"/>
    </row>
    <row r="79" spans="1:3">
      <c r="A79"/>
      <c r="B79"/>
      <c r="C79"/>
    </row>
    <row r="80" spans="1:3">
      <c r="A80"/>
      <c r="B80"/>
      <c r="C80"/>
    </row>
    <row r="81" spans="1:3">
      <c r="A81"/>
      <c r="B81"/>
      <c r="C81"/>
    </row>
    <row r="82" spans="1:3">
      <c r="A82"/>
      <c r="B82"/>
      <c r="C82"/>
    </row>
    <row r="83" spans="1:3">
      <c r="A83"/>
      <c r="B83"/>
      <c r="C83"/>
    </row>
    <row r="84" spans="1:3">
      <c r="A84"/>
      <c r="B84"/>
      <c r="C84"/>
    </row>
    <row r="85" spans="1:3">
      <c r="A85"/>
      <c r="B85"/>
      <c r="C85"/>
    </row>
    <row r="86" spans="1:3">
      <c r="A86"/>
      <c r="B86"/>
      <c r="C86"/>
    </row>
    <row r="87" spans="1:3">
      <c r="A87"/>
      <c r="B87"/>
      <c r="C87"/>
    </row>
    <row r="88" spans="1:3">
      <c r="A88"/>
      <c r="B88"/>
      <c r="C88"/>
    </row>
    <row r="89" spans="1:3">
      <c r="A89"/>
      <c r="B89"/>
      <c r="C89"/>
    </row>
    <row r="90" spans="1:3">
      <c r="A90"/>
      <c r="B90"/>
      <c r="C90"/>
    </row>
    <row r="91" spans="1:3">
      <c r="A91"/>
      <c r="B91"/>
      <c r="C91"/>
    </row>
    <row r="92" spans="1:3">
      <c r="A92"/>
      <c r="B92"/>
      <c r="C92"/>
    </row>
    <row r="93" spans="1:3">
      <c r="A93"/>
      <c r="B93"/>
      <c r="C93"/>
    </row>
    <row r="94" spans="1:3">
      <c r="A94"/>
      <c r="B94"/>
      <c r="C94"/>
    </row>
    <row r="95" spans="1:3">
      <c r="A95"/>
      <c r="B95"/>
      <c r="C95"/>
    </row>
    <row r="96" spans="1:3">
      <c r="A96"/>
      <c r="B96"/>
      <c r="C96"/>
    </row>
    <row r="97" spans="1:3">
      <c r="A97"/>
      <c r="B97"/>
      <c r="C97"/>
    </row>
    <row r="98" spans="1:3">
      <c r="A98"/>
      <c r="B98"/>
      <c r="C98"/>
    </row>
    <row r="99" spans="1:3">
      <c r="A99"/>
      <c r="B99"/>
      <c r="C99"/>
    </row>
    <row r="100" spans="1:3">
      <c r="A100"/>
      <c r="B100"/>
      <c r="C100"/>
    </row>
    <row r="101" spans="1:3">
      <c r="A101"/>
      <c r="B101"/>
      <c r="C101"/>
    </row>
    <row r="102" spans="1:3">
      <c r="A102"/>
      <c r="B102"/>
      <c r="C102"/>
    </row>
    <row r="103" spans="1:3">
      <c r="A103"/>
      <c r="B103"/>
      <c r="C103"/>
    </row>
    <row r="104" spans="1:3">
      <c r="A104"/>
      <c r="B104"/>
      <c r="C104"/>
    </row>
    <row r="105" spans="1:3">
      <c r="A105"/>
      <c r="B105"/>
      <c r="C105"/>
    </row>
    <row r="106" spans="1:3">
      <c r="A106"/>
      <c r="B106"/>
      <c r="C106"/>
    </row>
    <row r="107" spans="1:3">
      <c r="A107"/>
      <c r="B107"/>
      <c r="C107"/>
    </row>
    <row r="108" spans="1:3">
      <c r="A108"/>
      <c r="B108"/>
      <c r="C108"/>
    </row>
    <row r="109" spans="1:3">
      <c r="A109"/>
      <c r="B109"/>
      <c r="C109"/>
    </row>
    <row r="110" spans="1:3">
      <c r="A110"/>
      <c r="B110"/>
      <c r="C110"/>
    </row>
    <row r="111" spans="1:3">
      <c r="A111"/>
      <c r="B111"/>
      <c r="C111"/>
    </row>
    <row r="112" spans="1:3">
      <c r="A112"/>
      <c r="B112"/>
      <c r="C112"/>
    </row>
    <row r="113" spans="1:3">
      <c r="A113"/>
      <c r="B113"/>
      <c r="C113"/>
    </row>
    <row r="114" spans="1:3">
      <c r="A114"/>
      <c r="B114"/>
      <c r="C114"/>
    </row>
    <row r="115" spans="1:3">
      <c r="A115"/>
      <c r="B115"/>
      <c r="C115"/>
    </row>
    <row r="116" spans="1:3">
      <c r="A116"/>
      <c r="B116"/>
      <c r="C116"/>
    </row>
    <row r="117" spans="1:3">
      <c r="A117"/>
      <c r="B117"/>
      <c r="C117"/>
    </row>
    <row r="118" spans="1:3">
      <c r="A118"/>
      <c r="B118"/>
      <c r="C118"/>
    </row>
    <row r="119" spans="1:3">
      <c r="A119"/>
      <c r="B119"/>
      <c r="C119"/>
    </row>
    <row r="120" spans="1:3">
      <c r="A120"/>
      <c r="B120"/>
      <c r="C120"/>
    </row>
    <row r="121" spans="1:3">
      <c r="A121"/>
      <c r="B121"/>
      <c r="C121"/>
    </row>
    <row r="122" spans="1:3">
      <c r="A122"/>
      <c r="B122"/>
      <c r="C122"/>
    </row>
    <row r="123" spans="1:3">
      <c r="A123"/>
      <c r="B123"/>
      <c r="C123"/>
    </row>
    <row r="124" spans="1:3">
      <c r="A124"/>
      <c r="B124"/>
      <c r="C124"/>
    </row>
    <row r="125" spans="1:3">
      <c r="A125"/>
      <c r="B125"/>
      <c r="C125"/>
    </row>
    <row r="126" spans="1:3">
      <c r="A126"/>
      <c r="B126"/>
      <c r="C126"/>
    </row>
    <row r="127" spans="1:3">
      <c r="A127"/>
      <c r="B127"/>
      <c r="C127"/>
    </row>
    <row r="128" spans="1:3">
      <c r="A128"/>
      <c r="B128"/>
      <c r="C128"/>
    </row>
    <row r="129" spans="1:3">
      <c r="A129"/>
      <c r="B129"/>
      <c r="C129"/>
    </row>
    <row r="130" spans="1:3">
      <c r="A130"/>
      <c r="B130"/>
      <c r="C130"/>
    </row>
    <row r="131" spans="1:3">
      <c r="A131"/>
      <c r="B131"/>
      <c r="C131"/>
    </row>
    <row r="132" spans="1:3">
      <c r="A132"/>
      <c r="B132"/>
      <c r="C132"/>
    </row>
    <row r="133" spans="1:3">
      <c r="A133"/>
      <c r="B133"/>
      <c r="C133"/>
    </row>
    <row r="134" spans="1:3">
      <c r="A134"/>
      <c r="B134"/>
      <c r="C134"/>
    </row>
    <row r="135" spans="1:3">
      <c r="A135"/>
      <c r="B135"/>
      <c r="C135"/>
    </row>
    <row r="136" spans="1:3">
      <c r="A136"/>
      <c r="B136"/>
      <c r="C136"/>
    </row>
    <row r="137" spans="1:3">
      <c r="A137"/>
      <c r="B137"/>
      <c r="C137"/>
    </row>
    <row r="138" spans="1:3">
      <c r="A138"/>
      <c r="B138"/>
      <c r="C138"/>
    </row>
    <row r="139" spans="1:3">
      <c r="A139"/>
      <c r="B139"/>
      <c r="C139"/>
    </row>
    <row r="140" spans="1:3">
      <c r="A140"/>
      <c r="B140"/>
      <c r="C140"/>
    </row>
    <row r="141" spans="1:3">
      <c r="A141"/>
      <c r="B141"/>
      <c r="C141"/>
    </row>
    <row r="142" spans="1:3">
      <c r="A142"/>
      <c r="B142"/>
      <c r="C142"/>
    </row>
    <row r="143" spans="1:3">
      <c r="A143"/>
      <c r="B143"/>
      <c r="C143"/>
    </row>
    <row r="144" spans="1:3">
      <c r="A144"/>
      <c r="B144"/>
      <c r="C144"/>
    </row>
    <row r="145" spans="1:3">
      <c r="A145"/>
      <c r="B145"/>
      <c r="C145"/>
    </row>
    <row r="146" spans="1:3">
      <c r="A146"/>
      <c r="B146"/>
      <c r="C146"/>
    </row>
    <row r="147" spans="1:3">
      <c r="A147"/>
      <c r="B147"/>
      <c r="C147"/>
    </row>
    <row r="148" spans="1:3">
      <c r="A148"/>
      <c r="B148"/>
      <c r="C148"/>
    </row>
    <row r="149" spans="1:3">
      <c r="A149"/>
      <c r="B149"/>
      <c r="C149"/>
    </row>
    <row r="150" spans="1:3">
      <c r="A150"/>
      <c r="B150"/>
      <c r="C150"/>
    </row>
    <row r="151" spans="1:3">
      <c r="A151"/>
      <c r="B151"/>
      <c r="C151"/>
    </row>
    <row r="152" spans="1:3">
      <c r="A152"/>
      <c r="B152"/>
      <c r="C152"/>
    </row>
    <row r="153" spans="1:3">
      <c r="A153"/>
      <c r="B153"/>
      <c r="C153"/>
    </row>
    <row r="154" spans="1:3">
      <c r="A154"/>
      <c r="B154"/>
      <c r="C154"/>
    </row>
    <row r="155" spans="1:3">
      <c r="A155"/>
      <c r="B155"/>
      <c r="C155"/>
    </row>
    <row r="156" spans="1:3">
      <c r="A156"/>
      <c r="B156"/>
      <c r="C156"/>
    </row>
    <row r="157" spans="1:3">
      <c r="A157"/>
      <c r="B157"/>
      <c r="C157"/>
    </row>
    <row r="158" spans="1:3">
      <c r="A158"/>
      <c r="B158"/>
      <c r="C158"/>
    </row>
    <row r="159" spans="1:3">
      <c r="A159"/>
      <c r="B159"/>
      <c r="C159"/>
    </row>
    <row r="160" spans="1:3">
      <c r="A160"/>
      <c r="B160"/>
      <c r="C160"/>
    </row>
    <row r="161" spans="1:3">
      <c r="A161"/>
      <c r="B161"/>
      <c r="C161"/>
    </row>
    <row r="162" spans="1:3">
      <c r="A162"/>
      <c r="B162"/>
      <c r="C162"/>
    </row>
    <row r="163" spans="1:3">
      <c r="A163"/>
      <c r="B163"/>
      <c r="C163"/>
    </row>
    <row r="164" spans="1:3">
      <c r="A164"/>
      <c r="B164"/>
      <c r="C164"/>
    </row>
    <row r="165" spans="1:3">
      <c r="A165"/>
      <c r="B165"/>
      <c r="C165"/>
    </row>
    <row r="166" spans="1:3">
      <c r="A166"/>
      <c r="B166"/>
      <c r="C166"/>
    </row>
    <row r="167" spans="1:3">
      <c r="A167"/>
      <c r="B167"/>
      <c r="C167"/>
    </row>
    <row r="168" spans="1:3">
      <c r="A168"/>
      <c r="B168"/>
      <c r="C168"/>
    </row>
    <row r="169" spans="1:3">
      <c r="A169"/>
      <c r="B169"/>
      <c r="C169"/>
    </row>
    <row r="170" spans="1:3">
      <c r="A170"/>
      <c r="B170"/>
      <c r="C170"/>
    </row>
    <row r="171" spans="1:3">
      <c r="A171"/>
      <c r="B171"/>
      <c r="C171"/>
    </row>
    <row r="172" spans="1:3">
      <c r="A172"/>
      <c r="B172"/>
      <c r="C172"/>
    </row>
    <row r="173" spans="1:3">
      <c r="A173"/>
      <c r="B173"/>
      <c r="C173"/>
    </row>
    <row r="174" spans="1:3">
      <c r="A174"/>
      <c r="B174"/>
      <c r="C174"/>
    </row>
    <row r="175" spans="1:3">
      <c r="A175"/>
      <c r="B175"/>
      <c r="C175"/>
    </row>
    <row r="176" spans="1:3">
      <c r="A176"/>
      <c r="B176"/>
      <c r="C176"/>
    </row>
    <row r="177" spans="1:3">
      <c r="A177"/>
      <c r="B177"/>
      <c r="C177"/>
    </row>
    <row r="178" spans="1:3">
      <c r="A178"/>
      <c r="B178"/>
      <c r="C178"/>
    </row>
    <row r="179" spans="1:3">
      <c r="A179"/>
      <c r="B179"/>
      <c r="C179"/>
    </row>
    <row r="180" spans="1:3">
      <c r="A180"/>
      <c r="B180"/>
      <c r="C180"/>
    </row>
    <row r="181" spans="1:3">
      <c r="A181"/>
      <c r="B181"/>
      <c r="C181"/>
    </row>
    <row r="182" spans="1:3">
      <c r="A182"/>
      <c r="B182"/>
      <c r="C182"/>
    </row>
    <row r="183" spans="1:3">
      <c r="A183"/>
      <c r="B183"/>
      <c r="C183"/>
    </row>
    <row r="184" spans="1:3">
      <c r="A184"/>
      <c r="B184"/>
      <c r="C184"/>
    </row>
    <row r="185" spans="1:3">
      <c r="A185"/>
      <c r="B185"/>
      <c r="C185"/>
    </row>
    <row r="186" spans="1:3">
      <c r="A186"/>
      <c r="B186"/>
      <c r="C186"/>
    </row>
    <row r="187" spans="1:3">
      <c r="A187"/>
      <c r="B187"/>
      <c r="C187"/>
    </row>
    <row r="188" spans="1:3">
      <c r="A188"/>
      <c r="B188"/>
      <c r="C188"/>
    </row>
    <row r="189" spans="1:3">
      <c r="A189"/>
      <c r="B189"/>
      <c r="C189"/>
    </row>
    <row r="190" spans="1:3">
      <c r="A190"/>
      <c r="B190"/>
      <c r="C190"/>
    </row>
    <row r="191" spans="1:3">
      <c r="A191"/>
      <c r="B191"/>
      <c r="C191"/>
    </row>
    <row r="192" spans="1:3">
      <c r="A192"/>
      <c r="B192"/>
      <c r="C192"/>
    </row>
    <row r="193" spans="1:3">
      <c r="A193"/>
      <c r="B193"/>
      <c r="C193"/>
    </row>
    <row r="194" spans="1:3">
      <c r="A194"/>
      <c r="B194"/>
      <c r="C194"/>
    </row>
    <row r="195" spans="1:3">
      <c r="A195"/>
      <c r="B195"/>
      <c r="C195"/>
    </row>
    <row r="196" spans="1:3">
      <c r="A196"/>
      <c r="B196"/>
      <c r="C196"/>
    </row>
    <row r="197" spans="1:3">
      <c r="A197"/>
      <c r="B197"/>
      <c r="C197"/>
    </row>
    <row r="198" spans="1:3">
      <c r="A198"/>
      <c r="B198"/>
      <c r="C198"/>
    </row>
    <row r="199" spans="1:3">
      <c r="A199"/>
      <c r="B199"/>
      <c r="C199"/>
    </row>
    <row r="200" spans="1:3">
      <c r="A200"/>
      <c r="B200"/>
      <c r="C200"/>
    </row>
    <row r="201" spans="1:3">
      <c r="A201"/>
      <c r="B201"/>
      <c r="C201"/>
    </row>
    <row r="202" spans="1:3">
      <c r="A202"/>
      <c r="B202"/>
      <c r="C202"/>
    </row>
    <row r="203" spans="1:3">
      <c r="A203"/>
      <c r="B203"/>
      <c r="C203"/>
    </row>
    <row r="204" spans="1:3">
      <c r="A204"/>
      <c r="B204"/>
      <c r="C204"/>
    </row>
    <row r="205" spans="1:3">
      <c r="A205"/>
      <c r="B205"/>
      <c r="C205"/>
    </row>
    <row r="206" spans="1:3">
      <c r="A206"/>
      <c r="B206"/>
      <c r="C206"/>
    </row>
    <row r="207" spans="1:3">
      <c r="A207"/>
      <c r="B207"/>
      <c r="C207"/>
    </row>
    <row r="208" spans="1:3">
      <c r="A208"/>
      <c r="B208"/>
      <c r="C208"/>
    </row>
    <row r="209" spans="1:3">
      <c r="A209"/>
      <c r="B209"/>
      <c r="C209"/>
    </row>
    <row r="210" spans="1:3">
      <c r="A210"/>
      <c r="B210"/>
      <c r="C210"/>
    </row>
    <row r="211" spans="1:3">
      <c r="A211"/>
      <c r="B211"/>
      <c r="C211"/>
    </row>
    <row r="212" spans="1:3">
      <c r="A212"/>
      <c r="B212"/>
      <c r="C212"/>
    </row>
    <row r="213" spans="1:3">
      <c r="A213"/>
      <c r="B213"/>
      <c r="C213"/>
    </row>
    <row r="214" spans="1:3">
      <c r="A214"/>
      <c r="B214"/>
      <c r="C214"/>
    </row>
    <row r="215" spans="1:3">
      <c r="A215"/>
      <c r="B215"/>
      <c r="C215"/>
    </row>
    <row r="216" spans="1:3">
      <c r="A216"/>
      <c r="B216"/>
      <c r="C216"/>
    </row>
    <row r="217" spans="1:3">
      <c r="A217"/>
      <c r="B217"/>
      <c r="C217"/>
    </row>
    <row r="218" spans="1:3">
      <c r="A218"/>
      <c r="B218"/>
      <c r="C218"/>
    </row>
    <row r="219" spans="1:3">
      <c r="A219"/>
      <c r="B219"/>
      <c r="C219"/>
    </row>
    <row r="220" spans="1:3">
      <c r="A220"/>
      <c r="B220"/>
      <c r="C220"/>
    </row>
    <row r="221" spans="1:3">
      <c r="A221"/>
      <c r="B221"/>
      <c r="C221"/>
    </row>
    <row r="222" spans="1:3">
      <c r="A222"/>
      <c r="B222"/>
      <c r="C222"/>
    </row>
    <row r="223" spans="1:3">
      <c r="A223"/>
      <c r="B223"/>
      <c r="C223"/>
    </row>
    <row r="224" spans="1:3">
      <c r="A224"/>
      <c r="B224"/>
      <c r="C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  <c r="C275"/>
    </row>
    <row r="276" spans="1:3">
      <c r="A276"/>
      <c r="B276"/>
      <c r="C276"/>
    </row>
    <row r="277" spans="1:3">
      <c r="A277"/>
      <c r="B277"/>
      <c r="C277"/>
    </row>
    <row r="278" spans="1:3">
      <c r="A278"/>
      <c r="B278"/>
      <c r="C278"/>
    </row>
    <row r="279" spans="1:3">
      <c r="A279"/>
      <c r="B279"/>
      <c r="C279"/>
    </row>
    <row r="280" spans="1:3">
      <c r="A280"/>
      <c r="B280"/>
      <c r="C280"/>
    </row>
    <row r="281" spans="1:3">
      <c r="A281"/>
      <c r="B281"/>
      <c r="C281"/>
    </row>
    <row r="282" spans="1:3">
      <c r="A282"/>
      <c r="B282"/>
      <c r="C282"/>
    </row>
    <row r="283" spans="1:3">
      <c r="A283"/>
      <c r="B283"/>
      <c r="C283"/>
    </row>
    <row r="284" spans="1:3">
      <c r="A284"/>
      <c r="B284"/>
      <c r="C284"/>
    </row>
    <row r="285" spans="1:3">
      <c r="A285"/>
      <c r="B285"/>
      <c r="C285"/>
    </row>
    <row r="286" spans="1:3">
      <c r="A286"/>
      <c r="B286"/>
      <c r="C286"/>
    </row>
    <row r="287" spans="1:3">
      <c r="A287"/>
      <c r="B287"/>
      <c r="C287"/>
    </row>
    <row r="288" spans="1:3">
      <c r="A288"/>
      <c r="B288"/>
      <c r="C288"/>
    </row>
    <row r="289" spans="1:3">
      <c r="A289"/>
      <c r="B289"/>
      <c r="C289"/>
    </row>
    <row r="290" spans="1:3">
      <c r="A290"/>
      <c r="B290"/>
      <c r="C290"/>
    </row>
    <row r="291" spans="1:3">
      <c r="A291"/>
      <c r="B291"/>
      <c r="C291"/>
    </row>
    <row r="292" spans="1:3">
      <c r="A292"/>
      <c r="B292"/>
      <c r="C292"/>
    </row>
    <row r="293" spans="1:3">
      <c r="A293"/>
      <c r="B293"/>
      <c r="C293"/>
    </row>
    <row r="294" spans="1:3">
      <c r="A294"/>
      <c r="B294"/>
      <c r="C294"/>
    </row>
    <row r="295" spans="1:3">
      <c r="A295"/>
      <c r="B295"/>
      <c r="C295"/>
    </row>
    <row r="296" spans="1:3">
      <c r="A296"/>
      <c r="B296"/>
      <c r="C296"/>
    </row>
    <row r="297" spans="1:3">
      <c r="A297"/>
      <c r="B297"/>
      <c r="C297"/>
    </row>
    <row r="298" spans="1:3">
      <c r="A298"/>
      <c r="B298"/>
      <c r="C298"/>
    </row>
    <row r="299" spans="1:3">
      <c r="A299"/>
      <c r="B299"/>
      <c r="C299"/>
    </row>
    <row r="300" spans="1:3">
      <c r="A300"/>
      <c r="B300"/>
      <c r="C300"/>
    </row>
    <row r="301" spans="1:3">
      <c r="A301"/>
      <c r="B301"/>
      <c r="C301"/>
    </row>
    <row r="302" spans="1:3">
      <c r="A302"/>
      <c r="B302"/>
      <c r="C302"/>
    </row>
    <row r="303" spans="1:3">
      <c r="A303"/>
      <c r="B303"/>
      <c r="C303"/>
    </row>
    <row r="304" spans="1:3">
      <c r="A304"/>
      <c r="B304"/>
      <c r="C304"/>
    </row>
    <row r="305" spans="1:3">
      <c r="A305"/>
      <c r="B305"/>
      <c r="C305"/>
    </row>
    <row r="306" spans="1:3">
      <c r="A306"/>
      <c r="B306"/>
      <c r="C306"/>
    </row>
    <row r="307" spans="1:3">
      <c r="A307"/>
      <c r="B307"/>
      <c r="C307"/>
    </row>
    <row r="308" spans="1:3">
      <c r="A308"/>
      <c r="B308"/>
      <c r="C308"/>
    </row>
    <row r="309" spans="1:3">
      <c r="A309"/>
      <c r="B309"/>
      <c r="C309"/>
    </row>
    <row r="310" spans="1:3">
      <c r="A310"/>
      <c r="B310"/>
      <c r="C310"/>
    </row>
    <row r="311" spans="1:3">
      <c r="A311"/>
      <c r="B311"/>
      <c r="C311"/>
    </row>
    <row r="312" spans="1:3">
      <c r="A312"/>
      <c r="B312"/>
      <c r="C312"/>
    </row>
    <row r="313" spans="1:3">
      <c r="A313"/>
      <c r="B313"/>
      <c r="C313"/>
    </row>
    <row r="314" spans="1:3">
      <c r="A314"/>
      <c r="B314"/>
      <c r="C314"/>
    </row>
    <row r="315" spans="1:3">
      <c r="A315"/>
      <c r="B315"/>
      <c r="C315"/>
    </row>
    <row r="316" spans="1:3">
      <c r="A316"/>
      <c r="B316"/>
      <c r="C316"/>
    </row>
    <row r="317" spans="1:3">
      <c r="A317"/>
      <c r="B317"/>
      <c r="C317"/>
    </row>
    <row r="318" spans="1:3">
      <c r="A318"/>
      <c r="B318"/>
      <c r="C318"/>
    </row>
    <row r="319" spans="1:3">
      <c r="A319"/>
      <c r="B319"/>
      <c r="C319"/>
    </row>
    <row r="320" spans="1:3">
      <c r="A320"/>
      <c r="B320"/>
      <c r="C320"/>
    </row>
    <row r="321" spans="1:3">
      <c r="A321"/>
      <c r="B321"/>
      <c r="C321"/>
    </row>
    <row r="322" spans="1:3">
      <c r="A322"/>
      <c r="B322"/>
      <c r="C322"/>
    </row>
    <row r="323" spans="1:3">
      <c r="A323"/>
      <c r="B323"/>
      <c r="C323"/>
    </row>
    <row r="324" spans="1:3">
      <c r="A324"/>
      <c r="B324"/>
      <c r="C324"/>
    </row>
    <row r="325" spans="1:3">
      <c r="A325"/>
      <c r="B325"/>
      <c r="C325"/>
    </row>
    <row r="326" spans="1:3">
      <c r="A326"/>
      <c r="B326"/>
      <c r="C326"/>
    </row>
    <row r="327" spans="1:3">
      <c r="A327"/>
      <c r="B327"/>
      <c r="C327"/>
    </row>
    <row r="328" spans="1:3">
      <c r="A328"/>
      <c r="B328"/>
      <c r="C328"/>
    </row>
    <row r="329" spans="1:3">
      <c r="A329"/>
      <c r="B329"/>
      <c r="C329"/>
    </row>
    <row r="330" spans="1:3">
      <c r="A330"/>
      <c r="B330"/>
      <c r="C330"/>
    </row>
    <row r="331" spans="1:3">
      <c r="A331"/>
      <c r="B331"/>
      <c r="C331"/>
    </row>
    <row r="332" spans="1:3">
      <c r="A332"/>
      <c r="B332"/>
      <c r="C332"/>
    </row>
    <row r="333" spans="1:3">
      <c r="A333"/>
      <c r="B333"/>
      <c r="C333"/>
    </row>
    <row r="334" spans="1:3">
      <c r="A334"/>
      <c r="B334"/>
      <c r="C334"/>
    </row>
    <row r="335" spans="1:3">
      <c r="A335"/>
      <c r="B335"/>
      <c r="C335"/>
    </row>
    <row r="336" spans="1:3">
      <c r="A336"/>
      <c r="B336"/>
      <c r="C336"/>
    </row>
    <row r="337" spans="1:3">
      <c r="A337"/>
      <c r="B337"/>
      <c r="C337"/>
    </row>
    <row r="338" spans="1:3">
      <c r="A338"/>
      <c r="B338"/>
      <c r="C338"/>
    </row>
    <row r="339" spans="1:3">
      <c r="A339"/>
      <c r="B339"/>
      <c r="C339"/>
    </row>
    <row r="340" spans="1:3">
      <c r="A340"/>
      <c r="B340"/>
      <c r="C340"/>
    </row>
    <row r="341" spans="1:3">
      <c r="A341"/>
      <c r="B341"/>
      <c r="C341"/>
    </row>
    <row r="342" spans="1:3">
      <c r="A342"/>
      <c r="B342"/>
      <c r="C342"/>
    </row>
    <row r="343" spans="1:3">
      <c r="A343"/>
      <c r="B343"/>
      <c r="C343"/>
    </row>
    <row r="344" spans="1:3">
      <c r="A344"/>
      <c r="B344"/>
      <c r="C344"/>
    </row>
    <row r="345" spans="1:3">
      <c r="A345"/>
      <c r="B345"/>
      <c r="C345"/>
    </row>
    <row r="346" spans="1:3">
      <c r="A346"/>
      <c r="B346"/>
      <c r="C346"/>
    </row>
    <row r="347" spans="1:3">
      <c r="A347"/>
      <c r="B347"/>
      <c r="C347"/>
    </row>
    <row r="348" spans="1:3">
      <c r="A348"/>
      <c r="B348"/>
      <c r="C348"/>
    </row>
    <row r="349" spans="1:3">
      <c r="A349"/>
      <c r="B349"/>
      <c r="C349"/>
    </row>
    <row r="350" spans="1:3">
      <c r="A350"/>
      <c r="B350"/>
      <c r="C350"/>
    </row>
    <row r="351" spans="1:3">
      <c r="A351"/>
      <c r="B351"/>
      <c r="C351"/>
    </row>
    <row r="352" spans="1:3">
      <c r="A352"/>
      <c r="B352"/>
      <c r="C352"/>
    </row>
    <row r="353" spans="1:3">
      <c r="A353"/>
      <c r="B353"/>
      <c r="C353"/>
    </row>
    <row r="354" spans="1:3">
      <c r="A354"/>
      <c r="B354"/>
      <c r="C354"/>
    </row>
    <row r="355" spans="1:3">
      <c r="A355"/>
      <c r="B355"/>
      <c r="C355"/>
    </row>
    <row r="356" spans="1:3">
      <c r="A356"/>
      <c r="B356"/>
      <c r="C356"/>
    </row>
    <row r="357" spans="1:3">
      <c r="A357"/>
      <c r="B357"/>
      <c r="C357"/>
    </row>
    <row r="358" spans="1:3">
      <c r="A358"/>
      <c r="B358"/>
      <c r="C358"/>
    </row>
    <row r="359" spans="1:3">
      <c r="A359"/>
      <c r="B359"/>
      <c r="C359"/>
    </row>
    <row r="360" spans="1:3">
      <c r="A360"/>
      <c r="B360"/>
      <c r="C360"/>
    </row>
    <row r="361" spans="1:3">
      <c r="A361"/>
      <c r="B361"/>
      <c r="C361"/>
    </row>
    <row r="362" spans="1:3">
      <c r="A362"/>
      <c r="B362"/>
      <c r="C362"/>
    </row>
    <row r="363" spans="1:3">
      <c r="A363"/>
      <c r="B363"/>
      <c r="C363"/>
    </row>
    <row r="364" spans="1:3">
      <c r="A364"/>
      <c r="B364"/>
      <c r="C364"/>
    </row>
    <row r="365" spans="1:3">
      <c r="A365"/>
      <c r="B365"/>
      <c r="C365"/>
    </row>
    <row r="366" spans="1:3">
      <c r="A366"/>
      <c r="B366"/>
      <c r="C366"/>
    </row>
    <row r="367" spans="1:3">
      <c r="A367"/>
      <c r="B367"/>
      <c r="C367"/>
    </row>
    <row r="368" spans="1:3">
      <c r="A368"/>
      <c r="B368"/>
      <c r="C368"/>
    </row>
    <row r="369" spans="1:3">
      <c r="A369"/>
      <c r="B369"/>
      <c r="C369"/>
    </row>
    <row r="370" spans="1:3">
      <c r="A370"/>
      <c r="B370"/>
      <c r="C370"/>
    </row>
    <row r="371" spans="1:3">
      <c r="A371"/>
      <c r="B371"/>
      <c r="C371"/>
    </row>
    <row r="372" spans="1:3">
      <c r="A372"/>
      <c r="B372"/>
      <c r="C372"/>
    </row>
    <row r="373" spans="1:3">
      <c r="A373"/>
      <c r="B373"/>
      <c r="C373"/>
    </row>
    <row r="374" spans="1:3">
      <c r="A374"/>
      <c r="B374"/>
      <c r="C374"/>
    </row>
    <row r="375" spans="1:3">
      <c r="A375"/>
      <c r="B375"/>
      <c r="C375"/>
    </row>
    <row r="376" spans="1:3">
      <c r="A376"/>
      <c r="B376"/>
      <c r="C376"/>
    </row>
    <row r="377" spans="1:3">
      <c r="A377"/>
      <c r="B377"/>
      <c r="C377"/>
    </row>
    <row r="378" spans="1:3">
      <c r="A378"/>
      <c r="B378"/>
      <c r="C378"/>
    </row>
    <row r="379" spans="1:3">
      <c r="A379"/>
      <c r="B379"/>
      <c r="C379"/>
    </row>
    <row r="380" spans="1:3">
      <c r="A380"/>
      <c r="B380"/>
      <c r="C380"/>
    </row>
    <row r="381" spans="1:3">
      <c r="A381"/>
      <c r="B381"/>
      <c r="C381"/>
    </row>
    <row r="382" spans="1:3">
      <c r="A382"/>
      <c r="B382"/>
      <c r="C382"/>
    </row>
    <row r="383" spans="1:3">
      <c r="A383"/>
      <c r="B383"/>
      <c r="C383"/>
    </row>
    <row r="384" spans="1:3">
      <c r="A384"/>
      <c r="B384"/>
      <c r="C384"/>
    </row>
    <row r="385" spans="1:3">
      <c r="A385"/>
      <c r="B385"/>
      <c r="C385"/>
    </row>
    <row r="386" spans="1:3">
      <c r="A386"/>
      <c r="B386"/>
      <c r="C386"/>
    </row>
    <row r="387" spans="1:3">
      <c r="A387"/>
      <c r="B387"/>
      <c r="C387"/>
    </row>
    <row r="388" spans="1:3">
      <c r="A388"/>
      <c r="B388"/>
      <c r="C388"/>
    </row>
    <row r="389" spans="1:3">
      <c r="A389"/>
      <c r="B389"/>
      <c r="C389"/>
    </row>
    <row r="390" spans="1:3">
      <c r="A390"/>
      <c r="B390"/>
      <c r="C390"/>
    </row>
    <row r="391" spans="1:3">
      <c r="A391"/>
      <c r="B391"/>
      <c r="C391"/>
    </row>
    <row r="392" spans="1:3">
      <c r="A392"/>
      <c r="B392"/>
      <c r="C392"/>
    </row>
    <row r="393" spans="1:3">
      <c r="A393"/>
      <c r="B393"/>
      <c r="C393"/>
    </row>
    <row r="394" spans="1:3">
      <c r="A394"/>
      <c r="B394"/>
      <c r="C394"/>
    </row>
    <row r="395" spans="1:3">
      <c r="A395"/>
      <c r="B395"/>
      <c r="C395"/>
    </row>
    <row r="396" spans="1:3">
      <c r="A396"/>
      <c r="B396"/>
      <c r="C396"/>
    </row>
    <row r="397" spans="1:3">
      <c r="A397"/>
      <c r="B397"/>
      <c r="C397"/>
    </row>
    <row r="398" spans="1:3">
      <c r="A398"/>
      <c r="B398"/>
      <c r="C398"/>
    </row>
    <row r="399" spans="1:3">
      <c r="A399"/>
      <c r="B399"/>
      <c r="C399"/>
    </row>
    <row r="400" spans="1:3">
      <c r="A400"/>
      <c r="B400"/>
      <c r="C400"/>
    </row>
    <row r="401" spans="1:3">
      <c r="A401"/>
      <c r="B401"/>
      <c r="C401"/>
    </row>
    <row r="402" spans="1:3">
      <c r="A402"/>
      <c r="B402"/>
      <c r="C402"/>
    </row>
    <row r="403" spans="1:3">
      <c r="A403"/>
      <c r="B403"/>
      <c r="C403"/>
    </row>
    <row r="404" spans="1:3">
      <c r="A404"/>
      <c r="B404"/>
      <c r="C404"/>
    </row>
    <row r="405" spans="1:3">
      <c r="A405"/>
      <c r="B405"/>
      <c r="C405"/>
    </row>
    <row r="406" spans="1:3">
      <c r="A406"/>
      <c r="B406"/>
      <c r="C406"/>
    </row>
    <row r="407" spans="1:3">
      <c r="A407"/>
      <c r="B407"/>
      <c r="C407"/>
    </row>
    <row r="408" spans="1:3">
      <c r="A408"/>
      <c r="B408"/>
      <c r="C408"/>
    </row>
    <row r="409" spans="1:3">
      <c r="A409"/>
      <c r="B409"/>
      <c r="C409"/>
    </row>
    <row r="410" spans="1:3">
      <c r="A410"/>
      <c r="B410"/>
      <c r="C410"/>
    </row>
    <row r="411" spans="1:3">
      <c r="A411"/>
      <c r="B411"/>
      <c r="C411"/>
    </row>
    <row r="412" spans="1:3">
      <c r="A412"/>
      <c r="B412"/>
      <c r="C412"/>
    </row>
    <row r="413" spans="1:3">
      <c r="A413"/>
      <c r="B413"/>
      <c r="C413"/>
    </row>
    <row r="414" spans="1:3">
      <c r="A414"/>
      <c r="B414"/>
      <c r="C414"/>
    </row>
    <row r="415" spans="1:3">
      <c r="A415"/>
      <c r="B415"/>
      <c r="C415"/>
    </row>
    <row r="416" spans="1:3">
      <c r="A416"/>
      <c r="B416"/>
      <c r="C416"/>
    </row>
    <row r="417" spans="1:3">
      <c r="A417"/>
      <c r="B417"/>
      <c r="C417"/>
    </row>
    <row r="418" spans="1:3">
      <c r="A418"/>
      <c r="B418"/>
      <c r="C418"/>
    </row>
    <row r="419" spans="1:3">
      <c r="A419"/>
      <c r="B419"/>
      <c r="C419"/>
    </row>
    <row r="420" spans="1:3">
      <c r="A420"/>
      <c r="B420"/>
      <c r="C420"/>
    </row>
    <row r="421" spans="1:3">
      <c r="A421"/>
      <c r="B421"/>
      <c r="C421"/>
    </row>
    <row r="422" spans="1:3">
      <c r="A422"/>
      <c r="B422"/>
      <c r="C422"/>
    </row>
    <row r="423" spans="1:3">
      <c r="A423"/>
      <c r="B423"/>
      <c r="C423"/>
    </row>
    <row r="424" spans="1:3">
      <c r="A424"/>
      <c r="B424"/>
      <c r="C424"/>
    </row>
    <row r="425" spans="1:3">
      <c r="A425"/>
      <c r="B425"/>
      <c r="C425"/>
    </row>
    <row r="426" spans="1:3">
      <c r="A426"/>
      <c r="B426"/>
      <c r="C426"/>
    </row>
    <row r="427" spans="1:3">
      <c r="A427"/>
      <c r="B427"/>
      <c r="C427"/>
    </row>
    <row r="428" spans="1:3">
      <c r="A428"/>
      <c r="B428"/>
      <c r="C428"/>
    </row>
    <row r="429" spans="1:3">
      <c r="A429"/>
      <c r="B429"/>
      <c r="C429"/>
    </row>
    <row r="430" spans="1:3">
      <c r="A430"/>
      <c r="B430"/>
      <c r="C430"/>
    </row>
    <row r="431" spans="1:3">
      <c r="A431"/>
      <c r="B431"/>
      <c r="C431"/>
    </row>
    <row r="432" spans="1:3">
      <c r="A432"/>
      <c r="B432"/>
      <c r="C432"/>
    </row>
    <row r="433" spans="1:3">
      <c r="A433"/>
      <c r="B433"/>
      <c r="C433"/>
    </row>
    <row r="434" spans="1:3">
      <c r="A434"/>
      <c r="B434"/>
      <c r="C434"/>
    </row>
    <row r="435" spans="1:3">
      <c r="A435"/>
      <c r="B435"/>
      <c r="C435"/>
    </row>
    <row r="436" spans="1:3">
      <c r="A436"/>
      <c r="B436"/>
      <c r="C436"/>
    </row>
    <row r="437" spans="1:3">
      <c r="A437"/>
      <c r="B437"/>
      <c r="C437"/>
    </row>
    <row r="438" spans="1:3">
      <c r="A438"/>
      <c r="B438"/>
      <c r="C438"/>
    </row>
    <row r="439" spans="1:3">
      <c r="A439"/>
      <c r="B439"/>
      <c r="C439"/>
    </row>
    <row r="440" spans="1:3">
      <c r="A440"/>
      <c r="B440"/>
      <c r="C440"/>
    </row>
    <row r="441" spans="1:3">
      <c r="A441"/>
      <c r="B441"/>
      <c r="C441"/>
    </row>
    <row r="442" spans="1:3">
      <c r="A442"/>
      <c r="B442"/>
      <c r="C442"/>
    </row>
    <row r="443" spans="1:3">
      <c r="A443"/>
      <c r="B443"/>
      <c r="C443"/>
    </row>
    <row r="444" spans="1:3">
      <c r="A444"/>
      <c r="B444"/>
      <c r="C444"/>
    </row>
    <row r="445" spans="1:3">
      <c r="A445"/>
      <c r="B445"/>
      <c r="C445"/>
    </row>
    <row r="446" spans="1:3">
      <c r="A446"/>
      <c r="B446"/>
      <c r="C446"/>
    </row>
    <row r="447" spans="1:3">
      <c r="A447"/>
      <c r="B447"/>
      <c r="C447"/>
    </row>
    <row r="448" spans="1:3">
      <c r="A448"/>
      <c r="B448"/>
      <c r="C448"/>
    </row>
    <row r="449" spans="1:3">
      <c r="A449"/>
      <c r="B449"/>
      <c r="C449"/>
    </row>
    <row r="450" spans="1:3">
      <c r="A450"/>
      <c r="B450"/>
      <c r="C450"/>
    </row>
    <row r="451" spans="1:3">
      <c r="A451"/>
      <c r="B451"/>
      <c r="C451"/>
    </row>
    <row r="452" spans="1:3">
      <c r="A452"/>
      <c r="B452"/>
      <c r="C452"/>
    </row>
    <row r="453" spans="1:3">
      <c r="A453"/>
      <c r="B453"/>
      <c r="C453"/>
    </row>
    <row r="454" spans="1:3">
      <c r="A454"/>
      <c r="B454"/>
      <c r="C454"/>
    </row>
    <row r="455" spans="1:3">
      <c r="A455"/>
      <c r="B455"/>
      <c r="C455"/>
    </row>
    <row r="456" spans="1:3">
      <c r="A456"/>
      <c r="B456"/>
      <c r="C456"/>
    </row>
    <row r="457" spans="1:3">
      <c r="A457"/>
      <c r="B457"/>
      <c r="C457"/>
    </row>
    <row r="458" spans="1:3">
      <c r="A458"/>
      <c r="B458"/>
      <c r="C458"/>
    </row>
    <row r="459" spans="1:3">
      <c r="A459"/>
      <c r="B459"/>
      <c r="C459"/>
    </row>
    <row r="460" spans="1:3">
      <c r="A460"/>
      <c r="B460"/>
      <c r="C460"/>
    </row>
    <row r="461" spans="1:3">
      <c r="A461"/>
      <c r="B461"/>
      <c r="C461"/>
    </row>
    <row r="462" spans="1:3">
      <c r="A462"/>
      <c r="B462"/>
      <c r="C462"/>
    </row>
    <row r="463" spans="1:3">
      <c r="A463"/>
      <c r="B463"/>
      <c r="C463"/>
    </row>
    <row r="464" spans="1:3">
      <c r="A464"/>
      <c r="B464"/>
      <c r="C464"/>
    </row>
    <row r="465" spans="1:3">
      <c r="A465"/>
      <c r="B465"/>
      <c r="C465"/>
    </row>
    <row r="466" spans="1:3">
      <c r="A466"/>
      <c r="B466"/>
      <c r="C466"/>
    </row>
    <row r="467" spans="1:3">
      <c r="A467"/>
      <c r="B467"/>
      <c r="C467"/>
    </row>
    <row r="468" spans="1:3">
      <c r="A468"/>
      <c r="B468"/>
      <c r="C468"/>
    </row>
    <row r="469" spans="1:3">
      <c r="A469"/>
      <c r="B469"/>
      <c r="C469"/>
    </row>
    <row r="470" spans="1:3">
      <c r="A470"/>
      <c r="B470"/>
      <c r="C470"/>
    </row>
    <row r="471" spans="1:3">
      <c r="A471"/>
      <c r="B471"/>
      <c r="C471"/>
    </row>
    <row r="472" spans="1:3">
      <c r="A472"/>
      <c r="B472"/>
      <c r="C472"/>
    </row>
    <row r="473" spans="1:3">
      <c r="A473"/>
      <c r="B473"/>
      <c r="C473"/>
    </row>
    <row r="474" spans="1:3">
      <c r="A474"/>
      <c r="B474"/>
      <c r="C474"/>
    </row>
    <row r="475" spans="1:3">
      <c r="A475"/>
      <c r="B475"/>
      <c r="C475"/>
    </row>
    <row r="476" spans="1:3">
      <c r="A476"/>
      <c r="B476"/>
      <c r="C476"/>
    </row>
    <row r="477" spans="1:3">
      <c r="A477"/>
      <c r="B477"/>
      <c r="C477"/>
    </row>
    <row r="478" spans="1:3">
      <c r="A478"/>
      <c r="B478"/>
      <c r="C478"/>
    </row>
    <row r="479" spans="1:3">
      <c r="A479"/>
      <c r="B479"/>
      <c r="C479"/>
    </row>
    <row r="480" spans="1:3">
      <c r="A480"/>
      <c r="B480"/>
      <c r="C480"/>
    </row>
    <row r="481" spans="1:3">
      <c r="A481"/>
      <c r="B481"/>
      <c r="C481"/>
    </row>
    <row r="482" spans="1:3">
      <c r="A482"/>
      <c r="B482"/>
      <c r="C482"/>
    </row>
    <row r="483" spans="1:3">
      <c r="A483"/>
      <c r="B483"/>
      <c r="C483"/>
    </row>
    <row r="484" spans="1:3">
      <c r="A484"/>
      <c r="B484"/>
      <c r="C484"/>
    </row>
    <row r="485" spans="1:3">
      <c r="A485"/>
      <c r="B485"/>
      <c r="C485"/>
    </row>
    <row r="486" spans="1:3">
      <c r="A486"/>
      <c r="B486"/>
      <c r="C486"/>
    </row>
    <row r="487" spans="1:3">
      <c r="A487"/>
      <c r="B487"/>
      <c r="C487"/>
    </row>
    <row r="488" spans="1:3">
      <c r="A488"/>
      <c r="B488"/>
      <c r="C488"/>
    </row>
    <row r="489" spans="1:3">
      <c r="A489"/>
      <c r="B489"/>
      <c r="C489"/>
    </row>
    <row r="490" spans="1:3">
      <c r="A490"/>
      <c r="B490"/>
      <c r="C490"/>
    </row>
    <row r="491" spans="1:3">
      <c r="A491"/>
      <c r="B491"/>
      <c r="C491"/>
    </row>
    <row r="492" spans="1:3">
      <c r="A492"/>
      <c r="B492"/>
      <c r="C492"/>
    </row>
    <row r="493" spans="1:3">
      <c r="A493"/>
      <c r="B493"/>
      <c r="C493"/>
    </row>
    <row r="494" spans="1:3">
      <c r="A494"/>
      <c r="B494"/>
      <c r="C494"/>
    </row>
    <row r="495" spans="1:3">
      <c r="A495"/>
      <c r="B495"/>
      <c r="C495"/>
    </row>
    <row r="496" spans="1:3">
      <c r="A496"/>
      <c r="B496"/>
      <c r="C496"/>
    </row>
    <row r="497" spans="1:3">
      <c r="A497"/>
      <c r="B497"/>
      <c r="C497"/>
    </row>
    <row r="498" spans="1:3">
      <c r="A498"/>
      <c r="B498"/>
      <c r="C498"/>
    </row>
    <row r="499" spans="1:3">
      <c r="A499"/>
      <c r="B499"/>
      <c r="C499"/>
    </row>
    <row r="500" spans="1:3">
      <c r="A500"/>
      <c r="B500"/>
      <c r="C500"/>
    </row>
    <row r="501" spans="1:3">
      <c r="A501"/>
      <c r="B501"/>
      <c r="C501"/>
    </row>
    <row r="502" spans="1:3">
      <c r="A502"/>
      <c r="B502"/>
      <c r="C502"/>
    </row>
    <row r="503" spans="1:3">
      <c r="A503"/>
      <c r="B503"/>
      <c r="C503"/>
    </row>
    <row r="504" spans="1:3">
      <c r="A504"/>
      <c r="B504"/>
      <c r="C504"/>
    </row>
    <row r="505" spans="1:3">
      <c r="A505"/>
      <c r="B505"/>
      <c r="C505"/>
    </row>
    <row r="506" spans="1:3">
      <c r="A506"/>
      <c r="B506"/>
      <c r="C506"/>
    </row>
    <row r="507" spans="1:3">
      <c r="A507"/>
      <c r="B507"/>
      <c r="C507"/>
    </row>
    <row r="508" spans="1:3">
      <c r="A508"/>
      <c r="B508"/>
      <c r="C508"/>
    </row>
    <row r="509" spans="1:3">
      <c r="A509"/>
      <c r="B509"/>
      <c r="C509"/>
    </row>
    <row r="510" spans="1:3">
      <c r="A510"/>
      <c r="B510"/>
      <c r="C510"/>
    </row>
    <row r="511" spans="1:3">
      <c r="A511"/>
      <c r="B511"/>
      <c r="C511"/>
    </row>
    <row r="512" spans="1:3">
      <c r="A512"/>
      <c r="B512"/>
      <c r="C512"/>
    </row>
    <row r="513" spans="1:3">
      <c r="A513"/>
      <c r="B513"/>
      <c r="C513"/>
    </row>
    <row r="514" spans="1:3">
      <c r="A514"/>
      <c r="B514"/>
      <c r="C514"/>
    </row>
    <row r="515" spans="1:3">
      <c r="A515"/>
      <c r="B515"/>
      <c r="C515"/>
    </row>
    <row r="516" spans="1:3">
      <c r="A516"/>
      <c r="B516"/>
      <c r="C516"/>
    </row>
    <row r="517" spans="1:3">
      <c r="A517"/>
      <c r="B517"/>
      <c r="C517"/>
    </row>
    <row r="518" spans="1:3">
      <c r="A518"/>
      <c r="B518"/>
      <c r="C518"/>
    </row>
    <row r="519" spans="1:3">
      <c r="A519"/>
      <c r="B519"/>
      <c r="C519"/>
    </row>
    <row r="520" spans="1:3">
      <c r="A520"/>
      <c r="B520"/>
      <c r="C520"/>
    </row>
    <row r="521" spans="1:3">
      <c r="A521"/>
      <c r="B521"/>
      <c r="C521"/>
    </row>
    <row r="522" spans="1:3">
      <c r="A522"/>
      <c r="B522"/>
      <c r="C522"/>
    </row>
    <row r="523" spans="1:3">
      <c r="A523"/>
      <c r="B523"/>
      <c r="C523"/>
    </row>
    <row r="524" spans="1:3">
      <c r="A524"/>
      <c r="B524"/>
      <c r="C524"/>
    </row>
    <row r="525" spans="1:3">
      <c r="A525"/>
      <c r="B525"/>
      <c r="C525"/>
    </row>
    <row r="526" spans="1:3">
      <c r="A526"/>
      <c r="B526"/>
      <c r="C526"/>
    </row>
    <row r="527" spans="1:3">
      <c r="A527"/>
      <c r="B527"/>
      <c r="C527"/>
    </row>
    <row r="528" spans="1:3">
      <c r="A528"/>
      <c r="B528"/>
      <c r="C528"/>
    </row>
    <row r="529" spans="1:3">
      <c r="A529"/>
      <c r="B529"/>
      <c r="C529"/>
    </row>
    <row r="530" spans="1:3">
      <c r="A530"/>
      <c r="B530"/>
      <c r="C530"/>
    </row>
    <row r="531" spans="1:3">
      <c r="A531"/>
      <c r="B531"/>
      <c r="C531"/>
    </row>
    <row r="532" spans="1:3">
      <c r="A532"/>
      <c r="B532"/>
      <c r="C532"/>
    </row>
    <row r="533" spans="1:3">
      <c r="A533"/>
      <c r="B533"/>
      <c r="C533"/>
    </row>
    <row r="534" spans="1:3">
      <c r="A534"/>
      <c r="B534"/>
      <c r="C534"/>
    </row>
    <row r="535" spans="1:3">
      <c r="A535"/>
      <c r="B535"/>
      <c r="C535"/>
    </row>
    <row r="536" spans="1:3">
      <c r="A536"/>
      <c r="B536"/>
      <c r="C536"/>
    </row>
    <row r="537" spans="1:3">
      <c r="A537"/>
      <c r="B537"/>
      <c r="C537"/>
    </row>
    <row r="538" spans="1:3">
      <c r="A538"/>
      <c r="B538"/>
      <c r="C538"/>
    </row>
    <row r="539" spans="1:3">
      <c r="A539"/>
      <c r="B539"/>
      <c r="C539"/>
    </row>
    <row r="540" spans="1:3">
      <c r="A540"/>
      <c r="B540"/>
      <c r="C540"/>
    </row>
    <row r="541" spans="1:3">
      <c r="A541"/>
      <c r="B541"/>
      <c r="C541"/>
    </row>
    <row r="542" spans="1:3">
      <c r="A542"/>
      <c r="B542"/>
      <c r="C542"/>
    </row>
    <row r="543" spans="1:3">
      <c r="A543"/>
      <c r="B543"/>
      <c r="C543"/>
    </row>
    <row r="544" spans="1:3">
      <c r="A544"/>
      <c r="B544"/>
      <c r="C544"/>
    </row>
    <row r="545" spans="1:3">
      <c r="A545"/>
      <c r="B545"/>
      <c r="C545"/>
    </row>
    <row r="546" spans="1:3">
      <c r="A546"/>
      <c r="B546"/>
      <c r="C546"/>
    </row>
    <row r="547" spans="1:3">
      <c r="A547"/>
      <c r="B547"/>
      <c r="C547"/>
    </row>
    <row r="548" spans="1:3">
      <c r="A548"/>
      <c r="B548"/>
      <c r="C548"/>
    </row>
    <row r="549" spans="1:3">
      <c r="A549"/>
      <c r="B549"/>
      <c r="C549"/>
    </row>
    <row r="550" spans="1:3">
      <c r="A550"/>
      <c r="B550"/>
      <c r="C550"/>
    </row>
    <row r="551" spans="1:3">
      <c r="A551"/>
      <c r="B551"/>
      <c r="C551"/>
    </row>
    <row r="552" spans="1:3">
      <c r="A552"/>
      <c r="B552"/>
      <c r="C552"/>
    </row>
    <row r="553" spans="1:3">
      <c r="A553"/>
      <c r="B553"/>
      <c r="C553"/>
    </row>
    <row r="554" spans="1:3">
      <c r="A554"/>
      <c r="B554"/>
      <c r="C554"/>
    </row>
    <row r="555" spans="1:3">
      <c r="A555"/>
      <c r="B555"/>
      <c r="C555"/>
    </row>
    <row r="556" spans="1:3">
      <c r="A556"/>
      <c r="B556"/>
      <c r="C556"/>
    </row>
    <row r="557" spans="1:3">
      <c r="A557"/>
      <c r="B557"/>
      <c r="C557"/>
    </row>
    <row r="558" spans="1:3">
      <c r="A558"/>
      <c r="B558"/>
      <c r="C558"/>
    </row>
    <row r="559" spans="1:3">
      <c r="A559"/>
      <c r="B559"/>
      <c r="C559"/>
    </row>
    <row r="560" spans="1:3">
      <c r="A560"/>
      <c r="B560"/>
      <c r="C560"/>
    </row>
    <row r="561" spans="1:3">
      <c r="A561"/>
      <c r="B561"/>
      <c r="C561"/>
    </row>
    <row r="562" spans="1:3">
      <c r="A562"/>
      <c r="B562"/>
      <c r="C562"/>
    </row>
    <row r="563" spans="1:3">
      <c r="A563"/>
      <c r="B563"/>
      <c r="C563"/>
    </row>
    <row r="564" spans="1:3">
      <c r="A564"/>
      <c r="B564"/>
      <c r="C564"/>
    </row>
    <row r="565" spans="1:3">
      <c r="A565"/>
      <c r="B565"/>
      <c r="C565"/>
    </row>
    <row r="566" spans="1:3">
      <c r="A566"/>
      <c r="B566"/>
      <c r="C566"/>
    </row>
    <row r="567" spans="1:3">
      <c r="A567"/>
      <c r="B567"/>
      <c r="C567"/>
    </row>
    <row r="568" spans="1:3">
      <c r="A568"/>
      <c r="B568"/>
      <c r="C568"/>
    </row>
    <row r="569" spans="1:3">
      <c r="A569"/>
      <c r="B569"/>
      <c r="C569"/>
    </row>
    <row r="570" spans="1:3">
      <c r="A570"/>
      <c r="B570"/>
      <c r="C570"/>
    </row>
    <row r="571" spans="1:3">
      <c r="A571"/>
      <c r="B571"/>
      <c r="C571"/>
    </row>
    <row r="572" spans="1:3">
      <c r="A572"/>
      <c r="B572"/>
      <c r="C572"/>
    </row>
    <row r="573" spans="1:3">
      <c r="A573"/>
      <c r="B573"/>
      <c r="C573"/>
    </row>
    <row r="574" spans="1:3">
      <c r="A574"/>
      <c r="B574"/>
      <c r="C574"/>
    </row>
    <row r="575" spans="1:3">
      <c r="A575"/>
      <c r="B575"/>
      <c r="C575"/>
    </row>
    <row r="576" spans="1:3">
      <c r="A576"/>
      <c r="B576"/>
      <c r="C576"/>
    </row>
    <row r="577" spans="1:3">
      <c r="A577"/>
      <c r="B577"/>
      <c r="C577"/>
    </row>
    <row r="578" spans="1:3">
      <c r="A578"/>
      <c r="B578"/>
      <c r="C578"/>
    </row>
    <row r="579" spans="1:3">
      <c r="A579"/>
      <c r="B579"/>
      <c r="C579"/>
    </row>
    <row r="580" spans="1:3">
      <c r="A580"/>
      <c r="B580"/>
      <c r="C580"/>
    </row>
    <row r="581" spans="1:3">
      <c r="A581"/>
      <c r="B581"/>
      <c r="C581"/>
    </row>
    <row r="582" spans="1:3">
      <c r="A582"/>
      <c r="B582"/>
      <c r="C582"/>
    </row>
    <row r="583" spans="1:3">
      <c r="A583"/>
      <c r="B583"/>
      <c r="C583"/>
    </row>
    <row r="584" spans="1:3">
      <c r="A584"/>
      <c r="B584"/>
      <c r="C584"/>
    </row>
    <row r="585" spans="1:3">
      <c r="A585"/>
      <c r="B585"/>
      <c r="C585"/>
    </row>
    <row r="586" spans="1:3">
      <c r="A586"/>
      <c r="B586"/>
      <c r="C586"/>
    </row>
    <row r="587" spans="1:3">
      <c r="A587"/>
      <c r="B587"/>
      <c r="C587"/>
    </row>
    <row r="588" spans="1:3">
      <c r="A588"/>
      <c r="B588"/>
      <c r="C588"/>
    </row>
    <row r="589" spans="1:3">
      <c r="A589"/>
      <c r="B589"/>
      <c r="C589"/>
    </row>
    <row r="590" spans="1:3">
      <c r="A590"/>
      <c r="B590"/>
      <c r="C590"/>
    </row>
    <row r="591" spans="1:3">
      <c r="A591"/>
      <c r="B591"/>
      <c r="C591"/>
    </row>
    <row r="592" spans="1:3">
      <c r="A592"/>
      <c r="B592"/>
      <c r="C592"/>
    </row>
    <row r="593" spans="1:3">
      <c r="A593"/>
      <c r="B593"/>
      <c r="C593"/>
    </row>
    <row r="594" spans="1:3">
      <c r="A594"/>
      <c r="B594"/>
      <c r="C594"/>
    </row>
    <row r="595" spans="1:3">
      <c r="A595"/>
      <c r="B595"/>
      <c r="C595"/>
    </row>
    <row r="596" spans="1:3">
      <c r="A596"/>
      <c r="B596"/>
      <c r="C596"/>
    </row>
    <row r="597" spans="1:3">
      <c r="A597"/>
      <c r="B597"/>
      <c r="C597"/>
    </row>
    <row r="598" spans="1:3">
      <c r="A598"/>
      <c r="B598"/>
      <c r="C598"/>
    </row>
    <row r="599" spans="1:3">
      <c r="A599"/>
      <c r="B599"/>
      <c r="C599"/>
    </row>
    <row r="600" spans="1:3">
      <c r="A600"/>
      <c r="B600"/>
      <c r="C600"/>
    </row>
    <row r="601" spans="1:3">
      <c r="A601"/>
      <c r="B601"/>
      <c r="C601"/>
    </row>
    <row r="602" spans="1:3">
      <c r="A602"/>
      <c r="B602"/>
      <c r="C602"/>
    </row>
    <row r="603" spans="1:3">
      <c r="A603"/>
      <c r="B603"/>
      <c r="C603"/>
    </row>
    <row r="604" spans="1:3">
      <c r="A604"/>
      <c r="B604"/>
      <c r="C604"/>
    </row>
    <row r="605" spans="1:3">
      <c r="A605"/>
      <c r="B605"/>
      <c r="C605"/>
    </row>
    <row r="606" spans="1:3">
      <c r="A606"/>
      <c r="B606"/>
      <c r="C606"/>
    </row>
    <row r="607" spans="1:3">
      <c r="A607"/>
      <c r="B607"/>
      <c r="C607"/>
    </row>
    <row r="608" spans="1:3">
      <c r="A608"/>
      <c r="B608"/>
      <c r="C608"/>
    </row>
    <row r="609" spans="1:3">
      <c r="A609"/>
      <c r="B609"/>
      <c r="C609"/>
    </row>
    <row r="610" spans="1:3">
      <c r="A610"/>
      <c r="B610"/>
      <c r="C610"/>
    </row>
    <row r="611" spans="1:3">
      <c r="A611"/>
      <c r="B611"/>
      <c r="C611"/>
    </row>
    <row r="612" spans="1:3">
      <c r="A612"/>
      <c r="B612"/>
      <c r="C612"/>
    </row>
    <row r="613" spans="1:3">
      <c r="A613"/>
      <c r="B613"/>
      <c r="C613"/>
    </row>
    <row r="614" spans="1:3">
      <c r="A614"/>
      <c r="B614"/>
      <c r="C614"/>
    </row>
    <row r="615" spans="1:3">
      <c r="A615"/>
      <c r="B615"/>
      <c r="C615"/>
    </row>
    <row r="616" spans="1:3">
      <c r="A616"/>
      <c r="B616"/>
      <c r="C616"/>
    </row>
    <row r="617" spans="1:3">
      <c r="A617"/>
      <c r="B617"/>
      <c r="C617"/>
    </row>
    <row r="618" spans="1:3">
      <c r="A618"/>
      <c r="B618"/>
      <c r="C618"/>
    </row>
    <row r="619" spans="1:3">
      <c r="A619"/>
      <c r="B619"/>
      <c r="C619"/>
    </row>
    <row r="620" spans="1:3">
      <c r="A620"/>
      <c r="B620"/>
      <c r="C620"/>
    </row>
    <row r="621" spans="1:3">
      <c r="A621"/>
      <c r="B621"/>
      <c r="C621"/>
    </row>
    <row r="622" spans="1:3">
      <c r="A622"/>
      <c r="B622"/>
      <c r="C622"/>
    </row>
    <row r="623" spans="1:3">
      <c r="A623"/>
      <c r="B623"/>
      <c r="C623"/>
    </row>
    <row r="624" spans="1:3">
      <c r="A624"/>
      <c r="B624"/>
      <c r="C624"/>
    </row>
    <row r="625" spans="1:3">
      <c r="A625"/>
      <c r="B625"/>
      <c r="C625"/>
    </row>
    <row r="626" spans="1:3">
      <c r="A626"/>
      <c r="B626"/>
      <c r="C626"/>
    </row>
    <row r="627" spans="1:3">
      <c r="A627"/>
      <c r="B627"/>
      <c r="C627"/>
    </row>
    <row r="628" spans="1:3">
      <c r="A628"/>
      <c r="B628"/>
      <c r="C628"/>
    </row>
    <row r="629" spans="1:3">
      <c r="A629"/>
      <c r="B629"/>
      <c r="C629"/>
    </row>
    <row r="630" spans="1:3">
      <c r="A630"/>
      <c r="B630"/>
      <c r="C630"/>
    </row>
    <row r="631" spans="1:3">
      <c r="A631"/>
      <c r="B631"/>
      <c r="C631"/>
    </row>
    <row r="632" spans="1:3">
      <c r="A632"/>
      <c r="B632"/>
      <c r="C632"/>
    </row>
    <row r="633" spans="1:3">
      <c r="A633"/>
      <c r="B633"/>
      <c r="C633"/>
    </row>
    <row r="634" spans="1:3">
      <c r="A634"/>
      <c r="B634"/>
      <c r="C634"/>
    </row>
    <row r="635" spans="1:3">
      <c r="A635"/>
      <c r="B635"/>
      <c r="C635"/>
    </row>
    <row r="636" spans="1:3">
      <c r="A636"/>
      <c r="B636"/>
      <c r="C636"/>
    </row>
    <row r="637" spans="1:3">
      <c r="A637"/>
      <c r="B637"/>
      <c r="C637"/>
    </row>
    <row r="638" spans="1:3">
      <c r="A638"/>
      <c r="B638"/>
      <c r="C638"/>
    </row>
    <row r="639" spans="1:3">
      <c r="A639"/>
      <c r="B639"/>
      <c r="C639"/>
    </row>
    <row r="640" spans="1:3">
      <c r="A640"/>
      <c r="B640"/>
      <c r="C640"/>
    </row>
    <row r="641" spans="1:3">
      <c r="A641"/>
      <c r="B641"/>
      <c r="C641"/>
    </row>
    <row r="642" spans="1:3">
      <c r="A642"/>
      <c r="B642"/>
      <c r="C642"/>
    </row>
    <row r="643" spans="1:3">
      <c r="A643"/>
      <c r="B643"/>
      <c r="C643"/>
    </row>
    <row r="644" spans="1:3">
      <c r="A644"/>
      <c r="B644"/>
      <c r="C644"/>
    </row>
    <row r="645" spans="1:3">
      <c r="A645"/>
      <c r="B645"/>
      <c r="C645"/>
    </row>
    <row r="646" spans="1:3">
      <c r="A646"/>
      <c r="B646"/>
      <c r="C646"/>
    </row>
    <row r="647" spans="1:3">
      <c r="A647"/>
      <c r="B647"/>
      <c r="C647"/>
    </row>
    <row r="648" spans="1:3">
      <c r="A648"/>
      <c r="B648"/>
      <c r="C648"/>
    </row>
    <row r="649" spans="1:3">
      <c r="A649"/>
      <c r="B649"/>
      <c r="C649"/>
    </row>
    <row r="650" spans="1:3">
      <c r="A650"/>
      <c r="B650"/>
      <c r="C650"/>
    </row>
    <row r="651" spans="1:3">
      <c r="A651"/>
      <c r="B651"/>
      <c r="C651"/>
    </row>
    <row r="652" spans="1:3">
      <c r="A652"/>
      <c r="B652"/>
      <c r="C652"/>
    </row>
    <row r="653" spans="1:3">
      <c r="A653"/>
      <c r="B653"/>
      <c r="C653"/>
    </row>
    <row r="654" spans="1:3">
      <c r="A654"/>
      <c r="B654"/>
      <c r="C654"/>
    </row>
    <row r="655" spans="1:3">
      <c r="A655"/>
      <c r="B655"/>
      <c r="C655"/>
    </row>
    <row r="656" spans="1:3">
      <c r="A656"/>
      <c r="B656"/>
      <c r="C656"/>
    </row>
    <row r="657" spans="1:3">
      <c r="A657"/>
      <c r="B657"/>
      <c r="C657"/>
    </row>
    <row r="658" spans="1:3">
      <c r="A658"/>
      <c r="B658"/>
      <c r="C658"/>
    </row>
    <row r="659" spans="1:3">
      <c r="A659"/>
      <c r="B659"/>
      <c r="C659"/>
    </row>
    <row r="660" spans="1:3">
      <c r="A660"/>
      <c r="B660"/>
      <c r="C660"/>
    </row>
    <row r="661" spans="1:3">
      <c r="A661"/>
      <c r="B661"/>
      <c r="C661"/>
    </row>
    <row r="662" spans="1:3">
      <c r="A662"/>
      <c r="B662"/>
      <c r="C662"/>
    </row>
    <row r="663" spans="1:3">
      <c r="A663"/>
      <c r="B663"/>
      <c r="C663"/>
    </row>
    <row r="664" spans="1:3">
      <c r="A664"/>
      <c r="B664"/>
      <c r="C664"/>
    </row>
    <row r="665" spans="1:3">
      <c r="A665"/>
      <c r="B665"/>
      <c r="C665"/>
    </row>
    <row r="666" spans="1:3">
      <c r="A666"/>
      <c r="B666"/>
      <c r="C666"/>
    </row>
    <row r="667" spans="1:3">
      <c r="A667"/>
      <c r="B667"/>
      <c r="C667"/>
    </row>
    <row r="668" spans="1:3">
      <c r="A668"/>
      <c r="B668"/>
      <c r="C668"/>
    </row>
    <row r="669" spans="1:3">
      <c r="A669"/>
      <c r="B669"/>
      <c r="C669"/>
    </row>
    <row r="670" spans="1:3">
      <c r="A670"/>
      <c r="B670"/>
      <c r="C670"/>
    </row>
    <row r="671" spans="1:3">
      <c r="A671"/>
      <c r="B671"/>
      <c r="C671"/>
    </row>
    <row r="672" spans="1:3">
      <c r="A672"/>
      <c r="B672"/>
      <c r="C672"/>
    </row>
    <row r="673" spans="1:3">
      <c r="A673"/>
      <c r="B673"/>
      <c r="C673"/>
    </row>
    <row r="674" spans="1:3">
      <c r="A674"/>
      <c r="B674"/>
      <c r="C674"/>
    </row>
    <row r="675" spans="1:3">
      <c r="A675"/>
      <c r="B675"/>
      <c r="C675"/>
    </row>
    <row r="676" spans="1:3">
      <c r="A676"/>
      <c r="B676"/>
      <c r="C676"/>
    </row>
    <row r="677" spans="1:3">
      <c r="A677"/>
      <c r="B677"/>
      <c r="C677"/>
    </row>
    <row r="678" spans="1:3">
      <c r="A678"/>
      <c r="B678"/>
      <c r="C678"/>
    </row>
    <row r="679" spans="1:3">
      <c r="A679"/>
      <c r="B679"/>
      <c r="C679"/>
    </row>
    <row r="680" spans="1:3">
      <c r="A680"/>
      <c r="B680"/>
      <c r="C680"/>
    </row>
    <row r="681" spans="1:3">
      <c r="A681"/>
      <c r="B681"/>
      <c r="C681"/>
    </row>
    <row r="682" spans="1:3">
      <c r="A682"/>
      <c r="B682"/>
      <c r="C682"/>
    </row>
    <row r="683" spans="1:3">
      <c r="A683"/>
      <c r="B683"/>
      <c r="C683"/>
    </row>
    <row r="684" spans="1:3">
      <c r="A684"/>
      <c r="B684"/>
      <c r="C684"/>
    </row>
    <row r="685" spans="1:3">
      <c r="A685"/>
      <c r="B685"/>
      <c r="C685"/>
    </row>
    <row r="686" spans="1:3">
      <c r="A686"/>
      <c r="B686"/>
      <c r="C686"/>
    </row>
    <row r="687" spans="1:3">
      <c r="A687"/>
      <c r="B687"/>
      <c r="C687"/>
    </row>
    <row r="688" spans="1:3">
      <c r="A688"/>
      <c r="B688"/>
      <c r="C688"/>
    </row>
    <row r="689" spans="1:3">
      <c r="A689"/>
      <c r="B689"/>
      <c r="C689"/>
    </row>
    <row r="690" spans="1:3">
      <c r="A690"/>
      <c r="B690"/>
      <c r="C690"/>
    </row>
    <row r="691" spans="1:3">
      <c r="A691"/>
      <c r="B691"/>
      <c r="C691"/>
    </row>
    <row r="692" spans="1:3">
      <c r="A692"/>
      <c r="B692"/>
      <c r="C692"/>
    </row>
    <row r="693" spans="1:3">
      <c r="A693"/>
      <c r="B693"/>
      <c r="C693"/>
    </row>
    <row r="694" spans="1:3">
      <c r="A694"/>
      <c r="B694"/>
      <c r="C694"/>
    </row>
    <row r="695" spans="1:3">
      <c r="A695"/>
      <c r="B695"/>
      <c r="C695"/>
    </row>
    <row r="696" spans="1:3">
      <c r="A696"/>
      <c r="B696"/>
      <c r="C696"/>
    </row>
    <row r="697" spans="1:3">
      <c r="A697"/>
      <c r="B697"/>
      <c r="C697"/>
    </row>
    <row r="698" spans="1:3">
      <c r="A698"/>
      <c r="B698"/>
      <c r="C698"/>
    </row>
    <row r="699" spans="1:3">
      <c r="A699"/>
      <c r="B699"/>
      <c r="C699"/>
    </row>
    <row r="700" spans="1:3">
      <c r="A700"/>
      <c r="B700"/>
      <c r="C700"/>
    </row>
    <row r="701" spans="1:3">
      <c r="A701"/>
      <c r="B701"/>
      <c r="C701"/>
    </row>
    <row r="702" spans="1:3">
      <c r="A702"/>
      <c r="B702"/>
      <c r="C702"/>
    </row>
    <row r="703" spans="1:3">
      <c r="A703"/>
      <c r="B703"/>
      <c r="C703"/>
    </row>
    <row r="704" spans="1:3">
      <c r="A704"/>
      <c r="B704"/>
      <c r="C704"/>
    </row>
    <row r="705" spans="1:3">
      <c r="A705"/>
      <c r="B705"/>
      <c r="C705"/>
    </row>
    <row r="706" spans="1:3">
      <c r="A706"/>
      <c r="B706"/>
      <c r="C706"/>
    </row>
    <row r="707" spans="1:3">
      <c r="A707"/>
      <c r="B707"/>
      <c r="C707"/>
    </row>
    <row r="708" spans="1:3">
      <c r="A708"/>
      <c r="B708"/>
      <c r="C708"/>
    </row>
    <row r="709" spans="1:3">
      <c r="A709"/>
      <c r="B709"/>
      <c r="C709"/>
    </row>
    <row r="710" spans="1:3">
      <c r="A710"/>
      <c r="B710"/>
      <c r="C710"/>
    </row>
    <row r="711" spans="1:3">
      <c r="A711"/>
      <c r="B711"/>
      <c r="C711"/>
    </row>
    <row r="712" spans="1:3">
      <c r="A712"/>
      <c r="B712"/>
      <c r="C712"/>
    </row>
    <row r="713" spans="1:3">
      <c r="A713"/>
      <c r="B713"/>
      <c r="C713"/>
    </row>
    <row r="714" spans="1:3">
      <c r="A714"/>
      <c r="B714"/>
      <c r="C714"/>
    </row>
    <row r="715" spans="1:3">
      <c r="A715"/>
      <c r="B715"/>
      <c r="C715"/>
    </row>
    <row r="716" spans="1:3">
      <c r="A716"/>
      <c r="B716"/>
      <c r="C716"/>
    </row>
    <row r="717" spans="1:3">
      <c r="A717"/>
      <c r="B717"/>
      <c r="C717"/>
    </row>
    <row r="718" spans="1:3">
      <c r="A718"/>
      <c r="B718"/>
      <c r="C718"/>
    </row>
    <row r="719" spans="1:3">
      <c r="A719"/>
      <c r="B719"/>
      <c r="C719"/>
    </row>
    <row r="720" spans="1:3">
      <c r="A720"/>
      <c r="B720"/>
      <c r="C720"/>
    </row>
    <row r="721" spans="1:3">
      <c r="A721"/>
      <c r="B721"/>
      <c r="C721"/>
    </row>
    <row r="722" spans="1:3">
      <c r="A722"/>
      <c r="B722"/>
      <c r="C722"/>
    </row>
    <row r="723" spans="1:3">
      <c r="A723"/>
      <c r="B723"/>
      <c r="C723"/>
    </row>
    <row r="724" spans="1:3">
      <c r="A724"/>
      <c r="B724"/>
      <c r="C724"/>
    </row>
    <row r="725" spans="1:3">
      <c r="A725"/>
      <c r="B725"/>
      <c r="C725"/>
    </row>
    <row r="726" spans="1:3">
      <c r="A726"/>
      <c r="B726"/>
      <c r="C726"/>
    </row>
    <row r="727" spans="1:3">
      <c r="A727"/>
      <c r="B727"/>
      <c r="C727"/>
    </row>
    <row r="728" spans="1:3">
      <c r="A728"/>
      <c r="B728"/>
      <c r="C728"/>
    </row>
    <row r="729" spans="1:3">
      <c r="A729"/>
      <c r="B729"/>
      <c r="C729"/>
    </row>
    <row r="730" spans="1:3">
      <c r="A730"/>
      <c r="B730"/>
      <c r="C730"/>
    </row>
    <row r="731" spans="1:3">
      <c r="A731"/>
      <c r="B731"/>
      <c r="C731"/>
    </row>
    <row r="732" spans="1:3">
      <c r="A732"/>
      <c r="B732"/>
      <c r="C732"/>
    </row>
    <row r="733" spans="1:3">
      <c r="A733"/>
      <c r="B733"/>
      <c r="C733"/>
    </row>
    <row r="734" spans="1:3">
      <c r="A734"/>
      <c r="B734"/>
      <c r="C734"/>
    </row>
    <row r="735" spans="1:3">
      <c r="A735"/>
      <c r="B735"/>
      <c r="C735"/>
    </row>
    <row r="736" spans="1:3">
      <c r="A736"/>
      <c r="B736"/>
      <c r="C736"/>
    </row>
    <row r="737" spans="1:3">
      <c r="A737"/>
      <c r="B737"/>
      <c r="C737"/>
    </row>
    <row r="738" spans="1:3">
      <c r="A738"/>
      <c r="B738"/>
      <c r="C738"/>
    </row>
    <row r="739" spans="1:3">
      <c r="A739"/>
      <c r="B739"/>
      <c r="C739"/>
    </row>
    <row r="740" spans="1:3">
      <c r="A740"/>
      <c r="B740"/>
      <c r="C740"/>
    </row>
    <row r="741" spans="1:3">
      <c r="A741"/>
      <c r="B741"/>
      <c r="C741"/>
    </row>
    <row r="742" spans="1:3">
      <c r="A742"/>
      <c r="B742"/>
      <c r="C742"/>
    </row>
    <row r="743" spans="1:3">
      <c r="A743"/>
      <c r="B743"/>
      <c r="C743"/>
    </row>
    <row r="744" spans="1:3">
      <c r="A744"/>
      <c r="B744"/>
      <c r="C744"/>
    </row>
    <row r="745" spans="1:3">
      <c r="A745"/>
      <c r="B745"/>
      <c r="C745"/>
    </row>
    <row r="746" spans="1:3">
      <c r="A746"/>
      <c r="B746"/>
      <c r="C746"/>
    </row>
    <row r="747" spans="1:3">
      <c r="A747"/>
      <c r="B747"/>
      <c r="C747"/>
    </row>
    <row r="748" spans="1:3">
      <c r="A748"/>
      <c r="B748"/>
      <c r="C748"/>
    </row>
    <row r="749" spans="1:3">
      <c r="A749"/>
      <c r="B749"/>
      <c r="C749"/>
    </row>
    <row r="750" spans="1:3">
      <c r="A750"/>
      <c r="B750"/>
      <c r="C750"/>
    </row>
    <row r="751" spans="1:3">
      <c r="A751"/>
      <c r="B751"/>
      <c r="C751"/>
    </row>
    <row r="752" spans="1:3">
      <c r="A752"/>
      <c r="B752"/>
      <c r="C752"/>
    </row>
    <row r="753" spans="1:3">
      <c r="A753"/>
      <c r="B753"/>
      <c r="C753"/>
    </row>
    <row r="754" spans="1:3">
      <c r="A754"/>
      <c r="B754"/>
      <c r="C754"/>
    </row>
    <row r="755" spans="1:3">
      <c r="A755"/>
      <c r="B755"/>
      <c r="C755"/>
    </row>
    <row r="756" spans="1:3">
      <c r="A756"/>
      <c r="B756"/>
      <c r="C756"/>
    </row>
    <row r="757" spans="1:3">
      <c r="A757"/>
      <c r="B757"/>
      <c r="C757"/>
    </row>
    <row r="758" spans="1:3">
      <c r="A758"/>
      <c r="B758"/>
      <c r="C758"/>
    </row>
    <row r="759" spans="1:3">
      <c r="A759"/>
      <c r="B759"/>
      <c r="C759"/>
    </row>
    <row r="760" spans="1:3">
      <c r="A760"/>
      <c r="B760"/>
      <c r="C760"/>
    </row>
    <row r="761" spans="1:3">
      <c r="A761"/>
      <c r="B761"/>
      <c r="C761"/>
    </row>
    <row r="762" spans="1:3">
      <c r="A762"/>
      <c r="B762"/>
      <c r="C762"/>
    </row>
    <row r="763" spans="1:3">
      <c r="A763"/>
      <c r="B763"/>
      <c r="C763"/>
    </row>
    <row r="764" spans="1:3">
      <c r="A764"/>
      <c r="B764"/>
      <c r="C764"/>
    </row>
    <row r="765" spans="1:3">
      <c r="A765"/>
      <c r="B765"/>
      <c r="C765"/>
    </row>
    <row r="766" spans="1:3">
      <c r="A766"/>
      <c r="B766"/>
      <c r="C766"/>
    </row>
    <row r="767" spans="1:3">
      <c r="A767"/>
      <c r="B767"/>
      <c r="C767"/>
    </row>
    <row r="768" spans="1:3">
      <c r="A768"/>
      <c r="B768"/>
      <c r="C768"/>
    </row>
    <row r="769" spans="1:3">
      <c r="A769"/>
      <c r="B769"/>
      <c r="C769"/>
    </row>
    <row r="770" spans="1:3">
      <c r="A770"/>
      <c r="B770"/>
      <c r="C770"/>
    </row>
    <row r="771" spans="1:3">
      <c r="A771"/>
      <c r="B771"/>
      <c r="C771"/>
    </row>
    <row r="772" spans="1:3">
      <c r="A772"/>
      <c r="B772"/>
      <c r="C772"/>
    </row>
    <row r="773" spans="1:3">
      <c r="A773"/>
      <c r="B773"/>
      <c r="C773"/>
    </row>
    <row r="774" spans="1:3">
      <c r="A774"/>
      <c r="B774"/>
      <c r="C774"/>
    </row>
    <row r="775" spans="1:3">
      <c r="A775"/>
      <c r="B775"/>
      <c r="C775"/>
    </row>
    <row r="776" spans="1:3">
      <c r="A776"/>
      <c r="B776"/>
      <c r="C776"/>
    </row>
    <row r="777" spans="1:3">
      <c r="A777"/>
      <c r="B777"/>
      <c r="C777"/>
    </row>
    <row r="778" spans="1:3">
      <c r="A778"/>
      <c r="B778"/>
      <c r="C778"/>
    </row>
    <row r="779" spans="1:3">
      <c r="A779"/>
      <c r="B779"/>
      <c r="C779"/>
    </row>
    <row r="780" spans="1:3">
      <c r="A780"/>
      <c r="B780"/>
      <c r="C780"/>
    </row>
    <row r="781" spans="1:3">
      <c r="A781"/>
      <c r="B781"/>
      <c r="C781"/>
    </row>
    <row r="782" spans="1:3">
      <c r="A782"/>
      <c r="B782"/>
      <c r="C782"/>
    </row>
    <row r="783" spans="1:3">
      <c r="A783"/>
      <c r="B783"/>
      <c r="C783"/>
    </row>
    <row r="784" spans="1:3">
      <c r="A784"/>
      <c r="B784"/>
      <c r="C784"/>
    </row>
    <row r="785" spans="1:3">
      <c r="A785"/>
      <c r="B785"/>
      <c r="C785"/>
    </row>
    <row r="786" spans="1:3">
      <c r="A786"/>
      <c r="B786"/>
      <c r="C786"/>
    </row>
    <row r="787" spans="1:3">
      <c r="A787"/>
      <c r="B787"/>
      <c r="C787"/>
    </row>
    <row r="788" spans="1:3">
      <c r="A788"/>
      <c r="B788"/>
      <c r="C788"/>
    </row>
    <row r="789" spans="1:3">
      <c r="A789"/>
      <c r="B789"/>
      <c r="C789"/>
    </row>
    <row r="790" spans="1:3">
      <c r="A790"/>
      <c r="B790"/>
      <c r="C790"/>
    </row>
    <row r="791" spans="1:3">
      <c r="A791"/>
      <c r="B791"/>
      <c r="C791"/>
    </row>
    <row r="792" spans="1:3">
      <c r="A792"/>
      <c r="B792"/>
      <c r="C792"/>
    </row>
    <row r="793" spans="1:3">
      <c r="A793"/>
      <c r="B793"/>
      <c r="C793"/>
    </row>
    <row r="794" spans="1:3">
      <c r="A794"/>
      <c r="B794"/>
      <c r="C794"/>
    </row>
    <row r="795" spans="1:3">
      <c r="A795"/>
      <c r="B795"/>
      <c r="C795"/>
    </row>
    <row r="796" spans="1:3">
      <c r="A796"/>
      <c r="B796"/>
      <c r="C796"/>
    </row>
    <row r="797" spans="1:3">
      <c r="A797"/>
      <c r="B797"/>
      <c r="C797"/>
    </row>
    <row r="798" spans="1:3">
      <c r="A798"/>
      <c r="B798"/>
      <c r="C798"/>
    </row>
    <row r="799" spans="1:3">
      <c r="A799"/>
      <c r="B799"/>
      <c r="C799"/>
    </row>
    <row r="800" spans="1:3">
      <c r="A800"/>
      <c r="B800"/>
      <c r="C800"/>
    </row>
    <row r="801" spans="1:3">
      <c r="A801"/>
      <c r="B801"/>
      <c r="C801"/>
    </row>
    <row r="802" spans="1:3">
      <c r="A802"/>
      <c r="B802"/>
      <c r="C802"/>
    </row>
    <row r="803" spans="1:3">
      <c r="A803"/>
      <c r="B803"/>
      <c r="C803"/>
    </row>
    <row r="804" spans="1:3">
      <c r="A804"/>
      <c r="B804"/>
      <c r="C804"/>
    </row>
    <row r="805" spans="1:3">
      <c r="A805"/>
      <c r="B805"/>
      <c r="C805"/>
    </row>
    <row r="806" spans="1:3">
      <c r="A806"/>
      <c r="B806"/>
      <c r="C806"/>
    </row>
    <row r="807" spans="1:3">
      <c r="A807"/>
      <c r="B807"/>
      <c r="C807"/>
    </row>
    <row r="808" spans="1:3">
      <c r="A808"/>
      <c r="B808"/>
      <c r="C808"/>
    </row>
    <row r="809" spans="1:3">
      <c r="A809"/>
      <c r="B809"/>
      <c r="C809"/>
    </row>
    <row r="810" spans="1:3">
      <c r="A810"/>
      <c r="B810"/>
      <c r="C810"/>
    </row>
    <row r="811" spans="1:3">
      <c r="A811"/>
      <c r="B811"/>
      <c r="C811"/>
    </row>
    <row r="812" spans="1:3">
      <c r="A812"/>
      <c r="B812"/>
      <c r="C812"/>
    </row>
    <row r="813" spans="1:3">
      <c r="A813"/>
      <c r="B813"/>
      <c r="C813"/>
    </row>
    <row r="814" spans="1:3">
      <c r="A814"/>
      <c r="B814"/>
      <c r="C814"/>
    </row>
    <row r="815" spans="1:3">
      <c r="A815"/>
      <c r="B815"/>
      <c r="C815"/>
    </row>
    <row r="816" spans="1:3">
      <c r="A816"/>
      <c r="B816"/>
      <c r="C816"/>
    </row>
    <row r="817" spans="1:3">
      <c r="A817"/>
      <c r="B817"/>
      <c r="C817"/>
    </row>
    <row r="818" spans="1:3">
      <c r="A818"/>
      <c r="B818"/>
      <c r="C818"/>
    </row>
    <row r="819" spans="1:3">
      <c r="A819"/>
      <c r="B819"/>
      <c r="C819"/>
    </row>
    <row r="820" spans="1:3">
      <c r="A820"/>
      <c r="B820"/>
      <c r="C820"/>
    </row>
    <row r="821" spans="1:3">
      <c r="A821"/>
      <c r="B821"/>
      <c r="C821"/>
    </row>
    <row r="822" spans="1:3">
      <c r="A822"/>
      <c r="B822"/>
      <c r="C822"/>
    </row>
    <row r="823" spans="1:3">
      <c r="A823"/>
      <c r="B823"/>
      <c r="C823"/>
    </row>
    <row r="824" spans="1:3">
      <c r="A824"/>
      <c r="B824"/>
      <c r="C824"/>
    </row>
    <row r="825" spans="1:3">
      <c r="A825"/>
      <c r="B825"/>
      <c r="C825"/>
    </row>
    <row r="826" spans="1:3">
      <c r="A826"/>
      <c r="B826"/>
      <c r="C826"/>
    </row>
    <row r="827" spans="1:3">
      <c r="A827"/>
      <c r="B827"/>
      <c r="C827"/>
    </row>
    <row r="828" spans="1:3">
      <c r="A828"/>
      <c r="B828"/>
      <c r="C828"/>
    </row>
    <row r="829" spans="1:3">
      <c r="A829"/>
      <c r="B829"/>
      <c r="C829"/>
    </row>
    <row r="830" spans="1:3">
      <c r="A830"/>
      <c r="B830"/>
      <c r="C830"/>
    </row>
    <row r="831" spans="1:3">
      <c r="A831"/>
      <c r="B831"/>
      <c r="C831"/>
    </row>
    <row r="832" spans="1:3">
      <c r="A832"/>
      <c r="B832"/>
      <c r="C832"/>
    </row>
    <row r="833" spans="1:3">
      <c r="A833"/>
      <c r="B833"/>
      <c r="C833"/>
    </row>
    <row r="834" spans="1:3">
      <c r="A834"/>
      <c r="B834"/>
      <c r="C834"/>
    </row>
    <row r="835" spans="1:3">
      <c r="A835"/>
      <c r="B835"/>
      <c r="C835"/>
    </row>
    <row r="836" spans="1:3">
      <c r="A836"/>
      <c r="B836"/>
      <c r="C836"/>
    </row>
    <row r="837" spans="1:3">
      <c r="A837"/>
      <c r="B837"/>
      <c r="C837"/>
    </row>
    <row r="838" spans="1:3">
      <c r="A838"/>
      <c r="B838"/>
      <c r="C838"/>
    </row>
    <row r="839" spans="1:3">
      <c r="A839"/>
      <c r="B839"/>
      <c r="C839"/>
    </row>
    <row r="840" spans="1:3">
      <c r="A840"/>
      <c r="B840"/>
      <c r="C840"/>
    </row>
    <row r="841" spans="1:3">
      <c r="A841"/>
      <c r="B841"/>
      <c r="C841"/>
    </row>
    <row r="842" spans="1:3">
      <c r="A842"/>
      <c r="B842"/>
      <c r="C842"/>
    </row>
    <row r="843" spans="1:3">
      <c r="A843"/>
      <c r="B843"/>
      <c r="C843"/>
    </row>
    <row r="844" spans="1:3">
      <c r="A844"/>
      <c r="B844"/>
      <c r="C844"/>
    </row>
    <row r="845" spans="1:3">
      <c r="A845"/>
      <c r="B845"/>
      <c r="C845"/>
    </row>
    <row r="846" spans="1:3">
      <c r="A846"/>
      <c r="B846"/>
      <c r="C846"/>
    </row>
    <row r="847" spans="1:3">
      <c r="A847"/>
      <c r="B847"/>
      <c r="C847"/>
    </row>
    <row r="848" spans="1:3">
      <c r="A848"/>
      <c r="B848"/>
      <c r="C848"/>
    </row>
    <row r="849" spans="1:3">
      <c r="A849"/>
      <c r="B849"/>
      <c r="C849"/>
    </row>
    <row r="850" spans="1:3">
      <c r="A850"/>
      <c r="B850"/>
      <c r="C850"/>
    </row>
    <row r="851" spans="1:3">
      <c r="A851"/>
      <c r="B851"/>
      <c r="C851"/>
    </row>
    <row r="852" spans="1:3">
      <c r="A852"/>
      <c r="B852"/>
      <c r="C852"/>
    </row>
    <row r="853" spans="1:3">
      <c r="A853"/>
      <c r="B853"/>
      <c r="C853"/>
    </row>
    <row r="854" spans="1:3">
      <c r="A854"/>
      <c r="B854"/>
      <c r="C854"/>
    </row>
    <row r="855" spans="1:3">
      <c r="A855"/>
      <c r="B855"/>
      <c r="C855"/>
    </row>
    <row r="856" spans="1:3">
      <c r="A856"/>
      <c r="B856"/>
      <c r="C856"/>
    </row>
    <row r="857" spans="1:3">
      <c r="A857"/>
      <c r="B857"/>
      <c r="C857"/>
    </row>
    <row r="858" spans="1:3">
      <c r="A858"/>
      <c r="B858"/>
      <c r="C858"/>
    </row>
    <row r="859" spans="1:3">
      <c r="A859"/>
      <c r="B859"/>
      <c r="C859"/>
    </row>
    <row r="860" spans="1:3">
      <c r="A860"/>
      <c r="B860"/>
      <c r="C860"/>
    </row>
    <row r="861" spans="1:3">
      <c r="A861"/>
      <c r="B861"/>
      <c r="C861"/>
    </row>
    <row r="862" spans="1:3">
      <c r="A862"/>
      <c r="B862"/>
      <c r="C862"/>
    </row>
    <row r="863" spans="1:3">
      <c r="A863"/>
      <c r="B863"/>
      <c r="C863"/>
    </row>
    <row r="864" spans="1:3">
      <c r="A864"/>
      <c r="B864"/>
      <c r="C864"/>
    </row>
    <row r="865" spans="1:3">
      <c r="A865"/>
      <c r="B865"/>
      <c r="C865"/>
    </row>
    <row r="866" spans="1:3">
      <c r="A866"/>
      <c r="B866"/>
      <c r="C866"/>
    </row>
    <row r="867" spans="1:3">
      <c r="A867"/>
      <c r="B867"/>
      <c r="C867"/>
    </row>
    <row r="868" spans="1:3">
      <c r="A868"/>
      <c r="B868"/>
      <c r="C868"/>
    </row>
    <row r="869" spans="1:3">
      <c r="A869"/>
      <c r="B869"/>
      <c r="C869"/>
    </row>
    <row r="870" spans="1:3">
      <c r="A870"/>
      <c r="B870"/>
      <c r="C870"/>
    </row>
    <row r="871" spans="1:3">
      <c r="A871"/>
      <c r="B871"/>
      <c r="C871"/>
    </row>
    <row r="872" spans="1:3">
      <c r="A872"/>
      <c r="B872"/>
      <c r="C872"/>
    </row>
    <row r="873" spans="1:3">
      <c r="A873"/>
      <c r="B873"/>
      <c r="C873"/>
    </row>
    <row r="874" spans="1:3">
      <c r="A874"/>
      <c r="B874"/>
      <c r="C874"/>
    </row>
    <row r="875" spans="1:3">
      <c r="A875"/>
      <c r="B875"/>
      <c r="C875"/>
    </row>
    <row r="876" spans="1:3">
      <c r="A876"/>
      <c r="B876"/>
      <c r="C876"/>
    </row>
    <row r="877" spans="1:3">
      <c r="A877"/>
      <c r="B877"/>
      <c r="C877"/>
    </row>
    <row r="878" spans="1:3">
      <c r="A878"/>
      <c r="B878"/>
      <c r="C878"/>
    </row>
    <row r="879" spans="1:3">
      <c r="A879"/>
      <c r="B879"/>
      <c r="C879"/>
    </row>
    <row r="880" spans="1:3">
      <c r="A880"/>
      <c r="B880"/>
      <c r="C880"/>
    </row>
    <row r="881" spans="1:3">
      <c r="A881"/>
      <c r="B881"/>
      <c r="C881"/>
    </row>
    <row r="882" spans="1:3">
      <c r="A882"/>
      <c r="B882"/>
      <c r="C882"/>
    </row>
    <row r="883" spans="1:3">
      <c r="A883"/>
      <c r="B883"/>
      <c r="C883"/>
    </row>
    <row r="884" spans="1:3">
      <c r="A884"/>
      <c r="B884"/>
      <c r="C884"/>
    </row>
    <row r="885" spans="1:3">
      <c r="A885"/>
      <c r="B885"/>
      <c r="C885"/>
    </row>
    <row r="886" spans="1:3">
      <c r="A886"/>
      <c r="B886"/>
      <c r="C886"/>
    </row>
    <row r="887" spans="1:3">
      <c r="A887"/>
      <c r="B887"/>
      <c r="C887"/>
    </row>
    <row r="888" spans="1:3">
      <c r="A888"/>
      <c r="B888"/>
      <c r="C888"/>
    </row>
    <row r="889" spans="1:3">
      <c r="A889"/>
      <c r="B889"/>
      <c r="C889"/>
    </row>
    <row r="890" spans="1:3">
      <c r="A890"/>
      <c r="B890"/>
      <c r="C890"/>
    </row>
    <row r="891" spans="1:3">
      <c r="A891"/>
      <c r="B891"/>
      <c r="C891"/>
    </row>
    <row r="892" spans="1:3">
      <c r="A892"/>
      <c r="B892"/>
      <c r="C892"/>
    </row>
    <row r="893" spans="1:3">
      <c r="A893"/>
      <c r="B893"/>
      <c r="C893"/>
    </row>
    <row r="894" spans="1:3">
      <c r="A894"/>
      <c r="B894"/>
      <c r="C894"/>
    </row>
    <row r="895" spans="1:3">
      <c r="A895"/>
      <c r="B895"/>
      <c r="C895"/>
    </row>
    <row r="896" spans="1:3">
      <c r="A896"/>
      <c r="B896"/>
      <c r="C896"/>
    </row>
    <row r="897" spans="1:3">
      <c r="A897"/>
      <c r="B897"/>
      <c r="C897"/>
    </row>
    <row r="898" spans="1:3">
      <c r="A898"/>
      <c r="B898"/>
      <c r="C898"/>
    </row>
    <row r="899" spans="1:3">
      <c r="A899"/>
      <c r="B899"/>
      <c r="C899"/>
    </row>
    <row r="900" spans="1:3">
      <c r="A900"/>
      <c r="B900"/>
      <c r="C900"/>
    </row>
    <row r="901" spans="1:3">
      <c r="A901"/>
      <c r="B901"/>
      <c r="C901"/>
    </row>
    <row r="902" spans="1:3">
      <c r="A902"/>
      <c r="B902"/>
      <c r="C902"/>
    </row>
    <row r="903" spans="1:3">
      <c r="A903"/>
      <c r="B903"/>
      <c r="C903"/>
    </row>
    <row r="904" spans="1:3">
      <c r="A904"/>
      <c r="B904"/>
      <c r="C904"/>
    </row>
    <row r="905" spans="1:3">
      <c r="A905"/>
      <c r="B905"/>
      <c r="C905"/>
    </row>
    <row r="906" spans="1:3">
      <c r="A906"/>
      <c r="B906"/>
      <c r="C906"/>
    </row>
    <row r="907" spans="1:3">
      <c r="A907"/>
      <c r="B907"/>
      <c r="C907"/>
    </row>
    <row r="908" spans="1:3">
      <c r="A908"/>
      <c r="B908"/>
      <c r="C908"/>
    </row>
    <row r="909" spans="1:3">
      <c r="A909"/>
      <c r="B909"/>
      <c r="C909"/>
    </row>
    <row r="910" spans="1:3">
      <c r="A910"/>
      <c r="B910"/>
      <c r="C910"/>
    </row>
    <row r="911" spans="1:3">
      <c r="A911"/>
      <c r="B911"/>
      <c r="C911"/>
    </row>
    <row r="912" spans="1:3">
      <c r="A912"/>
      <c r="B912"/>
      <c r="C912"/>
    </row>
    <row r="913" spans="1:3">
      <c r="A913"/>
      <c r="B913"/>
      <c r="C913"/>
    </row>
    <row r="914" spans="1:3">
      <c r="A914"/>
      <c r="B914"/>
      <c r="C914"/>
    </row>
    <row r="915" spans="1:3">
      <c r="A915"/>
      <c r="B915"/>
      <c r="C915"/>
    </row>
    <row r="916" spans="1:3">
      <c r="A916"/>
      <c r="B916"/>
      <c r="C916"/>
    </row>
    <row r="917" spans="1:3">
      <c r="A917"/>
      <c r="B917"/>
      <c r="C917"/>
    </row>
    <row r="918" spans="1:3">
      <c r="A918"/>
      <c r="B918"/>
      <c r="C918"/>
    </row>
    <row r="919" spans="1:3">
      <c r="A919"/>
      <c r="B919"/>
      <c r="C919"/>
    </row>
    <row r="920" spans="1:3">
      <c r="A920"/>
      <c r="B920"/>
      <c r="C920"/>
    </row>
    <row r="921" spans="1:3">
      <c r="A921"/>
      <c r="B921"/>
      <c r="C921"/>
    </row>
    <row r="922" spans="1:3">
      <c r="A922"/>
      <c r="B922"/>
      <c r="C922"/>
    </row>
    <row r="923" spans="1:3">
      <c r="A923"/>
      <c r="B923"/>
      <c r="C923"/>
    </row>
    <row r="924" spans="1:3">
      <c r="A924"/>
      <c r="B924"/>
      <c r="C924"/>
    </row>
    <row r="925" spans="1:3">
      <c r="A925"/>
      <c r="B925"/>
      <c r="C925"/>
    </row>
    <row r="926" spans="1:3">
      <c r="A926"/>
      <c r="B926"/>
      <c r="C926"/>
    </row>
    <row r="927" spans="1:3">
      <c r="A927"/>
      <c r="B927"/>
      <c r="C927"/>
    </row>
    <row r="928" spans="1:3">
      <c r="A928"/>
      <c r="B928"/>
      <c r="C928"/>
    </row>
    <row r="929" spans="1:3">
      <c r="A929"/>
      <c r="B929"/>
      <c r="C929"/>
    </row>
    <row r="930" spans="1:3">
      <c r="A930"/>
      <c r="B930"/>
      <c r="C930"/>
    </row>
    <row r="931" spans="1:3">
      <c r="A931"/>
      <c r="B931"/>
      <c r="C931"/>
    </row>
    <row r="932" spans="1:3">
      <c r="A932"/>
      <c r="B932"/>
      <c r="C932"/>
    </row>
    <row r="933" spans="1:3">
      <c r="A933"/>
      <c r="B933"/>
      <c r="C933"/>
    </row>
    <row r="934" spans="1:3">
      <c r="A934"/>
      <c r="B934"/>
      <c r="C934"/>
    </row>
    <row r="935" spans="1:3">
      <c r="A935"/>
      <c r="B935"/>
      <c r="C935"/>
    </row>
    <row r="936" spans="1:3">
      <c r="A936"/>
      <c r="B936"/>
      <c r="C936"/>
    </row>
    <row r="937" spans="1:3">
      <c r="A937"/>
      <c r="B937"/>
      <c r="C937"/>
    </row>
    <row r="938" spans="1:3">
      <c r="A938"/>
      <c r="B938"/>
      <c r="C938"/>
    </row>
    <row r="939" spans="1:3">
      <c r="A939"/>
      <c r="B939"/>
      <c r="C939"/>
    </row>
    <row r="940" spans="1:3">
      <c r="A940"/>
      <c r="B940"/>
      <c r="C940"/>
    </row>
    <row r="941" spans="1:3">
      <c r="A941"/>
      <c r="B941"/>
      <c r="C941"/>
    </row>
    <row r="942" spans="1:3">
      <c r="A942"/>
      <c r="B942"/>
      <c r="C942"/>
    </row>
    <row r="943" spans="1:3">
      <c r="A943"/>
      <c r="B943"/>
      <c r="C943"/>
    </row>
    <row r="944" spans="1:3">
      <c r="A944"/>
      <c r="B944"/>
      <c r="C944"/>
    </row>
    <row r="945" spans="1:3">
      <c r="A945"/>
      <c r="B945"/>
      <c r="C945"/>
    </row>
    <row r="946" spans="1:3">
      <c r="A946"/>
      <c r="B946"/>
      <c r="C946"/>
    </row>
    <row r="947" spans="1:3">
      <c r="A947"/>
      <c r="B947"/>
      <c r="C947"/>
    </row>
    <row r="948" spans="1:3">
      <c r="A948"/>
      <c r="B948"/>
      <c r="C948"/>
    </row>
    <row r="949" spans="1:3">
      <c r="A949"/>
      <c r="B949"/>
      <c r="C949"/>
    </row>
    <row r="950" spans="1:3">
      <c r="A950"/>
      <c r="B950"/>
      <c r="C950"/>
    </row>
    <row r="951" spans="1:3">
      <c r="A951"/>
      <c r="B951"/>
      <c r="C951"/>
    </row>
    <row r="952" spans="1:3">
      <c r="A952"/>
      <c r="B952"/>
      <c r="C952"/>
    </row>
    <row r="953" spans="1:3">
      <c r="A953"/>
      <c r="B953"/>
      <c r="C953"/>
    </row>
    <row r="954" spans="1:3">
      <c r="A954"/>
      <c r="B954"/>
      <c r="C954"/>
    </row>
    <row r="955" spans="1:3">
      <c r="A955"/>
      <c r="B955"/>
      <c r="C955"/>
    </row>
    <row r="956" spans="1:3">
      <c r="A956"/>
      <c r="B956"/>
      <c r="C956"/>
    </row>
    <row r="957" spans="1:3">
      <c r="A957"/>
      <c r="B957"/>
      <c r="C957"/>
    </row>
    <row r="958" spans="1:3">
      <c r="A958"/>
      <c r="B958"/>
      <c r="C958"/>
    </row>
    <row r="959" spans="1:3">
      <c r="A959"/>
      <c r="B959"/>
      <c r="C959"/>
    </row>
    <row r="960" spans="1:3">
      <c r="A960"/>
      <c r="B960"/>
      <c r="C960"/>
    </row>
    <row r="961" spans="1:3">
      <c r="A961"/>
      <c r="B961"/>
      <c r="C961"/>
    </row>
    <row r="962" spans="1:3">
      <c r="A962"/>
      <c r="B962"/>
      <c r="C962"/>
    </row>
    <row r="963" spans="1:3">
      <c r="A963"/>
      <c r="B963"/>
      <c r="C963"/>
    </row>
    <row r="964" spans="1:3">
      <c r="A964"/>
      <c r="B964"/>
      <c r="C964"/>
    </row>
    <row r="965" spans="1:3">
      <c r="A965"/>
      <c r="B965"/>
      <c r="C965"/>
    </row>
    <row r="966" spans="1:3">
      <c r="A966"/>
      <c r="B966"/>
      <c r="C966"/>
    </row>
    <row r="967" spans="1:3">
      <c r="A967"/>
      <c r="B967"/>
      <c r="C967"/>
    </row>
    <row r="968" spans="1:3">
      <c r="A968"/>
      <c r="B968"/>
      <c r="C968"/>
    </row>
    <row r="969" spans="1:3">
      <c r="A969"/>
      <c r="B969"/>
      <c r="C969"/>
    </row>
    <row r="970" spans="1:3">
      <c r="A970"/>
      <c r="B970"/>
      <c r="C970"/>
    </row>
    <row r="971" spans="1:3">
      <c r="A971"/>
      <c r="B971"/>
      <c r="C971"/>
    </row>
    <row r="972" spans="1:3">
      <c r="A972"/>
      <c r="B972"/>
      <c r="C972"/>
    </row>
    <row r="973" spans="1:3">
      <c r="A973"/>
      <c r="B973"/>
      <c r="C973"/>
    </row>
    <row r="974" spans="1:3">
      <c r="A974"/>
      <c r="B974"/>
      <c r="C974"/>
    </row>
    <row r="975" spans="1:3">
      <c r="A975"/>
      <c r="B975"/>
      <c r="C975"/>
    </row>
    <row r="976" spans="1:3">
      <c r="A976"/>
      <c r="B976"/>
      <c r="C976"/>
    </row>
    <row r="977" spans="1:3">
      <c r="A977"/>
      <c r="B977"/>
      <c r="C977"/>
    </row>
    <row r="978" spans="1:3">
      <c r="A978"/>
      <c r="B978"/>
      <c r="C978"/>
    </row>
    <row r="979" spans="1:3">
      <c r="A979"/>
      <c r="B979"/>
      <c r="C979"/>
    </row>
    <row r="980" spans="1:3">
      <c r="A980"/>
      <c r="B980"/>
      <c r="C980"/>
    </row>
    <row r="981" spans="1:3">
      <c r="A981"/>
      <c r="B981"/>
      <c r="C981"/>
    </row>
    <row r="982" spans="1:3">
      <c r="A982"/>
      <c r="B982"/>
      <c r="C982"/>
    </row>
    <row r="983" spans="1:3">
      <c r="A983"/>
      <c r="B983"/>
      <c r="C983"/>
    </row>
    <row r="984" spans="1:3">
      <c r="A984"/>
      <c r="B984"/>
      <c r="C984"/>
    </row>
    <row r="985" spans="1:3">
      <c r="A985"/>
      <c r="B985"/>
      <c r="C985"/>
    </row>
    <row r="986" spans="1:3">
      <c r="A986"/>
      <c r="B986"/>
      <c r="C986"/>
    </row>
    <row r="987" spans="1:3">
      <c r="A987"/>
      <c r="B987"/>
      <c r="C987"/>
    </row>
    <row r="988" spans="1:3">
      <c r="A988"/>
      <c r="B988"/>
      <c r="C988"/>
    </row>
    <row r="989" spans="1:3">
      <c r="A989"/>
      <c r="B989"/>
      <c r="C989"/>
    </row>
    <row r="990" spans="1:3">
      <c r="A990"/>
      <c r="B990"/>
      <c r="C990"/>
    </row>
    <row r="991" spans="1:3">
      <c r="A991"/>
      <c r="B991"/>
      <c r="C991"/>
    </row>
    <row r="992" spans="1:3">
      <c r="A992"/>
      <c r="B992"/>
      <c r="C992"/>
    </row>
    <row r="993" spans="1:3">
      <c r="A993"/>
      <c r="B993"/>
      <c r="C993"/>
    </row>
    <row r="994" spans="1:3">
      <c r="A994"/>
      <c r="B994"/>
      <c r="C994"/>
    </row>
    <row r="995" spans="1:3">
      <c r="A995"/>
      <c r="B995"/>
      <c r="C995"/>
    </row>
    <row r="996" spans="1:3">
      <c r="A996"/>
      <c r="B996"/>
      <c r="C996"/>
    </row>
    <row r="997" spans="1:3">
      <c r="A997"/>
      <c r="B997"/>
      <c r="C997"/>
    </row>
    <row r="998" spans="1:3">
      <c r="A998"/>
      <c r="B998"/>
      <c r="C998"/>
    </row>
    <row r="999" spans="1:3">
      <c r="A999"/>
      <c r="B999"/>
      <c r="C999"/>
    </row>
    <row r="1000" spans="1:3">
      <c r="A1000"/>
      <c r="B1000"/>
      <c r="C1000"/>
    </row>
    <row r="1001" spans="1:3">
      <c r="A1001"/>
      <c r="B1001"/>
      <c r="C1001"/>
    </row>
    <row r="1002" spans="1:3">
      <c r="A1002"/>
      <c r="B1002"/>
      <c r="C1002"/>
    </row>
    <row r="1003" spans="1:3">
      <c r="A1003"/>
      <c r="B1003"/>
      <c r="C1003"/>
    </row>
    <row r="1004" spans="1:3">
      <c r="A1004"/>
      <c r="B1004"/>
      <c r="C1004"/>
    </row>
    <row r="1005" spans="1:3">
      <c r="A1005"/>
      <c r="B1005"/>
      <c r="C1005"/>
    </row>
    <row r="1006" spans="1:3">
      <c r="A1006"/>
      <c r="B1006"/>
      <c r="C1006"/>
    </row>
    <row r="1007" spans="1:3">
      <c r="A1007"/>
      <c r="B1007"/>
      <c r="C1007"/>
    </row>
    <row r="1008" spans="1:3">
      <c r="A1008"/>
      <c r="B1008"/>
      <c r="C1008"/>
    </row>
    <row r="1009" spans="1:3">
      <c r="A1009"/>
      <c r="B1009"/>
      <c r="C1009"/>
    </row>
    <row r="1010" spans="1:3">
      <c r="A1010"/>
      <c r="B1010"/>
      <c r="C1010"/>
    </row>
    <row r="1011" spans="1:3">
      <c r="A1011"/>
      <c r="B1011"/>
      <c r="C1011"/>
    </row>
    <row r="1012" spans="1:3">
      <c r="A1012"/>
      <c r="B1012"/>
      <c r="C1012"/>
    </row>
    <row r="1013" spans="1:3">
      <c r="A1013"/>
      <c r="B1013"/>
      <c r="C1013"/>
    </row>
    <row r="1014" spans="1:3">
      <c r="A1014"/>
      <c r="B1014"/>
      <c r="C1014"/>
    </row>
    <row r="1015" spans="1:3">
      <c r="A1015"/>
      <c r="B1015"/>
      <c r="C1015"/>
    </row>
    <row r="1016" spans="1:3">
      <c r="A1016"/>
      <c r="B1016"/>
      <c r="C1016"/>
    </row>
    <row r="1017" spans="1:3">
      <c r="A1017"/>
      <c r="B1017"/>
      <c r="C1017"/>
    </row>
    <row r="1018" spans="1:3">
      <c r="A1018"/>
      <c r="B1018"/>
      <c r="C1018"/>
    </row>
    <row r="1019" spans="1:3">
      <c r="A1019"/>
      <c r="B1019"/>
      <c r="C1019"/>
    </row>
    <row r="1020" spans="1:3">
      <c r="A1020"/>
      <c r="B1020"/>
      <c r="C1020"/>
    </row>
    <row r="1021" spans="1:3">
      <c r="A1021"/>
      <c r="B1021"/>
      <c r="C1021"/>
    </row>
    <row r="1022" spans="1:3">
      <c r="A1022"/>
      <c r="B1022"/>
      <c r="C1022"/>
    </row>
    <row r="1023" spans="1:3">
      <c r="A1023"/>
      <c r="B1023"/>
      <c r="C1023"/>
    </row>
    <row r="1024" spans="1:3">
      <c r="A1024"/>
      <c r="B1024"/>
      <c r="C1024"/>
    </row>
    <row r="1025" spans="1:3">
      <c r="A1025"/>
      <c r="B1025"/>
      <c r="C1025"/>
    </row>
    <row r="1026" spans="1:3">
      <c r="A1026"/>
      <c r="B1026"/>
      <c r="C1026"/>
    </row>
    <row r="1027" spans="1:3">
      <c r="A1027"/>
      <c r="B1027"/>
      <c r="C1027"/>
    </row>
    <row r="1028" spans="1:3">
      <c r="A1028"/>
      <c r="B1028"/>
      <c r="C1028"/>
    </row>
    <row r="1029" spans="1:3">
      <c r="A1029"/>
      <c r="B1029"/>
      <c r="C1029"/>
    </row>
    <row r="1030" spans="1:3">
      <c r="A1030"/>
      <c r="B1030"/>
      <c r="C1030"/>
    </row>
    <row r="1031" spans="1:3">
      <c r="A1031"/>
      <c r="B1031"/>
      <c r="C1031"/>
    </row>
    <row r="1032" spans="1:3">
      <c r="A1032"/>
      <c r="B1032"/>
      <c r="C1032"/>
    </row>
    <row r="1033" spans="1:3">
      <c r="A1033"/>
      <c r="B1033"/>
      <c r="C1033"/>
    </row>
    <row r="1034" spans="1:3">
      <c r="A1034"/>
      <c r="B1034"/>
      <c r="C1034"/>
    </row>
    <row r="1035" spans="1:3">
      <c r="A1035"/>
      <c r="B1035"/>
      <c r="C1035"/>
    </row>
    <row r="1036" spans="1:3">
      <c r="A1036"/>
      <c r="B1036"/>
      <c r="C1036"/>
    </row>
    <row r="1037" spans="1:3">
      <c r="A1037"/>
      <c r="B1037"/>
      <c r="C1037"/>
    </row>
    <row r="1038" spans="1:3">
      <c r="A1038"/>
      <c r="B1038"/>
      <c r="C1038"/>
    </row>
    <row r="1039" spans="1:3">
      <c r="A1039"/>
      <c r="B1039"/>
      <c r="C1039"/>
    </row>
    <row r="1040" spans="1:3">
      <c r="A1040"/>
      <c r="B1040"/>
      <c r="C1040"/>
    </row>
    <row r="1041" spans="1:3">
      <c r="A1041"/>
      <c r="B1041"/>
      <c r="C1041"/>
    </row>
    <row r="1042" spans="1:3">
      <c r="A1042"/>
      <c r="B1042"/>
      <c r="C1042"/>
    </row>
    <row r="1043" spans="1:3">
      <c r="A1043"/>
      <c r="B1043"/>
      <c r="C1043"/>
    </row>
    <row r="1044" spans="1:3">
      <c r="A1044"/>
      <c r="B1044"/>
      <c r="C1044"/>
    </row>
    <row r="1045" spans="1:3">
      <c r="A1045"/>
      <c r="B1045"/>
      <c r="C1045"/>
    </row>
    <row r="1046" spans="1:3">
      <c r="A1046"/>
      <c r="B1046"/>
      <c r="C1046"/>
    </row>
    <row r="1047" spans="1:3">
      <c r="A1047"/>
      <c r="B1047"/>
      <c r="C1047"/>
    </row>
    <row r="1048" spans="1:3">
      <c r="A1048"/>
      <c r="B1048"/>
      <c r="C1048"/>
    </row>
    <row r="1049" spans="1:3">
      <c r="A1049"/>
      <c r="B1049"/>
      <c r="C1049"/>
    </row>
    <row r="1050" spans="1:3">
      <c r="A1050"/>
      <c r="B1050"/>
      <c r="C1050"/>
    </row>
    <row r="1051" spans="1:3">
      <c r="A1051"/>
      <c r="B1051"/>
      <c r="C1051"/>
    </row>
    <row r="1052" spans="1:3">
      <c r="A1052"/>
      <c r="B1052"/>
      <c r="C1052"/>
    </row>
    <row r="1053" spans="1:3">
      <c r="A1053"/>
      <c r="B1053"/>
      <c r="C1053"/>
    </row>
    <row r="1054" spans="1:3">
      <c r="A1054"/>
      <c r="B1054"/>
      <c r="C1054"/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灵植表</vt:lpstr>
      <vt:lpstr>计算用</vt:lpstr>
      <vt:lpstr>说明</vt:lpstr>
      <vt:lpstr>编号表</vt:lpstr>
      <vt:lpstr>灵植数值表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thothSSQS</cp:lastModifiedBy>
  <dcterms:created xsi:type="dcterms:W3CDTF">2026-09-12T06:42:40Z</dcterms:created>
  <dcterms:modified xsi:type="dcterms:W3CDTF">2026-09-12T06:42:41Z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CE3C8F6BAD194E568C607EBC981DC0C0_12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