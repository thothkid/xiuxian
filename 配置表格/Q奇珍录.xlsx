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收录" sheetId="1" r:id="rId1"/>
    <sheet name="奇缘图谱" sheetId="2" r:id="rId2"/>
    <sheet name="可携带" sheetId="3" r:id="rId3"/>
    <sheet name="携带位" sheetId="4" r:id="rId4"/>
    <sheet name="编号表" sheetId="5" r:id="rId5"/>
    <sheet name="说明" sheetId="6" r:id="rId6"/>
    <sheet name="奇效补充设计" sheetId="7" r:id="rIdConfig7"/>
  </sheets>
  <definedNames>
    <definedName name="_xlnm._FilterDatabase" localSheetId="1" hidden="1">奇缘图谱!$A$1:$AO$84</definedName>
  </definedName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<sst xmlns="http://schemas.openxmlformats.org/spreadsheetml/2006/main" count="6301" uniqueCount="1661">
  <si>
    <t>##var</t>
  </si>
  <si>
    <t>qz_id</t>
  </si>
  <si>
    <t>name</t>
  </si>
  <si>
    <t>category</t>
  </si>
  <si>
    <t>quality</t>
  </si>
  <si>
    <t>realm_id</t>
  </si>
  <si>
    <t>art_id</t>
  </si>
  <si>
    <t>effect_desc</t>
  </si>
  <si>
    <t>source_desc</t>
  </si>
  <si>
    <t>can_carry</t>
  </si>
  <si>
    <t>codex_id</t>
  </si>
  <si>
    <t>unlock_ids</t>
  </si>
  <si>
    <t>sort_order</t>
  </si>
  <si>
    <t>enable</t>
  </si>
  <si>
    <t>##type</t>
  </si>
  <si>
    <t>int</t>
  </si>
  <si>
    <t>string</t>
  </si>
  <si>
    <t>QizhenCategory</t>
  </si>
  <si>
    <t>ItemQuality</t>
  </si>
  <si>
    <t>MajorRealm</t>
  </si>
  <si>
    <t>bool</t>
  </si>
  <si>
    <t>array,int</t>
  </si>
  <si>
    <t>##group</t>
  </si>
  <si>
    <t/>
  </si>
  <si>
    <t>c</t>
  </si>
  <si>
    <t>##</t>
  </si>
  <si>
    <t>奇珍ID</t>
  </si>
  <si>
    <t>0名称</t>
  </si>
  <si>
    <r>
      <rPr>
        <b/>
        <sz val="10"/>
        <color rgb="FF000000"/>
        <rFont val="宋体"/>
        <charset val="134"/>
      </rPr>
      <t>道具</t>
    </r>
    <r>
      <rPr>
        <b/>
        <sz val="10"/>
        <color rgb="FF000000"/>
        <rFont val="Calibri"/>
        <charset val="134"/>
      </rPr>
      <t>ID</t>
    </r>
  </si>
  <si>
    <t>0所属类</t>
  </si>
  <si>
    <t>0品质</t>
  </si>
  <si>
    <t>0境界阶</t>
  </si>
  <si>
    <t>0主图资源</t>
  </si>
  <si>
    <t>0奇效说明</t>
  </si>
  <si>
    <t>0来源说明</t>
  </si>
  <si>
    <t>0是否可携带</t>
  </si>
  <si>
    <t>所属奇缘图谱ID</t>
  </si>
  <si>
    <t>收录钥匙1</t>
  </si>
  <si>
    <t>收录钥匙2</t>
  </si>
  <si>
    <t>收录钥匙3</t>
  </si>
  <si>
    <t>收录钥匙4</t>
  </si>
  <si>
    <t>收录钥匙5</t>
  </si>
  <si>
    <t>收录钥匙6</t>
  </si>
  <si>
    <t>收录钥匙7</t>
  </si>
  <si>
    <t>收录钥匙8</t>
  </si>
  <si>
    <t>收录钥匙9</t>
  </si>
  <si>
    <t>收录钥匙10</t>
  </si>
  <si>
    <t>收录钥匙11</t>
  </si>
  <si>
    <t>收录钥匙12</t>
  </si>
  <si>
    <t>收录钥匙13</t>
  </si>
  <si>
    <t>收录钥匙14</t>
  </si>
  <si>
    <t>收录钥匙15</t>
  </si>
  <si>
    <t>收录钥匙16</t>
  </si>
  <si>
    <t>收录钥匙17</t>
  </si>
  <si>
    <t>收录钥匙18</t>
  </si>
  <si>
    <t>收录钥匙19</t>
  </si>
  <si>
    <t>收录钥匙20</t>
  </si>
  <si>
    <t>收录钥匙21</t>
  </si>
  <si>
    <t>类内排序</t>
  </si>
  <si>
    <t>0是否启用</t>
  </si>
  <si>
    <t>【辅助】类编号</t>
  </si>
  <si>
    <t>【辅助】本类序号</t>
  </si>
  <si>
    <t>【辅助】配置备注</t>
  </si>
  <si>
    <t>灵植术</t>
  </si>
  <si>
    <t>功法</t>
  </si>
  <si>
    <t>灵品</t>
  </si>
  <si>
    <t>无</t>
  </si>
  <si>
    <t>|cff00FF00草木纹理之中，藏着灵气生息的去路。篇中细记叶色根须，更辨外秀内枯，使埋没山野的灵性有迹可寻。|r</t>
  </si>
  <si>
    <t>宗门兑换，击杀妖兽或秘境遗迹</t>
  </si>
  <si>
    <t>TRUE</t>
  </si>
  <si>
    <t>示例行（首列 ## ＝ 停用不导出）。名称/奇效/来源/品质取自 UI 定妆稿。unlock_id 填该奇珍对应的物品或装备配置 ID（策划案 §7.1）。</t>
  </si>
  <si>
    <t>灵材术</t>
  </si>
  <si>
    <t>|cff00FF00顽石有脉，枯骨存纹，旧铜亦留火候。此术从材表读至材心，将诸般异质各自可用、不可强求之处一一分明。|r</t>
  </si>
  <si>
    <t>FALSE</t>
  </si>
  <si>
    <t>示例行。UI 图谱『古战残响』的第 2 件，此处为占位。</t>
  </si>
  <si>
    <t>炼丹术</t>
  </si>
  <si>
    <t>|cff00FF00众药入炉，如异流相会，寒热清浊各有归处。篇中所授不止成丹之法，更是让相争的药性在方寸之间相成。|r</t>
  </si>
  <si>
    <t>炼器术</t>
  </si>
  <si>
    <t>|cff00FF00器之难，在异材相合而灵路不绝。此术将锤痕、火色与器纹贯作一体，使一块顽材也有承受灵机的骨架。|r</t>
  </si>
  <si>
    <t>符箓术</t>
  </si>
  <si>
    <t>|cff00FF00墨迹不过方寸，起落之间却有灵气可循。此术细辨笔锋的承接与收束，令短暂神通得以寄身薄纸。|r</t>
  </si>
  <si>
    <t>阵法术</t>
  </si>
  <si>
    <t>|cff00FF00散列的节点本无声息，灵路相通，方有阵势回环。篇中从一处接续讲至全局呼应，使局部之力彼此相成。|r</t>
  </si>
  <si>
    <t>御兽术</t>
  </si>
  <si>
    <t>|cff00FF00御灵不尽在号令，亦在辨其惊惧、察其意向。篇中所载，皆是人兽神念由陌生渐至相应的门径。|r</t>
  </si>
  <si>
    <t>天序化元经</t>
  </si>
  <si>
    <t>|cff00FF00经文沿灵气由外入内的次第徐徐展开，繁处如流云，收处似归海。其要在顺序化元，使所得灵机渐归己身。|r</t>
  </si>
  <si>
    <t>周天转灵功</t>
  </si>
  <si>
    <t>|cff00FF00篇中周天脉路首尾相续，收势处亦是起势处。灵气循行而不滞，恰如水磨常转，于往复之间积下功候。|r</t>
  </si>
  <si>
    <t>九息纳灵功</t>
  </si>
  <si>
    <t>|cff00FF00吐纳之诀疏密相间，似潮来退，又如长风入谷。所贵不在一息争多，而在外界灵机与自身气息渐渐相合。|r</t>
  </si>
  <si>
    <t>归元锁基篇</t>
  </si>
  <si>
    <t>|cff00FF00篇末收束之笔细密如锁，却不使气机闭塞。逸散的灵息沿原路回转，渐归根基，如溪水重入旧潭。|r</t>
  </si>
  <si>
    <t>太虚演化篇</t>
  </si>
  <si>
    <t>|cff00FF00经文由简入繁，复从万绪归于一线。灵气在其中层层演化，所积修为不离根本，却渐见深远气象。|r</t>
  </si>
  <si>
    <t>抱一守真经</t>
  </si>
  <si>
    <t>|cff00FF00字势沉静，转折处少有张扬。外界灵气稀薄之时，尤见守真之意：敛住内息，护持那一线未散的修行火种。|r</t>
  </si>
  <si>
    <t>日月顺时篇</t>
  </si>
  <si>
    <t>|cff00FF00篇中气路随昼夜分舒敛，日出如枝叶展，夜深似根脉藏。纳灵与炼化各循其时，静读亦觉晨昏交替。|r</t>
  </si>
  <si>
    <t>一气朝元诀</t>
  </si>
  <si>
    <t>|cff00FF00诀意清疏，起于晨光初动、浊息未扬之际。诸息向内汇聚，如群溪朝海，于清明中徐徐归元。|r</t>
  </si>
  <si>
    <t>元海藏真篇</t>
  </si>
  <si>
    <t>|cff00FF00经中蓄灵之法重在深藏，满而不溢，静而能应。内息渐成渊潭之象，水面无波，深处自有流转。|r</t>
  </si>
  <si>
    <t>开玄破障诀</t>
  </si>
  <si>
    <t>|cff00FF00文字至关隘处骤紧，越关之后复归平稳。此诀既论如何破障，也留收摄之路，使进境之势有所凭依。|r</t>
  </si>
  <si>
    <t>破妄观微篇</t>
  </si>
  <si>
    <t>|cff00FF00篇中常于粗疏处藏细笔，仿佛大石罅隙里忽见天光。凝神观之，虚实间的微小破绽才逐渐显露。|r</t>
  </si>
  <si>
    <t>百战砺真功</t>
  </si>
  <si>
    <t>|cff00FF00篇页间皆是出手与收势的推衍，静坐所悟须经交锋磨砺。招式渐去浮华，留下能在临敌一刻使出的真章。|r</t>
  </si>
  <si>
    <t>万象本命诀</t>
  </si>
  <si>
    <t>|cff00FF00万般变化环绕本命一线展开，枝叶虽繁，根脉不移。诀中所求，是使长久修持的神通渐与自身气机相认。|r</t>
  </si>
  <si>
    <t>观剑养锋篇</t>
  </si>
  <si>
    <t>|cff00FF00篇中论锋而不徒尚锐，观其起止，养其未发。剑意如藏于鞘内的秋光，待心息相合，方见清越。|r</t>
  </si>
  <si>
    <t>万法归流经</t>
  </si>
  <si>
    <t>|cff00FF00诸术各循支路，终在篇中汇作同源。读来似观百川入海，法门虽异，其间灵机的承接却渐有共通之处。|r</t>
  </si>
  <si>
    <t>百炼淬元功</t>
  </si>
  <si>
    <t>|cff00FF00功行如锻金，受力处淬，薄弱处养。肉身与内息在反复磨砺中相应，所成之坚，仍保留转圜余地。|r</t>
  </si>
  <si>
    <t>太白庚金经</t>
  </si>
  <si>
    <t>|cff00FF00经中文字瘦劲，气路层层向锋端收束。庚金之意凝而不散，仿佛寒夜磨出的刃光，明锐却少浮焰。|r</t>
  </si>
  <si>
    <t>青木荣枯经</t>
  </si>
  <si>
    <t>|cff00FF00枯笔与润笔交错，荣枯两意互为根脉。木行生机并非长盛不歇，收敛之后再舒展，才见草木深藏之力。|r</t>
  </si>
  <si>
    <t>沧溟叠浪篇</t>
  </si>
  <si>
    <t>|cff00FF00前一重灵息将尽，后一重已循势而来。篇中水意不争孤峰，借连绵往复成其深厚，如远海潮声不绝。|r</t>
  </si>
  <si>
    <t>离火升频诀</t>
  </si>
  <si>
    <t>|cff00FF00诀中灵息愈转愈活，火意由微芒渐成明焰。其妙在催动变化，使凝滞之机重新流转，亦须知炽盛处的分寸。|r</t>
  </si>
  <si>
    <t>玄岳镇元功</t>
  </si>
  <si>
    <t>|cff00FF00笔画重心低沉，气路如山基层层相承。内息归于稳固之处，所受震荡有脉可分，见的是厚土载物之意。|r</t>
  </si>
  <si>
    <t>五行生克经</t>
  </si>
  <si>
    <t>|cff00FF00经中五色脉路相接，又各留制衡之笔。生与克从不孤立，强弱随所遇而移，圆转之间自有秩序。|r</t>
  </si>
  <si>
    <t>草木蕴生功</t>
  </si>
  <si>
    <t>|cff00FF00篇中生息细如根须，沿草木内外徐徐相通。察其萌发，也护其将枯，将一株灵植未显于形的生机耐心蕴住。|r</t>
  </si>
  <si>
    <t>万材辨性篇</t>
  </si>
  <si>
    <t>|cff00FF00石脉、木理、金纹各有篇章，细处并不混同。此篇从材料的本性入手，辨其可相承之处，也辨其难相容之隙。|r</t>
  </si>
  <si>
    <t>九转合丹经</t>
  </si>
  <si>
    <t>|cff00FF00药气每经转折，散者渐聚，浊者渐分。篇中以合丹为归处，诸般火候皆为守住那一点将成未成的圆融。|r</t>
  </si>
  <si>
    <t>天工铸灵经</t>
  </si>
  <si>
    <t>|cff00FF00经中器纹随材势而行，不强令柔材负重、脆质受锋。百般锤炼终归灵路相通，成器之时，内外各得其所。|r</t>
  </si>
  <si>
    <t>云篆通玄诀</t>
  </si>
  <si>
    <t>|cff00FF00篆笔若云卷舒，外观飘逸，暗处却环环相扣。灵机随墨路流转，薄纸上每处留白，都与落笔同样有意。|r</t>
  </si>
  <si>
    <t>河洛演阵篇</t>
  </si>
  <si>
    <t>|cff00FF00点线布列如星，彼此之间另有无形来往。篇中推演阵势的起落、聚散与承接，使局部变化能在全阵中找到回声。|r</t>
  </si>
  <si>
    <t>万灵御心诀</t>
  </si>
  <si>
    <t>|cff00FF00诀中少有强压之语，多记气息、神念相应之法。人兽各存其性，在反复感应中建立默契，方有并肩之势。|r</t>
  </si>
  <si>
    <t>定元参</t>
  </si>
  <si>
    <t>灵植</t>
  </si>
  <si>
    <t>仙品</t>
  </si>
  <si>
    <t>|cff00FF00参身色泽温润，细根环绕主根而生，断面隐见安定的灵光。药性平和，能在纷杂药气间立住中枢，如深潭镇住众流。|r</t>
  </si>
  <si>
    <t>铁骨藤</t>
  </si>
  <si>
    <t>|cff00FF00藤节坚紧如铁，老皮之下却含一缕寒意。金性沿纵纹内敛，折处清光凝而不散，冷峻之中自有筋骨。|r</t>
  </si>
  <si>
    <t>金英花</t>
  </si>
  <si>
    <t>|cff00FF00花瓣薄若金箔，花心却藏着炽烈热意。金气聚于细蕊，金色并非徒有其表，近观犹见热光在瓣缘微颤。|r</t>
  </si>
  <si>
    <t>青玉藤</t>
  </si>
  <si>
    <t>|cff00FF00藤身青润似玉，叶脉间凉意徐行。木气沿缠绕之势相续，枝梢轻转，仿佛仍在寻找可以攀附的春光。|r</t>
  </si>
  <si>
    <t>翠叶藤</t>
  </si>
  <si>
    <t>|cff00FF00叶色浓翠，藤芯自含暖热，生机沿细脉向外舒展。其秀在叶，其灵却藏于相连的藤节，内外温息彼此呼应。|r</t>
  </si>
  <si>
    <t>寒潭藻</t>
  </si>
  <si>
    <t>|cff00FF00藻丝柔长，离水仍凝一层清凉光泽。水气沿纤细枝脉往复，像把深潭不惊的冷碧，藏进了一缕柔丝。|r</t>
  </si>
  <si>
    <t>深潭苔</t>
  </si>
  <si>
    <t>|cff00FF00苔面幽暗湿润，内里所藏却是极烈热性。水气包裹着不易察觉的炽意，静处若寒潭，触其本性方知深藏之火。|r</t>
  </si>
  <si>
    <t>温阳花</t>
  </si>
  <si>
    <t>|cff00FF00花色如暖阳，药性却偏清凉。明艳之中含着内敛的火行灵机，仿佛霞光浸入清泉，所见与所感别有相异。|r</t>
  </si>
  <si>
    <t>丹炎苔</t>
  </si>
  <si>
    <t>|cff00FF00苔毯细密，色如未尽丹焰，热意潜行其间。火行灵机不张扬于外，只在细小分枝处闪过微红光泽。|r</t>
  </si>
  <si>
    <t>白岩参</t>
  </si>
  <si>
    <t>|cff00FF00参皮灰白如岩，根腹蕴着沉静寒意。土气在细密纹理中层层相承，如山阴深处的石隙，冷而不散。|r</t>
  </si>
  <si>
    <t>厚元苔</t>
  </si>
  <si>
    <t>|cff00FF00苔层绵厚，贴地处温润而沉实。土行灵机伏于根脚，托住向上分生的细芽，薄薄一片亦有厚重气象。|r</t>
  </si>
  <si>
    <t>薄荷露</t>
  </si>
  <si>
    <t>|cff00FF00露色清透，凉意先于辛香而至。微小水光里藏着清冽药性，犹如晨风掠过叶尖，将沉闷悄然拨开。|r</t>
  </si>
  <si>
    <t>烈香花</t>
  </si>
  <si>
    <t>|cff00FF00花香辛锐，含苞时已隐有灼热之息。盛放之际香气更显凌厉，艳色之下，藏的是不可轻忽的烈性。|r</t>
  </si>
  <si>
    <t>甘露草</t>
  </si>
  <si>
    <t>|cff00FF00叶面似常含露，甘意与清凉相伴。细嚼般的柔和气息藏在嫩茎里，不争诸药之烈，却能引出深处的清润。|r</t>
  </si>
  <si>
    <t>蜜香果</t>
  </si>
  <si>
    <t>|cff00FF00果皮温亮，甘香由内向外缓缓透出。热性藏在绵甜之后，似日光在果肉中沉淀，甜润而有温度。|r</t>
  </si>
  <si>
    <t>青梅草</t>
  </si>
  <si>
    <t>|cff00FF00细叶泛青，酸意清鲜，药性微凉。草汁凝在断茎处，像一滴未熟梅露，将散漫的气息轻轻收拢。|r</t>
  </si>
  <si>
    <t>火梅藤</t>
  </si>
  <si>
    <t>|cff00FF00藤果色深，酸香之下潜伏极烈热意。外皮收住内里躁动，未剖时安静无声，剖开方显药性之峻。|r</t>
  </si>
  <si>
    <t>黄连芽</t>
  </si>
  <si>
    <t>|cff00FF00嫩芽初生，苦意已清晰分明，凉性凝于细小叶心。形体纤弱，却有一种不随甘芳流转的清醒气息。|r</t>
  </si>
  <si>
    <t>苦参根</t>
  </si>
  <si>
    <t>|cff00FF00根纹粗细交错，苦味深藏，热性内伏。其气不以芳香取人，掰开老根，方能察觉沉厚而绵长的温烈。|r</t>
  </si>
  <si>
    <t>海潮苔</t>
  </si>
  <si>
    <t>|cff00FF00苔丝咸润，凉寒之气如退潮后未散的海雾。细枝间留着水光，离开潮声，仍显出冷静深远的海意。|r</t>
  </si>
  <si>
    <t>海砂苔</t>
  </si>
  <si>
    <t>|cff00FF00细苔依砂而结，咸意中自有温润。水气不显寒峭，仿佛浅滩被日光暖过，潮退之后仍留余温。|r</t>
  </si>
  <si>
    <t>净元草</t>
  </si>
  <si>
    <t>|cff00FF00叶片素净，草汁澄而少色，药性平缓。与浑浊药气相接时，清润之处愈显分明，如静水慢慢映出天光。|r</t>
  </si>
  <si>
    <t>太和草</t>
  </si>
  <si>
    <t>|cff00FF00茎叶舒展，不偏寒热，细脉交会处柔和有序。其妙藏在诸性相逢之际，像清风穿过密林，使纷争渐有余地。|r</t>
  </si>
  <si>
    <t>温脉花</t>
  </si>
  <si>
    <t>|cff00FF00花瓣柔薄，暖意顺细脉由心及缘。温性不猛，似春水解冻，缓缓唤回凝滞处的流动。|r</t>
  </si>
  <si>
    <t>烈阳藤</t>
  </si>
  <si>
    <t>|cff00FF00藤芯赤亮，极热之性紧束在层层老皮之内。剖口虽小，炽意已逼人，仿佛被藤身长久缠住的一缕烈日。|r</t>
  </si>
  <si>
    <t>七叶丹莲</t>
  </si>
  <si>
    <t>|cff00FF00莲叶相拱，细脉循序归向花心。其珍不在独自逞性，而在天然格局能容纳众药，使散乱灵机渐有归处。|r</t>
  </si>
  <si>
    <t>八脉丹藤</t>
  </si>
  <si>
    <t>|cff00FF00藤身内藏交错而不相乱的脉路，节节相通。诸般药气沿其纹理各行其道，最终在相接之处汇成圆融。|r</t>
  </si>
  <si>
    <t>九环丹芝</t>
  </si>
  <si>
    <t>|cff00FF00芝面环纹层层回抱，向内渐细，似天生的合丹之图。药气沿环相引，未成形的精粹也因此有了凝聚的依托。|r</t>
  </si>
  <si>
    <t>留春痕</t>
  </si>
  <si>
    <t>道痕</t>
  </si>
  <si>
    <t>金丹</t>
  </si>
  <si>
    <t>|cff00FF00青玉薄片上只留一线枯枝纹，转向光处，纹底仍见微青。草木将散的灵性似在此停驻，枯荣交界间，春意尚未走远。|r</t>
  </si>
  <si>
    <t>分露痕</t>
  </si>
  <si>
    <t>神品</t>
  </si>
  <si>
    <t>炼虚</t>
  </si>
  <si>
    <t>|cff00FF00琥珀中封着将落未落的露影，光线转动，露影便分作两股。草木所凝的清润循痕各有所归，如同一滴露里映出两处晨光。|r</t>
  </si>
  <si>
    <t>听脉痕</t>
  </si>
  <si>
    <t>|cff00FF00薄石相夹，中央银脉细如游丝。山石尚未开裂，纹路已隐隐相应，仿佛沉默矿脉仍记得深处传来的回声。|r</t>
  </si>
  <si>
    <t>见微痕</t>
  </si>
  <si>
    <t>化神</t>
  </si>
  <si>
    <t>|cff00FF00玉片上的浅纹时隐时现，粗看几乎无物，凝神方觉层次相叠。被材表掩住的细微差异，在这缕明灭之间渐露端倪。|r</t>
  </si>
  <si>
    <t>澄液痕</t>
  </si>
  <si>
    <t>筑基</t>
  </si>
  <si>
    <t>|cff00FF00透明玉滴内，微灰尽沉于边缘，中央清光凝而不动。曾经混流的清浊在此各寻归处，像一炉药液最后留下的澄明。|r</t>
  </si>
  <si>
    <t>归丹痕</t>
  </si>
  <si>
    <t>合体</t>
  </si>
  <si>
    <t>|cff00FF00陶片灰白，淡金环纹却始终向心回抱。散开的药气循纹重聚，仿佛炉火虽已远去，合丹前的那一息仍封在其中。|r</t>
  </si>
  <si>
    <t>合质痕</t>
  </si>
  <si>
    <t>元婴</t>
  </si>
  <si>
    <t>|cff00FF00晶片内的纹理分属两端，交界处却寻不到断痕。异材各存本性，又能在相逢处彼此承接，宛如两道山脉终于接成一线。|r</t>
  </si>
  <si>
    <t>惜形痕</t>
  </si>
  <si>
    <t>大乘</t>
  </si>
  <si>
    <t>|cff00FF00暗陶上斜留几道浅痕，顺着原有纹理徐徐展开。开料之势被截存于此，枝节虽去，材中可用的形与脉仍得周全。|r</t>
  </si>
  <si>
    <t>贯锋痕</t>
  </si>
  <si>
    <t>|cff00FF00薄玉中有一道狭长光迹，自首至尾不曾断开。符墨的起承仿佛仍在沿线推进，将游散灵机收成可贯出的锋芒。|r</t>
  </si>
  <si>
    <t>留效痕</t>
  </si>
  <si>
    <t>|cff00FF00素白玉片上的余纹一重淡过一重，却迟迟不肯散尽。符意虽过最盛之时，仍有细微回响沿着纹路绵延。|r</t>
  </si>
  <si>
    <t>远应痕</t>
  </si>
  <si>
    <t>|cff00FF00石片上淡环渐疏，越向外缘越难辨清。阵势的回应循环向远处递去，像水面涟漪已淡，远岸细草才轻轻俯下。|r</t>
  </si>
  <si>
    <t>承泽痕</t>
  </si>
  <si>
    <t>|cff00FF00青白晶片里，两束柔光在同一节点相遇而不相争。阵中生养与护持之意在此相承，仿佛枝头承风，根下仍有水声。|r</t>
  </si>
  <si>
    <t>并息痕</t>
  </si>
  <si>
    <t>|cff00FF00乳白玉片内，两道气纹起落相随，间距始终分明。人兽生机在此留下同息之迹，各自成形，又彼此照应。|r</t>
  </si>
  <si>
    <t>应锋痕</t>
  </si>
  <si>
    <t>|cff00FF00兽骨薄片上留着淡淡爪影，外缘微光与之呼应。并肩时积下的默契仍存于痕中，意念一动，另一端已有锋势相随。|r</t>
  </si>
  <si>
    <t>玄阴涤元丹</t>
  </si>
  <si>
    <t>炼丹</t>
  </si>
  <si>
    <t>凡品</t>
  </si>
  <si>
    <t>|cff00FF00丹色清寒，药息缓缓下沉，将积滞的浊意一点点化开。它的清澄来得不急，似冬泉洗石，久浸之后方显本色。|r</t>
  </si>
  <si>
    <t>清和涤元丹</t>
  </si>
  <si>
    <t>|cff00FF00丹纹柔和，清润药息在丹田徐徐铺开，将积滞浊意缓缓洗去。丹毒渐散，如细雨长润旧玉，蒙尘的清光一点点显露。|r</t>
  </si>
  <si>
    <t>涤元丹</t>
  </si>
  <si>
    <t>|cff00FF00丹中清气向内回旋，专于丹田浊滞处留连。积久的丹毒随药性渐次化散，如旧器拂尘，露出被遮住的清光。|r</t>
  </si>
  <si>
    <t>温阳涤元丹</t>
  </si>
  <si>
    <t>|cff00FF00暖润药气循内息轻轻推进，温开破关后滞涩之处。待浮乱渐息，久停的修持之路又有细流接上。|r</t>
  </si>
  <si>
    <t>烈阳涤元丹</t>
  </si>
  <si>
    <t>|cff00FF00丹心热意鲜明，药气涌起时迅疾而峻烈。它能催散破关后的困顿，丹田却也须承受这番震荡，清明来处并不轻缓。|r</t>
  </si>
  <si>
    <t>玄阴破境丹</t>
  </si>
  <si>
    <t>|cff00FF00丹面凝着幽冷浅光，药性缓入深处，在沉重关隘前蓄成清劲。大境将破之际，这份冷静使翻涌灵机多了一处依凭。|r</t>
  </si>
  <si>
    <t>清和破境丹</t>
  </si>
  <si>
    <t>|cff00FF00丹光清润，药息并不凌厉，却能沿细小关隙徐徐深入。用于进境相接之时，如清泉穿石，让受阻的来路渐有松动。|r</t>
  </si>
  <si>
    <t>破镜丹</t>
  </si>
  <si>
    <t>|cff00FF00丹体圆整，内纹隐有向外舒张之势。平和药性包住将起的灵潮，待修持来到关口，便为越关之机添上一份依托。|r</t>
  </si>
  <si>
    <t>温阳破境丹</t>
  </si>
  <si>
    <t>|cff00FF00温意随药气层层递进，在细小关隘处聚而不散。内息得其推助，如暖流破开薄冰，进境之势渐能相续。|r</t>
  </si>
  <si>
    <t>烈阳破境丹</t>
  </si>
  <si>
    <t>|cff00FF00丹色炽亮，深藏的药气如焰待发。大境关前借其烈势，可催动将破未破的灵潮，而这股力量也须根基承接。|r</t>
  </si>
  <si>
    <t>玄阴纳灵丹</t>
  </si>
  <si>
    <t>|cff00FF00丹中寒意清幽，纳息的来路被梳成细流。外界灵机缓缓相随而入，如冷月引潮，来势安静，余韵悠长。|r</t>
  </si>
  <si>
    <t>清和纳灵丹</t>
  </si>
  <si>
    <t>|cff00FF00清润丹息轻轻舒开，与周围灵气渐有呼应。细流接连而至，像山谷晨雾慢慢汇入一泓清潭。|r</t>
  </si>
  <si>
    <t>纳灵丹</t>
  </si>
  <si>
    <t>|cff00FF00平和药意顺吐纳往来，令散在周围的灵机有路可循。吸息时如开泉眼，呼息时仍留绵绵来势。|r</t>
  </si>
  <si>
    <t>温阳纳灵丹</t>
  </si>
  <si>
    <t>|cff00FF00丹气温暖，向外舒展时有引流之势。四周灵息循路接近，仿佛春风催动水脉，让静缓来流渐显活意。|r</t>
  </si>
  <si>
    <t>烈阳纳灵丹</t>
  </si>
  <si>
    <t>|cff00FF00丹心炽热，纳息之势骤然张开，周围灵气争相涌入。盛时如潮，稍失承接便易内流纷乱，烈性因而格外分明。|r</t>
  </si>
  <si>
    <t>玄阴化元丹</t>
  </si>
  <si>
    <t>|cff00FF00寒润药气压住浮躁，使入体灵息徐徐沉定。炼化如霜夜磨玉，进得缓，却让每一道转折都显得清楚。|r</t>
  </si>
  <si>
    <t>清和化元丹</t>
  </si>
  <si>
    <t>|cff00FF00药息清和，顺着灵气向内转化的细路柔柔铺开。游散灵机渐归己用，像薄云化雨，终究落进自家泉池。|r</t>
  </si>
  <si>
    <t>化元丹</t>
  </si>
  <si>
    <t>|cff00FF00丹内药气平稳周转，将外来灵息引向修持的归处。不同来路的灵机在缓慢炼化中渐有同一气韵。|r</t>
  </si>
  <si>
    <t>温阳化元丹</t>
  </si>
  <si>
    <t>|cff00FF00暖流沿炼化之路层层催动，原本迟缓的内息随之活转。仿佛温火煨玉，将沉静深处的转机慢慢催明。|r</t>
  </si>
  <si>
    <t>烈阳化元丹</t>
  </si>
  <si>
    <t>|cff00FF00烈性直入炼化关节，灵息转化时疾如火中流金。锋芒虽盛，余下丹毒亦更难忽略，炽意并非全然无痕。|r</t>
  </si>
  <si>
    <t>玄阴聚元丹</t>
  </si>
  <si>
    <t>|cff00FF00药气清寒，凝聚之势向内深藏，不争片刻炽盛。修持所得随之点滴积下，像冬夜结露，渐见沉静分量。|r</t>
  </si>
  <si>
    <t>清和聚元丹</t>
  </si>
  <si>
    <t>|cff00FF00丹光柔和，细密药息一层层沉入内里。积累不见骤起骤落，仿佛溪水长注，渊潭在无声中渐深。|r</t>
  </si>
  <si>
    <t>聚元丹</t>
  </si>
  <si>
    <t>|cff00FF00药气向心回抱，平和而有凝聚之意。零散修持所得渐成有序积蓄，如细砂层层垒起，终见根基厚度。|r</t>
  </si>
  <si>
    <t>温阳聚元丹</t>
  </si>
  <si>
    <t>|cff00FF00温暖药息托起聚元之势，使内在积累渐显活跃。好比暖日催泉，原先细弱的来流开始接续成渠。|r</t>
  </si>
  <si>
    <t>烈阳聚元丹</t>
  </si>
  <si>
    <t>|cff00FF00丹心明烈，聚元之势来得迅疾，内息如受急火相催。所得固然可观，积下的丹毒亦随之加重，须辨盛极处的余痕。|r</t>
  </si>
  <si>
    <t>玄阴通脉丹</t>
  </si>
  <si>
    <t>|cff00FF00丹息清冷，沿气脉薄弱处缓缓护住来往灵流。封滞之意不易深缠，如寒泉绕石，总为内息留下一线通处。|r</t>
  </si>
  <si>
    <t>清和通脉丹</t>
  </si>
  <si>
    <t>|cff00FF00清柔药气进入受阻脉路，将纷乱灵流一点点理顺。急迫之感随之退去，像乱丝松开，先辨线头再求贯通。|r</t>
  </si>
  <si>
    <t>通脉丹</t>
  </si>
  <si>
    <t>|cff00FF00平和药息循气脉而行，于闭塞处停驻疏解。凝住的灵流渐有去路，如旧渠清开淤积，前后重新相接。|r</t>
  </si>
  <si>
    <t>温阳通脉丹</t>
  </si>
  <si>
    <t>|cff00FF00温热药气在阻滞关节间巡行，唤起久未顺畅的灵机。术意起落重新有路可走，如沉哑弦声逐渐续上。|r</t>
  </si>
  <si>
    <t>烈阳通脉丹</t>
  </si>
  <si>
    <t>|cff00FF00炽烈药气强行推过封滞之处，内息一时奔涌相通。急开之后也有灵流枯乏之虞，像洪水过闸，盛势退去便见空渠。|r</t>
  </si>
  <si>
    <t>玄阴拓脉丹</t>
  </si>
  <si>
    <t>|cff00FF00药性清寒，沿脉路边缘徐徐沉养，使容纳之处渐有余裕。其变化细微而长久，宛如水道在岁月里慢慢拓宽。|r</t>
  </si>
  <si>
    <t>清和拓脉丹</t>
  </si>
  <si>
    <t>|cff00FF00清润药意停在灵流收放的转折之间。术意已落，余息仍循原路归来，像潮退后留在岸湾的一汪清水。|r</t>
  </si>
  <si>
    <t>拓脉丹</t>
  </si>
  <si>
    <t>|cff00FF00丹气平稳，向内舒展而不骤然冲撞。脉路渐能容留更从容的灵流，仿佛旧渠拓开，两岸仍守着原有次序。|r</t>
  </si>
  <si>
    <t>温阳拓脉丹</t>
  </si>
  <si>
    <t>|cff00FF00温息沿脉路前后相催，使神通凝聚时少些拖滞。灵机循转更显轻快，如暖风掠弦，拨动便有回应。|r</t>
  </si>
  <si>
    <t>烈阳拓脉丹</t>
  </si>
  <si>
    <t>|cff00FF00烈性催开灵路，术意可在紧促往复中接续而起。绵密施为过后，脉路亦会显出疲惫，急流终须有休歇之岸。|r</t>
  </si>
  <si>
    <t>玄阴回灵丹</t>
  </si>
  <si>
    <t>|cff00FF00药气幽寒，灵息以极细的来势渐渐回转。枯涩处先得一点湿润，随后涓滴相续，如雪下泉眼重新有声。|r</t>
  </si>
  <si>
    <t>清和回灵丹</t>
  </si>
  <si>
    <t>|cff00FF00丹息清润，沿内在回路绵绵不绝。灵流不骤然盈满，却持续有所补入，像细雨慢慢润透干涸河床。|r</t>
  </si>
  <si>
    <t>回灵丹</t>
  </si>
  <si>
    <t>|cff00FF00平和药气向内汇聚，将散失后的空乏渐次填补。清息重归旧路时，恰似久停的水轮又被回流轻轻推动。|r</t>
  </si>
  <si>
    <t>温阳回灵丹</t>
  </si>
  <si>
    <t>|cff00FF00暖意在交锋起落间仍能接住回转灵息。去与来相互衔接，如火旁温泉，外界纷扰之中自有续流。|r</t>
  </si>
  <si>
    <t>烈阳回灵丹</t>
  </si>
  <si>
    <t>|cff00FF00炽热药息迅速涌向枯乏之处，短时之间灵流重振。急补之后却易留下紊乱，如骤雨灌溪，水满时未必已经平静。|r</t>
  </si>
  <si>
    <t>玄阴燃灵丹</t>
  </si>
  <si>
    <t>|cff00FF00寒意收住浮焰，使灵息在深处绵长燃动。术法的锋芒不以骤烈见长，反似幽灯长明，清冷之中自有持久分量。|r</t>
  </si>
  <si>
    <t>清和燃灵丹</t>
  </si>
  <si>
    <t>|cff00FF00清和药气将散乱灵息归成可用之势，术意随之更显凝练。光华不过分耀眼，落到实处却比浮焰更为坚实。|r</t>
  </si>
  <si>
    <t>燃灵丹</t>
  </si>
  <si>
    <t>|cff00FF00丹内灵息渐成燃势，平稳托起伤敌术意。药气与神通相接，如灯得新油，原有锋芒因而明亮。|r</t>
  </si>
  <si>
    <t>温阳燃灵丹</t>
  </si>
  <si>
    <t>|cff00FF00暖流催动灵机往复，术意起落更有接续之势。方才收住的光芒又能沿路重起，如余火未冷，下一焰已然接上。|r</t>
  </si>
  <si>
    <t>烈阳燃灵丹</t>
  </si>
  <si>
    <t>|cff00FF00烈性将灵息催至明锐之处，术锋如炽光向前逼近。护持薄弱处因而更难周全，蓄积之势尽在骤发一刻显露。|r</t>
  </si>
  <si>
    <t>玄阴镇脉丹</t>
  </si>
  <si>
    <t>|cff00FF00寒润药气沉住内流，脉路渐显平稳宽容。灵息有所依托，术意凝聚时也少浮摇，如深潭容水，风过只动表层。|r</t>
  </si>
  <si>
    <t>清和镇脉丹</t>
  </si>
  <si>
    <t>|cff00FF00清和药意沿气脉缓缓覆护，使运转少了徒然耗散。外来扰动到此渐被缓开，内在来往仍能守住原有节奏。|r</t>
  </si>
  <si>
    <t>镇脉丹</t>
  </si>
  <si>
    <t>|cff00FF00药气不疾不徐，沉在气脉相接的要处。灵息蓄而有序，容纳与施为各有依凭，如支起河岸，任水往来。|r</t>
  </si>
  <si>
    <t>温阳镇脉丹</t>
  </si>
  <si>
    <t>|cff00FF00温息沿起势与收势的细节相接，牵住容易散乱的余流。术意来去更显利落，像弦振之后余音及时归定。|r</t>
  </si>
  <si>
    <t>烈阳镇脉丹</t>
  </si>
  <si>
    <t>|cff00FF00炽烈药气将内在灵息推向护持之形，脉中流光渐有屏障之意。外来的冲撞在这份承接中受到拦护，灵机因此另有去处。|r</t>
  </si>
  <si>
    <t>玄阴净髓丹</t>
  </si>
  <si>
    <t>|cff00FF00清寒药息缓入根基深处，围住积久的丹毒徐徐化散。澄清不动声色，像地下冷泉长久洗过一块蒙尘的玉。|r</t>
  </si>
  <si>
    <t>清和净髓丹</t>
  </si>
  <si>
    <t>|cff00FF00柔和药意停驻于受损的根基边缘，将不稳之处缓缓温存。灵根的感应渐有秩序，如断续琴音重新找到安定弦位。|r</t>
  </si>
  <si>
    <t>净髓丹</t>
  </si>
  <si>
    <t>|cff00FF00平和药气深入灵根浊滞之处，细细分开积累的毒意。旧日药痕渐退，本有的灵性才重新透出清澈光泽。|r</t>
  </si>
  <si>
    <t>温阳净髓丹</t>
  </si>
  <si>
    <t>|cff00FF00温润药息沿灵根受扰处慢慢接续，既养旧损，也护新生灵机。浮乱不易深侵，像春土回暖之后，细根渐能站稳。|r</t>
  </si>
  <si>
    <t>烈阳净髓丹</t>
  </si>
  <si>
    <t>|cff00FF00烈性直逼根基中的沉毒，浊意被强势推散。清洗虽峻，灵根亦会暂显虚弱，如急火炼玉，除去尘翳也须重养本质。|r</t>
  </si>
  <si>
    <t>玄阴壮骨丹</t>
  </si>
  <si>
    <t>|cff00FF00寒润药息徐徐入骨，在细密纹理间沉下坚实之意。筋骨之强非骤然而成，像冰层缓结，深处渐有承力之基。|r</t>
  </si>
  <si>
    <t>清和壮骨丹</t>
  </si>
  <si>
    <t>|cff00FF00药性清和，循肉身根基的伤弱处慢慢修养。外来冲击因有所承接而缓下，犹如旧梁补稳，再受风雨便少摇动。|r</t>
  </si>
  <si>
    <t>壮骨丹</t>
  </si>
  <si>
    <t>|cff00FF00丹气平稳入骨，坚实之意由内及外相应。兵刃与术力所带的冲撞到此各有分承，身形未变，骨架已渐沉定。|r</t>
  </si>
  <si>
    <t>温阳壮骨丹</t>
  </si>
  <si>
    <t>|cff00FF00温息护住筋骨相接的要处，将突来的猛烈力道托住片刻。厚实之意如护梁木楔，平日无声，受压时方显分量。|r</t>
  </si>
  <si>
    <t>烈阳壮骨丹</t>
  </si>
  <si>
    <t>|cff00FF00烈性催起筋骨深处的承力之势，根基危急时尤见强硬。过后骨中亦会乏弱，如险桥硬承洪流，水退仍须修补。|r</t>
  </si>
  <si>
    <t>玄阴延寿丹</t>
  </si>
  <si>
    <t>|cff00FF00寒润药性向深处缓缓沉养，浮躁生息因而收敛。衰微之势被轻轻挽住，似残冬护住树心，让未尽年华徐徐留存。|r</t>
  </si>
  <si>
    <t>清和延寿丹</t>
  </si>
  <si>
    <t>|cff00FF00药气清和，在不惊扰内息的起伏中温养生机。所续之意绵缓，如长灯添油，光焰不骤亮，却能多守些时日。|r</t>
  </si>
  <si>
    <t>延寿丹</t>
  </si>
  <si>
    <t>|cff00FF00丹中平和生息渐入根本，为流逝年华留下些许余地。药意无声，像老木深处又起一线润泽，生机尚可相续。|r</t>
  </si>
  <si>
    <t>温阳延寿丹</t>
  </si>
  <si>
    <t>|cff00FF00温润药气追向将尽的生息，细细护住尚未熄灭之处。灯焰垂弱时添来暖油，年华的余路因而多了一分可能。|r</t>
  </si>
  <si>
    <t>烈阳延寿丹</t>
  </si>
  <si>
    <t>|cff00FF00烈性托住危急时将散的生机，强留一段未尽之息。所付却在根本，如燃旧木接续灯火，明处之外亦有耗损。|r</t>
  </si>
  <si>
    <t>玄阴塑灵丹</t>
  </si>
  <si>
    <t>|cff00FF00药气寒润，徐徐贴近灵根细微的感应。内外共鸣在安静中渐显清晰，如沉在水底的弦，终于应上远处同声。|r</t>
  </si>
  <si>
    <t>清和塑灵丹</t>
  </si>
  <si>
    <t>|cff00FF00清和药息护住灵根波动，使药意进入时少些浊滞纠缠。根本渐趋安定，像嫩枝得扶，摇动之后仍可归直。|r</t>
  </si>
  <si>
    <t>塑灵丹</t>
  </si>
  <si>
    <t>|cff00FF00平和药气绕向所契合的灵根，细细调理相应之路。内外灵机渐能辨认彼此，如两段旧纹终于拼接得宜。|r</t>
  </si>
  <si>
    <t>温阳塑灵丹</t>
  </si>
  <si>
    <t>|cff00FF00暖意将所应灵根的潜伏之势徐徐唤起。原本细弱的共鸣渐显鲜明，好比春阳照根，藏在深处的活意重新舒展。|r</t>
  </si>
  <si>
    <t>烈阳塑灵丹</t>
  </si>
  <si>
    <t>|cff00FF00烈性洗动根基，灵根原有的趋向也随之重新调理。变易之势既深，留下的丹毒亦重，重塑并非毫无代价的更换。|r</t>
  </si>
  <si>
    <t>玄阴固元丹</t>
  </si>
  <si>
    <t>|cff00FF00寒性收住散浮元气，护持之意绵长而沉静。外来锋势触及周身时，如击深水之上，力道在层层承接中缓下。|r</t>
  </si>
  <si>
    <t>清和固元丹</t>
  </si>
  <si>
    <t>|cff00FF00清和药气贴住周身，护持并不骤现骤灭。柔韧灵息前后相续，像细密衣甲，久久守住受力之处。|r</t>
  </si>
  <si>
    <t>固元丹</t>
  </si>
  <si>
    <t>|cff00FF00丹中元气平稳向外相接，兵刃与术力的冲势各有依托。防护如墙基渐实，虽不见耀目光华，却自有沉着。|r</t>
  </si>
  <si>
    <t>温阳固元丹</t>
  </si>
  <si>
    <t>|cff00FF00暖流绕住要处，平缓时不显，猛烈冲击来时便聚势相承。好似柔木临风压弯又起，将骤力留在可转圜之中。|r</t>
  </si>
  <si>
    <t>烈阳固元丹</t>
  </si>
  <si>
    <t>|cff00FF00药性炽盛，元气迅速凝成厚实护持。坚固之外也显沉重，身形转动不复轻灵，如披重甲，承压与迟缓一同到来。|r</t>
  </si>
  <si>
    <t>玄阴破妄丹</t>
  </si>
  <si>
    <t>|cff00FF00寒润药意沉入心神，清醒如冷月照水。幻念与心魔的牵缠到此难以深聚，浮动之影仍在，神思却多一分安定。|r</t>
  </si>
  <si>
    <t>清和破妄丹</t>
  </si>
  <si>
    <t>|cff00FF00药息清和，将急促纷乱的思绪缓缓疏开。心神从纠缠中退回清明处，像骤风息后，帘影终于不再相互追逐。|r</t>
  </si>
  <si>
    <t>破妄丹</t>
  </si>
  <si>
    <t>|cff00FF00平和清气在识念之间流转，迷乱与杂念随之渐次松脱。真假轮廓重有分别，如蒙尘镜面被缓缓拂净。|r</t>
  </si>
  <si>
    <t>温阳破妄丹</t>
  </si>
  <si>
    <t>|cff00FF00温润药气养住受扰神识，使操持灵机的细路重新相应。失序的心念渐可收放，像断奏之后，指下重有熟悉弦音。|r</t>
  </si>
  <si>
    <t>烈阳破妄丹</t>
  </si>
  <si>
    <t>|cff00FF00烈性冲开缠住心神的困局，并暂护清明不散。骤然醒转之后却有心力空乏，如急钟震醒长梦，余响仍令人疲惫。|r</t>
  </si>
  <si>
    <t>玄阴养神丹</t>
  </si>
  <si>
    <t>|cff00FF00寒润药息徐徐沉入神识，养护如月光漫过静潭。细微感应在长久安静中渐有深度，不以一时明亮为盛。|r</t>
  </si>
  <si>
    <t>清和养神丹</t>
  </si>
  <si>
    <t>|cff00FF00药气清和，顺受损感知的断续处缓缓接连。神识操持逐渐寻回细致分寸，像旧笔重新润开枯涩锋毫。|r</t>
  </si>
  <si>
    <t>养神丹</t>
  </si>
  <si>
    <t>|cff00FF00丹中平和药意温存识念，使散弱感应渐能聚合。心神并不骤然昂扬，却像灯芯被妥帖养住，明处更为安稳。|r</t>
  </si>
  <si>
    <t>温阳养神丹</t>
  </si>
  <si>
    <t>|cff00FF00暖流在神识细路间舒展，器纹与炉中药气的变化因而更易照应。心手相接之处，仿佛迟滞的丝线重新绷紧。|r</t>
  </si>
  <si>
    <t>烈阳养神丹</t>
  </si>
  <si>
    <t>|cff00FF00烈性催起神识深处的明锐，细微外动亦能激出强烈回应。盛时清晰，退后却留灼痛之感，如灯焰过旺，灯芯也受其伤。|r</t>
  </si>
  <si>
    <t>玄阴明心丹</t>
  </si>
  <si>
    <t>|cff00FF00寒意澄静心湖，远近动静渐有层次地映入感知。警觉不在骤然紧绷，而如夜水铺开，细波也能徐徐传至。|r</t>
  </si>
  <si>
    <t>清和明心丹</t>
  </si>
  <si>
    <t>|cff00FF00清和药息使心念轻捷而不浮躁，身侧变化更易被察觉。锋势来时多见一线转圜，像叶片在风到前已微微倾侧。|r</t>
  </si>
  <si>
    <t>明心丹</t>
  </si>
  <si>
    <t>|cff00FF00平和药气拨去感知中的朦胧，使远近形迹渐有清晰边界。凝目之处更易分明，如山雾稍开，道路重见轮廓。|r</t>
  </si>
  <si>
    <t>温阳明心丹</t>
  </si>
  <si>
    <t>|cff00FF00温息唤起敏锐心念，攻守间的变化连成清楚脉络。眼前动势方起，思绪已能循之转折，如晨风吹醒满树新叶。|r</t>
  </si>
  <si>
    <t>烈阳明心丹</t>
  </si>
  <si>
    <t>|cff00FF00烈性使感知骤然明锐，隐约形迹也在心中显出轮廓。周围动静仿佛忽然接近，出手随之果决，所见一时格外鲜明。|r</t>
  </si>
  <si>
    <t>玄阴照神丹</t>
  </si>
  <si>
    <t>|cff00FF00药气清寒，神思如月下细刃，长久守住明锐之处。临敌时耐心辨认关隙，待那一线相合，锋芒才落得恰当。|r</t>
  </si>
  <si>
    <t>清和照神丹</t>
  </si>
  <si>
    <t>|cff00FF00清润药息澄明目识，目标的动静与薄弱处渐有分别。心意与出手易在一刻相应，如灯光正好照见门缝。|r</t>
  </si>
  <si>
    <t>照神丹</t>
  </si>
  <si>
    <t>|cff00FF00平和药气照亮凝神一击的来路，纷杂动势间偶见清晰关节。锋芒与机会相合时，便有会心之意自然显露。|r</t>
  </si>
  <si>
    <t>温阳照神丹</t>
  </si>
  <si>
    <t>|cff00FF00温暖药息催动心念，细微时机在感知中变得鲜活。反应与锋势相继赶上，仿佛弦已绷紧，只待最恰当的一声。|r</t>
  </si>
  <si>
    <t>烈阳照神丹</t>
  </si>
  <si>
    <t>|cff00FF00烈性将神思推向极明之处，临敌关隙一时格外分明。锋芒集中之后也有神疲之虞，如夜灯骤亮，余下黑暗更显深沉。|r</t>
  </si>
  <si>
    <t>玄阴定神丹</t>
  </si>
  <si>
    <t>|cff00FF00寒润药意使识念向内沉定，不轻随外来牵引而移。心神如寒潭抱月，波纹虽起，深处仍能留住清明。|r</t>
  </si>
  <si>
    <t>清和定神丹</t>
  </si>
  <si>
    <t>|cff00FF00清和药气护在神思周围，使突然的锐势与精神侵扰有所缓冲。紧要之处多一层承接，如细绢隔住突来的风。|r</t>
  </si>
  <si>
    <t>定神丹</t>
  </si>
  <si>
    <t>|cff00FF00药息平正，梳理神识收放的细小转折。躁动处渐归稳妥，器物与灵机的操持也因此多了沉着分寸。|r</t>
  </si>
  <si>
    <t>温阳定神丹</t>
  </si>
  <si>
    <t>|cff00FF00温润药意使心神安和，危急间仍有从容照应之地。偶来的转机不易错失，仿佛风雨稍歇，眼前恰留一线晴隙。|r</t>
  </si>
  <si>
    <t>烈阳定神丹</t>
  </si>
  <si>
    <t>|cff00FF00烈性将神识向内聚成护持，外来的牵制与冲击到此受阻。心念如隔在明亮屏障之后，纷乱虽近，仍可守住自己的落点。|r</t>
  </si>
  <si>
    <t>玄阴解厄丹</t>
  </si>
  <si>
    <t>|cff00FF00寒润药息缓缓沉到毒伤与血损交缠之处，将侵扰一点点化散。过程安静而细长，如冷泉洗净旧创边缘的浊色。|r</t>
  </si>
  <si>
    <t>清和解厄丹</t>
  </si>
  <si>
    <t>|cff00FF00清和药气循受损脉路徐徐铺开，毒意与伤滞渐有退处。恢复不争骤然，却如细雨润伤木，让困厄慢慢松开。|r</t>
  </si>
  <si>
    <t>解厄丹</t>
  </si>
  <si>
    <t>|cff00FF00平和药意照应肉身受扰之处，侵入的浊毒与不利之势渐次分解。原本纷乱的生息得以回归自身的脉络。|r</t>
  </si>
  <si>
    <t>温阳解厄丹</t>
  </si>
  <si>
    <t>|cff00FF00温息护住创口周围的生机，使血意渐止、伤处渐稳。后来侵扰也有所防护，像伤木新结薄皮，柔嫩却已有依凭。|r</t>
  </si>
  <si>
    <t>烈阳解厄丹</t>
  </si>
  <si>
    <t>|cff00FF00烈性猛催内在排浊，将深缠损害强行推离。迅疾解厄之时肉身亦有耗伤，如急水冲去污泥，也带走岸边新土。|r</t>
  </si>
  <si>
    <t>玄阴回春丹</t>
  </si>
  <si>
    <t>|cff00FF00寒润药气收住生机散失，细细接续衰弱处的余息。复苏绵长而安静，如雪下根须仍在缓缓吸取春水。|r</t>
  </si>
  <si>
    <t>清和回春丹</t>
  </si>
  <si>
    <t>|cff00FF00清和药息一点点温存伤处，生机沿原有脉路重新舒展。修复并不骤成，却像连夜细雨，让枯叶底下渐见新芽。|r</t>
  </si>
  <si>
    <t>回春丹</t>
  </si>
  <si>
    <t>|cff00FF00平和生息随药气流向受损之处，衰弱的脉动渐有回应。恰似久旱后泉眼回润，枯涩之地重新接上流动。|r</t>
  </si>
  <si>
    <t>温阳回春丹</t>
  </si>
  <si>
    <t>|cff00FF00暖润药息在交锋之间仍留着回护余地，出手与承击皆能牵动生机回转。纷乱之中，好似始终有一缕春风未散。|r</t>
  </si>
  <si>
    <t>烈阳回春丹</t>
  </si>
  <si>
    <t>|cff00FF00炽烈药气直追将散生息，危急时强托肉身回转。骤然接续过后仍会虚弱，如枯灯被猛添新油，亮起后还须静养。|r</t>
  </si>
  <si>
    <t>玄阴活血丹</t>
  </si>
  <si>
    <t>|cff00FF00寒润药意收住浮动血息，使出手时牵回的生机细细积蓄。每次交锋都如落下一滴清露，缓慢润养内在枯涩。|r</t>
  </si>
  <si>
    <t>清和活血丹</t>
  </si>
  <si>
    <t>|cff00FF00清和药气护在血脉之间，承受冲击时便有生息随之回转。受力处不只留下震荡，也像雨落池面，唤起向内的细流。|r</t>
  </si>
  <si>
    <t>活血丹</t>
  </si>
  <si>
    <t>|cff00FF00药息平稳贯入血脉，伤敌之势与自身生机形成往复。锋芒出去，温润回归，如循环水路终于接上了缺失的一段。|r</t>
  </si>
  <si>
    <t>温阳活血丹</t>
  </si>
  <si>
    <t>|cff00FF00温息催活气血，身形与出手皆显轻捷，交锋间又有生机相续。仿佛风吹水轮，转得愈活，回流也愈见分明。|r</t>
  </si>
  <si>
    <t>烈阳活血丹</t>
  </si>
  <si>
    <t>|cff00FF00烈性催起迅猛血势，连绵交锋时生机回转尤急。盛意退去却有失血之患，如潮水强冲长堤，终须察看暗处渗漏。|r</t>
  </si>
  <si>
    <t>玄阴战元丹</t>
  </si>
  <si>
    <t>|cff00FF00寒润药气将攻击之势收得凝练，锋芒沉而绵长。临敌不争片刻燎原，像寒刃久磨，每次落处皆有分量。|r</t>
  </si>
  <si>
    <t>清和战元丹</t>
  </si>
  <si>
    <t>|cff00FF00清和药息顺着劲力徐徐相合，使每次出手更为稳实。散乱力道渐有归处，如将松绳拧紧，柔处亦见坚韧。|r</t>
  </si>
  <si>
    <t>战元丹</t>
  </si>
  <si>
    <t>|cff00FF00平和药气将肉身劲力凝为一势，挥击时内外相应。寻常动作中多了沉实分量，似铁器淬过，外形未改而锋意已明。|r</t>
  </si>
  <si>
    <t>温阳战元丹</t>
  </si>
  <si>
    <t>|cff00FF00温息催动筋骨与劲力，前势将落，后势便可相接。连贯出手如风过密林，枝叶次第应声，少有迟滞。|r</t>
  </si>
  <si>
    <t>烈阳战元丹</t>
  </si>
  <si>
    <t>|cff00FF00烈性催出短促而强盛的锋势，劲力直逼防护相接的薄处。蓄积尽在一刻释放，像紧弦骤断，锐声过后才见落点。|r</t>
  </si>
  <si>
    <t>玄阴锻体丹</t>
  </si>
  <si>
    <t>|cff00FF00寒润药息缓缓沉养肉身，使生机与承载之力一同积厚。变化藏在细处，如石胎日久凝坚，外表依旧安静。|r</t>
  </si>
  <si>
    <t>清和锻体丹</t>
  </si>
  <si>
    <t>|cff00FF00清和药气滋养肉身根本，受力时又将冲击徐徐缓开。生机因此更有容纳之处，像加厚的堤岸承住持续来水。|r</t>
  </si>
  <si>
    <t>锻体丹</t>
  </si>
  <si>
    <t>|cff00FF00平和药息入体，生机渐显充实，原先空乏之处多了依凭。肉身如得到温养的旧器，容纳与承受皆见根本厚度。|r</t>
  </si>
  <si>
    <t>温阳锻体丹</t>
  </si>
  <si>
    <t>|cff00FF00温息充养肉身，又在猛烈冲撞后照应损伤。生机的蓄藏与回转互相衔接，如有韧性的梁木，承压之后仍能渐复原形。|r</t>
  </si>
  <si>
    <t>烈阳锻体丹</t>
  </si>
  <si>
    <t>|cff00FF00烈性催聚肉身护持，厚实生机仿佛结成一层屏障。强撑之下身形也变得沉重，像坚甲覆身，稳固与迟缓难以分开。|r</t>
  </si>
  <si>
    <t>火弹符</t>
  </si>
  <si>
    <t>符箓</t>
  </si>
  <si>
    <t>|cff00FF00朱墨在符心结作一团，外缘收得极紧。薄纸藏住了将迸未迸的火意，墨路一启，聚拢的炽光便循锋飞出。|r</t>
  </si>
  <si>
    <t>火云符</t>
  </si>
  <si>
    <t>|cff00FF00赤纹由窄而宽，展开如云絮相叠。符中火意并不止于一点，余焰沿支纹铺散，留下一片翻卷未尽的赤色。|r</t>
  </si>
  <si>
    <t>冰锥符</t>
  </si>
  <si>
    <t>|cff00FF00符纹瘦长，墨色清冷，尖端凝着若有若无的霜光。水气沿纹收束成锋，寒意紧随其后，似深冬折下的一截冰棱。|r</t>
  </si>
  <si>
    <t>金刃符</t>
  </si>
  <si>
    <t>|cff00FF00金色细线贯穿符身，起笔沉稳，收笔如削。分散的锐意被拘在狭窄墨路之内，待符意放开，才显一线切金之光。|r</t>
  </si>
  <si>
    <t>落石符</t>
  </si>
  <si>
    <t>|cff00FF00土色墨纹层层叠压，符脚重如山基。松散土气在纹路交会处凝实，仿佛一块悬而未落的山石正藏于纸上。|r</t>
  </si>
  <si>
    <t>雷击符</t>
  </si>
  <si>
    <t>|cff00FF00墨路折转急促，细枝皆朝符心收聚。雷意被压在明暗相间的节点之间，静看无声，放开时却有骤然震落之势。|r</t>
  </si>
  <si>
    <t>裂甲符</t>
  </si>
  <si>
    <t>|cff00FF00符心一道斜纹横切重墨，细若裂隙。其锐意专寻护持相接的薄弱处，不以华光取胜，只留一道难再弥合的破口。|r</t>
  </si>
  <si>
    <t>惊魂符</t>
  </si>
  <si>
    <t>|cff00FF00墨纹外疏内急，望之似有短促余响掠过心头。符意直叩神识，所惊不在耳目，而在凝聚心神的一瞬。|r</t>
  </si>
  <si>
    <t>金刚符</t>
  </si>
  <si>
    <t>|cff00FF00金纹层层回护，密处如鳞，疏处仍有细线相牵。符中护持之力被束成一层坚光，随所受冲击逐渐消磨。|r</t>
  </si>
  <si>
    <t>铁甲符</t>
  </si>
  <si>
    <t>|cff00FF00黑墨厚而有节，甲片般的纹样沿符身相扣。灵机循此覆住周身，柔薄纸面里，封的是铁衣承力之意。|r</t>
  </si>
  <si>
    <t>水幕符</t>
  </si>
  <si>
    <t>|cff00FF00青纹自符首分流，又于两侧相合，如垂落的水帘。飞来之势遇上层层流动，便被水意牵偏、分散。|r</t>
  </si>
  <si>
    <t>避火符</t>
  </si>
  <si>
    <t>|cff00FF00外纹回绕似焰，内纹却疏静分明。火气循外路流开，护持之意守在中央，像烈火旁留出的一圈清宁。|r</t>
  </si>
  <si>
    <t>御寒符</t>
  </si>
  <si>
    <t>|cff00FF00符心暖纹被层层细线包住，边缘点墨如霜。侵来的寒意在内外纹路间受阻，中心微温得以缓缓留存。|r</t>
  </si>
  <si>
    <t>镇魂符</t>
  </si>
  <si>
    <t>|cff00FF00深墨结成回环，符心一笔端正不移。外来神念的震荡循纹被分开，心神如受静钟相护，散乱渐归安定。|r</t>
  </si>
  <si>
    <t>定身符</t>
  </si>
  <si>
    <t>|cff00FF00符身竖纹忽在中段收紧，落笔处形成封结。行走的气机到此受制，像奔流骤遇绳结，步势暂被系在原处。|r</t>
  </si>
  <si>
    <t>缚藤符</t>
  </si>
  <si>
    <t>|cff00FF00青墨分枝相绕，交会处各留一枚细结。符意展开，缠束沿着支路相继收拢，似群藤攀住了来往的身影。|r</t>
  </si>
  <si>
    <t>流沙符</t>
  </si>
  <si>
    <t>|cff00FF00符脚墨粒疏密不均，土纹之下另有回旋细路。看似稳固的地势由此松动，落足难得实处，越急越觉步履迟重。|r</t>
  </si>
  <si>
    <t>封窍符</t>
  </si>
  <si>
    <t>|cff00FF00符纹在灵息往来的关节处结住，不向外张扬。气路暂受束缚，已起的术意也难顺畅成形，像笛孔被一线封住。|r</t>
  </si>
  <si>
    <t>巨力符</t>
  </si>
  <si>
    <t>|cff00FF00墨筋粗健，转折处如绳相拧，蓄势向内。符意贯入筋骨，将分散的劲力拢到一处，举手投足皆有坚实回应。|r</t>
  </si>
  <si>
    <t>锐锋符</t>
  </si>
  <si>
    <t>|cff00FF00细墨沿中轴反复收束，符尾留出针尖般的寒光。器锋借此聚起锐意，原本散开的力道渐有明确去处。|r</t>
  </si>
  <si>
    <t>凝神符</t>
  </si>
  <si>
    <t>|cff00FF00符中文字疏朗，几笔细线皆指向同一处空白。纷乱感知循纹归一，眼前轮廓由模糊渐清，出手也多了分笃定。|r</t>
  </si>
  <si>
    <t>激元符</t>
  </si>
  <si>
    <t>|cff00FF00符心重墨如闸，细路尽向闸口收拢。积蓄灵元由此骤然奔涌，盛势虽强，退去后亦会留下耗损的空落。|r</t>
  </si>
  <si>
    <t>回春符</t>
  </si>
  <si>
    <t>|cff00FF00青纹像从枯笔中抽出的新芽，细处尚含润色。生机沿符路徐徐接续，受损之处如逢初春暖风，缓缓舒展。|r</t>
  </si>
  <si>
    <t>回气符</t>
  </si>
  <si>
    <t>|cff00FF00符中环纹回而不闭，内外各留来路。枯涩的灵息循环重新汇聚，如干涸泉眼听见细水回流。|r</t>
  </si>
  <si>
    <t>清心符</t>
  </si>
  <si>
    <t>|cff00FF00淡墨间留白极多，符心仅有一线清纹。纷乱念头在清意中渐散，像尘落之后，水面重新映出原有的天色。|r</t>
  </si>
  <si>
    <t>辟瘴符</t>
  </si>
  <si>
    <t>|cff00FF00青黄墨纹相间，外缘细线围出分明边界。瘴毒的侵扰至此受隔，清息沿内路流转，如雾中守住的一口新风。|r</t>
  </si>
  <si>
    <t>神行符</t>
  </si>
  <si>
    <t>|cff00FF00长纹一路向前，转折处极少停滞。符意随步势舒展，沉重行息渐轻，仿佛衣角先听到了前方的风声。|r</t>
  </si>
  <si>
    <t>轻身符</t>
  </si>
  <si>
    <t>|cff00FF00浅墨细如羽枝，疏疏向两侧展开。身形转圜时得其轻巧，落足起身皆少一分拖滞，如叶片借风轻轻回旋。|r</t>
  </si>
  <si>
    <t>缩地符</t>
  </si>
  <si>
    <t>|cff00FF00符首与符脚隔着大片留白，却有暗线将两端相接。近处可行之路被收在这一折之间，身影随符意短促挪转。|r</t>
  </si>
  <si>
    <t>隐身符</t>
  </si>
  <si>
    <t>|cff00FF00墨色愈近中心愈淡，轮廓在符纹中渐失分明。符意藏住身影，却难容剧烈外放的锋芒，一旦出手，静隐便随之散开。|r</t>
  </si>
  <si>
    <t>敛息符</t>
  </si>
  <si>
    <t>|cff00FF00细线尽向符心折回，外缘几乎不见余墨。外溢的气息循路收敛，灵光也沉静下来，如灯焰被妥帖罩住。|r</t>
  </si>
  <si>
    <t>静音符</t>
  </si>
  <si>
    <t>|cff00FF00符纹近似波环，环与环之间却留着断续空隙。步履衣袂的细响经过此间渐弱，像声音落进了一层柔软的暮雾。|r</t>
  </si>
  <si>
    <t>障眼符</t>
  </si>
  <si>
    <t>|cff00FF00两重相似墨纹错开少许，凝视时便觉远近游移。符意借这微差扰动目识，使真实轮廓被偏斜的影像遮住。|r</t>
  </si>
  <si>
    <t>破妄符</t>
  </si>
  <si>
    <t>|cff00FF00繁纹中央贯着一笔清线，周围虚影愈重，清线愈显分明。被遮掩的形迹沿此露出端倪，如薄雾中忽现的实岸。|r</t>
  </si>
  <si>
    <t>照夜符</t>
  </si>
  <si>
    <t>|cff00FF00符心蓄着柔和浅光，边纹不锐，似月色在纸面舒开。夜幕中原本混作一团的轮廓，随清光渐有远近层次。|r</t>
  </si>
  <si>
    <t>寻踪符</t>
  </si>
  <si>
    <t>|cff00FF00符中留有承接气息的空处，外纹如细路向远方展开。曾经辨认的踪迹寄于此间，寻行时便有微弱回应相引。|r</t>
  </si>
  <si>
    <t>传音符</t>
  </si>
  <si>
    <t>|cff00FF00细小声纹在纸面回环，两端各有收放之笔。话音被暂寄于符路，传向相应之人，散去时仍似耳畔余声。|r</t>
  </si>
  <si>
    <t>指路符</t>
  </si>
  <si>
    <t>|cff00FF00分岔墨线最终汇成一条清晰去路，旁支逐渐淡隐。已知路径寄在纹中，如旅人折好的一幅小图，临行便可循迹。|r</t>
  </si>
  <si>
    <t>清洁符</t>
  </si>
  <si>
    <t>|cff00FF00浅纹沿纸边轻轻拂过，墨色清透而不滞。附着衣物器表的尘垢随灵息离散，露出被污渍遮住的本来纹理。|r</t>
  </si>
  <si>
    <t>挪移符</t>
  </si>
  <si>
    <t>|cff00FF00符面两处纹心遥遥相应，之间细线交折如门。灵机须有落处承接，待两端相通，身影才循既定去路移转。|r</t>
  </si>
  <si>
    <t>替身符</t>
  </si>
  <si>
    <t>|cff00FF00符中虚影与实线相叠，关键处留有一笔可断的承接。危急时符意代承锋势，纸裂光散，留下的是一次替身之机。|r</t>
  </si>
  <si>
    <t>问心符</t>
  </si>
  <si>
    <t>|cff00FF00墨痕轻淡，随言语与神思的起伏隐有回应。它映出迟疑与波澜，却不替人断定真伪；心事深处，仍须自己辨察。|r</t>
  </si>
  <si>
    <t>引溪阵盘</t>
  </si>
  <si>
    <t>阵法</t>
  </si>
  <si>
    <t>|cff00FF00青铜刻槽如群溪汇流，中央玉眼静含微光。散落四周的灵息沿槽归拢，盘体不大，却将聚散之间的次序刻得分明。|r</t>
  </si>
  <si>
    <t>留月阵图</t>
  </si>
  <si>
    <t>|cff00FF00深青绢面残缺数处，银白阵线却在月下渐渐接续。圆环若合若离，夜色愈静，图中收拢的清光愈显悠长。|r</t>
  </si>
  <si>
    <t>回春阵旗</t>
  </si>
  <si>
    <t>|cff00FF00青绢上的枝脉从旗根向外舒展，细处如新芽初分。旗影轻动，温润生机便循纹向周围流转，如春风走过一片旧枝。|r</t>
  </si>
  <si>
    <t>续脉阵心</t>
  </si>
  <si>
    <t>|cff00FF00玉核早已开裂，裂隙间却仍有细线相连。生息衰弱之际，微光沿断处重新亮起，显出残破阵势尚存的接续之意。|r</t>
  </si>
  <si>
    <t>镇岳阵印</t>
  </si>
  <si>
    <t>|cff00FF00石印厚重，层层阵纹如山岩相叠，印底深线将浮动灵息压向稳处。所承之势分落各层，静置时亦有山基般的沉着。|r</t>
  </si>
  <si>
    <t>隔焰阵盘</t>
  </si>
  <si>
    <t>|cff00FF00深色盘体外环赤纹，内环浅线，两重灵路界限分明。火气到此被引向外围，盘心仍守着一圈不随烈焰翻动的静色。|r</t>
  </si>
  <si>
    <t>回锋阵盘</t>
  </si>
  <si>
    <t>|cff00FF00金属环盘的锋纹向内回折，刻槽首尾接续。冷光巡行其间，已去之锋复循阵路而回，恰似环中藏着一场未歇的交鸣。|r</t>
  </si>
  <si>
    <t>余烬阵心</t>
  </si>
  <si>
    <t>|cff00FF00灰白外壳里封着暗红核心，裂隙中微火明灭。炉体虽已不存，残留火路仍在阵心中回环，将冷灰下的灼意慢慢送出。|r</t>
  </si>
  <si>
    <t>镇步阵印</t>
  </si>
  <si>
    <t>|cff00FF00方印底部密纹层层向心收紧，深处如有重物沉住。阵势展开时，灵息与步势皆受牵系，疾行至此也似踏进了凝滞的暮色。|r</t>
  </si>
  <si>
    <t>缠枝阵图</t>
  </si>
  <si>
    <t>|cff00FF00窄绢上分叉阵线彼此交缠，节点闭合如藤结。平展时只是繁密纹样，灵机一通，枝蔓般的约束便在交会处显现。|r</t>
  </si>
  <si>
    <t>乱向阵旗</t>
  </si>
  <si>
    <t>|cff00FF00灰青旗面正反两重阵纹略有错位，风中看去似影随影。阵势借这细小偏差扰乱方位，使眼前所见与真正落点悄然分离。|r</t>
  </si>
  <si>
    <t>藏息阵印</t>
  </si>
  <si>
    <t>|cff00FF00烟色玉外纹浅淡，深处阵线却一层层向内收拢。逸出的灵息循纹归藏，连印面光泽也仿佛沉入了玉心。|r</t>
  </si>
  <si>
    <t>精血</t>
  </si>
  <si>
    <t>灵材</t>
  </si>
  <si>
    <t>|cff00FF00血色凝而不滞，内里仍隐有生机起伏。肉身散失的温度仿佛暂留其中，细看血光流转，自有不同于凡血的灵性。|r</t>
  </si>
  <si>
    <t>妖丹</t>
  </si>
  <si>
    <t>|cff00FF00丹体圆凝，外层纹理随原生灵息而异。兽身中长久汇聚的灵机在此收成一核，静置无声，深处仍有明暗呼应。|r</t>
  </si>
  <si>
    <t>翎羽</t>
  </si>
  <si>
    <t>|cff00FF00羽轴轻坚，细枝舒展而不散乱。微风拂过时，灵息沿羽理掠向末端，余下的颤动轻得几乎不可察。|r</t>
  </si>
  <si>
    <t>毒囊</t>
  </si>
  <si>
    <t>|cff00FF00囊壁薄韧，内外纹理却各有界限。烈性毒液被妥帖藏在其中，浸润而不轻易外泄，令人惊异于生灵自成的容纳之法。|r</t>
  </si>
  <si>
    <t>灵兽残识</t>
  </si>
  <si>
    <t>|cff00FF00晶明暗处留着断续的感知旧痕，遇相近气息便有微弱回应。它所保存的是曾经应变的片段，来时清晰，追寻时又渐散如烟。|r</t>
  </si>
  <si>
    <t>金行凝华</t>
  </si>
  <si>
    <t>|cff00FF00灵光层层收束，末端显出清冷锐色。无须先有刀剑之形，其中金性已将游散锋意聚到极细之处。|r</t>
  </si>
  <si>
    <t>木行凝华</t>
  </si>
  <si>
    <t>|cff00FF00青碧灵息交连如初生根脉，断续处仍有向外相接之势。凝结成形之后，木性的舒展与生发依旧藏在细纹之间。|r</t>
  </si>
  <si>
    <t>火行凝华</t>
  </si>
  <si>
    <t>|cff00FF00微红光点聚散不休，静止外形中自有躁动。火性在内部推动灵息不断转化，仿佛一缕焰光被留在将燃之际。|r</t>
  </si>
  <si>
    <t>水行凝华</t>
  </si>
  <si>
    <t>|cff00FF00光泽清润，细流在凝结的形体内缓缓互通。水性不拘一隅，所到之处皆留渗行的细路，柔和却难以截断。|r</t>
  </si>
  <si>
    <t>土行凝华</t>
  </si>
  <si>
    <t>|cff00FF00色泽沉静，灵纹层层相叠，越近中心越显密实。飘浮的气机到此渐有承托，如散沙终于落回坚实地脉。|r</t>
  </si>
  <si>
    <t>兽骨</t>
  </si>
  <si>
    <t>|cff00FF00骨质坚密，空隙与支撑之处分布自有章法。生前承受的力道仿佛仍沿骨纹分行，使这段遗骨留住了躯体的骨架之意。|r</t>
  </si>
  <si>
    <t>兽皮</t>
  </si>
  <si>
    <t>|cff00FF00皮面纹理相续，柔处能舒，韧处能收。褪去血肉之后，覆护生灵的旧结构仍在，展开时如一幅细密而完整的底纹。|r</t>
  </si>
  <si>
    <t>獠牙</t>
  </si>
  <si>
    <t>|cff00FF00牙根厚实，锋端渐收，坚质沿长纹向尖处聚拢。无需后天雕琢，便显出由根承力、由尖破出的分明层次。|r</t>
  </si>
  <si>
    <t>玄铁</t>
  </si>
  <si>
    <t>|cff00FF00铁色幽深，边缘冷光内敛，锻痕落下后不易浮移。其性坚实而有定力，仿佛杂沓灵机至此，也须循清晰边界而行。|r</t>
  </si>
  <si>
    <t>照夜玉</t>
  </si>
  <si>
    <t>|cff00FF00玉中藏光，外观温静，暗处方见柔辉慢慢显露。光意在细密玉理间停驻，如白昼离去后尚未散尽的一缕余明。|r</t>
  </si>
  <si>
    <t>灵玉</t>
  </si>
  <si>
    <t>|cff00FF00玉质细润，浅纹之下另有清晰灵路。微弱气机亦能沿其传递，留下的纹记不轻易混散，似一页尚待落笔的静书。|r</t>
  </si>
  <si>
    <t>灵木芯</t>
  </si>
  <si>
    <t>|cff00FF00外层尽去，木芯仍保存着连贯的生长纹理。长纹交错而不断，既能相承，也留舒展余地，岁月在其中化成柔韧的筋骨。|r</t>
  </si>
  <si>
    <t>灵蚕丝</t>
  </si>
  <si>
    <t>|cff00FF00丝光细若月缕，牵开时却显绵长韧性。灵息沿单丝流转不绝，交织之后，纤细经纬也能承起清晰纹路。|r</t>
  </si>
  <si>
    <t>地脉灵液</t>
  </si>
  <si>
    <t>|cff00FF00液色温润，行过砂石时徐徐渗入细隙。水意与土性相含，仿佛地脉将深处的湿润与沉厚，一并缓缓送出。|r</t>
  </si>
  <si>
    <t>树脂</t>
  </si>
  <si>
    <t>|cff00FF00脂液凝成后光泽柔和，细裂被它温顺包拢。木中旧息仍留其间，覆住纹路时，如树皮重新护住了一道伤口。|r</t>
  </si>
  <si>
    <t>毒血</t>
  </si>
  <si>
    <t>|cff00FF00血光深处泛着异色，流过之处留痕不易散去。血质的浸润与毒性的侵蚀彼此相合，柔缓流动之下自有峻烈。|r</t>
  </si>
  <si>
    <t>灵木灵核</t>
  </si>
  <si>
    <t>|cff00FF00木纹向心回抱，微弱生息在核心深处缓缓起伏。枝叶的繁盛虽已离去，长久积蓄的生机仍未尽散，如树心尚藏着春日。|r</t>
  </si>
  <si>
    <t>抱元玉</t>
  </si>
  <si>
    <t>|cff00FF00玉色柔润，光华总向内部回抱。散落生机在温和玉理中稍得停驻，仿佛疲惫归人终于寻到一处不受风扰的静室。|r</t>
  </si>
  <si>
    <t>细毫</t>
  </si>
  <si>
    <t>|cff00FF00毫锋纤细，根部相聚，尖端开合自有分寸。蘸墨时含而不滥，提起时细线相随，小小锋颖里藏着极精微的收放。|r</t>
  </si>
  <si>
    <t>灵目</t>
  </si>
  <si>
    <t>|cff00FF00晶润目质中留着层层浅纹，微光经过便有细小变化。曾经辨识灵息的结构未尽消散，使细微波动仍能留下痕迹。|r</t>
  </si>
  <si>
    <t>灵木残识</t>
  </si>
  <si>
    <t>|cff00FF00残留感应细弱如根须，遇湿润与光意时偶有回应。它保存着向水、向光的旧倾向，断断续续，似树影记得曾经的季节。|r</t>
  </si>
  <si>
    <t>甲壳</t>
  </si>
  <si>
    <t>|cff00FF00壳层相叠，坚处与缓冲的细隙彼此错开。冲击沿层纹分散，外表看似浑然一体，内里却有精巧的承力次序。|r</t>
  </si>
  <si>
    <t>兽鳞</t>
  </si>
  <si>
    <t>|cff00FF00鳞片边薄根厚，叠起时彼此覆护，张开时仍能转动。细小弧面引偏外来锋势，将坚硬与灵活藏在同一片光泽里。|r</t>
  </si>
  <si>
    <t>利爪</t>
  </si>
  <si>
    <t>|cff00FF00爪身弯曲有势，内缘锐，根部坚，天然便成勾挂之形。锋痕切入后仍能牵住着力处，冷光中保留着捕猎时的紧迫。|r</t>
  </si>
  <si>
    <t>古炉铜</t>
  </si>
  <si>
    <t>|cff00FF00铜色经久热而沉，表面火痕层层相覆。旧炉的余温早已散去，受火磨出的稳定纹理却留下来，细处仍见灵路相连。|r</t>
  </si>
  <si>
    <t>乌星铁</t>
  </si>
  <si>
    <t>|cff00FF00乌黑铁面间散着细小银星，锻薄之后纹理依然匀净。沉着金性沿刃身分布，像深夜星光伏在一道尚未出鞘的锋上。|r</t>
  </si>
  <si>
    <t>玄砂</t>
  </si>
  <si>
    <t>|cff00FF00细砂色深，颗粒各有棱隙，聚拢后反而贴合得极密。松时如尘，凝时可填细微空处，杂沓气机至此渐分层次。|r</t>
  </si>
  <si>
    <t>古阵石</t>
  </si>
  <si>
    <t>|cff00FF00石角已磨钝，残刻的灵路却尚可辨认。旧阵的规模早不可见，仅存纹槽之间偶有呼应，仿佛大阵留下一段未完的回声。|r</t>
  </si>
  <si>
    <t>明光晶</t>
  </si>
  <si>
    <t>|cff00FF00晶面清亮，内光不浑，细线经过便显得格外分明。它所映出的明处层次井然，连平时隐于杂色的纹理也渐有边界。|r</t>
  </si>
  <si>
    <t>听泉玉</t>
  </si>
  <si>
    <t>|cff00FF00玉内浅纹如细水相连，触之温静，传来的微颤却异常清晰。石间泉流与岩层震动借它留声，似一枚凝住的山中耳语。|r</t>
  </si>
  <si>
    <t>灵竹</t>
  </si>
  <si>
    <t>|cff00FF00竹节中空，长纹顺直，轻身之下有不折的韧意。灵息由节间徐徐贯通，宛如山风找到一条有壁而无滞的去路。|r</t>
  </si>
  <si>
    <t>阵旗灵丝</t>
  </si>
  <si>
    <t>|cff00FF00丝上留有经纬交错的旧痕，分开的细路在节点处重新相会。旗形虽已不存，向外铺展阵势的织理仍可追寻。|r</t>
  </si>
  <si>
    <t>石乳</t>
  </si>
  <si>
    <t>|cff00FF00乳色绵润，从石隙凝出时极慢，附在表面却包覆得周全。岩层深处的温缓之意留在其中，厚而不峻，柔而有依。|r</t>
  </si>
  <si>
    <t>虫蜡</t>
  </si>
  <si>
    <t>|cff00FF00蜡质细腻，微温时可伏入狭隙，冷却后又将边界封住。曾经护巢的本性犹存，连余热也似被它轻轻拢在内侧。|r</t>
  </si>
  <si>
    <t>金灯铜</t>
  </si>
  <si>
    <t>|cff00FF00铜色沉金，受热后光泽匀匀亮起，少见骤明骤暗。长久导火的纹理细密相连，似灯座托住焰光，任其明而不躁。|r</t>
  </si>
  <si>
    <t>余照灵绢</t>
  </si>
  <si>
    <t>|cff00FF00绢面暗时柔和，斜照时却浮出层层细光。散逸辉影被经纬牵住，仿佛暮色收拢了残阳，使光不轻易越出边缘。|r</t>
  </si>
  <si>
    <t>裂金玄铁</t>
  </si>
  <si>
    <t>|cff00FF00幽铁深处聚着狭窄亮线，锋意沿线向尖端逼近。厚实外形之下藏有专注的锐势，像寒光寻到了坚甲相接的一隙。|r</t>
  </si>
  <si>
    <t>沉星铜</t>
  </si>
  <si>
    <t>|cff00FF00铜质沉匀，敲击时回声低而绵。灵息与分量一同向中心凝聚，握于掌中，仿佛远空坠落的星尘终有了重量。|r</t>
  </si>
  <si>
    <t>玉泉灵玉</t>
  </si>
  <si>
    <t>|cff00FF00温润玉理中浅流相接，灵光收进去后并不急于逸出。蓄与放皆有细路可循，如一眼泉源，静时藏水，动时清流。|r</t>
  </si>
  <si>
    <t>赤霞灵铜</t>
  </si>
  <si>
    <t>|cff00FF00铜面含霞色，火气流经时内纹仍清晰相续。热意能沿材身舒展而不轻易断路，仿佛赤霞铺天，云骨依旧分明。|r</t>
  </si>
  <si>
    <t>流云灵木</t>
  </si>
  <si>
    <t>|cff00FF00木质轻而不浮，长纹舒展，受力后仍有回转之韧。灵息沿纹行过，如云带被长风托住，远处去路自然接续。|r</t>
  </si>
  <si>
    <t>烛微灵竹</t>
  </si>
  <si>
    <t>|cff00FF00竹理细密，极微弱的灵息也能循窄纹而行。其光不耀眼，细看却分毫可辨，似灯下笔尖尚未滴落的一点墨。|r</t>
  </si>
  <si>
    <t>回春藤</t>
  </si>
  <si>
    <t>|cff00FF00老藤盘结，节中暗藏细小空腔，柔和木息在内缓缓回绕。褪去青皮之后，温养之意仍存，枯形里留着尚未散尽的春信。|r</t>
  </si>
  <si>
    <t>坤元灵玉</t>
  </si>
  <si>
    <t>|cff00FF00玉体厚润，纹路向下相承，生机入内后渐趋平缓。土性托住木息，如肥沃地层护住根须，使细弱萌动有处安放。|r</t>
  </si>
  <si>
    <t>镇岳玄铁</t>
  </si>
  <si>
    <t>|cff00FF00铁纹层叠，重压之下仍有清晰承接。外来的震动沿纹分行，不轻易撕开器路，沉稳得如一段埋在山根的旧骨。|r</t>
  </si>
  <si>
    <t>辟火玄鳞</t>
  </si>
  <si>
    <t>|cff00FF00玄色鳞面叠覆紧密，热意经过时细纹仍能守住边界。鳞下清光安定，仿佛曾受烈火侵袭的生灵，把护身之理留在了遗蜕上。|r</t>
  </si>
  <si>
    <t>缚岳灵筋</t>
  </si>
  <si>
    <t>|cff00FF00长筋绷起时坚韧，松开后又徐徐归位。张弛之间，灵路始终相连，似收住山势的长索，紧而不失回旋。|r</t>
  </si>
  <si>
    <t>九窍灵玉</t>
  </si>
  <si>
    <t>|cff00FF00玉中孔窍彼此连通，细路各有先后，并不一齐争流。灵息入内便循次往来，如多股泉水在暗岩中各守其道。|r</t>
  </si>
  <si>
    <t>沉天金</t>
  </si>
  <si>
    <t>|cff00FF00金质厚沉，受冲之后外形仍端正如初。其内灵纹紧密相承，浮动气机也被压向深处，静置便有沉坠之势。|r</t>
  </si>
  <si>
    <t>照微璧</t>
  </si>
  <si>
    <t>|cff00FF00璧面光华清细，近看才见极浅纹理层层显出。细光沿玉质折返，将容易淹没在杂色中的微末形迹悄然照亮。|r</t>
  </si>
  <si>
    <t>地心灵铜</t>
  </si>
  <si>
    <t>|cff00FF00铜中暖意收得极深，受热不骤烈，遇冷不骤寂。寒热沿密纹徐徐交接，像地底埋藏的火息，长久而有分寸。|r</t>
  </si>
  <si>
    <t>万象灵绢</t>
  </si>
  <si>
    <t>|cff00FF00绢面换一个角度便换一层浅色，诸般光影在经纬间交叠。散开的轮廓被柔和织纹收住，难辨哪一重才是原本形色。|r</t>
  </si>
  <si>
    <t>五气灵玉</t>
  </si>
  <si>
    <t>|cff00FF00五色浅纹彼此相邻，交会处留有细小转圜。不同灵息入内，各循其路又能相济，繁而不乱，如环玉中自成往复。|r</t>
  </si>
  <si>
    <t>通天木</t>
  </si>
  <si>
    <t>|cff00FF00长纹贯通材身，转折处仍有韧性相承。灵息沿远长木理一路接续，似旧桥伸向雾深处，承载的去路尚未断尽。|r</t>
  </si>
  <si>
    <t>太和灵丝</t>
  </si>
  <si>
    <t>|cff00FF00丝质柔韧，交织后边界清晰而有余裕。相邻灵路在细处互相扶持，收拢时不断，展开时不乱，极宜容纳与封合之意。|r</t>
  </si>
  <si>
    <t>无相宝种</t>
  </si>
  <si>
    <t>|cff00FF00宝种内光未定，尚不显刀剑鼎印之形。诸材灵路可向它交会，待相承之理渐成，方从未定的核心里养出完整器意。|r</t>
  </si>
  <si>
    <t>逐影剑·断金</t>
  </si>
  <si>
    <t>炼器</t>
  </si>
  <si>
    <t>|cff00FF00剑纹循灵息延展，来去之势始终相接。锋光层层收紧，落处金气迸开，如寒刃截住一线秋色。|r</t>
  </si>
  <si>
    <t>覆岳印·金阙</t>
  </si>
  <si>
    <t>|cff00FF00印纹层叠如山基，掌中灵势可向四周传开。沉重印底藏着凝聚金意，落势如坚阙合拢，冷锐与重压同时临近。|r</t>
  </si>
  <si>
    <t>定影索·锁秋</t>
  </si>
  <si>
    <t>|cff00FF00索中灵路随弯曲而转，收拢时节节相应。细金光贴着索身向束处聚紧，冷锐与缠系同行，像将一段萧瑟秋意锁在结中。|r</t>
  </si>
  <si>
    <t>玄罗伞·凝霜</t>
  </si>
  <si>
    <t>|cff00FF00伞骨相承，张开时灵幕循纹闭合。厚实护光间透出清冷色泽，金行锋意临近时被层层缓开，似霜影覆住刃光。|r</t>
  </si>
  <si>
    <t>青华珠·初阳</t>
  </si>
  <si>
    <t>|cff00FF00青润珠光向内聚拢，转动之初，生机先如晨阳照临，随后温厚余息徐徐流出。光意不躁，照应的是衰弱处渐起的脉动。|r</t>
  </si>
  <si>
    <t>承露瓶·沃野</t>
  </si>
  <si>
    <t>|cff00FF00瓶中灵露沿细纹周流，草木温养之意凝而不散。浸养的润泽平和铺开，不偏一行，像细雨落向宽阔原野，使不同根脉各有所受。|r</t>
  </si>
  <si>
    <t>坎离丹炉·素真</t>
  </si>
  <si>
    <t>|cff00FF00炉壁灵路分承寒热，药气在内缓缓回旋。金行药气经过清浊交界时，沉滓渐落，中央留下素净亮色，如拂去玉面尘痕。|r</t>
  </si>
  <si>
    <t>定纹鼎·守拙</t>
  </si>
  <si>
    <t>|cff00FF00鼎纹不事繁丽，承接处却一一端正。祭炼灵息沿壁稳稳入器，浮动器纹渐得安放，朴拙形体里藏着成器最需的耐心。|r</t>
  </si>
  <si>
    <t>灵枢符笔·惊弦</t>
  </si>
  <si>
    <t>|cff00FF00笔锋聚而不散，细毫将金行灵机引入墨路。收笔处寒光凝成狭线，如弦满未发，薄纸已先有清锐之意。|r</t>
  </si>
  <si>
    <t>藏魄葫芦·归梦</t>
  </si>
  <si>
    <t>|cff00FF00葫内细纹向口回抱，对尚未散尽的妖物灵机隐有回应。零落残留循路归入，被轻轻封住，如梦醒之后留下的一缕余绪。|r</t>
  </si>
  <si>
    <t>壶天袋·芥子</t>
  </si>
  <si>
    <t>|cff00FF00袋口狭小，内里灵路却层层展开，收纳边界清晰相承。物件入内各有所容，方寸外形中，显出与寻常行囊不同的尺度。|r</t>
  </si>
  <si>
    <t>归元瓶·朝元</t>
  </si>
  <si>
    <t>|cff00FF00瓶纹向内蓄灵，初转时先有一股清流回返，随后灵息厚实相续。枯乏处得其来水，如众溪循旧道重归源头。|r</t>
  </si>
  <si>
    <t>鉴微镜·拾遗</t>
  </si>
  <si>
    <t>|cff00FF00镜面清光不止映照形影，也循战后散落的灵机徐徐停驻。被尘土遮住的可取之物因此显出细微光泽，残迹之中偶见遗珍。|r</t>
  </si>
  <si>
    <t>渡玄舟·问津</t>
  </si>
  <si>
    <t>|cff00FF00舟身承载纹路前后相续，去路隐入界隙，灵光仍能沿木理接上。寻得相应津渡时，小舟便有凭依，可将行者载向秘境深处。|r</t>
  </si>
  <si>
    <t>藏形幡·无踪</t>
  </si>
  <si>
    <t>|cff00FF00幡纹向内收敛形息，暗影覆下，身影便与周遭渐失分界。藏势未散时，行过群敌也少受阻碍，幡中余息仍为下一次敛藏留路。|r</t>
  </si>
  <si>
    <t>照夜镜·烛幽</t>
  </si>
  <si>
    <t>|cff00FF00玉中余光在暗处渐明，镜面将将隐未隐的残迹留住。纷乱战地上容易错过的灵性因此有迹可辨，如幽夜里重新亮起的微灯。|r</t>
  </si>
  <si>
    <t>乌星剑·陨辰</t>
  </si>
  <si>
    <t>|cff00FF00乌色剑体星纹细密，锋势沉凝而不散。金气从星点间归拢，循敌而落时，仿佛夜空忽有一颗寒星坠近。|r</t>
  </si>
  <si>
    <t>抱元珠·春晖</t>
  </si>
  <si>
    <t>|cff00FF00温润玉理抱住积蓄生机，运转伊始便有春晖般的暖意舒开。随后的光流厚而不急，像旧寒散去，根脉重新得到照拂。|r</t>
  </si>
  <si>
    <t>金灯丹炉·玉液</t>
  </si>
  <si>
    <t>|cff00FF00铜壁导热细密相连，火势明而有序，炉心不随之躁乱。金行药气沿内纹层层澄滤，浊滓缓落，精粹光泽渐显，如灯下玉液洗净浮尘。|r</t>
  </si>
  <si>
    <t>听泉镜·漱玉</t>
  </si>
  <si>
    <t>|cff00FF00镜中细纹回应散落灵机，近处微动又牵出旁侧余响。循着层层回声望去，方才辨出的遗物之外，往往仍有未尽线索。|r</t>
  </si>
  <si>
    <t>裂金剑·破晓</t>
  </si>
  <si>
    <t>|cff00FF00剑脊幽沉，锋意专向护持交接的罅隙收拢。金气随着沉重剑势层层逼近，像夜色被一道寒光划开，坚护亦现松动。|r</t>
  </si>
  <si>
    <t>沉星印·太白</t>
  </si>
  <si>
    <t>|cff00FF00铜印沉匀，内纹将落势连向周围，震意厚重。冷金光聚在印底，落下时如寒星触地，坚锐之意随重震一并散开。|r</t>
  </si>
  <si>
    <t>玉泉回灵瓶·怀清</t>
  </si>
  <si>
    <t>|cff00FF00温润玉理蓄着澄明灵息，转动之初便有清流舒出。其后回返厚而安稳，像怀中藏着一眼泉源，干涩处渐有滋润。|r</t>
  </si>
  <si>
    <t>余照隐息幡·暮隐</t>
  </si>
  <si>
    <t>|cff00FF00绢面将逸散余光缓缓收住，幡下形息因而藏得悠长。身影似暮色融入人群，行迹无碍，边缘最后一抹微明也渐渐淡去。|r</t>
  </si>
  <si>
    <t>赤霞鼎·丹曦</t>
  </si>
  <si>
    <t>|cff00FF00霞色铜壁受火而明，灵息沿鼎纹不断相接。祭炼中的器路在温亮光泽里渐趋安稳，如晨曦照上未完器形，细处皆有承应。|r</t>
  </si>
  <si>
    <t>烛微符笔·金章</t>
  </si>
  <si>
    <t>|cff00FF00细竹纹路将灵息妥帖送到毫端，金性随墨收成清锐笔势。极细转折仍能接续，纸上金章如冷光凝住，分毫各有归处。|r</t>
  </si>
  <si>
    <t>回春摄魄葫芦·魂栖</t>
  </si>
  <si>
    <t>|cff00FF00藤腔内木息温润，收来的妖物残留在其中渐得安放。将散的灵机受其温养，多留几分可存之质，葫中静影犹如有了短暂栖处。|r</t>
  </si>
  <si>
    <t>流云舟·凌虚</t>
  </si>
  <si>
    <t>|cff00FF00轻韧舟材纹理舒长，灵路向前延去，如云带接入远处雾隙。特殊津路显现之时，舟身的承渡之势也随之相应。|r</t>
  </si>
  <si>
    <t>缚岳索·锁岑</t>
  </si>
  <si>
    <t>|cff00FF00灵筋长韧，张弛之后仍能归位，索路紧而不断。金性附在坚韧索身，束紧时冷光向内凝合，如一道山隘横在行者身前。|r</t>
  </si>
  <si>
    <t>辟火玄鳞伞·霜鳞</t>
  </si>
  <si>
    <t>|cff00FF00玄鳞叠覆伞面，鳞下灵路相连，烈火不易直透。厚密护层间另有清锐细纹，将金行锋意分向两侧，冷光从鳞边逐片掠过。|r</t>
  </si>
  <si>
    <t>坤元甘霖瓶·膏泽</t>
  </si>
  <si>
    <t>|cff00FF00厚润玉理承住草木生机，瓶中灵露温和而有根基。不偏五行的浸养之意徐徐沉入根脉，如膏雨落土，深处的萌动也被稳稳托住。|r</t>
  </si>
  <si>
    <t>镇岳鼎·玄枢</t>
  </si>
  <si>
    <t>|cff00FF00鼎身厚沉，层叠灵纹将供能引向稳固枢处。祭炼时器纹的浮摇在其中渐被压住，火势起落虽急，内里仍有山基般的沉着。|r</t>
  </si>
  <si>
    <t>沉天印·天钧</t>
  </si>
  <si>
    <t>|cff00FF00金质厚沉，细密印纹能将沉坠之力稳稳传开。金气与重势一同归于印底，落下如天秤倾向一端，冷锐之中尤见压迫。|r</t>
  </si>
  <si>
    <t>地心丹炉·金髓</t>
  </si>
  <si>
    <t>|cff00FF00铜壁深蓄温息，寒来热往皆有缓承之处。金行药气在层层内纹间渐去沉浊，精粹亮色向心归拢，如暗岩深处露出细细金髓。|r</t>
  </si>
  <si>
    <t>九窍回灵瓶·吐纳</t>
  </si>
  <si>
    <t>|cff00FF00孔窍依次开合，起势灵息先向外舒出，后续来流便循次相接。瓶中吐纳有序，清息丰实，宛如静室里平稳而深长的呼吸。|r</t>
  </si>
  <si>
    <t>照微镜·洞玄</t>
  </si>
  <si>
    <t>|cff00FF00镜光清细，层层杂色到了镜中渐有区别。遗落之物里极浅的珍异灵光也能被分辨，如暗岩细缝中忽然露出温润玉色。|r</t>
  </si>
  <si>
    <t>五气甘霖瓶·春满</t>
  </si>
  <si>
    <t>|cff00FF00五色玉纹在瓶中交济，草木生机循清晰灵路相承。平和浸养不偏一行，诸般根脉各取所需，露光相续时，如满园春意同得照应。|r</t>
  </si>
  <si>
    <t>太和乾坤袋·须弥</t>
  </si>
  <si>
    <t>|cff00FF00太和丝路首尾相连，收拢处柔韧，展开处稳固。袋内容纳之势因细密织理而得以舒展，貌不惊人，却将行囊的分量藏得妥帖。|r</t>
  </si>
  <si>
    <t>通天舟·彼岸</t>
  </si>
  <si>
    <t>|cff00FF00木纹贯穿舟身，承受界隙之势时仍能彼此接续。秘境的去路遥隐在前，长纹却将舟首与彼处相连，仿佛雾后已有待渡之岸。|r</t>
  </si>
  <si>
    <t>万象隐息幡·忘形</t>
  </si>
  <si>
    <t>|cff00FF00层叠绢纹收拢诸般光影，原有轮廓在交错微光中渐被掩去。藏势绵长，群敌之间亦可循隙而行，宛如暮色一时忘了留下此人的形状。|r</t>
  </si>
  <si>
    <t>逐影剑·折柳</t>
  </si>
  <si>
    <t>|cff00FF00剑纹循灵息延展，来去之势始终相接。沉稳剑势中藏着木行长意，青光随锋折转，如柔枝忽然绷直。|r</t>
  </si>
  <si>
    <t>逐影剑·分潮</t>
  </si>
  <si>
    <t>|cff00FF00剑纹循灵息延展，来去之势始终相接。水意敛在刃上，直到剑势落定才分向两旁，仿佛静潮被清光划开。|r</t>
  </si>
  <si>
    <t>逐影剑·焚霄</t>
  </si>
  <si>
    <t>|cff00FF00剑纹循灵息延展，来去之势始终相接。火意收于剑心，沉势一出，赤光便沿锋向外舒展，如云隙忽现烈霞。|r</t>
  </si>
  <si>
    <t>逐影剑·裂岳</t>
  </si>
  <si>
    <t>|cff00FF00剑纹循灵息延展，来去之势始终相接。土性压住剑身浮动，锋落如重岩循隙而下，沉实之中仍见锐意。|r</t>
  </si>
  <si>
    <t>逐影剑·饮鸩</t>
  </si>
  <si>
    <t>|cff00FF00剑纹循灵息延展，来去之势始终相接。暗光紧贴锋缘，毒意随剑势入隙，初见不显，过后仍留幽深余痕。|r</t>
  </si>
  <si>
    <t>逐影剑·幽螫</t>
  </si>
  <si>
    <t>|cff00FF00剑纹循灵息延展，来去之势始终相接。剑色隐晦，沉着锋势将毒意送至细处，像寂静叶底忽然露出的螫针。|r</t>
  </si>
  <si>
    <t>逐影剑·残红</t>
  </si>
  <si>
    <t>|cff00FF00剑纹循灵息延展，来去之势始终相接。刃上微光如薄红将落，沉锋划过，伤处血意随之难平。|r</t>
  </si>
  <si>
    <t>逐影剑·惊鸿</t>
  </si>
  <si>
    <t>|cff00FF00剑纹循灵息延展，来去之势始终相接。金气收成轻锐一线，剑来去迅捷，留在眼底的只是一痕惊鸿之影。|r</t>
  </si>
  <si>
    <t>逐影剑·飞花</t>
  </si>
  <si>
    <t>|cff00FF00剑纹循灵息延展，来去之势始终相接。青光随剑轻转，木息沿去路相续，仿佛花影纷飞，却有清晰锋路贯穿。|r</t>
  </si>
  <si>
    <t>逐影剑·听雨</t>
  </si>
  <si>
    <t>|cff00FF00剑纹循灵息延展，来去之势始终相接。细密水意贴着迅疾剑势往来，锋声轻得像雨，落点却始终分明。|r</t>
  </si>
  <si>
    <t>逐影剑·流萤</t>
  </si>
  <si>
    <t>|cff00FF00剑纹循灵息延展，来去之势始终相接。赤意不结烈团，只附于轻快锋影之上，来回之间如流萤倏忽明灭。|r</t>
  </si>
  <si>
    <t>逐影剑·卷尘</t>
  </si>
  <si>
    <t>|cff00FF00剑纹循灵息延展，来去之势始终相接。迅捷剑势卷起沉细土息，轻处有快意，落处又藏一分砂石之重。|r</t>
  </si>
  <si>
    <t>逐影剑·碧痕</t>
  </si>
  <si>
    <t>|cff00FF00剑纹循灵息延展，来去之势始终相接。剑走轻灵，锋端毒意只留一道淡碧余痕，颜色尚浅，侵扰却未随影散去。|r</t>
  </si>
  <si>
    <t>逐影剑·暗香</t>
  </si>
  <si>
    <t>|cff00FF00剑纹循灵息延展，来去之势始终相接。锋影倏来倏去，毒意藏在不张扬的幽色里，犹如夜风带过难辨的暗香。|r</t>
  </si>
  <si>
    <t>逐影剑·落英</t>
  </si>
  <si>
    <t>|cff00FF00剑纹循灵息延展，来去之势始终相接。迅疾锋影细密回转，血色随伤痕零落，似花瓣被风接连卷下。|r</t>
  </si>
  <si>
    <t>覆岳印·苍梧</t>
  </si>
  <si>
    <t>|cff00FF00印纹层叠如山基，掌中灵势可向四周传开。青纹贯穿层层印身，木行长意与落印重势相接，如古树深根连住山岩。|r</t>
  </si>
  <si>
    <t>覆岳印·沧澜</t>
  </si>
  <si>
    <t>|cff00FF00印纹层叠如山基，掌中灵势可向四周传开。水光盘在厚重印底，震落时沿周围荡开，如高崖入海惊起暗澜。|r</t>
  </si>
  <si>
    <t>覆岳印·赤嶂</t>
  </si>
  <si>
    <t>|cff00FF00印纹层叠如山基，掌中灵势可向四周传开。赤纹藏在山叠般的印身之间，落势展开，火意也循震动铺向四周。|r</t>
  </si>
  <si>
    <t>覆岳印·昆冈</t>
  </si>
  <si>
    <t>|cff00FF00印纹层叠如山基，掌中灵势可向四周传开。土息与印体相合，厚重层层归向下方，仿佛一段山骨被收进方寸印面。|r</t>
  </si>
  <si>
    <t>覆岳印·瘴岭</t>
  </si>
  <si>
    <t>|cff00FF00印纹层叠如山基，掌中灵势可向四周传开。印底沉色如远岭，幽毒随下压之势散入震波，如山间雾瘴忽然压低。|r</t>
  </si>
  <si>
    <t>覆岳印·幽壑</t>
  </si>
  <si>
    <t>|cff00FF00印纹层叠如山基，掌中灵势可向四周传开。暗毒伏在深刻槽纹中，印势震开时才随之流出，仿佛幽谷中缓缓涌起的冷雾。|r</t>
  </si>
  <si>
    <t>覆岳印·沉渊</t>
  </si>
  <si>
    <t>|cff00FF00印纹层叠如山基，掌中灵势可向四周传开。沉重阵纹向下收紧，落势之后仍留牵滞之意，行步其间像涉入深水。|r</t>
  </si>
  <si>
    <t>覆岳印·回峦</t>
  </si>
  <si>
    <t>|cff00FF00印纹层叠如山基，掌中灵势可向四周传开。印中回路首尾相接，落势散后灵息循路归来，如峰峦相续，转过一岭又见一岭。|r</t>
  </si>
  <si>
    <t>定影索·缠枝</t>
  </si>
  <si>
    <t>|cff00FF00索中灵路随弯曲而转，收拢时节节相应。青纹沿索缠绕，木气在闭合处不断接续，如枝蔓相攀，越相交越难分开。|r</t>
  </si>
  <si>
    <t>定影索·回澜</t>
  </si>
  <si>
    <t>|cff00FF00索中灵路随弯曲而转，收拢时节节相应。水意在索节间往复，圈转的去势随即成为收势，恰如回澜裹住漂行之物。|r</t>
  </si>
  <si>
    <t>定影索·燃犀</t>
  </si>
  <si>
    <t>|cff00FF00索中灵路随弯曲而转，收拢时节节相应。赤光伏于内纹，缠定后才向束处透出热意，像弯弯绳影里燃着细长火线。|r</t>
  </si>
  <si>
    <t>定影索·伏岳</t>
  </si>
  <si>
    <t>|cff00FF00索中灵路随弯曲而转，收拢时节节相应。土息使收紧之处沉而有依，索身绕合，如一圈厚重山势压住轻动身影。|r</t>
  </si>
  <si>
    <t>定影索·青瘴</t>
  </si>
  <si>
    <t>|cff00FF00索中灵路随弯曲而转，收拢时节节相应。幽青毒意沿缠绕处慢慢渗行，束缚未解，侵扰也不轻易离开。|r</t>
  </si>
  <si>
    <t>定影索·幽藤</t>
  </si>
  <si>
    <t>|cff00FF00索中灵路随弯曲而转，收拢时节节相应。暗色灵路相缠如藤，毒意顺着闭合处深入，像枝叶阴影里盘着不散冷雾。|r</t>
  </si>
  <si>
    <t>定影索·无言</t>
  </si>
  <si>
    <t>|cff00FF00索中灵路随弯曲而转，收拢时节节相应。细纹在收拢时另结一道封束，灵息难以顺畅凝成术意，仿佛发声的弦被压住。|r</t>
  </si>
  <si>
    <t>定影索·返照</t>
  </si>
  <si>
    <t>|cff00FF00索中灵路随弯曲而转，收拢时节节相应。索势放开后，余息仍沿旧纹回流，淡光重新照上索身，为下一次收束留下余地。|r</t>
  </si>
  <si>
    <t>玄罗伞·翠盖</t>
  </si>
  <si>
    <t>|cff00FF00伞骨相承，张开时灵幕循纹闭合。厚密幕纹如叶盖交叠，木行来势到此各循支路分散，伞下自留一片稳妥荫色。|r</t>
  </si>
  <si>
    <t>玄罗伞·涵波</t>
  </si>
  <si>
    <t>|cff00FF00伞骨相承，张开时灵幕循纹闭合。护幕层层含着水意，外来水势被引向周边，像宽阔池岸托住涌来的浪。|r</t>
  </si>
  <si>
    <t>玄罗伞·流丹</t>
  </si>
  <si>
    <t>|cff00FF00伞骨相承，张开时灵幕循纹闭合。厚密伞纹将逼近火意导向外围，丹色流光沿边而走，中心仍留清静护持。|r</t>
  </si>
  <si>
    <t>玄罗伞·叠嶂</t>
  </si>
  <si>
    <t>|cff00FF00伞骨相承，张开时灵幕循纹闭合。土息与厚幕相互承托，冲来的土行重势沿叠纹缓下，仿佛群山之后另有群山。|r</t>
  </si>
  <si>
    <t>玄罗伞·巍然</t>
  </si>
  <si>
    <t>|cff00FF00伞骨相承，张开时灵幕循纹闭合。护光密密相合，刀兵锐势落在幕上渐被分承，如风雨拍山，山影依旧端正。|r</t>
  </si>
  <si>
    <t>玄罗伞·涤尘</t>
  </si>
  <si>
    <t>|cff00FF00伞骨相承，张开时灵幕循纹闭合。厚幕之外留有疏浊细路，附来的毒意随纹渐散，如深色尘痕被清流洗开。|r</t>
  </si>
  <si>
    <t>玄罗伞·回光</t>
  </si>
  <si>
    <t>|cff00FF00伞骨相承，张开时灵幕循纹闭合。厚实护幕收回之后，余光仍循伞骨重聚，散去的势在环路里找到了再起之处。|r</t>
  </si>
  <si>
    <t>玄罗伞·素秋</t>
  </si>
  <si>
    <t>|cff00FF00伞骨相承，张开时灵幕循纹闭合。绵长护光清淡如秋色，金行锐势经过时逐层消磨，细密来往不轻易断绝。|r</t>
  </si>
  <si>
    <t>玄罗伞·长春</t>
  </si>
  <si>
    <t>|cff00FF00伞骨相承，张开时灵幕循纹闭合。青润幕纹持续相接，木行侵扰沿支纹被缓缓分开，伞下荫意如春日长留。|r</t>
  </si>
  <si>
    <t>玄罗伞·烟岚</t>
  </si>
  <si>
    <t>|cff00FF00伞骨相承，张开时灵幕循纹闭合。水气在轻柔幕纹间回绕，来袭水势渐被导散，雾色护光因此久而不急。|r</t>
  </si>
  <si>
    <t>玄罗伞·暮霞</t>
  </si>
  <si>
    <t>|cff00FF00伞骨相承，张开时灵幕循纹闭合。赤色边纹缓缓回流，火意被引向外侧，绵长护持如晚霞未尽，留照仍在。|r</t>
  </si>
  <si>
    <t>玄罗伞·远岫</t>
  </si>
  <si>
    <t>|cff00FF00伞骨相承，张开时灵幕循纹闭合。土息沿相续伞纹分布，承下外来重势，护光看似淡远，却似山脉不断。|r</t>
  </si>
  <si>
    <t>玄罗伞·绵山</t>
  </si>
  <si>
    <t>|cff00FF00伞骨相承，张开时灵幕循纹闭合。护光重重相承而少断隙，兵刃所到之处皆有后续幕纹接上，如山影连绵。|r</t>
  </si>
  <si>
    <t>玄罗伞·清芬</t>
  </si>
  <si>
    <t>|cff00FF00伞骨相承，张开时灵幕循纹闭合。绵长幕纹间藏着疏导之路，毒浊渐得退处，留下的清意像雨后林间微风。|r</t>
  </si>
  <si>
    <t>玄罗伞·留晖</t>
  </si>
  <si>
    <t>|cff00FF00伞骨相承，张开时灵幕循纹闭合。护持将尽时仍有余息沿骨回转，灵幕散而光不尽，仿佛暮日为再次照起留下一线。|r</t>
  </si>
  <si>
    <t>青华珠·回春</t>
  </si>
  <si>
    <t>|cff00FF00珠中清光一圈圈回抱，温养之息既厚且绵。生机沿相连纹路渐次传出，像春水润入旧根，缓缓唤回舒展之意。|r</t>
  </si>
  <si>
    <t>青华珠·朝露</t>
  </si>
  <si>
    <t>|cff00FF00珠内细纹前后相接，初动时清润先至，继而露光般的生息紧密流转。如叶尖一滴露落，下一滴已在微光中凝起。|r</t>
  </si>
  <si>
    <t>青华珠·长生</t>
  </si>
  <si>
    <t>|cff00FF00青光沿珠中细路长久往复，生机温润，来势相续。其名寄托长养之意，所见却是细水般的周全照应，点滴不轻易虚落。|r</t>
  </si>
  <si>
    <t>承露瓶·金穗</t>
  </si>
  <si>
    <t>|cff00FF00瓶中灵露沿细纹周流，草木温养之意凝而不散。金行细纹在露光中收拢，浸养之息沿相契根脉深入，冷亮灵机也得一份滋润。|r</t>
  </si>
  <si>
    <t>承露瓶·芳华</t>
  </si>
  <si>
    <t>|cff00FF00瓶中灵露沿细纹周流，草木温养之意凝而不散。木行灵露绵密相接，浸养之意循草木生长纹理展开，如春雨浸透含苞枝头。|r</t>
  </si>
  <si>
    <t>承露瓶·流碧</t>
  </si>
  <si>
    <t>|cff00FF00瓶中灵露沿细纹周流，草木温养之意凝而不散。水行清露沿瓶心回流，润养深入细根，如碧水漫过浅滩，干涩处渐有清凉。|r</t>
  </si>
  <si>
    <t>承露瓶·照林</t>
  </si>
  <si>
    <t>|cff00FF00瓶中灵露沿细纹周流，草木温养之意凝而不散。火行灵露温润而有活意，浸养根脉时如暖光照入林底，潜伏生机渐被唤起。|r</t>
  </si>
  <si>
    <t>承露瓶·丰年</t>
  </si>
  <si>
    <t>|cff00FF00瓶中灵露沿细纹周流，草木温养之意凝而不散。土行润意随露沉下，浸入根脚而不浮散，仿佛丰厚田土接住了一场好雨。|r</t>
  </si>
  <si>
    <t>承露瓶·甘泉</t>
  </si>
  <si>
    <t>|cff00FF00瓶中灵露沿细纹周流，草木温养之意凝而不散。细露顺瓶纹均匀流转，润通之意平和相续，如甘泉沿圃渠分行，各处皆得来水。|r</t>
  </si>
  <si>
    <t>承露瓶·玉粟</t>
  </si>
  <si>
    <t>|cff00FF00瓶中灵露沿细纹周流，草木温养之意凝而不散。金行清光循润通细路逐次传开，像露水沿穗尖轻移，将相契灵机送到细处。|r</t>
  </si>
  <si>
    <t>承露瓶·新篁</t>
  </si>
  <si>
    <t>|cff00FF00瓶中灵露沿细纹周流，草木温养之意凝而不散。木行润意沿枝根舒展，相接之处细致绵长，仿佛新竹根下通来一道春水。|r</t>
  </si>
  <si>
    <t>承露瓶·烟雨</t>
  </si>
  <si>
    <t>|cff00FF00瓶中灵露沿细纹周流，草木温养之意凝而不散。水息在连贯瓶纹中轻柔往复，润通如细雨入土，不惊枝叶，却已深入根须。|r</t>
  </si>
  <si>
    <t>承露瓶·暖翠</t>
  </si>
  <si>
    <t>|cff00FF00瓶中灵露沿细纹周流，草木温养之意凝而不散。火行活意藏在温润灵露里，沿细小来路递向草木，如晨光慢慢走过翠叶背面。|r</t>
  </si>
  <si>
    <t>承露瓶·春壤</t>
  </si>
  <si>
    <t>|cff00FF00瓶中灵露沿细纹周流，草木温养之意凝而不散。土性托住绵长润意，细根周围的灵流渐有秩序，仿佛春土疏松之后，雨水各寻其路。|r</t>
  </si>
  <si>
    <t>坎离丹炉·养和</t>
  </si>
  <si>
    <t>|cff00FF00炉壁灵路分承寒热，药气在内缓缓回旋。木行药息沿壁舒展，浮浊被引向外层，清处仍存生发之意，如新枝洗过春雨。|r</t>
  </si>
  <si>
    <t>坎离丹炉·澄心</t>
  </si>
  <si>
    <t>|cff00FF00炉壁灵路分承寒热，药气在内缓缓回旋。水行药气在炉心徐徐澄定，杂色沿壁退开，回旋之间，清流渐显本来颜色。|r</t>
  </si>
  <si>
    <t>坎离丹炉·明离</t>
  </si>
  <si>
    <t>|cff00FF00炉壁灵路分承寒热，药气在内缓缓回旋。火行药息虽有炽意，清浊去路却各自分明，似焰光照见炉中细微层次。|r</t>
  </si>
  <si>
    <t>坎离丹炉·抱朴</t>
  </si>
  <si>
    <t>|cff00FF00炉壁灵路分承寒热，药气在内缓缓回旋。土行药气沉稳相承，粗滓与可用精粹渐次分离，朴实炉身内藏着细致的澄清之法。|r</t>
  </si>
  <si>
    <t>坎离丹炉·流金</t>
  </si>
  <si>
    <t>|cff00FF00炉壁灵路分承寒热，药气在内缓缓回旋。承热纹路在金色炉光中逐层亮起，金行药气循温热来路渐去浊滞，如金液缓缓澄净。|r</t>
  </si>
  <si>
    <t>坎离丹炉·阳和</t>
  </si>
  <si>
    <t>|cff00FF00炉壁灵路分承寒热，药气在内缓缓回旋。热意沿壁均匀舒展，木行药气在温势中清浊分途，仿佛暖阳照林而不扰其脉络。|r</t>
  </si>
  <si>
    <t>坎离丹炉·济川</t>
  </si>
  <si>
    <t>|cff00FF00炉壁灵路分承寒热，药气在内缓缓回旋。炉壁承住升腾热势，水行药息仍能循路流转，清浊渐分，如温泉穿过沉砂。|r</t>
  </si>
  <si>
    <t>坎离丹炉·丹霞</t>
  </si>
  <si>
    <t>|cff00FF00炉壁灵路分承寒热，药气在内缓缓回旋。火热沿炉纹铺开，火行药气不被乱流裹住，浊意退去后，炉心映出层次分明的霞光。|r</t>
  </si>
  <si>
    <t>坎离丹炉·温玉</t>
  </si>
  <si>
    <t>|cff00FF00炉壁灵路分承寒热，药气在内缓缓回旋。土行药气在承热纹中沉定，温势徐徐洗开浮浊，如暖手摩挲璞玉，素质渐明。|r</t>
  </si>
  <si>
    <t>坎离丹炉·藏锋</t>
  </si>
  <si>
    <t>|cff00FF00炉壁灵路分承寒热，药气在内缓缓回旋。寒意被炉壁稳稳接住，金行药气在清冷中分出浊滓，凝聚的精粹像一线藏锋。|r</t>
  </si>
  <si>
    <t>坎离丹炉·含章</t>
  </si>
  <si>
    <t>|cff00FF00炉壁灵路分承寒热，药气在内缓缓回旋。木行药息沿耐寒细纹保持相接，清浊在冷意中各归其路，内在生机仍含而不露。|r</t>
  </si>
  <si>
    <t>坎离丹炉·月魄</t>
  </si>
  <si>
    <t>|cff00FF00炉壁灵路分承寒热，药气在内缓缓回旋。寒势在炉壁层层分布，水行药气徐徐澄清，炉心浅光如水中月影，冷静而完整。|r</t>
  </si>
  <si>
    <t>坎离丹炉·余烬</t>
  </si>
  <si>
    <t>|cff00FF00炉壁灵路分承寒热，药气在内缓缓回旋。炉纹容住寒意，火行药气仍有明晰去路；浊滓退后，一线内光如冷灰下尚存的烬色。|r</t>
  </si>
  <si>
    <t>坎离丹炉·守中</t>
  </si>
  <si>
    <t>|cff00FF00炉壁灵路分承寒热，药气在内缓缓回旋。土行药息在承寒结构中沉稳分层，外有冷意，内守清浊之序，厚重炉心始终端正。|r</t>
  </si>
  <si>
    <t>灵枢符笔·沧浪</t>
  </si>
  <si>
    <t>|cff00FF00锋毫含墨匀净，水行灵机随落笔徐徐相接。墨线转折如浪纹前后相随，纸上看似静水，深处却留着可发的奔流。|r</t>
  </si>
  <si>
    <t>灵枢符笔·赤书</t>
  </si>
  <si>
    <t>|cff00FF00温赤光沿笔管入毫，火行灵机循墨成纹。每处转折皆为炽意留出通路，未起神通时，纸面已隐见红辉。|r</t>
  </si>
  <si>
    <t>灵枢符笔·岳篆</t>
  </si>
  <si>
    <t>|cff00FF00笔势沉稳，土行灵机在墨线交会处渐凝。篆纹相承如山岩叠起，薄纸因清晰笔路而能留住厚重之意。|r</t>
  </si>
  <si>
    <t>归元瓶·环碧</t>
  </si>
  <si>
    <t>|cff00FF00碧色环纹首尾相接，回流灵息量足而有序。每次流转都为后续留下去路，如深潭有活泉，水静而来流不迟。|r</t>
  </si>
  <si>
    <t>归元瓶·灵泉</t>
  </si>
  <si>
    <t>|cff00FF00瓶中细纹前后紧接，起势清流先涌，随后涓滴相继。灵息回返时仿佛新泉出石，第一声水响之后，便不断听见来水。|r</t>
  </si>
  <si>
    <t>归元瓶·涌月</t>
  </si>
  <si>
    <t>|cff00FF00浅光在瓶内循环相照，细密灵路将回流一段段接住。来势绵连，宛如月影在涌动泉面不断重圆，少有空落。|r</t>
  </si>
  <si>
    <t>乌星剑·摧枝</t>
  </si>
  <si>
    <t>|cff00FF00乌色剑体星纹细密，锋势沉凝而不散。青色灵纹贯进沉锋，木行之意随剑迫近，像枯枝在重压下发出清脆一声。|r</t>
  </si>
  <si>
    <t>乌星剑·截流</t>
  </si>
  <si>
    <t>|cff00FF00乌色剑体星纹细密，锋势沉凝而不散。水光伏在剑脊两侧，沉沉锋势断入来流，余波仍贴着冷刃分行。|r</t>
  </si>
  <si>
    <t>乌星剑·坠焰</t>
  </si>
  <si>
    <t>|cff00FF00乌色剑体星纹细密，锋势沉凝而不散。星纹间透出暗赤，火意裹住下沉的锋芒，如天际一团余焰正向近处坠来。|r</t>
  </si>
  <si>
    <t>乌星剑·崩山</t>
  </si>
  <si>
    <t>|cff00FF00乌色剑体星纹细密，锋势沉凝而不散。土息一层层压入剑势，去时不显轻佻，落处却如岩骨忽然开裂。|r</t>
  </si>
  <si>
    <t>乌星剑·饮恨</t>
  </si>
  <si>
    <t>|cff00FF00乌色剑体星纹细密，锋势沉凝而不散。幽暗毒息沿乌色锋缘下沉，随沉重剑意进入伤隙，余势久久难以散清。|r</t>
  </si>
  <si>
    <t>乌星剑·蚀心</t>
  </si>
  <si>
    <t>|cff00FF00乌色剑体星纹细密，锋势沉凝而不散。毒色被深黑剑身藏住，锋芒落处才显细微异光，像铁暗中缓缓生出的蚀痕。|r</t>
  </si>
  <si>
    <t>乌星剑·断魂</t>
  </si>
  <si>
    <t>|cff00FF00乌色剑体星纹细密，锋势沉凝而不散。冷锋沉下时，刃上残红骤然显露；血痕承住的只是肉身之伤，名字却因此格外凛冽。|r</t>
  </si>
  <si>
    <t>乌星剑·星驰</t>
  </si>
  <si>
    <t>|cff00FF00乌色剑体星纹细密，锋势沉凝而不散。细金灵路沿星纹轻快接续，沉实剑体亦能迅疾往返，如远星忽然划过眼前。|r</t>
  </si>
  <si>
    <t>乌星剑·掠林</t>
  </si>
  <si>
    <t>|cff00FF00乌色剑体星纹细密，锋势沉凝而不散。剑影迅捷，青意从一段锋路接向下一段，像长风从枝叶之间一掠而过。|r</t>
  </si>
  <si>
    <t>乌星剑·飞瀑</t>
  </si>
  <si>
    <t>|cff00FF00乌色剑体星纹细密，锋势沉凝而不散。水光随快剑拉成长线，沉实锋芒藏在奔流之后，似白瀑中忽露乌岩。|r</t>
  </si>
  <si>
    <t>乌星剑·流焰</t>
  </si>
  <si>
    <t>|cff00FF00乌色剑体星纹细密，锋势沉凝而不散。剑体虽黑，迅疾往来时却曳出细细赤光，如夜风牵着一线未熄流焰。|r</t>
  </si>
  <si>
    <t>乌星剑·惊沙</t>
  </si>
  <si>
    <t>|cff00FF00乌色剑体星纹细密，锋势沉凝而不散。土气伏于轻快剑路，去势掠地般紧凑，仿佛沙面忽然被锐风划出长痕。|r</t>
  </si>
  <si>
    <t>乌星剑·夜啼</t>
  </si>
  <si>
    <t>|cff00FF00乌色剑体星纹细密，锋势沉凝而不散。迅疾锋影几乎融入暗色，毒意却沿伤隙留下回应，如夜深时忽起的一声低啼。|r</t>
  </si>
  <si>
    <t>乌星剑·鸦羽</t>
  </si>
  <si>
    <t>|cff00FF00乌色剑体星纹细密，锋势沉凝而不散。黑刃来去轻捷，幽毒紧附锋缘，仿佛一片乌羽掠过，却将暗色留在原处。|r</t>
  </si>
  <si>
    <t>乌星剑·孤月</t>
  </si>
  <si>
    <t>|cff00FF00乌色剑体星纹细密，锋势沉凝而不散。剑光快转，细长血痕随锋相续，乌色剑身上的冷辉宛如薄薄孤月。|r</t>
  </si>
  <si>
    <t>抱元珠·绵息</t>
  </si>
  <si>
    <t>|cff00FF00珠光内敛，厚实生机沿回环细纹徐徐送出。温养在往复中层层相续，如平静呼吸，既不惊动伤处，也不轻弃微弱余息。|r</t>
  </si>
  <si>
    <t>抱元珠·露华</t>
  </si>
  <si>
    <t>|cff00FF00珠内生机先凝后舒，起势清润，续势细密。玉中温存沿连贯纹路传来，如露华随晨光渐亮，细枝之间处处有回应。|r</t>
  </si>
  <si>
    <t>抱元珠·松龄</t>
  </si>
  <si>
    <t>|cff00FF00温厚生机藏于玉理，流转时前后衔接，少有空落。养护之意沉静悠长，如老松根下泉水，长流之中自见坚韧。|r</t>
  </si>
  <si>
    <t>金灯丹炉·华滋</t>
  </si>
  <si>
    <t>|cff00FF00铜壁导热细密相连，火势明而有序，炉心不随之躁乱。木行药息在清浊分路之间保住舒展之意，浮色渐退，内里润泽如新叶含光。|r</t>
  </si>
  <si>
    <t>金灯丹炉·清和</t>
  </si>
  <si>
    <t>|cff00FF00铜壁导热细密相连，火势明而有序，炉心不随之躁乱。水行药气循炉壁静静回转，清浊各有归处，热光映在流面，也不掩细处澄明。|r</t>
  </si>
  <si>
    <t>金灯丹炉·烛明</t>
  </si>
  <si>
    <t>|cff00FF00铜壁导热细密相连，火势明而有序，炉心不随之躁乱。火行药息与炉中明焰相接，沉浊逐层离开，中心清亮如灯芯安定燃起。|r</t>
  </si>
  <si>
    <t>金灯丹炉·黄庭</t>
  </si>
  <si>
    <t>|cff00FF00铜壁导热细密相连，火势明而有序，炉心不随之躁乱。土行药气向炉心沉聚，粗滓却循旁路落定，朴厚与精纯在暖色里渐有分别。|r</t>
  </si>
  <si>
    <t>金灯丹炉·熔霞</t>
  </si>
  <si>
    <t>|cff00FF00铜壁导热细密相连，火势明而有序，炉心不随之躁乱。承热纹层层相继，金行药息在高张温势中仍能清浊分行，宛如霞色缓缓融进金液。|r</t>
  </si>
  <si>
    <t>金灯丹炉·扶桑</t>
  </si>
  <si>
    <t>|cff00FF00铜壁导热细密相连，火势明而有序，炉心不随之躁乱。暖热沿炉壁不断向上递去，木行药气随之疏通浊滞，像日光透过繁枝，照见内里清润。|r</t>
  </si>
  <si>
    <t>金灯丹炉·煎雪</t>
  </si>
  <si>
    <t>|cff00FF00铜壁导热细密相连，火势明而有序，炉心不随之躁乱。承热铜纹托住水行药息的转化，浮浊渐散，清亮灵机如雪融之后留下的泉声。|r</t>
  </si>
  <si>
    <t>金灯丹炉·九曜</t>
  </si>
  <si>
    <t>|cff00FF00铜壁导热细密相连，火势明而有序，炉心不随之躁乱。火行药息与耐热炉纹互相承接，明焰虽盛，去浊的细路仍清楚，如重重灯火各守其位。|r</t>
  </si>
  <si>
    <t>金灯丹炉·熙和</t>
  </si>
  <si>
    <t>|cff00FF00铜壁导热细密相连，火势明而有序，炉心不随之躁乱。土行药气在绵密热势里沉稳分清，温意有容，既不急迫，也不让浊滞长留中央。|r</t>
  </si>
  <si>
    <t>金灯丹炉·含光</t>
  </si>
  <si>
    <t>|cff00FF00铜壁导热细密相连，火势明而有序，炉心不随之躁乱。承寒内纹与温热铜壁各有层次，金行精粹在清冷处凝亮，浮浊渐去，锋光含而未吐。|r</t>
  </si>
  <si>
    <t>金灯丹炉·春熙</t>
  </si>
  <si>
    <t>|cff00FF00铜壁导热细密相连，火势明而有序，炉心不随之躁乱。寒意循内路得到安放，木行药气仍能分清留润，像早春枝根外有薄霜，内里已起生息。|r</t>
  </si>
  <si>
    <t>金灯丹炉·浣月</t>
  </si>
  <si>
    <t>|cff00FF00铜壁导热细密相连，火势明而有序，炉心不随之躁乱。炉壁分开寒热来路，水行药气在冷静中洗去混浊，清光如月影重新浮上水面。|r</t>
  </si>
  <si>
    <t>金灯丹炉·宿火</t>
  </si>
  <si>
    <t>|cff00FF00铜壁导热细密相连，火势明而有序，炉心不随之躁乱。寒势被内纹接住，火行药气循序分离浊滓，明处渐收，恰似一炉安然留宿的火种。|r</t>
  </si>
  <si>
    <t>金灯丹炉·藏元</t>
  </si>
  <si>
    <t>|cff00FF00铜壁导热细密相连，火势明而有序，炉心不随之躁乱。承寒纹路护住土行药息的沉稳，清浊渐分之后，精粹回归炉心，如厚地深藏温润。|r</t>
  </si>
  <si>
    <t>裂金剑·摧枯</t>
  </si>
  <si>
    <t>|cff00FF00剑脊幽沉，锋意专向护持交接的罅隙收拢。青色灵路贯穿剑身，木行长意随沉锋探入缝隙，仿佛老木纹理逐渐张开。|r</t>
  </si>
  <si>
    <t>裂金剑·劈浪</t>
  </si>
  <si>
    <t>|cff00FF00剑脊幽沉，锋意专向护持交接的罅隙收拢。水意贴住刃缘，沉锋却直切护层，似浪头分开之后露出无法回避的礁石。|r</t>
  </si>
  <si>
    <t>裂金剑·燎原</t>
  </si>
  <si>
    <t>|cff00FF00剑脊幽沉，锋意专向护持交接的罅隙收拢。火光压在锋心，击入间才沿裂处展开，犹如一点红从枯野深处亮起。|r</t>
  </si>
  <si>
    <t>裂金剑·撼岳</t>
  </si>
  <si>
    <t>|cff00FF00剑脊幽沉，锋意专向护持交接的罅隙收拢。土息托住下压的剑势，护持在沉重落点处松动，如山壁受力后显出的细缝。|r</t>
  </si>
  <si>
    <t>裂金剑·碧蚀</t>
  </si>
  <si>
    <t>|cff00FF00剑脊幽沉，锋意专向护持交接的罅隙收拢。幽碧毒光循刃深入，沉锋先留裂处，后续侵扰便沿细隙悄然蔓开。|r</t>
  </si>
  <si>
    <t>裂金剑·噬魂</t>
  </si>
  <si>
    <t>|cff00FF00剑脊幽沉，锋意专向护持交接的罅隙收拢。暗毒依附剑锋，落处所见是甲隙与伤痕；骇人之名下，藏的是冷锐而绵延的侵扰。|r</t>
  </si>
  <si>
    <t>裂金剑·泣血</t>
  </si>
  <si>
    <t>|cff00FF00剑脊幽沉，锋意专向护持交接的罅隙收拢。沉刃划开护层，血意在细长伤处未能即刻平息，锋影离去后红痕仍在。|r</t>
  </si>
  <si>
    <t>裂金剑·鸣镝</t>
  </si>
  <si>
    <t>|cff00FF00剑脊幽沉，锋意专向护持交接的罅隙收拢。金性收成清锐细线，快剑循隙往返，声音如鸣镝掠空，寒光已先落到近处。|r</t>
  </si>
  <si>
    <t>裂金剑·穿叶</t>
  </si>
  <si>
    <t>|cff00FF00剑脊幽沉，锋意专向护持交接的罅隙收拢。青光轻转，迅疾锋势从护层间探过，如叶影交错处穿来一线清风。|r</t>
  </si>
  <si>
    <t>裂金剑·叠浪</t>
  </si>
  <si>
    <t>|cff00FF00剑脊幽沉，锋意专向护持交接的罅隙收拢。水息贴着快剑接连回转，前一层锋势未尽，后一道清光已沿旧隙赶来。|r</t>
  </si>
  <si>
    <t>裂金剑·流火</t>
  </si>
  <si>
    <t>|cff00FF00剑脊幽沉，锋意专向护持交接的罅隙收拢。赤光随快剑不断换位，护层薄处被锋意寻中，像流火沿夜色留下狭长亮痕。|r</t>
  </si>
  <si>
    <t>裂金剑·飞砾</t>
  </si>
  <si>
    <t>|cff00FF00剑脊幽沉，锋意专向护持交接的罅隙收拢。轻快剑影带起细密土息，落点紧而实，似飞砾接连撞在同一处缝隙。|r</t>
  </si>
  <si>
    <t>裂金剑·惊蛇</t>
  </si>
  <si>
    <t>|cff00FF00剑脊幽沉，锋意专向护持交接的罅隙收拢。毒光一闪即隐，快剑循隙游走，余下幽色仿佛草丛中尚未散尽的蛇影。|r</t>
  </si>
  <si>
    <t>裂金剑·幽芒</t>
  </si>
  <si>
    <t>|cff00FF00剑脊幽沉，锋意专向护持交接的罅隙收拢。毒意凝在极细锋端，往来倏忽，护层间每一道薄隙都映过一瞬暗芒。|r</t>
  </si>
  <si>
    <t>裂金剑·碎红</t>
  </si>
  <si>
    <t>|cff00FF00剑脊幽沉，锋意专向护持交接的罅隙收拢。快剑在冷光中反复折转，护持松处血痕相续，点点残红随锋路零落。|r</t>
  </si>
  <si>
    <t>沉星印·寒槎</t>
  </si>
  <si>
    <t>|cff00FF00铜印沉匀，内纹将落势连向周围，震意厚重。青纹如老木深脉嵌入铜身，木息连着沉势向外推去，仿佛巨槎压过岸石。|r</t>
  </si>
  <si>
    <t>沉星印·落河</t>
  </si>
  <si>
    <t>|cff00FF00铜印沉匀，内纹将落势连向周围，震意厚重。水光托着深沉印影，震势铺开如星落长河，涟漪之下另藏撞击之重。|r</t>
  </si>
  <si>
    <t>沉星印·烬海</t>
  </si>
  <si>
    <t>|cff00FF00铜印沉匀，内纹将落势连向周围，震意厚重。暗赤火意沿铜纹汇集，沉重落势将余焰带向四周，如冷海忽有烬光翻起。|r</t>
  </si>
  <si>
    <t>沉星印·坠峰</t>
  </si>
  <si>
    <t>|cff00FF00铜印沉匀，内纹将落势连向周围，震意厚重。土息层层压住印底，沉势到处皆有承接，如高峰倒映忽然变作近身实影。|r</t>
  </si>
  <si>
    <t>沉星印·瘴月</t>
  </si>
  <si>
    <t>|cff00FF00铜印沉匀，内纹将落势连向周围，震意厚重。毒色在印面结作暗环，重震展开时幽雾随行，像低垂瘴月笼住一片山地。|r</t>
  </si>
  <si>
    <t>沉星印·沉碧</t>
  </si>
  <si>
    <t>|cff00FF00铜印沉匀，内纹将落势连向周围，震意厚重。沉碧光藏于厚铜深纹，毒意随着落势铺开，艳色之下自有不可久近的侵扰。|r</t>
  </si>
  <si>
    <t>沉星印·缚辰</t>
  </si>
  <si>
    <t>|cff00FF00铜印沉匀，内纹将落势连向周围，震意厚重。落印过后仍有沉沉余势牵住步履，如星力坠在足下，轻身亦觉去路迟重。|r</t>
  </si>
  <si>
    <t>沉星印·斗转</t>
  </si>
  <si>
    <t>|cff00FF00铜印沉匀，内纹将落势连向周围，震意厚重。重势已落，印内灵流便沿环路回归，宛如斗柄转向，下一次凝势已有归途。|r</t>
  </si>
  <si>
    <t>玉泉回灵瓶·沁碧</t>
  </si>
  <si>
    <t>|cff00FF00玉中碧纹蓄放有序，回流灵息充实而连贯。清润从窄路中徐徐沁出，如泉水穿过玉隙，量虽丰沛，来势仍清楚。|r</t>
  </si>
  <si>
    <t>玉泉回灵瓶·鸣泉</t>
  </si>
  <si>
    <t>|cff00FF00瓶内玉纹紧密接合，起势灵流先行，后续清息随即相应。厚润回流如泉声渐密，从远处细响汇成近耳清鸣。|r</t>
  </si>
  <si>
    <t>玉泉回灵瓶·漱石</t>
  </si>
  <si>
    <t>|cff00FF00玉理容住积蓄灵息，再沿连贯细路反复送回。清流厚而不断，如泉水长久漱过岸石，前波方去，后波已至。|r</t>
  </si>
  <si>
    <t>烛微符笔·寒江</t>
  </si>
  <si>
    <t>|cff00FF00竹理细路与锋毫相应，水行灵机循墨流转。曲折处不断、收尾处不滥，仿佛寒江被缩入纸面，静中自有前后来流。|r</t>
  </si>
  <si>
    <t>烛微符笔·焚篆</t>
  </si>
  <si>
    <t>|cff00FF00微光照住毫端细路，火行灵机在墨线间有序接合。赤篆曲折而不紊乱，如火种沿预留小径伏行，待起势时方见明焰。|r</t>
  </si>
  <si>
    <t>烛微符笔·镇川</t>
  </si>
  <si>
    <t>|cff00FF00笔身细密竹理导住土行灵机，落墨的轻重皆有承接。篆脚沉稳如岸堤，既能聚住厚势，也让整幅符路相安相连。|r</t>
  </si>
  <si>
    <t>缚岳索·蟠木</t>
  </si>
  <si>
    <t>|cff00FF00灵筋长韧，张弛之后仍能归位，索路紧而不断。木气沿长筋交缠，闭合后仍有相接之势，如深根蟠结，难寻松开的起处。|r</t>
  </si>
  <si>
    <t>缚岳索·横江</t>
  </si>
  <si>
    <t>|cff00FF00灵筋长韧，张弛之后仍能归位，索路紧而不断。水意在拉紧的索路间来回传递，如江流被长索横断，奔势反成缠系之力。|r</t>
  </si>
  <si>
    <t>缚岳索·灼霞</t>
  </si>
  <si>
    <t>|cff00FF00灵筋长韧，张弛之后仍能归位，索路紧而不断。赤纹顺灵筋透亮，坚韧缠势中又含灼热，似晚霞被拧成一段不肯散开的绳。|r</t>
  </si>
  <si>
    <t>缚岳索·镇壑</t>
  </si>
  <si>
    <t>|cff00FF00灵筋长韧，张弛之后仍能归位，索路紧而不断。土息沉向索结，韧而不移的收势渐显厚重，仿佛谷壑深处也被牵在一线之上。|r</t>
  </si>
  <si>
    <t>缚岳索·牵萝</t>
  </si>
  <si>
    <t>|cff00FF00灵筋长韧，张弛之后仍能归位，索路紧而不断。细密毒纹沿缠绕之处伸展，如萝蔓不声不响地攀住行迹，收紧后幽色愈深。|r</t>
  </si>
  <si>
    <t>缚岳索·蚀骨</t>
  </si>
  <si>
    <t>|cff00FF00灵筋长韧，张弛之后仍能归位，索路紧而不断。幽毒随着韧索深入束缚处，缠系与侵扰一同延续，冷静外形之下藏着峻意。|r</t>
  </si>
  <si>
    <t>缚岳索·绝音</t>
  </si>
  <si>
    <t>|cff00FF00灵筋长韧，张弛之后仍能归位，索路紧而不断。索身结紧时，封束亦落在灵机往来的关节，术意难以成形，如紧弦忽然失声。|r</t>
  </si>
  <si>
    <t>缚岳索·环星</t>
  </si>
  <si>
    <t>|cff00FF00灵筋长韧，张弛之后仍能归位，索路紧而不断。收放间灵息沿环路自相接续，韧索既能紧束，也留再次凝势的来路，暗光循之如星移。|r</t>
  </si>
  <si>
    <t>辟火玄鳞伞·森罗</t>
  </si>
  <si>
    <t>|cff00FF00玄鳞叠覆伞面，鳞下灵路相连，烈火不易直透。青色灵纹在厚鳞下分支交会，木行来势循层缓开，如密林层叶各有承接。|r</t>
  </si>
  <si>
    <t>辟火玄鳞伞·沧溟</t>
  </si>
  <si>
    <t>|cff00FF00玄鳞叠覆伞面，鳞下灵路相连，烈火不易直透。鳞间含水光，厚幕将外来水势徐徐导开，深碧之中自有宽阔承容之意。|r</t>
  </si>
  <si>
    <t>辟火玄鳞伞·却炎</t>
  </si>
  <si>
    <t>|cff00FF00玄鳞叠覆伞面，鳞下灵路相连，烈火不易直透。厚重鳞层与辟火灵路相互呼应，热意绕向外缘，伞心仍守住不随焰动的暗色。|r</t>
  </si>
  <si>
    <t>辟火玄鳞伞·磐岳</t>
  </si>
  <si>
    <t>|cff00FF00玄鳞叠覆伞面，鳞下灵路相连，烈火不易直透。土性托住厚鳞骨架，土行重势到来仍能层层分承，仿佛山石外又覆坚甲。|r</t>
  </si>
  <si>
    <t>辟火玄鳞伞·玄壁</t>
  </si>
  <si>
    <t>|cff00FF00玄鳞叠覆伞面，鳞下灵路相连，烈火不易直透。厚幕沿玄鳞合成壁障，兵刃锋芒在叠覆处受阻，沉黑伞面只留下流动冷光。|r</t>
  </si>
  <si>
    <t>辟火玄鳞伞·清瘴</t>
  </si>
  <si>
    <t>|cff00FF00玄鳞叠覆伞面，鳞下灵路相连，烈火不易直透。玄鳞之下有细密疏浊纹，毒意被厚幕接住后渐得分散，如暗雾退过坚实城檐。|r</t>
  </si>
  <si>
    <t>辟火玄鳞伞·重明</t>
  </si>
  <si>
    <t>|cff00FF00玄鳞叠覆伞面，鳞下灵路相连，烈火不易直透。厚重护光消散后，余息沿伞骨再度汇集，鳞缝微明，显出重新承护的来势。|r</t>
  </si>
  <si>
    <t>辟火玄鳞伞·秋屏</t>
  </si>
  <si>
    <t>|cff00FF00玄鳞叠覆伞面，鳞下灵路相连，烈火不易直透。绵长幕光沿鳞片递次流动，金行锋势被清冷细纹缓开，似秋光覆上一层静屏。|r</t>
  </si>
  <si>
    <t>辟火玄鳞伞·荫翠</t>
  </si>
  <si>
    <t>|cff00FF00玄鳞叠覆伞面，鳞下灵路相连，烈火不易直透。青纹在鳞下长久相接，木行侵扰沿层疏散，伞荫如翠色不歇，稳稳护在近处。|r</t>
  </si>
  <si>
    <t>辟火玄鳞伞·水云</t>
  </si>
  <si>
    <t>|cff00FF00玄鳞叠覆伞面，鳞下灵路相连，烈火不易直透。轻柔水纹与玄鳞交织，外来水势被绵绵导开，护幕既有云意，也有鳞甲实质。|r</t>
  </si>
  <si>
    <t>辟火玄鳞伞·绛雪</t>
  </si>
  <si>
    <t>|cff00FF00玄鳞叠覆伞面，鳞下灵路相连，烈火不易直透。暗鳞间火光向外流去，内层绵长护持守住清静，红辉纷落，中心却不随之躁动。|r</t>
  </si>
  <si>
    <t>辟火玄鳞伞·重峦</t>
  </si>
  <si>
    <t>|cff00FF00玄鳞叠覆伞面，鳞下灵路相连，烈火不易直透。土息在连续幕纹中层叠，来势重处自有后层相承，如近山之外，远山仍连。|r</t>
  </si>
  <si>
    <t>辟火玄鳞伞·千叠</t>
  </si>
  <si>
    <t>|cff00FF00玄鳞叠覆伞面，鳞下灵路相连，烈火不易直透。护幕随鳞层前后接续，刀兵到处皆有坚韧回应，仿佛翻过一重甲片，仍见下一重。|r</t>
  </si>
  <si>
    <t>辟火玄鳞伞·空明</t>
  </si>
  <si>
    <t>|cff00FF00玄鳞叠覆伞面，鳞下灵路相连，烈火不易直透。绵长护纹将毒浊缓缓疏开，玄色鳞面映出清淡余光，内外之间渐有空明之意。|r</t>
  </si>
  <si>
    <t>辟火玄鳞伞·续照</t>
  </si>
  <si>
    <t>|cff00FF00玄鳞叠覆伞面，鳞下灵路相连，烈火不易直透。绵绵护光将歇未歇，回流灵息已沿骨架接起，鳞间点点余明，正是下一次撑开的来路。|r</t>
  </si>
  <si>
    <t>坤元甘霖瓶·垂颖</t>
  </si>
  <si>
    <t>|cff00FF00厚润玉理承住草木生机，瓶中灵露温和而有根基。金行灵露向相契根须凝聚，浸润沉而细致，似穗颖低垂，尖端仍存温润露光。|r</t>
  </si>
  <si>
    <t>坤元甘霖瓶·茂林</t>
  </si>
  <si>
    <t>|cff00FF00厚润玉理承住草木生机，瓶中灵露温和而有根基。木行生意随灵露深深浸养，瓶中厚土般的温存托住根基，如密林自有安稳土层。|r</t>
  </si>
  <si>
    <t>坤元甘霖瓶·泽畔</t>
  </si>
  <si>
    <t>|cff00FF00厚润玉理承住草木生机，瓶中灵露温和而有根基。水行灵露在根脉间缓缓停驻，浸养既深又有承托，恰似水边沃土长久含润。|r</t>
  </si>
  <si>
    <t>坤元甘霖瓶·熙光</t>
  </si>
  <si>
    <t>|cff00FF00厚润玉理承住草木生机，瓶中灵露温和而有根基。火行活意融在温润露色里，浸养之势由根向上舒展，像暖阳照进潮润泥土。|r</t>
  </si>
  <si>
    <t>坤元甘霖瓶·厚生</t>
  </si>
  <si>
    <t>|cff00FF00厚润玉理承住草木生机，瓶中灵露温和而有根基。土行灵露深沉贴合根基，浸养之意层层托住生机，安静之中见厚地载物。|r</t>
  </si>
  <si>
    <t>坤元甘霖瓶·雨膏</t>
  </si>
  <si>
    <t>|cff00FF00厚润玉理承住草木生机，瓶中灵露温和而有根基。平和灵露沿细路持续润通，厚实生机在瓶中相承，如连绵好雨，落处皆有妥帖归宿。|r</t>
  </si>
  <si>
    <t>坤元甘霖瓶·秋实</t>
  </si>
  <si>
    <t>|cff00FF00厚润玉理承住草木生机，瓶中灵露温和而有根基。金行润路收放有序，露意抵达细处仍不失温存，仿佛成熟穗间也能留住一份清润。|r</t>
  </si>
  <si>
    <t>坤元甘霖瓶·碧畦</t>
  </si>
  <si>
    <t>|cff00FF00厚润玉理承住草木生机，瓶中灵露温和而有根基。木行润意沿细根一处处连通，玉中生机从旁温养，如碧畦水路整齐，各行皆有来流。|r</t>
  </si>
  <si>
    <t>坤元甘霖瓶·清渠</t>
  </si>
  <si>
    <t>|cff00FF00厚润玉理承住草木生机，瓶中灵露温和而有根基。水息在瓶内外的细路间相续，润通清楚而悠缓，好似厚土之间开成一条静静流淌的渠。|r</t>
  </si>
  <si>
    <t>坤元甘霖瓶·晴岚</t>
  </si>
  <si>
    <t>|cff00FF00厚润玉理承住草木生机，瓶中灵露温和而有根基。火行灵机借润通之势徐徐传开，温亮不躁，如雨后晴光穿过薄岚，照向草木深处。|r</t>
  </si>
  <si>
    <t>坤元甘霖瓶·稼穑</t>
  </si>
  <si>
    <t>|cff00FF00厚润玉理承住草木生机，瓶中灵露温和而有根基。土性在润养之路上沉稳相接，细流归根，生机有依，仿佛一畦作物终于等来合时的雨。|r</t>
  </si>
  <si>
    <t>沉天印·扶木</t>
  </si>
  <si>
    <t>|cff00FF00金质厚沉，细密印纹能将沉坠之力稳稳传开。青纹在厚金中连成支脉，木行之意托住沉势，仿佛古木根系将整片土层牵动。|r</t>
  </si>
  <si>
    <t>沉天印·海倾</t>
  </si>
  <si>
    <t>|cff00FF00金质厚沉，细密印纹能将沉坠之力稳稳传开。水息绕着印底回抱，深沉落势展开时，如远海倾下，流动与重压相随。|r</t>
  </si>
  <si>
    <t>沉天印·天烬</t>
  </si>
  <si>
    <t>|cff00FF00金质厚沉，细密印纹能将沉坠之力稳稳传开。火意藏于沉金深处，印影压下，暗赤辉光才循震势铺散，恰似云底余烬低垂。|r</t>
  </si>
  <si>
    <t>沉天印·九垓</t>
  </si>
  <si>
    <t>|cff00FF00金质厚沉，细密印纹能将沉坠之力稳稳传开。土性向下层层相承，重压凝在端正印形之内，方寸落处也显广地沉厚。|r</t>
  </si>
  <si>
    <t>沉天印·晦冥</t>
  </si>
  <si>
    <t>|cff00FF00金质厚沉，细密印纹能将沉坠之力稳稳传开。暗毒随厚重印影一起沉下，明处骤暗，余势中仍留难散的侵扰。|r</t>
  </si>
  <si>
    <t>沉天印·幽陵</t>
  </si>
  <si>
    <t>|cff00FF00金质厚沉，细密印纹能将沉坠之力稳稳传开。幽色埋在深槽里，重震将毒意带向周围，如寂静丘陵忽然漫出沉雾。|r</t>
  </si>
  <si>
    <t>沉天印·定澜</t>
  </si>
  <si>
    <t>|cff00FF00金质厚沉，细密印纹能将沉坠之力稳稳传开。沉重落势过去，滞步之意仍压住近处气流，仿佛奔动水澜被暂时定在原地。|r</t>
  </si>
  <si>
    <t>沉天印·回天</t>
  </si>
  <si>
    <t>|cff00FF00金质厚沉，细密印纹能将沉坠之力稳稳传开。厚重印体之内另有清晰归路，散出的灵息回转凝聚，使沉坠之后仍能续起新势。|r</t>
  </si>
  <si>
    <t>地心丹炉·青阳</t>
  </si>
  <si>
    <t>|cff00FF00铜壁深蓄温息，寒来热往皆有缓承之处。木行药息循清浊分路舒展，浮滓随回旋渐落，清润生意如从幽深地层迎来晨光。|r</t>
  </si>
  <si>
    <t>地心丹炉·玄津</t>
  </si>
  <si>
    <t>|cff00FF00铜壁深蓄温息，寒来热往皆有缓承之处。水行药气被梳成连贯细流，浊意旁沉，清处向内回转，仿佛地底泉津自有去路。|r</t>
  </si>
  <si>
    <t>地心丹炉·抱一</t>
  </si>
  <si>
    <t>|cff00FF00铜壁深蓄温息，寒来热往皆有缓承之处。火行药息在炉内聚而不乱，清浊依序分开，余下精粹归向中央，明焰也有沉静之心。|r</t>
  </si>
  <si>
    <t>地心丹炉·太和</t>
  </si>
  <si>
    <t>|cff00FF00铜壁深蓄温息，寒来热往皆有缓承之处。土行药气缓缓沉聚，浊滓与清粹各得其所，厚重炉身里自见一种不相争的和缓。|r</t>
  </si>
  <si>
    <t>地心丹炉·铄石</t>
  </si>
  <si>
    <t>|cff00FF00铜壁深蓄温息，寒来热往皆有缓承之处。炉壁将热势深深承住，金行药气沿温路去浊，炽处有序，仿佛顽石中正析出清亮金纹。|r</t>
  </si>
  <si>
    <t>地心丹炉·返真</t>
  </si>
  <si>
    <t>|cff00FF00铜壁深蓄温息，寒来热往皆有缓承之处。木行药气在承热纹路中不断疏清，积滞渐去，留下的生意又见原本温润质地。|r</t>
  </si>
  <si>
    <t>地心丹炉·温澜</t>
  </si>
  <si>
    <t>|cff00FF00铜壁深蓄温息，寒来热往皆有缓承之处。水行药息借温势回旋，清浊在细纹间分开，余热层层相承，如暖流藏在平静波澜之下。|r</t>
  </si>
  <si>
    <t>地心丹炉·潜阳</t>
  </si>
  <si>
    <t>|cff00FF00铜壁深蓄温息，寒来热往皆有缓承之处。热意隐于铜壁，火行药气渐去混杂，炉心不见躁烈，却能察觉持续向内的温亮。|r</t>
  </si>
  <si>
    <t>地心丹炉·赤垣</t>
  </si>
  <si>
    <t>|cff00FF00铜壁深蓄温息，寒来热往皆有缓承之处。承热内纹如层层垣壁，土行药息循之沉定，浊滞在外围缓落，中央留住沉厚清气。|r</t>
  </si>
  <si>
    <t>地心丹炉·敛芒</t>
  </si>
  <si>
    <t>|cff00FF00铜壁深蓄温息，寒来热往皆有缓承之处。寒势在炉中得到缓承，金行药气清浊分明，锋光收回精粹之内，不随冷意四散。|r</t>
  </si>
  <si>
    <t>地心丹炉·归藏</t>
  </si>
  <si>
    <t>|cff00FF00铜壁深蓄温息，寒来热往皆有缓承之处。木行药息沿承寒细路保持相续，浮浊渐退后，生机如冬根归藏，静而不绝。|r</t>
  </si>
  <si>
    <t>地心丹炉·涵渊</t>
  </si>
  <si>
    <t>|cff00FF00铜壁深蓄温息，寒来热往皆有缓承之处。水行药气在冷静炉心缓缓澄清，内外寒热各有分界，如深渊含水，面静而底有温流。|r</t>
  </si>
  <si>
    <t>地心丹炉·照雪</t>
  </si>
  <si>
    <t>|cff00FF00铜壁深蓄温息，寒来热往皆有缓承之处。承寒纹接住冷势，火行药气仍可清浊分路，炉内微明不熄，似雪色旁留着一点灯光。|r</t>
  </si>
  <si>
    <t>地心丹炉·玄黄</t>
  </si>
  <si>
    <t>|cff00FF00铜壁深蓄温息，寒来热往皆有缓承之处。土行药息在寒意与余温之间沉稳分层，去浊留清，如深地玄黄相抱，各守其性。|r</t>
  </si>
  <si>
    <t>九窍回灵瓶·回环</t>
  </si>
  <si>
    <t>|cff00FF00瓶中诸窍前后照应，蓄起的灵息沿环路陆续回返。厚实清流不争同一出口，来往因而紧凑有序，如相衔水轮不断转动。|r</t>
  </si>
  <si>
    <t>九窍回灵瓶·听潮</t>
  </si>
  <si>
    <t>|cff00FF00瓶内首道灵流涌起后，后续孔窍便逐一回应。细密来息互相衔接，闭目静听般，仿佛前潮未尽，下一阵潮声已近。|r</t>
  </si>
  <si>
    <t>九窍回灵瓶·海息</t>
  </si>
  <si>
    <t>|cff00FF00诸窍各有开合次序，细密灵路将间隙层层接住。回流轻重有节，绵连不断，恰似远海呼吸，浪声中总有下一重来势。|r</t>
  </si>
  <si>
    <t>五气甘霖瓶·金粟</t>
  </si>
  <si>
    <t>|cff00FF00五色玉纹在瓶中交济，草木生机循清晰灵路相承。金行灵露沿相契纹理凝聚，浸养细密而有度，像粒粒金粟间藏着清润光泽。|r</t>
  </si>
  <si>
    <t>五气甘霖瓶·木秀</t>
  </si>
  <si>
    <t>|cff00FF00五色玉纹在瓶中交济，草木生机循清晰灵路相承。木行生意随灵露浸入深根，五气交会处有序相承，外见秀色，内有来流。|r</t>
  </si>
  <si>
    <t>五气甘霖瓶·涵泽</t>
  </si>
  <si>
    <t>|cff00FF00五色玉纹在瓶中交济，草木生机循清晰灵路相承。水行清露缓缓涵入根脉，浸养所至皆留润意，如泽水映天，深处仍有活泉。|r</t>
  </si>
  <si>
    <t>五气甘霖瓶·映华</t>
  </si>
  <si>
    <t>|cff00FF00五色玉纹在瓶中交济，草木生机循清晰灵路相承。火行活意映在温润露色中，浸养从根本舒展，仿佛花影下亦藏着一缕暖光。|r</t>
  </si>
  <si>
    <t>五气甘霖瓶·丰畴</t>
  </si>
  <si>
    <t>|cff00FF00五色玉纹在瓶中交济，草木生机循清晰灵路相承。土行露气沉入根脚，浸养厚而不滞，如丰畴饱含雨水，静候枝叶舒张。|r</t>
  </si>
  <si>
    <t>五气甘霖瓶·春霖</t>
  </si>
  <si>
    <t>|cff00FF00五色玉纹在瓶中交济，草木生机循清晰灵路相承。润通灵路照应诸般草木，细露相续而不争流，如春霖长落，满圃各见新润。|r</t>
  </si>
  <si>
    <t>五气甘霖瓶·瑞穗</t>
  </si>
  <si>
    <t>|cff00FF00五色玉纹在瓶中交济，草木生机循清晰灵路相承。金行清光随露沿细路递去，根梢之间渐有呼应，如穗芒相接，处处凝着明亮露珠。|r</t>
  </si>
  <si>
    <t>五气甘霖瓶·繁荫</t>
  </si>
  <si>
    <t>|cff00FF00五色玉纹在瓶中交济，草木生机循清晰灵路相承。木行润意沿生长纹理连贯流转，生机由细根接向枝叶，仿佛繁荫之下仍听得见水声。|r</t>
  </si>
  <si>
    <t>五气甘霖瓶·润川</t>
  </si>
  <si>
    <t>|cff00FF00五色玉纹在瓶中交济，草木生机循清晰灵路相承。水行灵露循通路绵延，窄处亦能缓缓抵达，如细川穿土，终将润意送入深根。|r</t>
  </si>
  <si>
    <t>五气甘霖瓶·晴和</t>
  </si>
  <si>
    <t>|cff00FF00五色玉纹在瓶中交济，草木生机循清晰灵路相承。火行活意在润通细流中柔和展开，暖而有序，宛如晴日与清露一同照顾新芽。|r</t>
  </si>
  <si>
    <t>五气甘霖瓶·息壤</t>
  </si>
  <si>
    <t>|cff00FF00五色玉纹在瓶中交济，草木生机循清晰灵路相承。土性与细润之流彼此相承，根基安稳，来去通畅，像松软灵壤深处仍在缓慢呼吸。|r</t>
  </si>
  <si>
    <t>icon_id</t>
  </si>
  <si>
    <t>type</t>
  </si>
  <si>
    <t>codex_quality</t>
  </si>
  <si>
    <t>member_count</t>
  </si>
  <si>
    <t>members</t>
  </si>
  <si>
    <t>tiers</t>
  </si>
  <si>
    <t>flavor_desc</t>
  </si>
  <si>
    <t>array,QizhenTier</t>
  </si>
  <si>
    <t>图谱ID</t>
  </si>
  <si>
    <t>0图谱名</t>
  </si>
  <si>
    <t>0图谱徽记</t>
  </si>
  <si>
    <t>图谱分类</t>
  </si>
  <si>
    <t>0图谱品质</t>
  </si>
  <si>
    <t>0件数</t>
  </si>
  <si>
    <t>成员1(qz_id)</t>
  </si>
  <si>
    <t>成员2</t>
  </si>
  <si>
    <t>成员3</t>
  </si>
  <si>
    <t>成员4</t>
  </si>
  <si>
    <t>成员5</t>
  </si>
  <si>
    <t>成员6</t>
  </si>
  <si>
    <t>成员7</t>
  </si>
  <si>
    <t>奖励1·需求件数</t>
  </si>
  <si>
    <t>奖励1·属性名</t>
  </si>
  <si>
    <t>奖励1·引用ID</t>
  </si>
  <si>
    <t>奖励1·整数/万分比</t>
  </si>
  <si>
    <t>奖励1·属性值</t>
  </si>
  <si>
    <t>奖励1·展示文字</t>
  </si>
  <si>
    <r>
      <rPr>
        <b/>
        <sz val="10"/>
        <color rgb="FF000000"/>
        <rFont val="宋体"/>
        <charset val="134"/>
      </rPr>
      <t>奖励</t>
    </r>
    <r>
      <rPr>
        <b/>
        <sz val="10"/>
        <color rgb="FF000000"/>
        <rFont val="Calibri"/>
        <charset val="134"/>
      </rPr>
      <t>2·</t>
    </r>
    <r>
      <rPr>
        <b/>
        <sz val="10"/>
        <color rgb="FF000000"/>
        <rFont val="宋体"/>
        <charset val="134"/>
      </rPr>
      <t>需求件数</t>
    </r>
  </si>
  <si>
    <t>奖励2·属性名</t>
  </si>
  <si>
    <t>奖励2·引用ID</t>
  </si>
  <si>
    <t>奖励2·整数/万分比</t>
  </si>
  <si>
    <t>奖励2·属性值</t>
  </si>
  <si>
    <t>奖励2·展示文字</t>
  </si>
  <si>
    <t>奖励3·需求件数</t>
  </si>
  <si>
    <t>奖励3·属性名</t>
  </si>
  <si>
    <t>奖励3·引用ID</t>
  </si>
  <si>
    <t>奖励3·整数/万分比</t>
  </si>
  <si>
    <t>奖励3·属性值</t>
  </si>
  <si>
    <t>奖励3·展示文字</t>
  </si>
  <si>
    <t>奖励4·需求件数</t>
  </si>
  <si>
    <t>奖励4·属性名</t>
  </si>
  <si>
    <t>奖励4·引用ID</t>
  </si>
  <si>
    <t>奖励4·整数/万分比</t>
  </si>
  <si>
    <t>奖励4·属性值</t>
  </si>
  <si>
    <t>奖励4·展示文字</t>
  </si>
  <si>
    <t>0风味文案</t>
  </si>
  <si>
    <t>列表排序</t>
  </si>
  <si>
    <t>金枝异候</t>
  </si>
  <si>
    <t>攻击下限</t>
  </si>
  <si>
    <t>null</t>
  </si>
  <si>
    <t>整数</t>
  </si>
  <si>
    <t>攻击下限+3</t>
  </si>
  <si>
    <t>|cff00FF00同为金行臣材，一寒一大热。收束之理相同，药性方向相反，炼药时需分别识候。</t>
  </si>
  <si>
    <t>寒潭流根</t>
  </si>
  <si>
    <t>万分比</t>
  </si>
  <si>
    <t>攻击下限+5%</t>
  </si>
  <si>
    <t>|cff00FF00藻与苔同属水行而寒热不同，酸味使材又有收摄之用，合观灵流的散与收。</t>
  </si>
  <si>
    <t>温凉同炉</t>
  </si>
  <si>
    <t>|cff00FF00火行灵植也分凉热。能推动药液活化，并不表示都把整炉药性推向炎热。</t>
  </si>
  <si>
    <t>甘苦归潮</t>
  </si>
  <si>
    <t>|cff00FF00甘、苦、咸是不同导引方向，同为使材却各有所长，取其调和与导引之意。</t>
  </si>
  <si>
    <t>草木有序</t>
  </si>
  <si>
    <t>|cff00FF00佐材分别帮助澄清、调和与温养，将主药之性导向稳定，草木各尽其职。</t>
  </si>
  <si>
    <t>莲藤芝藏</t>
  </si>
  <si>
    <t>|cff00FF00莲、藤、芝皆以完整结构承药，容量递进体现承载之别，完整比一味堆药更重要。</t>
  </si>
  <si>
    <t>旧坊余纹</t>
  </si>
  <si>
    <t>|cff00FF00古炉、旧阵与旗面都可留下重复导灵形成的稳定纹路，前人技艺仍存于材料结构。</t>
  </si>
  <si>
    <t>柔丝成络</t>
  </si>
  <si>
    <t>|cff00FF00丝连为面，竹通为脉，树脂封接边界，器物灵路靠连续结构维持。</t>
  </si>
  <si>
    <t>血玉同生</t>
  </si>
  <si>
    <t>|cff00FF00灵血浸润、灵液传导、温玉承载生机，三种材性都能服务持续温养。</t>
  </si>
  <si>
    <t>窍识相参</t>
  </si>
  <si>
    <t>|cff00FF00丹核凝聚灵力，灵目分辨细微变化，残识保存感知旧迹；三者分别提供力量、感官与经验痕迹。</t>
  </si>
  <si>
    <t>炉山同质</t>
  </si>
  <si>
    <t>|cff00FF00耐热、承压、缓冲寒热各自维持器身完整，炉火能变材，也需坚实材料承受。</t>
  </si>
  <si>
    <t>无相成器</t>
  </si>
  <si>
    <t>|cff00FF00玄铁承力成骨，灵玉容纳细密纹路，宝种贯通诸脉，使不同材性连成自持的器身。</t>
  </si>
  <si>
    <t>引气化元</t>
  </si>
  <si>
    <t>|cff00FF00先纳天地之气，再炼为自身修为，引与化相接才有稳定修炼。</t>
  </si>
  <si>
    <t>修炼三候</t>
  </si>
  <si>
    <t>|cff00FF00缓引、平化、温养积元，以不同药候呈现修炼的连续过程，不要求同时服下。</t>
  </si>
  <si>
    <t>清浊两途</t>
  </si>
  <si>
    <t>|cff00FF00丹田积毒与骨底积毒各有归处，清理不同承载之所，方可减少后续积弊。</t>
  </si>
  <si>
    <t>回春续脉</t>
  </si>
  <si>
    <t>|cff00FF00肉身得生机、气脉得灵力，通脉令施法再行，恢复各有对象。</t>
  </si>
  <si>
    <t>固本养神</t>
  </si>
  <si>
    <t>|cff00FF00护住形体、滋养神识、稳住心神，身与神各有承载，互为修行根基。</t>
  </si>
  <si>
    <t>强骨活血</t>
  </si>
  <si>
    <t>|cff00FF00骨承力、肉身容生机、血气周转，炼体重在结构与恢复兼备。</t>
  </si>
  <si>
    <t>战法相济</t>
  </si>
  <si>
    <t>|cff00FF00攻击与术法各取其势，照神使出手更专注，攻伐之力需配以准确判断。</t>
  </si>
  <si>
    <t>临关守一</t>
  </si>
  <si>
    <t>|cff00FF00玄阴与烈阳分别以寒热药候备大关，清和平稳助小关。所涉关窍不同，皆为临关蓄势之药。</t>
  </si>
  <si>
    <t>攻守相济</t>
  </si>
  <si>
    <t>|cff00FF00剑逐敌气，伞合灵幕；出手与护身各有所托。</t>
  </si>
  <si>
    <t>破坚镇敌</t>
  </si>
  <si>
    <t>|cff00FF00剑先裂甲，印继重击；锋锐与厚重各展其长。</t>
  </si>
  <si>
    <t>烛微定纹</t>
  </si>
  <si>
    <t>|cff00FF00毫端定符纹，鼎中稳器路；制符与祭炼皆贵灵序有守。</t>
  </si>
  <si>
    <t>器火相承</t>
  </si>
  <si>
    <t>|cff00FF00丹炉澄清药液，铸鼎稳住器纹，二者皆须以完整器身约束火候，使转化发生而结构不散。</t>
  </si>
  <si>
    <t>缚岳辟火</t>
  </si>
  <si>
    <t>|cff00FF00索留敌步，伞护己身；缚与守相济，火中亦留回转之地。</t>
  </si>
  <si>
    <t>五气归炉</t>
  </si>
  <si>
    <t>|cff00FF00瓶养草木，炉分清浊；从药圃到丹室，皆须让灵性各循其路。</t>
  </si>
  <si>
    <t>镇势养元</t>
  </si>
  <si>
    <t>|cff00FF00重印震敌，长索留步，灵珠续养；争斗之中也须给生机留一线余地。</t>
  </si>
  <si>
    <t>百艺随身</t>
  </si>
  <si>
    <t>|cff00FF00瓶养灵植，笔引符纹，葫芦收魄；行囊中的三般手艺，各有取用之时。</t>
  </si>
  <si>
    <t>潜踪摄魄</t>
  </si>
  <si>
    <t>|cff00FF00镜察遗物，幡敛行迹，葫芦收摄残留；入林有所察，归时有所存。</t>
  </si>
  <si>
    <t>轻身疾行</t>
  </si>
  <si>
    <t>|cff00FF00神行重在赶路，轻身重在转圜，都是以短暂符纹调整身周灵流。</t>
  </si>
  <si>
    <t>攻守有章</t>
  </si>
  <si>
    <t>|cff00FF00锋刃需落在破绽处，裂甲打开防护缺口，凝神使落点更准确。</t>
  </si>
  <si>
    <t>三势交锋</t>
  </si>
  <si>
    <t>|cff00FF00火能活化，水能凝流，土能承载重压，三种结构将灵气化作不同攻势。</t>
  </si>
  <si>
    <t>护身三策</t>
  </si>
  <si>
    <t>|cff00FF00护盾承受、甲纹稳固、水幕偏转，护身可以分别从吸收、结构与外力方向着手。</t>
  </si>
  <si>
    <t>缚足封窍</t>
  </si>
  <si>
    <t>|cff00FF00束足限制位置，封窍截住施法通路，控制的边界来自不同符纹结构。</t>
  </si>
  <si>
    <t>清心辟瘴</t>
  </si>
  <si>
    <t>|cff00FF00心神迷乱与肉身毒瘴各有所侵，清与辟分别守住不同边界。</t>
  </si>
  <si>
    <t>行路相知</t>
  </si>
  <si>
    <t>|cff00FF00认得同伴所向，记住已知路径，沿路传达消息，行旅中的知与应相互接续。</t>
  </si>
  <si>
    <t>月下归流</t>
  </si>
  <si>
    <t>|cff00FF00阵盘收拢来气，阵图顺应夜间内敛流态，聚灵结构由引流而至归流，同在一个聚灵主题之内。</t>
  </si>
  <si>
    <t>春脉相续</t>
  </si>
  <si>
    <t>|cff00FF00阵旗将生机接向周围，裂开的阵心维系内部联系，一者向外生养，一者危时接续，皆取木行复苏之意。</t>
  </si>
  <si>
    <t>山屏隔焰</t>
  </si>
  <si>
    <t>|cff00FF00厚重阵印稳固承力，隔焰阵盘分开内外火流，一者抵御冲击，一者隔离灼蚀，皆凭稳定边界护身。</t>
  </si>
  <si>
    <t>锋烬回环</t>
  </si>
  <si>
    <t>|cff00FF00回锋盘中金纹闭合，余烬心中火气循环，收束成锋与持续灼蚀都是局部阵势保存的杀伐方式。</t>
  </si>
  <si>
    <t>寸地千缚</t>
  </si>
  <si>
    <t>|cff00FF00镇步阵线向心收紧，缠枝阵线交错成结，前者迟滞脚步，后者短时锁住行动，皆通过阵势限制位置。</t>
  </si>
  <si>
    <t>乱向藏息</t>
  </si>
  <si>
    <t>|cff00FF00错位旗纹干扰辨向，内收印纹敛藏气息，一扰一藏，借不同灵流结构帮助避开敌人。</t>
  </si>
  <si>
    <t>纳藏周天</t>
  </si>
  <si>
    <t>|cff00FF00既引气入身，也为未化之气留出容纳之处，纳与藏使周转得以持续。</t>
  </si>
  <si>
    <t>守真归元</t>
  </si>
  <si>
    <t>|cff00FF00抱一稳住修行，归元回收散逸，天序讲明转化，每一点来气皆有所归。</t>
  </si>
  <si>
    <t>日月周流</t>
  </si>
  <si>
    <t>|cff00FF00白昼舒展、夜间内敛、清晨新交，顺应节律使周天流转更有次序。</t>
  </si>
  <si>
    <t>剑体双修</t>
  </si>
  <si>
    <t>|cff00FF00剑锋取收束，炼体重承受，锋刃由身驱使，攻与承载必须相称。</t>
  </si>
  <si>
    <t>观微御法</t>
  </si>
  <si>
    <t>|cff00FF00先察细微变化，再理顺术法灵流，反复运用方能使威力稳定呈现。</t>
  </si>
  <si>
    <t>水木相滋</t>
  </si>
  <si>
    <t>|cff00FF00水行传导流转，木行接续生机，生克之理说明二者相济所需的方向和边界。</t>
  </si>
  <si>
    <t>春露同枝</t>
  </si>
  <si>
    <t>|cff00FF00留春保全采收药力，分露记下灵植分生之机，守住已成之性，也把握额外采获的时机。</t>
  </si>
  <si>
    <t>听脉见微</t>
  </si>
  <si>
    <t>|cff00FF00听脉指向灵材延展的脉络，见微照见内部细纹，先顺纹开采，再辨察材性，两道痕相互补足。</t>
  </si>
  <si>
    <t>澄液归丹</t>
  </si>
  <si>
    <t>|cff00FF00澄液令杂质与药液分开，归丹使澄清药液收束成形，先清后合，记录炼丹中的两段结构变化。</t>
  </si>
  <si>
    <t>合质惜形</t>
  </si>
  <si>
    <t>|cff00FF00合质使异材交界衔接，惜形顺纹取料减少损伤，一重连成，一重保全，皆以完整结构成器。</t>
  </si>
  <si>
    <t>贯锋留效</t>
  </si>
  <si>
    <t>|cff00FF00贯锋令符中锋势完整释放，留效令有限灵效持续，两道痕分别记录符纹的释放与维持。</t>
  </si>
  <si>
    <t>远应承泽</t>
  </si>
  <si>
    <t>|cff00FF00远应记录阵势由近及远的呼应，承泽保存生养护御节点的承接之理，距离与增益各有所依。</t>
  </si>
  <si>
    <t>并息同行</t>
  </si>
  <si>
    <t>|cff00FF00并息保存两道气息同步的痕迹，应锋记录攻势与意念相应的结构，皆是与活体灵兽建立联系的局部道理。</t>
  </si>
  <si>
    <t>木土相承</t>
  </si>
  <si>
    <t>|cff00FF00定元立纲，木藤两性、土材两候各有所长；先明君臣之位，再辨药性寒热。</t>
  </si>
  <si>
    <t>五味异候</t>
  </si>
  <si>
    <t>|cff00FF00辛甘酸苦咸，五味各有药性；识得一味，不等于已经识得它的寒热。</t>
  </si>
  <si>
    <t>五气凝华</t>
  </si>
  <si>
    <t>|cff00FF00金收、木生、火化、水流、土承；五气凝而有形，各循其性。</t>
  </si>
  <si>
    <t>柔坚护身</t>
  </si>
  <si>
    <t>|cff00FF00骨承、皮覆、壳分力、鳞引偏，石乳缓冲温养；护身之材，有坚也有柔。</t>
  </si>
  <si>
    <t>草木留灵</t>
  </si>
  <si>
    <t>|cff00FF00木心留路，灵核藏生，残识记其感应；藤与云木各存一段生长留下的纹理。</t>
  </si>
  <si>
    <t>五金成器</t>
  </si>
  <si>
    <t>|cff00FF00星铁承锋，玄铁裂坚，沉铜载重，霞铜导火，沉金定形；同入炉中，所成各异。</t>
  </si>
  <si>
    <t>玉脉诸相</t>
  </si>
  <si>
    <t>|cff00FF00有玉留光，有晶散明，有玉传细响，有玉导灵流，有璧辨微纹；珍玉之用不止一途。</t>
  </si>
  <si>
    <t>丝竹载灵</t>
  </si>
  <si>
    <t>|cff00FF00绢敛灵光，丝承器纹，竹导笔意，木载通路；纤细之纹也可承托不凡之用。</t>
  </si>
  <si>
    <t>脉海初开</t>
  </si>
  <si>
    <t>|cff00FF00拓脉五候，各有承灵、回补与行法之用；求得一时迅捷，也须看见药后疲敝。</t>
  </si>
  <si>
    <t>灵流有节</t>
  </si>
  <si>
    <t>|cff00FF00镇脉五候，从容灵、节耗到护身，皆为使灵流有所依归。</t>
  </si>
  <si>
    <t>明心五候</t>
  </si>
  <si>
    <t>|cff00FF00察四方、辨来势、明虚隐；同为明心，寒热不同，所长亦异。</t>
  </si>
  <si>
    <t>问寿五途</t>
  </si>
  <si>
    <t>|cff00FF00缓养寿元与危时续命，各有其候；增寿有度，强护生机亦须承其代价。</t>
  </si>
  <si>
    <t>灵根五变</t>
  </si>
  <si>
    <t>|cff00FF00共鸣、安定、亲和、激发、重塑，皆牵灵根；变其根本，须知所取与所舍。</t>
  </si>
  <si>
    <t>解厄五方</t>
  </si>
  <si>
    <t>|cff00FF00毒伤同须解，缓化与强排却非一路；祛去旧患，不可不察新损。</t>
  </si>
  <si>
    <t>远游五备</t>
  </si>
  <si>
    <t>|cff00FF00袋收行装，瓶续法力，镜察遗物，舟渡殊途，幡敛踪迹；远行所需，各备一用。</t>
  </si>
  <si>
    <t>行修五宝</t>
  </si>
  <si>
    <t>|cff00FF00一剑应敌，一珠养生，一炉成丹，一镜拾遗，一瓶续灵；行路与修持皆有所依。</t>
  </si>
  <si>
    <t>云游百工</t>
  </si>
  <si>
    <t>|cff00FF00舟载远行，瓶养药圃，鼎稳器纹；修士游历四方，养植与炼器之艺仍可相随。</t>
  </si>
  <si>
    <t>玄照镇元</t>
  </si>
  <si>
    <t>|cff00FF00重印应敌，灵瓶接续法力，宝镜察遗；探寻深处，需有克敌与续行之资。</t>
  </si>
  <si>
    <t>须弥远渡</t>
  </si>
  <si>
    <t>|cff00FF00方寸收行装，灵舟渡殊途，万象藏身迹；远游之志，贵在有去也有归。</t>
  </si>
  <si>
    <t>匿影无声</t>
  </si>
  <si>
    <t>|cff00FF00身影、气息、声响与敌人视线，各有遮掩之法；藏行之术，须顾四处。</t>
  </si>
  <si>
    <t>御厄续生</t>
  </si>
  <si>
    <t>|cff00FF00抗火御寒，护住神思，再续血气与灵力；身与神皆有所守，方能走完险路。</t>
  </si>
  <si>
    <t>锋起雷惊</t>
  </si>
  <si>
    <t>|cff00FF00力壮筋骨，锋聚出手，元催术法，雷震敌形，符惊神识；临敌之用各有侧重。</t>
  </si>
  <si>
    <t>夜行归途</t>
  </si>
  <si>
    <t>|cff00FF00先照夜路，再辨隐敌；近处移步，远处择归，危时留一线转圜。</t>
  </si>
  <si>
    <t>草木成丹</t>
  </si>
  <si>
    <t>|cff00FF00识草木之序，明丹火之候；养植与炼丹，两门手艺各有功诀相承。</t>
  </si>
  <si>
    <t>识材铸器</t>
  </si>
  <si>
    <t>|cff00FF00先识材性，再通器路；辨材与铸器皆须技与理相参。</t>
  </si>
  <si>
    <t>carry_part</t>
  </si>
  <si>
    <t>required_realm</t>
  </si>
  <si>
    <t>effects</t>
  </si>
  <si>
    <t>array,QizhenEffect</t>
  </si>
  <si>
    <t>0携带位</t>
  </si>
  <si>
    <t>携带境界门槛</t>
  </si>
  <si>
    <t>【辅助·回显】名称</t>
  </si>
  <si>
    <t>【辅助·回显】钥匙ID</t>
  </si>
  <si>
    <t>奇效1·属性名</t>
  </si>
  <si>
    <t>奇效1·引用ID</t>
  </si>
  <si>
    <t>奇效1·整数/万分比</t>
  </si>
  <si>
    <t>奇效1·属性值</t>
  </si>
  <si>
    <t>奇效1·展示文字</t>
  </si>
  <si>
    <t>奇效2·属性名</t>
  </si>
  <si>
    <t>奇效2·引用ID</t>
  </si>
  <si>
    <t>奇效2·整数/万分比</t>
  </si>
  <si>
    <t>奇效2·属性值</t>
  </si>
  <si>
    <t>奇效2·展示文字</t>
  </si>
  <si>
    <t>奇效3·属性名</t>
  </si>
  <si>
    <t>奇效3·引用ID</t>
  </si>
  <si>
    <t>奇效3·整数/万分比</t>
  </si>
  <si>
    <t>奇效3·属性值</t>
  </si>
  <si>
    <t>奇效3·展示文字</t>
  </si>
  <si>
    <t>奇效4·属性名</t>
  </si>
  <si>
    <t>奇效4·引用ID</t>
  </si>
  <si>
    <t>奇效4·整数/万分比</t>
  </si>
  <si>
    <t>奇效4·属性值</t>
  </si>
  <si>
    <t>奇效4·展示文字</t>
  </si>
  <si>
    <t>攻击上限</t>
  </si>
  <si>
    <t>unlock_realm</t>
  </si>
  <si>
    <t>0解锁境界</t>
  </si>
  <si>
    <t>展示顺序</t>
  </si>
  <si>
    <t>解锁境界取 realm_id 0—8；为 0 时该位开局可用。</t>
  </si>
  <si>
    <t>奇珍ID 编号规则</t>
  </si>
  <si>
    <t>qz_id = 70000000 + 类编号 × 1000000 + 本类序号</t>
  </si>
  <si>
    <t>第1位</t>
  </si>
  <si>
    <t>固定为 7</t>
  </si>
  <si>
    <t>表示奇珍条目</t>
  </si>
  <si>
    <t>与物品 3 段、装备 5 段错开</t>
  </si>
  <si>
    <t>第2位</t>
  </si>
  <si>
    <t>类编号 1—8</t>
  </si>
  <si>
    <t>见下表</t>
  </si>
  <si>
    <t>望文生义：71xxxxxx＝灵植，72xxxxxx＝灵材……</t>
  </si>
  <si>
    <t>第3—8位</t>
  </si>
  <si>
    <t>本类序号</t>
  </si>
  <si>
    <t>000001 起</t>
  </si>
  <si>
    <t>单类最多 999999 条</t>
  </si>
  <si>
    <t>示例</t>
  </si>
  <si>
    <t>71000001</t>
  </si>
  <si>
    <t>灵植类第 1 条</t>
  </si>
  <si>
    <t>72000001 ＝ 灵材类第 1 条</t>
  </si>
  <si>
    <t>收录钥匙（unlock_id）</t>
  </si>
  <si>
    <t>首位</t>
  </si>
  <si>
    <t>指向</t>
  </si>
  <si>
    <t>表</t>
  </si>
  <si>
    <t>说明</t>
  </si>
  <si>
    <t>3</t>
  </si>
  <si>
    <t>物品</t>
  </si>
  <si>
    <t>W物品表 / item_config</t>
  </si>
  <si>
    <t>实例进入所有权时用其配置 ID 查 unlock_id 索引，命中则点亮对应 qz_id</t>
  </si>
  <si>
    <t>5</t>
  </si>
  <si>
    <t>装备</t>
  </si>
  <si>
    <t>Z装备 / equip_config</t>
  </si>
  <si>
    <t>同上</t>
  </si>
  <si>
    <t>unlock_id 只服务于收录判定；携带不再检查背包实体，但仍须满足 can_carry、enable、required_realm 与携带位 unlock_realm。</t>
  </si>
  <si>
    <t>类编号（QizhenCategory，顺序固定）</t>
  </si>
  <si>
    <t>内部名</t>
  </si>
  <si>
    <t>编号</t>
  </si>
  <si>
    <t>英文键</t>
  </si>
  <si>
    <t>所属学问</t>
  </si>
  <si>
    <t>收录范围</t>
  </si>
  <si>
    <t>SpiritPlant</t>
  </si>
  <si>
    <t>地道·灵植</t>
  </si>
  <si>
    <t>奇花异草与特殊灵植</t>
  </si>
  <si>
    <t>SpiritMaterial</t>
  </si>
  <si>
    <t>地道·灵材</t>
  </si>
  <si>
    <t>灵矿、灵木、妖丹、精血、兽骨、鳞甲等</t>
  </si>
  <si>
    <t>Alchemy</t>
  </si>
  <si>
    <t>地道·炼丹</t>
  </si>
  <si>
    <t>奇丹、古丹及承载特殊丹方的古物</t>
  </si>
  <si>
    <t>Artifice</t>
  </si>
  <si>
    <t>地道·炼器</t>
  </si>
  <si>
    <t>特殊装备、器具、法宝、古修器物与有灵法宝</t>
  </si>
  <si>
    <t>Talisman</t>
  </si>
  <si>
    <t>地道·符箓</t>
  </si>
  <si>
    <t>特殊灵符及其载体</t>
  </si>
  <si>
    <t>Array</t>
  </si>
  <si>
    <t>地道·阵法</t>
  </si>
  <si>
    <t>阵图、阵心、阵印与特殊阵势拓印</t>
  </si>
  <si>
    <t>Cultivation</t>
  </si>
  <si>
    <t>天道</t>
  </si>
  <si>
    <t>功法玉简、古碑、残页及其他功法载体</t>
  </si>
  <si>
    <t>DaoTrace</t>
  </si>
  <si>
    <t>天道为主</t>
  </si>
  <si>
    <t>被收取、封存或拓印到载体上的特殊规则痕迹</t>
  </si>
  <si>
    <t>御兽域对应独立灵兽体系。</t>
  </si>
  <si>
    <t>品质（ItemQuality，六档）</t>
  </si>
  <si>
    <t>现行成员别名</t>
  </si>
  <si>
    <t>处理</t>
  </si>
  <si>
    <t>白色</t>
  </si>
  <si>
    <t>按策划案 §十一-2 把成员别名改为凡品/灵品/玄品/仙品/神品/道品，值 1—6 不变</t>
  </si>
  <si>
    <t>绿色</t>
  </si>
  <si>
    <t>玄品</t>
  </si>
  <si>
    <t>蓝色</t>
  </si>
  <si>
    <t>紫色</t>
  </si>
  <si>
    <t>橙色</t>
  </si>
  <si>
    <t>道品</t>
  </si>
  <si>
    <t>红色</t>
  </si>
  <si>
    <t>境界阶（realm_id，沿用 P17 §三）</t>
  </si>
  <si>
    <t>0 凡人 / 1 炼气 / 2 筑基 / 3 金丹 / 4 元婴 / 5 化神 / 6 炼虚 / 7 合体 / 8 大乘</t>
  </si>
  <si>
    <t>整数/万分比（InfluenceOp）</t>
  </si>
  <si>
    <t>整数 ＝ 固定值加成；万分比 ＝ 万分比加成。</t>
  </si>
  <si>
    <t>结算：最终值 =（基础值 ＋ Σ固定值加成）×（1 ＋ Σ万分比加成）。全部万分比加算聚合后整体作用一次。</t>
  </si>
  <si>
    <t>引用ID（技能 / BUFF / 词条）</t>
  </si>
  <si>
    <t>8 位 ID。第 1 位 ＝ 指向哪张表；第 2—6 位 ＝ 条目编号；第 7—8 位 ＝ 等级。</t>
  </si>
  <si>
    <t>前 6 位相同即为同一条目的不同等级，结算时只取末 2 位最大的那条，低等级被覆盖不叠加。跨来源生效——携带的奇珍与图谱羁绊各挂一个等级时同样只留最高的那条。</t>
  </si>
  <si>
    <t>备注</t>
  </si>
  <si>
    <t>4</t>
  </si>
  <si>
    <t>技能</t>
  </si>
  <si>
    <t>J技能BUFF表 / skill_config</t>
  </si>
  <si>
    <t>6</t>
  </si>
  <si>
    <t>BUFF</t>
  </si>
  <si>
    <t>J技能BUFF表 / buff_config</t>
  </si>
  <si>
    <t>8</t>
  </si>
  <si>
    <t>词条</t>
  </si>
  <si>
    <t>Z装备 / ConfigCitiao</t>
  </si>
  <si>
    <t>主键 hidden_affix 现为 1—96，迁移到 8 开头的 8 位段</t>
  </si>
  <si>
    <t>Q奇珍录.xlsx —— 配置表骨架 v1.0（2026-08-15）</t>
  </si>
  <si>
    <t>配套策划案</t>
  </si>
  <si>
    <t>奇珍录系统策划案_v1.0.md</t>
  </si>
  <si>
    <t>配套交互案</t>
  </si>
  <si>
    <t>奇珍录交互案_v1.0.md</t>
  </si>
  <si>
    <t>【本表状态】</t>
  </si>
  <si>
    <t>骨架。全部数据行首列为 ## ＝ 停用不导出。</t>
  </si>
  <si>
    <t>示例行只用 UI 定妆稿可见的信息，其余留空。</t>
  </si>
  <si>
    <t>【四行表头规范】</t>
  </si>
  <si>
    <t>沿用项目现行 Luban 规范</t>
  </si>
  <si>
    <t>导出字段名。数组字段只在首列声明一次，后续续列留空。辅助列该行同样留空，不生成运行时字段。</t>
  </si>
  <si>
    <t>字段类型。</t>
  </si>
  <si>
    <t>导出分组（c ＝ 客户端）。</t>
  </si>
  <si>
    <t>中文说明行，只供配置定位，不导出。</t>
  </si>
  <si>
    <t>首列</t>
  </si>
  <si>
    <t>控制列。## ＝ 该行停用不导出；留空 ＝ 正常数据行。</t>
  </si>
  <si>
    <t>【列序要求】</t>
  </si>
  <si>
    <t>辅助列与数组续列的 ##var 都为空，导表器以「下一个已声明字段」断边界。</t>
  </si>
  <si>
    <t>所以：数组字段排在表尾，或紧跟其后有已声明字段；辅助列夹在两个已声明字段之间，或排在表尾。</t>
  </si>
  <si>
    <t>「收录」页 unlock_ids 为整数数组，L—AF 共21个填写格；其后为类内排序、是否启用及3个辅助列。数组续列不另声明字段。</t>
  </si>
  <si>
    <t>【四个导出页签】</t>
  </si>
  <si>
    <t>收录</t>
  </si>
  <si>
    <t>奇珍主表。每条奇珍一行，qz_id 为奇珍ID，unlock_ids 数组登记可点亮该条目的物品ID。</t>
  </si>
  <si>
    <t>奇缘图谱</t>
  </si>
  <si>
    <t>跨八类按来源或主题组队，members 填 qz_id；4 组羁绊奖励。</t>
  </si>
  <si>
    <t>可携带</t>
  </si>
  <si>
    <t>只登记 can_carry ＝ TRUE 的条目，qz_id 外键指向「收录」页；4 组奇效。</t>
  </si>
  <si>
    <t>携带位</t>
  </si>
  <si>
    <t>八类各一行，配解锁境界与展示顺序。</t>
  </si>
  <si>
    <t>【效果组结构】</t>
  </si>
  <si>
    <t>两个页签共用同一套写法</t>
  </si>
  <si>
    <t>奇缘图谱 · 一组 6 列</t>
  </si>
  <si>
    <t>需求件数 | 属性名 | 引用ID | 整数/万分比 | 属性值 | 展示文字。共 4 组。</t>
  </si>
  <si>
    <t>可携带 · 一组 5 列</t>
  </si>
  <si>
    <t>属性名 | 引用ID | 整数/万分比 | 属性值 | 展示文字。共 4 组。</t>
  </si>
  <si>
    <t>一组内属性名与引用ID二选一：填属性名走属性修正，填引用ID走技能 / BUFF / 词条挂载。</t>
  </si>
  <si>
    <t>填几组生效几组，前台展示几组。奇缘图谱以需求件数为空判断该组不生效；可携带以属性名与引用ID都为空判断该组不生效。</t>
  </si>
  <si>
    <t>4 组之间无顺序要求，可以第 1 组配引用ID、第 2 组配属性。</t>
  </si>
  <si>
    <t>属性组填四项：属性名 / 整数万分比 / 属性值 / 展示文字。引用组填两项：引用ID / 展示文字，整数万分比与属性值该组不参与结算。</t>
  </si>
  <si>
    <t>引用ID 是 8 位：第 1 位指向表，第 2—6 位条目编号，第 7—8 位等级。前 6 位相同 ＝ 同一条目的不同等级，只生效末 2 位最大的那条。</t>
  </si>
  <si>
    <t>结算公式：最终值 =（基础值 ＋ Σ固定值加成）×（1 ＋ Σ万分比加成）。全部万分比加算聚合后整体作用一次。</t>
  </si>
  <si>
    <t>已填写的组中需求件数严格递增，且不超过 member_count。</t>
  </si>
  <si>
    <t>【收录钥匙的登记位置】</t>
  </si>
  <si>
    <t>unlock_ids 登记在「收录」页；每个物品ID单独填一格，按顺序连续填写，未使用的格留空。钥匙为直接数值。</t>
  </si>
  <si>
    <t>全部奇珍（含 can_carry＝FALSE 的条目）均通过 unlock_ids 数组判定收录；数组仅保留实际存在的物品ID。</t>
  </si>
  <si>
    <t>理由二：单一登记处保证配置不漂移。</t>
  </si>
  <si>
    <t>「可携带」页本身只配携带位、境界门槛与 4 组奇效，不配任何指向物品表或装备表的字段。</t>
  </si>
  <si>
    <t>【导表校验清单】</t>
  </si>
  <si>
    <t>详见策划案 §8.1 / §8.2 / §8.3</t>
  </si>
  <si>
    <t>1. qz_id 必填唯一。</t>
  </si>
  <si>
    <t>2. unlock_ids 数组至少包含一个有效物品ID；每个ID必须在物品表中存在，不凭数量补造ID。</t>
  </si>
  <si>
    <t>3. 数组内物品均须归属于本条收录内容；允许包含同一内容不同境界、品质的物品。奇珍主图 art_id 与背包图标各自配置。</t>
  </si>
  <si>
    <t>4. 每个收录钥匙ID只归属一条奇珍；数组内不得重复。当前全表最多21个，其他条目按实际数量填写。</t>
  </si>
  <si>
    <t>5. codex_id 非空时存在于「奇缘图谱」页，且该 qz_id 出现在该图谱的 members 中。</t>
  </si>
  <si>
    <t>6. can_carry ＝ TRUE 的条目在「可携带」页有对应行，反之亦然。</t>
  </si>
  <si>
    <t>7. carry_part 等于「收录」页同 qz_id 的 category。</t>
  </si>
  <si>
    <t>8. members 内 qz_id 存在且 enable ＝ TRUE；长度等于 member_count；member_count 取 1—7；同一图谱 members 内不得重复；每个成员在「收录」页的 codex_id 指向当前图谱。</t>
  </si>
  <si>
    <t>9. 每个 qz_id 最多归属一个图谱。</t>
  </si>
  <si>
    <t>10. 每组内属性名与引用ID二选一；同时填写时终止导表并报出组序号。</t>
  </si>
  <si>
    <t>10b. 属性组四项齐全（属性名/整数万分比/属性值/展示文字）；引用组两项齐全（引用ID/展示文字）。</t>
  </si>
  <si>
    <t>11. 属性名存在于 S属性配置表；整数/万分比 取 InfluenceOp 两值之一。</t>
  </si>
  <si>
    <t>12. 引用ID 的首位取 4（技能）/ 6（BUFF）/ 8（词条），且该 8 位 ID 在对应表中存在。</t>
  </si>
  <si>
    <t>13. 「收录」页 realm_id、「可携带」页 required_realm 与「携带位」页 unlock_realm 均取 0—8；携带位八类各一行；sort_order 取 1—8 且不重复。</t>
  </si>
  <si>
    <t>14. 「收录」与「奇缘图谱」页的主键、名称、品质、启用状态及界面必需文案等标记为必填的字段不得为空；「可携带」页 qz_id 必须唯一且对应 can_carry ＝ TRUE。</t>
  </si>
  <si>
    <t>【需同步登记的地方】</t>
  </si>
  <si>
    <t>__tables__.xlsx</t>
  </si>
  <si>
    <t>新增 4 条：收录@Q奇珍录.xlsx、奇缘图谱@Q奇珍录.xlsx、可携带@Q奇珍录.xlsx、携带位@Q奇珍录.xlsx。</t>
  </si>
  <si>
    <t>__beans__.xlsx</t>
  </si>
  <si>
    <t>新增 QizhenTier{need_count, attr_key, ref_id, op, value, tips}、QizhenEffect{attr_key, ref_id, op, value, tips}。</t>
  </si>
  <si>
    <t>__enums__.xlsx</t>
  </si>
  <si>
    <t>新增 QizhenCategory（8 项）；ItemQuality 六档别名改为 凡品/灵品/玄品/仙品/神品/道品。</t>
  </si>
  <si>
    <t>Z装备.xlsx ConfigCitiao</t>
  </si>
  <si>
    <t>主键 hidden_affix 迁移到 8 位段。</t>
  </si>
  <si>
    <t>配置表格/同步清单.md</t>
  </si>
  <si>
    <t>新增 Q奇珍录.xlsx。</t>
  </si>
  <si>
    <t>策划案/P17_配置表总目录与字段骨架.md</t>
  </si>
  <si>
    <t>§一 由 12 张增至 13 张。</t>
  </si>
  <si>
    <t>【属性名口径待统一】</t>
  </si>
  <si>
    <t>UI 定妆稿的羁绊奖励文案是「气血 +80 / 防御 +12 / 法力 +120」。</t>
  </si>
  <si>
    <t>现行 AttrKey 中「气血」对应 生命值；「防御」对应 物防上限/物防下限、法防上限/法防下限；「法力」对应 法力上限/法力下限。</t>
  </si>
  <si>
    <t>P17 §六 写「攻击、防御使用单值」，与 AttrKey 的实际字段不一致。</t>
  </si>
  <si>
    <t>本骨架示例行只填「生命值」，其余属性格留空，待属性口径统一后填写。</t>
  </si>
  <si>
    <t>【本表字段与界面的对应】</t>
  </si>
  <si>
    <t>界面细节见交互案</t>
  </si>
  <si>
    <t>1. 收录格左上角的「携」角标读「收录」页 can_carry。</t>
  </si>
  <si>
    <t>2. 「可携带」筛选开关按 can_carry 切换显示范围。</t>
  </si>
  <si>
    <t>3. 品质筛选的六档读取「收录」页 quality；界面另有「全部」按钮，表示不附加品质过滤，不写入配置。图谱页按 codex_quality 独立筛选。</t>
  </si>
  <si>
    <t>4. 每个奇珍的 TIPS 展示 effect_desc、source_desc，以及「可携带」页 4 组奇效的展示文字；展示全部已配置效果，实际是否生效由当前携带位决定。</t>
  </si>
  <si>
    <t>4b. 收录格与详情区共用同一张方形主图 art_id：详情大尺寸，收录格缩到 42×42。</t>
  </si>
  <si>
    <t>5. 收录页右下的图谱预览读 codex_id → 「奇缘图谱」页 members，按 members 数组顺序排列。</t>
  </si>
  <si>
    <t>6. 图谱奖励按已填组数展示，读各组的展示文字。</t>
  </si>
  <si>
    <t>7. 八个携带位在角色面板展示；「可携带」页定义每条奇珍的携带位归属与奇效，「携带位」页定义八个位的解锁境界与排列顺序；奇珍录与角色面板发起携带时均须校验该位已解锁。</t>
  </si>
  <si>
    <t>【停用与境界回落】</t>
  </si>
  <si>
    <t>图谱成员不可在仍被启用图谱引用时直接单独停用：先从 members 移除并清空收录页 codex_id，再将成员 enable 改为 FALSE；整组下线可直接停用整个图谱。</t>
  </si>
  <si>
    <t>角色境界回落后，服务器重新校验条目 required_realm 与携带位 unlock_realm；任一条件不满足时自动卸下对应奇珍，并触发属性全量重算。携带位解锁状态按当前境界实时推导，不永久存储。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</si>
</sst>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Calibri"/>
      <charset val="134"/>
    </font>
    <font>
      <b/>
      <sz val="10"/>
      <color rgb="FF000000"/>
      <name val="Calibri"/>
      <charset val="134"/>
    </font>
    <font>
      <sz val="10"/>
      <name val="Calibri"/>
      <charset val="134"/>
    </font>
    <font>
      <b/>
      <sz val="10"/>
      <color rgb="FFFFFFFF"/>
      <name val="Calibri"/>
      <charset val="134"/>
    </font>
    <font>
      <sz val="11"/>
      <color theme="1"/>
      <name val="宋体"/>
      <charset val="134"/>
    </font>
    <font>
      <sz val="10"/>
      <name val="宋体"/>
      <charset val="134"/>
    </font>
    <font>
      <b/>
      <sz val="10"/>
      <color rgb="FF000000"/>
      <name val="宋体"/>
      <charset val="134"/>
    </font>
    <font>
      <sz val="9"/>
      <color theme="1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395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52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1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8" applyNumberFormat="0" applyAlignment="0" applyProtection="0">
      <alignment vertical="center"/>
    </xf>
    <xf numFmtId="0" fontId="18" fillId="8" borderId="9" applyNumberFormat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20" fillId="13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0" fillId="0" borderId="0"/>
    <xf numFmtId="0" fontId="28" fillId="41" borderId="13"/>
    <xf numFmtId="0" fontId="31" fillId="44" borderId="14"/>
  </cellStyleXfs>
  <cellXfs count="38">
    <xf numFmtId="0" fontId="0" fillId="0" borderId="0" xfId="49"/>
    <xf numFmtId="0" fontId="1" fillId="2" borderId="0" xfId="49" applyFont="1" applyFill="1" applyAlignment="1">
      <alignment horizontal="left" vertical="top" wrapText="1"/>
    </xf>
    <xf numFmtId="0" fontId="2" fillId="0" borderId="0" xfId="49" applyFont="1" applyAlignment="1">
      <alignment horizontal="left" vertical="top" wrapText="1"/>
    </xf>
    <xf numFmtId="0" fontId="0" fillId="0" borderId="0" xfId="49" applyNumberFormat="1" applyFont="1" applyFill="1" applyBorder="1" applyAlignment="1">
      <alignment wrapText="1"/>
    </xf>
    <xf numFmtId="0" fontId="1" fillId="3" borderId="1" xfId="49" applyFont="1" applyFill="1" applyBorder="1" applyAlignment="1">
      <alignment horizontal="center" vertical="center" wrapText="1"/>
    </xf>
    <xf numFmtId="0" fontId="3" fillId="4" borderId="1" xfId="49" applyFont="1" applyFill="1" applyBorder="1" applyAlignment="1">
      <alignment horizontal="center" vertical="center" wrapText="1"/>
    </xf>
    <xf numFmtId="0" fontId="3" fillId="5" borderId="1" xfId="49" applyFont="1" applyFill="1" applyBorder="1" applyAlignment="1">
      <alignment horizontal="center" vertical="center" wrapText="1"/>
    </xf>
    <xf numFmtId="0" fontId="1" fillId="6" borderId="1" xfId="49" applyFont="1" applyFill="1" applyBorder="1" applyAlignment="1">
      <alignment horizontal="center" vertical="center" wrapText="1"/>
    </xf>
    <xf numFmtId="0" fontId="1" fillId="2" borderId="1" xfId="49" applyFont="1" applyFill="1" applyBorder="1" applyAlignment="1">
      <alignment horizontal="center" vertical="center" wrapText="1"/>
    </xf>
    <xf numFmtId="0" fontId="1" fillId="7" borderId="1" xfId="49" applyFont="1" applyFill="1" applyBorder="1" applyAlignment="1">
      <alignment horizontal="center" vertical="center" wrapText="1"/>
    </xf>
    <xf numFmtId="0" fontId="2" fillId="8" borderId="1" xfId="49" applyFont="1" applyFill="1" applyBorder="1" applyAlignment="1">
      <alignment horizontal="center" vertical="center" wrapText="1"/>
    </xf>
    <xf numFmtId="0" fontId="2" fillId="8" borderId="1" xfId="49" applyFont="1" applyFill="1" applyBorder="1" applyAlignment="1">
      <alignment horizontal="left" vertical="center"/>
    </xf>
    <xf numFmtId="0" fontId="3" fillId="4" borderId="2" xfId="49" applyFont="1" applyFill="1" applyBorder="1" applyAlignment="1">
      <alignment horizontal="center" vertical="center" wrapText="1"/>
    </xf>
    <xf numFmtId="0" fontId="3" fillId="4" borderId="3" xfId="49" applyFont="1" applyFill="1" applyBorder="1" applyAlignment="1">
      <alignment horizontal="center" vertical="center" wrapText="1"/>
    </xf>
    <xf numFmtId="0" fontId="3" fillId="4" borderId="4" xfId="49" applyFont="1" applyFill="1" applyBorder="1" applyAlignment="1">
      <alignment horizontal="center" vertical="center" wrapText="1"/>
    </xf>
    <xf numFmtId="0" fontId="3" fillId="5" borderId="2" xfId="49" applyFont="1" applyFill="1" applyBorder="1" applyAlignment="1">
      <alignment horizontal="center" vertical="center" wrapText="1"/>
    </xf>
    <xf numFmtId="0" fontId="3" fillId="5" borderId="3" xfId="49" applyFont="1" applyFill="1" applyBorder="1" applyAlignment="1">
      <alignment horizontal="center" vertical="center" wrapText="1"/>
    </xf>
    <xf numFmtId="0" fontId="3" fillId="5" borderId="4" xfId="49" applyFont="1" applyFill="1" applyBorder="1" applyAlignment="1">
      <alignment horizontal="center" vertical="center" wrapText="1"/>
    </xf>
    <xf numFmtId="0" fontId="1" fillId="9" borderId="1" xfId="49" applyFont="1" applyFill="1" applyBorder="1" applyAlignment="1">
      <alignment horizontal="center" vertical="center" wrapText="1"/>
    </xf>
    <xf numFmtId="0" fontId="1" fillId="10" borderId="1" xfId="49" applyFont="1" applyFill="1" applyBorder="1" applyAlignment="1">
      <alignment horizontal="center" vertical="center" wrapText="1"/>
    </xf>
    <xf numFmtId="0" fontId="4" fillId="0" borderId="0" xfId="49" applyFont="1"/>
    <xf numFmtId="0" fontId="5" fillId="8" borderId="1" xfId="49" applyFont="1" applyFill="1" applyBorder="1" applyAlignment="1">
      <alignment horizontal="left" vertical="center"/>
    </xf>
    <xf numFmtId="0" fontId="6" fillId="2" borderId="1" xfId="49" applyFont="1" applyFill="1" applyBorder="1" applyAlignment="1">
      <alignment horizontal="center" vertical="center" wrapText="1"/>
    </xf>
    <xf numFmtId="0" fontId="6" fillId="10" borderId="1" xfId="49" applyFont="1" applyFill="1" applyBorder="1" applyAlignment="1">
      <alignment horizontal="center" vertical="center" wrapText="1"/>
    </xf>
    <xf numFmtId="0" fontId="0" fillId="0" borderId="0" xfId="0">
      <alignment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vertical="center"/>
    </xf>
    <xf numFmtId="0" fontId="28" fillId="41" borderId="13" xfId="50"/>
    <xf numFmtId="0" fontId="28" fillId="41" borderId="13" xfId="50">
      <extLst>
        <ext uri="{C7286773-470A-42A8-94C5-96B5CB345126}">
          <xfpb:xfComplement xmlns:xfpb="http://schemas.microsoft.com/office/spreadsheetml/2022/featurepropertybag" i="0"/>
        </ext>
      </extLst>
    </xf>
    <xf numFmtId="0" fontId="29" fillId="41" borderId="13" xfId="50" applyNumberFormat="1" applyFont="1" applyFill="1" applyBorder="1"/>
    <xf numFmtId="0" fontId="29" fillId="41" borderId="13" xfId="50" applyNumberFormat="1" applyFont="1" applyFill="1" applyBorder="1" applyAlignment="1">
      <alignment wrapText="1"/>
    </xf>
    <xf numFmtId="0" fontId="29" fillId="43" borderId="13" xfId="50" applyNumberFormat="1" applyFont="1" applyFill="1" applyBorder="1" applyAlignment="1">
      <alignment wrapText="1"/>
    </xf>
    <xf numFmtId="0" fontId="30" fillId="43" borderId="13" xfId="50" applyNumberFormat="1" applyFont="1" applyFill="1" applyBorder="1" applyAlignment="1">
      <alignment wrapText="1"/>
    </xf>
    <xf numFmtId="0" fontId="31" fillId="44" borderId="14" xfId="51"/>
    <xf numFmtId="0" fontId="32" fillId="44" borderId="14" xfId="51" applyNumberFormat="1" applyFont="1" applyFill="1" applyBorder="1"/>
    <xf numFmtId="0" fontId="32" fillId="44" borderId="14" xfId="51" applyNumberFormat="1" applyFont="1" applyFill="1" applyBorder="1" applyAlignment="1">
      <alignment wrapText="1"/>
    </xf>
    <xf numFmtId="0" fontId="32" fillId="46" borderId="14" xfId="51" applyNumberFormat="1" applyFont="1" applyFill="1" applyBorder="1" applyAlignment="1">
      <alignment wrapText="1"/>
    </xf>
    <xf numFmtId="0" fontId="33" fillId="46" borderId="14" xfId="51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Config7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573"/>
  <sheetViews>
    <sheetView topLeftCell="A5" workbookViewId="0">
      <selection activeCell="J13" sqref="J13"/>
    </sheetView>
  </sheetViews>
  <sheetFormatPr defaultColWidth="9" defaultRowHeight="15"/>
  <cols>
    <col min="1" max="1" width="12.1428571428571" customWidth="1"/>
    <col min="2" max="2" width="11" customWidth="1"/>
    <col min="3" max="5" width="18" customWidth="1"/>
    <col min="6" max="7" width="8" customWidth="1"/>
    <col min="8" max="8" width="24" customWidth="1"/>
    <col min="9" max="9" width="101" customWidth="1"/>
    <col min="10" max="10" width="18" customWidth="1"/>
    <col min="11" max="11" width="12.4285714285714" customWidth="1"/>
    <col min="12" max="12" width="17.5714285714286" customWidth="1"/>
    <col min="13" max="18" width="14" customWidth="1"/>
    <col min="19" max="32" width="11.4285714285714" customWidth="1"/>
    <col min="33" max="33" width="14" customWidth="1"/>
    <col min="34" max="34" width="10" customWidth="1"/>
    <col min="35" max="35" width="11.4285714285714" customWidth="1"/>
    <col min="36" max="36" width="16.5714285714286" customWidth="1"/>
    <col min="37" max="37" width="17.4285714285714" customWidth="1"/>
    <col min="38" max="38" width="56" customWidth="1"/>
  </cols>
  <sheetData>
    <row r="1" ht="20" customHeight="1" spans="1:38">
      <c r="A1" s="4" t="s">
        <v>0</v>
      </c>
      <c r="B1" s="5" t="s">
        <v>1</v>
      </c>
      <c r="C1" s="5" t="s">
        <v>2</v>
      </c>
      <c r="D1" s="5"/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 t="s">
        <v>12</v>
      </c>
      <c r="AI1" s="5" t="s">
        <v>13</v>
      </c>
      <c r="AJ1" s="5"/>
      <c r="AK1" s="5"/>
      <c r="AL1" s="5"/>
    </row>
    <row r="2" ht="20" customHeight="1" spans="1:38">
      <c r="A2" s="4" t="s">
        <v>14</v>
      </c>
      <c r="B2" s="6" t="s">
        <v>15</v>
      </c>
      <c r="C2" s="6" t="s">
        <v>16</v>
      </c>
      <c r="D2" s="6"/>
      <c r="E2" s="6" t="s">
        <v>17</v>
      </c>
      <c r="F2" s="6" t="s">
        <v>18</v>
      </c>
      <c r="G2" s="6" t="s">
        <v>19</v>
      </c>
      <c r="H2" s="6" t="s">
        <v>16</v>
      </c>
      <c r="I2" s="6" t="s">
        <v>16</v>
      </c>
      <c r="J2" s="6" t="s">
        <v>16</v>
      </c>
      <c r="K2" s="6" t="s">
        <v>20</v>
      </c>
      <c r="L2" s="6" t="s">
        <v>15</v>
      </c>
      <c r="M2" s="6" t="s">
        <v>21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 t="s">
        <v>15</v>
      </c>
      <c r="AI2" s="6" t="s">
        <v>20</v>
      </c>
      <c r="AJ2" s="6"/>
      <c r="AK2" s="6"/>
      <c r="AL2" s="6"/>
    </row>
    <row r="3" ht="20" customHeight="1" spans="1:38">
      <c r="A3" s="4" t="s">
        <v>22</v>
      </c>
      <c r="B3" s="7" t="s">
        <v>23</v>
      </c>
      <c r="C3" s="7" t="s">
        <v>24</v>
      </c>
      <c r="D3" s="7"/>
      <c r="E3" s="7" t="s">
        <v>23</v>
      </c>
      <c r="F3" s="7" t="s">
        <v>23</v>
      </c>
      <c r="G3" s="7" t="s">
        <v>23</v>
      </c>
      <c r="H3" s="7" t="s">
        <v>24</v>
      </c>
      <c r="I3" s="7" t="s">
        <v>24</v>
      </c>
      <c r="J3" s="7" t="s">
        <v>24</v>
      </c>
      <c r="K3" s="7" t="s">
        <v>23</v>
      </c>
      <c r="L3" s="7" t="s">
        <v>23</v>
      </c>
      <c r="M3" s="7" t="s">
        <v>23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 t="s">
        <v>23</v>
      </c>
      <c r="AI3" s="7" t="s">
        <v>23</v>
      </c>
      <c r="AJ3" s="7"/>
      <c r="AK3" s="7"/>
      <c r="AL3" s="7"/>
    </row>
    <row r="4" ht="20" customHeight="1" spans="1:38">
      <c r="A4" s="4" t="s">
        <v>25</v>
      </c>
      <c r="B4" s="8" t="s">
        <v>26</v>
      </c>
      <c r="C4" s="8" t="s">
        <v>27</v>
      </c>
      <c r="D4" s="22" t="s">
        <v>28</v>
      </c>
      <c r="E4" s="8" t="s">
        <v>29</v>
      </c>
      <c r="F4" s="8" t="s">
        <v>30</v>
      </c>
      <c r="G4" s="8" t="s">
        <v>31</v>
      </c>
      <c r="H4" s="8" t="s">
        <v>32</v>
      </c>
      <c r="I4" s="8" t="s">
        <v>33</v>
      </c>
      <c r="J4" s="8" t="s">
        <v>34</v>
      </c>
      <c r="K4" s="8" t="s">
        <v>35</v>
      </c>
      <c r="L4" s="8" t="s">
        <v>36</v>
      </c>
      <c r="M4" s="8" t="s">
        <v>37</v>
      </c>
      <c r="N4" s="8" t="s">
        <v>38</v>
      </c>
      <c r="O4" s="8" t="s">
        <v>39</v>
      </c>
      <c r="P4" s="8" t="s">
        <v>40</v>
      </c>
      <c r="Q4" s="8" t="s">
        <v>41</v>
      </c>
      <c r="R4" s="8" t="s">
        <v>42</v>
      </c>
      <c r="S4" s="8" t="s">
        <v>43</v>
      </c>
      <c r="T4" s="8" t="s">
        <v>44</v>
      </c>
      <c r="U4" s="8" t="s">
        <v>45</v>
      </c>
      <c r="V4" s="8" t="s">
        <v>46</v>
      </c>
      <c r="W4" s="8" t="s">
        <v>47</v>
      </c>
      <c r="X4" s="8" t="s">
        <v>48</v>
      </c>
      <c r="Y4" s="8" t="s">
        <v>49</v>
      </c>
      <c r="Z4" s="8" t="s">
        <v>50</v>
      </c>
      <c r="AA4" s="8" t="s">
        <v>51</v>
      </c>
      <c r="AB4" s="8" t="s">
        <v>52</v>
      </c>
      <c r="AC4" s="8" t="s">
        <v>53</v>
      </c>
      <c r="AD4" s="8" t="s">
        <v>54</v>
      </c>
      <c r="AE4" s="8" t="s">
        <v>55</v>
      </c>
      <c r="AF4" s="8" t="s">
        <v>56</v>
      </c>
      <c r="AG4" s="8" t="s">
        <v>57</v>
      </c>
      <c r="AH4" s="8" t="s">
        <v>58</v>
      </c>
      <c r="AI4" s="8" t="s">
        <v>59</v>
      </c>
      <c r="AJ4" s="9" t="s">
        <v>60</v>
      </c>
      <c r="AK4" s="9" t="s">
        <v>61</v>
      </c>
      <c r="AL4" s="9" t="s">
        <v>62</v>
      </c>
    </row>
    <row r="5" spans="1:38">
      <c r="A5" s="25"/>
      <c r="B5" s="11">
        <v>71002000</v>
      </c>
      <c r="C5" s="25" t="s">
        <v>63</v>
      </c>
      <c r="D5" s="25">
        <v>11021000</v>
      </c>
      <c r="E5" s="25" t="s">
        <v>64</v>
      </c>
      <c r="F5" s="25" t="s">
        <v>65</v>
      </c>
      <c r="G5" s="25" t="s">
        <v>66</v>
      </c>
      <c r="H5" s="25">
        <v>11002000</v>
      </c>
      <c r="I5" s="25" t="s">
        <v>67</v>
      </c>
      <c r="J5" s="25" t="s">
        <v>68</v>
      </c>
      <c r="K5" t="b" s="11">
        <v>1</v>
      </c>
      <c r="L5" s="11">
        <v>79</v>
      </c>
      <c r="M5" s="11">
        <v>11021000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>
        <v>1</v>
      </c>
      <c r="AI5" s="11" t="s">
        <v>69</v>
      </c>
      <c r="AJ5" s="11">
        <v>1</v>
      </c>
      <c r="AK5" s="11">
        <v>1</v>
      </c>
      <c r="AL5" t="str" s="11">
        <v>【补充设计】保留奇珍ID、钥匙与图谱关系；可携带标记与独立效果行逐ID核对。</v>
      </c>
    </row>
    <row r="6" spans="1:38">
      <c r="A6" s="25"/>
      <c r="B6" s="11">
        <v>71002001</v>
      </c>
      <c r="C6" s="25" t="s">
        <v>71</v>
      </c>
      <c r="D6" s="25">
        <v>11021001</v>
      </c>
      <c r="E6" s="25" t="s">
        <v>64</v>
      </c>
      <c r="F6" s="25" t="s">
        <v>65</v>
      </c>
      <c r="G6" s="25" t="s">
        <v>66</v>
      </c>
      <c r="H6" s="25">
        <v>11002001</v>
      </c>
      <c r="I6" s="25" t="s">
        <v>72</v>
      </c>
      <c r="J6" s="25" t="s">
        <v>68</v>
      </c>
      <c r="K6" t="b" s="11">
        <v>0</v>
      </c>
      <c r="L6" s="11">
        <v>80</v>
      </c>
      <c r="M6" s="11">
        <v>11021001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>
        <v>2</v>
      </c>
      <c r="AI6" s="11" t="s">
        <v>69</v>
      </c>
      <c r="AJ6" s="11">
        <v>2</v>
      </c>
      <c r="AK6" s="11">
        <v>1</v>
      </c>
      <c r="AL6" t="str" s="11">
        <v>【补充设计】保留奇珍ID、钥匙与图谱关系；可携带标记与独立效果行逐ID核对。</v>
      </c>
    </row>
    <row r="7" spans="1:38">
      <c r="A7" s="25"/>
      <c r="B7" s="11">
        <v>71002002</v>
      </c>
      <c r="C7" s="25" t="s">
        <v>75</v>
      </c>
      <c r="D7" s="25">
        <v>11021002</v>
      </c>
      <c r="E7" s="25" t="s">
        <v>64</v>
      </c>
      <c r="F7" s="25" t="s">
        <v>65</v>
      </c>
      <c r="G7" s="25" t="s">
        <v>66</v>
      </c>
      <c r="H7" s="25">
        <v>11002002</v>
      </c>
      <c r="I7" s="25" t="s">
        <v>76</v>
      </c>
      <c r="J7" s="25" t="s">
        <v>68</v>
      </c>
      <c r="K7" t="b" s="11">
        <v>0</v>
      </c>
      <c r="L7" s="11">
        <v>79</v>
      </c>
      <c r="M7" s="11">
        <v>11021002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>
        <v>3</v>
      </c>
      <c r="AI7" s="11" t="s">
        <v>69</v>
      </c>
      <c r="AJ7" s="11">
        <v>3</v>
      </c>
      <c r="AK7" s="11">
        <v>1</v>
      </c>
      <c r="AL7" t="str" s="11">
        <v>【补充设计】保留奇珍ID、钥匙与图谱关系；可携带标记与独立效果行逐ID核对。</v>
      </c>
    </row>
    <row r="8" spans="1:38">
      <c r="A8" s="25"/>
      <c r="B8" s="11">
        <v>71002003</v>
      </c>
      <c r="C8" s="25" t="s">
        <v>77</v>
      </c>
      <c r="D8" s="25">
        <v>11021003</v>
      </c>
      <c r="E8" s="25" t="s">
        <v>64</v>
      </c>
      <c r="F8" s="25" t="s">
        <v>65</v>
      </c>
      <c r="G8" s="25" t="s">
        <v>66</v>
      </c>
      <c r="H8" s="25">
        <v>11002003</v>
      </c>
      <c r="I8" s="25" t="s">
        <v>78</v>
      </c>
      <c r="J8" s="25" t="s">
        <v>68</v>
      </c>
      <c r="K8" t="b" s="11">
        <v>0</v>
      </c>
      <c r="L8" s="11">
        <v>80</v>
      </c>
      <c r="M8" s="11">
        <v>11021003</v>
      </c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>
        <v>4</v>
      </c>
      <c r="AI8" s="11" t="s">
        <v>69</v>
      </c>
      <c r="AJ8" s="11">
        <v>4</v>
      </c>
      <c r="AK8" s="11">
        <v>1</v>
      </c>
      <c r="AL8" t="str" s="11">
        <v>【补充设计】保留奇珍ID、钥匙与图谱关系；可携带标记与独立效果行逐ID核对。</v>
      </c>
    </row>
    <row r="9" spans="1:38">
      <c r="A9" s="25"/>
      <c r="B9" s="11">
        <v>71002004</v>
      </c>
      <c r="C9" s="25" t="s">
        <v>79</v>
      </c>
      <c r="D9" s="25">
        <v>11021004</v>
      </c>
      <c r="E9" s="25" t="s">
        <v>64</v>
      </c>
      <c r="F9" s="25" t="s">
        <v>65</v>
      </c>
      <c r="G9" s="25" t="s">
        <v>66</v>
      </c>
      <c r="H9" s="25">
        <v>11002004</v>
      </c>
      <c r="I9" s="25" t="s">
        <v>80</v>
      </c>
      <c r="J9" s="25" t="s">
        <v>68</v>
      </c>
      <c r="K9" t="b" s="11">
        <v>0</v>
      </c>
      <c r="L9" s="11"/>
      <c r="M9" s="11">
        <v>11021004</v>
      </c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>
        <v>5</v>
      </c>
      <c r="AI9" s="11" t="s">
        <v>69</v>
      </c>
      <c r="AJ9" s="11">
        <v>5</v>
      </c>
      <c r="AK9" s="11">
        <v>1</v>
      </c>
      <c r="AL9" t="str" s="11">
        <v>【补充设计】保留奇珍ID、钥匙与图谱关系；可携带标记与独立效果行逐ID核对。</v>
      </c>
    </row>
    <row r="10" spans="1:38">
      <c r="A10" s="25"/>
      <c r="B10" s="11">
        <v>71002005</v>
      </c>
      <c r="C10" s="25" t="s">
        <v>81</v>
      </c>
      <c r="D10" s="25">
        <v>11021005</v>
      </c>
      <c r="E10" s="25" t="s">
        <v>64</v>
      </c>
      <c r="F10" s="25" t="s">
        <v>65</v>
      </c>
      <c r="G10" s="25" t="s">
        <v>66</v>
      </c>
      <c r="H10" s="25">
        <v>11002005</v>
      </c>
      <c r="I10" s="25" t="s">
        <v>82</v>
      </c>
      <c r="J10" s="25" t="s">
        <v>68</v>
      </c>
      <c r="K10" t="b" s="11">
        <v>0</v>
      </c>
      <c r="L10" s="11"/>
      <c r="M10" s="11">
        <v>11021005</v>
      </c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>
        <v>6</v>
      </c>
      <c r="AI10" s="11" t="s">
        <v>69</v>
      </c>
      <c r="AJ10" s="11">
        <v>6</v>
      </c>
      <c r="AK10" s="11">
        <v>1</v>
      </c>
      <c r="AL10" t="str" s="11">
        <v>【补充设计】保留奇珍ID、钥匙与图谱关系；可携带标记与独立效果行逐ID核对。</v>
      </c>
    </row>
    <row r="11" spans="1:38">
      <c r="A11" s="25"/>
      <c r="B11" s="11">
        <v>71002006</v>
      </c>
      <c r="C11" s="25" t="s">
        <v>83</v>
      </c>
      <c r="D11" s="25">
        <v>11021006</v>
      </c>
      <c r="E11" s="25" t="s">
        <v>64</v>
      </c>
      <c r="F11" s="25" t="s">
        <v>65</v>
      </c>
      <c r="G11" s="25" t="s">
        <v>66</v>
      </c>
      <c r="H11" s="25">
        <v>11002006</v>
      </c>
      <c r="I11" s="25" t="s">
        <v>84</v>
      </c>
      <c r="J11" s="25" t="s">
        <v>68</v>
      </c>
      <c r="K11" t="b" s="11">
        <v>0</v>
      </c>
      <c r="L11" s="11"/>
      <c r="M11" s="11">
        <v>11021006</v>
      </c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>
        <v>7</v>
      </c>
      <c r="AI11" s="11" t="s">
        <v>69</v>
      </c>
      <c r="AJ11" s="11">
        <v>7</v>
      </c>
      <c r="AK11" s="11">
        <v>1</v>
      </c>
      <c r="AL11" t="str" s="11">
        <v>【补充设计】保留奇珍ID、钥匙与图谱关系；可携带标记与独立效果行逐ID核对。</v>
      </c>
    </row>
    <row r="12" spans="1:38">
      <c r="A12" s="25"/>
      <c r="B12" s="11">
        <v>70902000</v>
      </c>
      <c r="C12" s="25" t="s">
        <v>85</v>
      </c>
      <c r="D12" s="25">
        <v>10901000</v>
      </c>
      <c r="E12" s="25" t="s">
        <v>64</v>
      </c>
      <c r="F12" s="25" t="s">
        <v>65</v>
      </c>
      <c r="G12" s="25" t="s">
        <v>66</v>
      </c>
      <c r="H12" s="25">
        <v>10902000</v>
      </c>
      <c r="I12" s="25" t="s">
        <v>86</v>
      </c>
      <c r="J12" s="25" t="s">
        <v>68</v>
      </c>
      <c r="K12" t="b" s="11">
        <v>0</v>
      </c>
      <c r="L12" s="11">
        <v>44</v>
      </c>
      <c r="M12" s="11">
        <v>10901000</v>
      </c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>
        <v>8</v>
      </c>
      <c r="AI12" s="11" t="s">
        <v>69</v>
      </c>
      <c r="AJ12" s="11">
        <v>8</v>
      </c>
      <c r="AK12" s="11">
        <v>1</v>
      </c>
      <c r="AL12" t="str" s="11">
        <v>【补充设计】保留奇珍ID、钥匙与图谱关系；可携带标记与独立效果行逐ID核对。</v>
      </c>
    </row>
    <row r="13" spans="1:38">
      <c r="A13" s="25"/>
      <c r="B13" s="11">
        <v>70902001</v>
      </c>
      <c r="C13" s="25" t="s">
        <v>87</v>
      </c>
      <c r="D13" s="25">
        <v>10901001</v>
      </c>
      <c r="E13" s="25" t="s">
        <v>64</v>
      </c>
      <c r="F13" s="25" t="s">
        <v>65</v>
      </c>
      <c r="G13" s="25" t="s">
        <v>66</v>
      </c>
      <c r="H13" s="25">
        <v>10902001</v>
      </c>
      <c r="I13" s="25" t="s">
        <v>88</v>
      </c>
      <c r="J13" s="25" t="s">
        <v>68</v>
      </c>
      <c r="K13" t="b" s="11">
        <v>0</v>
      </c>
      <c r="L13" s="11">
        <v>45</v>
      </c>
      <c r="M13" s="11">
        <v>10901001</v>
      </c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>
        <v>9</v>
      </c>
      <c r="AI13" s="11" t="s">
        <v>69</v>
      </c>
      <c r="AJ13" s="11">
        <v>9</v>
      </c>
      <c r="AK13" s="11">
        <v>1</v>
      </c>
      <c r="AL13" t="str" s="11">
        <v>【补充设计】保留奇珍ID、钥匙与图谱关系；可携带标记与独立效果行逐ID核对。</v>
      </c>
    </row>
    <row r="14" spans="1:38">
      <c r="A14" s="25"/>
      <c r="B14">
        <v>70902002</v>
      </c>
      <c r="C14" s="25" t="s">
        <v>89</v>
      </c>
      <c r="D14" s="25">
        <v>10901002</v>
      </c>
      <c r="E14" s="25" t="s">
        <v>64</v>
      </c>
      <c r="F14" s="25" t="s">
        <v>65</v>
      </c>
      <c r="G14" s="25" t="s">
        <v>66</v>
      </c>
      <c r="H14" s="25">
        <v>10902002</v>
      </c>
      <c r="I14" s="25" t="s">
        <v>90</v>
      </c>
      <c r="J14" s="25" t="s">
        <v>68</v>
      </c>
      <c r="K14" t="b" s="11">
        <v>0</v>
      </c>
      <c r="L14" s="11">
        <v>43</v>
      </c>
      <c r="M14">
        <v>10901002</v>
      </c>
      <c r="AH14" s="11">
        <v>10</v>
      </c>
      <c r="AI14" s="11" t="s">
        <v>69</v>
      </c>
      <c r="AL14" t="str" s="11">
        <v>【补充设计】保留奇珍ID、钥匙与图谱关系；可携带标记与独立效果行逐ID核对。</v>
      </c>
    </row>
    <row r="15" spans="1:38">
      <c r="A15" s="25"/>
      <c r="B15">
        <v>70902003</v>
      </c>
      <c r="C15" s="25" t="s">
        <v>91</v>
      </c>
      <c r="D15" s="25">
        <v>10901003</v>
      </c>
      <c r="E15" s="25" t="s">
        <v>64</v>
      </c>
      <c r="F15" s="25" t="s">
        <v>65</v>
      </c>
      <c r="G15" s="25" t="s">
        <v>66</v>
      </c>
      <c r="H15" s="25">
        <v>10902003</v>
      </c>
      <c r="I15" s="25" t="s">
        <v>92</v>
      </c>
      <c r="J15" s="25" t="s">
        <v>68</v>
      </c>
      <c r="K15" t="b" s="11">
        <v>0</v>
      </c>
      <c r="L15" s="11">
        <v>44</v>
      </c>
      <c r="M15">
        <v>10901003</v>
      </c>
      <c r="AH15" s="11">
        <v>11</v>
      </c>
      <c r="AI15" s="11" t="s">
        <v>69</v>
      </c>
      <c r="AL15" t="str" s="11">
        <v>【补充设计】保留奇珍ID、钥匙与图谱关系；可携带标记与独立效果行逐ID核对。</v>
      </c>
    </row>
    <row r="16" spans="1:38">
      <c r="A16" s="25"/>
      <c r="B16">
        <v>70902004</v>
      </c>
      <c r="C16" s="25" t="s">
        <v>93</v>
      </c>
      <c r="D16" s="25">
        <v>10902004</v>
      </c>
      <c r="E16" s="25" t="s">
        <v>64</v>
      </c>
      <c r="F16" s="25" t="s">
        <v>65</v>
      </c>
      <c r="G16" s="25" t="s">
        <v>66</v>
      </c>
      <c r="H16" s="25">
        <v>10902004</v>
      </c>
      <c r="I16" s="25" t="s">
        <v>94</v>
      </c>
      <c r="J16" s="25" t="s">
        <v>68</v>
      </c>
      <c r="K16" t="b" s="11">
        <v>0</v>
      </c>
      <c r="L16" s="11"/>
      <c r="M16">
        <v>10902004</v>
      </c>
      <c r="AH16" s="11">
        <v>12</v>
      </c>
      <c r="AI16" s="11" t="s">
        <v>69</v>
      </c>
      <c r="AL16" t="str" s="11">
        <v>【补充设计】保留奇珍ID、钥匙与图谱关系；可携带标记与独立效果行逐ID核对。</v>
      </c>
    </row>
    <row r="17" spans="1:35">
      <c r="A17" s="25"/>
      <c r="B17">
        <v>70902005</v>
      </c>
      <c r="C17" s="25" t="s">
        <v>95</v>
      </c>
      <c r="D17" s="25">
        <v>10901005</v>
      </c>
      <c r="E17" s="25" t="s">
        <v>64</v>
      </c>
      <c r="F17" s="25" t="s">
        <v>65</v>
      </c>
      <c r="G17" s="25" t="s">
        <v>66</v>
      </c>
      <c r="H17" s="25">
        <v>10902005</v>
      </c>
      <c r="I17" s="25" t="s">
        <v>96</v>
      </c>
      <c r="J17" s="25" t="s">
        <v>68</v>
      </c>
      <c r="K17" t="b" s="11">
        <v>1</v>
      </c>
      <c r="L17" s="11">
        <v>44</v>
      </c>
      <c r="M17">
        <v>10901005</v>
      </c>
      <c r="AH17" s="11">
        <v>13</v>
      </c>
      <c r="AI17" s="11" t="s">
        <v>69</v>
      </c>
      <c r="AL17" t="str" s="11">
        <v>【补充设计】保留奇珍ID、钥匙与图谱关系；可携带标记与独立效果行逐ID核对。</v>
      </c>
    </row>
    <row r="18" spans="1:35">
      <c r="A18" s="25"/>
      <c r="B18">
        <v>70902006</v>
      </c>
      <c r="C18" s="25" t="s">
        <v>97</v>
      </c>
      <c r="D18" s="25">
        <v>10901006</v>
      </c>
      <c r="E18" s="25" t="s">
        <v>64</v>
      </c>
      <c r="F18" s="25" t="s">
        <v>65</v>
      </c>
      <c r="G18" s="25" t="s">
        <v>66</v>
      </c>
      <c r="H18" s="25">
        <v>10902006</v>
      </c>
      <c r="I18" s="25" t="s">
        <v>98</v>
      </c>
      <c r="J18" s="25" t="s">
        <v>68</v>
      </c>
      <c r="K18" t="b" s="11">
        <v>1</v>
      </c>
      <c r="L18" s="11">
        <v>45</v>
      </c>
      <c r="M18">
        <v>10901006</v>
      </c>
      <c r="AH18" s="11">
        <v>14</v>
      </c>
      <c r="AI18" s="11" t="s">
        <v>69</v>
      </c>
      <c r="AL18" t="str" s="11">
        <v>【补充设计】保留奇珍ID、钥匙与图谱关系；可携带标记与独立效果行逐ID核对。</v>
      </c>
    </row>
    <row r="19" spans="1:35">
      <c r="A19" s="25"/>
      <c r="B19">
        <v>70902007</v>
      </c>
      <c r="C19" s="25" t="s">
        <v>99</v>
      </c>
      <c r="D19" s="25">
        <v>10901007</v>
      </c>
      <c r="E19" s="25" t="s">
        <v>64</v>
      </c>
      <c r="F19" s="25" t="s">
        <v>65</v>
      </c>
      <c r="G19" s="25" t="s">
        <v>66</v>
      </c>
      <c r="H19" s="25">
        <v>10902007</v>
      </c>
      <c r="I19" s="25" t="s">
        <v>100</v>
      </c>
      <c r="J19" s="25" t="s">
        <v>68</v>
      </c>
      <c r="K19" t="b" s="11">
        <v>0</v>
      </c>
      <c r="L19" s="11">
        <v>45</v>
      </c>
      <c r="M19">
        <v>10901007</v>
      </c>
      <c r="AH19" s="11">
        <v>15</v>
      </c>
      <c r="AI19" s="11" t="s">
        <v>69</v>
      </c>
      <c r="AL19" t="str" s="11">
        <v>【补充设计】保留奇珍ID、钥匙与图谱关系；可携带标记与独立效果行逐ID核对。</v>
      </c>
    </row>
    <row r="20" spans="1:35">
      <c r="A20" s="25"/>
      <c r="B20">
        <v>70902008</v>
      </c>
      <c r="C20" s="25" t="s">
        <v>101</v>
      </c>
      <c r="D20" s="25">
        <v>10901008</v>
      </c>
      <c r="E20" s="25" t="s">
        <v>64</v>
      </c>
      <c r="F20" s="25" t="s">
        <v>65</v>
      </c>
      <c r="G20" s="25" t="s">
        <v>66</v>
      </c>
      <c r="H20" s="25">
        <v>10902008</v>
      </c>
      <c r="I20" s="25" t="s">
        <v>102</v>
      </c>
      <c r="J20" s="25" t="s">
        <v>68</v>
      </c>
      <c r="K20" t="b" s="11">
        <v>0</v>
      </c>
      <c r="L20" s="11">
        <v>43</v>
      </c>
      <c r="M20">
        <v>10901008</v>
      </c>
      <c r="AH20" s="11">
        <v>16</v>
      </c>
      <c r="AI20" s="11" t="s">
        <v>69</v>
      </c>
      <c r="AL20" t="str" s="11">
        <v>【补充设计】保留奇珍ID、钥匙与图谱关系；可携带标记与独立效果行逐ID核对。</v>
      </c>
    </row>
    <row r="21" spans="1:35">
      <c r="A21" s="25"/>
      <c r="B21">
        <v>70902009</v>
      </c>
      <c r="C21" s="25" t="s">
        <v>103</v>
      </c>
      <c r="D21" s="25">
        <v>10902009</v>
      </c>
      <c r="E21" s="25" t="s">
        <v>64</v>
      </c>
      <c r="F21" s="25" t="s">
        <v>65</v>
      </c>
      <c r="G21" s="25" t="s">
        <v>66</v>
      </c>
      <c r="H21" s="25">
        <v>10902009</v>
      </c>
      <c r="I21" s="25" t="s">
        <v>104</v>
      </c>
      <c r="J21" s="25" t="s">
        <v>68</v>
      </c>
      <c r="K21" t="b" s="11">
        <v>0</v>
      </c>
      <c r="L21" s="11"/>
      <c r="M21">
        <v>10902009</v>
      </c>
      <c r="AH21" s="11">
        <v>17</v>
      </c>
      <c r="AI21" s="11" t="s">
        <v>69</v>
      </c>
      <c r="AL21" t="str" s="11">
        <v>【补充设计】保留奇珍ID、钥匙与图谱关系；可携带标记与独立效果行逐ID核对。</v>
      </c>
    </row>
    <row r="22" spans="1:35">
      <c r="A22" s="25"/>
      <c r="B22">
        <v>70902010</v>
      </c>
      <c r="C22" s="25" t="s">
        <v>105</v>
      </c>
      <c r="D22" s="25">
        <v>10902010</v>
      </c>
      <c r="E22" s="25" t="s">
        <v>64</v>
      </c>
      <c r="F22" s="25" t="s">
        <v>65</v>
      </c>
      <c r="G22" s="25" t="s">
        <v>66</v>
      </c>
      <c r="H22" s="25">
        <v>10902010</v>
      </c>
      <c r="I22" s="25" t="s">
        <v>106</v>
      </c>
      <c r="J22" s="25" t="s">
        <v>68</v>
      </c>
      <c r="K22" t="b" s="11">
        <v>0</v>
      </c>
      <c r="L22" s="11">
        <v>47</v>
      </c>
      <c r="M22">
        <v>10902010</v>
      </c>
      <c r="AH22" s="11">
        <v>18</v>
      </c>
      <c r="AI22" s="11" t="s">
        <v>69</v>
      </c>
      <c r="AL22" t="str" s="11">
        <v>【补充设计】保留奇珍ID、钥匙与图谱关系；可携带标记与独立效果行逐ID核对。</v>
      </c>
    </row>
    <row r="23" spans="1:35">
      <c r="A23" s="25"/>
      <c r="B23">
        <v>70902011</v>
      </c>
      <c r="C23" s="25" t="s">
        <v>107</v>
      </c>
      <c r="D23" s="25">
        <v>10902011</v>
      </c>
      <c r="E23" s="25" t="s">
        <v>64</v>
      </c>
      <c r="F23" s="25" t="s">
        <v>65</v>
      </c>
      <c r="G23" s="25" t="s">
        <v>66</v>
      </c>
      <c r="H23" s="25">
        <v>10902011</v>
      </c>
      <c r="I23" s="25" t="s">
        <v>108</v>
      </c>
      <c r="J23" s="25" t="s">
        <v>68</v>
      </c>
      <c r="K23" t="b" s="11">
        <v>0</v>
      </c>
      <c r="L23" s="11">
        <v>47</v>
      </c>
      <c r="M23">
        <v>10902011</v>
      </c>
      <c r="AH23" s="11">
        <v>19</v>
      </c>
      <c r="AI23" s="11" t="s">
        <v>69</v>
      </c>
      <c r="AL23" t="str" s="11">
        <v>【补充设计】保留奇珍ID、钥匙与图谱关系；可携带标记与独立效果行逐ID核对。</v>
      </c>
    </row>
    <row r="24" spans="1:35">
      <c r="A24" s="25"/>
      <c r="B24">
        <v>70902012</v>
      </c>
      <c r="C24" s="25" t="s">
        <v>109</v>
      </c>
      <c r="D24" s="25">
        <v>10902012</v>
      </c>
      <c r="E24" s="25" t="s">
        <v>64</v>
      </c>
      <c r="F24" s="25" t="s">
        <v>65</v>
      </c>
      <c r="G24" s="25" t="s">
        <v>66</v>
      </c>
      <c r="H24" s="25">
        <v>10902012</v>
      </c>
      <c r="I24" s="25" t="s">
        <v>110</v>
      </c>
      <c r="J24" s="25" t="s">
        <v>68</v>
      </c>
      <c r="K24" t="b" s="11">
        <v>0</v>
      </c>
      <c r="L24" s="11"/>
      <c r="M24">
        <v>10902012</v>
      </c>
      <c r="AH24" s="11">
        <v>20</v>
      </c>
      <c r="AI24" s="11" t="s">
        <v>69</v>
      </c>
      <c r="AL24" t="str" s="11">
        <v>【补充设计】保留奇珍ID、钥匙与图谱关系；可携带标记与独立效果行逐ID核对。</v>
      </c>
    </row>
    <row r="25" spans="1:35">
      <c r="A25" s="25"/>
      <c r="B25">
        <v>70902013</v>
      </c>
      <c r="C25" s="25" t="s">
        <v>111</v>
      </c>
      <c r="D25" s="25">
        <v>10901013</v>
      </c>
      <c r="E25" s="25" t="s">
        <v>64</v>
      </c>
      <c r="F25" s="25" t="s">
        <v>65</v>
      </c>
      <c r="G25" s="25" t="s">
        <v>66</v>
      </c>
      <c r="H25" s="25">
        <v>10902013</v>
      </c>
      <c r="I25" s="25" t="s">
        <v>112</v>
      </c>
      <c r="J25" s="25" t="s">
        <v>68</v>
      </c>
      <c r="K25" t="b" s="11">
        <v>1</v>
      </c>
      <c r="L25" s="11">
        <v>46</v>
      </c>
      <c r="M25">
        <v>10901013</v>
      </c>
      <c r="AH25" s="11">
        <v>21</v>
      </c>
      <c r="AI25" s="11" t="s">
        <v>69</v>
      </c>
      <c r="AL25" t="str" s="11">
        <v>【补充设计】保留奇珍ID、钥匙与图谱关系；可携带标记与独立效果行逐ID核对。</v>
      </c>
    </row>
    <row r="26" spans="1:35">
      <c r="A26" s="25"/>
      <c r="B26">
        <v>70902014</v>
      </c>
      <c r="C26" s="25" t="s">
        <v>113</v>
      </c>
      <c r="D26" s="25">
        <v>10901014</v>
      </c>
      <c r="E26" s="25" t="s">
        <v>64</v>
      </c>
      <c r="F26" s="25" t="s">
        <v>65</v>
      </c>
      <c r="G26" s="25" t="s">
        <v>66</v>
      </c>
      <c r="H26" s="25">
        <v>10902014</v>
      </c>
      <c r="I26" s="25" t="s">
        <v>114</v>
      </c>
      <c r="J26" s="25" t="s">
        <v>68</v>
      </c>
      <c r="K26" t="b" s="11">
        <v>0</v>
      </c>
      <c r="L26" s="11">
        <v>47</v>
      </c>
      <c r="M26">
        <v>10901014</v>
      </c>
      <c r="AH26" s="11">
        <v>22</v>
      </c>
      <c r="AI26" s="11" t="s">
        <v>69</v>
      </c>
      <c r="AL26" t="str" s="11">
        <v>【补充设计】保留奇珍ID、钥匙与图谱关系；可携带标记与独立效果行逐ID核对。</v>
      </c>
    </row>
    <row r="27" spans="1:35">
      <c r="A27" s="25"/>
      <c r="B27">
        <v>70902015</v>
      </c>
      <c r="C27" s="25" t="s">
        <v>115</v>
      </c>
      <c r="D27" s="25">
        <v>10901015</v>
      </c>
      <c r="E27" s="25" t="s">
        <v>64</v>
      </c>
      <c r="F27" s="25" t="s">
        <v>65</v>
      </c>
      <c r="G27" s="25" t="s">
        <v>66</v>
      </c>
      <c r="H27" s="25">
        <v>10902015</v>
      </c>
      <c r="I27" s="25" t="s">
        <v>116</v>
      </c>
      <c r="J27" s="25" t="s">
        <v>68</v>
      </c>
      <c r="K27" t="b" s="11">
        <v>0</v>
      </c>
      <c r="L27" s="11">
        <v>46</v>
      </c>
      <c r="M27">
        <v>10901015</v>
      </c>
      <c r="AH27" s="11">
        <v>23</v>
      </c>
      <c r="AI27" s="11" t="s">
        <v>69</v>
      </c>
      <c r="AL27" t="str" s="11">
        <v>【补充设计】保留奇珍ID、钥匙与图谱关系；可携带标记与独立效果行逐ID核对。</v>
      </c>
    </row>
    <row r="28" spans="1:35">
      <c r="A28" s="25"/>
      <c r="B28">
        <v>70902016</v>
      </c>
      <c r="C28" s="25" t="s">
        <v>117</v>
      </c>
      <c r="D28" s="25">
        <v>10901016</v>
      </c>
      <c r="E28" s="25" t="s">
        <v>64</v>
      </c>
      <c r="F28" s="25" t="s">
        <v>65</v>
      </c>
      <c r="G28" s="25" t="s">
        <v>66</v>
      </c>
      <c r="H28" s="25">
        <v>10902016</v>
      </c>
      <c r="I28" s="25" t="s">
        <v>118</v>
      </c>
      <c r="J28" s="25" t="s">
        <v>68</v>
      </c>
      <c r="K28" t="b" s="11">
        <v>0</v>
      </c>
      <c r="L28" s="11"/>
      <c r="M28">
        <v>10901016</v>
      </c>
      <c r="AH28" s="11">
        <v>24</v>
      </c>
      <c r="AI28" s="11" t="s">
        <v>69</v>
      </c>
      <c r="AL28" t="str" s="11">
        <v>【补充设计】保留奇珍ID、钥匙与图谱关系；可携带标记与独立效果行逐ID核对。</v>
      </c>
    </row>
    <row r="29" spans="1:35">
      <c r="A29" s="25"/>
      <c r="B29">
        <v>70902017</v>
      </c>
      <c r="C29" s="25" t="s">
        <v>119</v>
      </c>
      <c r="D29" s="25">
        <v>10901017</v>
      </c>
      <c r="E29" s="25" t="s">
        <v>64</v>
      </c>
      <c r="F29" s="25" t="s">
        <v>65</v>
      </c>
      <c r="G29" s="25" t="s">
        <v>66</v>
      </c>
      <c r="H29" s="25">
        <v>10902017</v>
      </c>
      <c r="I29" s="25" t="s">
        <v>120</v>
      </c>
      <c r="J29" s="25" t="s">
        <v>68</v>
      </c>
      <c r="K29" t="b" s="11">
        <v>0</v>
      </c>
      <c r="L29" s="11">
        <v>48</v>
      </c>
      <c r="M29">
        <v>10901017</v>
      </c>
      <c r="AH29" s="11">
        <v>25</v>
      </c>
      <c r="AI29" s="11" t="s">
        <v>69</v>
      </c>
      <c r="AL29" t="str" s="11">
        <v>【补充设计】保留奇珍ID、钥匙与图谱关系；可携带标记与独立效果行逐ID核对。</v>
      </c>
    </row>
    <row r="30" spans="1:35">
      <c r="A30" s="25"/>
      <c r="B30">
        <v>70902018</v>
      </c>
      <c r="C30" s="25" t="s">
        <v>121</v>
      </c>
      <c r="D30" s="25">
        <v>10901018</v>
      </c>
      <c r="E30" s="25" t="s">
        <v>64</v>
      </c>
      <c r="F30" s="25" t="s">
        <v>65</v>
      </c>
      <c r="G30" s="25" t="s">
        <v>66</v>
      </c>
      <c r="H30" s="25">
        <v>10902018</v>
      </c>
      <c r="I30" s="25" t="s">
        <v>122</v>
      </c>
      <c r="J30" s="25" t="s">
        <v>68</v>
      </c>
      <c r="K30" t="b" s="11">
        <v>0</v>
      </c>
      <c r="L30" s="11">
        <v>48</v>
      </c>
      <c r="M30">
        <v>10901018</v>
      </c>
      <c r="AH30" s="11">
        <v>26</v>
      </c>
      <c r="AI30" s="11" t="s">
        <v>69</v>
      </c>
      <c r="AL30" t="str" s="11">
        <v>【补充设计】保留奇珍ID、钥匙与图谱关系；可携带标记与独立效果行逐ID核对。</v>
      </c>
    </row>
    <row r="31" spans="1:35">
      <c r="A31" s="25"/>
      <c r="B31">
        <v>70902019</v>
      </c>
      <c r="C31" s="25" t="s">
        <v>123</v>
      </c>
      <c r="D31" s="25">
        <v>10901019</v>
      </c>
      <c r="E31" s="25" t="s">
        <v>64</v>
      </c>
      <c r="F31" s="25" t="s">
        <v>65</v>
      </c>
      <c r="G31" s="25" t="s">
        <v>66</v>
      </c>
      <c r="H31" s="25">
        <v>10902019</v>
      </c>
      <c r="I31" s="25" t="s">
        <v>124</v>
      </c>
      <c r="J31" s="25" t="s">
        <v>68</v>
      </c>
      <c r="K31" t="b" s="11">
        <v>0</v>
      </c>
      <c r="L31" s="11"/>
      <c r="M31">
        <v>10901019</v>
      </c>
      <c r="AH31" s="11">
        <v>27</v>
      </c>
      <c r="AI31" s="11" t="s">
        <v>69</v>
      </c>
      <c r="AL31" t="str" s="11">
        <v>【补充设计】保留奇珍ID、钥匙与图谱关系；可携带标记与独立效果行逐ID核对。</v>
      </c>
    </row>
    <row r="32" spans="1:35">
      <c r="A32" s="25"/>
      <c r="B32">
        <v>70902020</v>
      </c>
      <c r="C32" s="25" t="s">
        <v>125</v>
      </c>
      <c r="D32" s="25">
        <v>10901020</v>
      </c>
      <c r="E32" s="25" t="s">
        <v>64</v>
      </c>
      <c r="F32" s="25" t="s">
        <v>65</v>
      </c>
      <c r="G32" s="25" t="s">
        <v>66</v>
      </c>
      <c r="H32" s="25">
        <v>10902020</v>
      </c>
      <c r="I32" s="25" t="s">
        <v>126</v>
      </c>
      <c r="J32" s="25" t="s">
        <v>68</v>
      </c>
      <c r="K32" t="b" s="11">
        <v>0</v>
      </c>
      <c r="L32" s="11"/>
      <c r="M32">
        <v>10901020</v>
      </c>
      <c r="AH32" s="11">
        <v>28</v>
      </c>
      <c r="AI32" s="11" t="s">
        <v>69</v>
      </c>
      <c r="AL32" t="str" s="11">
        <v>【补充设计】保留奇珍ID、钥匙与图谱关系；可携带标记与独立效果行逐ID核对。</v>
      </c>
    </row>
    <row r="33" spans="1:35">
      <c r="A33" s="25"/>
      <c r="B33">
        <v>70902021</v>
      </c>
      <c r="C33" s="25" t="s">
        <v>127</v>
      </c>
      <c r="D33" s="25">
        <v>10902021</v>
      </c>
      <c r="E33" s="25" t="s">
        <v>64</v>
      </c>
      <c r="F33" s="25" t="s">
        <v>65</v>
      </c>
      <c r="G33" s="25" t="s">
        <v>66</v>
      </c>
      <c r="H33" s="25">
        <v>10902021</v>
      </c>
      <c r="I33" s="25" t="s">
        <v>128</v>
      </c>
      <c r="J33" s="25" t="s">
        <v>68</v>
      </c>
      <c r="K33" t="b" s="11">
        <v>0</v>
      </c>
      <c r="L33" s="11">
        <v>48</v>
      </c>
      <c r="M33">
        <v>10902021</v>
      </c>
      <c r="AH33" s="11">
        <v>29</v>
      </c>
      <c r="AI33" s="11" t="s">
        <v>69</v>
      </c>
      <c r="AL33" t="str" s="11">
        <v>【补充设计】保留奇珍ID、钥匙与图谱关系；可携带标记与独立效果行逐ID核对。</v>
      </c>
    </row>
    <row r="34" spans="1:35">
      <c r="A34" s="25"/>
      <c r="B34">
        <v>70902022</v>
      </c>
      <c r="C34" s="25" t="s">
        <v>129</v>
      </c>
      <c r="D34" s="25">
        <v>10902022</v>
      </c>
      <c r="E34" s="25" t="s">
        <v>64</v>
      </c>
      <c r="F34" s="25" t="s">
        <v>65</v>
      </c>
      <c r="G34" s="25" t="s">
        <v>66</v>
      </c>
      <c r="H34" s="25">
        <v>10902022</v>
      </c>
      <c r="I34" s="25" t="s">
        <v>130</v>
      </c>
      <c r="J34" s="25" t="s">
        <v>68</v>
      </c>
      <c r="K34" t="b" s="11">
        <v>0</v>
      </c>
      <c r="L34" s="11">
        <v>79</v>
      </c>
      <c r="M34">
        <v>10902022</v>
      </c>
      <c r="AH34" s="11">
        <v>30</v>
      </c>
      <c r="AI34" s="11" t="s">
        <v>69</v>
      </c>
      <c r="AL34" t="str" s="11">
        <v>【补充设计】保留奇珍ID、钥匙与图谱关系；可携带标记与独立效果行逐ID核对。</v>
      </c>
    </row>
    <row r="35" spans="1:35">
      <c r="A35" s="25"/>
      <c r="B35">
        <v>70902023</v>
      </c>
      <c r="C35" s="25" t="s">
        <v>131</v>
      </c>
      <c r="D35" s="25">
        <v>10902023</v>
      </c>
      <c r="E35" s="25" t="s">
        <v>64</v>
      </c>
      <c r="F35" s="25" t="s">
        <v>65</v>
      </c>
      <c r="G35" s="25" t="s">
        <v>66</v>
      </c>
      <c r="H35" s="25">
        <v>10902023</v>
      </c>
      <c r="I35" s="25" t="s">
        <v>132</v>
      </c>
      <c r="J35" s="25" t="s">
        <v>68</v>
      </c>
      <c r="K35" t="b" s="11">
        <v>0</v>
      </c>
      <c r="L35" s="11">
        <v>80</v>
      </c>
      <c r="M35">
        <v>10902023</v>
      </c>
      <c r="AH35" s="11">
        <v>31</v>
      </c>
      <c r="AI35" s="11" t="s">
        <v>69</v>
      </c>
      <c r="AL35" t="str" s="11">
        <v>【补充设计】保留奇珍ID、钥匙与图谱关系；可携带标记与独立效果行逐ID核对。</v>
      </c>
    </row>
    <row r="36" spans="1:35">
      <c r="A36" s="25"/>
      <c r="B36">
        <v>70902024</v>
      </c>
      <c r="C36" s="25" t="s">
        <v>133</v>
      </c>
      <c r="D36" s="25">
        <v>10902024</v>
      </c>
      <c r="E36" s="25" t="s">
        <v>64</v>
      </c>
      <c r="F36" s="25" t="s">
        <v>65</v>
      </c>
      <c r="G36" s="25" t="s">
        <v>66</v>
      </c>
      <c r="H36" s="25">
        <v>10902024</v>
      </c>
      <c r="I36" s="25" t="s">
        <v>134</v>
      </c>
      <c r="J36" s="25" t="s">
        <v>68</v>
      </c>
      <c r="K36" t="b" s="11">
        <v>0</v>
      </c>
      <c r="L36" s="11">
        <v>79</v>
      </c>
      <c r="M36">
        <v>10902024</v>
      </c>
      <c r="AH36" s="11">
        <v>32</v>
      </c>
      <c r="AI36" s="11" t="s">
        <v>69</v>
      </c>
      <c r="AL36" t="str" s="11">
        <v>【补充设计】保留奇珍ID、钥匙与图谱关系；可携带标记与独立效果行逐ID核对。</v>
      </c>
    </row>
    <row r="37" spans="1:35">
      <c r="A37" s="25"/>
      <c r="B37">
        <v>70902025</v>
      </c>
      <c r="C37" s="25" t="s">
        <v>135</v>
      </c>
      <c r="D37" s="25">
        <v>10902025</v>
      </c>
      <c r="E37" s="25" t="s">
        <v>64</v>
      </c>
      <c r="F37" s="25" t="s">
        <v>65</v>
      </c>
      <c r="G37" s="25" t="s">
        <v>66</v>
      </c>
      <c r="H37" s="25">
        <v>10902025</v>
      </c>
      <c r="I37" s="25" t="s">
        <v>136</v>
      </c>
      <c r="J37" s="25" t="s">
        <v>68</v>
      </c>
      <c r="K37" t="b" s="11">
        <v>0</v>
      </c>
      <c r="L37" s="11">
        <v>80</v>
      </c>
      <c r="M37">
        <v>10902025</v>
      </c>
      <c r="AH37" s="11">
        <v>33</v>
      </c>
      <c r="AI37" s="11" t="s">
        <v>69</v>
      </c>
      <c r="AL37" t="str" s="11">
        <v>【补充设计】保留奇珍ID、钥匙与图谱关系；可携带标记与独立效果行逐ID核对。</v>
      </c>
    </row>
    <row r="38" spans="1:35">
      <c r="A38" s="25"/>
      <c r="B38">
        <v>70902026</v>
      </c>
      <c r="C38" s="25" t="s">
        <v>137</v>
      </c>
      <c r="D38" s="25">
        <v>10902026</v>
      </c>
      <c r="E38" s="25" t="s">
        <v>64</v>
      </c>
      <c r="F38" s="25" t="s">
        <v>65</v>
      </c>
      <c r="G38" s="25" t="s">
        <v>66</v>
      </c>
      <c r="H38" s="25">
        <v>10902026</v>
      </c>
      <c r="I38" s="25" t="s">
        <v>138</v>
      </c>
      <c r="J38" s="25" t="s">
        <v>68</v>
      </c>
      <c r="K38" t="b" s="11">
        <v>0</v>
      </c>
      <c r="L38" s="11"/>
      <c r="M38">
        <v>10902026</v>
      </c>
      <c r="AH38" s="11">
        <v>34</v>
      </c>
      <c r="AI38" s="11" t="s">
        <v>69</v>
      </c>
      <c r="AL38" t="str" s="11">
        <v>【补充设计】保留奇珍ID、钥匙与图谱关系；可携带标记与独立效果行逐ID核对。</v>
      </c>
    </row>
    <row r="39" spans="1:35">
      <c r="A39" s="25"/>
      <c r="B39">
        <v>70902027</v>
      </c>
      <c r="C39" s="25" t="s">
        <v>139</v>
      </c>
      <c r="D39" s="25">
        <v>10902027</v>
      </c>
      <c r="E39" s="25" t="s">
        <v>64</v>
      </c>
      <c r="F39" s="25" t="s">
        <v>65</v>
      </c>
      <c r="G39" s="25" t="s">
        <v>66</v>
      </c>
      <c r="H39" s="25">
        <v>10902027</v>
      </c>
      <c r="I39" s="25" t="s">
        <v>140</v>
      </c>
      <c r="J39" s="25" t="s">
        <v>68</v>
      </c>
      <c r="K39" t="b" s="11">
        <v>0</v>
      </c>
      <c r="L39" s="11"/>
      <c r="M39">
        <v>10902027</v>
      </c>
      <c r="AH39" s="11">
        <v>35</v>
      </c>
      <c r="AI39" s="11" t="s">
        <v>69</v>
      </c>
      <c r="AL39" t="str" s="11">
        <v>【补充设计】保留奇珍ID、钥匙与图谱关系；可携带标记与独立效果行逐ID核对。</v>
      </c>
    </row>
    <row r="40" spans="1:35">
      <c r="A40" s="25"/>
      <c r="B40">
        <v>70902028</v>
      </c>
      <c r="C40" s="25" t="s">
        <v>141</v>
      </c>
      <c r="D40" s="25">
        <v>10902028</v>
      </c>
      <c r="E40" s="25" t="s">
        <v>64</v>
      </c>
      <c r="F40" s="25" t="s">
        <v>65</v>
      </c>
      <c r="G40" s="25" t="s">
        <v>66</v>
      </c>
      <c r="H40" s="25">
        <v>10902028</v>
      </c>
      <c r="I40" s="25" t="s">
        <v>142</v>
      </c>
      <c r="J40" s="25" t="s">
        <v>68</v>
      </c>
      <c r="K40" t="b" s="11">
        <v>1</v>
      </c>
      <c r="L40" s="11"/>
      <c r="M40">
        <v>10902028</v>
      </c>
      <c r="AH40" s="11">
        <v>36</v>
      </c>
      <c r="AI40" s="11" t="s">
        <v>69</v>
      </c>
      <c r="AL40" t="str" s="11">
        <v>【补充设计】保留奇珍ID、钥匙与图谱关系；可携带标记与独立效果行逐ID核对。</v>
      </c>
    </row>
    <row r="41" spans="1:35">
      <c r="B41">
        <f>M41+60000000</f>
        <v>71224000</v>
      </c>
      <c r="C41" t="s">
        <v>143</v>
      </c>
      <c r="D41" s="25">
        <v>11224000</v>
      </c>
      <c r="E41" t="s">
        <v>144</v>
      </c>
      <c r="F41" t="s">
        <v>145</v>
      </c>
      <c r="G41" s="25" t="s">
        <v>66</v>
      </c>
      <c r="H41">
        <v>11221000</v>
      </c>
      <c r="I41" s="20" t="s">
        <v>146</v>
      </c>
      <c r="J41" s="25" t="s">
        <v>68</v>
      </c>
      <c r="K41" t="b" s="11">
        <v>0</v>
      </c>
      <c r="L41">
        <v>56</v>
      </c>
      <c r="M41">
        <v>11224000</v>
      </c>
      <c r="N41">
        <v>11225000</v>
      </c>
      <c r="O41">
        <v>11226000</v>
      </c>
      <c r="P41">
        <v>11234000</v>
      </c>
      <c r="Q41">
        <v>11235000</v>
      </c>
      <c r="R41">
        <v>11236000</v>
      </c>
      <c r="S41">
        <v>11244000</v>
      </c>
      <c r="T41">
        <v>11245000</v>
      </c>
      <c r="U41">
        <v>11246000</v>
      </c>
      <c r="V41">
        <v>11254000</v>
      </c>
      <c r="W41">
        <v>11255000</v>
      </c>
      <c r="X41">
        <v>11256000</v>
      </c>
      <c r="Y41">
        <v>11264000</v>
      </c>
      <c r="Z41">
        <v>11265000</v>
      </c>
      <c r="AA41">
        <v>11266000</v>
      </c>
      <c r="AB41">
        <v>11274000</v>
      </c>
      <c r="AC41">
        <v>11275000</v>
      </c>
      <c r="AD41">
        <v>11276000</v>
      </c>
      <c r="AE41">
        <v>11284000</v>
      </c>
      <c r="AF41">
        <v>11285000</v>
      </c>
      <c r="AG41">
        <v>11286000</v>
      </c>
      <c r="AH41" s="11">
        <v>1</v>
      </c>
      <c r="AI41" s="11" t="s">
        <v>69</v>
      </c>
      <c r="AL41" t="str" s="11">
        <v>【补充设计】保留奇珍ID、钥匙与图谱关系；可携带标记与独立效果行逐ID核对。</v>
      </c>
    </row>
    <row r="42" spans="1:35">
      <c r="B42">
        <f t="shared" ref="B42:B73" si="0">M42+60000000</f>
        <v>71324000</v>
      </c>
      <c r="C42" t="s">
        <v>147</v>
      </c>
      <c r="D42" s="25">
        <v>11324000</v>
      </c>
      <c r="E42" t="s">
        <v>144</v>
      </c>
      <c r="F42" t="s">
        <v>145</v>
      </c>
      <c r="G42" s="25" t="s">
        <v>66</v>
      </c>
      <c r="H42">
        <v>11321000</v>
      </c>
      <c r="I42" t="s">
        <v>148</v>
      </c>
      <c r="J42" s="25" t="s">
        <v>68</v>
      </c>
      <c r="K42" t="b" s="11">
        <v>1</v>
      </c>
      <c r="L42">
        <v>1</v>
      </c>
      <c r="M42">
        <v>11324000</v>
      </c>
      <c r="N42">
        <v>11325000</v>
      </c>
      <c r="O42">
        <v>11326000</v>
      </c>
      <c r="P42">
        <v>11334000</v>
      </c>
      <c r="Q42">
        <v>11335000</v>
      </c>
      <c r="R42">
        <v>11336000</v>
      </c>
      <c r="S42">
        <v>11344000</v>
      </c>
      <c r="T42">
        <v>11345000</v>
      </c>
      <c r="U42">
        <v>11346000</v>
      </c>
      <c r="V42">
        <v>11354000</v>
      </c>
      <c r="W42">
        <v>11355000</v>
      </c>
      <c r="X42">
        <v>11356000</v>
      </c>
      <c r="Y42">
        <v>11364000</v>
      </c>
      <c r="Z42">
        <v>11365000</v>
      </c>
      <c r="AA42">
        <v>11366000</v>
      </c>
      <c r="AB42">
        <v>11374000</v>
      </c>
      <c r="AC42">
        <v>11375000</v>
      </c>
      <c r="AD42">
        <v>11376000</v>
      </c>
      <c r="AE42">
        <v>11384000</v>
      </c>
      <c r="AF42">
        <v>11385000</v>
      </c>
      <c r="AG42">
        <v>11386000</v>
      </c>
      <c r="AH42" s="11">
        <v>2</v>
      </c>
      <c r="AI42" s="11" t="s">
        <v>69</v>
      </c>
      <c r="AL42" t="str" s="11">
        <v>【补充设计】保留奇珍ID、钥匙与图谱关系；可携带标记与独立效果行逐ID核对。</v>
      </c>
    </row>
    <row r="43" spans="1:35">
      <c r="B43">
        <f t="shared" si="0"/>
        <v>71324001</v>
      </c>
      <c r="C43" t="s">
        <v>149</v>
      </c>
      <c r="D43" s="25">
        <v>11324001</v>
      </c>
      <c r="E43" t="s">
        <v>144</v>
      </c>
      <c r="F43" t="s">
        <v>145</v>
      </c>
      <c r="G43" s="25" t="s">
        <v>66</v>
      </c>
      <c r="H43">
        <v>11321001</v>
      </c>
      <c r="I43" t="s">
        <v>150</v>
      </c>
      <c r="J43" s="25" t="s">
        <v>68</v>
      </c>
      <c r="K43" t="b" s="11">
        <v>0</v>
      </c>
      <c r="L43">
        <v>1</v>
      </c>
      <c r="M43">
        <v>11324001</v>
      </c>
      <c r="N43">
        <v>11325001</v>
      </c>
      <c r="O43">
        <v>11326001</v>
      </c>
      <c r="P43">
        <v>11334001</v>
      </c>
      <c r="Q43">
        <v>11335001</v>
      </c>
      <c r="R43">
        <v>11336001</v>
      </c>
      <c r="S43">
        <v>11344001</v>
      </c>
      <c r="T43">
        <v>11345001</v>
      </c>
      <c r="U43">
        <v>11346001</v>
      </c>
      <c r="V43">
        <v>11354001</v>
      </c>
      <c r="W43">
        <v>11355001</v>
      </c>
      <c r="X43">
        <v>11356001</v>
      </c>
      <c r="Y43">
        <v>11364001</v>
      </c>
      <c r="Z43">
        <v>11365001</v>
      </c>
      <c r="AA43">
        <v>11366001</v>
      </c>
      <c r="AB43">
        <v>11374001</v>
      </c>
      <c r="AC43">
        <v>11375001</v>
      </c>
      <c r="AD43">
        <v>11376001</v>
      </c>
      <c r="AE43">
        <v>11384001</v>
      </c>
      <c r="AF43">
        <v>11385001</v>
      </c>
      <c r="AG43">
        <v>11386001</v>
      </c>
      <c r="AH43" s="11">
        <v>3</v>
      </c>
      <c r="AI43" s="11" t="s">
        <v>69</v>
      </c>
      <c r="AL43" t="str" s="11">
        <v>【补充设计】保留奇珍ID、钥匙与图谱关系；可携带标记与独立效果行逐ID核对。</v>
      </c>
    </row>
    <row r="44" spans="1:35">
      <c r="B44">
        <f t="shared" si="0"/>
        <v>71324002</v>
      </c>
      <c r="C44" t="s">
        <v>151</v>
      </c>
      <c r="D44" s="25">
        <v>11324002</v>
      </c>
      <c r="E44" t="s">
        <v>144</v>
      </c>
      <c r="F44" t="s">
        <v>145</v>
      </c>
      <c r="G44" s="25" t="s">
        <v>66</v>
      </c>
      <c r="H44">
        <v>11321002</v>
      </c>
      <c r="I44" t="s">
        <v>152</v>
      </c>
      <c r="J44" s="25" t="s">
        <v>68</v>
      </c>
      <c r="K44" t="b" s="11">
        <v>0</v>
      </c>
      <c r="L44">
        <v>56</v>
      </c>
      <c r="M44">
        <v>11324002</v>
      </c>
      <c r="N44">
        <v>11325002</v>
      </c>
      <c r="O44">
        <v>11326002</v>
      </c>
      <c r="P44">
        <v>11334002</v>
      </c>
      <c r="Q44">
        <v>11335002</v>
      </c>
      <c r="R44">
        <v>11336002</v>
      </c>
      <c r="S44">
        <v>11344002</v>
      </c>
      <c r="T44">
        <v>11345002</v>
      </c>
      <c r="U44">
        <v>11346002</v>
      </c>
      <c r="V44">
        <v>11354002</v>
      </c>
      <c r="W44">
        <v>11355002</v>
      </c>
      <c r="X44">
        <v>11356002</v>
      </c>
      <c r="Y44">
        <v>11364002</v>
      </c>
      <c r="Z44">
        <v>11365002</v>
      </c>
      <c r="AA44">
        <v>11366002</v>
      </c>
      <c r="AB44">
        <v>11374002</v>
      </c>
      <c r="AC44">
        <v>11375002</v>
      </c>
      <c r="AD44">
        <v>11376002</v>
      </c>
      <c r="AE44">
        <v>11384002</v>
      </c>
      <c r="AF44">
        <v>11385002</v>
      </c>
      <c r="AG44">
        <v>11386002</v>
      </c>
      <c r="AH44" s="11">
        <v>4</v>
      </c>
      <c r="AI44" s="11" t="s">
        <v>69</v>
      </c>
      <c r="AL44" t="str" s="11">
        <v>【补充设计】保留奇珍ID、钥匙与图谱关系；可携带标记与独立效果行逐ID核对。</v>
      </c>
    </row>
    <row r="45" spans="1:35">
      <c r="B45">
        <f t="shared" si="0"/>
        <v>71324003</v>
      </c>
      <c r="C45" t="s">
        <v>153</v>
      </c>
      <c r="D45" s="25">
        <v>11324003</v>
      </c>
      <c r="E45" t="s">
        <v>144</v>
      </c>
      <c r="F45" t="s">
        <v>145</v>
      </c>
      <c r="G45" s="25" t="s">
        <v>66</v>
      </c>
      <c r="H45">
        <v>11321003</v>
      </c>
      <c r="I45" t="s">
        <v>154</v>
      </c>
      <c r="J45" s="25" t="s">
        <v>68</v>
      </c>
      <c r="K45" t="b" s="11">
        <v>0</v>
      </c>
      <c r="L45">
        <v>56</v>
      </c>
      <c r="M45">
        <v>11324003</v>
      </c>
      <c r="N45">
        <v>11325003</v>
      </c>
      <c r="O45">
        <v>11326003</v>
      </c>
      <c r="P45">
        <v>11334003</v>
      </c>
      <c r="Q45">
        <v>11335003</v>
      </c>
      <c r="R45">
        <v>11336003</v>
      </c>
      <c r="S45">
        <v>11344003</v>
      </c>
      <c r="T45">
        <v>11345003</v>
      </c>
      <c r="U45">
        <v>11346003</v>
      </c>
      <c r="V45">
        <v>11354003</v>
      </c>
      <c r="W45">
        <v>11355003</v>
      </c>
      <c r="X45">
        <v>11356003</v>
      </c>
      <c r="Y45">
        <v>11364003</v>
      </c>
      <c r="Z45">
        <v>11365003</v>
      </c>
      <c r="AA45">
        <v>11366003</v>
      </c>
      <c r="AB45">
        <v>11374003</v>
      </c>
      <c r="AC45">
        <v>11375003</v>
      </c>
      <c r="AD45">
        <v>11376003</v>
      </c>
      <c r="AE45">
        <v>11384003</v>
      </c>
      <c r="AF45">
        <v>11385003</v>
      </c>
      <c r="AG45">
        <v>11386003</v>
      </c>
      <c r="AH45" s="11">
        <v>5</v>
      </c>
      <c r="AI45" s="11" t="s">
        <v>69</v>
      </c>
      <c r="AL45" t="str" s="11">
        <v>【补充设计】保留奇珍ID、钥匙与图谱关系；可携带标记与独立效果行逐ID核对。</v>
      </c>
    </row>
    <row r="46" spans="1:35">
      <c r="B46">
        <f t="shared" si="0"/>
        <v>71324004</v>
      </c>
      <c r="C46" t="s">
        <v>155</v>
      </c>
      <c r="D46" s="25">
        <v>11324004</v>
      </c>
      <c r="E46" t="s">
        <v>144</v>
      </c>
      <c r="F46" t="s">
        <v>145</v>
      </c>
      <c r="G46" s="25" t="s">
        <v>66</v>
      </c>
      <c r="H46">
        <v>11321004</v>
      </c>
      <c r="I46" t="s">
        <v>156</v>
      </c>
      <c r="J46" s="25" t="s">
        <v>68</v>
      </c>
      <c r="K46" t="b" s="11">
        <v>0</v>
      </c>
      <c r="L46">
        <v>2</v>
      </c>
      <c r="M46">
        <v>11324004</v>
      </c>
      <c r="N46">
        <v>11325004</v>
      </c>
      <c r="O46">
        <v>11326004</v>
      </c>
      <c r="P46">
        <v>11334004</v>
      </c>
      <c r="Q46">
        <v>11335004</v>
      </c>
      <c r="R46">
        <v>11336004</v>
      </c>
      <c r="S46">
        <v>11344004</v>
      </c>
      <c r="T46">
        <v>11345004</v>
      </c>
      <c r="U46">
        <v>11346004</v>
      </c>
      <c r="V46">
        <v>11354004</v>
      </c>
      <c r="W46">
        <v>11355004</v>
      </c>
      <c r="X46">
        <v>11356004</v>
      </c>
      <c r="Y46">
        <v>11364004</v>
      </c>
      <c r="Z46">
        <v>11365004</v>
      </c>
      <c r="AA46">
        <v>11366004</v>
      </c>
      <c r="AB46">
        <v>11374004</v>
      </c>
      <c r="AC46">
        <v>11375004</v>
      </c>
      <c r="AD46">
        <v>11376004</v>
      </c>
      <c r="AE46">
        <v>11384004</v>
      </c>
      <c r="AF46">
        <v>11385004</v>
      </c>
      <c r="AG46">
        <v>11386004</v>
      </c>
      <c r="AH46" s="11">
        <v>6</v>
      </c>
      <c r="AI46" s="11" t="s">
        <v>69</v>
      </c>
      <c r="AL46" t="str" s="11">
        <v>【补充设计】保留奇珍ID、钥匙与图谱关系；可携带标记与独立效果行逐ID核对。</v>
      </c>
    </row>
    <row r="47" spans="1:35">
      <c r="B47">
        <f t="shared" si="0"/>
        <v>71324005</v>
      </c>
      <c r="C47" t="inlineStr">
        <is>
          <t xml:space="preserve">沸泉苔</t>
        </is>
      </c>
      <c r="D47" s="25">
        <v>11324005</v>
      </c>
      <c r="E47" t="s">
        <v>144</v>
      </c>
      <c r="F47" t="s">
        <v>145</v>
      </c>
      <c r="G47" s="25" t="s">
        <v>66</v>
      </c>
      <c r="H47">
        <v>11321005</v>
      </c>
      <c r="I47" t="s">
        <v>158</v>
      </c>
      <c r="J47" s="25" t="s">
        <v>68</v>
      </c>
      <c r="K47" t="b" s="11">
        <v>0</v>
      </c>
      <c r="L47">
        <v>2</v>
      </c>
      <c r="M47">
        <v>11324005</v>
      </c>
      <c r="N47">
        <v>11325005</v>
      </c>
      <c r="O47">
        <v>11326005</v>
      </c>
      <c r="P47">
        <v>11334005</v>
      </c>
      <c r="Q47">
        <v>11335005</v>
      </c>
      <c r="R47">
        <v>11336005</v>
      </c>
      <c r="S47">
        <v>11344005</v>
      </c>
      <c r="T47">
        <v>11345005</v>
      </c>
      <c r="U47">
        <v>11346005</v>
      </c>
      <c r="V47">
        <v>11354005</v>
      </c>
      <c r="W47">
        <v>11355005</v>
      </c>
      <c r="X47">
        <v>11356005</v>
      </c>
      <c r="Y47">
        <v>11364005</v>
      </c>
      <c r="Z47">
        <v>11365005</v>
      </c>
      <c r="AA47">
        <v>11366005</v>
      </c>
      <c r="AB47">
        <v>11374005</v>
      </c>
      <c r="AC47">
        <v>11375005</v>
      </c>
      <c r="AD47">
        <v>11376005</v>
      </c>
      <c r="AE47">
        <v>11384005</v>
      </c>
      <c r="AF47">
        <v>11385005</v>
      </c>
      <c r="AG47">
        <v>11386005</v>
      </c>
      <c r="AH47" s="11">
        <v>7</v>
      </c>
      <c r="AI47" s="11" t="s">
        <v>69</v>
      </c>
      <c r="AL47" t="str" s="11">
        <v>【补充设计】保留奇珍ID、钥匙与图谱关系；可携带标记与独立效果行逐ID核对。</v>
      </c>
    </row>
    <row r="48" spans="1:35">
      <c r="B48">
        <f t="shared" si="0"/>
        <v>71324006</v>
      </c>
      <c r="C48" t="inlineStr">
        <is>
          <t xml:space="preserve">丹露花</t>
        </is>
      </c>
      <c r="D48" s="25">
        <v>11324006</v>
      </c>
      <c r="E48" t="s">
        <v>144</v>
      </c>
      <c r="F48" t="s">
        <v>145</v>
      </c>
      <c r="G48" s="25" t="s">
        <v>66</v>
      </c>
      <c r="H48">
        <v>11321006</v>
      </c>
      <c r="I48" t="s">
        <v>160</v>
      </c>
      <c r="J48" s="25" t="s">
        <v>68</v>
      </c>
      <c r="K48" t="b" s="11">
        <v>0</v>
      </c>
      <c r="L48">
        <v>3</v>
      </c>
      <c r="M48">
        <v>11324006</v>
      </c>
      <c r="N48">
        <v>11325006</v>
      </c>
      <c r="O48">
        <v>11326006</v>
      </c>
      <c r="P48">
        <v>11334006</v>
      </c>
      <c r="Q48">
        <v>11335006</v>
      </c>
      <c r="R48">
        <v>11336006</v>
      </c>
      <c r="S48">
        <v>11344006</v>
      </c>
      <c r="T48">
        <v>11345006</v>
      </c>
      <c r="U48">
        <v>11346006</v>
      </c>
      <c r="V48">
        <v>11354006</v>
      </c>
      <c r="W48">
        <v>11355006</v>
      </c>
      <c r="X48">
        <v>11356006</v>
      </c>
      <c r="Y48">
        <v>11364006</v>
      </c>
      <c r="Z48">
        <v>11365006</v>
      </c>
      <c r="AA48">
        <v>11366006</v>
      </c>
      <c r="AB48">
        <v>11374006</v>
      </c>
      <c r="AC48">
        <v>11375006</v>
      </c>
      <c r="AD48">
        <v>11376006</v>
      </c>
      <c r="AE48">
        <v>11384006</v>
      </c>
      <c r="AF48">
        <v>11385006</v>
      </c>
      <c r="AG48">
        <v>11386006</v>
      </c>
      <c r="AH48" s="11">
        <v>8</v>
      </c>
      <c r="AI48" s="11" t="s">
        <v>69</v>
      </c>
      <c r="AL48" t="str" s="11">
        <v>【补充设计】保留奇珍ID、钥匙与图谱关系；可携带标记与独立效果行逐ID核对。</v>
      </c>
    </row>
    <row r="49" spans="2:35">
      <c r="B49">
        <f t="shared" si="0"/>
        <v>71324007</v>
      </c>
      <c r="C49" t="s">
        <v>161</v>
      </c>
      <c r="D49" s="25">
        <v>11324007</v>
      </c>
      <c r="E49" t="s">
        <v>144</v>
      </c>
      <c r="F49" t="s">
        <v>145</v>
      </c>
      <c r="G49" s="25" t="s">
        <v>66</v>
      </c>
      <c r="H49">
        <v>11321007</v>
      </c>
      <c r="I49" t="s">
        <v>162</v>
      </c>
      <c r="J49" s="25" t="s">
        <v>68</v>
      </c>
      <c r="K49" t="b" s="11">
        <v>0</v>
      </c>
      <c r="L49">
        <v>3</v>
      </c>
      <c r="M49">
        <v>11324007</v>
      </c>
      <c r="N49">
        <v>11325007</v>
      </c>
      <c r="O49">
        <v>11326007</v>
      </c>
      <c r="P49">
        <v>11334007</v>
      </c>
      <c r="Q49">
        <v>11335007</v>
      </c>
      <c r="R49">
        <v>11336007</v>
      </c>
      <c r="S49">
        <v>11344007</v>
      </c>
      <c r="T49">
        <v>11345007</v>
      </c>
      <c r="U49">
        <v>11346007</v>
      </c>
      <c r="V49">
        <v>11354007</v>
      </c>
      <c r="W49">
        <v>11355007</v>
      </c>
      <c r="X49">
        <v>11356007</v>
      </c>
      <c r="Y49">
        <v>11364007</v>
      </c>
      <c r="Z49">
        <v>11365007</v>
      </c>
      <c r="AA49">
        <v>11366007</v>
      </c>
      <c r="AB49">
        <v>11374007</v>
      </c>
      <c r="AC49">
        <v>11375007</v>
      </c>
      <c r="AD49">
        <v>11376007</v>
      </c>
      <c r="AE49">
        <v>11384007</v>
      </c>
      <c r="AF49">
        <v>11385007</v>
      </c>
      <c r="AG49">
        <v>11386007</v>
      </c>
      <c r="AH49" s="11">
        <v>9</v>
      </c>
      <c r="AI49" s="11" t="s">
        <v>69</v>
      </c>
      <c r="AL49" t="str" s="11">
        <v>【补充设计】保留奇珍ID、钥匙与图谱关系；可携带标记与独立效果行逐ID核对。</v>
      </c>
    </row>
    <row r="50" spans="2:35">
      <c r="B50">
        <f t="shared" si="0"/>
        <v>71324008</v>
      </c>
      <c r="C50" t="s">
        <v>163</v>
      </c>
      <c r="D50" s="25">
        <v>11324008</v>
      </c>
      <c r="E50" t="s">
        <v>144</v>
      </c>
      <c r="F50" t="s">
        <v>145</v>
      </c>
      <c r="G50" s="25" t="s">
        <v>66</v>
      </c>
      <c r="H50">
        <v>11321008</v>
      </c>
      <c r="I50" t="s">
        <v>164</v>
      </c>
      <c r="J50" s="25" t="s">
        <v>68</v>
      </c>
      <c r="K50" t="b" s="11">
        <v>0</v>
      </c>
      <c r="L50">
        <v>56</v>
      </c>
      <c r="M50">
        <v>11324008</v>
      </c>
      <c r="N50">
        <v>11325008</v>
      </c>
      <c r="O50">
        <v>11326008</v>
      </c>
      <c r="P50">
        <v>11334008</v>
      </c>
      <c r="Q50">
        <v>11335008</v>
      </c>
      <c r="R50">
        <v>11336008</v>
      </c>
      <c r="S50">
        <v>11344008</v>
      </c>
      <c r="T50">
        <v>11345008</v>
      </c>
      <c r="U50">
        <v>11346008</v>
      </c>
      <c r="V50">
        <v>11354008</v>
      </c>
      <c r="W50">
        <v>11355008</v>
      </c>
      <c r="X50">
        <v>11356008</v>
      </c>
      <c r="Y50">
        <v>11364008</v>
      </c>
      <c r="Z50">
        <v>11365008</v>
      </c>
      <c r="AA50">
        <v>11366008</v>
      </c>
      <c r="AB50">
        <v>11374008</v>
      </c>
      <c r="AC50">
        <v>11375008</v>
      </c>
      <c r="AD50">
        <v>11376008</v>
      </c>
      <c r="AE50">
        <v>11384008</v>
      </c>
      <c r="AF50">
        <v>11385008</v>
      </c>
      <c r="AG50">
        <v>11386008</v>
      </c>
      <c r="AH50" s="11">
        <v>10</v>
      </c>
      <c r="AI50" s="11" t="s">
        <v>69</v>
      </c>
      <c r="AL50" t="str" s="11">
        <v>【补充设计】保留奇珍ID、钥匙与图谱关系；可携带标记与独立效果行逐ID核对。</v>
      </c>
    </row>
    <row r="51" spans="2:35">
      <c r="B51">
        <f t="shared" si="0"/>
        <v>71324009</v>
      </c>
      <c r="C51" t="s">
        <v>165</v>
      </c>
      <c r="D51" s="25">
        <v>11324009</v>
      </c>
      <c r="E51" t="s">
        <v>144</v>
      </c>
      <c r="F51" t="s">
        <v>145</v>
      </c>
      <c r="G51" s="25" t="s">
        <v>66</v>
      </c>
      <c r="H51">
        <v>11321009</v>
      </c>
      <c r="I51" t="s">
        <v>166</v>
      </c>
      <c r="J51" s="25" t="s">
        <v>68</v>
      </c>
      <c r="K51" t="b" s="11">
        <v>0</v>
      </c>
      <c r="L51">
        <v>56</v>
      </c>
      <c r="M51">
        <v>11324009</v>
      </c>
      <c r="N51">
        <v>11325009</v>
      </c>
      <c r="O51">
        <v>11326009</v>
      </c>
      <c r="P51">
        <v>11334009</v>
      </c>
      <c r="Q51">
        <v>11335009</v>
      </c>
      <c r="R51">
        <v>11336009</v>
      </c>
      <c r="S51">
        <v>11344009</v>
      </c>
      <c r="T51">
        <v>11345009</v>
      </c>
      <c r="U51">
        <v>11346009</v>
      </c>
      <c r="V51">
        <v>11354009</v>
      </c>
      <c r="W51">
        <v>11355009</v>
      </c>
      <c r="X51">
        <v>11356009</v>
      </c>
      <c r="Y51">
        <v>11364009</v>
      </c>
      <c r="Z51">
        <v>11365009</v>
      </c>
      <c r="AA51">
        <v>11366009</v>
      </c>
      <c r="AB51">
        <v>11374009</v>
      </c>
      <c r="AC51">
        <v>11375009</v>
      </c>
      <c r="AD51">
        <v>11376009</v>
      </c>
      <c r="AE51">
        <v>11384009</v>
      </c>
      <c r="AF51">
        <v>11385009</v>
      </c>
      <c r="AG51">
        <v>11386009</v>
      </c>
      <c r="AH51" s="11">
        <v>11</v>
      </c>
      <c r="AI51" s="11" t="s">
        <v>69</v>
      </c>
      <c r="AL51" t="str" s="11">
        <v>【补充设计】保留奇珍ID、钥匙与图谱关系；可携带标记与独立效果行逐ID核对。</v>
      </c>
    </row>
    <row r="52" spans="2:35">
      <c r="B52">
        <f t="shared" si="0"/>
        <v>71524000</v>
      </c>
      <c r="C52" t="inlineStr">
        <is>
          <t xml:space="preserve">霜辛草</t>
        </is>
      </c>
      <c r="D52" s="25">
        <v>11524000</v>
      </c>
      <c r="E52" t="s">
        <v>144</v>
      </c>
      <c r="F52" t="s">
        <v>145</v>
      </c>
      <c r="G52" s="25" t="s">
        <v>66</v>
      </c>
      <c r="H52">
        <v>11521000</v>
      </c>
      <c r="I52" t="inlineStr">
        <is>
          <t xml:space="preserve">|cff00FF00草叶清润，凉意先于辛香而至。细小叶脉里藏着清冽药性，犹如晨风掠过叶尖，将沉闷悄然拨开。|r</t>
        </is>
      </c>
      <c r="J52" s="25" t="s">
        <v>68</v>
      </c>
      <c r="K52" t="b" s="11">
        <v>0</v>
      </c>
      <c r="L52">
        <v>57</v>
      </c>
      <c r="M52">
        <v>11524000</v>
      </c>
      <c r="N52">
        <v>11525000</v>
      </c>
      <c r="O52">
        <v>11526000</v>
      </c>
      <c r="P52">
        <v>11534000</v>
      </c>
      <c r="Q52">
        <v>11535000</v>
      </c>
      <c r="R52">
        <v>11536000</v>
      </c>
      <c r="S52">
        <v>11544000</v>
      </c>
      <c r="T52">
        <v>11545000</v>
      </c>
      <c r="U52">
        <v>11546000</v>
      </c>
      <c r="V52">
        <v>11554000</v>
      </c>
      <c r="W52">
        <v>11555000</v>
      </c>
      <c r="X52">
        <v>11556000</v>
      </c>
      <c r="Y52">
        <v>11564000</v>
      </c>
      <c r="Z52">
        <v>11565000</v>
      </c>
      <c r="AA52">
        <v>11566000</v>
      </c>
      <c r="AB52">
        <v>11574000</v>
      </c>
      <c r="AC52">
        <v>11575000</v>
      </c>
      <c r="AD52">
        <v>11576000</v>
      </c>
      <c r="AE52">
        <v>11584000</v>
      </c>
      <c r="AF52">
        <v>11585000</v>
      </c>
      <c r="AG52">
        <v>11586000</v>
      </c>
      <c r="AH52" s="11">
        <v>12</v>
      </c>
      <c r="AI52" s="11" t="s">
        <v>69</v>
      </c>
      <c r="AL52" t="str" s="11">
        <v>【补充设计】保留奇珍ID、钥匙与图谱关系；可携带标记与独立效果行逐ID核对。</v>
      </c>
    </row>
    <row r="53" spans="2:35">
      <c r="B53">
        <f t="shared" si="0"/>
        <v>71524001</v>
      </c>
      <c r="C53" t="s">
        <v>169</v>
      </c>
      <c r="D53" s="25">
        <v>11524001</v>
      </c>
      <c r="E53" t="s">
        <v>144</v>
      </c>
      <c r="F53" t="s">
        <v>145</v>
      </c>
      <c r="G53" s="25" t="s">
        <v>66</v>
      </c>
      <c r="H53">
        <v>11521001</v>
      </c>
      <c r="I53" t="s">
        <v>170</v>
      </c>
      <c r="J53" s="25" t="s">
        <v>68</v>
      </c>
      <c r="K53" t="b" s="11">
        <v>0</v>
      </c>
      <c r="M53">
        <v>11524001</v>
      </c>
      <c r="N53">
        <v>11525001</v>
      </c>
      <c r="O53">
        <v>11526001</v>
      </c>
      <c r="P53">
        <v>11534001</v>
      </c>
      <c r="Q53">
        <v>11535001</v>
      </c>
      <c r="R53">
        <v>11536001</v>
      </c>
      <c r="S53">
        <v>11544001</v>
      </c>
      <c r="T53">
        <v>11545001</v>
      </c>
      <c r="U53">
        <v>11546001</v>
      </c>
      <c r="V53">
        <v>11554001</v>
      </c>
      <c r="W53">
        <v>11555001</v>
      </c>
      <c r="X53">
        <v>11556001</v>
      </c>
      <c r="Y53">
        <v>11564001</v>
      </c>
      <c r="Z53">
        <v>11565001</v>
      </c>
      <c r="AA53">
        <v>11566001</v>
      </c>
      <c r="AB53">
        <v>11574001</v>
      </c>
      <c r="AC53">
        <v>11575001</v>
      </c>
      <c r="AD53">
        <v>11576001</v>
      </c>
      <c r="AE53">
        <v>11584001</v>
      </c>
      <c r="AF53">
        <v>11585001</v>
      </c>
      <c r="AG53">
        <v>11586001</v>
      </c>
      <c r="AH53" s="11">
        <v>13</v>
      </c>
      <c r="AI53" s="11" t="s">
        <v>69</v>
      </c>
      <c r="AL53" t="str" s="11">
        <v>【补充设计】保留奇珍ID、钥匙与图谱关系；可携带标记与独立效果行逐ID核对。</v>
      </c>
    </row>
    <row r="54" spans="2:35">
      <c r="B54">
        <f t="shared" si="0"/>
        <v>71524002</v>
      </c>
      <c r="C54" t="s">
        <v>171</v>
      </c>
      <c r="D54" s="25">
        <v>11524002</v>
      </c>
      <c r="E54" t="s">
        <v>144</v>
      </c>
      <c r="F54" t="s">
        <v>145</v>
      </c>
      <c r="G54" s="25" t="s">
        <v>66</v>
      </c>
      <c r="H54">
        <v>11521002</v>
      </c>
      <c r="I54" t="s">
        <v>172</v>
      </c>
      <c r="J54" s="25" t="s">
        <v>68</v>
      </c>
      <c r="K54" t="b" s="11">
        <v>0</v>
      </c>
      <c r="L54">
        <v>4</v>
      </c>
      <c r="M54">
        <v>11524002</v>
      </c>
      <c r="N54">
        <v>11525002</v>
      </c>
      <c r="O54">
        <v>11526002</v>
      </c>
      <c r="P54">
        <v>11534002</v>
      </c>
      <c r="Q54">
        <v>11535002</v>
      </c>
      <c r="R54">
        <v>11536002</v>
      </c>
      <c r="S54">
        <v>11544002</v>
      </c>
      <c r="T54">
        <v>11545002</v>
      </c>
      <c r="U54">
        <v>11546002</v>
      </c>
      <c r="V54">
        <v>11554002</v>
      </c>
      <c r="W54">
        <v>11555002</v>
      </c>
      <c r="X54">
        <v>11556002</v>
      </c>
      <c r="Y54">
        <v>11564002</v>
      </c>
      <c r="Z54">
        <v>11565002</v>
      </c>
      <c r="AA54">
        <v>11566002</v>
      </c>
      <c r="AB54">
        <v>11574002</v>
      </c>
      <c r="AC54">
        <v>11575002</v>
      </c>
      <c r="AD54">
        <v>11576002</v>
      </c>
      <c r="AE54">
        <v>11584002</v>
      </c>
      <c r="AF54">
        <v>11585002</v>
      </c>
      <c r="AG54">
        <v>11586002</v>
      </c>
      <c r="AH54" s="11">
        <v>14</v>
      </c>
      <c r="AI54" s="11" t="s">
        <v>69</v>
      </c>
      <c r="AL54" t="str" s="11">
        <v>【补充设计】保留奇珍ID、钥匙与图谱关系；可携带标记与独立效果行逐ID核对。</v>
      </c>
    </row>
    <row r="55" spans="2:35">
      <c r="B55">
        <f t="shared" si="0"/>
        <v>71524003</v>
      </c>
      <c r="C55" t="s">
        <v>173</v>
      </c>
      <c r="D55" s="25">
        <v>11524003</v>
      </c>
      <c r="E55" t="s">
        <v>144</v>
      </c>
      <c r="F55" t="s">
        <v>145</v>
      </c>
      <c r="G55" s="25" t="s">
        <v>66</v>
      </c>
      <c r="H55">
        <v>11521003</v>
      </c>
      <c r="I55" t="s">
        <v>174</v>
      </c>
      <c r="J55" s="25" t="s">
        <v>68</v>
      </c>
      <c r="K55" t="b" s="11">
        <v>0</v>
      </c>
      <c r="L55">
        <v>57</v>
      </c>
      <c r="M55">
        <v>11524003</v>
      </c>
      <c r="N55">
        <v>11525003</v>
      </c>
      <c r="O55">
        <v>11526003</v>
      </c>
      <c r="P55">
        <v>11534003</v>
      </c>
      <c r="Q55">
        <v>11535003</v>
      </c>
      <c r="R55">
        <v>11536003</v>
      </c>
      <c r="S55">
        <v>11544003</v>
      </c>
      <c r="T55">
        <v>11545003</v>
      </c>
      <c r="U55">
        <v>11546003</v>
      </c>
      <c r="V55">
        <v>11554003</v>
      </c>
      <c r="W55">
        <v>11555003</v>
      </c>
      <c r="X55">
        <v>11556003</v>
      </c>
      <c r="Y55">
        <v>11564003</v>
      </c>
      <c r="Z55">
        <v>11565003</v>
      </c>
      <c r="AA55">
        <v>11566003</v>
      </c>
      <c r="AB55">
        <v>11574003</v>
      </c>
      <c r="AC55">
        <v>11575003</v>
      </c>
      <c r="AD55">
        <v>11576003</v>
      </c>
      <c r="AE55">
        <v>11584003</v>
      </c>
      <c r="AF55">
        <v>11585003</v>
      </c>
      <c r="AG55">
        <v>11586003</v>
      </c>
      <c r="AH55" s="11">
        <v>15</v>
      </c>
      <c r="AI55" s="11" t="s">
        <v>69</v>
      </c>
      <c r="AL55" t="str" s="11">
        <v>【补充设计】保留奇珍ID、钥匙与图谱关系；可携带标记与独立效果行逐ID核对。</v>
      </c>
    </row>
    <row r="56" spans="2:35">
      <c r="B56">
        <f t="shared" si="0"/>
        <v>71524004</v>
      </c>
      <c r="C56" t="s">
        <v>175</v>
      </c>
      <c r="D56" s="25">
        <v>11524004</v>
      </c>
      <c r="E56" t="s">
        <v>144</v>
      </c>
      <c r="F56" t="s">
        <v>145</v>
      </c>
      <c r="G56" s="25" t="s">
        <v>66</v>
      </c>
      <c r="H56">
        <v>11521004</v>
      </c>
      <c r="I56" t="s">
        <v>176</v>
      </c>
      <c r="J56" s="25" t="s">
        <v>68</v>
      </c>
      <c r="K56" t="b" s="11">
        <v>0</v>
      </c>
      <c r="L56">
        <v>2</v>
      </c>
      <c r="M56">
        <v>11524004</v>
      </c>
      <c r="N56">
        <v>11525004</v>
      </c>
      <c r="O56">
        <v>11526004</v>
      </c>
      <c r="P56">
        <v>11534004</v>
      </c>
      <c r="Q56">
        <v>11535004</v>
      </c>
      <c r="R56">
        <v>11536004</v>
      </c>
      <c r="S56">
        <v>11544004</v>
      </c>
      <c r="T56">
        <v>11545004</v>
      </c>
      <c r="U56">
        <v>11546004</v>
      </c>
      <c r="V56">
        <v>11554004</v>
      </c>
      <c r="W56">
        <v>11555004</v>
      </c>
      <c r="X56">
        <v>11556004</v>
      </c>
      <c r="Y56">
        <v>11564004</v>
      </c>
      <c r="Z56">
        <v>11565004</v>
      </c>
      <c r="AA56">
        <v>11566004</v>
      </c>
      <c r="AB56">
        <v>11574004</v>
      </c>
      <c r="AC56">
        <v>11575004</v>
      </c>
      <c r="AD56">
        <v>11576004</v>
      </c>
      <c r="AE56">
        <v>11584004</v>
      </c>
      <c r="AF56">
        <v>11585004</v>
      </c>
      <c r="AG56">
        <v>11586004</v>
      </c>
      <c r="AH56" s="11">
        <v>16</v>
      </c>
      <c r="AI56" s="11" t="s">
        <v>69</v>
      </c>
      <c r="AL56" t="str" s="11">
        <v>【补充设计】保留奇珍ID、钥匙与图谱关系；可携带标记与独立效果行逐ID核对。</v>
      </c>
    </row>
    <row r="57" spans="2:35">
      <c r="B57">
        <f t="shared" si="0"/>
        <v>71524005</v>
      </c>
      <c r="C57" t="s">
        <v>177</v>
      </c>
      <c r="D57" s="25">
        <v>11524005</v>
      </c>
      <c r="E57" t="s">
        <v>144</v>
      </c>
      <c r="F57" t="s">
        <v>145</v>
      </c>
      <c r="G57" s="25" t="s">
        <v>66</v>
      </c>
      <c r="H57">
        <v>11521005</v>
      </c>
      <c r="I57" t="s">
        <v>178</v>
      </c>
      <c r="J57" s="25" t="s">
        <v>68</v>
      </c>
      <c r="K57" t="b" s="11">
        <v>0</v>
      </c>
      <c r="L57">
        <v>57</v>
      </c>
      <c r="M57">
        <v>11524005</v>
      </c>
      <c r="N57">
        <v>11525005</v>
      </c>
      <c r="O57">
        <v>11526005</v>
      </c>
      <c r="P57">
        <v>11534005</v>
      </c>
      <c r="Q57">
        <v>11535005</v>
      </c>
      <c r="R57">
        <v>11536005</v>
      </c>
      <c r="S57">
        <v>11544005</v>
      </c>
      <c r="T57">
        <v>11545005</v>
      </c>
      <c r="U57">
        <v>11546005</v>
      </c>
      <c r="V57">
        <v>11554005</v>
      </c>
      <c r="W57">
        <v>11555005</v>
      </c>
      <c r="X57">
        <v>11556005</v>
      </c>
      <c r="Y57">
        <v>11564005</v>
      </c>
      <c r="Z57">
        <v>11565005</v>
      </c>
      <c r="AA57">
        <v>11566005</v>
      </c>
      <c r="AB57">
        <v>11574005</v>
      </c>
      <c r="AC57">
        <v>11575005</v>
      </c>
      <c r="AD57">
        <v>11576005</v>
      </c>
      <c r="AE57">
        <v>11584005</v>
      </c>
      <c r="AF57">
        <v>11585005</v>
      </c>
      <c r="AG57">
        <v>11586005</v>
      </c>
      <c r="AH57" s="11">
        <v>17</v>
      </c>
      <c r="AI57" s="11" t="s">
        <v>69</v>
      </c>
      <c r="AL57" t="str" s="11">
        <v>【补充设计】保留奇珍ID、钥匙与图谱关系；可携带标记与独立效果行逐ID核对。</v>
      </c>
    </row>
    <row r="58" spans="2:35">
      <c r="B58">
        <f t="shared" si="0"/>
        <v>71524006</v>
      </c>
      <c r="C58" t="s">
        <v>179</v>
      </c>
      <c r="D58" s="25">
        <v>11524006</v>
      </c>
      <c r="E58" t="s">
        <v>144</v>
      </c>
      <c r="F58" t="s">
        <v>145</v>
      </c>
      <c r="G58" s="25" t="s">
        <v>66</v>
      </c>
      <c r="H58">
        <v>11521006</v>
      </c>
      <c r="I58" t="s">
        <v>180</v>
      </c>
      <c r="J58" s="25" t="s">
        <v>68</v>
      </c>
      <c r="K58" t="b" s="11">
        <v>0</v>
      </c>
      <c r="L58">
        <v>4</v>
      </c>
      <c r="M58">
        <v>11524006</v>
      </c>
      <c r="N58">
        <v>11525006</v>
      </c>
      <c r="O58">
        <v>11526006</v>
      </c>
      <c r="P58">
        <v>11534006</v>
      </c>
      <c r="Q58">
        <v>11535006</v>
      </c>
      <c r="R58">
        <v>11536006</v>
      </c>
      <c r="S58">
        <v>11544006</v>
      </c>
      <c r="T58">
        <v>11545006</v>
      </c>
      <c r="U58">
        <v>11546006</v>
      </c>
      <c r="V58">
        <v>11554006</v>
      </c>
      <c r="W58">
        <v>11555006</v>
      </c>
      <c r="X58">
        <v>11556006</v>
      </c>
      <c r="Y58">
        <v>11564006</v>
      </c>
      <c r="Z58">
        <v>11565006</v>
      </c>
      <c r="AA58">
        <v>11566006</v>
      </c>
      <c r="AB58">
        <v>11574006</v>
      </c>
      <c r="AC58">
        <v>11575006</v>
      </c>
      <c r="AD58">
        <v>11576006</v>
      </c>
      <c r="AE58">
        <v>11584006</v>
      </c>
      <c r="AF58">
        <v>11585006</v>
      </c>
      <c r="AG58">
        <v>11586006</v>
      </c>
      <c r="AH58" s="11">
        <v>18</v>
      </c>
      <c r="AI58" s="11" t="s">
        <v>69</v>
      </c>
      <c r="AL58" t="str" s="11">
        <v>【补充设计】保留奇珍ID、钥匙与图谱关系；可携带标记与独立效果行逐ID核对。</v>
      </c>
    </row>
    <row r="59" spans="2:35">
      <c r="B59">
        <f t="shared" si="0"/>
        <v>71524007</v>
      </c>
      <c r="C59" t="s">
        <v>181</v>
      </c>
      <c r="D59" s="25">
        <v>11524007</v>
      </c>
      <c r="E59" t="s">
        <v>144</v>
      </c>
      <c r="F59" t="s">
        <v>145</v>
      </c>
      <c r="G59" s="25" t="s">
        <v>66</v>
      </c>
      <c r="H59">
        <v>11521007</v>
      </c>
      <c r="I59" t="s">
        <v>182</v>
      </c>
      <c r="J59" s="25" t="s">
        <v>68</v>
      </c>
      <c r="K59" t="b" s="11">
        <v>0</v>
      </c>
      <c r="L59">
        <v>57</v>
      </c>
      <c r="M59">
        <v>11524007</v>
      </c>
      <c r="N59">
        <v>11525007</v>
      </c>
      <c r="O59">
        <v>11526007</v>
      </c>
      <c r="P59">
        <v>11534007</v>
      </c>
      <c r="Q59">
        <v>11535007</v>
      </c>
      <c r="R59">
        <v>11536007</v>
      </c>
      <c r="S59">
        <v>11544007</v>
      </c>
      <c r="T59">
        <v>11545007</v>
      </c>
      <c r="U59">
        <v>11546007</v>
      </c>
      <c r="V59">
        <v>11554007</v>
      </c>
      <c r="W59">
        <v>11555007</v>
      </c>
      <c r="X59">
        <v>11556007</v>
      </c>
      <c r="Y59">
        <v>11564007</v>
      </c>
      <c r="Z59">
        <v>11565007</v>
      </c>
      <c r="AA59">
        <v>11566007</v>
      </c>
      <c r="AB59">
        <v>11574007</v>
      </c>
      <c r="AC59">
        <v>11575007</v>
      </c>
      <c r="AD59">
        <v>11576007</v>
      </c>
      <c r="AE59">
        <v>11584007</v>
      </c>
      <c r="AF59">
        <v>11585007</v>
      </c>
      <c r="AG59">
        <v>11586007</v>
      </c>
      <c r="AH59" s="11">
        <v>19</v>
      </c>
      <c r="AI59" s="11" t="s">
        <v>69</v>
      </c>
      <c r="AL59" t="str" s="11">
        <v>【补充设计】保留奇珍ID、钥匙与图谱关系；可携带标记与独立效果行逐ID核对。</v>
      </c>
    </row>
    <row r="60" spans="2:35">
      <c r="B60">
        <f t="shared" si="0"/>
        <v>71524008</v>
      </c>
      <c r="C60" t="s">
        <v>183</v>
      </c>
      <c r="D60" s="25">
        <v>11524008</v>
      </c>
      <c r="E60" t="s">
        <v>144</v>
      </c>
      <c r="F60" t="s">
        <v>145</v>
      </c>
      <c r="G60" s="25" t="s">
        <v>66</v>
      </c>
      <c r="H60">
        <v>11521008</v>
      </c>
      <c r="I60" t="s">
        <v>184</v>
      </c>
      <c r="J60" s="25" t="s">
        <v>68</v>
      </c>
      <c r="K60" t="b" s="11">
        <v>0</v>
      </c>
      <c r="L60">
        <v>4</v>
      </c>
      <c r="M60">
        <v>11524008</v>
      </c>
      <c r="N60">
        <v>11525008</v>
      </c>
      <c r="O60">
        <v>11526008</v>
      </c>
      <c r="P60">
        <v>11534008</v>
      </c>
      <c r="Q60">
        <v>11535008</v>
      </c>
      <c r="R60">
        <v>11536008</v>
      </c>
      <c r="S60">
        <v>11544008</v>
      </c>
      <c r="T60">
        <v>11545008</v>
      </c>
      <c r="U60">
        <v>11546008</v>
      </c>
      <c r="V60">
        <v>11554008</v>
      </c>
      <c r="W60">
        <v>11555008</v>
      </c>
      <c r="X60">
        <v>11556008</v>
      </c>
      <c r="Y60">
        <v>11564008</v>
      </c>
      <c r="Z60">
        <v>11565008</v>
      </c>
      <c r="AA60">
        <v>11566008</v>
      </c>
      <c r="AB60">
        <v>11574008</v>
      </c>
      <c r="AC60">
        <v>11575008</v>
      </c>
      <c r="AD60">
        <v>11576008</v>
      </c>
      <c r="AE60">
        <v>11584008</v>
      </c>
      <c r="AF60">
        <v>11585008</v>
      </c>
      <c r="AG60">
        <v>11586008</v>
      </c>
      <c r="AH60" s="11">
        <v>20</v>
      </c>
      <c r="AI60" s="11" t="s">
        <v>69</v>
      </c>
      <c r="AL60" t="str" s="11">
        <v>【补充设计】保留奇珍ID、钥匙与图谱关系；可携带标记与独立效果行逐ID核对。</v>
      </c>
    </row>
    <row r="61" spans="2:35">
      <c r="B61">
        <f t="shared" si="0"/>
        <v>71524009</v>
      </c>
      <c r="C61" t="s">
        <v>185</v>
      </c>
      <c r="D61" s="25">
        <v>11524009</v>
      </c>
      <c r="E61" t="s">
        <v>144</v>
      </c>
      <c r="F61" t="s">
        <v>145</v>
      </c>
      <c r="G61" s="25" t="s">
        <v>66</v>
      </c>
      <c r="H61">
        <v>11521009</v>
      </c>
      <c r="I61" t="s">
        <v>186</v>
      </c>
      <c r="J61" s="25" t="s">
        <v>68</v>
      </c>
      <c r="K61" t="b" s="11">
        <v>0</v>
      </c>
      <c r="L61">
        <v>57</v>
      </c>
      <c r="M61">
        <v>11524009</v>
      </c>
      <c r="N61">
        <v>11525009</v>
      </c>
      <c r="O61">
        <v>11526009</v>
      </c>
      <c r="P61">
        <v>11534009</v>
      </c>
      <c r="Q61">
        <v>11535009</v>
      </c>
      <c r="R61">
        <v>11536009</v>
      </c>
      <c r="S61">
        <v>11544009</v>
      </c>
      <c r="T61">
        <v>11545009</v>
      </c>
      <c r="U61">
        <v>11546009</v>
      </c>
      <c r="V61">
        <v>11554009</v>
      </c>
      <c r="W61">
        <v>11555009</v>
      </c>
      <c r="X61">
        <v>11556009</v>
      </c>
      <c r="Y61">
        <v>11564009</v>
      </c>
      <c r="Z61">
        <v>11565009</v>
      </c>
      <c r="AA61">
        <v>11566009</v>
      </c>
      <c r="AB61">
        <v>11574009</v>
      </c>
      <c r="AC61">
        <v>11575009</v>
      </c>
      <c r="AD61">
        <v>11576009</v>
      </c>
      <c r="AE61">
        <v>11584009</v>
      </c>
      <c r="AF61">
        <v>11585009</v>
      </c>
      <c r="AG61">
        <v>11586009</v>
      </c>
      <c r="AH61" s="11">
        <v>21</v>
      </c>
      <c r="AI61" s="11" t="s">
        <v>69</v>
      </c>
      <c r="AL61" t="str" s="11">
        <v>【补充设计】保留奇珍ID、钥匙与图谱关系；可携带标记与独立效果行逐ID核对。</v>
      </c>
    </row>
    <row r="62" spans="2:35">
      <c r="B62">
        <f t="shared" si="0"/>
        <v>71424000</v>
      </c>
      <c r="C62" t="s">
        <v>187</v>
      </c>
      <c r="D62" s="25">
        <v>11424000</v>
      </c>
      <c r="E62" t="s">
        <v>144</v>
      </c>
      <c r="F62" t="s">
        <v>145</v>
      </c>
      <c r="G62" s="25" t="s">
        <v>66</v>
      </c>
      <c r="H62">
        <v>11421000</v>
      </c>
      <c r="I62" t="s">
        <v>188</v>
      </c>
      <c r="J62" s="25" t="s">
        <v>68</v>
      </c>
      <c r="K62" t="b" s="11">
        <v>1</v>
      </c>
      <c r="L62">
        <v>5</v>
      </c>
      <c r="M62">
        <v>11424000</v>
      </c>
      <c r="N62">
        <v>11425000</v>
      </c>
      <c r="O62">
        <v>11426000</v>
      </c>
      <c r="P62">
        <v>11434000</v>
      </c>
      <c r="Q62">
        <v>11435000</v>
      </c>
      <c r="R62">
        <v>11436000</v>
      </c>
      <c r="S62">
        <v>11444000</v>
      </c>
      <c r="T62">
        <v>11445000</v>
      </c>
      <c r="U62">
        <v>11446000</v>
      </c>
      <c r="V62">
        <v>11454000</v>
      </c>
      <c r="W62">
        <v>11455000</v>
      </c>
      <c r="X62">
        <v>11456000</v>
      </c>
      <c r="Y62">
        <v>11464000</v>
      </c>
      <c r="Z62">
        <v>11465000</v>
      </c>
      <c r="AA62">
        <v>11466000</v>
      </c>
      <c r="AB62">
        <v>11474000</v>
      </c>
      <c r="AC62">
        <v>11475000</v>
      </c>
      <c r="AD62">
        <v>11476000</v>
      </c>
      <c r="AE62">
        <v>11484000</v>
      </c>
      <c r="AF62">
        <v>11485000</v>
      </c>
      <c r="AG62">
        <v>11486000</v>
      </c>
      <c r="AH62" s="11">
        <v>22</v>
      </c>
      <c r="AI62" s="11" t="s">
        <v>69</v>
      </c>
      <c r="AL62" t="str" s="11">
        <v>【补充设计】保留奇珍ID、钥匙与图谱关系；可携带标记与独立效果行逐ID核对。</v>
      </c>
    </row>
    <row r="63" spans="2:35">
      <c r="B63">
        <f t="shared" si="0"/>
        <v>71424001</v>
      </c>
      <c r="C63" t="s">
        <v>189</v>
      </c>
      <c r="D63" s="25">
        <v>11424001</v>
      </c>
      <c r="E63" t="s">
        <v>144</v>
      </c>
      <c r="F63" t="s">
        <v>145</v>
      </c>
      <c r="G63" s="25" t="s">
        <v>66</v>
      </c>
      <c r="H63">
        <v>11421001</v>
      </c>
      <c r="I63" t="s">
        <v>190</v>
      </c>
      <c r="J63" s="25" t="s">
        <v>68</v>
      </c>
      <c r="K63" t="b" s="11">
        <v>0</v>
      </c>
      <c r="L63">
        <v>5</v>
      </c>
      <c r="M63">
        <v>11424001</v>
      </c>
      <c r="N63">
        <v>11425001</v>
      </c>
      <c r="O63">
        <v>11426001</v>
      </c>
      <c r="P63">
        <v>11434001</v>
      </c>
      <c r="Q63">
        <v>11435001</v>
      </c>
      <c r="R63">
        <v>11436001</v>
      </c>
      <c r="S63">
        <v>11444001</v>
      </c>
      <c r="T63">
        <v>11445001</v>
      </c>
      <c r="U63">
        <v>11446001</v>
      </c>
      <c r="V63">
        <v>11454001</v>
      </c>
      <c r="W63">
        <v>11455001</v>
      </c>
      <c r="X63">
        <v>11456001</v>
      </c>
      <c r="Y63">
        <v>11464001</v>
      </c>
      <c r="Z63">
        <v>11465001</v>
      </c>
      <c r="AA63">
        <v>11466001</v>
      </c>
      <c r="AB63">
        <v>11474001</v>
      </c>
      <c r="AC63">
        <v>11475001</v>
      </c>
      <c r="AD63">
        <v>11476001</v>
      </c>
      <c r="AE63">
        <v>11484001</v>
      </c>
      <c r="AF63">
        <v>11485001</v>
      </c>
      <c r="AG63">
        <v>11486001</v>
      </c>
      <c r="AH63" s="11">
        <v>23</v>
      </c>
      <c r="AI63" s="11" t="s">
        <v>69</v>
      </c>
      <c r="AL63" t="str" s="11">
        <v>【补充设计】保留奇珍ID、钥匙与图谱关系；可携带标记与独立效果行逐ID核对。</v>
      </c>
    </row>
    <row r="64" spans="2:35">
      <c r="B64">
        <f t="shared" si="0"/>
        <v>71424002</v>
      </c>
      <c r="C64" t="s">
        <v>191</v>
      </c>
      <c r="D64" s="25">
        <v>11424002</v>
      </c>
      <c r="E64" t="s">
        <v>144</v>
      </c>
      <c r="F64" t="s">
        <v>145</v>
      </c>
      <c r="G64" s="25" t="s">
        <v>66</v>
      </c>
      <c r="H64">
        <v>11421002</v>
      </c>
      <c r="I64" t="s">
        <v>192</v>
      </c>
      <c r="J64" s="25" t="s">
        <v>68</v>
      </c>
      <c r="K64" t="b" s="11">
        <v>1</v>
      </c>
      <c r="L64">
        <v>5</v>
      </c>
      <c r="M64">
        <v>11424002</v>
      </c>
      <c r="N64">
        <v>11425002</v>
      </c>
      <c r="O64">
        <v>11426002</v>
      </c>
      <c r="P64">
        <v>11434002</v>
      </c>
      <c r="Q64">
        <v>11435002</v>
      </c>
      <c r="R64">
        <v>11436002</v>
      </c>
      <c r="S64">
        <v>11444002</v>
      </c>
      <c r="T64">
        <v>11445002</v>
      </c>
      <c r="U64">
        <v>11446002</v>
      </c>
      <c r="V64">
        <v>11454002</v>
      </c>
      <c r="W64">
        <v>11455002</v>
      </c>
      <c r="X64">
        <v>11456002</v>
      </c>
      <c r="Y64">
        <v>11464002</v>
      </c>
      <c r="Z64">
        <v>11465002</v>
      </c>
      <c r="AA64">
        <v>11466002</v>
      </c>
      <c r="AB64">
        <v>11474002</v>
      </c>
      <c r="AC64">
        <v>11475002</v>
      </c>
      <c r="AD64">
        <v>11476002</v>
      </c>
      <c r="AE64">
        <v>11484002</v>
      </c>
      <c r="AF64">
        <v>11485002</v>
      </c>
      <c r="AG64">
        <v>11486002</v>
      </c>
      <c r="AH64" s="11">
        <v>24</v>
      </c>
      <c r="AI64" s="11" t="s">
        <v>69</v>
      </c>
      <c r="AL64" t="str" s="11">
        <v>【补充设计】保留奇珍ID、钥匙与图谱关系；可携带标记与独立效果行逐ID核对。</v>
      </c>
    </row>
    <row r="65" spans="2:35">
      <c r="B65">
        <f t="shared" si="0"/>
        <v>71424003</v>
      </c>
      <c r="C65" t="s">
        <v>193</v>
      </c>
      <c r="D65" s="25">
        <v>11424003</v>
      </c>
      <c r="E65" t="s">
        <v>144</v>
      </c>
      <c r="F65" t="s">
        <v>145</v>
      </c>
      <c r="G65" s="25" t="s">
        <v>66</v>
      </c>
      <c r="H65">
        <v>11421003</v>
      </c>
      <c r="I65" t="s">
        <v>194</v>
      </c>
      <c r="J65" s="25" t="s">
        <v>68</v>
      </c>
      <c r="K65" t="b" s="11">
        <v>0</v>
      </c>
      <c r="M65">
        <v>11424003</v>
      </c>
      <c r="N65">
        <v>11425003</v>
      </c>
      <c r="O65">
        <v>11426003</v>
      </c>
      <c r="P65">
        <v>11434003</v>
      </c>
      <c r="Q65">
        <v>11435003</v>
      </c>
      <c r="R65">
        <v>11436003</v>
      </c>
      <c r="S65">
        <v>11444003</v>
      </c>
      <c r="T65">
        <v>11445003</v>
      </c>
      <c r="U65">
        <v>11446003</v>
      </c>
      <c r="V65">
        <v>11454003</v>
      </c>
      <c r="W65">
        <v>11455003</v>
      </c>
      <c r="X65">
        <v>11456003</v>
      </c>
      <c r="Y65">
        <v>11464003</v>
      </c>
      <c r="Z65">
        <v>11465003</v>
      </c>
      <c r="AA65">
        <v>11466003</v>
      </c>
      <c r="AB65">
        <v>11474003</v>
      </c>
      <c r="AC65">
        <v>11475003</v>
      </c>
      <c r="AD65">
        <v>11476003</v>
      </c>
      <c r="AE65">
        <v>11484003</v>
      </c>
      <c r="AF65">
        <v>11485003</v>
      </c>
      <c r="AG65">
        <v>11486003</v>
      </c>
      <c r="AH65" s="11">
        <v>25</v>
      </c>
      <c r="AI65" s="11" t="s">
        <v>69</v>
      </c>
      <c r="AL65" t="str" s="11">
        <v>【补充设计】保留奇珍ID、钥匙与图谱关系；可携带标记与独立效果行逐ID核对。</v>
      </c>
    </row>
    <row r="66" spans="2:35">
      <c r="B66">
        <f t="shared" si="0"/>
        <v>71624000</v>
      </c>
      <c r="C66" t="s">
        <v>195</v>
      </c>
      <c r="D66" s="25">
        <v>11624000</v>
      </c>
      <c r="E66" t="s">
        <v>144</v>
      </c>
      <c r="F66" t="s">
        <v>145</v>
      </c>
      <c r="G66" s="25" t="s">
        <v>66</v>
      </c>
      <c r="H66">
        <v>11621000</v>
      </c>
      <c r="I66" t="s">
        <v>196</v>
      </c>
      <c r="J66" s="25" t="s">
        <v>68</v>
      </c>
      <c r="K66" t="b" s="11">
        <v>1</v>
      </c>
      <c r="L66">
        <v>6</v>
      </c>
      <c r="M66">
        <v>11624000</v>
      </c>
      <c r="N66">
        <v>11625000</v>
      </c>
      <c r="O66">
        <v>11626000</v>
      </c>
      <c r="P66">
        <v>11634000</v>
      </c>
      <c r="Q66">
        <v>11635000</v>
      </c>
      <c r="R66">
        <v>11636000</v>
      </c>
      <c r="S66">
        <v>11644000</v>
      </c>
      <c r="T66">
        <v>11645000</v>
      </c>
      <c r="U66">
        <v>11646000</v>
      </c>
      <c r="V66">
        <v>11654000</v>
      </c>
      <c r="W66">
        <v>11655000</v>
      </c>
      <c r="X66">
        <v>11656000</v>
      </c>
      <c r="Y66">
        <v>11664000</v>
      </c>
      <c r="Z66">
        <v>11665000</v>
      </c>
      <c r="AA66">
        <v>11666000</v>
      </c>
      <c r="AB66">
        <v>11674000</v>
      </c>
      <c r="AC66">
        <v>11675000</v>
      </c>
      <c r="AD66">
        <v>11676000</v>
      </c>
      <c r="AE66">
        <v>11684000</v>
      </c>
      <c r="AF66">
        <v>11685000</v>
      </c>
      <c r="AG66">
        <v>11686000</v>
      </c>
      <c r="AH66" s="11">
        <v>26</v>
      </c>
      <c r="AI66" s="11" t="s">
        <v>69</v>
      </c>
      <c r="AL66" t="str" s="11">
        <v>【补充设计】保留奇珍ID、钥匙与图谱关系；可携带标记与独立效果行逐ID核对。</v>
      </c>
    </row>
    <row r="67" spans="2:35">
      <c r="B67">
        <f t="shared" si="0"/>
        <v>71624001</v>
      </c>
      <c r="C67" t="s">
        <v>197</v>
      </c>
      <c r="D67" s="25">
        <v>11624001</v>
      </c>
      <c r="E67" t="s">
        <v>144</v>
      </c>
      <c r="F67" t="s">
        <v>145</v>
      </c>
      <c r="G67" s="25" t="s">
        <v>66</v>
      </c>
      <c r="H67">
        <v>11621001</v>
      </c>
      <c r="I67" t="s">
        <v>198</v>
      </c>
      <c r="J67" s="25" t="s">
        <v>68</v>
      </c>
      <c r="K67" t="b" s="11">
        <v>0</v>
      </c>
      <c r="L67">
        <v>6</v>
      </c>
      <c r="M67">
        <v>11624001</v>
      </c>
      <c r="N67">
        <v>11625001</v>
      </c>
      <c r="O67">
        <v>11626001</v>
      </c>
      <c r="P67">
        <v>11634001</v>
      </c>
      <c r="Q67">
        <v>11635001</v>
      </c>
      <c r="R67">
        <v>11636001</v>
      </c>
      <c r="S67">
        <v>11644001</v>
      </c>
      <c r="T67">
        <v>11645001</v>
      </c>
      <c r="U67">
        <v>11646001</v>
      </c>
      <c r="V67">
        <v>11654001</v>
      </c>
      <c r="W67">
        <v>11655001</v>
      </c>
      <c r="X67">
        <v>11656001</v>
      </c>
      <c r="Y67">
        <v>11664001</v>
      </c>
      <c r="Z67">
        <v>11665001</v>
      </c>
      <c r="AA67">
        <v>11666001</v>
      </c>
      <c r="AB67">
        <v>11674001</v>
      </c>
      <c r="AC67">
        <v>11675001</v>
      </c>
      <c r="AD67">
        <v>11676001</v>
      </c>
      <c r="AE67">
        <v>11684001</v>
      </c>
      <c r="AF67">
        <v>11685001</v>
      </c>
      <c r="AG67">
        <v>11686001</v>
      </c>
      <c r="AH67" s="11">
        <v>27</v>
      </c>
      <c r="AI67" s="11" t="s">
        <v>69</v>
      </c>
      <c r="AL67" t="str" s="11">
        <v>【补充设计】保留奇珍ID、钥匙与图谱关系；可携带标记与独立效果行逐ID核对。</v>
      </c>
    </row>
    <row r="68" spans="2:35">
      <c r="B68">
        <f t="shared" si="0"/>
        <v>71624002</v>
      </c>
      <c r="C68" t="s">
        <v>199</v>
      </c>
      <c r="D68" s="25">
        <v>11624002</v>
      </c>
      <c r="E68" t="s">
        <v>144</v>
      </c>
      <c r="F68" t="s">
        <v>145</v>
      </c>
      <c r="G68" s="25" t="s">
        <v>66</v>
      </c>
      <c r="H68">
        <v>11621002</v>
      </c>
      <c r="I68" t="s">
        <v>200</v>
      </c>
      <c r="J68" s="25" t="s">
        <v>68</v>
      </c>
      <c r="K68" t="b" s="11">
        <v>1</v>
      </c>
      <c r="L68">
        <v>6</v>
      </c>
      <c r="M68">
        <v>11624002</v>
      </c>
      <c r="N68">
        <v>11625002</v>
      </c>
      <c r="O68">
        <v>11626002</v>
      </c>
      <c r="P68">
        <v>11634002</v>
      </c>
      <c r="Q68">
        <v>11635002</v>
      </c>
      <c r="R68">
        <v>11636002</v>
      </c>
      <c r="S68">
        <v>11644002</v>
      </c>
      <c r="T68">
        <v>11645002</v>
      </c>
      <c r="U68">
        <v>11646002</v>
      </c>
      <c r="V68">
        <v>11654002</v>
      </c>
      <c r="W68">
        <v>11655002</v>
      </c>
      <c r="X68">
        <v>11656002</v>
      </c>
      <c r="Y68">
        <v>11664002</v>
      </c>
      <c r="Z68">
        <v>11665002</v>
      </c>
      <c r="AA68">
        <v>11666002</v>
      </c>
      <c r="AB68">
        <v>11674002</v>
      </c>
      <c r="AC68">
        <v>11675002</v>
      </c>
      <c r="AD68">
        <v>11676002</v>
      </c>
      <c r="AE68">
        <v>11684002</v>
      </c>
      <c r="AF68">
        <v>11685002</v>
      </c>
      <c r="AG68">
        <v>11686002</v>
      </c>
      <c r="AH68" s="11">
        <v>28</v>
      </c>
      <c r="AI68" s="11" t="s">
        <v>69</v>
      </c>
      <c r="AL68" t="str" s="11">
        <v>【补充设计】保留奇珍ID、钥匙与图谱关系；可携带标记与独立效果行逐ID核对。</v>
      </c>
    </row>
    <row r="69" spans="2:35">
      <c r="B69">
        <f t="shared" ref="B69:B82" si="1">M69+60000000</f>
        <v>72034000</v>
      </c>
      <c r="C69" t="s">
        <v>201</v>
      </c>
      <c r="D69" s="25">
        <v>12034000</v>
      </c>
      <c r="E69" t="s">
        <v>202</v>
      </c>
      <c r="F69" t="s">
        <v>145</v>
      </c>
      <c r="G69" t="s">
        <v>203</v>
      </c>
      <c r="H69">
        <v>12034000</v>
      </c>
      <c r="I69" t="s">
        <v>204</v>
      </c>
      <c r="J69" s="25" t="s">
        <v>68</v>
      </c>
      <c r="K69" t="b" s="11">
        <v>1</v>
      </c>
      <c r="L69">
        <v>49</v>
      </c>
      <c r="M69">
        <v>12034000</v>
      </c>
      <c r="AH69" s="11">
        <v>1</v>
      </c>
      <c r="AI69" s="11" t="s">
        <v>69</v>
      </c>
      <c r="AL69" t="str" s="11">
        <v>【补充设计】保留奇珍ID、钥匙与图谱关系；可携带标记与独立效果行逐ID核对。</v>
      </c>
    </row>
    <row r="70" spans="2:35">
      <c r="B70">
        <f t="shared" si="1"/>
        <v>72065000</v>
      </c>
      <c r="C70" t="s">
        <v>205</v>
      </c>
      <c r="D70" s="25">
        <v>12065000</v>
      </c>
      <c r="E70" t="s">
        <v>202</v>
      </c>
      <c r="F70" t="s">
        <v>206</v>
      </c>
      <c r="G70" t="s">
        <v>207</v>
      </c>
      <c r="H70">
        <v>12065000</v>
      </c>
      <c r="I70" t="s">
        <v>208</v>
      </c>
      <c r="J70" s="25" t="s">
        <v>68</v>
      </c>
      <c r="K70" t="b" s="11">
        <v>1</v>
      </c>
      <c r="L70">
        <v>49</v>
      </c>
      <c r="M70">
        <v>12065000</v>
      </c>
      <c r="AH70" s="11">
        <v>2</v>
      </c>
      <c r="AI70" s="11" t="s">
        <v>69</v>
      </c>
      <c r="AL70" t="str" s="11">
        <v>【补充设计】保留奇珍ID、钥匙与图谱关系；可携带标记与独立效果行逐ID核对。</v>
      </c>
    </row>
    <row r="71" spans="2:35">
      <c r="B71">
        <f t="shared" si="1"/>
        <v>72034001</v>
      </c>
      <c r="C71" t="s">
        <v>209</v>
      </c>
      <c r="D71" s="25">
        <v>12034001</v>
      </c>
      <c r="E71" t="s">
        <v>202</v>
      </c>
      <c r="F71" t="s">
        <v>145</v>
      </c>
      <c r="G71" t="s">
        <v>203</v>
      </c>
      <c r="H71">
        <v>12034001</v>
      </c>
      <c r="I71" t="s">
        <v>210</v>
      </c>
      <c r="J71" s="25" t="s">
        <v>68</v>
      </c>
      <c r="K71" t="b" s="11">
        <v>1</v>
      </c>
      <c r="L71">
        <v>50</v>
      </c>
      <c r="M71">
        <v>12034001</v>
      </c>
      <c r="AH71" s="11">
        <v>3</v>
      </c>
      <c r="AI71" s="11" t="s">
        <v>69</v>
      </c>
      <c r="AL71" t="str" s="11">
        <v>【补充设计】保留奇珍ID、钥匙与图谱关系；可携带标记与独立效果行逐ID核对。</v>
      </c>
    </row>
    <row r="72" spans="2:35">
      <c r="B72">
        <f t="shared" si="1"/>
        <v>72055000</v>
      </c>
      <c r="C72" t="s">
        <v>211</v>
      </c>
      <c r="D72" s="25">
        <v>12055000</v>
      </c>
      <c r="E72" t="s">
        <v>202</v>
      </c>
      <c r="F72" t="s">
        <v>206</v>
      </c>
      <c r="G72" t="s">
        <v>212</v>
      </c>
      <c r="H72">
        <v>12055000</v>
      </c>
      <c r="I72" t="s">
        <v>213</v>
      </c>
      <c r="J72" s="25" t="s">
        <v>68</v>
      </c>
      <c r="K72" t="b" s="11">
        <v>1</v>
      </c>
      <c r="L72">
        <v>50</v>
      </c>
      <c r="M72">
        <v>12055000</v>
      </c>
      <c r="AH72" s="11">
        <v>4</v>
      </c>
      <c r="AI72" s="11" t="s">
        <v>69</v>
      </c>
      <c r="AL72" t="str" s="11">
        <v>【补充设计】保留奇珍ID、钥匙与图谱关系；可携带标记与独立效果行逐ID核对。</v>
      </c>
    </row>
    <row r="73" spans="2:35">
      <c r="B73">
        <f t="shared" si="1"/>
        <v>72024000</v>
      </c>
      <c r="C73" t="s">
        <v>214</v>
      </c>
      <c r="D73" s="25">
        <v>12024000</v>
      </c>
      <c r="E73" t="s">
        <v>202</v>
      </c>
      <c r="F73" t="s">
        <v>145</v>
      </c>
      <c r="G73" t="s">
        <v>215</v>
      </c>
      <c r="H73">
        <v>12024000</v>
      </c>
      <c r="I73" t="s">
        <v>216</v>
      </c>
      <c r="J73" s="25" t="s">
        <v>68</v>
      </c>
      <c r="K73" t="b" s="11">
        <v>1</v>
      </c>
      <c r="L73">
        <v>51</v>
      </c>
      <c r="M73">
        <v>12024000</v>
      </c>
      <c r="AH73" s="11">
        <v>5</v>
      </c>
      <c r="AI73" s="11" t="s">
        <v>69</v>
      </c>
      <c r="AL73" t="str" s="11">
        <v>【补充设计】保留奇珍ID、钥匙与图谱关系；可携带标记与独立效果行逐ID核对。</v>
      </c>
    </row>
    <row r="74" spans="2:35">
      <c r="B74">
        <f t="shared" si="1"/>
        <v>72075000</v>
      </c>
      <c r="C74" t="s">
        <v>217</v>
      </c>
      <c r="D74" s="25">
        <v>12075000</v>
      </c>
      <c r="E74" t="s">
        <v>202</v>
      </c>
      <c r="F74" t="s">
        <v>206</v>
      </c>
      <c r="G74" t="s">
        <v>218</v>
      </c>
      <c r="H74">
        <v>12075000</v>
      </c>
      <c r="I74" t="s">
        <v>219</v>
      </c>
      <c r="J74" s="25" t="s">
        <v>68</v>
      </c>
      <c r="K74" t="b" s="11">
        <v>1</v>
      </c>
      <c r="L74">
        <v>51</v>
      </c>
      <c r="M74">
        <v>12075000</v>
      </c>
      <c r="Q74" s="26"/>
      <c r="AH74" s="11">
        <v>6</v>
      </c>
      <c r="AI74" s="11" t="s">
        <v>69</v>
      </c>
      <c r="AL74" t="str" s="11">
        <v>【补充设计】保留奇珍ID、钥匙与图谱关系；可携带标记与独立效果行逐ID核对。</v>
      </c>
    </row>
    <row r="75" spans="2:35">
      <c r="B75">
        <f t="shared" si="1"/>
        <v>72044000</v>
      </c>
      <c r="C75" t="s">
        <v>220</v>
      </c>
      <c r="D75" s="25">
        <v>12044000</v>
      </c>
      <c r="E75" t="s">
        <v>202</v>
      </c>
      <c r="F75" t="s">
        <v>145</v>
      </c>
      <c r="G75" t="s">
        <v>221</v>
      </c>
      <c r="H75">
        <v>12044000</v>
      </c>
      <c r="I75" t="s">
        <v>222</v>
      </c>
      <c r="J75" s="25" t="s">
        <v>68</v>
      </c>
      <c r="K75" t="b" s="11">
        <v>1</v>
      </c>
      <c r="L75">
        <v>52</v>
      </c>
      <c r="M75">
        <v>12044000</v>
      </c>
      <c r="Q75" s="26"/>
      <c r="AH75" s="11">
        <v>7</v>
      </c>
      <c r="AI75" s="11" t="s">
        <v>69</v>
      </c>
      <c r="AL75" t="str" s="11">
        <v>【补充设计】保留奇珍ID、钥匙与图谱关系；可携带标记与独立效果行逐ID核对。</v>
      </c>
    </row>
    <row r="76" spans="2:35">
      <c r="B76">
        <f t="shared" si="1"/>
        <v>72085000</v>
      </c>
      <c r="C76" t="s">
        <v>223</v>
      </c>
      <c r="D76" s="25">
        <v>12085000</v>
      </c>
      <c r="E76" t="s">
        <v>202</v>
      </c>
      <c r="F76" t="s">
        <v>206</v>
      </c>
      <c r="G76" t="s">
        <v>224</v>
      </c>
      <c r="H76">
        <v>12085000</v>
      </c>
      <c r="I76" t="s">
        <v>225</v>
      </c>
      <c r="J76" s="25" t="s">
        <v>68</v>
      </c>
      <c r="K76" t="b" s="11">
        <v>1</v>
      </c>
      <c r="L76">
        <v>52</v>
      </c>
      <c r="M76">
        <v>12085000</v>
      </c>
      <c r="Q76" s="26"/>
      <c r="AH76" s="11">
        <v>8</v>
      </c>
      <c r="AI76" s="11" t="s">
        <v>69</v>
      </c>
      <c r="AL76" t="str" s="11">
        <v>【补充设计】保留奇珍ID、钥匙与图谱关系；可携带标记与独立效果行逐ID核对。</v>
      </c>
    </row>
    <row r="77" spans="2:35">
      <c r="B77">
        <f t="shared" si="1"/>
        <v>72054000</v>
      </c>
      <c r="C77" t="s">
        <v>226</v>
      </c>
      <c r="D77" s="25">
        <v>12054000</v>
      </c>
      <c r="E77" t="s">
        <v>202</v>
      </c>
      <c r="F77" t="s">
        <v>145</v>
      </c>
      <c r="G77" t="s">
        <v>212</v>
      </c>
      <c r="H77">
        <v>12054000</v>
      </c>
      <c r="I77" t="s">
        <v>227</v>
      </c>
      <c r="J77" s="25" t="s">
        <v>68</v>
      </c>
      <c r="K77" t="b" s="11">
        <v>1</v>
      </c>
      <c r="L77">
        <v>53</v>
      </c>
      <c r="M77">
        <v>12054000</v>
      </c>
      <c r="Q77" s="26"/>
      <c r="AH77" s="11">
        <v>9</v>
      </c>
      <c r="AI77" s="11" t="s">
        <v>69</v>
      </c>
      <c r="AL77" t="str" s="11">
        <v>【补充设计】保留奇珍ID、钥匙与图谱关系；可携带标记与独立效果行逐ID核对。</v>
      </c>
    </row>
    <row r="78" spans="2:35">
      <c r="B78">
        <f t="shared" si="1"/>
        <v>72085001</v>
      </c>
      <c r="C78" t="s">
        <v>228</v>
      </c>
      <c r="D78" s="25">
        <v>12085001</v>
      </c>
      <c r="E78" t="s">
        <v>202</v>
      </c>
      <c r="F78" t="s">
        <v>206</v>
      </c>
      <c r="G78" t="s">
        <v>224</v>
      </c>
      <c r="H78">
        <v>12085001</v>
      </c>
      <c r="I78" t="s">
        <v>229</v>
      </c>
      <c r="J78" s="25" t="s">
        <v>68</v>
      </c>
      <c r="K78" t="b" s="11">
        <v>1</v>
      </c>
      <c r="L78">
        <v>53</v>
      </c>
      <c r="M78">
        <v>12085001</v>
      </c>
      <c r="Q78" s="26"/>
      <c r="AH78" s="11">
        <v>10</v>
      </c>
      <c r="AI78" s="11" t="s">
        <v>69</v>
      </c>
      <c r="AL78" t="str" s="11">
        <v>【补充设计】保留奇珍ID、钥匙与图谱关系；可携带标记与独立效果行逐ID核对。</v>
      </c>
    </row>
    <row r="79" spans="2:35">
      <c r="B79">
        <f t="shared" si="1"/>
        <v>72044001</v>
      </c>
      <c r="C79" t="s">
        <v>230</v>
      </c>
      <c r="D79" s="25">
        <v>12044001</v>
      </c>
      <c r="E79" t="s">
        <v>202</v>
      </c>
      <c r="F79" t="s">
        <v>145</v>
      </c>
      <c r="G79" t="s">
        <v>221</v>
      </c>
      <c r="H79">
        <v>12044001</v>
      </c>
      <c r="I79" t="s">
        <v>231</v>
      </c>
      <c r="J79" s="25" t="s">
        <v>68</v>
      </c>
      <c r="K79" t="b" s="11">
        <v>1</v>
      </c>
      <c r="L79">
        <v>54</v>
      </c>
      <c r="M79">
        <v>12044001</v>
      </c>
      <c r="Q79" s="26"/>
      <c r="AH79" s="11">
        <v>11</v>
      </c>
      <c r="AI79" s="11" t="s">
        <v>69</v>
      </c>
      <c r="AL79" t="str" s="11">
        <v>【补充设计】保留奇珍ID、钥匙与图谱关系；可携带标记与独立效果行逐ID核对。</v>
      </c>
    </row>
    <row r="80" spans="2:35">
      <c r="B80">
        <f t="shared" si="1"/>
        <v>72085002</v>
      </c>
      <c r="C80" t="s">
        <v>232</v>
      </c>
      <c r="D80" s="25">
        <v>12085002</v>
      </c>
      <c r="E80" t="s">
        <v>202</v>
      </c>
      <c r="F80" t="s">
        <v>206</v>
      </c>
      <c r="G80" t="s">
        <v>224</v>
      </c>
      <c r="H80">
        <v>12085002</v>
      </c>
      <c r="I80" t="s">
        <v>233</v>
      </c>
      <c r="J80" s="25" t="s">
        <v>68</v>
      </c>
      <c r="K80" t="b" s="11">
        <v>1</v>
      </c>
      <c r="L80">
        <v>54</v>
      </c>
      <c r="M80">
        <v>12085002</v>
      </c>
      <c r="AH80" s="11">
        <v>12</v>
      </c>
      <c r="AI80" s="11" t="s">
        <v>69</v>
      </c>
      <c r="AL80" t="str" s="11">
        <v>【补充设计】保留奇珍ID、钥匙与图谱关系；可携带标记与独立效果行逐ID核对。</v>
      </c>
    </row>
    <row r="81" spans="2:35">
      <c r="B81">
        <f t="shared" si="1"/>
        <v>72054001</v>
      </c>
      <c r="C81" t="s">
        <v>234</v>
      </c>
      <c r="D81" s="25">
        <v>12054001</v>
      </c>
      <c r="E81" t="s">
        <v>202</v>
      </c>
      <c r="F81" t="s">
        <v>145</v>
      </c>
      <c r="G81" t="s">
        <v>212</v>
      </c>
      <c r="H81">
        <v>12054001</v>
      </c>
      <c r="I81" t="s">
        <v>235</v>
      </c>
      <c r="J81" s="25" t="s">
        <v>68</v>
      </c>
      <c r="K81" t="b" s="11">
        <v>1</v>
      </c>
      <c r="L81">
        <v>55</v>
      </c>
      <c r="M81">
        <v>12054001</v>
      </c>
      <c r="AH81" s="11">
        <v>13</v>
      </c>
      <c r="AI81" s="11" t="s">
        <v>69</v>
      </c>
      <c r="AL81" t="str" s="11">
        <v>【补充设计】保留奇珍ID、钥匙与图谱关系；可携带标记与独立效果行逐ID核对。</v>
      </c>
    </row>
    <row r="82" spans="2:35">
      <c r="B82">
        <f t="shared" si="1"/>
        <v>72085003</v>
      </c>
      <c r="C82" t="s">
        <v>236</v>
      </c>
      <c r="D82" s="25">
        <v>12085003</v>
      </c>
      <c r="E82" t="s">
        <v>202</v>
      </c>
      <c r="F82" t="s">
        <v>206</v>
      </c>
      <c r="G82" t="s">
        <v>224</v>
      </c>
      <c r="H82">
        <v>12085003</v>
      </c>
      <c r="I82" t="s">
        <v>237</v>
      </c>
      <c r="J82" s="25" t="s">
        <v>68</v>
      </c>
      <c r="K82" t="b" s="11">
        <v>1</v>
      </c>
      <c r="L82">
        <v>55</v>
      </c>
      <c r="M82">
        <v>12085003</v>
      </c>
      <c r="AH82" s="11">
        <v>14</v>
      </c>
      <c r="AI82" s="11" t="s">
        <v>69</v>
      </c>
      <c r="AL82" t="str" s="11">
        <v>【补充设计】保留奇珍ID、钥匙与图谱关系；可携带标记与独立效果行逐ID核对。</v>
      </c>
    </row>
    <row r="83" spans="2:35">
      <c r="B83">
        <f t="shared" ref="B83:B114" si="2">M83+60000000</f>
        <v>71921000</v>
      </c>
      <c r="C83" t="s">
        <v>238</v>
      </c>
      <c r="D83" s="25">
        <v>11921000</v>
      </c>
      <c r="E83" s="20" t="s">
        <v>239</v>
      </c>
      <c r="F83" t="s">
        <v>240</v>
      </c>
      <c r="G83" t="s">
        <v>66</v>
      </c>
      <c r="H83">
        <v>11921000</v>
      </c>
      <c xmlns="http://schemas.openxmlformats.org/spreadsheetml/2006/main" r="I83" t="inlineStr">
        <is>
          <t>|cff00FF00玄阴涤元丹，药性寒。服用示例（筑基凡品）：清除对应味池杂质总量22584点，按300现实秒的经过时间线性结算（操作时补结差额）。具体以对应丹药说明为准；奇珍携带效果另计。|r</t>
        </is>
      </c>
      <c r="J83" s="25" t="s">
        <v>68</v>
      </c>
      <c r="K83" t="b" s="11">
        <v>0</v>
      </c>
      <c r="M83">
        <v>11921000</v>
      </c>
      <c r="N83">
        <v>11931000</v>
      </c>
      <c r="O83">
        <v>11941000</v>
      </c>
      <c r="P83">
        <v>11952000</v>
      </c>
      <c r="Q83">
        <v>11962000</v>
      </c>
      <c r="R83">
        <v>11972000</v>
      </c>
      <c r="S83">
        <v>11983000</v>
      </c>
      <c r="AH83" s="11">
        <v>1</v>
      </c>
      <c r="AI83" s="11" t="s">
        <v>69</v>
      </c>
      <c r="AL83" t="str" s="11">
        <v>【补充设计】保留奇珍ID、钥匙与图谱关系；可携带标记与独立效果行逐ID核对。</v>
      </c>
    </row>
    <row r="84" spans="2:35">
      <c r="B84">
        <f t="shared" si="2"/>
        <v>71921001</v>
      </c>
      <c r="C84" t="s">
        <v>242</v>
      </c>
      <c r="D84" s="25">
        <v>11921001</v>
      </c>
      <c r="E84" s="20" t="s">
        <v>239</v>
      </c>
      <c r="F84" t="s">
        <v>240</v>
      </c>
      <c r="G84" t="s">
        <v>66</v>
      </c>
      <c r="H84">
        <v>11921001</v>
      </c>
      <c xmlns="http://schemas.openxmlformats.org/spreadsheetml/2006/main" r="I84" t="inlineStr">
        <is>
          <t>|cff00FF00清和涤元丹，药性凉。服用示例（筑基凡品）：清除对应味池杂质总量13014点，按60现实秒的经过时间线性结算（操作时补结差额）。具体以对应丹药说明为准；奇珍携带效果另计。|r</t>
        </is>
      </c>
      <c r="J84" s="25" t="s">
        <v>68</v>
      </c>
      <c r="K84" t="b" s="11">
        <v>0</v>
      </c>
      <c r="M84">
        <v>11921001</v>
      </c>
      <c r="N84">
        <v>11931001</v>
      </c>
      <c r="O84">
        <v>11941001</v>
      </c>
      <c r="P84">
        <v>11952001</v>
      </c>
      <c r="Q84">
        <v>11962001</v>
      </c>
      <c r="R84">
        <v>11972001</v>
      </c>
      <c r="S84">
        <v>11983001</v>
      </c>
      <c r="AH84" s="11">
        <v>2</v>
      </c>
      <c r="AI84" s="11" t="s">
        <v>69</v>
      </c>
      <c r="AL84" t="str" s="11">
        <v>【补充设计】保留奇珍ID、钥匙与图谱关系；可携带标记与独立效果行逐ID核对。</v>
      </c>
    </row>
    <row r="85" spans="2:35">
      <c r="B85">
        <f t="shared" si="2"/>
        <v>71921002</v>
      </c>
      <c r="C85" t="s">
        <v>244</v>
      </c>
      <c r="D85" s="25">
        <v>11921002</v>
      </c>
      <c r="E85" s="20" t="s">
        <v>239</v>
      </c>
      <c r="F85" t="s">
        <v>240</v>
      </c>
      <c r="G85" t="s">
        <v>66</v>
      </c>
      <c r="H85">
        <v>11921002</v>
      </c>
      <c xmlns="http://schemas.openxmlformats.org/spreadsheetml/2006/main" r="I85" t="inlineStr">
        <is>
          <t>|cff00FF00涤元丹，药性平。服用示例（筑基凡品）：清除对应味池杂质总量16080点，按60现实秒的经过时间线性结算（操作时补结差额）。具体以对应丹药说明为准；奇珍携带效果另计。|r</t>
        </is>
      </c>
      <c r="J85" s="25" t="s">
        <v>68</v>
      </c>
      <c r="K85" t="b" s="11">
        <v>0</v>
      </c>
      <c r="L85">
        <v>15</v>
      </c>
      <c r="M85">
        <v>11921002</v>
      </c>
      <c r="N85">
        <v>11931002</v>
      </c>
      <c r="O85">
        <v>11941002</v>
      </c>
      <c r="P85">
        <v>11952002</v>
      </c>
      <c r="Q85">
        <v>11962002</v>
      </c>
      <c r="R85">
        <v>11972002</v>
      </c>
      <c r="S85">
        <v>11983002</v>
      </c>
      <c r="AH85" s="11">
        <v>3</v>
      </c>
      <c r="AI85" s="11" t="s">
        <v>69</v>
      </c>
      <c r="AL85" t="str" s="11">
        <v>【补充设计】保留奇珍ID、钥匙与图谱关系；可携带标记与独立效果行逐ID核对。</v>
      </c>
    </row>
    <row r="86" spans="2:35">
      <c r="B86">
        <f t="shared" si="2"/>
        <v>71921003</v>
      </c>
      <c r="C86" t="s">
        <v>246</v>
      </c>
      <c r="D86" s="25">
        <v>11921003</v>
      </c>
      <c r="E86" s="20" t="s">
        <v>239</v>
      </c>
      <c r="F86" t="s">
        <v>240</v>
      </c>
      <c r="G86" t="s">
        <v>66</v>
      </c>
      <c r="H86">
        <v>11921003</v>
      </c>
      <c xmlns="http://schemas.openxmlformats.org/spreadsheetml/2006/main" r="I86" t="inlineStr">
        <is>
          <t>|cff00FF00温阳涤元丹，药性温。服用示例（筑基凡品）：清除对应味池杂质总量19146点，按60现实秒的经过时间线性结算（操作时补结差额）。具体以对应丹药说明为准；奇珍携带效果另计。|r</t>
        </is>
      </c>
      <c r="J86" s="25" t="s">
        <v>68</v>
      </c>
      <c r="K86" t="b" s="11">
        <v>0</v>
      </c>
      <c r="M86">
        <v>11921003</v>
      </c>
      <c r="N86">
        <v>11931003</v>
      </c>
      <c r="O86">
        <v>11941003</v>
      </c>
      <c r="P86">
        <v>11952003</v>
      </c>
      <c r="Q86">
        <v>11962003</v>
      </c>
      <c r="R86">
        <v>11972003</v>
      </c>
      <c r="S86">
        <v>11983003</v>
      </c>
      <c r="AH86" s="11">
        <v>4</v>
      </c>
      <c r="AI86" s="11" t="s">
        <v>69</v>
      </c>
      <c r="AL86" t="str" s="11">
        <v>【补充设计】保留奇珍ID、钥匙与图谱关系；可携带标记与独立效果行逐ID核对。</v>
      </c>
    </row>
    <row r="87" spans="2:35">
      <c r="B87">
        <f t="shared" si="2"/>
        <v>71921004</v>
      </c>
      <c r="C87" t="s">
        <v>248</v>
      </c>
      <c r="D87" s="25">
        <v>11921004</v>
      </c>
      <c r="E87" s="20" t="s">
        <v>239</v>
      </c>
      <c r="F87" t="s">
        <v>240</v>
      </c>
      <c r="G87" t="s">
        <v>66</v>
      </c>
      <c r="H87">
        <v>11921004</v>
      </c>
      <c xmlns="http://schemas.openxmlformats.org/spreadsheetml/2006/main" r="I87" t="inlineStr">
        <is>
          <t>|cff00FF00烈阳涤元丹，药性热。服用示例（筑基凡品）：清除对应味池杂质总量15408点，按10现实秒的经过时间线性结算（操作时补结差额）。具体以对应丹药说明为准；奇珍携带效果另计。|r</t>
        </is>
      </c>
      <c r="J87" s="25" t="s">
        <v>68</v>
      </c>
      <c r="K87" t="b" s="11">
        <v>0</v>
      </c>
      <c r="M87">
        <v>11921004</v>
      </c>
      <c r="N87">
        <v>11931004</v>
      </c>
      <c r="O87">
        <v>11941004</v>
      </c>
      <c r="P87">
        <v>11952004</v>
      </c>
      <c r="Q87">
        <v>11962004</v>
      </c>
      <c r="R87">
        <v>11972004</v>
      </c>
      <c r="S87">
        <v>11983004</v>
      </c>
      <c r="AH87" s="11">
        <v>5</v>
      </c>
      <c r="AI87" s="11" t="s">
        <v>69</v>
      </c>
      <c r="AL87" t="str" s="11">
        <v>【补充设计】保留奇珍ID、钥匙与图谱关系；可携带标记与独立效果行逐ID核对。</v>
      </c>
    </row>
    <row r="88" spans="2:35">
      <c r="B88">
        <f t="shared" si="2"/>
        <v>71921005</v>
      </c>
      <c r="C88" t="s">
        <v>250</v>
      </c>
      <c r="D88" s="25">
        <v>11921005</v>
      </c>
      <c r="E88" s="20" t="s">
        <v>239</v>
      </c>
      <c r="F88" t="s">
        <v>240</v>
      </c>
      <c r="G88" t="s">
        <v>66</v>
      </c>
      <c r="H88">
        <v>11921005</v>
      </c>
      <c xmlns="http://schemas.openxmlformats.org/spreadsheetml/2006/main" r="I88" t="inlineStr">
        <is>
          <t>|cff00FF00玄阴破境丹，药性寒。用于筑基境大境界突破的必需材料。丹药服用效果与奇珍携带奇效分别结算。|r</t>
        </is>
      </c>
      <c r="J88" s="25" t="s">
        <v>68</v>
      </c>
      <c r="K88" t="b" s="11">
        <v>0</v>
      </c>
      <c r="L88">
        <v>20</v>
      </c>
      <c r="M88">
        <v>11921005</v>
      </c>
      <c r="N88">
        <v>11931005</v>
      </c>
      <c r="O88">
        <v>11941005</v>
      </c>
      <c r="P88">
        <v>11952005</v>
      </c>
      <c r="Q88">
        <v>11962005</v>
      </c>
      <c r="R88">
        <v>11972005</v>
      </c>
      <c r="S88">
        <v>11983005</v>
      </c>
      <c r="AH88" s="11">
        <v>6</v>
      </c>
      <c r="AI88" s="11" t="s">
        <v>69</v>
      </c>
      <c r="AL88" t="str" s="11">
        <v>【补充设计】保留奇珍ID、钥匙与图谱关系；可携带标记与独立效果行逐ID核对。</v>
      </c>
    </row>
    <row r="89" spans="2:35">
      <c r="B89">
        <f t="shared" si="2"/>
        <v>71921006</v>
      </c>
      <c r="C89" t="s">
        <v>252</v>
      </c>
      <c r="D89" s="25">
        <v>11921006</v>
      </c>
      <c r="E89" s="20" t="s">
        <v>239</v>
      </c>
      <c r="F89" t="s">
        <v>240</v>
      </c>
      <c r="G89" t="s">
        <v>66</v>
      </c>
      <c r="H89">
        <v>11921006</v>
      </c>
      <c xmlns="http://schemas.openxmlformats.org/spreadsheetml/2006/main" r="I89" t="inlineStr">
        <is>
          <t>|cff00FF00清和破境丹，药性凉。用于筑基境小境界突破的必需材料。丹药服用效果与奇珍携带奇效分别结算。|r</t>
        </is>
      </c>
      <c r="J89" s="25" t="s">
        <v>68</v>
      </c>
      <c r="K89" t="b" s="11">
        <v>0</v>
      </c>
      <c r="L89">
        <v>20</v>
      </c>
      <c r="M89">
        <v>11921006</v>
      </c>
      <c r="N89">
        <v>11931006</v>
      </c>
      <c r="O89">
        <v>11941006</v>
      </c>
      <c r="P89">
        <v>11952006</v>
      </c>
      <c r="Q89">
        <v>11962006</v>
      </c>
      <c r="R89">
        <v>11972006</v>
      </c>
      <c r="S89">
        <v>11983006</v>
      </c>
      <c r="AH89" s="11">
        <v>7</v>
      </c>
      <c r="AI89" s="11" t="s">
        <v>69</v>
      </c>
      <c r="AL89" t="str" s="11">
        <v>【补充设计】保留奇珍ID、钥匙与图谱关系；可携带标记与独立效果行逐ID核对。</v>
      </c>
    </row>
    <row r="90" spans="2:35">
      <c r="B90">
        <f t="shared" si="2"/>
        <v>71921007</v>
      </c>
      <c r="C90" s="20" t="s">
        <v>254</v>
      </c>
      <c r="D90" s="25">
        <v>11921007</v>
      </c>
      <c r="E90" s="20" t="s">
        <v>239</v>
      </c>
      <c r="F90" t="s">
        <v>240</v>
      </c>
      <c r="G90" t="s">
        <v>66</v>
      </c>
      <c r="H90">
        <v>11921007</v>
      </c>
      <c xmlns="http://schemas.openxmlformats.org/spreadsheetml/2006/main" r="I90" t="inlineStr">
        <is>
          <t>|cff00FF00破镜丹，药性平。用于突破。丹药服用效果与奇珍携带奇效分别结算。|r</t>
        </is>
      </c>
      <c r="J90" s="25" t="s">
        <v>68</v>
      </c>
      <c r="K90" t="b" s="11">
        <v>0</v>
      </c>
      <c r="M90">
        <v>11921007</v>
      </c>
      <c r="N90">
        <v>11931007</v>
      </c>
      <c r="O90">
        <v>11941007</v>
      </c>
      <c r="P90">
        <v>11952007</v>
      </c>
      <c r="Q90">
        <v>11962007</v>
      </c>
      <c r="R90">
        <v>11972007</v>
      </c>
      <c r="S90">
        <v>11983007</v>
      </c>
      <c r="AH90" s="11">
        <v>8</v>
      </c>
      <c r="AI90" s="11" t="s">
        <v>69</v>
      </c>
      <c r="AL90" t="str" s="11">
        <v>【补充设计】保留奇珍ID、钥匙与图谱关系；可携带标记与独立效果行逐ID核对。</v>
      </c>
    </row>
    <row r="91" spans="2:35">
      <c r="B91">
        <f t="shared" si="2"/>
        <v>71921008</v>
      </c>
      <c r="C91" t="s">
        <v>256</v>
      </c>
      <c r="D91" s="25">
        <v>11921008</v>
      </c>
      <c r="E91" s="20" t="s">
        <v>239</v>
      </c>
      <c r="F91" t="s">
        <v>240</v>
      </c>
      <c r="G91" t="s">
        <v>66</v>
      </c>
      <c r="H91">
        <v>11921008</v>
      </c>
      <c xmlns="http://schemas.openxmlformats.org/spreadsheetml/2006/main" r="I91" t="inlineStr">
        <is>
          <t>|cff00FF00温阳破境丹，药性温。用于筑基境小境界突破的必需材料。丹药服用效果与奇珍携带奇效分别结算。|r</t>
        </is>
      </c>
      <c r="J91" s="25" t="s">
        <v>68</v>
      </c>
      <c r="K91" t="b" s="11">
        <v>0</v>
      </c>
      <c r="M91">
        <v>11921008</v>
      </c>
      <c r="N91">
        <v>11931008</v>
      </c>
      <c r="O91">
        <v>11941008</v>
      </c>
      <c r="P91">
        <v>11952008</v>
      </c>
      <c r="Q91">
        <v>11962008</v>
      </c>
      <c r="R91">
        <v>11972008</v>
      </c>
      <c r="S91">
        <v>11983008</v>
      </c>
      <c r="AH91" s="11">
        <v>9</v>
      </c>
      <c r="AI91" s="11" t="s">
        <v>69</v>
      </c>
      <c r="AL91" t="str" s="11">
        <v>【补充设计】保留奇珍ID、钥匙与图谱关系；可携带标记与独立效果行逐ID核对。</v>
      </c>
    </row>
    <row r="92" spans="2:35">
      <c r="B92">
        <f t="shared" si="2"/>
        <v>71921009</v>
      </c>
      <c r="C92" t="s">
        <v>258</v>
      </c>
      <c r="D92" s="25">
        <v>11921009</v>
      </c>
      <c r="E92" s="20" t="s">
        <v>239</v>
      </c>
      <c r="F92" t="s">
        <v>240</v>
      </c>
      <c r="G92" t="s">
        <v>66</v>
      </c>
      <c r="H92">
        <v>11921009</v>
      </c>
      <c xmlns="http://schemas.openxmlformats.org/spreadsheetml/2006/main" r="I92" t="inlineStr">
        <is>
          <t>|cff00FF00烈阳破境丹，药性热。用于筑基境大境界突破的必需材料。丹药服用效果与奇珍携带奇效分别结算。|r</t>
        </is>
      </c>
      <c r="J92" s="25" t="s">
        <v>68</v>
      </c>
      <c r="K92" t="b" s="11">
        <v>0</v>
      </c>
      <c r="L92">
        <v>20</v>
      </c>
      <c r="M92">
        <v>11921009</v>
      </c>
      <c r="N92">
        <v>11931009</v>
      </c>
      <c r="O92">
        <v>11941009</v>
      </c>
      <c r="P92">
        <v>11952009</v>
      </c>
      <c r="Q92">
        <v>11962009</v>
      </c>
      <c r="R92">
        <v>11972009</v>
      </c>
      <c r="S92">
        <v>11983009</v>
      </c>
      <c r="AH92" s="11">
        <v>10</v>
      </c>
      <c r="AI92" s="11" t="s">
        <v>69</v>
      </c>
      <c r="AL92" t="str" s="11">
        <v>【补充设计】保留奇珍ID、钥匙与图谱关系；可携带标记与独立效果行逐ID核对。</v>
      </c>
    </row>
    <row r="93" spans="2:35">
      <c r="B93">
        <f t="shared" si="2"/>
        <v>71921010</v>
      </c>
      <c xmlns="http://schemas.openxmlformats.org/spreadsheetml/2006/main" r="C93" t="inlineStr">
        <is>
          <t>玄阴复元丹</t>
        </is>
      </c>
      <c r="D93" s="25">
        <v>11921010</v>
      </c>
      <c r="E93" s="20" t="s">
        <v>239</v>
      </c>
      <c r="F93" t="s">
        <v>240</v>
      </c>
      <c r="G93" t="s">
        <v>66</v>
      </c>
      <c r="H93">
        <v>11921010</v>
      </c>
      <c xmlns="http://schemas.openxmlformats.org/spreadsheetml/2006/main" r="I93" t="inlineStr">
        <is>
          <t>|cff00FF00玄阴复元丹，药性寒。服用示例（筑基凡品）：立即缩短本级基础突破虚弱时长的5%。具体以对应丹药说明为准；奇珍携带效果另计。|r</t>
        </is>
      </c>
      <c r="J93" s="25" t="s">
        <v>68</v>
      </c>
      <c r="K93" t="b" s="11">
        <v>0</v>
      </c>
      <c r="L93">
        <v>14</v>
      </c>
      <c r="M93">
        <v>11921010</v>
      </c>
      <c r="N93">
        <v>11931010</v>
      </c>
      <c r="O93">
        <v>11941010</v>
      </c>
      <c r="P93">
        <v>11952010</v>
      </c>
      <c r="Q93">
        <v>11962010</v>
      </c>
      <c r="R93">
        <v>11972010</v>
      </c>
      <c r="S93">
        <v>11983010</v>
      </c>
      <c r="AH93" s="11">
        <v>11</v>
      </c>
      <c r="AI93" s="11" t="s">
        <v>69</v>
      </c>
      <c r="AL93" t="str" s="11">
        <v>【补充设计】保留奇珍ID、钥匙与图谱关系；可携带标记与独立效果行逐ID核对。</v>
      </c>
    </row>
    <row r="94" spans="2:35">
      <c r="B94">
        <f t="shared" si="2"/>
        <v>71921011</v>
      </c>
      <c xmlns="http://schemas.openxmlformats.org/spreadsheetml/2006/main" r="C94" t="inlineStr">
        <is>
          <t>清和复元丹</t>
        </is>
      </c>
      <c r="D94" s="25">
        <v>11921011</v>
      </c>
      <c r="E94" s="20" t="s">
        <v>239</v>
      </c>
      <c r="F94" t="s">
        <v>240</v>
      </c>
      <c r="G94" t="s">
        <v>66</v>
      </c>
      <c r="H94">
        <v>11921011</v>
      </c>
      <c xmlns="http://schemas.openxmlformats.org/spreadsheetml/2006/main" r="I94" t="inlineStr">
        <is>
          <t>|cff00FF00清和复元丹，药性凉。服用示例（筑基凡品）：立即缩短本级基础突破虚弱时长的10%。具体以对应丹药说明为准；奇珍携带效果另计。|r</t>
        </is>
      </c>
      <c r="J94" s="25" t="s">
        <v>68</v>
      </c>
      <c r="K94" t="b" s="11">
        <v>0</v>
      </c>
      <c r="M94">
        <v>11921011</v>
      </c>
      <c r="N94">
        <v>11931011</v>
      </c>
      <c r="O94">
        <v>11941011</v>
      </c>
      <c r="P94">
        <v>11952011</v>
      </c>
      <c r="Q94">
        <v>11962011</v>
      </c>
      <c r="R94">
        <v>11972011</v>
      </c>
      <c r="S94">
        <v>11983011</v>
      </c>
      <c r="AH94" s="11">
        <v>12</v>
      </c>
      <c r="AI94" s="11" t="s">
        <v>69</v>
      </c>
      <c r="AL94" t="str" s="11">
        <v>【补充设计】保留奇珍ID、钥匙与图谱关系；可携带标记与独立效果行逐ID核对。</v>
      </c>
    </row>
    <row r="95" spans="2:35">
      <c r="B95">
        <f t="shared" si="2"/>
        <v>71921012</v>
      </c>
      <c xmlns="http://schemas.openxmlformats.org/spreadsheetml/2006/main" r="C95" t="inlineStr">
        <is>
          <t>复元丹</t>
        </is>
      </c>
      <c r="D95" s="25">
        <v>11921012</v>
      </c>
      <c r="E95" s="20" t="s">
        <v>239</v>
      </c>
      <c r="F95" t="s">
        <v>240</v>
      </c>
      <c r="G95" t="s">
        <v>66</v>
      </c>
      <c r="H95">
        <v>11921012</v>
      </c>
      <c xmlns="http://schemas.openxmlformats.org/spreadsheetml/2006/main" r="I95" t="inlineStr">
        <is>
          <t>|cff00FF00复元丹，药性平。服用示例（筑基凡品）：立即缩短本级基础突破虚弱时长的15%。具体以对应丹药说明为准；奇珍携带效果另计。|r</t>
        </is>
      </c>
      <c r="J95" s="25" t="s">
        <v>68</v>
      </c>
      <c r="K95" t="b">
        <v>1</v>
      </c>
      <c r="L95">
        <v>13</v>
      </c>
      <c r="M95">
        <v>11921012</v>
      </c>
      <c r="N95">
        <v>11931012</v>
      </c>
      <c r="O95">
        <v>11941012</v>
      </c>
      <c r="P95">
        <v>11952012</v>
      </c>
      <c r="Q95">
        <v>11962012</v>
      </c>
      <c r="R95">
        <v>11972012</v>
      </c>
      <c r="S95">
        <v>11983012</v>
      </c>
      <c r="AH95" s="11">
        <v>13</v>
      </c>
      <c r="AI95" s="11" t="s">
        <v>69</v>
      </c>
      <c r="AL95" t="str" s="11">
        <v>【补充设计】保留奇珍ID、钥匙与图谱关系；可携带标记与独立效果行逐ID核对。</v>
      </c>
    </row>
    <row r="96" spans="2:35">
      <c r="B96">
        <f t="shared" si="2"/>
        <v>71921013</v>
      </c>
      <c xmlns="http://schemas.openxmlformats.org/spreadsheetml/2006/main" r="C96" t="inlineStr">
        <is>
          <t>温阳复元丹</t>
        </is>
      </c>
      <c r="D96" s="25">
        <v>11921013</v>
      </c>
      <c r="E96" s="20" t="s">
        <v>239</v>
      </c>
      <c r="F96" t="s">
        <v>240</v>
      </c>
      <c r="G96" t="s">
        <v>66</v>
      </c>
      <c r="H96">
        <v>11921013</v>
      </c>
      <c xmlns="http://schemas.openxmlformats.org/spreadsheetml/2006/main" r="I96" t="inlineStr">
        <is>
          <t>|cff00FF00温阳复元丹，药性温。服用示例（筑基凡品）：立即缩短本级基础突破虚弱时长的20%。具体以对应丹药说明为准；奇珍携带效果另计。|r</t>
        </is>
      </c>
      <c r="J96" s="25" t="s">
        <v>68</v>
      </c>
      <c r="K96" t="b" s="11">
        <v>0</v>
      </c>
      <c r="M96">
        <v>11921013</v>
      </c>
      <c r="N96">
        <v>11931013</v>
      </c>
      <c r="O96">
        <v>11941013</v>
      </c>
      <c r="P96">
        <v>11952013</v>
      </c>
      <c r="Q96">
        <v>11962013</v>
      </c>
      <c r="R96">
        <v>11972013</v>
      </c>
      <c r="S96">
        <v>11983013</v>
      </c>
      <c r="AH96" s="11">
        <v>14</v>
      </c>
      <c r="AI96" s="11" t="s">
        <v>69</v>
      </c>
      <c r="AL96" t="str" s="11">
        <v>【补充设计】保留奇珍ID、钥匙与图谱关系；可携带标记与独立效果行逐ID核对。</v>
      </c>
    </row>
    <row r="97" spans="2:35">
      <c r="B97">
        <f t="shared" si="2"/>
        <v>71921014</v>
      </c>
      <c xmlns="http://schemas.openxmlformats.org/spreadsheetml/2006/main" r="C97" t="inlineStr">
        <is>
          <t>烈阳复元丹</t>
        </is>
      </c>
      <c r="D97" s="25">
        <v>11921014</v>
      </c>
      <c r="E97" s="20" t="s">
        <v>239</v>
      </c>
      <c r="F97" t="s">
        <v>240</v>
      </c>
      <c r="G97" t="s">
        <v>66</v>
      </c>
      <c r="H97">
        <v>11921014</v>
      </c>
      <c xmlns="http://schemas.openxmlformats.org/spreadsheetml/2006/main" r="I97" t="inlineStr">
        <is>
          <t>|cff00FF00烈阳复元丹，药性热。服用示例（筑基凡品）：立即缩短本级基础突破虚弱时长的30%。具体以对应丹药说明为准；奇珍携带效果另计。|r</t>
        </is>
      </c>
      <c r="J97" s="25" t="s">
        <v>68</v>
      </c>
      <c r="K97" t="b" s="11">
        <v>0</v>
      </c>
      <c r="M97">
        <v>11921014</v>
      </c>
      <c r="N97">
        <v>11931014</v>
      </c>
      <c r="O97">
        <v>11941014</v>
      </c>
      <c r="P97">
        <v>11952014</v>
      </c>
      <c r="Q97">
        <v>11962014</v>
      </c>
      <c r="R97">
        <v>11972014</v>
      </c>
      <c r="S97">
        <v>11983014</v>
      </c>
      <c r="AH97" s="11">
        <v>15</v>
      </c>
      <c r="AI97" s="11" t="s">
        <v>69</v>
      </c>
      <c r="AL97" t="str" s="11">
        <v>【补充设计】保留奇珍ID、钥匙与图谱关系；可携带标记与独立效果行逐ID核对。</v>
      </c>
    </row>
    <row r="98" spans="2:35">
      <c r="B98">
        <f t="shared" si="2"/>
        <v>71921015</v>
      </c>
      <c r="C98" t="s">
        <v>270</v>
      </c>
      <c r="D98" s="25">
        <v>11921015</v>
      </c>
      <c r="E98" s="20" t="s">
        <v>239</v>
      </c>
      <c r="F98" t="s">
        <v>240</v>
      </c>
      <c r="G98" t="s">
        <v>66</v>
      </c>
      <c r="H98">
        <v>11921015</v>
      </c>
      <c xmlns="http://schemas.openxmlformats.org/spreadsheetml/2006/main" r="I98" t="inlineStr">
        <is>
          <t>|cff00FF00玄阴化元丹，药性寒。服用示例（筑基凡品）：转化值增幅+2%，持续7200现实秒。具体以对应丹药说明为准；奇珍携带效果另计。|r</t>
        </is>
      </c>
      <c r="J98" s="25" t="s">
        <v>68</v>
      </c>
      <c r="K98" t="b" s="11">
        <v>0</v>
      </c>
      <c r="M98">
        <v>11921015</v>
      </c>
      <c r="N98">
        <v>11931015</v>
      </c>
      <c r="O98">
        <v>11941015</v>
      </c>
      <c r="P98">
        <v>11952015</v>
      </c>
      <c r="Q98">
        <v>11962015</v>
      </c>
      <c r="R98">
        <v>11972015</v>
      </c>
      <c r="S98">
        <v>11983015</v>
      </c>
      <c r="AH98" s="11">
        <v>16</v>
      </c>
      <c r="AI98" s="11" t="s">
        <v>69</v>
      </c>
      <c r="AL98" t="str" s="11">
        <v>【补充设计】保留奇珍ID、钥匙与图谱关系；可携带标记与独立效果行逐ID核对。</v>
      </c>
    </row>
    <row r="99" spans="2:35">
      <c r="B99">
        <f t="shared" si="2"/>
        <v>71921016</v>
      </c>
      <c r="C99" t="s">
        <v>272</v>
      </c>
      <c r="D99" s="25">
        <v>11921016</v>
      </c>
      <c r="E99" s="20" t="s">
        <v>239</v>
      </c>
      <c r="F99" t="s">
        <v>240</v>
      </c>
      <c r="G99" t="s">
        <v>66</v>
      </c>
      <c r="H99">
        <v>11921016</v>
      </c>
      <c xmlns="http://schemas.openxmlformats.org/spreadsheetml/2006/main" r="I99" t="inlineStr">
        <is>
          <t>|cff00FF00清和化元丹，药性凉。服用示例（筑基凡品）：转化值增幅+3%，持续3600现实秒。具体以对应丹药说明为准；奇珍携带效果另计。|r</t>
        </is>
      </c>
      <c r="J99" s="25" t="s">
        <v>68</v>
      </c>
      <c r="K99" t="b" s="11">
        <v>0</v>
      </c>
      <c r="L99">
        <v>14</v>
      </c>
      <c r="M99">
        <v>11921016</v>
      </c>
      <c r="N99">
        <v>11931016</v>
      </c>
      <c r="O99">
        <v>11941016</v>
      </c>
      <c r="P99">
        <v>11952016</v>
      </c>
      <c r="Q99">
        <v>11962016</v>
      </c>
      <c r="R99">
        <v>11972016</v>
      </c>
      <c r="S99">
        <v>11983016</v>
      </c>
      <c r="AH99" s="11">
        <v>17</v>
      </c>
      <c r="AI99" s="11" t="s">
        <v>69</v>
      </c>
      <c r="AL99" t="str" s="11">
        <v>【补充设计】保留奇珍ID、钥匙与图谱关系；可携带标记与独立效果行逐ID核对。</v>
      </c>
    </row>
    <row r="100" spans="2:35">
      <c r="B100">
        <f t="shared" si="2"/>
        <v>71921017</v>
      </c>
      <c r="C100" t="s">
        <v>274</v>
      </c>
      <c r="D100" s="25">
        <v>11921017</v>
      </c>
      <c r="E100" s="20" t="s">
        <v>239</v>
      </c>
      <c r="F100" t="s">
        <v>240</v>
      </c>
      <c r="G100" t="s">
        <v>66</v>
      </c>
      <c r="H100">
        <v>11921017</v>
      </c>
      <c xmlns="http://schemas.openxmlformats.org/spreadsheetml/2006/main" r="I100" t="inlineStr">
        <is>
          <t>|cff00FF00化元丹，药性平。服用示例（筑基凡品）：转化值增幅+4%，持续3600现实秒。具体以对应丹药说明为准；奇珍携带效果另计。|r</t>
        </is>
      </c>
      <c r="J100" s="25" t="s">
        <v>68</v>
      </c>
      <c r="K100" t="b" s="11">
        <v>0</v>
      </c>
      <c r="L100">
        <v>13</v>
      </c>
      <c r="M100">
        <v>11921017</v>
      </c>
      <c r="N100">
        <v>11931017</v>
      </c>
      <c r="O100">
        <v>11941017</v>
      </c>
      <c r="P100">
        <v>11952017</v>
      </c>
      <c r="Q100">
        <v>11962017</v>
      </c>
      <c r="R100">
        <v>11972017</v>
      </c>
      <c r="S100">
        <v>11983017</v>
      </c>
      <c r="AH100" s="11">
        <v>18</v>
      </c>
      <c r="AI100" s="11" t="s">
        <v>69</v>
      </c>
      <c r="AL100" t="str" s="11">
        <v>【补充设计】保留奇珍ID、钥匙与图谱关系；可携带标记与独立效果行逐ID核对。</v>
      </c>
    </row>
    <row r="101" spans="2:35">
      <c r="B101">
        <f t="shared" si="2"/>
        <v>71921018</v>
      </c>
      <c r="C101" t="s">
        <v>276</v>
      </c>
      <c r="D101" s="25">
        <v>11921018</v>
      </c>
      <c r="E101" s="20" t="s">
        <v>239</v>
      </c>
      <c r="F101" t="s">
        <v>240</v>
      </c>
      <c r="G101" t="s">
        <v>66</v>
      </c>
      <c r="H101">
        <v>11921018</v>
      </c>
      <c xmlns="http://schemas.openxmlformats.org/spreadsheetml/2006/main" r="I101" t="inlineStr">
        <is>
          <t>|cff00FF00温阳化元丹，药性温。服用示例（筑基凡品）：转化值增幅+5%，持续3600现实秒。具体以对应丹药说明为准；奇珍携带效果另计。|r</t>
        </is>
      </c>
      <c r="J101" s="25" t="s">
        <v>68</v>
      </c>
      <c r="K101" t="b" s="11">
        <v>0</v>
      </c>
      <c r="M101">
        <v>11921018</v>
      </c>
      <c r="N101">
        <v>11931018</v>
      </c>
      <c r="O101">
        <v>11941018</v>
      </c>
      <c r="P101">
        <v>11952018</v>
      </c>
      <c r="Q101">
        <v>11962018</v>
      </c>
      <c r="R101">
        <v>11972018</v>
      </c>
      <c r="S101">
        <v>11983018</v>
      </c>
      <c r="AH101" s="11">
        <v>19</v>
      </c>
      <c r="AI101" s="11" t="s">
        <v>69</v>
      </c>
      <c r="AL101" t="str" s="11">
        <v>【补充设计】保留奇珍ID、钥匙与图谱关系；可携带标记与独立效果行逐ID核对。</v>
      </c>
    </row>
    <row r="102" spans="2:35">
      <c r="B102">
        <f t="shared" si="2"/>
        <v>71921019</v>
      </c>
      <c r="C102" t="s">
        <v>278</v>
      </c>
      <c r="D102" s="25">
        <v>11921019</v>
      </c>
      <c r="E102" s="20" t="s">
        <v>239</v>
      </c>
      <c r="F102" t="s">
        <v>240</v>
      </c>
      <c r="G102" t="s">
        <v>66</v>
      </c>
      <c r="H102">
        <v>11921019</v>
      </c>
      <c xmlns="http://schemas.openxmlformats.org/spreadsheetml/2006/main" r="I102" t="inlineStr">
        <is>
          <t>|cff00FF00烈阳化元丹，药性热。服用示例（筑基凡品）：转化值增幅+6%，持续2400现实秒。具体以对应丹药说明为准；奇珍携带效果另计。|r</t>
        </is>
      </c>
      <c r="J102" s="25" t="s">
        <v>68</v>
      </c>
      <c r="K102" t="b" s="11">
        <v>0</v>
      </c>
      <c r="M102">
        <v>11921019</v>
      </c>
      <c r="N102">
        <v>11931019</v>
      </c>
      <c r="O102">
        <v>11941019</v>
      </c>
      <c r="P102">
        <v>11952019</v>
      </c>
      <c r="Q102">
        <v>11962019</v>
      </c>
      <c r="R102">
        <v>11972019</v>
      </c>
      <c r="S102">
        <v>11983019</v>
      </c>
      <c r="AH102" s="11">
        <v>20</v>
      </c>
      <c r="AI102" s="11" t="s">
        <v>69</v>
      </c>
      <c r="AL102" t="str" s="11">
        <v>【补充设计】保留奇珍ID、钥匙与图谱关系；可携带标记与独立效果行逐ID核对。</v>
      </c>
    </row>
    <row r="103" spans="2:35">
      <c r="B103">
        <f t="shared" si="2"/>
        <v>71921020</v>
      </c>
      <c r="C103" t="s">
        <v>280</v>
      </c>
      <c r="D103" s="25">
        <v>11921020</v>
      </c>
      <c r="E103" s="20" t="s">
        <v>239</v>
      </c>
      <c r="F103" t="s">
        <v>240</v>
      </c>
      <c r="G103" t="s">
        <v>66</v>
      </c>
      <c r="H103">
        <v>11921020</v>
      </c>
      <c xmlns="http://schemas.openxmlformats.org/spreadsheetml/2006/main" r="I103" t="inlineStr">
        <is>
          <t>|cff00FF00玄阴聚元丹，药性寒。服用示例（筑基凡品）：获得修为总量150点，按3600现实秒的经过时间线性结算（操作时补结差额）。具体以对应丹药说明为准；奇珍携带效果另计。|r</t>
        </is>
      </c>
      <c r="J103" s="25" t="s">
        <v>68</v>
      </c>
      <c r="K103" t="b" s="11">
        <v>0</v>
      </c>
      <c r="M103">
        <v>11921020</v>
      </c>
      <c r="N103">
        <v>11931020</v>
      </c>
      <c r="O103">
        <v>11941020</v>
      </c>
      <c r="P103">
        <v>11952020</v>
      </c>
      <c r="Q103">
        <v>11962020</v>
      </c>
      <c r="R103">
        <v>11972020</v>
      </c>
      <c r="S103">
        <v>11983020</v>
      </c>
      <c r="AH103" s="11">
        <v>21</v>
      </c>
      <c r="AI103" s="11" t="s">
        <v>69</v>
      </c>
      <c r="AL103" t="str" s="11">
        <v>【补充设计】保留奇珍ID、钥匙与图谱关系；可携带标记与独立效果行逐ID核对。</v>
      </c>
    </row>
    <row r="104" spans="2:35">
      <c r="B104">
        <f t="shared" si="2"/>
        <v>71921021</v>
      </c>
      <c r="C104" t="s">
        <v>282</v>
      </c>
      <c r="D104" s="25">
        <v>11921021</v>
      </c>
      <c r="E104" s="20" t="s">
        <v>239</v>
      </c>
      <c r="F104" t="s">
        <v>240</v>
      </c>
      <c r="G104" t="s">
        <v>66</v>
      </c>
      <c r="H104">
        <v>11921021</v>
      </c>
      <c xmlns="http://schemas.openxmlformats.org/spreadsheetml/2006/main" r="I104" t="inlineStr">
        <is>
          <t>|cff00FF00清和聚元丹，药性凉。服用示例（筑基凡品）：获得修为总量80点。具体以对应丹药说明为准；奇珍携带效果另计。|r</t>
        </is>
      </c>
      <c r="J104" s="25" t="s">
        <v>68</v>
      </c>
      <c r="K104" t="b" s="11">
        <v>0</v>
      </c>
      <c r="M104">
        <v>11921021</v>
      </c>
      <c r="N104">
        <v>11931021</v>
      </c>
      <c r="O104">
        <v>11941021</v>
      </c>
      <c r="P104">
        <v>11952021</v>
      </c>
      <c r="Q104">
        <v>11962021</v>
      </c>
      <c r="R104">
        <v>11972021</v>
      </c>
      <c r="S104">
        <v>11983021</v>
      </c>
      <c r="AH104" s="11">
        <v>22</v>
      </c>
      <c r="AI104" s="11" t="s">
        <v>69</v>
      </c>
      <c r="AL104" t="str" s="11">
        <v>【补充设计】保留奇珍ID、钥匙与图谱关系；可携带标记与独立效果行逐ID核对。</v>
      </c>
    </row>
    <row r="105" spans="2:35">
      <c r="B105">
        <f t="shared" si="2"/>
        <v>71921022</v>
      </c>
      <c r="C105" t="s">
        <v>284</v>
      </c>
      <c r="D105" s="25">
        <v>11921022</v>
      </c>
      <c r="E105" s="20" t="s">
        <v>239</v>
      </c>
      <c r="F105" t="s">
        <v>240</v>
      </c>
      <c r="G105" t="s">
        <v>66</v>
      </c>
      <c r="H105">
        <v>11921022</v>
      </c>
      <c xmlns="http://schemas.openxmlformats.org/spreadsheetml/2006/main" r="I105" t="inlineStr">
        <is>
          <t>|cff00FF00聚元丹，药性平。服用示例（筑基凡品）：获得修为总量100点。具体以对应丹药说明为准；奇珍携带效果另计。|r</t>
        </is>
      </c>
      <c r="J105" s="25" t="s">
        <v>68</v>
      </c>
      <c r="K105" t="b" s="11">
        <v>0</v>
      </c>
      <c r="M105">
        <v>11921022</v>
      </c>
      <c r="N105">
        <v>11931022</v>
      </c>
      <c r="O105">
        <v>11941022</v>
      </c>
      <c r="P105">
        <v>11952022</v>
      </c>
      <c r="Q105">
        <v>11962022</v>
      </c>
      <c r="R105">
        <v>11972022</v>
      </c>
      <c r="S105">
        <v>11983022</v>
      </c>
      <c r="AH105" s="11">
        <v>23</v>
      </c>
      <c r="AI105" s="11" t="s">
        <v>69</v>
      </c>
      <c r="AL105" t="str" s="11">
        <v>【补充设计】保留奇珍ID、钥匙与图谱关系；可携带标记与独立效果行逐ID核对。</v>
      </c>
    </row>
    <row r="106" spans="2:35">
      <c r="B106">
        <f t="shared" si="2"/>
        <v>71921023</v>
      </c>
      <c r="C106" t="s">
        <v>286</v>
      </c>
      <c r="D106" s="25">
        <v>11921023</v>
      </c>
      <c r="E106" s="20" t="s">
        <v>239</v>
      </c>
      <c r="F106" t="s">
        <v>240</v>
      </c>
      <c r="G106" t="s">
        <v>66</v>
      </c>
      <c r="H106">
        <v>11921023</v>
      </c>
      <c xmlns="http://schemas.openxmlformats.org/spreadsheetml/2006/main" r="I106" t="inlineStr">
        <is>
          <t>|cff00FF00温阳聚元丹，药性温。服用示例（筑基凡品）：获得修为总量120点。具体以对应丹药说明为准；奇珍携带效果另计。|r</t>
        </is>
      </c>
      <c r="J106" s="25" t="s">
        <v>68</v>
      </c>
      <c r="K106" t="b" s="11">
        <v>0</v>
      </c>
      <c r="L106">
        <v>14</v>
      </c>
      <c r="M106">
        <v>11921023</v>
      </c>
      <c r="N106">
        <v>11931023</v>
      </c>
      <c r="O106">
        <v>11941023</v>
      </c>
      <c r="P106">
        <v>11952023</v>
      </c>
      <c r="Q106">
        <v>11962023</v>
      </c>
      <c r="R106">
        <v>11972023</v>
      </c>
      <c r="S106">
        <v>11983023</v>
      </c>
      <c r="AH106" s="11">
        <v>24</v>
      </c>
      <c r="AI106" s="11" t="s">
        <v>69</v>
      </c>
      <c r="AL106" t="str" s="11">
        <v>【补充设计】保留奇珍ID、钥匙与图谱关系；可携带标记与独立效果行逐ID核对。</v>
      </c>
    </row>
    <row r="107" spans="2:35">
      <c r="B107">
        <f t="shared" si="2"/>
        <v>71921024</v>
      </c>
      <c r="C107" t="s">
        <v>288</v>
      </c>
      <c r="D107" s="25">
        <v>11921024</v>
      </c>
      <c r="E107" s="20" t="s">
        <v>239</v>
      </c>
      <c r="F107" t="s">
        <v>240</v>
      </c>
      <c r="G107" t="s">
        <v>66</v>
      </c>
      <c r="H107">
        <v>11921024</v>
      </c>
      <c xmlns="http://schemas.openxmlformats.org/spreadsheetml/2006/main" r="I107" t="inlineStr">
        <is>
          <t>|cff00FF00烈阳聚元丹，药性热。服用示例（筑基凡品）：获得修为总量180点，按300现实秒的经过时间线性结算（操作时补结差额）。具体以对应丹药说明为准；奇珍携带效果另计。|r</t>
        </is>
      </c>
      <c r="J107" s="25" t="s">
        <v>68</v>
      </c>
      <c r="K107" t="b" s="11">
        <v>0</v>
      </c>
      <c r="M107">
        <v>11921024</v>
      </c>
      <c r="N107">
        <v>11931024</v>
      </c>
      <c r="O107">
        <v>11941024</v>
      </c>
      <c r="P107">
        <v>11952024</v>
      </c>
      <c r="Q107">
        <v>11962024</v>
      </c>
      <c r="R107">
        <v>11972024</v>
      </c>
      <c r="S107">
        <v>11983024</v>
      </c>
      <c r="AH107" s="11">
        <v>25</v>
      </c>
      <c r="AI107" s="11" t="s">
        <v>69</v>
      </c>
      <c r="AL107" t="str" s="11">
        <v>【补充设计】保留奇珍ID、钥匙与图谱关系；可携带标记与独立效果行逐ID核对。</v>
      </c>
    </row>
    <row r="108" spans="2:35">
      <c r="B108">
        <f t="shared" si="2"/>
        <v>71921025</v>
      </c>
      <c r="C108" t="s">
        <v>290</v>
      </c>
      <c r="D108" s="25">
        <v>11921025</v>
      </c>
      <c r="E108" s="20" t="s">
        <v>239</v>
      </c>
      <c r="F108" t="s">
        <v>240</v>
      </c>
      <c r="G108" t="s">
        <v>66</v>
      </c>
      <c r="H108">
        <v>11921025</v>
      </c>
      <c xmlns="http://schemas.openxmlformats.org/spreadsheetml/2006/main" r="I108" t="inlineStr">
        <is>
          <t>|cff00FF00玄阴通脉丹，药性寒。服用示例（筑基凡品）：清除对应味池杂质总量22584点，按300现实秒的经过时间线性结算（操作时补结差额）。具体以对应丹药说明为准；奇珍携带效果另计。|r</t>
        </is>
      </c>
      <c r="J108" s="25" t="s">
        <v>68</v>
      </c>
      <c r="K108" t="b" s="11">
        <v>0</v>
      </c>
      <c r="M108">
        <v>11921025</v>
      </c>
      <c r="N108">
        <v>11931025</v>
      </c>
      <c r="O108">
        <v>11941025</v>
      </c>
      <c r="P108">
        <v>11952025</v>
      </c>
      <c r="Q108">
        <v>11962025</v>
      </c>
      <c r="R108">
        <v>11972025</v>
      </c>
      <c r="S108">
        <v>11983025</v>
      </c>
      <c r="AH108" s="11">
        <v>26</v>
      </c>
      <c r="AI108" s="11" t="s">
        <v>69</v>
      </c>
      <c r="AL108" t="str" s="11">
        <v>【补充设计】保留奇珍ID、钥匙与图谱关系；可携带标记与独立效果行逐ID核对。</v>
      </c>
    </row>
    <row r="109" spans="2:35">
      <c r="B109">
        <f t="shared" si="2"/>
        <v>71921026</v>
      </c>
      <c r="C109" t="s">
        <v>292</v>
      </c>
      <c r="D109" s="25">
        <v>11921026</v>
      </c>
      <c r="E109" s="20" t="s">
        <v>239</v>
      </c>
      <c r="F109" t="s">
        <v>240</v>
      </c>
      <c r="G109" t="s">
        <v>66</v>
      </c>
      <c r="H109">
        <v>11921026</v>
      </c>
      <c xmlns="http://schemas.openxmlformats.org/spreadsheetml/2006/main" r="I109" t="inlineStr">
        <is>
          <t>|cff00FF00清和通脉丹，药性凉。服用示例（筑基凡品）：清除对应味池杂质总量13014点，按60现实秒的经过时间线性结算（操作时补结差额）。具体以对应丹药说明为准；奇珍携带效果另计。|r</t>
        </is>
      </c>
      <c r="J109" s="25" t="s">
        <v>68</v>
      </c>
      <c r="K109" t="b" s="11">
        <v>0</v>
      </c>
      <c r="M109">
        <v>11921026</v>
      </c>
      <c r="N109">
        <v>11931026</v>
      </c>
      <c r="O109">
        <v>11941026</v>
      </c>
      <c r="P109">
        <v>11952026</v>
      </c>
      <c r="Q109">
        <v>11962026</v>
      </c>
      <c r="R109">
        <v>11972026</v>
      </c>
      <c r="S109">
        <v>11983026</v>
      </c>
      <c r="AH109" s="11">
        <v>27</v>
      </c>
      <c r="AI109" s="11" t="s">
        <v>69</v>
      </c>
      <c r="AL109" t="str" s="11">
        <v>【补充设计】保留奇珍ID、钥匙与图谱关系；可携带标记与独立效果行逐ID核对。</v>
      </c>
    </row>
    <row r="110" spans="2:35">
      <c r="B110">
        <f t="shared" si="2"/>
        <v>71921027</v>
      </c>
      <c r="C110" t="s">
        <v>294</v>
      </c>
      <c r="D110" s="25">
        <v>11921027</v>
      </c>
      <c r="E110" s="20" t="s">
        <v>239</v>
      </c>
      <c r="F110" t="s">
        <v>240</v>
      </c>
      <c r="G110" t="s">
        <v>66</v>
      </c>
      <c r="H110">
        <v>11921027</v>
      </c>
      <c xmlns="http://schemas.openxmlformats.org/spreadsheetml/2006/main" r="I110" t="inlineStr">
        <is>
          <t>|cff00FF00通脉丹，药性平。服用示例（筑基凡品）：清除对应味池杂质总量16080点，按60现实秒的经过时间线性结算（操作时补结差额）。具体以对应丹药说明为准；奇珍携带效果另计。|r</t>
        </is>
      </c>
      <c r="J110" s="25" t="s">
        <v>68</v>
      </c>
      <c r="K110" t="b" s="11">
        <v>0</v>
      </c>
      <c r="M110">
        <v>11921027</v>
      </c>
      <c r="N110">
        <v>11931027</v>
      </c>
      <c r="O110">
        <v>11941027</v>
      </c>
      <c r="P110">
        <v>11952027</v>
      </c>
      <c r="Q110">
        <v>11962027</v>
      </c>
      <c r="R110">
        <v>11972027</v>
      </c>
      <c r="S110">
        <v>11983027</v>
      </c>
      <c r="AH110" s="11">
        <v>28</v>
      </c>
      <c r="AI110" s="11" t="s">
        <v>69</v>
      </c>
      <c r="AL110" t="str" s="11">
        <v>【补充设计】保留奇珍ID、钥匙与图谱关系；可携带标记与独立效果行逐ID核对。</v>
      </c>
    </row>
    <row r="111" spans="2:35">
      <c r="B111">
        <f t="shared" si="2"/>
        <v>71921028</v>
      </c>
      <c r="C111" t="s">
        <v>296</v>
      </c>
      <c r="D111" s="25">
        <v>11921028</v>
      </c>
      <c r="E111" s="20" t="s">
        <v>239</v>
      </c>
      <c r="F111" t="s">
        <v>240</v>
      </c>
      <c r="G111" t="s">
        <v>66</v>
      </c>
      <c r="H111">
        <v>11921028</v>
      </c>
      <c xmlns="http://schemas.openxmlformats.org/spreadsheetml/2006/main" r="I111" t="inlineStr">
        <is>
          <t>|cff00FF00温阳通脉丹，药性温。服用示例（筑基凡品）：清除对应味池杂质总量19146点，按60现实秒的经过时间线性结算（操作时补结差额）。具体以对应丹药说明为准；奇珍携带效果另计。|r</t>
        </is>
      </c>
      <c r="J111" s="25" t="s">
        <v>68</v>
      </c>
      <c r="K111" t="b" s="11">
        <v>0</v>
      </c>
      <c r="L111">
        <v>16</v>
      </c>
      <c r="M111">
        <v>11921028</v>
      </c>
      <c r="N111">
        <v>11931028</v>
      </c>
      <c r="O111">
        <v>11941028</v>
      </c>
      <c r="P111">
        <v>11952028</v>
      </c>
      <c r="Q111">
        <v>11962028</v>
      </c>
      <c r="R111">
        <v>11972028</v>
      </c>
      <c r="S111">
        <v>11983028</v>
      </c>
      <c r="AH111" s="11">
        <v>29</v>
      </c>
      <c r="AI111" s="11" t="s">
        <v>69</v>
      </c>
      <c r="AL111" t="str" s="11">
        <v>【补充设计】保留奇珍ID、钥匙与图谱关系；可携带标记与独立效果行逐ID核对。</v>
      </c>
    </row>
    <row r="112" spans="2:35">
      <c r="B112">
        <f t="shared" si="2"/>
        <v>71921029</v>
      </c>
      <c r="C112" t="s">
        <v>298</v>
      </c>
      <c r="D112" s="25">
        <v>11921029</v>
      </c>
      <c r="E112" s="20" t="s">
        <v>239</v>
      </c>
      <c r="F112" t="s">
        <v>240</v>
      </c>
      <c r="G112" t="s">
        <v>66</v>
      </c>
      <c r="H112">
        <v>11921029</v>
      </c>
      <c xmlns="http://schemas.openxmlformats.org/spreadsheetml/2006/main" r="I112" t="inlineStr">
        <is>
          <t>|cff00FF00烈阳通脉丹，药性热。服用示例（筑基凡品）：清除对应味池杂质总量15408点，按10现实秒的经过时间线性结算（操作时补结差额）。具体以对应丹药说明为准；奇珍携带效果另计。|r</t>
        </is>
      </c>
      <c r="J112" s="25" t="s">
        <v>68</v>
      </c>
      <c r="K112" t="b" s="11">
        <v>0</v>
      </c>
      <c r="M112">
        <v>11921029</v>
      </c>
      <c r="N112">
        <v>11931029</v>
      </c>
      <c r="O112">
        <v>11941029</v>
      </c>
      <c r="P112">
        <v>11952029</v>
      </c>
      <c r="Q112">
        <v>11962029</v>
      </c>
      <c r="R112">
        <v>11972029</v>
      </c>
      <c r="S112">
        <v>11983029</v>
      </c>
      <c r="AH112" s="11">
        <v>30</v>
      </c>
      <c r="AI112" s="11" t="s">
        <v>69</v>
      </c>
      <c r="AL112" t="str" s="11">
        <v>【补充设计】保留奇珍ID、钥匙与图谱关系；可携带标记与独立效果行逐ID核对。</v>
      </c>
    </row>
    <row r="113" spans="2:35">
      <c r="B113">
        <f t="shared" si="2"/>
        <v>71921030</v>
      </c>
      <c xmlns="http://schemas.openxmlformats.org/spreadsheetml/2006/main" r="C113" t="inlineStr">
        <is>
          <t>玄阴回灵丹</t>
        </is>
      </c>
      <c r="D113" s="25">
        <v>11921030</v>
      </c>
      <c r="E113" s="20" t="s">
        <v>239</v>
      </c>
      <c r="F113" t="s">
        <v>240</v>
      </c>
      <c r="G113" t="s">
        <v>66</v>
      </c>
      <c r="H113">
        <v>11921030</v>
      </c>
      <c xmlns="http://schemas.openxmlformats.org/spreadsheetml/2006/main" r="I113" t="inlineStr">
        <is>
          <t>|cff00FF00玄阴回灵丹，药性寒。服用示例（筑基凡品）：立即回复灵力上限的20%。具体以对应丹药说明为准；奇珍携带效果另计。|r</t>
        </is>
      </c>
      <c r="J113" s="25" t="s">
        <v>68</v>
      </c>
      <c r="K113" t="b" s="11">
        <v>0</v>
      </c>
      <c r="L113">
        <v>64</v>
      </c>
      <c r="M113">
        <v>11921030</v>
      </c>
      <c r="N113">
        <v>11931030</v>
      </c>
      <c r="O113">
        <v>11941030</v>
      </c>
      <c r="P113">
        <v>11952030</v>
      </c>
      <c r="Q113">
        <v>11962030</v>
      </c>
      <c r="R113">
        <v>11972030</v>
      </c>
      <c r="S113">
        <v>11983030</v>
      </c>
      <c r="AH113" s="11">
        <v>31</v>
      </c>
      <c r="AI113" s="11" t="s">
        <v>69</v>
      </c>
      <c r="AL113" t="str" s="11">
        <v>【补充设计】保留奇珍ID、钥匙与图谱关系；可携带标记与独立效果行逐ID核对。</v>
      </c>
    </row>
    <row r="114" spans="2:35">
      <c r="B114">
        <f t="shared" si="2"/>
        <v>71921031</v>
      </c>
      <c xmlns="http://schemas.openxmlformats.org/spreadsheetml/2006/main" r="C114" t="inlineStr">
        <is>
          <t>清和回灵丹</t>
        </is>
      </c>
      <c r="D114" s="25">
        <v>11921031</v>
      </c>
      <c r="E114" s="20" t="s">
        <v>239</v>
      </c>
      <c r="F114" t="s">
        <v>240</v>
      </c>
      <c r="G114" t="s">
        <v>66</v>
      </c>
      <c r="H114">
        <v>11921031</v>
      </c>
      <c xmlns="http://schemas.openxmlformats.org/spreadsheetml/2006/main" r="I114" t="inlineStr">
        <is>
          <t>|cff00FF00清和回灵丹，药性凉。服用示例（筑基凡品）：立即回复灵力上限的25%。具体以对应丹药说明为准；奇珍携带效果另计。|r</t>
        </is>
      </c>
      <c r="J114" s="25" t="s">
        <v>68</v>
      </c>
      <c r="K114" t="b" s="11">
        <v>0</v>
      </c>
      <c r="L114">
        <v>64</v>
      </c>
      <c r="M114">
        <v>11921031</v>
      </c>
      <c r="N114">
        <v>11931031</v>
      </c>
      <c r="O114">
        <v>11941031</v>
      </c>
      <c r="P114">
        <v>11952031</v>
      </c>
      <c r="Q114">
        <v>11962031</v>
      </c>
      <c r="R114">
        <v>11972031</v>
      </c>
      <c r="S114">
        <v>11983031</v>
      </c>
      <c r="AH114" s="11">
        <v>32</v>
      </c>
      <c r="AI114" s="11" t="s">
        <v>69</v>
      </c>
      <c r="AL114" t="str" s="11">
        <v>【补充设计】保留奇珍ID、钥匙与图谱关系；可携带标记与独立效果行逐ID核对。</v>
      </c>
    </row>
    <row r="115" spans="2:35">
      <c r="B115">
        <f t="shared" ref="B115:B146" si="3">M115+60000000</f>
        <v>71921032</v>
      </c>
      <c xmlns="http://schemas.openxmlformats.org/spreadsheetml/2006/main" r="C115" t="inlineStr">
        <is>
          <t>回灵丹</t>
        </is>
      </c>
      <c r="D115" s="25">
        <v>11921032</v>
      </c>
      <c r="E115" s="20" t="s">
        <v>239</v>
      </c>
      <c r="F115" t="s">
        <v>240</v>
      </c>
      <c r="G115" t="s">
        <v>66</v>
      </c>
      <c r="H115">
        <v>11921032</v>
      </c>
      <c xmlns="http://schemas.openxmlformats.org/spreadsheetml/2006/main" r="I115" t="inlineStr">
        <is>
          <t>|cff00FF00回灵丹，药性平。服用示例（筑基凡品）：立即回复灵力上限的30%。具体以对应丹药说明为准；奇珍携带效果另计。|r</t>
        </is>
      </c>
      <c r="J115" s="25" t="s">
        <v>68</v>
      </c>
      <c r="K115" t="b" s="11">
        <v>0</v>
      </c>
      <c r="L115">
        <v>64</v>
      </c>
      <c r="M115">
        <v>11921032</v>
      </c>
      <c r="N115">
        <v>11931032</v>
      </c>
      <c r="O115">
        <v>11941032</v>
      </c>
      <c r="P115">
        <v>11952032</v>
      </c>
      <c r="Q115">
        <v>11962032</v>
      </c>
      <c r="R115">
        <v>11972032</v>
      </c>
      <c r="S115">
        <v>11983032</v>
      </c>
      <c r="AH115" s="11">
        <v>33</v>
      </c>
      <c r="AI115" s="11" t="s">
        <v>69</v>
      </c>
      <c r="AL115" t="str" s="11">
        <v>【补充设计】保留奇珍ID、钥匙与图谱关系；可携带标记与独立效果行逐ID核对。</v>
      </c>
    </row>
    <row r="116" spans="2:35">
      <c r="B116">
        <f t="shared" si="3"/>
        <v>71921033</v>
      </c>
      <c xmlns="http://schemas.openxmlformats.org/spreadsheetml/2006/main" r="C116" t="inlineStr">
        <is>
          <t>温阳回灵丹</t>
        </is>
      </c>
      <c r="D116" s="25">
        <v>11921033</v>
      </c>
      <c r="E116" s="20" t="s">
        <v>239</v>
      </c>
      <c r="F116" t="s">
        <v>240</v>
      </c>
      <c r="G116" t="s">
        <v>66</v>
      </c>
      <c r="H116">
        <v>11921033</v>
      </c>
      <c xmlns="http://schemas.openxmlformats.org/spreadsheetml/2006/main" r="I116" t="inlineStr">
        <is>
          <t>|cff00FF00温阳回灵丹，药性温。服用示例（筑基凡品）：立即回复灵力上限的35%。具体以对应丹药说明为准；奇珍携带效果另计。|r</t>
        </is>
      </c>
      <c r="J116" s="25" t="s">
        <v>68</v>
      </c>
      <c r="K116" t="b" s="11">
        <v>0</v>
      </c>
      <c r="L116">
        <v>64</v>
      </c>
      <c r="M116">
        <v>11921033</v>
      </c>
      <c r="N116">
        <v>11931033</v>
      </c>
      <c r="O116">
        <v>11941033</v>
      </c>
      <c r="P116">
        <v>11952033</v>
      </c>
      <c r="Q116">
        <v>11962033</v>
      </c>
      <c r="R116">
        <v>11972033</v>
      </c>
      <c r="S116">
        <v>11983033</v>
      </c>
      <c r="AH116" s="11">
        <v>34</v>
      </c>
      <c r="AI116" s="11" t="s">
        <v>69</v>
      </c>
      <c r="AL116" t="str" s="11">
        <v>【补充设计】保留奇珍ID、钥匙与图谱关系；可携带标记与独立效果行逐ID核对。</v>
      </c>
    </row>
    <row r="117" spans="2:35">
      <c r="B117">
        <f t="shared" si="3"/>
        <v>71921034</v>
      </c>
      <c xmlns="http://schemas.openxmlformats.org/spreadsheetml/2006/main" r="C117" t="inlineStr">
        <is>
          <t>烈阳回灵丹</t>
        </is>
      </c>
      <c r="D117" s="25">
        <v>11921034</v>
      </c>
      <c r="E117" s="20" t="s">
        <v>239</v>
      </c>
      <c r="F117" t="s">
        <v>240</v>
      </c>
      <c r="G117" t="s">
        <v>66</v>
      </c>
      <c r="H117">
        <v>11921034</v>
      </c>
      <c xmlns="http://schemas.openxmlformats.org/spreadsheetml/2006/main" r="I117" t="inlineStr">
        <is>
          <t>|cff00FF00烈阳回灵丹，药性热。服用示例（筑基凡品）：立即回复灵力上限的40%。具体以对应丹药说明为准；奇珍携带效果另计。|r</t>
        </is>
      </c>
      <c r="J117" s="25" t="s">
        <v>68</v>
      </c>
      <c r="K117" t="b" s="11">
        <v>0</v>
      </c>
      <c r="L117">
        <v>64</v>
      </c>
      <c r="M117">
        <v>11921034</v>
      </c>
      <c r="N117">
        <v>11931034</v>
      </c>
      <c r="O117">
        <v>11941034</v>
      </c>
      <c r="P117">
        <v>11952034</v>
      </c>
      <c r="Q117">
        <v>11962034</v>
      </c>
      <c r="R117">
        <v>11972034</v>
      </c>
      <c r="S117">
        <v>11983034</v>
      </c>
      <c r="AH117" s="11">
        <v>35</v>
      </c>
      <c r="AI117" s="11" t="s">
        <v>69</v>
      </c>
      <c r="AL117" t="str" s="11">
        <v>【补充设计】保留奇珍ID、钥匙与图谱关系；可携带标记与独立效果行逐ID核对。</v>
      </c>
    </row>
    <row r="118" spans="2:35">
      <c r="B118">
        <f t="shared" si="3"/>
        <v>71921035</v>
      </c>
      <c xmlns="http://schemas.openxmlformats.org/spreadsheetml/2006/main" r="C118" t="inlineStr">
        <is>
          <t>玄阴续灵丹</t>
        </is>
      </c>
      <c r="D118" s="25">
        <v>11921035</v>
      </c>
      <c r="E118" s="20" t="s">
        <v>239</v>
      </c>
      <c r="F118" t="s">
        <v>240</v>
      </c>
      <c r="G118" t="s">
        <v>66</v>
      </c>
      <c r="H118">
        <v>11921035</v>
      </c>
      <c xmlns="http://schemas.openxmlformats.org/spreadsheetml/2006/main" r="I118" t="inlineStr">
        <is>
          <t>|cff00FF00玄阴续灵丹，药性寒。服用示例（筑基凡品）：受击时回复灵力上限的0.04%，持续1800现实秒。具体以对应丹药说明为准；奇珍携带效果另计。|r</t>
        </is>
      </c>
      <c r="J118" s="25" t="s">
        <v>68</v>
      </c>
      <c r="K118" t="b" s="11">
        <v>0</v>
      </c>
      <c r="M118">
        <v>11921035</v>
      </c>
      <c r="N118">
        <v>11931035</v>
      </c>
      <c r="O118">
        <v>11941035</v>
      </c>
      <c r="P118">
        <v>11952035</v>
      </c>
      <c r="Q118">
        <v>11962035</v>
      </c>
      <c r="R118">
        <v>11972035</v>
      </c>
      <c r="S118">
        <v>11983035</v>
      </c>
      <c r="AH118" s="11">
        <v>36</v>
      </c>
      <c r="AI118" s="11" t="s">
        <v>69</v>
      </c>
      <c r="AL118" t="str" s="11">
        <v>【补充设计】保留奇珍ID、钥匙与图谱关系；可携带标记与独立效果行逐ID核对。</v>
      </c>
    </row>
    <row r="119" spans="2:35">
      <c r="B119">
        <f t="shared" si="3"/>
        <v>71921036</v>
      </c>
      <c xmlns="http://schemas.openxmlformats.org/spreadsheetml/2006/main" r="C119" t="inlineStr">
        <is>
          <t>清和续灵丹</t>
        </is>
      </c>
      <c r="D119" s="25">
        <v>11921036</v>
      </c>
      <c r="E119" s="20" t="s">
        <v>239</v>
      </c>
      <c r="F119" t="s">
        <v>240</v>
      </c>
      <c r="G119" t="s">
        <v>66</v>
      </c>
      <c r="H119">
        <v>11921036</v>
      </c>
      <c xmlns="http://schemas.openxmlformats.org/spreadsheetml/2006/main" r="I119" t="inlineStr">
        <is>
          <t>|cff00FF00清和续灵丹，药性凉。服用示例（筑基凡品）：击中时回复灵力上限的0.05%，持续1500现实秒。具体以对应丹药说明为准；奇珍携带效果另计。|r</t>
        </is>
      </c>
      <c r="J119" s="25" t="s">
        <v>68</v>
      </c>
      <c r="K119" t="b" s="11">
        <v>0</v>
      </c>
      <c r="M119">
        <v>11921036</v>
      </c>
      <c r="N119">
        <v>11931036</v>
      </c>
      <c r="O119">
        <v>11941036</v>
      </c>
      <c r="P119">
        <v>11952036</v>
      </c>
      <c r="Q119">
        <v>11962036</v>
      </c>
      <c r="R119">
        <v>11972036</v>
      </c>
      <c r="S119">
        <v>11983036</v>
      </c>
      <c r="AH119" s="11">
        <v>37</v>
      </c>
      <c r="AI119" s="11" t="s">
        <v>69</v>
      </c>
      <c r="AL119" t="str" s="11">
        <v>【补充设计】保留奇珍ID、钥匙与图谱关系；可携带标记与独立效果行逐ID核对。</v>
      </c>
    </row>
    <row r="120" spans="2:35">
      <c r="B120">
        <f t="shared" si="3"/>
        <v>71921037</v>
      </c>
      <c xmlns="http://schemas.openxmlformats.org/spreadsheetml/2006/main" r="C120" t="inlineStr">
        <is>
          <t>续灵丹</t>
        </is>
      </c>
      <c r="D120" s="25">
        <v>11921037</v>
      </c>
      <c r="E120" s="20" t="s">
        <v>239</v>
      </c>
      <c r="F120" t="s">
        <v>240</v>
      </c>
      <c r="G120" t="s">
        <v>66</v>
      </c>
      <c r="H120">
        <v>11921037</v>
      </c>
      <c xmlns="http://schemas.openxmlformats.org/spreadsheetml/2006/main" r="I120" t="inlineStr">
        <is>
          <t>|cff00FF00续灵丹，药性平。服用示例（筑基凡品）：每秒回复灵力上限的0.06%，持续1500现实秒。具体以对应丹药说明为准；奇珍携带效果另计。|r</t>
        </is>
      </c>
      <c r="J120" s="25" t="s">
        <v>68</v>
      </c>
      <c r="K120" t="b" s="11">
        <v>0</v>
      </c>
      <c r="L120">
        <v>16</v>
      </c>
      <c r="M120">
        <v>11921037</v>
      </c>
      <c r="N120">
        <v>11931037</v>
      </c>
      <c r="O120">
        <v>11941037</v>
      </c>
      <c r="P120">
        <v>11952037</v>
      </c>
      <c r="Q120">
        <v>11962037</v>
      </c>
      <c r="R120">
        <v>11972037</v>
      </c>
      <c r="S120">
        <v>11983037</v>
      </c>
      <c r="AH120" s="11">
        <v>38</v>
      </c>
      <c r="AI120" s="11" t="s">
        <v>69</v>
      </c>
      <c r="AL120" t="str" s="11">
        <v>【补充设计】保留奇珍ID、钥匙与图谱关系；可携带标记与独立效果行逐ID核对。</v>
      </c>
    </row>
    <row r="121" spans="2:35">
      <c r="B121">
        <f t="shared" si="3"/>
        <v>71921038</v>
      </c>
      <c xmlns="http://schemas.openxmlformats.org/spreadsheetml/2006/main" r="C121" t="inlineStr">
        <is>
          <t>温阳续灵丹</t>
        </is>
      </c>
      <c r="D121" s="25">
        <v>11921038</v>
      </c>
      <c r="E121" s="20" t="s">
        <v>239</v>
      </c>
      <c r="F121" t="s">
        <v>240</v>
      </c>
      <c r="G121" t="s">
        <v>66</v>
      </c>
      <c r="H121">
        <v>11921038</v>
      </c>
      <c xmlns="http://schemas.openxmlformats.org/spreadsheetml/2006/main" r="I121" t="inlineStr">
        <is>
          <t>|cff00FF00温阳续灵丹，药性温。服用示例（筑基凡品）：击中时回复灵力上限的0.07%，持续1500现实秒。具体以对应丹药说明为准；奇珍携带效果另计。|r</t>
        </is>
      </c>
      <c r="J121" s="25" t="s">
        <v>68</v>
      </c>
      <c r="K121" t="b" s="11">
        <v>0</v>
      </c>
      <c r="M121">
        <v>11921038</v>
      </c>
      <c r="N121">
        <v>11931038</v>
      </c>
      <c r="O121">
        <v>11941038</v>
      </c>
      <c r="P121">
        <v>11952038</v>
      </c>
      <c r="Q121">
        <v>11962038</v>
      </c>
      <c r="R121">
        <v>11972038</v>
      </c>
      <c r="S121">
        <v>11983038</v>
      </c>
      <c r="AH121" s="11">
        <v>39</v>
      </c>
      <c r="AI121" s="11" t="s">
        <v>69</v>
      </c>
      <c r="AL121" t="str" s="11">
        <v>【补充设计】保留奇珍ID、钥匙与图谱关系；可携带标记与独立效果行逐ID核对。</v>
      </c>
    </row>
    <row r="122" spans="2:35">
      <c r="B122">
        <f t="shared" si="3"/>
        <v>71921039</v>
      </c>
      <c xmlns="http://schemas.openxmlformats.org/spreadsheetml/2006/main" r="C122" t="inlineStr">
        <is>
          <t>烈阳续灵丹</t>
        </is>
      </c>
      <c r="D122" s="25">
        <v>11921039</v>
      </c>
      <c r="E122" s="20" t="s">
        <v>239</v>
      </c>
      <c r="F122" t="s">
        <v>240</v>
      </c>
      <c r="G122" t="s">
        <v>66</v>
      </c>
      <c r="H122">
        <v>11921039</v>
      </c>
      <c xmlns="http://schemas.openxmlformats.org/spreadsheetml/2006/main" r="I122" t="inlineStr">
        <is>
          <t>|cff00FF00烈阳续灵丹，药性热。服用示例（筑基凡品）：受击时回复灵力上限的0.1%，持续900现实秒。具体以对应丹药说明为准；奇珍携带效果另计。|r</t>
        </is>
      </c>
      <c r="J122" s="25" t="s">
        <v>68</v>
      </c>
      <c r="K122" t="b" s="11">
        <v>0</v>
      </c>
      <c r="M122">
        <v>11921039</v>
      </c>
      <c r="N122">
        <v>11931039</v>
      </c>
      <c r="O122">
        <v>11941039</v>
      </c>
      <c r="P122">
        <v>11952039</v>
      </c>
      <c r="Q122">
        <v>11962039</v>
      </c>
      <c r="R122">
        <v>11972039</v>
      </c>
      <c r="S122">
        <v>11983039</v>
      </c>
      <c r="AH122" s="11">
        <v>40</v>
      </c>
      <c r="AI122" s="11" t="s">
        <v>69</v>
      </c>
      <c r="AL122" t="str" s="11">
        <v>【补充设计】保留奇珍ID、钥匙与图谱关系；可携带标记与独立效果行逐ID核对。</v>
      </c>
    </row>
    <row r="123" spans="2:35">
      <c r="B123">
        <f t="shared" si="3"/>
        <v>71921040</v>
      </c>
      <c xmlns="http://schemas.openxmlformats.org/spreadsheetml/2006/main" r="C123" t="inlineStr">
        <is>
          <t>玄阴神行丹</t>
        </is>
      </c>
      <c r="D123" s="25">
        <v>11921040</v>
      </c>
      <c r="E123" s="20" t="s">
        <v>239</v>
      </c>
      <c r="F123" t="s">
        <v>240</v>
      </c>
      <c r="G123" t="s">
        <v>66</v>
      </c>
      <c r="H123">
        <v>11921040</v>
      </c>
      <c xmlns="http://schemas.openxmlformats.org/spreadsheetml/2006/main" r="I123" t="inlineStr">
        <is>
          <t>|cff00FF00玄阴神行丹，药性寒。服用示例（筑基凡品）：移动速度提高3%，持续600现实秒。具体以对应丹药说明为准；奇珍携带效果另计。|r</t>
        </is>
      </c>
      <c r="J123" s="25" t="s">
        <v>68</v>
      </c>
      <c r="K123" t="b" s="11">
        <v>0</v>
      </c>
      <c r="M123">
        <v>11921040</v>
      </c>
      <c r="N123">
        <v>11931040</v>
      </c>
      <c r="O123">
        <v>11941040</v>
      </c>
      <c r="P123">
        <v>11952040</v>
      </c>
      <c r="Q123">
        <v>11962040</v>
      </c>
      <c r="R123">
        <v>11972040</v>
      </c>
      <c r="S123">
        <v>11983040</v>
      </c>
      <c r="AH123" s="11">
        <v>41</v>
      </c>
      <c r="AI123" s="11" t="s">
        <v>69</v>
      </c>
      <c r="AL123" t="str" s="11">
        <v>【补充设计】保留奇珍ID、钥匙与图谱关系；可携带标记与独立效果行逐ID核对。</v>
      </c>
    </row>
    <row r="124" spans="2:35">
      <c r="B124">
        <f t="shared" si="3"/>
        <v>71921041</v>
      </c>
      <c xmlns="http://schemas.openxmlformats.org/spreadsheetml/2006/main" r="C124" t="inlineStr">
        <is>
          <t>清和神行丹</t>
        </is>
      </c>
      <c r="D124" s="25">
        <v>11921041</v>
      </c>
      <c r="E124" s="20" t="s">
        <v>239</v>
      </c>
      <c r="F124" t="s">
        <v>240</v>
      </c>
      <c r="G124" t="s">
        <v>66</v>
      </c>
      <c r="H124">
        <v>11921041</v>
      </c>
      <c xmlns="http://schemas.openxmlformats.org/spreadsheetml/2006/main" r="I124" t="inlineStr">
        <is>
          <t>|cff00FF00清和神行丹，药性凉。服用示例（筑基凡品）：移动速度提高4%，持续600现实秒。具体以对应丹药说明为准；奇珍携带效果另计。|r</t>
        </is>
      </c>
      <c r="J124" s="25" t="s">
        <v>68</v>
      </c>
      <c r="K124" t="b" s="11">
        <v>0</v>
      </c>
      <c r="M124">
        <v>11921041</v>
      </c>
      <c r="N124">
        <v>11931041</v>
      </c>
      <c r="O124">
        <v>11941041</v>
      </c>
      <c r="P124">
        <v>11952041</v>
      </c>
      <c r="Q124">
        <v>11962041</v>
      </c>
      <c r="R124">
        <v>11972041</v>
      </c>
      <c r="S124">
        <v>11983041</v>
      </c>
      <c r="AH124" s="11">
        <v>42</v>
      </c>
      <c r="AI124" s="11" t="s">
        <v>69</v>
      </c>
      <c r="AL124" t="str" s="11">
        <v>【补充设计】保留奇珍ID、钥匙与图谱关系；可携带标记与独立效果行逐ID核对。</v>
      </c>
    </row>
    <row r="125" spans="2:35">
      <c r="B125">
        <f t="shared" si="3"/>
        <v>71921042</v>
      </c>
      <c xmlns="http://schemas.openxmlformats.org/spreadsheetml/2006/main" r="C125" t="inlineStr">
        <is>
          <t>神行丹</t>
        </is>
      </c>
      <c r="D125" s="25">
        <v>11921042</v>
      </c>
      <c r="E125" s="20" t="s">
        <v>239</v>
      </c>
      <c r="F125" t="s">
        <v>240</v>
      </c>
      <c r="G125" t="s">
        <v>66</v>
      </c>
      <c r="H125">
        <v>11921042</v>
      </c>
      <c xmlns="http://schemas.openxmlformats.org/spreadsheetml/2006/main" r="I125" t="inlineStr">
        <is>
          <t>|cff00FF00神行丹，药性平。服用示例（筑基凡品）：移动速度提高5%，持续600现实秒。具体以对应丹药说明为准；奇珍携带效果另计。|r</t>
        </is>
      </c>
      <c r="J125" s="25" t="s">
        <v>68</v>
      </c>
      <c r="K125" t="b" s="11">
        <v>0</v>
      </c>
      <c r="L125">
        <v>19</v>
      </c>
      <c r="M125">
        <v>11921042</v>
      </c>
      <c r="N125">
        <v>11931042</v>
      </c>
      <c r="O125">
        <v>11941042</v>
      </c>
      <c r="P125">
        <v>11952042</v>
      </c>
      <c r="Q125">
        <v>11962042</v>
      </c>
      <c r="R125">
        <v>11972042</v>
      </c>
      <c r="S125">
        <v>11983042</v>
      </c>
      <c r="AH125" s="11">
        <v>43</v>
      </c>
      <c r="AI125" s="11" t="s">
        <v>69</v>
      </c>
      <c r="AL125" t="str" s="11">
        <v>【补充设计】保留奇珍ID、钥匙与图谱关系；可携带标记与独立效果行逐ID核对。</v>
      </c>
    </row>
    <row r="126" spans="2:35">
      <c r="B126">
        <f t="shared" si="3"/>
        <v>71921043</v>
      </c>
      <c xmlns="http://schemas.openxmlformats.org/spreadsheetml/2006/main" r="C126" t="inlineStr">
        <is>
          <t>温阳神行丹</t>
        </is>
      </c>
      <c r="D126" s="25">
        <v>11921043</v>
      </c>
      <c r="E126" s="20" t="s">
        <v>239</v>
      </c>
      <c r="F126" t="s">
        <v>240</v>
      </c>
      <c r="G126" t="s">
        <v>66</v>
      </c>
      <c r="H126">
        <v>11921043</v>
      </c>
      <c xmlns="http://schemas.openxmlformats.org/spreadsheetml/2006/main" r="I126" t="inlineStr">
        <is>
          <t>|cff00FF00温阳神行丹，药性温。服用示例（筑基凡品）：移动速度提高6%，持续600现实秒。具体以对应丹药说明为准；奇珍携带效果另计。|r</t>
        </is>
      </c>
      <c r="J126" s="25" t="s">
        <v>68</v>
      </c>
      <c r="K126" t="b" s="11">
        <v>0</v>
      </c>
      <c r="M126">
        <v>11921043</v>
      </c>
      <c r="N126">
        <v>11931043</v>
      </c>
      <c r="O126">
        <v>11941043</v>
      </c>
      <c r="P126">
        <v>11952043</v>
      </c>
      <c r="Q126">
        <v>11962043</v>
      </c>
      <c r="R126">
        <v>11972043</v>
      </c>
      <c r="S126">
        <v>11983043</v>
      </c>
      <c r="AH126" s="11">
        <v>44</v>
      </c>
      <c r="AI126" s="11" t="s">
        <v>69</v>
      </c>
      <c r="AL126" t="str" s="11">
        <v>【补充设计】保留奇珍ID、钥匙与图谱关系；可携带标记与独立效果行逐ID核对。</v>
      </c>
    </row>
    <row r="127" spans="2:35">
      <c r="B127">
        <f t="shared" si="3"/>
        <v>71921044</v>
      </c>
      <c xmlns="http://schemas.openxmlformats.org/spreadsheetml/2006/main" r="C127" t="inlineStr">
        <is>
          <t>烈阳神行丹</t>
        </is>
      </c>
      <c r="D127" s="25">
        <v>11921044</v>
      </c>
      <c r="E127" s="20" t="s">
        <v>239</v>
      </c>
      <c r="F127" t="s">
        <v>240</v>
      </c>
      <c r="G127" t="s">
        <v>66</v>
      </c>
      <c r="H127">
        <v>11921044</v>
      </c>
      <c xmlns="http://schemas.openxmlformats.org/spreadsheetml/2006/main" r="I127" t="inlineStr">
        <is>
          <t>|cff00FF00烈阳神行丹，药性热。服用示例（筑基凡品）：移动速度提高7%，持续600现实秒。具体以对应丹药说明为准；奇珍携带效果另计。|r</t>
        </is>
      </c>
      <c r="J127" s="25" t="s">
        <v>68</v>
      </c>
      <c r="K127" t="b" s="11">
        <v>0</v>
      </c>
      <c r="M127">
        <v>11921044</v>
      </c>
      <c r="N127">
        <v>11931044</v>
      </c>
      <c r="O127">
        <v>11941044</v>
      </c>
      <c r="P127">
        <v>11952044</v>
      </c>
      <c r="Q127">
        <v>11962044</v>
      </c>
      <c r="R127">
        <v>11972044</v>
      </c>
      <c r="S127">
        <v>11983044</v>
      </c>
      <c r="AH127" s="11">
        <v>45</v>
      </c>
      <c r="AI127" s="11" t="s">
        <v>69</v>
      </c>
      <c r="AL127" t="str" s="11">
        <v>【补充设计】保留奇珍ID、钥匙与图谱关系；可携带标记与独立效果行逐ID核对。</v>
      </c>
    </row>
    <row r="128" spans="2:35">
      <c r="B128">
        <f t="shared" si="3"/>
        <v>71921045</v>
      </c>
      <c xmlns="http://schemas.openxmlformats.org/spreadsheetml/2006/main" r="C128" t="inlineStr">
        <is>
          <t>玄阴迅脉丹</t>
        </is>
      </c>
      <c r="D128" s="25">
        <v>11921045</v>
      </c>
      <c r="E128" s="20" t="s">
        <v>239</v>
      </c>
      <c r="F128" t="s">
        <v>240</v>
      </c>
      <c r="G128" t="s">
        <v>66</v>
      </c>
      <c r="H128">
        <v>11921045</v>
      </c>
      <c xmlns="http://schemas.openxmlformats.org/spreadsheetml/2006/main" r="I128" t="inlineStr">
        <is>
          <t>|cff00FF00玄阴迅脉丹，药性寒。服用示例（筑基凡品）：法术冷却缩减3%，持续1800现实秒。具体以对应丹药说明为准；奇珍携带效果另计。|r</t>
        </is>
      </c>
      <c r="J128" s="25" t="s">
        <v>68</v>
      </c>
      <c r="K128" t="b" s="11">
        <v>0</v>
      </c>
      <c r="L128">
        <v>65</v>
      </c>
      <c r="M128">
        <v>11921045</v>
      </c>
      <c r="N128">
        <v>11931045</v>
      </c>
      <c r="O128">
        <v>11941045</v>
      </c>
      <c r="P128">
        <v>11952045</v>
      </c>
      <c r="Q128">
        <v>11962045</v>
      </c>
      <c r="R128">
        <v>11972045</v>
      </c>
      <c r="S128">
        <v>11983045</v>
      </c>
      <c r="AH128" s="11">
        <v>46</v>
      </c>
      <c r="AI128" s="11" t="s">
        <v>69</v>
      </c>
      <c r="AL128" t="str" s="11">
        <v>【补充设计】保留奇珍ID、钥匙与图谱关系；可携带标记与独立效果行逐ID核对。</v>
      </c>
    </row>
    <row r="129" spans="2:35">
      <c r="B129">
        <f t="shared" si="3"/>
        <v>71921046</v>
      </c>
      <c xmlns="http://schemas.openxmlformats.org/spreadsheetml/2006/main" r="C129" t="inlineStr">
        <is>
          <t>清和迅脉丹</t>
        </is>
      </c>
      <c r="D129" s="25">
        <v>11921046</v>
      </c>
      <c r="E129" s="20" t="s">
        <v>239</v>
      </c>
      <c r="F129" t="s">
        <v>240</v>
      </c>
      <c r="G129" t="s">
        <v>66</v>
      </c>
      <c r="H129">
        <v>11921046</v>
      </c>
      <c xmlns="http://schemas.openxmlformats.org/spreadsheetml/2006/main" r="I129" t="inlineStr">
        <is>
          <t>|cff00FF00清和迅脉丹，药性凉。服用示例（筑基凡品）：法术冷却缩减3.75%，持续1500现实秒。具体以对应丹药说明为准；奇珍携带效果另计。|r</t>
        </is>
      </c>
      <c r="J129" s="25" t="s">
        <v>68</v>
      </c>
      <c r="K129" t="b" s="11">
        <v>0</v>
      </c>
      <c r="L129">
        <v>65</v>
      </c>
      <c r="M129">
        <v>11921046</v>
      </c>
      <c r="N129">
        <v>11931046</v>
      </c>
      <c r="O129">
        <v>11941046</v>
      </c>
      <c r="P129">
        <v>11952046</v>
      </c>
      <c r="Q129">
        <v>11962046</v>
      </c>
      <c r="R129">
        <v>11972046</v>
      </c>
      <c r="S129">
        <v>11983046</v>
      </c>
      <c r="AH129" s="11">
        <v>47</v>
      </c>
      <c r="AI129" s="11" t="s">
        <v>69</v>
      </c>
      <c r="AL129" t="str" s="11">
        <v>【补充设计】保留奇珍ID、钥匙与图谱关系；可携带标记与独立效果行逐ID核对。</v>
      </c>
    </row>
    <row r="130" spans="2:35">
      <c r="B130">
        <f t="shared" si="3"/>
        <v>71921047</v>
      </c>
      <c xmlns="http://schemas.openxmlformats.org/spreadsheetml/2006/main" r="C130" t="inlineStr">
        <is>
          <t>迅脉丹</t>
        </is>
      </c>
      <c r="D130" s="25">
        <v>11921047</v>
      </c>
      <c r="E130" s="20" t="s">
        <v>239</v>
      </c>
      <c r="F130" t="s">
        <v>240</v>
      </c>
      <c r="G130" t="s">
        <v>66</v>
      </c>
      <c r="H130">
        <v>11921047</v>
      </c>
      <c xmlns="http://schemas.openxmlformats.org/spreadsheetml/2006/main" r="I130" t="inlineStr">
        <is>
          <t>|cff00FF00迅脉丹，药性平。服用示例（筑基凡品）：法术冷却缩减4.5%，持续1500现实秒。具体以对应丹药说明为准；奇珍携带效果另计。|r</t>
        </is>
      </c>
      <c r="J130" s="25" t="s">
        <v>68</v>
      </c>
      <c r="K130" t="b" s="11">
        <v>0</v>
      </c>
      <c r="L130">
        <v>65</v>
      </c>
      <c r="M130">
        <v>11921047</v>
      </c>
      <c r="N130">
        <v>11931047</v>
      </c>
      <c r="O130">
        <v>11941047</v>
      </c>
      <c r="P130">
        <v>11952047</v>
      </c>
      <c r="Q130">
        <v>11962047</v>
      </c>
      <c r="R130">
        <v>11972047</v>
      </c>
      <c r="S130">
        <v>11983047</v>
      </c>
      <c r="AH130" s="11">
        <v>48</v>
      </c>
      <c r="AI130" s="11" t="s">
        <v>69</v>
      </c>
      <c r="AL130" t="str" s="11">
        <v>【补充设计】保留奇珍ID、钥匙与图谱关系；可携带标记与独立效果行逐ID核对。</v>
      </c>
    </row>
    <row r="131" spans="2:35">
      <c r="B131">
        <f t="shared" si="3"/>
        <v>71921048</v>
      </c>
      <c xmlns="http://schemas.openxmlformats.org/spreadsheetml/2006/main" r="C131" t="inlineStr">
        <is>
          <t>温阳迅脉丹</t>
        </is>
      </c>
      <c r="D131" s="25">
        <v>11921048</v>
      </c>
      <c r="E131" s="20" t="s">
        <v>239</v>
      </c>
      <c r="F131" t="s">
        <v>240</v>
      </c>
      <c r="G131" t="s">
        <v>66</v>
      </c>
      <c r="H131">
        <v>11921048</v>
      </c>
      <c xmlns="http://schemas.openxmlformats.org/spreadsheetml/2006/main" r="I131" t="inlineStr">
        <is>
          <t>|cff00FF00温阳迅脉丹，药性温。服用示例（筑基凡品）：法术冷却缩减5.25%，持续1500现实秒。具体以对应丹药说明为准；奇珍携带效果另计。|r</t>
        </is>
      </c>
      <c r="J131" s="25" t="s">
        <v>68</v>
      </c>
      <c r="K131" t="b" s="11">
        <v>0</v>
      </c>
      <c r="L131">
        <v>65</v>
      </c>
      <c r="M131">
        <v>11921048</v>
      </c>
      <c r="N131">
        <v>11931048</v>
      </c>
      <c r="O131">
        <v>11941048</v>
      </c>
      <c r="P131">
        <v>11952048</v>
      </c>
      <c r="Q131">
        <v>11962048</v>
      </c>
      <c r="R131">
        <v>11972048</v>
      </c>
      <c r="S131">
        <v>11983048</v>
      </c>
      <c r="AH131" s="11">
        <v>49</v>
      </c>
      <c r="AI131" s="11" t="s">
        <v>69</v>
      </c>
      <c r="AL131" t="str" s="11">
        <v>【补充设计】保留奇珍ID、钥匙与图谱关系；可携带标记与独立效果行逐ID核对。</v>
      </c>
    </row>
    <row r="132" spans="2:35">
      <c r="B132">
        <f t="shared" si="3"/>
        <v>71921049</v>
      </c>
      <c xmlns="http://schemas.openxmlformats.org/spreadsheetml/2006/main" r="C132" t="inlineStr">
        <is>
          <t>烈阳迅脉丹</t>
        </is>
      </c>
      <c r="D132" s="25">
        <v>11921049</v>
      </c>
      <c r="E132" s="20" t="s">
        <v>239</v>
      </c>
      <c r="F132" t="s">
        <v>240</v>
      </c>
      <c r="G132" t="s">
        <v>66</v>
      </c>
      <c r="H132">
        <v>11921049</v>
      </c>
      <c xmlns="http://schemas.openxmlformats.org/spreadsheetml/2006/main" r="I132" t="inlineStr">
        <is>
          <t>|cff00FF00烈阳迅脉丹，药性热。服用示例（筑基凡品）：法术冷却缩减6%，持续900现实秒。具体以对应丹药说明为准；奇珍携带效果另计。|r</t>
        </is>
      </c>
      <c r="J132" s="25" t="s">
        <v>68</v>
      </c>
      <c r="K132" t="b" s="11">
        <v>0</v>
      </c>
      <c r="L132">
        <v>65</v>
      </c>
      <c r="M132">
        <v>11921049</v>
      </c>
      <c r="N132">
        <v>11931049</v>
      </c>
      <c r="O132">
        <v>11941049</v>
      </c>
      <c r="P132">
        <v>11952049</v>
      </c>
      <c r="Q132">
        <v>11962049</v>
      </c>
      <c r="R132">
        <v>11972049</v>
      </c>
      <c r="S132">
        <v>11983049</v>
      </c>
      <c r="AH132" s="11">
        <v>50</v>
      </c>
      <c r="AI132" s="11" t="s">
        <v>69</v>
      </c>
      <c r="AL132" t="str" s="11">
        <v>【补充设计】保留奇珍ID、钥匙与图谱关系；可携带标记与独立效果行逐ID核对。</v>
      </c>
    </row>
    <row r="133" spans="2:35">
      <c r="B133">
        <f t="shared" si="3"/>
        <v>71921050</v>
      </c>
      <c r="C133" t="s">
        <v>340</v>
      </c>
      <c r="D133" s="25">
        <v>11921050</v>
      </c>
      <c r="E133" s="20" t="s">
        <v>239</v>
      </c>
      <c r="F133" t="s">
        <v>240</v>
      </c>
      <c r="G133" t="s">
        <v>66</v>
      </c>
      <c r="H133">
        <v>11921050</v>
      </c>
      <c xmlns="http://schemas.openxmlformats.org/spreadsheetml/2006/main" r="I133" t="inlineStr">
        <is>
          <t>|cff00FF00玄阴净髓丹，药性寒。服用示例（筑基凡品）：清除对应味池杂质总量22584点，按300现实秒的经过时间线性结算（操作时补结差额）。具体以对应丹药说明为准；奇珍携带效果另计。|r</t>
        </is>
      </c>
      <c r="J133" s="25" t="s">
        <v>68</v>
      </c>
      <c r="K133" t="b" s="11">
        <v>0</v>
      </c>
      <c r="M133">
        <v>11921050</v>
      </c>
      <c r="N133">
        <v>11931050</v>
      </c>
      <c r="O133">
        <v>11941050</v>
      </c>
      <c r="P133">
        <v>11952050</v>
      </c>
      <c r="Q133">
        <v>11962050</v>
      </c>
      <c r="R133">
        <v>11972050</v>
      </c>
      <c r="S133">
        <v>11983050</v>
      </c>
      <c r="AH133" s="11">
        <v>51</v>
      </c>
      <c r="AI133" s="11" t="s">
        <v>69</v>
      </c>
      <c r="AL133" t="str" s="11">
        <v>【补充设计】保留奇珍ID、钥匙与图谱关系；可携带标记与独立效果行逐ID核对。</v>
      </c>
    </row>
    <row r="134" spans="2:35">
      <c r="B134">
        <f t="shared" si="3"/>
        <v>71921051</v>
      </c>
      <c r="C134" t="s">
        <v>342</v>
      </c>
      <c r="D134" s="25">
        <v>11921051</v>
      </c>
      <c r="E134" s="20" t="s">
        <v>239</v>
      </c>
      <c r="F134" t="s">
        <v>240</v>
      </c>
      <c r="G134" t="s">
        <v>66</v>
      </c>
      <c r="H134">
        <v>11921051</v>
      </c>
      <c xmlns="http://schemas.openxmlformats.org/spreadsheetml/2006/main" r="I134" t="inlineStr">
        <is>
          <t>|cff00FF00清和净髓丹，药性凉。服用示例（筑基凡品）：清除对应味池杂质总量13014点，按60现实秒的经过时间线性结算（操作时补结差额）。具体以对应丹药说明为准；奇珍携带效果另计。|r</t>
        </is>
      </c>
      <c r="J134" s="25" t="s">
        <v>68</v>
      </c>
      <c r="K134" t="b" s="11">
        <v>0</v>
      </c>
      <c r="M134">
        <v>11921051</v>
      </c>
      <c r="N134">
        <v>11931051</v>
      </c>
      <c r="O134">
        <v>11941051</v>
      </c>
      <c r="P134">
        <v>11952051</v>
      </c>
      <c r="Q134">
        <v>11962051</v>
      </c>
      <c r="R134">
        <v>11972051</v>
      </c>
      <c r="S134">
        <v>11983051</v>
      </c>
      <c r="AH134" s="11">
        <v>52</v>
      </c>
      <c r="AI134" s="11" t="s">
        <v>69</v>
      </c>
      <c r="AL134" t="str" s="11">
        <v>【补充设计】保留奇珍ID、钥匙与图谱关系；可携带标记与独立效果行逐ID核对。</v>
      </c>
    </row>
    <row r="135" spans="2:35">
      <c r="B135">
        <f t="shared" si="3"/>
        <v>71921052</v>
      </c>
      <c r="C135" t="s">
        <v>344</v>
      </c>
      <c r="D135" s="25">
        <v>11921052</v>
      </c>
      <c r="E135" s="20" t="s">
        <v>239</v>
      </c>
      <c r="F135" t="s">
        <v>240</v>
      </c>
      <c r="G135" t="s">
        <v>66</v>
      </c>
      <c r="H135">
        <v>11921052</v>
      </c>
      <c xmlns="http://schemas.openxmlformats.org/spreadsheetml/2006/main" r="I135" t="inlineStr">
        <is>
          <t>|cff00FF00净髓丹，药性平。服用示例（筑基凡品）：清除对应味池杂质总量16080点，按60现实秒的经过时间线性结算（操作时补结差额）。具体以对应丹药说明为准；奇珍携带效果另计。|r</t>
        </is>
      </c>
      <c r="J135" s="25" t="s">
        <v>68</v>
      </c>
      <c r="K135" t="b" s="11">
        <v>0</v>
      </c>
      <c r="L135">
        <v>15</v>
      </c>
      <c r="M135">
        <v>11921052</v>
      </c>
      <c r="N135">
        <v>11931052</v>
      </c>
      <c r="O135">
        <v>11941052</v>
      </c>
      <c r="P135">
        <v>11952052</v>
      </c>
      <c r="Q135">
        <v>11962052</v>
      </c>
      <c r="R135">
        <v>11972052</v>
      </c>
      <c r="S135">
        <v>11983052</v>
      </c>
      <c r="AH135" s="11">
        <v>53</v>
      </c>
      <c r="AI135" s="11" t="s">
        <v>69</v>
      </c>
      <c r="AL135" t="str" s="11">
        <v>【补充设计】保留奇珍ID、钥匙与图谱关系；可携带标记与独立效果行逐ID核对。</v>
      </c>
    </row>
    <row r="136" spans="2:35">
      <c r="B136">
        <f t="shared" si="3"/>
        <v>71921053</v>
      </c>
      <c r="C136" t="s">
        <v>346</v>
      </c>
      <c r="D136" s="25">
        <v>11921053</v>
      </c>
      <c r="E136" s="20" t="s">
        <v>239</v>
      </c>
      <c r="F136" t="s">
        <v>240</v>
      </c>
      <c r="G136" t="s">
        <v>66</v>
      </c>
      <c r="H136">
        <v>11921053</v>
      </c>
      <c xmlns="http://schemas.openxmlformats.org/spreadsheetml/2006/main" r="I136" t="inlineStr">
        <is>
          <t>|cff00FF00温阳净髓丹，药性温。服用示例（筑基凡品）：清除对应味池杂质总量19146点，按60现实秒的经过时间线性结算（操作时补结差额）。具体以对应丹药说明为准；奇珍携带效果另计。|r</t>
        </is>
      </c>
      <c r="J136" s="25" t="s">
        <v>68</v>
      </c>
      <c r="K136" t="b" s="11">
        <v>0</v>
      </c>
      <c r="M136">
        <v>11921053</v>
      </c>
      <c r="N136">
        <v>11931053</v>
      </c>
      <c r="O136">
        <v>11941053</v>
      </c>
      <c r="P136">
        <v>11952053</v>
      </c>
      <c r="Q136">
        <v>11962053</v>
      </c>
      <c r="R136">
        <v>11972053</v>
      </c>
      <c r="S136">
        <v>11983053</v>
      </c>
      <c r="AH136" s="11">
        <v>54</v>
      </c>
      <c r="AI136" s="11" t="s">
        <v>69</v>
      </c>
      <c r="AL136" t="str" s="11">
        <v>【补充设计】保留奇珍ID、钥匙与图谱关系；可携带标记与独立效果行逐ID核对。</v>
      </c>
    </row>
    <row r="137" spans="2:35">
      <c r="B137">
        <f t="shared" si="3"/>
        <v>71921054</v>
      </c>
      <c r="C137" t="s">
        <v>348</v>
      </c>
      <c r="D137" s="25">
        <v>11921054</v>
      </c>
      <c r="E137" s="20" t="s">
        <v>239</v>
      </c>
      <c r="F137" t="s">
        <v>240</v>
      </c>
      <c r="G137" t="s">
        <v>66</v>
      </c>
      <c r="H137">
        <v>11921054</v>
      </c>
      <c xmlns="http://schemas.openxmlformats.org/spreadsheetml/2006/main" r="I137" t="inlineStr">
        <is>
          <t>|cff00FF00烈阳净髓丹，药性热。服用示例（筑基凡品）：清除对应味池杂质总量15408点，按10现实秒的经过时间线性结算（操作时补结差额）。具体以对应丹药说明为准；奇珍携带效果另计。|r</t>
        </is>
      </c>
      <c r="J137" s="25" t="s">
        <v>68</v>
      </c>
      <c r="K137" t="b" s="11">
        <v>0</v>
      </c>
      <c r="M137">
        <v>11921054</v>
      </c>
      <c r="N137">
        <v>11931054</v>
      </c>
      <c r="O137">
        <v>11941054</v>
      </c>
      <c r="P137">
        <v>11952054</v>
      </c>
      <c r="Q137">
        <v>11962054</v>
      </c>
      <c r="R137">
        <v>11972054</v>
      </c>
      <c r="S137">
        <v>11983054</v>
      </c>
      <c r="AH137" s="11">
        <v>55</v>
      </c>
      <c r="AI137" s="11" t="s">
        <v>69</v>
      </c>
      <c r="AL137" t="str" s="11">
        <v>【补充设计】保留奇珍ID、钥匙与图谱关系；可携带标记与独立效果行逐ID核对。</v>
      </c>
    </row>
    <row r="138" spans="2:35">
      <c r="B138">
        <f t="shared" si="3"/>
        <v>71921055</v>
      </c>
      <c xmlns="http://schemas.openxmlformats.org/spreadsheetml/2006/main" r="C138" t="inlineStr">
        <is>
          <t>玄阴回春丹</t>
        </is>
      </c>
      <c r="D138" s="25">
        <v>11921055</v>
      </c>
      <c r="E138" s="20" t="s">
        <v>239</v>
      </c>
      <c r="F138" t="s">
        <v>240</v>
      </c>
      <c r="G138" t="s">
        <v>66</v>
      </c>
      <c r="H138">
        <v>11921055</v>
      </c>
      <c xmlns="http://schemas.openxmlformats.org/spreadsheetml/2006/main" r="I138" t="inlineStr">
        <is>
          <t>|cff00FF00玄阴回春丹，药性寒。服用示例（筑基凡品）：受击时回复生命上限的0.04%，持续1800现实秒。具体以对应丹药说明为准；奇珍携带效果另计。|r</t>
        </is>
      </c>
      <c r="J138" s="25" t="s">
        <v>68</v>
      </c>
      <c r="K138" t="b" s="11">
        <v>0</v>
      </c>
      <c r="M138">
        <v>11921055</v>
      </c>
      <c r="N138">
        <v>11931055</v>
      </c>
      <c r="O138">
        <v>11941055</v>
      </c>
      <c r="P138">
        <v>11952055</v>
      </c>
      <c r="Q138">
        <v>11962055</v>
      </c>
      <c r="R138">
        <v>11972055</v>
      </c>
      <c r="S138">
        <v>11983055</v>
      </c>
      <c r="AH138" s="11">
        <v>56</v>
      </c>
      <c r="AI138" s="11" t="s">
        <v>69</v>
      </c>
      <c r="AL138" t="str" s="11">
        <v>【补充设计】保留奇珍ID、钥匙与图谱关系；可携带标记与独立效果行逐ID核对。</v>
      </c>
    </row>
    <row r="139" spans="2:35">
      <c r="B139">
        <f t="shared" si="3"/>
        <v>71921056</v>
      </c>
      <c xmlns="http://schemas.openxmlformats.org/spreadsheetml/2006/main" r="C139" t="inlineStr">
        <is>
          <t>清和回春丹</t>
        </is>
      </c>
      <c r="D139" s="25">
        <v>11921056</v>
      </c>
      <c r="E139" s="20" t="s">
        <v>239</v>
      </c>
      <c r="F139" t="s">
        <v>240</v>
      </c>
      <c r="G139" t="s">
        <v>66</v>
      </c>
      <c r="H139">
        <v>11921056</v>
      </c>
      <c xmlns="http://schemas.openxmlformats.org/spreadsheetml/2006/main" r="I139" t="inlineStr">
        <is>
          <t>|cff00FF00清和回春丹，药性凉。服用示例（筑基凡品）：击中时回复生命上限的0.05%，持续1500现实秒。具体以对应丹药说明为准；奇珍携带效果另计。|r</t>
        </is>
      </c>
      <c r="J139" s="25" t="s">
        <v>68</v>
      </c>
      <c r="K139" t="b" s="11">
        <v>0</v>
      </c>
      <c r="M139">
        <v>11921056</v>
      </c>
      <c r="N139">
        <v>11931056</v>
      </c>
      <c r="O139">
        <v>11941056</v>
      </c>
      <c r="P139">
        <v>11952056</v>
      </c>
      <c r="Q139">
        <v>11962056</v>
      </c>
      <c r="R139">
        <v>11972056</v>
      </c>
      <c r="S139">
        <v>11983056</v>
      </c>
      <c r="AH139" s="11">
        <v>57</v>
      </c>
      <c r="AI139" s="11" t="s">
        <v>69</v>
      </c>
      <c r="AL139" t="str" s="11">
        <v>【补充设计】保留奇珍ID、钥匙与图谱关系；可携带标记与独立效果行逐ID核对。</v>
      </c>
    </row>
    <row r="140" spans="2:35">
      <c r="B140">
        <f t="shared" si="3"/>
        <v>71921057</v>
      </c>
      <c xmlns="http://schemas.openxmlformats.org/spreadsheetml/2006/main" r="C140" t="inlineStr">
        <is>
          <t>回春丹</t>
        </is>
      </c>
      <c r="D140" s="25">
        <v>11921057</v>
      </c>
      <c r="E140" s="20" t="s">
        <v>239</v>
      </c>
      <c r="F140" t="s">
        <v>240</v>
      </c>
      <c r="G140" t="s">
        <v>66</v>
      </c>
      <c r="H140">
        <v>11921057</v>
      </c>
      <c xmlns="http://schemas.openxmlformats.org/spreadsheetml/2006/main" r="I140" t="inlineStr">
        <is>
          <t>|cff00FF00回春丹，药性平。服用示例（筑基凡品）：每秒回复生命上限的0.06%，持续1500现实秒。具体以对应丹药说明为准；奇珍携带效果另计。|r</t>
        </is>
      </c>
      <c r="J140" s="25" t="s">
        <v>68</v>
      </c>
      <c r="K140" t="b" s="11">
        <v>0</v>
      </c>
      <c r="L140">
        <v>18</v>
      </c>
      <c r="M140">
        <v>11921057</v>
      </c>
      <c r="N140">
        <v>11931057</v>
      </c>
      <c r="O140">
        <v>11941057</v>
      </c>
      <c r="P140">
        <v>11952057</v>
      </c>
      <c r="Q140">
        <v>11962057</v>
      </c>
      <c r="R140">
        <v>11972057</v>
      </c>
      <c r="S140">
        <v>11983057</v>
      </c>
      <c r="AH140" s="11">
        <v>58</v>
      </c>
      <c r="AI140" s="11" t="s">
        <v>69</v>
      </c>
      <c r="AL140" t="str" s="11">
        <v>【补充设计】保留奇珍ID、钥匙与图谱关系；可携带标记与独立效果行逐ID核对。</v>
      </c>
    </row>
    <row r="141" spans="2:35">
      <c r="B141">
        <f t="shared" si="3"/>
        <v>71921058</v>
      </c>
      <c xmlns="http://schemas.openxmlformats.org/spreadsheetml/2006/main" r="C141" t="inlineStr">
        <is>
          <t>温阳回春丹</t>
        </is>
      </c>
      <c r="D141" s="25">
        <v>11921058</v>
      </c>
      <c r="E141" s="20" t="s">
        <v>239</v>
      </c>
      <c r="F141" t="s">
        <v>240</v>
      </c>
      <c r="G141" t="s">
        <v>66</v>
      </c>
      <c r="H141">
        <v>11921058</v>
      </c>
      <c xmlns="http://schemas.openxmlformats.org/spreadsheetml/2006/main" r="I141" t="inlineStr">
        <is>
          <t>|cff00FF00温阳回春丹，药性温。服用示例（筑基凡品）：击中时回复生命上限的0.07%，持续1500现实秒。具体以对应丹药说明为准；奇珍携带效果另计。|r</t>
        </is>
      </c>
      <c r="J141" s="25" t="s">
        <v>68</v>
      </c>
      <c r="K141" t="b" s="11">
        <v>0</v>
      </c>
      <c r="M141">
        <v>11921058</v>
      </c>
      <c r="N141">
        <v>11931058</v>
      </c>
      <c r="O141">
        <v>11941058</v>
      </c>
      <c r="P141">
        <v>11952058</v>
      </c>
      <c r="Q141">
        <v>11962058</v>
      </c>
      <c r="R141">
        <v>11972058</v>
      </c>
      <c r="S141">
        <v>11983058</v>
      </c>
      <c r="AH141" s="11">
        <v>59</v>
      </c>
      <c r="AI141" s="11" t="s">
        <v>69</v>
      </c>
      <c r="AL141" t="str" s="11">
        <v>【补充设计】保留奇珍ID、钥匙与图谱关系；可携带标记与独立效果行逐ID核对。</v>
      </c>
    </row>
    <row r="142" spans="2:35">
      <c r="B142">
        <f t="shared" si="3"/>
        <v>71921059</v>
      </c>
      <c xmlns="http://schemas.openxmlformats.org/spreadsheetml/2006/main" r="C142" t="inlineStr">
        <is>
          <t>烈阳回春丹</t>
        </is>
      </c>
      <c r="D142" s="25">
        <v>11921059</v>
      </c>
      <c r="E142" s="20" t="s">
        <v>239</v>
      </c>
      <c r="F142" t="s">
        <v>240</v>
      </c>
      <c r="G142" t="s">
        <v>66</v>
      </c>
      <c r="H142">
        <v>11921059</v>
      </c>
      <c xmlns="http://schemas.openxmlformats.org/spreadsheetml/2006/main" r="I142" t="inlineStr">
        <is>
          <t>|cff00FF00烈阳回春丹，药性热。服用示例（筑基凡品）：受击时回复生命上限的0.1%，持续900现实秒。具体以对应丹药说明为准；奇珍携带效果另计。|r</t>
        </is>
      </c>
      <c r="J142" s="25" t="s">
        <v>68</v>
      </c>
      <c r="K142" t="b" s="11">
        <v>0</v>
      </c>
      <c r="M142">
        <v>11921059</v>
      </c>
      <c r="N142">
        <v>11931059</v>
      </c>
      <c r="O142">
        <v>11941059</v>
      </c>
      <c r="P142">
        <v>11952059</v>
      </c>
      <c r="Q142">
        <v>11962059</v>
      </c>
      <c r="R142">
        <v>11972059</v>
      </c>
      <c r="S142">
        <v>11983059</v>
      </c>
      <c r="AH142" s="11">
        <v>60</v>
      </c>
      <c r="AI142" s="11" t="s">
        <v>69</v>
      </c>
      <c r="AL142" t="str" s="11">
        <v>【补充设计】保留奇珍ID、钥匙与图谱关系；可携带标记与独立效果行逐ID核对。</v>
      </c>
    </row>
    <row r="143" spans="2:35">
      <c r="B143">
        <f t="shared" si="3"/>
        <v>71921060</v>
      </c>
      <c xmlns="http://schemas.openxmlformats.org/spreadsheetml/2006/main" r="C143" t="inlineStr">
        <is>
          <t>玄阴御法丹</t>
        </is>
      </c>
      <c r="D143" s="25">
        <v>11921060</v>
      </c>
      <c r="E143" s="20" t="s">
        <v>239</v>
      </c>
      <c r="F143" t="s">
        <v>240</v>
      </c>
      <c r="G143" t="s">
        <v>66</v>
      </c>
      <c r="H143">
        <v>11921060</v>
      </c>
      <c xmlns="http://schemas.openxmlformats.org/spreadsheetml/2006/main" r="I143" t="inlineStr">
        <is>
          <t>|cff00FF00玄阴御法丹，药性寒。服用示例（筑基凡品）：法防下限+1点；法防上限+1点，持续1800现实秒。具体以对应丹药说明为准；奇珍携带效果另计。|r</t>
        </is>
      </c>
      <c r="J143" s="25" t="s">
        <v>68</v>
      </c>
      <c r="K143" t="b" s="11">
        <v>0</v>
      </c>
      <c r="L143">
        <v>67</v>
      </c>
      <c r="M143">
        <v>11921060</v>
      </c>
      <c r="N143">
        <v>11931060</v>
      </c>
      <c r="O143">
        <v>11941060</v>
      </c>
      <c r="P143">
        <v>11952060</v>
      </c>
      <c r="Q143">
        <v>11962060</v>
      </c>
      <c r="R143">
        <v>11972060</v>
      </c>
      <c r="S143">
        <v>11983060</v>
      </c>
      <c r="AH143" s="11">
        <v>61</v>
      </c>
      <c r="AI143" s="11" t="s">
        <v>69</v>
      </c>
      <c r="AL143" t="str" s="11">
        <v>【补充设计】保留奇珍ID、钥匙与图谱关系；可携带标记与独立效果行逐ID核对。</v>
      </c>
    </row>
    <row r="144" spans="2:35">
      <c r="B144">
        <f t="shared" si="3"/>
        <v>71921061</v>
      </c>
      <c xmlns="http://schemas.openxmlformats.org/spreadsheetml/2006/main" r="C144" t="inlineStr">
        <is>
          <t>清和御法丹</t>
        </is>
      </c>
      <c r="D144" s="25">
        <v>11921061</v>
      </c>
      <c r="E144" s="20" t="s">
        <v>239</v>
      </c>
      <c r="F144" t="s">
        <v>240</v>
      </c>
      <c r="G144" t="s">
        <v>66</v>
      </c>
      <c r="H144">
        <v>11921061</v>
      </c>
      <c xmlns="http://schemas.openxmlformats.org/spreadsheetml/2006/main" r="I144" t="inlineStr">
        <is>
          <t>|cff00FF00清和御法丹，药性凉。服用示例（筑基凡品）：法防下限+2点；法防上限+2点，持续900现实秒。具体以对应丹药说明为准；奇珍携带效果另计。|r</t>
        </is>
      </c>
      <c r="J144" s="25" t="s">
        <v>68</v>
      </c>
      <c r="K144" t="b" s="11">
        <v>0</v>
      </c>
      <c r="L144">
        <v>67</v>
      </c>
      <c r="M144">
        <v>11921061</v>
      </c>
      <c r="N144">
        <v>11931061</v>
      </c>
      <c r="O144">
        <v>11941061</v>
      </c>
      <c r="P144">
        <v>11952061</v>
      </c>
      <c r="Q144">
        <v>11962061</v>
      </c>
      <c r="R144">
        <v>11972061</v>
      </c>
      <c r="S144">
        <v>11983061</v>
      </c>
      <c r="AH144" s="11">
        <v>62</v>
      </c>
      <c r="AI144" s="11" t="s">
        <v>69</v>
      </c>
      <c r="AL144" t="str" s="11">
        <v>【补充设计】保留奇珍ID、钥匙与图谱关系；可携带标记与独立效果行逐ID核对。</v>
      </c>
    </row>
    <row r="145" spans="2:35">
      <c r="B145">
        <f t="shared" si="3"/>
        <v>71921062</v>
      </c>
      <c xmlns="http://schemas.openxmlformats.org/spreadsheetml/2006/main" r="C145" t="inlineStr">
        <is>
          <t>御法丹</t>
        </is>
      </c>
      <c r="D145" s="25">
        <v>11921062</v>
      </c>
      <c r="E145" s="20" t="s">
        <v>239</v>
      </c>
      <c r="F145" t="s">
        <v>240</v>
      </c>
      <c r="G145" t="s">
        <v>66</v>
      </c>
      <c r="H145">
        <v>11921062</v>
      </c>
      <c xmlns="http://schemas.openxmlformats.org/spreadsheetml/2006/main" r="I145" t="inlineStr">
        <is>
          <t>|cff00FF00御法丹，药性平。服用示例（筑基凡品）：法防下限+3点；法防上限+3点，持续900现实秒。具体以对应丹药说明为准；奇珍携带效果另计。|r</t>
        </is>
      </c>
      <c r="J145" s="25" t="s">
        <v>68</v>
      </c>
      <c r="K145" t="b" s="11">
        <v>0</v>
      </c>
      <c r="L145">
        <v>67</v>
      </c>
      <c r="M145">
        <v>11921062</v>
      </c>
      <c r="N145">
        <v>11931062</v>
      </c>
      <c r="O145">
        <v>11941062</v>
      </c>
      <c r="P145">
        <v>11952062</v>
      </c>
      <c r="Q145">
        <v>11962062</v>
      </c>
      <c r="R145">
        <v>11972062</v>
      </c>
      <c r="S145">
        <v>11983062</v>
      </c>
      <c r="AH145" s="11">
        <v>63</v>
      </c>
      <c r="AI145" s="11" t="s">
        <v>69</v>
      </c>
      <c r="AL145" t="str" s="11">
        <v>【补充设计】保留奇珍ID、钥匙与图谱关系；可携带标记与独立效果行逐ID核对。</v>
      </c>
    </row>
    <row r="146" spans="2:35">
      <c r="B146">
        <f t="shared" si="3"/>
        <v>71921063</v>
      </c>
      <c xmlns="http://schemas.openxmlformats.org/spreadsheetml/2006/main" r="C146" t="inlineStr">
        <is>
          <t>温阳御法丹</t>
        </is>
      </c>
      <c r="D146" s="25">
        <v>11921063</v>
      </c>
      <c r="E146" s="20" t="s">
        <v>239</v>
      </c>
      <c r="F146" t="s">
        <v>240</v>
      </c>
      <c r="G146" t="s">
        <v>66</v>
      </c>
      <c r="H146">
        <v>11921063</v>
      </c>
      <c xmlns="http://schemas.openxmlformats.org/spreadsheetml/2006/main" r="I146" t="inlineStr">
        <is>
          <t>|cff00FF00温阳御法丹，药性温。服用示例（筑基凡品）：法防下限+4点；法防上限+4点，持续900现实秒。具体以对应丹药说明为准；奇珍携带效果另计。|r</t>
        </is>
      </c>
      <c r="J146" s="25" t="s">
        <v>68</v>
      </c>
      <c r="K146" t="b" s="11">
        <v>0</v>
      </c>
      <c r="L146">
        <v>67</v>
      </c>
      <c r="M146">
        <v>11921063</v>
      </c>
      <c r="N146">
        <v>11931063</v>
      </c>
      <c r="O146">
        <v>11941063</v>
      </c>
      <c r="P146">
        <v>11952063</v>
      </c>
      <c r="Q146">
        <v>11962063</v>
      </c>
      <c r="R146">
        <v>11972063</v>
      </c>
      <c r="S146">
        <v>11983063</v>
      </c>
      <c r="AH146" s="11">
        <v>64</v>
      </c>
      <c r="AI146" s="11" t="s">
        <v>69</v>
      </c>
      <c r="AL146" t="str" s="11">
        <v>【补充设计】保留奇珍ID、钥匙与图谱关系；可携带标记与独立效果行逐ID核对。</v>
      </c>
    </row>
    <row r="147" spans="2:35">
      <c r="B147">
        <f t="shared" ref="B147:B178" si="4">M147+60000000</f>
        <v>71921064</v>
      </c>
      <c xmlns="http://schemas.openxmlformats.org/spreadsheetml/2006/main" r="C147" t="inlineStr">
        <is>
          <t>烈阳御法丹</t>
        </is>
      </c>
      <c r="D147" s="25">
        <v>11921064</v>
      </c>
      <c r="E147" s="20" t="s">
        <v>239</v>
      </c>
      <c r="F147" t="s">
        <v>240</v>
      </c>
      <c r="G147" t="s">
        <v>66</v>
      </c>
      <c r="H147">
        <v>11921064</v>
      </c>
      <c xmlns="http://schemas.openxmlformats.org/spreadsheetml/2006/main" r="I147" t="inlineStr">
        <is>
          <t>|cff00FF00烈阳御法丹，药性热。服用示例（筑基凡品）：法防下限+5点；法防上限+5点，持续600现实秒。具体以对应丹药说明为准；奇珍携带效果另计。|r</t>
        </is>
      </c>
      <c r="J147" s="25" t="s">
        <v>68</v>
      </c>
      <c r="K147" t="b" s="11">
        <v>0</v>
      </c>
      <c r="L147">
        <v>67</v>
      </c>
      <c r="M147">
        <v>11921064</v>
      </c>
      <c r="N147">
        <v>11931064</v>
      </c>
      <c r="O147">
        <v>11941064</v>
      </c>
      <c r="P147">
        <v>11952064</v>
      </c>
      <c r="Q147">
        <v>11962064</v>
      </c>
      <c r="R147">
        <v>11972064</v>
      </c>
      <c r="S147">
        <v>11983064</v>
      </c>
      <c r="AH147" s="11">
        <v>65</v>
      </c>
      <c r="AI147" s="11" t="s">
        <v>69</v>
      </c>
      <c r="AL147" t="str" s="11">
        <v>【补充设计】保留奇珍ID、钥匙与图谱关系；可携带标记与独立效果行逐ID核对。</v>
      </c>
    </row>
    <row r="148" spans="2:35">
      <c r="B148">
        <f t="shared" si="4"/>
        <v>71921065</v>
      </c>
      <c xmlns="http://schemas.openxmlformats.org/spreadsheetml/2006/main" r="C148" t="inlineStr">
        <is>
          <t>玄阴壮骨丹</t>
        </is>
      </c>
      <c r="D148" s="25">
        <v>11921065</v>
      </c>
      <c r="E148" s="20" t="s">
        <v>239</v>
      </c>
      <c r="F148" t="s">
        <v>240</v>
      </c>
      <c r="G148" t="s">
        <v>66</v>
      </c>
      <c r="H148">
        <v>11921065</v>
      </c>
      <c xmlns="http://schemas.openxmlformats.org/spreadsheetml/2006/main" r="I148" t="inlineStr">
        <is>
          <t>|cff00FF00玄阴壮骨丹，药性寒。服用示例（筑基凡品）：物防下限+1点；物防上限+1点，持续1800现实秒。具体以对应丹药说明为准；奇珍携带效果另计。|r</t>
        </is>
      </c>
      <c r="J148" s="25" t="s">
        <v>68</v>
      </c>
      <c r="K148" t="b" s="11">
        <v>0</v>
      </c>
      <c r="L148">
        <v>68</v>
      </c>
      <c r="M148">
        <v>11921065</v>
      </c>
      <c r="N148">
        <v>11931065</v>
      </c>
      <c r="O148">
        <v>11941065</v>
      </c>
      <c r="P148">
        <v>11952065</v>
      </c>
      <c r="Q148">
        <v>11962065</v>
      </c>
      <c r="R148">
        <v>11972065</v>
      </c>
      <c r="S148">
        <v>11983065</v>
      </c>
      <c r="AH148" s="11">
        <v>66</v>
      </c>
      <c r="AI148" s="11" t="s">
        <v>69</v>
      </c>
      <c r="AL148" t="str" s="11">
        <v>【补充设计】保留奇珍ID、钥匙与图谱关系；可携带标记与独立效果行逐ID核对。</v>
      </c>
    </row>
    <row r="149" spans="2:35">
      <c r="B149">
        <f t="shared" si="4"/>
        <v>71921066</v>
      </c>
      <c xmlns="http://schemas.openxmlformats.org/spreadsheetml/2006/main" r="C149" t="inlineStr">
        <is>
          <t>清和壮骨丹</t>
        </is>
      </c>
      <c r="D149" s="25">
        <v>11921066</v>
      </c>
      <c r="E149" s="20" t="s">
        <v>239</v>
      </c>
      <c r="F149" t="s">
        <v>240</v>
      </c>
      <c r="G149" t="s">
        <v>66</v>
      </c>
      <c r="H149">
        <v>11921066</v>
      </c>
      <c xmlns="http://schemas.openxmlformats.org/spreadsheetml/2006/main" r="I149" t="inlineStr">
        <is>
          <t>|cff00FF00清和壮骨丹，药性凉。服用示例（筑基凡品）：物防下限+2点；物防上限+2点，持续900现实秒。具体以对应丹药说明为准；奇珍携带效果另计。|r</t>
        </is>
      </c>
      <c r="J149" s="25" t="s">
        <v>68</v>
      </c>
      <c r="K149" t="b" s="11">
        <v>0</v>
      </c>
      <c r="L149">
        <v>68</v>
      </c>
      <c r="M149">
        <v>11921066</v>
      </c>
      <c r="N149">
        <v>11931066</v>
      </c>
      <c r="O149">
        <v>11941066</v>
      </c>
      <c r="P149">
        <v>11952066</v>
      </c>
      <c r="Q149">
        <v>11962066</v>
      </c>
      <c r="R149">
        <v>11972066</v>
      </c>
      <c r="S149">
        <v>11983066</v>
      </c>
      <c r="AH149" s="11">
        <v>67</v>
      </c>
      <c r="AI149" s="11" t="s">
        <v>69</v>
      </c>
      <c r="AL149" t="str" s="11">
        <v>【补充设计】保留奇珍ID、钥匙与图谱关系；可携带标记与独立效果行逐ID核对。</v>
      </c>
    </row>
    <row r="150" spans="2:35">
      <c r="B150">
        <f t="shared" si="4"/>
        <v>71921067</v>
      </c>
      <c xmlns="http://schemas.openxmlformats.org/spreadsheetml/2006/main" r="C150" t="inlineStr">
        <is>
          <t>壮骨丹</t>
        </is>
      </c>
      <c r="D150" s="25">
        <v>11921067</v>
      </c>
      <c r="E150" s="20" t="s">
        <v>239</v>
      </c>
      <c r="F150" t="s">
        <v>240</v>
      </c>
      <c r="G150" t="s">
        <v>66</v>
      </c>
      <c r="H150">
        <v>11921067</v>
      </c>
      <c xmlns="http://schemas.openxmlformats.org/spreadsheetml/2006/main" r="I150" t="inlineStr">
        <is>
          <t>|cff00FF00壮骨丹，药性平。服用示例（筑基凡品）：物防下限+3点；物防上限+3点，持续900现实秒。具体以对应丹药说明为准；奇珍携带效果另计。|r</t>
        </is>
      </c>
      <c r="J150" s="25" t="s">
        <v>68</v>
      </c>
      <c r="K150" t="b" s="11">
        <v>0</v>
      </c>
      <c r="L150">
        <v>68</v>
      </c>
      <c r="M150">
        <v>11921067</v>
      </c>
      <c r="N150">
        <v>11931067</v>
      </c>
      <c r="O150">
        <v>11941067</v>
      </c>
      <c r="P150">
        <v>11952067</v>
      </c>
      <c r="Q150">
        <v>11962067</v>
      </c>
      <c r="R150">
        <v>11972067</v>
      </c>
      <c r="S150">
        <v>11983067</v>
      </c>
      <c r="AH150" s="11">
        <v>68</v>
      </c>
      <c r="AI150" s="11" t="s">
        <v>69</v>
      </c>
      <c r="AL150" t="str" s="11">
        <v>【补充设计】保留奇珍ID、钥匙与图谱关系；可携带标记与独立效果行逐ID核对。</v>
      </c>
    </row>
    <row r="151" spans="2:35">
      <c r="B151">
        <f t="shared" si="4"/>
        <v>71921068</v>
      </c>
      <c xmlns="http://schemas.openxmlformats.org/spreadsheetml/2006/main" r="C151" t="inlineStr">
        <is>
          <t>温阳壮骨丹</t>
        </is>
      </c>
      <c r="D151" s="25">
        <v>11921068</v>
      </c>
      <c r="E151" s="20" t="s">
        <v>239</v>
      </c>
      <c r="F151" t="s">
        <v>240</v>
      </c>
      <c r="G151" t="s">
        <v>66</v>
      </c>
      <c r="H151">
        <v>11921068</v>
      </c>
      <c xmlns="http://schemas.openxmlformats.org/spreadsheetml/2006/main" r="I151" t="inlineStr">
        <is>
          <t>|cff00FF00温阳壮骨丹，药性温。服用示例（筑基凡品）：物防下限+4点；物防上限+4点，持续900现实秒。具体以对应丹药说明为准；奇珍携带效果另计。|r</t>
        </is>
      </c>
      <c r="J151" s="25" t="s">
        <v>68</v>
      </c>
      <c r="K151" t="b" s="11">
        <v>0</v>
      </c>
      <c r="L151">
        <v>68</v>
      </c>
      <c r="M151">
        <v>11921068</v>
      </c>
      <c r="N151">
        <v>11931068</v>
      </c>
      <c r="O151">
        <v>11941068</v>
      </c>
      <c r="P151">
        <v>11952068</v>
      </c>
      <c r="Q151">
        <v>11962068</v>
      </c>
      <c r="R151">
        <v>11972068</v>
      </c>
      <c r="S151">
        <v>11983068</v>
      </c>
      <c r="AH151" s="11">
        <v>69</v>
      </c>
      <c r="AI151" s="11" t="s">
        <v>69</v>
      </c>
      <c r="AL151" t="str" s="11">
        <v>【补充设计】保留奇珍ID、钥匙与图谱关系；可携带标记与独立效果行逐ID核对。</v>
      </c>
    </row>
    <row r="152" spans="2:35">
      <c r="B152">
        <f t="shared" si="4"/>
        <v>71921069</v>
      </c>
      <c xmlns="http://schemas.openxmlformats.org/spreadsheetml/2006/main" r="C152" t="inlineStr">
        <is>
          <t>烈阳壮骨丹</t>
        </is>
      </c>
      <c r="D152" s="25">
        <v>11921069</v>
      </c>
      <c r="E152" s="20" t="s">
        <v>239</v>
      </c>
      <c r="F152" t="s">
        <v>240</v>
      </c>
      <c r="G152" t="s">
        <v>66</v>
      </c>
      <c r="H152">
        <v>11921069</v>
      </c>
      <c xmlns="http://schemas.openxmlformats.org/spreadsheetml/2006/main" r="I152" t="inlineStr">
        <is>
          <t>|cff00FF00烈阳壮骨丹，药性热。服用示例（筑基凡品）：物防下限+5点；物防上限+5点，持续600现实秒。具体以对应丹药说明为准；奇珍携带效果另计。|r</t>
        </is>
      </c>
      <c r="J152" s="25" t="s">
        <v>68</v>
      </c>
      <c r="K152" t="b" s="11">
        <v>0</v>
      </c>
      <c r="L152">
        <v>68</v>
      </c>
      <c r="M152">
        <v>11921069</v>
      </c>
      <c r="N152">
        <v>11931069</v>
      </c>
      <c r="O152">
        <v>11941069</v>
      </c>
      <c r="P152">
        <v>11952069</v>
      </c>
      <c r="Q152">
        <v>11962069</v>
      </c>
      <c r="R152">
        <v>11972069</v>
      </c>
      <c r="S152">
        <v>11983069</v>
      </c>
      <c r="AH152" s="11">
        <v>70</v>
      </c>
      <c r="AI152" s="11" t="s">
        <v>69</v>
      </c>
      <c r="AL152" t="str" s="11">
        <v>【补充设计】保留奇珍ID、钥匙与图谱关系；可携带标记与独立效果行逐ID核对。</v>
      </c>
    </row>
    <row r="153" spans="2:35">
      <c r="B153">
        <f t="shared" si="4"/>
        <v>71921070</v>
      </c>
      <c r="C153" t="s">
        <v>380</v>
      </c>
      <c r="D153" s="25">
        <v>11921070</v>
      </c>
      <c r="E153" s="20" t="s">
        <v>239</v>
      </c>
      <c r="F153" t="s">
        <v>240</v>
      </c>
      <c r="G153" t="s">
        <v>66</v>
      </c>
      <c r="H153">
        <v>11921070</v>
      </c>
      <c xmlns="http://schemas.openxmlformats.org/spreadsheetml/2006/main" r="I153" t="inlineStr">
        <is>
          <t>|cff00FF00玄阴固元丹，药性寒。服用示例（筑基凡品）：抵消敌人的额外增伤幅度2%（不降低基础伤害），持续1800现实秒。具体以对应丹药说明为准；奇珍携带效果另计。|r</t>
        </is>
      </c>
      <c r="J153" s="25" t="s">
        <v>68</v>
      </c>
      <c r="K153" t="b" s="11">
        <v>0</v>
      </c>
      <c r="M153">
        <v>11921070</v>
      </c>
      <c r="N153">
        <v>11931070</v>
      </c>
      <c r="O153">
        <v>11941070</v>
      </c>
      <c r="P153">
        <v>11952070</v>
      </c>
      <c r="Q153">
        <v>11962070</v>
      </c>
      <c r="R153">
        <v>11972070</v>
      </c>
      <c r="S153">
        <v>11983070</v>
      </c>
      <c r="AH153" s="11">
        <v>71</v>
      </c>
      <c r="AI153" s="11" t="s">
        <v>69</v>
      </c>
      <c r="AL153" t="str" s="11">
        <v>【补充设计】保留奇珍ID、钥匙与图谱关系；可携带标记与独立效果行逐ID核对。</v>
      </c>
    </row>
    <row r="154" spans="2:35">
      <c r="B154">
        <f t="shared" si="4"/>
        <v>71921071</v>
      </c>
      <c r="C154" t="s">
        <v>382</v>
      </c>
      <c r="D154" s="25">
        <v>11921071</v>
      </c>
      <c r="E154" s="20" t="s">
        <v>239</v>
      </c>
      <c r="F154" t="s">
        <v>240</v>
      </c>
      <c r="G154" t="s">
        <v>66</v>
      </c>
      <c r="H154">
        <v>11921071</v>
      </c>
      <c xmlns="http://schemas.openxmlformats.org/spreadsheetml/2006/main" r="I154" t="inlineStr">
        <is>
          <t>|cff00FF00清和固元丹，药性凉。服用示例（筑基凡品）：抵消敌人的额外固定增伤3点（不降低基础伤害），持续1500现实秒。具体以对应丹药说明为准；奇珍携带效果另计。|r</t>
        </is>
      </c>
      <c r="J154" s="25" t="s">
        <v>68</v>
      </c>
      <c r="K154" t="b" s="11">
        <v>0</v>
      </c>
      <c r="M154">
        <v>11921071</v>
      </c>
      <c r="N154">
        <v>11931071</v>
      </c>
      <c r="O154">
        <v>11941071</v>
      </c>
      <c r="P154">
        <v>11952071</v>
      </c>
      <c r="Q154">
        <v>11962071</v>
      </c>
      <c r="R154">
        <v>11972071</v>
      </c>
      <c r="S154">
        <v>11983071</v>
      </c>
      <c r="AH154" s="11">
        <v>72</v>
      </c>
      <c r="AI154" s="11" t="s">
        <v>69</v>
      </c>
      <c r="AL154" t="str" s="11">
        <v>【补充设计】保留奇珍ID、钥匙与图谱关系；可携带标记与独立效果行逐ID核对。</v>
      </c>
    </row>
    <row r="155" spans="2:35">
      <c r="B155">
        <f t="shared" si="4"/>
        <v>71921072</v>
      </c>
      <c r="C155" t="s">
        <v>384</v>
      </c>
      <c r="D155" s="25">
        <v>11921072</v>
      </c>
      <c r="E155" s="20" t="s">
        <v>239</v>
      </c>
      <c r="F155" t="s">
        <v>240</v>
      </c>
      <c r="G155" t="s">
        <v>66</v>
      </c>
      <c r="H155">
        <v>11921072</v>
      </c>
      <c xmlns="http://schemas.openxmlformats.org/spreadsheetml/2006/main" r="I155" t="inlineStr">
        <is>
          <t>|cff00FF00固元丹，药性平。服用示例（筑基凡品）：抵消敌人的额外固定增伤2点（不降低基础伤害）；抵消敌人的额外增伤幅度2%（不降低基础伤害），持续1500现实秒。具体以对应丹药说明为准；奇珍携带效果另计。|r</t>
        </is>
      </c>
      <c r="J155" s="25" t="s">
        <v>68</v>
      </c>
      <c r="K155" t="b">
        <v>1</v>
      </c>
      <c r="L155">
        <v>17</v>
      </c>
      <c r="M155">
        <v>11921072</v>
      </c>
      <c r="N155">
        <v>11931072</v>
      </c>
      <c r="O155">
        <v>11941072</v>
      </c>
      <c r="P155">
        <v>11952072</v>
      </c>
      <c r="Q155">
        <v>11962072</v>
      </c>
      <c r="R155">
        <v>11972072</v>
      </c>
      <c r="S155">
        <v>11983072</v>
      </c>
      <c r="AH155" s="11">
        <v>73</v>
      </c>
      <c r="AI155" s="11" t="s">
        <v>69</v>
      </c>
      <c r="AL155" t="str" s="11">
        <v>【补充设计】保留奇珍ID、钥匙与图谱关系；可携带标记与独立效果行逐ID核对。</v>
      </c>
    </row>
    <row r="156" spans="2:35">
      <c r="B156">
        <f t="shared" si="4"/>
        <v>71921073</v>
      </c>
      <c r="C156" t="s">
        <v>386</v>
      </c>
      <c r="D156" s="25">
        <v>11921073</v>
      </c>
      <c r="E156" s="20" t="s">
        <v>239</v>
      </c>
      <c r="F156" t="s">
        <v>240</v>
      </c>
      <c r="G156" t="s">
        <v>66</v>
      </c>
      <c r="H156">
        <v>11921073</v>
      </c>
      <c xmlns="http://schemas.openxmlformats.org/spreadsheetml/2006/main" r="I156" t="inlineStr">
        <is>
          <t>|cff00FF00温阳固元丹，药性温。服用示例（筑基凡品）：受到精英/BOSS的完整伤害先扣除6点，持续1500现实秒。具体以对应丹药说明为准；奇珍携带效果另计。|r</t>
        </is>
      </c>
      <c r="J156" s="25" t="s">
        <v>68</v>
      </c>
      <c r="K156" t="b" s="11">
        <v>0</v>
      </c>
      <c r="M156">
        <v>11921073</v>
      </c>
      <c r="N156">
        <v>11931073</v>
      </c>
      <c r="O156">
        <v>11941073</v>
      </c>
      <c r="P156">
        <v>11952073</v>
      </c>
      <c r="Q156">
        <v>11962073</v>
      </c>
      <c r="R156">
        <v>11972073</v>
      </c>
      <c r="S156">
        <v>11983073</v>
      </c>
      <c r="AH156" s="11">
        <v>74</v>
      </c>
      <c r="AI156" s="11" t="s">
        <v>69</v>
      </c>
      <c r="AL156" t="str" s="11">
        <v>【补充设计】保留奇珍ID、钥匙与图谱关系；可携带标记与独立效果行逐ID核对。</v>
      </c>
    </row>
    <row r="157" spans="2:35">
      <c r="B157">
        <f t="shared" si="4"/>
        <v>71921074</v>
      </c>
      <c r="C157" t="s">
        <v>388</v>
      </c>
      <c r="D157" s="25">
        <v>11921074</v>
      </c>
      <c r="E157" s="20" t="s">
        <v>239</v>
      </c>
      <c r="F157" t="s">
        <v>240</v>
      </c>
      <c r="G157" t="s">
        <v>66</v>
      </c>
      <c r="H157">
        <v>11921074</v>
      </c>
      <c xmlns="http://schemas.openxmlformats.org/spreadsheetml/2006/main" r="I157" t="inlineStr">
        <is>
          <t>|cff00FF00烈阳固元丹，药性热。服用示例（筑基凡品）：受到精英/BOSS的完整伤害降低5%，持续900现实秒。具体以对应丹药说明为准；奇珍携带效果另计。|r</t>
        </is>
      </c>
      <c r="J157" s="25" t="s">
        <v>68</v>
      </c>
      <c r="K157" t="b" s="11">
        <v>0</v>
      </c>
      <c r="M157">
        <v>11921074</v>
      </c>
      <c r="N157">
        <v>11931074</v>
      </c>
      <c r="O157">
        <v>11941074</v>
      </c>
      <c r="P157">
        <v>11952074</v>
      </c>
      <c r="Q157">
        <v>11962074</v>
      </c>
      <c r="R157">
        <v>11972074</v>
      </c>
      <c r="S157">
        <v>11983074</v>
      </c>
      <c r="AH157" s="11">
        <v>75</v>
      </c>
      <c r="AI157" s="11" t="s">
        <v>69</v>
      </c>
      <c r="AL157" t="str" s="11">
        <v>【补充设计】保留奇珍ID、钥匙与图谱关系；可携带标记与独立效果行逐ID核对。</v>
      </c>
    </row>
    <row r="158" spans="2:35">
      <c r="B158">
        <f t="shared" si="4"/>
        <v>71921075</v>
      </c>
      <c r="C158" t="s">
        <v>390</v>
      </c>
      <c r="D158" s="25">
        <v>11921075</v>
      </c>
      <c r="E158" s="20" t="s">
        <v>239</v>
      </c>
      <c r="F158" t="s">
        <v>240</v>
      </c>
      <c r="G158" t="s">
        <v>66</v>
      </c>
      <c r="H158">
        <v>11921075</v>
      </c>
      <c xmlns="http://schemas.openxmlformats.org/spreadsheetml/2006/main" r="I158" t="inlineStr">
        <is>
          <t>|cff00FF00玄阴破妄丹，药性寒。服用示例（筑基凡品）：清除对应味池杂质总量22584点，按300现实秒的经过时间线性结算（操作时补结差额）。具体以对应丹药说明为准；奇珍携带效果另计。|r</t>
        </is>
      </c>
      <c r="J158" s="25" t="s">
        <v>68</v>
      </c>
      <c r="K158" t="b" s="11">
        <v>0</v>
      </c>
      <c r="M158">
        <v>11921075</v>
      </c>
      <c r="N158">
        <v>11931075</v>
      </c>
      <c r="O158">
        <v>11941075</v>
      </c>
      <c r="P158">
        <v>11952075</v>
      </c>
      <c r="Q158">
        <v>11962075</v>
      </c>
      <c r="R158">
        <v>11972075</v>
      </c>
      <c r="S158">
        <v>11983075</v>
      </c>
      <c r="AH158" s="11">
        <v>76</v>
      </c>
      <c r="AI158" s="11" t="s">
        <v>69</v>
      </c>
      <c r="AL158" t="str" s="11">
        <v>【补充设计】保留奇珍ID、钥匙与图谱关系；可携带标记与独立效果行逐ID核对。</v>
      </c>
    </row>
    <row r="159" spans="2:35">
      <c r="B159">
        <f t="shared" si="4"/>
        <v>71921076</v>
      </c>
      <c r="C159" t="s">
        <v>392</v>
      </c>
      <c r="D159" s="25">
        <v>11921076</v>
      </c>
      <c r="E159" s="20" t="s">
        <v>239</v>
      </c>
      <c r="F159" t="s">
        <v>240</v>
      </c>
      <c r="G159" t="s">
        <v>66</v>
      </c>
      <c r="H159">
        <v>11921076</v>
      </c>
      <c xmlns="http://schemas.openxmlformats.org/spreadsheetml/2006/main" r="I159" t="inlineStr">
        <is>
          <t>|cff00FF00清和破妄丹，药性凉。服用示例（筑基凡品）：清除对应味池杂质总量13014点，按60现实秒的经过时间线性结算（操作时补结差额）。具体以对应丹药说明为准；奇珍携带效果另计。|r</t>
        </is>
      </c>
      <c r="J159" s="25" t="s">
        <v>68</v>
      </c>
      <c r="K159" t="b" s="11">
        <v>0</v>
      </c>
      <c r="M159">
        <v>11921076</v>
      </c>
      <c r="N159">
        <v>11931076</v>
      </c>
      <c r="O159">
        <v>11941076</v>
      </c>
      <c r="P159">
        <v>11952076</v>
      </c>
      <c r="Q159">
        <v>11962076</v>
      </c>
      <c r="R159">
        <v>11972076</v>
      </c>
      <c r="S159">
        <v>11983076</v>
      </c>
      <c r="AH159" s="11">
        <v>77</v>
      </c>
      <c r="AI159" s="11" t="s">
        <v>69</v>
      </c>
      <c r="AL159" t="str" s="11">
        <v>【补充设计】保留奇珍ID、钥匙与图谱关系；可携带标记与独立效果行逐ID核对。</v>
      </c>
    </row>
    <row r="160" spans="2:35">
      <c r="B160">
        <f t="shared" si="4"/>
        <v>71921077</v>
      </c>
      <c r="C160" t="s">
        <v>394</v>
      </c>
      <c r="D160" s="25">
        <v>11921077</v>
      </c>
      <c r="E160" s="20" t="s">
        <v>239</v>
      </c>
      <c r="F160" t="s">
        <v>240</v>
      </c>
      <c r="G160" t="s">
        <v>66</v>
      </c>
      <c r="H160">
        <v>11921077</v>
      </c>
      <c xmlns="http://schemas.openxmlformats.org/spreadsheetml/2006/main" r="I160" t="inlineStr">
        <is>
          <t>|cff00FF00破妄丹，药性平。服用示例（筑基凡品）：清除对应味池杂质总量16080点，按60现实秒的经过时间线性结算（操作时补结差额）。具体以对应丹药说明为准；奇珍携带效果另计。|r</t>
        </is>
      </c>
      <c r="J160" s="25" t="s">
        <v>68</v>
      </c>
      <c r="K160" t="b" s="11">
        <v>0</v>
      </c>
      <c r="M160">
        <v>11921077</v>
      </c>
      <c r="N160">
        <v>11931077</v>
      </c>
      <c r="O160">
        <v>11941077</v>
      </c>
      <c r="P160">
        <v>11952077</v>
      </c>
      <c r="Q160">
        <v>11962077</v>
      </c>
      <c r="R160">
        <v>11972077</v>
      </c>
      <c r="S160">
        <v>11983077</v>
      </c>
      <c r="AH160" s="11">
        <v>78</v>
      </c>
      <c r="AI160" s="11" t="s">
        <v>69</v>
      </c>
      <c r="AL160" t="str" s="11">
        <v>【补充设计】保留奇珍ID、钥匙与图谱关系；可携带标记与独立效果行逐ID核对。</v>
      </c>
    </row>
    <row r="161" spans="2:35">
      <c r="B161">
        <f t="shared" si="4"/>
        <v>71921078</v>
      </c>
      <c r="C161" t="s">
        <v>396</v>
      </c>
      <c r="D161" s="25">
        <v>11921078</v>
      </c>
      <c r="E161" s="20" t="s">
        <v>239</v>
      </c>
      <c r="F161" t="s">
        <v>240</v>
      </c>
      <c r="G161" t="s">
        <v>66</v>
      </c>
      <c r="H161">
        <v>11921078</v>
      </c>
      <c xmlns="http://schemas.openxmlformats.org/spreadsheetml/2006/main" r="I161" t="inlineStr">
        <is>
          <t>|cff00FF00温阳破妄丹，药性温。服用示例（筑基凡品）：清除对应味池杂质总量19146点，按60现实秒的经过时间线性结算（操作时补结差额）。具体以对应丹药说明为准；奇珍携带效果另计。|r</t>
        </is>
      </c>
      <c r="J161" s="25" t="s">
        <v>68</v>
      </c>
      <c r="K161" t="b" s="11">
        <v>0</v>
      </c>
      <c r="M161">
        <v>11921078</v>
      </c>
      <c r="N161">
        <v>11931078</v>
      </c>
      <c r="O161">
        <v>11941078</v>
      </c>
      <c r="P161">
        <v>11952078</v>
      </c>
      <c r="Q161">
        <v>11962078</v>
      </c>
      <c r="R161">
        <v>11972078</v>
      </c>
      <c r="S161">
        <v>11983078</v>
      </c>
      <c r="AH161" s="11">
        <v>79</v>
      </c>
      <c r="AI161" s="11" t="s">
        <v>69</v>
      </c>
      <c r="AL161" t="str" s="11">
        <v>【补充设计】保留奇珍ID、钥匙与图谱关系；可携带标记与独立效果行逐ID核对。</v>
      </c>
    </row>
    <row r="162" spans="2:35">
      <c r="B162">
        <f t="shared" si="4"/>
        <v>71921079</v>
      </c>
      <c r="C162" t="s">
        <v>398</v>
      </c>
      <c r="D162" s="25">
        <v>11921079</v>
      </c>
      <c r="E162" s="20" t="s">
        <v>239</v>
      </c>
      <c r="F162" t="s">
        <v>240</v>
      </c>
      <c r="G162" t="s">
        <v>66</v>
      </c>
      <c r="H162">
        <v>11921079</v>
      </c>
      <c xmlns="http://schemas.openxmlformats.org/spreadsheetml/2006/main" r="I162" t="inlineStr">
        <is>
          <t>|cff00FF00烈阳破妄丹，药性热。服用示例（筑基凡品）：清除对应味池杂质总量15408点，按10现实秒的经过时间线性结算（操作时补结差额）。具体以对应丹药说明为准；奇珍携带效果另计。|r</t>
        </is>
      </c>
      <c r="J162" s="25" t="s">
        <v>68</v>
      </c>
      <c r="K162" t="b" s="11">
        <v>0</v>
      </c>
      <c r="M162">
        <v>11921079</v>
      </c>
      <c r="N162">
        <v>11931079</v>
      </c>
      <c r="O162">
        <v>11941079</v>
      </c>
      <c r="P162">
        <v>11952079</v>
      </c>
      <c r="Q162">
        <v>11962079</v>
      </c>
      <c r="R162">
        <v>11972079</v>
      </c>
      <c r="S162">
        <v>11983079</v>
      </c>
      <c r="AH162" s="11">
        <v>80</v>
      </c>
      <c r="AI162" s="11" t="s">
        <v>69</v>
      </c>
      <c r="AL162" t="str" s="11">
        <v>【补充设计】保留奇珍ID、钥匙与图谱关系；可携带标记与独立效果行逐ID核对。</v>
      </c>
    </row>
    <row r="163" spans="2:35">
      <c r="B163">
        <f t="shared" si="4"/>
        <v>71921080</v>
      </c>
      <c r="C163" t="s">
        <v>400</v>
      </c>
      <c r="D163" s="25">
        <v>11921080</v>
      </c>
      <c r="E163" s="20" t="s">
        <v>239</v>
      </c>
      <c r="F163" t="s">
        <v>240</v>
      </c>
      <c r="G163" t="s">
        <v>66</v>
      </c>
      <c r="H163">
        <v>11921080</v>
      </c>
      <c xmlns="http://schemas.openxmlformats.org/spreadsheetml/2006/main" r="I163" t="inlineStr">
        <is>
          <t>|cff00FF00玄阴养神丹，药性寒。服用示例（筑基凡品）：神识提高1%，持续1800现实秒。具体以对应丹药说明为准；奇珍携带效果另计。|r</t>
        </is>
      </c>
      <c r="J163" s="25" t="s">
        <v>68</v>
      </c>
      <c r="K163" t="b" s="11">
        <v>0</v>
      </c>
      <c r="M163">
        <v>11921080</v>
      </c>
      <c r="N163">
        <v>11931080</v>
      </c>
      <c r="O163">
        <v>11941080</v>
      </c>
      <c r="P163">
        <v>11952080</v>
      </c>
      <c r="Q163">
        <v>11962080</v>
      </c>
      <c r="R163">
        <v>11972080</v>
      </c>
      <c r="S163">
        <v>11983080</v>
      </c>
      <c r="AH163" s="11">
        <v>81</v>
      </c>
      <c r="AI163" s="11" t="s">
        <v>69</v>
      </c>
      <c r="AL163" t="str" s="11">
        <v>【补充设计】保留奇珍ID、钥匙与图谱关系；可携带标记与独立效果行逐ID核对。</v>
      </c>
    </row>
    <row r="164" spans="2:35">
      <c r="B164">
        <f t="shared" si="4"/>
        <v>71921081</v>
      </c>
      <c r="C164" t="s">
        <v>402</v>
      </c>
      <c r="D164" s="25">
        <v>11921081</v>
      </c>
      <c r="E164" s="20" t="s">
        <v>239</v>
      </c>
      <c r="F164" t="s">
        <v>240</v>
      </c>
      <c r="G164" t="s">
        <v>66</v>
      </c>
      <c r="H164">
        <v>11921081</v>
      </c>
      <c xmlns="http://schemas.openxmlformats.org/spreadsheetml/2006/main" r="I164" t="inlineStr">
        <is>
          <t>|cff00FF00清和养神丹，药性凉。服用示例（筑基凡品）：神识提高1.5%，持续1500现实秒。具体以对应丹药说明为准；奇珍携带效果另计。|r</t>
        </is>
      </c>
      <c r="J164" s="25" t="s">
        <v>68</v>
      </c>
      <c r="K164" t="b" s="11">
        <v>0</v>
      </c>
      <c r="M164">
        <v>11921081</v>
      </c>
      <c r="N164">
        <v>11931081</v>
      </c>
      <c r="O164">
        <v>11941081</v>
      </c>
      <c r="P164">
        <v>11952081</v>
      </c>
      <c r="Q164">
        <v>11962081</v>
      </c>
      <c r="R164">
        <v>11972081</v>
      </c>
      <c r="S164">
        <v>11983081</v>
      </c>
      <c r="AH164" s="11">
        <v>82</v>
      </c>
      <c r="AI164" s="11" t="s">
        <v>69</v>
      </c>
      <c r="AL164" t="str" s="11">
        <v>【补充设计】保留奇珍ID、钥匙与图谱关系；可携带标记与独立效果行逐ID核对。</v>
      </c>
    </row>
    <row r="165" spans="2:35">
      <c r="B165">
        <f t="shared" si="4"/>
        <v>71921082</v>
      </c>
      <c r="C165" t="s">
        <v>404</v>
      </c>
      <c r="D165" s="25">
        <v>11921082</v>
      </c>
      <c r="E165" s="20" t="s">
        <v>239</v>
      </c>
      <c r="F165" t="s">
        <v>240</v>
      </c>
      <c r="G165" t="s">
        <v>66</v>
      </c>
      <c r="H165">
        <v>11921082</v>
      </c>
      <c xmlns="http://schemas.openxmlformats.org/spreadsheetml/2006/main" r="I165" t="inlineStr">
        <is>
          <t>|cff00FF00养神丹，药性平。服用示例（筑基凡品）：神识提高2%，持续1500现实秒。具体以对应丹药说明为准；奇珍携带效果另计。|r</t>
        </is>
      </c>
      <c r="J165" s="25" t="s">
        <v>68</v>
      </c>
      <c r="K165" t="b">
        <v>1</v>
      </c>
      <c r="L165">
        <v>17</v>
      </c>
      <c r="M165">
        <v>11921082</v>
      </c>
      <c r="N165">
        <v>11931082</v>
      </c>
      <c r="O165">
        <v>11941082</v>
      </c>
      <c r="P165">
        <v>11952082</v>
      </c>
      <c r="Q165">
        <v>11962082</v>
      </c>
      <c r="R165">
        <v>11972082</v>
      </c>
      <c r="S165">
        <v>11983082</v>
      </c>
      <c r="AH165" s="11">
        <v>83</v>
      </c>
      <c r="AI165" s="11" t="s">
        <v>69</v>
      </c>
      <c r="AL165" t="str" s="11">
        <v>【补充设计】保留奇珍ID、钥匙与图谱关系；可携带标记与独立效果行逐ID核对。</v>
      </c>
    </row>
    <row r="166" spans="2:35">
      <c r="B166">
        <f t="shared" si="4"/>
        <v>71921083</v>
      </c>
      <c r="C166" t="s">
        <v>406</v>
      </c>
      <c r="D166" s="25">
        <v>11921083</v>
      </c>
      <c r="E166" s="20" t="s">
        <v>239</v>
      </c>
      <c r="F166" t="s">
        <v>240</v>
      </c>
      <c r="G166" t="s">
        <v>66</v>
      </c>
      <c r="H166">
        <v>11921083</v>
      </c>
      <c xmlns="http://schemas.openxmlformats.org/spreadsheetml/2006/main" r="I166" t="inlineStr">
        <is>
          <t>|cff00FF00温阳养神丹，药性温。服用示例（筑基凡品）：神识提高2.5%，持续1500现实秒。具体以对应丹药说明为准；奇珍携带效果另计。|r</t>
        </is>
      </c>
      <c r="J166" s="25" t="s">
        <v>68</v>
      </c>
      <c r="K166" t="b" s="11">
        <v>0</v>
      </c>
      <c r="M166">
        <v>11921083</v>
      </c>
      <c r="N166">
        <v>11931083</v>
      </c>
      <c r="O166">
        <v>11941083</v>
      </c>
      <c r="P166">
        <v>11952083</v>
      </c>
      <c r="Q166">
        <v>11962083</v>
      </c>
      <c r="R166">
        <v>11972083</v>
      </c>
      <c r="S166">
        <v>11983083</v>
      </c>
      <c r="AH166" s="11">
        <v>84</v>
      </c>
      <c r="AI166" s="11" t="s">
        <v>69</v>
      </c>
      <c r="AL166" t="str" s="11">
        <v>【补充设计】保留奇珍ID、钥匙与图谱关系；可携带标记与独立效果行逐ID核对。</v>
      </c>
    </row>
    <row r="167" spans="2:35">
      <c r="B167">
        <f t="shared" si="4"/>
        <v>71921084</v>
      </c>
      <c r="C167" t="s">
        <v>408</v>
      </c>
      <c r="D167" s="25">
        <v>11921084</v>
      </c>
      <c r="E167" s="20" t="s">
        <v>239</v>
      </c>
      <c r="F167" t="s">
        <v>240</v>
      </c>
      <c r="G167" t="s">
        <v>66</v>
      </c>
      <c r="H167">
        <v>11921084</v>
      </c>
      <c xmlns="http://schemas.openxmlformats.org/spreadsheetml/2006/main" r="I167" t="inlineStr">
        <is>
          <t>|cff00FF00烈阳养神丹，药性热。服用示例（筑基凡品）：神识提高3%，持续900现实秒。具体以对应丹药说明为准；奇珍携带效果另计。|r</t>
        </is>
      </c>
      <c r="J167" s="25" t="s">
        <v>68</v>
      </c>
      <c r="K167" t="b" s="11">
        <v>0</v>
      </c>
      <c r="M167">
        <v>11921084</v>
      </c>
      <c r="N167">
        <v>11931084</v>
      </c>
      <c r="O167">
        <v>11941084</v>
      </c>
      <c r="P167">
        <v>11952084</v>
      </c>
      <c r="Q167">
        <v>11962084</v>
      </c>
      <c r="R167">
        <v>11972084</v>
      </c>
      <c r="S167">
        <v>11983084</v>
      </c>
      <c r="AH167" s="11">
        <v>85</v>
      </c>
      <c r="AI167" s="11" t="s">
        <v>69</v>
      </c>
      <c r="AL167" t="str" s="11">
        <v>【补充设计】保留奇珍ID、钥匙与图谱关系；可携带标记与独立效果行逐ID核对。</v>
      </c>
    </row>
    <row r="168" spans="2:35">
      <c r="B168">
        <f t="shared" si="4"/>
        <v>71921085</v>
      </c>
      <c r="C168" t="s">
        <v>410</v>
      </c>
      <c r="D168" s="25">
        <v>11921085</v>
      </c>
      <c r="E168" s="20" t="s">
        <v>239</v>
      </c>
      <c r="F168" t="s">
        <v>240</v>
      </c>
      <c r="G168" t="s">
        <v>66</v>
      </c>
      <c r="H168">
        <v>11921085</v>
      </c>
      <c xmlns="http://schemas.openxmlformats.org/spreadsheetml/2006/main" r="I168" t="inlineStr">
        <is>
          <t>|cff00FF00玄阴明心丹，药性寒。服用示例（筑基凡品）：闪避+1%，持续600现实秒。具体以对应丹药说明为准；奇珍携带效果另计。|r</t>
        </is>
      </c>
      <c r="J168" s="25" t="s">
        <v>68</v>
      </c>
      <c r="K168" t="b" s="11">
        <v>0</v>
      </c>
      <c r="L168">
        <v>66</v>
      </c>
      <c r="M168">
        <v>11921085</v>
      </c>
      <c r="N168">
        <v>11931085</v>
      </c>
      <c r="O168">
        <v>11941085</v>
      </c>
      <c r="P168">
        <v>11952085</v>
      </c>
      <c r="Q168">
        <v>11962085</v>
      </c>
      <c r="R168">
        <v>11972085</v>
      </c>
      <c r="S168">
        <v>11983085</v>
      </c>
      <c r="AH168" s="11">
        <v>86</v>
      </c>
      <c r="AI168" s="11" t="s">
        <v>69</v>
      </c>
      <c r="AL168" t="str" s="11">
        <v>【补充设计】保留奇珍ID、钥匙与图谱关系；可携带标记与独立效果行逐ID核对。</v>
      </c>
    </row>
    <row r="169" spans="2:35">
      <c r="B169">
        <f t="shared" si="4"/>
        <v>71921086</v>
      </c>
      <c r="C169" t="s">
        <v>412</v>
      </c>
      <c r="D169" s="25">
        <v>11921086</v>
      </c>
      <c r="E169" s="20" t="s">
        <v>239</v>
      </c>
      <c r="F169" t="s">
        <v>240</v>
      </c>
      <c r="G169" t="s">
        <v>66</v>
      </c>
      <c r="H169">
        <v>11921086</v>
      </c>
      <c xmlns="http://schemas.openxmlformats.org/spreadsheetml/2006/main" r="I169" t="inlineStr">
        <is>
          <t>|cff00FF00清和明心丹，药性凉。服用示例（筑基凡品）：闪避+2%，持续600现实秒。具体以对应丹药说明为准；奇珍携带效果另计。|r</t>
        </is>
      </c>
      <c r="J169" s="25" t="s">
        <v>68</v>
      </c>
      <c r="K169" t="b" s="11">
        <v>0</v>
      </c>
      <c r="L169">
        <v>66</v>
      </c>
      <c r="M169">
        <v>11921086</v>
      </c>
      <c r="N169">
        <v>11931086</v>
      </c>
      <c r="O169">
        <v>11941086</v>
      </c>
      <c r="P169">
        <v>11952086</v>
      </c>
      <c r="Q169">
        <v>11962086</v>
      </c>
      <c r="R169">
        <v>11972086</v>
      </c>
      <c r="S169">
        <v>11983086</v>
      </c>
      <c r="AH169" s="11">
        <v>87</v>
      </c>
      <c r="AI169" s="11" t="s">
        <v>69</v>
      </c>
      <c r="AL169" t="str" s="11">
        <v>【补充设计】保留奇珍ID、钥匙与图谱关系；可携带标记与独立效果行逐ID核对。</v>
      </c>
    </row>
    <row r="170" spans="2:35">
      <c r="B170">
        <f t="shared" si="4"/>
        <v>71921087</v>
      </c>
      <c r="C170" t="s">
        <v>414</v>
      </c>
      <c r="D170" s="25">
        <v>11921087</v>
      </c>
      <c r="E170" s="20" t="s">
        <v>239</v>
      </c>
      <c r="F170" t="s">
        <v>240</v>
      </c>
      <c r="G170" t="s">
        <v>66</v>
      </c>
      <c r="H170">
        <v>11921087</v>
      </c>
      <c xmlns="http://schemas.openxmlformats.org/spreadsheetml/2006/main" r="I170" t="inlineStr">
        <is>
          <t>|cff00FF00明心丹，药性平。服用示例（筑基凡品）：命中+1.5%；闪避+1.5%，持续600现实秒。具体以对应丹药说明为准；奇珍携带效果另计。|r</t>
        </is>
      </c>
      <c r="J170" s="25" t="s">
        <v>68</v>
      </c>
      <c r="K170" t="b" s="11">
        <v>0</v>
      </c>
      <c r="L170">
        <v>66</v>
      </c>
      <c r="M170">
        <v>11921087</v>
      </c>
      <c r="N170">
        <v>11931087</v>
      </c>
      <c r="O170">
        <v>11941087</v>
      </c>
      <c r="P170">
        <v>11952087</v>
      </c>
      <c r="Q170">
        <v>11962087</v>
      </c>
      <c r="R170">
        <v>11972087</v>
      </c>
      <c r="S170">
        <v>11983087</v>
      </c>
      <c r="AH170" s="11">
        <v>88</v>
      </c>
      <c r="AI170" s="11" t="s">
        <v>69</v>
      </c>
      <c r="AL170" t="str" s="11">
        <v>【补充设计】保留奇珍ID、钥匙与图谱关系；可携带标记与独立效果行逐ID核对。</v>
      </c>
    </row>
    <row r="171" spans="2:35">
      <c r="B171">
        <f t="shared" si="4"/>
        <v>71921088</v>
      </c>
      <c r="C171" t="s">
        <v>416</v>
      </c>
      <c r="D171" s="25">
        <v>11921088</v>
      </c>
      <c r="E171" s="20" t="s">
        <v>239</v>
      </c>
      <c r="F171" t="s">
        <v>240</v>
      </c>
      <c r="G171" t="s">
        <v>66</v>
      </c>
      <c r="H171">
        <v>11921088</v>
      </c>
      <c xmlns="http://schemas.openxmlformats.org/spreadsheetml/2006/main" r="I171" t="inlineStr">
        <is>
          <t>|cff00FF00温阳明心丹，药性温。服用示例（筑基凡品）：命中+2%，持续600现实秒。具体以对应丹药说明为准；奇珍携带效果另计。|r</t>
        </is>
      </c>
      <c r="J171" s="25" t="s">
        <v>68</v>
      </c>
      <c r="K171" t="b" s="11">
        <v>0</v>
      </c>
      <c r="L171">
        <v>66</v>
      </c>
      <c r="M171">
        <v>11921088</v>
      </c>
      <c r="N171">
        <v>11931088</v>
      </c>
      <c r="O171">
        <v>11941088</v>
      </c>
      <c r="P171">
        <v>11952088</v>
      </c>
      <c r="Q171">
        <v>11962088</v>
      </c>
      <c r="R171">
        <v>11972088</v>
      </c>
      <c r="S171">
        <v>11983088</v>
      </c>
      <c r="AH171" s="11">
        <v>89</v>
      </c>
      <c r="AI171" s="11" t="s">
        <v>69</v>
      </c>
      <c r="AL171" t="str" s="11">
        <v>【补充设计】保留奇珍ID、钥匙与图谱关系；可携带标记与独立效果行逐ID核对。</v>
      </c>
    </row>
    <row r="172" spans="2:35">
      <c r="B172">
        <f t="shared" si="4"/>
        <v>71921089</v>
      </c>
      <c r="C172" t="s">
        <v>418</v>
      </c>
      <c r="D172" s="25">
        <v>11921089</v>
      </c>
      <c r="E172" s="20" t="s">
        <v>239</v>
      </c>
      <c r="F172" t="s">
        <v>240</v>
      </c>
      <c r="G172" t="s">
        <v>66</v>
      </c>
      <c r="H172">
        <v>11921089</v>
      </c>
      <c xmlns="http://schemas.openxmlformats.org/spreadsheetml/2006/main" r="I172" t="inlineStr">
        <is>
          <t>|cff00FF00烈阳明心丹，药性热。服用示例（筑基凡品）：命中+3%，持续600现实秒。具体以对应丹药说明为准；奇珍携带效果另计。|r</t>
        </is>
      </c>
      <c r="J172" s="25" t="s">
        <v>68</v>
      </c>
      <c r="K172" t="b" s="11">
        <v>0</v>
      </c>
      <c r="L172">
        <v>66</v>
      </c>
      <c r="M172">
        <v>11921089</v>
      </c>
      <c r="N172">
        <v>11931089</v>
      </c>
      <c r="O172">
        <v>11941089</v>
      </c>
      <c r="P172">
        <v>11952089</v>
      </c>
      <c r="Q172">
        <v>11962089</v>
      </c>
      <c r="R172">
        <v>11972089</v>
      </c>
      <c r="S172">
        <v>11983089</v>
      </c>
      <c r="AH172" s="11">
        <v>90</v>
      </c>
      <c r="AI172" s="11" t="s">
        <v>69</v>
      </c>
      <c r="AL172" t="str" s="11">
        <v>【补充设计】保留奇珍ID、钥匙与图谱关系；可携带标记与独立效果行逐ID核对。</v>
      </c>
    </row>
    <row r="173" spans="2:35">
      <c r="B173">
        <f t="shared" si="4"/>
        <v>71921090</v>
      </c>
      <c r="C173" t="s">
        <v>420</v>
      </c>
      <c r="D173" s="25">
        <v>11921090</v>
      </c>
      <c r="E173" s="20" t="s">
        <v>239</v>
      </c>
      <c r="F173" t="s">
        <v>240</v>
      </c>
      <c r="G173" t="s">
        <v>66</v>
      </c>
      <c r="H173">
        <v>11921090</v>
      </c>
      <c xmlns="http://schemas.openxmlformats.org/spreadsheetml/2006/main" r="I173" t="inlineStr">
        <is>
          <t>|cff00FF00玄阴照神丹，药性寒。服用示例（筑基凡品）：暴击伤害加成+10%，持续1800现实秒。具体以对应丹药说明为准；奇珍携带效果另计。|r</t>
        </is>
      </c>
      <c r="J173" s="25" t="s">
        <v>68</v>
      </c>
      <c r="K173" t="b" s="11">
        <v>0</v>
      </c>
      <c r="M173">
        <v>11921090</v>
      </c>
      <c r="N173">
        <v>11931090</v>
      </c>
      <c r="O173">
        <v>11941090</v>
      </c>
      <c r="P173">
        <v>11952090</v>
      </c>
      <c r="Q173">
        <v>11962090</v>
      </c>
      <c r="R173">
        <v>11972090</v>
      </c>
      <c r="S173">
        <v>11983090</v>
      </c>
      <c r="AH173" s="11">
        <v>91</v>
      </c>
      <c r="AI173" s="11" t="s">
        <v>69</v>
      </c>
      <c r="AL173" t="str" s="11">
        <v>【补充设计】保留奇珍ID、钥匙与图谱关系；可携带标记与独立效果行逐ID核对。</v>
      </c>
    </row>
    <row r="174" spans="2:35">
      <c r="B174">
        <f t="shared" si="4"/>
        <v>71921091</v>
      </c>
      <c r="C174" t="s">
        <v>422</v>
      </c>
      <c r="D174" s="25">
        <v>11921091</v>
      </c>
      <c r="E174" s="20" t="s">
        <v>239</v>
      </c>
      <c r="F174" t="s">
        <v>240</v>
      </c>
      <c r="G174" t="s">
        <v>66</v>
      </c>
      <c r="H174">
        <v>11921091</v>
      </c>
      <c xmlns="http://schemas.openxmlformats.org/spreadsheetml/2006/main" r="I174" t="inlineStr">
        <is>
          <t>|cff00FF00清和照神丹，药性凉。服用示例（筑基凡品）：暴击伤害增加+10点，持续1500现实秒。具体以对应丹药说明为准；奇珍携带效果另计。|r</t>
        </is>
      </c>
      <c r="J174" s="25" t="s">
        <v>68</v>
      </c>
      <c r="K174" t="b" s="11">
        <v>0</v>
      </c>
      <c r="M174">
        <v>11921091</v>
      </c>
      <c r="N174">
        <v>11931091</v>
      </c>
      <c r="O174">
        <v>11941091</v>
      </c>
      <c r="P174">
        <v>11952091</v>
      </c>
      <c r="Q174">
        <v>11962091</v>
      </c>
      <c r="R174">
        <v>11972091</v>
      </c>
      <c r="S174">
        <v>11983091</v>
      </c>
      <c r="AH174" s="11">
        <v>92</v>
      </c>
      <c r="AI174" s="11" t="s">
        <v>69</v>
      </c>
      <c r="AL174" t="str" s="11">
        <v>【补充设计】保留奇珍ID、钥匙与图谱关系；可携带标记与独立效果行逐ID核对。</v>
      </c>
    </row>
    <row r="175" spans="2:35">
      <c r="B175">
        <f t="shared" si="4"/>
        <v>71921092</v>
      </c>
      <c r="C175" t="s">
        <v>424</v>
      </c>
      <c r="D175" s="25">
        <v>11921092</v>
      </c>
      <c r="E175" s="20" t="s">
        <v>239</v>
      </c>
      <c r="F175" t="s">
        <v>240</v>
      </c>
      <c r="G175" t="s">
        <v>66</v>
      </c>
      <c r="H175">
        <v>11921092</v>
      </c>
      <c xmlns="http://schemas.openxmlformats.org/spreadsheetml/2006/main" r="I175" t="inlineStr">
        <is>
          <t>|cff00FF00照神丹，药性平。服用示例（筑基凡品）：暴击率+2%，持续1500现实秒。具体以对应丹药说明为准；奇珍携带效果另计。|r</t>
        </is>
      </c>
      <c r="J175" s="25" t="s">
        <v>68</v>
      </c>
      <c r="K175" t="b" s="11">
        <v>0</v>
      </c>
      <c r="L175">
        <v>19</v>
      </c>
      <c r="M175">
        <v>11921092</v>
      </c>
      <c r="N175">
        <v>11931092</v>
      </c>
      <c r="O175">
        <v>11941092</v>
      </c>
      <c r="P175">
        <v>11952092</v>
      </c>
      <c r="Q175">
        <v>11962092</v>
      </c>
      <c r="R175">
        <v>11972092</v>
      </c>
      <c r="S175">
        <v>11983092</v>
      </c>
      <c r="AH175" s="11">
        <v>93</v>
      </c>
      <c r="AI175" s="11" t="s">
        <v>69</v>
      </c>
      <c r="AL175" t="str" s="11">
        <v>【补充设计】保留奇珍ID、钥匙与图谱关系；可携带标记与独立效果行逐ID核对。</v>
      </c>
    </row>
    <row r="176" spans="2:35">
      <c r="B176">
        <f t="shared" si="4"/>
        <v>71921093</v>
      </c>
      <c r="C176" t="s">
        <v>426</v>
      </c>
      <c r="D176" s="25">
        <v>11921093</v>
      </c>
      <c r="E176" s="20" t="s">
        <v>239</v>
      </c>
      <c r="F176" t="s">
        <v>240</v>
      </c>
      <c r="G176" t="s">
        <v>66</v>
      </c>
      <c r="H176">
        <v>11921093</v>
      </c>
      <c xmlns="http://schemas.openxmlformats.org/spreadsheetml/2006/main" r="I176" t="inlineStr">
        <is>
          <t>|cff00FF00温阳照神丹，药性温。服用示例（筑基凡品）：暴击伤害增加+20点，持续1500现实秒。具体以对应丹药说明为准；奇珍携带效果另计。|r</t>
        </is>
      </c>
      <c r="J176" s="25" t="s">
        <v>68</v>
      </c>
      <c r="K176" t="b" s="11">
        <v>0</v>
      </c>
      <c r="M176">
        <v>11921093</v>
      </c>
      <c r="N176">
        <v>11931093</v>
      </c>
      <c r="O176">
        <v>11941093</v>
      </c>
      <c r="P176">
        <v>11952093</v>
      </c>
      <c r="Q176">
        <v>11962093</v>
      </c>
      <c r="R176">
        <v>11972093</v>
      </c>
      <c r="S176">
        <v>11983093</v>
      </c>
      <c r="AH176" s="11">
        <v>94</v>
      </c>
      <c r="AI176" s="11" t="s">
        <v>69</v>
      </c>
      <c r="AL176" t="str" s="11">
        <v>【补充设计】保留奇珍ID、钥匙与图谱关系；可携带标记与独立效果行逐ID核对。</v>
      </c>
    </row>
    <row r="177" spans="2:35">
      <c r="B177">
        <f t="shared" si="4"/>
        <v>71921094</v>
      </c>
      <c r="C177" t="s">
        <v>428</v>
      </c>
      <c r="D177" s="25">
        <v>11921094</v>
      </c>
      <c r="E177" s="20" t="s">
        <v>239</v>
      </c>
      <c r="F177" t="s">
        <v>240</v>
      </c>
      <c r="G177" t="s">
        <v>66</v>
      </c>
      <c r="H177">
        <v>11921094</v>
      </c>
      <c xmlns="http://schemas.openxmlformats.org/spreadsheetml/2006/main" r="I177" t="inlineStr">
        <is>
          <t>|cff00FF00烈阳照神丹，药性热。服用示例（筑基凡品）：暴击伤害加成+30%，持续900现实秒。具体以对应丹药说明为准；奇珍携带效果另计。|r</t>
        </is>
      </c>
      <c r="J177" s="25" t="s">
        <v>68</v>
      </c>
      <c r="K177" t="b" s="11">
        <v>0</v>
      </c>
      <c r="M177">
        <v>11921094</v>
      </c>
      <c r="N177">
        <v>11931094</v>
      </c>
      <c r="O177">
        <v>11941094</v>
      </c>
      <c r="P177">
        <v>11952094</v>
      </c>
      <c r="Q177">
        <v>11962094</v>
      </c>
      <c r="R177">
        <v>11972094</v>
      </c>
      <c r="S177">
        <v>11983094</v>
      </c>
      <c r="AH177" s="11">
        <v>95</v>
      </c>
      <c r="AI177" s="11" t="s">
        <v>69</v>
      </c>
      <c r="AL177" t="str" s="11">
        <v>【补充设计】保留奇珍ID、钥匙与图谱关系；可携带标记与独立效果行逐ID核对。</v>
      </c>
    </row>
    <row r="178" spans="2:35">
      <c r="B178">
        <f t="shared" si="4"/>
        <v>71921095</v>
      </c>
      <c r="C178" t="s">
        <v>430</v>
      </c>
      <c r="D178" s="25">
        <v>11921095</v>
      </c>
      <c r="E178" s="20" t="s">
        <v>239</v>
      </c>
      <c r="F178" t="s">
        <v>240</v>
      </c>
      <c r="G178" t="s">
        <v>66</v>
      </c>
      <c r="H178">
        <v>11921095</v>
      </c>
      <c xmlns="http://schemas.openxmlformats.org/spreadsheetml/2006/main" r="I178" t="inlineStr">
        <is>
          <t>|cff00FF00玄阴定神丹，药性寒。服用示例（筑基凡品）：免暴击率+1%，持续600现实秒。具体以对应丹药说明为准；奇珍携带效果另计。|r</t>
        </is>
      </c>
      <c r="J178" s="25" t="s">
        <v>68</v>
      </c>
      <c r="K178" t="b" s="11">
        <v>0</v>
      </c>
      <c r="M178">
        <v>11921095</v>
      </c>
      <c r="N178">
        <v>11931095</v>
      </c>
      <c r="O178">
        <v>11941095</v>
      </c>
      <c r="P178">
        <v>11952095</v>
      </c>
      <c r="Q178">
        <v>11962095</v>
      </c>
      <c r="R178">
        <v>11972095</v>
      </c>
      <c r="S178">
        <v>11983095</v>
      </c>
      <c r="AH178" s="11">
        <v>96</v>
      </c>
      <c r="AI178" s="11" t="s">
        <v>69</v>
      </c>
      <c r="AL178" t="str" s="11">
        <v>【补充设计】保留奇珍ID、钥匙与图谱关系；可携带标记与独立效果行逐ID核对。</v>
      </c>
    </row>
    <row r="179" spans="2:35">
      <c r="B179">
        <f t="shared" ref="B179:B207" si="5">M179+60000000</f>
        <v>71921096</v>
      </c>
      <c r="C179" t="s">
        <v>432</v>
      </c>
      <c r="D179" s="25">
        <v>11921096</v>
      </c>
      <c r="E179" s="20" t="s">
        <v>239</v>
      </c>
      <c r="F179" t="s">
        <v>240</v>
      </c>
      <c r="G179" t="s">
        <v>66</v>
      </c>
      <c r="H179">
        <v>11921096</v>
      </c>
      <c xmlns="http://schemas.openxmlformats.org/spreadsheetml/2006/main" r="I179" t="inlineStr">
        <is>
          <t>|cff00FF00清和定神丹，药性凉。服用示例（筑基凡品）：免暴击率+2%，持续600现实秒。具体以对应丹药说明为准；奇珍携带效果另计。|r</t>
        </is>
      </c>
      <c r="J179" s="25" t="s">
        <v>68</v>
      </c>
      <c r="K179" t="b">
        <v>1</v>
      </c>
      <c r="L179">
        <v>17</v>
      </c>
      <c r="M179">
        <v>11921096</v>
      </c>
      <c r="N179">
        <v>11931096</v>
      </c>
      <c r="O179">
        <v>11941096</v>
      </c>
      <c r="P179">
        <v>11952096</v>
      </c>
      <c r="Q179">
        <v>11962096</v>
      </c>
      <c r="R179">
        <v>11972096</v>
      </c>
      <c r="S179">
        <v>11983096</v>
      </c>
      <c r="AH179" s="11">
        <v>97</v>
      </c>
      <c r="AI179" s="11" t="s">
        <v>69</v>
      </c>
      <c r="AL179" t="str" s="11">
        <v>【补充设计】保留奇珍ID、钥匙与图谱关系；可携带标记与独立效果行逐ID核对。</v>
      </c>
    </row>
    <row r="180" spans="2:35">
      <c r="B180">
        <f t="shared" si="5"/>
        <v>71921097</v>
      </c>
      <c r="C180" t="s">
        <v>434</v>
      </c>
      <c r="D180" s="25">
        <v>11921097</v>
      </c>
      <c r="E180" s="20" t="s">
        <v>239</v>
      </c>
      <c r="F180" t="s">
        <v>240</v>
      </c>
      <c r="G180" t="s">
        <v>66</v>
      </c>
      <c r="H180">
        <v>11921097</v>
      </c>
      <c xmlns="http://schemas.openxmlformats.org/spreadsheetml/2006/main" r="I180" t="inlineStr">
        <is>
          <t>|cff00FF00定神丹，药性平。服用示例（筑基凡品）：免暴击率+1.5%；天佑+1档，持续600现实秒。具体以对应丹药说明为准；奇珍携带效果另计。|r</t>
        </is>
      </c>
      <c r="J180" s="25" t="s">
        <v>68</v>
      </c>
      <c r="K180" t="b" s="11">
        <v>0</v>
      </c>
      <c r="M180">
        <v>11921097</v>
      </c>
      <c r="N180">
        <v>11931097</v>
      </c>
      <c r="O180">
        <v>11941097</v>
      </c>
      <c r="P180">
        <v>11952097</v>
      </c>
      <c r="Q180">
        <v>11962097</v>
      </c>
      <c r="R180">
        <v>11972097</v>
      </c>
      <c r="S180">
        <v>11983097</v>
      </c>
      <c r="AH180" s="11">
        <v>98</v>
      </c>
      <c r="AI180" s="11" t="s">
        <v>69</v>
      </c>
      <c r="AL180" t="str" s="11">
        <v>【补充设计】保留奇珍ID、钥匙与图谱关系；可携带标记与独立效果行逐ID核对。</v>
      </c>
    </row>
    <row r="181" spans="2:35">
      <c r="B181">
        <f t="shared" si="5"/>
        <v>71921098</v>
      </c>
      <c r="C181" t="s">
        <v>436</v>
      </c>
      <c r="D181" s="25">
        <v>11921098</v>
      </c>
      <c r="E181" s="20" t="s">
        <v>239</v>
      </c>
      <c r="F181" t="s">
        <v>240</v>
      </c>
      <c r="G181" t="s">
        <v>66</v>
      </c>
      <c r="H181">
        <v>11921098</v>
      </c>
      <c xmlns="http://schemas.openxmlformats.org/spreadsheetml/2006/main" r="I181" t="inlineStr">
        <is>
          <t>|cff00FF00温阳定神丹，药性温。服用示例（筑基凡品）：天佑+1档，持续600现实秒。具体以对应丹药说明为准；奇珍携带效果另计。|r</t>
        </is>
      </c>
      <c r="J181" s="25" t="s">
        <v>68</v>
      </c>
      <c r="K181" t="b" s="11">
        <v>0</v>
      </c>
      <c r="M181">
        <v>11921098</v>
      </c>
      <c r="N181">
        <v>11931098</v>
      </c>
      <c r="O181">
        <v>11941098</v>
      </c>
      <c r="P181">
        <v>11952098</v>
      </c>
      <c r="Q181">
        <v>11962098</v>
      </c>
      <c r="R181">
        <v>11972098</v>
      </c>
      <c r="S181">
        <v>11983098</v>
      </c>
      <c r="AH181" s="11">
        <v>99</v>
      </c>
      <c r="AI181" s="11" t="s">
        <v>69</v>
      </c>
      <c r="AL181" t="str" s="11">
        <v>【补充设计】保留奇珍ID、钥匙与图谱关系；可携带标记与独立效果行逐ID核对。</v>
      </c>
    </row>
    <row r="182" spans="2:35">
      <c r="B182">
        <f t="shared" si="5"/>
        <v>71921099</v>
      </c>
      <c r="C182" t="s">
        <v>438</v>
      </c>
      <c r="D182" s="25">
        <v>11921099</v>
      </c>
      <c r="E182" s="20" t="s">
        <v>239</v>
      </c>
      <c r="F182" t="s">
        <v>240</v>
      </c>
      <c r="G182" t="s">
        <v>66</v>
      </c>
      <c r="H182">
        <v>11921099</v>
      </c>
      <c xmlns="http://schemas.openxmlformats.org/spreadsheetml/2006/main" r="I182" t="inlineStr">
        <is>
          <t>|cff00FF00烈阳定神丹，药性热。服用示例（筑基凡品）：天佑+2档，持续600现实秒。具体以对应丹药说明为准；奇珍携带效果另计。|r</t>
        </is>
      </c>
      <c r="J182" s="25" t="s">
        <v>68</v>
      </c>
      <c r="K182" t="b" s="11">
        <v>0</v>
      </c>
      <c r="M182">
        <v>11921099</v>
      </c>
      <c r="N182">
        <v>11931099</v>
      </c>
      <c r="O182">
        <v>11941099</v>
      </c>
      <c r="P182">
        <v>11952099</v>
      </c>
      <c r="Q182">
        <v>11962099</v>
      </c>
      <c r="R182">
        <v>11972099</v>
      </c>
      <c r="S182">
        <v>11983099</v>
      </c>
      <c r="AH182" s="11">
        <v>100</v>
      </c>
      <c r="AI182" s="11" t="s">
        <v>69</v>
      </c>
      <c r="AL182" t="str" s="11">
        <v>【补充设计】保留奇珍ID、钥匙与图谱关系；可携带标记与独立效果行逐ID核对。</v>
      </c>
    </row>
    <row r="183" spans="2:35">
      <c r="B183">
        <f t="shared" si="5"/>
        <v>71921100</v>
      </c>
      <c r="C183" t="s">
        <v>440</v>
      </c>
      <c r="D183" s="25">
        <v>11921100</v>
      </c>
      <c r="E183" s="20" t="s">
        <v>239</v>
      </c>
      <c r="F183" t="s">
        <v>240</v>
      </c>
      <c r="G183" t="s">
        <v>66</v>
      </c>
      <c r="H183">
        <v>11921100</v>
      </c>
      <c xmlns="http://schemas.openxmlformats.org/spreadsheetml/2006/main" r="I183" t="inlineStr">
        <is>
          <t>|cff00FF00玄阴解厄丹，药性寒。服用示例（筑基凡品）：清除对应味池杂质总量22584点，按300现实秒的经过时间线性结算（操作时补结差额）。具体以对应丹药说明为准；奇珍携带效果另计。|r</t>
        </is>
      </c>
      <c r="J183" s="25" t="s">
        <v>68</v>
      </c>
      <c r="K183" t="b" s="11">
        <v>0</v>
      </c>
      <c r="L183">
        <v>69</v>
      </c>
      <c r="M183">
        <v>11921100</v>
      </c>
      <c r="N183">
        <v>11931100</v>
      </c>
      <c r="O183">
        <v>11941100</v>
      </c>
      <c r="P183">
        <v>11952100</v>
      </c>
      <c r="Q183">
        <v>11962100</v>
      </c>
      <c r="R183">
        <v>11972100</v>
      </c>
      <c r="S183">
        <v>11983100</v>
      </c>
      <c r="AH183" s="11">
        <v>101</v>
      </c>
      <c r="AI183" s="11" t="s">
        <v>69</v>
      </c>
      <c r="AL183" t="str" s="11">
        <v>【补充设计】保留奇珍ID、钥匙与图谱关系；可携带标记与独立效果行逐ID核对。</v>
      </c>
    </row>
    <row r="184" spans="2:35">
      <c r="B184">
        <f t="shared" si="5"/>
        <v>71921101</v>
      </c>
      <c r="C184" t="s">
        <v>442</v>
      </c>
      <c r="D184" s="25">
        <v>11921101</v>
      </c>
      <c r="E184" s="20" t="s">
        <v>239</v>
      </c>
      <c r="F184" t="s">
        <v>240</v>
      </c>
      <c r="G184" t="s">
        <v>66</v>
      </c>
      <c r="H184">
        <v>11921101</v>
      </c>
      <c xmlns="http://schemas.openxmlformats.org/spreadsheetml/2006/main" r="I184" t="inlineStr">
        <is>
          <t>|cff00FF00清和解厄丹，药性凉。服用示例（筑基凡品）：清除对应味池杂质总量13014点，按60现实秒的经过时间线性结算（操作时补结差额）。具体以对应丹药说明为准；奇珍携带效果另计。|r</t>
        </is>
      </c>
      <c r="J184" s="25" t="s">
        <v>68</v>
      </c>
      <c r="K184" t="b" s="11">
        <v>0</v>
      </c>
      <c r="L184">
        <v>69</v>
      </c>
      <c r="M184">
        <v>11921101</v>
      </c>
      <c r="N184">
        <v>11931101</v>
      </c>
      <c r="O184">
        <v>11941101</v>
      </c>
      <c r="P184">
        <v>11952101</v>
      </c>
      <c r="Q184">
        <v>11962101</v>
      </c>
      <c r="R184">
        <v>11972101</v>
      </c>
      <c r="S184">
        <v>11983101</v>
      </c>
      <c r="AH184" s="11">
        <v>102</v>
      </c>
      <c r="AI184" s="11" t="s">
        <v>69</v>
      </c>
      <c r="AL184" t="str" s="11">
        <v>【补充设计】保留奇珍ID、钥匙与图谱关系；可携带标记与独立效果行逐ID核对。</v>
      </c>
    </row>
    <row r="185" spans="2:35">
      <c r="B185">
        <f t="shared" si="5"/>
        <v>71921102</v>
      </c>
      <c r="C185" t="s">
        <v>444</v>
      </c>
      <c r="D185" s="25">
        <v>11921102</v>
      </c>
      <c r="E185" s="20" t="s">
        <v>239</v>
      </c>
      <c r="F185" t="s">
        <v>240</v>
      </c>
      <c r="G185" t="s">
        <v>66</v>
      </c>
      <c r="H185">
        <v>11921102</v>
      </c>
      <c xmlns="http://schemas.openxmlformats.org/spreadsheetml/2006/main" r="I185" t="inlineStr">
        <is>
          <t>|cff00FF00解厄丹，药性平。服用示例（筑基凡品）：清除对应味池杂质总量16080点，按60现实秒的经过时间线性结算（操作时补结差额）。具体以对应丹药说明为准；奇珍携带效果另计。|r</t>
        </is>
      </c>
      <c r="J185" s="25" t="s">
        <v>68</v>
      </c>
      <c r="K185" t="b" s="11">
        <v>0</v>
      </c>
      <c r="L185">
        <v>69</v>
      </c>
      <c r="M185">
        <v>11921102</v>
      </c>
      <c r="N185">
        <v>11931102</v>
      </c>
      <c r="O185">
        <v>11941102</v>
      </c>
      <c r="P185">
        <v>11952102</v>
      </c>
      <c r="Q185">
        <v>11962102</v>
      </c>
      <c r="R185">
        <v>11972102</v>
      </c>
      <c r="S185">
        <v>11983102</v>
      </c>
      <c r="AH185" s="11">
        <v>103</v>
      </c>
      <c r="AI185" s="11" t="s">
        <v>69</v>
      </c>
      <c r="AL185" t="str" s="11">
        <v>【补充设计】保留奇珍ID、钥匙与图谱关系；可携带标记与独立效果行逐ID核对。</v>
      </c>
    </row>
    <row r="186" spans="2:35">
      <c r="B186">
        <f t="shared" si="5"/>
        <v>71921103</v>
      </c>
      <c r="C186" t="s">
        <v>446</v>
      </c>
      <c r="D186" s="25">
        <v>11921103</v>
      </c>
      <c r="E186" s="20" t="s">
        <v>239</v>
      </c>
      <c r="F186" t="s">
        <v>240</v>
      </c>
      <c r="G186" t="s">
        <v>66</v>
      </c>
      <c r="H186">
        <v>11921103</v>
      </c>
      <c xmlns="http://schemas.openxmlformats.org/spreadsheetml/2006/main" r="I186" t="inlineStr">
        <is>
          <t>|cff00FF00温阳解厄丹，药性温。服用示例（筑基凡品）：清除对应味池杂质总量19146点，按60现实秒的经过时间线性结算（操作时补结差额）。具体以对应丹药说明为准；奇珍携带效果另计。|r</t>
        </is>
      </c>
      <c r="J186" s="25" t="s">
        <v>68</v>
      </c>
      <c r="K186" t="b" s="11">
        <v>0</v>
      </c>
      <c r="L186">
        <v>69</v>
      </c>
      <c r="M186">
        <v>11921103</v>
      </c>
      <c r="N186">
        <v>11931103</v>
      </c>
      <c r="O186">
        <v>11941103</v>
      </c>
      <c r="P186">
        <v>11952103</v>
      </c>
      <c r="Q186">
        <v>11962103</v>
      </c>
      <c r="R186">
        <v>11972103</v>
      </c>
      <c r="S186">
        <v>11983103</v>
      </c>
      <c r="AH186" s="11">
        <v>104</v>
      </c>
      <c r="AI186" s="11" t="s">
        <v>69</v>
      </c>
      <c r="AL186" t="str" s="11">
        <v>【补充设计】保留奇珍ID、钥匙与图谱关系；可携带标记与独立效果行逐ID核对。</v>
      </c>
    </row>
    <row r="187" spans="2:35">
      <c r="B187">
        <f t="shared" si="5"/>
        <v>71921104</v>
      </c>
      <c r="C187" t="s">
        <v>448</v>
      </c>
      <c r="D187" s="25">
        <v>11921104</v>
      </c>
      <c r="E187" s="20" t="s">
        <v>239</v>
      </c>
      <c r="F187" t="s">
        <v>240</v>
      </c>
      <c r="G187" t="s">
        <v>66</v>
      </c>
      <c r="H187">
        <v>11921104</v>
      </c>
      <c xmlns="http://schemas.openxmlformats.org/spreadsheetml/2006/main" r="I187" t="inlineStr">
        <is>
          <t>|cff00FF00烈阳解厄丹，药性热。服用示例（筑基凡品）：清除对应味池杂质总量15408点，按10现实秒的经过时间线性结算（操作时补结差额）。具体以对应丹药说明为准；奇珍携带效果另计。|r</t>
        </is>
      </c>
      <c r="J187" s="25" t="s">
        <v>68</v>
      </c>
      <c r="K187" t="b" s="11">
        <v>0</v>
      </c>
      <c r="L187">
        <v>69</v>
      </c>
      <c r="M187">
        <v>11921104</v>
      </c>
      <c r="N187">
        <v>11931104</v>
      </c>
      <c r="O187">
        <v>11941104</v>
      </c>
      <c r="P187">
        <v>11952104</v>
      </c>
      <c r="Q187">
        <v>11962104</v>
      </c>
      <c r="R187">
        <v>11972104</v>
      </c>
      <c r="S187">
        <v>11983104</v>
      </c>
      <c r="AH187" s="11">
        <v>105</v>
      </c>
      <c r="AI187" s="11" t="s">
        <v>69</v>
      </c>
      <c r="AL187" t="str" s="11">
        <v>【补充设计】保留奇珍ID、钥匙与图谱关系；可携带标记与独立效果行逐ID核对。</v>
      </c>
    </row>
    <row r="188" spans="2:35">
      <c r="B188">
        <f t="shared" si="5"/>
        <v>71921105</v>
      </c>
      <c xmlns="http://schemas.openxmlformats.org/spreadsheetml/2006/main" r="C188" t="inlineStr">
        <is>
          <t>玄阴破御丹</t>
        </is>
      </c>
      <c r="D188" s="25">
        <v>11921105</v>
      </c>
      <c r="E188" s="20" t="s">
        <v>239</v>
      </c>
      <c r="F188" t="s">
        <v>240</v>
      </c>
      <c r="G188" t="s">
        <v>66</v>
      </c>
      <c r="H188">
        <v>11921105</v>
      </c>
      <c xmlns="http://schemas.openxmlformats.org/spreadsheetml/2006/main" r="I188" t="inlineStr">
        <is>
          <t>|cff00FF00玄阴破御丹，药性寒。服用示例（筑基凡品）：无视防御增幅+5%；无视法防增幅+5%，持续1800现实秒。具体以对应丹药说明为准；奇珍携带效果另计。|r</t>
        </is>
      </c>
      <c r="J188" s="25" t="s">
        <v>68</v>
      </c>
      <c r="K188" t="b" s="11">
        <v>0</v>
      </c>
      <c r="M188">
        <v>11921105</v>
      </c>
      <c r="N188">
        <v>11931105</v>
      </c>
      <c r="O188">
        <v>11941105</v>
      </c>
      <c r="P188">
        <v>11952105</v>
      </c>
      <c r="Q188">
        <v>11962105</v>
      </c>
      <c r="R188">
        <v>11972105</v>
      </c>
      <c r="S188">
        <v>11983105</v>
      </c>
      <c r="AH188" s="11">
        <v>106</v>
      </c>
      <c r="AI188" s="11" t="s">
        <v>69</v>
      </c>
      <c r="AL188" t="str" s="11">
        <v>【补充设计】保留奇珍ID、钥匙与图谱关系；可携带标记与独立效果行逐ID核对。</v>
      </c>
    </row>
    <row r="189" spans="2:35">
      <c r="B189">
        <f t="shared" si="5"/>
        <v>71921106</v>
      </c>
      <c xmlns="http://schemas.openxmlformats.org/spreadsheetml/2006/main" r="C189" t="inlineStr">
        <is>
          <t>清和破御丹</t>
        </is>
      </c>
      <c r="D189" s="25">
        <v>11921106</v>
      </c>
      <c r="E189" s="20" t="s">
        <v>239</v>
      </c>
      <c r="F189" t="s">
        <v>240</v>
      </c>
      <c r="G189" t="s">
        <v>66</v>
      </c>
      <c r="H189">
        <v>11921106</v>
      </c>
      <c xmlns="http://schemas.openxmlformats.org/spreadsheetml/2006/main" r="I189" t="str">
        <v>|cff00FF00清和破御丹，药性凉。服用示例（筑基凡品）：无视防御+2点；无视法防+2点，持续1500现实秒。具体以对应丹药说明为准；奇珍携带效果另计。|r</v>
      </c>
      <c r="J189" s="25" t="s">
        <v>68</v>
      </c>
      <c r="K189" t="b" s="11">
        <v>0</v>
      </c>
      <c r="M189">
        <v>11921106</v>
      </c>
      <c r="N189">
        <v>11931106</v>
      </c>
      <c r="O189">
        <v>11941106</v>
      </c>
      <c r="P189">
        <v>11952106</v>
      </c>
      <c r="Q189">
        <v>11962106</v>
      </c>
      <c r="R189">
        <v>11972106</v>
      </c>
      <c r="S189">
        <v>11983106</v>
      </c>
      <c r="AH189" s="11">
        <v>107</v>
      </c>
      <c r="AI189" s="11" t="s">
        <v>69</v>
      </c>
      <c r="AL189" t="str" s="11">
        <v>【补充设计】保留奇珍ID、钥匙与图谱关系；可携带标记与独立效果行逐ID核对。</v>
      </c>
    </row>
    <row r="190" spans="2:35">
      <c r="B190">
        <f t="shared" si="5"/>
        <v>71921107</v>
      </c>
      <c xmlns="http://schemas.openxmlformats.org/spreadsheetml/2006/main" r="C190" t="inlineStr">
        <is>
          <t>破御丹</t>
        </is>
      </c>
      <c r="D190" s="25">
        <v>11921107</v>
      </c>
      <c r="E190" s="20" t="s">
        <v>239</v>
      </c>
      <c r="F190" t="s">
        <v>240</v>
      </c>
      <c r="G190" t="s">
        <v>66</v>
      </c>
      <c r="H190">
        <v>11921107</v>
      </c>
      <c xmlns="http://schemas.openxmlformats.org/spreadsheetml/2006/main" r="I190" t="inlineStr">
        <is>
          <t>|cff00FF00破御丹，药性平。服用示例（筑基凡品）：无视防御+3点；无视法防+3点，持续1500现实秒。具体以对应丹药说明为准；奇珍携带效果另计。|r</t>
        </is>
      </c>
      <c r="J190" s="25" t="s">
        <v>68</v>
      </c>
      <c r="K190" t="b">
        <v>1</v>
      </c>
      <c r="L190">
        <v>16</v>
      </c>
      <c r="M190">
        <v>11921107</v>
      </c>
      <c r="N190">
        <v>11931107</v>
      </c>
      <c r="O190">
        <v>11941107</v>
      </c>
      <c r="P190">
        <v>11952107</v>
      </c>
      <c r="Q190">
        <v>11962107</v>
      </c>
      <c r="R190">
        <v>11972107</v>
      </c>
      <c r="S190">
        <v>11983107</v>
      </c>
      <c r="AH190" s="11">
        <v>108</v>
      </c>
      <c r="AI190" s="11" t="s">
        <v>69</v>
      </c>
      <c r="AL190" t="str" s="11">
        <v>【补充设计】保留奇珍ID、钥匙与图谱关系；可携带标记与独立效果行逐ID核对。</v>
      </c>
    </row>
    <row r="191" spans="2:35">
      <c r="B191">
        <f t="shared" si="5"/>
        <v>71921108</v>
      </c>
      <c xmlns="http://schemas.openxmlformats.org/spreadsheetml/2006/main" r="C191" t="inlineStr">
        <is>
          <t>温阳破御丹</t>
        </is>
      </c>
      <c r="D191" s="25">
        <v>11921108</v>
      </c>
      <c r="E191" s="20" t="s">
        <v>239</v>
      </c>
      <c r="F191" t="s">
        <v>240</v>
      </c>
      <c r="G191" t="s">
        <v>66</v>
      </c>
      <c r="H191">
        <v>11921108</v>
      </c>
      <c xmlns="http://schemas.openxmlformats.org/spreadsheetml/2006/main" r="I191" t="inlineStr">
        <is>
          <t>|cff00FF00温阳破御丹，药性温。服用示例（筑基凡品）：无视防御+4点；无视法防+4点，持续1500现实秒。具体以对应丹药说明为准；奇珍携带效果另计。|r</t>
        </is>
      </c>
      <c r="J191" s="25" t="s">
        <v>68</v>
      </c>
      <c r="K191" t="b" s="11">
        <v>0</v>
      </c>
      <c r="M191">
        <v>11921108</v>
      </c>
      <c r="N191">
        <v>11931108</v>
      </c>
      <c r="O191">
        <v>11941108</v>
      </c>
      <c r="P191">
        <v>11952108</v>
      </c>
      <c r="Q191">
        <v>11962108</v>
      </c>
      <c r="R191">
        <v>11972108</v>
      </c>
      <c r="S191">
        <v>11983108</v>
      </c>
      <c r="AH191" s="11">
        <v>109</v>
      </c>
      <c r="AI191" s="11" t="s">
        <v>69</v>
      </c>
      <c r="AL191" t="str" s="11">
        <v>【补充设计】保留奇珍ID、钥匙与图谱关系；可携带标记与独立效果行逐ID核对。</v>
      </c>
    </row>
    <row r="192" spans="2:35">
      <c r="B192">
        <f t="shared" si="5"/>
        <v>71921109</v>
      </c>
      <c xmlns="http://schemas.openxmlformats.org/spreadsheetml/2006/main" r="C192" t="inlineStr">
        <is>
          <t>烈阳破御丹</t>
        </is>
      </c>
      <c r="D192" s="25">
        <v>11921109</v>
      </c>
      <c r="E192" s="20" t="s">
        <v>239</v>
      </c>
      <c r="F192" t="s">
        <v>240</v>
      </c>
      <c r="G192" t="s">
        <v>66</v>
      </c>
      <c r="H192">
        <v>11921109</v>
      </c>
      <c xmlns="http://schemas.openxmlformats.org/spreadsheetml/2006/main" r="I192" t="inlineStr">
        <is>
          <t>|cff00FF00烈阳破御丹，药性热。服用示例（筑基凡品）：无视防御增幅+15%；无视法防增幅+15%，持续900现实秒。具体以对应丹药说明为准；奇珍携带效果另计。|r</t>
        </is>
      </c>
      <c r="J192" s="25" t="s">
        <v>68</v>
      </c>
      <c r="K192" t="b" s="11">
        <v>0</v>
      </c>
      <c r="M192">
        <v>11921109</v>
      </c>
      <c r="N192">
        <v>11931109</v>
      </c>
      <c r="O192">
        <v>11941109</v>
      </c>
      <c r="P192">
        <v>11952109</v>
      </c>
      <c r="Q192">
        <v>11962109</v>
      </c>
      <c r="R192">
        <v>11972109</v>
      </c>
      <c r="S192">
        <v>11983109</v>
      </c>
      <c r="AH192" s="11">
        <v>110</v>
      </c>
      <c r="AI192" s="11" t="s">
        <v>69</v>
      </c>
      <c r="AL192" t="str" s="11">
        <v>【补充设计】保留奇珍ID、钥匙与图谱关系；可携带标记与独立效果行逐ID核对。</v>
      </c>
    </row>
    <row r="193" spans="2:35">
      <c r="B193">
        <f t="shared" si="5"/>
        <v>71921110</v>
      </c>
      <c xmlns="http://schemas.openxmlformats.org/spreadsheetml/2006/main" r="C193" t="inlineStr">
        <is>
          <t>玄阴撼岳丹</t>
        </is>
      </c>
      <c r="D193" s="25">
        <v>11921110</v>
      </c>
      <c r="E193" s="20" t="s">
        <v>239</v>
      </c>
      <c r="F193" t="s">
        <v>240</v>
      </c>
      <c r="G193" t="s">
        <v>66</v>
      </c>
      <c r="H193">
        <v>11921110</v>
      </c>
      <c xmlns="http://schemas.openxmlformats.org/spreadsheetml/2006/main" r="I193" t="inlineStr">
        <is>
          <t>|cff00FF00玄阴撼岳丹，药性寒。服用示例（筑基凡品）：对boss增伤+2%，持续1800现实秒。具体以对应丹药说明为准；奇珍携带效果另计。|r</t>
        </is>
      </c>
      <c r="J193" s="25" t="s">
        <v>68</v>
      </c>
      <c r="K193" t="b" s="11">
        <v>0</v>
      </c>
      <c r="M193">
        <v>11921110</v>
      </c>
      <c r="N193">
        <v>11931110</v>
      </c>
      <c r="O193">
        <v>11941110</v>
      </c>
      <c r="P193">
        <v>11952110</v>
      </c>
      <c r="Q193">
        <v>11962110</v>
      </c>
      <c r="R193">
        <v>11972110</v>
      </c>
      <c r="S193">
        <v>11983110</v>
      </c>
      <c r="AH193" s="11">
        <v>111</v>
      </c>
      <c r="AI193" s="11" t="s">
        <v>69</v>
      </c>
      <c r="AL193" t="str" s="11">
        <v>【补充设计】保留奇珍ID、钥匙与图谱关系；可携带标记与独立效果行逐ID核对。</v>
      </c>
    </row>
    <row r="194" spans="2:35">
      <c r="B194">
        <f t="shared" si="5"/>
        <v>71921111</v>
      </c>
      <c xmlns="http://schemas.openxmlformats.org/spreadsheetml/2006/main" r="C194" t="inlineStr">
        <is>
          <t>清和撼岳丹</t>
        </is>
      </c>
      <c r="D194" s="25">
        <v>11921111</v>
      </c>
      <c r="E194" s="20" t="s">
        <v>239</v>
      </c>
      <c r="F194" t="s">
        <v>240</v>
      </c>
      <c r="G194" t="s">
        <v>66</v>
      </c>
      <c r="H194">
        <v>11921111</v>
      </c>
      <c xmlns="http://schemas.openxmlformats.org/spreadsheetml/2006/main" r="I194" t="inlineStr">
        <is>
          <t>|cff00FF00清和撼岳丹，药性凉。服用示例（筑基凡品）：boss固定伤害+3点，持续1500现实秒。具体以对应丹药说明为准；奇珍携带效果另计。|r</t>
        </is>
      </c>
      <c r="J194" s="25" t="s">
        <v>68</v>
      </c>
      <c r="K194" t="b" s="11">
        <v>0</v>
      </c>
      <c r="M194">
        <v>11921111</v>
      </c>
      <c r="N194">
        <v>11931111</v>
      </c>
      <c r="O194">
        <v>11941111</v>
      </c>
      <c r="P194">
        <v>11952111</v>
      </c>
      <c r="Q194">
        <v>11962111</v>
      </c>
      <c r="R194">
        <v>11972111</v>
      </c>
      <c r="S194">
        <v>11983111</v>
      </c>
      <c r="AH194" s="11">
        <v>112</v>
      </c>
      <c r="AI194" s="11" t="s">
        <v>69</v>
      </c>
      <c r="AL194" t="str" s="11">
        <v>【补充设计】保留奇珍ID、钥匙与图谱关系；可携带标记与独立效果行逐ID核对。</v>
      </c>
    </row>
    <row r="195" spans="2:35">
      <c r="B195">
        <f t="shared" si="5"/>
        <v>71921112</v>
      </c>
      <c xmlns="http://schemas.openxmlformats.org/spreadsheetml/2006/main" r="C195" t="inlineStr">
        <is>
          <t>撼岳丹</t>
        </is>
      </c>
      <c r="D195" s="25">
        <v>11921112</v>
      </c>
      <c r="E195" s="20" t="s">
        <v>239</v>
      </c>
      <c r="F195" t="s">
        <v>240</v>
      </c>
      <c r="G195" t="s">
        <v>66</v>
      </c>
      <c r="H195">
        <v>11921112</v>
      </c>
      <c xmlns="http://schemas.openxmlformats.org/spreadsheetml/2006/main" r="I195" t="inlineStr">
        <is>
          <t>|cff00FF00撼岳丹，药性平。服用示例（筑基凡品）：对boss增伤+1.5%；boss固定伤害+2点，持续1500现实秒。具体以对应丹药说明为准；奇珍携带效果另计。|r</t>
        </is>
      </c>
      <c r="J195" s="25" t="s">
        <v>68</v>
      </c>
      <c r="K195" t="b" s="11">
        <v>0</v>
      </c>
      <c r="L195">
        <v>18</v>
      </c>
      <c r="M195">
        <v>11921112</v>
      </c>
      <c r="N195">
        <v>11931112</v>
      </c>
      <c r="O195">
        <v>11941112</v>
      </c>
      <c r="P195">
        <v>11952112</v>
      </c>
      <c r="Q195">
        <v>11962112</v>
      </c>
      <c r="R195">
        <v>11972112</v>
      </c>
      <c r="S195">
        <v>11983112</v>
      </c>
      <c r="AH195" s="11">
        <v>113</v>
      </c>
      <c r="AI195" s="11" t="s">
        <v>69</v>
      </c>
      <c r="AL195" t="str" s="11">
        <v>【补充设计】保留奇珍ID、钥匙与图谱关系；可携带标记与独立效果行逐ID核对。</v>
      </c>
    </row>
    <row r="196" spans="2:35">
      <c r="B196">
        <f t="shared" si="5"/>
        <v>71921113</v>
      </c>
      <c xmlns="http://schemas.openxmlformats.org/spreadsheetml/2006/main" r="C196" t="inlineStr">
        <is>
          <t>温阳撼岳丹</t>
        </is>
      </c>
      <c r="D196" s="25">
        <v>11921113</v>
      </c>
      <c r="E196" s="20" t="s">
        <v>239</v>
      </c>
      <c r="F196" t="s">
        <v>240</v>
      </c>
      <c r="G196" t="s">
        <v>66</v>
      </c>
      <c r="H196">
        <v>11921113</v>
      </c>
      <c xmlns="http://schemas.openxmlformats.org/spreadsheetml/2006/main" r="I196" t="inlineStr">
        <is>
          <t>|cff00FF00温阳撼岳丹，药性温。服用示例（筑基凡品）：boss固定伤害+4点，持续1500现实秒。具体以对应丹药说明为准；奇珍携带效果另计。|r</t>
        </is>
      </c>
      <c r="J196" s="25" t="s">
        <v>68</v>
      </c>
      <c r="K196" t="b" s="11">
        <v>0</v>
      </c>
      <c r="M196">
        <v>11921113</v>
      </c>
      <c r="N196">
        <v>11931113</v>
      </c>
      <c r="O196">
        <v>11941113</v>
      </c>
      <c r="P196">
        <v>11952113</v>
      </c>
      <c r="Q196">
        <v>11962113</v>
      </c>
      <c r="R196">
        <v>11972113</v>
      </c>
      <c r="S196">
        <v>11983113</v>
      </c>
      <c r="AH196" s="11">
        <v>114</v>
      </c>
      <c r="AI196" s="11" t="s">
        <v>69</v>
      </c>
      <c r="AL196" t="str" s="11">
        <v>【补充设计】保留奇珍ID、钥匙与图谱关系；可携带标记与独立效果行逐ID核对。</v>
      </c>
    </row>
    <row r="197" spans="2:35">
      <c r="B197">
        <f t="shared" si="5"/>
        <v>71921114</v>
      </c>
      <c xmlns="http://schemas.openxmlformats.org/spreadsheetml/2006/main" r="C197" t="inlineStr">
        <is>
          <t>烈阳撼岳丹</t>
        </is>
      </c>
      <c r="D197" s="25">
        <v>11921114</v>
      </c>
      <c r="E197" s="20" t="s">
        <v>239</v>
      </c>
      <c r="F197" t="s">
        <v>240</v>
      </c>
      <c r="G197" t="s">
        <v>66</v>
      </c>
      <c r="H197">
        <v>11921114</v>
      </c>
      <c xmlns="http://schemas.openxmlformats.org/spreadsheetml/2006/main" r="I197" t="inlineStr">
        <is>
          <t>|cff00FF00烈阳撼岳丹，药性热。服用示例（筑基凡品）：对boss增伤+5%，持续900现实秒。具体以对应丹药说明为准；奇珍携带效果另计。|r</t>
        </is>
      </c>
      <c r="J197" s="25" t="s">
        <v>68</v>
      </c>
      <c r="K197" t="b" s="11">
        <v>0</v>
      </c>
      <c r="M197">
        <v>11921114</v>
      </c>
      <c r="N197">
        <v>11931114</v>
      </c>
      <c r="O197">
        <v>11941114</v>
      </c>
      <c r="P197">
        <v>11952114</v>
      </c>
      <c r="Q197">
        <v>11962114</v>
      </c>
      <c r="R197">
        <v>11972114</v>
      </c>
      <c r="S197">
        <v>11983114</v>
      </c>
      <c r="AH197" s="11">
        <v>115</v>
      </c>
      <c r="AI197" s="11" t="s">
        <v>69</v>
      </c>
      <c r="AL197" t="str" s="11">
        <v>【补充设计】保留奇珍ID、钥匙与图谱关系；可携带标记与独立效果行逐ID核对。</v>
      </c>
    </row>
    <row r="198" spans="2:35">
      <c r="B198">
        <f t="shared" si="5"/>
        <v>71921115</v>
      </c>
      <c r="C198" t="s">
        <v>470</v>
      </c>
      <c r="D198" s="25">
        <v>11921115</v>
      </c>
      <c r="E198" s="20" t="s">
        <v>239</v>
      </c>
      <c r="F198" t="s">
        <v>240</v>
      </c>
      <c r="G198" t="s">
        <v>66</v>
      </c>
      <c r="H198">
        <v>11921115</v>
      </c>
      <c xmlns="http://schemas.openxmlformats.org/spreadsheetml/2006/main" r="I198" t="inlineStr">
        <is>
          <t>|cff00FF00玄阴战元丹，药性寒。服用示例（筑基凡品）：攻击下限增幅+2%；攻击上限增幅+2%，持续1800现实秒。具体以对应丹药说明为准；奇珍携带效果另计。|r</t>
        </is>
      </c>
      <c r="J198" s="25" t="s">
        <v>68</v>
      </c>
      <c r="K198" t="b" s="11">
        <v>0</v>
      </c>
      <c r="M198">
        <v>11921115</v>
      </c>
      <c r="N198">
        <v>11931115</v>
      </c>
      <c r="O198">
        <v>11941115</v>
      </c>
      <c r="P198">
        <v>11952115</v>
      </c>
      <c r="Q198">
        <v>11962115</v>
      </c>
      <c r="R198">
        <v>11972115</v>
      </c>
      <c r="S198">
        <v>11983115</v>
      </c>
      <c r="AH198" s="11">
        <v>116</v>
      </c>
      <c r="AI198" s="11" t="s">
        <v>69</v>
      </c>
      <c r="AL198" t="str" s="11">
        <v>【补充设计】保留奇珍ID、钥匙与图谱关系；可携带标记与独立效果行逐ID核对。</v>
      </c>
    </row>
    <row r="199" spans="2:35">
      <c r="B199">
        <f t="shared" si="5"/>
        <v>71921116</v>
      </c>
      <c r="C199" t="s">
        <v>472</v>
      </c>
      <c r="D199" s="25">
        <v>11921116</v>
      </c>
      <c r="E199" s="20" t="s">
        <v>239</v>
      </c>
      <c r="F199" t="s">
        <v>240</v>
      </c>
      <c r="G199" t="s">
        <v>66</v>
      </c>
      <c r="H199">
        <v>11921116</v>
      </c>
      <c xmlns="http://schemas.openxmlformats.org/spreadsheetml/2006/main" r="I199" t="inlineStr">
        <is>
          <t>|cff00FF00清和战元丹，药性凉。服用示例（筑基凡品）：攻击下限增幅+3%；攻击上限增幅+3%，持续1500现实秒。具体以对应丹药说明为准；奇珍携带效果另计。|r</t>
        </is>
      </c>
      <c r="J199" s="25" t="s">
        <v>68</v>
      </c>
      <c r="K199" t="b" s="11">
        <v>0</v>
      </c>
      <c r="M199">
        <v>11921116</v>
      </c>
      <c r="N199">
        <v>11931116</v>
      </c>
      <c r="O199">
        <v>11941116</v>
      </c>
      <c r="P199">
        <v>11952116</v>
      </c>
      <c r="Q199">
        <v>11962116</v>
      </c>
      <c r="R199">
        <v>11972116</v>
      </c>
      <c r="S199">
        <v>11983116</v>
      </c>
      <c r="AH199" s="11">
        <v>117</v>
      </c>
      <c r="AI199" s="11" t="s">
        <v>69</v>
      </c>
      <c r="AL199" t="str" s="11">
        <v>【补充设计】保留奇珍ID、钥匙与图谱关系；可携带标记与独立效果行逐ID核对。</v>
      </c>
    </row>
    <row r="200" spans="2:35">
      <c r="B200">
        <f t="shared" si="5"/>
        <v>71921117</v>
      </c>
      <c r="C200" t="s">
        <v>474</v>
      </c>
      <c r="D200" s="25">
        <v>11921117</v>
      </c>
      <c r="E200" s="20" t="s">
        <v>239</v>
      </c>
      <c r="F200" t="s">
        <v>240</v>
      </c>
      <c r="G200" t="s">
        <v>66</v>
      </c>
      <c r="H200">
        <v>11921117</v>
      </c>
      <c xmlns="http://schemas.openxmlformats.org/spreadsheetml/2006/main" r="I200" t="inlineStr">
        <is>
          <t>|cff00FF00战元丹，药性平。服用示例（筑基凡品）：攻击下限增幅+3.5%；攻击上限增幅+3.5%，持续1500现实秒。具体以对应丹药说明为准；奇珍携带效果另计。|r</t>
        </is>
      </c>
      <c r="J200" s="25" t="s">
        <v>68</v>
      </c>
      <c r="K200" t="b" s="11">
        <v>0</v>
      </c>
      <c r="L200">
        <v>19</v>
      </c>
      <c r="M200">
        <v>11921117</v>
      </c>
      <c r="N200">
        <v>11931117</v>
      </c>
      <c r="O200">
        <v>11941117</v>
      </c>
      <c r="P200">
        <v>11952117</v>
      </c>
      <c r="Q200">
        <v>11962117</v>
      </c>
      <c r="R200">
        <v>11972117</v>
      </c>
      <c r="S200">
        <v>11983117</v>
      </c>
      <c r="AH200" s="11">
        <v>118</v>
      </c>
      <c r="AI200" s="11" t="s">
        <v>69</v>
      </c>
      <c r="AL200" t="str" s="11">
        <v>【补充设计】保留奇珍ID、钥匙与图谱关系；可携带标记与独立效果行逐ID核对。</v>
      </c>
    </row>
    <row r="201" spans="2:35">
      <c r="B201">
        <f t="shared" si="5"/>
        <v>71921118</v>
      </c>
      <c r="C201" t="s">
        <v>476</v>
      </c>
      <c r="D201" s="25">
        <v>11921118</v>
      </c>
      <c r="E201" s="20" t="s">
        <v>239</v>
      </c>
      <c r="F201" t="s">
        <v>240</v>
      </c>
      <c r="G201" t="s">
        <v>66</v>
      </c>
      <c r="H201">
        <v>11921118</v>
      </c>
      <c xmlns="http://schemas.openxmlformats.org/spreadsheetml/2006/main" r="I201" t="inlineStr">
        <is>
          <t>|cff00FF00温阳战元丹，药性温。服用示例（筑基凡品）：攻击下限增幅+4%；攻击上限增幅+4%，持续1500现实秒。具体以对应丹药说明为准；奇珍携带效果另计。|r</t>
        </is>
      </c>
      <c r="J201" s="25" t="s">
        <v>68</v>
      </c>
      <c r="K201" t="b" s="11">
        <v>0</v>
      </c>
      <c r="M201">
        <v>11921118</v>
      </c>
      <c r="N201">
        <v>11931118</v>
      </c>
      <c r="O201">
        <v>11941118</v>
      </c>
      <c r="P201">
        <v>11952118</v>
      </c>
      <c r="Q201">
        <v>11962118</v>
      </c>
      <c r="R201">
        <v>11972118</v>
      </c>
      <c r="S201">
        <v>11983118</v>
      </c>
      <c r="AH201" s="11">
        <v>119</v>
      </c>
      <c r="AI201" s="11" t="s">
        <v>69</v>
      </c>
      <c r="AL201" t="str" s="11">
        <v>【补充设计】保留奇珍ID、钥匙与图谱关系；可携带标记与独立效果行逐ID核对。</v>
      </c>
    </row>
    <row r="202" spans="2:35">
      <c r="B202">
        <f t="shared" si="5"/>
        <v>71921119</v>
      </c>
      <c r="C202" t="s">
        <v>478</v>
      </c>
      <c r="D202" s="25">
        <v>11921119</v>
      </c>
      <c r="E202" s="20" t="s">
        <v>239</v>
      </c>
      <c r="F202" t="s">
        <v>240</v>
      </c>
      <c r="G202" t="s">
        <v>66</v>
      </c>
      <c r="H202">
        <v>11921119</v>
      </c>
      <c xmlns="http://schemas.openxmlformats.org/spreadsheetml/2006/main" r="I202" t="inlineStr">
        <is>
          <t>|cff00FF00烈阳战元丹，药性热。服用示例（筑基凡品）：攻击下限增幅+5%；攻击上限增幅+5%，持续900现实秒。具体以对应丹药说明为准；奇珍携带效果另计。|r</t>
        </is>
      </c>
      <c r="J202" s="25" t="s">
        <v>68</v>
      </c>
      <c r="K202" t="b" s="11">
        <v>0</v>
      </c>
      <c r="M202">
        <v>11921119</v>
      </c>
      <c r="N202">
        <v>11931119</v>
      </c>
      <c r="O202">
        <v>11941119</v>
      </c>
      <c r="P202">
        <v>11952119</v>
      </c>
      <c r="Q202">
        <v>11962119</v>
      </c>
      <c r="R202">
        <v>11972119</v>
      </c>
      <c r="S202">
        <v>11983119</v>
      </c>
      <c r="AH202" s="11">
        <v>120</v>
      </c>
      <c r="AI202" s="11" t="s">
        <v>69</v>
      </c>
      <c r="AL202" t="str" s="11">
        <v>【补充设计】保留奇珍ID、钥匙与图谱关系；可携带标记与独立效果行逐ID核对。</v>
      </c>
    </row>
    <row r="203" spans="2:35">
      <c r="B203">
        <f t="shared" si="5"/>
        <v>71921120</v>
      </c>
      <c xmlns="http://schemas.openxmlformats.org/spreadsheetml/2006/main" r="C203" t="inlineStr">
        <is>
          <t>玄阴法元丹</t>
        </is>
      </c>
      <c r="D203" s="25">
        <v>11921120</v>
      </c>
      <c r="E203" s="20" t="s">
        <v>239</v>
      </c>
      <c r="F203" t="s">
        <v>240</v>
      </c>
      <c r="G203" t="s">
        <v>66</v>
      </c>
      <c r="H203">
        <v>11921120</v>
      </c>
      <c xmlns="http://schemas.openxmlformats.org/spreadsheetml/2006/main" r="I203" t="inlineStr">
        <is>
          <t>|cff00FF00玄阴法元丹，药性寒。服用示例（筑基凡品）：法力下限增幅+2%；法力上限增幅+2%，持续1800现实秒。具体以对应丹药说明为准；奇珍携带效果另计。|r</t>
        </is>
      </c>
      <c r="J203" s="25" t="s">
        <v>68</v>
      </c>
      <c r="K203" t="b" s="11">
        <v>0</v>
      </c>
      <c r="M203">
        <v>11921120</v>
      </c>
      <c r="N203">
        <v>11931120</v>
      </c>
      <c r="O203">
        <v>11941120</v>
      </c>
      <c r="P203">
        <v>11952120</v>
      </c>
      <c r="Q203">
        <v>11962120</v>
      </c>
      <c r="R203">
        <v>11972120</v>
      </c>
      <c r="S203">
        <v>11983120</v>
      </c>
      <c r="AH203" s="11">
        <v>121</v>
      </c>
      <c r="AI203" s="11" t="s">
        <v>69</v>
      </c>
      <c r="AL203" t="str" s="11">
        <v>【补充设计】保留奇珍ID、钥匙与图谱关系；可携带标记与独立效果行逐ID核对。</v>
      </c>
    </row>
    <row r="204" spans="2:35">
      <c r="B204">
        <f t="shared" si="5"/>
        <v>71921121</v>
      </c>
      <c xmlns="http://schemas.openxmlformats.org/spreadsheetml/2006/main" r="C204" t="inlineStr">
        <is>
          <t>清和法元丹</t>
        </is>
      </c>
      <c r="D204" s="25">
        <v>11921121</v>
      </c>
      <c r="E204" s="20" t="s">
        <v>239</v>
      </c>
      <c r="F204" t="s">
        <v>240</v>
      </c>
      <c r="G204" t="s">
        <v>66</v>
      </c>
      <c r="H204">
        <v>11921121</v>
      </c>
      <c xmlns="http://schemas.openxmlformats.org/spreadsheetml/2006/main" r="I204" t="inlineStr">
        <is>
          <t>|cff00FF00清和法元丹，药性凉。服用示例（筑基凡品）：法力下限增幅+3%；法力上限增幅+3%，持续1500现实秒。具体以对应丹药说明为准；奇珍携带效果另计。|r</t>
        </is>
      </c>
      <c r="J204" s="25" t="s">
        <v>68</v>
      </c>
      <c r="K204" t="b" s="11">
        <v>0</v>
      </c>
      <c r="M204">
        <v>11921121</v>
      </c>
      <c r="N204">
        <v>11931121</v>
      </c>
      <c r="O204">
        <v>11941121</v>
      </c>
      <c r="P204">
        <v>11952121</v>
      </c>
      <c r="Q204">
        <v>11962121</v>
      </c>
      <c r="R204">
        <v>11972121</v>
      </c>
      <c r="S204">
        <v>11983121</v>
      </c>
      <c r="AH204" s="11">
        <v>122</v>
      </c>
      <c r="AI204" s="11" t="s">
        <v>69</v>
      </c>
      <c r="AL204" t="str" s="11">
        <v>【补充设计】保留奇珍ID、钥匙与图谱关系；可携带标记与独立效果行逐ID核对。</v>
      </c>
    </row>
    <row r="205" spans="2:35">
      <c r="B205">
        <f t="shared" si="5"/>
        <v>71921122</v>
      </c>
      <c xmlns="http://schemas.openxmlformats.org/spreadsheetml/2006/main" r="C205" t="inlineStr">
        <is>
          <t>法元丹</t>
        </is>
      </c>
      <c r="D205" s="25">
        <v>11921122</v>
      </c>
      <c r="E205" s="20" t="s">
        <v>239</v>
      </c>
      <c r="F205" t="s">
        <v>240</v>
      </c>
      <c r="G205" t="s">
        <v>66</v>
      </c>
      <c r="H205">
        <v>11921122</v>
      </c>
      <c xmlns="http://schemas.openxmlformats.org/spreadsheetml/2006/main" r="I205" t="inlineStr">
        <is>
          <t>|cff00FF00法元丹，药性平。服用示例（筑基凡品）：法力下限增幅+3.5%；法力上限增幅+3.5%，持续1500现实秒。具体以对应丹药说明为准；奇珍携带效果另计。|r</t>
        </is>
      </c>
      <c r="J205" s="25" t="s">
        <v>68</v>
      </c>
      <c r="K205" t="b" s="11">
        <v>0</v>
      </c>
      <c r="L205">
        <v>18</v>
      </c>
      <c r="M205">
        <v>11921122</v>
      </c>
      <c r="N205">
        <v>11931122</v>
      </c>
      <c r="O205">
        <v>11941122</v>
      </c>
      <c r="P205">
        <v>11952122</v>
      </c>
      <c r="Q205">
        <v>11962122</v>
      </c>
      <c r="R205">
        <v>11972122</v>
      </c>
      <c r="S205">
        <v>11983122</v>
      </c>
      <c r="AH205" s="11">
        <v>123</v>
      </c>
      <c r="AI205" s="11" t="s">
        <v>69</v>
      </c>
      <c r="AL205" t="str" s="11">
        <v>【补充设计】保留奇珍ID、钥匙与图谱关系；可携带标记与独立效果行逐ID核对。</v>
      </c>
    </row>
    <row r="206" spans="2:35">
      <c r="B206">
        <f t="shared" si="5"/>
        <v>71921123</v>
      </c>
      <c xmlns="http://schemas.openxmlformats.org/spreadsheetml/2006/main" r="C206" t="inlineStr">
        <is>
          <t>温阳法元丹</t>
        </is>
      </c>
      <c r="D206" s="25">
        <v>11921123</v>
      </c>
      <c r="E206" s="20" t="s">
        <v>239</v>
      </c>
      <c r="F206" t="s">
        <v>240</v>
      </c>
      <c r="G206" t="s">
        <v>66</v>
      </c>
      <c r="H206">
        <v>11921123</v>
      </c>
      <c xmlns="http://schemas.openxmlformats.org/spreadsheetml/2006/main" r="I206" t="inlineStr">
        <is>
          <t>|cff00FF00温阳法元丹，药性温。服用示例（筑基凡品）：法力下限增幅+4%；法力上限增幅+4%，持续1500现实秒。具体以对应丹药说明为准；奇珍携带效果另计。|r</t>
        </is>
      </c>
      <c r="J206" s="25" t="s">
        <v>68</v>
      </c>
      <c r="K206" t="b" s="11">
        <v>0</v>
      </c>
      <c r="M206">
        <v>11921123</v>
      </c>
      <c r="N206">
        <v>11931123</v>
      </c>
      <c r="O206">
        <v>11941123</v>
      </c>
      <c r="P206">
        <v>11952123</v>
      </c>
      <c r="Q206">
        <v>11962123</v>
      </c>
      <c r="R206">
        <v>11972123</v>
      </c>
      <c r="S206">
        <v>11983123</v>
      </c>
      <c r="AH206" s="11">
        <v>124</v>
      </c>
      <c r="AI206" s="11" t="s">
        <v>69</v>
      </c>
      <c r="AL206" t="str" s="11">
        <v>【补充设计】保留奇珍ID、钥匙与图谱关系；可携带标记与独立效果行逐ID核对。</v>
      </c>
    </row>
    <row r="207" spans="2:35">
      <c r="B207">
        <f t="shared" si="5"/>
        <v>71921124</v>
      </c>
      <c xmlns="http://schemas.openxmlformats.org/spreadsheetml/2006/main" r="C207" t="inlineStr">
        <is>
          <t>烈阳法元丹</t>
        </is>
      </c>
      <c r="D207" s="25">
        <v>11921124</v>
      </c>
      <c r="E207" s="20" t="s">
        <v>239</v>
      </c>
      <c r="F207" t="s">
        <v>240</v>
      </c>
      <c r="G207" t="s">
        <v>66</v>
      </c>
      <c r="H207">
        <v>11921124</v>
      </c>
      <c xmlns="http://schemas.openxmlformats.org/spreadsheetml/2006/main" r="I207" t="inlineStr">
        <is>
          <t>|cff00FF00烈阳法元丹，药性热。服用示例（筑基凡品）：法力下限增幅+5%；法力上限增幅+5%，持续900现实秒。具体以对应丹药说明为准；奇珍携带效果另计。|r</t>
        </is>
      </c>
      <c r="J207" s="25" t="s">
        <v>68</v>
      </c>
      <c r="K207" t="b" s="11">
        <v>0</v>
      </c>
      <c r="M207">
        <v>11921124</v>
      </c>
      <c r="N207">
        <v>11931124</v>
      </c>
      <c r="O207">
        <v>11941124</v>
      </c>
      <c r="P207">
        <v>11952124</v>
      </c>
      <c r="Q207">
        <v>11962124</v>
      </c>
      <c r="R207">
        <v>11972124</v>
      </c>
      <c r="S207">
        <v>11983124</v>
      </c>
      <c r="AH207" s="11">
        <v>125</v>
      </c>
      <c r="AI207" s="11" t="s">
        <v>69</v>
      </c>
      <c r="AL207" t="str" s="11">
        <v>【补充设计】保留奇珍ID、钥匙与图谱关系；可携带标记与独立效果行逐ID核对。</v>
      </c>
    </row>
    <row r="208" spans="2:35">
      <c r="B208">
        <v>72221000</v>
      </c>
      <c r="C208" t="s">
        <v>490</v>
      </c>
      <c r="D208" s="25">
        <v>12221000</v>
      </c>
      <c r="E208" t="s">
        <v>491</v>
      </c>
      <c r="F208" s="20" t="s">
        <v>65</v>
      </c>
      <c r="G208" t="s">
        <v>66</v>
      </c>
      <c r="H208">
        <v>12221000</v>
      </c>
      <c r="I208" t="s">
        <v>492</v>
      </c>
      <c r="J208" s="25" t="s">
        <v>68</v>
      </c>
      <c r="K208" t="b" s="11">
        <v>0</v>
      </c>
      <c r="L208">
        <v>32</v>
      </c>
      <c r="M208">
        <v>12222000</v>
      </c>
      <c r="N208">
        <v>12232000</v>
      </c>
      <c r="O208">
        <v>12242000</v>
      </c>
      <c r="P208">
        <v>12252000</v>
      </c>
      <c r="Q208">
        <v>12262000</v>
      </c>
      <c r="R208">
        <v>12272000</v>
      </c>
      <c r="S208">
        <v>12282000</v>
      </c>
      <c r="T208">
        <v>12223000</v>
      </c>
      <c r="U208">
        <v>12233000</v>
      </c>
      <c r="V208">
        <v>12243000</v>
      </c>
      <c r="W208">
        <v>12253000</v>
      </c>
      <c r="X208">
        <v>12263000</v>
      </c>
      <c r="Y208">
        <v>12273000</v>
      </c>
      <c r="Z208">
        <v>12283000</v>
      </c>
      <c r="AH208" s="11">
        <v>1</v>
      </c>
      <c r="AI208" s="11" t="s">
        <v>69</v>
      </c>
      <c r="AL208" t="str" s="11">
        <v>【补充设计】保留奇珍ID、钥匙与图谱关系；可携带标记与独立效果行逐ID核对。</v>
      </c>
    </row>
    <row r="209" spans="2:35">
      <c r="B209">
        <v>72221001</v>
      </c>
      <c r="C209" t="s">
        <v>493</v>
      </c>
      <c r="D209" s="25">
        <v>12221001</v>
      </c>
      <c r="E209" t="s">
        <v>491</v>
      </c>
      <c r="F209" s="20" t="s">
        <v>65</v>
      </c>
      <c r="G209" t="s">
        <v>66</v>
      </c>
      <c r="H209">
        <v>12221001</v>
      </c>
      <c r="I209" t="s">
        <v>494</v>
      </c>
      <c r="J209" s="25" t="s">
        <v>68</v>
      </c>
      <c r="K209" t="b" s="11">
        <v>0</v>
      </c>
      <c r="M209">
        <v>12222001</v>
      </c>
      <c r="N209">
        <v>12232001</v>
      </c>
      <c r="O209">
        <v>12242001</v>
      </c>
      <c r="P209">
        <v>12252001</v>
      </c>
      <c r="Q209">
        <v>12262001</v>
      </c>
      <c r="R209">
        <v>12272001</v>
      </c>
      <c r="S209">
        <v>12282001</v>
      </c>
      <c r="T209">
        <v>12223001</v>
      </c>
      <c r="U209">
        <v>12233001</v>
      </c>
      <c r="V209">
        <v>12243001</v>
      </c>
      <c r="W209">
        <v>12253001</v>
      </c>
      <c r="X209">
        <v>12263001</v>
      </c>
      <c r="Y209">
        <v>12273001</v>
      </c>
      <c r="Z209">
        <v>12283001</v>
      </c>
      <c r="AH209" s="11">
        <v>2</v>
      </c>
      <c r="AI209" s="11" t="s">
        <v>69</v>
      </c>
      <c r="AL209" t="str" s="11">
        <v>【补充设计】保留奇珍ID、钥匙与图谱关系；可携带标记与独立效果行逐ID核对。</v>
      </c>
    </row>
    <row r="210" spans="2:35">
      <c r="B210">
        <v>72221002</v>
      </c>
      <c r="C210" t="s">
        <v>495</v>
      </c>
      <c r="D210" s="25">
        <v>12221002</v>
      </c>
      <c r="E210" t="s">
        <v>491</v>
      </c>
      <c r="F210" s="20" t="s">
        <v>65</v>
      </c>
      <c r="G210" t="s">
        <v>66</v>
      </c>
      <c r="H210">
        <v>12221002</v>
      </c>
      <c r="I210" t="s">
        <v>496</v>
      </c>
      <c r="J210" s="25" t="s">
        <v>68</v>
      </c>
      <c r="K210" t="b" s="11">
        <v>0</v>
      </c>
      <c r="L210">
        <v>32</v>
      </c>
      <c r="M210">
        <v>12222002</v>
      </c>
      <c r="N210">
        <v>12232002</v>
      </c>
      <c r="O210">
        <v>12242002</v>
      </c>
      <c r="P210">
        <v>12252002</v>
      </c>
      <c r="Q210">
        <v>12262002</v>
      </c>
      <c r="R210">
        <v>12272002</v>
      </c>
      <c r="S210">
        <v>12282002</v>
      </c>
      <c r="T210">
        <v>12223002</v>
      </c>
      <c r="U210">
        <v>12233002</v>
      </c>
      <c r="V210">
        <v>12243002</v>
      </c>
      <c r="W210">
        <v>12253002</v>
      </c>
      <c r="X210">
        <v>12263002</v>
      </c>
      <c r="Y210">
        <v>12273002</v>
      </c>
      <c r="Z210">
        <v>12283002</v>
      </c>
      <c r="AH210" s="11">
        <v>3</v>
      </c>
      <c r="AI210" s="11" t="s">
        <v>69</v>
      </c>
      <c r="AL210" t="str" s="11">
        <v>【补充设计】保留奇珍ID、钥匙与图谱关系；可携带标记与独立效果行逐ID核对。</v>
      </c>
    </row>
    <row r="211" spans="2:35">
      <c r="B211">
        <v>72221003</v>
      </c>
      <c r="C211" t="s">
        <v>497</v>
      </c>
      <c r="D211" s="25">
        <v>12221003</v>
      </c>
      <c r="E211" t="s">
        <v>491</v>
      </c>
      <c r="F211" s="20" t="s">
        <v>65</v>
      </c>
      <c r="G211" t="s">
        <v>66</v>
      </c>
      <c r="H211">
        <v>12221003</v>
      </c>
      <c r="I211" t="s">
        <v>498</v>
      </c>
      <c r="J211" s="25" t="s">
        <v>68</v>
      </c>
      <c r="K211" t="b" s="11">
        <v>0</v>
      </c>
      <c r="L211">
        <v>31</v>
      </c>
      <c r="M211">
        <v>12222003</v>
      </c>
      <c r="N211">
        <v>12232003</v>
      </c>
      <c r="O211">
        <v>12242003</v>
      </c>
      <c r="P211">
        <v>12252003</v>
      </c>
      <c r="Q211">
        <v>12262003</v>
      </c>
      <c r="R211">
        <v>12272003</v>
      </c>
      <c r="S211">
        <v>12282003</v>
      </c>
      <c r="T211">
        <v>12223003</v>
      </c>
      <c r="U211">
        <v>12233003</v>
      </c>
      <c r="V211">
        <v>12243003</v>
      </c>
      <c r="W211">
        <v>12253003</v>
      </c>
      <c r="X211">
        <v>12263003</v>
      </c>
      <c r="Y211">
        <v>12273003</v>
      </c>
      <c r="Z211">
        <v>12283003</v>
      </c>
      <c r="AH211" s="11">
        <v>4</v>
      </c>
      <c r="AI211" s="11" t="s">
        <v>69</v>
      </c>
      <c r="AL211" t="str" s="11">
        <v>【补充设计】保留奇珍ID、钥匙与图谱关系；可携带标记与独立效果行逐ID核对。</v>
      </c>
    </row>
    <row r="212" spans="2:35">
      <c r="B212">
        <v>72221004</v>
      </c>
      <c r="C212" t="s">
        <v>499</v>
      </c>
      <c r="D212" s="25">
        <v>12221004</v>
      </c>
      <c r="E212" t="s">
        <v>491</v>
      </c>
      <c r="F212" s="20" t="s">
        <v>65</v>
      </c>
      <c r="G212" t="s">
        <v>66</v>
      </c>
      <c r="H212">
        <v>12221004</v>
      </c>
      <c r="I212" t="s">
        <v>500</v>
      </c>
      <c r="J212" s="25" t="s">
        <v>68</v>
      </c>
      <c r="K212" t="b" s="11">
        <v>0</v>
      </c>
      <c r="L212">
        <v>32</v>
      </c>
      <c r="M212">
        <v>12222004</v>
      </c>
      <c r="N212">
        <v>12232004</v>
      </c>
      <c r="O212">
        <v>12242004</v>
      </c>
      <c r="P212">
        <v>12252004</v>
      </c>
      <c r="Q212">
        <v>12262004</v>
      </c>
      <c r="R212">
        <v>12272004</v>
      </c>
      <c r="S212">
        <v>12282004</v>
      </c>
      <c r="T212">
        <v>12223004</v>
      </c>
      <c r="U212">
        <v>12233004</v>
      </c>
      <c r="V212">
        <v>12243004</v>
      </c>
      <c r="W212">
        <v>12253004</v>
      </c>
      <c r="X212">
        <v>12263004</v>
      </c>
      <c r="Y212">
        <v>12273004</v>
      </c>
      <c r="Z212">
        <v>12283004</v>
      </c>
      <c r="AH212" s="11">
        <v>5</v>
      </c>
      <c r="AI212" s="11" t="s">
        <v>69</v>
      </c>
      <c r="AL212" t="str" s="11">
        <v>【补充设计】保留奇珍ID、钥匙与图谱关系；可携带标记与独立效果行逐ID核对。</v>
      </c>
    </row>
    <row r="213" spans="2:35">
      <c r="B213">
        <v>72221005</v>
      </c>
      <c r="C213" t="s">
        <v>501</v>
      </c>
      <c r="D213" s="25">
        <v>12221005</v>
      </c>
      <c r="E213" t="s">
        <v>491</v>
      </c>
      <c r="F213" s="20" t="s">
        <v>65</v>
      </c>
      <c r="G213" t="s">
        <v>66</v>
      </c>
      <c r="H213">
        <v>12221005</v>
      </c>
      <c r="I213" t="s">
        <v>502</v>
      </c>
      <c r="J213" s="25" t="s">
        <v>68</v>
      </c>
      <c r="K213" t="b" s="11">
        <v>0</v>
      </c>
      <c r="L213">
        <v>77</v>
      </c>
      <c r="M213">
        <v>12222005</v>
      </c>
      <c r="N213">
        <v>12232005</v>
      </c>
      <c r="O213">
        <v>12242005</v>
      </c>
      <c r="P213">
        <v>12252005</v>
      </c>
      <c r="Q213">
        <v>12262005</v>
      </c>
      <c r="R213">
        <v>12272005</v>
      </c>
      <c r="S213">
        <v>12282005</v>
      </c>
      <c r="T213">
        <v>12223005</v>
      </c>
      <c r="U213">
        <v>12233005</v>
      </c>
      <c r="V213">
        <v>12243005</v>
      </c>
      <c r="W213">
        <v>12253005</v>
      </c>
      <c r="X213">
        <v>12263005</v>
      </c>
      <c r="Y213">
        <v>12273005</v>
      </c>
      <c r="Z213">
        <v>12283005</v>
      </c>
      <c r="AH213" s="11">
        <v>6</v>
      </c>
      <c r="AI213" s="11" t="s">
        <v>69</v>
      </c>
      <c r="AL213" t="str" s="11">
        <v>【补充设计】保留奇珍ID、钥匙与图谱关系；可携带标记与独立效果行逐ID核对。</v>
      </c>
    </row>
    <row r="214" spans="2:35">
      <c r="B214">
        <v>72221006</v>
      </c>
      <c r="C214" t="s">
        <v>503</v>
      </c>
      <c r="D214" s="25">
        <v>12221006</v>
      </c>
      <c r="E214" t="s">
        <v>491</v>
      </c>
      <c r="F214" s="20" t="s">
        <v>65</v>
      </c>
      <c r="G214" t="s">
        <v>66</v>
      </c>
      <c r="H214">
        <v>12221006</v>
      </c>
      <c r="I214" t="s">
        <v>504</v>
      </c>
      <c r="J214" s="25" t="s">
        <v>68</v>
      </c>
      <c r="K214" t="b" s="11">
        <v>0</v>
      </c>
      <c r="L214">
        <v>31</v>
      </c>
      <c r="M214">
        <v>12222006</v>
      </c>
      <c r="N214">
        <v>12232006</v>
      </c>
      <c r="O214">
        <v>12242006</v>
      </c>
      <c r="P214">
        <v>12252006</v>
      </c>
      <c r="Q214">
        <v>12262006</v>
      </c>
      <c r="R214">
        <v>12272006</v>
      </c>
      <c r="S214">
        <v>12282006</v>
      </c>
      <c r="T214">
        <v>12223006</v>
      </c>
      <c r="U214">
        <v>12233006</v>
      </c>
      <c r="V214">
        <v>12243006</v>
      </c>
      <c r="W214">
        <v>12253006</v>
      </c>
      <c r="X214">
        <v>12263006</v>
      </c>
      <c r="Y214">
        <v>12273006</v>
      </c>
      <c r="Z214">
        <v>12283006</v>
      </c>
      <c r="AH214" s="11">
        <v>7</v>
      </c>
      <c r="AI214" s="11" t="s">
        <v>69</v>
      </c>
      <c r="AL214" t="str" s="11">
        <v>【补充设计】保留奇珍ID、钥匙与图谱关系；可携带标记与独立效果行逐ID核对。</v>
      </c>
    </row>
    <row r="215" spans="2:35">
      <c r="B215">
        <v>72221007</v>
      </c>
      <c r="C215" t="s">
        <v>505</v>
      </c>
      <c r="D215" s="25">
        <v>12221007</v>
      </c>
      <c r="E215" t="s">
        <v>491</v>
      </c>
      <c r="F215" s="20" t="s">
        <v>65</v>
      </c>
      <c r="G215" t="s">
        <v>66</v>
      </c>
      <c r="H215">
        <v>12221007</v>
      </c>
      <c r="I215" t="s">
        <v>506</v>
      </c>
      <c r="J215" s="25" t="s">
        <v>68</v>
      </c>
      <c r="K215" t="b" s="11">
        <v>0</v>
      </c>
      <c r="L215">
        <v>77</v>
      </c>
      <c r="M215">
        <v>12222007</v>
      </c>
      <c r="N215">
        <v>12232007</v>
      </c>
      <c r="O215">
        <v>12242007</v>
      </c>
      <c r="P215">
        <v>12252007</v>
      </c>
      <c r="Q215">
        <v>12262007</v>
      </c>
      <c r="R215">
        <v>12272007</v>
      </c>
      <c r="S215">
        <v>12282007</v>
      </c>
      <c r="T215">
        <v>12223007</v>
      </c>
      <c r="U215">
        <v>12233007</v>
      </c>
      <c r="V215">
        <v>12243007</v>
      </c>
      <c r="W215">
        <v>12253007</v>
      </c>
      <c r="X215">
        <v>12263007</v>
      </c>
      <c r="Y215">
        <v>12273007</v>
      </c>
      <c r="Z215">
        <v>12283007</v>
      </c>
      <c r="AH215" s="11">
        <v>8</v>
      </c>
      <c r="AI215" s="11" t="s">
        <v>69</v>
      </c>
      <c r="AL215" t="str" s="11">
        <v>【补充设计】保留奇珍ID、钥匙与图谱关系；可携带标记与独立效果行逐ID核对。</v>
      </c>
    </row>
    <row r="216" spans="2:35">
      <c r="B216">
        <v>72221008</v>
      </c>
      <c r="C216" t="s">
        <v>507</v>
      </c>
      <c r="D216" s="25">
        <v>12221008</v>
      </c>
      <c r="E216" t="s">
        <v>491</v>
      </c>
      <c r="F216" s="20" t="s">
        <v>65</v>
      </c>
      <c r="G216" t="s">
        <v>66</v>
      </c>
      <c r="H216">
        <v>12221008</v>
      </c>
      <c r="I216" t="s">
        <v>508</v>
      </c>
      <c r="J216" s="25" t="s">
        <v>68</v>
      </c>
      <c r="K216" t="b" s="11">
        <v>0</v>
      </c>
      <c r="L216">
        <v>33</v>
      </c>
      <c r="M216">
        <v>12222008</v>
      </c>
      <c r="N216">
        <v>12232008</v>
      </c>
      <c r="O216">
        <v>12242008</v>
      </c>
      <c r="P216">
        <v>12252008</v>
      </c>
      <c r="Q216">
        <v>12262008</v>
      </c>
      <c r="R216">
        <v>12272008</v>
      </c>
      <c r="S216">
        <v>12282008</v>
      </c>
      <c r="T216">
        <v>12223008</v>
      </c>
      <c r="U216">
        <v>12233008</v>
      </c>
      <c r="V216">
        <v>12243008</v>
      </c>
      <c r="W216">
        <v>12253008</v>
      </c>
      <c r="X216">
        <v>12263008</v>
      </c>
      <c r="Y216">
        <v>12273008</v>
      </c>
      <c r="Z216">
        <v>12283008</v>
      </c>
      <c r="AH216" s="11">
        <v>9</v>
      </c>
      <c r="AI216" s="11" t="s">
        <v>69</v>
      </c>
      <c r="AL216" t="str" s="11">
        <v>【补充设计】保留奇珍ID、钥匙与图谱关系；可携带标记与独立效果行逐ID核对。</v>
      </c>
    </row>
    <row r="217" spans="2:35">
      <c r="B217">
        <v>72221009</v>
      </c>
      <c r="C217" t="s">
        <v>509</v>
      </c>
      <c r="D217" s="25">
        <v>12221009</v>
      </c>
      <c r="E217" t="s">
        <v>491</v>
      </c>
      <c r="F217" s="20" t="s">
        <v>65</v>
      </c>
      <c r="G217" t="s">
        <v>66</v>
      </c>
      <c r="H217">
        <v>12221009</v>
      </c>
      <c r="I217" t="s">
        <v>510</v>
      </c>
      <c r="J217" s="25" t="s">
        <v>68</v>
      </c>
      <c r="K217" t="b" s="11">
        <v>0</v>
      </c>
      <c r="L217">
        <v>33</v>
      </c>
      <c r="M217">
        <v>12222009</v>
      </c>
      <c r="N217">
        <v>12232009</v>
      </c>
      <c r="O217">
        <v>12242009</v>
      </c>
      <c r="P217">
        <v>12252009</v>
      </c>
      <c r="Q217">
        <v>12262009</v>
      </c>
      <c r="R217">
        <v>12272009</v>
      </c>
      <c r="S217">
        <v>12282009</v>
      </c>
      <c r="T217">
        <v>12223009</v>
      </c>
      <c r="U217">
        <v>12233009</v>
      </c>
      <c r="V217">
        <v>12243009</v>
      </c>
      <c r="W217">
        <v>12253009</v>
      </c>
      <c r="X217">
        <v>12263009</v>
      </c>
      <c r="Y217">
        <v>12273009</v>
      </c>
      <c r="Z217">
        <v>12283009</v>
      </c>
      <c r="AH217" s="11">
        <v>10</v>
      </c>
      <c r="AI217" s="11" t="s">
        <v>69</v>
      </c>
      <c r="AL217" t="str" s="11">
        <v>【补充设计】保留奇珍ID、钥匙与图谱关系；可携带标记与独立效果行逐ID核对。</v>
      </c>
    </row>
    <row r="218" spans="2:35">
      <c r="B218">
        <v>72221010</v>
      </c>
      <c r="C218" t="s">
        <v>511</v>
      </c>
      <c r="D218" s="25">
        <v>12221010</v>
      </c>
      <c r="E218" t="s">
        <v>491</v>
      </c>
      <c r="F218" s="20" t="s">
        <v>65</v>
      </c>
      <c r="G218" t="s">
        <v>66</v>
      </c>
      <c r="H218">
        <v>12221010</v>
      </c>
      <c r="I218" t="s">
        <v>512</v>
      </c>
      <c r="J218" s="25" t="s">
        <v>68</v>
      </c>
      <c r="K218" t="b" s="11">
        <v>0</v>
      </c>
      <c r="L218">
        <v>33</v>
      </c>
      <c r="M218">
        <v>12222010</v>
      </c>
      <c r="N218">
        <v>12232010</v>
      </c>
      <c r="O218">
        <v>12242010</v>
      </c>
      <c r="P218">
        <v>12252010</v>
      </c>
      <c r="Q218">
        <v>12262010</v>
      </c>
      <c r="R218">
        <v>12272010</v>
      </c>
      <c r="S218">
        <v>12282010</v>
      </c>
      <c r="T218">
        <v>12223010</v>
      </c>
      <c r="U218">
        <v>12233010</v>
      </c>
      <c r="V218">
        <v>12243010</v>
      </c>
      <c r="W218">
        <v>12253010</v>
      </c>
      <c r="X218">
        <v>12263010</v>
      </c>
      <c r="Y218">
        <v>12273010</v>
      </c>
      <c r="Z218">
        <v>12283010</v>
      </c>
      <c r="AH218" s="11">
        <v>11</v>
      </c>
      <c r="AI218" s="11" t="s">
        <v>69</v>
      </c>
      <c r="AL218" t="str" s="11">
        <v>【补充设计】保留奇珍ID、钥匙与图谱关系；可携带标记与独立效果行逐ID核对。</v>
      </c>
    </row>
    <row r="219" spans="2:35">
      <c r="B219">
        <v>72221011</v>
      </c>
      <c r="C219" t="s">
        <v>513</v>
      </c>
      <c r="D219" s="25">
        <v>12221011</v>
      </c>
      <c r="E219" t="s">
        <v>491</v>
      </c>
      <c r="F219" s="20" t="s">
        <v>65</v>
      </c>
      <c r="G219" t="s">
        <v>66</v>
      </c>
      <c r="H219">
        <v>12221011</v>
      </c>
      <c r="I219" t="s">
        <v>514</v>
      </c>
      <c r="J219" s="25" t="s">
        <v>68</v>
      </c>
      <c r="K219" t="b" s="11">
        <v>0</v>
      </c>
      <c r="L219">
        <v>76</v>
      </c>
      <c r="M219">
        <v>12222011</v>
      </c>
      <c r="N219">
        <v>12232011</v>
      </c>
      <c r="O219">
        <v>12242011</v>
      </c>
      <c r="P219">
        <v>12252011</v>
      </c>
      <c r="Q219">
        <v>12262011</v>
      </c>
      <c r="R219">
        <v>12272011</v>
      </c>
      <c r="S219">
        <v>12282011</v>
      </c>
      <c r="T219">
        <v>12223011</v>
      </c>
      <c r="U219">
        <v>12233011</v>
      </c>
      <c r="V219">
        <v>12243011</v>
      </c>
      <c r="W219">
        <v>12253011</v>
      </c>
      <c r="X219">
        <v>12263011</v>
      </c>
      <c r="Y219">
        <v>12273011</v>
      </c>
      <c r="Z219">
        <v>12283011</v>
      </c>
      <c r="AH219" s="11">
        <v>12</v>
      </c>
      <c r="AI219" s="11" t="s">
        <v>69</v>
      </c>
      <c r="AL219" t="str" s="11">
        <v>【补充设计】保留奇珍ID、钥匙与图谱关系；可携带标记与独立效果行逐ID核对。</v>
      </c>
    </row>
    <row r="220" spans="2:35">
      <c r="B220">
        <v>72221012</v>
      </c>
      <c r="C220" t="s">
        <v>515</v>
      </c>
      <c r="D220" s="25">
        <v>12221012</v>
      </c>
      <c r="E220" t="s">
        <v>491</v>
      </c>
      <c r="F220" s="20" t="s">
        <v>65</v>
      </c>
      <c r="G220" t="s">
        <v>66</v>
      </c>
      <c r="H220">
        <v>12221012</v>
      </c>
      <c r="I220" t="s">
        <v>516</v>
      </c>
      <c r="J220" s="25" t="s">
        <v>68</v>
      </c>
      <c r="K220" t="b" s="11">
        <v>0</v>
      </c>
      <c r="L220">
        <v>76</v>
      </c>
      <c r="M220">
        <v>12222012</v>
      </c>
      <c r="N220">
        <v>12232012</v>
      </c>
      <c r="O220">
        <v>12242012</v>
      </c>
      <c r="P220">
        <v>12252012</v>
      </c>
      <c r="Q220">
        <v>12262012</v>
      </c>
      <c r="R220">
        <v>12272012</v>
      </c>
      <c r="S220">
        <v>12282012</v>
      </c>
      <c r="T220">
        <v>12223012</v>
      </c>
      <c r="U220">
        <v>12233012</v>
      </c>
      <c r="V220">
        <v>12243012</v>
      </c>
      <c r="W220">
        <v>12253012</v>
      </c>
      <c r="X220">
        <v>12263012</v>
      </c>
      <c r="Y220">
        <v>12273012</v>
      </c>
      <c r="Z220">
        <v>12283012</v>
      </c>
      <c r="AH220" s="11">
        <v>13</v>
      </c>
      <c r="AI220" s="11" t="s">
        <v>69</v>
      </c>
      <c r="AL220" t="str" s="11">
        <v>【补充设计】保留奇珍ID、钥匙与图谱关系；可携带标记与独立效果行逐ID核对。</v>
      </c>
    </row>
    <row r="221" spans="2:35">
      <c r="B221">
        <v>72221013</v>
      </c>
      <c r="C221" t="s">
        <v>517</v>
      </c>
      <c r="D221" s="25">
        <v>12221013</v>
      </c>
      <c r="E221" t="s">
        <v>491</v>
      </c>
      <c r="F221" s="20" t="s">
        <v>65</v>
      </c>
      <c r="G221" t="s">
        <v>66</v>
      </c>
      <c r="H221">
        <v>12221013</v>
      </c>
      <c r="I221" t="s">
        <v>518</v>
      </c>
      <c r="J221" s="25" t="s">
        <v>68</v>
      </c>
      <c r="K221" t="b" s="11">
        <v>0</v>
      </c>
      <c r="L221">
        <v>76</v>
      </c>
      <c r="M221">
        <v>12222013</v>
      </c>
      <c r="N221">
        <v>12232013</v>
      </c>
      <c r="O221">
        <v>12242013</v>
      </c>
      <c r="P221">
        <v>12252013</v>
      </c>
      <c r="Q221">
        <v>12262013</v>
      </c>
      <c r="R221">
        <v>12272013</v>
      </c>
      <c r="S221">
        <v>12282013</v>
      </c>
      <c r="T221">
        <v>12223013</v>
      </c>
      <c r="U221">
        <v>12233013</v>
      </c>
      <c r="V221">
        <v>12243013</v>
      </c>
      <c r="W221">
        <v>12253013</v>
      </c>
      <c r="X221">
        <v>12263013</v>
      </c>
      <c r="Y221">
        <v>12273013</v>
      </c>
      <c r="Z221">
        <v>12283013</v>
      </c>
      <c r="AH221" s="11">
        <v>14</v>
      </c>
      <c r="AI221" s="11" t="s">
        <v>69</v>
      </c>
      <c r="AL221" t="str" s="11">
        <v>【补充设计】保留奇珍ID、钥匙与图谱关系；可携带标记与独立效果行逐ID核对。</v>
      </c>
    </row>
    <row r="222" spans="2:35">
      <c r="B222">
        <v>72221014</v>
      </c>
      <c r="C222" t="s">
        <v>519</v>
      </c>
      <c r="D222" s="25">
        <v>12221014</v>
      </c>
      <c r="E222" t="s">
        <v>491</v>
      </c>
      <c r="F222" s="20" t="s">
        <v>65</v>
      </c>
      <c r="G222" t="s">
        <v>66</v>
      </c>
      <c r="H222">
        <v>12221014</v>
      </c>
      <c r="I222" t="s">
        <v>520</v>
      </c>
      <c r="J222" s="25" t="s">
        <v>68</v>
      </c>
      <c r="K222" t="b" s="11">
        <v>0</v>
      </c>
      <c r="L222">
        <v>34</v>
      </c>
      <c r="M222">
        <v>12222014</v>
      </c>
      <c r="N222">
        <v>12232014</v>
      </c>
      <c r="O222">
        <v>12242014</v>
      </c>
      <c r="P222">
        <v>12252014</v>
      </c>
      <c r="Q222">
        <v>12262014</v>
      </c>
      <c r="R222">
        <v>12272014</v>
      </c>
      <c r="S222">
        <v>12282014</v>
      </c>
      <c r="T222">
        <v>12223014</v>
      </c>
      <c r="U222">
        <v>12233014</v>
      </c>
      <c r="V222">
        <v>12243014</v>
      </c>
      <c r="W222">
        <v>12253014</v>
      </c>
      <c r="X222">
        <v>12263014</v>
      </c>
      <c r="Y222">
        <v>12273014</v>
      </c>
      <c r="Z222">
        <v>12283014</v>
      </c>
      <c r="AH222" s="11">
        <v>15</v>
      </c>
      <c r="AI222" s="11" t="s">
        <v>69</v>
      </c>
      <c r="AL222" t="str" s="11">
        <v>【补充设计】保留奇珍ID、钥匙与图谱关系；可携带标记与独立效果行逐ID核对。</v>
      </c>
    </row>
    <row r="223" spans="2:35">
      <c r="B223">
        <v>72221015</v>
      </c>
      <c r="C223" t="s">
        <v>521</v>
      </c>
      <c r="D223" s="25">
        <v>12221015</v>
      </c>
      <c r="E223" t="s">
        <v>491</v>
      </c>
      <c r="F223" s="20" t="s">
        <v>65</v>
      </c>
      <c r="G223" t="s">
        <v>66</v>
      </c>
      <c r="H223">
        <v>12221015</v>
      </c>
      <c r="I223" t="s">
        <v>522</v>
      </c>
      <c r="J223" s="25" t="s">
        <v>68</v>
      </c>
      <c r="K223" t="b" s="11">
        <v>0</v>
      </c>
      <c r="L223">
        <v>34</v>
      </c>
      <c r="M223">
        <v>12222015</v>
      </c>
      <c r="N223">
        <v>12232015</v>
      </c>
      <c r="O223">
        <v>12242015</v>
      </c>
      <c r="P223">
        <v>12252015</v>
      </c>
      <c r="Q223">
        <v>12262015</v>
      </c>
      <c r="R223">
        <v>12272015</v>
      </c>
      <c r="S223">
        <v>12282015</v>
      </c>
      <c r="T223">
        <v>12223015</v>
      </c>
      <c r="U223">
        <v>12233015</v>
      </c>
      <c r="V223">
        <v>12243015</v>
      </c>
      <c r="W223">
        <v>12253015</v>
      </c>
      <c r="X223">
        <v>12263015</v>
      </c>
      <c r="Y223">
        <v>12273015</v>
      </c>
      <c r="Z223">
        <v>12283015</v>
      </c>
      <c r="AH223" s="11">
        <v>16</v>
      </c>
      <c r="AI223" s="11" t="s">
        <v>69</v>
      </c>
      <c r="AL223" t="str" s="11">
        <v>【补充设计】保留奇珍ID、钥匙与图谱关系；可携带标记与独立效果行逐ID核对。</v>
      </c>
    </row>
    <row r="224" spans="2:35">
      <c r="B224">
        <v>72221016</v>
      </c>
      <c r="C224" t="s">
        <v>523</v>
      </c>
      <c r="D224" s="25">
        <v>12221016</v>
      </c>
      <c r="E224" t="s">
        <v>491</v>
      </c>
      <c r="F224" s="20" t="s">
        <v>65</v>
      </c>
      <c r="G224" t="s">
        <v>66</v>
      </c>
      <c r="H224">
        <v>12221016</v>
      </c>
      <c r="I224" t="s">
        <v>524</v>
      </c>
      <c r="J224" s="25" t="s">
        <v>68</v>
      </c>
      <c r="K224" t="b" s="11">
        <v>0</v>
      </c>
      <c r="M224">
        <v>12222016</v>
      </c>
      <c r="N224">
        <v>12232016</v>
      </c>
      <c r="O224">
        <v>12242016</v>
      </c>
      <c r="P224">
        <v>12252016</v>
      </c>
      <c r="Q224">
        <v>12262016</v>
      </c>
      <c r="R224">
        <v>12272016</v>
      </c>
      <c r="S224">
        <v>12282016</v>
      </c>
      <c r="T224">
        <v>12223016</v>
      </c>
      <c r="U224">
        <v>12233016</v>
      </c>
      <c r="V224">
        <v>12243016</v>
      </c>
      <c r="W224">
        <v>12253016</v>
      </c>
      <c r="X224">
        <v>12263016</v>
      </c>
      <c r="Y224">
        <v>12273016</v>
      </c>
      <c r="Z224">
        <v>12283016</v>
      </c>
      <c r="AH224" s="11">
        <v>17</v>
      </c>
      <c r="AI224" s="11" t="s">
        <v>69</v>
      </c>
      <c r="AL224" t="str" s="11">
        <v>【补充设计】保留奇珍ID、钥匙与图谱关系；可携带标记与独立效果行逐ID核对。</v>
      </c>
    </row>
    <row r="225" spans="2:35">
      <c r="B225">
        <v>72221017</v>
      </c>
      <c r="C225" t="s">
        <v>525</v>
      </c>
      <c r="D225" s="25">
        <v>12221017</v>
      </c>
      <c r="E225" t="s">
        <v>491</v>
      </c>
      <c r="F225" s="20" t="s">
        <v>65</v>
      </c>
      <c r="G225" t="s">
        <v>66</v>
      </c>
      <c r="H225">
        <v>12221017</v>
      </c>
      <c r="I225" t="s">
        <v>526</v>
      </c>
      <c r="J225" s="25" t="s">
        <v>68</v>
      </c>
      <c r="K225" t="b" s="11">
        <v>0</v>
      </c>
      <c r="L225">
        <v>34</v>
      </c>
      <c r="M225">
        <v>12222017</v>
      </c>
      <c r="N225">
        <v>12232017</v>
      </c>
      <c r="O225">
        <v>12242017</v>
      </c>
      <c r="P225">
        <v>12252017</v>
      </c>
      <c r="Q225">
        <v>12262017</v>
      </c>
      <c r="R225">
        <v>12272017</v>
      </c>
      <c r="S225">
        <v>12282017</v>
      </c>
      <c r="T225">
        <v>12223017</v>
      </c>
      <c r="U225">
        <v>12233017</v>
      </c>
      <c r="V225">
        <v>12243017</v>
      </c>
      <c r="W225">
        <v>12253017</v>
      </c>
      <c r="X225">
        <v>12263017</v>
      </c>
      <c r="Y225">
        <v>12273017</v>
      </c>
      <c r="Z225">
        <v>12283017</v>
      </c>
      <c r="AH225" s="11">
        <v>18</v>
      </c>
      <c r="AI225" s="11" t="s">
        <v>69</v>
      </c>
      <c r="AL225" t="str" s="11">
        <v>【补充设计】保留奇珍ID、钥匙与图谱关系；可携带标记与独立效果行逐ID核对。</v>
      </c>
    </row>
    <row r="226" spans="2:35">
      <c r="B226">
        <v>72221018</v>
      </c>
      <c r="C226" t="s">
        <v>527</v>
      </c>
      <c r="D226" s="25">
        <v>12221018</v>
      </c>
      <c r="E226" t="s">
        <v>491</v>
      </c>
      <c r="F226" s="20" t="s">
        <v>65</v>
      </c>
      <c r="G226" t="s">
        <v>66</v>
      </c>
      <c r="H226">
        <v>12221018</v>
      </c>
      <c r="I226" t="s">
        <v>528</v>
      </c>
      <c r="J226" s="25" t="s">
        <v>68</v>
      </c>
      <c r="K226" t="b" s="11">
        <v>0</v>
      </c>
      <c r="L226">
        <v>77</v>
      </c>
      <c r="M226">
        <v>12222018</v>
      </c>
      <c r="N226">
        <v>12232018</v>
      </c>
      <c r="O226">
        <v>12242018</v>
      </c>
      <c r="P226">
        <v>12252018</v>
      </c>
      <c r="Q226">
        <v>12262018</v>
      </c>
      <c r="R226">
        <v>12272018</v>
      </c>
      <c r="S226">
        <v>12282018</v>
      </c>
      <c r="T226">
        <v>12223018</v>
      </c>
      <c r="U226">
        <v>12233018</v>
      </c>
      <c r="V226">
        <v>12243018</v>
      </c>
      <c r="W226">
        <v>12253018</v>
      </c>
      <c r="X226">
        <v>12263018</v>
      </c>
      <c r="Y226">
        <v>12273018</v>
      </c>
      <c r="Z226">
        <v>12283018</v>
      </c>
      <c r="AH226" s="11">
        <v>19</v>
      </c>
      <c r="AI226" s="11" t="s">
        <v>69</v>
      </c>
      <c r="AL226" t="str" s="11">
        <v>【补充设计】保留奇珍ID、钥匙与图谱关系；可携带标记与独立效果行逐ID核对。</v>
      </c>
    </row>
    <row r="227" spans="2:35">
      <c r="B227">
        <v>72221019</v>
      </c>
      <c r="C227" t="s">
        <v>529</v>
      </c>
      <c r="D227" s="25">
        <v>12221019</v>
      </c>
      <c r="E227" t="s">
        <v>491</v>
      </c>
      <c r="F227" s="20" t="s">
        <v>65</v>
      </c>
      <c r="G227" t="s">
        <v>66</v>
      </c>
      <c r="H227">
        <v>12221019</v>
      </c>
      <c r="I227" t="s">
        <v>530</v>
      </c>
      <c r="J227" s="25" t="s">
        <v>68</v>
      </c>
      <c r="K227" t="b" s="11">
        <v>0</v>
      </c>
      <c r="L227">
        <v>77</v>
      </c>
      <c r="M227">
        <v>12222019</v>
      </c>
      <c r="N227">
        <v>12232019</v>
      </c>
      <c r="O227">
        <v>12242019</v>
      </c>
      <c r="P227">
        <v>12252019</v>
      </c>
      <c r="Q227">
        <v>12262019</v>
      </c>
      <c r="R227">
        <v>12272019</v>
      </c>
      <c r="S227">
        <v>12282019</v>
      </c>
      <c r="T227">
        <v>12223019</v>
      </c>
      <c r="U227">
        <v>12233019</v>
      </c>
      <c r="V227">
        <v>12243019</v>
      </c>
      <c r="W227">
        <v>12253019</v>
      </c>
      <c r="X227">
        <v>12263019</v>
      </c>
      <c r="Y227">
        <v>12273019</v>
      </c>
      <c r="Z227">
        <v>12283019</v>
      </c>
      <c r="AH227" s="11">
        <v>20</v>
      </c>
      <c r="AI227" s="11" t="s">
        <v>69</v>
      </c>
      <c r="AL227" t="str" s="11">
        <v>【补充设计】保留奇珍ID、钥匙与图谱关系；可携带标记与独立效果行逐ID核对。</v>
      </c>
    </row>
    <row r="228" spans="2:35">
      <c r="B228">
        <v>72221020</v>
      </c>
      <c r="C228" t="s">
        <v>531</v>
      </c>
      <c r="D228" s="25">
        <v>12221020</v>
      </c>
      <c r="E228" t="s">
        <v>491</v>
      </c>
      <c r="F228" s="20" t="s">
        <v>65</v>
      </c>
      <c r="G228" t="s">
        <v>66</v>
      </c>
      <c r="H228">
        <v>12221020</v>
      </c>
      <c r="I228" t="s">
        <v>532</v>
      </c>
      <c r="J228" s="25" t="s">
        <v>68</v>
      </c>
      <c r="K228" t="b" s="11">
        <v>0</v>
      </c>
      <c r="L228">
        <v>31</v>
      </c>
      <c r="M228">
        <v>12222020</v>
      </c>
      <c r="N228">
        <v>12232020</v>
      </c>
      <c r="O228">
        <v>12242020</v>
      </c>
      <c r="P228">
        <v>12252020</v>
      </c>
      <c r="Q228">
        <v>12262020</v>
      </c>
      <c r="R228">
        <v>12272020</v>
      </c>
      <c r="S228">
        <v>12282020</v>
      </c>
      <c r="T228">
        <v>12223020</v>
      </c>
      <c r="U228">
        <v>12233020</v>
      </c>
      <c r="V228">
        <v>12243020</v>
      </c>
      <c r="W228">
        <v>12253020</v>
      </c>
      <c r="X228">
        <v>12263020</v>
      </c>
      <c r="Y228">
        <v>12273020</v>
      </c>
      <c r="Z228">
        <v>12283020</v>
      </c>
      <c r="AH228" s="11">
        <v>21</v>
      </c>
      <c r="AI228" s="11" t="s">
        <v>69</v>
      </c>
      <c r="AL228" t="str" s="11">
        <v>【补充设计】保留奇珍ID、钥匙与图谱关系；可携带标记与独立效果行逐ID核对。</v>
      </c>
    </row>
    <row r="229" spans="2:35">
      <c r="B229">
        <v>72221021</v>
      </c>
      <c r="C229" t="s">
        <v>533</v>
      </c>
      <c r="D229" s="25">
        <v>12221021</v>
      </c>
      <c r="E229" t="s">
        <v>491</v>
      </c>
      <c r="F229" s="20" t="s">
        <v>65</v>
      </c>
      <c r="G229" t="s">
        <v>66</v>
      </c>
      <c r="H229">
        <v>12221021</v>
      </c>
      <c r="I229" t="s">
        <v>534</v>
      </c>
      <c r="J229" s="25" t="s">
        <v>68</v>
      </c>
      <c r="K229" t="b" s="11">
        <v>0</v>
      </c>
      <c r="L229">
        <v>77</v>
      </c>
      <c r="M229">
        <v>12222021</v>
      </c>
      <c r="N229">
        <v>12232021</v>
      </c>
      <c r="O229">
        <v>12242021</v>
      </c>
      <c r="P229">
        <v>12252021</v>
      </c>
      <c r="Q229">
        <v>12262021</v>
      </c>
      <c r="R229">
        <v>12272021</v>
      </c>
      <c r="S229">
        <v>12282021</v>
      </c>
      <c r="T229">
        <v>12223021</v>
      </c>
      <c r="U229">
        <v>12233021</v>
      </c>
      <c r="V229">
        <v>12243021</v>
      </c>
      <c r="W229">
        <v>12253021</v>
      </c>
      <c r="X229">
        <v>12263021</v>
      </c>
      <c r="Y229">
        <v>12273021</v>
      </c>
      <c r="Z229">
        <v>12283021</v>
      </c>
      <c r="AH229" s="11">
        <v>22</v>
      </c>
      <c r="AI229" s="11" t="s">
        <v>69</v>
      </c>
      <c r="AL229" t="str" s="11">
        <v>【补充设计】保留奇珍ID、钥匙与图谱关系；可携带标记与独立效果行逐ID核对。</v>
      </c>
    </row>
    <row r="230" spans="2:35">
      <c r="B230">
        <v>72221022</v>
      </c>
      <c r="C230" t="s">
        <v>535</v>
      </c>
      <c r="D230" s="25">
        <v>12221022</v>
      </c>
      <c r="E230" t="s">
        <v>491</v>
      </c>
      <c r="F230" s="20" t="s">
        <v>65</v>
      </c>
      <c r="G230" t="s">
        <v>66</v>
      </c>
      <c r="H230">
        <v>12221022</v>
      </c>
      <c r="I230" t="s">
        <v>536</v>
      </c>
      <c r="J230" s="25" t="s">
        <v>68</v>
      </c>
      <c r="K230" t="b" s="11">
        <v>0</v>
      </c>
      <c r="L230">
        <v>76</v>
      </c>
      <c r="M230">
        <v>12222022</v>
      </c>
      <c r="N230">
        <v>12232022</v>
      </c>
      <c r="O230">
        <v>12242022</v>
      </c>
      <c r="P230">
        <v>12252022</v>
      </c>
      <c r="Q230">
        <v>12262022</v>
      </c>
      <c r="R230">
        <v>12272022</v>
      </c>
      <c r="S230">
        <v>12282022</v>
      </c>
      <c r="T230">
        <v>12223022</v>
      </c>
      <c r="U230">
        <v>12233022</v>
      </c>
      <c r="V230">
        <v>12243022</v>
      </c>
      <c r="W230">
        <v>12253022</v>
      </c>
      <c r="X230">
        <v>12263022</v>
      </c>
      <c r="Y230">
        <v>12273022</v>
      </c>
      <c r="Z230">
        <v>12283022</v>
      </c>
      <c r="AH230" s="11">
        <v>23</v>
      </c>
      <c r="AI230" s="11" t="s">
        <v>69</v>
      </c>
      <c r="AL230" t="str" s="11">
        <v>【补充设计】保留奇珍ID、钥匙与图谱关系；可携带标记与独立效果行逐ID核对。</v>
      </c>
    </row>
    <row r="231" spans="2:35">
      <c r="B231">
        <v>72221023</v>
      </c>
      <c r="C231" t="s">
        <v>537</v>
      </c>
      <c r="D231" s="25">
        <v>12221023</v>
      </c>
      <c r="E231" t="s">
        <v>491</v>
      </c>
      <c r="F231" s="20" t="s">
        <v>65</v>
      </c>
      <c r="G231" t="s">
        <v>66</v>
      </c>
      <c r="H231">
        <v>12221023</v>
      </c>
      <c r="I231" t="s">
        <v>538</v>
      </c>
      <c r="J231" s="25" t="s">
        <v>68</v>
      </c>
      <c r="K231" t="b" s="11">
        <v>0</v>
      </c>
      <c r="L231">
        <v>76</v>
      </c>
      <c r="M231">
        <v>12222023</v>
      </c>
      <c r="N231">
        <v>12232023</v>
      </c>
      <c r="O231">
        <v>12242023</v>
      </c>
      <c r="P231">
        <v>12252023</v>
      </c>
      <c r="Q231">
        <v>12262023</v>
      </c>
      <c r="R231">
        <v>12272023</v>
      </c>
      <c r="S231">
        <v>12282023</v>
      </c>
      <c r="T231">
        <v>12223023</v>
      </c>
      <c r="U231">
        <v>12233023</v>
      </c>
      <c r="V231">
        <v>12243023</v>
      </c>
      <c r="W231">
        <v>12253023</v>
      </c>
      <c r="X231">
        <v>12263023</v>
      </c>
      <c r="Y231">
        <v>12273023</v>
      </c>
      <c r="Z231">
        <v>12283023</v>
      </c>
      <c r="AH231" s="11">
        <v>24</v>
      </c>
      <c r="AI231" s="11" t="s">
        <v>69</v>
      </c>
      <c r="AL231" t="str" s="11">
        <v>【补充设计】保留奇珍ID、钥匙与图谱关系；可携带标记与独立效果行逐ID核对。</v>
      </c>
    </row>
    <row r="232" spans="2:35">
      <c r="B232">
        <v>72221024</v>
      </c>
      <c r="C232" t="s">
        <v>539</v>
      </c>
      <c r="D232" s="25">
        <v>12221024</v>
      </c>
      <c r="E232" t="s">
        <v>491</v>
      </c>
      <c r="F232" s="20" t="s">
        <v>65</v>
      </c>
      <c r="G232" t="s">
        <v>66</v>
      </c>
      <c r="H232">
        <v>12221024</v>
      </c>
      <c r="I232" t="s">
        <v>540</v>
      </c>
      <c r="J232" s="25" t="s">
        <v>68</v>
      </c>
      <c r="K232" t="b">
        <v>1</v>
      </c>
      <c r="L232">
        <v>35</v>
      </c>
      <c r="M232">
        <v>12222024</v>
      </c>
      <c r="N232">
        <v>12232024</v>
      </c>
      <c r="O232">
        <v>12242024</v>
      </c>
      <c r="P232">
        <v>12252024</v>
      </c>
      <c r="Q232">
        <v>12262024</v>
      </c>
      <c r="R232">
        <v>12272024</v>
      </c>
      <c r="S232">
        <v>12282024</v>
      </c>
      <c r="T232">
        <v>12223024</v>
      </c>
      <c r="U232">
        <v>12233024</v>
      </c>
      <c r="V232">
        <v>12243024</v>
      </c>
      <c r="W232">
        <v>12253024</v>
      </c>
      <c r="X232">
        <v>12263024</v>
      </c>
      <c r="Y232">
        <v>12273024</v>
      </c>
      <c r="Z232">
        <v>12283024</v>
      </c>
      <c r="AH232" s="11">
        <v>25</v>
      </c>
      <c r="AI232" s="11" t="s">
        <v>69</v>
      </c>
      <c r="AL232" t="str" s="11">
        <v>【补充设计】保留奇珍ID、钥匙与图谱关系；可携带标记与独立效果行逐ID核对。</v>
      </c>
    </row>
    <row r="233" spans="2:35">
      <c r="B233">
        <v>72221025</v>
      </c>
      <c r="C233" t="s">
        <v>541</v>
      </c>
      <c r="D233" s="25">
        <v>12221025</v>
      </c>
      <c r="E233" t="s">
        <v>491</v>
      </c>
      <c r="F233" s="20" t="s">
        <v>65</v>
      </c>
      <c r="G233" t="s">
        <v>66</v>
      </c>
      <c r="H233">
        <v>12221025</v>
      </c>
      <c r="I233" t="s">
        <v>542</v>
      </c>
      <c r="J233" s="25" t="s">
        <v>68</v>
      </c>
      <c r="K233" t="b">
        <v>1</v>
      </c>
      <c r="L233">
        <v>35</v>
      </c>
      <c r="M233">
        <v>12222025</v>
      </c>
      <c r="N233">
        <v>12232025</v>
      </c>
      <c r="O233">
        <v>12242025</v>
      </c>
      <c r="P233">
        <v>12252025</v>
      </c>
      <c r="Q233">
        <v>12262025</v>
      </c>
      <c r="R233">
        <v>12272025</v>
      </c>
      <c r="S233">
        <v>12282025</v>
      </c>
      <c r="T233">
        <v>12223025</v>
      </c>
      <c r="U233">
        <v>12233025</v>
      </c>
      <c r="V233">
        <v>12243025</v>
      </c>
      <c r="W233">
        <v>12253025</v>
      </c>
      <c r="X233">
        <v>12263025</v>
      </c>
      <c r="Y233">
        <v>12273025</v>
      </c>
      <c r="Z233">
        <v>12283025</v>
      </c>
      <c r="AH233" s="11">
        <v>26</v>
      </c>
      <c r="AI233" s="11" t="s">
        <v>69</v>
      </c>
      <c r="AL233" t="str" s="11">
        <v>【补充设计】保留奇珍ID、钥匙与图谱关系；可携带标记与独立效果行逐ID核对。</v>
      </c>
    </row>
    <row r="234" spans="2:35">
      <c r="B234">
        <v>72221026</v>
      </c>
      <c r="C234" t="s">
        <v>543</v>
      </c>
      <c r="D234" s="25">
        <v>12221026</v>
      </c>
      <c r="E234" t="s">
        <v>491</v>
      </c>
      <c r="F234" s="20" t="s">
        <v>65</v>
      </c>
      <c r="G234" t="s">
        <v>66</v>
      </c>
      <c r="H234">
        <v>12221026</v>
      </c>
      <c r="I234" t="s">
        <v>544</v>
      </c>
      <c r="J234" s="25" t="s">
        <v>68</v>
      </c>
      <c r="K234" t="b">
        <v>1</v>
      </c>
      <c r="L234">
        <v>30</v>
      </c>
      <c r="M234">
        <v>12222026</v>
      </c>
      <c r="N234">
        <v>12232026</v>
      </c>
      <c r="O234">
        <v>12242026</v>
      </c>
      <c r="P234">
        <v>12252026</v>
      </c>
      <c r="Q234">
        <v>12262026</v>
      </c>
      <c r="R234">
        <v>12272026</v>
      </c>
      <c r="S234">
        <v>12282026</v>
      </c>
      <c r="T234">
        <v>12223026</v>
      </c>
      <c r="U234">
        <v>12233026</v>
      </c>
      <c r="V234">
        <v>12243026</v>
      </c>
      <c r="W234">
        <v>12253026</v>
      </c>
      <c r="X234">
        <v>12263026</v>
      </c>
      <c r="Y234">
        <v>12273026</v>
      </c>
      <c r="Z234">
        <v>12283026</v>
      </c>
      <c r="AH234" s="11">
        <v>27</v>
      </c>
      <c r="AI234" s="11" t="s">
        <v>69</v>
      </c>
      <c r="AL234" t="str" s="11">
        <v>【补充设计】保留奇珍ID、钥匙与图谱关系；可携带标记与独立效果行逐ID核对。</v>
      </c>
    </row>
    <row r="235" spans="2:35">
      <c r="B235">
        <v>72221027</v>
      </c>
      <c r="C235" t="s">
        <v>545</v>
      </c>
      <c r="D235" s="25">
        <v>12221027</v>
      </c>
      <c r="E235" t="s">
        <v>491</v>
      </c>
      <c r="F235" s="20" t="s">
        <v>65</v>
      </c>
      <c r="G235" t="s">
        <v>66</v>
      </c>
      <c r="H235">
        <v>12221027</v>
      </c>
      <c r="I235" t="s">
        <v>546</v>
      </c>
      <c r="J235" s="25" t="s">
        <v>68</v>
      </c>
      <c r="K235" t="b">
        <v>1</v>
      </c>
      <c r="L235">
        <v>30</v>
      </c>
      <c r="M235">
        <v>12222027</v>
      </c>
      <c r="N235">
        <v>12232027</v>
      </c>
      <c r="O235">
        <v>12242027</v>
      </c>
      <c r="P235">
        <v>12252027</v>
      </c>
      <c r="Q235">
        <v>12262027</v>
      </c>
      <c r="R235">
        <v>12272027</v>
      </c>
      <c r="S235">
        <v>12282027</v>
      </c>
      <c r="T235">
        <v>12223027</v>
      </c>
      <c r="U235">
        <v>12233027</v>
      </c>
      <c r="V235">
        <v>12243027</v>
      </c>
      <c r="W235">
        <v>12253027</v>
      </c>
      <c r="X235">
        <v>12263027</v>
      </c>
      <c r="Y235">
        <v>12273027</v>
      </c>
      <c r="Z235">
        <v>12283027</v>
      </c>
      <c r="AH235" s="11">
        <v>28</v>
      </c>
      <c r="AI235" s="11" t="s">
        <v>69</v>
      </c>
      <c r="AL235" t="str" s="11">
        <v>【补充设计】保留奇珍ID、钥匙与图谱关系；可携带标记与独立效果行逐ID核对。</v>
      </c>
    </row>
    <row r="236" spans="2:35">
      <c r="B236">
        <v>72221028</v>
      </c>
      <c r="C236" t="s">
        <v>547</v>
      </c>
      <c r="D236" s="25">
        <v>12221028</v>
      </c>
      <c r="E236" t="s">
        <v>491</v>
      </c>
      <c r="F236" s="20" t="s">
        <v>65</v>
      </c>
      <c r="G236" t="s">
        <v>66</v>
      </c>
      <c r="H236">
        <v>12221028</v>
      </c>
      <c r="I236" t="s">
        <v>548</v>
      </c>
      <c r="J236" s="25" t="s">
        <v>68</v>
      </c>
      <c r="K236" t="b" s="11">
        <v>0</v>
      </c>
      <c r="L236">
        <v>78</v>
      </c>
      <c r="M236">
        <v>12222028</v>
      </c>
      <c r="N236">
        <v>12232028</v>
      </c>
      <c r="O236">
        <v>12242028</v>
      </c>
      <c r="P236">
        <v>12252028</v>
      </c>
      <c r="Q236">
        <v>12262028</v>
      </c>
      <c r="R236">
        <v>12272028</v>
      </c>
      <c r="S236">
        <v>12282028</v>
      </c>
      <c r="T236">
        <v>12223028</v>
      </c>
      <c r="U236">
        <v>12233028</v>
      </c>
      <c r="V236">
        <v>12243028</v>
      </c>
      <c r="W236">
        <v>12253028</v>
      </c>
      <c r="X236">
        <v>12263028</v>
      </c>
      <c r="Y236">
        <v>12273028</v>
      </c>
      <c r="Z236">
        <v>12283028</v>
      </c>
      <c r="AH236" s="11">
        <v>29</v>
      </c>
      <c r="AI236" s="11" t="s">
        <v>69</v>
      </c>
      <c r="AL236" t="str" s="11">
        <v>【补充设计】保留奇珍ID、钥匙与图谱关系；可携带标记与独立效果行逐ID核对。</v>
      </c>
    </row>
    <row r="237" spans="2:35">
      <c r="B237">
        <v>72221029</v>
      </c>
      <c r="C237" t="s">
        <v>549</v>
      </c>
      <c r="D237" s="25">
        <v>12221029</v>
      </c>
      <c r="E237" t="s">
        <v>491</v>
      </c>
      <c r="F237" s="20" t="s">
        <v>65</v>
      </c>
      <c r="G237" t="s">
        <v>66</v>
      </c>
      <c r="H237">
        <v>12221029</v>
      </c>
      <c r="I237" t="s">
        <v>550</v>
      </c>
      <c r="J237" s="25" t="s">
        <v>68</v>
      </c>
      <c r="K237" t="b" s="11">
        <v>0</v>
      </c>
      <c r="L237">
        <v>75</v>
      </c>
      <c r="M237">
        <v>12222029</v>
      </c>
      <c r="N237">
        <v>12232029</v>
      </c>
      <c r="O237">
        <v>12242029</v>
      </c>
      <c r="P237">
        <v>12252029</v>
      </c>
      <c r="Q237">
        <v>12262029</v>
      </c>
      <c r="R237">
        <v>12272029</v>
      </c>
      <c r="S237">
        <v>12282029</v>
      </c>
      <c r="T237">
        <v>12223029</v>
      </c>
      <c r="U237">
        <v>12233029</v>
      </c>
      <c r="V237">
        <v>12243029</v>
      </c>
      <c r="W237">
        <v>12253029</v>
      </c>
      <c r="X237">
        <v>12263029</v>
      </c>
      <c r="Y237">
        <v>12273029</v>
      </c>
      <c r="Z237">
        <v>12283029</v>
      </c>
      <c r="AH237" s="11">
        <v>30</v>
      </c>
      <c r="AI237" s="11" t="s">
        <v>69</v>
      </c>
      <c r="AL237" t="str" s="11">
        <v>【补充设计】保留奇珍ID、钥匙与图谱关系；可携带标记与独立效果行逐ID核对。</v>
      </c>
    </row>
    <row r="238" spans="2:35">
      <c r="B238">
        <v>72221030</v>
      </c>
      <c r="C238" t="s">
        <v>551</v>
      </c>
      <c r="D238" s="25">
        <v>12221030</v>
      </c>
      <c r="E238" t="s">
        <v>491</v>
      </c>
      <c r="F238" s="20" t="s">
        <v>65</v>
      </c>
      <c r="G238" t="s">
        <v>66</v>
      </c>
      <c r="H238">
        <v>12221030</v>
      </c>
      <c r="I238" t="s">
        <v>552</v>
      </c>
      <c r="J238" s="25" t="s">
        <v>68</v>
      </c>
      <c r="K238" t="b" s="11">
        <v>0</v>
      </c>
      <c r="L238">
        <v>75</v>
      </c>
      <c r="M238">
        <v>12222030</v>
      </c>
      <c r="N238">
        <v>12232030</v>
      </c>
      <c r="O238">
        <v>12242030</v>
      </c>
      <c r="P238">
        <v>12252030</v>
      </c>
      <c r="Q238">
        <v>12262030</v>
      </c>
      <c r="R238">
        <v>12272030</v>
      </c>
      <c r="S238">
        <v>12282030</v>
      </c>
      <c r="T238">
        <v>12223030</v>
      </c>
      <c r="U238">
        <v>12233030</v>
      </c>
      <c r="V238">
        <v>12243030</v>
      </c>
      <c r="W238">
        <v>12253030</v>
      </c>
      <c r="X238">
        <v>12263030</v>
      </c>
      <c r="Y238">
        <v>12273030</v>
      </c>
      <c r="Z238">
        <v>12283030</v>
      </c>
      <c r="AH238" s="11">
        <v>31</v>
      </c>
      <c r="AI238" s="11" t="s">
        <v>69</v>
      </c>
      <c r="AL238" t="str" s="11">
        <v>【补充设计】保留奇珍ID、钥匙与图谱关系；可携带标记与独立效果行逐ID核对。</v>
      </c>
    </row>
    <row r="239" spans="2:35">
      <c r="B239">
        <v>72221031</v>
      </c>
      <c r="C239" t="inlineStr">
        <is>
          <t xml:space="preserve">震音符</t>
        </is>
      </c>
      <c r="D239" s="25">
        <v>12221031</v>
      </c>
      <c r="E239" t="s">
        <v>491</v>
      </c>
      <c r="F239" s="20" t="s">
        <v>65</v>
      </c>
      <c r="G239" t="s">
        <v>66</v>
      </c>
      <c r="H239">
        <v>12221031</v>
      </c>
      <c r="I239" t="s">
        <v>554</v>
      </c>
      <c r="J239" s="25" t="s">
        <v>68</v>
      </c>
      <c r="K239" t="b" s="11">
        <v>0</v>
      </c>
      <c r="L239">
        <v>75</v>
      </c>
      <c r="M239">
        <v>12222031</v>
      </c>
      <c r="N239">
        <v>12232031</v>
      </c>
      <c r="O239">
        <v>12242031</v>
      </c>
      <c r="P239">
        <v>12252031</v>
      </c>
      <c r="Q239">
        <v>12262031</v>
      </c>
      <c r="R239">
        <v>12272031</v>
      </c>
      <c r="S239">
        <v>12282031</v>
      </c>
      <c r="T239">
        <v>12223031</v>
      </c>
      <c r="U239">
        <v>12233031</v>
      </c>
      <c r="V239">
        <v>12243031</v>
      </c>
      <c r="W239">
        <v>12253031</v>
      </c>
      <c r="X239">
        <v>12263031</v>
      </c>
      <c r="Y239">
        <v>12273031</v>
      </c>
      <c r="Z239">
        <v>12283031</v>
      </c>
      <c r="AH239" s="11">
        <v>32</v>
      </c>
      <c r="AI239" s="11" t="s">
        <v>69</v>
      </c>
      <c r="AL239" t="str" s="11">
        <v>【补充设计】保留奇珍ID、钥匙与图谱关系；可携带标记与独立效果行逐ID核对。</v>
      </c>
    </row>
    <row r="240" spans="2:35">
      <c r="B240">
        <v>72221032</v>
      </c>
      <c r="C240" t="s">
        <v>555</v>
      </c>
      <c r="D240" s="25">
        <v>12221032</v>
      </c>
      <c r="E240" t="s">
        <v>491</v>
      </c>
      <c r="F240" s="20" t="s">
        <v>65</v>
      </c>
      <c r="G240" t="s">
        <v>66</v>
      </c>
      <c r="H240">
        <v>12221032</v>
      </c>
      <c r="I240" t="s">
        <v>556</v>
      </c>
      <c r="J240" s="25" t="s">
        <v>68</v>
      </c>
      <c r="K240" t="b" s="11">
        <v>0</v>
      </c>
      <c r="L240">
        <v>75</v>
      </c>
      <c r="M240">
        <v>12222032</v>
      </c>
      <c r="N240">
        <v>12232032</v>
      </c>
      <c r="O240">
        <v>12242032</v>
      </c>
      <c r="P240">
        <v>12252032</v>
      </c>
      <c r="Q240">
        <v>12262032</v>
      </c>
      <c r="R240">
        <v>12272032</v>
      </c>
      <c r="S240">
        <v>12282032</v>
      </c>
      <c r="T240">
        <v>12223032</v>
      </c>
      <c r="U240">
        <v>12233032</v>
      </c>
      <c r="V240">
        <v>12243032</v>
      </c>
      <c r="W240">
        <v>12253032</v>
      </c>
      <c r="X240">
        <v>12263032</v>
      </c>
      <c r="Y240">
        <v>12273032</v>
      </c>
      <c r="Z240">
        <v>12283032</v>
      </c>
      <c r="AH240" s="11">
        <v>33</v>
      </c>
      <c r="AI240" s="11" t="s">
        <v>69</v>
      </c>
      <c r="AL240" t="str" s="11">
        <v>【补充设计】保留奇珍ID、钥匙与图谱关系；可携带标记与独立效果行逐ID核对。</v>
      </c>
    </row>
    <row r="241" spans="2:35">
      <c r="B241">
        <v>72221033</v>
      </c>
      <c r="C241" t="s">
        <v>557</v>
      </c>
      <c r="D241" s="25">
        <v>12221033</v>
      </c>
      <c r="E241" t="s">
        <v>491</v>
      </c>
      <c r="F241" s="20" t="s">
        <v>65</v>
      </c>
      <c r="G241" t="s">
        <v>66</v>
      </c>
      <c r="H241">
        <v>12221033</v>
      </c>
      <c r="I241" t="s">
        <v>558</v>
      </c>
      <c r="J241" s="25" t="s">
        <v>68</v>
      </c>
      <c r="K241" t="b">
        <v>1</v>
      </c>
      <c r="L241">
        <v>78</v>
      </c>
      <c r="M241">
        <v>12222033</v>
      </c>
      <c r="N241">
        <v>12232033</v>
      </c>
      <c r="O241">
        <v>12242033</v>
      </c>
      <c r="P241">
        <v>12252033</v>
      </c>
      <c r="Q241">
        <v>12262033</v>
      </c>
      <c r="R241">
        <v>12272033</v>
      </c>
      <c r="S241">
        <v>12282033</v>
      </c>
      <c r="T241">
        <v>12223033</v>
      </c>
      <c r="U241">
        <v>12233033</v>
      </c>
      <c r="V241">
        <v>12243033</v>
      </c>
      <c r="W241">
        <v>12253033</v>
      </c>
      <c r="X241">
        <v>12263033</v>
      </c>
      <c r="Y241">
        <v>12273033</v>
      </c>
      <c r="Z241">
        <v>12283033</v>
      </c>
      <c r="AH241" s="11">
        <v>34</v>
      </c>
      <c r="AI241" s="11" t="s">
        <v>69</v>
      </c>
      <c r="AL241" t="str" s="11">
        <v>【补充设计】保留奇珍ID、钥匙与图谱关系；可携带标记与独立效果行逐ID核对。</v>
      </c>
    </row>
    <row r="242" spans="2:35">
      <c r="B242">
        <v>72221034</v>
      </c>
      <c r="C242" t="s">
        <v>559</v>
      </c>
      <c r="D242" s="25">
        <v>12221034</v>
      </c>
      <c r="E242" t="s">
        <v>491</v>
      </c>
      <c r="F242" s="20" t="s">
        <v>65</v>
      </c>
      <c r="G242" t="s">
        <v>66</v>
      </c>
      <c r="H242">
        <v>12221034</v>
      </c>
      <c r="I242" t="s">
        <v>560</v>
      </c>
      <c r="J242" s="25" t="s">
        <v>68</v>
      </c>
      <c r="K242" t="b" s="11">
        <v>0</v>
      </c>
      <c r="L242">
        <v>78</v>
      </c>
      <c r="M242">
        <v>12222034</v>
      </c>
      <c r="N242">
        <v>12232034</v>
      </c>
      <c r="O242">
        <v>12242034</v>
      </c>
      <c r="P242">
        <v>12252034</v>
      </c>
      <c r="Q242">
        <v>12262034</v>
      </c>
      <c r="R242">
        <v>12272034</v>
      </c>
      <c r="S242">
        <v>12282034</v>
      </c>
      <c r="T242">
        <v>12223034</v>
      </c>
      <c r="U242">
        <v>12233034</v>
      </c>
      <c r="V242">
        <v>12243034</v>
      </c>
      <c r="W242">
        <v>12253034</v>
      </c>
      <c r="X242">
        <v>12263034</v>
      </c>
      <c r="Y242">
        <v>12273034</v>
      </c>
      <c r="Z242">
        <v>12283034</v>
      </c>
      <c r="AH242" s="11">
        <v>35</v>
      </c>
      <c r="AI242" s="11" t="s">
        <v>69</v>
      </c>
      <c r="AL242" t="str" s="11">
        <v>【补充设计】保留奇珍ID、钥匙与图谱关系；可携带标记与独立效果行逐ID核对。</v>
      </c>
    </row>
    <row r="243" spans="2:35">
      <c r="B243">
        <v>72221035</v>
      </c>
      <c r="C243" t="s">
        <v>561</v>
      </c>
      <c r="D243" s="25">
        <v>12221035</v>
      </c>
      <c r="E243" t="s">
        <v>491</v>
      </c>
      <c r="F243" s="20" t="s">
        <v>65</v>
      </c>
      <c r="G243" t="s">
        <v>66</v>
      </c>
      <c r="H243">
        <v>12221035</v>
      </c>
      <c r="I243" t="s">
        <v>562</v>
      </c>
      <c r="J243" s="25" t="s">
        <v>68</v>
      </c>
      <c r="K243" t="b" s="11">
        <v>0</v>
      </c>
      <c r="L243">
        <v>36</v>
      </c>
      <c r="M243">
        <v>12222035</v>
      </c>
      <c r="N243">
        <v>12232035</v>
      </c>
      <c r="O243">
        <v>12242035</v>
      </c>
      <c r="P243">
        <v>12252035</v>
      </c>
      <c r="Q243">
        <v>12262035</v>
      </c>
      <c r="R243">
        <v>12272035</v>
      </c>
      <c r="S243">
        <v>12282035</v>
      </c>
      <c r="T243">
        <v>12223035</v>
      </c>
      <c r="U243">
        <v>12233035</v>
      </c>
      <c r="V243">
        <v>12243035</v>
      </c>
      <c r="W243">
        <v>12253035</v>
      </c>
      <c r="X243">
        <v>12263035</v>
      </c>
      <c r="Y243">
        <v>12273035</v>
      </c>
      <c r="Z243">
        <v>12283035</v>
      </c>
      <c r="AH243" s="11">
        <v>36</v>
      </c>
      <c r="AI243" s="11" t="s">
        <v>69</v>
      </c>
      <c r="AL243" t="str" s="11">
        <v>【补充设计】保留奇珍ID、钥匙与图谱关系；可携带标记与独立效果行逐ID核对。</v>
      </c>
    </row>
    <row r="244" spans="2:35">
      <c r="B244">
        <v>72221036</v>
      </c>
      <c r="C244" t="s">
        <v>563</v>
      </c>
      <c r="D244" s="25">
        <v>12221036</v>
      </c>
      <c r="E244" t="s">
        <v>491</v>
      </c>
      <c r="F244" s="20" t="s">
        <v>65</v>
      </c>
      <c r="G244" t="s">
        <v>66</v>
      </c>
      <c r="H244">
        <v>12221036</v>
      </c>
      <c r="I244" t="s">
        <v>564</v>
      </c>
      <c r="J244" s="25" t="s">
        <v>68</v>
      </c>
      <c r="K244" t="b" s="11">
        <v>0</v>
      </c>
      <c r="L244">
        <v>36</v>
      </c>
      <c r="M244">
        <v>12222036</v>
      </c>
      <c r="N244">
        <v>12232036</v>
      </c>
      <c r="O244">
        <v>12242036</v>
      </c>
      <c r="P244">
        <v>12252036</v>
      </c>
      <c r="Q244">
        <v>12262036</v>
      </c>
      <c r="R244">
        <v>12272036</v>
      </c>
      <c r="S244">
        <v>12282036</v>
      </c>
      <c r="T244">
        <v>12223036</v>
      </c>
      <c r="U244">
        <v>12233036</v>
      </c>
      <c r="V244">
        <v>12243036</v>
      </c>
      <c r="W244">
        <v>12253036</v>
      </c>
      <c r="X244">
        <v>12263036</v>
      </c>
      <c r="Y244">
        <v>12273036</v>
      </c>
      <c r="Z244">
        <v>12283036</v>
      </c>
      <c r="AH244" s="11">
        <v>37</v>
      </c>
      <c r="AI244" s="11" t="s">
        <v>69</v>
      </c>
      <c r="AL244" t="str" s="11">
        <v>【补充设计】保留奇珍ID、钥匙与图谱关系；可携带标记与独立效果行逐ID核对。</v>
      </c>
    </row>
    <row r="245" spans="2:35">
      <c r="B245">
        <v>72221037</v>
      </c>
      <c r="C245" t="s">
        <v>565</v>
      </c>
      <c r="D245" s="25">
        <v>12221037</v>
      </c>
      <c r="E245" t="s">
        <v>491</v>
      </c>
      <c r="F245" s="20" t="s">
        <v>65</v>
      </c>
      <c r="G245" t="s">
        <v>66</v>
      </c>
      <c r="H245">
        <v>12221037</v>
      </c>
      <c r="I245" t="s">
        <v>566</v>
      </c>
      <c r="J245" s="25" t="s">
        <v>68</v>
      </c>
      <c r="K245" t="b" s="11">
        <v>0</v>
      </c>
      <c r="L245">
        <v>36</v>
      </c>
      <c r="M245">
        <v>12222037</v>
      </c>
      <c r="N245">
        <v>12232037</v>
      </c>
      <c r="O245">
        <v>12242037</v>
      </c>
      <c r="P245">
        <v>12252037</v>
      </c>
      <c r="Q245">
        <v>12262037</v>
      </c>
      <c r="R245">
        <v>12272037</v>
      </c>
      <c r="S245">
        <v>12282037</v>
      </c>
      <c r="T245">
        <v>12223037</v>
      </c>
      <c r="U245">
        <v>12233037</v>
      </c>
      <c r="V245">
        <v>12243037</v>
      </c>
      <c r="W245">
        <v>12253037</v>
      </c>
      <c r="X245">
        <v>12263037</v>
      </c>
      <c r="Y245">
        <v>12273037</v>
      </c>
      <c r="Z245">
        <v>12283037</v>
      </c>
      <c r="AH245" s="11">
        <v>38</v>
      </c>
      <c r="AI245" s="11" t="s">
        <v>69</v>
      </c>
      <c r="AL245" t="str" s="11">
        <v>【补充设计】保留奇珍ID、钥匙与图谱关系；可携带标记与独立效果行逐ID核对。</v>
      </c>
    </row>
    <row r="246" spans="2:35">
      <c r="B246">
        <v>72221038</v>
      </c>
      <c r="C246" t="inlineStr">
        <is>
          <t xml:space="preserve">震慑符</t>
        </is>
      </c>
      <c r="D246" s="25">
        <v>12221038</v>
      </c>
      <c r="E246" t="s">
        <v>491</v>
      </c>
      <c r="F246" s="20" t="s">
        <v>65</v>
      </c>
      <c r="G246" t="s">
        <v>66</v>
      </c>
      <c r="H246">
        <v>12221038</v>
      </c>
      <c r="I246" t="s">
        <v>568</v>
      </c>
      <c r="J246" s="25" t="s">
        <v>68</v>
      </c>
      <c r="K246" t="b" s="11">
        <v>0</v>
      </c>
      <c r="M246">
        <v>12222038</v>
      </c>
      <c r="N246">
        <v>12232038</v>
      </c>
      <c r="O246">
        <v>12242038</v>
      </c>
      <c r="P246">
        <v>12252038</v>
      </c>
      <c r="Q246">
        <v>12262038</v>
      </c>
      <c r="R246">
        <v>12272038</v>
      </c>
      <c r="S246">
        <v>12282038</v>
      </c>
      <c r="T246">
        <v>12223038</v>
      </c>
      <c r="U246">
        <v>12233038</v>
      </c>
      <c r="V246">
        <v>12243038</v>
      </c>
      <c r="W246">
        <v>12253038</v>
      </c>
      <c r="X246">
        <v>12263038</v>
      </c>
      <c r="Y246">
        <v>12273038</v>
      </c>
      <c r="Z246">
        <v>12283038</v>
      </c>
      <c r="AH246" s="11">
        <v>39</v>
      </c>
      <c r="AI246" s="11" t="s">
        <v>69</v>
      </c>
      <c r="AL246" t="str" s="11">
        <v>【补充设计】保留奇珍ID、钥匙与图谱关系；可携带标记与独立效果行逐ID核对。</v>
      </c>
    </row>
    <row r="247" spans="2:35">
      <c r="B247">
        <v>72221039</v>
      </c>
      <c r="C247" t="s">
        <v>569</v>
      </c>
      <c r="D247" s="25">
        <v>12221039</v>
      </c>
      <c r="E247" t="s">
        <v>491</v>
      </c>
      <c r="F247" s="20" t="s">
        <v>65</v>
      </c>
      <c r="G247" t="s">
        <v>66</v>
      </c>
      <c r="H247">
        <v>12221039</v>
      </c>
      <c r="I247" t="s">
        <v>570</v>
      </c>
      <c r="J247" s="25" t="s">
        <v>68</v>
      </c>
      <c r="K247" t="b" s="11">
        <v>0</v>
      </c>
      <c r="L247">
        <v>78</v>
      </c>
      <c r="M247">
        <v>12222039</v>
      </c>
      <c r="N247">
        <v>12232039</v>
      </c>
      <c r="O247">
        <v>12242039</v>
      </c>
      <c r="P247">
        <v>12252039</v>
      </c>
      <c r="Q247">
        <v>12262039</v>
      </c>
      <c r="R247">
        <v>12272039</v>
      </c>
      <c r="S247">
        <v>12282039</v>
      </c>
      <c r="T247">
        <v>12223039</v>
      </c>
      <c r="U247">
        <v>12233039</v>
      </c>
      <c r="V247">
        <v>12243039</v>
      </c>
      <c r="W247">
        <v>12253039</v>
      </c>
      <c r="X247">
        <v>12263039</v>
      </c>
      <c r="Y247">
        <v>12273039</v>
      </c>
      <c r="Z247">
        <v>12283039</v>
      </c>
      <c r="AH247" s="11">
        <v>40</v>
      </c>
      <c r="AI247" s="11" t="s">
        <v>69</v>
      </c>
      <c r="AL247" t="str" s="11">
        <v>【补充设计】保留奇珍ID、钥匙与图谱关系；可携带标记与独立效果行逐ID核对。</v>
      </c>
    </row>
    <row r="248" spans="2:35">
      <c r="B248">
        <v>72221040</v>
      </c>
      <c r="C248" t="s">
        <v>571</v>
      </c>
      <c r="D248" s="25">
        <v>12221040</v>
      </c>
      <c r="E248" t="s">
        <v>491</v>
      </c>
      <c r="F248" s="20" t="s">
        <v>65</v>
      </c>
      <c r="G248" t="s">
        <v>66</v>
      </c>
      <c r="H248">
        <v>12221040</v>
      </c>
      <c r="I248" t="s">
        <v>572</v>
      </c>
      <c r="J248" s="25" t="s">
        <v>68</v>
      </c>
      <c r="K248" t="b" s="11">
        <v>0</v>
      </c>
      <c r="L248">
        <v>78</v>
      </c>
      <c r="M248">
        <v>12222040</v>
      </c>
      <c r="N248">
        <v>12232040</v>
      </c>
      <c r="O248">
        <v>12242040</v>
      </c>
      <c r="P248">
        <v>12252040</v>
      </c>
      <c r="Q248">
        <v>12262040</v>
      </c>
      <c r="R248">
        <v>12272040</v>
      </c>
      <c r="S248">
        <v>12282040</v>
      </c>
      <c r="T248">
        <v>12223040</v>
      </c>
      <c r="U248">
        <v>12233040</v>
      </c>
      <c r="V248">
        <v>12243040</v>
      </c>
      <c r="W248">
        <v>12253040</v>
      </c>
      <c r="X248">
        <v>12263040</v>
      </c>
      <c r="Y248">
        <v>12273040</v>
      </c>
      <c r="Z248">
        <v>12283040</v>
      </c>
      <c r="AH248" s="11">
        <v>41</v>
      </c>
      <c r="AI248" s="11" t="s">
        <v>69</v>
      </c>
      <c r="AL248" t="str" s="11">
        <v>【补充设计】保留奇珍ID、钥匙与图谱关系；可携带标记与独立效果行逐ID核对。</v>
      </c>
    </row>
    <row r="249" spans="2:35">
      <c r="B249">
        <v>72221041</v>
      </c>
      <c r="C249" t="s">
        <v>573</v>
      </c>
      <c r="D249" s="25">
        <v>12221041</v>
      </c>
      <c r="E249" t="s">
        <v>491</v>
      </c>
      <c r="F249" s="20" t="s">
        <v>65</v>
      </c>
      <c r="G249" t="s">
        <v>66</v>
      </c>
      <c r="H249">
        <v>12221041</v>
      </c>
      <c r="I249" t="s">
        <v>574</v>
      </c>
      <c r="J249" s="25" t="s">
        <v>68</v>
      </c>
      <c r="K249" t="b" s="11">
        <v>0</v>
      </c>
      <c r="M249">
        <v>12222041</v>
      </c>
      <c r="N249">
        <v>12232041</v>
      </c>
      <c r="O249">
        <v>12242041</v>
      </c>
      <c r="P249">
        <v>12252041</v>
      </c>
      <c r="Q249">
        <v>12262041</v>
      </c>
      <c r="R249">
        <v>12272041</v>
      </c>
      <c r="S249">
        <v>12282041</v>
      </c>
      <c r="T249">
        <v>12223041</v>
      </c>
      <c r="U249">
        <v>12233041</v>
      </c>
      <c r="V249">
        <v>12243041</v>
      </c>
      <c r="W249">
        <v>12253041</v>
      </c>
      <c r="X249">
        <v>12263041</v>
      </c>
      <c r="Y249">
        <v>12273041</v>
      </c>
      <c r="Z249">
        <v>12283041</v>
      </c>
      <c r="AH249" s="11">
        <v>42</v>
      </c>
      <c r="AI249" s="11" t="s">
        <v>69</v>
      </c>
      <c r="AL249" t="str" s="11">
        <v>【补充设计】保留奇珍ID、钥匙与图谱关系；可携带标记与独立效果行逐ID核对。</v>
      </c>
    </row>
    <row r="250" spans="2:35">
      <c r="B250">
        <f t="shared" ref="B250:B313" si="6">M250+60000000</f>
        <v>72124000</v>
      </c>
      <c r="C250" t="s">
        <v>575</v>
      </c>
      <c r="D250" s="25">
        <v>12124000</v>
      </c>
      <c r="E250" t="s">
        <v>576</v>
      </c>
      <c r="F250" t="s">
        <v>145</v>
      </c>
      <c r="G250" t="s">
        <v>215</v>
      </c>
      <c r="H250">
        <v>12124000</v>
      </c>
      <c r="I250" t="s">
        <v>577</v>
      </c>
      <c r="J250" s="25" t="s">
        <v>68</v>
      </c>
      <c r="K250" t="b">
        <v>1</v>
      </c>
      <c r="L250">
        <v>37</v>
      </c>
      <c r="M250">
        <v>12124000</v>
      </c>
      <c r="AH250" s="11">
        <v>1</v>
      </c>
      <c r="AI250" s="11" t="s">
        <v>69</v>
      </c>
      <c r="AL250" t="str" s="11">
        <v>【补充设计】保留奇珍ID、钥匙与图谱关系；可携带标记与独立效果行逐ID核对。</v>
      </c>
    </row>
    <row r="251" spans="2:35">
      <c r="B251">
        <f t="shared" si="6"/>
        <v>72185000</v>
      </c>
      <c r="C251" t="s">
        <v>578</v>
      </c>
      <c r="D251" s="25">
        <v>12185000</v>
      </c>
      <c r="E251" t="s">
        <v>576</v>
      </c>
      <c r="F251" t="s">
        <v>206</v>
      </c>
      <c r="G251" t="s">
        <v>224</v>
      </c>
      <c r="H251">
        <v>12185000</v>
      </c>
      <c r="I251" t="s">
        <v>579</v>
      </c>
      <c r="J251" s="25" t="s">
        <v>68</v>
      </c>
      <c r="K251" t="b">
        <v>1</v>
      </c>
      <c r="L251">
        <v>37</v>
      </c>
      <c r="M251">
        <v>12185000</v>
      </c>
      <c r="AH251" s="11">
        <v>2</v>
      </c>
      <c r="AI251" s="11" t="s">
        <v>69</v>
      </c>
      <c r="AL251" t="str" s="11">
        <v>【补充设计】保留奇珍ID、钥匙与图谱关系；可携带标记与独立效果行逐ID核对。</v>
      </c>
    </row>
    <row r="252" spans="2:35">
      <c r="B252">
        <f t="shared" si="6"/>
        <v>72134000</v>
      </c>
      <c r="C252" t="s">
        <v>580</v>
      </c>
      <c r="D252" s="25">
        <v>12134000</v>
      </c>
      <c r="E252" t="s">
        <v>576</v>
      </c>
      <c r="F252" t="s">
        <v>145</v>
      </c>
      <c r="G252" t="s">
        <v>203</v>
      </c>
      <c r="H252">
        <v>12134000</v>
      </c>
      <c r="I252" t="s">
        <v>581</v>
      </c>
      <c r="J252" s="25" t="s">
        <v>68</v>
      </c>
      <c r="K252" t="b">
        <v>1</v>
      </c>
      <c r="L252">
        <v>38</v>
      </c>
      <c r="M252">
        <v>12134000</v>
      </c>
      <c r="AH252" s="11">
        <v>3</v>
      </c>
      <c r="AI252" s="11" t="s">
        <v>69</v>
      </c>
      <c r="AL252" t="str" s="11">
        <v>【补充设计】保留奇珍ID、钥匙与图谱关系；可携带标记与独立效果行逐ID核对。</v>
      </c>
    </row>
    <row r="253" spans="2:35">
      <c r="B253">
        <f t="shared" si="6"/>
        <v>72165000</v>
      </c>
      <c r="C253" t="s">
        <v>582</v>
      </c>
      <c r="D253" s="25">
        <v>12165000</v>
      </c>
      <c r="E253" t="s">
        <v>576</v>
      </c>
      <c r="F253" t="s">
        <v>206</v>
      </c>
      <c r="G253" t="s">
        <v>207</v>
      </c>
      <c r="H253">
        <v>12165000</v>
      </c>
      <c r="I253" t="s">
        <v>583</v>
      </c>
      <c r="J253" s="25" t="s">
        <v>68</v>
      </c>
      <c r="K253" t="b">
        <v>1</v>
      </c>
      <c r="L253">
        <v>38</v>
      </c>
      <c r="M253">
        <v>12165000</v>
      </c>
      <c r="AH253" s="11">
        <v>4</v>
      </c>
      <c r="AI253" s="11" t="s">
        <v>69</v>
      </c>
      <c r="AL253" t="str" s="11">
        <v>【补充设计】保留奇珍ID、钥匙与图谱关系；可携带标记与独立效果行逐ID核对。</v>
      </c>
    </row>
    <row r="254" spans="2:35">
      <c r="B254">
        <f t="shared" si="6"/>
        <v>72144000</v>
      </c>
      <c r="C254" t="s">
        <v>584</v>
      </c>
      <c r="D254" s="25">
        <v>12144000</v>
      </c>
      <c r="E254" t="s">
        <v>576</v>
      </c>
      <c r="F254" t="s">
        <v>145</v>
      </c>
      <c r="G254" t="s">
        <v>221</v>
      </c>
      <c r="H254">
        <v>12144000</v>
      </c>
      <c r="I254" t="s">
        <v>585</v>
      </c>
      <c r="J254" s="25" t="s">
        <v>68</v>
      </c>
      <c r="K254" t="b">
        <v>1</v>
      </c>
      <c r="L254">
        <v>39</v>
      </c>
      <c r="M254">
        <v>12144000</v>
      </c>
      <c r="AH254" s="11">
        <v>5</v>
      </c>
      <c r="AI254" s="11" t="s">
        <v>69</v>
      </c>
      <c r="AL254" t="str" s="11">
        <v>【补充设计】保留奇珍ID、钥匙与图谱关系；可携带标记与独立效果行逐ID核对。</v>
      </c>
    </row>
    <row r="255" spans="2:35">
      <c r="B255">
        <f t="shared" si="6"/>
        <v>72175000</v>
      </c>
      <c r="C255" t="s">
        <v>586</v>
      </c>
      <c r="D255" s="25">
        <v>12175000</v>
      </c>
      <c r="E255" t="s">
        <v>576</v>
      </c>
      <c r="F255" t="s">
        <v>206</v>
      </c>
      <c r="G255" t="s">
        <v>218</v>
      </c>
      <c r="H255">
        <v>12175000</v>
      </c>
      <c r="I255" t="s">
        <v>587</v>
      </c>
      <c r="J255" s="25" t="s">
        <v>68</v>
      </c>
      <c r="K255" t="b">
        <v>1</v>
      </c>
      <c r="L255">
        <v>39</v>
      </c>
      <c r="M255">
        <v>12175000</v>
      </c>
      <c r="AH255" s="11">
        <v>6</v>
      </c>
      <c r="AI255" s="11" t="s">
        <v>69</v>
      </c>
      <c r="AL255" t="str" s="11">
        <v>【补充设计】保留奇珍ID、钥匙与图谱关系；可携带标记与独立效果行逐ID核对。</v>
      </c>
    </row>
    <row r="256" spans="2:35">
      <c r="B256">
        <f t="shared" si="6"/>
        <v>72124001</v>
      </c>
      <c r="C256" t="s">
        <v>588</v>
      </c>
      <c r="D256" s="25">
        <v>12124001</v>
      </c>
      <c r="E256" t="s">
        <v>576</v>
      </c>
      <c r="F256" t="s">
        <v>145</v>
      </c>
      <c r="G256" t="s">
        <v>215</v>
      </c>
      <c r="H256">
        <v>12124001</v>
      </c>
      <c r="I256" t="s">
        <v>589</v>
      </c>
      <c r="J256" s="25" t="s">
        <v>68</v>
      </c>
      <c r="K256" t="b">
        <v>1</v>
      </c>
      <c r="L256">
        <v>40</v>
      </c>
      <c r="M256">
        <v>12124001</v>
      </c>
      <c r="AH256" s="11">
        <v>7</v>
      </c>
      <c r="AI256" s="11" t="s">
        <v>69</v>
      </c>
      <c r="AL256" t="str" s="11">
        <v>【补充设计】保留奇珍ID、钥匙与图谱关系；可携带标记与独立效果行逐ID核对。</v>
      </c>
    </row>
    <row r="257" spans="2:35">
      <c r="B257">
        <f t="shared" si="6"/>
        <v>72155000</v>
      </c>
      <c r="C257" t="s">
        <v>590</v>
      </c>
      <c r="D257" s="25">
        <v>12155000</v>
      </c>
      <c r="E257" t="s">
        <v>576</v>
      </c>
      <c r="F257" t="s">
        <v>206</v>
      </c>
      <c r="G257" t="s">
        <v>212</v>
      </c>
      <c r="H257">
        <v>12155000</v>
      </c>
      <c r="I257" t="s">
        <v>591</v>
      </c>
      <c r="J257" s="25" t="s">
        <v>68</v>
      </c>
      <c r="K257" t="b">
        <v>1</v>
      </c>
      <c r="L257">
        <v>40</v>
      </c>
      <c r="M257">
        <v>12155000</v>
      </c>
      <c r="AH257" s="11">
        <v>8</v>
      </c>
      <c r="AI257" s="11" t="s">
        <v>69</v>
      </c>
      <c r="AL257" t="str" s="11">
        <v>【补充设计】保留奇珍ID、钥匙与图谱关系；可携带标记与独立效果行逐ID核对。</v>
      </c>
    </row>
    <row r="258" spans="2:35">
      <c r="B258">
        <f t="shared" si="6"/>
        <v>72134001</v>
      </c>
      <c r="C258" t="s">
        <v>592</v>
      </c>
      <c r="D258" s="25">
        <v>12134001</v>
      </c>
      <c r="E258" t="s">
        <v>576</v>
      </c>
      <c r="F258" t="s">
        <v>145</v>
      </c>
      <c r="G258" t="s">
        <v>203</v>
      </c>
      <c r="H258">
        <v>12134001</v>
      </c>
      <c r="I258" t="s">
        <v>593</v>
      </c>
      <c r="J258" s="25" t="s">
        <v>68</v>
      </c>
      <c r="K258" t="b">
        <v>1</v>
      </c>
      <c r="L258">
        <v>41</v>
      </c>
      <c r="M258">
        <v>12134001</v>
      </c>
      <c r="AH258" s="11">
        <v>9</v>
      </c>
      <c r="AI258" s="11" t="s">
        <v>69</v>
      </c>
      <c r="AL258" t="str" s="11">
        <v>【补充设计】保留奇珍ID、钥匙与图谱关系；可携带标记与独立效果行逐ID核对。</v>
      </c>
    </row>
    <row r="259" spans="2:35">
      <c r="B259">
        <f t="shared" si="6"/>
        <v>72165001</v>
      </c>
      <c r="C259" t="s">
        <v>594</v>
      </c>
      <c r="D259" s="25">
        <v>12165001</v>
      </c>
      <c r="E259" t="s">
        <v>576</v>
      </c>
      <c r="F259" t="s">
        <v>206</v>
      </c>
      <c r="G259" t="s">
        <v>207</v>
      </c>
      <c r="H259">
        <v>12165001</v>
      </c>
      <c r="I259" t="s">
        <v>595</v>
      </c>
      <c r="J259" s="25" t="s">
        <v>68</v>
      </c>
      <c r="K259" t="b">
        <v>1</v>
      </c>
      <c r="L259">
        <v>41</v>
      </c>
      <c r="M259">
        <v>12165001</v>
      </c>
      <c r="AH259" s="11">
        <v>10</v>
      </c>
      <c r="AI259" s="11" t="s">
        <v>69</v>
      </c>
      <c r="AL259" t="str" s="11">
        <v>【补充设计】保留奇珍ID、钥匙与图谱关系；可携带标记与独立效果行逐ID核对。</v>
      </c>
    </row>
    <row r="260" spans="2:35">
      <c r="B260">
        <f t="shared" si="6"/>
        <v>72134002</v>
      </c>
      <c r="C260" t="s">
        <v>596</v>
      </c>
      <c r="D260" s="25">
        <v>12134002</v>
      </c>
      <c r="E260" t="s">
        <v>576</v>
      </c>
      <c r="F260" t="s">
        <v>145</v>
      </c>
      <c r="G260" t="s">
        <v>203</v>
      </c>
      <c r="H260">
        <v>12134002</v>
      </c>
      <c r="I260" t="s">
        <v>597</v>
      </c>
      <c r="J260" s="25" t="s">
        <v>68</v>
      </c>
      <c r="K260" t="b">
        <v>1</v>
      </c>
      <c r="L260">
        <v>42</v>
      </c>
      <c r="M260">
        <v>12134002</v>
      </c>
      <c r="AH260" s="11">
        <v>11</v>
      </c>
      <c r="AI260" s="11" t="s">
        <v>69</v>
      </c>
      <c r="AL260" t="str" s="11">
        <v>【补充设计】保留奇珍ID、钥匙与图谱关系；可携带标记与独立效果行逐ID核对。</v>
      </c>
    </row>
    <row r="261" spans="2:35">
      <c r="B261">
        <f t="shared" si="6"/>
        <v>72185001</v>
      </c>
      <c r="C261" t="s">
        <v>598</v>
      </c>
      <c r="D261" s="25">
        <v>12185001</v>
      </c>
      <c r="E261" t="s">
        <v>576</v>
      </c>
      <c r="F261" t="s">
        <v>206</v>
      </c>
      <c r="G261" t="s">
        <v>224</v>
      </c>
      <c r="H261">
        <v>12185001</v>
      </c>
      <c r="I261" t="s">
        <v>599</v>
      </c>
      <c r="J261" s="25" t="s">
        <v>68</v>
      </c>
      <c r="K261" t="b">
        <v>1</v>
      </c>
      <c r="L261">
        <v>42</v>
      </c>
      <c r="M261">
        <v>12185001</v>
      </c>
      <c r="AH261" s="11">
        <v>12</v>
      </c>
      <c r="AI261" s="11" t="s">
        <v>69</v>
      </c>
      <c r="AL261" t="str" s="11">
        <v>【补充设计】保留奇珍ID、钥匙与图谱关系；可携带标记与独立效果行逐ID核对。</v>
      </c>
    </row>
    <row r="262" spans="2:35">
      <c r="B262">
        <f t="shared" si="6"/>
        <v>72524000</v>
      </c>
      <c r="C262" t="s">
        <v>600</v>
      </c>
      <c r="D262" s="25">
        <v>12524000</v>
      </c>
      <c r="E262" t="s">
        <v>601</v>
      </c>
      <c r="F262" t="s">
        <v>145</v>
      </c>
      <c r="G262" t="s">
        <v>66</v>
      </c>
      <c r="H262">
        <v>12321000</v>
      </c>
      <c r="I262" t="s">
        <v>602</v>
      </c>
      <c r="J262" s="25" t="s">
        <v>68</v>
      </c>
      <c r="K262" t="b">
        <v>0</v>
      </c>
      <c r="L262">
        <v>9</v>
      </c>
      <c r="M262">
        <v>12524000</v>
      </c>
      <c r="N262">
        <v>12525000</v>
      </c>
      <c r="O262">
        <v>12526000</v>
      </c>
      <c r="P262">
        <v>12534000</v>
      </c>
      <c r="Q262">
        <v>12535000</v>
      </c>
      <c r="R262">
        <v>12536000</v>
      </c>
      <c r="S262">
        <v>12544000</v>
      </c>
      <c r="T262">
        <v>12545000</v>
      </c>
      <c r="U262">
        <v>12546000</v>
      </c>
      <c r="V262">
        <v>12554000</v>
      </c>
      <c r="W262">
        <v>12555000</v>
      </c>
      <c r="X262">
        <v>12556000</v>
      </c>
      <c r="Y262">
        <v>12564000</v>
      </c>
      <c r="Z262">
        <v>12565000</v>
      </c>
      <c r="AA262">
        <v>12566000</v>
      </c>
      <c r="AB262">
        <v>12574000</v>
      </c>
      <c r="AC262">
        <v>12575000</v>
      </c>
      <c r="AD262">
        <v>12576000</v>
      </c>
      <c r="AE262">
        <v>12584000</v>
      </c>
      <c r="AF262">
        <v>12585000</v>
      </c>
      <c r="AG262">
        <v>12586000</v>
      </c>
      <c r="AH262" s="11">
        <v>1</v>
      </c>
      <c r="AI262" s="11" t="b">
        <v>1</v>
      </c>
      <c r="AL262" t="str" s="11">
        <v>【补充设计】保留奇珍ID、钥匙与图谱关系；可携带标记与独立效果行逐ID核对。</v>
      </c>
    </row>
    <row r="263" spans="2:35">
      <c r="B263">
        <f t="shared" si="6"/>
        <v>72624001</v>
      </c>
      <c r="C263" t="s">
        <v>603</v>
      </c>
      <c r="D263" s="25">
        <v>12624001</v>
      </c>
      <c r="E263" t="s">
        <v>601</v>
      </c>
      <c r="F263" t="s">
        <v>145</v>
      </c>
      <c r="G263" t="s">
        <v>66</v>
      </c>
      <c r="H263">
        <v>12321001</v>
      </c>
      <c r="I263" t="s">
        <v>604</v>
      </c>
      <c r="J263" s="25" t="s">
        <v>68</v>
      </c>
      <c r="K263" t="b">
        <v>0</v>
      </c>
      <c r="L263">
        <v>10</v>
      </c>
      <c r="M263">
        <v>12624001</v>
      </c>
      <c r="N263">
        <v>12625001</v>
      </c>
      <c r="O263">
        <v>12626001</v>
      </c>
      <c r="P263">
        <v>12634002</v>
      </c>
      <c r="Q263">
        <v>12635002</v>
      </c>
      <c r="R263">
        <v>12636002</v>
      </c>
      <c r="S263">
        <v>12644002</v>
      </c>
      <c r="T263">
        <v>12645002</v>
      </c>
      <c r="U263">
        <v>12646002</v>
      </c>
      <c r="V263">
        <v>12654003</v>
      </c>
      <c r="W263">
        <v>12655003</v>
      </c>
      <c r="X263">
        <v>12656003</v>
      </c>
      <c r="Y263">
        <v>12664002</v>
      </c>
      <c r="Z263">
        <v>12665002</v>
      </c>
      <c r="AA263">
        <v>12666002</v>
      </c>
      <c r="AB263">
        <v>12674002</v>
      </c>
      <c r="AC263">
        <v>12675002</v>
      </c>
      <c r="AD263">
        <v>12676002</v>
      </c>
      <c r="AE263">
        <v>12684002</v>
      </c>
      <c r="AF263">
        <v>12685002</v>
      </c>
      <c r="AG263">
        <v>12686002</v>
      </c>
      <c r="AH263" s="11">
        <v>2</v>
      </c>
      <c r="AI263" s="11" t="b">
        <v>1</v>
      </c>
      <c r="AL263" t="str" s="11">
        <v>【补充设计】保留奇珍ID、钥匙与图谱关系；可携带标记与独立效果行逐ID核对。</v>
      </c>
    </row>
    <row r="264" spans="2:35">
      <c r="B264">
        <f t="shared" si="6"/>
        <v>72524002</v>
      </c>
      <c r="C264" t="s">
        <v>605</v>
      </c>
      <c r="D264" s="25">
        <v>12524002</v>
      </c>
      <c r="E264" t="s">
        <v>601</v>
      </c>
      <c r="F264" t="s">
        <v>145</v>
      </c>
      <c r="G264" t="s">
        <v>66</v>
      </c>
      <c r="H264">
        <v>12321002</v>
      </c>
      <c r="I264" t="s">
        <v>606</v>
      </c>
      <c r="J264" s="25" t="s">
        <v>68</v>
      </c>
      <c r="K264" t="b">
        <v>0</v>
      </c>
      <c r="M264">
        <v>12524002</v>
      </c>
      <c r="N264">
        <v>12525002</v>
      </c>
      <c r="O264">
        <v>12526002</v>
      </c>
      <c r="P264">
        <v>12534005</v>
      </c>
      <c r="Q264">
        <v>12535005</v>
      </c>
      <c r="R264">
        <v>12536005</v>
      </c>
      <c r="S264">
        <v>12544004</v>
      </c>
      <c r="T264">
        <v>12545004</v>
      </c>
      <c r="U264">
        <v>12546004</v>
      </c>
      <c r="V264">
        <v>12554005</v>
      </c>
      <c r="W264">
        <v>12555005</v>
      </c>
      <c r="X264">
        <v>12556005</v>
      </c>
      <c r="Y264">
        <v>12564004</v>
      </c>
      <c r="Z264">
        <v>12565004</v>
      </c>
      <c r="AA264">
        <v>12566004</v>
      </c>
      <c r="AB264">
        <v>12574005</v>
      </c>
      <c r="AC264">
        <v>12575005</v>
      </c>
      <c r="AD264">
        <v>12576005</v>
      </c>
      <c r="AE264">
        <v>12584004</v>
      </c>
      <c r="AF264">
        <v>12585004</v>
      </c>
      <c r="AG264">
        <v>12586004</v>
      </c>
      <c r="AH264" s="11">
        <v>3</v>
      </c>
      <c r="AI264" s="11" t="b">
        <v>1</v>
      </c>
      <c r="AL264" t="str" s="11">
        <v>【补充设计】保留奇珍ID、钥匙与图谱关系；可携带标记与独立效果行逐ID核对。</v>
      </c>
    </row>
    <row r="265" spans="2:35">
      <c r="B265">
        <f t="shared" si="6"/>
        <v>72624003</v>
      </c>
      <c r="C265" t="s">
        <v>607</v>
      </c>
      <c r="D265" s="25">
        <v>12624003</v>
      </c>
      <c r="E265" t="s">
        <v>601</v>
      </c>
      <c r="F265" t="s">
        <v>145</v>
      </c>
      <c r="G265" t="s">
        <v>66</v>
      </c>
      <c r="H265">
        <v>12321003</v>
      </c>
      <c r="I265" t="s">
        <v>608</v>
      </c>
      <c r="J265" s="25" t="s">
        <v>68</v>
      </c>
      <c r="K265" t="b">
        <v>0</v>
      </c>
      <c r="M265">
        <v>12624003</v>
      </c>
      <c r="N265">
        <v>12625003</v>
      </c>
      <c r="O265">
        <v>12626003</v>
      </c>
      <c r="P265">
        <v>12634007</v>
      </c>
      <c r="Q265">
        <v>12635007</v>
      </c>
      <c r="R265">
        <v>12636007</v>
      </c>
      <c r="S265">
        <v>12644006</v>
      </c>
      <c r="T265">
        <v>12645006</v>
      </c>
      <c r="U265">
        <v>12646006</v>
      </c>
      <c r="V265">
        <v>12654008</v>
      </c>
      <c r="W265">
        <v>12655008</v>
      </c>
      <c r="X265">
        <v>12656008</v>
      </c>
      <c r="Y265">
        <v>12664006</v>
      </c>
      <c r="Z265">
        <v>12665006</v>
      </c>
      <c r="AA265">
        <v>12666006</v>
      </c>
      <c r="AB265">
        <v>12674007</v>
      </c>
      <c r="AC265">
        <v>12675007</v>
      </c>
      <c r="AD265">
        <v>12676007</v>
      </c>
      <c r="AE265">
        <v>12684006</v>
      </c>
      <c r="AF265">
        <v>12685006</v>
      </c>
      <c r="AG265">
        <v>12686006</v>
      </c>
      <c r="AH265" s="11">
        <v>4</v>
      </c>
      <c r="AI265" s="11" t="b">
        <v>1</v>
      </c>
      <c r="AL265" t="str" s="11">
        <v>【补充设计】保留奇珍ID、钥匙与图谱关系；可携带标记与独立效果行逐ID核对。</v>
      </c>
    </row>
    <row r="266" spans="2:35">
      <c r="B266">
        <f t="shared" si="6"/>
        <v>72624004</v>
      </c>
      <c r="C266" t="s">
        <v>609</v>
      </c>
      <c r="D266" s="25">
        <v>12624004</v>
      </c>
      <c r="E266" t="s">
        <v>601</v>
      </c>
      <c r="F266" t="s">
        <v>145</v>
      </c>
      <c r="G266" t="s">
        <v>66</v>
      </c>
      <c r="H266">
        <v>12321004</v>
      </c>
      <c r="I266" t="s">
        <v>610</v>
      </c>
      <c r="J266" s="25" t="s">
        <v>68</v>
      </c>
      <c r="K266" t="b">
        <v>1</v>
      </c>
      <c r="L266">
        <v>10</v>
      </c>
      <c r="M266">
        <v>12624004</v>
      </c>
      <c r="N266">
        <v>12625004</v>
      </c>
      <c r="O266">
        <v>12626004</v>
      </c>
      <c r="P266">
        <v>12634009</v>
      </c>
      <c r="Q266">
        <v>12635009</v>
      </c>
      <c r="R266">
        <v>12636009</v>
      </c>
      <c r="S266">
        <v>12644008</v>
      </c>
      <c r="T266">
        <v>12645008</v>
      </c>
      <c r="U266">
        <v>12646008</v>
      </c>
      <c r="V266">
        <v>12654011</v>
      </c>
      <c r="W266">
        <v>12655011</v>
      </c>
      <c r="X266">
        <v>12656011</v>
      </c>
      <c r="Y266">
        <v>12664008</v>
      </c>
      <c r="Z266">
        <v>12665008</v>
      </c>
      <c r="AA266">
        <v>12666008</v>
      </c>
      <c r="AB266">
        <v>12674009</v>
      </c>
      <c r="AC266">
        <v>12675009</v>
      </c>
      <c r="AD266">
        <v>12676009</v>
      </c>
      <c r="AE266">
        <v>12684008</v>
      </c>
      <c r="AF266">
        <v>12685008</v>
      </c>
      <c r="AG266">
        <v>12686008</v>
      </c>
      <c r="AH266" s="11">
        <v>5</v>
      </c>
      <c r="AI266" s="11" t="b">
        <v>1</v>
      </c>
      <c r="AL266" t="str" s="11">
        <v>【补充设计】保留奇珍ID、钥匙与图谱关系；可携带标记与独立效果行逐ID核对。</v>
      </c>
    </row>
    <row r="267" spans="2:35">
      <c r="B267">
        <f t="shared" si="6"/>
        <v>72624005</v>
      </c>
      <c r="C267" t="inlineStr">
        <is>
          <t xml:space="preserve">金精</t>
        </is>
      </c>
      <c r="D267" s="25">
        <v>12624005</v>
      </c>
      <c r="E267" t="s">
        <v>601</v>
      </c>
      <c r="F267" t="s">
        <v>145</v>
      </c>
      <c r="G267" t="s">
        <v>66</v>
      </c>
      <c r="H267">
        <v>12321005</v>
      </c>
      <c r="I267" t="s">
        <v>612</v>
      </c>
      <c r="J267" s="25" t="s">
        <v>68</v>
      </c>
      <c r="K267" t="b">
        <v>0</v>
      </c>
      <c r="L267">
        <v>58</v>
      </c>
      <c r="M267">
        <v>12624005</v>
      </c>
      <c r="N267">
        <v>12625005</v>
      </c>
      <c r="O267">
        <v>12626005</v>
      </c>
      <c r="P267">
        <v>12634011</v>
      </c>
      <c r="Q267">
        <v>12635011</v>
      </c>
      <c r="R267">
        <v>12636011</v>
      </c>
      <c r="S267">
        <v>12644011</v>
      </c>
      <c r="T267">
        <v>12645011</v>
      </c>
      <c r="U267">
        <v>12646011</v>
      </c>
      <c r="V267">
        <v>12654013</v>
      </c>
      <c r="W267">
        <v>12655013</v>
      </c>
      <c r="X267">
        <v>12656013</v>
      </c>
      <c r="Y267">
        <v>12664010</v>
      </c>
      <c r="Z267">
        <v>12665010</v>
      </c>
      <c r="AA267">
        <v>12666010</v>
      </c>
      <c r="AB267">
        <v>12674011</v>
      </c>
      <c r="AC267">
        <v>12675011</v>
      </c>
      <c r="AD267">
        <v>12676011</v>
      </c>
      <c r="AE267">
        <v>12684011</v>
      </c>
      <c r="AF267">
        <v>12685011</v>
      </c>
      <c r="AG267">
        <v>12686011</v>
      </c>
      <c r="AH267" s="11">
        <v>6</v>
      </c>
      <c r="AI267" s="11" t="b">
        <v>1</v>
      </c>
      <c r="AL267" t="str" s="11">
        <v>【补充设计】保留奇珍ID、钥匙与图谱关系；可携带标记与独立效果行逐ID核对。</v>
      </c>
    </row>
    <row r="268" spans="2:35">
      <c r="B268">
        <f t="shared" si="6"/>
        <v>72624006</v>
      </c>
      <c r="C268" t="inlineStr">
        <is>
          <t xml:space="preserve">木华</t>
        </is>
      </c>
      <c r="D268" s="25">
        <v>12624006</v>
      </c>
      <c r="E268" t="s">
        <v>601</v>
      </c>
      <c r="F268" t="s">
        <v>145</v>
      </c>
      <c r="G268" t="s">
        <v>66</v>
      </c>
      <c r="H268">
        <v>12321006</v>
      </c>
      <c r="I268" t="s">
        <v>614</v>
      </c>
      <c r="J268" s="25" t="s">
        <v>68</v>
      </c>
      <c r="K268" t="b">
        <v>0</v>
      </c>
      <c r="L268">
        <v>58</v>
      </c>
      <c r="M268">
        <v>12624006</v>
      </c>
      <c r="N268">
        <v>12625006</v>
      </c>
      <c r="O268">
        <v>12626006</v>
      </c>
      <c r="P268">
        <v>12634012</v>
      </c>
      <c r="Q268">
        <v>12635012</v>
      </c>
      <c r="R268">
        <v>12636012</v>
      </c>
      <c r="S268">
        <v>12644012</v>
      </c>
      <c r="T268">
        <v>12645012</v>
      </c>
      <c r="U268">
        <v>12646012</v>
      </c>
      <c r="V268">
        <v>12654014</v>
      </c>
      <c r="W268">
        <v>12655014</v>
      </c>
      <c r="X268">
        <v>12656014</v>
      </c>
      <c r="Y268">
        <v>12664011</v>
      </c>
      <c r="Z268">
        <v>12665011</v>
      </c>
      <c r="AA268">
        <v>12666011</v>
      </c>
      <c r="AB268">
        <v>12674012</v>
      </c>
      <c r="AC268">
        <v>12675012</v>
      </c>
      <c r="AD268">
        <v>12676012</v>
      </c>
      <c r="AE268">
        <v>12684012</v>
      </c>
      <c r="AF268">
        <v>12685012</v>
      </c>
      <c r="AG268">
        <v>12686012</v>
      </c>
      <c r="AH268" s="11">
        <v>7</v>
      </c>
      <c r="AI268" s="11" t="b">
        <v>1</v>
      </c>
      <c r="AL268" t="str" s="11">
        <v>【补充设计】保留奇珍ID、钥匙与图谱关系；可携带标记与独立效果行逐ID核对。</v>
      </c>
    </row>
    <row r="269" spans="2:35">
      <c r="B269">
        <f t="shared" si="6"/>
        <v>72624007</v>
      </c>
      <c r="C269" t="inlineStr">
        <is>
          <t xml:space="preserve">火晶</t>
        </is>
      </c>
      <c r="D269" s="25">
        <v>12624007</v>
      </c>
      <c r="E269" t="s">
        <v>601</v>
      </c>
      <c r="F269" t="s">
        <v>145</v>
      </c>
      <c r="G269" t="s">
        <v>66</v>
      </c>
      <c r="H269">
        <v>12321007</v>
      </c>
      <c r="I269" t="s">
        <v>616</v>
      </c>
      <c r="J269" s="25" t="s">
        <v>68</v>
      </c>
      <c r="K269" t="b">
        <v>0</v>
      </c>
      <c r="L269">
        <v>58</v>
      </c>
      <c r="M269">
        <v>12624007</v>
      </c>
      <c r="N269">
        <v>12625007</v>
      </c>
      <c r="O269">
        <v>12626007</v>
      </c>
      <c r="P269">
        <v>12634013</v>
      </c>
      <c r="Q269">
        <v>12635013</v>
      </c>
      <c r="R269">
        <v>12636013</v>
      </c>
      <c r="S269">
        <v>12644013</v>
      </c>
      <c r="T269">
        <v>12645013</v>
      </c>
      <c r="U269">
        <v>12646013</v>
      </c>
      <c r="V269">
        <v>12654015</v>
      </c>
      <c r="W269">
        <v>12655015</v>
      </c>
      <c r="X269">
        <v>12656015</v>
      </c>
      <c r="Y269">
        <v>12664012</v>
      </c>
      <c r="Z269">
        <v>12665012</v>
      </c>
      <c r="AA269">
        <v>12666012</v>
      </c>
      <c r="AB269">
        <v>12674013</v>
      </c>
      <c r="AC269">
        <v>12675013</v>
      </c>
      <c r="AD269">
        <v>12676013</v>
      </c>
      <c r="AE269">
        <v>12684013</v>
      </c>
      <c r="AF269">
        <v>12685013</v>
      </c>
      <c r="AG269">
        <v>12686013</v>
      </c>
      <c r="AH269" s="11">
        <v>8</v>
      </c>
      <c r="AI269" s="11" t="b">
        <v>1</v>
      </c>
      <c r="AL269" t="str" s="11">
        <v>【补充设计】保留奇珍ID、钥匙与图谱关系；可携带标记与独立效果行逐ID核对。</v>
      </c>
    </row>
    <row r="270" spans="2:35">
      <c r="B270">
        <f t="shared" si="6"/>
        <v>72624008</v>
      </c>
      <c r="C270" t="inlineStr">
        <is>
          <t xml:space="preserve">水凝珠</t>
        </is>
      </c>
      <c r="D270" s="25">
        <v>12624008</v>
      </c>
      <c r="E270" t="s">
        <v>601</v>
      </c>
      <c r="F270" t="s">
        <v>145</v>
      </c>
      <c r="G270" t="s">
        <v>66</v>
      </c>
      <c r="H270">
        <v>12321008</v>
      </c>
      <c r="I270" t="s">
        <v>618</v>
      </c>
      <c r="J270" s="25" t="s">
        <v>68</v>
      </c>
      <c r="K270" t="b">
        <v>0</v>
      </c>
      <c r="L270">
        <v>58</v>
      </c>
      <c r="M270">
        <v>12624008</v>
      </c>
      <c r="N270">
        <v>12625008</v>
      </c>
      <c r="O270">
        <v>12626008</v>
      </c>
      <c r="P270">
        <v>12634014</v>
      </c>
      <c r="Q270">
        <v>12635014</v>
      </c>
      <c r="R270">
        <v>12636014</v>
      </c>
      <c r="S270">
        <v>12644014</v>
      </c>
      <c r="T270">
        <v>12645014</v>
      </c>
      <c r="U270">
        <v>12646014</v>
      </c>
      <c r="V270">
        <v>12654016</v>
      </c>
      <c r="W270">
        <v>12655016</v>
      </c>
      <c r="X270">
        <v>12656016</v>
      </c>
      <c r="Y270">
        <v>12664013</v>
      </c>
      <c r="Z270">
        <v>12665013</v>
      </c>
      <c r="AA270">
        <v>12666013</v>
      </c>
      <c r="AB270">
        <v>12674014</v>
      </c>
      <c r="AC270">
        <v>12675014</v>
      </c>
      <c r="AD270">
        <v>12676014</v>
      </c>
      <c r="AE270">
        <v>12684014</v>
      </c>
      <c r="AF270">
        <v>12685014</v>
      </c>
      <c r="AG270">
        <v>12686014</v>
      </c>
      <c r="AH270" s="11">
        <v>9</v>
      </c>
      <c r="AI270" s="11" t="b">
        <v>1</v>
      </c>
      <c r="AL270" t="str" s="11">
        <v>【补充设计】保留奇珍ID、钥匙与图谱关系；可携带标记与独立效果行逐ID核对。</v>
      </c>
    </row>
    <row r="271" spans="2:35">
      <c r="B271">
        <f t="shared" si="6"/>
        <v>72624009</v>
      </c>
      <c r="C271" t="inlineStr">
        <is>
          <t xml:space="preserve">土元珠</t>
        </is>
      </c>
      <c r="D271" s="25">
        <v>12624009</v>
      </c>
      <c r="E271" t="s">
        <v>601</v>
      </c>
      <c r="F271" t="s">
        <v>145</v>
      </c>
      <c r="G271" t="s">
        <v>66</v>
      </c>
      <c r="H271">
        <v>12321009</v>
      </c>
      <c r="I271" t="s">
        <v>620</v>
      </c>
      <c r="J271" s="25" t="s">
        <v>68</v>
      </c>
      <c r="K271" t="b">
        <v>0</v>
      </c>
      <c r="L271">
        <v>58</v>
      </c>
      <c r="M271">
        <v>12624009</v>
      </c>
      <c r="N271">
        <v>12625009</v>
      </c>
      <c r="O271">
        <v>12626009</v>
      </c>
      <c r="P271">
        <v>12634015</v>
      </c>
      <c r="Q271">
        <v>12635015</v>
      </c>
      <c r="R271">
        <v>12636015</v>
      </c>
      <c r="S271">
        <v>12644015</v>
      </c>
      <c r="T271">
        <v>12645015</v>
      </c>
      <c r="U271">
        <v>12646015</v>
      </c>
      <c r="V271">
        <v>12654017</v>
      </c>
      <c r="W271">
        <v>12655017</v>
      </c>
      <c r="X271">
        <v>12656017</v>
      </c>
      <c r="Y271">
        <v>12664014</v>
      </c>
      <c r="Z271">
        <v>12665014</v>
      </c>
      <c r="AA271">
        <v>12666014</v>
      </c>
      <c r="AB271">
        <v>12674015</v>
      </c>
      <c r="AC271">
        <v>12675015</v>
      </c>
      <c r="AD271">
        <v>12676015</v>
      </c>
      <c r="AE271">
        <v>12684015</v>
      </c>
      <c r="AF271">
        <v>12685015</v>
      </c>
      <c r="AG271">
        <v>12686015</v>
      </c>
      <c r="AH271" s="11">
        <v>10</v>
      </c>
      <c r="AI271" s="11" t="b">
        <v>1</v>
      </c>
      <c r="AL271" t="str" s="11">
        <v>【补充设计】保留奇珍ID、钥匙与图谱关系；可携带标记与独立效果行逐ID核对。</v>
      </c>
    </row>
    <row r="272" spans="2:35">
      <c r="B272">
        <f t="shared" si="6"/>
        <v>72824010</v>
      </c>
      <c r="C272" t="s">
        <v>621</v>
      </c>
      <c r="D272" s="25">
        <v>12824010</v>
      </c>
      <c r="E272" t="s">
        <v>601</v>
      </c>
      <c r="F272" t="s">
        <v>145</v>
      </c>
      <c r="G272" t="s">
        <v>66</v>
      </c>
      <c r="H272">
        <v>12321010</v>
      </c>
      <c r="I272" t="s">
        <v>622</v>
      </c>
      <c r="J272" s="25" t="s">
        <v>68</v>
      </c>
      <c r="K272" t="b">
        <v>0</v>
      </c>
      <c r="L272">
        <v>59</v>
      </c>
      <c r="M272">
        <v>12824010</v>
      </c>
      <c r="N272">
        <v>12825010</v>
      </c>
      <c r="O272">
        <v>12826010</v>
      </c>
      <c r="P272">
        <v>12834016</v>
      </c>
      <c r="Q272">
        <v>12835016</v>
      </c>
      <c r="R272">
        <v>12836016</v>
      </c>
      <c r="S272">
        <v>12844016</v>
      </c>
      <c r="T272">
        <v>12845016</v>
      </c>
      <c r="U272">
        <v>12846016</v>
      </c>
      <c r="V272">
        <v>12854018</v>
      </c>
      <c r="W272">
        <v>12855018</v>
      </c>
      <c r="X272">
        <v>12856018</v>
      </c>
      <c r="Y272">
        <v>12864016</v>
      </c>
      <c r="Z272">
        <v>12865016</v>
      </c>
      <c r="AA272">
        <v>12866016</v>
      </c>
      <c r="AB272">
        <v>12874016</v>
      </c>
      <c r="AC272">
        <v>12875016</v>
      </c>
      <c r="AD272">
        <v>12876016</v>
      </c>
      <c r="AE272">
        <v>12884017</v>
      </c>
      <c r="AF272">
        <v>12885017</v>
      </c>
      <c r="AG272">
        <v>12886017</v>
      </c>
      <c r="AH272" s="11">
        <v>11</v>
      </c>
      <c r="AI272" s="11" t="b">
        <v>1</v>
      </c>
      <c r="AL272" t="str" s="11">
        <v>【补充设计】保留奇珍ID、钥匙与图谱关系；可携带标记与独立效果行逐ID核对。</v>
      </c>
    </row>
    <row r="273" spans="2:35">
      <c r="B273">
        <f t="shared" si="6"/>
        <v>72324011</v>
      </c>
      <c r="C273" t="s">
        <v>623</v>
      </c>
      <c r="D273" s="25">
        <v>12324011</v>
      </c>
      <c r="E273" t="s">
        <v>601</v>
      </c>
      <c r="F273" t="s">
        <v>145</v>
      </c>
      <c r="G273" t="s">
        <v>66</v>
      </c>
      <c r="H273">
        <v>12321011</v>
      </c>
      <c r="I273" t="s">
        <v>624</v>
      </c>
      <c r="J273" s="25" t="s">
        <v>68</v>
      </c>
      <c r="K273" t="b">
        <v>0</v>
      </c>
      <c r="L273">
        <v>59</v>
      </c>
      <c r="M273">
        <v>12324011</v>
      </c>
      <c r="N273">
        <v>12325011</v>
      </c>
      <c r="O273">
        <v>12326011</v>
      </c>
      <c r="P273">
        <v>12334018</v>
      </c>
      <c r="Q273">
        <v>12335018</v>
      </c>
      <c r="R273">
        <v>12336018</v>
      </c>
      <c r="S273">
        <v>12344018</v>
      </c>
      <c r="T273">
        <v>12345018</v>
      </c>
      <c r="U273">
        <v>12346018</v>
      </c>
      <c r="V273">
        <v>12354020</v>
      </c>
      <c r="W273">
        <v>12355020</v>
      </c>
      <c r="X273">
        <v>12356020</v>
      </c>
      <c r="Y273">
        <v>12364019</v>
      </c>
      <c r="Z273">
        <v>12365019</v>
      </c>
      <c r="AA273">
        <v>12366019</v>
      </c>
      <c r="AB273">
        <v>12374018</v>
      </c>
      <c r="AC273">
        <v>12375018</v>
      </c>
      <c r="AD273">
        <v>12376018</v>
      </c>
      <c r="AE273">
        <v>12384019</v>
      </c>
      <c r="AF273">
        <v>12385019</v>
      </c>
      <c r="AG273">
        <v>12386019</v>
      </c>
      <c r="AH273" s="11">
        <v>12</v>
      </c>
      <c r="AI273" s="11" t="b">
        <v>1</v>
      </c>
      <c r="AL273" t="str" s="11">
        <v>【补充设计】保留奇珍ID、钥匙与图谱关系；可携带标记与独立效果行逐ID核对。</v>
      </c>
    </row>
    <row r="274" spans="2:35">
      <c r="B274">
        <f t="shared" si="6"/>
        <v>72524012</v>
      </c>
      <c r="C274" t="s">
        <v>625</v>
      </c>
      <c r="D274" s="25">
        <v>12524012</v>
      </c>
      <c r="E274" t="s">
        <v>601</v>
      </c>
      <c r="F274" t="s">
        <v>145</v>
      </c>
      <c r="G274" t="s">
        <v>66</v>
      </c>
      <c r="H274">
        <v>12321012</v>
      </c>
      <c r="I274" t="s">
        <v>626</v>
      </c>
      <c r="J274" s="25" t="s">
        <v>68</v>
      </c>
      <c r="K274" t="b">
        <v>0</v>
      </c>
      <c r="M274">
        <v>12524012</v>
      </c>
      <c r="N274">
        <v>12525012</v>
      </c>
      <c r="O274">
        <v>12526012</v>
      </c>
      <c r="P274">
        <v>12534020</v>
      </c>
      <c r="Q274">
        <v>12535020</v>
      </c>
      <c r="R274">
        <v>12536020</v>
      </c>
      <c r="S274">
        <v>12544020</v>
      </c>
      <c r="T274">
        <v>12545020</v>
      </c>
      <c r="U274">
        <v>12546020</v>
      </c>
      <c r="V274">
        <v>12554022</v>
      </c>
      <c r="W274">
        <v>12555022</v>
      </c>
      <c r="X274">
        <v>12556022</v>
      </c>
      <c r="Y274">
        <v>12564022</v>
      </c>
      <c r="Z274">
        <v>12565022</v>
      </c>
      <c r="AA274">
        <v>12566022</v>
      </c>
      <c r="AB274">
        <v>12574020</v>
      </c>
      <c r="AC274">
        <v>12575020</v>
      </c>
      <c r="AD274">
        <v>12576020</v>
      </c>
      <c r="AE274">
        <v>12584021</v>
      </c>
      <c r="AF274">
        <v>12585021</v>
      </c>
      <c r="AG274">
        <v>12586021</v>
      </c>
      <c r="AH274" s="11">
        <v>13</v>
      </c>
      <c r="AI274" s="11" t="b">
        <v>1</v>
      </c>
      <c r="AL274" t="str" s="11">
        <v>【补充设计】保留奇珍ID、钥匙与图谱关系；可携带标记与独立效果行逐ID核对。</v>
      </c>
    </row>
    <row r="275" spans="2:35">
      <c r="B275">
        <f t="shared" si="6"/>
        <v>72324013</v>
      </c>
      <c r="C275" t="s">
        <v>627</v>
      </c>
      <c r="D275" s="25">
        <v>12324013</v>
      </c>
      <c r="E275" t="s">
        <v>601</v>
      </c>
      <c r="F275" t="s">
        <v>145</v>
      </c>
      <c r="G275" t="s">
        <v>66</v>
      </c>
      <c r="H275">
        <v>12321013</v>
      </c>
      <c r="I275" t="s">
        <v>628</v>
      </c>
      <c r="J275" s="25" t="s">
        <v>68</v>
      </c>
      <c r="K275" t="b">
        <v>0</v>
      </c>
      <c r="L275">
        <v>12</v>
      </c>
      <c r="M275">
        <v>12324013</v>
      </c>
      <c r="N275">
        <v>12325013</v>
      </c>
      <c r="O275">
        <v>12326013</v>
      </c>
      <c r="P275">
        <v>12334022</v>
      </c>
      <c r="Q275">
        <v>12335022</v>
      </c>
      <c r="R275">
        <v>12336022</v>
      </c>
      <c r="S275">
        <v>12344023</v>
      </c>
      <c r="T275">
        <v>12345023</v>
      </c>
      <c r="U275">
        <v>12346023</v>
      </c>
      <c r="V275">
        <v>12354024</v>
      </c>
      <c r="W275">
        <v>12355024</v>
      </c>
      <c r="X275">
        <v>12356024</v>
      </c>
      <c r="Y275">
        <v>12364024</v>
      </c>
      <c r="Z275">
        <v>12365024</v>
      </c>
      <c r="AA275">
        <v>12366024</v>
      </c>
      <c r="AB275">
        <v>12374022</v>
      </c>
      <c r="AC275">
        <v>12375022</v>
      </c>
      <c r="AD275">
        <v>12376022</v>
      </c>
      <c r="AE275">
        <v>12384023</v>
      </c>
      <c r="AF275">
        <v>12385023</v>
      </c>
      <c r="AG275">
        <v>12386023</v>
      </c>
      <c r="AH275" s="11">
        <v>14</v>
      </c>
      <c r="AI275" s="11" t="b">
        <v>1</v>
      </c>
      <c r="AL275" t="str" s="11">
        <v>【补充设计】保留奇珍ID、钥匙与图谱关系；可携带标记与独立效果行逐ID核对。</v>
      </c>
    </row>
    <row r="276" spans="2:35">
      <c r="B276">
        <f t="shared" si="6"/>
        <v>72324014</v>
      </c>
      <c r="C276" t="s">
        <v>629</v>
      </c>
      <c r="D276" s="25">
        <v>12324014</v>
      </c>
      <c r="E276" t="s">
        <v>601</v>
      </c>
      <c r="F276" t="s">
        <v>145</v>
      </c>
      <c r="G276" t="s">
        <v>66</v>
      </c>
      <c r="H276">
        <v>12321014</v>
      </c>
      <c r="I276" t="s">
        <v>630</v>
      </c>
      <c r="J276" s="25" t="s">
        <v>68</v>
      </c>
      <c r="K276" t="b">
        <v>1</v>
      </c>
      <c r="L276">
        <v>62</v>
      </c>
      <c r="M276">
        <v>12324014</v>
      </c>
      <c r="N276">
        <v>12325014</v>
      </c>
      <c r="O276">
        <v>12326014</v>
      </c>
      <c r="AH276" s="11">
        <v>15</v>
      </c>
      <c r="AI276" s="11" t="b">
        <v>1</v>
      </c>
      <c r="AL276" t="str" s="11">
        <v>【补充设计】保留奇珍ID、钥匙与图谱关系；可携带标记与独立效果行逐ID核对。</v>
      </c>
    </row>
    <row r="277" spans="2:35">
      <c r="B277">
        <f t="shared" si="6"/>
        <v>72324015</v>
      </c>
      <c r="C277" t="s">
        <v>631</v>
      </c>
      <c r="D277" s="25">
        <v>12324015</v>
      </c>
      <c r="E277" t="s">
        <v>601</v>
      </c>
      <c r="F277" t="s">
        <v>145</v>
      </c>
      <c r="G277" t="s">
        <v>66</v>
      </c>
      <c r="H277">
        <v>12321015</v>
      </c>
      <c r="I277" t="s">
        <v>632</v>
      </c>
      <c r="J277" s="25" t="s">
        <v>68</v>
      </c>
      <c r="K277" t="b">
        <v>0</v>
      </c>
      <c r="L277">
        <v>12</v>
      </c>
      <c r="M277">
        <v>12324015</v>
      </c>
      <c r="N277">
        <v>12325015</v>
      </c>
      <c r="O277">
        <v>12326015</v>
      </c>
      <c r="P277">
        <v>12334027</v>
      </c>
      <c r="Q277">
        <v>12335027</v>
      </c>
      <c r="R277">
        <v>12336027</v>
      </c>
      <c r="S277">
        <v>12344028</v>
      </c>
      <c r="T277">
        <v>12345028</v>
      </c>
      <c r="U277">
        <v>12346028</v>
      </c>
      <c r="V277">
        <v>12354028</v>
      </c>
      <c r="W277">
        <v>12355028</v>
      </c>
      <c r="X277">
        <v>12356028</v>
      </c>
      <c r="Y277">
        <v>12364028</v>
      </c>
      <c r="Z277">
        <v>12365028</v>
      </c>
      <c r="AA277">
        <v>12366028</v>
      </c>
      <c r="AB277">
        <v>12374027</v>
      </c>
      <c r="AC277">
        <v>12375027</v>
      </c>
      <c r="AD277">
        <v>12376027</v>
      </c>
      <c r="AE277">
        <v>12384027</v>
      </c>
      <c r="AF277">
        <v>12385027</v>
      </c>
      <c r="AG277">
        <v>12386027</v>
      </c>
      <c r="AH277" s="11">
        <v>16</v>
      </c>
      <c r="AI277" s="11" t="b">
        <v>1</v>
      </c>
      <c r="AL277" t="str" s="11">
        <v>【补充设计】保留奇珍ID、钥匙与图谱关系；可携带标记与独立效果行逐ID核对。</v>
      </c>
    </row>
    <row r="278" spans="2:35">
      <c r="B278">
        <f t="shared" si="6"/>
        <v>72324016</v>
      </c>
      <c r="C278" t="s">
        <v>633</v>
      </c>
      <c r="D278" s="25">
        <v>12324016</v>
      </c>
      <c r="E278" t="s">
        <v>601</v>
      </c>
      <c r="F278" t="s">
        <v>145</v>
      </c>
      <c r="G278" t="s">
        <v>66</v>
      </c>
      <c r="H278">
        <v>12321016</v>
      </c>
      <c r="I278" t="s">
        <v>634</v>
      </c>
      <c r="J278" s="25" t="s">
        <v>68</v>
      </c>
      <c r="K278" t="b">
        <v>0</v>
      </c>
      <c r="L278">
        <v>60</v>
      </c>
      <c r="M278">
        <v>12324016</v>
      </c>
      <c r="N278">
        <v>12325016</v>
      </c>
      <c r="O278">
        <v>12326016</v>
      </c>
      <c r="P278">
        <v>12334030</v>
      </c>
      <c r="Q278">
        <v>12335030</v>
      </c>
      <c r="R278">
        <v>12336030</v>
      </c>
      <c r="S278">
        <v>12344030</v>
      </c>
      <c r="T278">
        <v>12345030</v>
      </c>
      <c r="U278">
        <v>12346030</v>
      </c>
      <c r="V278">
        <v>12354030</v>
      </c>
      <c r="W278">
        <v>12355030</v>
      </c>
      <c r="X278">
        <v>12356030</v>
      </c>
      <c r="Y278">
        <v>12364030</v>
      </c>
      <c r="Z278">
        <v>12365030</v>
      </c>
      <c r="AA278">
        <v>12366030</v>
      </c>
      <c r="AB278">
        <v>12374030</v>
      </c>
      <c r="AC278">
        <v>12375030</v>
      </c>
      <c r="AD278">
        <v>12376030</v>
      </c>
      <c r="AE278">
        <v>12384029</v>
      </c>
      <c r="AF278">
        <v>12385029</v>
      </c>
      <c r="AG278">
        <v>12386029</v>
      </c>
      <c r="AH278" s="11">
        <v>17</v>
      </c>
      <c r="AI278" s="11" t="b">
        <v>1</v>
      </c>
      <c r="AL278" t="str" s="11">
        <v>【补充设计】保留奇珍ID、钥匙与图谱关系；可携带标记与独立效果行逐ID核对。</v>
      </c>
    </row>
    <row r="279" spans="2:35">
      <c r="B279">
        <f t="shared" si="6"/>
        <v>72324017</v>
      </c>
      <c r="C279" t="s">
        <v>635</v>
      </c>
      <c r="D279" s="25">
        <v>12324017</v>
      </c>
      <c r="E279" t="s">
        <v>601</v>
      </c>
      <c r="F279" t="s">
        <v>145</v>
      </c>
      <c r="G279" t="s">
        <v>66</v>
      </c>
      <c r="H279">
        <v>12321017</v>
      </c>
      <c r="I279" t="s">
        <v>636</v>
      </c>
      <c r="J279" s="25" t="s">
        <v>68</v>
      </c>
      <c r="K279" t="b">
        <v>0</v>
      </c>
      <c r="L279">
        <v>8</v>
      </c>
      <c r="M279">
        <v>12324017</v>
      </c>
      <c r="N279">
        <v>12325017</v>
      </c>
      <c r="O279">
        <v>12326017</v>
      </c>
      <c r="P279">
        <v>12334032</v>
      </c>
      <c r="Q279">
        <v>12335032</v>
      </c>
      <c r="R279">
        <v>12336032</v>
      </c>
      <c r="S279">
        <v>12344032</v>
      </c>
      <c r="T279">
        <v>12345032</v>
      </c>
      <c r="U279">
        <v>12346032</v>
      </c>
      <c r="V279">
        <v>12354033</v>
      </c>
      <c r="W279">
        <v>12355033</v>
      </c>
      <c r="X279">
        <v>12356033</v>
      </c>
      <c r="Y279">
        <v>12364032</v>
      </c>
      <c r="Z279">
        <v>12365032</v>
      </c>
      <c r="AA279">
        <v>12366032</v>
      </c>
      <c r="AB279">
        <v>12374032</v>
      </c>
      <c r="AC279">
        <v>12375032</v>
      </c>
      <c r="AD279">
        <v>12376032</v>
      </c>
      <c r="AE279">
        <v>12384032</v>
      </c>
      <c r="AF279">
        <v>12385032</v>
      </c>
      <c r="AG279">
        <v>12386032</v>
      </c>
      <c r="AH279" s="11">
        <v>18</v>
      </c>
      <c r="AI279" s="11" t="b">
        <v>1</v>
      </c>
      <c r="AL279" t="str" s="11">
        <v>【补充设计】保留奇珍ID、钥匙与图谱关系；可携带标记与独立效果行逐ID核对。</v>
      </c>
    </row>
    <row r="280" spans="2:35">
      <c r="B280">
        <f t="shared" si="6"/>
        <v>72524018</v>
      </c>
      <c r="C280" t="s">
        <v>637</v>
      </c>
      <c r="D280" s="25">
        <v>12524018</v>
      </c>
      <c r="E280" t="s">
        <v>601</v>
      </c>
      <c r="F280" t="s">
        <v>145</v>
      </c>
      <c r="G280" t="s">
        <v>66</v>
      </c>
      <c r="H280">
        <v>12321018</v>
      </c>
      <c r="I280" t="s">
        <v>638</v>
      </c>
      <c r="J280" s="25" t="s">
        <v>68</v>
      </c>
      <c r="K280" t="b">
        <v>0</v>
      </c>
      <c r="L280">
        <v>9</v>
      </c>
      <c r="M280">
        <v>12524018</v>
      </c>
      <c r="N280">
        <v>12525018</v>
      </c>
      <c r="O280">
        <v>12526018</v>
      </c>
      <c r="P280">
        <v>12534034</v>
      </c>
      <c r="Q280">
        <v>12535034</v>
      </c>
      <c r="R280">
        <v>12536034</v>
      </c>
      <c r="S280">
        <v>12544034</v>
      </c>
      <c r="T280">
        <v>12545034</v>
      </c>
      <c r="U280">
        <v>12546034</v>
      </c>
      <c r="V280">
        <v>12554035</v>
      </c>
      <c r="W280">
        <v>12555035</v>
      </c>
      <c r="X280">
        <v>12556035</v>
      </c>
      <c r="Y280">
        <v>12564035</v>
      </c>
      <c r="Z280">
        <v>12565035</v>
      </c>
      <c r="AA280">
        <v>12566035</v>
      </c>
      <c r="AB280">
        <v>12574034</v>
      </c>
      <c r="AC280">
        <v>12575034</v>
      </c>
      <c r="AD280">
        <v>12576034</v>
      </c>
      <c r="AE280">
        <v>12584034</v>
      </c>
      <c r="AF280">
        <v>12585034</v>
      </c>
      <c r="AG280">
        <v>12586034</v>
      </c>
      <c r="AH280" s="11">
        <v>19</v>
      </c>
      <c r="AI280" s="11" t="b">
        <v>1</v>
      </c>
      <c r="AL280" t="str" s="11">
        <v>【补充设计】保留奇珍ID、钥匙与图谱关系；可携带标记与独立效果行逐ID核对。</v>
      </c>
    </row>
    <row r="281" spans="2:35">
      <c r="B281">
        <f t="shared" si="6"/>
        <v>72524019</v>
      </c>
      <c r="C281" t="s">
        <v>639</v>
      </c>
      <c r="D281" s="25">
        <v>12524019</v>
      </c>
      <c r="E281" t="s">
        <v>601</v>
      </c>
      <c r="F281" t="s">
        <v>145</v>
      </c>
      <c r="G281" t="s">
        <v>66</v>
      </c>
      <c r="H281">
        <v>12321019</v>
      </c>
      <c r="I281" t="s">
        <v>640</v>
      </c>
      <c r="J281" s="25" t="s">
        <v>68</v>
      </c>
      <c r="K281" t="b">
        <v>0</v>
      </c>
      <c r="L281">
        <v>8</v>
      </c>
      <c r="M281">
        <v>12524019</v>
      </c>
      <c r="N281">
        <v>12525019</v>
      </c>
      <c r="O281">
        <v>12526019</v>
      </c>
      <c r="P281">
        <v>12534036</v>
      </c>
      <c r="Q281">
        <v>12535036</v>
      </c>
      <c r="R281">
        <v>12536036</v>
      </c>
      <c r="S281">
        <v>12544037</v>
      </c>
      <c r="T281">
        <v>12545037</v>
      </c>
      <c r="U281">
        <v>12546037</v>
      </c>
      <c r="V281">
        <v>12554037</v>
      </c>
      <c r="W281">
        <v>12555037</v>
      </c>
      <c r="X281">
        <v>12556037</v>
      </c>
      <c r="Y281">
        <v>12564037</v>
      </c>
      <c r="Z281">
        <v>12565037</v>
      </c>
      <c r="AA281">
        <v>12566037</v>
      </c>
      <c r="AB281">
        <v>12574037</v>
      </c>
      <c r="AC281">
        <v>12575037</v>
      </c>
      <c r="AD281">
        <v>12576037</v>
      </c>
      <c r="AE281">
        <v>12584036</v>
      </c>
      <c r="AF281">
        <v>12585036</v>
      </c>
      <c r="AG281">
        <v>12586036</v>
      </c>
      <c r="AH281" s="11">
        <v>20</v>
      </c>
      <c r="AI281" s="11" t="b">
        <v>1</v>
      </c>
      <c r="AL281" t="str" s="11">
        <v>【补充设计】保留奇珍ID、钥匙与图谱关系；可携带标记与独立效果行逐ID核对。</v>
      </c>
    </row>
    <row r="282" spans="2:35">
      <c r="B282">
        <f t="shared" si="6"/>
        <v>72634001</v>
      </c>
      <c r="C282" t="s">
        <v>641</v>
      </c>
      <c r="D282" s="25">
        <v>12634001</v>
      </c>
      <c r="E282" t="s">
        <v>601</v>
      </c>
      <c r="F282" t="s">
        <v>145</v>
      </c>
      <c r="G282" t="s">
        <v>66</v>
      </c>
      <c r="H282">
        <v>12331001</v>
      </c>
      <c r="I282" t="s">
        <v>642</v>
      </c>
      <c r="J282" s="25" t="s">
        <v>68</v>
      </c>
      <c r="K282" t="b">
        <v>0</v>
      </c>
      <c r="M282">
        <v>12634001</v>
      </c>
      <c r="N282">
        <v>12635001</v>
      </c>
      <c r="O282">
        <v>12636001</v>
      </c>
      <c r="P282">
        <v>12644001</v>
      </c>
      <c r="Q282">
        <v>12645001</v>
      </c>
      <c r="R282">
        <v>12646001</v>
      </c>
      <c r="S282">
        <v>12654001</v>
      </c>
      <c r="T282">
        <v>12655001</v>
      </c>
      <c r="U282">
        <v>12656001</v>
      </c>
      <c r="V282">
        <v>12664001</v>
      </c>
      <c r="W282">
        <v>12665001</v>
      </c>
      <c r="X282">
        <v>12666001</v>
      </c>
      <c r="Y282">
        <v>12674001</v>
      </c>
      <c r="Z282">
        <v>12675001</v>
      </c>
      <c r="AA282">
        <v>12676001</v>
      </c>
      <c r="AB282">
        <v>12684001</v>
      </c>
      <c r="AC282">
        <v>12685001</v>
      </c>
      <c r="AD282">
        <v>12686001</v>
      </c>
      <c r="AH282" s="11">
        <v>21</v>
      </c>
      <c r="AI282" s="11" t="b">
        <v>1</v>
      </c>
      <c r="AL282" t="str" s="11">
        <v>【补充设计】保留奇珍ID、钥匙与图谱关系；可携带标记与独立效果行逐ID核对。</v>
      </c>
    </row>
    <row r="283" spans="2:35">
      <c r="B283">
        <f t="shared" si="6"/>
        <v>72634003</v>
      </c>
      <c r="C283" t="inlineStr">
        <is>
          <t xml:space="preserve">木灵核</t>
        </is>
      </c>
      <c r="D283" s="25">
        <v>12634003</v>
      </c>
      <c r="E283" t="s">
        <v>601</v>
      </c>
      <c r="F283" t="s">
        <v>145</v>
      </c>
      <c r="G283" t="s">
        <v>66</v>
      </c>
      <c r="H283">
        <v>12331003</v>
      </c>
      <c r="I283" t="s">
        <v>644</v>
      </c>
      <c r="J283" s="25" t="s">
        <v>68</v>
      </c>
      <c r="K283" t="b">
        <v>0</v>
      </c>
      <c r="L283">
        <v>60</v>
      </c>
      <c r="M283">
        <v>12634003</v>
      </c>
      <c r="N283">
        <v>12635003</v>
      </c>
      <c r="O283">
        <v>12636003</v>
      </c>
      <c r="P283">
        <v>12644003</v>
      </c>
      <c r="Q283">
        <v>12645003</v>
      </c>
      <c r="R283">
        <v>12646003</v>
      </c>
      <c r="S283">
        <v>12654004</v>
      </c>
      <c r="T283">
        <v>12655004</v>
      </c>
      <c r="U283">
        <v>12656004</v>
      </c>
      <c r="V283">
        <v>12664003</v>
      </c>
      <c r="W283">
        <v>12665003</v>
      </c>
      <c r="X283">
        <v>12666003</v>
      </c>
      <c r="Y283">
        <v>12674003</v>
      </c>
      <c r="Z283">
        <v>12675003</v>
      </c>
      <c r="AA283">
        <v>12676003</v>
      </c>
      <c r="AB283">
        <v>12684003</v>
      </c>
      <c r="AC283">
        <v>12685003</v>
      </c>
      <c r="AD283">
        <v>12686003</v>
      </c>
      <c r="AH283" s="11">
        <v>22</v>
      </c>
      <c r="AI283" s="11" t="b">
        <v>1</v>
      </c>
      <c r="AL283" t="str" s="11">
        <v>【补充设计】保留奇珍ID、钥匙与图谱关系；可携带标记与独立效果行逐ID核对。</v>
      </c>
    </row>
    <row r="284" spans="2:35">
      <c r="B284">
        <f t="shared" si="6"/>
        <v>72334004</v>
      </c>
      <c r="C284" t="s">
        <v>645</v>
      </c>
      <c r="D284" s="25">
        <v>12334004</v>
      </c>
      <c r="E284" t="s">
        <v>601</v>
      </c>
      <c r="F284" t="s">
        <v>145</v>
      </c>
      <c r="G284" t="s">
        <v>66</v>
      </c>
      <c r="H284">
        <v>12331004</v>
      </c>
      <c r="I284" t="s">
        <v>646</v>
      </c>
      <c r="J284" s="25" t="s">
        <v>68</v>
      </c>
      <c r="K284" t="b">
        <v>0</v>
      </c>
      <c r="L284">
        <v>9</v>
      </c>
      <c r="M284">
        <v>12334004</v>
      </c>
      <c r="N284">
        <v>12335004</v>
      </c>
      <c r="O284">
        <v>12336004</v>
      </c>
      <c r="AH284" s="11">
        <v>23</v>
      </c>
      <c r="AI284" s="11" t="b">
        <v>1</v>
      </c>
      <c r="AL284" t="str" s="11">
        <v>【补充设计】保留奇珍ID、钥匙与图谱关系；可携带标记与独立效果行逐ID核对。</v>
      </c>
    </row>
    <row r="285" spans="2:35">
      <c r="B285">
        <f t="shared" si="6"/>
        <v>72534006</v>
      </c>
      <c r="C285" t="s">
        <v>647</v>
      </c>
      <c r="D285" s="25">
        <v>12534006</v>
      </c>
      <c r="E285" t="s">
        <v>601</v>
      </c>
      <c r="F285" t="s">
        <v>145</v>
      </c>
      <c r="G285" t="s">
        <v>66</v>
      </c>
      <c r="H285">
        <v>12331006</v>
      </c>
      <c r="I285" t="s">
        <v>648</v>
      </c>
      <c r="J285" s="25" t="s">
        <v>68</v>
      </c>
      <c r="K285" t="b">
        <v>0</v>
      </c>
      <c r="M285">
        <v>12534006</v>
      </c>
      <c r="N285">
        <v>12535006</v>
      </c>
      <c r="O285">
        <v>12536006</v>
      </c>
      <c r="P285">
        <v>12544005</v>
      </c>
      <c r="Q285">
        <v>12545005</v>
      </c>
      <c r="R285">
        <v>12546005</v>
      </c>
      <c r="S285">
        <v>12554006</v>
      </c>
      <c r="T285">
        <v>12555006</v>
      </c>
      <c r="U285">
        <v>12556006</v>
      </c>
      <c r="V285">
        <v>12564005</v>
      </c>
      <c r="W285">
        <v>12565005</v>
      </c>
      <c r="X285">
        <v>12566005</v>
      </c>
      <c r="Y285">
        <v>12574006</v>
      </c>
      <c r="Z285">
        <v>12575006</v>
      </c>
      <c r="AA285">
        <v>12576006</v>
      </c>
      <c r="AB285">
        <v>12584005</v>
      </c>
      <c r="AC285">
        <v>12585005</v>
      </c>
      <c r="AD285">
        <v>12586005</v>
      </c>
      <c r="AH285" s="11">
        <v>24</v>
      </c>
      <c r="AI285" s="11" t="b">
        <v>1</v>
      </c>
      <c r="AL285" t="str" s="11">
        <v>【补充设计】保留奇珍ID、钥匙与图谱关系；可携带标记与独立效果行逐ID核对。</v>
      </c>
    </row>
    <row r="286" spans="2:35">
      <c r="B286">
        <f t="shared" si="6"/>
        <v>72634008</v>
      </c>
      <c r="C286" t="s">
        <v>649</v>
      </c>
      <c r="D286" s="25">
        <v>12634008</v>
      </c>
      <c r="E286" t="s">
        <v>601</v>
      </c>
      <c r="F286" t="s">
        <v>145</v>
      </c>
      <c r="G286" t="s">
        <v>66</v>
      </c>
      <c r="H286">
        <v>12331008</v>
      </c>
      <c r="I286" t="s">
        <v>650</v>
      </c>
      <c r="J286" s="25" t="s">
        <v>68</v>
      </c>
      <c r="K286" t="b">
        <v>0</v>
      </c>
      <c r="L286">
        <v>10</v>
      </c>
      <c r="M286">
        <v>12634008</v>
      </c>
      <c r="N286">
        <v>12635008</v>
      </c>
      <c r="O286">
        <v>12636008</v>
      </c>
      <c r="P286">
        <v>12644007</v>
      </c>
      <c r="Q286">
        <v>12645007</v>
      </c>
      <c r="R286">
        <v>12646007</v>
      </c>
      <c r="S286">
        <v>12654009</v>
      </c>
      <c r="T286">
        <v>12655009</v>
      </c>
      <c r="U286">
        <v>12656009</v>
      </c>
      <c r="V286">
        <v>12664007</v>
      </c>
      <c r="W286">
        <v>12665007</v>
      </c>
      <c r="X286">
        <v>12666007</v>
      </c>
      <c r="Y286">
        <v>12674008</v>
      </c>
      <c r="Z286">
        <v>12675008</v>
      </c>
      <c r="AA286">
        <v>12676008</v>
      </c>
      <c r="AB286">
        <v>12684007</v>
      </c>
      <c r="AC286">
        <v>12685007</v>
      </c>
      <c r="AD286">
        <v>12686007</v>
      </c>
      <c r="AH286" s="11">
        <v>25</v>
      </c>
      <c r="AI286" s="11" t="b">
        <v>1</v>
      </c>
      <c r="AL286" t="str" s="11">
        <v>【补充设计】保留奇珍ID、钥匙与图谱关系；可携带标记与独立效果行逐ID核对。</v>
      </c>
    </row>
    <row r="287" spans="2:35">
      <c r="B287">
        <f t="shared" si="6"/>
        <v>72634010</v>
      </c>
      <c r="C287" t="s">
        <v>651</v>
      </c>
      <c r="D287" s="25">
        <v>12634010</v>
      </c>
      <c r="E287" t="s">
        <v>601</v>
      </c>
      <c r="F287" t="s">
        <v>145</v>
      </c>
      <c r="G287" t="s">
        <v>66</v>
      </c>
      <c r="H287">
        <v>12331010</v>
      </c>
      <c r="I287" t="s">
        <v>652</v>
      </c>
      <c r="J287" s="25" t="s">
        <v>68</v>
      </c>
      <c r="K287" t="b">
        <v>0</v>
      </c>
      <c r="L287">
        <v>60</v>
      </c>
      <c r="M287">
        <v>12634010</v>
      </c>
      <c r="N287">
        <v>12635010</v>
      </c>
      <c r="O287">
        <v>12636010</v>
      </c>
      <c r="P287">
        <v>12644009</v>
      </c>
      <c r="Q287">
        <v>12645009</v>
      </c>
      <c r="R287">
        <v>12646009</v>
      </c>
      <c r="S287">
        <v>12654012</v>
      </c>
      <c r="T287">
        <v>12655012</v>
      </c>
      <c r="U287">
        <v>12656012</v>
      </c>
      <c r="V287">
        <v>12664009</v>
      </c>
      <c r="W287">
        <v>12665009</v>
      </c>
      <c r="X287">
        <v>12666009</v>
      </c>
      <c r="Y287">
        <v>12674010</v>
      </c>
      <c r="Z287">
        <v>12675010</v>
      </c>
      <c r="AA287">
        <v>12676010</v>
      </c>
      <c r="AB287">
        <v>12684009</v>
      </c>
      <c r="AC287">
        <v>12685009</v>
      </c>
      <c r="AD287">
        <v>12686009</v>
      </c>
      <c r="AH287" s="11">
        <v>26</v>
      </c>
      <c r="AI287" s="11" t="b">
        <v>1</v>
      </c>
      <c r="AL287" t="str" s="11">
        <v>【补充设计】保留奇珍ID、钥匙与图谱关系；可携带标记与独立效果行逐ID核对。</v>
      </c>
    </row>
    <row r="288" spans="2:35">
      <c r="B288">
        <f t="shared" si="6"/>
        <v>72834017</v>
      </c>
      <c r="C288" t="s">
        <v>653</v>
      </c>
      <c r="D288" s="25">
        <v>12834017</v>
      </c>
      <c r="E288" t="s">
        <v>601</v>
      </c>
      <c r="F288" t="s">
        <v>145</v>
      </c>
      <c r="G288" t="s">
        <v>66</v>
      </c>
      <c r="H288">
        <v>12331017</v>
      </c>
      <c r="I288" t="s">
        <v>654</v>
      </c>
      <c r="J288" s="25" t="s">
        <v>68</v>
      </c>
      <c r="K288" t="b">
        <v>0</v>
      </c>
      <c r="L288">
        <v>59</v>
      </c>
      <c r="M288">
        <v>12834017</v>
      </c>
      <c r="N288">
        <v>12835017</v>
      </c>
      <c r="O288">
        <v>12836017</v>
      </c>
      <c r="P288">
        <v>12844017</v>
      </c>
      <c r="Q288">
        <v>12845017</v>
      </c>
      <c r="R288">
        <v>12846017</v>
      </c>
      <c r="S288">
        <v>12854019</v>
      </c>
      <c r="T288">
        <v>12855019</v>
      </c>
      <c r="U288">
        <v>12856019</v>
      </c>
      <c r="V288">
        <v>12864017</v>
      </c>
      <c r="W288">
        <v>12865017</v>
      </c>
      <c r="X288">
        <v>12866017</v>
      </c>
      <c r="Y288">
        <v>12874017</v>
      </c>
      <c r="Z288">
        <v>12875017</v>
      </c>
      <c r="AA288">
        <v>12876017</v>
      </c>
      <c r="AB288">
        <v>12884018</v>
      </c>
      <c r="AC288">
        <v>12885018</v>
      </c>
      <c r="AD288">
        <v>12886018</v>
      </c>
      <c r="AH288" s="11">
        <v>27</v>
      </c>
      <c r="AI288" s="11" t="b">
        <v>1</v>
      </c>
      <c r="AL288" t="str" s="11">
        <v>【补充设计】保留奇珍ID、钥匙与图谱关系；可携带标记与独立效果行逐ID核对。</v>
      </c>
    </row>
    <row r="289" spans="2:35">
      <c r="B289">
        <f t="shared" si="6"/>
        <v>72534019</v>
      </c>
      <c r="C289" t="s">
        <v>655</v>
      </c>
      <c r="D289" s="25">
        <v>12534019</v>
      </c>
      <c r="E289" t="s">
        <v>601</v>
      </c>
      <c r="F289" t="s">
        <v>145</v>
      </c>
      <c r="G289" t="s">
        <v>66</v>
      </c>
      <c r="H289">
        <v>12331019</v>
      </c>
      <c r="I289" t="s">
        <v>656</v>
      </c>
      <c r="J289" s="25" t="s">
        <v>68</v>
      </c>
      <c r="K289" t="b">
        <v>0</v>
      </c>
      <c r="L289">
        <v>59</v>
      </c>
      <c r="M289">
        <v>12534019</v>
      </c>
      <c r="N289">
        <v>12535019</v>
      </c>
      <c r="O289">
        <v>12536019</v>
      </c>
      <c r="P289">
        <v>12544019</v>
      </c>
      <c r="Q289">
        <v>12545019</v>
      </c>
      <c r="R289">
        <v>12546019</v>
      </c>
      <c r="S289">
        <v>12554021</v>
      </c>
      <c r="T289">
        <v>12555021</v>
      </c>
      <c r="U289">
        <v>12556021</v>
      </c>
      <c r="V289">
        <v>12564020</v>
      </c>
      <c r="W289">
        <v>12565020</v>
      </c>
      <c r="X289">
        <v>12566020</v>
      </c>
      <c r="Y289">
        <v>12574019</v>
      </c>
      <c r="Z289">
        <v>12575019</v>
      </c>
      <c r="AA289">
        <v>12576019</v>
      </c>
      <c r="AB289">
        <v>12584020</v>
      </c>
      <c r="AC289">
        <v>12585020</v>
      </c>
      <c r="AD289">
        <v>12586020</v>
      </c>
      <c r="AH289" s="11">
        <v>28</v>
      </c>
      <c r="AI289" s="11" t="b">
        <v>1</v>
      </c>
      <c r="AL289" t="str" s="11">
        <v>【补充设计】保留奇珍ID、钥匙与图谱关系；可携带标记与独立效果行逐ID核对。</v>
      </c>
    </row>
    <row r="290" spans="2:35">
      <c r="B290">
        <f t="shared" si="6"/>
        <v>72634021</v>
      </c>
      <c r="C290" t="s">
        <v>657</v>
      </c>
      <c r="D290" s="25">
        <v>12634021</v>
      </c>
      <c r="E290" t="s">
        <v>601</v>
      </c>
      <c r="F290" t="s">
        <v>145</v>
      </c>
      <c r="G290" t="s">
        <v>66</v>
      </c>
      <c r="H290">
        <v>12331021</v>
      </c>
      <c r="I290" t="s">
        <v>658</v>
      </c>
      <c r="J290" s="25" t="s">
        <v>68</v>
      </c>
      <c r="K290" t="b">
        <v>0</v>
      </c>
      <c r="M290">
        <v>12634021</v>
      </c>
      <c r="N290">
        <v>12635021</v>
      </c>
      <c r="O290">
        <v>12636021</v>
      </c>
      <c r="P290">
        <v>12644021</v>
      </c>
      <c r="Q290">
        <v>12645021</v>
      </c>
      <c r="R290">
        <v>12646021</v>
      </c>
      <c r="S290">
        <v>12654023</v>
      </c>
      <c r="T290">
        <v>12655023</v>
      </c>
      <c r="U290">
        <v>12656023</v>
      </c>
      <c r="V290">
        <v>12664023</v>
      </c>
      <c r="W290">
        <v>12665023</v>
      </c>
      <c r="X290">
        <v>12666023</v>
      </c>
      <c r="Y290">
        <v>12674021</v>
      </c>
      <c r="Z290">
        <v>12675021</v>
      </c>
      <c r="AA290">
        <v>12676021</v>
      </c>
      <c r="AB290">
        <v>12684022</v>
      </c>
      <c r="AC290">
        <v>12685022</v>
      </c>
      <c r="AD290">
        <v>12686022</v>
      </c>
      <c r="AH290" s="11">
        <v>29</v>
      </c>
      <c r="AI290" s="11" t="b">
        <v>1</v>
      </c>
      <c r="AL290" t="str" s="11">
        <v>【补充设计】保留奇珍ID、钥匙与图谱关系；可携带标记与独立效果行逐ID核对。</v>
      </c>
    </row>
    <row r="291" spans="2:35">
      <c r="B291">
        <f t="shared" si="6"/>
        <v>72534023</v>
      </c>
      <c r="C291" t="s">
        <v>659</v>
      </c>
      <c r="D291" s="25">
        <v>12534023</v>
      </c>
      <c r="E291" t="s">
        <v>601</v>
      </c>
      <c r="F291" t="s">
        <v>145</v>
      </c>
      <c r="G291" t="s">
        <v>66</v>
      </c>
      <c r="H291">
        <v>12331023</v>
      </c>
      <c r="I291" t="s">
        <v>660</v>
      </c>
      <c r="J291" s="25" t="s">
        <v>68</v>
      </c>
      <c r="K291" t="b">
        <v>1</v>
      </c>
      <c r="L291">
        <v>7</v>
      </c>
      <c r="M291">
        <v>12534023</v>
      </c>
      <c r="N291">
        <v>12535023</v>
      </c>
      <c r="O291">
        <v>12536023</v>
      </c>
      <c r="P291">
        <v>12544024</v>
      </c>
      <c r="Q291">
        <v>12545024</v>
      </c>
      <c r="R291">
        <v>12546024</v>
      </c>
      <c r="S291">
        <v>12554025</v>
      </c>
      <c r="T291">
        <v>12555025</v>
      </c>
      <c r="U291">
        <v>12556025</v>
      </c>
      <c r="V291">
        <v>12564025</v>
      </c>
      <c r="W291">
        <v>12565025</v>
      </c>
      <c r="X291">
        <v>12566025</v>
      </c>
      <c r="Y291">
        <v>12574023</v>
      </c>
      <c r="Z291">
        <v>12575023</v>
      </c>
      <c r="AA291">
        <v>12576023</v>
      </c>
      <c r="AB291">
        <v>12584024</v>
      </c>
      <c r="AC291">
        <v>12585024</v>
      </c>
      <c r="AD291">
        <v>12586024</v>
      </c>
      <c r="AH291" s="11">
        <v>30</v>
      </c>
      <c r="AI291" s="11" t="b">
        <v>1</v>
      </c>
      <c r="AL291" t="str" s="11">
        <v>【补充设计】保留奇珍ID、钥匙与图谱关系；可携带标记与独立效果行逐ID核对。</v>
      </c>
    </row>
    <row r="292" spans="2:35">
      <c r="B292">
        <f t="shared" si="6"/>
        <v>72334024</v>
      </c>
      <c r="C292" t="s">
        <v>661</v>
      </c>
      <c r="D292" s="25">
        <v>12334024</v>
      </c>
      <c r="E292" t="s">
        <v>601</v>
      </c>
      <c r="F292" t="s">
        <v>145</v>
      </c>
      <c r="G292" t="s">
        <v>66</v>
      </c>
      <c r="H292">
        <v>12331024</v>
      </c>
      <c r="I292" t="s">
        <v>662</v>
      </c>
      <c r="J292" s="25" t="s">
        <v>68</v>
      </c>
      <c r="K292" t="b">
        <v>0</v>
      </c>
      <c r="L292">
        <v>61</v>
      </c>
      <c r="M292">
        <v>12334024</v>
      </c>
      <c r="N292">
        <v>12335024</v>
      </c>
      <c r="O292">
        <v>12336024</v>
      </c>
      <c r="AH292" s="11">
        <v>31</v>
      </c>
      <c r="AI292" s="11" t="b">
        <v>1</v>
      </c>
      <c r="AL292" t="str" s="11">
        <v>【补充设计】保留奇珍ID、钥匙与图谱关系；可携带标记与独立效果行逐ID核对。</v>
      </c>
    </row>
    <row r="293" spans="2:35">
      <c r="B293">
        <f t="shared" si="6"/>
        <v>72534025</v>
      </c>
      <c r="C293" t="s">
        <v>663</v>
      </c>
      <c r="D293" s="25">
        <v>12534025</v>
      </c>
      <c r="E293" t="s">
        <v>601</v>
      </c>
      <c r="F293" t="s">
        <v>145</v>
      </c>
      <c r="G293" t="s">
        <v>66</v>
      </c>
      <c r="H293">
        <v>12331025</v>
      </c>
      <c r="I293" t="s">
        <v>664</v>
      </c>
      <c r="J293" s="25" t="s">
        <v>68</v>
      </c>
      <c r="K293" t="b">
        <v>0</v>
      </c>
      <c r="M293">
        <v>12534025</v>
      </c>
      <c r="N293">
        <v>12535025</v>
      </c>
      <c r="O293">
        <v>12536025</v>
      </c>
      <c r="P293">
        <v>12544025</v>
      </c>
      <c r="Q293">
        <v>12545025</v>
      </c>
      <c r="R293">
        <v>12546025</v>
      </c>
      <c r="S293">
        <v>12554026</v>
      </c>
      <c r="T293">
        <v>12555026</v>
      </c>
      <c r="U293">
        <v>12556026</v>
      </c>
      <c r="V293">
        <v>12564026</v>
      </c>
      <c r="W293">
        <v>12565026</v>
      </c>
      <c r="X293">
        <v>12566026</v>
      </c>
      <c r="Y293">
        <v>12574025</v>
      </c>
      <c r="Z293">
        <v>12575025</v>
      </c>
      <c r="AA293">
        <v>12576025</v>
      </c>
      <c r="AB293">
        <v>12584025</v>
      </c>
      <c r="AC293">
        <v>12585025</v>
      </c>
      <c r="AD293">
        <v>12586025</v>
      </c>
      <c r="AH293" s="11">
        <v>32</v>
      </c>
      <c r="AI293" s="11" t="b">
        <v>1</v>
      </c>
      <c r="AL293" t="str" s="11">
        <v>【补充设计】保留奇珍ID、钥匙与图谱关系；可携带标记与独立效果行逐ID核对。</v>
      </c>
    </row>
    <row r="294" spans="2:35">
      <c r="B294">
        <f t="shared" si="6"/>
        <v>72834026</v>
      </c>
      <c r="C294" t="s">
        <v>665</v>
      </c>
      <c r="D294" s="25">
        <v>12834026</v>
      </c>
      <c r="E294" t="s">
        <v>601</v>
      </c>
      <c r="F294" t="s">
        <v>145</v>
      </c>
      <c r="G294" t="s">
        <v>66</v>
      </c>
      <c r="H294">
        <v>12331026</v>
      </c>
      <c r="I294" t="s">
        <v>666</v>
      </c>
      <c r="J294" s="25" t="s">
        <v>68</v>
      </c>
      <c r="K294" t="b">
        <v>0</v>
      </c>
      <c r="L294">
        <v>7</v>
      </c>
      <c r="M294">
        <v>12834026</v>
      </c>
      <c r="N294">
        <v>12835026</v>
      </c>
      <c r="O294">
        <v>12836026</v>
      </c>
      <c r="P294">
        <v>12844026</v>
      </c>
      <c r="Q294">
        <v>12845026</v>
      </c>
      <c r="R294">
        <v>12846026</v>
      </c>
      <c r="S294">
        <v>12854027</v>
      </c>
      <c r="T294">
        <v>12855027</v>
      </c>
      <c r="U294">
        <v>12856027</v>
      </c>
      <c r="V294">
        <v>12864027</v>
      </c>
      <c r="W294">
        <v>12865027</v>
      </c>
      <c r="X294">
        <v>12866027</v>
      </c>
      <c r="Y294">
        <v>12874026</v>
      </c>
      <c r="Z294">
        <v>12875026</v>
      </c>
      <c r="AA294">
        <v>12876026</v>
      </c>
      <c r="AB294">
        <v>12884026</v>
      </c>
      <c r="AC294">
        <v>12885026</v>
      </c>
      <c r="AD294">
        <v>12886026</v>
      </c>
      <c r="AH294" s="11">
        <v>33</v>
      </c>
      <c r="AI294" s="11" t="b">
        <v>1</v>
      </c>
      <c r="AL294" t="str" s="11">
        <v>【补充设计】保留奇珍ID、钥匙与图谱关系；可携带标记与独立效果行逐ID核对。</v>
      </c>
    </row>
    <row r="295" spans="2:35">
      <c r="B295">
        <f t="shared" si="6"/>
        <v>72534028</v>
      </c>
      <c r="C295" t="s">
        <v>667</v>
      </c>
      <c r="D295" s="25">
        <v>12534028</v>
      </c>
      <c r="E295" t="s">
        <v>601</v>
      </c>
      <c r="F295" t="s">
        <v>145</v>
      </c>
      <c r="G295" t="s">
        <v>66</v>
      </c>
      <c r="H295">
        <v>12331028</v>
      </c>
      <c r="I295" t="s">
        <v>668</v>
      </c>
      <c r="J295" s="25" t="s">
        <v>68</v>
      </c>
      <c r="K295" t="b">
        <v>0</v>
      </c>
      <c r="L295">
        <v>62</v>
      </c>
      <c r="M295">
        <v>12534028</v>
      </c>
      <c r="N295">
        <v>12535028</v>
      </c>
      <c r="O295">
        <v>12536028</v>
      </c>
      <c r="P295">
        <v>12544029</v>
      </c>
      <c r="Q295">
        <v>12545029</v>
      </c>
      <c r="R295">
        <v>12546029</v>
      </c>
      <c r="S295">
        <v>12554029</v>
      </c>
      <c r="T295">
        <v>12555029</v>
      </c>
      <c r="U295">
        <v>12556029</v>
      </c>
      <c r="V295">
        <v>12564029</v>
      </c>
      <c r="W295">
        <v>12565029</v>
      </c>
      <c r="X295">
        <v>12566029</v>
      </c>
      <c r="Y295">
        <v>12574028</v>
      </c>
      <c r="Z295">
        <v>12575028</v>
      </c>
      <c r="AA295">
        <v>12576028</v>
      </c>
      <c r="AB295">
        <v>12584028</v>
      </c>
      <c r="AC295">
        <v>12585028</v>
      </c>
      <c r="AD295">
        <v>12586028</v>
      </c>
      <c r="AH295" s="11">
        <v>34</v>
      </c>
      <c r="AI295" s="11" t="b">
        <v>1</v>
      </c>
      <c r="AL295" t="str" s="11">
        <v>【补充设计】保留奇珍ID、钥匙与图谱关系；可携带标记与独立效果行逐ID核对。</v>
      </c>
    </row>
    <row r="296" spans="2:35">
      <c r="B296">
        <f t="shared" si="6"/>
        <v>72334029</v>
      </c>
      <c r="C296" t="s">
        <v>669</v>
      </c>
      <c r="D296" s="25">
        <v>12334029</v>
      </c>
      <c r="E296" t="s">
        <v>601</v>
      </c>
      <c r="F296" t="s">
        <v>145</v>
      </c>
      <c r="G296" t="s">
        <v>66</v>
      </c>
      <c r="H296">
        <v>12331029</v>
      </c>
      <c r="I296" t="s">
        <v>670</v>
      </c>
      <c r="J296" s="25" t="s">
        <v>68</v>
      </c>
      <c r="K296" t="b">
        <v>0</v>
      </c>
      <c r="L296">
        <v>62</v>
      </c>
      <c r="M296">
        <v>12334029</v>
      </c>
      <c r="N296">
        <v>12335029</v>
      </c>
      <c r="O296">
        <v>12336029</v>
      </c>
      <c r="AH296" s="11">
        <v>35</v>
      </c>
      <c r="AI296" s="11" t="b">
        <v>1</v>
      </c>
      <c r="AL296" t="str" s="11">
        <v>【补充设计】保留奇珍ID、钥匙与图谱关系；可携带标记与独立效果行逐ID核对。</v>
      </c>
    </row>
    <row r="297" spans="2:35">
      <c r="B297">
        <f t="shared" si="6"/>
        <v>72534031</v>
      </c>
      <c r="C297" t="s">
        <v>671</v>
      </c>
      <c r="D297" s="25">
        <v>12534031</v>
      </c>
      <c r="E297" t="s">
        <v>601</v>
      </c>
      <c r="F297" t="s">
        <v>145</v>
      </c>
      <c r="G297" t="s">
        <v>66</v>
      </c>
      <c r="H297">
        <v>12331031</v>
      </c>
      <c r="I297" t="s">
        <v>672</v>
      </c>
      <c r="J297" s="25" t="s">
        <v>68</v>
      </c>
      <c r="K297" t="b">
        <v>0</v>
      </c>
      <c r="L297">
        <v>8</v>
      </c>
      <c r="M297">
        <v>12534031</v>
      </c>
      <c r="N297">
        <v>12535031</v>
      </c>
      <c r="O297">
        <v>12536031</v>
      </c>
      <c r="P297">
        <v>12544031</v>
      </c>
      <c r="Q297">
        <v>12545031</v>
      </c>
      <c r="R297">
        <v>12546031</v>
      </c>
      <c r="S297">
        <v>12554031</v>
      </c>
      <c r="T297">
        <v>12555031</v>
      </c>
      <c r="U297">
        <v>12556031</v>
      </c>
      <c r="V297">
        <v>12564031</v>
      </c>
      <c r="W297">
        <v>12565031</v>
      </c>
      <c r="X297">
        <v>12566031</v>
      </c>
      <c r="Y297">
        <v>12574031</v>
      </c>
      <c r="Z297">
        <v>12575031</v>
      </c>
      <c r="AA297">
        <v>12576031</v>
      </c>
      <c r="AB297">
        <v>12584030</v>
      </c>
      <c r="AC297">
        <v>12585030</v>
      </c>
      <c r="AD297">
        <v>12586030</v>
      </c>
      <c r="AH297" s="11">
        <v>36</v>
      </c>
      <c r="AI297" s="11" t="b">
        <v>1</v>
      </c>
      <c r="AL297" t="str" s="11">
        <v>【补充设计】保留奇珍ID、钥匙与图谱关系；可携带标记与独立效果行逐ID核对。</v>
      </c>
    </row>
    <row r="298" spans="2:35">
      <c r="B298">
        <f t="shared" si="6"/>
        <v>72534033</v>
      </c>
      <c r="C298" t="s">
        <v>673</v>
      </c>
      <c r="D298" s="25">
        <v>12534033</v>
      </c>
      <c r="E298" t="s">
        <v>601</v>
      </c>
      <c r="F298" t="s">
        <v>145</v>
      </c>
      <c r="G298" t="s">
        <v>66</v>
      </c>
      <c r="H298">
        <v>12331033</v>
      </c>
      <c r="I298" t="s">
        <v>674</v>
      </c>
      <c r="J298" s="25" t="s">
        <v>68</v>
      </c>
      <c r="K298" t="b">
        <v>0</v>
      </c>
      <c r="L298">
        <v>7</v>
      </c>
      <c r="M298">
        <v>12534033</v>
      </c>
      <c r="N298">
        <v>12535033</v>
      </c>
      <c r="O298">
        <v>12536033</v>
      </c>
      <c r="P298">
        <v>12544033</v>
      </c>
      <c r="Q298">
        <v>12545033</v>
      </c>
      <c r="R298">
        <v>12546033</v>
      </c>
      <c r="S298">
        <v>12554034</v>
      </c>
      <c r="T298">
        <v>12555034</v>
      </c>
      <c r="U298">
        <v>12556034</v>
      </c>
      <c r="V298">
        <v>12564033</v>
      </c>
      <c r="W298">
        <v>12565033</v>
      </c>
      <c r="X298">
        <v>12566033</v>
      </c>
      <c r="Y298">
        <v>12574033</v>
      </c>
      <c r="Z298">
        <v>12575033</v>
      </c>
      <c r="AA298">
        <v>12576033</v>
      </c>
      <c r="AB298">
        <v>12584033</v>
      </c>
      <c r="AC298">
        <v>12585033</v>
      </c>
      <c r="AD298">
        <v>12586033</v>
      </c>
      <c r="AH298" s="11">
        <v>37</v>
      </c>
      <c r="AI298" s="11" t="b">
        <v>1</v>
      </c>
      <c r="AL298" t="str" s="11">
        <v>【补充设计】保留奇珍ID、钥匙与图谱关系；可携带标记与独立效果行逐ID核对。</v>
      </c>
    </row>
    <row r="299" spans="2:35">
      <c r="B299">
        <f t="shared" si="6"/>
        <v>72534035</v>
      </c>
      <c r="C299" t="s">
        <v>675</v>
      </c>
      <c r="D299" s="25">
        <v>12534035</v>
      </c>
      <c r="E299" t="s">
        <v>601</v>
      </c>
      <c r="F299" t="s">
        <v>145</v>
      </c>
      <c r="G299" t="s">
        <v>66</v>
      </c>
      <c r="H299">
        <v>12331035</v>
      </c>
      <c r="I299" t="s">
        <v>676</v>
      </c>
      <c r="J299" s="25" t="s">
        <v>68</v>
      </c>
      <c r="K299" t="b">
        <v>0</v>
      </c>
      <c r="L299">
        <v>59</v>
      </c>
      <c r="M299">
        <v>12534035</v>
      </c>
      <c r="N299">
        <v>12535035</v>
      </c>
      <c r="O299">
        <v>12536035</v>
      </c>
      <c r="P299">
        <v>12544035</v>
      </c>
      <c r="Q299">
        <v>12545035</v>
      </c>
      <c r="R299">
        <v>12546035</v>
      </c>
      <c r="S299">
        <v>12554036</v>
      </c>
      <c r="T299">
        <v>12555036</v>
      </c>
      <c r="U299">
        <v>12556036</v>
      </c>
      <c r="V299">
        <v>12564036</v>
      </c>
      <c r="W299">
        <v>12565036</v>
      </c>
      <c r="X299">
        <v>12566036</v>
      </c>
      <c r="Y299">
        <v>12574035</v>
      </c>
      <c r="Z299">
        <v>12575035</v>
      </c>
      <c r="AA299">
        <v>12576035</v>
      </c>
      <c r="AB299">
        <v>12584035</v>
      </c>
      <c r="AC299">
        <v>12585035</v>
      </c>
      <c r="AD299">
        <v>12586035</v>
      </c>
      <c r="AH299" s="11">
        <v>38</v>
      </c>
      <c r="AI299" s="11" t="b">
        <v>1</v>
      </c>
      <c r="AL299" t="str" s="11">
        <v>【补充设计】保留奇珍ID、钥匙与图谱关系；可携带标记与独立效果行逐ID核对。</v>
      </c>
    </row>
    <row r="300" spans="2:35">
      <c r="B300">
        <f t="shared" si="6"/>
        <v>72534037</v>
      </c>
      <c r="C300" t="s">
        <v>677</v>
      </c>
      <c r="D300" s="25">
        <v>12534037</v>
      </c>
      <c r="E300" t="s">
        <v>601</v>
      </c>
      <c r="F300" t="s">
        <v>145</v>
      </c>
      <c r="G300" t="s">
        <v>66</v>
      </c>
      <c r="H300">
        <v>12331037</v>
      </c>
      <c r="I300" t="s">
        <v>678</v>
      </c>
      <c r="J300" s="25" t="s">
        <v>68</v>
      </c>
      <c r="K300" t="b">
        <v>0</v>
      </c>
      <c r="M300">
        <v>12534037</v>
      </c>
      <c r="N300">
        <v>12535037</v>
      </c>
      <c r="O300">
        <v>12536037</v>
      </c>
      <c r="P300">
        <v>12544038</v>
      </c>
      <c r="Q300">
        <v>12545038</v>
      </c>
      <c r="R300">
        <v>12546038</v>
      </c>
      <c r="S300">
        <v>12554038</v>
      </c>
      <c r="T300">
        <v>12555038</v>
      </c>
      <c r="U300">
        <v>12556038</v>
      </c>
      <c r="V300">
        <v>12564038</v>
      </c>
      <c r="W300">
        <v>12565038</v>
      </c>
      <c r="X300">
        <v>12566038</v>
      </c>
      <c r="Y300">
        <v>12574038</v>
      </c>
      <c r="Z300">
        <v>12575038</v>
      </c>
      <c r="AA300">
        <v>12576038</v>
      </c>
      <c r="AB300">
        <v>12584037</v>
      </c>
      <c r="AC300">
        <v>12585037</v>
      </c>
      <c r="AD300">
        <v>12586037</v>
      </c>
      <c r="AH300" s="11">
        <v>39</v>
      </c>
      <c r="AI300" s="11" t="b">
        <v>1</v>
      </c>
      <c r="AL300" t="str" s="11">
        <v>【补充设计】保留奇珍ID、钥匙与图谱关系；可携带标记与独立效果行逐ID核对。</v>
      </c>
    </row>
    <row r="301" spans="2:35">
      <c r="B301">
        <f t="shared" si="6"/>
        <v>72334038</v>
      </c>
      <c r="C301" t="s">
        <v>679</v>
      </c>
      <c r="D301" s="25">
        <v>12334038</v>
      </c>
      <c r="E301" t="s">
        <v>601</v>
      </c>
      <c r="F301" t="s">
        <v>145</v>
      </c>
      <c r="G301" t="s">
        <v>66</v>
      </c>
      <c r="H301">
        <v>12331038</v>
      </c>
      <c r="I301" t="s">
        <v>680</v>
      </c>
      <c r="J301" s="25" t="s">
        <v>68</v>
      </c>
      <c r="K301" t="b">
        <v>0</v>
      </c>
      <c r="L301">
        <v>11</v>
      </c>
      <c r="M301">
        <v>12334038</v>
      </c>
      <c r="N301">
        <v>12335038</v>
      </c>
      <c r="O301">
        <v>12336038</v>
      </c>
      <c r="AH301" s="11">
        <v>40</v>
      </c>
      <c r="AI301" s="11" t="b">
        <v>1</v>
      </c>
      <c r="AL301" t="str" s="11">
        <v>【补充设计】保留奇珍ID、钥匙与图谱关系；可携带标记与独立效果行逐ID核对。</v>
      </c>
    </row>
    <row r="302" spans="2:35">
      <c r="B302">
        <f t="shared" si="6"/>
        <v>72344010</v>
      </c>
      <c r="C302" t="s">
        <v>681</v>
      </c>
      <c r="D302" s="25">
        <v>12344010</v>
      </c>
      <c r="E302" t="s">
        <v>601</v>
      </c>
      <c r="F302" t="s">
        <v>145</v>
      </c>
      <c r="G302" t="s">
        <v>66</v>
      </c>
      <c r="H302">
        <v>12341010</v>
      </c>
      <c r="I302" t="s">
        <v>682</v>
      </c>
      <c r="J302" s="25" t="s">
        <v>68</v>
      </c>
      <c r="K302" t="b">
        <v>0</v>
      </c>
      <c r="L302">
        <v>63</v>
      </c>
      <c r="M302">
        <v>12344010</v>
      </c>
      <c r="N302">
        <v>12345010</v>
      </c>
      <c r="O302">
        <v>12346010</v>
      </c>
      <c r="AH302" s="11">
        <v>41</v>
      </c>
      <c r="AI302" s="11" t="b">
        <v>1</v>
      </c>
      <c r="AL302" t="str" s="11">
        <v>【补充设计】保留奇珍ID、钥匙与图谱关系；可携带标记与独立效果行逐ID核对。</v>
      </c>
    </row>
    <row r="303" spans="2:35">
      <c r="B303">
        <f t="shared" si="6"/>
        <v>72344022</v>
      </c>
      <c r="C303" t="s">
        <v>683</v>
      </c>
      <c r="D303" s="25">
        <v>12344022</v>
      </c>
      <c r="E303" t="s">
        <v>601</v>
      </c>
      <c r="F303" t="s">
        <v>145</v>
      </c>
      <c r="G303" t="s">
        <v>66</v>
      </c>
      <c r="H303">
        <v>12341022</v>
      </c>
      <c r="I303" t="s">
        <v>684</v>
      </c>
      <c r="J303" s="25" t="s">
        <v>68</v>
      </c>
      <c r="K303" t="b">
        <v>0</v>
      </c>
      <c r="L303">
        <v>61</v>
      </c>
      <c r="M303">
        <v>12344022</v>
      </c>
      <c r="N303">
        <v>12345022</v>
      </c>
      <c r="O303">
        <v>12346022</v>
      </c>
      <c r="AH303" s="11">
        <v>42</v>
      </c>
      <c r="AI303" s="11" t="b">
        <v>1</v>
      </c>
      <c r="AL303" t="str" s="11">
        <v>【补充设计】保留奇珍ID、钥匙与图谱关系；可携带标记与独立效果行逐ID核对。</v>
      </c>
    </row>
    <row r="304" spans="2:35">
      <c r="B304">
        <f t="shared" si="6"/>
        <v>72344027</v>
      </c>
      <c r="C304" t="s">
        <v>685</v>
      </c>
      <c r="D304" s="25">
        <v>12344027</v>
      </c>
      <c r="E304" t="s">
        <v>601</v>
      </c>
      <c r="F304" t="s">
        <v>145</v>
      </c>
      <c r="G304" t="s">
        <v>66</v>
      </c>
      <c r="H304">
        <v>12341027</v>
      </c>
      <c r="I304" t="s">
        <v>686</v>
      </c>
      <c r="J304" s="25" t="s">
        <v>68</v>
      </c>
      <c r="K304" t="b">
        <v>0</v>
      </c>
      <c r="L304">
        <v>61</v>
      </c>
      <c r="M304">
        <v>12344027</v>
      </c>
      <c r="N304">
        <v>12345027</v>
      </c>
      <c r="O304">
        <v>12346027</v>
      </c>
      <c r="AH304" s="11">
        <v>43</v>
      </c>
      <c r="AI304" s="11" t="b">
        <v>1</v>
      </c>
      <c r="AL304" t="str" s="11">
        <v>【补充设计】保留奇珍ID、钥匙与图谱关系；可携带标记与独立效果行逐ID核对。</v>
      </c>
    </row>
    <row r="305" spans="2:35">
      <c r="B305">
        <f t="shared" si="6"/>
        <v>72344036</v>
      </c>
      <c r="C305" t="s">
        <v>687</v>
      </c>
      <c r="D305" s="25">
        <v>12344036</v>
      </c>
      <c r="E305" t="s">
        <v>601</v>
      </c>
      <c r="F305" t="s">
        <v>145</v>
      </c>
      <c r="G305" t="s">
        <v>66</v>
      </c>
      <c r="H305">
        <v>12341036</v>
      </c>
      <c r="I305" t="s">
        <v>688</v>
      </c>
      <c r="J305" s="25" t="s">
        <v>68</v>
      </c>
      <c r="K305" t="b">
        <v>0</v>
      </c>
      <c r="L305">
        <v>62</v>
      </c>
      <c r="M305">
        <v>12344036</v>
      </c>
      <c r="N305">
        <v>12345036</v>
      </c>
      <c r="O305">
        <v>12346036</v>
      </c>
      <c r="AH305" s="11">
        <v>44</v>
      </c>
      <c r="AI305" s="11" t="b">
        <v>1</v>
      </c>
      <c r="AL305" t="str" s="11">
        <v>【补充设计】保留奇珍ID、钥匙与图谱关系；可携带标记与独立效果行逐ID核对。</v>
      </c>
    </row>
    <row r="306" spans="2:35">
      <c r="B306">
        <f t="shared" si="6"/>
        <v>72354002</v>
      </c>
      <c r="C306" t="s">
        <v>689</v>
      </c>
      <c r="D306" s="25">
        <v>12354002</v>
      </c>
      <c r="E306" t="s">
        <v>601</v>
      </c>
      <c r="F306" t="s">
        <v>145</v>
      </c>
      <c r="G306" t="s">
        <v>66</v>
      </c>
      <c r="H306">
        <v>12351002</v>
      </c>
      <c r="I306" t="s">
        <v>690</v>
      </c>
      <c r="J306" s="25" t="s">
        <v>68</v>
      </c>
      <c r="K306" t="b">
        <v>0</v>
      </c>
      <c r="L306">
        <v>61</v>
      </c>
      <c r="M306">
        <v>12354002</v>
      </c>
      <c r="N306">
        <v>12355002</v>
      </c>
      <c r="O306">
        <v>12356002</v>
      </c>
      <c r="AH306" s="11">
        <v>45</v>
      </c>
      <c r="AI306" s="11" t="b">
        <v>1</v>
      </c>
      <c r="AL306" t="str" s="11">
        <v>【补充设计】保留奇珍ID、钥匙与图谱关系；可携带标记与独立效果行逐ID核对。</v>
      </c>
    </row>
    <row r="307" spans="2:35">
      <c r="B307">
        <f t="shared" si="6"/>
        <v>72354007</v>
      </c>
      <c r="C307" t="s">
        <v>691</v>
      </c>
      <c r="D307" s="25">
        <v>12354007</v>
      </c>
      <c r="E307" t="s">
        <v>601</v>
      </c>
      <c r="F307" t="s">
        <v>145</v>
      </c>
      <c r="G307" t="s">
        <v>66</v>
      </c>
      <c r="H307">
        <v>12351007</v>
      </c>
      <c r="I307" t="s">
        <v>692</v>
      </c>
      <c r="J307" s="25" t="s">
        <v>68</v>
      </c>
      <c r="K307" t="b">
        <v>0</v>
      </c>
      <c r="L307">
        <v>60</v>
      </c>
      <c r="M307">
        <v>12354007</v>
      </c>
      <c r="N307">
        <v>12355007</v>
      </c>
      <c r="O307">
        <v>12356007</v>
      </c>
      <c r="AH307" s="11">
        <v>46</v>
      </c>
      <c r="AI307" s="11" t="b">
        <v>1</v>
      </c>
      <c r="AL307" t="str" s="11">
        <v>【补充设计】保留奇珍ID、钥匙与图谱关系；可携带标记与独立效果行逐ID核对。</v>
      </c>
    </row>
    <row r="308" spans="2:35">
      <c r="B308">
        <f t="shared" si="6"/>
        <v>72354010</v>
      </c>
      <c r="C308" t="s">
        <v>693</v>
      </c>
      <c r="D308" s="25">
        <v>12354010</v>
      </c>
      <c r="E308" t="s">
        <v>601</v>
      </c>
      <c r="F308" t="s">
        <v>145</v>
      </c>
      <c r="G308" t="s">
        <v>66</v>
      </c>
      <c r="H308">
        <v>12351010</v>
      </c>
      <c r="I308" t="s">
        <v>694</v>
      </c>
      <c r="J308" s="25" t="s">
        <v>68</v>
      </c>
      <c r="K308" t="b">
        <v>0</v>
      </c>
      <c r="L308">
        <v>63</v>
      </c>
      <c r="M308">
        <v>12354010</v>
      </c>
      <c r="N308">
        <v>12355010</v>
      </c>
      <c r="O308">
        <v>12356010</v>
      </c>
      <c r="AH308" s="11">
        <v>47</v>
      </c>
      <c r="AI308" s="11" t="b">
        <v>1</v>
      </c>
      <c r="AL308" t="str" s="11">
        <v>【补充设计】保留奇珍ID、钥匙与图谱关系；可携带标记与独立效果行逐ID核对。</v>
      </c>
    </row>
    <row r="309" spans="2:35">
      <c r="B309">
        <f t="shared" si="6"/>
        <v>72354032</v>
      </c>
      <c r="C309" t="s">
        <v>695</v>
      </c>
      <c r="D309" s="25">
        <v>12354032</v>
      </c>
      <c r="E309" t="s">
        <v>601</v>
      </c>
      <c r="F309" t="s">
        <v>145</v>
      </c>
      <c r="G309" t="s">
        <v>66</v>
      </c>
      <c r="H309">
        <v>12351032</v>
      </c>
      <c r="I309" t="s">
        <v>696</v>
      </c>
      <c r="J309" s="25" t="s">
        <v>68</v>
      </c>
      <c r="K309" t="b">
        <v>0</v>
      </c>
      <c r="L309">
        <v>60</v>
      </c>
      <c r="M309">
        <v>12354032</v>
      </c>
      <c r="N309">
        <v>12355032</v>
      </c>
      <c r="O309">
        <v>12356032</v>
      </c>
      <c r="AH309" s="11">
        <v>48</v>
      </c>
      <c r="AI309" s="11" t="b">
        <v>1</v>
      </c>
      <c r="AL309" t="str" s="11">
        <v>【补充设计】保留奇珍ID、钥匙与图谱关系；可携带标记与独立效果行逐ID核对。</v>
      </c>
    </row>
    <row r="310" spans="2:35">
      <c r="B310">
        <f t="shared" si="6"/>
        <v>72364015</v>
      </c>
      <c r="C310" t="s">
        <v>697</v>
      </c>
      <c r="D310" s="25">
        <v>12364015</v>
      </c>
      <c r="E310" t="s">
        <v>601</v>
      </c>
      <c r="F310" t="s">
        <v>145</v>
      </c>
      <c r="G310" t="s">
        <v>66</v>
      </c>
      <c r="H310">
        <v>12361015</v>
      </c>
      <c r="I310" t="s">
        <v>698</v>
      </c>
      <c r="J310" s="25" t="s">
        <v>68</v>
      </c>
      <c r="K310" t="b">
        <v>0</v>
      </c>
      <c r="M310">
        <v>12364015</v>
      </c>
      <c r="N310">
        <v>12365015</v>
      </c>
      <c r="O310">
        <v>12366015</v>
      </c>
      <c r="AH310" s="11">
        <v>49</v>
      </c>
      <c r="AI310" s="11" t="b">
        <v>1</v>
      </c>
      <c r="AL310" t="str" s="11">
        <v>【补充设计】保留奇珍ID、钥匙与图谱关系；可携带标记与独立效果行逐ID核对。</v>
      </c>
    </row>
    <row r="311" spans="2:35">
      <c r="B311">
        <f t="shared" si="6"/>
        <v>72364018</v>
      </c>
      <c r="C311" t="s">
        <v>699</v>
      </c>
      <c r="D311" s="25">
        <v>12364018</v>
      </c>
      <c r="E311" t="s">
        <v>601</v>
      </c>
      <c r="F311" t="s">
        <v>145</v>
      </c>
      <c r="G311" t="s">
        <v>66</v>
      </c>
      <c r="H311">
        <v>12361018</v>
      </c>
      <c r="I311" t="s">
        <v>700</v>
      </c>
      <c r="J311" s="25" t="s">
        <v>68</v>
      </c>
      <c r="K311" t="b">
        <v>0</v>
      </c>
      <c r="L311">
        <v>11</v>
      </c>
      <c r="M311">
        <v>12364018</v>
      </c>
      <c r="N311">
        <v>12365018</v>
      </c>
      <c r="O311">
        <v>12366018</v>
      </c>
      <c r="AH311" s="11">
        <v>50</v>
      </c>
      <c r="AI311" s="11" t="b">
        <v>1</v>
      </c>
      <c r="AL311" t="str" s="11">
        <v>【补充设计】保留奇珍ID、钥匙与图谱关系；可携带标记与独立效果行逐ID核对。</v>
      </c>
    </row>
    <row r="312" spans="2:35">
      <c r="B312">
        <f t="shared" si="6"/>
        <v>72364021</v>
      </c>
      <c r="C312" t="s">
        <v>701</v>
      </c>
      <c r="D312" s="25">
        <v>12364021</v>
      </c>
      <c r="E312" t="s">
        <v>601</v>
      </c>
      <c r="F312" t="s">
        <v>145</v>
      </c>
      <c r="G312" t="s">
        <v>66</v>
      </c>
      <c r="H312">
        <v>12361021</v>
      </c>
      <c r="I312" t="s">
        <v>702</v>
      </c>
      <c r="J312" s="25" t="s">
        <v>68</v>
      </c>
      <c r="K312" t="b">
        <v>1</v>
      </c>
      <c r="M312">
        <v>12364021</v>
      </c>
      <c r="N312">
        <v>12365021</v>
      </c>
      <c r="O312">
        <v>12366021</v>
      </c>
      <c r="AH312" s="11">
        <v>51</v>
      </c>
      <c r="AI312" s="11" t="b">
        <v>1</v>
      </c>
      <c r="AL312" t="str" s="11">
        <v>【补充设计】保留奇珍ID、钥匙与图谱关系；可携带标记与独立效果行逐ID核对。</v>
      </c>
    </row>
    <row r="313" spans="2:35">
      <c r="B313">
        <f t="shared" si="6"/>
        <v>72364034</v>
      </c>
      <c r="C313" t="s">
        <v>703</v>
      </c>
      <c r="D313" s="25">
        <v>12364034</v>
      </c>
      <c r="E313" t="s">
        <v>601</v>
      </c>
      <c r="F313" t="s">
        <v>145</v>
      </c>
      <c r="G313" t="s">
        <v>66</v>
      </c>
      <c r="H313">
        <v>12361034</v>
      </c>
      <c r="I313" t="s">
        <v>704</v>
      </c>
      <c r="J313" s="25" t="s">
        <v>68</v>
      </c>
      <c r="K313" t="b">
        <v>0</v>
      </c>
      <c r="M313">
        <v>12364034</v>
      </c>
      <c r="N313">
        <v>12365034</v>
      </c>
      <c r="O313">
        <v>12366034</v>
      </c>
      <c r="AH313" s="11">
        <v>52</v>
      </c>
      <c r="AI313" s="11" t="b">
        <v>1</v>
      </c>
      <c r="AL313" t="str" s="11">
        <v>【补充设计】保留奇珍ID、钥匙与图谱关系；可携带标记与独立效果行逐ID核对。</v>
      </c>
    </row>
    <row r="314" spans="2:35">
      <c r="B314">
        <f t="shared" ref="B314:B362" si="7">M314+60000000</f>
        <v>72374004</v>
      </c>
      <c r="C314" t="s">
        <v>705</v>
      </c>
      <c r="D314" s="25">
        <v>12374004</v>
      </c>
      <c r="E314" t="s">
        <v>601</v>
      </c>
      <c r="F314" t="s">
        <v>145</v>
      </c>
      <c r="G314" t="s">
        <v>66</v>
      </c>
      <c r="H314">
        <v>12371004</v>
      </c>
      <c r="I314" t="s">
        <v>706</v>
      </c>
      <c r="J314" s="25" t="s">
        <v>68</v>
      </c>
      <c r="K314" t="b">
        <v>0</v>
      </c>
      <c r="M314">
        <v>12374004</v>
      </c>
      <c r="N314">
        <v>12375004</v>
      </c>
      <c r="O314">
        <v>12376004</v>
      </c>
      <c r="AH314" s="11">
        <v>53</v>
      </c>
      <c r="AI314" s="11" t="b">
        <v>1</v>
      </c>
      <c r="AL314" t="str" s="11">
        <v>【补充设计】保留奇珍ID、钥匙与图谱关系；可携带标记与独立效果行逐ID核对。</v>
      </c>
    </row>
    <row r="315" spans="2:35">
      <c r="B315">
        <f t="shared" si="7"/>
        <v>72374024</v>
      </c>
      <c r="C315" t="s">
        <v>707</v>
      </c>
      <c r="D315" s="25">
        <v>12374024</v>
      </c>
      <c r="E315" t="s">
        <v>601</v>
      </c>
      <c r="F315" t="s">
        <v>145</v>
      </c>
      <c r="G315" t="s">
        <v>66</v>
      </c>
      <c r="H315">
        <v>12371024</v>
      </c>
      <c r="I315" t="s">
        <v>708</v>
      </c>
      <c r="J315" s="25" t="s">
        <v>68</v>
      </c>
      <c r="K315" t="b">
        <v>0</v>
      </c>
      <c r="L315">
        <v>61</v>
      </c>
      <c r="M315">
        <v>12374024</v>
      </c>
      <c r="N315">
        <v>12375024</v>
      </c>
      <c r="O315">
        <v>12376024</v>
      </c>
      <c r="AH315" s="11">
        <v>54</v>
      </c>
      <c r="AI315" s="11" t="b">
        <v>1</v>
      </c>
      <c r="AL315" t="str" s="11">
        <v>【补充设计】保留奇珍ID、钥匙与图谱关系；可携带标记与独立效果行逐ID核对。</v>
      </c>
    </row>
    <row r="316" spans="2:35">
      <c r="B316">
        <f t="shared" si="7"/>
        <v>72374029</v>
      </c>
      <c r="C316" t="s">
        <v>709</v>
      </c>
      <c r="D316" s="25">
        <v>12374029</v>
      </c>
      <c r="E316" t="s">
        <v>601</v>
      </c>
      <c r="F316" t="s">
        <v>145</v>
      </c>
      <c r="G316" t="s">
        <v>66</v>
      </c>
      <c r="H316">
        <v>12371029</v>
      </c>
      <c r="I316" t="s">
        <v>710</v>
      </c>
      <c r="J316" s="25" t="s">
        <v>68</v>
      </c>
      <c r="K316" t="b">
        <v>0</v>
      </c>
      <c r="L316">
        <v>62</v>
      </c>
      <c r="M316">
        <v>12374029</v>
      </c>
      <c r="N316">
        <v>12375029</v>
      </c>
      <c r="O316">
        <v>12376029</v>
      </c>
      <c r="AH316" s="11">
        <v>55</v>
      </c>
      <c r="AI316" s="11" t="b">
        <v>1</v>
      </c>
      <c r="AL316" t="str" s="11">
        <v>【补充设计】保留奇珍ID、钥匙与图谱关系；可携带标记与独立效果行逐ID核对。</v>
      </c>
    </row>
    <row r="317" spans="2:35">
      <c r="B317">
        <f t="shared" si="7"/>
        <v>72374036</v>
      </c>
      <c r="C317" t="s">
        <v>711</v>
      </c>
      <c r="D317" s="25">
        <v>12374036</v>
      </c>
      <c r="E317" t="s">
        <v>601</v>
      </c>
      <c r="F317" t="s">
        <v>145</v>
      </c>
      <c r="G317" t="s">
        <v>66</v>
      </c>
      <c r="H317">
        <v>12371036</v>
      </c>
      <c r="I317" t="s">
        <v>712</v>
      </c>
      <c r="J317" s="25" t="s">
        <v>68</v>
      </c>
      <c r="K317" t="b">
        <v>0</v>
      </c>
      <c r="L317">
        <v>11</v>
      </c>
      <c r="M317">
        <v>12374036</v>
      </c>
      <c r="N317">
        <v>12375036</v>
      </c>
      <c r="O317">
        <v>12376036</v>
      </c>
      <c r="AH317" s="11">
        <v>56</v>
      </c>
      <c r="AI317" s="11" t="b">
        <v>1</v>
      </c>
      <c r="AL317" t="str" s="11">
        <v>【补充设计】保留奇珍ID、钥匙与图谱关系；可携带标记与独立效果行逐ID核对。</v>
      </c>
    </row>
    <row r="318" spans="2:35">
      <c r="B318">
        <f t="shared" si="7"/>
        <v>72384010</v>
      </c>
      <c r="C318" t="s">
        <v>713</v>
      </c>
      <c r="D318" s="25">
        <v>12384010</v>
      </c>
      <c r="E318" t="s">
        <v>601</v>
      </c>
      <c r="F318" t="s">
        <v>145</v>
      </c>
      <c r="G318" t="s">
        <v>66</v>
      </c>
      <c r="H318">
        <v>12381010</v>
      </c>
      <c r="I318" t="s">
        <v>714</v>
      </c>
      <c r="J318" s="25" t="s">
        <v>68</v>
      </c>
      <c r="K318" t="b">
        <v>0</v>
      </c>
      <c r="L318">
        <v>63</v>
      </c>
      <c r="M318">
        <v>12384010</v>
      </c>
      <c r="N318">
        <v>12385010</v>
      </c>
      <c r="O318">
        <v>12386010</v>
      </c>
      <c r="AH318" s="11">
        <v>57</v>
      </c>
      <c r="AI318" s="11" t="b">
        <v>1</v>
      </c>
      <c r="AL318" t="str" s="11">
        <v>【补充设计】保留奇珍ID、钥匙与图谱关系；可携带标记与独立效果行逐ID核对。</v>
      </c>
    </row>
    <row r="319" spans="2:35">
      <c r="B319">
        <f t="shared" si="7"/>
        <v>72384016</v>
      </c>
      <c r="C319" t="s">
        <v>715</v>
      </c>
      <c r="D319" s="25">
        <v>12384016</v>
      </c>
      <c r="E319" t="s">
        <v>601</v>
      </c>
      <c r="F319" t="s">
        <v>145</v>
      </c>
      <c r="G319" t="s">
        <v>66</v>
      </c>
      <c r="H319">
        <v>12381016</v>
      </c>
      <c r="I319" t="s">
        <v>716</v>
      </c>
      <c r="J319" s="25" t="s">
        <v>68</v>
      </c>
      <c r="K319" t="b">
        <v>0</v>
      </c>
      <c r="M319">
        <v>12384016</v>
      </c>
      <c r="N319">
        <v>12385016</v>
      </c>
      <c r="O319">
        <v>12386016</v>
      </c>
      <c r="AH319" s="11">
        <v>58</v>
      </c>
      <c r="AI319" s="11" t="b">
        <v>1</v>
      </c>
      <c r="AL319" t="str" s="11">
        <v>【补充设计】保留奇珍ID、钥匙与图谱关系；可携带标记与独立效果行逐ID核对。</v>
      </c>
    </row>
    <row r="320" spans="2:35">
      <c r="B320">
        <f t="shared" si="7"/>
        <v>72384031</v>
      </c>
      <c r="C320" t="s">
        <v>717</v>
      </c>
      <c r="D320" s="25">
        <v>12384031</v>
      </c>
      <c r="E320" t="s">
        <v>601</v>
      </c>
      <c r="F320" t="s">
        <v>145</v>
      </c>
      <c r="G320" t="s">
        <v>66</v>
      </c>
      <c r="H320">
        <v>12381031</v>
      </c>
      <c r="I320" t="s">
        <v>718</v>
      </c>
      <c r="J320" s="25" t="s">
        <v>68</v>
      </c>
      <c r="K320" t="b">
        <v>0</v>
      </c>
      <c r="L320">
        <v>63</v>
      </c>
      <c r="M320">
        <v>12384031</v>
      </c>
      <c r="N320">
        <v>12385031</v>
      </c>
      <c r="O320">
        <v>12386031</v>
      </c>
      <c r="AH320" s="11">
        <v>59</v>
      </c>
      <c r="AI320" s="11" t="b">
        <v>1</v>
      </c>
      <c r="AL320" t="str" s="11">
        <v>【补充设计】保留奇珍ID、钥匙与图谱关系；可携带标记与独立效果行逐ID核对。</v>
      </c>
    </row>
    <row r="321" spans="2:35">
      <c r="B321">
        <f t="shared" si="7"/>
        <v>72384038</v>
      </c>
      <c r="C321" t="s">
        <v>719</v>
      </c>
      <c r="D321" s="25">
        <v>12384038</v>
      </c>
      <c r="E321" t="s">
        <v>601</v>
      </c>
      <c r="F321" t="s">
        <v>145</v>
      </c>
      <c r="G321" t="s">
        <v>66</v>
      </c>
      <c r="H321">
        <v>12381038</v>
      </c>
      <c r="I321" t="s">
        <v>720</v>
      </c>
      <c r="J321" s="25" t="s">
        <v>68</v>
      </c>
      <c r="K321" t="b">
        <v>0</v>
      </c>
      <c r="L321">
        <v>63</v>
      </c>
      <c r="M321">
        <v>12384038</v>
      </c>
      <c r="N321">
        <v>12385038</v>
      </c>
      <c r="O321">
        <v>12386038</v>
      </c>
      <c r="AH321" s="11">
        <v>60</v>
      </c>
      <c r="AI321" s="11" t="b">
        <v>1</v>
      </c>
      <c r="AL321" t="str" s="11">
        <v>【补充设计】保留奇珍ID、钥匙与图谱关系；可携带标记与独立效果行逐ID核对。</v>
      </c>
    </row>
    <row r="322" spans="2:35">
      <c r="B322">
        <f t="shared" si="7"/>
        <v>72704000</v>
      </c>
      <c r="C322" t="s">
        <v>721</v>
      </c>
      <c r="D322" s="25">
        <v>12704000</v>
      </c>
      <c r="E322" t="s">
        <v>601</v>
      </c>
      <c r="F322" t="s">
        <v>145</v>
      </c>
      <c r="G322" t="s">
        <v>66</v>
      </c>
      <c r="H322">
        <v>12304000</v>
      </c>
      <c r="I322" t="s">
        <v>722</v>
      </c>
      <c r="J322" s="25" t="s">
        <v>68</v>
      </c>
      <c r="K322" t="b">
        <v>1</v>
      </c>
      <c r="L322">
        <v>12</v>
      </c>
      <c r="M322">
        <v>12704000</v>
      </c>
      <c r="N322">
        <v>12705000</v>
      </c>
      <c r="O322">
        <v>12706000</v>
      </c>
      <c r="AH322" s="11">
        <v>61</v>
      </c>
      <c r="AI322" s="11" t="b">
        <v>1</v>
      </c>
      <c r="AL322" t="str" s="11">
        <v>【补充设计】保留奇珍ID、钥匙与图谱关系；可携带标记与独立效果行逐ID核对。</v>
      </c>
    </row>
    <row r="323" spans="2:35">
      <c r="B323">
        <f t="shared" si="7"/>
        <v>72424000</v>
      </c>
      <c r="C323" t="s">
        <v>723</v>
      </c>
      <c r="D323" s="25">
        <v>12424000</v>
      </c>
      <c r="E323" t="s">
        <v>724</v>
      </c>
      <c r="F323" t="s">
        <v>145</v>
      </c>
      <c r="G323" t="s">
        <v>66</v>
      </c>
      <c r="H323">
        <v>12421000</v>
      </c>
      <c r="I323" t="s">
        <v>725</v>
      </c>
      <c r="J323" s="25" t="s">
        <v>68</v>
      </c>
      <c r="K323" t="b">
        <v>1</v>
      </c>
      <c r="L323">
        <v>21</v>
      </c>
      <c r="M323">
        <v>12424000</v>
      </c>
      <c r="N323">
        <v>12434000</v>
      </c>
      <c r="O323">
        <v>12444000</v>
      </c>
      <c r="P323">
        <v>12454000</v>
      </c>
      <c r="Q323">
        <v>12464000</v>
      </c>
      <c r="R323">
        <v>12474000</v>
      </c>
      <c r="S323">
        <v>12484000</v>
      </c>
      <c r="T323">
        <v>12425000</v>
      </c>
      <c r="U323">
        <v>12435000</v>
      </c>
      <c r="V323">
        <v>12445000</v>
      </c>
      <c r="W323">
        <v>12455000</v>
      </c>
      <c r="X323">
        <v>12465000</v>
      </c>
      <c r="Y323">
        <v>12475000</v>
      </c>
      <c r="Z323">
        <v>12485000</v>
      </c>
      <c r="AA323">
        <v>12426000</v>
      </c>
      <c r="AB323">
        <v>12436000</v>
      </c>
      <c r="AC323">
        <v>12446000</v>
      </c>
      <c r="AD323">
        <v>12456000</v>
      </c>
      <c r="AE323">
        <v>12466000</v>
      </c>
      <c r="AF323">
        <v>12476000</v>
      </c>
      <c r="AG323">
        <v>12486000</v>
      </c>
      <c r="AH323" s="11">
        <v>1</v>
      </c>
      <c r="AI323" s="11" t="b">
        <v>1</v>
      </c>
      <c r="AL323" t="str" s="11">
        <v>【补充设计】保留奇珍ID、钥匙与图谱关系；可携带标记与独立效果行逐ID核对。</v>
      </c>
    </row>
    <row r="324" spans="2:35">
      <c r="B324">
        <f t="shared" si="7"/>
        <v>72424016</v>
      </c>
      <c r="C324" t="s">
        <v>726</v>
      </c>
      <c r="D324" s="25">
        <v>12424016</v>
      </c>
      <c r="E324" t="s">
        <v>724</v>
      </c>
      <c r="F324" t="s">
        <v>145</v>
      </c>
      <c r="G324" t="s">
        <v>66</v>
      </c>
      <c r="H324">
        <v>12421004</v>
      </c>
      <c r="I324" t="s">
        <v>727</v>
      </c>
      <c r="J324" s="25" t="s">
        <v>68</v>
      </c>
      <c r="K324" t="b">
        <v>1</v>
      </c>
      <c r="L324">
        <v>27</v>
      </c>
      <c r="M324">
        <v>12424016</v>
      </c>
      <c r="N324">
        <v>12434016</v>
      </c>
      <c r="O324">
        <v>12444016</v>
      </c>
      <c r="P324">
        <v>12454016</v>
      </c>
      <c r="Q324">
        <v>12464016</v>
      </c>
      <c r="R324">
        <v>12474016</v>
      </c>
      <c r="S324">
        <v>12484016</v>
      </c>
      <c r="T324">
        <v>12425016</v>
      </c>
      <c r="U324">
        <v>12435016</v>
      </c>
      <c r="V324">
        <v>12445016</v>
      </c>
      <c r="W324">
        <v>12455016</v>
      </c>
      <c r="X324">
        <v>12465016</v>
      </c>
      <c r="Y324">
        <v>12475016</v>
      </c>
      <c r="Z324">
        <v>12485016</v>
      </c>
      <c r="AA324">
        <v>12426016</v>
      </c>
      <c r="AB324">
        <v>12436016</v>
      </c>
      <c r="AC324">
        <v>12446016</v>
      </c>
      <c r="AD324">
        <v>12456016</v>
      </c>
      <c r="AE324">
        <v>12466016</v>
      </c>
      <c r="AF324">
        <v>12476016</v>
      </c>
      <c r="AG324">
        <v>12486016</v>
      </c>
      <c r="AH324" s="11">
        <v>17</v>
      </c>
      <c r="AI324" s="11" t="b">
        <v>1</v>
      </c>
      <c r="AL324" t="str" s="11">
        <v>【补充设计】保留奇珍ID、钥匙与图谱关系；可携带标记与独立效果行逐ID核对。</v>
      </c>
    </row>
    <row r="325" spans="2:35">
      <c r="B325">
        <f t="shared" si="7"/>
        <v>72424025</v>
      </c>
      <c r="C325" t="s">
        <v>728</v>
      </c>
      <c r="D325" s="25">
        <v>12424025</v>
      </c>
      <c r="E325" t="s">
        <v>724</v>
      </c>
      <c r="F325" t="s">
        <v>145</v>
      </c>
      <c r="G325" t="s">
        <v>66</v>
      </c>
      <c r="H325">
        <v>12421005</v>
      </c>
      <c r="I325" t="s">
        <v>729</v>
      </c>
      <c r="J325" s="25" t="s">
        <v>68</v>
      </c>
      <c r="K325" t="b">
        <v>1</v>
      </c>
      <c r="L325">
        <v>27</v>
      </c>
      <c r="M325">
        <v>12424025</v>
      </c>
      <c r="N325">
        <v>12434025</v>
      </c>
      <c r="O325">
        <v>12444025</v>
      </c>
      <c r="P325">
        <v>12454025</v>
      </c>
      <c r="Q325">
        <v>12464025</v>
      </c>
      <c r="R325">
        <v>12474025</v>
      </c>
      <c r="S325">
        <v>12484025</v>
      </c>
      <c r="T325">
        <v>12425025</v>
      </c>
      <c r="U325">
        <v>12435025</v>
      </c>
      <c r="V325">
        <v>12445025</v>
      </c>
      <c r="W325">
        <v>12455025</v>
      </c>
      <c r="X325">
        <v>12465025</v>
      </c>
      <c r="Y325">
        <v>12475025</v>
      </c>
      <c r="Z325">
        <v>12485025</v>
      </c>
      <c r="AA325">
        <v>12426025</v>
      </c>
      <c r="AB325">
        <v>12436025</v>
      </c>
      <c r="AC325">
        <v>12446025</v>
      </c>
      <c r="AD325">
        <v>12456025</v>
      </c>
      <c r="AE325">
        <v>12466025</v>
      </c>
      <c r="AF325">
        <v>12476025</v>
      </c>
      <c r="AG325">
        <v>12486025</v>
      </c>
      <c r="AH325" s="11">
        <v>26</v>
      </c>
      <c r="AI325" s="11" t="b">
        <v>1</v>
      </c>
      <c r="AL325" t="str" s="11">
        <v>【补充设计】保留奇珍ID、钥匙与图谱关系；可携带标记与独立效果行逐ID核对。</v>
      </c>
    </row>
    <row r="326" spans="2:35">
      <c r="B326">
        <f t="shared" si="7"/>
        <v>72424034</v>
      </c>
      <c r="C326" t="s">
        <v>730</v>
      </c>
      <c r="D326" s="25">
        <v>12424034</v>
      </c>
      <c r="E326" t="s">
        <v>724</v>
      </c>
      <c r="F326" t="s">
        <v>145</v>
      </c>
      <c r="G326" t="s">
        <v>66</v>
      </c>
      <c r="H326">
        <v>12421001</v>
      </c>
      <c r="I326" t="s">
        <v>731</v>
      </c>
      <c r="J326" s="25" t="s">
        <v>68</v>
      </c>
      <c r="K326" t="b">
        <v>0</v>
      </c>
      <c r="M326">
        <v>12424034</v>
      </c>
      <c r="N326">
        <v>12434034</v>
      </c>
      <c r="O326">
        <v>12444034</v>
      </c>
      <c r="P326">
        <v>12454034</v>
      </c>
      <c r="Q326">
        <v>12464034</v>
      </c>
      <c r="R326">
        <v>12474034</v>
      </c>
      <c r="S326">
        <v>12484034</v>
      </c>
      <c r="T326">
        <v>12425034</v>
      </c>
      <c r="U326">
        <v>12435034</v>
      </c>
      <c r="V326">
        <v>12445034</v>
      </c>
      <c r="W326">
        <v>12455034</v>
      </c>
      <c r="X326">
        <v>12465034</v>
      </c>
      <c r="Y326">
        <v>12475034</v>
      </c>
      <c r="Z326">
        <v>12485034</v>
      </c>
      <c r="AA326">
        <v>12426034</v>
      </c>
      <c r="AB326">
        <v>12436034</v>
      </c>
      <c r="AC326">
        <v>12446034</v>
      </c>
      <c r="AD326">
        <v>12456034</v>
      </c>
      <c r="AE326">
        <v>12466034</v>
      </c>
      <c r="AF326">
        <v>12476034</v>
      </c>
      <c r="AG326">
        <v>12486034</v>
      </c>
      <c r="AH326" s="11">
        <v>35</v>
      </c>
      <c r="AI326" s="11" t="b">
        <v>1</v>
      </c>
      <c r="AL326" t="str" s="11">
        <v>【补充设计】保留奇珍ID、钥匙与图谱关系；可携带标记与独立效果行逐ID核对。</v>
      </c>
    </row>
    <row r="327" spans="2:35">
      <c r="B327">
        <f t="shared" si="7"/>
        <v>72424050</v>
      </c>
      <c r="C327" t="s">
        <v>732</v>
      </c>
      <c r="D327" s="25">
        <v>12424050</v>
      </c>
      <c r="E327" t="s">
        <v>724</v>
      </c>
      <c r="F327" t="s">
        <v>145</v>
      </c>
      <c r="G327" t="s">
        <v>66</v>
      </c>
      <c r="H327">
        <v>12421010</v>
      </c>
      <c r="I327" t="s">
        <v>733</v>
      </c>
      <c r="J327" s="25" t="s">
        <v>68</v>
      </c>
      <c r="K327" t="b">
        <v>1</v>
      </c>
      <c r="L327">
        <v>27</v>
      </c>
      <c r="M327">
        <v>12424050</v>
      </c>
      <c r="N327">
        <v>12434050</v>
      </c>
      <c r="O327">
        <v>12444050</v>
      </c>
      <c r="P327">
        <v>12454050</v>
      </c>
      <c r="Q327">
        <v>12464050</v>
      </c>
      <c r="R327">
        <v>12474050</v>
      </c>
      <c r="S327">
        <v>12484050</v>
      </c>
      <c r="T327">
        <v>12425050</v>
      </c>
      <c r="U327">
        <v>12435050</v>
      </c>
      <c r="V327">
        <v>12445050</v>
      </c>
      <c r="W327">
        <v>12455050</v>
      </c>
      <c r="X327">
        <v>12465050</v>
      </c>
      <c r="Y327">
        <v>12475050</v>
      </c>
      <c r="Z327">
        <v>12485050</v>
      </c>
      <c r="AA327">
        <v>12426050</v>
      </c>
      <c r="AB327">
        <v>12436050</v>
      </c>
      <c r="AC327">
        <v>12446050</v>
      </c>
      <c r="AD327">
        <v>12456050</v>
      </c>
      <c r="AE327">
        <v>12466050</v>
      </c>
      <c r="AF327">
        <v>12476050</v>
      </c>
      <c r="AG327">
        <v>12486050</v>
      </c>
      <c r="AH327" s="11">
        <v>51</v>
      </c>
      <c r="AI327" s="11" t="b">
        <v>1</v>
      </c>
      <c r="AL327" t="str" s="11">
        <v>【补充设计】保留奇珍ID、钥匙与图谱关系；可携带标记与独立效果行逐ID核对。</v>
      </c>
    </row>
    <row r="328" spans="2:35">
      <c r="B328">
        <f t="shared" si="7"/>
        <v>72424054</v>
      </c>
      <c r="C328" t="s">
        <v>734</v>
      </c>
      <c r="D328" s="25">
        <v>12424054</v>
      </c>
      <c r="E328" t="s">
        <v>724</v>
      </c>
      <c r="F328" t="s">
        <v>145</v>
      </c>
      <c r="G328" t="s">
        <v>66</v>
      </c>
      <c r="H328">
        <v>12421006</v>
      </c>
      <c r="I328" t="s">
        <v>735</v>
      </c>
      <c r="J328" s="25" t="s">
        <v>68</v>
      </c>
      <c r="K328" t="b">
        <v>1</v>
      </c>
      <c r="L328">
        <v>28</v>
      </c>
      <c r="M328">
        <v>12424054</v>
      </c>
      <c r="N328">
        <v>12434054</v>
      </c>
      <c r="O328">
        <v>12444054</v>
      </c>
      <c r="P328">
        <v>12454054</v>
      </c>
      <c r="Q328">
        <v>12464054</v>
      </c>
      <c r="R328">
        <v>12474054</v>
      </c>
      <c r="S328">
        <v>12484054</v>
      </c>
      <c r="T328">
        <v>12425054</v>
      </c>
      <c r="U328">
        <v>12435054</v>
      </c>
      <c r="V328">
        <v>12445054</v>
      </c>
      <c r="W328">
        <v>12455054</v>
      </c>
      <c r="X328">
        <v>12465054</v>
      </c>
      <c r="Y328">
        <v>12475054</v>
      </c>
      <c r="Z328">
        <v>12485054</v>
      </c>
      <c r="AA328">
        <v>12426054</v>
      </c>
      <c r="AB328">
        <v>12436054</v>
      </c>
      <c r="AC328">
        <v>12446054</v>
      </c>
      <c r="AD328">
        <v>12456054</v>
      </c>
      <c r="AE328">
        <v>12466054</v>
      </c>
      <c r="AF328">
        <v>12476054</v>
      </c>
      <c r="AG328">
        <v>12486054</v>
      </c>
      <c r="AH328" s="11">
        <v>55</v>
      </c>
      <c r="AI328" s="11" t="b">
        <v>1</v>
      </c>
      <c r="AL328" t="str" s="11">
        <v>【补充设计】保留奇珍ID、钥匙与图谱关系；可携带标记与独立效果行逐ID核对。</v>
      </c>
    </row>
    <row r="329" spans="2:35">
      <c r="B329">
        <f t="shared" si="7"/>
        <v>72424066</v>
      </c>
      <c r="C329" t="s">
        <v>736</v>
      </c>
      <c r="D329" s="25">
        <v>12424066</v>
      </c>
      <c r="E329" t="s">
        <v>724</v>
      </c>
      <c r="F329" t="s">
        <v>145</v>
      </c>
      <c r="G329" t="s">
        <v>66</v>
      </c>
      <c r="H329">
        <v>12421007</v>
      </c>
      <c r="I329" t="s">
        <v>737</v>
      </c>
      <c r="J329" s="25" t="s">
        <v>68</v>
      </c>
      <c r="K329" t="b">
        <v>1</v>
      </c>
      <c r="L329">
        <v>24</v>
      </c>
      <c r="M329">
        <v>12424066</v>
      </c>
      <c r="N329">
        <v>12434066</v>
      </c>
      <c r="O329">
        <v>12444066</v>
      </c>
      <c r="P329">
        <v>12454066</v>
      </c>
      <c r="Q329">
        <v>12464066</v>
      </c>
      <c r="R329">
        <v>12474066</v>
      </c>
      <c r="S329">
        <v>12484066</v>
      </c>
      <c r="T329">
        <v>12425066</v>
      </c>
      <c r="U329">
        <v>12435066</v>
      </c>
      <c r="V329">
        <v>12445066</v>
      </c>
      <c r="W329">
        <v>12455066</v>
      </c>
      <c r="X329">
        <v>12465066</v>
      </c>
      <c r="Y329">
        <v>12475066</v>
      </c>
      <c r="Z329">
        <v>12485066</v>
      </c>
      <c r="AA329">
        <v>12426066</v>
      </c>
      <c r="AB329">
        <v>12436066</v>
      </c>
      <c r="AC329">
        <v>12446066</v>
      </c>
      <c r="AD329">
        <v>12456066</v>
      </c>
      <c r="AE329">
        <v>12466066</v>
      </c>
      <c r="AF329">
        <v>12476066</v>
      </c>
      <c r="AG329">
        <v>12486066</v>
      </c>
      <c r="AH329" s="11">
        <v>67</v>
      </c>
      <c r="AI329" s="11" t="b">
        <v>1</v>
      </c>
      <c r="AL329" t="str" s="11">
        <v>【补充设计】保留奇珍ID、钥匙与图谱关系；可携带标记与独立效果行逐ID核对。</v>
      </c>
    </row>
    <row r="330" spans="2:35">
      <c r="B330">
        <f t="shared" si="7"/>
        <v>72424081</v>
      </c>
      <c r="C330" t="s">
        <v>738</v>
      </c>
      <c r="D330" s="25">
        <v>12424081</v>
      </c>
      <c r="E330" t="s">
        <v>724</v>
      </c>
      <c r="F330" t="s">
        <v>145</v>
      </c>
      <c r="G330" t="s">
        <v>66</v>
      </c>
      <c r="H330">
        <v>12421008</v>
      </c>
      <c r="I330" t="s">
        <v>739</v>
      </c>
      <c r="J330" s="25" t="s">
        <v>68</v>
      </c>
      <c r="K330" t="b">
        <v>1</v>
      </c>
      <c r="L330">
        <v>24</v>
      </c>
      <c r="M330">
        <v>12424081</v>
      </c>
      <c r="N330">
        <v>12434081</v>
      </c>
      <c r="O330">
        <v>12444081</v>
      </c>
      <c r="P330">
        <v>12454081</v>
      </c>
      <c r="Q330">
        <v>12464081</v>
      </c>
      <c r="R330">
        <v>12474081</v>
      </c>
      <c r="S330">
        <v>12484081</v>
      </c>
      <c r="T330">
        <v>12425081</v>
      </c>
      <c r="U330">
        <v>12435081</v>
      </c>
      <c r="V330">
        <v>12445081</v>
      </c>
      <c r="W330">
        <v>12455081</v>
      </c>
      <c r="X330">
        <v>12465081</v>
      </c>
      <c r="Y330">
        <v>12475081</v>
      </c>
      <c r="Z330">
        <v>12485081</v>
      </c>
      <c r="AA330">
        <v>12426081</v>
      </c>
      <c r="AB330">
        <v>12436081</v>
      </c>
      <c r="AC330">
        <v>12446081</v>
      </c>
      <c r="AD330">
        <v>12456081</v>
      </c>
      <c r="AE330">
        <v>12466081</v>
      </c>
      <c r="AF330">
        <v>12476081</v>
      </c>
      <c r="AG330">
        <v>12486081</v>
      </c>
      <c r="AH330" s="11">
        <v>82</v>
      </c>
      <c r="AI330" s="11" t="b">
        <v>1</v>
      </c>
      <c r="AL330" t="str" s="11">
        <v>【补充设计】保留奇珍ID、钥匙与图谱关系；可携带标记与独立效果行逐ID核对。</v>
      </c>
    </row>
    <row r="331" spans="2:35">
      <c r="B331">
        <f t="shared" si="7"/>
        <v>72424082</v>
      </c>
      <c r="C331" t="s">
        <v>740</v>
      </c>
      <c r="D331" s="25">
        <v>12424082</v>
      </c>
      <c r="E331" t="s">
        <v>724</v>
      </c>
      <c r="F331" t="s">
        <v>145</v>
      </c>
      <c r="G331" t="s">
        <v>66</v>
      </c>
      <c r="H331">
        <v>12421009</v>
      </c>
      <c r="I331" t="s">
        <v>741</v>
      </c>
      <c r="J331" s="25" t="s">
        <v>68</v>
      </c>
      <c r="K331" t="b">
        <v>1</v>
      </c>
      <c r="L331">
        <v>28</v>
      </c>
      <c r="M331">
        <v>12424082</v>
      </c>
      <c r="N331">
        <v>12434082</v>
      </c>
      <c r="O331">
        <v>12444082</v>
      </c>
      <c r="P331">
        <v>12454082</v>
      </c>
      <c r="Q331">
        <v>12464082</v>
      </c>
      <c r="R331">
        <v>12474082</v>
      </c>
      <c r="S331">
        <v>12484082</v>
      </c>
      <c r="T331">
        <v>12425082</v>
      </c>
      <c r="U331">
        <v>12435082</v>
      </c>
      <c r="V331">
        <v>12445082</v>
      </c>
      <c r="W331">
        <v>12455082</v>
      </c>
      <c r="X331">
        <v>12465082</v>
      </c>
      <c r="Y331">
        <v>12475082</v>
      </c>
      <c r="Z331">
        <v>12485082</v>
      </c>
      <c r="AA331">
        <v>12426082</v>
      </c>
      <c r="AB331">
        <v>12436082</v>
      </c>
      <c r="AC331">
        <v>12446082</v>
      </c>
      <c r="AD331">
        <v>12456082</v>
      </c>
      <c r="AE331">
        <v>12466082</v>
      </c>
      <c r="AF331">
        <v>12476082</v>
      </c>
      <c r="AG331">
        <v>12486082</v>
      </c>
      <c r="AH331" s="11">
        <v>83</v>
      </c>
      <c r="AI331" s="11" t="b">
        <v>1</v>
      </c>
      <c r="AL331" t="str" s="11">
        <v>【补充设计】保留奇珍ID、钥匙与图谱关系；可携带标记与独立效果行逐ID核对。</v>
      </c>
    </row>
    <row r="332" spans="2:35">
      <c r="B332">
        <f t="shared" si="7"/>
        <v>72424086</v>
      </c>
      <c r="C332" t="s">
        <v>742</v>
      </c>
      <c r="D332" s="25">
        <v>12424086</v>
      </c>
      <c r="E332" t="s">
        <v>724</v>
      </c>
      <c r="F332" t="s">
        <v>145</v>
      </c>
      <c r="G332" t="s">
        <v>66</v>
      </c>
      <c r="H332">
        <v>12421002</v>
      </c>
      <c r="I332" t="s">
        <v>743</v>
      </c>
      <c r="J332" s="25" t="s">
        <v>68</v>
      </c>
      <c r="K332" t="b">
        <v>1</v>
      </c>
      <c r="L332">
        <v>28</v>
      </c>
      <c r="M332">
        <v>12424086</v>
      </c>
      <c r="N332">
        <v>12434086</v>
      </c>
      <c r="O332">
        <v>12444086</v>
      </c>
      <c r="P332">
        <v>12454086</v>
      </c>
      <c r="Q332">
        <v>12464086</v>
      </c>
      <c r="R332">
        <v>12474086</v>
      </c>
      <c r="S332">
        <v>12484086</v>
      </c>
      <c r="T332">
        <v>12425086</v>
      </c>
      <c r="U332">
        <v>12435086</v>
      </c>
      <c r="V332">
        <v>12445086</v>
      </c>
      <c r="W332">
        <v>12455086</v>
      </c>
      <c r="X332">
        <v>12465086</v>
      </c>
      <c r="Y332">
        <v>12475086</v>
      </c>
      <c r="Z332">
        <v>12485086</v>
      </c>
      <c r="AA332">
        <v>12426086</v>
      </c>
      <c r="AB332">
        <v>12436086</v>
      </c>
      <c r="AC332">
        <v>12446086</v>
      </c>
      <c r="AD332">
        <v>12456086</v>
      </c>
      <c r="AE332">
        <v>12466086</v>
      </c>
      <c r="AF332">
        <v>12476086</v>
      </c>
      <c r="AG332">
        <v>12486086</v>
      </c>
      <c r="AH332" s="11">
        <v>87</v>
      </c>
      <c r="AI332" s="11" t="b">
        <v>1</v>
      </c>
      <c r="AL332" t="str" s="11">
        <v>【补充设计】保留奇珍ID、钥匙与图谱关系；可携带标记与独立效果行逐ID核对。</v>
      </c>
    </row>
    <row r="333" spans="2:35">
      <c r="B333">
        <f t="shared" si="7"/>
        <v>72424087</v>
      </c>
      <c r="C333" t="s">
        <v>744</v>
      </c>
      <c r="D333" s="25">
        <v>12424087</v>
      </c>
      <c r="E333" t="s">
        <v>724</v>
      </c>
      <c r="F333" t="s">
        <v>145</v>
      </c>
      <c r="G333" t="s">
        <v>66</v>
      </c>
      <c r="H333">
        <v>12421003</v>
      </c>
      <c r="I333" t="s">
        <v>745</v>
      </c>
      <c r="J333" s="25" t="s">
        <v>68</v>
      </c>
      <c r="K333" t="b">
        <v>1</v>
      </c>
      <c r="L333">
        <v>70</v>
      </c>
      <c r="M333">
        <v>12424087</v>
      </c>
      <c r="N333">
        <v>12434087</v>
      </c>
      <c r="O333">
        <v>12444087</v>
      </c>
      <c r="P333">
        <v>12454087</v>
      </c>
      <c r="Q333">
        <v>12464087</v>
      </c>
      <c r="R333">
        <v>12474087</v>
      </c>
      <c r="S333">
        <v>12484087</v>
      </c>
      <c r="T333">
        <v>12425087</v>
      </c>
      <c r="U333">
        <v>12435087</v>
      </c>
      <c r="V333">
        <v>12445087</v>
      </c>
      <c r="W333">
        <v>12455087</v>
      </c>
      <c r="X333">
        <v>12465087</v>
      </c>
      <c r="Y333">
        <v>12475087</v>
      </c>
      <c r="Z333">
        <v>12485087</v>
      </c>
      <c r="AA333">
        <v>12426087</v>
      </c>
      <c r="AB333">
        <v>12436087</v>
      </c>
      <c r="AC333">
        <v>12446087</v>
      </c>
      <c r="AD333">
        <v>12456087</v>
      </c>
      <c r="AE333">
        <v>12466087</v>
      </c>
      <c r="AF333">
        <v>12476087</v>
      </c>
      <c r="AG333">
        <v>12486087</v>
      </c>
      <c r="AH333" s="11">
        <v>88</v>
      </c>
      <c r="AI333" s="11" t="b">
        <v>1</v>
      </c>
      <c r="AL333" t="str" s="11">
        <v>【补充设计】保留奇珍ID、钥匙与图谱关系；可携带标记与独立效果行逐ID核对。</v>
      </c>
    </row>
    <row r="334" spans="2:35">
      <c r="B334">
        <f t="shared" si="7"/>
        <v>72424088</v>
      </c>
      <c r="C334" t="s">
        <v>746</v>
      </c>
      <c r="D334" s="25">
        <v>12424088</v>
      </c>
      <c r="E334" t="s">
        <v>724</v>
      </c>
      <c r="F334" t="s">
        <v>145</v>
      </c>
      <c r="G334" t="s">
        <v>66</v>
      </c>
      <c r="H334">
        <v>12421011</v>
      </c>
      <c r="I334" t="s">
        <v>747</v>
      </c>
      <c r="J334" s="25" t="s">
        <v>68</v>
      </c>
      <c r="K334" t="b">
        <v>1</v>
      </c>
      <c r="L334">
        <v>70</v>
      </c>
      <c r="M334">
        <v>12424088</v>
      </c>
      <c r="N334">
        <v>12434088</v>
      </c>
      <c r="O334">
        <v>12444088</v>
      </c>
      <c r="P334">
        <v>12454088</v>
      </c>
      <c r="Q334">
        <v>12464088</v>
      </c>
      <c r="R334">
        <v>12474088</v>
      </c>
      <c r="S334">
        <v>12484088</v>
      </c>
      <c r="T334">
        <v>12425088</v>
      </c>
      <c r="U334">
        <v>12435088</v>
      </c>
      <c r="V334">
        <v>12445088</v>
      </c>
      <c r="W334">
        <v>12455088</v>
      </c>
      <c r="X334">
        <v>12465088</v>
      </c>
      <c r="Y334">
        <v>12475088</v>
      </c>
      <c r="Z334">
        <v>12485088</v>
      </c>
      <c r="AA334">
        <v>12426088</v>
      </c>
      <c r="AB334">
        <v>12436088</v>
      </c>
      <c r="AC334">
        <v>12446088</v>
      </c>
      <c r="AD334">
        <v>12456088</v>
      </c>
      <c r="AE334">
        <v>12466088</v>
      </c>
      <c r="AF334">
        <v>12476088</v>
      </c>
      <c r="AG334">
        <v>12486088</v>
      </c>
      <c r="AH334" s="11">
        <v>89</v>
      </c>
      <c r="AI334" s="11" t="b">
        <v>1</v>
      </c>
      <c r="AL334" t="str" s="11">
        <v>【补充设计】保留奇珍ID、钥匙与图谱关系；可携带标记与独立效果行逐ID核对。</v>
      </c>
    </row>
    <row r="335" spans="2:35">
      <c r="B335">
        <f t="shared" si="7"/>
        <v>72424092</v>
      </c>
      <c r="C335" t="s">
        <v>748</v>
      </c>
      <c r="D335" s="25">
        <v>12424092</v>
      </c>
      <c r="E335" t="s">
        <v>724</v>
      </c>
      <c r="F335" t="s">
        <v>145</v>
      </c>
      <c r="G335" t="s">
        <v>66</v>
      </c>
      <c r="H335">
        <v>12421012</v>
      </c>
      <c r="I335" t="s">
        <v>749</v>
      </c>
      <c r="J335" s="25" t="s">
        <v>68</v>
      </c>
      <c r="K335" t="b">
        <v>1</v>
      </c>
      <c r="L335">
        <v>70</v>
      </c>
      <c r="M335">
        <v>12424092</v>
      </c>
      <c r="N335">
        <v>12434092</v>
      </c>
      <c r="O335">
        <v>12444092</v>
      </c>
      <c r="P335">
        <v>12454092</v>
      </c>
      <c r="Q335">
        <v>12464092</v>
      </c>
      <c r="R335">
        <v>12474092</v>
      </c>
      <c r="S335">
        <v>12484092</v>
      </c>
      <c r="T335">
        <v>12425092</v>
      </c>
      <c r="U335">
        <v>12435092</v>
      </c>
      <c r="V335">
        <v>12445092</v>
      </c>
      <c r="W335">
        <v>12455092</v>
      </c>
      <c r="X335">
        <v>12465092</v>
      </c>
      <c r="Y335">
        <v>12475092</v>
      </c>
      <c r="Z335">
        <v>12485092</v>
      </c>
      <c r="AA335">
        <v>12426092</v>
      </c>
      <c r="AB335">
        <v>12436092</v>
      </c>
      <c r="AC335">
        <v>12446092</v>
      </c>
      <c r="AD335">
        <v>12456092</v>
      </c>
      <c r="AE335">
        <v>12466092</v>
      </c>
      <c r="AF335">
        <v>12476092</v>
      </c>
      <c r="AG335">
        <v>12486092</v>
      </c>
      <c r="AH335" s="11">
        <v>93</v>
      </c>
      <c r="AI335" s="11" t="b">
        <v>1</v>
      </c>
      <c r="AL335" t="str" s="11">
        <v>【补充设计】保留奇珍ID、钥匙与图谱关系；可携带标记与独立效果行逐ID核对。</v>
      </c>
    </row>
    <row r="336" spans="2:35">
      <c r="B336">
        <f t="shared" si="7"/>
        <v>72424093</v>
      </c>
      <c r="C336" t="s">
        <v>750</v>
      </c>
      <c r="D336" s="25">
        <v>12424093</v>
      </c>
      <c r="E336" t="s">
        <v>724</v>
      </c>
      <c r="F336" t="s">
        <v>145</v>
      </c>
      <c r="G336" t="s">
        <v>66</v>
      </c>
      <c r="H336">
        <v>12421013</v>
      </c>
      <c r="I336" t="s">
        <v>751</v>
      </c>
      <c r="J336" s="25" t="s">
        <v>68</v>
      </c>
      <c r="K336" t="b">
        <v>1</v>
      </c>
      <c r="L336">
        <v>70</v>
      </c>
      <c r="M336">
        <v>12424093</v>
      </c>
      <c r="N336">
        <v>12434093</v>
      </c>
      <c r="O336">
        <v>12444093</v>
      </c>
      <c r="P336">
        <v>12454093</v>
      </c>
      <c r="Q336">
        <v>12464093</v>
      </c>
      <c r="R336">
        <v>12474093</v>
      </c>
      <c r="S336">
        <v>12484093</v>
      </c>
      <c r="T336">
        <v>12425093</v>
      </c>
      <c r="U336">
        <v>12435093</v>
      </c>
      <c r="V336">
        <v>12445093</v>
      </c>
      <c r="W336">
        <v>12455093</v>
      </c>
      <c r="X336">
        <v>12465093</v>
      </c>
      <c r="Y336">
        <v>12475093</v>
      </c>
      <c r="Z336">
        <v>12485093</v>
      </c>
      <c r="AA336">
        <v>12426093</v>
      </c>
      <c r="AB336">
        <v>12436093</v>
      </c>
      <c r="AC336">
        <v>12446093</v>
      </c>
      <c r="AD336">
        <v>12456093</v>
      </c>
      <c r="AE336">
        <v>12466093</v>
      </c>
      <c r="AF336">
        <v>12476093</v>
      </c>
      <c r="AG336">
        <v>12486093</v>
      </c>
      <c r="AH336" s="11">
        <v>94</v>
      </c>
      <c r="AI336" s="11" t="b">
        <v>1</v>
      </c>
      <c r="AL336" t="str" s="11">
        <v>【补充设计】保留奇珍ID、钥匙与图谱关系；可携带标记与独立效果行逐ID核对。</v>
      </c>
    </row>
    <row r="337" spans="2:35">
      <c r="B337">
        <f t="shared" si="7"/>
        <v>72424094</v>
      </c>
      <c r="C337" t="s">
        <v>752</v>
      </c>
      <c r="D337" s="25">
        <v>12424094</v>
      </c>
      <c r="E337" t="s">
        <v>724</v>
      </c>
      <c r="F337" t="s">
        <v>145</v>
      </c>
      <c r="G337" t="s">
        <v>66</v>
      </c>
      <c r="H337">
        <v>12421014</v>
      </c>
      <c r="I337" t="s">
        <v>753</v>
      </c>
      <c r="J337" s="25" t="s">
        <v>68</v>
      </c>
      <c r="K337" t="b">
        <v>1</v>
      </c>
      <c r="L337">
        <v>70</v>
      </c>
      <c r="M337">
        <v>12424094</v>
      </c>
      <c r="N337">
        <v>12434094</v>
      </c>
      <c r="O337">
        <v>12444094</v>
      </c>
      <c r="P337">
        <v>12454094</v>
      </c>
      <c r="Q337">
        <v>12464094</v>
      </c>
      <c r="R337">
        <v>12474094</v>
      </c>
      <c r="S337">
        <v>12484094</v>
      </c>
      <c r="T337">
        <v>12425094</v>
      </c>
      <c r="U337">
        <v>12435094</v>
      </c>
      <c r="V337">
        <v>12445094</v>
      </c>
      <c r="W337">
        <v>12455094</v>
      </c>
      <c r="X337">
        <v>12465094</v>
      </c>
      <c r="Y337">
        <v>12475094</v>
      </c>
      <c r="Z337">
        <v>12485094</v>
      </c>
      <c r="AA337">
        <v>12426094</v>
      </c>
      <c r="AB337">
        <v>12436094</v>
      </c>
      <c r="AC337">
        <v>12446094</v>
      </c>
      <c r="AD337">
        <v>12456094</v>
      </c>
      <c r="AE337">
        <v>12466094</v>
      </c>
      <c r="AF337">
        <v>12476094</v>
      </c>
      <c r="AG337">
        <v>12486094</v>
      </c>
      <c r="AH337" s="11">
        <v>95</v>
      </c>
      <c r="AI337" s="11" t="b">
        <v>1</v>
      </c>
      <c r="AL337" t="str" s="11">
        <v>【补充设计】保留奇珍ID、钥匙与图谱关系；可携带标记与独立效果行逐ID核对。</v>
      </c>
    </row>
    <row r="338" spans="2:35">
      <c r="B338">
        <f t="shared" si="7"/>
        <v>72424095</v>
      </c>
      <c r="C338" t="inlineStr">
        <is>
          <t xml:space="preserve">照夜灵镜·烛幽</t>
        </is>
      </c>
      <c r="D338" s="25">
        <v>12424095</v>
      </c>
      <c r="E338" t="s">
        <v>724</v>
      </c>
      <c r="F338" t="s">
        <v>145</v>
      </c>
      <c r="G338" t="s">
        <v>66</v>
      </c>
      <c r="H338">
        <v>12421080</v>
      </c>
      <c r="I338" t="s">
        <v>755</v>
      </c>
      <c r="J338" s="25" t="s">
        <v>68</v>
      </c>
      <c r="K338" t="b">
        <v>1</v>
      </c>
      <c r="L338">
        <v>71</v>
      </c>
      <c r="M338">
        <v>12424095</v>
      </c>
      <c r="N338">
        <v>12425095</v>
      </c>
      <c r="O338">
        <v>12426095</v>
      </c>
      <c r="AH338" s="11">
        <v>96</v>
      </c>
      <c r="AI338" s="11" t="b">
        <v>1</v>
      </c>
      <c r="AL338" t="str" s="11">
        <v>【补充设计】保留奇珍ID、钥匙与图谱关系；可携带标记与独立效果行逐ID核对。</v>
      </c>
    </row>
    <row r="339" spans="2:35">
      <c r="B339">
        <f t="shared" si="7"/>
        <v>72434095</v>
      </c>
      <c r="C339" t="s">
        <v>756</v>
      </c>
      <c r="D339" s="25">
        <v>12434095</v>
      </c>
      <c r="E339" t="s">
        <v>724</v>
      </c>
      <c r="F339" t="s">
        <v>145</v>
      </c>
      <c r="G339" t="s">
        <v>66</v>
      </c>
      <c r="H339">
        <v>12431082</v>
      </c>
      <c r="I339" t="s">
        <v>757</v>
      </c>
      <c r="J339" s="25" t="s">
        <v>68</v>
      </c>
      <c r="K339" t="b">
        <v>1</v>
      </c>
      <c r="L339">
        <v>71</v>
      </c>
      <c r="M339">
        <v>12434095</v>
      </c>
      <c r="N339">
        <v>12435095</v>
      </c>
      <c r="O339">
        <v>12436095</v>
      </c>
      <c r="AH339" s="11">
        <v>97</v>
      </c>
      <c r="AI339" s="11" t="b">
        <v>1</v>
      </c>
      <c r="AL339" t="str" s="11">
        <v>【补充设计】保留奇珍ID、钥匙与图谱关系；可携带标记与独立效果行逐ID核对。</v>
      </c>
    </row>
    <row r="340" spans="2:35">
      <c r="B340">
        <f t="shared" si="7"/>
        <v>72434111</v>
      </c>
      <c r="C340" t="s">
        <v>758</v>
      </c>
      <c r="D340" s="25">
        <v>12434111</v>
      </c>
      <c r="E340" t="s">
        <v>724</v>
      </c>
      <c r="F340" t="s">
        <v>145</v>
      </c>
      <c r="G340" t="s">
        <v>66</v>
      </c>
      <c r="H340">
        <v>12431081</v>
      </c>
      <c r="I340" t="s">
        <v>759</v>
      </c>
      <c r="J340" s="25" t="s">
        <v>68</v>
      </c>
      <c r="K340" t="b">
        <v>1</v>
      </c>
      <c r="L340">
        <v>71</v>
      </c>
      <c r="M340">
        <v>12434111</v>
      </c>
      <c r="N340">
        <v>12435111</v>
      </c>
      <c r="O340">
        <v>12436111</v>
      </c>
      <c r="AH340" s="11">
        <v>113</v>
      </c>
      <c r="AI340" s="11" t="b">
        <v>1</v>
      </c>
      <c r="AL340" t="str" s="11">
        <v>【补充设计】保留奇珍ID、钥匙与图谱关系；可携带标记与独立效果行逐ID核对。</v>
      </c>
    </row>
    <row r="341" spans="2:35">
      <c r="B341">
        <f t="shared" si="7"/>
        <v>72434115</v>
      </c>
      <c r="C341" t="s">
        <v>760</v>
      </c>
      <c r="D341" s="25">
        <v>12434115</v>
      </c>
      <c r="E341" t="s">
        <v>724</v>
      </c>
      <c r="F341" t="s">
        <v>145</v>
      </c>
      <c r="G341" t="s">
        <v>66</v>
      </c>
      <c r="H341">
        <v>12431084</v>
      </c>
      <c r="I341" t="s">
        <v>761</v>
      </c>
      <c r="J341" s="25" t="s">
        <v>68</v>
      </c>
      <c r="K341" t="b">
        <v>1</v>
      </c>
      <c r="L341">
        <v>71</v>
      </c>
      <c r="M341">
        <v>12434115</v>
      </c>
      <c r="N341">
        <v>12435115</v>
      </c>
      <c r="O341">
        <v>12436115</v>
      </c>
      <c r="AH341" s="11">
        <v>117</v>
      </c>
      <c r="AI341" s="11" t="b">
        <v>1</v>
      </c>
      <c r="AL341" t="str" s="11">
        <v>【补充设计】保留奇珍ID、钥匙与图谱关系；可携带标记与独立效果行逐ID核对。</v>
      </c>
    </row>
    <row r="342" spans="2:35">
      <c r="B342">
        <f t="shared" si="7"/>
        <v>72434130</v>
      </c>
      <c r="C342" t="inlineStr">
        <is>
          <t xml:space="preserve">听泉鉴灵镜·漱玉</t>
        </is>
      </c>
      <c r="D342" s="25">
        <v>12434130</v>
      </c>
      <c r="E342" t="s">
        <v>724</v>
      </c>
      <c r="F342" t="s">
        <v>145</v>
      </c>
      <c r="G342" t="s">
        <v>66</v>
      </c>
      <c r="H342">
        <v>12431083</v>
      </c>
      <c r="I342" t="s">
        <v>763</v>
      </c>
      <c r="J342" s="25" t="s">
        <v>68</v>
      </c>
      <c r="K342" t="b">
        <v>1</v>
      </c>
      <c r="L342">
        <v>29</v>
      </c>
      <c r="M342">
        <v>12434130</v>
      </c>
      <c r="N342">
        <v>12435130</v>
      </c>
      <c r="O342">
        <v>12436130</v>
      </c>
      <c r="AH342" s="11">
        <v>132</v>
      </c>
      <c r="AI342" s="11" t="b">
        <v>1</v>
      </c>
      <c r="AL342" t="str" s="11">
        <v>【补充设计】保留奇珍ID、钥匙与图谱关系；可携带标记与独立效果行逐ID核对。</v>
      </c>
    </row>
    <row r="343" spans="2:35">
      <c r="B343">
        <f t="shared" si="7"/>
        <v>72444095</v>
      </c>
      <c r="C343" t="s">
        <v>764</v>
      </c>
      <c r="D343" s="25">
        <v>12444095</v>
      </c>
      <c r="E343" t="s">
        <v>724</v>
      </c>
      <c r="F343" t="s">
        <v>145</v>
      </c>
      <c r="G343" t="s">
        <v>66</v>
      </c>
      <c r="H343">
        <v>12441086</v>
      </c>
      <c r="I343" t="s">
        <v>765</v>
      </c>
      <c r="J343" s="25" t="s">
        <v>68</v>
      </c>
      <c r="K343" t="b">
        <v>1</v>
      </c>
      <c r="L343">
        <v>22</v>
      </c>
      <c r="M343">
        <v>12444095</v>
      </c>
      <c r="N343">
        <v>12445095</v>
      </c>
      <c r="O343">
        <v>12446095</v>
      </c>
      <c r="AH343" s="11">
        <v>133</v>
      </c>
      <c r="AI343" s="11" t="b">
        <v>1</v>
      </c>
      <c r="AL343" t="str" s="11">
        <v>【补充设计】保留奇珍ID、钥匙与图谱关系；可携带标记与独立效果行逐ID核对。</v>
      </c>
    </row>
    <row r="344" spans="2:35">
      <c r="B344">
        <f t="shared" si="7"/>
        <v>72444111</v>
      </c>
      <c r="C344" t="s">
        <v>766</v>
      </c>
      <c r="D344" s="25">
        <v>12444111</v>
      </c>
      <c r="E344" t="s">
        <v>724</v>
      </c>
      <c r="F344" t="s">
        <v>145</v>
      </c>
      <c r="G344" t="s">
        <v>66</v>
      </c>
      <c r="H344">
        <v>12441087</v>
      </c>
      <c r="I344" t="s">
        <v>767</v>
      </c>
      <c r="J344" s="25" t="s">
        <v>68</v>
      </c>
      <c r="K344" t="b">
        <v>1</v>
      </c>
      <c r="L344">
        <v>22</v>
      </c>
      <c r="M344">
        <v>12444111</v>
      </c>
      <c r="N344">
        <v>12445111</v>
      </c>
      <c r="O344">
        <v>12446111</v>
      </c>
      <c r="AH344" s="11">
        <v>149</v>
      </c>
      <c r="AI344" s="11" t="b">
        <v>1</v>
      </c>
      <c r="AL344" t="str" s="11">
        <v>【补充设计】保留奇珍ID、钥匙与图谱关系；可携带标记与独立效果行逐ID核对。</v>
      </c>
    </row>
    <row r="345" spans="2:35">
      <c r="B345">
        <f t="shared" si="7"/>
        <v>72444120</v>
      </c>
      <c r="C345" t="inlineStr">
        <is>
          <t xml:space="preserve">玉泉灵瓶·怀清</t>
        </is>
      </c>
      <c r="D345" s="25">
        <v>12444120</v>
      </c>
      <c r="E345" t="s">
        <v>724</v>
      </c>
      <c r="F345" t="s">
        <v>145</v>
      </c>
      <c r="G345" t="s">
        <v>66</v>
      </c>
      <c r="H345">
        <v>12441088</v>
      </c>
      <c r="I345" t="s">
        <v>769</v>
      </c>
      <c r="J345" s="25" t="s">
        <v>68</v>
      </c>
      <c r="K345" t="b">
        <v>1</v>
      </c>
      <c r="L345">
        <v>71</v>
      </c>
      <c r="M345">
        <v>12444120</v>
      </c>
      <c r="N345">
        <v>12445120</v>
      </c>
      <c r="O345">
        <v>12446120</v>
      </c>
      <c r="AH345" s="11">
        <v>158</v>
      </c>
      <c r="AI345" s="11" t="b">
        <v>1</v>
      </c>
      <c r="AL345" t="str" s="11">
        <v>【补充设计】保留奇珍ID、钥匙与图谱关系；可携带标记与独立效果行逐ID核对。</v>
      </c>
    </row>
    <row r="346" spans="2:35">
      <c r="B346">
        <f t="shared" si="7"/>
        <v>72444124</v>
      </c>
      <c r="C346" t="inlineStr">
        <is>
          <t xml:space="preserve">余照藏形幡·暮隐</t>
        </is>
      </c>
      <c r="D346" s="25">
        <v>12444124</v>
      </c>
      <c r="E346" t="s">
        <v>724</v>
      </c>
      <c r="F346" t="s">
        <v>145</v>
      </c>
      <c r="G346" t="s">
        <v>66</v>
      </c>
      <c r="H346">
        <v>12441085</v>
      </c>
      <c r="I346" t="s">
        <v>771</v>
      </c>
      <c r="J346" s="25" t="s">
        <v>68</v>
      </c>
      <c r="K346" t="b">
        <v>1</v>
      </c>
      <c r="L346">
        <v>29</v>
      </c>
      <c r="M346">
        <v>12444124</v>
      </c>
      <c r="N346">
        <v>12445124</v>
      </c>
      <c r="O346">
        <v>12446124</v>
      </c>
      <c r="AH346" s="11">
        <v>162</v>
      </c>
      <c r="AI346" s="11" t="b">
        <v>1</v>
      </c>
      <c r="AL346" t="str" s="11">
        <v>【补充设计】保留奇珍ID、钥匙与图谱关系；可携带标记与独立效果行逐ID核对。</v>
      </c>
    </row>
    <row r="347" spans="2:35">
      <c r="B347">
        <f t="shared" si="7"/>
        <v>72454095</v>
      </c>
      <c r="C347" t="inlineStr">
        <is>
          <t xml:space="preserve">赤霞炼宝鼎·丹曦</t>
        </is>
      </c>
      <c r="D347" s="25">
        <v>12454095</v>
      </c>
      <c r="E347" t="s">
        <v>724</v>
      </c>
      <c r="F347" t="s">
        <v>145</v>
      </c>
      <c r="G347" t="s">
        <v>66</v>
      </c>
      <c r="H347">
        <v>12451089</v>
      </c>
      <c r="I347" t="s">
        <v>773</v>
      </c>
      <c r="J347" s="25" t="s">
        <v>68</v>
      </c>
      <c r="K347" t="b">
        <v>1</v>
      </c>
      <c r="L347">
        <v>23</v>
      </c>
      <c r="M347">
        <v>12454095</v>
      </c>
      <c r="N347">
        <v>12455095</v>
      </c>
      <c r="O347">
        <v>12456095</v>
      </c>
      <c r="AH347" s="11">
        <v>163</v>
      </c>
      <c r="AI347" s="11" t="b">
        <v>1</v>
      </c>
      <c r="AL347" t="str" s="11">
        <v>【补充设计】保留奇珍ID、钥匙与图谱关系；可携带标记与独立效果行逐ID核对。</v>
      </c>
    </row>
    <row r="348" spans="2:35">
      <c r="B348">
        <f t="shared" si="7"/>
        <v>72454096</v>
      </c>
      <c r="C348" t="inlineStr">
        <is>
          <t xml:space="preserve">烛微灵笔·金章</t>
        </is>
      </c>
      <c r="D348" s="25">
        <v>12454096</v>
      </c>
      <c r="E348" t="s">
        <v>724</v>
      </c>
      <c r="F348" t="s">
        <v>145</v>
      </c>
      <c r="G348" t="s">
        <v>66</v>
      </c>
      <c r="H348">
        <v>12451091</v>
      </c>
      <c r="I348" t="s">
        <v>775</v>
      </c>
      <c r="J348" s="25" t="s">
        <v>68</v>
      </c>
      <c r="K348" t="b">
        <v>1</v>
      </c>
      <c r="L348">
        <v>23</v>
      </c>
      <c r="M348">
        <v>12454096</v>
      </c>
      <c r="N348">
        <v>12455096</v>
      </c>
      <c r="O348">
        <v>12456096</v>
      </c>
      <c r="AH348" s="11">
        <v>164</v>
      </c>
      <c r="AI348" s="11" t="b">
        <v>1</v>
      </c>
      <c r="AL348" t="str" s="11">
        <v>【补充设计】保留奇珍ID、钥匙与图谱关系；可携带标记与独立效果行逐ID核对。</v>
      </c>
    </row>
    <row r="349" spans="2:35">
      <c r="B349">
        <f t="shared" si="7"/>
        <v>72454100</v>
      </c>
      <c r="C349" t="s">
        <v>776</v>
      </c>
      <c r="D349" s="25">
        <v>12454100</v>
      </c>
      <c r="E349" t="s">
        <v>724</v>
      </c>
      <c r="F349" t="s">
        <v>145</v>
      </c>
      <c r="G349" t="s">
        <v>66</v>
      </c>
      <c r="H349">
        <v>12451092</v>
      </c>
      <c r="I349" t="s">
        <v>777</v>
      </c>
      <c r="J349" s="25" t="s">
        <v>68</v>
      </c>
      <c r="K349" t="b">
        <v>1</v>
      </c>
      <c r="L349">
        <v>29</v>
      </c>
      <c r="M349">
        <v>12454100</v>
      </c>
      <c r="N349">
        <v>12455100</v>
      </c>
      <c r="O349">
        <v>12456100</v>
      </c>
      <c r="AH349" s="11">
        <v>168</v>
      </c>
      <c r="AI349" s="11" t="b">
        <v>1</v>
      </c>
      <c r="AL349" t="str" s="11">
        <v>【补充设计】保留奇珍ID、钥匙与图谱关系；可携带标记与独立效果行逐ID核对。</v>
      </c>
    </row>
    <row r="350" spans="2:35">
      <c r="B350">
        <f t="shared" si="7"/>
        <v>72454101</v>
      </c>
      <c r="C350" t="inlineStr">
        <is>
          <t xml:space="preserve">流云渡玄舟·凌虚</t>
        </is>
      </c>
      <c r="D350" s="25">
        <v>12454101</v>
      </c>
      <c r="E350" t="s">
        <v>724</v>
      </c>
      <c r="F350" t="s">
        <v>145</v>
      </c>
      <c r="G350" t="s">
        <v>66</v>
      </c>
      <c r="H350">
        <v>12451090</v>
      </c>
      <c r="I350" t="s">
        <v>779</v>
      </c>
      <c r="J350" s="25" t="s">
        <v>68</v>
      </c>
      <c r="K350" t="b">
        <v>1</v>
      </c>
      <c r="L350">
        <v>72</v>
      </c>
      <c r="M350">
        <v>12454101</v>
      </c>
      <c r="N350">
        <v>12455101</v>
      </c>
      <c r="O350">
        <v>12456101</v>
      </c>
      <c r="AH350" s="11">
        <v>169</v>
      </c>
      <c r="AI350" s="11" t="b">
        <v>1</v>
      </c>
      <c r="AL350" t="str" s="11">
        <v>【补充设计】保留奇珍ID、钥匙与图谱关系；可携带标记与独立效果行逐ID核对。</v>
      </c>
    </row>
    <row r="351" spans="2:35">
      <c r="B351">
        <f t="shared" si="7"/>
        <v>72464095</v>
      </c>
      <c r="C351" t="inlineStr">
        <is>
          <t xml:space="preserve">缚岳灵索·锁岑</t>
        </is>
      </c>
      <c r="D351" s="25">
        <v>12464095</v>
      </c>
      <c r="E351" t="s">
        <v>724</v>
      </c>
      <c r="F351" t="s">
        <v>145</v>
      </c>
      <c r="G351" t="s">
        <v>66</v>
      </c>
      <c r="H351">
        <v>12461096</v>
      </c>
      <c r="I351" t="s">
        <v>781</v>
      </c>
      <c r="J351" s="25" t="s">
        <v>68</v>
      </c>
      <c r="K351" t="b">
        <v>1</v>
      </c>
      <c r="L351">
        <v>25</v>
      </c>
      <c r="M351">
        <v>12464095</v>
      </c>
      <c r="N351">
        <v>12465095</v>
      </c>
      <c r="O351">
        <v>12466095</v>
      </c>
      <c r="AH351" s="11">
        <v>170</v>
      </c>
      <c r="AI351" s="11" t="b">
        <v>1</v>
      </c>
      <c r="AL351" t="str" s="11">
        <v>【补充设计】保留奇珍ID、钥匙与图谱关系；可携带标记与独立效果行逐ID核对。</v>
      </c>
    </row>
    <row r="352" spans="2:35">
      <c r="B352">
        <f t="shared" si="7"/>
        <v>72464104</v>
      </c>
      <c r="C352" t="inlineStr">
        <is>
          <t xml:space="preserve">辟火玄鳞伞·金鳞</t>
        </is>
      </c>
      <c r="D352" s="25">
        <v>12464104</v>
      </c>
      <c r="E352" t="s">
        <v>724</v>
      </c>
      <c r="F352" t="s">
        <v>145</v>
      </c>
      <c r="G352" t="s">
        <v>66</v>
      </c>
      <c r="H352">
        <v>12461095</v>
      </c>
      <c r="I352" t="s">
        <v>783</v>
      </c>
      <c r="J352" s="25" t="s">
        <v>68</v>
      </c>
      <c r="K352" t="b">
        <v>1</v>
      </c>
      <c r="L352">
        <v>25</v>
      </c>
      <c r="M352">
        <v>12464104</v>
      </c>
      <c r="N352">
        <v>12465104</v>
      </c>
      <c r="O352">
        <v>12466104</v>
      </c>
      <c r="AH352" s="11">
        <v>179</v>
      </c>
      <c r="AI352" s="11" t="b">
        <v>1</v>
      </c>
      <c r="AL352" t="str" s="11">
        <v>【补充设计】保留奇珍ID、钥匙与图谱关系；可携带标记与独立效果行逐ID核对。</v>
      </c>
    </row>
    <row r="353" spans="2:35">
      <c r="B353">
        <f t="shared" si="7"/>
        <v>72464120</v>
      </c>
      <c r="C353" t="s">
        <v>784</v>
      </c>
      <c r="D353" s="25">
        <v>12464120</v>
      </c>
      <c r="E353" t="s">
        <v>724</v>
      </c>
      <c r="F353" t="s">
        <v>145</v>
      </c>
      <c r="G353" t="s">
        <v>66</v>
      </c>
      <c r="H353">
        <v>12461093</v>
      </c>
      <c r="I353" t="s">
        <v>785</v>
      </c>
      <c r="J353" s="25" t="s">
        <v>68</v>
      </c>
      <c r="K353" t="b">
        <v>1</v>
      </c>
      <c r="L353">
        <v>72</v>
      </c>
      <c r="M353">
        <v>12464120</v>
      </c>
      <c r="N353">
        <v>12465120</v>
      </c>
      <c r="O353">
        <v>12466120</v>
      </c>
      <c r="AH353" s="11">
        <v>195</v>
      </c>
      <c r="AI353" s="11" t="b">
        <v>1</v>
      </c>
      <c r="AL353" t="str" s="11">
        <v>【补充设计】保留奇珍ID、钥匙与图谱关系；可携带标记与独立效果行逐ID核对。</v>
      </c>
    </row>
    <row r="354" spans="2:35">
      <c r="B354">
        <f t="shared" si="7"/>
        <v>72464132</v>
      </c>
      <c r="C354" t="inlineStr">
        <is>
          <t xml:space="preserve">镇岳炼宝鼎·玄枢</t>
        </is>
      </c>
      <c r="D354" s="25">
        <v>12464132</v>
      </c>
      <c r="E354" t="s">
        <v>724</v>
      </c>
      <c r="F354" t="s">
        <v>145</v>
      </c>
      <c r="G354" t="s">
        <v>66</v>
      </c>
      <c r="H354">
        <v>12461094</v>
      </c>
      <c r="I354" t="s">
        <v>787</v>
      </c>
      <c r="J354" s="25" t="s">
        <v>68</v>
      </c>
      <c r="K354" t="b">
        <v>1</v>
      </c>
      <c r="L354">
        <v>72</v>
      </c>
      <c r="M354">
        <v>12464132</v>
      </c>
      <c r="N354">
        <v>12465132</v>
      </c>
      <c r="O354">
        <v>12466132</v>
      </c>
      <c r="AH354" s="11">
        <v>207</v>
      </c>
      <c r="AI354" s="11" t="b">
        <v>1</v>
      </c>
      <c r="AL354" t="str" s="11">
        <v>【补充设计】保留奇珍ID、钥匙与图谱关系；可携带标记与独立效果行逐ID核对。</v>
      </c>
    </row>
    <row r="355" spans="2:35">
      <c r="B355">
        <f t="shared" si="7"/>
        <v>72474095</v>
      </c>
      <c r="C355" t="s">
        <v>788</v>
      </c>
      <c r="D355" s="25">
        <v>12474095</v>
      </c>
      <c r="E355" t="s">
        <v>724</v>
      </c>
      <c r="F355" t="s">
        <v>145</v>
      </c>
      <c r="G355" t="s">
        <v>66</v>
      </c>
      <c r="H355">
        <v>12471098</v>
      </c>
      <c r="I355" t="s">
        <v>789</v>
      </c>
      <c r="J355" s="25" t="s">
        <v>68</v>
      </c>
      <c r="K355" t="b">
        <v>1</v>
      </c>
      <c r="L355">
        <v>73</v>
      </c>
      <c r="M355">
        <v>12474095</v>
      </c>
      <c r="N355">
        <v>12475095</v>
      </c>
      <c r="O355">
        <v>12476095</v>
      </c>
      <c r="AH355" s="11">
        <v>208</v>
      </c>
      <c r="AI355" s="11" t="b">
        <v>1</v>
      </c>
      <c r="AL355" t="str" s="11">
        <v>【补充设计】保留奇珍ID、钥匙与图谱关系；可携带标记与独立效果行逐ID核对。</v>
      </c>
    </row>
    <row r="356" spans="2:35">
      <c r="B356">
        <f t="shared" si="7"/>
        <v>72474104</v>
      </c>
      <c r="C356" t="s">
        <v>790</v>
      </c>
      <c r="D356" s="25">
        <v>12474104</v>
      </c>
      <c r="E356" t="s">
        <v>724</v>
      </c>
      <c r="F356" t="s">
        <v>145</v>
      </c>
      <c r="G356" t="s">
        <v>66</v>
      </c>
      <c r="H356">
        <v>12471100</v>
      </c>
      <c r="I356" t="s">
        <v>791</v>
      </c>
      <c r="J356" s="25" t="s">
        <v>68</v>
      </c>
      <c r="K356" t="b">
        <v>1</v>
      </c>
      <c r="L356">
        <v>26</v>
      </c>
      <c r="M356">
        <v>12474104</v>
      </c>
      <c r="N356">
        <v>12475104</v>
      </c>
      <c r="O356">
        <v>12476104</v>
      </c>
      <c r="AH356" s="11">
        <v>217</v>
      </c>
      <c r="AI356" s="11" t="b">
        <v>1</v>
      </c>
      <c r="AL356" t="str" s="11">
        <v>【补充设计】保留奇珍ID、钥匙与图谱关系；可携带标记与独立效果行逐ID核对。</v>
      </c>
    </row>
    <row r="357" spans="2:35">
      <c r="B357">
        <f t="shared" si="7"/>
        <v>72474119</v>
      </c>
      <c r="C357" t="inlineStr">
        <is>
          <t xml:space="preserve">九窍通灵瓶·吐纳</t>
        </is>
      </c>
      <c r="D357" s="25">
        <v>12474119</v>
      </c>
      <c r="E357" t="s">
        <v>724</v>
      </c>
      <c r="F357" t="s">
        <v>145</v>
      </c>
      <c r="G357" t="s">
        <v>66</v>
      </c>
      <c r="H357">
        <v>12471097</v>
      </c>
      <c r="I357" t="s">
        <v>793</v>
      </c>
      <c r="J357" s="25" t="s">
        <v>68</v>
      </c>
      <c r="K357" t="b">
        <v>1</v>
      </c>
      <c r="L357">
        <v>73</v>
      </c>
      <c r="M357">
        <v>12474119</v>
      </c>
      <c r="N357">
        <v>12475119</v>
      </c>
      <c r="O357">
        <v>12476119</v>
      </c>
      <c r="AH357" s="11">
        <v>232</v>
      </c>
      <c r="AI357" s="11" t="b">
        <v>1</v>
      </c>
      <c r="AL357" t="str" s="11">
        <v>【补充设计】保留奇珍ID、钥匙与图谱关系；可携带标记与独立效果行逐ID核对。</v>
      </c>
    </row>
    <row r="358" spans="2:35">
      <c r="B358">
        <f t="shared" si="7"/>
        <v>72474123</v>
      </c>
      <c r="C358" t="inlineStr">
        <is>
          <t xml:space="preserve">照微鉴宝镜·洞玄</t>
        </is>
      </c>
      <c r="D358" s="25">
        <v>12474123</v>
      </c>
      <c r="E358" t="s">
        <v>724</v>
      </c>
      <c r="F358" t="s">
        <v>145</v>
      </c>
      <c r="G358" t="s">
        <v>66</v>
      </c>
      <c r="H358">
        <v>12471099</v>
      </c>
      <c r="I358" t="s">
        <v>795</v>
      </c>
      <c r="J358" s="25" t="s">
        <v>68</v>
      </c>
      <c r="K358" t="b">
        <v>1</v>
      </c>
      <c r="L358">
        <v>73</v>
      </c>
      <c r="M358">
        <v>12474123</v>
      </c>
      <c r="N358">
        <v>12475123</v>
      </c>
      <c r="O358">
        <v>12476123</v>
      </c>
      <c r="AH358" s="11">
        <v>236</v>
      </c>
      <c r="AI358" s="11" t="b">
        <v>1</v>
      </c>
      <c r="AL358" t="str" s="11">
        <v>【补充设计】保留奇珍ID、钥匙与图谱关系；可携带标记与独立效果行逐ID核对。</v>
      </c>
    </row>
    <row r="359" spans="2:35">
      <c r="B359">
        <f t="shared" si="7"/>
        <v>72484095</v>
      </c>
      <c r="C359" t="s">
        <v>796</v>
      </c>
      <c r="D359" s="25">
        <v>12484095</v>
      </c>
      <c r="E359" t="s">
        <v>724</v>
      </c>
      <c r="F359" t="s">
        <v>145</v>
      </c>
      <c r="G359" t="s">
        <v>66</v>
      </c>
      <c r="H359">
        <v>12481102</v>
      </c>
      <c r="I359" t="s">
        <v>797</v>
      </c>
      <c r="J359" s="25" t="s">
        <v>68</v>
      </c>
      <c r="K359" t="b">
        <v>1</v>
      </c>
      <c r="L359">
        <v>26</v>
      </c>
      <c r="M359">
        <v>12484095</v>
      </c>
      <c r="N359">
        <v>12485095</v>
      </c>
      <c r="O359">
        <v>12486095</v>
      </c>
      <c r="AH359" s="11">
        <v>237</v>
      </c>
      <c r="AI359" s="11" t="b">
        <v>1</v>
      </c>
      <c r="AL359" t="str" s="11">
        <v>【补充设计】保留奇珍ID、钥匙与图谱关系；可携带标记与独立效果行逐ID核对。</v>
      </c>
    </row>
    <row r="360" spans="2:35">
      <c r="B360">
        <f t="shared" si="7"/>
        <v>72484107</v>
      </c>
      <c r="C360" t="s">
        <v>798</v>
      </c>
      <c r="D360" s="25">
        <v>12484107</v>
      </c>
      <c r="E360" t="s">
        <v>724</v>
      </c>
      <c r="F360" t="s">
        <v>145</v>
      </c>
      <c r="G360" t="s">
        <v>66</v>
      </c>
      <c r="H360">
        <v>12481104</v>
      </c>
      <c r="I360" t="s">
        <v>799</v>
      </c>
      <c r="J360" s="25" t="s">
        <v>68</v>
      </c>
      <c r="K360" t="b">
        <v>1</v>
      </c>
      <c r="L360">
        <v>74</v>
      </c>
      <c r="M360">
        <v>12484107</v>
      </c>
      <c r="N360">
        <v>12485107</v>
      </c>
      <c r="O360">
        <v>12486107</v>
      </c>
      <c r="AH360" s="11">
        <v>249</v>
      </c>
      <c r="AI360" s="11" t="b">
        <v>1</v>
      </c>
      <c r="AL360" t="str" s="11">
        <v>【补充设计】保留奇珍ID、钥匙与图谱关系；可携带标记与独立效果行逐ID核对。</v>
      </c>
    </row>
    <row r="361" spans="2:35">
      <c r="B361">
        <f t="shared" si="7"/>
        <v>72484108</v>
      </c>
      <c r="C361" t="inlineStr">
        <is>
          <t xml:space="preserve">通天渡虚舟·彼岸</t>
        </is>
      </c>
      <c r="D361" s="25">
        <v>12484108</v>
      </c>
      <c r="E361" t="s">
        <v>724</v>
      </c>
      <c r="F361" t="s">
        <v>145</v>
      </c>
      <c r="G361" t="s">
        <v>66</v>
      </c>
      <c r="H361">
        <v>12481103</v>
      </c>
      <c r="I361" t="s">
        <v>801</v>
      </c>
      <c r="J361" s="25" t="s">
        <v>68</v>
      </c>
      <c r="K361" t="b">
        <v>1</v>
      </c>
      <c r="L361">
        <v>74</v>
      </c>
      <c r="M361">
        <v>12484108</v>
      </c>
      <c r="N361">
        <v>12485108</v>
      </c>
      <c r="O361">
        <v>12486108</v>
      </c>
      <c r="AH361" s="11">
        <v>250</v>
      </c>
      <c r="AI361" s="11" t="b">
        <v>1</v>
      </c>
      <c r="AL361" t="str" s="11">
        <v>【补充设计】保留奇珍ID、钥匙与图谱关系；可携带标记与独立效果行逐ID核对。</v>
      </c>
    </row>
    <row r="362" spans="2:35">
      <c r="B362">
        <f t="shared" si="7"/>
        <v>72484109</v>
      </c>
      <c r="C362" t="inlineStr">
        <is>
          <t xml:space="preserve">万象藏形幡·忘形</t>
        </is>
      </c>
      <c r="D362" s="25">
        <v>12484109</v>
      </c>
      <c r="E362" t="s">
        <v>724</v>
      </c>
      <c r="F362" t="s">
        <v>145</v>
      </c>
      <c r="G362" t="s">
        <v>66</v>
      </c>
      <c r="H362">
        <v>12481101</v>
      </c>
      <c r="I362" t="s">
        <v>803</v>
      </c>
      <c r="J362" s="25" t="s">
        <v>68</v>
      </c>
      <c r="K362" t="b">
        <v>1</v>
      </c>
      <c r="L362">
        <v>74</v>
      </c>
      <c r="M362">
        <v>12484109</v>
      </c>
      <c r="N362">
        <v>12485109</v>
      </c>
      <c r="O362">
        <v>12486109</v>
      </c>
      <c r="AH362" s="11">
        <v>251</v>
      </c>
      <c r="AI362" s="11" t="b">
        <v>1</v>
      </c>
      <c r="AL362" t="str" s="11">
        <v>【补充设计】保留奇珍ID、钥匙与图谱关系；可携带标记与独立效果行逐ID核对。</v>
      </c>
    </row>
    <row r="363" spans="2:35">
      <c r="B363">
        <v>72424001</v>
      </c>
      <c r="C363" t="s">
        <v>804</v>
      </c>
      <c r="D363" s="25">
        <v>12424001</v>
      </c>
      <c r="E363" t="s">
        <v>724</v>
      </c>
      <c r="F363" t="s">
        <v>145</v>
      </c>
      <c r="G363" t="s">
        <v>66</v>
      </c>
      <c r="H363">
        <v>12421000</v>
      </c>
      <c r="I363" t="s">
        <v>805</v>
      </c>
      <c r="J363" s="25" t="s">
        <v>68</v>
      </c>
      <c r="K363" t="b">
        <v>0</v>
      </c>
      <c r="M363">
        <v>12424001</v>
      </c>
      <c r="N363">
        <v>12434001</v>
      </c>
      <c r="O363">
        <v>12444001</v>
      </c>
      <c r="P363">
        <v>12454001</v>
      </c>
      <c r="Q363">
        <v>12464001</v>
      </c>
      <c r="R363">
        <v>12474001</v>
      </c>
      <c r="S363">
        <v>12484001</v>
      </c>
      <c r="T363">
        <v>12425001</v>
      </c>
      <c r="U363">
        <v>12435001</v>
      </c>
      <c r="V363">
        <v>12445001</v>
      </c>
      <c r="W363">
        <v>12455001</v>
      </c>
      <c r="X363">
        <v>12465001</v>
      </c>
      <c r="Y363">
        <v>12475001</v>
      </c>
      <c r="Z363">
        <v>12485001</v>
      </c>
      <c r="AA363">
        <v>12426001</v>
      </c>
      <c r="AB363">
        <v>12436001</v>
      </c>
      <c r="AC363">
        <v>12446001</v>
      </c>
      <c r="AD363">
        <v>12456001</v>
      </c>
      <c r="AE363">
        <v>12466001</v>
      </c>
      <c r="AF363">
        <v>12476001</v>
      </c>
      <c r="AG363">
        <v>12486001</v>
      </c>
      <c r="AH363" s="11">
        <v>2</v>
      </c>
      <c r="AI363" s="11" t="b">
        <v>1</v>
      </c>
      <c r="AL363" t="str" s="11">
        <v>【补充设计】保留奇珍ID、钥匙与图谱关系；可携带标记与独立效果行逐ID核对。</v>
      </c>
    </row>
    <row r="364" spans="2:35">
      <c r="B364">
        <v>72424002</v>
      </c>
      <c r="C364" t="s">
        <v>806</v>
      </c>
      <c r="D364" s="25">
        <v>12424002</v>
      </c>
      <c r="E364" t="s">
        <v>724</v>
      </c>
      <c r="F364" t="s">
        <v>145</v>
      </c>
      <c r="G364" t="s">
        <v>66</v>
      </c>
      <c r="H364">
        <v>12421000</v>
      </c>
      <c r="I364" t="s">
        <v>807</v>
      </c>
      <c r="J364" s="25" t="s">
        <v>68</v>
      </c>
      <c r="K364" t="b">
        <v>0</v>
      </c>
      <c r="M364">
        <v>12424002</v>
      </c>
      <c r="N364">
        <v>12434002</v>
      </c>
      <c r="O364">
        <v>12444002</v>
      </c>
      <c r="P364">
        <v>12454002</v>
      </c>
      <c r="Q364">
        <v>12464002</v>
      </c>
      <c r="R364">
        <v>12474002</v>
      </c>
      <c r="S364">
        <v>12484002</v>
      </c>
      <c r="T364">
        <v>12425002</v>
      </c>
      <c r="U364">
        <v>12435002</v>
      </c>
      <c r="V364">
        <v>12445002</v>
      </c>
      <c r="W364">
        <v>12455002</v>
      </c>
      <c r="X364">
        <v>12465002</v>
      </c>
      <c r="Y364">
        <v>12475002</v>
      </c>
      <c r="Z364">
        <v>12485002</v>
      </c>
      <c r="AA364">
        <v>12426002</v>
      </c>
      <c r="AB364">
        <v>12436002</v>
      </c>
      <c r="AC364">
        <v>12446002</v>
      </c>
      <c r="AD364">
        <v>12456002</v>
      </c>
      <c r="AE364">
        <v>12466002</v>
      </c>
      <c r="AF364">
        <v>12476002</v>
      </c>
      <c r="AG364">
        <v>12486002</v>
      </c>
      <c r="AH364" s="11">
        <v>3</v>
      </c>
      <c r="AI364" s="11" t="b">
        <v>1</v>
      </c>
      <c r="AL364" t="str" s="11">
        <v>【补充设计】保留奇珍ID、钥匙与图谱关系；可携带标记与独立效果行逐ID核对。</v>
      </c>
    </row>
    <row r="365" spans="2:35">
      <c r="B365">
        <v>72424003</v>
      </c>
      <c r="C365" t="s">
        <v>808</v>
      </c>
      <c r="D365" s="25">
        <v>12424003</v>
      </c>
      <c r="E365" t="s">
        <v>724</v>
      </c>
      <c r="F365" t="s">
        <v>145</v>
      </c>
      <c r="G365" t="s">
        <v>66</v>
      </c>
      <c r="H365">
        <v>12421000</v>
      </c>
      <c r="I365" t="s">
        <v>809</v>
      </c>
      <c r="J365" s="25" t="s">
        <v>68</v>
      </c>
      <c r="K365" t="b">
        <v>0</v>
      </c>
      <c r="M365">
        <v>12424003</v>
      </c>
      <c r="N365">
        <v>12434003</v>
      </c>
      <c r="O365">
        <v>12444003</v>
      </c>
      <c r="P365">
        <v>12454003</v>
      </c>
      <c r="Q365">
        <v>12464003</v>
      </c>
      <c r="R365">
        <v>12474003</v>
      </c>
      <c r="S365">
        <v>12484003</v>
      </c>
      <c r="T365">
        <v>12425003</v>
      </c>
      <c r="U365">
        <v>12435003</v>
      </c>
      <c r="V365">
        <v>12445003</v>
      </c>
      <c r="W365">
        <v>12455003</v>
      </c>
      <c r="X365">
        <v>12465003</v>
      </c>
      <c r="Y365">
        <v>12475003</v>
      </c>
      <c r="Z365">
        <v>12485003</v>
      </c>
      <c r="AA365">
        <v>12426003</v>
      </c>
      <c r="AB365">
        <v>12436003</v>
      </c>
      <c r="AC365">
        <v>12446003</v>
      </c>
      <c r="AD365">
        <v>12456003</v>
      </c>
      <c r="AE365">
        <v>12466003</v>
      </c>
      <c r="AF365">
        <v>12476003</v>
      </c>
      <c r="AG365">
        <v>12486003</v>
      </c>
      <c r="AH365" s="11">
        <v>4</v>
      </c>
      <c r="AI365" s="11" t="b">
        <v>1</v>
      </c>
      <c r="AL365" t="str" s="11">
        <v>【补充设计】保留奇珍ID、钥匙与图谱关系；可携带标记与独立效果行逐ID核对。</v>
      </c>
    </row>
    <row r="366" spans="2:35">
      <c r="B366">
        <v>72424004</v>
      </c>
      <c r="C366" t="s">
        <v>810</v>
      </c>
      <c r="D366" s="25">
        <v>12424004</v>
      </c>
      <c r="E366" t="s">
        <v>724</v>
      </c>
      <c r="F366" t="s">
        <v>145</v>
      </c>
      <c r="G366" t="s">
        <v>66</v>
      </c>
      <c r="H366">
        <v>12421000</v>
      </c>
      <c r="I366" t="s">
        <v>811</v>
      </c>
      <c r="J366" s="25" t="s">
        <v>68</v>
      </c>
      <c r="K366" t="b">
        <v>0</v>
      </c>
      <c r="M366">
        <v>12424004</v>
      </c>
      <c r="N366">
        <v>12434004</v>
      </c>
      <c r="O366">
        <v>12444004</v>
      </c>
      <c r="P366">
        <v>12454004</v>
      </c>
      <c r="Q366">
        <v>12464004</v>
      </c>
      <c r="R366">
        <v>12474004</v>
      </c>
      <c r="S366">
        <v>12484004</v>
      </c>
      <c r="T366">
        <v>12425004</v>
      </c>
      <c r="U366">
        <v>12435004</v>
      </c>
      <c r="V366">
        <v>12445004</v>
      </c>
      <c r="W366">
        <v>12455004</v>
      </c>
      <c r="X366">
        <v>12465004</v>
      </c>
      <c r="Y366">
        <v>12475004</v>
      </c>
      <c r="Z366">
        <v>12485004</v>
      </c>
      <c r="AA366">
        <v>12426004</v>
      </c>
      <c r="AB366">
        <v>12436004</v>
      </c>
      <c r="AC366">
        <v>12446004</v>
      </c>
      <c r="AD366">
        <v>12456004</v>
      </c>
      <c r="AE366">
        <v>12466004</v>
      </c>
      <c r="AF366">
        <v>12476004</v>
      </c>
      <c r="AG366">
        <v>12486004</v>
      </c>
      <c r="AH366" s="11">
        <v>5</v>
      </c>
      <c r="AI366" s="11" t="b">
        <v>1</v>
      </c>
      <c r="AL366" t="str" s="11">
        <v>【补充设计】保留奇珍ID、钥匙与图谱关系；可携带标记与独立效果行逐ID核对。</v>
      </c>
    </row>
    <row r="367" spans="2:35">
      <c r="B367">
        <v>72424005</v>
      </c>
      <c r="C367" t="s">
        <v>812</v>
      </c>
      <c r="D367" s="25">
        <v>12424005</v>
      </c>
      <c r="E367" t="s">
        <v>724</v>
      </c>
      <c r="F367" t="s">
        <v>145</v>
      </c>
      <c r="G367" t="s">
        <v>66</v>
      </c>
      <c r="H367">
        <v>12421000</v>
      </c>
      <c r="I367" t="s">
        <v>813</v>
      </c>
      <c r="J367" s="25" t="s">
        <v>68</v>
      </c>
      <c r="K367" t="b">
        <v>0</v>
      </c>
      <c r="M367">
        <v>12424005</v>
      </c>
      <c r="N367">
        <v>12434005</v>
      </c>
      <c r="O367">
        <v>12444005</v>
      </c>
      <c r="P367">
        <v>12454005</v>
      </c>
      <c r="Q367">
        <v>12464005</v>
      </c>
      <c r="R367">
        <v>12474005</v>
      </c>
      <c r="S367">
        <v>12484005</v>
      </c>
      <c r="T367">
        <v>12425005</v>
      </c>
      <c r="U367">
        <v>12435005</v>
      </c>
      <c r="V367">
        <v>12445005</v>
      </c>
      <c r="W367">
        <v>12455005</v>
      </c>
      <c r="X367">
        <v>12465005</v>
      </c>
      <c r="Y367">
        <v>12475005</v>
      </c>
      <c r="Z367">
        <v>12485005</v>
      </c>
      <c r="AA367">
        <v>12426005</v>
      </c>
      <c r="AB367">
        <v>12436005</v>
      </c>
      <c r="AC367">
        <v>12446005</v>
      </c>
      <c r="AD367">
        <v>12456005</v>
      </c>
      <c r="AE367">
        <v>12466005</v>
      </c>
      <c r="AF367">
        <v>12476005</v>
      </c>
      <c r="AG367">
        <v>12486005</v>
      </c>
      <c r="AH367" s="11">
        <v>6</v>
      </c>
      <c r="AI367" s="11" t="b">
        <v>1</v>
      </c>
      <c r="AL367" t="str" s="11">
        <v>【补充设计】保留奇珍ID、钥匙与图谱关系；可携带标记与独立效果行逐ID核对。</v>
      </c>
    </row>
    <row r="368" spans="2:35">
      <c r="B368">
        <v>72424006</v>
      </c>
      <c r="C368" t="s">
        <v>814</v>
      </c>
      <c r="D368" s="25">
        <v>12424006</v>
      </c>
      <c r="E368" t="s">
        <v>724</v>
      </c>
      <c r="F368" t="s">
        <v>145</v>
      </c>
      <c r="G368" t="s">
        <v>66</v>
      </c>
      <c r="H368">
        <v>12421000</v>
      </c>
      <c r="I368" t="s">
        <v>815</v>
      </c>
      <c r="J368" s="25" t="s">
        <v>68</v>
      </c>
      <c r="K368" t="b">
        <v>0</v>
      </c>
      <c r="M368">
        <v>12424006</v>
      </c>
      <c r="N368">
        <v>12434006</v>
      </c>
      <c r="O368">
        <v>12444006</v>
      </c>
      <c r="P368">
        <v>12454006</v>
      </c>
      <c r="Q368">
        <v>12464006</v>
      </c>
      <c r="R368">
        <v>12474006</v>
      </c>
      <c r="S368">
        <v>12484006</v>
      </c>
      <c r="T368">
        <v>12425006</v>
      </c>
      <c r="U368">
        <v>12435006</v>
      </c>
      <c r="V368">
        <v>12445006</v>
      </c>
      <c r="W368">
        <v>12455006</v>
      </c>
      <c r="X368">
        <v>12465006</v>
      </c>
      <c r="Y368">
        <v>12475006</v>
      </c>
      <c r="Z368">
        <v>12485006</v>
      </c>
      <c r="AA368">
        <v>12426006</v>
      </c>
      <c r="AB368">
        <v>12436006</v>
      </c>
      <c r="AC368">
        <v>12446006</v>
      </c>
      <c r="AD368">
        <v>12456006</v>
      </c>
      <c r="AE368">
        <v>12466006</v>
      </c>
      <c r="AF368">
        <v>12476006</v>
      </c>
      <c r="AG368">
        <v>12486006</v>
      </c>
      <c r="AH368" s="11">
        <v>7</v>
      </c>
      <c r="AI368" s="11" t="b">
        <v>1</v>
      </c>
      <c r="AL368" t="str" s="11">
        <v>【补充设计】保留奇珍ID、钥匙与图谱关系；可携带标记与独立效果行逐ID核对。</v>
      </c>
    </row>
    <row r="369" spans="2:35">
      <c r="B369">
        <v>72424007</v>
      </c>
      <c r="C369" t="s">
        <v>816</v>
      </c>
      <c r="D369" s="25">
        <v>12424007</v>
      </c>
      <c r="E369" t="s">
        <v>724</v>
      </c>
      <c r="F369" t="s">
        <v>145</v>
      </c>
      <c r="G369" t="s">
        <v>66</v>
      </c>
      <c r="H369">
        <v>12421000</v>
      </c>
      <c r="I369" t="s">
        <v>817</v>
      </c>
      <c r="J369" s="25" t="s">
        <v>68</v>
      </c>
      <c r="K369" t="b">
        <v>0</v>
      </c>
      <c r="M369">
        <v>12424007</v>
      </c>
      <c r="N369">
        <v>12434007</v>
      </c>
      <c r="O369">
        <v>12444007</v>
      </c>
      <c r="P369">
        <v>12454007</v>
      </c>
      <c r="Q369">
        <v>12464007</v>
      </c>
      <c r="R369">
        <v>12474007</v>
      </c>
      <c r="S369">
        <v>12484007</v>
      </c>
      <c r="T369">
        <v>12425007</v>
      </c>
      <c r="U369">
        <v>12435007</v>
      </c>
      <c r="V369">
        <v>12445007</v>
      </c>
      <c r="W369">
        <v>12455007</v>
      </c>
      <c r="X369">
        <v>12465007</v>
      </c>
      <c r="Y369">
        <v>12475007</v>
      </c>
      <c r="Z369">
        <v>12485007</v>
      </c>
      <c r="AA369">
        <v>12426007</v>
      </c>
      <c r="AB369">
        <v>12436007</v>
      </c>
      <c r="AC369">
        <v>12446007</v>
      </c>
      <c r="AD369">
        <v>12456007</v>
      </c>
      <c r="AE369">
        <v>12466007</v>
      </c>
      <c r="AF369">
        <v>12476007</v>
      </c>
      <c r="AG369">
        <v>12486007</v>
      </c>
      <c r="AH369" s="11">
        <v>8</v>
      </c>
      <c r="AI369" s="11" t="b">
        <v>1</v>
      </c>
      <c r="AL369" t="str" s="11">
        <v>【补充设计】保留奇珍ID、钥匙与图谱关系；可携带标记与独立效果行逐ID核对。</v>
      </c>
    </row>
    <row r="370" spans="2:35">
      <c r="B370">
        <v>72424008</v>
      </c>
      <c r="C370" t="s">
        <v>818</v>
      </c>
      <c r="D370" s="25">
        <v>12424008</v>
      </c>
      <c r="E370" t="s">
        <v>724</v>
      </c>
      <c r="F370" t="s">
        <v>145</v>
      </c>
      <c r="G370" t="s">
        <v>66</v>
      </c>
      <c r="H370">
        <v>12421000</v>
      </c>
      <c r="I370" t="s">
        <v>819</v>
      </c>
      <c r="J370" s="25" t="s">
        <v>68</v>
      </c>
      <c r="K370" t="b">
        <v>0</v>
      </c>
      <c r="M370">
        <v>12424008</v>
      </c>
      <c r="N370">
        <v>12434008</v>
      </c>
      <c r="O370">
        <v>12444008</v>
      </c>
      <c r="P370">
        <v>12454008</v>
      </c>
      <c r="Q370">
        <v>12464008</v>
      </c>
      <c r="R370">
        <v>12474008</v>
      </c>
      <c r="S370">
        <v>12484008</v>
      </c>
      <c r="T370">
        <v>12425008</v>
      </c>
      <c r="U370">
        <v>12435008</v>
      </c>
      <c r="V370">
        <v>12445008</v>
      </c>
      <c r="W370">
        <v>12455008</v>
      </c>
      <c r="X370">
        <v>12465008</v>
      </c>
      <c r="Y370">
        <v>12475008</v>
      </c>
      <c r="Z370">
        <v>12485008</v>
      </c>
      <c r="AA370">
        <v>12426008</v>
      </c>
      <c r="AB370">
        <v>12436008</v>
      </c>
      <c r="AC370">
        <v>12446008</v>
      </c>
      <c r="AD370">
        <v>12456008</v>
      </c>
      <c r="AE370">
        <v>12466008</v>
      </c>
      <c r="AF370">
        <v>12476008</v>
      </c>
      <c r="AG370">
        <v>12486008</v>
      </c>
      <c r="AH370" s="11">
        <v>9</v>
      </c>
      <c r="AI370" s="11" t="b">
        <v>1</v>
      </c>
      <c r="AL370" t="str" s="11">
        <v>【补充设计】保留奇珍ID、钥匙与图谱关系；可携带标记与独立效果行逐ID核对。</v>
      </c>
    </row>
    <row r="371" spans="2:35">
      <c r="B371">
        <v>72424009</v>
      </c>
      <c r="C371" t="s">
        <v>820</v>
      </c>
      <c r="D371" s="25">
        <v>12424009</v>
      </c>
      <c r="E371" t="s">
        <v>724</v>
      </c>
      <c r="F371" t="s">
        <v>145</v>
      </c>
      <c r="G371" t="s">
        <v>66</v>
      </c>
      <c r="H371">
        <v>12421000</v>
      </c>
      <c r="I371" t="s">
        <v>821</v>
      </c>
      <c r="J371" s="25" t="s">
        <v>68</v>
      </c>
      <c r="K371" t="b">
        <v>0</v>
      </c>
      <c r="M371">
        <v>12424009</v>
      </c>
      <c r="N371">
        <v>12434009</v>
      </c>
      <c r="O371">
        <v>12444009</v>
      </c>
      <c r="P371">
        <v>12454009</v>
      </c>
      <c r="Q371">
        <v>12464009</v>
      </c>
      <c r="R371">
        <v>12474009</v>
      </c>
      <c r="S371">
        <v>12484009</v>
      </c>
      <c r="T371">
        <v>12425009</v>
      </c>
      <c r="U371">
        <v>12435009</v>
      </c>
      <c r="V371">
        <v>12445009</v>
      </c>
      <c r="W371">
        <v>12455009</v>
      </c>
      <c r="X371">
        <v>12465009</v>
      </c>
      <c r="Y371">
        <v>12475009</v>
      </c>
      <c r="Z371">
        <v>12485009</v>
      </c>
      <c r="AA371">
        <v>12426009</v>
      </c>
      <c r="AB371">
        <v>12436009</v>
      </c>
      <c r="AC371">
        <v>12446009</v>
      </c>
      <c r="AD371">
        <v>12456009</v>
      </c>
      <c r="AE371">
        <v>12466009</v>
      </c>
      <c r="AF371">
        <v>12476009</v>
      </c>
      <c r="AG371">
        <v>12486009</v>
      </c>
      <c r="AH371" s="11">
        <v>10</v>
      </c>
      <c r="AI371" s="11" t="b">
        <v>1</v>
      </c>
      <c r="AL371" t="str" s="11">
        <v>【补充设计】保留奇珍ID、钥匙与图谱关系；可携带标记与独立效果行逐ID核对。</v>
      </c>
    </row>
    <row r="372" spans="2:35">
      <c r="B372">
        <v>72424010</v>
      </c>
      <c r="C372" t="s">
        <v>822</v>
      </c>
      <c r="D372" s="25">
        <v>12424010</v>
      </c>
      <c r="E372" t="s">
        <v>724</v>
      </c>
      <c r="F372" t="s">
        <v>145</v>
      </c>
      <c r="G372" t="s">
        <v>66</v>
      </c>
      <c r="H372">
        <v>12421000</v>
      </c>
      <c r="I372" t="s">
        <v>823</v>
      </c>
      <c r="J372" s="25" t="s">
        <v>68</v>
      </c>
      <c r="K372" t="b">
        <v>0</v>
      </c>
      <c r="M372">
        <v>12424010</v>
      </c>
      <c r="N372">
        <v>12434010</v>
      </c>
      <c r="O372">
        <v>12444010</v>
      </c>
      <c r="P372">
        <v>12454010</v>
      </c>
      <c r="Q372">
        <v>12464010</v>
      </c>
      <c r="R372">
        <v>12474010</v>
      </c>
      <c r="S372">
        <v>12484010</v>
      </c>
      <c r="T372">
        <v>12425010</v>
      </c>
      <c r="U372">
        <v>12435010</v>
      </c>
      <c r="V372">
        <v>12445010</v>
      </c>
      <c r="W372">
        <v>12455010</v>
      </c>
      <c r="X372">
        <v>12465010</v>
      </c>
      <c r="Y372">
        <v>12475010</v>
      </c>
      <c r="Z372">
        <v>12485010</v>
      </c>
      <c r="AA372">
        <v>12426010</v>
      </c>
      <c r="AB372">
        <v>12436010</v>
      </c>
      <c r="AC372">
        <v>12446010</v>
      </c>
      <c r="AD372">
        <v>12456010</v>
      </c>
      <c r="AE372">
        <v>12466010</v>
      </c>
      <c r="AF372">
        <v>12476010</v>
      </c>
      <c r="AG372">
        <v>12486010</v>
      </c>
      <c r="AH372" s="11">
        <v>11</v>
      </c>
      <c r="AI372" s="11" t="b">
        <v>1</v>
      </c>
      <c r="AL372" t="str" s="11">
        <v>【补充设计】保留奇珍ID、钥匙与图谱关系；可携带标记与独立效果行逐ID核对。</v>
      </c>
    </row>
    <row r="373" spans="2:35">
      <c r="B373">
        <v>72424011</v>
      </c>
      <c r="C373" t="s">
        <v>824</v>
      </c>
      <c r="D373" s="25">
        <v>12424011</v>
      </c>
      <c r="E373" t="s">
        <v>724</v>
      </c>
      <c r="F373" t="s">
        <v>145</v>
      </c>
      <c r="G373" t="s">
        <v>66</v>
      </c>
      <c r="H373">
        <v>12421000</v>
      </c>
      <c r="I373" t="s">
        <v>825</v>
      </c>
      <c r="J373" s="25" t="s">
        <v>68</v>
      </c>
      <c r="K373" t="b">
        <v>0</v>
      </c>
      <c r="M373">
        <v>12424011</v>
      </c>
      <c r="N373">
        <v>12434011</v>
      </c>
      <c r="O373">
        <v>12444011</v>
      </c>
      <c r="P373">
        <v>12454011</v>
      </c>
      <c r="Q373">
        <v>12464011</v>
      </c>
      <c r="R373">
        <v>12474011</v>
      </c>
      <c r="S373">
        <v>12484011</v>
      </c>
      <c r="T373">
        <v>12425011</v>
      </c>
      <c r="U373">
        <v>12435011</v>
      </c>
      <c r="V373">
        <v>12445011</v>
      </c>
      <c r="W373">
        <v>12455011</v>
      </c>
      <c r="X373">
        <v>12465011</v>
      </c>
      <c r="Y373">
        <v>12475011</v>
      </c>
      <c r="Z373">
        <v>12485011</v>
      </c>
      <c r="AA373">
        <v>12426011</v>
      </c>
      <c r="AB373">
        <v>12436011</v>
      </c>
      <c r="AC373">
        <v>12446011</v>
      </c>
      <c r="AD373">
        <v>12456011</v>
      </c>
      <c r="AE373">
        <v>12466011</v>
      </c>
      <c r="AF373">
        <v>12476011</v>
      </c>
      <c r="AG373">
        <v>12486011</v>
      </c>
      <c r="AH373" s="11">
        <v>12</v>
      </c>
      <c r="AI373" s="11" t="b">
        <v>1</v>
      </c>
      <c r="AL373" t="str" s="11">
        <v>【补充设计】保留奇珍ID、钥匙与图谱关系；可携带标记与独立效果行逐ID核对。</v>
      </c>
    </row>
    <row r="374" spans="2:35">
      <c r="B374">
        <v>72424012</v>
      </c>
      <c r="C374" t="s">
        <v>826</v>
      </c>
      <c r="D374" s="25">
        <v>12424012</v>
      </c>
      <c r="E374" t="s">
        <v>724</v>
      </c>
      <c r="F374" t="s">
        <v>145</v>
      </c>
      <c r="G374" t="s">
        <v>66</v>
      </c>
      <c r="H374">
        <v>12421000</v>
      </c>
      <c r="I374" t="s">
        <v>827</v>
      </c>
      <c r="J374" s="25" t="s">
        <v>68</v>
      </c>
      <c r="K374" t="b">
        <v>0</v>
      </c>
      <c r="M374">
        <v>12424012</v>
      </c>
      <c r="N374">
        <v>12434012</v>
      </c>
      <c r="O374">
        <v>12444012</v>
      </c>
      <c r="P374">
        <v>12454012</v>
      </c>
      <c r="Q374">
        <v>12464012</v>
      </c>
      <c r="R374">
        <v>12474012</v>
      </c>
      <c r="S374">
        <v>12484012</v>
      </c>
      <c r="T374">
        <v>12425012</v>
      </c>
      <c r="U374">
        <v>12435012</v>
      </c>
      <c r="V374">
        <v>12445012</v>
      </c>
      <c r="W374">
        <v>12455012</v>
      </c>
      <c r="X374">
        <v>12465012</v>
      </c>
      <c r="Y374">
        <v>12475012</v>
      </c>
      <c r="Z374">
        <v>12485012</v>
      </c>
      <c r="AA374">
        <v>12426012</v>
      </c>
      <c r="AB374">
        <v>12436012</v>
      </c>
      <c r="AC374">
        <v>12446012</v>
      </c>
      <c r="AD374">
        <v>12456012</v>
      </c>
      <c r="AE374">
        <v>12466012</v>
      </c>
      <c r="AF374">
        <v>12476012</v>
      </c>
      <c r="AG374">
        <v>12486012</v>
      </c>
      <c r="AH374" s="11">
        <v>13</v>
      </c>
      <c r="AI374" s="11" t="b">
        <v>1</v>
      </c>
      <c r="AL374" t="str" s="11">
        <v>【补充设计】保留奇珍ID、钥匙与图谱关系；可携带标记与独立效果行逐ID核对。</v>
      </c>
    </row>
    <row r="375" spans="2:35">
      <c r="B375">
        <v>72424013</v>
      </c>
      <c r="C375" t="s">
        <v>828</v>
      </c>
      <c r="D375" s="25">
        <v>12424013</v>
      </c>
      <c r="E375" t="s">
        <v>724</v>
      </c>
      <c r="F375" t="s">
        <v>145</v>
      </c>
      <c r="G375" t="s">
        <v>66</v>
      </c>
      <c r="H375">
        <v>12421000</v>
      </c>
      <c r="I375" t="s">
        <v>829</v>
      </c>
      <c r="J375" s="25" t="s">
        <v>68</v>
      </c>
      <c r="K375" t="b">
        <v>0</v>
      </c>
      <c r="M375">
        <v>12424013</v>
      </c>
      <c r="N375">
        <v>12434013</v>
      </c>
      <c r="O375">
        <v>12444013</v>
      </c>
      <c r="P375">
        <v>12454013</v>
      </c>
      <c r="Q375">
        <v>12464013</v>
      </c>
      <c r="R375">
        <v>12474013</v>
      </c>
      <c r="S375">
        <v>12484013</v>
      </c>
      <c r="T375">
        <v>12425013</v>
      </c>
      <c r="U375">
        <v>12435013</v>
      </c>
      <c r="V375">
        <v>12445013</v>
      </c>
      <c r="W375">
        <v>12455013</v>
      </c>
      <c r="X375">
        <v>12465013</v>
      </c>
      <c r="Y375">
        <v>12475013</v>
      </c>
      <c r="Z375">
        <v>12485013</v>
      </c>
      <c r="AA375">
        <v>12426013</v>
      </c>
      <c r="AB375">
        <v>12436013</v>
      </c>
      <c r="AC375">
        <v>12446013</v>
      </c>
      <c r="AD375">
        <v>12456013</v>
      </c>
      <c r="AE375">
        <v>12466013</v>
      </c>
      <c r="AF375">
        <v>12476013</v>
      </c>
      <c r="AG375">
        <v>12486013</v>
      </c>
      <c r="AH375" s="11">
        <v>14</v>
      </c>
      <c r="AI375" s="11" t="b">
        <v>1</v>
      </c>
      <c r="AL375" t="str" s="11">
        <v>【补充设计】保留奇珍ID、钥匙与图谱关系；可携带标记与独立效果行逐ID核对。</v>
      </c>
    </row>
    <row r="376" spans="2:35">
      <c r="B376">
        <v>72424014</v>
      </c>
      <c r="C376" t="s">
        <v>830</v>
      </c>
      <c r="D376" s="25">
        <v>12424014</v>
      </c>
      <c r="E376" t="s">
        <v>724</v>
      </c>
      <c r="F376" t="s">
        <v>145</v>
      </c>
      <c r="G376" t="s">
        <v>66</v>
      </c>
      <c r="H376">
        <v>12421000</v>
      </c>
      <c r="I376" t="s">
        <v>831</v>
      </c>
      <c r="J376" s="25" t="s">
        <v>68</v>
      </c>
      <c r="K376" t="b">
        <v>0</v>
      </c>
      <c r="M376">
        <v>12424014</v>
      </c>
      <c r="N376">
        <v>12434014</v>
      </c>
      <c r="O376">
        <v>12444014</v>
      </c>
      <c r="P376">
        <v>12454014</v>
      </c>
      <c r="Q376">
        <v>12464014</v>
      </c>
      <c r="R376">
        <v>12474014</v>
      </c>
      <c r="S376">
        <v>12484014</v>
      </c>
      <c r="T376">
        <v>12425014</v>
      </c>
      <c r="U376">
        <v>12435014</v>
      </c>
      <c r="V376">
        <v>12445014</v>
      </c>
      <c r="W376">
        <v>12455014</v>
      </c>
      <c r="X376">
        <v>12465014</v>
      </c>
      <c r="Y376">
        <v>12475014</v>
      </c>
      <c r="Z376">
        <v>12485014</v>
      </c>
      <c r="AA376">
        <v>12426014</v>
      </c>
      <c r="AB376">
        <v>12436014</v>
      </c>
      <c r="AC376">
        <v>12446014</v>
      </c>
      <c r="AD376">
        <v>12456014</v>
      </c>
      <c r="AE376">
        <v>12466014</v>
      </c>
      <c r="AF376">
        <v>12476014</v>
      </c>
      <c r="AG376">
        <v>12486014</v>
      </c>
      <c r="AH376" s="11">
        <v>15</v>
      </c>
      <c r="AI376" s="11" t="b">
        <v>1</v>
      </c>
      <c r="AL376" t="str" s="11">
        <v>【补充设计】保留奇珍ID、钥匙与图谱关系；可携带标记与独立效果行逐ID核对。</v>
      </c>
    </row>
    <row r="377" spans="2:35">
      <c r="B377">
        <v>72424015</v>
      </c>
      <c r="C377" t="s">
        <v>832</v>
      </c>
      <c r="D377" s="25">
        <v>12424015</v>
      </c>
      <c r="E377" t="s">
        <v>724</v>
      </c>
      <c r="F377" t="s">
        <v>145</v>
      </c>
      <c r="G377" t="s">
        <v>66</v>
      </c>
      <c r="H377">
        <v>12421000</v>
      </c>
      <c r="I377" t="s">
        <v>833</v>
      </c>
      <c r="J377" s="25" t="s">
        <v>68</v>
      </c>
      <c r="K377" t="b">
        <v>0</v>
      </c>
      <c r="M377">
        <v>12424015</v>
      </c>
      <c r="N377">
        <v>12434015</v>
      </c>
      <c r="O377">
        <v>12444015</v>
      </c>
      <c r="P377">
        <v>12454015</v>
      </c>
      <c r="Q377">
        <v>12464015</v>
      </c>
      <c r="R377">
        <v>12474015</v>
      </c>
      <c r="S377">
        <v>12484015</v>
      </c>
      <c r="T377">
        <v>12425015</v>
      </c>
      <c r="U377">
        <v>12435015</v>
      </c>
      <c r="V377">
        <v>12445015</v>
      </c>
      <c r="W377">
        <v>12455015</v>
      </c>
      <c r="X377">
        <v>12465015</v>
      </c>
      <c r="Y377">
        <v>12475015</v>
      </c>
      <c r="Z377">
        <v>12485015</v>
      </c>
      <c r="AA377">
        <v>12426015</v>
      </c>
      <c r="AB377">
        <v>12436015</v>
      </c>
      <c r="AC377">
        <v>12446015</v>
      </c>
      <c r="AD377">
        <v>12456015</v>
      </c>
      <c r="AE377">
        <v>12466015</v>
      </c>
      <c r="AF377">
        <v>12476015</v>
      </c>
      <c r="AG377">
        <v>12486015</v>
      </c>
      <c r="AH377" s="11">
        <v>16</v>
      </c>
      <c r="AI377" s="11" t="b">
        <v>1</v>
      </c>
      <c r="AL377" t="str" s="11">
        <v>【补充设计】保留奇珍ID、钥匙与图谱关系；可携带标记与独立效果行逐ID核对。</v>
      </c>
    </row>
    <row r="378" spans="2:35">
      <c r="B378">
        <v>72424017</v>
      </c>
      <c r="C378" t="s">
        <v>834</v>
      </c>
      <c r="D378" s="25">
        <v>12424017</v>
      </c>
      <c r="E378" t="s">
        <v>724</v>
      </c>
      <c r="F378" t="s">
        <v>145</v>
      </c>
      <c r="G378" t="s">
        <v>66</v>
      </c>
      <c r="H378">
        <v>12421004</v>
      </c>
      <c r="I378" t="s">
        <v>835</v>
      </c>
      <c r="J378" s="25" t="s">
        <v>68</v>
      </c>
      <c r="K378" t="b">
        <v>0</v>
      </c>
      <c r="M378">
        <v>12424017</v>
      </c>
      <c r="N378">
        <v>12434017</v>
      </c>
      <c r="O378">
        <v>12444017</v>
      </c>
      <c r="P378">
        <v>12454017</v>
      </c>
      <c r="Q378">
        <v>12464017</v>
      </c>
      <c r="R378">
        <v>12474017</v>
      </c>
      <c r="S378">
        <v>12484017</v>
      </c>
      <c r="T378">
        <v>12425017</v>
      </c>
      <c r="U378">
        <v>12435017</v>
      </c>
      <c r="V378">
        <v>12445017</v>
      </c>
      <c r="W378">
        <v>12455017</v>
      </c>
      <c r="X378">
        <v>12465017</v>
      </c>
      <c r="Y378">
        <v>12475017</v>
      </c>
      <c r="Z378">
        <v>12485017</v>
      </c>
      <c r="AA378">
        <v>12426017</v>
      </c>
      <c r="AB378">
        <v>12436017</v>
      </c>
      <c r="AC378">
        <v>12446017</v>
      </c>
      <c r="AD378">
        <v>12456017</v>
      </c>
      <c r="AE378">
        <v>12466017</v>
      </c>
      <c r="AF378">
        <v>12476017</v>
      </c>
      <c r="AG378">
        <v>12486017</v>
      </c>
      <c r="AH378" s="11">
        <v>18</v>
      </c>
      <c r="AI378" s="11" t="b">
        <v>1</v>
      </c>
      <c r="AL378" t="str" s="11">
        <v>【补充设计】保留奇珍ID、钥匙与图谱关系；可携带标记与独立效果行逐ID核对。</v>
      </c>
    </row>
    <row r="379" spans="2:35">
      <c r="B379">
        <v>72424018</v>
      </c>
      <c r="C379" t="s">
        <v>836</v>
      </c>
      <c r="D379" s="25">
        <v>12424018</v>
      </c>
      <c r="E379" t="s">
        <v>724</v>
      </c>
      <c r="F379" t="s">
        <v>145</v>
      </c>
      <c r="G379" t="s">
        <v>66</v>
      </c>
      <c r="H379">
        <v>12421004</v>
      </c>
      <c r="I379" t="s">
        <v>837</v>
      </c>
      <c r="J379" s="25" t="s">
        <v>68</v>
      </c>
      <c r="K379" t="b">
        <v>0</v>
      </c>
      <c r="M379">
        <v>12424018</v>
      </c>
      <c r="N379">
        <v>12434018</v>
      </c>
      <c r="O379">
        <v>12444018</v>
      </c>
      <c r="P379">
        <v>12454018</v>
      </c>
      <c r="Q379">
        <v>12464018</v>
      </c>
      <c r="R379">
        <v>12474018</v>
      </c>
      <c r="S379">
        <v>12484018</v>
      </c>
      <c r="T379">
        <v>12425018</v>
      </c>
      <c r="U379">
        <v>12435018</v>
      </c>
      <c r="V379">
        <v>12445018</v>
      </c>
      <c r="W379">
        <v>12455018</v>
      </c>
      <c r="X379">
        <v>12465018</v>
      </c>
      <c r="Y379">
        <v>12475018</v>
      </c>
      <c r="Z379">
        <v>12485018</v>
      </c>
      <c r="AA379">
        <v>12426018</v>
      </c>
      <c r="AB379">
        <v>12436018</v>
      </c>
      <c r="AC379">
        <v>12446018</v>
      </c>
      <c r="AD379">
        <v>12456018</v>
      </c>
      <c r="AE379">
        <v>12466018</v>
      </c>
      <c r="AF379">
        <v>12476018</v>
      </c>
      <c r="AG379">
        <v>12486018</v>
      </c>
      <c r="AH379" s="11">
        <v>19</v>
      </c>
      <c r="AI379" s="11" t="b">
        <v>1</v>
      </c>
      <c r="AL379" t="str" s="11">
        <v>【补充设计】保留奇珍ID、钥匙与图谱关系；可携带标记与独立效果行逐ID核对。</v>
      </c>
    </row>
    <row r="380" spans="2:35">
      <c r="B380">
        <v>72424019</v>
      </c>
      <c r="C380" t="s">
        <v>838</v>
      </c>
      <c r="D380" s="25">
        <v>12424019</v>
      </c>
      <c r="E380" t="s">
        <v>724</v>
      </c>
      <c r="F380" t="s">
        <v>145</v>
      </c>
      <c r="G380" t="s">
        <v>66</v>
      </c>
      <c r="H380">
        <v>12421004</v>
      </c>
      <c r="I380" t="s">
        <v>839</v>
      </c>
      <c r="J380" s="25" t="s">
        <v>68</v>
      </c>
      <c r="K380" t="b">
        <v>0</v>
      </c>
      <c r="M380">
        <v>12424019</v>
      </c>
      <c r="N380">
        <v>12434019</v>
      </c>
      <c r="O380">
        <v>12444019</v>
      </c>
      <c r="P380">
        <v>12454019</v>
      </c>
      <c r="Q380">
        <v>12464019</v>
      </c>
      <c r="R380">
        <v>12474019</v>
      </c>
      <c r="S380">
        <v>12484019</v>
      </c>
      <c r="T380">
        <v>12425019</v>
      </c>
      <c r="U380">
        <v>12435019</v>
      </c>
      <c r="V380">
        <v>12445019</v>
      </c>
      <c r="W380">
        <v>12455019</v>
      </c>
      <c r="X380">
        <v>12465019</v>
      </c>
      <c r="Y380">
        <v>12475019</v>
      </c>
      <c r="Z380">
        <v>12485019</v>
      </c>
      <c r="AA380">
        <v>12426019</v>
      </c>
      <c r="AB380">
        <v>12436019</v>
      </c>
      <c r="AC380">
        <v>12446019</v>
      </c>
      <c r="AD380">
        <v>12456019</v>
      </c>
      <c r="AE380">
        <v>12466019</v>
      </c>
      <c r="AF380">
        <v>12476019</v>
      </c>
      <c r="AG380">
        <v>12486019</v>
      </c>
      <c r="AH380" s="11">
        <v>20</v>
      </c>
      <c r="AI380" s="11" t="b">
        <v>1</v>
      </c>
      <c r="AL380" t="str" s="11">
        <v>【补充设计】保留奇珍ID、钥匙与图谱关系；可携带标记与独立效果行逐ID核对。</v>
      </c>
    </row>
    <row r="381" spans="2:35">
      <c r="B381">
        <v>72424020</v>
      </c>
      <c r="C381" t="s">
        <v>840</v>
      </c>
      <c r="D381" s="25">
        <v>12424020</v>
      </c>
      <c r="E381" t="s">
        <v>724</v>
      </c>
      <c r="F381" t="s">
        <v>145</v>
      </c>
      <c r="G381" t="s">
        <v>66</v>
      </c>
      <c r="H381">
        <v>12421004</v>
      </c>
      <c r="I381" t="s">
        <v>841</v>
      </c>
      <c r="J381" s="25" t="s">
        <v>68</v>
      </c>
      <c r="K381" t="b">
        <v>0</v>
      </c>
      <c r="M381">
        <v>12424020</v>
      </c>
      <c r="N381">
        <v>12434020</v>
      </c>
      <c r="O381">
        <v>12444020</v>
      </c>
      <c r="P381">
        <v>12454020</v>
      </c>
      <c r="Q381">
        <v>12464020</v>
      </c>
      <c r="R381">
        <v>12474020</v>
      </c>
      <c r="S381">
        <v>12484020</v>
      </c>
      <c r="T381">
        <v>12425020</v>
      </c>
      <c r="U381">
        <v>12435020</v>
      </c>
      <c r="V381">
        <v>12445020</v>
      </c>
      <c r="W381">
        <v>12455020</v>
      </c>
      <c r="X381">
        <v>12465020</v>
      </c>
      <c r="Y381">
        <v>12475020</v>
      </c>
      <c r="Z381">
        <v>12485020</v>
      </c>
      <c r="AA381">
        <v>12426020</v>
      </c>
      <c r="AB381">
        <v>12436020</v>
      </c>
      <c r="AC381">
        <v>12446020</v>
      </c>
      <c r="AD381">
        <v>12456020</v>
      </c>
      <c r="AE381">
        <v>12466020</v>
      </c>
      <c r="AF381">
        <v>12476020</v>
      </c>
      <c r="AG381">
        <v>12486020</v>
      </c>
      <c r="AH381" s="11">
        <v>21</v>
      </c>
      <c r="AI381" s="11" t="b">
        <v>1</v>
      </c>
      <c r="AL381" t="str" s="11">
        <v>【补充设计】保留奇珍ID、钥匙与图谱关系；可携带标记与独立效果行逐ID核对。</v>
      </c>
    </row>
    <row r="382" spans="2:35">
      <c r="B382">
        <v>72424021</v>
      </c>
      <c r="C382" t="s">
        <v>842</v>
      </c>
      <c r="D382" s="25">
        <v>12424021</v>
      </c>
      <c r="E382" t="s">
        <v>724</v>
      </c>
      <c r="F382" t="s">
        <v>145</v>
      </c>
      <c r="G382" t="s">
        <v>66</v>
      </c>
      <c r="H382">
        <v>12421004</v>
      </c>
      <c r="I382" t="s">
        <v>843</v>
      </c>
      <c r="J382" s="25" t="s">
        <v>68</v>
      </c>
      <c r="K382" t="b">
        <v>0</v>
      </c>
      <c r="M382">
        <v>12424021</v>
      </c>
      <c r="N382">
        <v>12434021</v>
      </c>
      <c r="O382">
        <v>12444021</v>
      </c>
      <c r="P382">
        <v>12454021</v>
      </c>
      <c r="Q382">
        <v>12464021</v>
      </c>
      <c r="R382">
        <v>12474021</v>
      </c>
      <c r="S382">
        <v>12484021</v>
      </c>
      <c r="T382">
        <v>12425021</v>
      </c>
      <c r="U382">
        <v>12435021</v>
      </c>
      <c r="V382">
        <v>12445021</v>
      </c>
      <c r="W382">
        <v>12455021</v>
      </c>
      <c r="X382">
        <v>12465021</v>
      </c>
      <c r="Y382">
        <v>12475021</v>
      </c>
      <c r="Z382">
        <v>12485021</v>
      </c>
      <c r="AA382">
        <v>12426021</v>
      </c>
      <c r="AB382">
        <v>12436021</v>
      </c>
      <c r="AC382">
        <v>12446021</v>
      </c>
      <c r="AD382">
        <v>12456021</v>
      </c>
      <c r="AE382">
        <v>12466021</v>
      </c>
      <c r="AF382">
        <v>12476021</v>
      </c>
      <c r="AG382">
        <v>12486021</v>
      </c>
      <c r="AH382" s="11">
        <v>22</v>
      </c>
      <c r="AI382" s="11" t="b">
        <v>1</v>
      </c>
      <c r="AL382" t="str" s="11">
        <v>【补充设计】保留奇珍ID、钥匙与图谱关系；可携带标记与独立效果行逐ID核对。</v>
      </c>
    </row>
    <row r="383" spans="2:35">
      <c r="B383">
        <v>72424022</v>
      </c>
      <c r="C383" t="s">
        <v>844</v>
      </c>
      <c r="D383" s="25">
        <v>12424022</v>
      </c>
      <c r="E383" t="s">
        <v>724</v>
      </c>
      <c r="F383" t="s">
        <v>145</v>
      </c>
      <c r="G383" t="s">
        <v>66</v>
      </c>
      <c r="H383">
        <v>12421004</v>
      </c>
      <c r="I383" t="s">
        <v>845</v>
      </c>
      <c r="J383" s="25" t="s">
        <v>68</v>
      </c>
      <c r="K383" t="b">
        <v>0</v>
      </c>
      <c r="M383">
        <v>12424022</v>
      </c>
      <c r="N383">
        <v>12434022</v>
      </c>
      <c r="O383">
        <v>12444022</v>
      </c>
      <c r="P383">
        <v>12454022</v>
      </c>
      <c r="Q383">
        <v>12464022</v>
      </c>
      <c r="R383">
        <v>12474022</v>
      </c>
      <c r="S383">
        <v>12484022</v>
      </c>
      <c r="T383">
        <v>12425022</v>
      </c>
      <c r="U383">
        <v>12435022</v>
      </c>
      <c r="V383">
        <v>12445022</v>
      </c>
      <c r="W383">
        <v>12455022</v>
      </c>
      <c r="X383">
        <v>12465022</v>
      </c>
      <c r="Y383">
        <v>12475022</v>
      </c>
      <c r="Z383">
        <v>12485022</v>
      </c>
      <c r="AA383">
        <v>12426022</v>
      </c>
      <c r="AB383">
        <v>12436022</v>
      </c>
      <c r="AC383">
        <v>12446022</v>
      </c>
      <c r="AD383">
        <v>12456022</v>
      </c>
      <c r="AE383">
        <v>12466022</v>
      </c>
      <c r="AF383">
        <v>12476022</v>
      </c>
      <c r="AG383">
        <v>12486022</v>
      </c>
      <c r="AH383" s="11">
        <v>23</v>
      </c>
      <c r="AI383" s="11" t="b">
        <v>1</v>
      </c>
      <c r="AL383" t="str" s="11">
        <v>【补充设计】保留奇珍ID、钥匙与图谱关系；可携带标记与独立效果行逐ID核对。</v>
      </c>
    </row>
    <row r="384" spans="2:35">
      <c r="B384">
        <v>72424023</v>
      </c>
      <c r="C384" t="s">
        <v>846</v>
      </c>
      <c r="D384" s="25">
        <v>12424023</v>
      </c>
      <c r="E384" t="s">
        <v>724</v>
      </c>
      <c r="F384" t="s">
        <v>145</v>
      </c>
      <c r="G384" t="s">
        <v>66</v>
      </c>
      <c r="H384">
        <v>12421004</v>
      </c>
      <c r="I384" t="s">
        <v>847</v>
      </c>
      <c r="J384" s="25" t="s">
        <v>68</v>
      </c>
      <c r="K384" t="b">
        <v>0</v>
      </c>
      <c r="M384">
        <v>12424023</v>
      </c>
      <c r="N384">
        <v>12434023</v>
      </c>
      <c r="O384">
        <v>12444023</v>
      </c>
      <c r="P384">
        <v>12454023</v>
      </c>
      <c r="Q384">
        <v>12464023</v>
      </c>
      <c r="R384">
        <v>12474023</v>
      </c>
      <c r="S384">
        <v>12484023</v>
      </c>
      <c r="T384">
        <v>12425023</v>
      </c>
      <c r="U384">
        <v>12435023</v>
      </c>
      <c r="V384">
        <v>12445023</v>
      </c>
      <c r="W384">
        <v>12455023</v>
      </c>
      <c r="X384">
        <v>12465023</v>
      </c>
      <c r="Y384">
        <v>12475023</v>
      </c>
      <c r="Z384">
        <v>12485023</v>
      </c>
      <c r="AA384">
        <v>12426023</v>
      </c>
      <c r="AB384">
        <v>12436023</v>
      </c>
      <c r="AC384">
        <v>12446023</v>
      </c>
      <c r="AD384">
        <v>12456023</v>
      </c>
      <c r="AE384">
        <v>12466023</v>
      </c>
      <c r="AF384">
        <v>12476023</v>
      </c>
      <c r="AG384">
        <v>12486023</v>
      </c>
      <c r="AH384" s="11">
        <v>24</v>
      </c>
      <c r="AI384" s="11" t="b">
        <v>1</v>
      </c>
      <c r="AL384" t="str" s="11">
        <v>【补充设计】保留奇珍ID、钥匙与图谱关系；可携带标记与独立效果行逐ID核对。</v>
      </c>
    </row>
    <row r="385" spans="2:35">
      <c r="B385">
        <v>72424024</v>
      </c>
      <c r="C385" t="s">
        <v>848</v>
      </c>
      <c r="D385" s="25">
        <v>12424024</v>
      </c>
      <c r="E385" t="s">
        <v>724</v>
      </c>
      <c r="F385" t="s">
        <v>145</v>
      </c>
      <c r="G385" t="s">
        <v>66</v>
      </c>
      <c r="H385">
        <v>12421004</v>
      </c>
      <c r="I385" t="s">
        <v>849</v>
      </c>
      <c r="J385" s="25" t="s">
        <v>68</v>
      </c>
      <c r="K385" t="b">
        <v>0</v>
      </c>
      <c r="M385">
        <v>12424024</v>
      </c>
      <c r="N385">
        <v>12434024</v>
      </c>
      <c r="O385">
        <v>12444024</v>
      </c>
      <c r="P385">
        <v>12454024</v>
      </c>
      <c r="Q385">
        <v>12464024</v>
      </c>
      <c r="R385">
        <v>12474024</v>
      </c>
      <c r="S385">
        <v>12484024</v>
      </c>
      <c r="T385">
        <v>12425024</v>
      </c>
      <c r="U385">
        <v>12435024</v>
      </c>
      <c r="V385">
        <v>12445024</v>
      </c>
      <c r="W385">
        <v>12455024</v>
      </c>
      <c r="X385">
        <v>12465024</v>
      </c>
      <c r="Y385">
        <v>12475024</v>
      </c>
      <c r="Z385">
        <v>12485024</v>
      </c>
      <c r="AA385">
        <v>12426024</v>
      </c>
      <c r="AB385">
        <v>12436024</v>
      </c>
      <c r="AC385">
        <v>12446024</v>
      </c>
      <c r="AD385">
        <v>12456024</v>
      </c>
      <c r="AE385">
        <v>12466024</v>
      </c>
      <c r="AF385">
        <v>12476024</v>
      </c>
      <c r="AG385">
        <v>12486024</v>
      </c>
      <c r="AH385" s="11">
        <v>25</v>
      </c>
      <c r="AI385" s="11" t="b">
        <v>1</v>
      </c>
      <c r="AL385" t="str" s="11">
        <v>【补充设计】保留奇珍ID、钥匙与图谱关系；可携带标记与独立效果行逐ID核对。</v>
      </c>
    </row>
    <row r="386" spans="2:35">
      <c r="B386">
        <v>72424026</v>
      </c>
      <c r="C386" t="s">
        <v>850</v>
      </c>
      <c r="D386" s="25">
        <v>12424026</v>
      </c>
      <c r="E386" t="s">
        <v>724</v>
      </c>
      <c r="F386" t="s">
        <v>145</v>
      </c>
      <c r="G386" t="s">
        <v>66</v>
      </c>
      <c r="H386">
        <v>12421005</v>
      </c>
      <c r="I386" t="s">
        <v>851</v>
      </c>
      <c r="J386" s="25" t="s">
        <v>68</v>
      </c>
      <c r="K386" t="b">
        <v>0</v>
      </c>
      <c r="M386">
        <v>12424026</v>
      </c>
      <c r="N386">
        <v>12434026</v>
      </c>
      <c r="O386">
        <v>12444026</v>
      </c>
      <c r="P386">
        <v>12454026</v>
      </c>
      <c r="Q386">
        <v>12464026</v>
      </c>
      <c r="R386">
        <v>12474026</v>
      </c>
      <c r="S386">
        <v>12484026</v>
      </c>
      <c r="T386">
        <v>12425026</v>
      </c>
      <c r="U386">
        <v>12435026</v>
      </c>
      <c r="V386">
        <v>12445026</v>
      </c>
      <c r="W386">
        <v>12455026</v>
      </c>
      <c r="X386">
        <v>12465026</v>
      </c>
      <c r="Y386">
        <v>12475026</v>
      </c>
      <c r="Z386">
        <v>12485026</v>
      </c>
      <c r="AA386">
        <v>12426026</v>
      </c>
      <c r="AB386">
        <v>12436026</v>
      </c>
      <c r="AC386">
        <v>12446026</v>
      </c>
      <c r="AD386">
        <v>12456026</v>
      </c>
      <c r="AE386">
        <v>12466026</v>
      </c>
      <c r="AF386">
        <v>12476026</v>
      </c>
      <c r="AG386">
        <v>12486026</v>
      </c>
      <c r="AH386" s="11">
        <v>27</v>
      </c>
      <c r="AI386" s="11" t="b">
        <v>1</v>
      </c>
      <c r="AL386" t="str" s="11">
        <v>【补充设计】保留奇珍ID、钥匙与图谱关系；可携带标记与独立效果行逐ID核对。</v>
      </c>
    </row>
    <row r="387" spans="2:35">
      <c r="B387">
        <v>72424027</v>
      </c>
      <c r="C387" t="s">
        <v>852</v>
      </c>
      <c r="D387" s="25">
        <v>12424027</v>
      </c>
      <c r="E387" t="s">
        <v>724</v>
      </c>
      <c r="F387" t="s">
        <v>145</v>
      </c>
      <c r="G387" t="s">
        <v>66</v>
      </c>
      <c r="H387">
        <v>12421005</v>
      </c>
      <c r="I387" t="s">
        <v>853</v>
      </c>
      <c r="J387" s="25" t="s">
        <v>68</v>
      </c>
      <c r="K387" t="b">
        <v>0</v>
      </c>
      <c r="M387">
        <v>12424027</v>
      </c>
      <c r="N387">
        <v>12434027</v>
      </c>
      <c r="O387">
        <v>12444027</v>
      </c>
      <c r="P387">
        <v>12454027</v>
      </c>
      <c r="Q387">
        <v>12464027</v>
      </c>
      <c r="R387">
        <v>12474027</v>
      </c>
      <c r="S387">
        <v>12484027</v>
      </c>
      <c r="T387">
        <v>12425027</v>
      </c>
      <c r="U387">
        <v>12435027</v>
      </c>
      <c r="V387">
        <v>12445027</v>
      </c>
      <c r="W387">
        <v>12455027</v>
      </c>
      <c r="X387">
        <v>12465027</v>
      </c>
      <c r="Y387">
        <v>12475027</v>
      </c>
      <c r="Z387">
        <v>12485027</v>
      </c>
      <c r="AA387">
        <v>12426027</v>
      </c>
      <c r="AB387">
        <v>12436027</v>
      </c>
      <c r="AC387">
        <v>12446027</v>
      </c>
      <c r="AD387">
        <v>12456027</v>
      </c>
      <c r="AE387">
        <v>12466027</v>
      </c>
      <c r="AF387">
        <v>12476027</v>
      </c>
      <c r="AG387">
        <v>12486027</v>
      </c>
      <c r="AH387" s="11">
        <v>28</v>
      </c>
      <c r="AI387" s="11" t="b">
        <v>1</v>
      </c>
      <c r="AL387" t="str" s="11">
        <v>【补充设计】保留奇珍ID、钥匙与图谱关系；可携带标记与独立效果行逐ID核对。</v>
      </c>
    </row>
    <row r="388" spans="2:35">
      <c r="B388">
        <v>72424028</v>
      </c>
      <c r="C388" t="s">
        <v>854</v>
      </c>
      <c r="D388" s="25">
        <v>12424028</v>
      </c>
      <c r="E388" t="s">
        <v>724</v>
      </c>
      <c r="F388" t="s">
        <v>145</v>
      </c>
      <c r="G388" t="s">
        <v>66</v>
      </c>
      <c r="H388">
        <v>12421005</v>
      </c>
      <c r="I388" t="s">
        <v>855</v>
      </c>
      <c r="J388" s="25" t="s">
        <v>68</v>
      </c>
      <c r="K388" t="b">
        <v>0</v>
      </c>
      <c r="M388">
        <v>12424028</v>
      </c>
      <c r="N388">
        <v>12434028</v>
      </c>
      <c r="O388">
        <v>12444028</v>
      </c>
      <c r="P388">
        <v>12454028</v>
      </c>
      <c r="Q388">
        <v>12464028</v>
      </c>
      <c r="R388">
        <v>12474028</v>
      </c>
      <c r="S388">
        <v>12484028</v>
      </c>
      <c r="T388">
        <v>12425028</v>
      </c>
      <c r="U388">
        <v>12435028</v>
      </c>
      <c r="V388">
        <v>12445028</v>
      </c>
      <c r="W388">
        <v>12455028</v>
      </c>
      <c r="X388">
        <v>12465028</v>
      </c>
      <c r="Y388">
        <v>12475028</v>
      </c>
      <c r="Z388">
        <v>12485028</v>
      </c>
      <c r="AA388">
        <v>12426028</v>
      </c>
      <c r="AB388">
        <v>12436028</v>
      </c>
      <c r="AC388">
        <v>12446028</v>
      </c>
      <c r="AD388">
        <v>12456028</v>
      </c>
      <c r="AE388">
        <v>12466028</v>
      </c>
      <c r="AF388">
        <v>12476028</v>
      </c>
      <c r="AG388">
        <v>12486028</v>
      </c>
      <c r="AH388" s="11">
        <v>29</v>
      </c>
      <c r="AI388" s="11" t="b">
        <v>1</v>
      </c>
      <c r="AL388" t="str" s="11">
        <v>【补充设计】保留奇珍ID、钥匙与图谱关系；可携带标记与独立效果行逐ID核对。</v>
      </c>
    </row>
    <row r="389" spans="2:35">
      <c r="B389">
        <v>72424029</v>
      </c>
      <c r="C389" t="s">
        <v>856</v>
      </c>
      <c r="D389" s="25">
        <v>12424029</v>
      </c>
      <c r="E389" t="s">
        <v>724</v>
      </c>
      <c r="F389" t="s">
        <v>145</v>
      </c>
      <c r="G389" t="s">
        <v>66</v>
      </c>
      <c r="H389">
        <v>12421005</v>
      </c>
      <c r="I389" t="s">
        <v>857</v>
      </c>
      <c r="J389" s="25" t="s">
        <v>68</v>
      </c>
      <c r="K389" t="b">
        <v>0</v>
      </c>
      <c r="M389">
        <v>12424029</v>
      </c>
      <c r="N389">
        <v>12434029</v>
      </c>
      <c r="O389">
        <v>12444029</v>
      </c>
      <c r="P389">
        <v>12454029</v>
      </c>
      <c r="Q389">
        <v>12464029</v>
      </c>
      <c r="R389">
        <v>12474029</v>
      </c>
      <c r="S389">
        <v>12484029</v>
      </c>
      <c r="T389">
        <v>12425029</v>
      </c>
      <c r="U389">
        <v>12435029</v>
      </c>
      <c r="V389">
        <v>12445029</v>
      </c>
      <c r="W389">
        <v>12455029</v>
      </c>
      <c r="X389">
        <v>12465029</v>
      </c>
      <c r="Y389">
        <v>12475029</v>
      </c>
      <c r="Z389">
        <v>12485029</v>
      </c>
      <c r="AA389">
        <v>12426029</v>
      </c>
      <c r="AB389">
        <v>12436029</v>
      </c>
      <c r="AC389">
        <v>12446029</v>
      </c>
      <c r="AD389">
        <v>12456029</v>
      </c>
      <c r="AE389">
        <v>12466029</v>
      </c>
      <c r="AF389">
        <v>12476029</v>
      </c>
      <c r="AG389">
        <v>12486029</v>
      </c>
      <c r="AH389" s="11">
        <v>30</v>
      </c>
      <c r="AI389" s="11" t="b">
        <v>1</v>
      </c>
      <c r="AL389" t="str" s="11">
        <v>【补充设计】保留奇珍ID、钥匙与图谱关系；可携带标记与独立效果行逐ID核对。</v>
      </c>
    </row>
    <row r="390" spans="2:35">
      <c r="B390">
        <v>72424030</v>
      </c>
      <c r="C390" t="s">
        <v>858</v>
      </c>
      <c r="D390" s="25">
        <v>12424030</v>
      </c>
      <c r="E390" t="s">
        <v>724</v>
      </c>
      <c r="F390" t="s">
        <v>145</v>
      </c>
      <c r="G390" t="s">
        <v>66</v>
      </c>
      <c r="H390">
        <v>12421005</v>
      </c>
      <c r="I390" t="s">
        <v>859</v>
      </c>
      <c r="J390" s="25" t="s">
        <v>68</v>
      </c>
      <c r="K390" t="b">
        <v>0</v>
      </c>
      <c r="M390">
        <v>12424030</v>
      </c>
      <c r="N390">
        <v>12434030</v>
      </c>
      <c r="O390">
        <v>12444030</v>
      </c>
      <c r="P390">
        <v>12454030</v>
      </c>
      <c r="Q390">
        <v>12464030</v>
      </c>
      <c r="R390">
        <v>12474030</v>
      </c>
      <c r="S390">
        <v>12484030</v>
      </c>
      <c r="T390">
        <v>12425030</v>
      </c>
      <c r="U390">
        <v>12435030</v>
      </c>
      <c r="V390">
        <v>12445030</v>
      </c>
      <c r="W390">
        <v>12455030</v>
      </c>
      <c r="X390">
        <v>12465030</v>
      </c>
      <c r="Y390">
        <v>12475030</v>
      </c>
      <c r="Z390">
        <v>12485030</v>
      </c>
      <c r="AA390">
        <v>12426030</v>
      </c>
      <c r="AB390">
        <v>12436030</v>
      </c>
      <c r="AC390">
        <v>12446030</v>
      </c>
      <c r="AD390">
        <v>12456030</v>
      </c>
      <c r="AE390">
        <v>12466030</v>
      </c>
      <c r="AF390">
        <v>12476030</v>
      </c>
      <c r="AG390">
        <v>12486030</v>
      </c>
      <c r="AH390" s="11">
        <v>31</v>
      </c>
      <c r="AI390" s="11" t="b">
        <v>1</v>
      </c>
      <c r="AL390" t="str" s="11">
        <v>【补充设计】保留奇珍ID、钥匙与图谱关系；可携带标记与独立效果行逐ID核对。</v>
      </c>
    </row>
    <row r="391" spans="2:35">
      <c r="B391">
        <v>72424031</v>
      </c>
      <c r="C391" t="s">
        <v>860</v>
      </c>
      <c r="D391" s="25">
        <v>12424031</v>
      </c>
      <c r="E391" t="s">
        <v>724</v>
      </c>
      <c r="F391" t="s">
        <v>145</v>
      </c>
      <c r="G391" t="s">
        <v>66</v>
      </c>
      <c r="H391">
        <v>12421005</v>
      </c>
      <c r="I391" t="s">
        <v>861</v>
      </c>
      <c r="J391" s="25" t="s">
        <v>68</v>
      </c>
      <c r="K391" t="b">
        <v>0</v>
      </c>
      <c r="M391">
        <v>12424031</v>
      </c>
      <c r="N391">
        <v>12434031</v>
      </c>
      <c r="O391">
        <v>12444031</v>
      </c>
      <c r="P391">
        <v>12454031</v>
      </c>
      <c r="Q391">
        <v>12464031</v>
      </c>
      <c r="R391">
        <v>12474031</v>
      </c>
      <c r="S391">
        <v>12484031</v>
      </c>
      <c r="T391">
        <v>12425031</v>
      </c>
      <c r="U391">
        <v>12435031</v>
      </c>
      <c r="V391">
        <v>12445031</v>
      </c>
      <c r="W391">
        <v>12455031</v>
      </c>
      <c r="X391">
        <v>12465031</v>
      </c>
      <c r="Y391">
        <v>12475031</v>
      </c>
      <c r="Z391">
        <v>12485031</v>
      </c>
      <c r="AA391">
        <v>12426031</v>
      </c>
      <c r="AB391">
        <v>12436031</v>
      </c>
      <c r="AC391">
        <v>12446031</v>
      </c>
      <c r="AD391">
        <v>12456031</v>
      </c>
      <c r="AE391">
        <v>12466031</v>
      </c>
      <c r="AF391">
        <v>12476031</v>
      </c>
      <c r="AG391">
        <v>12486031</v>
      </c>
      <c r="AH391" s="11">
        <v>32</v>
      </c>
      <c r="AI391" s="11" t="b">
        <v>1</v>
      </c>
      <c r="AL391" t="str" s="11">
        <v>【补充设计】保留奇珍ID、钥匙与图谱关系；可携带标记与独立效果行逐ID核对。</v>
      </c>
    </row>
    <row r="392" spans="2:35">
      <c r="B392">
        <v>72424032</v>
      </c>
      <c r="C392" t="s">
        <v>862</v>
      </c>
      <c r="D392" s="25">
        <v>12424032</v>
      </c>
      <c r="E392" t="s">
        <v>724</v>
      </c>
      <c r="F392" t="s">
        <v>145</v>
      </c>
      <c r="G392" t="s">
        <v>66</v>
      </c>
      <c r="H392">
        <v>12421005</v>
      </c>
      <c r="I392" t="s">
        <v>863</v>
      </c>
      <c r="J392" s="25" t="s">
        <v>68</v>
      </c>
      <c r="K392" t="b">
        <v>0</v>
      </c>
      <c r="M392">
        <v>12424032</v>
      </c>
      <c r="N392">
        <v>12434032</v>
      </c>
      <c r="O392">
        <v>12444032</v>
      </c>
      <c r="P392">
        <v>12454032</v>
      </c>
      <c r="Q392">
        <v>12464032</v>
      </c>
      <c r="R392">
        <v>12474032</v>
      </c>
      <c r="S392">
        <v>12484032</v>
      </c>
      <c r="T392">
        <v>12425032</v>
      </c>
      <c r="U392">
        <v>12435032</v>
      </c>
      <c r="V392">
        <v>12445032</v>
      </c>
      <c r="W392">
        <v>12455032</v>
      </c>
      <c r="X392">
        <v>12465032</v>
      </c>
      <c r="Y392">
        <v>12475032</v>
      </c>
      <c r="Z392">
        <v>12485032</v>
      </c>
      <c r="AA392">
        <v>12426032</v>
      </c>
      <c r="AB392">
        <v>12436032</v>
      </c>
      <c r="AC392">
        <v>12446032</v>
      </c>
      <c r="AD392">
        <v>12456032</v>
      </c>
      <c r="AE392">
        <v>12466032</v>
      </c>
      <c r="AF392">
        <v>12476032</v>
      </c>
      <c r="AG392">
        <v>12486032</v>
      </c>
      <c r="AH392" s="11">
        <v>33</v>
      </c>
      <c r="AI392" s="11" t="b">
        <v>1</v>
      </c>
      <c r="AL392" t="str" s="11">
        <v>【补充设计】保留奇珍ID、钥匙与图谱关系；可携带标记与独立效果行逐ID核对。</v>
      </c>
    </row>
    <row r="393" spans="2:35">
      <c r="B393">
        <v>72424033</v>
      </c>
      <c r="C393" t="s">
        <v>864</v>
      </c>
      <c r="D393" s="25">
        <v>12424033</v>
      </c>
      <c r="E393" t="s">
        <v>724</v>
      </c>
      <c r="F393" t="s">
        <v>145</v>
      </c>
      <c r="G393" t="s">
        <v>66</v>
      </c>
      <c r="H393">
        <v>12421005</v>
      </c>
      <c r="I393" t="s">
        <v>865</v>
      </c>
      <c r="J393" s="25" t="s">
        <v>68</v>
      </c>
      <c r="K393" t="b">
        <v>0</v>
      </c>
      <c r="M393">
        <v>12424033</v>
      </c>
      <c r="N393">
        <v>12434033</v>
      </c>
      <c r="O393">
        <v>12444033</v>
      </c>
      <c r="P393">
        <v>12454033</v>
      </c>
      <c r="Q393">
        <v>12464033</v>
      </c>
      <c r="R393">
        <v>12474033</v>
      </c>
      <c r="S393">
        <v>12484033</v>
      </c>
      <c r="T393">
        <v>12425033</v>
      </c>
      <c r="U393">
        <v>12435033</v>
      </c>
      <c r="V393">
        <v>12445033</v>
      </c>
      <c r="W393">
        <v>12455033</v>
      </c>
      <c r="X393">
        <v>12465033</v>
      </c>
      <c r="Y393">
        <v>12475033</v>
      </c>
      <c r="Z393">
        <v>12485033</v>
      </c>
      <c r="AA393">
        <v>12426033</v>
      </c>
      <c r="AB393">
        <v>12436033</v>
      </c>
      <c r="AC393">
        <v>12446033</v>
      </c>
      <c r="AD393">
        <v>12456033</v>
      </c>
      <c r="AE393">
        <v>12466033</v>
      </c>
      <c r="AF393">
        <v>12476033</v>
      </c>
      <c r="AG393">
        <v>12486033</v>
      </c>
      <c r="AH393" s="11">
        <v>34</v>
      </c>
      <c r="AI393" s="11" t="b">
        <v>1</v>
      </c>
      <c r="AL393" t="str" s="11">
        <v>【补充设计】保留奇珍ID、钥匙与图谱关系；可携带标记与独立效果行逐ID核对。</v>
      </c>
    </row>
    <row r="394" spans="2:35">
      <c r="B394">
        <v>72424035</v>
      </c>
      <c r="C394" t="s">
        <v>866</v>
      </c>
      <c r="D394" s="25">
        <v>12424035</v>
      </c>
      <c r="E394" t="s">
        <v>724</v>
      </c>
      <c r="F394" t="s">
        <v>145</v>
      </c>
      <c r="G394" t="s">
        <v>66</v>
      </c>
      <c r="H394">
        <v>12421001</v>
      </c>
      <c r="I394" t="s">
        <v>867</v>
      </c>
      <c r="J394" s="25" t="s">
        <v>68</v>
      </c>
      <c r="K394" t="b">
        <v>0</v>
      </c>
      <c r="M394">
        <v>12424035</v>
      </c>
      <c r="N394">
        <v>12434035</v>
      </c>
      <c r="O394">
        <v>12444035</v>
      </c>
      <c r="P394">
        <v>12454035</v>
      </c>
      <c r="Q394">
        <v>12464035</v>
      </c>
      <c r="R394">
        <v>12474035</v>
      </c>
      <c r="S394">
        <v>12484035</v>
      </c>
      <c r="T394">
        <v>12425035</v>
      </c>
      <c r="U394">
        <v>12435035</v>
      </c>
      <c r="V394">
        <v>12445035</v>
      </c>
      <c r="W394">
        <v>12455035</v>
      </c>
      <c r="X394">
        <v>12465035</v>
      </c>
      <c r="Y394">
        <v>12475035</v>
      </c>
      <c r="Z394">
        <v>12485035</v>
      </c>
      <c r="AA394">
        <v>12426035</v>
      </c>
      <c r="AB394">
        <v>12436035</v>
      </c>
      <c r="AC394">
        <v>12446035</v>
      </c>
      <c r="AD394">
        <v>12456035</v>
      </c>
      <c r="AE394">
        <v>12466035</v>
      </c>
      <c r="AF394">
        <v>12476035</v>
      </c>
      <c r="AG394">
        <v>12486035</v>
      </c>
      <c r="AH394" s="11">
        <v>36</v>
      </c>
      <c r="AI394" s="11" t="b">
        <v>1</v>
      </c>
      <c r="AL394" t="str" s="11">
        <v>【补充设计】保留奇珍ID、钥匙与图谱关系；可携带标记与独立效果行逐ID核对。</v>
      </c>
    </row>
    <row r="395" spans="2:35">
      <c r="B395">
        <v>72424036</v>
      </c>
      <c r="C395" t="s">
        <v>868</v>
      </c>
      <c r="D395" s="25">
        <v>12424036</v>
      </c>
      <c r="E395" t="s">
        <v>724</v>
      </c>
      <c r="F395" t="s">
        <v>145</v>
      </c>
      <c r="G395" t="s">
        <v>66</v>
      </c>
      <c r="H395">
        <v>12421001</v>
      </c>
      <c r="I395" t="s">
        <v>869</v>
      </c>
      <c r="J395" s="25" t="s">
        <v>68</v>
      </c>
      <c r="K395" t="b">
        <v>0</v>
      </c>
      <c r="M395">
        <v>12424036</v>
      </c>
      <c r="N395">
        <v>12434036</v>
      </c>
      <c r="O395">
        <v>12444036</v>
      </c>
      <c r="P395">
        <v>12454036</v>
      </c>
      <c r="Q395">
        <v>12464036</v>
      </c>
      <c r="R395">
        <v>12474036</v>
      </c>
      <c r="S395">
        <v>12484036</v>
      </c>
      <c r="T395">
        <v>12425036</v>
      </c>
      <c r="U395">
        <v>12435036</v>
      </c>
      <c r="V395">
        <v>12445036</v>
      </c>
      <c r="W395">
        <v>12455036</v>
      </c>
      <c r="X395">
        <v>12465036</v>
      </c>
      <c r="Y395">
        <v>12475036</v>
      </c>
      <c r="Z395">
        <v>12485036</v>
      </c>
      <c r="AA395">
        <v>12426036</v>
      </c>
      <c r="AB395">
        <v>12436036</v>
      </c>
      <c r="AC395">
        <v>12446036</v>
      </c>
      <c r="AD395">
        <v>12456036</v>
      </c>
      <c r="AE395">
        <v>12466036</v>
      </c>
      <c r="AF395">
        <v>12476036</v>
      </c>
      <c r="AG395">
        <v>12486036</v>
      </c>
      <c r="AH395" s="11">
        <v>37</v>
      </c>
      <c r="AI395" s="11" t="b">
        <v>1</v>
      </c>
      <c r="AL395" t="str" s="11">
        <v>【补充设计】保留奇珍ID、钥匙与图谱关系；可携带标记与独立效果行逐ID核对。</v>
      </c>
    </row>
    <row r="396" spans="2:35">
      <c r="B396">
        <v>72424037</v>
      </c>
      <c r="C396" t="s">
        <v>870</v>
      </c>
      <c r="D396" s="25">
        <v>12424037</v>
      </c>
      <c r="E396" t="s">
        <v>724</v>
      </c>
      <c r="F396" t="s">
        <v>145</v>
      </c>
      <c r="G396" t="s">
        <v>66</v>
      </c>
      <c r="H396">
        <v>12421001</v>
      </c>
      <c r="I396" t="s">
        <v>871</v>
      </c>
      <c r="J396" s="25" t="s">
        <v>68</v>
      </c>
      <c r="K396" t="b">
        <v>0</v>
      </c>
      <c r="M396">
        <v>12424037</v>
      </c>
      <c r="N396">
        <v>12434037</v>
      </c>
      <c r="O396">
        <v>12444037</v>
      </c>
      <c r="P396">
        <v>12454037</v>
      </c>
      <c r="Q396">
        <v>12464037</v>
      </c>
      <c r="R396">
        <v>12474037</v>
      </c>
      <c r="S396">
        <v>12484037</v>
      </c>
      <c r="T396">
        <v>12425037</v>
      </c>
      <c r="U396">
        <v>12435037</v>
      </c>
      <c r="V396">
        <v>12445037</v>
      </c>
      <c r="W396">
        <v>12455037</v>
      </c>
      <c r="X396">
        <v>12465037</v>
      </c>
      <c r="Y396">
        <v>12475037</v>
      </c>
      <c r="Z396">
        <v>12485037</v>
      </c>
      <c r="AA396">
        <v>12426037</v>
      </c>
      <c r="AB396">
        <v>12436037</v>
      </c>
      <c r="AC396">
        <v>12446037</v>
      </c>
      <c r="AD396">
        <v>12456037</v>
      </c>
      <c r="AE396">
        <v>12466037</v>
      </c>
      <c r="AF396">
        <v>12476037</v>
      </c>
      <c r="AG396">
        <v>12486037</v>
      </c>
      <c r="AH396" s="11">
        <v>38</v>
      </c>
      <c r="AI396" s="11" t="b">
        <v>1</v>
      </c>
      <c r="AL396" t="str" s="11">
        <v>【补充设计】保留奇珍ID、钥匙与图谱关系；可携带标记与独立效果行逐ID核对。</v>
      </c>
    </row>
    <row r="397" spans="2:35">
      <c r="B397">
        <v>72424038</v>
      </c>
      <c r="C397" t="s">
        <v>872</v>
      </c>
      <c r="D397" s="25">
        <v>12424038</v>
      </c>
      <c r="E397" t="s">
        <v>724</v>
      </c>
      <c r="F397" t="s">
        <v>145</v>
      </c>
      <c r="G397" t="s">
        <v>66</v>
      </c>
      <c r="H397">
        <v>12421001</v>
      </c>
      <c r="I397" t="s">
        <v>873</v>
      </c>
      <c r="J397" s="25" t="s">
        <v>68</v>
      </c>
      <c r="K397" t="b">
        <v>0</v>
      </c>
      <c r="M397">
        <v>12424038</v>
      </c>
      <c r="N397">
        <v>12434038</v>
      </c>
      <c r="O397">
        <v>12444038</v>
      </c>
      <c r="P397">
        <v>12454038</v>
      </c>
      <c r="Q397">
        <v>12464038</v>
      </c>
      <c r="R397">
        <v>12474038</v>
      </c>
      <c r="S397">
        <v>12484038</v>
      </c>
      <c r="T397">
        <v>12425038</v>
      </c>
      <c r="U397">
        <v>12435038</v>
      </c>
      <c r="V397">
        <v>12445038</v>
      </c>
      <c r="W397">
        <v>12455038</v>
      </c>
      <c r="X397">
        <v>12465038</v>
      </c>
      <c r="Y397">
        <v>12475038</v>
      </c>
      <c r="Z397">
        <v>12485038</v>
      </c>
      <c r="AA397">
        <v>12426038</v>
      </c>
      <c r="AB397">
        <v>12436038</v>
      </c>
      <c r="AC397">
        <v>12446038</v>
      </c>
      <c r="AD397">
        <v>12456038</v>
      </c>
      <c r="AE397">
        <v>12466038</v>
      </c>
      <c r="AF397">
        <v>12476038</v>
      </c>
      <c r="AG397">
        <v>12486038</v>
      </c>
      <c r="AH397" s="11">
        <v>39</v>
      </c>
      <c r="AI397" s="11" t="b">
        <v>1</v>
      </c>
      <c r="AL397" t="str" s="11">
        <v>【补充设计】保留奇珍ID、钥匙与图谱关系；可携带标记与独立效果行逐ID核对。</v>
      </c>
    </row>
    <row r="398" spans="2:35">
      <c r="B398">
        <v>72424039</v>
      </c>
      <c r="C398" t="s">
        <v>874</v>
      </c>
      <c r="D398" s="25">
        <v>12424039</v>
      </c>
      <c r="E398" t="s">
        <v>724</v>
      </c>
      <c r="F398" t="s">
        <v>145</v>
      </c>
      <c r="G398" t="s">
        <v>66</v>
      </c>
      <c r="H398">
        <v>12421001</v>
      </c>
      <c r="I398" t="s">
        <v>875</v>
      </c>
      <c r="J398" s="25" t="s">
        <v>68</v>
      </c>
      <c r="K398" t="b">
        <v>0</v>
      </c>
      <c r="M398">
        <v>12424039</v>
      </c>
      <c r="N398">
        <v>12434039</v>
      </c>
      <c r="O398">
        <v>12444039</v>
      </c>
      <c r="P398">
        <v>12454039</v>
      </c>
      <c r="Q398">
        <v>12464039</v>
      </c>
      <c r="R398">
        <v>12474039</v>
      </c>
      <c r="S398">
        <v>12484039</v>
      </c>
      <c r="T398">
        <v>12425039</v>
      </c>
      <c r="U398">
        <v>12435039</v>
      </c>
      <c r="V398">
        <v>12445039</v>
      </c>
      <c r="W398">
        <v>12455039</v>
      </c>
      <c r="X398">
        <v>12465039</v>
      </c>
      <c r="Y398">
        <v>12475039</v>
      </c>
      <c r="Z398">
        <v>12485039</v>
      </c>
      <c r="AA398">
        <v>12426039</v>
      </c>
      <c r="AB398">
        <v>12436039</v>
      </c>
      <c r="AC398">
        <v>12446039</v>
      </c>
      <c r="AD398">
        <v>12456039</v>
      </c>
      <c r="AE398">
        <v>12466039</v>
      </c>
      <c r="AF398">
        <v>12476039</v>
      </c>
      <c r="AG398">
        <v>12486039</v>
      </c>
      <c r="AH398" s="11">
        <v>40</v>
      </c>
      <c r="AI398" s="11" t="b">
        <v>1</v>
      </c>
      <c r="AL398" t="str" s="11">
        <v>【补充设计】保留奇珍ID、钥匙与图谱关系；可携带标记与独立效果行逐ID核对。</v>
      </c>
    </row>
    <row r="399" spans="2:35">
      <c r="B399">
        <v>72424040</v>
      </c>
      <c r="C399" t="s">
        <v>876</v>
      </c>
      <c r="D399" s="25">
        <v>12424040</v>
      </c>
      <c r="E399" t="s">
        <v>724</v>
      </c>
      <c r="F399" t="s">
        <v>145</v>
      </c>
      <c r="G399" t="s">
        <v>66</v>
      </c>
      <c r="H399">
        <v>12421001</v>
      </c>
      <c r="I399" t="s">
        <v>877</v>
      </c>
      <c r="J399" s="25" t="s">
        <v>68</v>
      </c>
      <c r="K399" t="b">
        <v>0</v>
      </c>
      <c r="M399">
        <v>12424040</v>
      </c>
      <c r="N399">
        <v>12434040</v>
      </c>
      <c r="O399">
        <v>12444040</v>
      </c>
      <c r="P399">
        <v>12454040</v>
      </c>
      <c r="Q399">
        <v>12464040</v>
      </c>
      <c r="R399">
        <v>12474040</v>
      </c>
      <c r="S399">
        <v>12484040</v>
      </c>
      <c r="T399">
        <v>12425040</v>
      </c>
      <c r="U399">
        <v>12435040</v>
      </c>
      <c r="V399">
        <v>12445040</v>
      </c>
      <c r="W399">
        <v>12455040</v>
      </c>
      <c r="X399">
        <v>12465040</v>
      </c>
      <c r="Y399">
        <v>12475040</v>
      </c>
      <c r="Z399">
        <v>12485040</v>
      </c>
      <c r="AA399">
        <v>12426040</v>
      </c>
      <c r="AB399">
        <v>12436040</v>
      </c>
      <c r="AC399">
        <v>12446040</v>
      </c>
      <c r="AD399">
        <v>12456040</v>
      </c>
      <c r="AE399">
        <v>12466040</v>
      </c>
      <c r="AF399">
        <v>12476040</v>
      </c>
      <c r="AG399">
        <v>12486040</v>
      </c>
      <c r="AH399" s="11">
        <v>41</v>
      </c>
      <c r="AI399" s="11" t="b">
        <v>1</v>
      </c>
      <c r="AL399" t="str" s="11">
        <v>【补充设计】保留奇珍ID、钥匙与图谱关系；可携带标记与独立效果行逐ID核对。</v>
      </c>
    </row>
    <row r="400" spans="2:35">
      <c r="B400">
        <v>72424041</v>
      </c>
      <c r="C400" t="s">
        <v>878</v>
      </c>
      <c r="D400" s="25">
        <v>12424041</v>
      </c>
      <c r="E400" t="s">
        <v>724</v>
      </c>
      <c r="F400" t="s">
        <v>145</v>
      </c>
      <c r="G400" t="s">
        <v>66</v>
      </c>
      <c r="H400">
        <v>12421001</v>
      </c>
      <c r="I400" t="s">
        <v>879</v>
      </c>
      <c r="J400" s="25" t="s">
        <v>68</v>
      </c>
      <c r="K400" t="b">
        <v>1</v>
      </c>
      <c r="L400">
        <v>21</v>
      </c>
      <c r="M400">
        <v>12424041</v>
      </c>
      <c r="N400">
        <v>12434041</v>
      </c>
      <c r="O400">
        <v>12444041</v>
      </c>
      <c r="P400">
        <v>12454041</v>
      </c>
      <c r="Q400">
        <v>12464041</v>
      </c>
      <c r="R400">
        <v>12474041</v>
      </c>
      <c r="S400">
        <v>12484041</v>
      </c>
      <c r="T400">
        <v>12425041</v>
      </c>
      <c r="U400">
        <v>12435041</v>
      </c>
      <c r="V400">
        <v>12445041</v>
      </c>
      <c r="W400">
        <v>12455041</v>
      </c>
      <c r="X400">
        <v>12465041</v>
      </c>
      <c r="Y400">
        <v>12475041</v>
      </c>
      <c r="Z400">
        <v>12485041</v>
      </c>
      <c r="AA400">
        <v>12426041</v>
      </c>
      <c r="AB400">
        <v>12436041</v>
      </c>
      <c r="AC400">
        <v>12446041</v>
      </c>
      <c r="AD400">
        <v>12456041</v>
      </c>
      <c r="AE400">
        <v>12466041</v>
      </c>
      <c r="AF400">
        <v>12476041</v>
      </c>
      <c r="AG400">
        <v>12486041</v>
      </c>
      <c r="AH400" s="11">
        <v>42</v>
      </c>
      <c r="AI400" s="11" t="b">
        <v>1</v>
      </c>
      <c r="AL400" t="str" s="11">
        <v>【补充设计】保留奇珍ID、钥匙与图谱关系；可携带标记与独立效果行逐ID核对。</v>
      </c>
    </row>
    <row r="401" spans="2:35">
      <c r="B401">
        <v>72424042</v>
      </c>
      <c r="C401" t="s">
        <v>880</v>
      </c>
      <c r="D401" s="25">
        <v>12424042</v>
      </c>
      <c r="E401" t="s">
        <v>724</v>
      </c>
      <c r="F401" t="s">
        <v>145</v>
      </c>
      <c r="G401" t="s">
        <v>66</v>
      </c>
      <c r="H401">
        <v>12421001</v>
      </c>
      <c r="I401" t="s">
        <v>881</v>
      </c>
      <c r="J401" s="25" t="s">
        <v>68</v>
      </c>
      <c r="K401" t="b">
        <v>0</v>
      </c>
      <c r="M401">
        <v>12424042</v>
      </c>
      <c r="N401">
        <v>12434042</v>
      </c>
      <c r="O401">
        <v>12444042</v>
      </c>
      <c r="P401">
        <v>12454042</v>
      </c>
      <c r="Q401">
        <v>12464042</v>
      </c>
      <c r="R401">
        <v>12474042</v>
      </c>
      <c r="S401">
        <v>12484042</v>
      </c>
      <c r="T401">
        <v>12425042</v>
      </c>
      <c r="U401">
        <v>12435042</v>
      </c>
      <c r="V401">
        <v>12445042</v>
      </c>
      <c r="W401">
        <v>12455042</v>
      </c>
      <c r="X401">
        <v>12465042</v>
      </c>
      <c r="Y401">
        <v>12475042</v>
      </c>
      <c r="Z401">
        <v>12485042</v>
      </c>
      <c r="AA401">
        <v>12426042</v>
      </c>
      <c r="AB401">
        <v>12436042</v>
      </c>
      <c r="AC401">
        <v>12446042</v>
      </c>
      <c r="AD401">
        <v>12456042</v>
      </c>
      <c r="AE401">
        <v>12466042</v>
      </c>
      <c r="AF401">
        <v>12476042</v>
      </c>
      <c r="AG401">
        <v>12486042</v>
      </c>
      <c r="AH401" s="11">
        <v>43</v>
      </c>
      <c r="AI401" s="11" t="b">
        <v>1</v>
      </c>
      <c r="AL401" t="str" s="11">
        <v>【补充设计】保留奇珍ID、钥匙与图谱关系；可携带标记与独立效果行逐ID核对。</v>
      </c>
    </row>
    <row r="402" spans="2:35">
      <c r="B402">
        <v>72424043</v>
      </c>
      <c r="C402" t="s">
        <v>882</v>
      </c>
      <c r="D402" s="25">
        <v>12424043</v>
      </c>
      <c r="E402" t="s">
        <v>724</v>
      </c>
      <c r="F402" t="s">
        <v>145</v>
      </c>
      <c r="G402" t="s">
        <v>66</v>
      </c>
      <c r="H402">
        <v>12421001</v>
      </c>
      <c r="I402" t="s">
        <v>883</v>
      </c>
      <c r="J402" s="25" t="s">
        <v>68</v>
      </c>
      <c r="K402" t="b">
        <v>0</v>
      </c>
      <c r="M402">
        <v>12424043</v>
      </c>
      <c r="N402">
        <v>12434043</v>
      </c>
      <c r="O402">
        <v>12444043</v>
      </c>
      <c r="P402">
        <v>12454043</v>
      </c>
      <c r="Q402">
        <v>12464043</v>
      </c>
      <c r="R402">
        <v>12474043</v>
      </c>
      <c r="S402">
        <v>12484043</v>
      </c>
      <c r="T402">
        <v>12425043</v>
      </c>
      <c r="U402">
        <v>12435043</v>
      </c>
      <c r="V402">
        <v>12445043</v>
      </c>
      <c r="W402">
        <v>12455043</v>
      </c>
      <c r="X402">
        <v>12465043</v>
      </c>
      <c r="Y402">
        <v>12475043</v>
      </c>
      <c r="Z402">
        <v>12485043</v>
      </c>
      <c r="AA402">
        <v>12426043</v>
      </c>
      <c r="AB402">
        <v>12436043</v>
      </c>
      <c r="AC402">
        <v>12446043</v>
      </c>
      <c r="AD402">
        <v>12456043</v>
      </c>
      <c r="AE402">
        <v>12466043</v>
      </c>
      <c r="AF402">
        <v>12476043</v>
      </c>
      <c r="AG402">
        <v>12486043</v>
      </c>
      <c r="AH402" s="11">
        <v>44</v>
      </c>
      <c r="AI402" s="11" t="b">
        <v>1</v>
      </c>
      <c r="AL402" t="str" s="11">
        <v>【补充设计】保留奇珍ID、钥匙与图谱关系；可携带标记与独立效果行逐ID核对。</v>
      </c>
    </row>
    <row r="403" spans="2:35">
      <c r="B403">
        <v>72424044</v>
      </c>
      <c r="C403" t="s">
        <v>884</v>
      </c>
      <c r="D403" s="25">
        <v>12424044</v>
      </c>
      <c r="E403" t="s">
        <v>724</v>
      </c>
      <c r="F403" t="s">
        <v>145</v>
      </c>
      <c r="G403" t="s">
        <v>66</v>
      </c>
      <c r="H403">
        <v>12421001</v>
      </c>
      <c r="I403" t="s">
        <v>885</v>
      </c>
      <c r="J403" s="25" t="s">
        <v>68</v>
      </c>
      <c r="K403" t="b">
        <v>0</v>
      </c>
      <c r="M403">
        <v>12424044</v>
      </c>
      <c r="N403">
        <v>12434044</v>
      </c>
      <c r="O403">
        <v>12444044</v>
      </c>
      <c r="P403">
        <v>12454044</v>
      </c>
      <c r="Q403">
        <v>12464044</v>
      </c>
      <c r="R403">
        <v>12474044</v>
      </c>
      <c r="S403">
        <v>12484044</v>
      </c>
      <c r="T403">
        <v>12425044</v>
      </c>
      <c r="U403">
        <v>12435044</v>
      </c>
      <c r="V403">
        <v>12445044</v>
      </c>
      <c r="W403">
        <v>12455044</v>
      </c>
      <c r="X403">
        <v>12465044</v>
      </c>
      <c r="Y403">
        <v>12475044</v>
      </c>
      <c r="Z403">
        <v>12485044</v>
      </c>
      <c r="AA403">
        <v>12426044</v>
      </c>
      <c r="AB403">
        <v>12436044</v>
      </c>
      <c r="AC403">
        <v>12446044</v>
      </c>
      <c r="AD403">
        <v>12456044</v>
      </c>
      <c r="AE403">
        <v>12466044</v>
      </c>
      <c r="AF403">
        <v>12476044</v>
      </c>
      <c r="AG403">
        <v>12486044</v>
      </c>
      <c r="AH403" s="11">
        <v>45</v>
      </c>
      <c r="AI403" s="11" t="b">
        <v>1</v>
      </c>
      <c r="AL403" t="str" s="11">
        <v>【补充设计】保留奇珍ID、钥匙与图谱关系；可携带标记与独立效果行逐ID核对。</v>
      </c>
    </row>
    <row r="404" spans="2:35">
      <c r="B404">
        <v>72424045</v>
      </c>
      <c r="C404" t="s">
        <v>886</v>
      </c>
      <c r="D404" s="25">
        <v>12424045</v>
      </c>
      <c r="E404" t="s">
        <v>724</v>
      </c>
      <c r="F404" t="s">
        <v>145</v>
      </c>
      <c r="G404" t="s">
        <v>66</v>
      </c>
      <c r="H404">
        <v>12421001</v>
      </c>
      <c r="I404" t="s">
        <v>887</v>
      </c>
      <c r="J404" s="25" t="s">
        <v>68</v>
      </c>
      <c r="K404" t="b">
        <v>0</v>
      </c>
      <c r="M404">
        <v>12424045</v>
      </c>
      <c r="N404">
        <v>12434045</v>
      </c>
      <c r="O404">
        <v>12444045</v>
      </c>
      <c r="P404">
        <v>12454045</v>
      </c>
      <c r="Q404">
        <v>12464045</v>
      </c>
      <c r="R404">
        <v>12474045</v>
      </c>
      <c r="S404">
        <v>12484045</v>
      </c>
      <c r="T404">
        <v>12425045</v>
      </c>
      <c r="U404">
        <v>12435045</v>
      </c>
      <c r="V404">
        <v>12445045</v>
      </c>
      <c r="W404">
        <v>12455045</v>
      </c>
      <c r="X404">
        <v>12465045</v>
      </c>
      <c r="Y404">
        <v>12475045</v>
      </c>
      <c r="Z404">
        <v>12485045</v>
      </c>
      <c r="AA404">
        <v>12426045</v>
      </c>
      <c r="AB404">
        <v>12436045</v>
      </c>
      <c r="AC404">
        <v>12446045</v>
      </c>
      <c r="AD404">
        <v>12456045</v>
      </c>
      <c r="AE404">
        <v>12466045</v>
      </c>
      <c r="AF404">
        <v>12476045</v>
      </c>
      <c r="AG404">
        <v>12486045</v>
      </c>
      <c r="AH404" s="11">
        <v>46</v>
      </c>
      <c r="AI404" s="11" t="b">
        <v>1</v>
      </c>
      <c r="AL404" t="str" s="11">
        <v>【补充设计】保留奇珍ID、钥匙与图谱关系；可携带标记与独立效果行逐ID核对。</v>
      </c>
    </row>
    <row r="405" spans="2:35">
      <c r="B405">
        <v>72424046</v>
      </c>
      <c r="C405" t="s">
        <v>888</v>
      </c>
      <c r="D405" s="25">
        <v>12424046</v>
      </c>
      <c r="E405" t="s">
        <v>724</v>
      </c>
      <c r="F405" t="s">
        <v>145</v>
      </c>
      <c r="G405" t="s">
        <v>66</v>
      </c>
      <c r="H405">
        <v>12421001</v>
      </c>
      <c r="I405" t="s">
        <v>889</v>
      </c>
      <c r="J405" s="25" t="s">
        <v>68</v>
      </c>
      <c r="K405" t="b">
        <v>0</v>
      </c>
      <c r="M405">
        <v>12424046</v>
      </c>
      <c r="N405">
        <v>12434046</v>
      </c>
      <c r="O405">
        <v>12444046</v>
      </c>
      <c r="P405">
        <v>12454046</v>
      </c>
      <c r="Q405">
        <v>12464046</v>
      </c>
      <c r="R405">
        <v>12474046</v>
      </c>
      <c r="S405">
        <v>12484046</v>
      </c>
      <c r="T405">
        <v>12425046</v>
      </c>
      <c r="U405">
        <v>12435046</v>
      </c>
      <c r="V405">
        <v>12445046</v>
      </c>
      <c r="W405">
        <v>12455046</v>
      </c>
      <c r="X405">
        <v>12465046</v>
      </c>
      <c r="Y405">
        <v>12475046</v>
      </c>
      <c r="Z405">
        <v>12485046</v>
      </c>
      <c r="AA405">
        <v>12426046</v>
      </c>
      <c r="AB405">
        <v>12436046</v>
      </c>
      <c r="AC405">
        <v>12446046</v>
      </c>
      <c r="AD405">
        <v>12456046</v>
      </c>
      <c r="AE405">
        <v>12466046</v>
      </c>
      <c r="AF405">
        <v>12476046</v>
      </c>
      <c r="AG405">
        <v>12486046</v>
      </c>
      <c r="AH405" s="11">
        <v>47</v>
      </c>
      <c r="AI405" s="11" t="b">
        <v>1</v>
      </c>
      <c r="AL405" t="str" s="11">
        <v>【补充设计】保留奇珍ID、钥匙与图谱关系；可携带标记与独立效果行逐ID核对。</v>
      </c>
    </row>
    <row r="406" spans="2:35">
      <c r="B406">
        <v>72424047</v>
      </c>
      <c r="C406" t="s">
        <v>890</v>
      </c>
      <c r="D406" s="25">
        <v>12424047</v>
      </c>
      <c r="E406" t="s">
        <v>724</v>
      </c>
      <c r="F406" t="s">
        <v>145</v>
      </c>
      <c r="G406" t="s">
        <v>66</v>
      </c>
      <c r="H406">
        <v>12421001</v>
      </c>
      <c r="I406" t="s">
        <v>891</v>
      </c>
      <c r="J406" s="25" t="s">
        <v>68</v>
      </c>
      <c r="K406" t="b">
        <v>0</v>
      </c>
      <c r="M406">
        <v>12424047</v>
      </c>
      <c r="N406">
        <v>12434047</v>
      </c>
      <c r="O406">
        <v>12444047</v>
      </c>
      <c r="P406">
        <v>12454047</v>
      </c>
      <c r="Q406">
        <v>12464047</v>
      </c>
      <c r="R406">
        <v>12474047</v>
      </c>
      <c r="S406">
        <v>12484047</v>
      </c>
      <c r="T406">
        <v>12425047</v>
      </c>
      <c r="U406">
        <v>12435047</v>
      </c>
      <c r="V406">
        <v>12445047</v>
      </c>
      <c r="W406">
        <v>12455047</v>
      </c>
      <c r="X406">
        <v>12465047</v>
      </c>
      <c r="Y406">
        <v>12475047</v>
      </c>
      <c r="Z406">
        <v>12485047</v>
      </c>
      <c r="AA406">
        <v>12426047</v>
      </c>
      <c r="AB406">
        <v>12436047</v>
      </c>
      <c r="AC406">
        <v>12446047</v>
      </c>
      <c r="AD406">
        <v>12456047</v>
      </c>
      <c r="AE406">
        <v>12466047</v>
      </c>
      <c r="AF406">
        <v>12476047</v>
      </c>
      <c r="AG406">
        <v>12486047</v>
      </c>
      <c r="AH406" s="11">
        <v>48</v>
      </c>
      <c r="AI406" s="11" t="b">
        <v>1</v>
      </c>
      <c r="AL406" t="str" s="11">
        <v>【补充设计】保留奇珍ID、钥匙与图谱关系；可携带标记与独立效果行逐ID核对。</v>
      </c>
    </row>
    <row r="407" spans="2:35">
      <c r="B407">
        <v>72424048</v>
      </c>
      <c r="C407" t="s">
        <v>892</v>
      </c>
      <c r="D407" s="25">
        <v>12424048</v>
      </c>
      <c r="E407" t="s">
        <v>724</v>
      </c>
      <c r="F407" t="s">
        <v>145</v>
      </c>
      <c r="G407" t="s">
        <v>66</v>
      </c>
      <c r="H407">
        <v>12421001</v>
      </c>
      <c r="I407" t="s">
        <v>893</v>
      </c>
      <c r="J407" s="25" t="s">
        <v>68</v>
      </c>
      <c r="K407" t="b">
        <v>0</v>
      </c>
      <c r="M407">
        <v>12424048</v>
      </c>
      <c r="N407">
        <v>12434048</v>
      </c>
      <c r="O407">
        <v>12444048</v>
      </c>
      <c r="P407">
        <v>12454048</v>
      </c>
      <c r="Q407">
        <v>12464048</v>
      </c>
      <c r="R407">
        <v>12474048</v>
      </c>
      <c r="S407">
        <v>12484048</v>
      </c>
      <c r="T407">
        <v>12425048</v>
      </c>
      <c r="U407">
        <v>12435048</v>
      </c>
      <c r="V407">
        <v>12445048</v>
      </c>
      <c r="W407">
        <v>12455048</v>
      </c>
      <c r="X407">
        <v>12465048</v>
      </c>
      <c r="Y407">
        <v>12475048</v>
      </c>
      <c r="Z407">
        <v>12485048</v>
      </c>
      <c r="AA407">
        <v>12426048</v>
      </c>
      <c r="AB407">
        <v>12436048</v>
      </c>
      <c r="AC407">
        <v>12446048</v>
      </c>
      <c r="AD407">
        <v>12456048</v>
      </c>
      <c r="AE407">
        <v>12466048</v>
      </c>
      <c r="AF407">
        <v>12476048</v>
      </c>
      <c r="AG407">
        <v>12486048</v>
      </c>
      <c r="AH407" s="11">
        <v>49</v>
      </c>
      <c r="AI407" s="11" t="b">
        <v>1</v>
      </c>
      <c r="AL407" t="str" s="11">
        <v>【补充设计】保留奇珍ID、钥匙与图谱关系；可携带标记与独立效果行逐ID核对。</v>
      </c>
    </row>
    <row r="408" spans="2:35">
      <c r="B408">
        <v>72424049</v>
      </c>
      <c r="C408" t="s">
        <v>894</v>
      </c>
      <c r="D408" s="25">
        <v>12424049</v>
      </c>
      <c r="E408" t="s">
        <v>724</v>
      </c>
      <c r="F408" t="s">
        <v>145</v>
      </c>
      <c r="G408" t="s">
        <v>66</v>
      </c>
      <c r="H408">
        <v>12421001</v>
      </c>
      <c r="I408" t="s">
        <v>895</v>
      </c>
      <c r="J408" s="25" t="s">
        <v>68</v>
      </c>
      <c r="K408" t="b">
        <v>0</v>
      </c>
      <c r="M408">
        <v>12424049</v>
      </c>
      <c r="N408">
        <v>12434049</v>
      </c>
      <c r="O408">
        <v>12444049</v>
      </c>
      <c r="P408">
        <v>12454049</v>
      </c>
      <c r="Q408">
        <v>12464049</v>
      </c>
      <c r="R408">
        <v>12474049</v>
      </c>
      <c r="S408">
        <v>12484049</v>
      </c>
      <c r="T408">
        <v>12425049</v>
      </c>
      <c r="U408">
        <v>12435049</v>
      </c>
      <c r="V408">
        <v>12445049</v>
      </c>
      <c r="W408">
        <v>12455049</v>
      </c>
      <c r="X408">
        <v>12465049</v>
      </c>
      <c r="Y408">
        <v>12475049</v>
      </c>
      <c r="Z408">
        <v>12485049</v>
      </c>
      <c r="AA408">
        <v>12426049</v>
      </c>
      <c r="AB408">
        <v>12436049</v>
      </c>
      <c r="AC408">
        <v>12446049</v>
      </c>
      <c r="AD408">
        <v>12456049</v>
      </c>
      <c r="AE408">
        <v>12466049</v>
      </c>
      <c r="AF408">
        <v>12476049</v>
      </c>
      <c r="AG408">
        <v>12486049</v>
      </c>
      <c r="AH408" s="11">
        <v>50</v>
      </c>
      <c r="AI408" s="11" t="b">
        <v>1</v>
      </c>
      <c r="AL408" t="str" s="11">
        <v>【补充设计】保留奇珍ID、钥匙与图谱关系；可携带标记与独立效果行逐ID核对。</v>
      </c>
    </row>
    <row r="409" spans="2:35">
      <c r="B409">
        <v>72424051</v>
      </c>
      <c r="C409" t="s">
        <v>896</v>
      </c>
      <c r="D409" s="25">
        <v>12424051</v>
      </c>
      <c r="E409" t="s">
        <v>724</v>
      </c>
      <c r="F409" t="s">
        <v>145</v>
      </c>
      <c r="G409" t="s">
        <v>66</v>
      </c>
      <c r="H409">
        <v>12421010</v>
      </c>
      <c r="I409" t="s">
        <v>897</v>
      </c>
      <c r="J409" s="25" t="s">
        <v>68</v>
      </c>
      <c r="K409" t="b">
        <v>0</v>
      </c>
      <c r="M409">
        <v>12424051</v>
      </c>
      <c r="N409">
        <v>12434051</v>
      </c>
      <c r="O409">
        <v>12444051</v>
      </c>
      <c r="P409">
        <v>12454051</v>
      </c>
      <c r="Q409">
        <v>12464051</v>
      </c>
      <c r="R409">
        <v>12474051</v>
      </c>
      <c r="S409">
        <v>12484051</v>
      </c>
      <c r="T409">
        <v>12425051</v>
      </c>
      <c r="U409">
        <v>12435051</v>
      </c>
      <c r="V409">
        <v>12445051</v>
      </c>
      <c r="W409">
        <v>12455051</v>
      </c>
      <c r="X409">
        <v>12465051</v>
      </c>
      <c r="Y409">
        <v>12475051</v>
      </c>
      <c r="Z409">
        <v>12485051</v>
      </c>
      <c r="AA409">
        <v>12426051</v>
      </c>
      <c r="AB409">
        <v>12436051</v>
      </c>
      <c r="AC409">
        <v>12446051</v>
      </c>
      <c r="AD409">
        <v>12456051</v>
      </c>
      <c r="AE409">
        <v>12466051</v>
      </c>
      <c r="AF409">
        <v>12476051</v>
      </c>
      <c r="AG409">
        <v>12486051</v>
      </c>
      <c r="AH409" s="11">
        <v>52</v>
      </c>
      <c r="AI409" s="11" t="b">
        <v>1</v>
      </c>
      <c r="AL409" t="str" s="11">
        <v>【补充设计】保留奇珍ID、钥匙与图谱关系；可携带标记与独立效果行逐ID核对。</v>
      </c>
    </row>
    <row r="410" spans="2:35">
      <c r="B410">
        <v>72424052</v>
      </c>
      <c r="C410" t="s">
        <v>898</v>
      </c>
      <c r="D410" s="25">
        <v>12424052</v>
      </c>
      <c r="E410" t="s">
        <v>724</v>
      </c>
      <c r="F410" t="s">
        <v>145</v>
      </c>
      <c r="G410" t="s">
        <v>66</v>
      </c>
      <c r="H410">
        <v>12421010</v>
      </c>
      <c r="I410" t="s">
        <v>899</v>
      </c>
      <c r="J410" s="25" t="s">
        <v>68</v>
      </c>
      <c r="K410" t="b">
        <v>0</v>
      </c>
      <c r="M410">
        <v>12424052</v>
      </c>
      <c r="N410">
        <v>12434052</v>
      </c>
      <c r="O410">
        <v>12444052</v>
      </c>
      <c r="P410">
        <v>12454052</v>
      </c>
      <c r="Q410">
        <v>12464052</v>
      </c>
      <c r="R410">
        <v>12474052</v>
      </c>
      <c r="S410">
        <v>12484052</v>
      </c>
      <c r="T410">
        <v>12425052</v>
      </c>
      <c r="U410">
        <v>12435052</v>
      </c>
      <c r="V410">
        <v>12445052</v>
      </c>
      <c r="W410">
        <v>12455052</v>
      </c>
      <c r="X410">
        <v>12465052</v>
      </c>
      <c r="Y410">
        <v>12475052</v>
      </c>
      <c r="Z410">
        <v>12485052</v>
      </c>
      <c r="AA410">
        <v>12426052</v>
      </c>
      <c r="AB410">
        <v>12436052</v>
      </c>
      <c r="AC410">
        <v>12446052</v>
      </c>
      <c r="AD410">
        <v>12456052</v>
      </c>
      <c r="AE410">
        <v>12466052</v>
      </c>
      <c r="AF410">
        <v>12476052</v>
      </c>
      <c r="AG410">
        <v>12486052</v>
      </c>
      <c r="AH410" s="11">
        <v>53</v>
      </c>
      <c r="AI410" s="11" t="b">
        <v>1</v>
      </c>
      <c r="AL410" t="str" s="11">
        <v>【补充设计】保留奇珍ID、钥匙与图谱关系；可携带标记与独立效果行逐ID核对。</v>
      </c>
    </row>
    <row r="411" spans="2:35">
      <c r="B411">
        <v>72424053</v>
      </c>
      <c r="C411" t="s">
        <v>900</v>
      </c>
      <c r="D411" s="25">
        <v>12424053</v>
      </c>
      <c r="E411" t="s">
        <v>724</v>
      </c>
      <c r="F411" t="s">
        <v>145</v>
      </c>
      <c r="G411" t="s">
        <v>66</v>
      </c>
      <c r="H411">
        <v>12421010</v>
      </c>
      <c r="I411" t="s">
        <v>901</v>
      </c>
      <c r="J411" s="25" t="s">
        <v>68</v>
      </c>
      <c r="K411" t="b">
        <v>0</v>
      </c>
      <c r="M411">
        <v>12424053</v>
      </c>
      <c r="N411">
        <v>12434053</v>
      </c>
      <c r="O411">
        <v>12444053</v>
      </c>
      <c r="P411">
        <v>12454053</v>
      </c>
      <c r="Q411">
        <v>12464053</v>
      </c>
      <c r="R411">
        <v>12474053</v>
      </c>
      <c r="S411">
        <v>12484053</v>
      </c>
      <c r="T411">
        <v>12425053</v>
      </c>
      <c r="U411">
        <v>12435053</v>
      </c>
      <c r="V411">
        <v>12445053</v>
      </c>
      <c r="W411">
        <v>12455053</v>
      </c>
      <c r="X411">
        <v>12465053</v>
      </c>
      <c r="Y411">
        <v>12475053</v>
      </c>
      <c r="Z411">
        <v>12485053</v>
      </c>
      <c r="AA411">
        <v>12426053</v>
      </c>
      <c r="AB411">
        <v>12436053</v>
      </c>
      <c r="AC411">
        <v>12446053</v>
      </c>
      <c r="AD411">
        <v>12456053</v>
      </c>
      <c r="AE411">
        <v>12466053</v>
      </c>
      <c r="AF411">
        <v>12476053</v>
      </c>
      <c r="AG411">
        <v>12486053</v>
      </c>
      <c r="AH411" s="11">
        <v>54</v>
      </c>
      <c r="AI411" s="11" t="b">
        <v>1</v>
      </c>
      <c r="AL411" t="str" s="11">
        <v>【补充设计】保留奇珍ID、钥匙与图谱关系；可携带标记与独立效果行逐ID核对。</v>
      </c>
    </row>
    <row r="412" spans="2:35">
      <c r="B412">
        <v>72424055</v>
      </c>
      <c r="C412" t="s">
        <v>902</v>
      </c>
      <c r="D412" s="25">
        <v>12424055</v>
      </c>
      <c r="E412" t="s">
        <v>724</v>
      </c>
      <c r="F412" t="s">
        <v>145</v>
      </c>
      <c r="G412" t="s">
        <v>66</v>
      </c>
      <c r="H412">
        <v>12421006</v>
      </c>
      <c r="I412" t="s">
        <v>903</v>
      </c>
      <c r="J412" s="25" t="s">
        <v>68</v>
      </c>
      <c r="K412" t="b">
        <v>0</v>
      </c>
      <c r="M412">
        <v>12424055</v>
      </c>
      <c r="N412">
        <v>12434055</v>
      </c>
      <c r="O412">
        <v>12444055</v>
      </c>
      <c r="P412">
        <v>12454055</v>
      </c>
      <c r="Q412">
        <v>12464055</v>
      </c>
      <c r="R412">
        <v>12474055</v>
      </c>
      <c r="S412">
        <v>12484055</v>
      </c>
      <c r="T412">
        <v>12425055</v>
      </c>
      <c r="U412">
        <v>12435055</v>
      </c>
      <c r="V412">
        <v>12445055</v>
      </c>
      <c r="W412">
        <v>12455055</v>
      </c>
      <c r="X412">
        <v>12465055</v>
      </c>
      <c r="Y412">
        <v>12475055</v>
      </c>
      <c r="Z412">
        <v>12485055</v>
      </c>
      <c r="AA412">
        <v>12426055</v>
      </c>
      <c r="AB412">
        <v>12436055</v>
      </c>
      <c r="AC412">
        <v>12446055</v>
      </c>
      <c r="AD412">
        <v>12456055</v>
      </c>
      <c r="AE412">
        <v>12466055</v>
      </c>
      <c r="AF412">
        <v>12476055</v>
      </c>
      <c r="AG412">
        <v>12486055</v>
      </c>
      <c r="AH412" s="11">
        <v>56</v>
      </c>
      <c r="AI412" s="11" t="b">
        <v>1</v>
      </c>
      <c r="AL412" t="str" s="11">
        <v>【补充设计】保留奇珍ID、钥匙与图谱关系；可携带标记与独立效果行逐ID核对。</v>
      </c>
    </row>
    <row r="413" spans="2:35">
      <c r="B413">
        <v>72424056</v>
      </c>
      <c r="C413" t="s">
        <v>904</v>
      </c>
      <c r="D413" s="25">
        <v>12424056</v>
      </c>
      <c r="E413" t="s">
        <v>724</v>
      </c>
      <c r="F413" t="s">
        <v>145</v>
      </c>
      <c r="G413" t="s">
        <v>66</v>
      </c>
      <c r="H413">
        <v>12421006</v>
      </c>
      <c r="I413" t="s">
        <v>905</v>
      </c>
      <c r="J413" s="25" t="s">
        <v>68</v>
      </c>
      <c r="K413" t="b">
        <v>0</v>
      </c>
      <c r="M413">
        <v>12424056</v>
      </c>
      <c r="N413">
        <v>12434056</v>
      </c>
      <c r="O413">
        <v>12444056</v>
      </c>
      <c r="P413">
        <v>12454056</v>
      </c>
      <c r="Q413">
        <v>12464056</v>
      </c>
      <c r="R413">
        <v>12474056</v>
      </c>
      <c r="S413">
        <v>12484056</v>
      </c>
      <c r="T413">
        <v>12425056</v>
      </c>
      <c r="U413">
        <v>12435056</v>
      </c>
      <c r="V413">
        <v>12445056</v>
      </c>
      <c r="W413">
        <v>12455056</v>
      </c>
      <c r="X413">
        <v>12465056</v>
      </c>
      <c r="Y413">
        <v>12475056</v>
      </c>
      <c r="Z413">
        <v>12485056</v>
      </c>
      <c r="AA413">
        <v>12426056</v>
      </c>
      <c r="AB413">
        <v>12436056</v>
      </c>
      <c r="AC413">
        <v>12446056</v>
      </c>
      <c r="AD413">
        <v>12456056</v>
      </c>
      <c r="AE413">
        <v>12466056</v>
      </c>
      <c r="AF413">
        <v>12476056</v>
      </c>
      <c r="AG413">
        <v>12486056</v>
      </c>
      <c r="AH413" s="11">
        <v>57</v>
      </c>
      <c r="AI413" s="11" t="b">
        <v>1</v>
      </c>
      <c r="AL413" t="str" s="11">
        <v>【补充设计】保留奇珍ID、钥匙与图谱关系；可携带标记与独立效果行逐ID核对。</v>
      </c>
    </row>
    <row r="414" spans="2:35">
      <c r="B414">
        <v>72424057</v>
      </c>
      <c r="C414" t="s">
        <v>906</v>
      </c>
      <c r="D414" s="25">
        <v>12424057</v>
      </c>
      <c r="E414" t="s">
        <v>724</v>
      </c>
      <c r="F414" t="s">
        <v>145</v>
      </c>
      <c r="G414" t="s">
        <v>66</v>
      </c>
      <c r="H414">
        <v>12421006</v>
      </c>
      <c r="I414" t="s">
        <v>907</v>
      </c>
      <c r="J414" s="25" t="s">
        <v>68</v>
      </c>
      <c r="K414" t="b">
        <v>0</v>
      </c>
      <c r="M414">
        <v>12424057</v>
      </c>
      <c r="N414">
        <v>12434057</v>
      </c>
      <c r="O414">
        <v>12444057</v>
      </c>
      <c r="P414">
        <v>12454057</v>
      </c>
      <c r="Q414">
        <v>12464057</v>
      </c>
      <c r="R414">
        <v>12474057</v>
      </c>
      <c r="S414">
        <v>12484057</v>
      </c>
      <c r="T414">
        <v>12425057</v>
      </c>
      <c r="U414">
        <v>12435057</v>
      </c>
      <c r="V414">
        <v>12445057</v>
      </c>
      <c r="W414">
        <v>12455057</v>
      </c>
      <c r="X414">
        <v>12465057</v>
      </c>
      <c r="Y414">
        <v>12475057</v>
      </c>
      <c r="Z414">
        <v>12485057</v>
      </c>
      <c r="AA414">
        <v>12426057</v>
      </c>
      <c r="AB414">
        <v>12436057</v>
      </c>
      <c r="AC414">
        <v>12446057</v>
      </c>
      <c r="AD414">
        <v>12456057</v>
      </c>
      <c r="AE414">
        <v>12466057</v>
      </c>
      <c r="AF414">
        <v>12476057</v>
      </c>
      <c r="AG414">
        <v>12486057</v>
      </c>
      <c r="AH414" s="11">
        <v>58</v>
      </c>
      <c r="AI414" s="11" t="b">
        <v>1</v>
      </c>
      <c r="AL414" t="str" s="11">
        <v>【补充设计】保留奇珍ID、钥匙与图谱关系；可携带标记与独立效果行逐ID核对。</v>
      </c>
    </row>
    <row r="415" spans="2:35">
      <c r="B415">
        <v>72424058</v>
      </c>
      <c r="C415" t="s">
        <v>908</v>
      </c>
      <c r="D415" s="25">
        <v>12424058</v>
      </c>
      <c r="E415" t="s">
        <v>724</v>
      </c>
      <c r="F415" t="s">
        <v>145</v>
      </c>
      <c r="G415" t="s">
        <v>66</v>
      </c>
      <c r="H415">
        <v>12421006</v>
      </c>
      <c r="I415" t="s">
        <v>909</v>
      </c>
      <c r="J415" s="25" t="s">
        <v>68</v>
      </c>
      <c r="K415" t="b">
        <v>0</v>
      </c>
      <c r="M415">
        <v>12424058</v>
      </c>
      <c r="N415">
        <v>12434058</v>
      </c>
      <c r="O415">
        <v>12444058</v>
      </c>
      <c r="P415">
        <v>12454058</v>
      </c>
      <c r="Q415">
        <v>12464058</v>
      </c>
      <c r="R415">
        <v>12474058</v>
      </c>
      <c r="S415">
        <v>12484058</v>
      </c>
      <c r="T415">
        <v>12425058</v>
      </c>
      <c r="U415">
        <v>12435058</v>
      </c>
      <c r="V415">
        <v>12445058</v>
      </c>
      <c r="W415">
        <v>12455058</v>
      </c>
      <c r="X415">
        <v>12465058</v>
      </c>
      <c r="Y415">
        <v>12475058</v>
      </c>
      <c r="Z415">
        <v>12485058</v>
      </c>
      <c r="AA415">
        <v>12426058</v>
      </c>
      <c r="AB415">
        <v>12436058</v>
      </c>
      <c r="AC415">
        <v>12446058</v>
      </c>
      <c r="AD415">
        <v>12456058</v>
      </c>
      <c r="AE415">
        <v>12466058</v>
      </c>
      <c r="AF415">
        <v>12476058</v>
      </c>
      <c r="AG415">
        <v>12486058</v>
      </c>
      <c r="AH415" s="11">
        <v>59</v>
      </c>
      <c r="AI415" s="11" t="b">
        <v>1</v>
      </c>
      <c r="AL415" t="str" s="11">
        <v>【补充设计】保留奇珍ID、钥匙与图谱关系；可携带标记与独立效果行逐ID核对。</v>
      </c>
    </row>
    <row r="416" spans="2:35">
      <c r="B416">
        <v>72424059</v>
      </c>
      <c r="C416" t="s">
        <v>910</v>
      </c>
      <c r="D416" s="25">
        <v>12424059</v>
      </c>
      <c r="E416" t="s">
        <v>724</v>
      </c>
      <c r="F416" t="s">
        <v>145</v>
      </c>
      <c r="G416" t="s">
        <v>66</v>
      </c>
      <c r="H416">
        <v>12421006</v>
      </c>
      <c r="I416" t="s">
        <v>911</v>
      </c>
      <c r="J416" s="25" t="s">
        <v>68</v>
      </c>
      <c r="K416" t="b">
        <v>0</v>
      </c>
      <c r="M416">
        <v>12424059</v>
      </c>
      <c r="N416">
        <v>12434059</v>
      </c>
      <c r="O416">
        <v>12444059</v>
      </c>
      <c r="P416">
        <v>12454059</v>
      </c>
      <c r="Q416">
        <v>12464059</v>
      </c>
      <c r="R416">
        <v>12474059</v>
      </c>
      <c r="S416">
        <v>12484059</v>
      </c>
      <c r="T416">
        <v>12425059</v>
      </c>
      <c r="U416">
        <v>12435059</v>
      </c>
      <c r="V416">
        <v>12445059</v>
      </c>
      <c r="W416">
        <v>12455059</v>
      </c>
      <c r="X416">
        <v>12465059</v>
      </c>
      <c r="Y416">
        <v>12475059</v>
      </c>
      <c r="Z416">
        <v>12485059</v>
      </c>
      <c r="AA416">
        <v>12426059</v>
      </c>
      <c r="AB416">
        <v>12436059</v>
      </c>
      <c r="AC416">
        <v>12446059</v>
      </c>
      <c r="AD416">
        <v>12456059</v>
      </c>
      <c r="AE416">
        <v>12466059</v>
      </c>
      <c r="AF416">
        <v>12476059</v>
      </c>
      <c r="AG416">
        <v>12486059</v>
      </c>
      <c r="AH416" s="11">
        <v>60</v>
      </c>
      <c r="AI416" s="11" t="b">
        <v>1</v>
      </c>
      <c r="AL416" t="str" s="11">
        <v>【补充设计】保留奇珍ID、钥匙与图谱关系；可携带标记与独立效果行逐ID核对。</v>
      </c>
    </row>
    <row r="417" spans="2:35">
      <c r="B417">
        <v>72424060</v>
      </c>
      <c r="C417" t="s">
        <v>912</v>
      </c>
      <c r="D417" s="25">
        <v>12424060</v>
      </c>
      <c r="E417" t="s">
        <v>724</v>
      </c>
      <c r="F417" t="s">
        <v>145</v>
      </c>
      <c r="G417" t="s">
        <v>66</v>
      </c>
      <c r="H417">
        <v>12421006</v>
      </c>
      <c r="I417" t="s">
        <v>913</v>
      </c>
      <c r="J417" s="25" t="s">
        <v>68</v>
      </c>
      <c r="K417" t="b">
        <v>0</v>
      </c>
      <c r="M417">
        <v>12424060</v>
      </c>
      <c r="N417">
        <v>12434060</v>
      </c>
      <c r="O417">
        <v>12444060</v>
      </c>
      <c r="P417">
        <v>12454060</v>
      </c>
      <c r="Q417">
        <v>12464060</v>
      </c>
      <c r="R417">
        <v>12474060</v>
      </c>
      <c r="S417">
        <v>12484060</v>
      </c>
      <c r="T417">
        <v>12425060</v>
      </c>
      <c r="U417">
        <v>12435060</v>
      </c>
      <c r="V417">
        <v>12445060</v>
      </c>
      <c r="W417">
        <v>12455060</v>
      </c>
      <c r="X417">
        <v>12465060</v>
      </c>
      <c r="Y417">
        <v>12475060</v>
      </c>
      <c r="Z417">
        <v>12485060</v>
      </c>
      <c r="AA417">
        <v>12426060</v>
      </c>
      <c r="AB417">
        <v>12436060</v>
      </c>
      <c r="AC417">
        <v>12446060</v>
      </c>
      <c r="AD417">
        <v>12456060</v>
      </c>
      <c r="AE417">
        <v>12466060</v>
      </c>
      <c r="AF417">
        <v>12476060</v>
      </c>
      <c r="AG417">
        <v>12486060</v>
      </c>
      <c r="AH417" s="11">
        <v>61</v>
      </c>
      <c r="AI417" s="11" t="b">
        <v>1</v>
      </c>
      <c r="AL417" t="str" s="11">
        <v>【补充设计】保留奇珍ID、钥匙与图谱关系；可携带标记与独立效果行逐ID核对。</v>
      </c>
    </row>
    <row r="418" spans="2:35">
      <c r="B418">
        <v>72424061</v>
      </c>
      <c r="C418" t="s">
        <v>914</v>
      </c>
      <c r="D418" s="25">
        <v>12424061</v>
      </c>
      <c r="E418" t="s">
        <v>724</v>
      </c>
      <c r="F418" t="s">
        <v>145</v>
      </c>
      <c r="G418" t="s">
        <v>66</v>
      </c>
      <c r="H418">
        <v>12421006</v>
      </c>
      <c r="I418" t="s">
        <v>915</v>
      </c>
      <c r="J418" s="25" t="s">
        <v>68</v>
      </c>
      <c r="K418" t="b">
        <v>0</v>
      </c>
      <c r="M418">
        <v>12424061</v>
      </c>
      <c r="N418">
        <v>12434061</v>
      </c>
      <c r="O418">
        <v>12444061</v>
      </c>
      <c r="P418">
        <v>12454061</v>
      </c>
      <c r="Q418">
        <v>12464061</v>
      </c>
      <c r="R418">
        <v>12474061</v>
      </c>
      <c r="S418">
        <v>12484061</v>
      </c>
      <c r="T418">
        <v>12425061</v>
      </c>
      <c r="U418">
        <v>12435061</v>
      </c>
      <c r="V418">
        <v>12445061</v>
      </c>
      <c r="W418">
        <v>12455061</v>
      </c>
      <c r="X418">
        <v>12465061</v>
      </c>
      <c r="Y418">
        <v>12475061</v>
      </c>
      <c r="Z418">
        <v>12485061</v>
      </c>
      <c r="AA418">
        <v>12426061</v>
      </c>
      <c r="AB418">
        <v>12436061</v>
      </c>
      <c r="AC418">
        <v>12446061</v>
      </c>
      <c r="AD418">
        <v>12456061</v>
      </c>
      <c r="AE418">
        <v>12466061</v>
      </c>
      <c r="AF418">
        <v>12476061</v>
      </c>
      <c r="AG418">
        <v>12486061</v>
      </c>
      <c r="AH418" s="11">
        <v>62</v>
      </c>
      <c r="AI418" s="11" t="b">
        <v>1</v>
      </c>
      <c r="AL418" t="str" s="11">
        <v>【补充设计】保留奇珍ID、钥匙与图谱关系；可携带标记与独立效果行逐ID核对。</v>
      </c>
    </row>
    <row r="419" spans="2:35">
      <c r="B419">
        <v>72424062</v>
      </c>
      <c r="C419" t="s">
        <v>916</v>
      </c>
      <c r="D419" s="25">
        <v>12424062</v>
      </c>
      <c r="E419" t="s">
        <v>724</v>
      </c>
      <c r="F419" t="s">
        <v>145</v>
      </c>
      <c r="G419" t="s">
        <v>66</v>
      </c>
      <c r="H419">
        <v>12421006</v>
      </c>
      <c r="I419" t="s">
        <v>917</v>
      </c>
      <c r="J419" s="25" t="s">
        <v>68</v>
      </c>
      <c r="K419" t="b">
        <v>0</v>
      </c>
      <c r="M419">
        <v>12424062</v>
      </c>
      <c r="N419">
        <v>12434062</v>
      </c>
      <c r="O419">
        <v>12444062</v>
      </c>
      <c r="P419">
        <v>12454062</v>
      </c>
      <c r="Q419">
        <v>12464062</v>
      </c>
      <c r="R419">
        <v>12474062</v>
      </c>
      <c r="S419">
        <v>12484062</v>
      </c>
      <c r="T419">
        <v>12425062</v>
      </c>
      <c r="U419">
        <v>12435062</v>
      </c>
      <c r="V419">
        <v>12445062</v>
      </c>
      <c r="W419">
        <v>12455062</v>
      </c>
      <c r="X419">
        <v>12465062</v>
      </c>
      <c r="Y419">
        <v>12475062</v>
      </c>
      <c r="Z419">
        <v>12485062</v>
      </c>
      <c r="AA419">
        <v>12426062</v>
      </c>
      <c r="AB419">
        <v>12436062</v>
      </c>
      <c r="AC419">
        <v>12446062</v>
      </c>
      <c r="AD419">
        <v>12456062</v>
      </c>
      <c r="AE419">
        <v>12466062</v>
      </c>
      <c r="AF419">
        <v>12476062</v>
      </c>
      <c r="AG419">
        <v>12486062</v>
      </c>
      <c r="AH419" s="11">
        <v>63</v>
      </c>
      <c r="AI419" s="11" t="b">
        <v>1</v>
      </c>
      <c r="AL419" t="str" s="11">
        <v>【补充设计】保留奇珍ID、钥匙与图谱关系；可携带标记与独立效果行逐ID核对。</v>
      </c>
    </row>
    <row r="420" spans="2:35">
      <c r="B420">
        <v>72424063</v>
      </c>
      <c r="C420" t="s">
        <v>918</v>
      </c>
      <c r="D420" s="25">
        <v>12424063</v>
      </c>
      <c r="E420" t="s">
        <v>724</v>
      </c>
      <c r="F420" t="s">
        <v>145</v>
      </c>
      <c r="G420" t="s">
        <v>66</v>
      </c>
      <c r="H420">
        <v>12421006</v>
      </c>
      <c r="I420" t="s">
        <v>919</v>
      </c>
      <c r="J420" s="25" t="s">
        <v>68</v>
      </c>
      <c r="K420" t="b">
        <v>0</v>
      </c>
      <c r="M420">
        <v>12424063</v>
      </c>
      <c r="N420">
        <v>12434063</v>
      </c>
      <c r="O420">
        <v>12444063</v>
      </c>
      <c r="P420">
        <v>12454063</v>
      </c>
      <c r="Q420">
        <v>12464063</v>
      </c>
      <c r="R420">
        <v>12474063</v>
      </c>
      <c r="S420">
        <v>12484063</v>
      </c>
      <c r="T420">
        <v>12425063</v>
      </c>
      <c r="U420">
        <v>12435063</v>
      </c>
      <c r="V420">
        <v>12445063</v>
      </c>
      <c r="W420">
        <v>12455063</v>
      </c>
      <c r="X420">
        <v>12465063</v>
      </c>
      <c r="Y420">
        <v>12475063</v>
      </c>
      <c r="Z420">
        <v>12485063</v>
      </c>
      <c r="AA420">
        <v>12426063</v>
      </c>
      <c r="AB420">
        <v>12436063</v>
      </c>
      <c r="AC420">
        <v>12446063</v>
      </c>
      <c r="AD420">
        <v>12456063</v>
      </c>
      <c r="AE420">
        <v>12466063</v>
      </c>
      <c r="AF420">
        <v>12476063</v>
      </c>
      <c r="AG420">
        <v>12486063</v>
      </c>
      <c r="AH420" s="11">
        <v>64</v>
      </c>
      <c r="AI420" s="11" t="b">
        <v>1</v>
      </c>
      <c r="AL420" t="str" s="11">
        <v>【补充设计】保留奇珍ID、钥匙与图谱关系；可携带标记与独立效果行逐ID核对。</v>
      </c>
    </row>
    <row r="421" spans="2:35">
      <c r="B421">
        <v>72424064</v>
      </c>
      <c r="C421" t="s">
        <v>920</v>
      </c>
      <c r="D421" s="25">
        <v>12424064</v>
      </c>
      <c r="E421" t="s">
        <v>724</v>
      </c>
      <c r="F421" t="s">
        <v>145</v>
      </c>
      <c r="G421" t="s">
        <v>66</v>
      </c>
      <c r="H421">
        <v>12421006</v>
      </c>
      <c r="I421" t="s">
        <v>921</v>
      </c>
      <c r="J421" s="25" t="s">
        <v>68</v>
      </c>
      <c r="K421" t="b">
        <v>0</v>
      </c>
      <c r="M421">
        <v>12424064</v>
      </c>
      <c r="N421">
        <v>12434064</v>
      </c>
      <c r="O421">
        <v>12444064</v>
      </c>
      <c r="P421">
        <v>12454064</v>
      </c>
      <c r="Q421">
        <v>12464064</v>
      </c>
      <c r="R421">
        <v>12474064</v>
      </c>
      <c r="S421">
        <v>12484064</v>
      </c>
      <c r="T421">
        <v>12425064</v>
      </c>
      <c r="U421">
        <v>12435064</v>
      </c>
      <c r="V421">
        <v>12445064</v>
      </c>
      <c r="W421">
        <v>12455064</v>
      </c>
      <c r="X421">
        <v>12465064</v>
      </c>
      <c r="Y421">
        <v>12475064</v>
      </c>
      <c r="Z421">
        <v>12485064</v>
      </c>
      <c r="AA421">
        <v>12426064</v>
      </c>
      <c r="AB421">
        <v>12436064</v>
      </c>
      <c r="AC421">
        <v>12446064</v>
      </c>
      <c r="AD421">
        <v>12456064</v>
      </c>
      <c r="AE421">
        <v>12466064</v>
      </c>
      <c r="AF421">
        <v>12476064</v>
      </c>
      <c r="AG421">
        <v>12486064</v>
      </c>
      <c r="AH421" s="11">
        <v>65</v>
      </c>
      <c r="AI421" s="11" t="b">
        <v>1</v>
      </c>
      <c r="AL421" t="str" s="11">
        <v>【补充设计】保留奇珍ID、钥匙与图谱关系；可携带标记与独立效果行逐ID核对。</v>
      </c>
    </row>
    <row r="422" spans="2:35">
      <c r="B422">
        <v>72424065</v>
      </c>
      <c r="C422" t="s">
        <v>922</v>
      </c>
      <c r="D422" s="25">
        <v>12424065</v>
      </c>
      <c r="E422" t="s">
        <v>724</v>
      </c>
      <c r="F422" t="s">
        <v>145</v>
      </c>
      <c r="G422" t="s">
        <v>66</v>
      </c>
      <c r="H422">
        <v>12421006</v>
      </c>
      <c r="I422" t="s">
        <v>923</v>
      </c>
      <c r="J422" s="25" t="s">
        <v>68</v>
      </c>
      <c r="K422" t="b">
        <v>0</v>
      </c>
      <c r="M422">
        <v>12424065</v>
      </c>
      <c r="N422">
        <v>12434065</v>
      </c>
      <c r="O422">
        <v>12444065</v>
      </c>
      <c r="P422">
        <v>12454065</v>
      </c>
      <c r="Q422">
        <v>12464065</v>
      </c>
      <c r="R422">
        <v>12474065</v>
      </c>
      <c r="S422">
        <v>12484065</v>
      </c>
      <c r="T422">
        <v>12425065</v>
      </c>
      <c r="U422">
        <v>12435065</v>
      </c>
      <c r="V422">
        <v>12445065</v>
      </c>
      <c r="W422">
        <v>12455065</v>
      </c>
      <c r="X422">
        <v>12465065</v>
      </c>
      <c r="Y422">
        <v>12475065</v>
      </c>
      <c r="Z422">
        <v>12485065</v>
      </c>
      <c r="AA422">
        <v>12426065</v>
      </c>
      <c r="AB422">
        <v>12436065</v>
      </c>
      <c r="AC422">
        <v>12446065</v>
      </c>
      <c r="AD422">
        <v>12456065</v>
      </c>
      <c r="AE422">
        <v>12466065</v>
      </c>
      <c r="AF422">
        <v>12476065</v>
      </c>
      <c r="AG422">
        <v>12486065</v>
      </c>
      <c r="AH422" s="11">
        <v>66</v>
      </c>
      <c r="AI422" s="11" t="b">
        <v>1</v>
      </c>
      <c r="AL422" t="str" s="11">
        <v>【补充设计】保留奇珍ID、钥匙与图谱关系；可携带标记与独立效果行逐ID核对。</v>
      </c>
    </row>
    <row r="423" spans="2:35">
      <c r="B423">
        <v>72424067</v>
      </c>
      <c r="C423" t="s">
        <v>924</v>
      </c>
      <c r="D423" s="25">
        <v>12424067</v>
      </c>
      <c r="E423" t="s">
        <v>724</v>
      </c>
      <c r="F423" t="s">
        <v>145</v>
      </c>
      <c r="G423" t="s">
        <v>66</v>
      </c>
      <c r="H423">
        <v>12421007</v>
      </c>
      <c r="I423" t="s">
        <v>925</v>
      </c>
      <c r="J423" s="25" t="s">
        <v>68</v>
      </c>
      <c r="K423" t="b">
        <v>0</v>
      </c>
      <c r="M423">
        <v>12424067</v>
      </c>
      <c r="N423">
        <v>12434067</v>
      </c>
      <c r="O423">
        <v>12444067</v>
      </c>
      <c r="P423">
        <v>12454067</v>
      </c>
      <c r="Q423">
        <v>12464067</v>
      </c>
      <c r="R423">
        <v>12474067</v>
      </c>
      <c r="S423">
        <v>12484067</v>
      </c>
      <c r="T423">
        <v>12425067</v>
      </c>
      <c r="U423">
        <v>12435067</v>
      </c>
      <c r="V423">
        <v>12445067</v>
      </c>
      <c r="W423">
        <v>12455067</v>
      </c>
      <c r="X423">
        <v>12465067</v>
      </c>
      <c r="Y423">
        <v>12475067</v>
      </c>
      <c r="Z423">
        <v>12485067</v>
      </c>
      <c r="AA423">
        <v>12426067</v>
      </c>
      <c r="AB423">
        <v>12436067</v>
      </c>
      <c r="AC423">
        <v>12446067</v>
      </c>
      <c r="AD423">
        <v>12456067</v>
      </c>
      <c r="AE423">
        <v>12466067</v>
      </c>
      <c r="AF423">
        <v>12476067</v>
      </c>
      <c r="AG423">
        <v>12486067</v>
      </c>
      <c r="AH423" s="11">
        <v>68</v>
      </c>
      <c r="AI423" s="11" t="b">
        <v>1</v>
      </c>
      <c r="AL423" t="str" s="11">
        <v>【补充设计】保留奇珍ID、钥匙与图谱关系；可携带标记与独立效果行逐ID核对。</v>
      </c>
    </row>
    <row r="424" spans="2:35">
      <c r="B424">
        <v>72424068</v>
      </c>
      <c r="C424" t="s">
        <v>926</v>
      </c>
      <c r="D424" s="25">
        <v>12424068</v>
      </c>
      <c r="E424" t="s">
        <v>724</v>
      </c>
      <c r="F424" t="s">
        <v>145</v>
      </c>
      <c r="G424" t="s">
        <v>66</v>
      </c>
      <c r="H424">
        <v>12421007</v>
      </c>
      <c r="I424" t="s">
        <v>927</v>
      </c>
      <c r="J424" s="25" t="s">
        <v>68</v>
      </c>
      <c r="K424" t="b">
        <v>0</v>
      </c>
      <c r="M424">
        <v>12424068</v>
      </c>
      <c r="N424">
        <v>12434068</v>
      </c>
      <c r="O424">
        <v>12444068</v>
      </c>
      <c r="P424">
        <v>12454068</v>
      </c>
      <c r="Q424">
        <v>12464068</v>
      </c>
      <c r="R424">
        <v>12474068</v>
      </c>
      <c r="S424">
        <v>12484068</v>
      </c>
      <c r="T424">
        <v>12425068</v>
      </c>
      <c r="U424">
        <v>12435068</v>
      </c>
      <c r="V424">
        <v>12445068</v>
      </c>
      <c r="W424">
        <v>12455068</v>
      </c>
      <c r="X424">
        <v>12465068</v>
      </c>
      <c r="Y424">
        <v>12475068</v>
      </c>
      <c r="Z424">
        <v>12485068</v>
      </c>
      <c r="AA424">
        <v>12426068</v>
      </c>
      <c r="AB424">
        <v>12436068</v>
      </c>
      <c r="AC424">
        <v>12446068</v>
      </c>
      <c r="AD424">
        <v>12456068</v>
      </c>
      <c r="AE424">
        <v>12466068</v>
      </c>
      <c r="AF424">
        <v>12476068</v>
      </c>
      <c r="AG424">
        <v>12486068</v>
      </c>
      <c r="AH424" s="11">
        <v>69</v>
      </c>
      <c r="AI424" s="11" t="b">
        <v>1</v>
      </c>
      <c r="AL424" t="str" s="11">
        <v>【补充设计】保留奇珍ID、钥匙与图谱关系；可携带标记与独立效果行逐ID核对。</v>
      </c>
    </row>
    <row r="425" spans="2:35">
      <c r="B425">
        <v>72424069</v>
      </c>
      <c r="C425" t="s">
        <v>928</v>
      </c>
      <c r="D425" s="25">
        <v>12424069</v>
      </c>
      <c r="E425" t="s">
        <v>724</v>
      </c>
      <c r="F425" t="s">
        <v>145</v>
      </c>
      <c r="G425" t="s">
        <v>66</v>
      </c>
      <c r="H425">
        <v>12421007</v>
      </c>
      <c r="I425" t="s">
        <v>929</v>
      </c>
      <c r="J425" s="25" t="s">
        <v>68</v>
      </c>
      <c r="K425" t="b">
        <v>0</v>
      </c>
      <c r="M425">
        <v>12424069</v>
      </c>
      <c r="N425">
        <v>12434069</v>
      </c>
      <c r="O425">
        <v>12444069</v>
      </c>
      <c r="P425">
        <v>12454069</v>
      </c>
      <c r="Q425">
        <v>12464069</v>
      </c>
      <c r="R425">
        <v>12474069</v>
      </c>
      <c r="S425">
        <v>12484069</v>
      </c>
      <c r="T425">
        <v>12425069</v>
      </c>
      <c r="U425">
        <v>12435069</v>
      </c>
      <c r="V425">
        <v>12445069</v>
      </c>
      <c r="W425">
        <v>12455069</v>
      </c>
      <c r="X425">
        <v>12465069</v>
      </c>
      <c r="Y425">
        <v>12475069</v>
      </c>
      <c r="Z425">
        <v>12485069</v>
      </c>
      <c r="AA425">
        <v>12426069</v>
      </c>
      <c r="AB425">
        <v>12436069</v>
      </c>
      <c r="AC425">
        <v>12446069</v>
      </c>
      <c r="AD425">
        <v>12456069</v>
      </c>
      <c r="AE425">
        <v>12466069</v>
      </c>
      <c r="AF425">
        <v>12476069</v>
      </c>
      <c r="AG425">
        <v>12486069</v>
      </c>
      <c r="AH425" s="11">
        <v>70</v>
      </c>
      <c r="AI425" s="11" t="b">
        <v>1</v>
      </c>
      <c r="AL425" t="str" s="11">
        <v>【补充设计】保留奇珍ID、钥匙与图谱关系；可携带标记与独立效果行逐ID核对。</v>
      </c>
    </row>
    <row r="426" spans="2:35">
      <c r="B426">
        <v>72424070</v>
      </c>
      <c r="C426" t="s">
        <v>930</v>
      </c>
      <c r="D426" s="25">
        <v>12424070</v>
      </c>
      <c r="E426" t="s">
        <v>724</v>
      </c>
      <c r="F426" t="s">
        <v>145</v>
      </c>
      <c r="G426" t="s">
        <v>66</v>
      </c>
      <c r="H426">
        <v>12421007</v>
      </c>
      <c r="I426" t="s">
        <v>931</v>
      </c>
      <c r="J426" s="25" t="s">
        <v>68</v>
      </c>
      <c r="K426" t="b">
        <v>0</v>
      </c>
      <c r="M426">
        <v>12424070</v>
      </c>
      <c r="N426">
        <v>12434070</v>
      </c>
      <c r="O426">
        <v>12444070</v>
      </c>
      <c r="P426">
        <v>12454070</v>
      </c>
      <c r="Q426">
        <v>12464070</v>
      </c>
      <c r="R426">
        <v>12474070</v>
      </c>
      <c r="S426">
        <v>12484070</v>
      </c>
      <c r="T426">
        <v>12425070</v>
      </c>
      <c r="U426">
        <v>12435070</v>
      </c>
      <c r="V426">
        <v>12445070</v>
      </c>
      <c r="W426">
        <v>12455070</v>
      </c>
      <c r="X426">
        <v>12465070</v>
      </c>
      <c r="Y426">
        <v>12475070</v>
      </c>
      <c r="Z426">
        <v>12485070</v>
      </c>
      <c r="AA426">
        <v>12426070</v>
      </c>
      <c r="AB426">
        <v>12436070</v>
      </c>
      <c r="AC426">
        <v>12446070</v>
      </c>
      <c r="AD426">
        <v>12456070</v>
      </c>
      <c r="AE426">
        <v>12466070</v>
      </c>
      <c r="AF426">
        <v>12476070</v>
      </c>
      <c r="AG426">
        <v>12486070</v>
      </c>
      <c r="AH426" s="11">
        <v>71</v>
      </c>
      <c r="AI426" s="11" t="b">
        <v>1</v>
      </c>
      <c r="AL426" t="str" s="11">
        <v>【补充设计】保留奇珍ID、钥匙与图谱关系；可携带标记与独立效果行逐ID核对。</v>
      </c>
    </row>
    <row r="427" spans="2:35">
      <c r="B427">
        <v>72424071</v>
      </c>
      <c r="C427" t="s">
        <v>932</v>
      </c>
      <c r="D427" s="25">
        <v>12424071</v>
      </c>
      <c r="E427" t="s">
        <v>724</v>
      </c>
      <c r="F427" t="s">
        <v>145</v>
      </c>
      <c r="G427" t="s">
        <v>66</v>
      </c>
      <c r="H427">
        <v>12421007</v>
      </c>
      <c r="I427" t="s">
        <v>933</v>
      </c>
      <c r="J427" s="25" t="s">
        <v>68</v>
      </c>
      <c r="K427" t="b">
        <v>0</v>
      </c>
      <c r="M427">
        <v>12424071</v>
      </c>
      <c r="N427">
        <v>12434071</v>
      </c>
      <c r="O427">
        <v>12444071</v>
      </c>
      <c r="P427">
        <v>12454071</v>
      </c>
      <c r="Q427">
        <v>12464071</v>
      </c>
      <c r="R427">
        <v>12474071</v>
      </c>
      <c r="S427">
        <v>12484071</v>
      </c>
      <c r="T427">
        <v>12425071</v>
      </c>
      <c r="U427">
        <v>12435071</v>
      </c>
      <c r="V427">
        <v>12445071</v>
      </c>
      <c r="W427">
        <v>12455071</v>
      </c>
      <c r="X427">
        <v>12465071</v>
      </c>
      <c r="Y427">
        <v>12475071</v>
      </c>
      <c r="Z427">
        <v>12485071</v>
      </c>
      <c r="AA427">
        <v>12426071</v>
      </c>
      <c r="AB427">
        <v>12436071</v>
      </c>
      <c r="AC427">
        <v>12446071</v>
      </c>
      <c r="AD427">
        <v>12456071</v>
      </c>
      <c r="AE427">
        <v>12466071</v>
      </c>
      <c r="AF427">
        <v>12476071</v>
      </c>
      <c r="AG427">
        <v>12486071</v>
      </c>
      <c r="AH427" s="11">
        <v>72</v>
      </c>
      <c r="AI427" s="11" t="b">
        <v>1</v>
      </c>
      <c r="AL427" t="str" s="11">
        <v>【补充设计】保留奇珍ID、钥匙与图谱关系；可携带标记与独立效果行逐ID核对。</v>
      </c>
    </row>
    <row r="428" spans="2:35">
      <c r="B428">
        <v>72424072</v>
      </c>
      <c r="C428" t="s">
        <v>934</v>
      </c>
      <c r="D428" s="25">
        <v>12424072</v>
      </c>
      <c r="E428" t="s">
        <v>724</v>
      </c>
      <c r="F428" t="s">
        <v>145</v>
      </c>
      <c r="G428" t="s">
        <v>66</v>
      </c>
      <c r="H428">
        <v>12421007</v>
      </c>
      <c r="I428" t="s">
        <v>935</v>
      </c>
      <c r="J428" s="25" t="s">
        <v>68</v>
      </c>
      <c r="K428" t="b">
        <v>0</v>
      </c>
      <c r="M428">
        <v>12424072</v>
      </c>
      <c r="N428">
        <v>12434072</v>
      </c>
      <c r="O428">
        <v>12444072</v>
      </c>
      <c r="P428">
        <v>12454072</v>
      </c>
      <c r="Q428">
        <v>12464072</v>
      </c>
      <c r="R428">
        <v>12474072</v>
      </c>
      <c r="S428">
        <v>12484072</v>
      </c>
      <c r="T428">
        <v>12425072</v>
      </c>
      <c r="U428">
        <v>12435072</v>
      </c>
      <c r="V428">
        <v>12445072</v>
      </c>
      <c r="W428">
        <v>12455072</v>
      </c>
      <c r="X428">
        <v>12465072</v>
      </c>
      <c r="Y428">
        <v>12475072</v>
      </c>
      <c r="Z428">
        <v>12485072</v>
      </c>
      <c r="AA428">
        <v>12426072</v>
      </c>
      <c r="AB428">
        <v>12436072</v>
      </c>
      <c r="AC428">
        <v>12446072</v>
      </c>
      <c r="AD428">
        <v>12456072</v>
      </c>
      <c r="AE428">
        <v>12466072</v>
      </c>
      <c r="AF428">
        <v>12476072</v>
      </c>
      <c r="AG428">
        <v>12486072</v>
      </c>
      <c r="AH428" s="11">
        <v>73</v>
      </c>
      <c r="AI428" s="11" t="b">
        <v>1</v>
      </c>
      <c r="AL428" t="str" s="11">
        <v>【补充设计】保留奇珍ID、钥匙与图谱关系；可携带标记与独立效果行逐ID核对。</v>
      </c>
    </row>
    <row r="429" spans="2:35">
      <c r="B429">
        <v>72424073</v>
      </c>
      <c r="C429" t="s">
        <v>936</v>
      </c>
      <c r="D429" s="25">
        <v>12424073</v>
      </c>
      <c r="E429" t="s">
        <v>724</v>
      </c>
      <c r="F429" t="s">
        <v>145</v>
      </c>
      <c r="G429" t="s">
        <v>66</v>
      </c>
      <c r="H429">
        <v>12421007</v>
      </c>
      <c r="I429" t="s">
        <v>937</v>
      </c>
      <c r="J429" s="25" t="s">
        <v>68</v>
      </c>
      <c r="K429" t="b">
        <v>0</v>
      </c>
      <c r="M429">
        <v>12424073</v>
      </c>
      <c r="N429">
        <v>12434073</v>
      </c>
      <c r="O429">
        <v>12444073</v>
      </c>
      <c r="P429">
        <v>12454073</v>
      </c>
      <c r="Q429">
        <v>12464073</v>
      </c>
      <c r="R429">
        <v>12474073</v>
      </c>
      <c r="S429">
        <v>12484073</v>
      </c>
      <c r="T429">
        <v>12425073</v>
      </c>
      <c r="U429">
        <v>12435073</v>
      </c>
      <c r="V429">
        <v>12445073</v>
      </c>
      <c r="W429">
        <v>12455073</v>
      </c>
      <c r="X429">
        <v>12465073</v>
      </c>
      <c r="Y429">
        <v>12475073</v>
      </c>
      <c r="Z429">
        <v>12485073</v>
      </c>
      <c r="AA429">
        <v>12426073</v>
      </c>
      <c r="AB429">
        <v>12436073</v>
      </c>
      <c r="AC429">
        <v>12446073</v>
      </c>
      <c r="AD429">
        <v>12456073</v>
      </c>
      <c r="AE429">
        <v>12466073</v>
      </c>
      <c r="AF429">
        <v>12476073</v>
      </c>
      <c r="AG429">
        <v>12486073</v>
      </c>
      <c r="AH429" s="11">
        <v>74</v>
      </c>
      <c r="AI429" s="11" t="b">
        <v>1</v>
      </c>
      <c r="AL429" t="str" s="11">
        <v>【补充设计】保留奇珍ID、钥匙与图谱关系；可携带标记与独立效果行逐ID核对。</v>
      </c>
    </row>
    <row r="430" spans="2:35">
      <c r="B430">
        <v>72424074</v>
      </c>
      <c r="C430" t="s">
        <v>938</v>
      </c>
      <c r="D430" s="25">
        <v>12424074</v>
      </c>
      <c r="E430" t="s">
        <v>724</v>
      </c>
      <c r="F430" t="s">
        <v>145</v>
      </c>
      <c r="G430" t="s">
        <v>66</v>
      </c>
      <c r="H430">
        <v>12421007</v>
      </c>
      <c r="I430" t="s">
        <v>939</v>
      </c>
      <c r="J430" s="25" t="s">
        <v>68</v>
      </c>
      <c r="K430" t="b">
        <v>0</v>
      </c>
      <c r="M430">
        <v>12424074</v>
      </c>
      <c r="N430">
        <v>12434074</v>
      </c>
      <c r="O430">
        <v>12444074</v>
      </c>
      <c r="P430">
        <v>12454074</v>
      </c>
      <c r="Q430">
        <v>12464074</v>
      </c>
      <c r="R430">
        <v>12474074</v>
      </c>
      <c r="S430">
        <v>12484074</v>
      </c>
      <c r="T430">
        <v>12425074</v>
      </c>
      <c r="U430">
        <v>12435074</v>
      </c>
      <c r="V430">
        <v>12445074</v>
      </c>
      <c r="W430">
        <v>12455074</v>
      </c>
      <c r="X430">
        <v>12465074</v>
      </c>
      <c r="Y430">
        <v>12475074</v>
      </c>
      <c r="Z430">
        <v>12485074</v>
      </c>
      <c r="AA430">
        <v>12426074</v>
      </c>
      <c r="AB430">
        <v>12436074</v>
      </c>
      <c r="AC430">
        <v>12446074</v>
      </c>
      <c r="AD430">
        <v>12456074</v>
      </c>
      <c r="AE430">
        <v>12466074</v>
      </c>
      <c r="AF430">
        <v>12476074</v>
      </c>
      <c r="AG430">
        <v>12486074</v>
      </c>
      <c r="AH430" s="11">
        <v>75</v>
      </c>
      <c r="AI430" s="11" t="b">
        <v>1</v>
      </c>
      <c r="AL430" t="str" s="11">
        <v>【补充设计】保留奇珍ID、钥匙与图谱关系；可携带标记与独立效果行逐ID核对。</v>
      </c>
    </row>
    <row r="431" spans="2:35">
      <c r="B431">
        <v>72424075</v>
      </c>
      <c r="C431" t="s">
        <v>940</v>
      </c>
      <c r="D431" s="25">
        <v>12424075</v>
      </c>
      <c r="E431" t="s">
        <v>724</v>
      </c>
      <c r="F431" t="s">
        <v>145</v>
      </c>
      <c r="G431" t="s">
        <v>66</v>
      </c>
      <c r="H431">
        <v>12421007</v>
      </c>
      <c r="I431" t="s">
        <v>941</v>
      </c>
      <c r="J431" s="25" t="s">
        <v>68</v>
      </c>
      <c r="K431" t="b">
        <v>0</v>
      </c>
      <c r="M431">
        <v>12424075</v>
      </c>
      <c r="N431">
        <v>12434075</v>
      </c>
      <c r="O431">
        <v>12444075</v>
      </c>
      <c r="P431">
        <v>12454075</v>
      </c>
      <c r="Q431">
        <v>12464075</v>
      </c>
      <c r="R431">
        <v>12474075</v>
      </c>
      <c r="S431">
        <v>12484075</v>
      </c>
      <c r="T431">
        <v>12425075</v>
      </c>
      <c r="U431">
        <v>12435075</v>
      </c>
      <c r="V431">
        <v>12445075</v>
      </c>
      <c r="W431">
        <v>12455075</v>
      </c>
      <c r="X431">
        <v>12465075</v>
      </c>
      <c r="Y431">
        <v>12475075</v>
      </c>
      <c r="Z431">
        <v>12485075</v>
      </c>
      <c r="AA431">
        <v>12426075</v>
      </c>
      <c r="AB431">
        <v>12436075</v>
      </c>
      <c r="AC431">
        <v>12446075</v>
      </c>
      <c r="AD431">
        <v>12456075</v>
      </c>
      <c r="AE431">
        <v>12466075</v>
      </c>
      <c r="AF431">
        <v>12476075</v>
      </c>
      <c r="AG431">
        <v>12486075</v>
      </c>
      <c r="AH431" s="11">
        <v>76</v>
      </c>
      <c r="AI431" s="11" t="b">
        <v>1</v>
      </c>
      <c r="AL431" t="str" s="11">
        <v>【补充设计】保留奇珍ID、钥匙与图谱关系；可携带标记与独立效果行逐ID核对。</v>
      </c>
    </row>
    <row r="432" spans="2:35">
      <c r="B432">
        <v>72424076</v>
      </c>
      <c r="C432" t="s">
        <v>942</v>
      </c>
      <c r="D432" s="25">
        <v>12424076</v>
      </c>
      <c r="E432" t="s">
        <v>724</v>
      </c>
      <c r="F432" t="s">
        <v>145</v>
      </c>
      <c r="G432" t="s">
        <v>66</v>
      </c>
      <c r="H432">
        <v>12421007</v>
      </c>
      <c r="I432" t="s">
        <v>943</v>
      </c>
      <c r="J432" s="25" t="s">
        <v>68</v>
      </c>
      <c r="K432" t="b">
        <v>0</v>
      </c>
      <c r="M432">
        <v>12424076</v>
      </c>
      <c r="N432">
        <v>12434076</v>
      </c>
      <c r="O432">
        <v>12444076</v>
      </c>
      <c r="P432">
        <v>12454076</v>
      </c>
      <c r="Q432">
        <v>12464076</v>
      </c>
      <c r="R432">
        <v>12474076</v>
      </c>
      <c r="S432">
        <v>12484076</v>
      </c>
      <c r="T432">
        <v>12425076</v>
      </c>
      <c r="U432">
        <v>12435076</v>
      </c>
      <c r="V432">
        <v>12445076</v>
      </c>
      <c r="W432">
        <v>12455076</v>
      </c>
      <c r="X432">
        <v>12465076</v>
      </c>
      <c r="Y432">
        <v>12475076</v>
      </c>
      <c r="Z432">
        <v>12485076</v>
      </c>
      <c r="AA432">
        <v>12426076</v>
      </c>
      <c r="AB432">
        <v>12436076</v>
      </c>
      <c r="AC432">
        <v>12446076</v>
      </c>
      <c r="AD432">
        <v>12456076</v>
      </c>
      <c r="AE432">
        <v>12466076</v>
      </c>
      <c r="AF432">
        <v>12476076</v>
      </c>
      <c r="AG432">
        <v>12486076</v>
      </c>
      <c r="AH432" s="11">
        <v>77</v>
      </c>
      <c r="AI432" s="11" t="b">
        <v>1</v>
      </c>
      <c r="AL432" t="str" s="11">
        <v>【补充设计】保留奇珍ID、钥匙与图谱关系；可携带标记与独立效果行逐ID核对。</v>
      </c>
    </row>
    <row r="433" spans="2:35">
      <c r="B433">
        <v>72424077</v>
      </c>
      <c r="C433" t="s">
        <v>944</v>
      </c>
      <c r="D433" s="25">
        <v>12424077</v>
      </c>
      <c r="E433" t="s">
        <v>724</v>
      </c>
      <c r="F433" t="s">
        <v>145</v>
      </c>
      <c r="G433" t="s">
        <v>66</v>
      </c>
      <c r="H433">
        <v>12421007</v>
      </c>
      <c r="I433" t="s">
        <v>945</v>
      </c>
      <c r="J433" s="25" t="s">
        <v>68</v>
      </c>
      <c r="K433" t="b">
        <v>0</v>
      </c>
      <c r="M433">
        <v>12424077</v>
      </c>
      <c r="N433">
        <v>12434077</v>
      </c>
      <c r="O433">
        <v>12444077</v>
      </c>
      <c r="P433">
        <v>12454077</v>
      </c>
      <c r="Q433">
        <v>12464077</v>
      </c>
      <c r="R433">
        <v>12474077</v>
      </c>
      <c r="S433">
        <v>12484077</v>
      </c>
      <c r="T433">
        <v>12425077</v>
      </c>
      <c r="U433">
        <v>12435077</v>
      </c>
      <c r="V433">
        <v>12445077</v>
      </c>
      <c r="W433">
        <v>12455077</v>
      </c>
      <c r="X433">
        <v>12465077</v>
      </c>
      <c r="Y433">
        <v>12475077</v>
      </c>
      <c r="Z433">
        <v>12485077</v>
      </c>
      <c r="AA433">
        <v>12426077</v>
      </c>
      <c r="AB433">
        <v>12436077</v>
      </c>
      <c r="AC433">
        <v>12446077</v>
      </c>
      <c r="AD433">
        <v>12456077</v>
      </c>
      <c r="AE433">
        <v>12466077</v>
      </c>
      <c r="AF433">
        <v>12476077</v>
      </c>
      <c r="AG433">
        <v>12486077</v>
      </c>
      <c r="AH433" s="11">
        <v>78</v>
      </c>
      <c r="AI433" s="11" t="b">
        <v>1</v>
      </c>
      <c r="AL433" t="str" s="11">
        <v>【补充设计】保留奇珍ID、钥匙与图谱关系；可携带标记与独立效果行逐ID核对。</v>
      </c>
    </row>
    <row r="434" spans="2:35">
      <c r="B434">
        <v>72424078</v>
      </c>
      <c r="C434" t="s">
        <v>946</v>
      </c>
      <c r="D434" s="25">
        <v>12424078</v>
      </c>
      <c r="E434" t="s">
        <v>724</v>
      </c>
      <c r="F434" t="s">
        <v>145</v>
      </c>
      <c r="G434" t="s">
        <v>66</v>
      </c>
      <c r="H434">
        <v>12421007</v>
      </c>
      <c r="I434" t="s">
        <v>947</v>
      </c>
      <c r="J434" s="25" t="s">
        <v>68</v>
      </c>
      <c r="K434" t="b">
        <v>0</v>
      </c>
      <c r="M434">
        <v>12424078</v>
      </c>
      <c r="N434">
        <v>12434078</v>
      </c>
      <c r="O434">
        <v>12444078</v>
      </c>
      <c r="P434">
        <v>12454078</v>
      </c>
      <c r="Q434">
        <v>12464078</v>
      </c>
      <c r="R434">
        <v>12474078</v>
      </c>
      <c r="S434">
        <v>12484078</v>
      </c>
      <c r="T434">
        <v>12425078</v>
      </c>
      <c r="U434">
        <v>12435078</v>
      </c>
      <c r="V434">
        <v>12445078</v>
      </c>
      <c r="W434">
        <v>12455078</v>
      </c>
      <c r="X434">
        <v>12465078</v>
      </c>
      <c r="Y434">
        <v>12475078</v>
      </c>
      <c r="Z434">
        <v>12485078</v>
      </c>
      <c r="AA434">
        <v>12426078</v>
      </c>
      <c r="AB434">
        <v>12436078</v>
      </c>
      <c r="AC434">
        <v>12446078</v>
      </c>
      <c r="AD434">
        <v>12456078</v>
      </c>
      <c r="AE434">
        <v>12466078</v>
      </c>
      <c r="AF434">
        <v>12476078</v>
      </c>
      <c r="AG434">
        <v>12486078</v>
      </c>
      <c r="AH434" s="11">
        <v>79</v>
      </c>
      <c r="AI434" s="11" t="b">
        <v>1</v>
      </c>
      <c r="AL434" t="str" s="11">
        <v>【补充设计】保留奇珍ID、钥匙与图谱关系；可携带标记与独立效果行逐ID核对。</v>
      </c>
    </row>
    <row r="435" spans="2:35">
      <c r="B435">
        <v>72424079</v>
      </c>
      <c r="C435" t="s">
        <v>948</v>
      </c>
      <c r="D435" s="25">
        <v>12424079</v>
      </c>
      <c r="E435" t="s">
        <v>724</v>
      </c>
      <c r="F435" t="s">
        <v>145</v>
      </c>
      <c r="G435" t="s">
        <v>66</v>
      </c>
      <c r="H435">
        <v>12421007</v>
      </c>
      <c r="I435" t="s">
        <v>949</v>
      </c>
      <c r="J435" s="25" t="s">
        <v>68</v>
      </c>
      <c r="K435" t="b">
        <v>0</v>
      </c>
      <c r="M435">
        <v>12424079</v>
      </c>
      <c r="N435">
        <v>12434079</v>
      </c>
      <c r="O435">
        <v>12444079</v>
      </c>
      <c r="P435">
        <v>12454079</v>
      </c>
      <c r="Q435">
        <v>12464079</v>
      </c>
      <c r="R435">
        <v>12474079</v>
      </c>
      <c r="S435">
        <v>12484079</v>
      </c>
      <c r="T435">
        <v>12425079</v>
      </c>
      <c r="U435">
        <v>12435079</v>
      </c>
      <c r="V435">
        <v>12445079</v>
      </c>
      <c r="W435">
        <v>12455079</v>
      </c>
      <c r="X435">
        <v>12465079</v>
      </c>
      <c r="Y435">
        <v>12475079</v>
      </c>
      <c r="Z435">
        <v>12485079</v>
      </c>
      <c r="AA435">
        <v>12426079</v>
      </c>
      <c r="AB435">
        <v>12436079</v>
      </c>
      <c r="AC435">
        <v>12446079</v>
      </c>
      <c r="AD435">
        <v>12456079</v>
      </c>
      <c r="AE435">
        <v>12466079</v>
      </c>
      <c r="AF435">
        <v>12476079</v>
      </c>
      <c r="AG435">
        <v>12486079</v>
      </c>
      <c r="AH435" s="11">
        <v>80</v>
      </c>
      <c r="AI435" s="11" t="b">
        <v>1</v>
      </c>
      <c r="AL435" t="str" s="11">
        <v>【补充设计】保留奇珍ID、钥匙与图谱关系；可携带标记与独立效果行逐ID核对。</v>
      </c>
    </row>
    <row r="436" spans="2:35">
      <c r="B436">
        <v>72424080</v>
      </c>
      <c r="C436" t="s">
        <v>950</v>
      </c>
      <c r="D436" s="25">
        <v>12424080</v>
      </c>
      <c r="E436" t="s">
        <v>724</v>
      </c>
      <c r="F436" t="s">
        <v>145</v>
      </c>
      <c r="G436" t="s">
        <v>66</v>
      </c>
      <c r="H436">
        <v>12421007</v>
      </c>
      <c r="I436" t="s">
        <v>951</v>
      </c>
      <c r="J436" s="25" t="s">
        <v>68</v>
      </c>
      <c r="K436" t="b">
        <v>0</v>
      </c>
      <c r="M436">
        <v>12424080</v>
      </c>
      <c r="N436">
        <v>12434080</v>
      </c>
      <c r="O436">
        <v>12444080</v>
      </c>
      <c r="P436">
        <v>12454080</v>
      </c>
      <c r="Q436">
        <v>12464080</v>
      </c>
      <c r="R436">
        <v>12474080</v>
      </c>
      <c r="S436">
        <v>12484080</v>
      </c>
      <c r="T436">
        <v>12425080</v>
      </c>
      <c r="U436">
        <v>12435080</v>
      </c>
      <c r="V436">
        <v>12445080</v>
      </c>
      <c r="W436">
        <v>12455080</v>
      </c>
      <c r="X436">
        <v>12465080</v>
      </c>
      <c r="Y436">
        <v>12475080</v>
      </c>
      <c r="Z436">
        <v>12485080</v>
      </c>
      <c r="AA436">
        <v>12426080</v>
      </c>
      <c r="AB436">
        <v>12436080</v>
      </c>
      <c r="AC436">
        <v>12446080</v>
      </c>
      <c r="AD436">
        <v>12456080</v>
      </c>
      <c r="AE436">
        <v>12466080</v>
      </c>
      <c r="AF436">
        <v>12476080</v>
      </c>
      <c r="AG436">
        <v>12486080</v>
      </c>
      <c r="AH436" s="11">
        <v>81</v>
      </c>
      <c r="AI436" s="11" t="b">
        <v>1</v>
      </c>
      <c r="AL436" t="str" s="11">
        <v>【补充设计】保留奇珍ID、钥匙与图谱关系；可携带标记与独立效果行逐ID核对。</v>
      </c>
    </row>
    <row r="437" spans="2:35">
      <c r="B437">
        <v>72424083</v>
      </c>
      <c r="C437" t="s">
        <v>952</v>
      </c>
      <c r="D437" s="25">
        <v>12424083</v>
      </c>
      <c r="E437" t="s">
        <v>724</v>
      </c>
      <c r="F437" t="s">
        <v>145</v>
      </c>
      <c r="G437" t="s">
        <v>66</v>
      </c>
      <c r="H437">
        <v>12421009</v>
      </c>
      <c r="I437" t="s">
        <v>953</v>
      </c>
      <c r="J437" s="25" t="s">
        <v>68</v>
      </c>
      <c r="K437" t="b">
        <v>0</v>
      </c>
      <c r="M437">
        <v>12424083</v>
      </c>
      <c r="N437">
        <v>12434083</v>
      </c>
      <c r="O437">
        <v>12444083</v>
      </c>
      <c r="P437">
        <v>12454083</v>
      </c>
      <c r="Q437">
        <v>12464083</v>
      </c>
      <c r="R437">
        <v>12474083</v>
      </c>
      <c r="S437">
        <v>12484083</v>
      </c>
      <c r="T437">
        <v>12425083</v>
      </c>
      <c r="U437">
        <v>12435083</v>
      </c>
      <c r="V437">
        <v>12445083</v>
      </c>
      <c r="W437">
        <v>12455083</v>
      </c>
      <c r="X437">
        <v>12465083</v>
      </c>
      <c r="Y437">
        <v>12475083</v>
      </c>
      <c r="Z437">
        <v>12485083</v>
      </c>
      <c r="AA437">
        <v>12426083</v>
      </c>
      <c r="AB437">
        <v>12436083</v>
      </c>
      <c r="AC437">
        <v>12446083</v>
      </c>
      <c r="AD437">
        <v>12456083</v>
      </c>
      <c r="AE437">
        <v>12466083</v>
      </c>
      <c r="AF437">
        <v>12476083</v>
      </c>
      <c r="AG437">
        <v>12486083</v>
      </c>
      <c r="AH437" s="11">
        <v>84</v>
      </c>
      <c r="AI437" s="11" t="b">
        <v>1</v>
      </c>
      <c r="AL437" t="str" s="11">
        <v>【补充设计】保留奇珍ID、钥匙与图谱关系；可携带标记与独立效果行逐ID核对。</v>
      </c>
    </row>
    <row r="438" spans="2:35">
      <c r="B438">
        <v>72424084</v>
      </c>
      <c r="C438" t="s">
        <v>954</v>
      </c>
      <c r="D438" s="25">
        <v>12424084</v>
      </c>
      <c r="E438" t="s">
        <v>724</v>
      </c>
      <c r="F438" t="s">
        <v>145</v>
      </c>
      <c r="G438" t="s">
        <v>66</v>
      </c>
      <c r="H438">
        <v>12421009</v>
      </c>
      <c r="I438" t="s">
        <v>955</v>
      </c>
      <c r="J438" s="25" t="s">
        <v>68</v>
      </c>
      <c r="K438" t="b">
        <v>0</v>
      </c>
      <c r="M438">
        <v>12424084</v>
      </c>
      <c r="N438">
        <v>12434084</v>
      </c>
      <c r="O438">
        <v>12444084</v>
      </c>
      <c r="P438">
        <v>12454084</v>
      </c>
      <c r="Q438">
        <v>12464084</v>
      </c>
      <c r="R438">
        <v>12474084</v>
      </c>
      <c r="S438">
        <v>12484084</v>
      </c>
      <c r="T438">
        <v>12425084</v>
      </c>
      <c r="U438">
        <v>12435084</v>
      </c>
      <c r="V438">
        <v>12445084</v>
      </c>
      <c r="W438">
        <v>12455084</v>
      </c>
      <c r="X438">
        <v>12465084</v>
      </c>
      <c r="Y438">
        <v>12475084</v>
      </c>
      <c r="Z438">
        <v>12485084</v>
      </c>
      <c r="AA438">
        <v>12426084</v>
      </c>
      <c r="AB438">
        <v>12436084</v>
      </c>
      <c r="AC438">
        <v>12446084</v>
      </c>
      <c r="AD438">
        <v>12456084</v>
      </c>
      <c r="AE438">
        <v>12466084</v>
      </c>
      <c r="AF438">
        <v>12476084</v>
      </c>
      <c r="AG438">
        <v>12486084</v>
      </c>
      <c r="AH438" s="11">
        <v>85</v>
      </c>
      <c r="AI438" s="11" t="b">
        <v>1</v>
      </c>
      <c r="AL438" t="str" s="11">
        <v>【补充设计】保留奇珍ID、钥匙与图谱关系；可携带标记与独立效果行逐ID核对。</v>
      </c>
    </row>
    <row r="439" spans="2:35">
      <c r="B439">
        <v>72424085</v>
      </c>
      <c r="C439" t="s">
        <v>956</v>
      </c>
      <c r="D439" s="25">
        <v>12424085</v>
      </c>
      <c r="E439" t="s">
        <v>724</v>
      </c>
      <c r="F439" t="s">
        <v>145</v>
      </c>
      <c r="G439" t="s">
        <v>66</v>
      </c>
      <c r="H439">
        <v>12421009</v>
      </c>
      <c r="I439" t="s">
        <v>957</v>
      </c>
      <c r="J439" s="25" t="s">
        <v>68</v>
      </c>
      <c r="K439" t="b">
        <v>0</v>
      </c>
      <c r="M439">
        <v>12424085</v>
      </c>
      <c r="N439">
        <v>12434085</v>
      </c>
      <c r="O439">
        <v>12444085</v>
      </c>
      <c r="P439">
        <v>12454085</v>
      </c>
      <c r="Q439">
        <v>12464085</v>
      </c>
      <c r="R439">
        <v>12474085</v>
      </c>
      <c r="S439">
        <v>12484085</v>
      </c>
      <c r="T439">
        <v>12425085</v>
      </c>
      <c r="U439">
        <v>12435085</v>
      </c>
      <c r="V439">
        <v>12445085</v>
      </c>
      <c r="W439">
        <v>12455085</v>
      </c>
      <c r="X439">
        <v>12465085</v>
      </c>
      <c r="Y439">
        <v>12475085</v>
      </c>
      <c r="Z439">
        <v>12485085</v>
      </c>
      <c r="AA439">
        <v>12426085</v>
      </c>
      <c r="AB439">
        <v>12436085</v>
      </c>
      <c r="AC439">
        <v>12446085</v>
      </c>
      <c r="AD439">
        <v>12456085</v>
      </c>
      <c r="AE439">
        <v>12466085</v>
      </c>
      <c r="AF439">
        <v>12476085</v>
      </c>
      <c r="AG439">
        <v>12486085</v>
      </c>
      <c r="AH439" s="11">
        <v>86</v>
      </c>
      <c r="AI439" s="11" t="b">
        <v>1</v>
      </c>
      <c r="AL439" t="str" s="11">
        <v>【补充设计】保留奇珍ID、钥匙与图谱关系；可携带标记与独立效果行逐ID核对。</v>
      </c>
    </row>
    <row r="440" spans="2:35">
      <c r="B440">
        <v>72424089</v>
      </c>
      <c r="C440" t="s">
        <v>958</v>
      </c>
      <c r="D440" s="25">
        <v>12424089</v>
      </c>
      <c r="E440" t="s">
        <v>724</v>
      </c>
      <c r="F440" t="s">
        <v>145</v>
      </c>
      <c r="G440" t="s">
        <v>66</v>
      </c>
      <c r="H440">
        <v>12421011</v>
      </c>
      <c r="I440" t="s">
        <v>959</v>
      </c>
      <c r="J440" s="25" t="s">
        <v>68</v>
      </c>
      <c r="K440" t="b">
        <v>0</v>
      </c>
      <c r="M440">
        <v>12424089</v>
      </c>
      <c r="N440">
        <v>12434089</v>
      </c>
      <c r="O440">
        <v>12444089</v>
      </c>
      <c r="P440">
        <v>12454089</v>
      </c>
      <c r="Q440">
        <v>12464089</v>
      </c>
      <c r="R440">
        <v>12474089</v>
      </c>
      <c r="S440">
        <v>12484089</v>
      </c>
      <c r="T440">
        <v>12425089</v>
      </c>
      <c r="U440">
        <v>12435089</v>
      </c>
      <c r="V440">
        <v>12445089</v>
      </c>
      <c r="W440">
        <v>12455089</v>
      </c>
      <c r="X440">
        <v>12465089</v>
      </c>
      <c r="Y440">
        <v>12475089</v>
      </c>
      <c r="Z440">
        <v>12485089</v>
      </c>
      <c r="AA440">
        <v>12426089</v>
      </c>
      <c r="AB440">
        <v>12436089</v>
      </c>
      <c r="AC440">
        <v>12446089</v>
      </c>
      <c r="AD440">
        <v>12456089</v>
      </c>
      <c r="AE440">
        <v>12466089</v>
      </c>
      <c r="AF440">
        <v>12476089</v>
      </c>
      <c r="AG440">
        <v>12486089</v>
      </c>
      <c r="AH440" s="11">
        <v>90</v>
      </c>
      <c r="AI440" s="11" t="b">
        <v>1</v>
      </c>
      <c r="AL440" t="str" s="11">
        <v>【补充设计】保留奇珍ID、钥匙与图谱关系；可携带标记与独立效果行逐ID核对。</v>
      </c>
    </row>
    <row r="441" spans="2:35">
      <c r="B441">
        <v>72424090</v>
      </c>
      <c r="C441" t="s">
        <v>960</v>
      </c>
      <c r="D441" s="25">
        <v>12424090</v>
      </c>
      <c r="E441" t="s">
        <v>724</v>
      </c>
      <c r="F441" t="s">
        <v>145</v>
      </c>
      <c r="G441" t="s">
        <v>66</v>
      </c>
      <c r="H441">
        <v>12421011</v>
      </c>
      <c r="I441" t="s">
        <v>961</v>
      </c>
      <c r="J441" s="25" t="s">
        <v>68</v>
      </c>
      <c r="K441" t="b">
        <v>0</v>
      </c>
      <c r="M441">
        <v>12424090</v>
      </c>
      <c r="N441">
        <v>12434090</v>
      </c>
      <c r="O441">
        <v>12444090</v>
      </c>
      <c r="P441">
        <v>12454090</v>
      </c>
      <c r="Q441">
        <v>12464090</v>
      </c>
      <c r="R441">
        <v>12474090</v>
      </c>
      <c r="S441">
        <v>12484090</v>
      </c>
      <c r="T441">
        <v>12425090</v>
      </c>
      <c r="U441">
        <v>12435090</v>
      </c>
      <c r="V441">
        <v>12445090</v>
      </c>
      <c r="W441">
        <v>12455090</v>
      </c>
      <c r="X441">
        <v>12465090</v>
      </c>
      <c r="Y441">
        <v>12475090</v>
      </c>
      <c r="Z441">
        <v>12485090</v>
      </c>
      <c r="AA441">
        <v>12426090</v>
      </c>
      <c r="AB441">
        <v>12436090</v>
      </c>
      <c r="AC441">
        <v>12446090</v>
      </c>
      <c r="AD441">
        <v>12456090</v>
      </c>
      <c r="AE441">
        <v>12466090</v>
      </c>
      <c r="AF441">
        <v>12476090</v>
      </c>
      <c r="AG441">
        <v>12486090</v>
      </c>
      <c r="AH441" s="11">
        <v>91</v>
      </c>
      <c r="AI441" s="11" t="b">
        <v>1</v>
      </c>
      <c r="AL441" t="str" s="11">
        <v>【补充设计】保留奇珍ID、钥匙与图谱关系；可携带标记与独立效果行逐ID核对。</v>
      </c>
    </row>
    <row r="442" spans="2:35">
      <c r="B442">
        <v>72424091</v>
      </c>
      <c r="C442" t="s">
        <v>962</v>
      </c>
      <c r="D442" s="25">
        <v>12424091</v>
      </c>
      <c r="E442" t="s">
        <v>724</v>
      </c>
      <c r="F442" t="s">
        <v>145</v>
      </c>
      <c r="G442" t="s">
        <v>66</v>
      </c>
      <c r="H442">
        <v>12421011</v>
      </c>
      <c r="I442" t="s">
        <v>963</v>
      </c>
      <c r="J442" s="25" t="s">
        <v>68</v>
      </c>
      <c r="K442" t="b">
        <v>0</v>
      </c>
      <c r="M442">
        <v>12424091</v>
      </c>
      <c r="N442">
        <v>12434091</v>
      </c>
      <c r="O442">
        <v>12444091</v>
      </c>
      <c r="P442">
        <v>12454091</v>
      </c>
      <c r="Q442">
        <v>12464091</v>
      </c>
      <c r="R442">
        <v>12474091</v>
      </c>
      <c r="S442">
        <v>12484091</v>
      </c>
      <c r="T442">
        <v>12425091</v>
      </c>
      <c r="U442">
        <v>12435091</v>
      </c>
      <c r="V442">
        <v>12445091</v>
      </c>
      <c r="W442">
        <v>12455091</v>
      </c>
      <c r="X442">
        <v>12465091</v>
      </c>
      <c r="Y442">
        <v>12475091</v>
      </c>
      <c r="Z442">
        <v>12485091</v>
      </c>
      <c r="AA442">
        <v>12426091</v>
      </c>
      <c r="AB442">
        <v>12436091</v>
      </c>
      <c r="AC442">
        <v>12446091</v>
      </c>
      <c r="AD442">
        <v>12456091</v>
      </c>
      <c r="AE442">
        <v>12466091</v>
      </c>
      <c r="AF442">
        <v>12476091</v>
      </c>
      <c r="AG442">
        <v>12486091</v>
      </c>
      <c r="AH442" s="11">
        <v>92</v>
      </c>
      <c r="AI442" s="11" t="b">
        <v>1</v>
      </c>
      <c r="AL442" t="str" s="11">
        <v>【补充设计】保留奇珍ID、钥匙与图谱关系；可携带标记与独立效果行逐ID核对。</v>
      </c>
    </row>
    <row r="443" spans="2:35">
      <c r="B443">
        <v>72434096</v>
      </c>
      <c r="C443" t="s">
        <v>964</v>
      </c>
      <c r="D443" s="25">
        <v>12434096</v>
      </c>
      <c r="E443" t="s">
        <v>724</v>
      </c>
      <c r="F443" t="s">
        <v>145</v>
      </c>
      <c r="G443" t="s">
        <v>66</v>
      </c>
      <c r="H443">
        <v>12431082</v>
      </c>
      <c r="I443" t="s">
        <v>965</v>
      </c>
      <c r="J443" s="25" t="s">
        <v>68</v>
      </c>
      <c r="K443" t="b">
        <v>0</v>
      </c>
      <c r="M443">
        <v>12434096</v>
      </c>
      <c r="N443">
        <v>12435096</v>
      </c>
      <c r="O443">
        <v>12436096</v>
      </c>
      <c r="AH443" s="11">
        <v>98</v>
      </c>
      <c r="AI443" s="11" t="b">
        <v>1</v>
      </c>
      <c r="AL443" t="str" s="11">
        <v>【补充设计】保留奇珍ID、钥匙与图谱关系；可携带标记与独立效果行逐ID核对。</v>
      </c>
    </row>
    <row r="444" spans="2:35">
      <c r="B444">
        <v>72434097</v>
      </c>
      <c r="C444" t="s">
        <v>966</v>
      </c>
      <c r="D444" s="25">
        <v>12434097</v>
      </c>
      <c r="E444" t="s">
        <v>724</v>
      </c>
      <c r="F444" t="s">
        <v>145</v>
      </c>
      <c r="G444" t="s">
        <v>66</v>
      </c>
      <c r="H444">
        <v>12431082</v>
      </c>
      <c r="I444" t="s">
        <v>967</v>
      </c>
      <c r="J444" s="25" t="s">
        <v>68</v>
      </c>
      <c r="K444" t="b">
        <v>0</v>
      </c>
      <c r="M444">
        <v>12434097</v>
      </c>
      <c r="N444">
        <v>12435097</v>
      </c>
      <c r="O444">
        <v>12436097</v>
      </c>
      <c r="AH444" s="11">
        <v>99</v>
      </c>
      <c r="AI444" s="11" t="b">
        <v>1</v>
      </c>
      <c r="AL444" t="str" s="11">
        <v>【补充设计】保留奇珍ID、钥匙与图谱关系；可携带标记与独立效果行逐ID核对。</v>
      </c>
    </row>
    <row r="445" spans="2:35">
      <c r="B445">
        <v>72434098</v>
      </c>
      <c r="C445" t="s">
        <v>968</v>
      </c>
      <c r="D445" s="25">
        <v>12434098</v>
      </c>
      <c r="E445" t="s">
        <v>724</v>
      </c>
      <c r="F445" t="s">
        <v>145</v>
      </c>
      <c r="G445" t="s">
        <v>66</v>
      </c>
      <c r="H445">
        <v>12431082</v>
      </c>
      <c r="I445" t="s">
        <v>969</v>
      </c>
      <c r="J445" s="25" t="s">
        <v>68</v>
      </c>
      <c r="K445" t="b">
        <v>0</v>
      </c>
      <c r="M445">
        <v>12434098</v>
      </c>
      <c r="N445">
        <v>12435098</v>
      </c>
      <c r="O445">
        <v>12436098</v>
      </c>
      <c r="AH445" s="11">
        <v>100</v>
      </c>
      <c r="AI445" s="11" t="b">
        <v>1</v>
      </c>
      <c r="AL445" t="str" s="11">
        <v>【补充设计】保留奇珍ID、钥匙与图谱关系；可携带标记与独立效果行逐ID核对。</v>
      </c>
    </row>
    <row r="446" spans="2:35">
      <c r="B446">
        <v>72434099</v>
      </c>
      <c r="C446" t="s">
        <v>970</v>
      </c>
      <c r="D446" s="25">
        <v>12434099</v>
      </c>
      <c r="E446" t="s">
        <v>724</v>
      </c>
      <c r="F446" t="s">
        <v>145</v>
      </c>
      <c r="G446" t="s">
        <v>66</v>
      </c>
      <c r="H446">
        <v>12431082</v>
      </c>
      <c r="I446" t="s">
        <v>971</v>
      </c>
      <c r="J446" s="25" t="s">
        <v>68</v>
      </c>
      <c r="K446" t="b">
        <v>0</v>
      </c>
      <c r="M446">
        <v>12434099</v>
      </c>
      <c r="N446">
        <v>12435099</v>
      </c>
      <c r="O446">
        <v>12436099</v>
      </c>
      <c r="AH446" s="11">
        <v>101</v>
      </c>
      <c r="AI446" s="11" t="b">
        <v>1</v>
      </c>
      <c r="AL446" t="str" s="11">
        <v>【补充设计】保留奇珍ID、钥匙与图谱关系；可携带标记与独立效果行逐ID核对。</v>
      </c>
    </row>
    <row r="447" spans="2:35">
      <c r="B447">
        <v>72434100</v>
      </c>
      <c r="C447" t="s">
        <v>972</v>
      </c>
      <c r="D447" s="25">
        <v>12434100</v>
      </c>
      <c r="E447" t="s">
        <v>724</v>
      </c>
      <c r="F447" t="s">
        <v>145</v>
      </c>
      <c r="G447" t="s">
        <v>66</v>
      </c>
      <c r="H447">
        <v>12431082</v>
      </c>
      <c r="I447" t="s">
        <v>973</v>
      </c>
      <c r="J447" s="25" t="s">
        <v>68</v>
      </c>
      <c r="K447" t="b">
        <v>0</v>
      </c>
      <c r="M447">
        <v>12434100</v>
      </c>
      <c r="N447">
        <v>12435100</v>
      </c>
      <c r="O447">
        <v>12436100</v>
      </c>
      <c r="AH447" s="11">
        <v>102</v>
      </c>
      <c r="AI447" s="11" t="b">
        <v>1</v>
      </c>
      <c r="AL447" t="str" s="11">
        <v>【补充设计】保留奇珍ID、钥匙与图谱关系；可携带标记与独立效果行逐ID核对。</v>
      </c>
    </row>
    <row r="448" spans="2:35">
      <c r="B448">
        <v>72434101</v>
      </c>
      <c r="C448" t="s">
        <v>974</v>
      </c>
      <c r="D448" s="25">
        <v>12434101</v>
      </c>
      <c r="E448" t="s">
        <v>724</v>
      </c>
      <c r="F448" t="s">
        <v>145</v>
      </c>
      <c r="G448" t="s">
        <v>66</v>
      </c>
      <c r="H448">
        <v>12431082</v>
      </c>
      <c r="I448" t="s">
        <v>975</v>
      </c>
      <c r="J448" s="25" t="s">
        <v>68</v>
      </c>
      <c r="K448" t="b">
        <v>0</v>
      </c>
      <c r="M448">
        <v>12434101</v>
      </c>
      <c r="N448">
        <v>12435101</v>
      </c>
      <c r="O448">
        <v>12436101</v>
      </c>
      <c r="AH448" s="11">
        <v>103</v>
      </c>
      <c r="AI448" s="11" t="b">
        <v>1</v>
      </c>
      <c r="AL448" t="str" s="11">
        <v>【补充设计】保留奇珍ID、钥匙与图谱关系；可携带标记与独立效果行逐ID核对。</v>
      </c>
    </row>
    <row r="449" spans="2:35">
      <c r="B449">
        <v>72434102</v>
      </c>
      <c r="C449" t="inlineStr">
        <is>
          <t xml:space="preserve">乌星剑·裂血</t>
        </is>
      </c>
      <c r="D449" s="25">
        <v>12434102</v>
      </c>
      <c r="E449" t="s">
        <v>724</v>
      </c>
      <c r="F449" t="s">
        <v>145</v>
      </c>
      <c r="G449" t="s">
        <v>66</v>
      </c>
      <c r="H449">
        <v>12431082</v>
      </c>
      <c r="I449" t="s">
        <v>977</v>
      </c>
      <c r="J449" s="25" t="s">
        <v>68</v>
      </c>
      <c r="K449" t="b">
        <v>0</v>
      </c>
      <c r="M449">
        <v>12434102</v>
      </c>
      <c r="N449">
        <v>12435102</v>
      </c>
      <c r="O449">
        <v>12436102</v>
      </c>
      <c r="AH449" s="11">
        <v>104</v>
      </c>
      <c r="AI449" s="11" t="b">
        <v>1</v>
      </c>
      <c r="AL449" t="str" s="11">
        <v>【补充设计】保留奇珍ID、钥匙与图谱关系；可携带标记与独立效果行逐ID核对。</v>
      </c>
    </row>
    <row r="450" spans="2:35">
      <c r="B450">
        <v>72434103</v>
      </c>
      <c r="C450" t="s">
        <v>978</v>
      </c>
      <c r="D450" s="25">
        <v>12434103</v>
      </c>
      <c r="E450" t="s">
        <v>724</v>
      </c>
      <c r="F450" t="s">
        <v>145</v>
      </c>
      <c r="G450" t="s">
        <v>66</v>
      </c>
      <c r="H450">
        <v>12431082</v>
      </c>
      <c r="I450" t="s">
        <v>979</v>
      </c>
      <c r="J450" s="25" t="s">
        <v>68</v>
      </c>
      <c r="K450" t="b">
        <v>0</v>
      </c>
      <c r="M450">
        <v>12434103</v>
      </c>
      <c r="N450">
        <v>12435103</v>
      </c>
      <c r="O450">
        <v>12436103</v>
      </c>
      <c r="AH450" s="11">
        <v>105</v>
      </c>
      <c r="AI450" s="11" t="b">
        <v>1</v>
      </c>
      <c r="AL450" t="str" s="11">
        <v>【补充设计】保留奇珍ID、钥匙与图谱关系；可携带标记与独立效果行逐ID核对。</v>
      </c>
    </row>
    <row r="451" spans="2:35">
      <c r="B451">
        <v>72434104</v>
      </c>
      <c r="C451" t="s">
        <v>980</v>
      </c>
      <c r="D451" s="25">
        <v>12434104</v>
      </c>
      <c r="E451" t="s">
        <v>724</v>
      </c>
      <c r="F451" t="s">
        <v>145</v>
      </c>
      <c r="G451" t="s">
        <v>66</v>
      </c>
      <c r="H451">
        <v>12431082</v>
      </c>
      <c r="I451" t="s">
        <v>981</v>
      </c>
      <c r="J451" s="25" t="s">
        <v>68</v>
      </c>
      <c r="K451" t="b">
        <v>0</v>
      </c>
      <c r="M451">
        <v>12434104</v>
      </c>
      <c r="N451">
        <v>12435104</v>
      </c>
      <c r="O451">
        <v>12436104</v>
      </c>
      <c r="AH451" s="11">
        <v>106</v>
      </c>
      <c r="AI451" s="11" t="b">
        <v>1</v>
      </c>
      <c r="AL451" t="str" s="11">
        <v>【补充设计】保留奇珍ID、钥匙与图谱关系；可携带标记与独立效果行逐ID核对。</v>
      </c>
    </row>
    <row r="452" spans="2:35">
      <c r="B452">
        <v>72434105</v>
      </c>
      <c r="C452" t="s">
        <v>982</v>
      </c>
      <c r="D452" s="25">
        <v>12434105</v>
      </c>
      <c r="E452" t="s">
        <v>724</v>
      </c>
      <c r="F452" t="s">
        <v>145</v>
      </c>
      <c r="G452" t="s">
        <v>66</v>
      </c>
      <c r="H452">
        <v>12431082</v>
      </c>
      <c r="I452" t="s">
        <v>983</v>
      </c>
      <c r="J452" s="25" t="s">
        <v>68</v>
      </c>
      <c r="K452" t="b">
        <v>0</v>
      </c>
      <c r="M452">
        <v>12434105</v>
      </c>
      <c r="N452">
        <v>12435105</v>
      </c>
      <c r="O452">
        <v>12436105</v>
      </c>
      <c r="AH452" s="11">
        <v>107</v>
      </c>
      <c r="AI452" s="11" t="b">
        <v>1</v>
      </c>
      <c r="AL452" t="str" s="11">
        <v>【补充设计】保留奇珍ID、钥匙与图谱关系；可携带标记与独立效果行逐ID核对。</v>
      </c>
    </row>
    <row r="453" spans="2:35">
      <c r="B453">
        <v>72434106</v>
      </c>
      <c r="C453" t="s">
        <v>984</v>
      </c>
      <c r="D453" s="25">
        <v>12434106</v>
      </c>
      <c r="E453" t="s">
        <v>724</v>
      </c>
      <c r="F453" t="s">
        <v>145</v>
      </c>
      <c r="G453" t="s">
        <v>66</v>
      </c>
      <c r="H453">
        <v>12431082</v>
      </c>
      <c r="I453" t="s">
        <v>985</v>
      </c>
      <c r="J453" s="25" t="s">
        <v>68</v>
      </c>
      <c r="K453" t="b">
        <v>0</v>
      </c>
      <c r="M453">
        <v>12434106</v>
      </c>
      <c r="N453">
        <v>12435106</v>
      </c>
      <c r="O453">
        <v>12436106</v>
      </c>
      <c r="AH453" s="11">
        <v>108</v>
      </c>
      <c r="AI453" s="11" t="b">
        <v>1</v>
      </c>
      <c r="AL453" t="str" s="11">
        <v>【补充设计】保留奇珍ID、钥匙与图谱关系；可携带标记与独立效果行逐ID核对。</v>
      </c>
    </row>
    <row r="454" spans="2:35">
      <c r="B454">
        <v>72434107</v>
      </c>
      <c r="C454" t="s">
        <v>986</v>
      </c>
      <c r="D454" s="25">
        <v>12434107</v>
      </c>
      <c r="E454" t="s">
        <v>724</v>
      </c>
      <c r="F454" t="s">
        <v>145</v>
      </c>
      <c r="G454" t="s">
        <v>66</v>
      </c>
      <c r="H454">
        <v>12431082</v>
      </c>
      <c r="I454" t="s">
        <v>987</v>
      </c>
      <c r="J454" s="25" t="s">
        <v>68</v>
      </c>
      <c r="K454" t="b">
        <v>0</v>
      </c>
      <c r="M454">
        <v>12434107</v>
      </c>
      <c r="N454">
        <v>12435107</v>
      </c>
      <c r="O454">
        <v>12436107</v>
      </c>
      <c r="AH454" s="11">
        <v>109</v>
      </c>
      <c r="AI454" s="11" t="b">
        <v>1</v>
      </c>
      <c r="AL454" t="str" s="11">
        <v>【补充设计】保留奇珍ID、钥匙与图谱关系；可携带标记与独立效果行逐ID核对。</v>
      </c>
    </row>
    <row r="455" spans="2:35">
      <c r="B455">
        <v>72434108</v>
      </c>
      <c r="C455" t="s">
        <v>988</v>
      </c>
      <c r="D455" s="25">
        <v>12434108</v>
      </c>
      <c r="E455" t="s">
        <v>724</v>
      </c>
      <c r="F455" t="s">
        <v>145</v>
      </c>
      <c r="G455" t="s">
        <v>66</v>
      </c>
      <c r="H455">
        <v>12431082</v>
      </c>
      <c r="I455" t="s">
        <v>989</v>
      </c>
      <c r="J455" s="25" t="s">
        <v>68</v>
      </c>
      <c r="K455" t="b">
        <v>0</v>
      </c>
      <c r="M455">
        <v>12434108</v>
      </c>
      <c r="N455">
        <v>12435108</v>
      </c>
      <c r="O455">
        <v>12436108</v>
      </c>
      <c r="AH455" s="11">
        <v>110</v>
      </c>
      <c r="AI455" s="11" t="b">
        <v>1</v>
      </c>
      <c r="AL455" t="str" s="11">
        <v>【补充设计】保留奇珍ID、钥匙与图谱关系；可携带标记与独立效果行逐ID核对。</v>
      </c>
    </row>
    <row r="456" spans="2:35">
      <c r="B456">
        <v>72434109</v>
      </c>
      <c r="C456" t="s">
        <v>990</v>
      </c>
      <c r="D456" s="25">
        <v>12434109</v>
      </c>
      <c r="E456" t="s">
        <v>724</v>
      </c>
      <c r="F456" t="s">
        <v>145</v>
      </c>
      <c r="G456" t="s">
        <v>66</v>
      </c>
      <c r="H456">
        <v>12431082</v>
      </c>
      <c r="I456" t="s">
        <v>991</v>
      </c>
      <c r="J456" s="25" t="s">
        <v>68</v>
      </c>
      <c r="K456" t="b">
        <v>0</v>
      </c>
      <c r="M456">
        <v>12434109</v>
      </c>
      <c r="N456">
        <v>12435109</v>
      </c>
      <c r="O456">
        <v>12436109</v>
      </c>
      <c r="AH456" s="11">
        <v>111</v>
      </c>
      <c r="AI456" s="11" t="b">
        <v>1</v>
      </c>
      <c r="AL456" t="str" s="11">
        <v>【补充设计】保留奇珍ID、钥匙与图谱关系；可携带标记与独立效果行逐ID核对。</v>
      </c>
    </row>
    <row r="457" spans="2:35">
      <c r="B457">
        <v>72434110</v>
      </c>
      <c r="C457" t="s">
        <v>992</v>
      </c>
      <c r="D457" s="25">
        <v>12434110</v>
      </c>
      <c r="E457" t="s">
        <v>724</v>
      </c>
      <c r="F457" t="s">
        <v>145</v>
      </c>
      <c r="G457" t="s">
        <v>66</v>
      </c>
      <c r="H457">
        <v>12431082</v>
      </c>
      <c r="I457" t="s">
        <v>993</v>
      </c>
      <c r="J457" s="25" t="s">
        <v>68</v>
      </c>
      <c r="K457" t="b">
        <v>0</v>
      </c>
      <c r="M457">
        <v>12434110</v>
      </c>
      <c r="N457">
        <v>12435110</v>
      </c>
      <c r="O457">
        <v>12436110</v>
      </c>
      <c r="AH457" s="11">
        <v>112</v>
      </c>
      <c r="AI457" s="11" t="b">
        <v>1</v>
      </c>
      <c r="AL457" t="str" s="11">
        <v>【补充设计】保留奇珍ID、钥匙与图谱关系；可携带标记与独立效果行逐ID核对。</v>
      </c>
    </row>
    <row r="458" spans="2:35">
      <c r="B458">
        <v>72434112</v>
      </c>
      <c r="C458" t="s">
        <v>994</v>
      </c>
      <c r="D458" s="25">
        <v>12434112</v>
      </c>
      <c r="E458" t="s">
        <v>724</v>
      </c>
      <c r="F458" t="s">
        <v>145</v>
      </c>
      <c r="G458" t="s">
        <v>66</v>
      </c>
      <c r="H458">
        <v>12431081</v>
      </c>
      <c r="I458" t="s">
        <v>995</v>
      </c>
      <c r="J458" s="25" t="s">
        <v>68</v>
      </c>
      <c r="K458" t="b">
        <v>0</v>
      </c>
      <c r="M458">
        <v>12434112</v>
      </c>
      <c r="N458">
        <v>12435112</v>
      </c>
      <c r="O458">
        <v>12436112</v>
      </c>
      <c r="AH458" s="11">
        <v>114</v>
      </c>
      <c r="AI458" s="11" t="b">
        <v>1</v>
      </c>
      <c r="AL458" t="str" s="11">
        <v>【补充设计】保留奇珍ID、钥匙与图谱关系；可携带标记与独立效果行逐ID核对。</v>
      </c>
    </row>
    <row r="459" spans="2:35">
      <c r="B459">
        <v>72434113</v>
      </c>
      <c r="C459" t="s">
        <v>996</v>
      </c>
      <c r="D459" s="25">
        <v>12434113</v>
      </c>
      <c r="E459" t="s">
        <v>724</v>
      </c>
      <c r="F459" t="s">
        <v>145</v>
      </c>
      <c r="G459" t="s">
        <v>66</v>
      </c>
      <c r="H459">
        <v>12431081</v>
      </c>
      <c r="I459" t="s">
        <v>997</v>
      </c>
      <c r="J459" s="25" t="s">
        <v>68</v>
      </c>
      <c r="K459" t="b">
        <v>0</v>
      </c>
      <c r="M459">
        <v>12434113</v>
      </c>
      <c r="N459">
        <v>12435113</v>
      </c>
      <c r="O459">
        <v>12436113</v>
      </c>
      <c r="AH459" s="11">
        <v>115</v>
      </c>
      <c r="AI459" s="11" t="b">
        <v>1</v>
      </c>
      <c r="AL459" t="str" s="11">
        <v>【补充设计】保留奇珍ID、钥匙与图谱关系；可携带标记与独立效果行逐ID核对。</v>
      </c>
    </row>
    <row r="460" spans="2:35">
      <c r="B460">
        <v>72434114</v>
      </c>
      <c r="C460" t="s">
        <v>998</v>
      </c>
      <c r="D460" s="25">
        <v>12434114</v>
      </c>
      <c r="E460" t="s">
        <v>724</v>
      </c>
      <c r="F460" t="s">
        <v>145</v>
      </c>
      <c r="G460" t="s">
        <v>66</v>
      </c>
      <c r="H460">
        <v>12431081</v>
      </c>
      <c r="I460" t="s">
        <v>999</v>
      </c>
      <c r="J460" s="25" t="s">
        <v>68</v>
      </c>
      <c r="K460" t="b">
        <v>0</v>
      </c>
      <c r="M460">
        <v>12434114</v>
      </c>
      <c r="N460">
        <v>12435114</v>
      </c>
      <c r="O460">
        <v>12436114</v>
      </c>
      <c r="AH460" s="11">
        <v>116</v>
      </c>
      <c r="AI460" s="11" t="b">
        <v>1</v>
      </c>
      <c r="AL460" t="str" s="11">
        <v>【补充设计】保留奇珍ID、钥匙与图谱关系；可携带标记与独立效果行逐ID核对。</v>
      </c>
    </row>
    <row r="461" spans="2:35">
      <c r="B461">
        <v>72434116</v>
      </c>
      <c r="C461" t="s">
        <v>1000</v>
      </c>
      <c r="D461" s="25">
        <v>12434116</v>
      </c>
      <c r="E461" t="s">
        <v>724</v>
      </c>
      <c r="F461" t="s">
        <v>145</v>
      </c>
      <c r="G461" t="s">
        <v>66</v>
      </c>
      <c r="H461">
        <v>12431084</v>
      </c>
      <c r="I461" t="s">
        <v>1001</v>
      </c>
      <c r="J461" s="25" t="s">
        <v>68</v>
      </c>
      <c r="K461" t="b">
        <v>0</v>
      </c>
      <c r="M461">
        <v>12434116</v>
      </c>
      <c r="N461">
        <v>12435116</v>
      </c>
      <c r="O461">
        <v>12436116</v>
      </c>
      <c r="AH461" s="11">
        <v>118</v>
      </c>
      <c r="AI461" s="11" t="b">
        <v>1</v>
      </c>
      <c r="AL461" t="str" s="11">
        <v>【补充设计】保留奇珍ID、钥匙与图谱关系；可携带标记与独立效果行逐ID核对。</v>
      </c>
    </row>
    <row r="462" spans="2:35">
      <c r="B462">
        <v>72434117</v>
      </c>
      <c r="C462" t="s">
        <v>1002</v>
      </c>
      <c r="D462" s="25">
        <v>12434117</v>
      </c>
      <c r="E462" t="s">
        <v>724</v>
      </c>
      <c r="F462" t="s">
        <v>145</v>
      </c>
      <c r="G462" t="s">
        <v>66</v>
      </c>
      <c r="H462">
        <v>12431084</v>
      </c>
      <c r="I462" t="s">
        <v>1003</v>
      </c>
      <c r="J462" s="25" t="s">
        <v>68</v>
      </c>
      <c r="K462" t="b">
        <v>0</v>
      </c>
      <c r="M462">
        <v>12434117</v>
      </c>
      <c r="N462">
        <v>12435117</v>
      </c>
      <c r="O462">
        <v>12436117</v>
      </c>
      <c r="AH462" s="11">
        <v>119</v>
      </c>
      <c r="AI462" s="11" t="b">
        <v>1</v>
      </c>
      <c r="AL462" t="str" s="11">
        <v>【补充设计】保留奇珍ID、钥匙与图谱关系；可携带标记与独立效果行逐ID核对。</v>
      </c>
    </row>
    <row r="463" spans="2:35">
      <c r="B463">
        <v>72434118</v>
      </c>
      <c r="C463" t="s">
        <v>1004</v>
      </c>
      <c r="D463" s="25">
        <v>12434118</v>
      </c>
      <c r="E463" t="s">
        <v>724</v>
      </c>
      <c r="F463" t="s">
        <v>145</v>
      </c>
      <c r="G463" t="s">
        <v>66</v>
      </c>
      <c r="H463">
        <v>12431084</v>
      </c>
      <c r="I463" t="s">
        <v>1005</v>
      </c>
      <c r="J463" s="25" t="s">
        <v>68</v>
      </c>
      <c r="K463" t="b">
        <v>0</v>
      </c>
      <c r="M463">
        <v>12434118</v>
      </c>
      <c r="N463">
        <v>12435118</v>
      </c>
      <c r="O463">
        <v>12436118</v>
      </c>
      <c r="AH463" s="11">
        <v>120</v>
      </c>
      <c r="AI463" s="11" t="b">
        <v>1</v>
      </c>
      <c r="AL463" t="str" s="11">
        <v>【补充设计】保留奇珍ID、钥匙与图谱关系；可携带标记与独立效果行逐ID核对。</v>
      </c>
    </row>
    <row r="464" spans="2:35">
      <c r="B464">
        <v>72434119</v>
      </c>
      <c r="C464" t="s">
        <v>1006</v>
      </c>
      <c r="D464" s="25">
        <v>12434119</v>
      </c>
      <c r="E464" t="s">
        <v>724</v>
      </c>
      <c r="F464" t="s">
        <v>145</v>
      </c>
      <c r="G464" t="s">
        <v>66</v>
      </c>
      <c r="H464">
        <v>12431084</v>
      </c>
      <c r="I464" t="s">
        <v>1007</v>
      </c>
      <c r="J464" s="25" t="s">
        <v>68</v>
      </c>
      <c r="K464" t="b">
        <v>0</v>
      </c>
      <c r="M464">
        <v>12434119</v>
      </c>
      <c r="N464">
        <v>12435119</v>
      </c>
      <c r="O464">
        <v>12436119</v>
      </c>
      <c r="AH464" s="11">
        <v>121</v>
      </c>
      <c r="AI464" s="11" t="b">
        <v>1</v>
      </c>
      <c r="AL464" t="str" s="11">
        <v>【补充设计】保留奇珍ID、钥匙与图谱关系；可携带标记与独立效果行逐ID核对。</v>
      </c>
    </row>
    <row r="465" spans="2:35">
      <c r="B465">
        <v>72434120</v>
      </c>
      <c r="C465" t="s">
        <v>1008</v>
      </c>
      <c r="D465" s="25">
        <v>12434120</v>
      </c>
      <c r="E465" t="s">
        <v>724</v>
      </c>
      <c r="F465" t="s">
        <v>145</v>
      </c>
      <c r="G465" t="s">
        <v>66</v>
      </c>
      <c r="H465">
        <v>12431084</v>
      </c>
      <c r="I465" t="s">
        <v>1009</v>
      </c>
      <c r="J465" s="25" t="s">
        <v>68</v>
      </c>
      <c r="K465" t="b">
        <v>0</v>
      </c>
      <c r="M465">
        <v>12434120</v>
      </c>
      <c r="N465">
        <v>12435120</v>
      </c>
      <c r="O465">
        <v>12436120</v>
      </c>
      <c r="AH465" s="11">
        <v>122</v>
      </c>
      <c r="AI465" s="11" t="b">
        <v>1</v>
      </c>
      <c r="AL465" t="str" s="11">
        <v>【补充设计】保留奇珍ID、钥匙与图谱关系；可携带标记与独立效果行逐ID核对。</v>
      </c>
    </row>
    <row r="466" spans="2:35">
      <c r="B466">
        <v>72434121</v>
      </c>
      <c r="C466" t="s">
        <v>1010</v>
      </c>
      <c r="D466" s="25">
        <v>12434121</v>
      </c>
      <c r="E466" t="s">
        <v>724</v>
      </c>
      <c r="F466" t="s">
        <v>145</v>
      </c>
      <c r="G466" t="s">
        <v>66</v>
      </c>
      <c r="H466">
        <v>12431084</v>
      </c>
      <c r="I466" t="s">
        <v>1011</v>
      </c>
      <c r="J466" s="25" t="s">
        <v>68</v>
      </c>
      <c r="K466" t="b">
        <v>0</v>
      </c>
      <c r="M466">
        <v>12434121</v>
      </c>
      <c r="N466">
        <v>12435121</v>
      </c>
      <c r="O466">
        <v>12436121</v>
      </c>
      <c r="AH466" s="11">
        <v>123</v>
      </c>
      <c r="AI466" s="11" t="b">
        <v>1</v>
      </c>
      <c r="AL466" t="str" s="11">
        <v>【补充设计】保留奇珍ID、钥匙与图谱关系；可携带标记与独立效果行逐ID核对。</v>
      </c>
    </row>
    <row r="467" spans="2:35">
      <c r="B467">
        <v>72434122</v>
      </c>
      <c r="C467" t="s">
        <v>1012</v>
      </c>
      <c r="D467" s="25">
        <v>12434122</v>
      </c>
      <c r="E467" t="s">
        <v>724</v>
      </c>
      <c r="F467" t="s">
        <v>145</v>
      </c>
      <c r="G467" t="s">
        <v>66</v>
      </c>
      <c r="H467">
        <v>12431084</v>
      </c>
      <c r="I467" t="s">
        <v>1013</v>
      </c>
      <c r="J467" s="25" t="s">
        <v>68</v>
      </c>
      <c r="K467" t="b">
        <v>0</v>
      </c>
      <c r="M467">
        <v>12434122</v>
      </c>
      <c r="N467">
        <v>12435122</v>
      </c>
      <c r="O467">
        <v>12436122</v>
      </c>
      <c r="AH467" s="11">
        <v>124</v>
      </c>
      <c r="AI467" s="11" t="b">
        <v>1</v>
      </c>
      <c r="AL467" t="str" s="11">
        <v>【补充设计】保留奇珍ID、钥匙与图谱关系；可携带标记与独立效果行逐ID核对。</v>
      </c>
    </row>
    <row r="468" spans="2:35">
      <c r="B468">
        <v>72434123</v>
      </c>
      <c r="C468" t="s">
        <v>1014</v>
      </c>
      <c r="D468" s="25">
        <v>12434123</v>
      </c>
      <c r="E468" t="s">
        <v>724</v>
      </c>
      <c r="F468" t="s">
        <v>145</v>
      </c>
      <c r="G468" t="s">
        <v>66</v>
      </c>
      <c r="H468">
        <v>12431084</v>
      </c>
      <c r="I468" t="s">
        <v>1015</v>
      </c>
      <c r="J468" s="25" t="s">
        <v>68</v>
      </c>
      <c r="K468" t="b">
        <v>0</v>
      </c>
      <c r="M468">
        <v>12434123</v>
      </c>
      <c r="N468">
        <v>12435123</v>
      </c>
      <c r="O468">
        <v>12436123</v>
      </c>
      <c r="AH468" s="11">
        <v>125</v>
      </c>
      <c r="AI468" s="11" t="b">
        <v>1</v>
      </c>
      <c r="AL468" t="str" s="11">
        <v>【补充设计】保留奇珍ID、钥匙与图谱关系；可携带标记与独立效果行逐ID核对。</v>
      </c>
    </row>
    <row r="469" spans="2:35">
      <c r="B469">
        <v>72434124</v>
      </c>
      <c r="C469" t="s">
        <v>1016</v>
      </c>
      <c r="D469" s="25">
        <v>12434124</v>
      </c>
      <c r="E469" t="s">
        <v>724</v>
      </c>
      <c r="F469" t="s">
        <v>145</v>
      </c>
      <c r="G469" t="s">
        <v>66</v>
      </c>
      <c r="H469">
        <v>12431084</v>
      </c>
      <c r="I469" t="s">
        <v>1017</v>
      </c>
      <c r="J469" s="25" t="s">
        <v>68</v>
      </c>
      <c r="K469" t="b">
        <v>0</v>
      </c>
      <c r="M469">
        <v>12434124</v>
      </c>
      <c r="N469">
        <v>12435124</v>
      </c>
      <c r="O469">
        <v>12436124</v>
      </c>
      <c r="AH469" s="11">
        <v>126</v>
      </c>
      <c r="AI469" s="11" t="b">
        <v>1</v>
      </c>
      <c r="AL469" t="str" s="11">
        <v>【补充设计】保留奇珍ID、钥匙与图谱关系；可携带标记与独立效果行逐ID核对。</v>
      </c>
    </row>
    <row r="470" spans="2:35">
      <c r="B470">
        <v>72434125</v>
      </c>
      <c r="C470" t="s">
        <v>1018</v>
      </c>
      <c r="D470" s="25">
        <v>12434125</v>
      </c>
      <c r="E470" t="s">
        <v>724</v>
      </c>
      <c r="F470" t="s">
        <v>145</v>
      </c>
      <c r="G470" t="s">
        <v>66</v>
      </c>
      <c r="H470">
        <v>12431084</v>
      </c>
      <c r="I470" t="s">
        <v>1019</v>
      </c>
      <c r="J470" s="25" t="s">
        <v>68</v>
      </c>
      <c r="K470" t="b">
        <v>0</v>
      </c>
      <c r="M470">
        <v>12434125</v>
      </c>
      <c r="N470">
        <v>12435125</v>
      </c>
      <c r="O470">
        <v>12436125</v>
      </c>
      <c r="AH470" s="11">
        <v>127</v>
      </c>
      <c r="AI470" s="11" t="b">
        <v>1</v>
      </c>
      <c r="AL470" t="str" s="11">
        <v>【补充设计】保留奇珍ID、钥匙与图谱关系；可携带标记与独立效果行逐ID核对。</v>
      </c>
    </row>
    <row r="471" spans="2:35">
      <c r="B471">
        <v>72434126</v>
      </c>
      <c r="C471" t="s">
        <v>1020</v>
      </c>
      <c r="D471" s="25">
        <v>12434126</v>
      </c>
      <c r="E471" t="s">
        <v>724</v>
      </c>
      <c r="F471" t="s">
        <v>145</v>
      </c>
      <c r="G471" t="s">
        <v>66</v>
      </c>
      <c r="H471">
        <v>12431084</v>
      </c>
      <c r="I471" t="s">
        <v>1021</v>
      </c>
      <c r="J471" s="25" t="s">
        <v>68</v>
      </c>
      <c r="K471" t="b">
        <v>0</v>
      </c>
      <c r="M471">
        <v>12434126</v>
      </c>
      <c r="N471">
        <v>12435126</v>
      </c>
      <c r="O471">
        <v>12436126</v>
      </c>
      <c r="AH471" s="11">
        <v>128</v>
      </c>
      <c r="AI471" s="11" t="b">
        <v>1</v>
      </c>
      <c r="AL471" t="str" s="11">
        <v>【补充设计】保留奇珍ID、钥匙与图谱关系；可携带标记与独立效果行逐ID核对。</v>
      </c>
    </row>
    <row r="472" spans="2:35">
      <c r="B472">
        <v>72434127</v>
      </c>
      <c r="C472" t="s">
        <v>1022</v>
      </c>
      <c r="D472" s="25">
        <v>12434127</v>
      </c>
      <c r="E472" t="s">
        <v>724</v>
      </c>
      <c r="F472" t="s">
        <v>145</v>
      </c>
      <c r="G472" t="s">
        <v>66</v>
      </c>
      <c r="H472">
        <v>12431084</v>
      </c>
      <c r="I472" t="s">
        <v>1023</v>
      </c>
      <c r="J472" s="25" t="s">
        <v>68</v>
      </c>
      <c r="K472" t="b">
        <v>0</v>
      </c>
      <c r="M472">
        <v>12434127</v>
      </c>
      <c r="N472">
        <v>12435127</v>
      </c>
      <c r="O472">
        <v>12436127</v>
      </c>
      <c r="AH472" s="11">
        <v>129</v>
      </c>
      <c r="AI472" s="11" t="b">
        <v>1</v>
      </c>
      <c r="AL472" t="str" s="11">
        <v>【补充设计】保留奇珍ID、钥匙与图谱关系；可携带标记与独立效果行逐ID核对。</v>
      </c>
    </row>
    <row r="473" spans="2:35">
      <c r="B473">
        <v>72434128</v>
      </c>
      <c r="C473" t="s">
        <v>1024</v>
      </c>
      <c r="D473" s="25">
        <v>12434128</v>
      </c>
      <c r="E473" t="s">
        <v>724</v>
      </c>
      <c r="F473" t="s">
        <v>145</v>
      </c>
      <c r="G473" t="s">
        <v>66</v>
      </c>
      <c r="H473">
        <v>12431084</v>
      </c>
      <c r="I473" t="s">
        <v>1025</v>
      </c>
      <c r="J473" s="25" t="s">
        <v>68</v>
      </c>
      <c r="K473" t="b">
        <v>0</v>
      </c>
      <c r="M473">
        <v>12434128</v>
      </c>
      <c r="N473">
        <v>12435128</v>
      </c>
      <c r="O473">
        <v>12436128</v>
      </c>
      <c r="AH473" s="11">
        <v>130</v>
      </c>
      <c r="AI473" s="11" t="b">
        <v>1</v>
      </c>
      <c r="AL473" t="str" s="11">
        <v>【补充设计】保留奇珍ID、钥匙与图谱关系；可携带标记与独立效果行逐ID核对。</v>
      </c>
    </row>
    <row r="474" spans="2:35">
      <c r="B474">
        <v>72434129</v>
      </c>
      <c r="C474" t="s">
        <v>1026</v>
      </c>
      <c r="D474" s="25">
        <v>12434129</v>
      </c>
      <c r="E474" t="s">
        <v>724</v>
      </c>
      <c r="F474" t="s">
        <v>145</v>
      </c>
      <c r="G474" t="s">
        <v>66</v>
      </c>
      <c r="H474">
        <v>12431084</v>
      </c>
      <c r="I474" t="s">
        <v>1027</v>
      </c>
      <c r="J474" s="25" t="s">
        <v>68</v>
      </c>
      <c r="K474" t="b">
        <v>0</v>
      </c>
      <c r="M474">
        <v>12434129</v>
      </c>
      <c r="N474">
        <v>12435129</v>
      </c>
      <c r="O474">
        <v>12436129</v>
      </c>
      <c r="AH474" s="11">
        <v>131</v>
      </c>
      <c r="AI474" s="11" t="b">
        <v>1</v>
      </c>
      <c r="AL474" t="str" s="11">
        <v>【补充设计】保留奇珍ID、钥匙与图谱关系；可携带标记与独立效果行逐ID核对。</v>
      </c>
    </row>
    <row r="475" spans="2:35">
      <c r="B475">
        <v>72444096</v>
      </c>
      <c r="C475" t="s">
        <v>1028</v>
      </c>
      <c r="D475" s="25">
        <v>12444096</v>
      </c>
      <c r="E475" t="s">
        <v>724</v>
      </c>
      <c r="F475" t="s">
        <v>145</v>
      </c>
      <c r="G475" t="s">
        <v>66</v>
      </c>
      <c r="H475">
        <v>12441086</v>
      </c>
      <c r="I475" t="s">
        <v>1029</v>
      </c>
      <c r="J475" s="25" t="s">
        <v>68</v>
      </c>
      <c r="K475" t="b">
        <v>0</v>
      </c>
      <c r="M475">
        <v>12444096</v>
      </c>
      <c r="N475">
        <v>12445096</v>
      </c>
      <c r="O475">
        <v>12446096</v>
      </c>
      <c r="AH475" s="11">
        <v>134</v>
      </c>
      <c r="AI475" s="11" t="b">
        <v>1</v>
      </c>
      <c r="AL475" t="str" s="11">
        <v>【补充设计】保留奇珍ID、钥匙与图谱关系；可携带标记与独立效果行逐ID核对。</v>
      </c>
    </row>
    <row r="476" spans="2:35">
      <c r="B476">
        <v>72444097</v>
      </c>
      <c r="C476" t="s">
        <v>1030</v>
      </c>
      <c r="D476" s="25">
        <v>12444097</v>
      </c>
      <c r="E476" t="s">
        <v>724</v>
      </c>
      <c r="F476" t="s">
        <v>145</v>
      </c>
      <c r="G476" t="s">
        <v>66</v>
      </c>
      <c r="H476">
        <v>12441086</v>
      </c>
      <c r="I476" t="s">
        <v>1031</v>
      </c>
      <c r="J476" s="25" t="s">
        <v>68</v>
      </c>
      <c r="K476" t="b">
        <v>0</v>
      </c>
      <c r="M476">
        <v>12444097</v>
      </c>
      <c r="N476">
        <v>12445097</v>
      </c>
      <c r="O476">
        <v>12446097</v>
      </c>
      <c r="AH476" s="11">
        <v>135</v>
      </c>
      <c r="AI476" s="11" t="b">
        <v>1</v>
      </c>
      <c r="AL476" t="str" s="11">
        <v>【补充设计】保留奇珍ID、钥匙与图谱关系；可携带标记与独立效果行逐ID核对。</v>
      </c>
    </row>
    <row r="477" spans="2:35">
      <c r="B477">
        <v>72444098</v>
      </c>
      <c r="C477" t="s">
        <v>1032</v>
      </c>
      <c r="D477" s="25">
        <v>12444098</v>
      </c>
      <c r="E477" t="s">
        <v>724</v>
      </c>
      <c r="F477" t="s">
        <v>145</v>
      </c>
      <c r="G477" t="s">
        <v>66</v>
      </c>
      <c r="H477">
        <v>12441086</v>
      </c>
      <c r="I477" t="s">
        <v>1033</v>
      </c>
      <c r="J477" s="25" t="s">
        <v>68</v>
      </c>
      <c r="K477" t="b">
        <v>0</v>
      </c>
      <c r="M477">
        <v>12444098</v>
      </c>
      <c r="N477">
        <v>12445098</v>
      </c>
      <c r="O477">
        <v>12446098</v>
      </c>
      <c r="AH477" s="11">
        <v>136</v>
      </c>
      <c r="AI477" s="11" t="b">
        <v>1</v>
      </c>
      <c r="AL477" t="str" s="11">
        <v>【补充设计】保留奇珍ID、钥匙与图谱关系；可携带标记与独立效果行逐ID核对。</v>
      </c>
    </row>
    <row r="478" spans="2:35">
      <c r="B478">
        <v>72444099</v>
      </c>
      <c r="C478" t="s">
        <v>1034</v>
      </c>
      <c r="D478" s="25">
        <v>12444099</v>
      </c>
      <c r="E478" t="s">
        <v>724</v>
      </c>
      <c r="F478" t="s">
        <v>145</v>
      </c>
      <c r="G478" t="s">
        <v>66</v>
      </c>
      <c r="H478">
        <v>12441086</v>
      </c>
      <c r="I478" t="s">
        <v>1035</v>
      </c>
      <c r="J478" s="25" t="s">
        <v>68</v>
      </c>
      <c r="K478" t="b">
        <v>0</v>
      </c>
      <c r="M478">
        <v>12444099</v>
      </c>
      <c r="N478">
        <v>12445099</v>
      </c>
      <c r="O478">
        <v>12446099</v>
      </c>
      <c r="AH478" s="11">
        <v>137</v>
      </c>
      <c r="AI478" s="11" t="b">
        <v>1</v>
      </c>
      <c r="AL478" t="str" s="11">
        <v>【补充设计】保留奇珍ID、钥匙与图谱关系；可携带标记与独立效果行逐ID核对。</v>
      </c>
    </row>
    <row r="479" spans="2:35">
      <c r="B479">
        <v>72444100</v>
      </c>
      <c r="C479" t="s">
        <v>1036</v>
      </c>
      <c r="D479" s="25">
        <v>12444100</v>
      </c>
      <c r="E479" t="s">
        <v>724</v>
      </c>
      <c r="F479" t="s">
        <v>145</v>
      </c>
      <c r="G479" t="s">
        <v>66</v>
      </c>
      <c r="H479">
        <v>12441086</v>
      </c>
      <c r="I479" t="s">
        <v>1037</v>
      </c>
      <c r="J479" s="25" t="s">
        <v>68</v>
      </c>
      <c r="K479" t="b">
        <v>0</v>
      </c>
      <c r="M479">
        <v>12444100</v>
      </c>
      <c r="N479">
        <v>12445100</v>
      </c>
      <c r="O479">
        <v>12446100</v>
      </c>
      <c r="AH479" s="11">
        <v>138</v>
      </c>
      <c r="AI479" s="11" t="b">
        <v>1</v>
      </c>
      <c r="AL479" t="str" s="11">
        <v>【补充设计】保留奇珍ID、钥匙与图谱关系；可携带标记与独立效果行逐ID核对。</v>
      </c>
    </row>
    <row r="480" spans="2:35">
      <c r="B480">
        <v>72444101</v>
      </c>
      <c r="C480" t="inlineStr">
        <is>
          <t xml:space="preserve">裂金剑·蚀骨</t>
        </is>
      </c>
      <c r="D480" s="25">
        <v>12444101</v>
      </c>
      <c r="E480" t="s">
        <v>724</v>
      </c>
      <c r="F480" t="s">
        <v>145</v>
      </c>
      <c r="G480" t="s">
        <v>66</v>
      </c>
      <c r="H480">
        <v>12441086</v>
      </c>
      <c r="I480" t="s">
        <v>1039</v>
      </c>
      <c r="J480" s="25" t="s">
        <v>68</v>
      </c>
      <c r="K480" t="b">
        <v>0</v>
      </c>
      <c r="M480">
        <v>12444101</v>
      </c>
      <c r="N480">
        <v>12445101</v>
      </c>
      <c r="O480">
        <v>12446101</v>
      </c>
      <c r="AH480" s="11">
        <v>139</v>
      </c>
      <c r="AI480" s="11" t="b">
        <v>1</v>
      </c>
      <c r="AL480" t="str" s="11">
        <v>【补充设计】保留奇珍ID、钥匙与图谱关系；可携带标记与独立效果行逐ID核对。</v>
      </c>
    </row>
    <row r="481" spans="2:35">
      <c r="B481">
        <v>72444102</v>
      </c>
      <c r="C481" t="s">
        <v>1040</v>
      </c>
      <c r="D481" s="25">
        <v>12444102</v>
      </c>
      <c r="E481" t="s">
        <v>724</v>
      </c>
      <c r="F481" t="s">
        <v>145</v>
      </c>
      <c r="G481" t="s">
        <v>66</v>
      </c>
      <c r="H481">
        <v>12441086</v>
      </c>
      <c r="I481" t="s">
        <v>1041</v>
      </c>
      <c r="J481" s="25" t="s">
        <v>68</v>
      </c>
      <c r="K481" t="b">
        <v>0</v>
      </c>
      <c r="M481">
        <v>12444102</v>
      </c>
      <c r="N481">
        <v>12445102</v>
      </c>
      <c r="O481">
        <v>12446102</v>
      </c>
      <c r="AH481" s="11">
        <v>140</v>
      </c>
      <c r="AI481" s="11" t="b">
        <v>1</v>
      </c>
      <c r="AL481" t="str" s="11">
        <v>【补充设计】保留奇珍ID、钥匙与图谱关系；可携带标记与独立效果行逐ID核对。</v>
      </c>
    </row>
    <row r="482" spans="2:35">
      <c r="B482">
        <v>72444103</v>
      </c>
      <c r="C482" t="s">
        <v>1042</v>
      </c>
      <c r="D482" s="25">
        <v>12444103</v>
      </c>
      <c r="E482" t="s">
        <v>724</v>
      </c>
      <c r="F482" t="s">
        <v>145</v>
      </c>
      <c r="G482" t="s">
        <v>66</v>
      </c>
      <c r="H482">
        <v>12441086</v>
      </c>
      <c r="I482" t="s">
        <v>1043</v>
      </c>
      <c r="J482" s="25" t="s">
        <v>68</v>
      </c>
      <c r="K482" t="b">
        <v>0</v>
      </c>
      <c r="M482">
        <v>12444103</v>
      </c>
      <c r="N482">
        <v>12445103</v>
      </c>
      <c r="O482">
        <v>12446103</v>
      </c>
      <c r="AH482" s="11">
        <v>141</v>
      </c>
      <c r="AI482" s="11" t="b">
        <v>1</v>
      </c>
      <c r="AL482" t="str" s="11">
        <v>【补充设计】保留奇珍ID、钥匙与图谱关系；可携带标记与独立效果行逐ID核对。</v>
      </c>
    </row>
    <row r="483" spans="2:35">
      <c r="B483">
        <v>72444104</v>
      </c>
      <c r="C483" t="s">
        <v>1044</v>
      </c>
      <c r="D483" s="25">
        <v>12444104</v>
      </c>
      <c r="E483" t="s">
        <v>724</v>
      </c>
      <c r="F483" t="s">
        <v>145</v>
      </c>
      <c r="G483" t="s">
        <v>66</v>
      </c>
      <c r="H483">
        <v>12441086</v>
      </c>
      <c r="I483" t="s">
        <v>1045</v>
      </c>
      <c r="J483" s="25" t="s">
        <v>68</v>
      </c>
      <c r="K483" t="b">
        <v>0</v>
      </c>
      <c r="M483">
        <v>12444104</v>
      </c>
      <c r="N483">
        <v>12445104</v>
      </c>
      <c r="O483">
        <v>12446104</v>
      </c>
      <c r="AH483" s="11">
        <v>142</v>
      </c>
      <c r="AI483" s="11" t="b">
        <v>1</v>
      </c>
      <c r="AL483" t="str" s="11">
        <v>【补充设计】保留奇珍ID、钥匙与图谱关系；可携带标记与独立效果行逐ID核对。</v>
      </c>
    </row>
    <row r="484" spans="2:35">
      <c r="B484">
        <v>72444105</v>
      </c>
      <c r="C484" t="s">
        <v>1046</v>
      </c>
      <c r="D484" s="25">
        <v>12444105</v>
      </c>
      <c r="E484" t="s">
        <v>724</v>
      </c>
      <c r="F484" t="s">
        <v>145</v>
      </c>
      <c r="G484" t="s">
        <v>66</v>
      </c>
      <c r="H484">
        <v>12441086</v>
      </c>
      <c r="I484" t="s">
        <v>1047</v>
      </c>
      <c r="J484" s="25" t="s">
        <v>68</v>
      </c>
      <c r="K484" t="b">
        <v>0</v>
      </c>
      <c r="M484">
        <v>12444105</v>
      </c>
      <c r="N484">
        <v>12445105</v>
      </c>
      <c r="O484">
        <v>12446105</v>
      </c>
      <c r="AH484" s="11">
        <v>143</v>
      </c>
      <c r="AI484" s="11" t="b">
        <v>1</v>
      </c>
      <c r="AL484" t="str" s="11">
        <v>【补充设计】保留奇珍ID、钥匙与图谱关系；可携带标记与独立效果行逐ID核对。</v>
      </c>
    </row>
    <row r="485" spans="2:35">
      <c r="B485">
        <v>72444106</v>
      </c>
      <c r="C485" t="s">
        <v>1048</v>
      </c>
      <c r="D485" s="25">
        <v>12444106</v>
      </c>
      <c r="E485" t="s">
        <v>724</v>
      </c>
      <c r="F485" t="s">
        <v>145</v>
      </c>
      <c r="G485" t="s">
        <v>66</v>
      </c>
      <c r="H485">
        <v>12441086</v>
      </c>
      <c r="I485" t="s">
        <v>1049</v>
      </c>
      <c r="J485" s="25" t="s">
        <v>68</v>
      </c>
      <c r="K485" t="b">
        <v>0</v>
      </c>
      <c r="M485">
        <v>12444106</v>
      </c>
      <c r="N485">
        <v>12445106</v>
      </c>
      <c r="O485">
        <v>12446106</v>
      </c>
      <c r="AH485" s="11">
        <v>144</v>
      </c>
      <c r="AI485" s="11" t="b">
        <v>1</v>
      </c>
      <c r="AL485" t="str" s="11">
        <v>【补充设计】保留奇珍ID、钥匙与图谱关系；可携带标记与独立效果行逐ID核对。</v>
      </c>
    </row>
    <row r="486" spans="2:35">
      <c r="B486">
        <v>72444107</v>
      </c>
      <c r="C486" t="s">
        <v>1050</v>
      </c>
      <c r="D486" s="25">
        <v>12444107</v>
      </c>
      <c r="E486" t="s">
        <v>724</v>
      </c>
      <c r="F486" t="s">
        <v>145</v>
      </c>
      <c r="G486" t="s">
        <v>66</v>
      </c>
      <c r="H486">
        <v>12441086</v>
      </c>
      <c r="I486" t="s">
        <v>1051</v>
      </c>
      <c r="J486" s="25" t="s">
        <v>68</v>
      </c>
      <c r="K486" t="b">
        <v>0</v>
      </c>
      <c r="M486">
        <v>12444107</v>
      </c>
      <c r="N486">
        <v>12445107</v>
      </c>
      <c r="O486">
        <v>12446107</v>
      </c>
      <c r="AH486" s="11">
        <v>145</v>
      </c>
      <c r="AI486" s="11" t="b">
        <v>1</v>
      </c>
      <c r="AL486" t="str" s="11">
        <v>【补充设计】保留奇珍ID、钥匙与图谱关系；可携带标记与独立效果行逐ID核对。</v>
      </c>
    </row>
    <row r="487" spans="2:35">
      <c r="B487">
        <v>72444108</v>
      </c>
      <c r="C487" t="s">
        <v>1052</v>
      </c>
      <c r="D487" s="25">
        <v>12444108</v>
      </c>
      <c r="E487" t="s">
        <v>724</v>
      </c>
      <c r="F487" t="s">
        <v>145</v>
      </c>
      <c r="G487" t="s">
        <v>66</v>
      </c>
      <c r="H487">
        <v>12441086</v>
      </c>
      <c r="I487" t="s">
        <v>1053</v>
      </c>
      <c r="J487" s="25" t="s">
        <v>68</v>
      </c>
      <c r="K487" t="b">
        <v>0</v>
      </c>
      <c r="M487">
        <v>12444108</v>
      </c>
      <c r="N487">
        <v>12445108</v>
      </c>
      <c r="O487">
        <v>12446108</v>
      </c>
      <c r="AH487" s="11">
        <v>146</v>
      </c>
      <c r="AI487" s="11" t="b">
        <v>1</v>
      </c>
      <c r="AL487" t="str" s="11">
        <v>【补充设计】保留奇珍ID、钥匙与图谱关系；可携带标记与独立效果行逐ID核对。</v>
      </c>
    </row>
    <row r="488" spans="2:35">
      <c r="B488">
        <v>72444109</v>
      </c>
      <c r="C488" t="s">
        <v>1054</v>
      </c>
      <c r="D488" s="25">
        <v>12444109</v>
      </c>
      <c r="E488" t="s">
        <v>724</v>
      </c>
      <c r="F488" t="s">
        <v>145</v>
      </c>
      <c r="G488" t="s">
        <v>66</v>
      </c>
      <c r="H488">
        <v>12441086</v>
      </c>
      <c r="I488" t="s">
        <v>1055</v>
      </c>
      <c r="J488" s="25" t="s">
        <v>68</v>
      </c>
      <c r="K488" t="b">
        <v>0</v>
      </c>
      <c r="M488">
        <v>12444109</v>
      </c>
      <c r="N488">
        <v>12445109</v>
      </c>
      <c r="O488">
        <v>12446109</v>
      </c>
      <c r="AH488" s="11">
        <v>147</v>
      </c>
      <c r="AI488" s="11" t="b">
        <v>1</v>
      </c>
      <c r="AL488" t="str" s="11">
        <v>【补充设计】保留奇珍ID、钥匙与图谱关系；可携带标记与独立效果行逐ID核对。</v>
      </c>
    </row>
    <row r="489" spans="2:35">
      <c r="B489">
        <v>72444110</v>
      </c>
      <c r="C489" t="s">
        <v>1056</v>
      </c>
      <c r="D489" s="25">
        <v>12444110</v>
      </c>
      <c r="E489" t="s">
        <v>724</v>
      </c>
      <c r="F489" t="s">
        <v>145</v>
      </c>
      <c r="G489" t="s">
        <v>66</v>
      </c>
      <c r="H489">
        <v>12441086</v>
      </c>
      <c r="I489" t="s">
        <v>1057</v>
      </c>
      <c r="J489" s="25" t="s">
        <v>68</v>
      </c>
      <c r="K489" t="b">
        <v>0</v>
      </c>
      <c r="M489">
        <v>12444110</v>
      </c>
      <c r="N489">
        <v>12445110</v>
      </c>
      <c r="O489">
        <v>12446110</v>
      </c>
      <c r="AH489" s="11">
        <v>148</v>
      </c>
      <c r="AI489" s="11" t="b">
        <v>1</v>
      </c>
      <c r="AL489" t="str" s="11">
        <v>【补充设计】保留奇珍ID、钥匙与图谱关系；可携带标记与独立效果行逐ID核对。</v>
      </c>
    </row>
    <row r="490" spans="2:35">
      <c r="B490">
        <v>72444112</v>
      </c>
      <c r="C490" t="s">
        <v>1058</v>
      </c>
      <c r="D490" s="25">
        <v>12444112</v>
      </c>
      <c r="E490" t="s">
        <v>724</v>
      </c>
      <c r="F490" t="s">
        <v>145</v>
      </c>
      <c r="G490" t="s">
        <v>66</v>
      </c>
      <c r="H490">
        <v>12441087</v>
      </c>
      <c r="I490" t="s">
        <v>1059</v>
      </c>
      <c r="J490" s="25" t="s">
        <v>68</v>
      </c>
      <c r="K490" t="b">
        <v>0</v>
      </c>
      <c r="M490">
        <v>12444112</v>
      </c>
      <c r="N490">
        <v>12445112</v>
      </c>
      <c r="O490">
        <v>12446112</v>
      </c>
      <c r="AH490" s="11">
        <v>150</v>
      </c>
      <c r="AI490" s="11" t="b">
        <v>1</v>
      </c>
      <c r="AL490" t="str" s="11">
        <v>【补充设计】保留奇珍ID、钥匙与图谱关系；可携带标记与独立效果行逐ID核对。</v>
      </c>
    </row>
    <row r="491" spans="2:35">
      <c r="B491">
        <v>72444113</v>
      </c>
      <c r="C491" t="s">
        <v>1060</v>
      </c>
      <c r="D491" s="25">
        <v>12444113</v>
      </c>
      <c r="E491" t="s">
        <v>724</v>
      </c>
      <c r="F491" t="s">
        <v>145</v>
      </c>
      <c r="G491" t="s">
        <v>66</v>
      </c>
      <c r="H491">
        <v>12441087</v>
      </c>
      <c r="I491" t="s">
        <v>1061</v>
      </c>
      <c r="J491" s="25" t="s">
        <v>68</v>
      </c>
      <c r="K491" t="b">
        <v>0</v>
      </c>
      <c r="M491">
        <v>12444113</v>
      </c>
      <c r="N491">
        <v>12445113</v>
      </c>
      <c r="O491">
        <v>12446113</v>
      </c>
      <c r="AH491" s="11">
        <v>151</v>
      </c>
      <c r="AI491" s="11" t="b">
        <v>1</v>
      </c>
      <c r="AL491" t="str" s="11">
        <v>【补充设计】保留奇珍ID、钥匙与图谱关系；可携带标记与独立效果行逐ID核对。</v>
      </c>
    </row>
    <row r="492" spans="2:35">
      <c r="B492">
        <v>72444114</v>
      </c>
      <c r="C492" t="s">
        <v>1062</v>
      </c>
      <c r="D492" s="25">
        <v>12444114</v>
      </c>
      <c r="E492" t="s">
        <v>724</v>
      </c>
      <c r="F492" t="s">
        <v>145</v>
      </c>
      <c r="G492" t="s">
        <v>66</v>
      </c>
      <c r="H492">
        <v>12441087</v>
      </c>
      <c r="I492" t="s">
        <v>1063</v>
      </c>
      <c r="J492" s="25" t="s">
        <v>68</v>
      </c>
      <c r="K492" t="b">
        <v>0</v>
      </c>
      <c r="M492">
        <v>12444114</v>
      </c>
      <c r="N492">
        <v>12445114</v>
      </c>
      <c r="O492">
        <v>12446114</v>
      </c>
      <c r="AH492" s="11">
        <v>152</v>
      </c>
      <c r="AI492" s="11" t="b">
        <v>1</v>
      </c>
      <c r="AL492" t="str" s="11">
        <v>【补充设计】保留奇珍ID、钥匙与图谱关系；可携带标记与独立效果行逐ID核对。</v>
      </c>
    </row>
    <row r="493" spans="2:35">
      <c r="B493">
        <v>72444115</v>
      </c>
      <c r="C493" t="s">
        <v>1064</v>
      </c>
      <c r="D493" s="25">
        <v>12444115</v>
      </c>
      <c r="E493" t="s">
        <v>724</v>
      </c>
      <c r="F493" t="s">
        <v>145</v>
      </c>
      <c r="G493" t="s">
        <v>66</v>
      </c>
      <c r="H493">
        <v>12441087</v>
      </c>
      <c r="I493" t="s">
        <v>1065</v>
      </c>
      <c r="J493" s="25" t="s">
        <v>68</v>
      </c>
      <c r="K493" t="b">
        <v>0</v>
      </c>
      <c r="M493">
        <v>12444115</v>
      </c>
      <c r="N493">
        <v>12445115</v>
      </c>
      <c r="O493">
        <v>12446115</v>
      </c>
      <c r="AH493" s="11">
        <v>153</v>
      </c>
      <c r="AI493" s="11" t="b">
        <v>1</v>
      </c>
      <c r="AL493" t="str" s="11">
        <v>【补充设计】保留奇珍ID、钥匙与图谱关系；可携带标记与独立效果行逐ID核对。</v>
      </c>
    </row>
    <row r="494" spans="2:35">
      <c r="B494">
        <v>72444116</v>
      </c>
      <c r="C494" t="s">
        <v>1066</v>
      </c>
      <c r="D494" s="25">
        <v>12444116</v>
      </c>
      <c r="E494" t="s">
        <v>724</v>
      </c>
      <c r="F494" t="s">
        <v>145</v>
      </c>
      <c r="G494" t="s">
        <v>66</v>
      </c>
      <c r="H494">
        <v>12441087</v>
      </c>
      <c r="I494" t="s">
        <v>1067</v>
      </c>
      <c r="J494" s="25" t="s">
        <v>68</v>
      </c>
      <c r="K494" t="b">
        <v>0</v>
      </c>
      <c r="M494">
        <v>12444116</v>
      </c>
      <c r="N494">
        <v>12445116</v>
      </c>
      <c r="O494">
        <v>12446116</v>
      </c>
      <c r="AH494" s="11">
        <v>154</v>
      </c>
      <c r="AI494" s="11" t="b">
        <v>1</v>
      </c>
      <c r="AL494" t="str" s="11">
        <v>【补充设计】保留奇珍ID、钥匙与图谱关系；可携带标记与独立效果行逐ID核对。</v>
      </c>
    </row>
    <row r="495" spans="2:35">
      <c r="B495">
        <v>72444117</v>
      </c>
      <c r="C495" t="s">
        <v>1068</v>
      </c>
      <c r="D495" s="25">
        <v>12444117</v>
      </c>
      <c r="E495" t="s">
        <v>724</v>
      </c>
      <c r="F495" t="s">
        <v>145</v>
      </c>
      <c r="G495" t="s">
        <v>66</v>
      </c>
      <c r="H495">
        <v>12441087</v>
      </c>
      <c r="I495" t="s">
        <v>1069</v>
      </c>
      <c r="J495" s="25" t="s">
        <v>68</v>
      </c>
      <c r="K495" t="b">
        <v>0</v>
      </c>
      <c r="M495">
        <v>12444117</v>
      </c>
      <c r="N495">
        <v>12445117</v>
      </c>
      <c r="O495">
        <v>12446117</v>
      </c>
      <c r="AH495" s="11">
        <v>155</v>
      </c>
      <c r="AI495" s="11" t="b">
        <v>1</v>
      </c>
      <c r="AL495" t="str" s="11">
        <v>【补充设计】保留奇珍ID、钥匙与图谱关系；可携带标记与独立效果行逐ID核对。</v>
      </c>
    </row>
    <row r="496" spans="2:35">
      <c r="B496">
        <v>72444118</v>
      </c>
      <c r="C496" t="s">
        <v>1070</v>
      </c>
      <c r="D496" s="25">
        <v>12444118</v>
      </c>
      <c r="E496" t="s">
        <v>724</v>
      </c>
      <c r="F496" t="s">
        <v>145</v>
      </c>
      <c r="G496" t="s">
        <v>66</v>
      </c>
      <c r="H496">
        <v>12441087</v>
      </c>
      <c r="I496" t="s">
        <v>1071</v>
      </c>
      <c r="J496" s="25" t="s">
        <v>68</v>
      </c>
      <c r="K496" t="b">
        <v>0</v>
      </c>
      <c r="M496">
        <v>12444118</v>
      </c>
      <c r="N496">
        <v>12445118</v>
      </c>
      <c r="O496">
        <v>12446118</v>
      </c>
      <c r="AH496" s="11">
        <v>156</v>
      </c>
      <c r="AI496" s="11" t="b">
        <v>1</v>
      </c>
      <c r="AL496" t="str" s="11">
        <v>【补充设计】保留奇珍ID、钥匙与图谱关系；可携带标记与独立效果行逐ID核对。</v>
      </c>
    </row>
    <row r="497" spans="2:35">
      <c r="B497">
        <v>72444119</v>
      </c>
      <c r="C497" t="s">
        <v>1072</v>
      </c>
      <c r="D497" s="25">
        <v>12444119</v>
      </c>
      <c r="E497" t="s">
        <v>724</v>
      </c>
      <c r="F497" t="s">
        <v>145</v>
      </c>
      <c r="G497" t="s">
        <v>66</v>
      </c>
      <c r="H497">
        <v>12441087</v>
      </c>
      <c r="I497" t="s">
        <v>1073</v>
      </c>
      <c r="J497" s="25" t="s">
        <v>68</v>
      </c>
      <c r="K497" t="b">
        <v>0</v>
      </c>
      <c r="M497">
        <v>12444119</v>
      </c>
      <c r="N497">
        <v>12445119</v>
      </c>
      <c r="O497">
        <v>12446119</v>
      </c>
      <c r="AH497" s="11">
        <v>157</v>
      </c>
      <c r="AI497" s="11" t="b">
        <v>1</v>
      </c>
      <c r="AL497" t="str" s="11">
        <v>【补充设计】保留奇珍ID、钥匙与图谱关系；可携带标记与独立效果行逐ID核对。</v>
      </c>
    </row>
    <row r="498" spans="2:35">
      <c r="B498">
        <v>72444121</v>
      </c>
      <c r="C498" t="inlineStr">
        <is>
          <t xml:space="preserve">玉泉灵瓶·沁碧</t>
        </is>
      </c>
      <c r="D498" s="25">
        <v>12444121</v>
      </c>
      <c r="E498" t="s">
        <v>724</v>
      </c>
      <c r="F498" t="s">
        <v>145</v>
      </c>
      <c r="G498" t="s">
        <v>66</v>
      </c>
      <c r="H498">
        <v>12441088</v>
      </c>
      <c r="I498" t="s">
        <v>1075</v>
      </c>
      <c r="J498" s="25" t="s">
        <v>68</v>
      </c>
      <c r="K498" t="b">
        <v>0</v>
      </c>
      <c r="M498">
        <v>12444121</v>
      </c>
      <c r="N498">
        <v>12445121</v>
      </c>
      <c r="O498">
        <v>12446121</v>
      </c>
      <c r="AH498" s="11">
        <v>159</v>
      </c>
      <c r="AI498" s="11" t="b">
        <v>1</v>
      </c>
      <c r="AL498" t="str" s="11">
        <v>【补充设计】保留奇珍ID、钥匙与图谱关系；可携带标记与独立效果行逐ID核对。</v>
      </c>
    </row>
    <row r="499" spans="2:35">
      <c r="B499">
        <v>72444122</v>
      </c>
      <c r="C499" t="inlineStr">
        <is>
          <t xml:space="preserve">玉泉灵瓶·鸣泉</t>
        </is>
      </c>
      <c r="D499" s="25">
        <v>12444122</v>
      </c>
      <c r="E499" t="s">
        <v>724</v>
      </c>
      <c r="F499" t="s">
        <v>145</v>
      </c>
      <c r="G499" t="s">
        <v>66</v>
      </c>
      <c r="H499">
        <v>12441088</v>
      </c>
      <c r="I499" t="s">
        <v>1077</v>
      </c>
      <c r="J499" s="25" t="s">
        <v>68</v>
      </c>
      <c r="K499" t="b">
        <v>0</v>
      </c>
      <c r="M499">
        <v>12444122</v>
      </c>
      <c r="N499">
        <v>12445122</v>
      </c>
      <c r="O499">
        <v>12446122</v>
      </c>
      <c r="AH499" s="11">
        <v>160</v>
      </c>
      <c r="AI499" s="11" t="b">
        <v>1</v>
      </c>
      <c r="AL499" t="str" s="11">
        <v>【补充设计】保留奇珍ID、钥匙与图谱关系；可携带标记与独立效果行逐ID核对。</v>
      </c>
    </row>
    <row r="500" spans="2:35">
      <c r="B500">
        <v>72444123</v>
      </c>
      <c r="C500" t="inlineStr">
        <is>
          <t xml:space="preserve">玉泉灵瓶·漱石</t>
        </is>
      </c>
      <c r="D500" s="25">
        <v>12444123</v>
      </c>
      <c r="E500" t="s">
        <v>724</v>
      </c>
      <c r="F500" t="s">
        <v>145</v>
      </c>
      <c r="G500" t="s">
        <v>66</v>
      </c>
      <c r="H500">
        <v>12441088</v>
      </c>
      <c r="I500" t="s">
        <v>1079</v>
      </c>
      <c r="J500" s="25" t="s">
        <v>68</v>
      </c>
      <c r="K500" t="b">
        <v>0</v>
      </c>
      <c r="M500">
        <v>12444123</v>
      </c>
      <c r="N500">
        <v>12445123</v>
      </c>
      <c r="O500">
        <v>12446123</v>
      </c>
      <c r="AH500" s="11">
        <v>161</v>
      </c>
      <c r="AI500" s="11" t="b">
        <v>1</v>
      </c>
      <c r="AL500" t="str" s="11">
        <v>【补充设计】保留奇珍ID、钥匙与图谱关系；可携带标记与独立效果行逐ID核对。</v>
      </c>
    </row>
    <row r="501" spans="2:35">
      <c r="B501">
        <v>72454097</v>
      </c>
      <c r="C501" t="inlineStr">
        <is>
          <t xml:space="preserve">烛微灵笔·寒江</t>
        </is>
      </c>
      <c r="D501" s="25">
        <v>12454097</v>
      </c>
      <c r="E501" t="s">
        <v>724</v>
      </c>
      <c r="F501" t="s">
        <v>145</v>
      </c>
      <c r="G501" t="s">
        <v>66</v>
      </c>
      <c r="H501">
        <v>12451091</v>
      </c>
      <c r="I501" t="s">
        <v>1081</v>
      </c>
      <c r="J501" s="25" t="s">
        <v>68</v>
      </c>
      <c r="K501" t="b">
        <v>0</v>
      </c>
      <c r="M501">
        <v>12454097</v>
      </c>
      <c r="N501">
        <v>12455097</v>
      </c>
      <c r="O501">
        <v>12456097</v>
      </c>
      <c r="AH501" s="11">
        <v>165</v>
      </c>
      <c r="AI501" s="11" t="b">
        <v>1</v>
      </c>
      <c r="AL501" t="str" s="11">
        <v>【补充设计】保留奇珍ID、钥匙与图谱关系；可携带标记与独立效果行逐ID核对。</v>
      </c>
    </row>
    <row r="502" spans="2:35">
      <c r="B502">
        <v>72454098</v>
      </c>
      <c r="C502" t="inlineStr">
        <is>
          <t xml:space="preserve">烛微灵笔·焚篆</t>
        </is>
      </c>
      <c r="D502" s="25">
        <v>12454098</v>
      </c>
      <c r="E502" t="s">
        <v>724</v>
      </c>
      <c r="F502" t="s">
        <v>145</v>
      </c>
      <c r="G502" t="s">
        <v>66</v>
      </c>
      <c r="H502">
        <v>12451091</v>
      </c>
      <c r="I502" t="s">
        <v>1083</v>
      </c>
      <c r="J502" s="25" t="s">
        <v>68</v>
      </c>
      <c r="K502" t="b">
        <v>0</v>
      </c>
      <c r="M502">
        <v>12454098</v>
      </c>
      <c r="N502">
        <v>12455098</v>
      </c>
      <c r="O502">
        <v>12456098</v>
      </c>
      <c r="AH502" s="11">
        <v>166</v>
      </c>
      <c r="AI502" s="11" t="b">
        <v>1</v>
      </c>
      <c r="AL502" t="str" s="11">
        <v>【补充设计】保留奇珍ID、钥匙与图谱关系；可携带标记与独立效果行逐ID核对。</v>
      </c>
    </row>
    <row r="503" spans="2:35">
      <c r="B503">
        <v>72454099</v>
      </c>
      <c r="C503" t="inlineStr">
        <is>
          <t xml:space="preserve">烛微灵笔·镇川</t>
        </is>
      </c>
      <c r="D503" s="25">
        <v>12454099</v>
      </c>
      <c r="E503" t="s">
        <v>724</v>
      </c>
      <c r="F503" t="s">
        <v>145</v>
      </c>
      <c r="G503" t="s">
        <v>66</v>
      </c>
      <c r="H503">
        <v>12451091</v>
      </c>
      <c r="I503" t="s">
        <v>1085</v>
      </c>
      <c r="J503" s="25" t="s">
        <v>68</v>
      </c>
      <c r="K503" t="b">
        <v>0</v>
      </c>
      <c r="M503">
        <v>12454099</v>
      </c>
      <c r="N503">
        <v>12455099</v>
      </c>
      <c r="O503">
        <v>12456099</v>
      </c>
      <c r="AH503" s="11">
        <v>167</v>
      </c>
      <c r="AI503" s="11" t="b">
        <v>1</v>
      </c>
      <c r="AL503" t="str" s="11">
        <v>【补充设计】保留奇珍ID、钥匙与图谱关系；可携带标记与独立效果行逐ID核对。</v>
      </c>
    </row>
    <row r="504" spans="2:35">
      <c r="B504">
        <v>72464096</v>
      </c>
      <c r="C504" t="inlineStr">
        <is>
          <t xml:space="preserve">缚岳灵索·蟠木</t>
        </is>
      </c>
      <c r="D504" s="25">
        <v>12464096</v>
      </c>
      <c r="E504" t="s">
        <v>724</v>
      </c>
      <c r="F504" t="s">
        <v>145</v>
      </c>
      <c r="G504" t="s">
        <v>66</v>
      </c>
      <c r="H504">
        <v>12461096</v>
      </c>
      <c r="I504" t="s">
        <v>1087</v>
      </c>
      <c r="J504" s="25" t="s">
        <v>68</v>
      </c>
      <c r="K504" t="b">
        <v>0</v>
      </c>
      <c r="M504">
        <v>12464096</v>
      </c>
      <c r="N504">
        <v>12465096</v>
      </c>
      <c r="O504">
        <v>12466096</v>
      </c>
      <c r="AH504" s="11">
        <v>171</v>
      </c>
      <c r="AI504" s="11" t="b">
        <v>1</v>
      </c>
      <c r="AL504" t="str" s="11">
        <v>【补充设计】保留奇珍ID、钥匙与图谱关系；可携带标记与独立效果行逐ID核对。</v>
      </c>
    </row>
    <row r="505" spans="2:35">
      <c r="B505">
        <v>72464097</v>
      </c>
      <c r="C505" t="inlineStr">
        <is>
          <t xml:space="preserve">缚岳灵索·横江</t>
        </is>
      </c>
      <c r="D505" s="25">
        <v>12464097</v>
      </c>
      <c r="E505" t="s">
        <v>724</v>
      </c>
      <c r="F505" t="s">
        <v>145</v>
      </c>
      <c r="G505" t="s">
        <v>66</v>
      </c>
      <c r="H505">
        <v>12461096</v>
      </c>
      <c r="I505" t="s">
        <v>1089</v>
      </c>
      <c r="J505" s="25" t="s">
        <v>68</v>
      </c>
      <c r="K505" t="b">
        <v>0</v>
      </c>
      <c r="M505">
        <v>12464097</v>
      </c>
      <c r="N505">
        <v>12465097</v>
      </c>
      <c r="O505">
        <v>12466097</v>
      </c>
      <c r="AH505" s="11">
        <v>172</v>
      </c>
      <c r="AI505" s="11" t="b">
        <v>1</v>
      </c>
      <c r="AL505" t="str" s="11">
        <v>【补充设计】保留奇珍ID、钥匙与图谱关系；可携带标记与独立效果行逐ID核对。</v>
      </c>
    </row>
    <row r="506" spans="2:35">
      <c r="B506">
        <v>72464098</v>
      </c>
      <c r="C506" t="inlineStr">
        <is>
          <t xml:space="preserve">缚岳灵索·灼霞</t>
        </is>
      </c>
      <c r="D506" s="25">
        <v>12464098</v>
      </c>
      <c r="E506" t="s">
        <v>724</v>
      </c>
      <c r="F506" t="s">
        <v>145</v>
      </c>
      <c r="G506" t="s">
        <v>66</v>
      </c>
      <c r="H506">
        <v>12461096</v>
      </c>
      <c r="I506" t="s">
        <v>1091</v>
      </c>
      <c r="J506" s="25" t="s">
        <v>68</v>
      </c>
      <c r="K506" t="b">
        <v>0</v>
      </c>
      <c r="M506">
        <v>12464098</v>
      </c>
      <c r="N506">
        <v>12465098</v>
      </c>
      <c r="O506">
        <v>12466098</v>
      </c>
      <c r="AH506" s="11">
        <v>173</v>
      </c>
      <c r="AI506" s="11" t="b">
        <v>1</v>
      </c>
      <c r="AL506" t="str" s="11">
        <v>【补充设计】保留奇珍ID、钥匙与图谱关系；可携带标记与独立效果行逐ID核对。</v>
      </c>
    </row>
    <row r="507" spans="2:35">
      <c r="B507">
        <v>72464099</v>
      </c>
      <c r="C507" t="inlineStr">
        <is>
          <t xml:space="preserve">缚岳灵索·镇壑</t>
        </is>
      </c>
      <c r="D507" s="25">
        <v>12464099</v>
      </c>
      <c r="E507" t="s">
        <v>724</v>
      </c>
      <c r="F507" t="s">
        <v>145</v>
      </c>
      <c r="G507" t="s">
        <v>66</v>
      </c>
      <c r="H507">
        <v>12461096</v>
      </c>
      <c r="I507" t="s">
        <v>1093</v>
      </c>
      <c r="J507" s="25" t="s">
        <v>68</v>
      </c>
      <c r="K507" t="b">
        <v>0</v>
      </c>
      <c r="M507">
        <v>12464099</v>
      </c>
      <c r="N507">
        <v>12465099</v>
      </c>
      <c r="O507">
        <v>12466099</v>
      </c>
      <c r="AH507" s="11">
        <v>174</v>
      </c>
      <c r="AI507" s="11" t="b">
        <v>1</v>
      </c>
      <c r="AL507" t="str" s="11">
        <v>【补充设计】保留奇珍ID、钥匙与图谱关系；可携带标记与独立效果行逐ID核对。</v>
      </c>
    </row>
    <row r="508" spans="2:35">
      <c r="B508">
        <v>72464100</v>
      </c>
      <c r="C508" t="inlineStr">
        <is>
          <t xml:space="preserve">缚岳灵索·牵萝</t>
        </is>
      </c>
      <c r="D508" s="25">
        <v>12464100</v>
      </c>
      <c r="E508" t="s">
        <v>724</v>
      </c>
      <c r="F508" t="s">
        <v>145</v>
      </c>
      <c r="G508" t="s">
        <v>66</v>
      </c>
      <c r="H508">
        <v>12461096</v>
      </c>
      <c r="I508" t="s">
        <v>1095</v>
      </c>
      <c r="J508" s="25" t="s">
        <v>68</v>
      </c>
      <c r="K508" t="b">
        <v>0</v>
      </c>
      <c r="M508">
        <v>12464100</v>
      </c>
      <c r="N508">
        <v>12465100</v>
      </c>
      <c r="O508">
        <v>12466100</v>
      </c>
      <c r="AH508" s="11">
        <v>175</v>
      </c>
      <c r="AI508" s="11" t="b">
        <v>1</v>
      </c>
      <c r="AL508" t="str" s="11">
        <v>【补充设计】保留奇珍ID、钥匙与图谱关系；可携带标记与独立效果行逐ID核对。</v>
      </c>
    </row>
    <row r="509" spans="2:35">
      <c r="B509">
        <v>72464101</v>
      </c>
      <c r="C509" t="inlineStr">
        <is>
          <t xml:space="preserve">缚岳灵索·蚀骨</t>
        </is>
      </c>
      <c r="D509" s="25">
        <v>12464101</v>
      </c>
      <c r="E509" t="s">
        <v>724</v>
      </c>
      <c r="F509" t="s">
        <v>145</v>
      </c>
      <c r="G509" t="s">
        <v>66</v>
      </c>
      <c r="H509">
        <v>12461096</v>
      </c>
      <c r="I509" t="s">
        <v>1097</v>
      </c>
      <c r="J509" s="25" t="s">
        <v>68</v>
      </c>
      <c r="K509" t="b">
        <v>0</v>
      </c>
      <c r="M509">
        <v>12464101</v>
      </c>
      <c r="N509">
        <v>12465101</v>
      </c>
      <c r="O509">
        <v>12466101</v>
      </c>
      <c r="AH509" s="11">
        <v>176</v>
      </c>
      <c r="AI509" s="11" t="b">
        <v>1</v>
      </c>
      <c r="AL509" t="str" s="11">
        <v>【补充设计】保留奇珍ID、钥匙与图谱关系；可携带标记与独立效果行逐ID核对。</v>
      </c>
    </row>
    <row r="510" spans="2:35">
      <c r="B510">
        <v>72464102</v>
      </c>
      <c r="C510" t="inlineStr">
        <is>
          <t xml:space="preserve">缚岳灵索·绝音</t>
        </is>
      </c>
      <c r="D510" s="25">
        <v>12464102</v>
      </c>
      <c r="E510" t="s">
        <v>724</v>
      </c>
      <c r="F510" t="s">
        <v>145</v>
      </c>
      <c r="G510" t="s">
        <v>66</v>
      </c>
      <c r="H510">
        <v>12461096</v>
      </c>
      <c r="I510" t="s">
        <v>1099</v>
      </c>
      <c r="J510" s="25" t="s">
        <v>68</v>
      </c>
      <c r="K510" t="b">
        <v>0</v>
      </c>
      <c r="M510">
        <v>12464102</v>
      </c>
      <c r="N510">
        <v>12465102</v>
      </c>
      <c r="O510">
        <v>12466102</v>
      </c>
      <c r="AH510" s="11">
        <v>177</v>
      </c>
      <c r="AI510" s="11" t="b">
        <v>1</v>
      </c>
      <c r="AL510" t="str" s="11">
        <v>【补充设计】保留奇珍ID、钥匙与图谱关系；可携带标记与独立效果行逐ID核对。</v>
      </c>
    </row>
    <row r="511" spans="2:35">
      <c r="B511">
        <v>72464103</v>
      </c>
      <c r="C511" t="inlineStr">
        <is>
          <t xml:space="preserve">缚岳灵索·环星</t>
        </is>
      </c>
      <c r="D511" s="25">
        <v>12464103</v>
      </c>
      <c r="E511" t="s">
        <v>724</v>
      </c>
      <c r="F511" t="s">
        <v>145</v>
      </c>
      <c r="G511" t="s">
        <v>66</v>
      </c>
      <c r="H511">
        <v>12461096</v>
      </c>
      <c r="I511" t="s">
        <v>1101</v>
      </c>
      <c r="J511" s="25" t="s">
        <v>68</v>
      </c>
      <c r="K511" t="b">
        <v>0</v>
      </c>
      <c r="M511">
        <v>12464103</v>
      </c>
      <c r="N511">
        <v>12465103</v>
      </c>
      <c r="O511">
        <v>12466103</v>
      </c>
      <c r="AH511" s="11">
        <v>178</v>
      </c>
      <c r="AI511" s="11" t="b">
        <v>1</v>
      </c>
      <c r="AL511" t="str" s="11">
        <v>【补充设计】保留奇珍ID、钥匙与图谱关系；可携带标记与独立效果行逐ID核对。</v>
      </c>
    </row>
    <row r="512" spans="2:35">
      <c r="B512">
        <v>72464105</v>
      </c>
      <c r="C512" t="s">
        <v>1102</v>
      </c>
      <c r="D512" s="25">
        <v>12464105</v>
      </c>
      <c r="E512" t="s">
        <v>724</v>
      </c>
      <c r="F512" t="s">
        <v>145</v>
      </c>
      <c r="G512" t="s">
        <v>66</v>
      </c>
      <c r="H512">
        <v>12461095</v>
      </c>
      <c r="I512" t="s">
        <v>1103</v>
      </c>
      <c r="J512" s="25" t="s">
        <v>68</v>
      </c>
      <c r="K512" t="b">
        <v>0</v>
      </c>
      <c r="M512">
        <v>12464105</v>
      </c>
      <c r="N512">
        <v>12465105</v>
      </c>
      <c r="O512">
        <v>12466105</v>
      </c>
      <c r="AH512" s="11">
        <v>180</v>
      </c>
      <c r="AI512" s="11" t="b">
        <v>1</v>
      </c>
      <c r="AL512" t="str" s="11">
        <v>【补充设计】保留奇珍ID、钥匙与图谱关系；可携带标记与独立效果行逐ID核对。</v>
      </c>
    </row>
    <row r="513" spans="2:35">
      <c r="B513">
        <v>72464106</v>
      </c>
      <c r="C513" t="s">
        <v>1104</v>
      </c>
      <c r="D513" s="25">
        <v>12464106</v>
      </c>
      <c r="E513" t="s">
        <v>724</v>
      </c>
      <c r="F513" t="s">
        <v>145</v>
      </c>
      <c r="G513" t="s">
        <v>66</v>
      </c>
      <c r="H513">
        <v>12461095</v>
      </c>
      <c r="I513" t="s">
        <v>1105</v>
      </c>
      <c r="J513" s="25" t="s">
        <v>68</v>
      </c>
      <c r="K513" t="b">
        <v>0</v>
      </c>
      <c r="M513">
        <v>12464106</v>
      </c>
      <c r="N513">
        <v>12465106</v>
      </c>
      <c r="O513">
        <v>12466106</v>
      </c>
      <c r="AH513" s="11">
        <v>181</v>
      </c>
      <c r="AI513" s="11" t="b">
        <v>1</v>
      </c>
      <c r="AL513" t="str" s="11">
        <v>【补充设计】保留奇珍ID、钥匙与图谱关系；可携带标记与独立效果行逐ID核对。</v>
      </c>
    </row>
    <row r="514" spans="2:35">
      <c r="B514">
        <v>72464107</v>
      </c>
      <c r="C514" t="s">
        <v>1106</v>
      </c>
      <c r="D514" s="25">
        <v>12464107</v>
      </c>
      <c r="E514" t="s">
        <v>724</v>
      </c>
      <c r="F514" t="s">
        <v>145</v>
      </c>
      <c r="G514" t="s">
        <v>66</v>
      </c>
      <c r="H514">
        <v>12461095</v>
      </c>
      <c r="I514" t="s">
        <v>1107</v>
      </c>
      <c r="J514" s="25" t="s">
        <v>68</v>
      </c>
      <c r="K514" t="b">
        <v>0</v>
      </c>
      <c r="M514">
        <v>12464107</v>
      </c>
      <c r="N514">
        <v>12465107</v>
      </c>
      <c r="O514">
        <v>12466107</v>
      </c>
      <c r="AH514" s="11">
        <v>182</v>
      </c>
      <c r="AI514" s="11" t="b">
        <v>1</v>
      </c>
      <c r="AL514" t="str" s="11">
        <v>【补充设计】保留奇珍ID、钥匙与图谱关系；可携带标记与独立效果行逐ID核对。</v>
      </c>
    </row>
    <row r="515" spans="2:35">
      <c r="B515">
        <v>72464108</v>
      </c>
      <c r="C515" t="s">
        <v>1108</v>
      </c>
      <c r="D515" s="25">
        <v>12464108</v>
      </c>
      <c r="E515" t="s">
        <v>724</v>
      </c>
      <c r="F515" t="s">
        <v>145</v>
      </c>
      <c r="G515" t="s">
        <v>66</v>
      </c>
      <c r="H515">
        <v>12461095</v>
      </c>
      <c r="I515" t="s">
        <v>1109</v>
      </c>
      <c r="J515" s="25" t="s">
        <v>68</v>
      </c>
      <c r="K515" t="b">
        <v>0</v>
      </c>
      <c r="M515">
        <v>12464108</v>
      </c>
      <c r="N515">
        <v>12465108</v>
      </c>
      <c r="O515">
        <v>12466108</v>
      </c>
      <c r="AH515" s="11">
        <v>183</v>
      </c>
      <c r="AI515" s="11" t="b">
        <v>1</v>
      </c>
      <c r="AL515" t="str" s="11">
        <v>【补充设计】保留奇珍ID、钥匙与图谱关系；可携带标记与独立效果行逐ID核对。</v>
      </c>
    </row>
    <row r="516" spans="2:35">
      <c r="B516">
        <v>72464109</v>
      </c>
      <c r="C516" t="s">
        <v>1110</v>
      </c>
      <c r="D516" s="25">
        <v>12464109</v>
      </c>
      <c r="E516" t="s">
        <v>724</v>
      </c>
      <c r="F516" t="s">
        <v>145</v>
      </c>
      <c r="G516" t="s">
        <v>66</v>
      </c>
      <c r="H516">
        <v>12461095</v>
      </c>
      <c r="I516" t="s">
        <v>1111</v>
      </c>
      <c r="J516" s="25" t="s">
        <v>68</v>
      </c>
      <c r="K516" t="b">
        <v>0</v>
      </c>
      <c r="M516">
        <v>12464109</v>
      </c>
      <c r="N516">
        <v>12465109</v>
      </c>
      <c r="O516">
        <v>12466109</v>
      </c>
      <c r="AH516" s="11">
        <v>184</v>
      </c>
      <c r="AI516" s="11" t="b">
        <v>1</v>
      </c>
      <c r="AL516" t="str" s="11">
        <v>【补充设计】保留奇珍ID、钥匙与图谱关系；可携带标记与独立效果行逐ID核对。</v>
      </c>
    </row>
    <row r="517" spans="2:35">
      <c r="B517">
        <v>72464110</v>
      </c>
      <c r="C517" t="s">
        <v>1112</v>
      </c>
      <c r="D517" s="25">
        <v>12464110</v>
      </c>
      <c r="E517" t="s">
        <v>724</v>
      </c>
      <c r="F517" t="s">
        <v>145</v>
      </c>
      <c r="G517" t="s">
        <v>66</v>
      </c>
      <c r="H517">
        <v>12461095</v>
      </c>
      <c r="I517" t="s">
        <v>1113</v>
      </c>
      <c r="J517" s="25" t="s">
        <v>68</v>
      </c>
      <c r="K517" t="b">
        <v>0</v>
      </c>
      <c r="M517">
        <v>12464110</v>
      </c>
      <c r="N517">
        <v>12465110</v>
      </c>
      <c r="O517">
        <v>12466110</v>
      </c>
      <c r="AH517" s="11">
        <v>185</v>
      </c>
      <c r="AI517" s="11" t="b">
        <v>1</v>
      </c>
      <c r="AL517" t="str" s="11">
        <v>【补充设计】保留奇珍ID、钥匙与图谱关系；可携带标记与独立效果行逐ID核对。</v>
      </c>
    </row>
    <row r="518" spans="2:35">
      <c r="B518">
        <v>72464111</v>
      </c>
      <c r="C518" t="s">
        <v>1114</v>
      </c>
      <c r="D518" s="25">
        <v>12464111</v>
      </c>
      <c r="E518" t="s">
        <v>724</v>
      </c>
      <c r="F518" t="s">
        <v>145</v>
      </c>
      <c r="G518" t="s">
        <v>66</v>
      </c>
      <c r="H518">
        <v>12461095</v>
      </c>
      <c r="I518" t="s">
        <v>1115</v>
      </c>
      <c r="J518" s="25" t="s">
        <v>68</v>
      </c>
      <c r="K518" t="b">
        <v>0</v>
      </c>
      <c r="M518">
        <v>12464111</v>
      </c>
      <c r="N518">
        <v>12465111</v>
      </c>
      <c r="O518">
        <v>12466111</v>
      </c>
      <c r="AH518" s="11">
        <v>186</v>
      </c>
      <c r="AI518" s="11" t="b">
        <v>1</v>
      </c>
      <c r="AL518" t="str" s="11">
        <v>【补充设计】保留奇珍ID、钥匙与图谱关系；可携带标记与独立效果行逐ID核对。</v>
      </c>
    </row>
    <row r="519" spans="2:35">
      <c r="B519">
        <v>72464112</v>
      </c>
      <c r="C519" t="s">
        <v>1116</v>
      </c>
      <c r="D519" s="25">
        <v>12464112</v>
      </c>
      <c r="E519" t="s">
        <v>724</v>
      </c>
      <c r="F519" t="s">
        <v>145</v>
      </c>
      <c r="G519" t="s">
        <v>66</v>
      </c>
      <c r="H519">
        <v>12461095</v>
      </c>
      <c r="I519" t="s">
        <v>1117</v>
      </c>
      <c r="J519" s="25" t="s">
        <v>68</v>
      </c>
      <c r="K519" t="b">
        <v>0</v>
      </c>
      <c r="M519">
        <v>12464112</v>
      </c>
      <c r="N519">
        <v>12465112</v>
      </c>
      <c r="O519">
        <v>12466112</v>
      </c>
      <c r="AH519" s="11">
        <v>187</v>
      </c>
      <c r="AI519" s="11" t="b">
        <v>1</v>
      </c>
      <c r="AL519" t="str" s="11">
        <v>【补充设计】保留奇珍ID、钥匙与图谱关系；可携带标记与独立效果行逐ID核对。</v>
      </c>
    </row>
    <row r="520" spans="2:35">
      <c r="B520">
        <v>72464113</v>
      </c>
      <c r="C520" t="s">
        <v>1118</v>
      </c>
      <c r="D520" s="25">
        <v>12464113</v>
      </c>
      <c r="E520" t="s">
        <v>724</v>
      </c>
      <c r="F520" t="s">
        <v>145</v>
      </c>
      <c r="G520" t="s">
        <v>66</v>
      </c>
      <c r="H520">
        <v>12461095</v>
      </c>
      <c r="I520" t="s">
        <v>1119</v>
      </c>
      <c r="J520" s="25" t="s">
        <v>68</v>
      </c>
      <c r="K520" t="b">
        <v>0</v>
      </c>
      <c r="M520">
        <v>12464113</v>
      </c>
      <c r="N520">
        <v>12465113</v>
      </c>
      <c r="O520">
        <v>12466113</v>
      </c>
      <c r="AH520" s="11">
        <v>188</v>
      </c>
      <c r="AI520" s="11" t="b">
        <v>1</v>
      </c>
      <c r="AL520" t="str" s="11">
        <v>【补充设计】保留奇珍ID、钥匙与图谱关系；可携带标记与独立效果行逐ID核对。</v>
      </c>
    </row>
    <row r="521" spans="2:35">
      <c r="B521">
        <v>72464114</v>
      </c>
      <c r="C521" t="s">
        <v>1120</v>
      </c>
      <c r="D521" s="25">
        <v>12464114</v>
      </c>
      <c r="E521" t="s">
        <v>724</v>
      </c>
      <c r="F521" t="s">
        <v>145</v>
      </c>
      <c r="G521" t="s">
        <v>66</v>
      </c>
      <c r="H521">
        <v>12461095</v>
      </c>
      <c r="I521" t="s">
        <v>1121</v>
      </c>
      <c r="J521" s="25" t="s">
        <v>68</v>
      </c>
      <c r="K521" t="b">
        <v>0</v>
      </c>
      <c r="M521">
        <v>12464114</v>
      </c>
      <c r="N521">
        <v>12465114</v>
      </c>
      <c r="O521">
        <v>12466114</v>
      </c>
      <c r="AH521" s="11">
        <v>189</v>
      </c>
      <c r="AI521" s="11" t="b">
        <v>1</v>
      </c>
      <c r="AL521" t="str" s="11">
        <v>【补充设计】保留奇珍ID、钥匙与图谱关系；可携带标记与独立效果行逐ID核对。</v>
      </c>
    </row>
    <row r="522" spans="2:35">
      <c r="B522">
        <v>72464115</v>
      </c>
      <c r="C522" t="s">
        <v>1122</v>
      </c>
      <c r="D522" s="25">
        <v>12464115</v>
      </c>
      <c r="E522" t="s">
        <v>724</v>
      </c>
      <c r="F522" t="s">
        <v>145</v>
      </c>
      <c r="G522" t="s">
        <v>66</v>
      </c>
      <c r="H522">
        <v>12461095</v>
      </c>
      <c r="I522" t="s">
        <v>1123</v>
      </c>
      <c r="J522" s="25" t="s">
        <v>68</v>
      </c>
      <c r="K522" t="b">
        <v>0</v>
      </c>
      <c r="M522">
        <v>12464115</v>
      </c>
      <c r="N522">
        <v>12465115</v>
      </c>
      <c r="O522">
        <v>12466115</v>
      </c>
      <c r="AH522" s="11">
        <v>190</v>
      </c>
      <c r="AI522" s="11" t="b">
        <v>1</v>
      </c>
      <c r="AL522" t="str" s="11">
        <v>【补充设计】保留奇珍ID、钥匙与图谱关系；可携带标记与独立效果行逐ID核对。</v>
      </c>
    </row>
    <row r="523" spans="2:35">
      <c r="B523">
        <v>72464116</v>
      </c>
      <c r="C523" t="s">
        <v>1124</v>
      </c>
      <c r="D523" s="25">
        <v>12464116</v>
      </c>
      <c r="E523" t="s">
        <v>724</v>
      </c>
      <c r="F523" t="s">
        <v>145</v>
      </c>
      <c r="G523" t="s">
        <v>66</v>
      </c>
      <c r="H523">
        <v>12461095</v>
      </c>
      <c r="I523" t="s">
        <v>1125</v>
      </c>
      <c r="J523" s="25" t="s">
        <v>68</v>
      </c>
      <c r="K523" t="b">
        <v>0</v>
      </c>
      <c r="M523">
        <v>12464116</v>
      </c>
      <c r="N523">
        <v>12465116</v>
      </c>
      <c r="O523">
        <v>12466116</v>
      </c>
      <c r="AH523" s="11">
        <v>191</v>
      </c>
      <c r="AI523" s="11" t="b">
        <v>1</v>
      </c>
      <c r="AL523" t="str" s="11">
        <v>【补充设计】保留奇珍ID、钥匙与图谱关系；可携带标记与独立效果行逐ID核对。</v>
      </c>
    </row>
    <row r="524" spans="2:35">
      <c r="B524">
        <v>72464117</v>
      </c>
      <c r="C524" t="s">
        <v>1126</v>
      </c>
      <c r="D524" s="25">
        <v>12464117</v>
      </c>
      <c r="E524" t="s">
        <v>724</v>
      </c>
      <c r="F524" t="s">
        <v>145</v>
      </c>
      <c r="G524" t="s">
        <v>66</v>
      </c>
      <c r="H524">
        <v>12461095</v>
      </c>
      <c r="I524" t="s">
        <v>1127</v>
      </c>
      <c r="J524" s="25" t="s">
        <v>68</v>
      </c>
      <c r="K524" t="b">
        <v>0</v>
      </c>
      <c r="M524">
        <v>12464117</v>
      </c>
      <c r="N524">
        <v>12465117</v>
      </c>
      <c r="O524">
        <v>12466117</v>
      </c>
      <c r="AH524" s="11">
        <v>192</v>
      </c>
      <c r="AI524" s="11" t="b">
        <v>1</v>
      </c>
      <c r="AL524" t="str" s="11">
        <v>【补充设计】保留奇珍ID、钥匙与图谱关系；可携带标记与独立效果行逐ID核对。</v>
      </c>
    </row>
    <row r="525" spans="2:35">
      <c r="B525">
        <v>72464118</v>
      </c>
      <c r="C525" t="s">
        <v>1128</v>
      </c>
      <c r="D525" s="25">
        <v>12464118</v>
      </c>
      <c r="E525" t="s">
        <v>724</v>
      </c>
      <c r="F525" t="s">
        <v>145</v>
      </c>
      <c r="G525" t="s">
        <v>66</v>
      </c>
      <c r="H525">
        <v>12461095</v>
      </c>
      <c r="I525" t="s">
        <v>1129</v>
      </c>
      <c r="J525" s="25" t="s">
        <v>68</v>
      </c>
      <c r="K525" t="b">
        <v>0</v>
      </c>
      <c r="M525">
        <v>12464118</v>
      </c>
      <c r="N525">
        <v>12465118</v>
      </c>
      <c r="O525">
        <v>12466118</v>
      </c>
      <c r="AH525" s="11">
        <v>193</v>
      </c>
      <c r="AI525" s="11" t="b">
        <v>1</v>
      </c>
      <c r="AL525" t="str" s="11">
        <v>【补充设计】保留奇珍ID、钥匙与图谱关系；可携带标记与独立效果行逐ID核对。</v>
      </c>
    </row>
    <row r="526" spans="2:35">
      <c r="B526">
        <v>72464119</v>
      </c>
      <c r="C526" t="s">
        <v>1130</v>
      </c>
      <c r="D526" s="25">
        <v>12464119</v>
      </c>
      <c r="E526" t="s">
        <v>724</v>
      </c>
      <c r="F526" t="s">
        <v>145</v>
      </c>
      <c r="G526" t="s">
        <v>66</v>
      </c>
      <c r="H526">
        <v>12461095</v>
      </c>
      <c r="I526" t="s">
        <v>1131</v>
      </c>
      <c r="J526" s="25" t="s">
        <v>68</v>
      </c>
      <c r="K526" t="b">
        <v>0</v>
      </c>
      <c r="M526">
        <v>12464119</v>
      </c>
      <c r="N526">
        <v>12465119</v>
      </c>
      <c r="O526">
        <v>12466119</v>
      </c>
      <c r="AH526" s="11">
        <v>194</v>
      </c>
      <c r="AI526" s="11" t="b">
        <v>1</v>
      </c>
      <c r="AL526" t="str" s="11">
        <v>【补充设计】保留奇珍ID、钥匙与图谱关系；可携带标记与独立效果行逐ID核对。</v>
      </c>
    </row>
    <row r="527" spans="2:35">
      <c r="B527">
        <v>72464121</v>
      </c>
      <c r="C527" t="s">
        <v>1132</v>
      </c>
      <c r="D527" s="25">
        <v>12464121</v>
      </c>
      <c r="E527" t="s">
        <v>724</v>
      </c>
      <c r="F527" t="s">
        <v>145</v>
      </c>
      <c r="G527" t="s">
        <v>66</v>
      </c>
      <c r="H527">
        <v>12461093</v>
      </c>
      <c r="I527" t="s">
        <v>1133</v>
      </c>
      <c r="J527" s="25" t="s">
        <v>68</v>
      </c>
      <c r="K527" t="b">
        <v>0</v>
      </c>
      <c r="M527">
        <v>12464121</v>
      </c>
      <c r="N527">
        <v>12465121</v>
      </c>
      <c r="O527">
        <v>12466121</v>
      </c>
      <c r="AH527" s="11">
        <v>196</v>
      </c>
      <c r="AI527" s="11" t="b">
        <v>1</v>
      </c>
      <c r="AL527" t="str" s="11">
        <v>【补充设计】保留奇珍ID、钥匙与图谱关系；可携带标记与独立效果行逐ID核对。</v>
      </c>
    </row>
    <row r="528" spans="2:35">
      <c r="B528">
        <v>72464122</v>
      </c>
      <c r="C528" t="s">
        <v>1134</v>
      </c>
      <c r="D528" s="25">
        <v>12464122</v>
      </c>
      <c r="E528" t="s">
        <v>724</v>
      </c>
      <c r="F528" t="s">
        <v>145</v>
      </c>
      <c r="G528" t="s">
        <v>66</v>
      </c>
      <c r="H528">
        <v>12461093</v>
      </c>
      <c r="I528" t="s">
        <v>1135</v>
      </c>
      <c r="J528" s="25" t="s">
        <v>68</v>
      </c>
      <c r="K528" t="b">
        <v>0</v>
      </c>
      <c r="M528">
        <v>12464122</v>
      </c>
      <c r="N528">
        <v>12465122</v>
      </c>
      <c r="O528">
        <v>12466122</v>
      </c>
      <c r="AH528" s="11">
        <v>197</v>
      </c>
      <c r="AI528" s="11" t="b">
        <v>1</v>
      </c>
      <c r="AL528" t="str" s="11">
        <v>【补充设计】保留奇珍ID、钥匙与图谱关系；可携带标记与独立效果行逐ID核对。</v>
      </c>
    </row>
    <row r="529" spans="2:35">
      <c r="B529">
        <v>72464123</v>
      </c>
      <c r="C529" t="s">
        <v>1136</v>
      </c>
      <c r="D529" s="25">
        <v>12464123</v>
      </c>
      <c r="E529" t="s">
        <v>724</v>
      </c>
      <c r="F529" t="s">
        <v>145</v>
      </c>
      <c r="G529" t="s">
        <v>66</v>
      </c>
      <c r="H529">
        <v>12461093</v>
      </c>
      <c r="I529" t="s">
        <v>1137</v>
      </c>
      <c r="J529" s="25" t="s">
        <v>68</v>
      </c>
      <c r="K529" t="b">
        <v>0</v>
      </c>
      <c r="M529">
        <v>12464123</v>
      </c>
      <c r="N529">
        <v>12465123</v>
      </c>
      <c r="O529">
        <v>12466123</v>
      </c>
      <c r="AH529" s="11">
        <v>198</v>
      </c>
      <c r="AI529" s="11" t="b">
        <v>1</v>
      </c>
      <c r="AL529" t="str" s="11">
        <v>【补充设计】保留奇珍ID、钥匙与图谱关系；可携带标记与独立效果行逐ID核对。</v>
      </c>
    </row>
    <row r="530" spans="2:35">
      <c r="B530">
        <v>72464124</v>
      </c>
      <c r="C530" t="s">
        <v>1138</v>
      </c>
      <c r="D530" s="25">
        <v>12464124</v>
      </c>
      <c r="E530" t="s">
        <v>724</v>
      </c>
      <c r="F530" t="s">
        <v>145</v>
      </c>
      <c r="G530" t="s">
        <v>66</v>
      </c>
      <c r="H530">
        <v>12461093</v>
      </c>
      <c r="I530" t="s">
        <v>1139</v>
      </c>
      <c r="J530" s="25" t="s">
        <v>68</v>
      </c>
      <c r="K530" t="b">
        <v>0</v>
      </c>
      <c r="M530">
        <v>12464124</v>
      </c>
      <c r="N530">
        <v>12465124</v>
      </c>
      <c r="O530">
        <v>12466124</v>
      </c>
      <c r="AH530" s="11">
        <v>199</v>
      </c>
      <c r="AI530" s="11" t="b">
        <v>1</v>
      </c>
      <c r="AL530" t="str" s="11">
        <v>【补充设计】保留奇珍ID、钥匙与图谱关系；可携带标记与独立效果行逐ID核对。</v>
      </c>
    </row>
    <row r="531" spans="2:35">
      <c r="B531">
        <v>72464125</v>
      </c>
      <c r="C531" t="s">
        <v>1140</v>
      </c>
      <c r="D531" s="25">
        <v>12464125</v>
      </c>
      <c r="E531" t="s">
        <v>724</v>
      </c>
      <c r="F531" t="s">
        <v>145</v>
      </c>
      <c r="G531" t="s">
        <v>66</v>
      </c>
      <c r="H531">
        <v>12461093</v>
      </c>
      <c r="I531" t="s">
        <v>1141</v>
      </c>
      <c r="J531" s="25" t="s">
        <v>68</v>
      </c>
      <c r="K531" t="b">
        <v>0</v>
      </c>
      <c r="M531">
        <v>12464125</v>
      </c>
      <c r="N531">
        <v>12465125</v>
      </c>
      <c r="O531">
        <v>12466125</v>
      </c>
      <c r="AH531" s="11">
        <v>200</v>
      </c>
      <c r="AI531" s="11" t="b">
        <v>1</v>
      </c>
      <c r="AL531" t="str" s="11">
        <v>【补充设计】保留奇珍ID、钥匙与图谱关系；可携带标记与独立效果行逐ID核对。</v>
      </c>
    </row>
    <row r="532" spans="2:35">
      <c r="B532">
        <v>72464126</v>
      </c>
      <c r="C532" t="s">
        <v>1142</v>
      </c>
      <c r="D532" s="25">
        <v>12464126</v>
      </c>
      <c r="E532" t="s">
        <v>724</v>
      </c>
      <c r="F532" t="s">
        <v>145</v>
      </c>
      <c r="G532" t="s">
        <v>66</v>
      </c>
      <c r="H532">
        <v>12461093</v>
      </c>
      <c r="I532" t="s">
        <v>1143</v>
      </c>
      <c r="J532" s="25" t="s">
        <v>68</v>
      </c>
      <c r="K532" t="b">
        <v>0</v>
      </c>
      <c r="M532">
        <v>12464126</v>
      </c>
      <c r="N532">
        <v>12465126</v>
      </c>
      <c r="O532">
        <v>12466126</v>
      </c>
      <c r="AH532" s="11">
        <v>201</v>
      </c>
      <c r="AI532" s="11" t="b">
        <v>1</v>
      </c>
      <c r="AL532" t="str" s="11">
        <v>【补充设计】保留奇珍ID、钥匙与图谱关系；可携带标记与独立效果行逐ID核对。</v>
      </c>
    </row>
    <row r="533" spans="2:35">
      <c r="B533">
        <v>72464127</v>
      </c>
      <c r="C533" t="s">
        <v>1144</v>
      </c>
      <c r="D533" s="25">
        <v>12464127</v>
      </c>
      <c r="E533" t="s">
        <v>724</v>
      </c>
      <c r="F533" t="s">
        <v>145</v>
      </c>
      <c r="G533" t="s">
        <v>66</v>
      </c>
      <c r="H533">
        <v>12461093</v>
      </c>
      <c r="I533" t="s">
        <v>1145</v>
      </c>
      <c r="J533" s="25" t="s">
        <v>68</v>
      </c>
      <c r="K533" t="b">
        <v>0</v>
      </c>
      <c r="M533">
        <v>12464127</v>
      </c>
      <c r="N533">
        <v>12465127</v>
      </c>
      <c r="O533">
        <v>12466127</v>
      </c>
      <c r="AH533" s="11">
        <v>202</v>
      </c>
      <c r="AI533" s="11" t="b">
        <v>1</v>
      </c>
      <c r="AL533" t="str" s="11">
        <v>【补充设计】保留奇珍ID、钥匙与图谱关系；可携带标记与独立效果行逐ID核对。</v>
      </c>
    </row>
    <row r="534" spans="2:35">
      <c r="B534">
        <v>72464128</v>
      </c>
      <c r="C534" t="s">
        <v>1146</v>
      </c>
      <c r="D534" s="25">
        <v>12464128</v>
      </c>
      <c r="E534" t="s">
        <v>724</v>
      </c>
      <c r="F534" t="s">
        <v>145</v>
      </c>
      <c r="G534" t="s">
        <v>66</v>
      </c>
      <c r="H534">
        <v>12461093</v>
      </c>
      <c r="I534" t="s">
        <v>1147</v>
      </c>
      <c r="J534" s="25" t="s">
        <v>68</v>
      </c>
      <c r="K534" t="b">
        <v>0</v>
      </c>
      <c r="M534">
        <v>12464128</v>
      </c>
      <c r="N534">
        <v>12465128</v>
      </c>
      <c r="O534">
        <v>12466128</v>
      </c>
      <c r="AH534" s="11">
        <v>203</v>
      </c>
      <c r="AI534" s="11" t="b">
        <v>1</v>
      </c>
      <c r="AL534" t="str" s="11">
        <v>【补充设计】保留奇珍ID、钥匙与图谱关系；可携带标记与独立效果行逐ID核对。</v>
      </c>
    </row>
    <row r="535" spans="2:35">
      <c r="B535">
        <v>72464129</v>
      </c>
      <c r="C535" t="s">
        <v>1148</v>
      </c>
      <c r="D535" s="25">
        <v>12464129</v>
      </c>
      <c r="E535" t="s">
        <v>724</v>
      </c>
      <c r="F535" t="s">
        <v>145</v>
      </c>
      <c r="G535" t="s">
        <v>66</v>
      </c>
      <c r="H535">
        <v>12461093</v>
      </c>
      <c r="I535" t="s">
        <v>1149</v>
      </c>
      <c r="J535" s="25" t="s">
        <v>68</v>
      </c>
      <c r="K535" t="b">
        <v>0</v>
      </c>
      <c r="M535">
        <v>12464129</v>
      </c>
      <c r="N535">
        <v>12465129</v>
      </c>
      <c r="O535">
        <v>12466129</v>
      </c>
      <c r="AH535" s="11">
        <v>204</v>
      </c>
      <c r="AI535" s="11" t="b">
        <v>1</v>
      </c>
      <c r="AL535" t="str" s="11">
        <v>【补充设计】保留奇珍ID、钥匙与图谱关系；可携带标记与独立效果行逐ID核对。</v>
      </c>
    </row>
    <row r="536" spans="2:35">
      <c r="B536">
        <v>72464130</v>
      </c>
      <c r="C536" t="s">
        <v>1150</v>
      </c>
      <c r="D536" s="25">
        <v>12464130</v>
      </c>
      <c r="E536" t="s">
        <v>724</v>
      </c>
      <c r="F536" t="s">
        <v>145</v>
      </c>
      <c r="G536" t="s">
        <v>66</v>
      </c>
      <c r="H536">
        <v>12461093</v>
      </c>
      <c r="I536" t="s">
        <v>1151</v>
      </c>
      <c r="J536" s="25" t="s">
        <v>68</v>
      </c>
      <c r="K536" t="b">
        <v>0</v>
      </c>
      <c r="M536">
        <v>12464130</v>
      </c>
      <c r="N536">
        <v>12465130</v>
      </c>
      <c r="O536">
        <v>12466130</v>
      </c>
      <c r="AH536" s="11">
        <v>205</v>
      </c>
      <c r="AI536" s="11" t="b">
        <v>1</v>
      </c>
      <c r="AL536" t="str" s="11">
        <v>【补充设计】保留奇珍ID、钥匙与图谱关系；可携带标记与独立效果行逐ID核对。</v>
      </c>
    </row>
    <row r="537" spans="2:35">
      <c r="B537">
        <v>72464131</v>
      </c>
      <c r="C537" t="s">
        <v>1152</v>
      </c>
      <c r="D537" s="25">
        <v>12464131</v>
      </c>
      <c r="E537" t="s">
        <v>724</v>
      </c>
      <c r="F537" t="s">
        <v>145</v>
      </c>
      <c r="G537" t="s">
        <v>66</v>
      </c>
      <c r="H537">
        <v>12461093</v>
      </c>
      <c r="I537" t="s">
        <v>1153</v>
      </c>
      <c r="J537" s="25" t="s">
        <v>68</v>
      </c>
      <c r="K537" t="b">
        <v>0</v>
      </c>
      <c r="M537">
        <v>12464131</v>
      </c>
      <c r="N537">
        <v>12465131</v>
      </c>
      <c r="O537">
        <v>12466131</v>
      </c>
      <c r="AH537" s="11">
        <v>206</v>
      </c>
      <c r="AI537" s="11" t="b">
        <v>1</v>
      </c>
      <c r="AL537" t="str" s="11">
        <v>【补充设计】保留奇珍ID、钥匙与图谱关系；可携带标记与独立效果行逐ID核对。</v>
      </c>
    </row>
    <row r="538" spans="2:35">
      <c r="B538">
        <v>72474096</v>
      </c>
      <c r="C538" t="s">
        <v>1154</v>
      </c>
      <c r="D538" s="25">
        <v>12474096</v>
      </c>
      <c r="E538" t="s">
        <v>724</v>
      </c>
      <c r="F538" t="s">
        <v>145</v>
      </c>
      <c r="G538" t="s">
        <v>66</v>
      </c>
      <c r="H538">
        <v>12471098</v>
      </c>
      <c r="I538" t="s">
        <v>1155</v>
      </c>
      <c r="J538" s="25" t="s">
        <v>68</v>
      </c>
      <c r="K538" t="b">
        <v>0</v>
      </c>
      <c r="M538">
        <v>12474096</v>
      </c>
      <c r="N538">
        <v>12475096</v>
      </c>
      <c r="O538">
        <v>12476096</v>
      </c>
      <c r="AH538" s="11">
        <v>209</v>
      </c>
      <c r="AI538" s="11" t="b">
        <v>1</v>
      </c>
      <c r="AL538" t="str" s="11">
        <v>【补充设计】保留奇珍ID、钥匙与图谱关系；可携带标记与独立效果行逐ID核对。</v>
      </c>
    </row>
    <row r="539" spans="2:35">
      <c r="B539">
        <v>72474097</v>
      </c>
      <c r="C539" t="s">
        <v>1156</v>
      </c>
      <c r="D539" s="25">
        <v>12474097</v>
      </c>
      <c r="E539" t="s">
        <v>724</v>
      </c>
      <c r="F539" t="s">
        <v>145</v>
      </c>
      <c r="G539" t="s">
        <v>66</v>
      </c>
      <c r="H539">
        <v>12471098</v>
      </c>
      <c r="I539" t="s">
        <v>1157</v>
      </c>
      <c r="J539" s="25" t="s">
        <v>68</v>
      </c>
      <c r="K539" t="b">
        <v>0</v>
      </c>
      <c r="M539">
        <v>12474097</v>
      </c>
      <c r="N539">
        <v>12475097</v>
      </c>
      <c r="O539">
        <v>12476097</v>
      </c>
      <c r="AH539" s="11">
        <v>210</v>
      </c>
      <c r="AI539" s="11" t="b">
        <v>1</v>
      </c>
      <c r="AL539" t="str" s="11">
        <v>【补充设计】保留奇珍ID、钥匙与图谱关系；可携带标记与独立效果行逐ID核对。</v>
      </c>
    </row>
    <row r="540" spans="2:35">
      <c r="B540">
        <v>72474098</v>
      </c>
      <c r="C540" t="s">
        <v>1158</v>
      </c>
      <c r="D540" s="25">
        <v>12474098</v>
      </c>
      <c r="E540" t="s">
        <v>724</v>
      </c>
      <c r="F540" t="s">
        <v>145</v>
      </c>
      <c r="G540" t="s">
        <v>66</v>
      </c>
      <c r="H540">
        <v>12471098</v>
      </c>
      <c r="I540" t="s">
        <v>1159</v>
      </c>
      <c r="J540" s="25" t="s">
        <v>68</v>
      </c>
      <c r="K540" t="b">
        <v>0</v>
      </c>
      <c r="M540">
        <v>12474098</v>
      </c>
      <c r="N540">
        <v>12475098</v>
      </c>
      <c r="O540">
        <v>12476098</v>
      </c>
      <c r="AH540" s="11">
        <v>211</v>
      </c>
      <c r="AI540" s="11" t="b">
        <v>1</v>
      </c>
      <c r="AL540" t="str" s="11">
        <v>【补充设计】保留奇珍ID、钥匙与图谱关系；可携带标记与独立效果行逐ID核对。</v>
      </c>
    </row>
    <row r="541" spans="2:35">
      <c r="B541">
        <v>72474099</v>
      </c>
      <c r="C541" t="s">
        <v>1160</v>
      </c>
      <c r="D541" s="25">
        <v>12474099</v>
      </c>
      <c r="E541" t="s">
        <v>724</v>
      </c>
      <c r="F541" t="s">
        <v>145</v>
      </c>
      <c r="G541" t="s">
        <v>66</v>
      </c>
      <c r="H541">
        <v>12471098</v>
      </c>
      <c r="I541" t="s">
        <v>1161</v>
      </c>
      <c r="J541" s="25" t="s">
        <v>68</v>
      </c>
      <c r="K541" t="b">
        <v>0</v>
      </c>
      <c r="M541">
        <v>12474099</v>
      </c>
      <c r="N541">
        <v>12475099</v>
      </c>
      <c r="O541">
        <v>12476099</v>
      </c>
      <c r="AH541" s="11">
        <v>212</v>
      </c>
      <c r="AI541" s="11" t="b">
        <v>1</v>
      </c>
      <c r="AL541" t="str" s="11">
        <v>【补充设计】保留奇珍ID、钥匙与图谱关系；可携带标记与独立效果行逐ID核对。</v>
      </c>
    </row>
    <row r="542" spans="2:35">
      <c r="B542">
        <v>72474100</v>
      </c>
      <c r="C542" t="s">
        <v>1162</v>
      </c>
      <c r="D542" s="25">
        <v>12474100</v>
      </c>
      <c r="E542" t="s">
        <v>724</v>
      </c>
      <c r="F542" t="s">
        <v>145</v>
      </c>
      <c r="G542" t="s">
        <v>66</v>
      </c>
      <c r="H542">
        <v>12471098</v>
      </c>
      <c r="I542" t="s">
        <v>1163</v>
      </c>
      <c r="J542" s="25" t="s">
        <v>68</v>
      </c>
      <c r="K542" t="b">
        <v>0</v>
      </c>
      <c r="M542">
        <v>12474100</v>
      </c>
      <c r="N542">
        <v>12475100</v>
      </c>
      <c r="O542">
        <v>12476100</v>
      </c>
      <c r="AH542" s="11">
        <v>213</v>
      </c>
      <c r="AI542" s="11" t="b">
        <v>1</v>
      </c>
      <c r="AL542" t="str" s="11">
        <v>【补充设计】保留奇珍ID、钥匙与图谱关系；可携带标记与独立效果行逐ID核对。</v>
      </c>
    </row>
    <row r="543" spans="2:35">
      <c r="B543">
        <v>72474101</v>
      </c>
      <c r="C543" t="s">
        <v>1164</v>
      </c>
      <c r="D543" s="25">
        <v>12474101</v>
      </c>
      <c r="E543" t="s">
        <v>724</v>
      </c>
      <c r="F543" t="s">
        <v>145</v>
      </c>
      <c r="G543" t="s">
        <v>66</v>
      </c>
      <c r="H543">
        <v>12471098</v>
      </c>
      <c r="I543" t="s">
        <v>1165</v>
      </c>
      <c r="J543" s="25" t="s">
        <v>68</v>
      </c>
      <c r="K543" t="b">
        <v>0</v>
      </c>
      <c r="M543">
        <v>12474101</v>
      </c>
      <c r="N543">
        <v>12475101</v>
      </c>
      <c r="O543">
        <v>12476101</v>
      </c>
      <c r="AH543" s="11">
        <v>214</v>
      </c>
      <c r="AI543" s="11" t="b">
        <v>1</v>
      </c>
      <c r="AL543" t="str" s="11">
        <v>【补充设计】保留奇珍ID、钥匙与图谱关系；可携带标记与独立效果行逐ID核对。</v>
      </c>
    </row>
    <row r="544" spans="2:35">
      <c r="B544">
        <v>72474102</v>
      </c>
      <c r="C544" t="s">
        <v>1166</v>
      </c>
      <c r="D544" s="25">
        <v>12474102</v>
      </c>
      <c r="E544" t="s">
        <v>724</v>
      </c>
      <c r="F544" t="s">
        <v>145</v>
      </c>
      <c r="G544" t="s">
        <v>66</v>
      </c>
      <c r="H544">
        <v>12471098</v>
      </c>
      <c r="I544" t="s">
        <v>1167</v>
      </c>
      <c r="J544" s="25" t="s">
        <v>68</v>
      </c>
      <c r="K544" t="b">
        <v>0</v>
      </c>
      <c r="M544">
        <v>12474102</v>
      </c>
      <c r="N544">
        <v>12475102</v>
      </c>
      <c r="O544">
        <v>12476102</v>
      </c>
      <c r="AH544" s="11">
        <v>215</v>
      </c>
      <c r="AI544" s="11" t="b">
        <v>1</v>
      </c>
      <c r="AL544" t="str" s="11">
        <v>【补充设计】保留奇珍ID、钥匙与图谱关系；可携带标记与独立效果行逐ID核对。</v>
      </c>
    </row>
    <row r="545" spans="2:35">
      <c r="B545">
        <v>72474103</v>
      </c>
      <c r="C545" t="s">
        <v>1168</v>
      </c>
      <c r="D545" s="25">
        <v>12474103</v>
      </c>
      <c r="E545" t="s">
        <v>724</v>
      </c>
      <c r="F545" t="s">
        <v>145</v>
      </c>
      <c r="G545" t="s">
        <v>66</v>
      </c>
      <c r="H545">
        <v>12471098</v>
      </c>
      <c r="I545" t="s">
        <v>1169</v>
      </c>
      <c r="J545" s="25" t="s">
        <v>68</v>
      </c>
      <c r="K545" t="b">
        <v>0</v>
      </c>
      <c r="M545">
        <v>12474103</v>
      </c>
      <c r="N545">
        <v>12475103</v>
      </c>
      <c r="O545">
        <v>12476103</v>
      </c>
      <c r="AH545" s="11">
        <v>216</v>
      </c>
      <c r="AI545" s="11" t="b">
        <v>1</v>
      </c>
      <c r="AL545" t="str" s="11">
        <v>【补充设计】保留奇珍ID、钥匙与图谱关系；可携带标记与独立效果行逐ID核对。</v>
      </c>
    </row>
    <row r="546" spans="2:35">
      <c r="B546">
        <v>72474105</v>
      </c>
      <c r="C546" t="s">
        <v>1170</v>
      </c>
      <c r="D546" s="25">
        <v>12474105</v>
      </c>
      <c r="E546" t="s">
        <v>724</v>
      </c>
      <c r="F546" t="s">
        <v>145</v>
      </c>
      <c r="G546" t="s">
        <v>66</v>
      </c>
      <c r="H546">
        <v>12471100</v>
      </c>
      <c r="I546" t="s">
        <v>1171</v>
      </c>
      <c r="J546" s="25" t="s">
        <v>68</v>
      </c>
      <c r="K546" t="b">
        <v>0</v>
      </c>
      <c r="M546">
        <v>12474105</v>
      </c>
      <c r="N546">
        <v>12475105</v>
      </c>
      <c r="O546">
        <v>12476105</v>
      </c>
      <c r="AH546" s="11">
        <v>218</v>
      </c>
      <c r="AI546" s="11" t="b">
        <v>1</v>
      </c>
      <c r="AL546" t="str" s="11">
        <v>【补充设计】保留奇珍ID、钥匙与图谱关系；可携带标记与独立效果行逐ID核对。</v>
      </c>
    </row>
    <row r="547" spans="2:35">
      <c r="B547">
        <v>72474106</v>
      </c>
      <c r="C547" t="s">
        <v>1172</v>
      </c>
      <c r="D547" s="25">
        <v>12474106</v>
      </c>
      <c r="E547" t="s">
        <v>724</v>
      </c>
      <c r="F547" t="s">
        <v>145</v>
      </c>
      <c r="G547" t="s">
        <v>66</v>
      </c>
      <c r="H547">
        <v>12471100</v>
      </c>
      <c r="I547" t="s">
        <v>1173</v>
      </c>
      <c r="J547" s="25" t="s">
        <v>68</v>
      </c>
      <c r="K547" t="b">
        <v>0</v>
      </c>
      <c r="M547">
        <v>12474106</v>
      </c>
      <c r="N547">
        <v>12475106</v>
      </c>
      <c r="O547">
        <v>12476106</v>
      </c>
      <c r="AH547" s="11">
        <v>219</v>
      </c>
      <c r="AI547" s="11" t="b">
        <v>1</v>
      </c>
      <c r="AL547" t="str" s="11">
        <v>【补充设计】保留奇珍ID、钥匙与图谱关系；可携带标记与独立效果行逐ID核对。</v>
      </c>
    </row>
    <row r="548" spans="2:35">
      <c r="B548">
        <v>72474107</v>
      </c>
      <c r="C548" t="s">
        <v>1174</v>
      </c>
      <c r="D548" s="25">
        <v>12474107</v>
      </c>
      <c r="E548" t="s">
        <v>724</v>
      </c>
      <c r="F548" t="s">
        <v>145</v>
      </c>
      <c r="G548" t="s">
        <v>66</v>
      </c>
      <c r="H548">
        <v>12471100</v>
      </c>
      <c r="I548" t="s">
        <v>1175</v>
      </c>
      <c r="J548" s="25" t="s">
        <v>68</v>
      </c>
      <c r="K548" t="b">
        <v>0</v>
      </c>
      <c r="M548">
        <v>12474107</v>
      </c>
      <c r="N548">
        <v>12475107</v>
      </c>
      <c r="O548">
        <v>12476107</v>
      </c>
      <c r="AH548" s="11">
        <v>220</v>
      </c>
      <c r="AI548" s="11" t="b">
        <v>1</v>
      </c>
      <c r="AL548" t="str" s="11">
        <v>【补充设计】保留奇珍ID、钥匙与图谱关系；可携带标记与独立效果行逐ID核对。</v>
      </c>
    </row>
    <row r="549" spans="2:35">
      <c r="B549">
        <v>72474108</v>
      </c>
      <c r="C549" t="s">
        <v>1176</v>
      </c>
      <c r="D549" s="25">
        <v>12474108</v>
      </c>
      <c r="E549" t="s">
        <v>724</v>
      </c>
      <c r="F549" t="s">
        <v>145</v>
      </c>
      <c r="G549" t="s">
        <v>66</v>
      </c>
      <c r="H549">
        <v>12471100</v>
      </c>
      <c r="I549" t="s">
        <v>1177</v>
      </c>
      <c r="J549" s="25" t="s">
        <v>68</v>
      </c>
      <c r="K549" t="b">
        <v>0</v>
      </c>
      <c r="M549">
        <v>12474108</v>
      </c>
      <c r="N549">
        <v>12475108</v>
      </c>
      <c r="O549">
        <v>12476108</v>
      </c>
      <c r="AH549" s="11">
        <v>221</v>
      </c>
      <c r="AI549" s="11" t="b">
        <v>1</v>
      </c>
      <c r="AL549" t="str" s="11">
        <v>【补充设计】保留奇珍ID、钥匙与图谱关系；可携带标记与独立效果行逐ID核对。</v>
      </c>
    </row>
    <row r="550" spans="2:35">
      <c r="B550">
        <v>72474109</v>
      </c>
      <c r="C550" t="s">
        <v>1178</v>
      </c>
      <c r="D550" s="25">
        <v>12474109</v>
      </c>
      <c r="E550" t="s">
        <v>724</v>
      </c>
      <c r="F550" t="s">
        <v>145</v>
      </c>
      <c r="G550" t="s">
        <v>66</v>
      </c>
      <c r="H550">
        <v>12471100</v>
      </c>
      <c r="I550" t="s">
        <v>1179</v>
      </c>
      <c r="J550" s="25" t="s">
        <v>68</v>
      </c>
      <c r="K550" t="b">
        <v>0</v>
      </c>
      <c r="M550">
        <v>12474109</v>
      </c>
      <c r="N550">
        <v>12475109</v>
      </c>
      <c r="O550">
        <v>12476109</v>
      </c>
      <c r="AH550" s="11">
        <v>222</v>
      </c>
      <c r="AI550" s="11" t="b">
        <v>1</v>
      </c>
      <c r="AL550" t="str" s="11">
        <v>【补充设计】保留奇珍ID、钥匙与图谱关系；可携带标记与独立效果行逐ID核对。</v>
      </c>
    </row>
    <row r="551" spans="2:35">
      <c r="B551">
        <v>72474110</v>
      </c>
      <c r="C551" t="s">
        <v>1180</v>
      </c>
      <c r="D551" s="25">
        <v>12474110</v>
      </c>
      <c r="E551" t="s">
        <v>724</v>
      </c>
      <c r="F551" t="s">
        <v>145</v>
      </c>
      <c r="G551" t="s">
        <v>66</v>
      </c>
      <c r="H551">
        <v>12471100</v>
      </c>
      <c r="I551" t="s">
        <v>1181</v>
      </c>
      <c r="J551" s="25" t="s">
        <v>68</v>
      </c>
      <c r="K551" t="b">
        <v>0</v>
      </c>
      <c r="M551">
        <v>12474110</v>
      </c>
      <c r="N551">
        <v>12475110</v>
      </c>
      <c r="O551">
        <v>12476110</v>
      </c>
      <c r="AH551" s="11">
        <v>223</v>
      </c>
      <c r="AI551" s="11" t="b">
        <v>1</v>
      </c>
      <c r="AL551" t="str" s="11">
        <v>【补充设计】保留奇珍ID、钥匙与图谱关系；可携带标记与独立效果行逐ID核对。</v>
      </c>
    </row>
    <row r="552" spans="2:35">
      <c r="B552">
        <v>72474111</v>
      </c>
      <c r="C552" t="s">
        <v>1182</v>
      </c>
      <c r="D552" s="25">
        <v>12474111</v>
      </c>
      <c r="E552" t="s">
        <v>724</v>
      </c>
      <c r="F552" t="s">
        <v>145</v>
      </c>
      <c r="G552" t="s">
        <v>66</v>
      </c>
      <c r="H552">
        <v>12471100</v>
      </c>
      <c r="I552" t="s">
        <v>1183</v>
      </c>
      <c r="J552" s="25" t="s">
        <v>68</v>
      </c>
      <c r="K552" t="b">
        <v>0</v>
      </c>
      <c r="M552">
        <v>12474111</v>
      </c>
      <c r="N552">
        <v>12475111</v>
      </c>
      <c r="O552">
        <v>12476111</v>
      </c>
      <c r="AH552" s="11">
        <v>224</v>
      </c>
      <c r="AI552" s="11" t="b">
        <v>1</v>
      </c>
      <c r="AL552" t="str" s="11">
        <v>【补充设计】保留奇珍ID、钥匙与图谱关系；可携带标记与独立效果行逐ID核对。</v>
      </c>
    </row>
    <row r="553" spans="2:35">
      <c r="B553">
        <v>72474112</v>
      </c>
      <c r="C553" t="s">
        <v>1184</v>
      </c>
      <c r="D553" s="25">
        <v>12474112</v>
      </c>
      <c r="E553" t="s">
        <v>724</v>
      </c>
      <c r="F553" t="s">
        <v>145</v>
      </c>
      <c r="G553" t="s">
        <v>66</v>
      </c>
      <c r="H553">
        <v>12471100</v>
      </c>
      <c r="I553" t="s">
        <v>1185</v>
      </c>
      <c r="J553" s="25" t="s">
        <v>68</v>
      </c>
      <c r="K553" t="b">
        <v>0</v>
      </c>
      <c r="M553">
        <v>12474112</v>
      </c>
      <c r="N553">
        <v>12475112</v>
      </c>
      <c r="O553">
        <v>12476112</v>
      </c>
      <c r="AH553" s="11">
        <v>225</v>
      </c>
      <c r="AI553" s="11" t="b">
        <v>1</v>
      </c>
      <c r="AL553" t="str" s="11">
        <v>【补充设计】保留奇珍ID、钥匙与图谱关系；可携带标记与独立效果行逐ID核对。</v>
      </c>
    </row>
    <row r="554" spans="2:35">
      <c r="B554">
        <v>72474113</v>
      </c>
      <c r="C554" t="s">
        <v>1186</v>
      </c>
      <c r="D554" s="25">
        <v>12474113</v>
      </c>
      <c r="E554" t="s">
        <v>724</v>
      </c>
      <c r="F554" t="s">
        <v>145</v>
      </c>
      <c r="G554" t="s">
        <v>66</v>
      </c>
      <c r="H554">
        <v>12471100</v>
      </c>
      <c r="I554" t="s">
        <v>1187</v>
      </c>
      <c r="J554" s="25" t="s">
        <v>68</v>
      </c>
      <c r="K554" t="b">
        <v>0</v>
      </c>
      <c r="M554">
        <v>12474113</v>
      </c>
      <c r="N554">
        <v>12475113</v>
      </c>
      <c r="O554">
        <v>12476113</v>
      </c>
      <c r="AH554" s="11">
        <v>226</v>
      </c>
      <c r="AI554" s="11" t="b">
        <v>1</v>
      </c>
      <c r="AL554" t="str" s="11">
        <v>【补充设计】保留奇珍ID、钥匙与图谱关系；可携带标记与独立效果行逐ID核对。</v>
      </c>
    </row>
    <row r="555" spans="2:35">
      <c r="B555">
        <v>72474114</v>
      </c>
      <c r="C555" t="s">
        <v>1188</v>
      </c>
      <c r="D555" s="25">
        <v>12474114</v>
      </c>
      <c r="E555" t="s">
        <v>724</v>
      </c>
      <c r="F555" t="s">
        <v>145</v>
      </c>
      <c r="G555" t="s">
        <v>66</v>
      </c>
      <c r="H555">
        <v>12471100</v>
      </c>
      <c r="I555" t="s">
        <v>1189</v>
      </c>
      <c r="J555" s="25" t="s">
        <v>68</v>
      </c>
      <c r="K555" t="b">
        <v>0</v>
      </c>
      <c r="M555">
        <v>12474114</v>
      </c>
      <c r="N555">
        <v>12475114</v>
      </c>
      <c r="O555">
        <v>12476114</v>
      </c>
      <c r="AH555" s="11">
        <v>227</v>
      </c>
      <c r="AI555" s="11" t="b">
        <v>1</v>
      </c>
      <c r="AL555" t="str" s="11">
        <v>【补充设计】保留奇珍ID、钥匙与图谱关系；可携带标记与独立效果行逐ID核对。</v>
      </c>
    </row>
    <row r="556" spans="2:35">
      <c r="B556">
        <v>72474115</v>
      </c>
      <c r="C556" t="s">
        <v>1190</v>
      </c>
      <c r="D556" s="25">
        <v>12474115</v>
      </c>
      <c r="E556" t="s">
        <v>724</v>
      </c>
      <c r="F556" t="s">
        <v>145</v>
      </c>
      <c r="G556" t="s">
        <v>66</v>
      </c>
      <c r="H556">
        <v>12471100</v>
      </c>
      <c r="I556" t="s">
        <v>1191</v>
      </c>
      <c r="J556" s="25" t="s">
        <v>68</v>
      </c>
      <c r="K556" t="b">
        <v>0</v>
      </c>
      <c r="M556">
        <v>12474115</v>
      </c>
      <c r="N556">
        <v>12475115</v>
      </c>
      <c r="O556">
        <v>12476115</v>
      </c>
      <c r="AH556" s="11">
        <v>228</v>
      </c>
      <c r="AI556" s="11" t="b">
        <v>1</v>
      </c>
      <c r="AL556" t="str" s="11">
        <v>【补充设计】保留奇珍ID、钥匙与图谱关系；可携带标记与独立效果行逐ID核对。</v>
      </c>
    </row>
    <row r="557" spans="2:35">
      <c r="B557">
        <v>72474116</v>
      </c>
      <c r="C557" t="s">
        <v>1192</v>
      </c>
      <c r="D557" s="25">
        <v>12474116</v>
      </c>
      <c r="E557" t="s">
        <v>724</v>
      </c>
      <c r="F557" t="s">
        <v>145</v>
      </c>
      <c r="G557" t="s">
        <v>66</v>
      </c>
      <c r="H557">
        <v>12471100</v>
      </c>
      <c r="I557" t="s">
        <v>1193</v>
      </c>
      <c r="J557" s="25" t="s">
        <v>68</v>
      </c>
      <c r="K557" t="b">
        <v>0</v>
      </c>
      <c r="M557">
        <v>12474116</v>
      </c>
      <c r="N557">
        <v>12475116</v>
      </c>
      <c r="O557">
        <v>12476116</v>
      </c>
      <c r="AH557" s="11">
        <v>229</v>
      </c>
      <c r="AI557" s="11" t="b">
        <v>1</v>
      </c>
      <c r="AL557" t="str" s="11">
        <v>【补充设计】保留奇珍ID、钥匙与图谱关系；可携带标记与独立效果行逐ID核对。</v>
      </c>
    </row>
    <row r="558" spans="2:35">
      <c r="B558">
        <v>72474117</v>
      </c>
      <c r="C558" t="s">
        <v>1194</v>
      </c>
      <c r="D558" s="25">
        <v>12474117</v>
      </c>
      <c r="E558" t="s">
        <v>724</v>
      </c>
      <c r="F558" t="s">
        <v>145</v>
      </c>
      <c r="G558" t="s">
        <v>66</v>
      </c>
      <c r="H558">
        <v>12471100</v>
      </c>
      <c r="I558" t="s">
        <v>1195</v>
      </c>
      <c r="J558" s="25" t="s">
        <v>68</v>
      </c>
      <c r="K558" t="b">
        <v>0</v>
      </c>
      <c r="M558">
        <v>12474117</v>
      </c>
      <c r="N558">
        <v>12475117</v>
      </c>
      <c r="O558">
        <v>12476117</v>
      </c>
      <c r="AH558" s="11">
        <v>230</v>
      </c>
      <c r="AI558" s="11" t="b">
        <v>1</v>
      </c>
      <c r="AL558" t="str" s="11">
        <v>【补充设计】保留奇珍ID、钥匙与图谱关系；可携带标记与独立效果行逐ID核对。</v>
      </c>
    </row>
    <row r="559" spans="2:35">
      <c r="B559">
        <v>72474118</v>
      </c>
      <c r="C559" t="s">
        <v>1196</v>
      </c>
      <c r="D559" s="25">
        <v>12474118</v>
      </c>
      <c r="E559" t="s">
        <v>724</v>
      </c>
      <c r="F559" t="s">
        <v>145</v>
      </c>
      <c r="G559" t="s">
        <v>66</v>
      </c>
      <c r="H559">
        <v>12471100</v>
      </c>
      <c r="I559" t="s">
        <v>1197</v>
      </c>
      <c r="J559" s="25" t="s">
        <v>68</v>
      </c>
      <c r="K559" t="b">
        <v>0</v>
      </c>
      <c r="M559">
        <v>12474118</v>
      </c>
      <c r="N559">
        <v>12475118</v>
      </c>
      <c r="O559">
        <v>12476118</v>
      </c>
      <c r="AH559" s="11">
        <v>231</v>
      </c>
      <c r="AI559" s="11" t="b">
        <v>1</v>
      </c>
      <c r="AL559" t="str" s="11">
        <v>【补充设计】保留奇珍ID、钥匙与图谱关系；可携带标记与独立效果行逐ID核对。</v>
      </c>
    </row>
    <row r="560" spans="2:35">
      <c r="B560">
        <v>72474120</v>
      </c>
      <c r="C560" t="inlineStr">
        <is>
          <t xml:space="preserve">九窍通灵瓶·回环</t>
        </is>
      </c>
      <c r="D560" s="25">
        <v>12474120</v>
      </c>
      <c r="E560" t="s">
        <v>724</v>
      </c>
      <c r="F560" t="s">
        <v>145</v>
      </c>
      <c r="G560" t="s">
        <v>66</v>
      </c>
      <c r="H560">
        <v>12471097</v>
      </c>
      <c r="I560" t="s">
        <v>1199</v>
      </c>
      <c r="J560" s="25" t="s">
        <v>68</v>
      </c>
      <c r="K560" t="b">
        <v>0</v>
      </c>
      <c r="M560">
        <v>12474120</v>
      </c>
      <c r="N560">
        <v>12475120</v>
      </c>
      <c r="O560">
        <v>12476120</v>
      </c>
      <c r="AH560" s="11">
        <v>233</v>
      </c>
      <c r="AI560" s="11" t="b">
        <v>1</v>
      </c>
      <c r="AL560" t="str" s="11">
        <v>【补充设计】保留奇珍ID、钥匙与图谱关系；可携带标记与独立效果行逐ID核对。</v>
      </c>
    </row>
    <row r="561" spans="2:35">
      <c r="B561">
        <v>72474121</v>
      </c>
      <c r="C561" t="inlineStr">
        <is>
          <t xml:space="preserve">九窍通灵瓶·听潮</t>
        </is>
      </c>
      <c r="D561" s="25">
        <v>12474121</v>
      </c>
      <c r="E561" t="s">
        <v>724</v>
      </c>
      <c r="F561" t="s">
        <v>145</v>
      </c>
      <c r="G561" t="s">
        <v>66</v>
      </c>
      <c r="H561">
        <v>12471097</v>
      </c>
      <c r="I561" t="s">
        <v>1201</v>
      </c>
      <c r="J561" s="25" t="s">
        <v>68</v>
      </c>
      <c r="K561" t="b">
        <v>0</v>
      </c>
      <c r="M561">
        <v>12474121</v>
      </c>
      <c r="N561">
        <v>12475121</v>
      </c>
      <c r="O561">
        <v>12476121</v>
      </c>
      <c r="AH561" s="11">
        <v>234</v>
      </c>
      <c r="AI561" s="11" t="b">
        <v>1</v>
      </c>
      <c r="AL561" t="str" s="11">
        <v>【补充设计】保留奇珍ID、钥匙与图谱关系；可携带标记与独立效果行逐ID核对。</v>
      </c>
    </row>
    <row r="562" spans="2:35">
      <c r="B562">
        <v>72474122</v>
      </c>
      <c r="C562" t="inlineStr">
        <is>
          <t xml:space="preserve">九窍通灵瓶·海息</t>
        </is>
      </c>
      <c r="D562" s="25">
        <v>12474122</v>
      </c>
      <c r="E562" t="s">
        <v>724</v>
      </c>
      <c r="F562" t="s">
        <v>145</v>
      </c>
      <c r="G562" t="s">
        <v>66</v>
      </c>
      <c r="H562">
        <v>12471097</v>
      </c>
      <c r="I562" t="s">
        <v>1203</v>
      </c>
      <c r="J562" s="25" t="s">
        <v>68</v>
      </c>
      <c r="K562" t="b">
        <v>0</v>
      </c>
      <c r="M562">
        <v>12474122</v>
      </c>
      <c r="N562">
        <v>12475122</v>
      </c>
      <c r="O562">
        <v>12476122</v>
      </c>
      <c r="AH562" s="11">
        <v>235</v>
      </c>
      <c r="AI562" s="11" t="b">
        <v>1</v>
      </c>
      <c r="AL562" t="str" s="11">
        <v>【补充设计】保留奇珍ID、钥匙与图谱关系；可携带标记与独立效果行逐ID核对。</v>
      </c>
    </row>
    <row r="563" spans="2:35">
      <c r="B563">
        <v>72484096</v>
      </c>
      <c r="C563" t="s">
        <v>1204</v>
      </c>
      <c r="D563" s="25">
        <v>12484096</v>
      </c>
      <c r="E563" t="s">
        <v>724</v>
      </c>
      <c r="F563" t="s">
        <v>145</v>
      </c>
      <c r="G563" t="s">
        <v>66</v>
      </c>
      <c r="H563">
        <v>12481102</v>
      </c>
      <c r="I563" t="s">
        <v>1205</v>
      </c>
      <c r="J563" s="25" t="s">
        <v>68</v>
      </c>
      <c r="K563" t="b">
        <v>0</v>
      </c>
      <c r="M563">
        <v>12484096</v>
      </c>
      <c r="N563">
        <v>12485096</v>
      </c>
      <c r="O563">
        <v>12486096</v>
      </c>
      <c r="AH563" s="11">
        <v>238</v>
      </c>
      <c r="AI563" s="11" t="b">
        <v>1</v>
      </c>
      <c r="AL563" t="str" s="11">
        <v>【补充设计】保留奇珍ID、钥匙与图谱关系；可携带标记与独立效果行逐ID核对。</v>
      </c>
    </row>
    <row r="564" spans="2:35">
      <c r="B564">
        <v>72484097</v>
      </c>
      <c r="C564" t="s">
        <v>1206</v>
      </c>
      <c r="D564" s="25">
        <v>12484097</v>
      </c>
      <c r="E564" t="s">
        <v>724</v>
      </c>
      <c r="F564" t="s">
        <v>145</v>
      </c>
      <c r="G564" t="s">
        <v>66</v>
      </c>
      <c r="H564">
        <v>12481102</v>
      </c>
      <c r="I564" t="s">
        <v>1207</v>
      </c>
      <c r="J564" s="25" t="s">
        <v>68</v>
      </c>
      <c r="K564" t="b">
        <v>0</v>
      </c>
      <c r="M564">
        <v>12484097</v>
      </c>
      <c r="N564">
        <v>12485097</v>
      </c>
      <c r="O564">
        <v>12486097</v>
      </c>
      <c r="AH564" s="11">
        <v>239</v>
      </c>
      <c r="AI564" s="11" t="b">
        <v>1</v>
      </c>
      <c r="AL564" t="str" s="11">
        <v>【补充设计】保留奇珍ID、钥匙与图谱关系；可携带标记与独立效果行逐ID核对。</v>
      </c>
    </row>
    <row r="565" spans="2:35">
      <c r="B565">
        <v>72484098</v>
      </c>
      <c r="C565" t="s">
        <v>1208</v>
      </c>
      <c r="D565" s="25">
        <v>12484098</v>
      </c>
      <c r="E565" t="s">
        <v>724</v>
      </c>
      <c r="F565" t="s">
        <v>145</v>
      </c>
      <c r="G565" t="s">
        <v>66</v>
      </c>
      <c r="H565">
        <v>12481102</v>
      </c>
      <c r="I565" t="s">
        <v>1209</v>
      </c>
      <c r="J565" s="25" t="s">
        <v>68</v>
      </c>
      <c r="K565" t="b">
        <v>0</v>
      </c>
      <c r="M565">
        <v>12484098</v>
      </c>
      <c r="N565">
        <v>12485098</v>
      </c>
      <c r="O565">
        <v>12486098</v>
      </c>
      <c r="AH565" s="11">
        <v>240</v>
      </c>
      <c r="AI565" s="11" t="b">
        <v>1</v>
      </c>
      <c r="AL565" t="str" s="11">
        <v>【补充设计】保留奇珍ID、钥匙与图谱关系；可携带标记与独立效果行逐ID核对。</v>
      </c>
    </row>
    <row r="566" spans="2:35">
      <c r="B566">
        <v>72484099</v>
      </c>
      <c r="C566" t="s">
        <v>1210</v>
      </c>
      <c r="D566" s="25">
        <v>12484099</v>
      </c>
      <c r="E566" t="s">
        <v>724</v>
      </c>
      <c r="F566" t="s">
        <v>145</v>
      </c>
      <c r="G566" t="s">
        <v>66</v>
      </c>
      <c r="H566">
        <v>12481102</v>
      </c>
      <c r="I566" t="s">
        <v>1211</v>
      </c>
      <c r="J566" s="25" t="s">
        <v>68</v>
      </c>
      <c r="K566" t="b">
        <v>0</v>
      </c>
      <c r="M566">
        <v>12484099</v>
      </c>
      <c r="N566">
        <v>12485099</v>
      </c>
      <c r="O566">
        <v>12486099</v>
      </c>
      <c r="AH566" s="11">
        <v>241</v>
      </c>
      <c r="AI566" s="11" t="b">
        <v>1</v>
      </c>
      <c r="AL566" t="str" s="11">
        <v>【补充设计】保留奇珍ID、钥匙与图谱关系；可携带标记与独立效果行逐ID核对。</v>
      </c>
    </row>
    <row r="567" spans="2:35">
      <c r="B567">
        <v>72484100</v>
      </c>
      <c r="C567" t="s">
        <v>1212</v>
      </c>
      <c r="D567" s="25">
        <v>12484100</v>
      </c>
      <c r="E567" t="s">
        <v>724</v>
      </c>
      <c r="F567" t="s">
        <v>145</v>
      </c>
      <c r="G567" t="s">
        <v>66</v>
      </c>
      <c r="H567">
        <v>12481102</v>
      </c>
      <c r="I567" t="s">
        <v>1213</v>
      </c>
      <c r="J567" s="25" t="s">
        <v>68</v>
      </c>
      <c r="K567" t="b">
        <v>0</v>
      </c>
      <c r="M567">
        <v>12484100</v>
      </c>
      <c r="N567">
        <v>12485100</v>
      </c>
      <c r="O567">
        <v>12486100</v>
      </c>
      <c r="AH567" s="11">
        <v>242</v>
      </c>
      <c r="AI567" s="11" t="b">
        <v>1</v>
      </c>
      <c r="AL567" t="str" s="11">
        <v>【补充设计】保留奇珍ID、钥匙与图谱关系；可携带标记与独立效果行逐ID核对。</v>
      </c>
    </row>
    <row r="568" spans="2:35">
      <c r="B568">
        <v>72484101</v>
      </c>
      <c r="C568" t="s">
        <v>1214</v>
      </c>
      <c r="D568" s="25">
        <v>12484101</v>
      </c>
      <c r="E568" t="s">
        <v>724</v>
      </c>
      <c r="F568" t="s">
        <v>145</v>
      </c>
      <c r="G568" t="s">
        <v>66</v>
      </c>
      <c r="H568">
        <v>12481102</v>
      </c>
      <c r="I568" t="s">
        <v>1215</v>
      </c>
      <c r="J568" s="25" t="s">
        <v>68</v>
      </c>
      <c r="K568" t="b">
        <v>0</v>
      </c>
      <c r="M568">
        <v>12484101</v>
      </c>
      <c r="N568">
        <v>12485101</v>
      </c>
      <c r="O568">
        <v>12486101</v>
      </c>
      <c r="AH568" s="11">
        <v>243</v>
      </c>
      <c r="AI568" s="11" t="b">
        <v>1</v>
      </c>
      <c r="AL568" t="str" s="11">
        <v>【补充设计】保留奇珍ID、钥匙与图谱关系；可携带标记与独立效果行逐ID核对。</v>
      </c>
    </row>
    <row r="569" spans="2:35">
      <c r="B569">
        <v>72484102</v>
      </c>
      <c r="C569" t="s">
        <v>1216</v>
      </c>
      <c r="D569" s="25">
        <v>12484102</v>
      </c>
      <c r="E569" t="s">
        <v>724</v>
      </c>
      <c r="F569" t="s">
        <v>145</v>
      </c>
      <c r="G569" t="s">
        <v>66</v>
      </c>
      <c r="H569">
        <v>12481102</v>
      </c>
      <c r="I569" t="s">
        <v>1217</v>
      </c>
      <c r="J569" s="25" t="s">
        <v>68</v>
      </c>
      <c r="K569" t="b">
        <v>0</v>
      </c>
      <c r="M569">
        <v>12484102</v>
      </c>
      <c r="N569">
        <v>12485102</v>
      </c>
      <c r="O569">
        <v>12486102</v>
      </c>
      <c r="AH569" s="11">
        <v>244</v>
      </c>
      <c r="AI569" s="11" t="b">
        <v>1</v>
      </c>
      <c r="AL569" t="str" s="11">
        <v>【补充设计】保留奇珍ID、钥匙与图谱关系；可携带标记与独立效果行逐ID核对。</v>
      </c>
    </row>
    <row r="570" spans="2:35">
      <c r="B570">
        <v>72484103</v>
      </c>
      <c r="C570" t="s">
        <v>1218</v>
      </c>
      <c r="D570" s="25">
        <v>12484103</v>
      </c>
      <c r="E570" t="s">
        <v>724</v>
      </c>
      <c r="F570" t="s">
        <v>145</v>
      </c>
      <c r="G570" t="s">
        <v>66</v>
      </c>
      <c r="H570">
        <v>12481102</v>
      </c>
      <c r="I570" t="s">
        <v>1219</v>
      </c>
      <c r="J570" s="25" t="s">
        <v>68</v>
      </c>
      <c r="K570" t="b">
        <v>0</v>
      </c>
      <c r="M570">
        <v>12484103</v>
      </c>
      <c r="N570">
        <v>12485103</v>
      </c>
      <c r="O570">
        <v>12486103</v>
      </c>
      <c r="AH570" s="11">
        <v>245</v>
      </c>
      <c r="AI570" s="11" t="b">
        <v>1</v>
      </c>
      <c r="AL570" t="str" s="11">
        <v>【补充设计】保留奇珍ID、钥匙与图谱关系；可携带标记与独立效果行逐ID核对。</v>
      </c>
    </row>
    <row r="571" spans="2:35">
      <c r="B571">
        <v>72484104</v>
      </c>
      <c r="C571" t="s">
        <v>1220</v>
      </c>
      <c r="D571" s="25">
        <v>12484104</v>
      </c>
      <c r="E571" t="s">
        <v>724</v>
      </c>
      <c r="F571" t="s">
        <v>145</v>
      </c>
      <c r="G571" t="s">
        <v>66</v>
      </c>
      <c r="H571">
        <v>12481102</v>
      </c>
      <c r="I571" t="s">
        <v>1221</v>
      </c>
      <c r="J571" s="25" t="s">
        <v>68</v>
      </c>
      <c r="K571" t="b">
        <v>0</v>
      </c>
      <c r="M571">
        <v>12484104</v>
      </c>
      <c r="N571">
        <v>12485104</v>
      </c>
      <c r="O571">
        <v>12486104</v>
      </c>
      <c r="AH571" s="11">
        <v>246</v>
      </c>
      <c r="AI571" s="11" t="b">
        <v>1</v>
      </c>
      <c r="AL571" t="str" s="11">
        <v>【补充设计】保留奇珍ID、钥匙与图谱关系；可携带标记与独立效果行逐ID核对。</v>
      </c>
    </row>
    <row r="572" spans="2:35">
      <c r="B572">
        <v>72484105</v>
      </c>
      <c r="C572" t="s">
        <v>1222</v>
      </c>
      <c r="D572" s="25">
        <v>12484105</v>
      </c>
      <c r="E572" t="s">
        <v>724</v>
      </c>
      <c r="F572" t="s">
        <v>145</v>
      </c>
      <c r="G572" t="s">
        <v>66</v>
      </c>
      <c r="H572">
        <v>12481102</v>
      </c>
      <c r="I572" t="s">
        <v>1223</v>
      </c>
      <c r="J572" s="25" t="s">
        <v>68</v>
      </c>
      <c r="K572" t="b">
        <v>0</v>
      </c>
      <c r="M572">
        <v>12484105</v>
      </c>
      <c r="N572">
        <v>12485105</v>
      </c>
      <c r="O572">
        <v>12486105</v>
      </c>
      <c r="AH572" s="11">
        <v>247</v>
      </c>
      <c r="AI572" s="11" t="b">
        <v>1</v>
      </c>
      <c r="AL572" t="str" s="11">
        <v>【补充设计】保留奇珍ID、钥匙与图谱关系；可携带标记与独立效果行逐ID核对。</v>
      </c>
    </row>
    <row r="573" spans="2:35">
      <c r="B573">
        <v>72484106</v>
      </c>
      <c r="C573" t="s">
        <v>1224</v>
      </c>
      <c r="D573" s="25">
        <v>12484106</v>
      </c>
      <c r="E573" t="s">
        <v>724</v>
      </c>
      <c r="F573" t="s">
        <v>145</v>
      </c>
      <c r="G573" t="s">
        <v>66</v>
      </c>
      <c r="H573">
        <v>12481102</v>
      </c>
      <c r="I573" t="s">
        <v>1225</v>
      </c>
      <c r="J573" s="25" t="s">
        <v>68</v>
      </c>
      <c r="K573" t="b">
        <v>0</v>
      </c>
      <c r="M573">
        <v>12484106</v>
      </c>
      <c r="N573">
        <v>12485106</v>
      </c>
      <c r="O573">
        <v>12486106</v>
      </c>
      <c r="AH573" s="11">
        <v>248</v>
      </c>
      <c r="AI573" s="11" t="b">
        <v>1</v>
      </c>
      <c r="AL573" t="str" s="11">
        <v>【补充设计】保留奇珍ID、钥匙与图谱关系；可携带标记与独立效果行逐ID核对。</v>
      </c>
    </row>
  </sheetData>
  <mergeCells count="2">
    <mergeCell ref="M1:AG1"/>
    <mergeCell ref="M2:AG2"/>
  </mergeCells>
  <conditionalFormatting sqref="A5:A40">
    <cfRule type="duplicateValues" dxfId="0" priority="1"/>
  </conditionalFormatting>
  <pageMargins left="0.7" right="0.7" top="0.75" bottom="0.75" header="0.3" footer="0.3"/>
  <headerFooter/>
</worksheet>
</file>

<file path=xl/worksheets/sheet2.xml><?xml version="1.0" encoding="utf-8"?>
<ns0:worksheet xmlns:ns0="http://schemas.openxmlformats.org/spreadsheetml/2006/main" xmlns:ns1="http://www.wps.cn/officeDocument/2017/etCustomData">
  <ns0:sheetPr/>
  <ns0:dimension ref="A1:AO86"/>
  <ns0:sheetViews>
    <ns0:sheetView tabSelected="1" workbookViewId="0">
      <ns0:selection activeCell="J32" sqref="J32"/>
    </ns0:sheetView>
  </ns0:sheetViews>
  <ns0:sheetFormatPr defaultColWidth="9" defaultRowHeight="15"/>
  <ns0:cols>
    <ns0:col min="1" max="1" width="6" customWidth="1"/>
    <ns0:col min="2" max="2" width="11" customWidth="1"/>
    <ns0:col min="3" max="3" width="14" customWidth="1"/>
    <ns0:col min="4" max="4" width="20" customWidth="1"/>
    <ns0:col min="5" max="5" width="11.5714285714286" customWidth="1"/>
    <ns0:col min="6" max="6" width="10" customWidth="1"/>
    <ns0:col min="7" max="7" width="8" customWidth="1"/>
    <ns0:col min="8" max="14" width="12" customWidth="1"/>
    <ns0:col min="15" max="16" width="14.7142857142857" customWidth="1"/>
    <ns0:col min="17" max="17" width="12" customWidth="1"/>
    <ns0:col min="18" max="18" width="20.4285714285714" customWidth="1"/>
    <ns0:col min="19" max="19" width="13.5714285714286" customWidth="1"/>
    <ns0:col min="20" max="20" width="24" customWidth="1"/>
    <ns0:col min="21" max="21" width="10" customWidth="1"/>
    <ns0:col min="22" max="24" width="12" customWidth="1"/>
    <ns0:col min="25" max="25" width="10" customWidth="1"/>
    <ns0:col min="26" max="26" width="24" customWidth="1"/>
    <ns0:col min="27" max="27" width="10" customWidth="1"/>
    <ns0:col min="28" max="30" width="12" customWidth="1"/>
    <ns0:col min="31" max="31" width="10" customWidth="1"/>
    <ns0:col min="32" max="32" width="24" customWidth="1"/>
    <ns0:col min="33" max="33" width="10" customWidth="1"/>
    <ns0:col min="34" max="36" width="12" customWidth="1"/>
    <ns0:col min="37" max="37" width="10" customWidth="1"/>
    <ns0:col min="38" max="38" width="24" customWidth="1"/>
    <ns0:col min="39" max="39" width="46" customWidth="1"/>
    <ns0:col min="40" max="40" width="10" customWidth="1"/>
    <ns0:col min="41" max="41" width="8" customWidth="1"/>
  </ns0:cols>
  <ns0:sheetData>
    <ns0:row r="1" ht="20" customHeight="1" spans="1:41">
      <ns0:c r="A1" s="4" t="s">
        <ns0:v>0</ns0:v>
      </ns0:c>
      <ns0:c r="B1" s="5" t="s">
        <ns0:v>10</ns0:v>
      </ns0:c>
      <ns0:c r="C1" s="5" t="s">
        <ns0:v>2</ns0:v>
      </ns0:c>
      <ns0:c r="D1" s="5" t="s">
        <ns0:v>1226</ns0:v>
      </ns0:c>
      <ns0:c r="E1" s="5" t="s">
        <ns0:v>1227</ns0:v>
      </ns0:c>
      <ns0:c r="F1" s="5" t="s">
        <ns0:v>1228</ns0:v>
      </ns0:c>
      <ns0:c r="G1" s="5" t="s">
        <ns0:v>1229</ns0:v>
      </ns0:c>
      <ns0:c r="H1" s="12" t="s">
        <ns0:v>1230</ns0:v>
      </ns0:c>
      <ns0:c r="I1" s="13"/>
      <ns0:c r="J1" s="13"/>
      <ns0:c r="K1" s="13"/>
      <ns0:c r="L1" s="13"/>
      <ns0:c r="M1" s="13"/>
      <ns0:c r="N1" s="14"/>
      <ns0:c r="O1" s="12" t="s">
        <ns0:v>1231</ns0:v>
      </ns0:c>
      <ns0:c r="P1" s="13"/>
      <ns0:c r="Q1" s="13"/>
      <ns0:c r="R1" s="13"/>
      <ns0:c r="S1" s="13"/>
      <ns0:c r="T1" s="13"/>
      <ns0:c r="U1" s="13"/>
      <ns0:c r="V1" s="13"/>
      <ns0:c r="W1" s="13"/>
      <ns0:c r="X1" s="13"/>
      <ns0:c r="Y1" s="13"/>
      <ns0:c r="Z1" s="13"/>
      <ns0:c r="AA1" s="13"/>
      <ns0:c r="AB1" s="13"/>
      <ns0:c r="AC1" s="13"/>
      <ns0:c r="AD1" s="13"/>
      <ns0:c r="AE1" s="13"/>
      <ns0:c r="AF1" s="13"/>
      <ns0:c r="AG1" s="13"/>
      <ns0:c r="AH1" s="13"/>
      <ns0:c r="AI1" s="13"/>
      <ns0:c r="AJ1" s="13"/>
      <ns0:c r="AK1" s="13"/>
      <ns0:c r="AL1" s="14"/>
      <ns0:c r="AM1" s="5" t="s">
        <ns0:v>1232</ns0:v>
      </ns0:c>
      <ns0:c r="AN1" s="5" t="s">
        <ns0:v>12</ns0:v>
      </ns0:c>
      <ns0:c r="AO1" s="5" t="s">
        <ns0:v>13</ns0:v>
      </ns0:c>
    </ns0:row>
    <ns0:row r="2">
      <ns0:c r="A2" t="inlineStr">
        <ns0:is>
          <ns0:t>##var</ns0:t>
        </ns0:is>
      </ns0:c>
      <ns0:c r="O2" t="inlineStr">
        <ns0:is>
          <ns0:t>0</ns0:t>
        </ns0:is>
      </ns0:c>
      <ns0:c r="U2" t="inlineStr">
        <ns0:is>
          <ns0:t>1</ns0:t>
        </ns0:is>
      </ns0:c>
      <ns0:c r="AA2" t="inlineStr">
        <ns0:is>
          <ns0:t>2</ns0:t>
        </ns0:is>
      </ns0:c>
      <ns0:c r="AG2" t="inlineStr">
        <ns0:is>
          <ns0:t>3</ns0:t>
        </ns0:is>
      </ns0:c>
      <ns0:c r="H2" t="inlineStr">
        <ns0:is>
          <ns0:t>0</ns0:t>
        </ns0:is>
      </ns0:c>
      <ns0:c r="I2" t="inlineStr">
        <ns0:is>
          <ns0:t>1</ns0:t>
        </ns0:is>
      </ns0:c>
      <ns0:c r="J2" t="inlineStr">
        <ns0:is>
          <ns0:t>2</ns0:t>
        </ns0:is>
      </ns0:c>
      <ns0:c r="K2" t="inlineStr">
        <ns0:is>
          <ns0:t>3</ns0:t>
        </ns0:is>
      </ns0:c>
      <ns0:c r="L2" t="inlineStr">
        <ns0:is>
          <ns0:t>4</ns0:t>
        </ns0:is>
      </ns0:c>
      <ns0:c r="M2" t="inlineStr">
        <ns0:is>
          <ns0:t>5</ns0:t>
        </ns0:is>
      </ns0:c>
      <ns0:c r="N2" t="inlineStr">
        <ns0:is>
          <ns0:t>6</ns0:t>
        </ns0:is>
      </ns0:c>
    </ns0:row>
    <ns0:row r="3">
      <ns0:c r="A3" t="inlineStr">
        <ns0:is>
          <ns0:t>##var</ns0:t>
        </ns0:is>
      </ns0:c>
      <ns0:c r="O3" t="inlineStr">
        <ns0:is>
          <ns0:t>need_count</ns0:t>
        </ns0:is>
      </ns0:c>
      <ns0:c r="P3" t="inlineStr">
        <ns0:is>
          <ns0:t>attr_key</ns0:t>
        </ns0:is>
      </ns0:c>
      <ns0:c r="Q3" t="inlineStr">
        <ns0:is>
          <ns0:t>ref_id</ns0:t>
        </ns0:is>
      </ns0:c>
      <ns0:c r="R3" t="inlineStr">
        <ns0:is>
          <ns0:t>op</ns0:t>
        </ns0:is>
      </ns0:c>
      <ns0:c r="S3" t="inlineStr">
        <ns0:is>
          <ns0:t>value</ns0:t>
        </ns0:is>
      </ns0:c>
      <ns0:c r="T3" t="inlineStr">
        <ns0:is>
          <ns0:t>tips</ns0:t>
        </ns0:is>
      </ns0:c>
      <ns0:c r="U3" t="inlineStr">
        <ns0:is>
          <ns0:t>need_count</ns0:t>
        </ns0:is>
      </ns0:c>
      <ns0:c r="V3" t="inlineStr">
        <ns0:is>
          <ns0:t>attr_key</ns0:t>
        </ns0:is>
      </ns0:c>
      <ns0:c r="W3" t="inlineStr">
        <ns0:is>
          <ns0:t>ref_id</ns0:t>
        </ns0:is>
      </ns0:c>
      <ns0:c r="X3" t="inlineStr">
        <ns0:is>
          <ns0:t>op</ns0:t>
        </ns0:is>
      </ns0:c>
      <ns0:c r="Y3" t="inlineStr">
        <ns0:is>
          <ns0:t>value</ns0:t>
        </ns0:is>
      </ns0:c>
      <ns0:c r="Z3" t="inlineStr">
        <ns0:is>
          <ns0:t>tips</ns0:t>
        </ns0:is>
      </ns0:c>
      <ns0:c r="AA3" t="inlineStr">
        <ns0:is>
          <ns0:t>need_count</ns0:t>
        </ns0:is>
      </ns0:c>
      <ns0:c r="AB3" t="inlineStr">
        <ns0:is>
          <ns0:t>attr_key</ns0:t>
        </ns0:is>
      </ns0:c>
      <ns0:c r="AC3" t="inlineStr">
        <ns0:is>
          <ns0:t>ref_id</ns0:t>
        </ns0:is>
      </ns0:c>
      <ns0:c r="AD3" t="inlineStr">
        <ns0:is>
          <ns0:t>op</ns0:t>
        </ns0:is>
      </ns0:c>
      <ns0:c r="AE3" t="inlineStr">
        <ns0:is>
          <ns0:t>value</ns0:t>
        </ns0:is>
      </ns0:c>
      <ns0:c r="AF3" t="inlineStr">
        <ns0:is>
          <ns0:t>tips</ns0:t>
        </ns0:is>
      </ns0:c>
      <ns0:c r="AG3" t="inlineStr">
        <ns0:is>
          <ns0:t>need_count</ns0:t>
        </ns0:is>
      </ns0:c>
      <ns0:c r="AH3" t="inlineStr">
        <ns0:is>
          <ns0:t>attr_key</ns0:t>
        </ns0:is>
      </ns0:c>
      <ns0:c r="AI3" t="inlineStr">
        <ns0:is>
          <ns0:t>ref_id</ns0:t>
        </ns0:is>
      </ns0:c>
      <ns0:c r="AJ3" t="inlineStr">
        <ns0:is>
          <ns0:t>op</ns0:t>
        </ns0:is>
      </ns0:c>
      <ns0:c r="AK3" t="inlineStr">
        <ns0:is>
          <ns0:t>value</ns0:t>
        </ns0:is>
      </ns0:c>
      <ns0:c r="AL3" t="inlineStr">
        <ns0:is>
          <ns0:t>tips</ns0:t>
        </ns0:is>
      </ns0:c>
    </ns0:row>
    <ns0:row r="4" ht="20" customHeight="1" spans="1:41">
      <ns0:c r="A4" s="4" t="s">
        <ns0:v>14</ns0:v>
      </ns0:c>
      <ns0:c r="B4" s="6" t="s">
        <ns0:v>15</ns0:v>
      </ns0:c>
      <ns0:c r="C4" s="6" t="s">
        <ns0:v>16</ns0:v>
      </ns0:c>
      <ns0:c r="D4" s="6" t="s">
        <ns0:v>16</ns0:v>
      </ns0:c>
      <ns0:c r="E4" s="6" t="s">
        <ns0:v>16</ns0:v>
      </ns0:c>
      <ns0:c r="F4" s="6" t="s">
        <ns0:v>18</ns0:v>
      </ns0:c>
      <ns0:c r="G4" s="6" t="s">
        <ns0:v>15</ns0:v>
      </ns0:c>
      <ns0:c r="H4" s="15" t="s">
        <ns0:v>21</ns0:v>
      </ns0:c>
      <ns0:c r="I4" s="16"/>
      <ns0:c r="J4" s="16"/>
      <ns0:c r="K4" s="16"/>
      <ns0:c r="L4" s="16"/>
      <ns0:c r="M4" s="16"/>
      <ns0:c r="N4" s="17"/>
      <ns0:c r="O4" s="15" t="s">
        <ns0:v>1233</ns0:v>
      </ns0:c>
      <ns0:c r="P4" s="16"/>
      <ns0:c r="Q4" s="16"/>
      <ns0:c r="R4" s="16"/>
      <ns0:c r="S4" s="16"/>
      <ns0:c r="T4" s="16"/>
      <ns0:c r="U4" s="16"/>
      <ns0:c r="V4" s="16"/>
      <ns0:c r="W4" s="16"/>
      <ns0:c r="X4" s="16"/>
      <ns0:c r="Y4" s="16"/>
      <ns0:c r="Z4" s="16"/>
      <ns0:c r="AA4" s="16"/>
      <ns0:c r="AB4" s="16"/>
      <ns0:c r="AC4" s="16"/>
      <ns0:c r="AD4" s="16"/>
      <ns0:c r="AE4" s="16"/>
      <ns0:c r="AF4" s="16"/>
      <ns0:c r="AG4" s="16"/>
      <ns0:c r="AH4" s="16"/>
      <ns0:c r="AI4" s="16"/>
      <ns0:c r="AJ4" s="16"/>
      <ns0:c r="AK4" s="16"/>
      <ns0:c r="AL4" s="17"/>
      <ns0:c r="AM4" s="6" t="s">
        <ns0:v>16</ns0:v>
      </ns0:c>
      <ns0:c r="AN4" s="6" t="s">
        <ns0:v>15</ns0:v>
      </ns0:c>
      <ns0:c r="AO4" s="6" t="s">
        <ns0:v>20</ns0:v>
      </ns0:c>
    </ns0:row>
    <ns0:row r="5" ht="20" customHeight="1" spans="1:41">
      <ns0:c r="A5" s="4" t="s">
        <ns0:v>22</ns0:v>
      </ns0:c>
      <ns0:c r="B5" s="7" t="s">
        <ns0:v>23</ns0:v>
      </ns0:c>
      <ns0:c r="C5" s="7" t="s">
        <ns0:v>24</ns0:v>
      </ns0:c>
      <ns0:c r="D5" s="7" t="s">
        <ns0:v>24</ns0:v>
      </ns0:c>
      <ns0:c r="E5" s="7" t="s">
        <ns0:v>24</ns0:v>
      </ns0:c>
      <ns0:c r="F5" s="7" t="s">
        <ns0:v>23</ns0:v>
      </ns0:c>
      <ns0:c r="G5" s="7" t="s">
        <ns0:v>23</ns0:v>
      </ns0:c>
      <ns0:c r="H5" s="7"/>
      <ns0:c r="I5" s="7"/>
      <ns0:c r="J5" s="7"/>
      <ns0:c r="K5" s="7"/>
      <ns0:c r="L5" s="7"/>
      <ns0:c r="M5" s="7"/>
      <ns0:c r="N5" s="7"/>
      <ns0:c r="O5" s="7"/>
      <ns0:c r="P5" s="7"/>
      <ns0:c r="Q5" s="7"/>
      <ns0:c r="R5" s="7"/>
      <ns0:c r="S5" s="7"/>
      <ns0:c r="T5" s="7"/>
      <ns0:c r="U5" s="7"/>
      <ns0:c r="V5" s="7"/>
      <ns0:c r="W5" s="7"/>
      <ns0:c r="X5" s="7"/>
      <ns0:c r="Y5" s="7"/>
      <ns0:c r="Z5" s="7"/>
      <ns0:c r="AA5" s="7"/>
      <ns0:c r="AB5" s="7"/>
      <ns0:c r="AC5" s="7"/>
      <ns0:c r="AD5" s="7"/>
      <ns0:c r="AE5" s="7"/>
      <ns0:c r="AF5" s="7"/>
      <ns0:c r="AG5" s="7"/>
      <ns0:c r="AH5" s="7"/>
      <ns0:c r="AI5" s="7"/>
      <ns0:c r="AJ5" s="7"/>
      <ns0:c r="AK5" s="7"/>
      <ns0:c r="AL5" s="7"/>
      <ns0:c r="AM5" s="7" t="s">
        <ns0:v>24</ns0:v>
      </ns0:c>
      <ns0:c r="AN5" s="7" t="s">
        <ns0:v>23</ns0:v>
      </ns0:c>
      <ns0:c r="AO5" s="7" t="s">
        <ns0:v>23</ns0:v>
      </ns0:c>
    </ns0:row>
    <ns0:row r="6" ht="20" customHeight="1" spans="1:41">
      <ns0:c r="A6" s="4" t="s">
        <ns0:v>25</ns0:v>
      </ns0:c>
      <ns0:c r="B6" s="8" t="s">
        <ns0:v>1234</ns0:v>
      </ns0:c>
      <ns0:c r="C6" s="8" t="s">
        <ns0:v>1235</ns0:v>
      </ns0:c>
      <ns0:c r="D6" s="8" t="s">
        <ns0:v>1236</ns0:v>
      </ns0:c>
      <ns0:c r="E6" s="22" t="s">
        <ns0:v>1237</ns0:v>
      </ns0:c>
      <ns0:c r="F6" s="8" t="s">
        <ns0:v>1238</ns0:v>
      </ns0:c>
      <ns0:c r="G6" s="8" t="s">
        <ns0:v>1239</ns0:v>
      </ns0:c>
      <ns0:c r="H6" s="8" t="s">
        <ns0:v>1240</ns0:v>
      </ns0:c>
      <ns0:c r="I6" s="8" t="s">
        <ns0:v>1241</ns0:v>
      </ns0:c>
      <ns0:c r="J6" s="8" t="s">
        <ns0:v>1242</ns0:v>
      </ns0:c>
      <ns0:c r="K6" s="8" t="s">
        <ns0:v>1243</ns0:v>
      </ns0:c>
      <ns0:c r="L6" s="8" t="s">
        <ns0:v>1244</ns0:v>
      </ns0:c>
      <ns0:c r="M6" s="8" t="s">
        <ns0:v>1245</ns0:v>
      </ns0:c>
      <ns0:c r="N6" s="8" t="s">
        <ns0:v>1246</ns0:v>
      </ns0:c>
      <ns0:c r="O6" s="18" t="s">
        <ns0:v>1247</ns0:v>
      </ns0:c>
      <ns0:c r="P6" s="18" t="s">
        <ns0:v>1248</ns0:v>
      </ns0:c>
      <ns0:c r="Q6" s="18" t="s">
        <ns0:v>1249</ns0:v>
      </ns0:c>
      <ns0:c r="R6" s="18" t="s">
        <ns0:v>1250</ns0:v>
      </ns0:c>
      <ns0:c r="S6" s="18" t="s">
        <ns0:v>1251</ns0:v>
      </ns0:c>
      <ns0:c r="T6" s="18" t="s">
        <ns0:v>1252</ns0:v>
      </ns0:c>
      <ns0:c r="U6" s="23" t="s">
        <ns0:v>1253</ns0:v>
      </ns0:c>
      <ns0:c r="V6" s="19" t="s">
        <ns0:v>1254</ns0:v>
      </ns0:c>
      <ns0:c r="W6" s="19" t="s">
        <ns0:v>1255</ns0:v>
      </ns0:c>
      <ns0:c r="X6" s="19" t="s">
        <ns0:v>1256</ns0:v>
      </ns0:c>
      <ns0:c r="Y6" s="19" t="s">
        <ns0:v>1257</ns0:v>
      </ns0:c>
      <ns0:c r="Z6" s="19" t="s">
        <ns0:v>1258</ns0:v>
      </ns0:c>
      <ns0:c r="AA6" s="18" t="s">
        <ns0:v>1259</ns0:v>
      </ns0:c>
      <ns0:c r="AB6" s="18" t="s">
        <ns0:v>1260</ns0:v>
      </ns0:c>
      <ns0:c r="AC6" s="18" t="s">
        <ns0:v>1261</ns0:v>
      </ns0:c>
      <ns0:c r="AD6" s="18" t="s">
        <ns0:v>1262</ns0:v>
      </ns0:c>
      <ns0:c r="AE6" s="18" t="s">
        <ns0:v>1263</ns0:v>
      </ns0:c>
      <ns0:c r="AF6" s="18" t="s">
        <ns0:v>1264</ns0:v>
      </ns0:c>
      <ns0:c r="AG6" s="19" t="s">
        <ns0:v>1265</ns0:v>
      </ns0:c>
      <ns0:c r="AH6" s="19" t="s">
        <ns0:v>1266</ns0:v>
      </ns0:c>
      <ns0:c r="AI6" s="19" t="s">
        <ns0:v>1267</ns0:v>
      </ns0:c>
      <ns0:c r="AJ6" s="19" t="s">
        <ns0:v>1268</ns0:v>
      </ns0:c>
      <ns0:c r="AK6" s="19" t="s">
        <ns0:v>1269</ns0:v>
      </ns0:c>
      <ns0:c r="AL6" s="19" t="s">
        <ns0:v>1270</ns0:v>
      </ns0:c>
      <ns0:c r="AM6" s="8" t="s">
        <ns0:v>1271</ns0:v>
      </ns0:c>
      <ns0:c r="AN6" s="8" t="s">
        <ns0:v>1272</ns0:v>
      </ns0:c>
      <ns0:c r="AO6" s="8" t="s">
        <ns0:v>59</ns0:v>
      </ns0:c>
    </ns0:row>
    <ns0:row r="7" spans="1:41">
      <ns0:c r="A7" s="4"/>
      <ns0:c r="B7" s="11">
        <ns0:v>1</ns0:v>
      </ns0:c>
      <ns0:c r="C7" s="11" t="s">
        <ns0:v>1273</ns0:v>
      </ns0:c>
      <ns0:c r="D7" s="11">
        <ns0:v>20000001</ns0:v>
      </ns0:c>
      <ns0:c r="E7" s="11" t="s">
        <ns0:v>144</ns0:v>
      </ns0:c>
      <ns0:c r="F7" s="11" t="s">
        <ns0:v>145</ns0:v>
      </ns0:c>
      <ns0:c r="G7" s="11">
        <ns0:v>2</ns0:v>
      </ns0:c>
      <ns0:c r="H7" s="11">
        <ns0:v>71324000</ns0:v>
      </ns0:c>
      <ns0:c r="I7" s="11">
        <ns0:v>71324001</ns0:v>
      </ns0:c>
      <ns0:c r="M7" s="11"/>
      <ns0:c r="N7" s="11"/>
      <ns0:c r="O7" t="n" s="11">
        <ns0:v>2</ns0:v>
      </ns0:c>
      <ns0:c r="P7" t="str" s="11">
        <ns0:v>生命值</ns0:v>
      </ns0:c>
      <ns0:c r="Q7" s="24"/>
      <ns0:c r="R7" t="str" s="20">
        <ns0:v>整数</ns0:v>
      </ns0:c>
      <ns0:c r="S7" t="n">
        <ns0:v>2</ns0:v>
      </ns0:c>
      <ns0:c r="T7" t="str" s="11">
        <ns0:v>收录2件：生命值+2</ns0:v>
      </ns0:c>
      <ns0:c r="U7" s="11"/>
      <ns0:c r="V7" s="11"/>
      <ns0:c r="W7" s="11"/>
      <ns0:c r="X7" s="11"/>
      <ns0:c r="Y7" s="11"/>
      <ns0:c r="Z7" s="11"/>
      <ns0:c r="AA7" s="11"/>
      <ns0:c r="AB7" s="11"/>
      <ns0:c r="AC7" s="11"/>
      <ns0:c r="AD7" s="11"/>
      <ns0:c r="AE7" s="11"/>
      <ns0:c r="AF7" s="11"/>
      <ns0:c r="AG7" s="11"/>
      <ns0:c r="AH7" s="11"/>
      <ns0:c r="AI7" s="11"/>
      <ns0:c r="AJ7" s="11"/>
      <ns0:c r="AK7" s="11"/>
      <ns0:c r="AL7" s="11"/>
      <ns0:c r="AM7" s="11" t="inlineStr">
        <ns0:is>
          <ns0:t xml:space="preserve">|cff00FF00铁藤含霜，金蕊藏焰，冷暖两枝皆生清锐之气。采药人拂去枝头露水，指间恍若触过秋刃与炉星。|r</ns0:t>
        </ns0:is>
      </ns0:c>
      <ns0:c r="AN7" s="11">
        <ns0:v>1</ns0:v>
      </ns0:c>
      <ns0:c r="AO7" s="11" t="s">
        <ns0:v>69</ns0:v>
      </ns0:c>
    </ns0:row>
    <ns0:row r="8" spans="1:41">
      <ns0:c r="A8" s="4"/>
      <ns0:c r="B8" s="11">
        <ns0:v>2</ns0:v>
      </ns0:c>
      <ns0:c r="C8" s="11" t="s">
        <ns0:v>1279</ns0:v>
      </ns0:c>
      <ns0:c r="D8" s="11">
        <ns0:v>20000002</ns0:v>
      </ns0:c>
      <ns0:c r="E8" s="11" t="s">
        <ns0:v>144</ns0:v>
      </ns0:c>
      <ns0:c r="F8" s="11" t="s">
        <ns0:v>145</ns0:v>
      </ns0:c>
      <ns0:c r="G8" s="11">
        <ns0:v>3</ns0:v>
      </ns0:c>
      <ns0:c r="H8" s="11">
        <ns0:v>71324004</ns0:v>
      </ns0:c>
      <ns0:c r="I8" s="11">
        <ns0:v>71324005</ns0:v>
      </ns0:c>
      <ns0:c r="J8">
        <ns0:v>71524004</ns0:v>
      </ns0:c>
      <ns0:c r="M8" s="11"/>
      <ns0:c r="N8" s="11"/>
      <ns0:c r="O8" t="n" s="11">
        <ns0:v>2</ns0:v>
      </ns0:c>
      <ns0:c r="P8" t="str" s="11">
        <ns0:v>木行增幅</ns0:v>
      </ns0:c>
      <ns0:c r="Q8" s="24"/>
      <ns0:c r="R8" t="str" s="20">
        <ns0:v>整数</ns0:v>
      </ns0:c>
      <ns0:c r="S8" t="n">
        <ns0:v>150</ns0:v>
      </ns0:c>
      <ns0:c r="T8" t="str" s="11">
        <ns0:v>收录2件：木行增幅+150（万分比单位）</ns0:v>
      </ns0:c>
      <ns0:c r="U8" t="n" s="11">
        <ns0:v>3</ns0:v>
      </ns0:c>
      <ns0:c r="V8" t="str" s="11">
        <ns0:v>每秒回血</ns0:v>
      </ns0:c>
      <ns0:c r="W8" s="24"/>
      <ns0:c r="X8" t="str" s="20">
        <ns0:v>整数</ns0:v>
      </ns0:c>
      <ns0:c r="Y8" t="n">
        <ns0:v>4</ns0:v>
      </ns0:c>
      <ns0:c r="Z8" t="str" s="11">
        <ns0:v>收录3件：每秒回血+4</ns0:v>
      </ns0:c>
      <ns0:c r="AA8" s="11"/>
      <ns0:c r="AB8" s="11"/>
      <ns0:c r="AC8" s="11"/>
      <ns0:c r="AD8" s="11"/>
      <ns0:c r="AE8" s="11"/>
      <ns0:c r="AF8" s="11"/>
      <ns0:c r="AG8" s="11"/>
      <ns0:c r="AH8" s="11"/>
      <ns0:c r="AI8" s="11"/>
      <ns0:c r="AJ8" s="11"/>
      <ns0:c r="AK8" s="11"/>
      <ns0:c r="AL8" s="11"/>
      <ns0:c r="AM8" s="11" t="inlineStr">
        <ns0:is>
          <ns0:t xml:space="preserve">|cff00FF00潭底碧丝牵着幽苔，岸边青梅草才吐新芽。水面不见波澜，深处的寒与炽，却已沿根须往来。|r</ns0:t>
        </ns0:is>
      </ns0:c>
      <ns0:c r="AN8" s="11">
        <ns0:v>2</ns0:v>
      </ns0:c>
      <ns0:c r="AO8" s="11" t="s">
        <ns0:v>69</ns0:v>
      </ns0:c>
    </ns0:row>
    <ns0:row r="9" spans="1:41">
      <ns0:c r="A9" s="4"/>
      <ns0:c r="B9" s="11">
        <ns0:v>3</ns0:v>
      </ns0:c>
      <ns0:c r="C9" s="11" t="s">
        <ns0:v>1283</ns0:v>
      </ns0:c>
      <ns0:c r="D9" s="11">
        <ns0:v>20000003</ns0:v>
      </ns0:c>
      <ns0:c r="E9" s="11" t="s">
        <ns0:v>144</ns0:v>
      </ns0:c>
      <ns0:c r="F9" s="11" t="s">
        <ns0:v>145</ns0:v>
      </ns0:c>
      <ns0:c r="G9" s="11">
        <ns0:v>2</ns0:v>
      </ns0:c>
      <ns0:c r="H9" s="11">
        <ns0:v>71324006</ns0:v>
      </ns0:c>
      <ns0:c r="I9" s="11">
        <ns0:v>71324007</ns0:v>
      </ns0:c>
      <ns0:c r="M9" s="11"/>
      <ns0:c r="N9" s="11"/>
      <ns0:c r="O9" t="n" s="11">
        <ns0:v>2</ns0:v>
      </ns0:c>
      <ns0:c r="P9" t="str" s="11">
        <ns0:v>每秒回血</ns0:v>
      </ns0:c>
      <ns0:c r="Q9" s="24"/>
      <ns0:c r="R9" t="str" s="20">
        <ns0:v>整数</ns0:v>
      </ns0:c>
      <ns0:c r="S9" t="n">
        <ns0:v>2</ns0:v>
      </ns0:c>
      <ns0:c r="T9" t="str" s="11">
        <ns0:v>收录2件：每秒回血+2</ns0:v>
      </ns0:c>
      <ns0:c r="U9" s="11"/>
      <ns0:c r="V9" s="11"/>
      <ns0:c r="W9" s="11"/>
      <ns0:c r="X9" s="11"/>
      <ns0:c r="Y9" s="11"/>
      <ns0:c r="Z9" s="11"/>
      <ns0:c r="AA9" s="11"/>
      <ns0:c r="AB9" s="11"/>
      <ns0:c r="AC9" s="11"/>
      <ns0:c r="AD9" s="11"/>
      <ns0:c r="AE9" s="11"/>
      <ns0:c r="AF9" s="11"/>
      <ns0:c r="AG9" s="11"/>
      <ns0:c r="AH9" s="11"/>
      <ns0:c r="AI9" s="11"/>
      <ns0:c r="AJ9" s="11"/>
      <ns0:c r="AK9" s="11"/>
      <ns0:c r="AL9" s="11"/>
      <ns0:c r="AM9" s="11" t="inlineStr">
        <ns0:is>
          <ns0:t xml:space="preserve">|cff00FF00花开如暖日，入药却生凉；苔色似余烬，微红深处藏炎。丹师守着一炉明灭，方知草木亦有两重春秋。|r</ns0:t>
        </ns0:is>
      </ns0:c>
      <ns0:c r="AN9" s="11">
        <ns0:v>3</ns0:v>
      </ns0:c>
      <ns0:c r="AO9" s="11" t="s">
        <ns0:v>69</ns0:v>
      </ns0:c>
    </ns0:row>
    <ns0:row r="10" spans="1:41">
      <ns0:c r="A10" s="4"/>
      <ns0:c r="B10" s="11">
        <ns0:v>4</ns0:v>
      </ns0:c>
      <ns0:c r="C10" s="11" t="s">
        <ns0:v>1285</ns0:v>
      </ns0:c>
      <ns0:c r="D10" s="11">
        <ns0:v>20000004</ns0:v>
      </ns0:c>
      <ns0:c r="E10" s="11" t="s">
        <ns0:v>144</ns0:v>
      </ns0:c>
      <ns0:c r="F10" s="11" t="s">
        <ns0:v>145</ns0:v>
      </ns0:c>
      <ns0:c r="G10" s="11">
        <ns0:v>3</ns0:v>
      </ns0:c>
      <ns0:c r="H10" s="11">
        <ns0:v>71524002</ns0:v>
      </ns0:c>
      <ns0:c r="I10" s="11">
        <ns0:v>71524006</ns0:v>
      </ns0:c>
      <ns0:c r="J10">
        <ns0:v>71524008</ns0:v>
      </ns0:c>
      <ns0:c r="M10" s="11"/>
      <ns0:c r="N10" s="11"/>
      <ns0:c r="O10" t="n" s="11">
        <ns0:v>2</ns0:v>
      </ns0:c>
      <ns0:c r="P10" t="str" s="11">
        <ns0:v>生命值</ns0:v>
      </ns0:c>
      <ns0:c r="Q10" s="24"/>
      <ns0:c r="R10" t="str" s="20">
        <ns0:v>整数</ns0:v>
      </ns0:c>
      <ns0:c r="S10" t="n">
        <ns0:v>2</ns0:v>
      </ns0:c>
      <ns0:c r="T10" t="str" s="11">
        <ns0:v>收录2件：生命值+2</ns0:v>
      </ns0:c>
      <ns0:c r="U10" t="n" s="11">
        <ns0:v>3</ns0:v>
      </ns0:c>
      <ns0:c r="V10" t="str" s="11">
        <ns0:v>木行增幅</ns0:v>
      </ns0:c>
      <ns0:c r="W10" s="24"/>
      <ns0:c r="X10" t="str" s="20">
        <ns0:v>整数</ns0:v>
      </ns0:c>
      <ns0:c r="Y10" t="n">
        <ns0:v>150</ns0:v>
      </ns0:c>
      <ns0:c r="Z10" t="str" s="11">
        <ns0:v>收录3件：木行增幅+150（万分比单位）</ns0:v>
      </ns0:c>
      <ns0:c r="AA10" s="11"/>
      <ns0:c r="AB10" s="11"/>
      <ns0:c r="AC10" s="11"/>
      <ns0:c r="AD10" s="11"/>
      <ns0:c r="AE10" s="11"/>
      <ns0:c r="AF10" s="11"/>
      <ns0:c r="AG10" s="11"/>
      <ns0:c r="AH10" s="11"/>
      <ns0:c r="AI10" s="11"/>
      <ns0:c r="AJ10" s="11"/>
      <ns0:c r="AK10" s="11"/>
      <ns0:c r="AL10" s="11"/>
      <ns0:c r="AM10" s="11" t="inlineStr">
        <ns0:is>
          <ns0:t xml:space="preserve">|cff00FF00甘露初凝，黄连才苦，潮声已在苔间。山野与沧海各留一味，待到丹烟升起，便在方寸炉中重逢。|r</ns0:t>
        </ns0:is>
      </ns0:c>
      <ns0:c r="AN10" s="11">
        <ns0:v>4</ns0:v>
      </ns0:c>
      <ns0:c r="AO10" s="11" t="s">
        <ns0:v>69</ns0:v>
      </ns0:c>
    </ns0:row>
    <ns0:row r="11" spans="1:41">
      <ns0:c r="A11" s="4"/>
      <ns0:c r="B11" s="11">
        <ns0:v>5</ns0:v>
      </ns0:c>
      <ns0:c r="C11" s="11" t="inlineStr">
        <ns0:is>
          <ns0:t xml:space="preserve">清和养春</ns0:t>
        </ns0:is>
      </ns0:c>
      <ns0:c r="D11" s="11">
        <ns0:v>20000005</ns0:v>
      </ns0:c>
      <ns0:c r="E11" s="11" t="s">
        <ns0:v>144</ns0:v>
      </ns0:c>
      <ns0:c r="F11" s="11" t="s">
        <ns0:v>145</ns0:v>
      </ns0:c>
      <ns0:c r="G11" s="11">
        <ns0:v>3</ns0:v>
      </ns0:c>
      <ns0:c r="H11" s="11">
        <ns0:v>71424000</ns0:v>
      </ns0:c>
      <ns0:c r="I11" s="11">
        <ns0:v>71424001</ns0:v>
      </ns0:c>
      <ns0:c r="J11">
        <ns0:v>71424002</ns0:v>
      </ns0:c>
      <ns0:c r="M11" s="11"/>
      <ns0:c r="N11" s="11"/>
      <ns0:c r="O11" t="n" s="11">
        <ns0:v>2</ns0:v>
      </ns0:c>
      <ns0:c r="P11" t="str" s="11">
        <ns0:v>木行增幅</ns0:v>
      </ns0:c>
      <ns0:c r="Q11" s="24"/>
      <ns0:c r="R11" t="str" s="20">
        <ns0:v>整数</ns0:v>
      </ns0:c>
      <ns0:c r="S11" t="n">
        <ns0:v>150</ns0:v>
      </ns0:c>
      <ns0:c r="T11" t="str" s="11">
        <ns0:v>收录2件：木行增幅+150（万分比单位）</ns0:v>
      </ns0:c>
      <ns0:c r="U11" t="n" s="11">
        <ns0:v>3</ns0:v>
      </ns0:c>
      <ns0:c r="V11" t="str" s="11">
        <ns0:v>每秒回血</ns0:v>
      </ns0:c>
      <ns0:c r="W11" s="24"/>
      <ns0:c r="X11" t="str" s="20">
        <ns0:v>整数</ns0:v>
      </ns0:c>
      <ns0:c r="Y11" t="n">
        <ns0:v>4</ns0:v>
      </ns0:c>
      <ns0:c r="Z11" t="str" s="11">
        <ns0:v>收录3件：每秒回血+4</ns0:v>
      </ns0:c>
      <ns0:c r="AA11" s="11"/>
      <ns0:c r="AB11" s="11"/>
      <ns0:c r="AC11" s="11"/>
      <ns0:c r="AD11" s="11"/>
      <ns0:c r="AE11" s="11"/>
      <ns0:c r="AF11" s="11"/>
      <ns0:c r="AG11" s="11"/>
      <ns0:c r="AH11" s="11"/>
      <ns0:c r="AI11" s="11"/>
      <ns0:c r="AJ11" s="11"/>
      <ns0:c r="AK11" s="11"/>
      <ns0:c r="AL11" s="11"/>
      <ns0:c r="AM11" s="11" t="inlineStr">
        <ns0:is>
          <ns0:t xml:space="preserve">|cff00FF00净草洗去浮浊，太和解开药气间的郁结，温脉花最后送来一缕暖意。炉边春色无声，满室清芬渐次舒开。|r</ns0:t>
        </ns0:is>
      </ns0:c>
      <ns0:c r="AN11" s="11">
        <ns0:v>5</ns0:v>
      </ns0:c>
      <ns0:c r="AO11" s="11" t="s">
        <ns0:v>69</ns0:v>
      </ns0:c>
    </ns0:row>
    <ns0:row r="12" spans="1:41">
      <ns0:c r="A12" s="4"/>
      <ns0:c r="B12" s="11">
        <ns0:v>6</ns0:v>
      </ns0:c>
      <ns0:c r="C12" s="11" t="inlineStr">
        <ns0:is>
          <ns0:t xml:space="preserve">莲心九环</ns0:t>
        </ns0:is>
      </ns0:c>
      <ns0:c r="D12" s="11">
        <ns0:v>20000006</ns0:v>
      </ns0:c>
      <ns0:c r="E12" s="11" t="s">
        <ns0:v>144</ns0:v>
      </ns0:c>
      <ns0:c r="F12" s="11" t="s">
        <ns0:v>145</ns0:v>
      </ns0:c>
      <ns0:c r="G12" s="11">
        <ns0:v>3</ns0:v>
      </ns0:c>
      <ns0:c r="H12" s="11">
        <ns0:v>71624000</ns0:v>
      </ns0:c>
      <ns0:c r="I12" s="11">
        <ns0:v>71624001</ns0:v>
      </ns0:c>
      <ns0:c r="J12">
        <ns0:v>71624002</ns0:v>
      </ns0:c>
      <ns0:c r="M12" s="11"/>
      <ns0:c r="N12" s="11"/>
      <ns0:c r="O12" t="n" s="11">
        <ns0:v>2</ns0:v>
      </ns0:c>
      <ns0:c r="P12" t="str" s="11">
        <ns0:v>每秒回血</ns0:v>
      </ns0:c>
      <ns0:c r="Q12" s="24"/>
      <ns0:c r="R12" t="str" s="20">
        <ns0:v>整数</ns0:v>
      </ns0:c>
      <ns0:c r="S12" t="n">
        <ns0:v>2</ns0:v>
      </ns0:c>
      <ns0:c r="T12" t="str" s="11">
        <ns0:v>收录2件：每秒回血+2</ns0:v>
      </ns0:c>
      <ns0:c r="U12" t="n" s="11">
        <ns0:v>3</ns0:v>
      </ns0:c>
      <ns0:c r="V12" t="str" s="11">
        <ns0:v>生命值</ns0:v>
      </ns0:c>
      <ns0:c r="W12" s="24"/>
      <ns0:c r="X12" t="str" s="20">
        <ns0:v>整数</ns0:v>
      </ns0:c>
      <ns0:c r="Y12" t="n">
        <ns0:v>4</ns0:v>
      </ns0:c>
      <ns0:c r="Z12" t="str" s="11">
        <ns0:v>收录3件：生命值+4</ns0:v>
      </ns0:c>
      <ns0:c r="AA12" s="11"/>
      <ns0:c r="AB12" s="11"/>
      <ns0:c r="AC12" s="11"/>
      <ns0:c r="AD12" s="11"/>
      <ns0:c r="AE12" s="11"/>
      <ns0:c r="AF12" s="11"/>
      <ns0:c r="AG12" s="11"/>
      <ns0:c r="AH12" s="11"/>
      <ns0:c r="AI12" s="11"/>
      <ns0:c r="AJ12" s="11"/>
      <ns0:c r="AK12" s="11"/>
      <ns0:c r="AL12" s="11"/>
      <ns0:c r="AM12" s="11" t="inlineStr">
        <ns0:is>
          <ns0:t xml:space="preserve">|cff00FF00七叶抱心，八脉回环，芝上九重纹宛若天成丹图。山中草木未读丹经，已将合丹的隐秘藏进了一生荣枯。|r</ns0:t>
        </ns0:is>
      </ns0:c>
      <ns0:c r="AN12" s="11">
        <ns0:v>6</ns0:v>
      </ns0:c>
      <ns0:c r="AO12" s="11" t="s">
        <ns0:v>69</ns0:v>
      </ns0:c>
    </ns0:row>
    <ns0:row r="13" spans="1:41">
      <ns0:c r="A13" s="4"/>
      <ns0:c r="B13" s="11">
        <ns0:v>7</ns0:v>
      </ns0:c>
      <ns0:c r="C13" s="11" t="s">
        <ns0:v>1291</ns0:v>
      </ns0:c>
      <ns0:c r="D13" s="11">
        <ns0:v>20000007</ns0:v>
      </ns0:c>
      <ns0:c r="E13" s="11" t="s">
        <ns0:v>601</ns0:v>
      </ns0:c>
      <ns0:c r="F13" s="11" t="s">
        <ns0:v>145</ns0:v>
      </ns0:c>
      <ns0:c r="G13" s="11">
        <ns0:v>3</ns0:v>
      </ns0:c>
      <ns0:c r="H13" s="11">
        <ns0:v>72534023</ns0:v>
      </ns0:c>
      <ns0:c r="I13" s="11">
        <ns0:v>72834026</ns0:v>
      </ns0:c>
      <ns0:c r="J13">
        <ns0:v>72534033</ns0:v>
      </ns0:c>
      <ns0:c r="M13" s="11"/>
      <ns0:c r="N13" s="11"/>
      <ns0:c r="O13" t="n" s="11">
        <ns0:v>2</ns0:v>
      </ns0:c>
      <ns0:c r="P13" t="str" s="11">
        <ns0:v>法防上限</ns0:v>
      </ns0:c>
      <ns0:c r="Q13" s="24"/>
      <ns0:c r="R13" t="str" s="20">
        <ns0:v>整数</ns0:v>
      </ns0:c>
      <ns0:c r="S13" t="n">
        <ns0:v>2</ns0:v>
      </ns0:c>
      <ns0:c r="T13" t="str" s="11">
        <ns0:v>收录2件：法防上限+2</ns0:v>
      </ns0:c>
      <ns0:c r="U13" t="n" s="11">
        <ns0:v>3</ns0:v>
      </ns0:c>
      <ns0:c r="V13" t="str" s="11">
        <ns0:v>伤害减免</ns0:v>
      </ns0:c>
      <ns0:c r="W13" s="24"/>
      <ns0:c r="X13" t="str" s="20">
        <ns0:v>整数</ns0:v>
      </ns0:c>
      <ns0:c r="Y13" t="n">
        <ns0:v>4</ns0:v>
      </ns0:c>
      <ns0:c r="Z13" t="str" s="11">
        <ns0:v>收录3件：伤害减免+4</ns0:v>
      </ns0:c>
      <ns0:c r="AA13" s="11"/>
      <ns0:c r="AB13" s="11"/>
      <ns0:c r="AC13" s="11"/>
      <ns0:c r="AD13" s="11"/>
      <ns0:c r="AE13" s="11"/>
      <ns0:c r="AF13" s="11"/>
      <ns0:c r="AG13" s="11"/>
      <ns0:c r="AH13" s="11"/>
      <ns0:c r="AI13" s="11"/>
      <ns0:c r="AJ13" s="11"/>
      <ns0:c r="AK13" s="11"/>
      <ns0:c r="AL13" s="11"/>
      <ns0:c r="AM13" s="11" t="inlineStr">
        <ns0:is>
          <ns0:t xml:space="preserve">|cff00FF00炉冷多年，阵石半埋，残旗只剩几缕旧丝。拂去尘土，断纹里仍有微光，仿佛旧坊深处又传来一声锤响。|r</ns0:t>
        </ns0:is>
      </ns0:c>
      <ns0:c r="AN13" s="11">
        <ns0:v>7</ns0:v>
      </ns0:c>
      <ns0:c r="AO13" s="11" t="s">
        <ns0:v>69</ns0:v>
      </ns0:c>
    </ns0:row>
    <ns0:row r="14" spans="1:41">
      <ns0:c r="A14" s="4"/>
      <ns0:c r="B14" s="11">
        <ns0:v>8</ns0:v>
      </ns0:c>
      <ns0:c r="C14" s="11" t="s">
        <ns0:v>1293</ns0:v>
      </ns0:c>
      <ns0:c r="D14" s="11">
        <ns0:v>20000008</ns0:v>
      </ns0:c>
      <ns0:c r="E14" s="11" t="s">
        <ns0:v>601</ns0:v>
      </ns0:c>
      <ns0:c r="F14" s="11" t="s">
        <ns0:v>145</ns0:v>
      </ns0:c>
      <ns0:c r="G14" s="11">
        <ns0:v>3</ns0:v>
      </ns0:c>
      <ns0:c r="H14" s="11">
        <ns0:v>72324017</ns0:v>
      </ns0:c>
      <ns0:c r="I14" s="11">
        <ns0:v>72534031</ns0:v>
      </ns0:c>
      <ns0:c r="J14">
        <ns0:v>72524019</ns0:v>
      </ns0:c>
      <ns0:c r="M14" s="11"/>
      <ns0:c r="N14" s="11"/>
      <ns0:c r="O14" t="n" s="11">
        <ns0:v>2</ns0:v>
      </ns0:c>
      <ns0:c r="P14" t="str" s="11">
        <ns0:v>伤害减免</ns0:v>
      </ns0:c>
      <ns0:c r="Q14" s="24"/>
      <ns0:c r="R14" t="str" s="20">
        <ns0:v>整数</ns0:v>
      </ns0:c>
      <ns0:c r="S14" t="n">
        <ns0:v>2</ns0:v>
      </ns0:c>
      <ns0:c r="T14" t="str" s="11">
        <ns0:v>收录2件：伤害减免+2</ns0:v>
      </ns0:c>
      <ns0:c r="U14" t="n" s="11">
        <ns0:v>3</ns0:v>
      </ns0:c>
      <ns0:c r="V14" t="str" s="11">
        <ns0:v>物防上限</ns0:v>
      </ns0:c>
      <ns0:c r="W14" s="24"/>
      <ns0:c r="X14" t="str" s="20">
        <ns0:v>整数</ns0:v>
      </ns0:c>
      <ns0:c r="Y14" t="n">
        <ns0:v>4</ns0:v>
      </ns0:c>
      <ns0:c r="Z14" t="str" s="11">
        <ns0:v>收录3件：物防上限+4</ns0:v>
      </ns0:c>
      <ns0:c r="AA14" s="11"/>
      <ns0:c r="AB14" s="11"/>
      <ns0:c r="AC14" s="11"/>
      <ns0:c r="AD14" s="11"/>
      <ns0:c r="AE14" s="11"/>
      <ns0:c r="AF14" s="11"/>
      <ns0:c r="AG14" s="11"/>
      <ns0:c r="AH14" s="11"/>
      <ns0:c r="AI14" s="11"/>
      <ns0:c r="AJ14" s="11"/>
      <ns0:c r="AK14" s="11"/>
      <ns0:c r="AL14" s="11"/>
      <ns0:c r="AM14" s="11" t="inlineStr">
        <ns0:is>
          <ns0:t xml:space="preserve">|cff00FF00蚕吐银丝，竹藏虚节，一滴树脂封住细细接痕。最柔的几样山中物，经匠人之手，连成了法器不绝的灵脉。|r</ns0:t>
        </ns0:is>
      </ns0:c>
      <ns0:c r="AN14" s="11">
        <ns0:v>8</ns0:v>
      </ns0:c>
      <ns0:c r="AO14" s="11" t="s">
        <ns0:v>69</ns0:v>
      </ns0:c>
    </ns0:row>
    <ns0:row r="15" spans="1:41">
      <ns0:c r="A15" s="4"/>
      <ns0:c r="B15" s="11">
        <ns0:v>9</ns0:v>
      </ns0:c>
      <ns0:c r="C15" s="11" t="s">
        <ns0:v>1295</ns0:v>
      </ns0:c>
      <ns0:c r="D15" s="11">
        <ns0:v>20000009</ns0:v>
      </ns0:c>
      <ns0:c r="E15" s="11" t="s">
        <ns0:v>601</ns0:v>
      </ns0:c>
      <ns0:c r="F15" s="11" t="s">
        <ns0:v>145</ns0:v>
      </ns0:c>
      <ns0:c r="G15" s="11">
        <ns0:v>3</ns0:v>
      </ns0:c>
      <ns0:c r="H15" s="11">
        <ns0:v>72524000</ns0:v>
      </ns0:c>
      <ns0:c r="I15" s="11">
        <ns0:v>72524018</ns0:v>
      </ns0:c>
      <ns0:c r="J15">
        <ns0:v>72334004</ns0:v>
      </ns0:c>
      <ns0:c r="M15" s="11"/>
      <ns0:c r="N15" s="11"/>
      <ns0:c r="O15" t="n" s="11">
        <ns0:v>2</ns0:v>
      </ns0:c>
      <ns0:c r="P15" t="str" s="11">
        <ns0:v>物防上限</ns0:v>
      </ns0:c>
      <ns0:c r="Q15" s="24"/>
      <ns0:c r="R15" t="str" s="20">
        <ns0:v>整数</ns0:v>
      </ns0:c>
      <ns0:c r="S15" t="n">
        <ns0:v>2</ns0:v>
      </ns0:c>
      <ns0:c r="T15" t="str" s="11">
        <ns0:v>收录2件：物防上限+2</ns0:v>
      </ns0:c>
      <ns0:c r="U15" t="n" s="11">
        <ns0:v>3</ns0:v>
      </ns0:c>
      <ns0:c r="V15" t="str" s="11">
        <ns0:v>法防上限</ns0:v>
      </ns0:c>
      <ns0:c r="W15" s="24"/>
      <ns0:c r="X15" t="str" s="20">
        <ns0:v>整数</ns0:v>
      </ns0:c>
      <ns0:c r="Y15" t="n">
        <ns0:v>4</ns0:v>
      </ns0:c>
      <ns0:c r="Z15" t="str" s="11">
        <ns0:v>收录3件：法防上限+4</ns0:v>
      </ns0:c>
      <ns0:c r="AA15" s="11"/>
      <ns0:c r="AB15" s="11"/>
      <ns0:c r="AC15" s="11"/>
      <ns0:c r="AD15" s="11"/>
      <ns0:c r="AE15" s="11"/>
      <ns0:c r="AF15" s="11"/>
      <ns0:c r="AG15" s="11"/>
      <ns0:c r="AH15" s="11"/>
      <ns0:c r="AI15" s="11"/>
      <ns0:c r="AJ15" s="11"/>
      <ns0:c r="AK15" s="11"/>
      <ns0:c r="AL15" s="11"/>
      <ns0:c r="AM15" s="11" t="inlineStr">
        <ns0:is>
          <ns0:t xml:space="preserve">|cff00FF00赤血一点，地泉一泓，温玉将两色灵光静静抱住。山川所养与血肉所藏，在玉心深处应着同一声脉动。|r</ns0:t>
        </ns0:is>
      </ns0:c>
      <ns0:c r="AN15" s="11">
        <ns0:v>9</ns0:v>
      </ns0:c>
      <ns0:c r="AO15" s="11" t="s">
        <ns0:v>69</ns0:v>
      </ns0:c>
    </ns0:row>
    <ns0:row r="16" spans="1:41">
      <ns0:c r="A16" s="4"/>
      <ns0:c r="B16" s="11">
        <ns0:v>10</ns0:v>
      </ns0:c>
      <ns0:c r="C16" s="11" t="s">
        <ns0:v>1297</ns0:v>
      </ns0:c>
      <ns0:c r="D16" s="11">
        <ns0:v>20000010</ns0:v>
      </ns0:c>
      <ns0:c r="E16" s="11" t="s">
        <ns0:v>601</ns0:v>
      </ns0:c>
      <ns0:c r="F16" s="11" t="s">
        <ns0:v>145</ns0:v>
      </ns0:c>
      <ns0:c r="G16" s="11">
        <ns0:v>3</ns0:v>
      </ns0:c>
      <ns0:c r="H16" s="11">
        <ns0:v>72624001</ns0:v>
      </ns0:c>
      <ns0:c r="I16" s="11">
        <ns0:v>72634008</ns0:v>
      </ns0:c>
      <ns0:c r="J16">
        <ns0:v>72624004</ns0:v>
      </ns0:c>
      <ns0:c r="M16" s="11"/>
      <ns0:c r="N16" s="11"/>
      <ns0:c r="O16" t="n" s="11">
        <ns0:v>2</ns0:v>
      </ns0:c>
      <ns0:c r="P16" t="str" s="11">
        <ns0:v>法防上限</ns0:v>
      </ns0:c>
      <ns0:c r="Q16" s="24"/>
      <ns0:c r="R16" t="str" s="20">
        <ns0:v>整数</ns0:v>
      </ns0:c>
      <ns0:c r="S16" t="n">
        <ns0:v>2</ns0:v>
      </ns0:c>
      <ns0:c r="T16" t="str" s="11">
        <ns0:v>收录2件：法防上限+2</ns0:v>
      </ns0:c>
      <ns0:c r="U16" t="n" s="11">
        <ns0:v>3</ns0:v>
      </ns0:c>
      <ns0:c r="V16" t="str" s="11">
        <ns0:v>伤害减免</ns0:v>
      </ns0:c>
      <ns0:c r="W16" s="24"/>
      <ns0:c r="X16" t="str" s="20">
        <ns0:v>整数</ns0:v>
      </ns0:c>
      <ns0:c r="Y16" t="n">
        <ns0:v>4</ns0:v>
      </ns0:c>
      <ns0:c r="Z16" t="str" s="11">
        <ns0:v>收录3件：伤害减免+4</ns0:v>
      </ns0:c>
      <ns0:c r="AA16" s="11"/>
      <ns0:c r="AB16" s="11"/>
      <ns0:c r="AC16" s="11"/>
      <ns0:c r="AD16" s="11"/>
      <ns0:c r="AE16" s="11"/>
      <ns0:c r="AF16" s="11"/>
      <ns0:c r="AG16" s="11"/>
      <ns0:c r="AH16" s="11"/>
      <ns0:c r="AI16" s="11"/>
      <ns0:c r="AJ16" s="11"/>
      <ns0:c r="AK16" s="11"/>
      <ns0:c r="AL16" s="11"/>
      <ns0:c r="AM16" s="11" t="inlineStr">
        <ns0:is>
          <ns0:t xml:space="preserve">|cff00FF00妖丹尚温，灵目未黯，残识如薄雾绕而不去。故躯早已归尘，深林中那一瞬凝望，却仍留在几件遗珍之间。|r</ns0:t>
        </ns0:is>
      </ns0:c>
      <ns0:c r="AN16" s="11">
        <ns0:v>10</ns0:v>
      </ns0:c>
      <ns0:c r="AO16" s="11" t="s">
        <ns0:v>69</ns0:v>
      </ns0:c>
    </ns0:row>
    <ns0:row r="17" spans="1:41">
      <ns0:c r="A17" s="4"/>
      <ns0:c r="B17" s="11">
        <ns0:v>11</ns0:v>
      </ns0:c>
      <ns0:c r="C17" s="11" t="inlineStr">
        <ns0:is>
          <ns0:t xml:space="preserve">山骨炉心</ns0:t>
        </ns0:is>
      </ns0:c>
      <ns0:c r="D17" s="11">
        <ns0:v>20000011</ns0:v>
      </ns0:c>
      <ns0:c r="E17" s="11" t="s">
        <ns0:v>601</ns0:v>
      </ns0:c>
      <ns0:c r="F17" s="11" t="s">
        <ns0:v>145</ns0:v>
      </ns0:c>
      <ns0:c r="G17" s="11">
        <ns0:v>3</ns0:v>
      </ns0:c>
      <ns0:c r="H17" s="11">
        <ns0:v>72334038</ns0:v>
      </ns0:c>
      <ns0:c r="I17" s="11">
        <ns0:v>72364018</ns0:v>
      </ns0:c>
      <ns0:c r="J17">
        <ns0:v>72374036</ns0:v>
      </ns0:c>
      <ns0:c r="M17" s="11"/>
      <ns0:c r="N17" s="11"/>
      <ns0:c r="O17" t="n" s="11">
        <ns0:v>2</ns0:v>
      </ns0:c>
      <ns0:c r="P17" t="str" s="11">
        <ns0:v>伤害减免</ns0:v>
      </ns0:c>
      <ns0:c r="Q17" s="24"/>
      <ns0:c r="R17" t="str" s="20">
        <ns0:v>整数</ns0:v>
      </ns0:c>
      <ns0:c r="S17" t="n">
        <ns0:v>2</ns0:v>
      </ns0:c>
      <ns0:c r="T17" t="str" s="11">
        <ns0:v>收录2件：伤害减免+2</ns0:v>
      </ns0:c>
      <ns0:c r="U17" t="n" s="11">
        <ns0:v>3</ns0:v>
      </ns0:c>
      <ns0:c r="V17" t="str" s="11">
        <ns0:v>物防上限</ns0:v>
      </ns0:c>
      <ns0:c r="W17" s="24"/>
      <ns0:c r="X17" t="str" s="20">
        <ns0:v>整数</ns0:v>
      </ns0:c>
      <ns0:c r="Y17" t="n">
        <ns0:v>4</ns0:v>
      </ns0:c>
      <ns0:c r="Z17" t="str" s="11">
        <ns0:v>收录3件：物防上限+4</ns0:v>
      </ns0:c>
      <ns0:c r="AA17" s="11"/>
      <ns0:c r="AB17" s="11"/>
      <ns0:c r="AC17" s="11"/>
      <ns0:c r="AD17" s="11"/>
      <ns0:c r="AE17" s="11"/>
      <ns0:c r="AF17" s="11"/>
      <ns0:c r="AG17" s="11"/>
      <ns0:c r="AH17" s="11"/>
      <ns0:c r="AI17" s="11"/>
      <ns0:c r="AJ17" s="11"/>
      <ns0:c r="AK17" s="11"/>
      <ns0:c r="AL17" s="11"/>
      <ns0:c r="AM17" s="11" t="inlineStr">
        <ns0:is>
          <ns0:t xml:space="preserve">|cff00FF00金灯照炉，玄铁镇底，地心铜中余温沉沉。烈焰翻涌之下，犹有山骨不移，托住一场漫长的祭炼。|r</ns0:t>
        </ns0:is>
      </ns0:c>
      <ns0:c r="AN17" s="11">
        <ns0:v>11</ns0:v>
      </ns0:c>
      <ns0:c r="AO17" s="11" t="s">
        <ns0:v>69</ns0:v>
      </ns0:c>
    </ns0:row>
    <ns0:row r="18" spans="1:41">
      <ns0:c r="A18" s="4"/>
      <ns0:c r="B18" s="11">
        <ns0:v>12</ns0:v>
      </ns0:c>
      <ns0:c r="C18" s="11" t="s">
        <ns0:v>1301</ns0:v>
      </ns0:c>
      <ns0:c r="D18" s="11">
        <ns0:v>20000012</ns0:v>
      </ns0:c>
      <ns0:c r="E18" s="11" t="s">
        <ns0:v>601</ns0:v>
      </ns0:c>
      <ns0:c r="F18" s="11" t="s">
        <ns0:v>145</ns0:v>
      </ns0:c>
      <ns0:c r="G18" s="11">
        <ns0:v>3</ns0:v>
      </ns0:c>
      <ns0:c r="H18" s="11">
        <ns0:v>72704000</ns0:v>
      </ns0:c>
      <ns0:c r="I18" s="11">
        <ns0:v>72324015</ns0:v>
      </ns0:c>
      <ns0:c r="J18">
        <ns0:v>72324013</ns0:v>
      </ns0:c>
      <ns0:c r="M18" s="11"/>
      <ns0:c r="N18" s="11"/>
      <ns0:c r="O18" t="n" s="11">
        <ns0:v>2</ns0:v>
      </ns0:c>
      <ns0:c r="P18" t="str" s="11">
        <ns0:v>物防上限</ns0:v>
      </ns0:c>
      <ns0:c r="Q18" s="24"/>
      <ns0:c r="R18" t="str" s="20">
        <ns0:v>整数</ns0:v>
      </ns0:c>
      <ns0:c r="S18" t="n">
        <ns0:v>2</ns0:v>
      </ns0:c>
      <ns0:c r="T18" t="str" s="11">
        <ns0:v>收录2件：物防上限+2</ns0:v>
      </ns0:c>
      <ns0:c r="U18" t="n" s="11">
        <ns0:v>3</ns0:v>
      </ns0:c>
      <ns0:c r="V18" t="str" s="11">
        <ns0:v>法防上限</ns0:v>
      </ns0:c>
      <ns0:c r="W18" s="24"/>
      <ns0:c r="X18" t="str" s="20">
        <ns0:v>整数</ns0:v>
      </ns0:c>
      <ns0:c r="Y18" t="n">
        <ns0:v>4</ns0:v>
      </ns0:c>
      <ns0:c r="Z18" t="str" s="11">
        <ns0:v>收录3件：法防上限+4</ns0:v>
      </ns0:c>
      <ns0:c r="AA18" s="11"/>
      <ns0:c r="AB18" s="11"/>
      <ns0:c r="AC18" s="11"/>
      <ns0:c r="AD18" s="11"/>
      <ns0:c r="AE18" s="11"/>
      <ns0:c r="AF18" s="11"/>
      <ns0:c r="AG18" s="11"/>
      <ns0:c r="AH18" s="11"/>
      <ns0:c r="AI18" s="11"/>
      <ns0:c r="AJ18" s="11"/>
      <ns0:c r="AK18" s="11"/>
      <ns0:c r="AL18" s="11"/>
      <ns0:c r="AM18" s="11" t="inlineStr">
        <ns0:is>
          <ns0:t xml:space="preserve">|cff00FF00玄铁未成骨，灵玉未成窍，宝种已在炉前轻轻吐息。匠人掌中尚无器形，一缕将生的灵光却先照亮了眉间。|r</ns0:t>
        </ns0:is>
      </ns0:c>
      <ns0:c r="AN18" s="11">
        <ns0:v>12</ns0:v>
      </ns0:c>
      <ns0:c r="AO18" s="11" t="s">
        <ns0:v>69</ns0:v>
      </ns0:c>
    </ns0:row>
    <ns0:row r="19" spans="1:41">
      <ns0:c r="A19" s="4"/>
      <ns0:c r="B19" s="11">
        <ns0:v>13</ns0:v>
      </ns0:c>
      <ns0:c r="C19" s="11" t="s">
        <ns0:v>1303</ns0:v>
      </ns0:c>
      <ns0:c r="D19" s="11">
        <ns0:v>20000013</ns0:v>
      </ns0:c>
      <ns0:c r="E19" s="11" t="s">
        <ns0:v>239</ns0:v>
      </ns0:c>
      <ns0:c r="F19" s="11" t="s">
        <ns0:v>240</ns0:v>
      </ns0:c>
      <ns0:c r="G19" s="11">
        <ns0:v>2</ns0:v>
      </ns0:c>
      <ns0:c r="H19" s="11">
        <ns0:v>71921012</ns0:v>
      </ns0:c>
      <ns0:c r="I19" s="11">
        <ns0:v>71921017</ns0:v>
      </ns0:c>
      <ns0:c r="M19" s="11"/>
      <ns0:c r="N19" s="11"/>
      <ns0:c r="O19" t="n" s="11">
        <ns0:v>2</ns0:v>
      </ns0:c>
      <ns0:c r="P19" t="str" s="11">
        <ns0:v>灵力值</ns0:v>
      </ns0:c>
      <ns0:c r="Q19" s="24"/>
      <ns0:c r="R19" t="str" s="20">
        <ns0:v>整数</ns0:v>
      </ns0:c>
      <ns0:c r="S19" t="n">
        <ns0:v>1</ns0:v>
      </ns0:c>
      <ns0:c r="T19" t="str" s="11">
        <ns0:v>收录2件：灵力值+1</ns0:v>
      </ns0:c>
      <ns0:c r="U19" s="11"/>
      <ns0:c r="V19" s="11"/>
      <ns0:c r="W19" s="11"/>
      <ns0:c r="X19" s="11"/>
      <ns0:c r="Y19" s="11"/>
      <ns0:c r="Z19" s="11"/>
      <ns0:c r="AA19" s="11"/>
      <ns0:c r="AB19" s="11"/>
      <ns0:c r="AC19" s="11"/>
      <ns0:c r="AD19" s="11"/>
      <ns0:c r="AE19" s="11"/>
      <ns0:c r="AF19" s="11"/>
      <ns0:c r="AG19" s="11"/>
      <ns0:c r="AH19" s="11"/>
      <ns0:c r="AI19" s="11"/>
      <ns0:c r="AJ19" s="11"/>
      <ns0:c r="AK19" s="11"/>
      <ns0:c r="AL19" s="11"/>
      <ns0:c r="AM19" s="11" t="inlineStr">
        <ns0:is>
          <ns0:t xml:space="preserve">|cff00FF00山岚入牖，丹香绕席。天地间无主的清气，随静坐者一呼一吸，渐渐有了归处。|r</ns0:t>
        </ns0:is>
      </ns0:c>
      <ns0:c r="AN19" s="11">
        <ns0:v>13</ns0:v>
      </ns0:c>
      <ns0:c r="AO19" s="11" t="s">
        <ns0:v>69</ns0:v>
      </ns0:c>
    </ns0:row>
    <ns0:row r="20" spans="1:41">
      <ns0:c r="A20" s="4"/>
      <ns0:c r="B20" s="11">
        <ns0:v>14</ns0:v>
      </ns0:c>
      <ns0:c r="C20" s="11" t="inlineStr">
        <ns0:is>
          <ns0:t xml:space="preserve">静室三候</ns0:t>
        </ns0:is>
      </ns0:c>
      <ns0:c r="D20" s="11">
        <ns0:v>20000014</ns0:v>
      </ns0:c>
      <ns0:c r="E20" s="11" t="s">
        <ns0:v>239</ns0:v>
      </ns0:c>
      <ns0:c r="F20" s="11" t="s">
        <ns0:v>240</ns0:v>
      </ns0:c>
      <ns0:c r="G20" s="11">
        <ns0:v>3</ns0:v>
      </ns0:c>
      <ns0:c r="H20" s="11">
        <ns0:v>71921010</ns0:v>
      </ns0:c>
      <ns0:c r="I20" s="11">
        <ns0:v>71921016</ns0:v>
      </ns0:c>
      <ns0:c r="J20">
        <ns0:v>71921023</ns0:v>
      </ns0:c>
      <ns0:c r="M20" s="11"/>
      <ns0:c r="N20" s="11"/>
      <ns0:c r="O20" t="n" s="11">
        <ns0:v>2</ns0:v>
      </ns0:c>
      <ns0:c r="P20" t="str" s="11">
        <ns0:v>神识</ns0:v>
      </ns0:c>
      <ns0:c r="Q20" s="24"/>
      <ns0:c r="R20" t="str" s="20">
        <ns0:v>整数</ns0:v>
      </ns0:c>
      <ns0:c r="S20" t="n">
        <ns0:v>1</ns0:v>
      </ns0:c>
      <ns0:c r="T20" t="str" s="11">
        <ns0:v>收录2件：神识+1</ns0:v>
      </ns0:c>
      <ns0:c r="U20" t="n" s="11">
        <ns0:v>3</ns0:v>
      </ns0:c>
      <ns0:c r="V20" t="str" s="11">
        <ns0:v>每秒回灵</ns0:v>
      </ns0:c>
      <ns0:c r="W20" s="24"/>
      <ns0:c r="X20" t="str" s="20">
        <ns0:v>整数</ns0:v>
      </ns0:c>
      <ns0:c r="Y20" t="n">
        <ns0:v>1</ns0:v>
      </ns0:c>
      <ns0:c r="Z20" t="str" s="11">
        <ns0:v>收录3件：每秒回灵+1</ns0:v>
      </ns0:c>
      <ns0:c r="AA20" s="11"/>
      <ns0:c r="AB20" s="11"/>
      <ns0:c r="AC20" s="11"/>
      <ns0:c r="AD20" s="11"/>
      <ns0:c r="AE20" s="11"/>
      <ns0:c r="AF20" s="11"/>
      <ns0:c r="AG20" s="11"/>
      <ns0:c r="AH20" s="11"/>
      <ns0:c r="AI20" s="11"/>
      <ns0:c r="AJ20" s="11"/>
      <ns0:c r="AK20" s="11"/>
      <ns0:c r="AL20" s="11"/>
      <ns0:c r="AM20" s="11" t="inlineStr">
        <ns0:is>
          <ns0:t xml:space="preserve">|cff00FF00寒息入帘，清气归腹，温意沉入丹田。石室外日影移过三级苔阶，蒲团上的人，才缓缓吐尽一口浊息。|r</ns0:t>
        </ns0:is>
      </ns0:c>
      <ns0:c r="AN20" s="11">
        <ns0:v>14</ns0:v>
      </ns0:c>
      <ns0:c r="AO20" s="11" t="s">
        <ns0:v>69</ns0:v>
      </ns0:c>
    </ns0:row>
    <ns0:row r="21" spans="1:41">
      <ns0:c r="A21" s="4"/>
      <ns0:c r="B21" s="11">
        <ns0:v>15</ns0:v>
      </ns0:c>
      <ns0:c r="C21" s="11" t="s">
        <ns0:v>1307</ns0:v>
      </ns0:c>
      <ns0:c r="D21" s="11">
        <ns0:v>20000015</ns0:v>
      </ns0:c>
      <ns0:c r="E21" s="11" t="s">
        <ns0:v>239</ns0:v>
      </ns0:c>
      <ns0:c r="F21" s="11" t="s">
        <ns0:v>240</ns0:v>
      </ns0:c>
      <ns0:c r="G21" s="11">
        <ns0:v>2</ns0:v>
      </ns0:c>
      <ns0:c r="H21" s="11">
        <ns0:v>71921002</ns0:v>
      </ns0:c>
      <ns0:c r="I21" s="11">
        <ns0:v>71921052</ns0:v>
      </ns0:c>
      <ns0:c r="M21" s="11"/>
      <ns0:c r="N21" s="11"/>
      <ns0:c r="O21" t="n" s="11">
        <ns0:v>2</ns0:v>
      </ns0:c>
      <ns0:c r="P21" t="str" s="11">
        <ns0:v>每秒回灵</ns0:v>
      </ns0:c>
      <ns0:c r="Q21" s="24"/>
      <ns0:c r="R21" t="str" s="20">
        <ns0:v>整数</ns0:v>
      </ns0:c>
      <ns0:c r="S21" t="n">
        <ns0:v>1</ns0:v>
      </ns0:c>
      <ns0:c r="T21" t="str" s="11">
        <ns0:v>收录2件：每秒回灵+1</ns0:v>
      </ns0:c>
      <ns0:c r="U21" s="11"/>
      <ns0:c r="V21" s="11"/>
      <ns0:c r="W21" s="11"/>
      <ns0:c r="X21" s="11"/>
      <ns0:c r="Y21" s="11"/>
      <ns0:c r="Z21" s="11"/>
      <ns0:c r="AA21" s="11"/>
      <ns0:c r="AB21" s="11"/>
      <ns0:c r="AC21" s="11"/>
      <ns0:c r="AD21" s="11"/>
      <ns0:c r="AE21" s="11"/>
      <ns0:c r="AF21" s="11"/>
      <ns0:c r="AG21" s="11"/>
      <ns0:c r="AH21" s="11"/>
      <ns0:c r="AI21" s="11"/>
      <ns0:c r="AJ21" s="11"/>
      <ns0:c r="AK21" s="11"/>
      <ns0:c r="AL21" s="11"/>
      <ns0:c r="AM21" s="11" t="inlineStr">
        <ns0:is>
          <ns0:t xml:space="preserve">|cff00FF00丹田如泉，骨髓如石，积浊各藏幽处。两缕清芬徐徐渗入，泉底浮尘散去，石隙也露出了久违的清光。|r</ns0:t>
        </ns0:is>
      </ns0:c>
      <ns0:c r="AN21" s="11">
        <ns0:v>15</ns0:v>
      </ns0:c>
      <ns0:c r="AO21" s="11" t="s">
        <ns0:v>69</ns0:v>
      </ns0:c>
    </ns0:row>
    <ns0:row r="22" spans="1:41">
      <ns0:c r="A22" s="4"/>
      <ns0:c r="B22" s="11">
        <ns0:v>16</ns0:v>
      </ns0:c>
      <ns0:c r="C22" s="11" t="s">
        <ns0:v>1309</ns0:v>
      </ns0:c>
      <ns0:c r="D22" s="11">
        <ns0:v>20000016</ns0:v>
      </ns0:c>
      <ns0:c r="E22" s="11" t="s">
        <ns0:v>239</ns0:v>
      </ns0:c>
      <ns0:c r="F22" s="11" t="s">
        <ns0:v>240</ns0:v>
      </ns0:c>
      <ns0:c r="G22" s="11">
        <ns0:v>3</ns0:v>
      </ns0:c>
      <ns0:c r="H22" s="11">
        <ns0:v>71921107</ns0:v>
      </ns0:c>
      <ns0:c r="I22" s="11">
        <ns0:v>71921037</ns0:v>
      </ns0:c>
      <ns0:c r="J22">
        <ns0:v>71921028</ns0:v>
      </ns0:c>
      <ns0:c r="M22" s="11"/>
      <ns0:c r="N22" s="11"/>
      <ns0:c r="O22" t="n" s="11">
        <ns0:v>2</ns0:v>
      </ns0:c>
      <ns0:c r="P22" t="str" s="11">
        <ns0:v>灵力值</ns0:v>
      </ns0:c>
      <ns0:c r="Q22" s="24"/>
      <ns0:c r="R22" t="str" s="20">
        <ns0:v>整数</ns0:v>
      </ns0:c>
      <ns0:c r="S22" t="n">
        <ns0:v>1</ns0:v>
      </ns0:c>
      <ns0:c r="T22" t="str" s="11">
        <ns0:v>收录2件：灵力值+1</ns0:v>
      </ns0:c>
      <ns0:c r="U22" t="n" s="11">
        <ns0:v>3</ns0:v>
      </ns0:c>
      <ns0:c r="V22" t="str" s="11">
        <ns0:v>神识</ns0:v>
      </ns0:c>
      <ns0:c r="W22" s="24"/>
      <ns0:c r="X22" t="str" s="20">
        <ns0:v>整数</ns0:v>
      </ns0:c>
      <ns0:c r="Y22" t="n">
        <ns0:v>1</ns0:v>
      </ns0:c>
      <ns0:c r="Z22" t="str" s="11">
        <ns0:v>收录3件：神识+1</ns0:v>
      </ns0:c>
      <ns0:c r="AA22" s="11"/>
      <ns0:c r="AB22" s="11"/>
      <ns0:c r="AC22" s="11"/>
      <ns0:c r="AD22" s="11"/>
      <ns0:c r="AE22" s="11"/>
      <ns0:c r="AF22" s="11"/>
      <ns0:c r="AG22" s="11"/>
      <ns0:c r="AH22" s="11"/>
      <ns0:c r="AI22" s="11"/>
      <ns0:c r="AJ22" s="11"/>
      <ns0:c r="AK22" s="11"/>
      <ns0:c r="AL22" s="11"/>
      <ns0:c r="AM22" s="11" t="inlineStr">
        <ns0:is>
          <ns0:t xml:space="preserve">|cff00FF00伤枝得雨，枯泉复流，深闭的脉门透入一线暖意。丹香未尽，指下微弱的跳动，已慢慢应上春风。|r</ns0:t>
        </ns0:is>
      </ns0:c>
      <ns0:c r="AN22" s="11">
        <ns0:v>16</ns0:v>
      </ns0:c>
      <ns0:c r="AO22" s="11" t="s">
        <ns0:v>69</ns0:v>
      </ns0:c>
    </ns0:row>
    <ns0:row r="23" spans="1:41">
      <ns0:c r="A23" s="4"/>
      <ns0:c r="B23" s="11">
        <ns0:v>17</ns0:v>
      </ns0:c>
      <ns0:c r="C23" s="11" t="s">
        <ns0:v>1311</ns0:v>
      </ns0:c>
      <ns0:c r="D23" s="11">
        <ns0:v>20000017</ns0:v>
      </ns0:c>
      <ns0:c r="E23" s="11" t="s">
        <ns0:v>239</ns0:v>
      </ns0:c>
      <ns0:c r="F23" s="11" t="s">
        <ns0:v>240</ns0:v>
      </ns0:c>
      <ns0:c r="G23" s="11">
        <ns0:v>3</ns0:v>
      </ns0:c>
      <ns0:c r="H23" s="11">
        <ns0:v>71921072</ns0:v>
      </ns0:c>
      <ns0:c r="I23" s="11">
        <ns0:v>71921082</ns0:v>
      </ns0:c>
      <ns0:c r="J23">
        <ns0:v>71921096</ns0:v>
      </ns0:c>
      <ns0:c r="M23" s="11"/>
      <ns0:c r="N23" s="11"/>
      <ns0:c r="O23" t="n" s="11">
        <ns0:v>2</ns0:v>
      </ns0:c>
      <ns0:c r="P23" t="str" s="11">
        <ns0:v>神识</ns0:v>
      </ns0:c>
      <ns0:c r="Q23" s="24"/>
      <ns0:c r="R23" t="str" s="20">
        <ns0:v>整数</ns0:v>
      </ns0:c>
      <ns0:c r="S23" t="n">
        <ns0:v>1</ns0:v>
      </ns0:c>
      <ns0:c r="T23" t="str" s="11">
        <ns0:v>收录2件：神识+1</ns0:v>
      </ns0:c>
      <ns0:c r="U23" t="n" s="11">
        <ns0:v>3</ns0:v>
      </ns0:c>
      <ns0:c r="V23" t="str" s="11">
        <ns0:v>每秒回灵</ns0:v>
      </ns0:c>
      <ns0:c r="W23" s="24"/>
      <ns0:c r="X23" t="str" s="20">
        <ns0:v>整数</ns0:v>
      </ns0:c>
      <ns0:c r="Y23" t="n">
        <ns0:v>1</ns0:v>
      </ns0:c>
      <ns0:c r="Z23" t="str" s="11">
        <ns0:v>收录3件：每秒回灵+1</ns0:v>
      </ns0:c>
      <ns0:c r="AA23" s="11"/>
      <ns0:c r="AB23" s="11"/>
      <ns0:c r="AC23" s="11"/>
      <ns0:c r="AD23" s="11"/>
      <ns0:c r="AE23" s="11"/>
      <ns0:c r="AF23" s="11"/>
      <ns0:c r="AG23" s="11"/>
      <ns0:c r="AH23" s="11"/>
      <ns0:c r="AI23" s="11"/>
      <ns0:c r="AJ23" s="11"/>
      <ns0:c r="AK23" s="11"/>
      <ns0:c r="AL23" s="11"/>
      <ns0:c r="AM23" s="11" t="inlineStr">
        <ns0:is>
          <ns0:t xml:space="preserve">|cff00FF00身如灯盏，神似灯焰。元气养其盏，清息护其焰，任石室外风雨彻夜，一点心灯依旧安然。|r</ns0:t>
        </ns0:is>
      </ns0:c>
      <ns0:c r="AN23" s="11">
        <ns0:v>17</ns0:v>
      </ns0:c>
      <ns0:c r="AO23" s="11" t="s">
        <ns0:v>69</ns0:v>
      </ns0:c>
    </ns0:row>
    <ns0:row r="24" spans="1:41">
      <ns0:c r="A24" s="4"/>
      <ns0:c r="B24" s="11">
        <ns0:v>18</ns0:v>
      </ns0:c>
      <ns0:c r="C24" s="11" t="s">
        <ns0:v>1313</ns0:v>
      </ns0:c>
      <ns0:c r="D24" s="11">
        <ns0:v>20000018</ns0:v>
      </ns0:c>
      <ns0:c r="E24" s="11" t="s">
        <ns0:v>239</ns0:v>
      </ns0:c>
      <ns0:c r="F24" s="11" t="s">
        <ns0:v>240</ns0:v>
      </ns0:c>
      <ns0:c r="G24" s="11">
        <ns0:v>3</ns0:v>
      </ns0:c>
      <ns0:c r="H24" s="11">
        <ns0:v>71921057</ns0:v>
      </ns0:c>
      <ns0:c r="I24" s="11">
        <ns0:v>71921122</ns0:v>
      </ns0:c>
      <ns0:c r="J24">
        <ns0:v>71921112</ns0:v>
      </ns0:c>
      <ns0:c r="M24" s="11"/>
      <ns0:c r="N24" s="11"/>
      <ns0:c r="O24" t="n" s="11">
        <ns0:v>2</ns0:v>
      </ns0:c>
      <ns0:c r="P24" t="str" s="11">
        <ns0:v>每秒回灵</ns0:v>
      </ns0:c>
      <ns0:c r="Q24" s="24"/>
      <ns0:c r="R24" t="str" s="20">
        <ns0:v>整数</ns0:v>
      </ns0:c>
      <ns0:c r="S24" t="n">
        <ns0:v>1</ns0:v>
      </ns0:c>
      <ns0:c r="T24" t="str" s="11">
        <ns0:v>收录2件：每秒回灵+1</ns0:v>
      </ns0:c>
      <ns0:c r="U24" t="n" s="11">
        <ns0:v>3</ns0:v>
      </ns0:c>
      <ns0:c r="V24" t="str" s="11">
        <ns0:v>灵力值</ns0:v>
      </ns0:c>
      <ns0:c r="W24" s="24"/>
      <ns0:c r="X24" t="str" s="20">
        <ns0:v>整数</ns0:v>
      </ns0:c>
      <ns0:c r="Y24" t="n">
        <ns0:v>1</ns0:v>
      </ns0:c>
      <ns0:c r="Z24" t="str" s="11">
        <ns0:v>收录3件：灵力值+1</ns0:v>
      </ns0:c>
      <ns0:c r="AA24" s="11"/>
      <ns0:c r="AB24" s="11"/>
      <ns0:c r="AC24" s="11"/>
      <ns0:c r="AD24" s="11"/>
      <ns0:c r="AE24" s="11"/>
      <ns0:c r="AF24" s="11"/>
      <ns0:c r="AG24" s="11"/>
      <ns0:c r="AH24" s="11"/>
      <ns0:c r="AI24" s="11"/>
      <ns0:c r="AJ24" s="11"/>
      <ns0:c r="AK24" s="11"/>
      <ns0:c r="AL24" s="11"/>
      <ns0:c r="AM24" s="11" t="inlineStr">
        <ns0:is>
          <ns0:t xml:space="preserve">|cff00FF00骨为山梁，血作江河，筋肉承接其间。丹气行过周身，旧伤处渐有暖流，沉寂的山河又闻奔涌。|r</ns0:t>
        </ns0:is>
      </ns0:c>
      <ns0:c r="AN24" s="11">
        <ns0:v>18</ns0:v>
      </ns0:c>
      <ns0:c r="AO24" s="11" t="s">
        <ns0:v>69</ns0:v>
      </ns0:c>
    </ns0:row>
    <ns0:row r="25" spans="1:41">
      <ns0:c r="A25" s="4"/>
      <ns0:c r="B25" s="11">
        <ns0:v>19</ns0:v>
      </ns0:c>
      <ns0:c r="C25" s="11" t="inlineStr">
        <ns0:is>
          <ns0:t xml:space="preserve">照神战意</ns0:t>
        </ns0:is>
      </ns0:c>
      <ns0:c r="D25" s="11">
        <ns0:v>20000019</ns0:v>
      </ns0:c>
      <ns0:c r="E25" s="11" t="s">
        <ns0:v>239</ns0:v>
      </ns0:c>
      <ns0:c r="F25" s="11" t="s">
        <ns0:v>240</ns0:v>
      </ns0:c>
      <ns0:c r="G25" s="11">
        <ns0:v>3</ns0:v>
      </ns0:c>
      <ns0:c r="H25" s="11">
        <ns0:v>71921117</ns0:v>
      </ns0:c>
      <ns0:c r="I25" s="11">
        <ns0:v>71921042</ns0:v>
      </ns0:c>
      <ns0:c r="J25">
        <ns0:v>71921092</ns0:v>
      </ns0:c>
      <ns0:c r="M25" s="11"/>
      <ns0:c r="N25" s="11"/>
      <ns0:c r="O25" t="n" s="11">
        <ns0:v>2</ns0:v>
      </ns0:c>
      <ns0:c r="P25" t="str" s="11">
        <ns0:v>灵力值</ns0:v>
      </ns0:c>
      <ns0:c r="Q25" s="24"/>
      <ns0:c r="R25" t="str" s="20">
        <ns0:v>整数</ns0:v>
      </ns0:c>
      <ns0:c r="S25" t="n">
        <ns0:v>1</ns0:v>
      </ns0:c>
      <ns0:c r="T25" t="str" s="11">
        <ns0:v>收录2件：灵力值+1</ns0:v>
      </ns0:c>
      <ns0:c r="U25" t="n" s="11">
        <ns0:v>3</ns0:v>
      </ns0:c>
      <ns0:c r="V25" t="str" s="11">
        <ns0:v>神识</ns0:v>
      </ns0:c>
      <ns0:c r="W25" s="24"/>
      <ns0:c r="X25" t="str" s="20">
        <ns0:v>整数</ns0:v>
      </ns0:c>
      <ns0:c r="Y25" t="n">
        <ns0:v>1</ns0:v>
      </ns0:c>
      <ns0:c r="Z25" t="str" s="11">
        <ns0:v>收录3件：神识+1</ns0:v>
      </ns0:c>
      <ns0:c r="AA25" s="11"/>
      <ns0:c r="AB25" s="11"/>
      <ns0:c r="AC25" s="11"/>
      <ns0:c r="AD25" s="11"/>
      <ns0:c r="AE25" s="11"/>
      <ns0:c r="AF25" s="11"/>
      <ns0:c r="AG25" s="11"/>
      <ns0:c r="AH25" s="11"/>
      <ns0:c r="AI25" s="11"/>
      <ns0:c r="AJ25" s="11"/>
      <ns0:c r="AK25" s="11"/>
      <ns0:c r="AL25" s="11"/>
      <ns0:c r="AM25" s="11" t="inlineStr">
        <ns0:is>
          <ns0:t xml:space="preserve">|cff00FF00战意起于胸，灵焰行于脉，心中却留一轮清照。临敌时锋势纵然如潮，握剑的那只手仍稳如旧。|r</ns0:t>
        </ns0:is>
      </ns0:c>
      <ns0:c r="AN25" s="11">
        <ns0:v>19</ns0:v>
      </ns0:c>
      <ns0:c r="AO25" s="11" t="s">
        <ns0:v>69</ns0:v>
      </ns0:c>
    </ns0:row>
    <ns0:row r="26" spans="1:41">
      <ns0:c r="A26" s="4"/>
      <ns0:c r="B26" s="11">
        <ns0:v>20</ns0:v>
      </ns0:c>
      <ns0:c r="C26" s="11" t="s">
        <ns0:v>1317</ns0:v>
      </ns0:c>
      <ns0:c r="D26" s="11">
        <ns0:v>20000020</ns0:v>
      </ns0:c>
      <ns0:c r="E26" s="11" t="s">
        <ns0:v>239</ns0:v>
      </ns0:c>
      <ns0:c r="F26" s="11" t="s">
        <ns0:v>240</ns0:v>
      </ns0:c>
      <ns0:c r="G26" s="11">
        <ns0:v>3</ns0:v>
      </ns0:c>
      <ns0:c r="H26" s="11">
        <ns0:v>71921005</ns0:v>
      </ns0:c>
      <ns0:c r="I26" s="11">
        <ns0:v>71921009</ns0:v>
      </ns0:c>
      <ns0:c r="J26">
        <ns0:v>71921006</ns0:v>
      </ns0:c>
      <ns0:c r="M26" s="11"/>
      <ns0:c r="N26" s="11"/>
      <ns0:c r="O26" t="n" s="11">
        <ns0:v>2</ns0:v>
      </ns0:c>
      <ns0:c r="P26" t="str" s="11">
        <ns0:v>神识</ns0:v>
      </ns0:c>
      <ns0:c r="Q26" s="24"/>
      <ns0:c r="R26" t="str" s="20">
        <ns0:v>整数</ns0:v>
      </ns0:c>
      <ns0:c r="S26" t="n">
        <ns0:v>1</ns0:v>
      </ns0:c>
      <ns0:c r="T26" t="str" s="11">
        <ns0:v>收录2件：神识+1</ns0:v>
      </ns0:c>
      <ns0:c r="U26" t="n" s="11">
        <ns0:v>3</ns0:v>
      </ns0:c>
      <ns0:c r="V26" t="str" s="11">
        <ns0:v>每秒回灵</ns0:v>
      </ns0:c>
      <ns0:c r="W26" s="24"/>
      <ns0:c r="X26" t="str" s="20">
        <ns0:v>整数</ns0:v>
      </ns0:c>
      <ns0:c r="Y26" t="n">
        <ns0:v>1</ns0:v>
      </ns0:c>
      <ns0:c r="Z26" t="str" s="11">
        <ns0:v>收录3件：每秒回灵+1</ns0:v>
      </ns0:c>
      <ns0:c r="AA26" s="11"/>
      <ns0:c r="AB26" s="11"/>
      <ns0:c r="AC26" s="11"/>
      <ns0:c r="AD26" s="11"/>
      <ns0:c r="AE26" s="11"/>
      <ns0:c r="AF26" s="11"/>
      <ns0:c r="AG26" s="11"/>
      <ns0:c r="AH26" s="11"/>
      <ns0:c r="AI26" s="11"/>
      <ns0:c r="AJ26" s="11"/>
      <ns0:c r="AK26" s="11"/>
      <ns0:c r="AL26" s="11"/>
      <ns0:c r="AM26" s="11" t="inlineStr">
        <ns0:is>
          <ns0:t xml:space="preserve">|cff00FF00寒丹如夜，烈丹如日，清和一缕守在两者之间。关前石门无声，问道之人已将浮念逐一放下。|r</ns0:t>
        </ns0:is>
      </ns0:c>
      <ns0:c r="AN26" s="11">
        <ns0:v>20</ns0:v>
      </ns0:c>
      <ns0:c r="AO26" s="11" t="s">
        <ns0:v>69</ns0:v>
      </ns0:c>
    </ns0:row>
    <ns0:row r="27" spans="1:41">
      <ns0:c r="A27" s="4"/>
      <ns0:c r="B27" s="11">
        <ns0:v>21</ns0:v>
      </ns0:c>
      <ns0:c r="C27" s="11" t="s">
        <ns0:v>1319</ns0:v>
      </ns0:c>
      <ns0:c r="D27" s="11">
        <ns0:v>20000021</ns0:v>
      </ns0:c>
      <ns0:c r="E27" s="11" t="s">
        <ns0:v>724</ns0:v>
      </ns0:c>
      <ns0:c r="F27" s="11" t="s">
        <ns0:v>145</ns0:v>
      </ns0:c>
      <ns0:c r="G27" s="11">
        <ns0:v>2</ns0:v>
      </ns0:c>
      <ns0:c r="H27" s="11">
        <ns0:v>72424000</ns0:v>
      </ns0:c>
      <ns0:c r="I27" s="11">
        <ns0:v>72424041</ns0:v>
      </ns0:c>
      <ns0:c r="M27" s="11"/>
      <ns0:c r="N27" s="11"/>
      <ns0:c r="O27" t="n" s="11">
        <ns0:v>2</ns0:v>
      </ns0:c>
      <ns0:c r="P27" t="str" s="11">
        <ns0:v>攻击上限</ns0:v>
      </ns0:c>
      <ns0:c r="Q27" s="24"/>
      <ns0:c r="R27" t="str" s="20">
        <ns0:v>整数</ns0:v>
      </ns0:c>
      <ns0:c r="S27" t="n">
        <ns0:v>2</ns0:v>
      </ns0:c>
      <ns0:c r="T27" t="str" s="11">
        <ns0:v>收录2件：攻击上限+2</ns0:v>
      </ns0:c>
      <ns0:c r="U27" s="11"/>
      <ns0:c r="V27" s="11"/>
      <ns0:c r="W27" s="11"/>
      <ns0:c r="X27" s="11"/>
      <ns0:c r="Y27" s="11"/>
      <ns0:c r="Z27" s="11"/>
      <ns0:c r="AA27" s="11"/>
      <ns0:c r="AB27" s="11"/>
      <ns0:c r="AC27" s="11"/>
      <ns0:c r="AD27" s="11"/>
      <ns0:c r="AE27" s="11"/>
      <ns0:c r="AF27" s="11"/>
      <ns0:c r="AG27" s="11"/>
      <ns0:c r="AH27" s="11"/>
      <ns0:c r="AI27" s="11"/>
      <ns0:c r="AJ27" s="11"/>
      <ns0:c r="AK27" s="11"/>
      <ns0:c r="AL27" s="11"/>
      <ns0:c r="AM27" s="11" t="inlineStr">
        <ns0:is>
          <ns0:t xml:space="preserve">|cff00FF00伞下清光尚未散尽，剑影已越过雨幕。进时有锋，退时有庇，一开一合之间，自有从容。|r</ns0:t>
        </ns0:is>
      </ns0:c>
      <ns0:c r="AN27" s="11">
        <ns0:v>21</ns0:v>
      </ns0:c>
      <ns0:c r="AO27" s="11" t="s">
        <ns0:v>69</ns0:v>
      </ns0:c>
    </ns0:row>
    <ns0:row r="28" spans="1:41">
      <ns0:c r="A28" s="4"/>
      <ns0:c r="B28" s="11">
        <ns0:v>22</ns0:v>
      </ns0:c>
      <ns0:c r="C28" s="11" t="s">
        <ns0:v>1321</ns0:v>
      </ns0:c>
      <ns0:c r="D28" s="11">
        <ns0:v>20000022</ns0:v>
      </ns0:c>
      <ns0:c r="E28" s="11" t="s">
        <ns0:v>724</ns0:v>
      </ns0:c>
      <ns0:c r="F28" s="11" t="s">
        <ns0:v>145</ns0:v>
      </ns0:c>
      <ns0:c r="G28" s="11">
        <ns0:v>2</ns0:v>
      </ns0:c>
      <ns0:c r="H28" s="11">
        <ns0:v>72444095</ns0:v>
      </ns0:c>
      <ns0:c r="I28" s="11">
        <ns0:v>72444111</ns0:v>
      </ns0:c>
      <ns0:c r="M28" s="11"/>
      <ns0:c r="N28" s="11"/>
      <ns0:c r="O28" t="n" s="11">
        <ns0:v>2</ns0:v>
      </ns0:c>
      <ns0:c r="P28" t="str" s="11">
        <ns0:v>法力上限</ns0:v>
      </ns0:c>
      <ns0:c r="Q28" s="24"/>
      <ns0:c r="R28" t="str" s="20">
        <ns0:v>整数</ns0:v>
      </ns0:c>
      <ns0:c r="S28" t="n">
        <ns0:v>2</ns0:v>
      </ns0:c>
      <ns0:c r="T28" t="str" s="11">
        <ns0:v>收录2件：法力上限+2</ns0:v>
      </ns0:c>
      <ns0:c r="U28" s="11"/>
      <ns0:c r="V28" s="11"/>
      <ns0:c r="W28" s="11"/>
      <ns0:c r="X28" s="11"/>
      <ns0:c r="Y28" s="11"/>
      <ns0:c r="Z28" s="11"/>
      <ns0:c r="AA28" s="11"/>
      <ns0:c r="AB28" s="11"/>
      <ns0:c r="AC28" s="11"/>
      <ns0:c r="AD28" s="11"/>
      <ns0:c r="AE28" s="11"/>
      <ns0:c r="AF28" s="11"/>
      <ns0:c r="AG28" s="11"/>
      <ns0:c r="AH28" s="11"/>
      <ns0:c r="AI28" s="11"/>
      <ns0:c r="AJ28" s="11"/>
      <ns0:c r="AK28" s="11"/>
      <ns0:c r="AL28" s="11"/>
      <ns0:c r="AM28" s="11" t="inlineStr">
        <ns0:is>
          <ns0:t xml:space="preserve">|cff00FF00破晓一线划开坚甲，太白寒芒随重印而落。锋声才起，沉沉震响已将长夜压低。|r</ns0:t>
        </ns0:is>
      </ns0:c>
      <ns0:c r="AN28" s="11">
        <ns0:v>22</ns0:v>
      </ns0:c>
      <ns0:c r="AO28" s="11" t="s">
        <ns0:v>69</ns0:v>
      </ns0:c>
    </ns0:row>
    <ns0:row r="29" spans="1:41">
      <ns0:c r="A29" s="4"/>
      <ns0:c r="B29" s="11">
        <ns0:v>23</ns0:v>
      </ns0:c>
      <ns0:c r="C29" s="11" t="s">
        <ns0:v>1323</ns0:v>
      </ns0:c>
      <ns0:c r="D29" s="11">
        <ns0:v>20000023</ns0:v>
      </ns0:c>
      <ns0:c r="E29" s="11" t="s">
        <ns0:v>724</ns0:v>
      </ns0:c>
      <ns0:c r="F29" s="11" t="s">
        <ns0:v>145</ns0:v>
      </ns0:c>
      <ns0:c r="G29" s="11">
        <ns0:v>2</ns0:v>
      </ns0:c>
      <ns0:c r="H29" s="11">
        <ns0:v>72454096</ns0:v>
      </ns0:c>
      <ns0:c r="I29" s="11">
        <ns0:v>72454095</ns0:v>
      </ns0:c>
      <ns0:c r="M29" s="11"/>
      <ns0:c r="N29" s="11"/>
      <ns0:c r="O29" t="n" s="11">
        <ns0:v>2</ns0:v>
      </ns0:c>
      <ns0:c r="P29" t="str" s="11">
        <ns0:v>伤害提升</ns0:v>
      </ns0:c>
      <ns0:c r="Q29" s="24"/>
      <ns0:c r="R29" t="str" s="20">
        <ns0:v>整数</ns0:v>
      </ns0:c>
      <ns0:c r="S29" t="n">
        <ns0:v>2</ns0:v>
      </ns0:c>
      <ns0:c r="T29" t="str" s="11">
        <ns0:v>收录2件：伤害提升+2</ns0:v>
      </ns0:c>
      <ns0:c r="U29" s="11"/>
      <ns0:c r="V29" s="11"/>
      <ns0:c r="W29" s="11"/>
      <ns0:c r="X29" s="11"/>
      <ns0:c r="Y29" s="11"/>
      <ns0:c r="Z29" s="11"/>
      <ns0:c r="AA29" s="11"/>
      <ns0:c r="AB29" s="11"/>
      <ns0:c r="AC29" s="11"/>
      <ns0:c r="AD29" s="11"/>
      <ns0:c r="AE29" s="11"/>
      <ns0:c r="AF29" s="11"/>
      <ns0:c r="AG29" s="11"/>
      <ns0:c r="AH29" s="11"/>
      <ns0:c r="AI29" s="11"/>
      <ns0:c r="AJ29" s="11"/>
      <ns0:c r="AK29" s="11"/>
      <ns0:c r="AL29" s="11"/>
      <ns0:c r="AM29" s="11" t="inlineStr">
        <ns0:is>
          <ns0:t xml:space="preserve">|cff00FF00鼎畔霞光映上笔尖，一线金墨缓缓收锋。纸上符章与鼎中器纹，各自藏着匠人屏息凝神的那一刻。|r</ns0:t>
        </ns0:is>
      </ns0:c>
      <ns0:c r="AN29" s="11">
        <ns0:v>23</ns0:v>
      </ns0:c>
      <ns0:c r="AO29" s="11" t="s">
        <ns0:v>69</ns0:v>
      </ns0:c>
    </ns0:row>
    <ns0:row r="30" spans="1:41">
      <ns0:c r="A30" s="4"/>
      <ns0:c r="B30" s="11">
        <ns0:v>24</ns0:v>
      </ns0:c>
      <ns0:c r="C30" s="11" t="s">
        <ns0:v>1325</ns0:v>
      </ns0:c>
      <ns0:c r="D30" s="11">
        <ns0:v>20000024</ns0:v>
      </ns0:c>
      <ns0:c r="E30" s="11" t="s">
        <ns0:v>724</ns0:v>
      </ns0:c>
      <ns0:c r="F30" s="11" t="s">
        <ns0:v>145</ns0:v>
      </ns0:c>
      <ns0:c r="G30" s="11">
        <ns0:v>2</ns0:v>
      </ns0:c>
      <ns0:c r="H30" s="11">
        <ns0:v>72424066</ns0:v>
      </ns0:c>
      <ns0:c r="I30" s="11">
        <ns0:v>72424081</ns0:v>
      </ns0:c>
      <ns0:c r="M30" s="11"/>
      <ns0:c r="N30" s="11"/>
      <ns0:c r="O30" t="n" s="11">
        <ns0:v>2</ns0:v>
      </ns0:c>
      <ns0:c r="P30" t="str" s="11">
        <ns0:v>攻击上限</ns0:v>
      </ns0:c>
      <ns0:c r="Q30" s="24"/>
      <ns0:c r="R30" t="str" s="20">
        <ns0:v>整数</ns0:v>
      </ns0:c>
      <ns0:c r="S30" t="n">
        <ns0:v>2</ns0:v>
      </ns0:c>
      <ns0:c r="T30" t="str" s="11">
        <ns0:v>收录2件：攻击上限+2</ns0:v>
      </ns0:c>
      <ns0:c r="U30" s="11"/>
      <ns0:c r="V30" s="11"/>
      <ns0:c r="W30" s="11"/>
      <ns0:c r="X30" s="11"/>
      <ns0:c r="Y30" s="11"/>
      <ns0:c r="Z30" s="11"/>
      <ns0:c r="AA30" s="11"/>
      <ns0:c r="AB30" s="11"/>
      <ns0:c r="AC30" s="11"/>
      <ns0:c r="AD30" s="11"/>
      <ns0:c r="AE30" s="11"/>
      <ns0:c r="AF30" s="11"/>
      <ns0:c r="AG30" s="11"/>
      <ns0:c r="AH30" s="11"/>
      <ns0:c r="AI30" s="11"/>
      <ns0:c r="AJ30" s="11"/>
      <ns0:c r="AK30" s="11"/>
      <ns0:c r="AL30" s="11"/>
      <ns0:c r="AM30" s="11" t="inlineStr">
        <ns0:is>
          <ns0:t xml:space="preserve">|cff00FF00坎离炉中玉液渐清，守拙鼎上旧纹微亮。丹师候药，器师候形，共听炉火深处一声轻轻的鸣响。|r</ns0:t>
        </ns0:is>
      </ns0:c>
      <ns0:c r="AN30" s="11">
        <ns0:v>24</ns0:v>
      </ns0:c>
      <ns0:c r="AO30" s="11" t="s">
        <ns0:v>69</ns0:v>
      </ns0:c>
    </ns0:row>
    <ns0:row r="31" spans="1:41">
      <ns0:c r="A31" s="4"/>
      <ns0:c r="B31" s="11">
        <ns0:v>25</ns0:v>
      </ns0:c>
      <ns0:c r="C31" s="11" t="s">
        <ns0:v>1327</ns0:v>
      </ns0:c>
      <ns0:c r="D31" s="11">
        <ns0:v>20000025</ns0:v>
      </ns0:c>
      <ns0:c r="E31" s="11" t="s">
        <ns0:v>724</ns0:v>
      </ns0:c>
      <ns0:c r="F31" s="11" t="s">
        <ns0:v>145</ns0:v>
      </ns0:c>
      <ns0:c r="G31" s="11">
        <ns0:v>2</ns0:v>
      </ns0:c>
      <ns0:c r="H31" s="11">
        <ns0:v>72464095</ns0:v>
      </ns0:c>
      <ns0:c r="I31" s="11">
        <ns0:v>72464104</ns0:v>
      </ns0:c>
      <ns0:c r="M31" s="11"/>
      <ns0:c r="N31" s="11"/>
      <ns0:c r="O31" t="n" s="11">
        <ns0:v>2</ns0:v>
      </ns0:c>
      <ns0:c r="P31" t="str" s="11">
        <ns0:v>法力上限</ns0:v>
      </ns0:c>
      <ns0:c r="Q31" s="24"/>
      <ns0:c r="R31" t="str" s="20">
        <ns0:v>整数</ns0:v>
      </ns0:c>
      <ns0:c r="S31" t="n">
        <ns0:v>2</ns0:v>
      </ns0:c>
      <ns0:c r="T31" t="str" s="11">
        <ns0:v>收录2件：法力上限+2</ns0:v>
      </ns0:c>
      <ns0:c r="U31" s="11"/>
      <ns0:c r="V31" s="11"/>
      <ns0:c r="W31" s="11"/>
      <ns0:c r="X31" s="11"/>
      <ns0:c r="Y31" s="11"/>
      <ns0:c r="Z31" s="11"/>
      <ns0:c r="AA31" s="11"/>
      <ns0:c r="AB31" s="11"/>
      <ns0:c r="AC31" s="11"/>
      <ns0:c r="AD31" s="11"/>
      <ns0:c r="AE31" s="11"/>
      <ns0:c r="AF31" s="11"/>
      <ns0:c r="AG31" s="11"/>
      <ns0:c r="AH31" s="11"/>
      <ns0:c r="AI31" s="11"/>
      <ns0:c r="AJ31" s="11"/>
      <ns0:c r="AK31" s="11"/>
      <ns0:c r="AL31" s="11"/>
      <ns0:c r="AM31" s="11" t="inlineStr">
        <ns0:is>
          <ns0:t xml:space="preserve">|cff00FF00长索盘回如锁山隘，玄鳞伞下冷光层叠。四面赤焰扑来，伞沿之后，仍留一尺可立足的清凉。|r</ns0:t>
        </ns0:is>
      </ns0:c>
      <ns0:c r="AN31" s="11">
        <ns0:v>25</ns0:v>
      </ns0:c>
      <ns0:c r="AO31" s="11" t="s">
        <ns0:v>69</ns0:v>
      </ns0:c>
    </ns0:row>
    <ns0:row r="32" spans="1:41">
      <ns0:c r="A32" s="4"/>
      <ns0:c r="B32" s="11">
        <ns0:v>26</ns0:v>
      </ns0:c>
      <ns0:c r="C32" s="11" t="s">
        <ns0:v>1329</ns0:v>
      </ns0:c>
      <ns0:c r="D32" s="11">
        <ns0:v>20000026</ns0:v>
      </ns0:c>
      <ns0:c r="E32" s="11" t="s">
        <ns0:v>724</ns0:v>
      </ns0:c>
      <ns0:c r="F32" s="11" t="s">
        <ns0:v>145</ns0:v>
      </ns0:c>
      <ns0:c r="G32" s="11">
        <ns0:v>2</ns0:v>
      </ns0:c>
      <ns0:c r="H32" s="11">
        <ns0:v>72484095</ns0:v>
      </ns0:c>
      <ns0:c r="I32" s="11">
        <ns0:v>72474104</ns0:v>
      </ns0:c>
      <ns0:c r="M32" s="11"/>
      <ns0:c r="N32" s="11"/>
      <ns0:c r="O32" t="n" s="11">
        <ns0:v>2</ns0:v>
      </ns0:c>
      <ns0:c r="P32" t="str" s="11">
        <ns0:v>伤害提升</ns0:v>
      </ns0:c>
      <ns0:c r="Q32" s="24"/>
      <ns0:c r="R32" t="str" s="20">
        <ns0:v>整数</ns0:v>
      </ns0:c>
      <ns0:c r="S32" t="n">
        <ns0:v>2</ns0:v>
      </ns0:c>
      <ns0:c r="T32" t="str" s="11">
        <ns0:v>收录2件：伤害提升+2</ns0:v>
      </ns0:c>
      <ns0:c r="U32" s="11"/>
      <ns0:c r="V32" s="11"/>
      <ns0:c r="W32" s="11"/>
      <ns0:c r="X32" s="11"/>
      <ns0:c r="Y32" s="11"/>
      <ns0:c r="Z32" s="11"/>
      <ns0:c r="AA32" s="11"/>
      <ns0:c r="AB32" s="11"/>
      <ns0:c r="AC32" s="11"/>
      <ns0:c r="AD32" s="11"/>
      <ns0:c r="AE32" s="11"/>
      <ns0:c r="AF32" s="11"/>
      <ns0:c r="AG32" s="11"/>
      <ns0:c r="AH32" s="11"/>
      <ns0:c r="AI32" s="11"/>
      <ns0:c r="AJ32" s="11"/>
      <ns0:c r="AK32" s="11"/>
      <ns0:c r="AL32" s="11"/>
      <ns0:c r="AM32" s="11" t="inlineStr">
        <ns0:is>
          <ns0:t xml:space="preserve">|cff00FF00瓶中一滴甘霖，曾润满园春色；炉里一缕金光，藏着山腹长年的温息。草木与厚土的赠礼，在丹烟中相逢。|r</ns0:t>
        </ns0:is>
      </ns0:c>
      <ns0:c r="AN32" s="11">
        <ns0:v>26</ns0:v>
      </ns0:c>
      <ns0:c r="AO32" s="11" t="s">
        <ns0:v>69</ns0:v>
      </ns0:c>
    </ns0:row>
    <ns0:row r="33" spans="1:41">
      <ns0:c r="A33" s="4"/>
      <ns0:c r="B33" s="11">
        <ns0:v>27</ns0:v>
      </ns0:c>
      <ns0:c r="C33" s="11" t="inlineStr">
        <ns0:is>
          <ns0:t xml:space="preserve">岳镇春生</ns0:t>
        </ns0:is>
      </ns0:c>
      <ns0:c r="D33" s="11">
        <ns0:v>20000027</ns0:v>
      </ns0:c>
      <ns0:c r="E33" s="11" t="s">
        <ns0:v>724</ns0:v>
      </ns0:c>
      <ns0:c r="F33" s="11" t="s">
        <ns0:v>145</ns0:v>
      </ns0:c>
      <ns0:c r="G33" s="11">
        <ns0:v>3</ns0:v>
      </ns0:c>
      <ns0:c r="H33" s="11">
        <ns0:v>72424016</ns0:v>
      </ns0:c>
      <ns0:c r="I33" s="11">
        <ns0:v>72424025</ns0:v>
      </ns0:c>
      <ns0:c r="J33">
        <ns0:v>72424050</ns0:v>
      </ns0:c>
      <ns0:c r="M33" s="11"/>
      <ns0:c r="N33" s="11"/>
      <ns0:c r="O33" t="n" s="11">
        <ns0:v>2</ns0:v>
      </ns0:c>
      <ns0:c r="P33" t="str" s="11">
        <ns0:v>攻击上限</ns0:v>
      </ns0:c>
      <ns0:c r="Q33" s="24"/>
      <ns0:c r="R33" t="str" s="20">
        <ns0:v>整数</ns0:v>
      </ns0:c>
      <ns0:c r="S33" t="n">
        <ns0:v>2</ns0:v>
      </ns0:c>
      <ns0:c r="T33" t="str" s="11">
        <ns0:v>收录2件：攻击上限+2</ns0:v>
      </ns0:c>
      <ns0:c r="U33" t="n" s="11">
        <ns0:v>3</ns0:v>
      </ns0:c>
      <ns0:c r="V33" t="str" s="11">
        <ns0:v>法力上限</ns0:v>
      </ns0:c>
      <ns0:c r="W33" s="24"/>
      <ns0:c r="X33" t="str" s="20">
        <ns0:v>整数</ns0:v>
      </ns0:c>
      <ns0:c r="Y33" t="n">
        <ns0:v>4</ns0:v>
      </ns0:c>
      <ns0:c r="Z33" t="str" s="11">
        <ns0:v>收录3件：法力上限+4</ns0:v>
      </ns0:c>
      <ns0:c r="AA33" s="11"/>
      <ns0:c r="AB33" s="11"/>
      <ns0:c r="AC33" s="11"/>
      <ns0:c r="AD33" s="11"/>
      <ns0:c r="AE33" s="11"/>
      <ns0:c r="AF33" s="11"/>
      <ns0:c r="AG33" s="11"/>
      <ns0:c r="AH33" s="11"/>
      <ns0:c r="AI33" s="11"/>
      <ns0:c r="AJ33" s="11"/>
      <ns0:c r="AK33" s="11"/>
      <ns0:c r="AL33" s="11"/>
      <ns0:c r="AM33" s="11" t="inlineStr">
        <ns0:is>
          <ns0:t xml:space="preserve">|cff00FF00重印落处山势低垂，锁秋长索收住冷锋。掌中青华珠却微微一暖，喧腾杀气里，仍有春晖照人。|r</ns0:t>
        </ns0:is>
      </ns0:c>
      <ns0:c r="AN33" s="11">
        <ns0:v>27</ns0:v>
      </ns0:c>
      <ns0:c r="AO33" s="11" t="s">
        <ns0:v>69</ns0:v>
      </ns0:c>
    </ns0:row>
    <ns0:row r="34" spans="1:41">
      <ns0:c r="A34" s="4"/>
      <ns0:c r="B34" s="11">
        <ns0:v>28</ns0:v>
      </ns0:c>
      <ns0:c r="C34" s="11" t="s">
        <ns0:v>1333</ns0:v>
      </ns0:c>
      <ns0:c r="D34" s="11">
        <ns0:v>20000028</ns0:v>
      </ns0:c>
      <ns0:c r="E34" s="11" t="s">
        <ns0:v>724</ns0:v>
      </ns0:c>
      <ns0:c r="F34" s="11" t="s">
        <ns0:v>145</ns0:v>
      </ns0:c>
      <ns0:c r="G34" s="11">
        <ns0:v>3</ns0:v>
      </ns0:c>
      <ns0:c r="H34" s="11">
        <ns0:v>72424054</ns0:v>
      </ns0:c>
      <ns0:c r="I34" s="11">
        <ns0:v>72424082</ns0:v>
      </ns0:c>
      <ns0:c r="J34">
        <ns0:v>72424086</ns0:v>
      </ns0:c>
      <ns0:c r="M34" s="11"/>
      <ns0:c r="N34" s="11"/>
      <ns0:c r="O34" t="n" s="11">
        <ns0:v>2</ns0:v>
      </ns0:c>
      <ns0:c r="P34" t="str" s="11">
        <ns0:v>法力上限</ns0:v>
      </ns0:c>
      <ns0:c r="Q34" s="24"/>
      <ns0:c r="R34" t="str" s="20">
        <ns0:v>整数</ns0:v>
      </ns0:c>
      <ns0:c r="S34" t="n">
        <ns0:v>2</ns0:v>
      </ns0:c>
      <ns0:c r="T34" t="str" s="11">
        <ns0:v>收录2件：法力上限+2</ns0:v>
      </ns0:c>
      <ns0:c r="U34" t="n" s="11">
        <ns0:v>3</ns0:v>
      </ns0:c>
      <ns0:c r="V34" t="str" s="11">
        <ns0:v>伤害提升</ns0:v>
      </ns0:c>
      <ns0:c r="W34" s="24"/>
      <ns0:c r="X34" t="str" s="20">
        <ns0:v>整数</ns0:v>
      </ns0:c>
      <ns0:c r="Y34" t="n">
        <ns0:v>4</ns0:v>
      </ns0:c>
      <ns0:c r="Z34" t="str" s="11">
        <ns0:v>收录3件：伤害提升+4</ns0:v>
      </ns0:c>
      <ns0:c r="AA34" s="11"/>
      <ns0:c r="AB34" s="11"/>
      <ns0:c r="AC34" s="11"/>
      <ns0:c r="AD34" s="11"/>
      <ns0:c r="AE34" s="11"/>
      <ns0:c r="AF34" s="11"/>
      <ns0:c r="AG34" s="11"/>
      <ns0:c r="AH34" s="11"/>
      <ns0:c r="AI34" s="11"/>
      <ns0:c r="AJ34" s="11"/>
      <ns0:c r="AK34" s="11"/>
      <ns0:c r="AL34" s="11"/>
      <ns0:c r="AM34" s="11" t="inlineStr">
        <ns0:is>
          <ns0:t xml:space="preserve">|cff00FF00晓露入瓶，金墨入符，葫中残梦未醒。修士收起三般器物，背上行囊，山外又是一程烟雨。|r</ns0:t>
        </ns0:is>
      </ns0:c>
      <ns0:c r="AN34" s="11">
        <ns0:v>28</ns0:v>
      </ns0:c>
      <ns0:c r="AO34" s="11" t="s">
        <ns0:v>69</ns0:v>
      </ns0:c>
    </ns0:row>
    <ns0:row r="35" spans="1:41">
      <ns0:c r="A35" s="4"/>
      <ns0:c r="B35" s="11">
        <ns0:v>29</ns0:v>
      </ns0:c>
      <ns0:c r="C35" s="11" t="s">
        <ns0:v>1335</ns0:v>
      </ns0:c>
      <ns0:c r="D35" s="11">
        <ns0:v>20000029</ns0:v>
      </ns0:c>
      <ns0:c r="E35" s="11" t="s">
        <ns0:v>724</ns0:v>
      </ns0:c>
      <ns0:c r="F35" s="11" t="s">
        <ns0:v>145</ns0:v>
      </ns0:c>
      <ns0:c r="G35" s="11">
        <ns0:v>3</ns0:v>
      </ns0:c>
      <ns0:c r="H35" s="11">
        <ns0:v>72434130</ns0:v>
      </ns0:c>
      <ns0:c r="I35" s="11">
        <ns0:v>72444124</ns0:v>
      </ns0:c>
      <ns0:c r="J35">
        <ns0:v>72454100</ns0:v>
      </ns0:c>
      <ns0:c r="M35" s="11"/>
      <ns0:c r="N35" s="11"/>
      <ns0:c r="O35" t="n" s="11">
        <ns0:v>2</ns0:v>
      </ns0:c>
      <ns0:c r="P35" t="str" s="11">
        <ns0:v>伤害提升</ns0:v>
      </ns0:c>
      <ns0:c r="Q35" s="24"/>
      <ns0:c r="R35" t="str" s="20">
        <ns0:v>整数</ns0:v>
      </ns0:c>
      <ns0:c r="S35" t="n">
        <ns0:v>2</ns0:v>
      </ns0:c>
      <ns0:c r="T35" t="str" s="11">
        <ns0:v>收录2件：伤害提升+2</ns0:v>
      </ns0:c>
      <ns0:c r="U35" t="n" s="11">
        <ns0:v>3</ns0:v>
      </ns0:c>
      <ns0:c r="V35" t="str" s="11">
        <ns0:v>攻击上限</ns0:v>
      </ns0:c>
      <ns0:c r="W35" s="24"/>
      <ns0:c r="X35" t="str" s="20">
        <ns0:v>整数</ns0:v>
      </ns0:c>
      <ns0:c r="Y35" t="n">
        <ns0:v>4</ns0:v>
      </ns0:c>
      <ns0:c r="Z35" t="str" s="11">
        <ns0:v>收录3件：攻击上限+4</ns0:v>
      </ns0:c>
      <ns0:c r="AA35" s="11"/>
      <ns0:c r="AB35" s="11"/>
      <ns0:c r="AC35" s="11"/>
      <ns0:c r="AD35" s="11"/>
      <ns0:c r="AE35" s="11"/>
      <ns0:c r="AF35" s="11"/>
      <ns0:c r="AG35" s="11"/>
      <ns0:c r="AH35" s="11"/>
      <ns0:c r="AI35" s="11"/>
      <ns0:c r="AJ35" s="11"/>
      <ns0:c r="AK35" s="11"/>
      <ns0:c r="AL35" s="11"/>
      <ns0:c r="AM35" s="11" t="inlineStr">
        <ns0:is>
          <ns0:t xml:space="preserve">|cff00FF00暮幡掩去来路，听泉镜里浮起遗珍的微光。待余响收进葫中，林间风过，已寻不见访古之人的衣角。|r</ns0:t>
        </ns0:is>
      </ns0:c>
      <ns0:c r="AN35" s="11">
        <ns0:v>29</ns0:v>
      </ns0:c>
      <ns0:c r="AO35" s="11" t="s">
        <ns0:v>69</ns0:v>
      </ns0:c>
    </ns0:row>
    <ns0:row r="36" spans="1:41">
      <ns0:c r="A36" s="4"/>
      <ns0:c r="B36" s="11">
        <ns0:v>30</ns0:v>
      </ns0:c>
      <ns0:c r="C36" s="11" t="inlineStr">
        <ns0:is>
          <ns0:t xml:space="preserve">御风轻履</ns0:t>
        </ns0:is>
      </ns0:c>
      <ns0:c r="D36" s="11">
        <ns0:v>20000030</ns0:v>
      </ns0:c>
      <ns0:c r="E36" s="11" t="s">
        <ns0:v>491</ns0:v>
      </ns0:c>
      <ns0:c r="F36" s="11" t="s">
        <ns0:v>65</ns0:v>
      </ns0:c>
      <ns0:c r="G36" s="11">
        <ns0:v>2</ns0:v>
      </ns0:c>
      <ns0:c r="H36" s="11">
        <ns0:v>72221026</ns0:v>
      </ns0:c>
      <ns0:c r="I36" s="11">
        <ns0:v>72221027</ns0:v>
      </ns0:c>
      <ns0:c r="M36" s="11"/>
      <ns0:c r="N36" s="11"/>
      <ns0:c r="O36" t="n" s="11">
        <ns0:v>2</ns0:v>
      </ns0:c>
      <ns0:c r="P36" t="str" s="11">
        <ns0:v>施法速度</ns0:v>
      </ns0:c>
      <ns0:c r="Q36" s="24"/>
      <ns0:c r="R36" t="str" s="20">
        <ns0:v>整数</ns0:v>
      </ns0:c>
      <ns0:c r="S36" t="n">
        <ns0:v>1</ns0:v>
      </ns0:c>
      <ns0:c r="T36" t="str" s="11">
        <ns0:v>收录2件：施法速度+1</ns0:v>
      </ns0:c>
      <ns0:c r="U36" s="11"/>
      <ns0:c r="V36" s="11"/>
      <ns0:c r="W36" s="11"/>
      <ns0:c r="X36" s="11"/>
      <ns0:c r="Y36" s="11"/>
      <ns0:c r="Z36" s="11"/>
      <ns0:c r="AA36" s="11"/>
      <ns0:c r="AB36" s="11"/>
      <ns0:c r="AC36" s="11"/>
      <ns0:c r="AD36" s="11"/>
      <ns0:c r="AE36" s="11"/>
      <ns0:c r="AF36" s="11"/>
      <ns0:c r="AG36" s="11"/>
      <ns0:c r="AH36" s="11"/>
      <ns0:c r="AI36" s="11"/>
      <ns0:c r="AJ36" s="11"/>
      <ns0:c r="AK36" s="11"/>
      <ns0:c r="AL36" s="11"/>
      <ns0:c r="AM36" s="11" t="inlineStr">
        <ns0:is>
          <ns0:t xml:space="preserve">|cff00FF00两纸灵符贴近衣襟，山风便似轻了几分。草尖露珠尚未坠地，青衣身影已越过前方石径。|r</ns0:t>
        </ns0:is>
      </ns0:c>
      <ns0:c r="AN36" s="11">
        <ns0:v>30</ns0:v>
      </ns0:c>
      <ns0:c r="AO36" s="11" t="s">
        <ns0:v>69</ns0:v>
      </ns0:c>
    </ns0:row>
    <ns0:row r="37" spans="1:41">
      <ns0:c r="A37" s="4"/>
      <ns0:c r="B37" s="11">
        <ns0:v>31</ns0:v>
      </ns0:c>
      <ns0:c r="C37" s="11" t="inlineStr">
        <ns0:is>
          <ns0:t xml:space="preserve">一念开锋</ns0:t>
        </ns0:is>
      </ns0:c>
      <ns0:c r="D37" s="11">
        <ns0:v>20000031</ns0:v>
      </ns0:c>
      <ns0:c r="E37" s="11" t="s">
        <ns0:v>491</ns0:v>
      </ns0:c>
      <ns0:c r="F37" s="11" t="s">
        <ns0:v>65</ns0:v>
      </ns0:c>
      <ns0:c r="G37" s="11">
        <ns0:v>3</ns0:v>
      </ns0:c>
      <ns0:c r="H37" s="11">
        <ns0:v>72221003</ns0:v>
      </ns0:c>
      <ns0:c r="I37" s="11">
        <ns0:v>72221006</ns0:v>
      </ns0:c>
      <ns0:c r="J37">
        <ns0:v>72221020</ns0:v>
      </ns0:c>
      <ns0:c r="M37" s="11"/>
      <ns0:c r="N37" s="11"/>
      <ns0:c r="O37" t="n" s="11">
        <ns0:v>2</ns0:v>
      </ns0:c>
      <ns0:c r="P37" t="str" s="11">
        <ns0:v>移动速度</ns0:v>
      </ns0:c>
      <ns0:c r="Q37" s="24"/>
      <ns0:c r="R37" t="str" s="20">
        <ns0:v>整数</ns0:v>
      </ns0:c>
      <ns0:c r="S37" t="n">
        <ns0:v>1</ns0:v>
      </ns0:c>
      <ns0:c r="T37" t="str" s="11">
        <ns0:v>收录2件：移动速度+1</ns0:v>
      </ns0:c>
      <ns0:c r="U37" t="n" s="11">
        <ns0:v>3</ns0:v>
      </ns0:c>
      <ns0:c r="V37" t="str" s="11">
        <ns0:v>命中</ns0:v>
      </ns0:c>
      <ns0:c r="W37" s="24"/>
      <ns0:c r="X37" t="str" s="20">
        <ns0:v>整数</ns0:v>
      </ns0:c>
      <ns0:c r="Y37" t="n">
        <ns0:v>100</ns0:v>
      </ns0:c>
      <ns0:c r="Z37" t="str" s="11">
        <ns0:v>收录3件：命中+100（万分比单位）</ns0:v>
      </ns0:c>
      <ns0:c r="AA37" s="11"/>
      <ns0:c r="AB37" s="11"/>
      <ns0:c r="AC37" s="11"/>
      <ns0:c r="AD37" s="11"/>
      <ns0:c r="AE37" s="11"/>
      <ns0:c r="AF37" s="11"/>
      <ns0:c r="AG37" s="11"/>
      <ns0:c r="AH37" s="11"/>
      <ns0:c r="AI37" s="11"/>
      <ns0:c r="AJ37" s="11"/>
      <ns0:c r="AK37" s="11"/>
      <ns0:c r="AL37" s="11"/>
      <ns0:c r="AM37" s="11" t="inlineStr">
        <ns0:is>
          <ns0:t xml:space="preserve">|cff00FF00凝神一息，甲上细隙便映入心湖。符纸燃尽时，金刃只留一道清光，恰恰落在那线破绽之中。|r</ns0:t>
        </ns0:is>
      </ns0:c>
      <ns0:c r="AN37" s="11">
        <ns0:v>31</ns0:v>
      </ns0:c>
      <ns0:c r="AO37" s="11" t="s">
        <ns0:v>69</ns0:v>
      </ns0:c>
    </ns0:row>
    <ns0:row r="38" spans="1:41">
      <ns0:c r="A38" s="4"/>
      <ns0:c r="B38" s="11">
        <ns0:v>32</ns0:v>
      </ns0:c>
      <ns0:c r="C38" s="11" t="inlineStr">
        <ns0:is>
          <ns0:t xml:space="preserve">霜焰撼山</ns0:t>
        </ns0:is>
      </ns0:c>
      <ns0:c r="D38" s="11">
        <ns0:v>20000032</ns0:v>
      </ns0:c>
      <ns0:c r="E38" s="11" t="s">
        <ns0:v>491</ns0:v>
      </ns0:c>
      <ns0:c r="F38" s="11" t="s">
        <ns0:v>65</ns0:v>
      </ns0:c>
      <ns0:c r="G38" s="11">
        <ns0:v>3</ns0:v>
      </ns0:c>
      <ns0:c r="H38" s="11">
        <ns0:v>72221000</ns0:v>
      </ns0:c>
      <ns0:c r="I38" s="11">
        <ns0:v>72221002</ns0:v>
      </ns0:c>
      <ns0:c r="J38">
        <ns0:v>72221004</ns0:v>
      </ns0:c>
      <ns0:c r="M38" s="11"/>
      <ns0:c r="N38" s="11"/>
      <ns0:c r="O38" t="n" s="11">
        <ns0:v>2</ns0:v>
      </ns0:c>
      <ns0:c r="P38" t="str" s="11">
        <ns0:v>命中</ns0:v>
      </ns0:c>
      <ns0:c r="Q38" s="24"/>
      <ns0:c r="R38" t="str" s="20">
        <ns0:v>整数</ns0:v>
      </ns0:c>
      <ns0:c r="S38" t="n">
        <ns0:v>100</ns0:v>
      </ns0:c>
      <ns0:c r="T38" t="str" s="11">
        <ns0:v>收录2件：命中+100（万分比单位）</ns0:v>
      </ns0:c>
      <ns0:c r="U38" t="n" s="11">
        <ns0:v>3</ns0:v>
      </ns0:c>
      <ns0:c r="V38" t="str" s="11">
        <ns0:v>施法速度</ns0:v>
      </ns0:c>
      <ns0:c r="W38" s="24"/>
      <ns0:c r="X38" t="str" s="20">
        <ns0:v>整数</ns0:v>
      </ns0:c>
      <ns0:c r="Y38" t="n">
        <ns0:v>1</ns0:v>
      </ns0:c>
      <ns0:c r="Z38" t="str" s="11">
        <ns0:v>收录3件：施法速度+1</ns0:v>
      </ns0:c>
      <ns0:c r="AA38" s="11"/>
      <ns0:c r="AB38" s="11"/>
      <ns0:c r="AC38" s="11"/>
      <ns0:c r="AD38" s="11"/>
      <ns0:c r="AE38" s="11"/>
      <ns0:c r="AF38" s="11"/>
      <ns0:c r="AG38" s="11"/>
      <ns0:c r="AH38" s="11"/>
      <ns0:c r="AI38" s="11"/>
      <ns0:c r="AJ38" s="11"/>
      <ns0:c r="AK38" s="11"/>
      <ns0:c r="AL38" s="11"/>
      <ns0:c r="AM38" s="11" t="inlineStr">
        <ns0:is>
          <ns0:t xml:space="preserve">|cff00FF00赤焰卷起，寒棱破空，头顶巨石挟风坠下。几张薄纸一瞬成灰，谷中回声却久久未平。|r</ns0:t>
        </ns0:is>
      </ns0:c>
      <ns0:c r="AN38" s="11">
        <ns0:v>32</ns0:v>
      </ns0:c>
      <ns0:c r="AO38" s="11" t="s">
        <ns0:v>69</ns0:v>
      </ns0:c>
    </ns0:row>
    <ns0:row r="39" spans="1:41">
      <ns0:c r="A39" s="4"/>
      <ns0:c r="B39" s="11">
        <ns0:v>33</ns0:v>
      </ns0:c>
      <ns0:c r="C39" s="11" t="inlineStr">
        <ns0:is>
          <ns0:t xml:space="preserve">金甲沧浪</ns0:t>
        </ns0:is>
      </ns0:c>
      <ns0:c r="D39" s="11">
        <ns0:v>20000033</ns0:v>
      </ns0:c>
      <ns0:c r="E39" s="11" t="s">
        <ns0:v>491</ns0:v>
      </ns0:c>
      <ns0:c r="F39" s="11" t="s">
        <ns0:v>65</ns0:v>
      </ns0:c>
      <ns0:c r="G39" s="11">
        <ns0:v>3</ns0:v>
      </ns0:c>
      <ns0:c r="H39" s="11">
        <ns0:v>72221008</ns0:v>
      </ns0:c>
      <ns0:c r="I39" s="11">
        <ns0:v>72221009</ns0:v>
      </ns0:c>
      <ns0:c r="J39">
        <ns0:v>72221010</ns0:v>
      </ns0:c>
      <ns0:c r="M39" s="11"/>
      <ns0:c r="N39" s="11"/>
      <ns0:c r="O39" t="n" s="11">
        <ns0:v>2</ns0:v>
      </ns0:c>
      <ns0:c r="P39" t="str" s="11">
        <ns0:v>施法速度</ns0:v>
      </ns0:c>
      <ns0:c r="Q39" s="24"/>
      <ns0:c r="R39" t="str" s="20">
        <ns0:v>整数</ns0:v>
      </ns0:c>
      <ns0:c r="S39" t="n">
        <ns0:v>1</ns0:v>
      </ns0:c>
      <ns0:c r="T39" t="str" s="11">
        <ns0:v>收录2件：施法速度+1</ns0:v>
      </ns0:c>
      <ns0:c r="U39" t="n" s="11">
        <ns0:v>3</ns0:v>
      </ns0:c>
      <ns0:c r="V39" t="str" s="11">
        <ns0:v>移动速度</ns0:v>
      </ns0:c>
      <ns0:c r="W39" s="24"/>
      <ns0:c r="X39" t="str" s="20">
        <ns0:v>整数</ns0:v>
      </ns0:c>
      <ns0:c r="Y39" t="n">
        <ns0:v>1</ns0:v>
      </ns0:c>
      <ns0:c r="Z39" t="str" s="11">
        <ns0:v>收录3件：移动速度+1</ns0:v>
      </ns0:c>
      <ns0:c r="AA39" s="11"/>
      <ns0:c r="AB39" s="11"/>
      <ns0:c r="AC39" s="11"/>
      <ns0:c r="AD39" s="11"/>
      <ns0:c r="AE39" s="11"/>
      <ns0:c r="AF39" s="11"/>
      <ns0:c r="AG39" s="11"/>
      <ns0:c r="AH39" s="11"/>
      <ns0:c r="AI39" s="11"/>
      <ns0:c r="AJ39" s="11"/>
      <ns0:c r="AK39" s="11"/>
      <ns0:c r="AL39" s="11"/>
      <ns0:c r="AM39" s="11" t="inlineStr">
        <ns0:is>
          <ns0:t xml:space="preserve">|cff00FF00金光贴身，甲纹覆衣，最外一重水幕徐徐流转。急雨般的锋芒压来，水光深处，衣袍仍稳。|r</ns0:t>
        </ns0:is>
      </ns0:c>
      <ns0:c r="AN39" s="11">
        <ns0:v>33</ns0:v>
      </ns0:c>
      <ns0:c r="AO39" s="11" t="s">
        <ns0:v>69</ns0:v>
      </ns0:c>
    </ns0:row>
    <ns0:row r="40" spans="1:41">
      <ns0:c r="A40" s="4"/>
      <ns0:c r="B40" s="11">
        <ns0:v>34</ns0:v>
      </ns0:c>
      <ns0:c r="C40" s="11" t="s">
        <ns0:v>1345</ns0:v>
      </ns0:c>
      <ns0:c r="D40" s="11">
        <ns0:v>20000034</ns0:v>
      </ns0:c>
      <ns0:c r="E40" s="11" t="s">
        <ns0:v>491</ns0:v>
      </ns0:c>
      <ns0:c r="F40" s="11" t="s">
        <ns0:v>65</ns0:v>
      </ns0:c>
      <ns0:c r="G40" s="11">
        <ns0:v>3</ns0:v>
      </ns0:c>
      <ns0:c r="H40" s="11">
        <ns0:v>72221014</ns0:v>
      </ns0:c>
      <ns0:c r="I40" s="11">
        <ns0:v>72221015</ns0:v>
      </ns0:c>
      <ns0:c r="J40">
        <ns0:v>72221017</ns0:v>
      </ns0:c>
      <ns0:c r="M40" s="11"/>
      <ns0:c r="N40" s="11"/>
      <ns0:c r="O40" t="n" s="11">
        <ns0:v>2</ns0:v>
      </ns0:c>
      <ns0:c r="P40" t="str" s="11">
        <ns0:v>移动速度</ns0:v>
      </ns0:c>
      <ns0:c r="Q40" s="24"/>
      <ns0:c r="R40" t="str" s="20">
        <ns0:v>整数</ns0:v>
      </ns0:c>
      <ns0:c r="S40" t="n">
        <ns0:v>1</ns0:v>
      </ns0:c>
      <ns0:c r="T40" t="str" s="11">
        <ns0:v>收录2件：移动速度+1</ns0:v>
      </ns0:c>
      <ns0:c r="U40" t="n" s="11">
        <ns0:v>3</ns0:v>
      </ns0:c>
      <ns0:c r="V40" t="str" s="11">
        <ns0:v>命中</ns0:v>
      </ns0:c>
      <ns0:c r="W40" s="24"/>
      <ns0:c r="X40" t="str" s="20">
        <ns0:v>整数</ns0:v>
      </ns0:c>
      <ns0:c r="Y40" t="n">
        <ns0:v>100</ns0:v>
      </ns0:c>
      <ns0:c r="Z40" t="str" s="11">
        <ns0:v>收录3件：命中+100（万分比单位）</ns0:v>
      </ns0:c>
      <ns0:c r="AA40" s="11"/>
      <ns0:c r="AB40" s="11"/>
      <ns0:c r="AC40" s="11"/>
      <ns0:c r="AD40" s="11"/>
      <ns0:c r="AE40" s="11"/>
      <ns0:c r="AF40" s="11"/>
      <ns0:c r="AG40" s="11"/>
      <ns0:c r="AH40" s="11"/>
      <ns0:c r="AI40" s="11"/>
      <ns0:c r="AJ40" s="11"/>
      <ns0:c r="AK40" s="11"/>
      <ns0:c r="AL40" s="11"/>
      <ns0:c r="AM40" s="11" t="inlineStr">
        <ns0:is>
          <ns0:t xml:space="preserve">|cff00FF00足下符光一凝，青藤已攀上袍角；才欲起诀，灵窍间又横住一道暗纹。咫尺之外，忽成难越之地。|r</ns0:t>
        </ns0:is>
      </ns0:c>
      <ns0:c r="AN40" s="11">
        <ns0:v>34</ns0:v>
      </ns0:c>
      <ns0:c r="AO40" s="11" t="s">
        <ns0:v>69</ns0:v>
      </ns0:c>
    </ns0:row>
    <ns0:row r="41" spans="1:41">
      <ns0:c r="A41" s="4"/>
      <ns0:c r="B41" s="11">
        <ns0:v>35</ns0:v>
      </ns0:c>
      <ns0:c r="C41" s="11" t="s">
        <ns0:v>1347</ns0:v>
      </ns0:c>
      <ns0:c r="D41" s="11">
        <ns0:v>20000035</ns0:v>
      </ns0:c>
      <ns0:c r="E41" s="11" t="s">
        <ns0:v>491</ns0:v>
      </ns0:c>
      <ns0:c r="F41" s="11" t="s">
        <ns0:v>65</ns0:v>
      </ns0:c>
      <ns0:c r="G41" s="11">
        <ns0:v>2</ns0:v>
      </ns0:c>
      <ns0:c r="H41" s="11">
        <ns0:v>72221024</ns0:v>
      </ns0:c>
      <ns0:c r="I41" s="11">
        <ns0:v>72221025</ns0:v>
      </ns0:c>
      <ns0:c r="M41" s="11"/>
      <ns0:c r="N41" s="11"/>
      <ns0:c r="O41" t="n" s="11">
        <ns0:v>2</ns0:v>
      </ns0:c>
      <ns0:c r="P41" t="str" s="11">
        <ns0:v>命中</ns0:v>
      </ns0:c>
      <ns0:c r="Q41" s="24"/>
      <ns0:c r="R41" t="str" s="20">
        <ns0:v>整数</ns0:v>
      </ns0:c>
      <ns0:c r="S41" t="n">
        <ns0:v>100</ns0:v>
      </ns0:c>
      <ns0:c r="T41" t="str" s="11">
        <ns0:v>收录2件：命中+100（万分比单位）</ns0:v>
      </ns0:c>
      <ns0:c r="U41" s="11"/>
      <ns0:c r="V41" s="11"/>
      <ns0:c r="W41" s="11"/>
      <ns0:c r="X41" s="11"/>
      <ns0:c r="Y41" s="11"/>
      <ns0:c r="Z41" s="11"/>
      <ns0:c r="AA41" s="11"/>
      <ns0:c r="AB41" s="11"/>
      <ns0:c r="AC41" s="11"/>
      <ns0:c r="AD41" s="11"/>
      <ns0:c r="AE41" s="11"/>
      <ns0:c r="AF41" s="11"/>
      <ns0:c r="AG41" s="11"/>
      <ns0:c r="AH41" s="11"/>
      <ns0:c r="AI41" s="11"/>
      <ns0:c r="AJ41" s="11"/>
      <ns0:c r="AK41" s="11"/>
      <ns0:c r="AL41" s="11"/>
      <ns0:c r="AM41" s="11" t="inlineStr">
        <ns0:is>
          <ns0:t xml:space="preserve">|cff00FF00瘴林雾重，袖中灵符透出微光。一纸护住清明，一纸隔开浊气，行者听着自己的呼吸，慢慢走过深林。|r</ns0:t>
        </ns0:is>
      </ns0:c>
      <ns0:c r="AN41" s="11">
        <ns0:v>35</ns0:v>
      </ns0:c>
      <ns0:c r="AO41" s="11" t="s">
        <ns0:v>69</ns0:v>
      </ns0:c>
    </ns0:row>
    <ns0:row r="42" spans="1:41">
      <ns0:c r="A42" s="4"/>
      <ns0:c r="B42" s="11">
        <ns0:v>36</ns0:v>
      </ns0:c>
      <ns0:c r="C42" s="11" t="s">
        <ns0:v>1349</ns0:v>
      </ns0:c>
      <ns0:c r="D42" s="11">
        <ns0:v>20000036</ns0:v>
      </ns0:c>
      <ns0:c r="E42" s="11" t="s">
        <ns0:v>491</ns0:v>
      </ns0:c>
      <ns0:c r="F42" s="11" t="s">
        <ns0:v>65</ns0:v>
      </ns0:c>
      <ns0:c r="G42" s="11">
        <ns0:v>3</ns0:v>
      </ns0:c>
      <ns0:c r="H42" s="11">
        <ns0:v>72221035</ns0:v>
      </ns0:c>
      <ns0:c r="I42" s="11">
        <ns0:v>72221037</ns0:v>
      </ns0:c>
      <ns0:c r="J42">
        <ns0:v>72221036</ns0:v>
      </ns0:c>
      <ns0:c r="M42" s="11"/>
      <ns0:c r="N42" s="11"/>
      <ns0:c r="O42" t="n" s="11">
        <ns0:v>2</ns0:v>
      </ns0:c>
      <ns0:c r="P42" t="str" s="11">
        <ns0:v>施法速度</ns0:v>
      </ns0:c>
      <ns0:c r="Q42" s="24"/>
      <ns0:c r="R42" t="str" s="20">
        <ns0:v>整数</ns0:v>
      </ns0:c>
      <ns0:c r="S42" t="n">
        <ns0:v>1</ns0:v>
      </ns0:c>
      <ns0:c r="T42" t="str" s="11">
        <ns0:v>收录2件：施法速度+1</ns0:v>
      </ns0:c>
      <ns0:c r="U42" t="n" s="11">
        <ns0:v>3</ns0:v>
      </ns0:c>
      <ns0:c r="V42" t="str" s="11">
        <ns0:v>移动速度</ns0:v>
      </ns0:c>
      <ns0:c r="W42" s="24"/>
      <ns0:c r="X42" t="str" s="20">
        <ns0:v>整数</ns0:v>
      </ns0:c>
      <ns0:c r="Y42" t="n">
        <ns0:v>1</ns0:v>
      </ns0:c>
      <ns0:c r="Z42" t="str" s="11">
        <ns0:v>收录3件：移动速度+1</ns0:v>
      </ns0:c>
      <ns0:c r="AA42" s="11"/>
      <ns0:c r="AB42" s="11"/>
      <ns0:c r="AC42" s="11"/>
      <ns0:c r="AD42" s="11"/>
      <ns0:c r="AE42" s="11"/>
      <ns0:c r="AF42" s="11"/>
      <ns0:c r="AG42" s="11"/>
      <ns0:c r="AH42" s="11"/>
      <ns0:c r="AI42" s="11"/>
      <ns0:c r="AJ42" s="11"/>
      <ns0:c r="AK42" s="11"/>
      <ns0:c r="AL42" s="11"/>
      <ns0:c r="AM42" s="11" t="inlineStr">
        <ns0:is>
          <ns0:t xml:space="preserve">|cff00FF00山岚掩了来路，符中尚记同伴的气息。指间微光指向远岫，一声传音越过林梢：前路有人相候。|r</ns0:t>
        </ns0:is>
      </ns0:c>
      <ns0:c r="AN42" s="11">
        <ns0:v>36</ns0:v>
      </ns0:c>
      <ns0:c r="AO42" s="11" t="s">
        <ns0:v>69</ns0:v>
      </ns0:c>
    </ns0:row>
    <ns0:row r="43" spans="1:41">
      <ns0:c r="A43" s="4"/>
      <ns0:c r="B43" s="11">
        <ns0:v>37</ns0:v>
      </ns0:c>
      <ns0:c r="C43" s="11" t="s">
        <ns0:v>1351</ns0:v>
      </ns0:c>
      <ns0:c r="D43" s="11">
        <ns0:v>20000037</ns0:v>
      </ns0:c>
      <ns0:c r="E43" s="11" t="s">
        <ns0:v>576</ns0:v>
      </ns0:c>
      <ns0:c r="F43" s="11" t="s">
        <ns0:v>206</ns0:v>
      </ns0:c>
      <ns0:c r="G43" s="11">
        <ns0:v>2</ns0:v>
      </ns0:c>
      <ns0:c r="H43" s="11">
        <ns0:v>72124000</ns0:v>
      </ns0:c>
      <ns0:c r="I43" s="11">
        <ns0:v>72185000</ns0:v>
      </ns0:c>
      <ns0:c r="M43" s="11"/>
      <ns0:c r="N43" s="11"/>
      <ns0:c r="O43" t="n" s="11">
        <ns0:v>2</ns0:v>
      </ns0:c>
      <ns0:c r="P43" t="str" s="11">
        <ns0:v>法防上限</ns0:v>
      </ns0:c>
      <ns0:c r="Q43" s="24"/>
      <ns0:c r="R43" t="str" s="20">
        <ns0:v>整数</ns0:v>
      </ns0:c>
      <ns0:c r="S43" t="n">
        <ns0:v>3</ns0:v>
      </ns0:c>
      <ns0:c r="T43" t="str" s="11">
        <ns0:v>收录2件：法防上限+3</ns0:v>
      </ns0:c>
      <ns0:c r="U43" s="11"/>
      <ns0:c r="V43" s="11"/>
      <ns0:c r="W43" s="11"/>
      <ns0:c r="X43" s="11"/>
      <ns0:c r="Y43" s="11"/>
      <ns0:c r="Z43" s="11"/>
      <ns0:c r="AA43" s="11"/>
      <ns0:c r="AB43" s="11"/>
      <ns0:c r="AC43" s="11"/>
      <ns0:c r="AD43" s="11"/>
      <ns0:c r="AE43" s="11"/>
      <ns0:c r="AF43" s="11"/>
      <ns0:c r="AG43" s="11"/>
      <ns0:c r="AH43" s="11"/>
      <ns0:c r="AI43" s="11"/>
      <ns0:c r="AJ43" s="11"/>
      <ns0:c r="AK43" s="11"/>
      <ns0:c r="AL43" s="11"/>
      <ns0:c r="AM43" s="11" t="inlineStr">
        <ns0:is>
          <ns0:t xml:space="preserve">|cff00FF00溪纹向盘心汇拢，残图上的银线随月色续明。静室无人言语，只有天地清气，宛若细水入潭。|r</ns0:t>
        </ns0:is>
      </ns0:c>
      <ns0:c r="AN43" s="11">
        <ns0:v>37</ns0:v>
      </ns0:c>
      <ns0:c r="AO43" s="11" t="s">
        <ns0:v>69</ns0:v>
      </ns0:c>
    </ns0:row>
    <ns0:row r="44" spans="1:41">
      <ns0:c r="A44" s="4"/>
      <ns0:c r="B44" s="11">
        <ns0:v>38</ns0:v>
      </ns0:c>
      <ns0:c r="C44" s="11" t="s">
        <ns0:v>1353</ns0:v>
      </ns0:c>
      <ns0:c r="D44" s="11">
        <ns0:v>20000038</ns0:v>
      </ns0:c>
      <ns0:c r="E44" s="11" t="s">
        <ns0:v>576</ns0:v>
      </ns0:c>
      <ns0:c r="F44" s="11" t="s">
        <ns0:v>206</ns0:v>
      </ns0:c>
      <ns0:c r="G44" s="11">
        <ns0:v>2</ns0:v>
      </ns0:c>
      <ns0:c r="H44" s="11">
        <ns0:v>72134000</ns0:v>
      </ns0:c>
      <ns0:c r="I44" s="11">
        <ns0:v>72165000</ns0:v>
      </ns0:c>
      <ns0:c r="M44" s="11"/>
      <ns0:c r="N44" s="11"/>
      <ns0:c r="O44" t="n" s="11">
        <ns0:v>2</ns0:v>
      </ns0:c>
      <ns0:c r="P44" t="str" s="11">
        <ns0:v>警戒范围</ns0:v>
      </ns0:c>
      <ns0:c r="Q44" s="24"/>
      <ns0:c r="R44" t="str" s="20">
        <ns0:v>整数</ns0:v>
      </ns0:c>
      <ns0:c r="S44" t="n">
        <ns0:v>3</ns0:v>
      </ns0:c>
      <ns0:c r="T44" t="str" s="11">
        <ns0:v>收录2件：警戒范围+3</ns0:v>
      </ns0:c>
      <ns0:c r="U44" s="11"/>
      <ns0:c r="V44" s="11"/>
      <ns0:c r="W44" s="11"/>
      <ns0:c r="X44" s="11"/>
      <ns0:c r="Y44" s="11"/>
      <ns0:c r="Z44" s="11"/>
      <ns0:c r="AA44" s="11"/>
      <ns0:c r="AB44" s="11"/>
      <ns0:c r="AC44" s="11"/>
      <ns0:c r="AD44" s="11"/>
      <ns0:c r="AE44" s="11"/>
      <ns0:c r="AF44" s="11"/>
      <ns0:c r="AG44" s="11"/>
      <ns0:c r="AH44" s="11"/>
      <ns0:c r="AI44" s="11"/>
      <ns0:c r="AJ44" s="11"/>
      <ns0:c r="AK44" s="11"/>
      <ns0:c r="AL44" s="11"/>
      <ns0:c r="AM44" s="11" t="inlineStr">
        <ns0:is>
          <ns0:t xml:space="preserve">|cff00FF00青旗拂过，枯枝间似有新芽；裂玉深处，一缕细光仍把断纹相牵。春意散向四方，也守着最微弱的那一息。|r</ns0:t>
        </ns0:is>
      </ns0:c>
      <ns0:c r="AN44" s="11">
        <ns0:v>38</ns0:v>
      </ns0:c>
      <ns0:c r="AO44" s="11" t="s">
        <ns0:v>69</ns0:v>
      </ns0:c>
    </ns0:row>
    <ns0:row r="45" spans="1:41">
      <ns0:c r="A45" s="4"/>
      <ns0:c r="B45" s="11">
        <ns0:v>39</ns0:v>
      </ns0:c>
      <ns0:c r="C45" s="11" t="s">
        <ns0:v>1355</ns0:v>
      </ns0:c>
      <ns0:c r="D45" s="11">
        <ns0:v>20000039</ns0:v>
      </ns0:c>
      <ns0:c r="E45" s="11" t="s">
        <ns0:v>576</ns0:v>
      </ns0:c>
      <ns0:c r="F45" s="11" t="s">
        <ns0:v>206</ns0:v>
      </ns0:c>
      <ns0:c r="G45" s="11">
        <ns0:v>2</ns0:v>
      </ns0:c>
      <ns0:c r="H45" s="11">
        <ns0:v>72144000</ns0:v>
      </ns0:c>
      <ns0:c r="I45" s="11">
        <ns0:v>72175000</ns0:v>
      </ns0:c>
      <ns0:c r="M45" s="11"/>
      <ns0:c r="N45" s="11"/>
      <ns0:c r="O45" t="n" s="11">
        <ns0:v>2</ns0:v>
      </ns0:c>
      <ns0:c r="P45" t="str" s="11">
        <ns0:v>物防上限</ns0:v>
      </ns0:c>
      <ns0:c r="Q45" s="24"/>
      <ns0:c r="R45" t="str" s="20">
        <ns0:v>整数</ns0:v>
      </ns0:c>
      <ns0:c r="S45" t="n">
        <ns0:v>3</ns0:v>
      </ns0:c>
      <ns0:c r="T45" t="str" s="11">
        <ns0:v>收录2件：物防上限+3</ns0:v>
      </ns0:c>
      <ns0:c r="U45" s="11"/>
      <ns0:c r="V45" s="11"/>
      <ns0:c r="W45" s="11"/>
      <ns0:c r="X45" s="11"/>
      <ns0:c r="Y45" s="11"/>
      <ns0:c r="Z45" s="11"/>
      <ns0:c r="AA45" s="11"/>
      <ns0:c r="AB45" s="11"/>
      <ns0:c r="AC45" s="11"/>
      <ns0:c r="AD45" s="11"/>
      <ns0:c r="AE45" s="11"/>
      <ns0:c r="AF45" s="11"/>
      <ns0:c r="AG45" s="11"/>
      <ns0:c r="AH45" s="11"/>
      <ns0:c r="AI45" s="11"/>
      <ns0:c r="AJ45" s="11"/>
      <ns0:c r="AK45" s="11"/>
      <ns0:c r="AL45" s="11"/>
      <ns0:c r="AM45" s="11" t="inlineStr">
        <ns0:is>
          <ns0:t xml:space="preserve">|cff00FF00石印沉沉，如山横在身前；阵盘内外，赤光与清纹各守一圈。风挟烈焰扑过山屏，盘心犹自安静。|r</ns0:t>
        </ns0:is>
      </ns0:c>
      <ns0:c r="AN45" s="11">
        <ns0:v>39</ns0:v>
      </ns0:c>
      <ns0:c r="AO45" s="11" t="s">
        <ns0:v>69</ns0:v>
      </ns0:c>
    </ns0:row>
    <ns0:row r="46" spans="1:41">
      <ns0:c r="A46" s="4"/>
      <ns0:c r="B46" s="11">
        <ns0:v>40</ns0:v>
      </ns0:c>
      <ns0:c r="C46" s="11" t="s">
        <ns0:v>1357</ns0:v>
      </ns0:c>
      <ns0:c r="D46" s="11">
        <ns0:v>20000040</ns0:v>
      </ns0:c>
      <ns0:c r="E46" s="11" t="s">
        <ns0:v>576</ns0:v>
      </ns0:c>
      <ns0:c r="F46" s="11" t="s">
        <ns0:v>206</ns0:v>
      </ns0:c>
      <ns0:c r="G46" s="11">
        <ns0:v>2</ns0:v>
      </ns0:c>
      <ns0:c r="H46" s="11">
        <ns0:v>72124001</ns0:v>
      </ns0:c>
      <ns0:c r="I46" s="11">
        <ns0:v>72155000</ns0:v>
      </ns0:c>
      <ns0:c r="M46" s="11"/>
      <ns0:c r="N46" s="11"/>
      <ns0:c r="O46" t="n" s="11">
        <ns0:v>2</ns0:v>
      </ns0:c>
      <ns0:c r="P46" t="str" s="11">
        <ns0:v>法防上限</ns0:v>
      </ns0:c>
      <ns0:c r="Q46" s="24"/>
      <ns0:c r="R46" t="str" s="20">
        <ns0:v>整数</ns0:v>
      </ns0:c>
      <ns0:c r="S46" t="n">
        <ns0:v>3</ns0:v>
      </ns0:c>
      <ns0:c r="T46" t="str" s="11">
        <ns0:v>收录2件：法防上限+3</ns0:v>
      </ns0:c>
      <ns0:c r="U46" s="11"/>
      <ns0:c r="V46" s="11"/>
      <ns0:c r="W46" s="11"/>
      <ns0:c r="X46" s="11"/>
      <ns0:c r="Y46" s="11"/>
      <ns0:c r="Z46" s="11"/>
      <ns0:c r="AA46" s="11"/>
      <ns0:c r="AB46" s="11"/>
      <ns0:c r="AC46" s="11"/>
      <ns0:c r="AD46" s="11"/>
      <ns0:c r="AE46" s="11"/>
      <ns0:c r="AF46" s="11"/>
      <ns0:c r="AG46" s="11"/>
      <ns0:c r="AH46" s="11"/>
      <ns0:c r="AI46" s="11"/>
      <ns0:c r="AJ46" s="11"/>
      <ns0:c r="AK46" s="11"/>
      <ns0:c r="AL46" s="11"/>
      <ns0:c r="AM46" s="11" t="inlineStr">
        <ns0:is>
          <ns0:t xml:space="preserve">|cff00FF00锋光沿环盘折返，灰壳深处又亮起暗红余火。旧日杀阵只剩两件遗物，盘上金鸣与心中炽息却未曾断绝。|r</ns0:t>
        </ns0:is>
      </ns0:c>
      <ns0:c r="AN46" s="11">
        <ns0:v>40</ns0:v>
      </ns0:c>
      <ns0:c r="AO46" s="11" t="s">
        <ns0:v>69</ns0:v>
      </ns0:c>
    </ns0:row>
    <ns0:row r="47" spans="1:41">
      <ns0:c r="A47" s="4"/>
      <ns0:c r="B47" s="11">
        <ns0:v>41</ns0:v>
      </ns0:c>
      <ns0:c r="C47" s="11" t="s">
        <ns0:v>1359</ns0:v>
      </ns0:c>
      <ns0:c r="D47" s="11">
        <ns0:v>20000041</ns0:v>
      </ns0:c>
      <ns0:c r="E47" s="11" t="s">
        <ns0:v>576</ns0:v>
      </ns0:c>
      <ns0:c r="F47" s="11" t="s">
        <ns0:v>206</ns0:v>
      </ns0:c>
      <ns0:c r="G47" s="11">
        <ns0:v>2</ns0:v>
      </ns0:c>
      <ns0:c r="H47" s="11">
        <ns0:v>72134001</ns0:v>
      </ns0:c>
      <ns0:c r="I47" s="11">
        <ns0:v>72165001</ns0:v>
      </ns0:c>
      <ns0:c r="M47" s="11"/>
      <ns0:c r="N47" s="11"/>
      <ns0:c r="O47" t="n" s="11">
        <ns0:v>2</ns0:v>
      </ns0:c>
      <ns0:c r="P47" t="str" s="11">
        <ns0:v>警戒范围</ns0:v>
      </ns0:c>
      <ns0:c r="Q47" s="24"/>
      <ns0:c r="R47" t="str" s="20">
        <ns0:v>整数</ns0:v>
      </ns0:c>
      <ns0:c r="S47" t="n">
        <ns0:v>3</ns0:v>
      </ns0:c>
      <ns0:c r="T47" t="str" s="11">
        <ns0:v>收录2件：警戒范围+3</ns0:v>
      </ns0:c>
      <ns0:c r="U47" s="11"/>
      <ns0:c r="V47" s="11"/>
      <ns0:c r="W47" s="11"/>
      <ns0:c r="X47" s="11"/>
      <ns0:c r="Y47" s="11"/>
      <ns0:c r="Z47" s="11"/>
      <ns0:c r="AA47" s="11"/>
      <ns0:c r="AB47" s="11"/>
      <ns0:c r="AC47" s="11"/>
      <ns0:c r="AD47" s="11"/>
      <ns0:c r="AE47" s="11"/>
      <ns0:c r="AF47" s="11"/>
      <ns0:c r="AG47" s="11"/>
      <ns0:c r="AH47" s="11"/>
      <ns0:c r="AI47" s="11"/>
      <ns0:c r="AJ47" s="11"/>
      <ns0:c r="AK47" s="11"/>
      <ns0:c r="AL47" s="11"/>
      <ns0:c r="AM47" s="11" t="inlineStr">
        <ns0:is>
          <ns0:t xml:space="preserve">|cff00FF00印纹层层收紧，图中枝脉交缠。一步尚未踏实，脚下已似重山，四周又生出看不见的藤根。|r</ns0:t>
        </ns0:is>
      </ns0:c>
      <ns0:c r="AN47" s="11">
        <ns0:v>41</ns0:v>
      </ns0:c>
      <ns0:c r="AO47" s="11" t="s">
        <ns0:v>69</ns0:v>
      </ns0:c>
    </ns0:row>
    <ns0:row r="48" spans="1:41">
      <ns0:c r="A48" s="4"/>
      <ns0:c r="B48" s="11">
        <ns0:v>42</ns0:v>
      </ns0:c>
      <ns0:c r="C48" s="11" t="inlineStr">
        <ns0:is>
          <ns0:t xml:space="preserve">迷津敛月</ns0:t>
        </ns0:is>
      </ns0:c>
      <ns0:c r="D48" s="11">
        <ns0:v>20000042</ns0:v>
      </ns0:c>
      <ns0:c r="E48" s="11" t="s">
        <ns0:v>576</ns0:v>
      </ns0:c>
      <ns0:c r="F48" s="11" t="s">
        <ns0:v>206</ns0:v>
      </ns0:c>
      <ns0:c r="G48" s="11">
        <ns0:v>2</ns0:v>
      </ns0:c>
      <ns0:c r="H48" s="11">
        <ns0:v>72134002</ns0:v>
      </ns0:c>
      <ns0:c r="I48" s="11">
        <ns0:v>72185001</ns0:v>
      </ns0:c>
      <ns0:c r="M48" s="11"/>
      <ns0:c r="N48" s="11"/>
      <ns0:c r="O48" t="n" s="11">
        <ns0:v>2</ns0:v>
      </ns0:c>
      <ns0:c r="P48" t="str" s="11">
        <ns0:v>物防上限</ns0:v>
      </ns0:c>
      <ns0:c r="Q48" s="24"/>
      <ns0:c r="R48" t="str" s="20">
        <ns0:v>整数</ns0:v>
      </ns0:c>
      <ns0:c r="S48" t="n">
        <ns0:v>3</ns0:v>
      </ns0:c>
      <ns0:c r="T48" t="str" s="11">
        <ns0:v>收录2件：物防上限+3</ns0:v>
      </ns0:c>
      <ns0:c r="U48" s="11"/>
      <ns0:c r="V48" s="11"/>
      <ns0:c r="W48" s="11"/>
      <ns0:c r="X48" s="11"/>
      <ns0:c r="Y48" s="11"/>
      <ns0:c r="Z48" s="11"/>
      <ns0:c r="AA48" s="11"/>
      <ns0:c r="AB48" s="11"/>
      <ns0:c r="AC48" s="11"/>
      <ns0:c r="AD48" s="11"/>
      <ns0:c r="AE48" s="11"/>
      <ns0:c r="AF48" s="11"/>
      <ns0:c r="AG48" s="11"/>
      <ns0:c r="AH48" s="11"/>
      <ns0:c r="AI48" s="11"/>
      <ns0:c r="AJ48" s="11"/>
      <ns0:c r="AK48" s="11"/>
      <ns0:c r="AL48" s="11"/>
      <ns0:c r="AM48" s="11" t="inlineStr">
        <ns0:is>
          <ns0:t xml:space="preserve">|cff00FF00旗影一错，林径便难辨来处；玉印微沉，衣畔气息随之敛去。追索者望着空山，唯见月色落满旧路。|r</ns0:t>
        </ns0:is>
      </ns0:c>
      <ns0:c r="AN48" s="11">
        <ns0:v>42</ns0:v>
      </ns0:c>
      <ns0:c r="AO48" s="11" t="s">
        <ns0:v>69</ns0:v>
      </ns0:c>
    </ns0:row>
    <ns0:row r="49" spans="1:41">
      <ns0:c r="A49" s="4"/>
      <ns0:c r="B49" s="11">
        <ns0:v>43</ns0:v>
      </ns0:c>
      <ns0:c r="C49" s="11" t="s">
        <ns0:v>1363</ns0:v>
      </ns0:c>
      <ns0:c r="D49" s="11">
        <ns0:v>20000043</ns0:v>
      </ns0:c>
      <ns0:c r="E49" s="11" t="s">
        <ns0:v>64</ns0:v>
      </ns0:c>
      <ns0:c r="F49" s="11" t="s">
        <ns0:v>65</ns0:v>
      </ns0:c>
      <ns0:c r="G49" s="11">
        <ns0:v>2</ns0:v>
      </ns0:c>
      <ns0:c r="H49" s="11">
        <ns0:v>70902002</ns0:v>
      </ns0:c>
      <ns0:c r="I49" s="11">
        <ns0:v>70902008</ns0:v>
      </ns0:c>
      <ns0:c r="M49" s="11"/>
      <ns0:c r="N49" s="11"/>
      <ns0:c r="O49" t="n" s="11">
        <ns0:v>2</ns0:v>
      </ns0:c>
      <ns0:c r="P49" t="str" s="11">
        <ns0:v>基础修为增幅</ns0:v>
      </ns0:c>
      <ns0:c r="Q49" s="24"/>
      <ns0:c r="R49" t="str" s="20">
        <ns0:v>整数</ns0:v>
      </ns0:c>
      <ns0:c r="S49" t="n">
        <ns0:v>100</ns0:v>
      </ns0:c>
      <ns0:c r="T49" t="str" s="11">
        <ns0:v>收录2件：基础修为增幅+100（万分比单位）</ns0:v>
      </ns0:c>
      <ns0:c r="U49" s="11"/>
      <ns0:c r="V49" s="11"/>
      <ns0:c r="W49" s="11"/>
      <ns0:c r="X49" s="11"/>
      <ns0:c r="Y49" s="11"/>
      <ns0:c r="Z49" s="11"/>
      <ns0:c r="AA49" s="11"/>
      <ns0:c r="AB49" s="11"/>
      <ns0:c r="AC49" s="11"/>
      <ns0:c r="AD49" s="11"/>
      <ns0:c r="AE49" s="11"/>
      <ns0:c r="AF49" s="11"/>
      <ns0:c r="AG49" s="11"/>
      <ns0:c r="AH49" s="11"/>
      <ns0:c r="AI49" s="11"/>
      <ns0:c r="AJ49" s="11"/>
      <ns0:c r="AK49" s="11"/>
      <ns0:c r="AL49" s="11"/>
      <ns0:c r="AM49" s="11" t="inlineStr">
        <ns0:is>
          <ns0:t xml:space="preserve">|cff00FF00九息牵来山中清气，元海深处静纳涓流。吐纳声渐不可闻，腹中却似有一片无风的海，缓缓接住潮汐。|r</ns0:t>
        </ns0:is>
      </ns0:c>
      <ns0:c r="AN49" s="11">
        <ns0:v>43</ns0:v>
      </ns0:c>
      <ns0:c r="AO49" s="11" t="s">
        <ns0:v>69</ns0:v>
      </ns0:c>
    </ns0:row>
    <ns0:row r="50" spans="1:41">
      <ns0:c r="A50" s="4"/>
      <ns0:c r="B50" s="11">
        <ns0:v>44</ns0:v>
      </ns0:c>
      <ns0:c r="C50" s="11" t="s">
        <ns0:v>1365</ns0:v>
      </ns0:c>
      <ns0:c r="D50" s="11">
        <ns0:v>20000044</ns0:v>
      </ns0:c>
      <ns0:c r="E50" s="11" t="s">
        <ns0:v>64</ns0:v>
      </ns0:c>
      <ns0:c r="F50" s="11" t="s">
        <ns0:v>65</ns0:v>
      </ns0:c>
      <ns0:c r="G50" s="11">
        <ns0:v>3</ns0:v>
      </ns0:c>
      <ns0:c r="H50" s="11">
        <ns0:v>70902005</ns0:v>
      </ns0:c>
      <ns0:c r="I50" s="11">
        <ns0:v>70902003</ns0:v>
      </ns0:c>
      <ns0:c r="J50">
        <ns0:v>70902000</ns0:v>
      </ns0:c>
      <ns0:c r="M50" s="11"/>
      <ns0:c r="N50" s="11"/>
      <ns0:c r="O50" t="n" s="11">
        <ns0:v>2</ns0:v>
      </ns0:c>
      <ns0:c r="P50" t="str" s="11">
        <ns0:v>额外转化值</ns0:v>
      </ns0:c>
      <ns0:c r="Q50" s="24"/>
      <ns0:c r="R50" t="str" s="20">
        <ns0:v>整数</ns0:v>
      </ns0:c>
      <ns0:c r="S50" t="n">
        <ns0:v>1</ns0:v>
      </ns0:c>
      <ns0:c r="T50" t="str" s="11">
        <ns0:v>收录2件：额外转化值+1</ns0:v>
      </ns0:c>
      <ns0:c r="U50" t="n" s="11">
        <ns0:v>3</ns0:v>
      </ns0:c>
      <ns0:c r="V50" t="str" s="11">
        <ns0:v>每时辰灵气吸收</ns0:v>
      </ns0:c>
      <ns0:c r="W50" s="24"/>
      <ns0:c r="X50" t="str" s="20">
        <ns0:v>整数</ns0:v>
      </ns0:c>
      <ns0:c r="Y50" t="n">
        <ns0:v>1</ns0:v>
      </ns0:c>
      <ns0:c r="Z50" t="str" s="11">
        <ns0:v>收录3件：每时辰灵气吸收+1</ns0:v>
      </ns0:c>
      <ns0:c r="AA50" s="11"/>
      <ns0:c r="AB50" s="11"/>
      <ns0:c r="AC50" s="11"/>
      <ns0:c r="AD50" s="11"/>
      <ns0:c r="AE50" s="11"/>
      <ns0:c r="AF50" s="11"/>
      <ns0:c r="AG50" s="11"/>
      <ns0:c r="AH50" s="11"/>
      <ns0:c r="AI50" s="11"/>
      <ns0:c r="AJ50" s="11"/>
      <ns0:c r="AK50" s="11"/>
      <ns0:c r="AL50" s="11"/>
      <ns0:c r="AM50" s="11" t="inlineStr">
        <ns0:is>
          <ns0:t xml:space="preserve">|cff00FF00抱一守住心中明处，归元拾回散落清息，天序将万缕来气炼入根基。经卷合上时，灯火与呼吸一同归稳。|r</ns0:t>
        </ns0:is>
      </ns0:c>
      <ns0:c r="AN50" s="11">
        <ns0:v>44</ns0:v>
      </ns0:c>
      <ns0:c r="AO50" s="11" t="s">
        <ns0:v>69</ns0:v>
      </ns0:c>
    </ns0:row>
    <ns0:row r="51" spans="1:41">
      <ns0:c r="A51" s="4"/>
      <ns0:c r="B51" s="11">
        <ns0:v>45</ns0:v>
      </ns0:c>
      <ns0:c r="C51" s="11" t="s">
        <ns0:v>1367</ns0:v>
      </ns0:c>
      <ns0:c r="D51" s="11">
        <ns0:v>20000045</ns0:v>
      </ns0:c>
      <ns0:c r="E51" s="11" t="s">
        <ns0:v>64</ns0:v>
      </ns0:c>
      <ns0:c r="F51" s="11" t="s">
        <ns0:v>65</ns0:v>
      </ns0:c>
      <ns0:c r="G51" s="11">
        <ns0:v>3</ns0:v>
      </ns0:c>
      <ns0:c r="H51" s="11">
        <ns0:v>70902006</ns0:v>
      </ns0:c>
      <ns0:c r="I51" s="11">
        <ns0:v>70902007</ns0:v>
      </ns0:c>
      <ns0:c r="J51">
        <ns0:v>70902001</ns0:v>
      </ns0:c>
      <ns0:c r="M51" s="11"/>
      <ns0:c r="N51" s="11"/>
      <ns0:c r="O51" t="n" s="11">
        <ns0:v>2</ns0:v>
      </ns0:c>
      <ns0:c r="P51" t="str" s="11">
        <ns0:v>每时辰灵气吸收</ns0:v>
      </ns0:c>
      <ns0:c r="Q51" s="24"/>
      <ns0:c r="R51" t="str" s="20">
        <ns0:v>整数</ns0:v>
      </ns0:c>
      <ns0:c r="S51" t="n">
        <ns0:v>1</ns0:v>
      </ns0:c>
      <ns0:c r="T51" t="str" s="11">
        <ns0:v>收录2件：每时辰灵气吸收+1</ns0:v>
      </ns0:c>
      <ns0:c r="U51" t="n" s="11">
        <ns0:v>3</ns0:v>
      </ns0:c>
      <ns0:c r="V51" t="str" s="11">
        <ns0:v>基础修为增幅</ns0:v>
      </ns0:c>
      <ns0:c r="W51" s="24"/>
      <ns0:c r="X51" t="str" s="20">
        <ns0:v>整数</ns0:v>
      </ns0:c>
      <ns0:c r="Y51" t="n">
        <ns0:v>100</ns0:v>
      </ns0:c>
      <ns0:c r="Z51" t="str" s="11">
        <ns0:v>收录3件：基础修为增幅+100（万分比单位）</ns0:v>
      </ns0:c>
      <ns0:c r="AA51" s="11"/>
      <ns0:c r="AB51" s="11"/>
      <ns0:c r="AC51" s="11"/>
      <ns0:c r="AD51" s="11"/>
      <ns0:c r="AE51" s="11"/>
      <ns0:c r="AF51" s="11"/>
      <ns0:c r="AG51" s="11"/>
      <ns0:c r="AH51" s="11"/>
      <ns0:c r="AI51" s="11"/>
      <ns0:c r="AJ51" s="11"/>
      <ns0:c r="AK51" s="11"/>
      <ns0:c r="AL51" s="11"/>
      <ns0:c r="AM51" s="11" t="inlineStr">
        <ns0:is>
          <ns0:t xml:space="preserve">|cff00FF00日行有度，月满有亏，晓色总从晦暗处生。修士依时吐纳，一道周天转尽，窗前又添半寸晨光。|r</ns0:t>
        </ns0:is>
      </ns0:c>
      <ns0:c r="AN51" s="11">
        <ns0:v>45</ns0:v>
      </ns0:c>
      <ns0:c r="AO51" s="11" t="s">
        <ns0:v>69</ns0:v>
      </ns0:c>
    </ns0:row>
    <ns0:row r="52" spans="1:41">
      <ns0:c r="A52" s="4"/>
      <ns0:c r="B52" s="11">
        <ns0:v>46</ns0:v>
      </ns0:c>
      <ns0:c r="C52" s="11" t="inlineStr">
        <ns0:is>
          <ns0:t xml:space="preserve">身剑同炉</ns0:t>
        </ns0:is>
      </ns0:c>
      <ns0:c r="D52" s="11">
        <ns0:v>20000046</ns0:v>
      </ns0:c>
      <ns0:c r="E52" s="11" t="s">
        <ns0:v>64</ns0:v>
      </ns0:c>
      <ns0:c r="F52" s="11" t="s">
        <ns0:v>65</ns0:v>
      </ns0:c>
      <ns0:c r="G52" s="11">
        <ns0:v>2</ns0:v>
      </ns0:c>
      <ns0:c r="H52" s="11">
        <ns0:v>70902013</ns0:v>
      </ns0:c>
      <ns0:c r="I52" s="11">
        <ns0:v>70902015</ns0:v>
      </ns0:c>
      <ns0:c r="M52" s="11"/>
      <ns0:c r="N52" s="11"/>
      <ns0:c r="O52" t="n" s="11">
        <ns0:v>2</ns0:v>
      </ns0:c>
      <ns0:c r="P52" t="str" s="11">
        <ns0:v>基础修为增幅</ns0:v>
      </ns0:c>
      <ns0:c r="Q52" s="24"/>
      <ns0:c r="R52" t="str" s="20">
        <ns0:v>整数</ns0:v>
      </ns0:c>
      <ns0:c r="S52" t="n">
        <ns0:v>100</ns0:v>
      </ns0:c>
      <ns0:c r="T52" t="str" s="11">
        <ns0:v>收录2件：基础修为增幅+100（万分比单位）</ns0:v>
      </ns0:c>
      <ns0:c r="U52" s="11"/>
      <ns0:c r="V52" s="11"/>
      <ns0:c r="W52" s="11"/>
      <ns0:c r="X52" s="11"/>
      <ns0:c r="Y52" s="11"/>
      <ns0:c r="Z52" s="11"/>
      <ns0:c r="AA52" s="11"/>
      <ns0:c r="AB52" s="11"/>
      <ns0:c r="AC52" s="11"/>
      <ns0:c r="AD52" s="11"/>
      <ns0:c r="AE52" s="11"/>
      <ns0:c r="AF52" s="11"/>
      <ns0:c r="AG52" s="11"/>
      <ns0:c r="AH52" s="11"/>
      <ns0:c r="AI52" s="11"/>
      <ns0:c r="AJ52" s="11"/>
      <ns0:c r="AK52" s="11"/>
      <ns0:c r="AL52" s="11"/>
      <ns0:c r="AM52" s="11" t="inlineStr">
        <ns0:is>
          <ns0:t xml:space="preserve">|cff00FF00剑在膝上养锋，身于百炼中淬元。久坐之后，指节与剑脊同泛沉光，人未起身，已似一柄藏锋的剑。|r</ns0:t>
        </ns0:is>
      </ns0:c>
      <ns0:c r="AN52" s="11">
        <ns0:v>46</ns0:v>
      </ns0:c>
      <ns0:c r="AO52" s="11" t="s">
        <ns0:v>69</ns0:v>
      </ns0:c>
    </ns0:row>
    <ns0:row r="53" spans="1:41">
      <ns0:c r="A53" s="4"/>
      <ns0:c r="B53" s="11">
        <ns0:v>47</ns0:v>
      </ns0:c>
      <ns0:c r="C53" s="11" t="s">
        <ns0:v>1371</ns0:v>
      </ns0:c>
      <ns0:c r="D53" s="11">
        <ns0:v>20000047</ns0:v>
      </ns0:c>
      <ns0:c r="E53" s="11" t="s">
        <ns0:v>64</ns0:v>
      </ns0:c>
      <ns0:c r="F53" s="11" t="s">
        <ns0:v>65</ns0:v>
      </ns0:c>
      <ns0:c r="G53" s="11">
        <ns0:v>3</ns0:v>
      </ns0:c>
      <ns0:c r="H53" s="11">
        <ns0:v>70902010</ns0:v>
      </ns0:c>
      <ns0:c r="I53" s="11">
        <ns0:v>70902014</ns0:v>
      </ns0:c>
      <ns0:c r="J53">
        <ns0:v>70902011</ns0:v>
      </ns0:c>
      <ns0:c r="M53" s="11"/>
      <ns0:c r="N53" s="11"/>
      <ns0:c r="O53" t="n" s="11">
        <ns0:v>2</ns0:v>
      </ns0:c>
      <ns0:c r="P53" t="str" s="11">
        <ns0:v>额外转化值</ns0:v>
      </ns0:c>
      <ns0:c r="Q53" s="24"/>
      <ns0:c r="R53" t="str" s="20">
        <ns0:v>整数</ns0:v>
      </ns0:c>
      <ns0:c r="S53" t="n">
        <ns0:v>1</ns0:v>
      </ns0:c>
      <ns0:c r="T53" t="str" s="11">
        <ns0:v>收录2件：额外转化值+1</ns0:v>
      </ns0:c>
      <ns0:c r="U53" t="n" s="11">
        <ns0:v>3</ns0:v>
      </ns0:c>
      <ns0:c r="V53" t="str" s="11">
        <ns0:v>每时辰灵气吸收</ns0:v>
      </ns0:c>
      <ns0:c r="W53" s="24"/>
      <ns0:c r="X53" t="str" s="20">
        <ns0:v>整数</ns0:v>
      </ns0:c>
      <ns0:c r="Y53" t="n">
        <ns0:v>1</ns0:v>
      </ns0:c>
      <ns0:c r="Z53" t="str" s="11">
        <ns0:v>收录3件：每时辰灵气吸收+1</ns0:v>
      </ns0:c>
      <ns0:c r="AA53" s="11"/>
      <ns0:c r="AB53" s="11"/>
      <ns0:c r="AC53" s="11"/>
      <ns0:c r="AD53" s="11"/>
      <ns0:c r="AE53" s="11"/>
      <ns0:c r="AF53" s="11"/>
      <ns0:c r="AG53" s="11"/>
      <ns0:c r="AH53" s="11"/>
      <ns0:c r="AI53" s="11"/>
      <ns0:c r="AJ53" s="11"/>
      <ns0:c r="AK53" s="11"/>
      <ns0:c r="AL53" s="11"/>
      <ns0:c r="AM53" s="11" t="inlineStr">
        <ns0:is>
          <ns0:t xml:space="preserve">|cff00FF00微尘起处，先见来势；百般神通，渐识其流。经中所悟终须临阵相印，一场风波过后，旧页便有了新意。|r</ns0:t>
        </ns0:is>
      </ns0:c>
      <ns0:c r="AN53" s="11">
        <ns0:v>47</ns0:v>
      </ns0:c>
      <ns0:c r="AO53" s="11" t="s">
        <ns0:v>69</ns0:v>
      </ns0:c>
    </ns0:row>
    <ns0:row r="54" spans="1:41">
      <ns0:c r="A54" s="4"/>
      <ns0:c r="B54" s="11">
        <ns0:v>48</ns0:v>
      </ns0:c>
      <ns0:c r="C54" s="11" t="s">
        <ns0:v>1373</ns0:v>
      </ns0:c>
      <ns0:c r="D54" s="11">
        <ns0:v>20000048</ns0:v>
      </ns0:c>
      <ns0:c r="E54" s="11" t="s">
        <ns0:v>64</ns0:v>
      </ns0:c>
      <ns0:c r="F54" s="11" t="s">
        <ns0:v>65</ns0:v>
      </ns0:c>
      <ns0:c r="G54" s="11">
        <ns0:v>3</ns0:v>
      </ns0:c>
      <ns0:c r="H54" s="11">
        <ns0:v>70902021</ns0:v>
      </ns0:c>
      <ns0:c r="I54" s="11">
        <ns0:v>70902017</ns0:v>
      </ns0:c>
      <ns0:c r="J54">
        <ns0:v>70902018</ns0:v>
      </ns0:c>
      <ns0:c r="M54" s="11"/>
      <ns0:c r="N54" s="11"/>
      <ns0:c r="O54" t="n" s="11">
        <ns0:v>2</ns0:v>
      </ns0:c>
      <ns0:c r="P54" t="str" s="11">
        <ns0:v>每时辰灵气吸收</ns0:v>
      </ns0:c>
      <ns0:c r="Q54" s="24"/>
      <ns0:c r="R54" t="str" s="20">
        <ns0:v>整数</ns0:v>
      </ns0:c>
      <ns0:c r="S54" t="n">
        <ns0:v>1</ns0:v>
      </ns0:c>
      <ns0:c r="T54" t="str" s="11">
        <ns0:v>收录2件：每时辰灵气吸收+1</ns0:v>
      </ns0:c>
      <ns0:c r="U54" t="n" s="11">
        <ns0:v>3</ns0:v>
      </ns0:c>
      <ns0:c r="V54" t="str" s="11">
        <ns0:v>基础修为增幅</ns0:v>
      </ns0:c>
      <ns0:c r="W54" s="24"/>
      <ns0:c r="X54" t="str" s="20">
        <ns0:v>整数</ns0:v>
      </ns0:c>
      <ns0:c r="Y54" t="n">
        <ns0:v>100</ns0:v>
      </ns0:c>
      <ns0:c r="Z54" t="str" s="11">
        <ns0:v>收录3件：基础修为增幅+100（万分比单位）</ns0:v>
      </ns0:c>
      <ns0:c r="AA54" s="11"/>
      <ns0:c r="AB54" s="11"/>
      <ns0:c r="AC54" s="11"/>
      <ns0:c r="AD54" s="11"/>
      <ns0:c r="AE54" s="11"/>
      <ns0:c r="AF54" s="11"/>
      <ns0:c r="AG54" s="11"/>
      <ns0:c r="AH54" s="11"/>
      <ns0:c r="AI54" s="11"/>
      <ns0:c r="AJ54" s="11"/>
      <ns0:c r="AK54" s="11"/>
      <ns0:c r="AL54" s="11"/>
      <ns0:c r="AM54" s="11" t="inlineStr">
        <ns0:is>
          <ns0:t xml:space="preserve">|cff00FF00沧溟起浪，青木抽枝，荣枯之间暗合生克。翻到经卷相应处，仿佛潮声穿林，千枝万叶一齐应答。|r</ns0:t>
        </ns0:is>
      </ns0:c>
      <ns0:c r="AN54" s="11">
        <ns0:v>48</ns0:v>
      </ns0:c>
      <ns0:c r="AO54" s="11" t="s">
        <ns0:v>69</ns0:v>
      </ns0:c>
    </ns0:row>
    <ns0:row r="55" spans="1:41">
      <ns0:c r="A55" s="4"/>
      <ns0:c r="B55" s="11">
        <ns0:v>49</ns0:v>
      </ns0:c>
      <ns0:c r="C55" s="11" t="s">
        <ns0:v>1375</ns0:v>
      </ns0:c>
      <ns0:c r="D55" s="11">
        <ns0:v>20000049</ns0:v>
      </ns0:c>
      <ns0:c r="E55" s="11" t="s">
        <ns0:v>202</ns0:v>
      </ns0:c>
      <ns0:c r="F55" s="11" t="s">
        <ns0:v>206</ns0:v>
      </ns0:c>
      <ns0:c r="G55" s="11">
        <ns0:v>2</ns0:v>
      </ns0:c>
      <ns0:c r="H55" s="11">
        <ns0:v>72034000</ns0:v>
      </ns0:c>
      <ns0:c r="I55" s="11">
        <ns0:v>72065000</ns0:v>
      </ns0:c>
      <ns0:c r="M55" s="11"/>
      <ns0:c r="N55" s="11"/>
      <ns0:c r="O55" t="n" s="11">
        <ns0:v>2</ns0:v>
      </ns0:c>
      <ns0:c r="P55" t="str" s="11">
        <ns0:v>转化值增幅</ns0:v>
      </ns0:c>
      <ns0:c r="Q55" s="24"/>
      <ns0:c r="R55" t="str" s="20">
        <ns0:v>整数</ns0:v>
      </ns0:c>
      <ns0:c r="S55" t="n">
        <ns0:v>175</ns0:v>
      </ns0:c>
      <ns0:c r="T55" t="str" s="11">
        <ns0:v>收录2件：转化值增幅+175（万分比单位）</ns0:v>
      </ns0:c>
      <ns0:c r="U55" s="11"/>
      <ns0:c r="V55" s="11"/>
      <ns0:c r="W55" s="11"/>
      <ns0:c r="X55" s="11"/>
      <ns0:c r="Y55" s="11"/>
      <ns0:c r="Z55" s="11"/>
      <ns0:c r="AA55" s="11"/>
      <ns0:c r="AB55" s="11"/>
      <ns0:c r="AC55" s="11"/>
      <ns0:c r="AD55" s="11"/>
      <ns0:c r="AE55" s="11"/>
      <ns0:c r="AF55" s="11"/>
      <ns0:c r="AG55" s="11"/>
      <ns0:c r="AH55" s="11"/>
      <ns0:c r="AI55" s="11"/>
      <ns0:c r="AJ55" s="11"/>
      <ns0:c r="AK55" s="11"/>
      <ns0:c r="AL55" s="11"/>
      <ns0:c r="AM55" s="11" t="inlineStr">
        <ns0:is>
          <ns0:t xml:space="preserve">|cff00FF00玉上枯枝还留微青，琥珀中的露影已分向两端。一痕留住将逝春意，一痕照见新生，草木荣枯尽在毫末。|r</ns0:t>
        </ns0:is>
      </ns0:c>
      <ns0:c r="AN55" s="11">
        <ns0:v>49</ns0:v>
      </ns0:c>
      <ns0:c r="AO55" s="11" t="s">
        <ns0:v>69</ns0:v>
      </ns0:c>
    </ns0:row>
    <ns0:row r="56" spans="1:41">
      <ns0:c r="A56" s="4"/>
      <ns0:c r="B56" s="11">
        <ns0:v>50</ns0:v>
      </ns0:c>
      <ns0:c r="C56" s="11" t="s">
        <ns0:v>1377</ns0:v>
      </ns0:c>
      <ns0:c r="D56" s="11">
        <ns0:v>20000050</ns0:v>
      </ns0:c>
      <ns0:c r="E56" s="11" t="s">
        <ns0:v>202</ns0:v>
      </ns0:c>
      <ns0:c r="F56" s="11" t="s">
        <ns0:v>206</ns0:v>
      </ns0:c>
      <ns0:c r="G56" s="11">
        <ns0:v>2</ns0:v>
      </ns0:c>
      <ns0:c r="H56" s="11">
        <ns0:v>72034001</ns0:v>
      </ns0:c>
      <ns0:c r="I56" s="11">
        <ns0:v>72055000</ns0:v>
      </ns0:c>
      <ns0:c r="M56" s="11"/>
      <ns0:c r="N56" s="11"/>
      <ns0:c r="O56" t="n" s="11">
        <ns0:v>2</ns0:v>
      </ns0:c>
      <ns0:c r="P56" t="str" s="11">
        <ns0:v>暴击伤害加成</ns0:v>
      </ns0:c>
      <ns0:c r="Q56" s="24"/>
      <ns0:c r="R56" t="str" s="20">
        <ns0:v>整数</ns0:v>
      </ns0:c>
      <ns0:c r="S56" t="n">
        <ns0:v>175</ns0:v>
      </ns0:c>
      <ns0:c r="T56" t="str" s="11">
        <ns0:v>收录2件：暴击伤害加成+175（万分比单位）</ns0:v>
      </ns0:c>
      <ns0:c r="U56" s="11"/>
      <ns0:c r="V56" s="11"/>
      <ns0:c r="W56" s="11"/>
      <ns0:c r="X56" s="11"/>
      <ns0:c r="Y56" s="11"/>
      <ns0:c r="Z56" s="11"/>
      <ns0:c r="AA56" s="11"/>
      <ns0:c r="AB56" s="11"/>
      <ns0:c r="AC56" s="11"/>
      <ns0:c r="AD56" s="11"/>
      <ns0:c r="AE56" s="11"/>
      <ns0:c r="AF56" s="11"/>
      <ns0:c r="AG56" s="11"/>
      <ns0:c r="AH56" s="11"/>
      <ns0:c r="AI56" s="11"/>
      <ns0:c r="AJ56" s="11"/>
      <ns0:c r="AK56" s="11"/>
      <ns0:c r="AL56" s="11"/>
      <ns0:c r="AM56" s="11" t="inlineStr">
        <ns0:is>
          <ns0:t xml:space="preserve">|cff00FF00石中银脉传来无声的回响，薄玉浅纹应之明灭。凝神良久，眼前顽石仿佛有了呼吸，幽深纹理层层舒开。|r</ns0:t>
        </ns0:is>
      </ns0:c>
      <ns0:c r="AN56" s="11">
        <ns0:v>50</ns0:v>
      </ns0:c>
      <ns0:c r="AO56" s="11" t="s">
        <ns0:v>69</ns0:v>
      </ns0:c>
    </ns0:row>
    <ns0:row r="57" spans="1:41">
      <ns0:c r="A57" s="4"/>
      <ns0:c r="B57" s="11">
        <ns0:v>51</ns0:v>
      </ns0:c>
      <ns0:c r="C57" s="11" t="s">
        <ns0:v>1379</ns0:v>
      </ns0:c>
      <ns0:c r="D57" s="11">
        <ns0:v>20000051</ns0:v>
      </ns0:c>
      <ns0:c r="E57" s="11" t="s">
        <ns0:v>202</ns0:v>
      </ns0:c>
      <ns0:c r="F57" s="11" t="s">
        <ns0:v>206</ns0:v>
      </ns0:c>
      <ns0:c r="G57" s="11">
        <ns0:v>2</ns0:v>
      </ns0:c>
      <ns0:c r="H57" s="11">
        <ns0:v>72024000</ns0:v>
      </ns0:c>
      <ns0:c r="I57" s="11">
        <ns0:v>72075000</ns0:v>
      </ns0:c>
      <ns0:c r="M57" s="11"/>
      <ns0:c r="N57" s="11"/>
      <ns0:c r="O57" t="n" s="11">
        <ns0:v>2</ns0:v>
      </ns0:c>
      <ns0:c r="P57" t="str" s="11">
        <ns0:v>神识</ns0:v>
      </ns0:c>
      <ns0:c r="Q57" s="24"/>
      <ns0:c r="R57" t="str" s="20">
        <ns0:v>整数</ns0:v>
      </ns0:c>
      <ns0:c r="S57" t="n">
        <ns0:v>3</ns0:v>
      </ns0:c>
      <ns0:c r="T57" t="str" s="11">
        <ns0:v>收录2件：神识+3</ns0:v>
      </ns0:c>
      <ns0:c r="U57" s="11"/>
      <ns0:c r="V57" s="11"/>
      <ns0:c r="W57" s="11"/>
      <ns0:c r="X57" s="11"/>
      <ns0:c r="Y57" s="11"/>
      <ns0:c r="Z57" s="11"/>
      <ns0:c r="AA57" s="11"/>
      <ns0:c r="AB57" s="11"/>
      <ns0:c r="AC57" s="11"/>
      <ns0:c r="AD57" s="11"/>
      <ns0:c r="AE57" s="11"/>
      <ns0:c r="AF57" s="11"/>
      <ns0:c r="AG57" s="11"/>
      <ns0:c r="AH57" s="11"/>
      <ns0:c r="AI57" s="11"/>
      <ns0:c r="AJ57" s="11"/>
      <ns0:c r="AK57" s="11"/>
      <ns0:c r="AL57" s="11"/>
      <ns0:c r="AM57" s="11" t="inlineStr">
        <ns0:is>
          <ns0:t xml:space="preserve">|cff00FF00玉滴边缘沉着微灰，陶片金纹向心回抱。前人炉火早已熄灭，清浊分开、药气将凝的那一息，仍在两痕之间。|r</ns0:t>
        </ns0:is>
      </ns0:c>
      <ns0:c r="AN57" s="11">
        <ns0:v>51</ns0:v>
      </ns0:c>
      <ns0:c r="AO57" s="11" t="s">
        <ns0:v>69</ns0:v>
      </ns0:c>
    </ns0:row>
    <ns0:row r="58" spans="1:41">
      <ns0:c r="A58" s="4"/>
      <ns0:c r="B58" s="11">
        <ns0:v>52</ns0:v>
      </ns0:c>
      <ns0:c r="C58" s="11" t="s">
        <ns0:v>1381</ns0:v>
      </ns0:c>
      <ns0:c r="D58" s="11">
        <ns0:v>20000052</ns0:v>
      </ns0:c>
      <ns0:c r="E58" s="11" t="s">
        <ns0:v>202</ns0:v>
      </ns0:c>
      <ns0:c r="F58" s="11" t="s">
        <ns0:v>206</ns0:v>
      </ns0:c>
      <ns0:c r="G58" s="11">
        <ns0:v>2</ns0:v>
      </ns0:c>
      <ns0:c r="H58" s="11">
        <ns0:v>72044000</ns0:v>
      </ns0:c>
      <ns0:c r="I58" s="11">
        <ns0:v>72085000</ns0:v>
      </ns0:c>
      <ns0:c r="M58" s="11"/>
      <ns0:c r="N58" s="11"/>
      <ns0:c r="O58" t="n" s="11">
        <ns0:v>2</ns0:v>
      </ns0:c>
      <ns0:c r="P58" t="str" s="11">
        <ns0:v>转化值增幅</ns0:v>
      </ns0:c>
      <ns0:c r="Q58" s="24"/>
      <ns0:c r="R58" t="str" s="20">
        <ns0:v>整数</ns0:v>
      </ns0:c>
      <ns0:c r="S58" t="n">
        <ns0:v>175</ns0:v>
      </ns0:c>
      <ns0:c r="T58" t="str" s="11">
        <ns0:v>收录2件：转化值增幅+175（万分比单位）</ns0:v>
      </ns0:c>
      <ns0:c r="U58" s="11"/>
      <ns0:c r="V58" s="11"/>
      <ns0:c r="W58" s="11"/>
      <ns0:c r="X58" s="11"/>
      <ns0:c r="Y58" s="11"/>
      <ns0:c r="Z58" s="11"/>
      <ns0:c r="AA58" s="11"/>
      <ns0:c r="AB58" s="11"/>
      <ns0:c r="AC58" s="11"/>
      <ns0:c r="AD58" s="11"/>
      <ns0:c r="AE58" s="11"/>
      <ns0:c r="AF58" s="11"/>
      <ns0:c r="AG58" s="11"/>
      <ns0:c r="AH58" s="11"/>
      <ns0:c r="AI58" s="11"/>
      <ns0:c r="AJ58" s="11"/>
      <ns0:c r="AK58" s="11"/>
      <ns0:c r="AL58" s="11"/>
      <ns0:c r="AM58" s="11" t="inlineStr">
        <ns0:is>
          <ns0:t xml:space="preserve">|cff00FF00晶中异纹相逢而无隙，陶上刀痕顺旧脉而开。器形虽未留存，那双惜材如玉的手，却把分寸留在了道痕里。|r</ns0:t>
        </ns0:is>
      </ns0:c>
      <ns0:c r="AN58" s="11">
        <ns0:v>52</ns0:v>
      </ns0:c>
      <ns0:c r="AO58" s="11" t="s">
        <ns0:v>69</ns0:v>
      </ns0:c>
    </ns0:row>
    <ns0:row r="59" spans="1:41">
      <ns0:c r="A59" s="4"/>
      <ns0:c r="B59" s="11">
        <ns0:v>53</ns0:v>
      </ns0:c>
      <ns0:c r="C59" s="11" t="inlineStr">
        <ns0:is>
          <ns0:t xml:space="preserve">锋过留痕</ns0:t>
        </ns0:is>
      </ns0:c>
      <ns0:c r="D59" s="11">
        <ns0:v>20000053</ns0:v>
      </ns0:c>
      <ns0:c r="E59" s="11" t="s">
        <ns0:v>202</ns0:v>
      </ns0:c>
      <ns0:c r="F59" s="11" t="s">
        <ns0:v>206</ns0:v>
      </ns0:c>
      <ns0:c r="G59" s="11">
        <ns0:v>2</ns0:v>
      </ns0:c>
      <ns0:c r="H59" s="11">
        <ns0:v>72054000</ns0:v>
      </ns0:c>
      <ns0:c r="I59" s="11">
        <ns0:v>72085001</ns0:v>
      </ns0:c>
      <ns0:c r="M59" s="11"/>
      <ns0:c r="N59" s="11"/>
      <ns0:c r="O59" t="n" s="11">
        <ns0:v>2</ns0:v>
      </ns0:c>
      <ns0:c r="P59" t="str" s="11">
        <ns0:v>暴击伤害加成</ns0:v>
      </ns0:c>
      <ns0:c r="Q59" s="24"/>
      <ns0:c r="R59" t="str" s="20">
        <ns0:v>整数</ns0:v>
      </ns0:c>
      <ns0:c r="S59" t="n">
        <ns0:v>175</ns0:v>
      </ns0:c>
      <ns0:c r="T59" t="str" s="11">
        <ns0:v>收录2件：暴击伤害加成+175（万分比单位）</ns0:v>
      </ns0:c>
      <ns0:c r="U59" s="11"/>
      <ns0:c r="V59" s="11"/>
      <ns0:c r="W59" s="11"/>
      <ns0:c r="X59" s="11"/>
      <ns0:c r="Y59" s="11"/>
      <ns0:c r="Z59" s="11"/>
      <ns0:c r="AA59" s="11"/>
      <ns0:c r="AB59" s="11"/>
      <ns0:c r="AC59" s="11"/>
      <ns0:c r="AD59" s="11"/>
      <ns0:c r="AE59" s="11"/>
      <ns0:c r="AF59" s="11"/>
      <ns0:c r="AG59" s="11"/>
      <ns0:c r="AH59" s="11"/>
      <ns0:c r="AI59" s="11"/>
      <ns0:c r="AJ59" s="11"/>
      <ns0:c r="AK59" s="11"/>
      <ns0:c r="AL59" s="11"/>
      <ns0:c r="AM59" s="11" t="inlineStr">
        <ns0:is>
          <ns0:t xml:space="preserve">|cff00FF00狭长玉光一贯而出，素片余纹迟迟未散。符火燃尽之后，仍有锋意穿过灰烬，像弦停而音未绝。|r</ns0:t>
        </ns0:is>
      </ns0:c>
      <ns0:c r="AN59" s="11">
        <ns0:v>53</ns0:v>
      </ns0:c>
      <ns0:c r="AO59" s="11" t="s">
        <ns0:v>69</ns0:v>
      </ns0:c>
    </ns0:row>
    <ns0:row r="60" spans="1:41">
      <ns0:c r="A60" s="4"/>
      <ns0:c r="B60" s="11">
        <ns0:v>54</ns0:v>
      </ns0:c>
      <ns0:c r="C60" s="11" t="s">
        <ns0:v>1385</ns0:v>
      </ns0:c>
      <ns0:c r="D60" s="11">
        <ns0:v>20000054</ns0:v>
      </ns0:c>
      <ns0:c r="E60" s="11" t="s">
        <ns0:v>202</ns0:v>
      </ns0:c>
      <ns0:c r="F60" s="11" t="s">
        <ns0:v>206</ns0:v>
      </ns0:c>
      <ns0:c r="G60" s="11">
        <ns0:v>2</ns0:v>
      </ns0:c>
      <ns0:c r="H60" s="11">
        <ns0:v>72044001</ns0:v>
      </ns0:c>
      <ns0:c r="I60" s="11">
        <ns0:v>72085002</ns0:v>
      </ns0:c>
      <ns0:c r="M60" s="11"/>
      <ns0:c r="N60" s="11"/>
      <ns0:c r="O60" t="n" s="11">
        <ns0:v>2</ns0:v>
      </ns0:c>
      <ns0:c r="P60" t="str" s="11">
        <ns0:v>神识</ns0:v>
      </ns0:c>
      <ns0:c r="Q60" s="24"/>
      <ns0:c r="R60" t="str" s="20">
        <ns0:v>整数</ns0:v>
      </ns0:c>
      <ns0:c r="S60" t="n">
        <ns0:v>3</ns0:v>
      </ns0:c>
      <ns0:c r="T60" t="str" s="11">
        <ns0:v>收录2件：神识+3</ns0:v>
      </ns0:c>
      <ns0:c r="U60" s="11"/>
      <ns0:c r="V60" s="11"/>
      <ns0:c r="W60" s="11"/>
      <ns0:c r="X60" s="11"/>
      <ns0:c r="Y60" s="11"/>
      <ns0:c r="Z60" s="11"/>
      <ns0:c r="AA60" s="11"/>
      <ns0:c r="AB60" s="11"/>
      <ns0:c r="AC60" s="11"/>
      <ns0:c r="AD60" s="11"/>
      <ns0:c r="AE60" s="11"/>
      <ns0:c r="AF60" s="11"/>
      <ns0:c r="AG60" s="11"/>
      <ns0:c r="AH60" s="11"/>
      <ns0:c r="AI60" s="11"/>
      <ns0:c r="AJ60" s="11"/>
      <ns0:c r="AK60" s="11"/>
      <ns0:c r="AL60" s="11"/>
      <ns0:c r="AM60" s="11" t="inlineStr">
        <ns0:is>
          <ns0:t xml:space="preserve">|cff00FF00石上淡环渐远，晶中柔光相承。近处阵纹已静，远处枝叶才轻轻低下，仿佛一场迟来的雨，终于落到根旁。|r</ns0:t>
        </ns0:is>
      </ns0:c>
      <ns0:c r="AN60" s="11">
        <ns0:v>54</ns0:v>
      </ns0:c>
      <ns0:c r="AO60" s="11" t="s">
        <ns0:v>69</ns0:v>
      </ns0:c>
    </ns0:row>
    <ns0:row r="61" spans="1:41">
      <ns0:c r="A61" s="4"/>
      <ns0:c r="B61" s="11">
        <ns0:v>55</ns0:v>
      </ns0:c>
      <ns0:c r="C61" s="11" t="s">
        <ns0:v>1387</ns0:v>
      </ns0:c>
      <ns0:c r="D61" s="11">
        <ns0:v>20000055</ns0:v>
      </ns0:c>
      <ns0:c r="E61" s="11" t="s">
        <ns0:v>202</ns0:v>
      </ns0:c>
      <ns0:c r="F61" s="11" t="s">
        <ns0:v>206</ns0:v>
      </ns0:c>
      <ns0:c r="G61" s="11">
        <ns0:v>2</ns0:v>
      </ns0:c>
      <ns0:c r="H61" s="11">
        <ns0:v>72054001</ns0:v>
      </ns0:c>
      <ns0:c r="I61" s="11">
        <ns0:v>72085003</ns0:v>
      </ns0:c>
      <ns0:c r="M61" s="11"/>
      <ns0:c r="N61" s="11"/>
      <ns0:c r="O61" t="n" s="11">
        <ns0:v>2</ns0:v>
      </ns0:c>
      <ns0:c r="P61" t="str" s="11">
        <ns0:v>转化值增幅</ns0:v>
      </ns0:c>
      <ns0:c r="Q61" s="24"/>
      <ns0:c r="R61" t="str" s="20">
        <ns0:v>整数</ns0:v>
      </ns0:c>
      <ns0:c r="S61" t="n">
        <ns0:v>175</ns0:v>
      </ns0:c>
      <ns0:c r="T61" t="str" s="11">
        <ns0:v>收录2件：转化值增幅+175（万分比单位）</ns0:v>
      </ns0:c>
      <ns0:c r="U61" s="11"/>
      <ns0:c r="V61" s="11"/>
      <ns0:c r="W61" s="11"/>
      <ns0:c r="X61" s="11"/>
      <ns0:c r="Y61" s="11"/>
      <ns0:c r="Z61" s="11"/>
      <ns0:c r="AA61" s="11"/>
      <ns0:c r="AB61" s="11"/>
      <ns0:c r="AC61" s="11"/>
      <ns0:c r="AD61" s="11"/>
      <ns0:c r="AE61" s="11"/>
      <ns0:c r="AF61" s="11"/>
      <ns0:c r="AG61" s="11"/>
      <ns0:c r="AH61" s="11"/>
      <ns0:c r="AI61" s="11"/>
      <ns0:c r="AJ61" s="11"/>
      <ns0:c r="AK61" s="11"/>
      <ns0:c r="AL61" s="11"/>
      <ns0:c r="AM61" s="11" t="inlineStr">
        <ns0:is>
          <ns0:t xml:space="preserve">|cff00FF00玉中两息起落相随，骨上爪影应念而动。人未开口，灵兽已回首望来；并肩走过的岁月，原来早有痕迹。|r</ns0:t>
        </ns0:is>
      </ns0:c>
      <ns0:c r="AN61" s="11">
        <ns0:v>55</ns0:v>
      </ns0:c>
      <ns0:c r="AO61" s="11" t="s">
        <ns0:v>69</ns0:v>
      </ns0:c>
    </ns0:row>
    <ns0:row r="62" spans="1:41">
      <ns0:c r="A62" s="4"/>
      <ns0:c r="B62" s="11">
        <ns0:v>56</ns0:v>
      </ns0:c>
      <ns0:c r="C62" s="11" t="s">
        <ns0:v>1389</ns0:v>
      </ns0:c>
      <ns0:c r="D62" s="11">
        <ns0:v>20000056</ns0:v>
      </ns0:c>
      <ns0:c r="E62" s="11" t="s">
        <ns0:v>144</ns0:v>
      </ns0:c>
      <ns0:c r="F62" s="11" t="s">
        <ns0:v>145</ns0:v>
      </ns0:c>
      <ns0:c r="G62" s="11">
        <ns0:v>5</ns0:v>
      </ns0:c>
      <ns0:c r="H62" s="11">
        <ns0:v>71224000</ns0:v>
      </ns0:c>
      <ns0:c r="I62" s="11">
        <ns0:v>71324002</ns0:v>
      </ns0:c>
      <ns0:c r="J62">
        <ns0:v>71324003</ns0:v>
      </ns0:c>
      <ns0:c r="K62">
        <ns0:v>71324008</ns0:v>
      </ns0:c>
      <ns0:c r="L62">
        <ns0:v>71324009</ns0:v>
      </ns0:c>
      <ns0:c r="M62" s="11"/>
      <ns0:c r="N62" s="11"/>
      <ns0:c r="O62" t="n" s="11">
        <ns0:v>2</ns0:v>
      </ns0:c>
      <ns0:c r="P62" t="str" s="11">
        <ns0:v>木行增幅</ns0:v>
      </ns0:c>
      <ns0:c r="Q62" s="24"/>
      <ns0:c r="R62" t="str" s="20">
        <ns0:v>整数</ns0:v>
      </ns0:c>
      <ns0:c r="S62" t="n">
        <ns0:v>150</ns0:v>
      </ns0:c>
      <ns0:c r="T62" t="str" s="11">
        <ns0:v>收录2件：木行增幅+150（万分比单位）</ns0:v>
      </ns0:c>
      <ns0:c r="U62" t="n" s="11">
        <ns0:v>5</ns0:v>
      </ns0:c>
      <ns0:c r="V62" t="str" s="11">
        <ns0:v>每秒回血</ns0:v>
      </ns0:c>
      <ns0:c r="W62" s="24"/>
      <ns0:c r="X62" t="str" s="20">
        <ns0:v>整数</ns0:v>
      </ns0:c>
      <ns0:c r="Y62" t="n">
        <ns0:v>4</ns0:v>
      </ns0:c>
      <ns0:c r="Z62" t="str" s="11">
        <ns0:v>收录5件：每秒回血+4</ns0:v>
      </ns0:c>
      <ns0:c r="AA62" s="11"/>
      <ns0:c r="AB62" s="11"/>
      <ns0:c r="AC62" s="11"/>
      <ns0:c r="AD62" s="11"/>
      <ns0:c r="AE62" s="11"/>
      <ns0:c r="AF62" s="11"/>
      <ns0:c r="AG62" s="11"/>
      <ns0:c r="AH62" s="11"/>
      <ns0:c r="AI62" s="11"/>
      <ns0:c r="AJ62" s="11"/>
      <ns0:c r="AK62" s="11"/>
      <ns0:c r="AL62" s="11"/>
      <ns0:c r="AM62" s="11" t="inlineStr">
        <ns0:is>
          <ns0:t xml:space="preserve">|cff00FF00老参深扎土中，双藤攀着石隙向青处生长，厚苔覆住裸露根脚。药圃一角，竟也藏着山林相依的气象。|r</ns0:t>
        </ns0:is>
      </ns0:c>
      <ns0:c r="AN62" s="11">
        <ns0:v>56</ns0:v>
      </ns0:c>
      <ns0:c r="AO62" s="11" t="s">
        <ns0:v>69</ns0:v>
      </ns0:c>
    </ns0:row>
    <ns0:row r="63" spans="1:41">
      <ns0:c r="A63" s="4"/>
      <ns0:c r="B63" s="11">
        <ns0:v>57</ns0:v>
      </ns0:c>
      <ns0:c r="C63" s="11" t="inlineStr">
        <ns0:is>
          <ns0:t xml:space="preserve">五味藏真</ns0:t>
        </ns0:is>
      </ns0:c>
      <ns0:c r="D63" s="11">
        <ns0:v>20000057</ns0:v>
      </ns0:c>
      <ns0:c r="E63" s="11" t="s">
        <ns0:v>144</ns0:v>
      </ns0:c>
      <ns0:c r="F63" s="11" t="s">
        <ns0:v>145</ns0:v>
      </ns0:c>
      <ns0:c r="G63" s="11">
        <ns0:v>5</ns0:v>
      </ns0:c>
      <ns0:c r="H63" s="11">
        <ns0:v>71524000</ns0:v>
      </ns0:c>
      <ns0:c r="I63" s="11">
        <ns0:v>71524003</ns0:v>
      </ns0:c>
      <ns0:c r="J63">
        <ns0:v>71524005</ns0:v>
      </ns0:c>
      <ns0:c r="K63">
        <ns0:v>71524007</ns0:v>
      </ns0:c>
      <ns0:c r="L63">
        <ns0:v>71524009</ns0:v>
      </ns0:c>
      <ns0:c r="M63" s="11"/>
      <ns0:c r="N63" s="11"/>
      <ns0:c r="O63" t="n" s="11">
        <ns0:v>2</ns0:v>
      </ns0:c>
      <ns0:c r="P63" t="str" s="11">
        <ns0:v>每秒回血</ns0:v>
      </ns0:c>
      <ns0:c r="Q63" s="24"/>
      <ns0:c r="R63" t="str" s="20">
        <ns0:v>整数</ns0:v>
      </ns0:c>
      <ns0:c r="S63" t="n">
        <ns0:v>2</ns0:v>
      </ns0:c>
      <ns0:c r="T63" t="str" s="11">
        <ns0:v>收录2件：每秒回血+2</ns0:v>
      </ns0:c>
      <ns0:c r="U63" t="n" s="11">
        <ns0:v>5</ns0:v>
      </ns0:c>
      <ns0:c r="V63" t="str" s="11">
        <ns0:v>生命值</ns0:v>
      </ns0:c>
      <ns0:c r="W63" s="24"/>
      <ns0:c r="X63" t="str" s="20">
        <ns0:v>整数</ns0:v>
      </ns0:c>
      <ns0:c r="Y63" t="n">
        <ns0:v>4</ns0:v>
      </ns0:c>
      <ns0:c r="Z63" t="str" s="11">
        <ns0:v>收录5件：生命值+4</ns0:v>
      </ns0:c>
      <ns0:c r="AA63" s="11"/>
      <ns0:c r="AB63" s="11"/>
      <ns0:c r="AC63" s="11"/>
      <ns0:c r="AD63" s="11"/>
      <ns0:c r="AE63" s="11"/>
      <ns0:c r="AF63" s="11"/>
      <ns0:c r="AG63" s="11"/>
      <ns0:c r="AH63" s="11"/>
      <ns0:c r="AI63" s="11"/>
      <ns0:c r="AJ63" s="11"/>
      <ns0:c r="AK63" s="11"/>
      <ns0:c r="AL63" s="11"/>
      <ns0:c r="AM63" s="11" t="inlineStr">
        <ns0:is>
          <ns0:t xml:space="preserve">|cff00FF00辛露醒晨，甘果藏日，梅酸、参苦与海苔咸意各有余韵。丹师拈取山海五味，舌尖尝过的，亦是草木一生。|r</ns0:t>
        </ns0:is>
      </ns0:c>
      <ns0:c r="AN63" s="11">
        <ns0:v>57</ns0:v>
      </ns0:c>
      <ns0:c r="AO63" s="11" t="s">
        <ns0:v>69</ns0:v>
      </ns0:c>
    </ns0:row>
    <ns0:row r="64" spans="1:41">
      <ns0:c r="A64" s="4"/>
      <ns0:c r="B64" s="11">
        <ns0:v>58</ns0:v>
      </ns0:c>
      <ns0:c r="C64" s="11" t="s">
        <ns0:v>1393</ns0:v>
      </ns0:c>
      <ns0:c r="D64" s="11">
        <ns0:v>20000058</ns0:v>
      </ns0:c>
      <ns0:c r="E64" s="11" t="s">
        <ns0:v>601</ns0:v>
      </ns0:c>
      <ns0:c r="F64" s="11" t="s">
        <ns0:v>145</ns0:v>
      </ns0:c>
      <ns0:c r="G64" s="11">
        <ns0:v>5</ns0:v>
      </ns0:c>
      <ns0:c r="H64" s="11">
        <ns0:v>72624005</ns0:v>
      </ns0:c>
      <ns0:c r="I64" s="11">
        <ns0:v>72624006</ns0:v>
      </ns0:c>
      <ns0:c r="J64">
        <ns0:v>72624007</ns0:v>
      </ns0:c>
      <ns0:c r="K64">
        <ns0:v>72624008</ns0:v>
      </ns0:c>
      <ns0:c r="L64">
        <ns0:v>72624009</ns0:v>
      </ns0:c>
      <ns0:c r="M64" s="11"/>
      <ns0:c r="N64" s="11"/>
      <ns0:c r="O64" t="n" s="11">
        <ns0:v>2</ns0:v>
      </ns0:c>
      <ns0:c r="P64" t="str" s="11">
        <ns0:v>法防上限</ns0:v>
      </ns0:c>
      <ns0:c r="Q64" s="24"/>
      <ns0:c r="R64" t="str" s="20">
        <ns0:v>整数</ns0:v>
      </ns0:c>
      <ns0:c r="S64" t="n">
        <ns0:v>2</ns0:v>
      </ns0:c>
      <ns0:c r="T64" t="str" s="11">
        <ns0:v>收录2件：法防上限+2</ns0:v>
      </ns0:c>
      <ns0:c r="U64" t="n" s="11">
        <ns0:v>5</ns0:v>
      </ns0:c>
      <ns0:c r="V64" t="str" s="11">
        <ns0:v>伤害减免</ns0:v>
      </ns0:c>
      <ns0:c r="W64" s="24"/>
      <ns0:c r="X64" t="str" s="20">
        <ns0:v>整数</ns0:v>
      </ns0:c>
      <ns0:c r="Y64" t="n">
        <ns0:v>4</ns0:v>
      </ns0:c>
      <ns0:c r="Z64" t="str" s="11">
        <ns0:v>收录5件：伤害减免+4</ns0:v>
      </ns0:c>
      <ns0:c r="AA64" s="11"/>
      <ns0:c r="AB64" s="11"/>
      <ns0:c r="AC64" s="11"/>
      <ns0:c r="AD64" s="11"/>
      <ns0:c r="AE64" s="11"/>
      <ns0:c r="AF64" s="11"/>
      <ns0:c r="AG64" s="11"/>
      <ns0:c r="AH64" s="11"/>
      <ns0:c r="AI64" s="11"/>
      <ns0:c r="AJ64" s="11"/>
      <ns0:c r="AK64" s="11"/>
      <ns0:c r="AL64" s="11"/>
      <ns0:c r="AM64" s="11" t="inlineStr">
        <ns0:is>
          <ns0:t xml:space="preserve">|cff00FF00五缕无形之气，在幽处结成可触的灵华。金光敛、木意舒，水火流转其间，一抔厚土静静承住诸色。|r</ns0:t>
        </ns0:is>
      </ns0:c>
      <ns0:c r="AN64" s="11">
        <ns0:v>58</ns0:v>
      </ns0:c>
      <ns0:c r="AO64" s="11" t="s">
        <ns0:v>69</ns0:v>
      </ns0:c>
    </ns0:row>
    <ns0:row r="65" spans="1:41">
      <ns0:c r="A65" s="4"/>
      <ns0:c r="B65" s="11">
        <ns0:v>59</ns0:v>
      </ns0:c>
      <ns0:c r="C65" s="11" t="s">
        <ns0:v>1395</ns0:v>
      </ns0:c>
      <ns0:c r="D65" s="11">
        <ns0:v>20000059</ns0:v>
      </ns0:c>
      <ns0:c r="E65" s="11" t="s">
        <ns0:v>601</ns0:v>
      </ns0:c>
      <ns0:c r="F65" s="11" t="s">
        <ns0:v>145</ns0:v>
      </ns0:c>
      <ns0:c r="G65" s="11">
        <ns0:v>5</ns0:v>
      </ns0:c>
      <ns0:c r="H65" s="11">
        <ns0:v>72824010</ns0:v>
      </ns0:c>
      <ns0:c r="I65" s="11">
        <ns0:v>72324011</ns0:v>
      </ns0:c>
      <ns0:c r="J65">
        <ns0:v>72834017</ns0:v>
      </ns0:c>
      <ns0:c r="K65">
        <ns0:v>72534019</ns0:v>
      </ns0:c>
      <ns0:c r="L65">
        <ns0:v>72534035</ns0:v>
      </ns0:c>
      <ns0:c r="M65" s="11"/>
      <ns0:c r="N65" s="11"/>
      <ns0:c r="O65" t="n" s="11">
        <ns0:v>2</ns0:v>
      </ns0:c>
      <ns0:c r="P65" t="str" s="11">
        <ns0:v>伤害减免</ns0:v>
      </ns0:c>
      <ns0:c r="Q65" s="24"/>
      <ns0:c r="R65" t="str" s="20">
        <ns0:v>整数</ns0:v>
      </ns0:c>
      <ns0:c r="S65" t="n">
        <ns0:v>2</ns0:v>
      </ns0:c>
      <ns0:c r="T65" t="str" s="11">
        <ns0:v>收录2件：伤害减免+2</ns0:v>
      </ns0:c>
      <ns0:c r="U65" t="n" s="11">
        <ns0:v>5</ns0:v>
      </ns0:c>
      <ns0:c r="V65" t="str" s="11">
        <ns0:v>物防上限</ns0:v>
      </ns0:c>
      <ns0:c r="W65" s="24"/>
      <ns0:c r="X65" t="str" s="20">
        <ns0:v>整数</ns0:v>
      </ns0:c>
      <ns0:c r="Y65" t="n">
        <ns0:v>4</ns0:v>
      </ns0:c>
      <ns0:c r="Z65" t="str" s="11">
        <ns0:v>收录5件：物防上限+4</ns0:v>
      </ns0:c>
      <ns0:c r="AA65" s="11"/>
      <ns0:c r="AB65" s="11"/>
      <ns0:c r="AC65" s="11"/>
      <ns0:c r="AD65" s="11"/>
      <ns0:c r="AE65" s="11"/>
      <ns0:c r="AF65" s="11"/>
      <ns0:c r="AG65" s="11"/>
      <ns0:c r="AH65" s="11"/>
      <ns0:c r="AI65" s="11"/>
      <ns0:c r="AJ65" s="11"/>
      <ns0:c r="AK65" s="11"/>
      <ns0:c r="AL65" s="11"/>
      <ns0:c r="AM65" s="11" t="inlineStr">
        <ns0:is>
          <ns0:t xml:space="preserve">|cff00FF00骨藏于皮，鳞覆于甲，灵兽的一生曾托付其间。石乳徐徐浸过旧纹，山野遗下的坚韧，又有了可续的余地。|r</ns0:t>
        </ns0:is>
      </ns0:c>
      <ns0:c r="AN65" s="11">
        <ns0:v>59</ns0:v>
      </ns0:c>
      <ns0:c r="AO65" s="11" t="s">
        <ns0:v>69</ns0:v>
      </ns0:c>
    </ns0:row>
    <ns0:row r="66" spans="1:41">
      <ns0:c r="A66" s="4"/>
      <ns0:c r="B66" s="11">
        <ns0:v>60</ns0:v>
      </ns0:c>
      <ns0:c r="C66" s="11" t="s">
        <ns0:v>1397</ns0:v>
      </ns0:c>
      <ns0:c r="D66" s="11">
        <ns0:v>20000060</ns0:v>
      </ns0:c>
      <ns0:c r="E66" s="11" t="s">
        <ns0:v>601</ns0:v>
      </ns0:c>
      <ns0:c r="F66" s="11" t="s">
        <ns0:v>145</ns0:v>
      </ns0:c>
      <ns0:c r="G66" s="11">
        <ns0:v>5</ns0:v>
      </ns0:c>
      <ns0:c r="H66" s="11">
        <ns0:v>72324016</ns0:v>
      </ns0:c>
      <ns0:c r="I66" s="11">
        <ns0:v>72634003</ns0:v>
      </ns0:c>
      <ns0:c r="J66">
        <ns0:v>72634010</ns0:v>
      </ns0:c>
      <ns0:c r="K66">
        <ns0:v>72354032</ns0:v>
      </ns0:c>
      <ns0:c r="L66">
        <ns0:v>72354007</ns0:v>
      </ns0:c>
      <ns0:c r="M66" s="11"/>
      <ns0:c r="N66" s="11"/>
      <ns0:c r="O66" t="n" s="11">
        <ns0:v>2</ns0:v>
      </ns0:c>
      <ns0:c r="P66" t="str" s="11">
        <ns0:v>物防上限</ns0:v>
      </ns0:c>
      <ns0:c r="Q66" s="24"/>
      <ns0:c r="R66" t="str" s="20">
        <ns0:v>整数</ns0:v>
      </ns0:c>
      <ns0:c r="S66" t="n">
        <ns0:v>2</ns0:v>
      </ns0:c>
      <ns0:c r="T66" t="str" s="11">
        <ns0:v>收录2件：物防上限+2</ns0:v>
      </ns0:c>
      <ns0:c r="U66" t="n" s="11">
        <ns0:v>5</ns0:v>
      </ns0:c>
      <ns0:c r="V66" t="str" s="11">
        <ns0:v>法防上限</ns0:v>
      </ns0:c>
      <ns0:c r="W66" s="24"/>
      <ns0:c r="X66" t="str" s="20">
        <ns0:v>整数</ns0:v>
      </ns0:c>
      <ns0:c r="Y66" t="n">
        <ns0:v>4</ns0:v>
      </ns0:c>
      <ns0:c r="Z66" t="str" s="11">
        <ns0:v>收录5件：法防上限+4</ns0:v>
      </ns0:c>
      <ns0:c r="AA66" s="11"/>
      <ns0:c r="AB66" s="11"/>
      <ns0:c r="AC66" s="11"/>
      <ns0:c r="AD66" s="11"/>
      <ns0:c r="AE66" s="11"/>
      <ns0:c r="AF66" s="11"/>
      <ns0:c r="AG66" s="11"/>
      <ns0:c r="AH66" s="11"/>
      <ns0:c r="AI66" s="11"/>
      <ns0:c r="AJ66" s="11"/>
      <ns0:c r="AK66" s="11"/>
      <ns0:c r="AL66" s="11"/>
      <ns0:c r="AM66" s="11" t="inlineStr">
        <ns0:is>
          <ns0:t xml:space="preserve">|cff00FF00木已离根，芯中旧路犹在；灵核与残识，仍记着风来雨去。藤蔓轻舒，云木含润，几段旧材竟凑出满室春声。|r</ns0:t>
        </ns0:is>
      </ns0:c>
      <ns0:c r="AN66" s="11">
        <ns0:v>60</ns0:v>
      </ns0:c>
      <ns0:c r="AO66" s="11" t="s">
        <ns0:v>69</ns0:v>
      </ns0:c>
    </ns0:row>
    <ns0:row r="67" spans="1:41">
      <ns0:c r="A67" s="4"/>
      <ns0:c r="B67" s="11">
        <ns0:v>61</ns0:v>
      </ns0:c>
      <ns0:c r="C67" s="11" t="s">
        <ns0:v>1399</ns0:v>
      </ns0:c>
      <ns0:c r="D67" s="11">
        <ns0:v>20000061</ns0:v>
      </ns0:c>
      <ns0:c r="E67" s="11" t="s">
        <ns0:v>601</ns0:v>
      </ns0:c>
      <ns0:c r="F67" s="11" t="s">
        <ns0:v>145</ns0:v>
      </ns0:c>
      <ns0:c r="G67" s="11">
        <ns0:v>5</ns0:v>
      </ns0:c>
      <ns0:c r="H67" s="11">
        <ns0:v>72334024</ns0:v>
      </ns0:c>
      <ns0:c r="I67" s="11">
        <ns0:v>72344022</ns0:v>
      </ns0:c>
      <ns0:c r="J67">
        <ns0:v>72344027</ns0:v>
      </ns0:c>
      <ns0:c r="K67">
        <ns0:v>72354002</ns0:v>
      </ns0:c>
      <ns0:c r="L67">
        <ns0:v>72374024</ns0:v>
      </ns0:c>
      <ns0:c r="M67" s="11"/>
      <ns0:c r="N67" s="11"/>
      <ns0:c r="O67" t="n" s="11">
        <ns0:v>2</ns0:v>
      </ns0:c>
      <ns0:c r="P67" t="str" s="11">
        <ns0:v>法防上限</ns0:v>
      </ns0:c>
      <ns0:c r="Q67" s="24"/>
      <ns0:c r="R67" t="str" s="20">
        <ns0:v>整数</ns0:v>
      </ns0:c>
      <ns0:c r="S67" t="n">
        <ns0:v>2</ns0:v>
      </ns0:c>
      <ns0:c r="T67" t="str" s="11">
        <ns0:v>收录2件：法防上限+2</ns0:v>
      </ns0:c>
      <ns0:c r="U67" t="n" s="11">
        <ns0:v>5</ns0:v>
      </ns0:c>
      <ns0:c r="V67" t="str" s="11">
        <ns0:v>伤害减免</ns0:v>
      </ns0:c>
      <ns0:c r="W67" s="24"/>
      <ns0:c r="X67" t="str" s="20">
        <ns0:v>整数</ns0:v>
      </ns0:c>
      <ns0:c r="Y67" t="n">
        <ns0:v>4</ns0:v>
      </ns0:c>
      <ns0:c r="Z67" t="str" s="11">
        <ns0:v>收录5件：伤害减免+4</ns0:v>
      </ns0:c>
      <ns0:c r="AA67" s="11"/>
      <ns0:c r="AB67" s="11"/>
      <ns0:c r="AC67" s="11"/>
      <ns0:c r="AD67" s="11"/>
      <ns0:c r="AE67" s="11"/>
      <ns0:c r="AF67" s="11"/>
      <ns0:c r="AG67" s="11"/>
      <ns0:c r="AH67" s="11"/>
      <ns0:c r="AI67" s="11"/>
      <ns0:c r="AJ67" s="11"/>
      <ns0:c r="AK67" s="11"/>
      <ns0:c r="AL67" s="11"/>
      <ns0:c r="AM67" s="11" t="inlineStr">
        <ns0:is>
          <ns0:t xml:space="preserve">|cff00FF00星铁幽沉，赤铜含霞，炉中诸金渐被火色照亮。锤声未起，沉重与清锐已各有回响，等着匠人定下器名。|r</ns0:t>
        </ns0:is>
      </ns0:c>
      <ns0:c r="AN67" s="11">
        <ns0:v>61</ns0:v>
      </ns0:c>
      <ns0:c r="AO67" s="11" t="s">
        <ns0:v>69</ns0:v>
      </ns0:c>
    </ns0:row>
    <ns0:row r="68" spans="1:41">
      <ns0:c r="A68" s="4"/>
      <ns0:c r="B68" s="11">
        <ns0:v>62</ns0:v>
      </ns0:c>
      <ns0:c r="C68" s="11" t="s">
        <ns0:v>1401</ns0:v>
      </ns0:c>
      <ns0:c r="D68" s="11">
        <ns0:v>20000062</ns0:v>
      </ns0:c>
      <ns0:c r="E68" s="11" t="s">
        <ns0:v>601</ns0:v>
      </ns0:c>
      <ns0:c r="F68" s="11" t="s">
        <ns0:v>145</ns0:v>
      </ns0:c>
      <ns0:c r="G68" s="11">
        <ns0:v>5</ns0:v>
      </ns0:c>
      <ns0:c r="H68" s="11">
        <ns0:v>72324014</ns0:v>
      </ns0:c>
      <ns0:c r="I68" s="11">
        <ns0:v>72534028</ns0:v>
      </ns0:c>
      <ns0:c r="J68">
        <ns0:v>72334029</ns0:v>
      </ns0:c>
      <ns0:c r="K68">
        <ns0:v>72344036</ns0:v>
      </ns0:c>
      <ns0:c r="L68">
        <ns0:v>72374029</ns0:v>
      </ns0:c>
      <ns0:c r="M68" s="11"/>
      <ns0:c r="N68" s="11"/>
      <ns0:c r="O68" t="n" s="11">
        <ns0:v>2</ns0:v>
      </ns0:c>
      <ns0:c r="P68" t="str" s="11">
        <ns0:v>伤害减免</ns0:v>
      </ns0:c>
      <ns0:c r="Q68" s="24"/>
      <ns0:c r="R68" t="str" s="20">
        <ns0:v>整数</ns0:v>
      </ns0:c>
      <ns0:c r="S68" t="n">
        <ns0:v>2</ns0:v>
      </ns0:c>
      <ns0:c r="T68" t="str" s="11">
        <ns0:v>收录2件：伤害减免+2</ns0:v>
      </ns0:c>
      <ns0:c r="U68" t="n" s="11">
        <ns0:v>5</ns0:v>
      </ns0:c>
      <ns0:c r="V68" t="str" s="11">
        <ns0:v>物防上限</ns0:v>
      </ns0:c>
      <ns0:c r="W68" s="24"/>
      <ns0:c r="X68" t="str" s="20">
        <ns0:v>整数</ns0:v>
      </ns0:c>
      <ns0:c r="Y68" t="n">
        <ns0:v>4</ns0:v>
      </ns0:c>
      <ns0:c r="Z68" t="str" s="11">
        <ns0:v>收录5件：物防上限+4</ns0:v>
      </ns0:c>
      <ns0:c r="AA68" s="11"/>
      <ns0:c r="AB68" s="11"/>
      <ns0:c r="AC68" s="11"/>
      <ns0:c r="AD68" s="11"/>
      <ns0:c r="AE68" s="11"/>
      <ns0:c r="AF68" s="11"/>
      <ns0:c r="AG68" s="11"/>
      <ns0:c r="AH68" s="11"/>
      <ns0:c r="AI68" s="11"/>
      <ns0:c r="AJ68" s="11"/>
      <ns0:c r="AK68" s="11"/>
      <ns0:c r="AL68" s="11"/>
      <ns0:c r="AM68" s="11" t="inlineStr">
        <ns0:is>
          <ns0:t xml:space="preserve">|cff00FF00夜玉留灯，明晶散彩，泉纹深处似有清声。数块温凉珍玉并陈案上，洞府未开窗，已见一室山光水色。|r</ns0:t>
        </ns0:is>
      </ns0:c>
      <ns0:c r="AN68" s="11">
        <ns0:v>62</ns0:v>
      </ns0:c>
      <ns0:c r="AO68" s="11" t="s">
        <ns0:v>69</ns0:v>
      </ns0:c>
    </ns0:row>
    <ns0:row r="69" spans="1:41">
      <ns0:c r="A69" s="4"/>
      <ns0:c r="B69" s="11">
        <ns0:v>63</ns0:v>
      </ns0:c>
      <ns0:c r="C69" s="11" t="s">
        <ns0:v>1403</ns0:v>
      </ns0:c>
      <ns0:c r="D69" s="11">
        <ns0:v>20000063</ns0:v>
      </ns0:c>
      <ns0:c r="E69" s="11" t="s">
        <ns0:v>601</ns0:v>
      </ns0:c>
      <ns0:c r="F69" s="11" t="s">
        <ns0:v>145</ns0:v>
      </ns0:c>
      <ns0:c r="G69" s="11">
        <ns0:v>5</ns0:v>
      </ns0:c>
      <ns0:c r="H69" s="11">
        <ns0:v>72344010</ns0:v>
      </ns0:c>
      <ns0:c r="I69" s="11">
        <ns0:v>72384010</ns0:v>
      </ns0:c>
      <ns0:c r="J69">
        <ns0:v>72384038</ns0:v>
      </ns0:c>
      <ns0:c r="K69">
        <ns0:v>72354010</ns0:v>
      </ns0:c>
      <ns0:c r="L69">
        <ns0:v>72384031</ns0:v>
      </ns0:c>
      <ns0:c r="M69" s="11"/>
      <ns0:c r="N69" s="11"/>
      <ns0:c r="O69" t="n" s="11">
        <ns0:v>2</ns0:v>
      </ns0:c>
      <ns0:c r="P69" t="str" s="11">
        <ns0:v>物防上限</ns0:v>
      </ns0:c>
      <ns0:c r="Q69" s="24"/>
      <ns0:c r="R69" t="str" s="20">
        <ns0:v>整数</ns0:v>
      </ns0:c>
      <ns0:c r="S69" t="n">
        <ns0:v>2</ns0:v>
      </ns0:c>
      <ns0:c r="T69" t="str" s="11">
        <ns0:v>收录2件：物防上限+2</ns0:v>
      </ns0:c>
      <ns0:c r="U69" t="n" s="11">
        <ns0:v>5</ns0:v>
      </ns0:c>
      <ns0:c r="V69" t="str" s="11">
        <ns0:v>法防上限</ns0:v>
      </ns0:c>
      <ns0:c r="W69" s="24"/>
      <ns0:c r="X69" t="str" s="20">
        <ns0:v>整数</ns0:v>
      </ns0:c>
      <ns0:c r="Y69" t="n">
        <ns0:v>4</ns0:v>
      </ns0:c>
      <ns0:c r="Z69" t="str" s="11">
        <ns0:v>收录5件：法防上限+4</ns0:v>
      </ns0:c>
      <ns0:c r="AA69" s="11"/>
      <ns0:c r="AB69" s="11"/>
      <ns0:c r="AC69" s="11"/>
      <ns0:c r="AD69" s="11"/>
      <ns0:c r="AE69" s="11"/>
      <ns0:c r="AF69" s="11"/>
      <ns0:c r="AG69" s="11"/>
      <ns0:c r="AH69" s="11"/>
      <ns0:c r="AI69" s="11"/>
      <ns0:c r="AJ69" s="11"/>
      <ns0:c r="AK69" s="11"/>
      <ns0:c r="AL69" s="11"/>
      <ns0:c r="AM69" s="11" t="inlineStr">
        <ns0:is>
          <ns0:t xml:space="preserve">|cff00FF00绢里收着余照，丝间牵着细光，竹节与木理将灵息送向远处。匠人俯身看去，方知纤毫之中，也自有山川。|r</ns0:t>
        </ns0:is>
      </ns0:c>
      <ns0:c r="AN69" s="11">
        <ns0:v>63</ns0:v>
      </ns0:c>
      <ns0:c r="AO69" s="11" t="s">
        <ns0:v>69</ns0:v>
      </ns0:c>
    </ns0:row>
    <ns0:row r="70" spans="1:41">
      <ns0:c r="A70" s="4"/>
      <ns0:c r="B70" s="11">
        <ns0:v>64</ns0:v>
      </ns0:c>
      <ns0:c r="C70" s="11" t="s">
        <ns0:v>1405</ns0:v>
      </ns0:c>
      <ns0:c r="D70" s="11">
        <ns0:v>20000064</ns0:v>
      </ns0:c>
      <ns0:c r="E70" s="11" t="s">
        <ns0:v>239</ns0:v>
      </ns0:c>
      <ns0:c r="F70" s="11" t="s">
        <ns0:v>240</ns0:v>
      </ns0:c>
      <ns0:c r="G70" s="11">
        <ns0:v>5</ns0:v>
      </ns0:c>
      <ns0:c r="H70" s="11">
        <ns0:v>71921030</ns0:v>
      </ns0:c>
      <ns0:c r="I70" s="11">
        <ns0:v>71921031</ns0:v>
      </ns0:c>
      <ns0:c r="J70">
        <ns0:v>71921032</ns0:v>
      </ns0:c>
      <ns0:c r="K70">
        <ns0:v>71921033</ns0:v>
      </ns0:c>
      <ns0:c r="L70">
        <ns0:v>71921034</ns0:v>
      </ns0:c>
      <ns0:c r="M70" s="11"/>
      <ns0:c r="N70" s="11"/>
      <ns0:c r="O70" t="n" s="11">
        <ns0:v>2</ns0:v>
      </ns0:c>
      <ns0:c r="P70" t="str" s="11">
        <ns0:v>灵力值</ns0:v>
      </ns0:c>
      <ns0:c r="Q70" s="24"/>
      <ns0:c r="R70" t="str" s="20">
        <ns0:v>整数</ns0:v>
      </ns0:c>
      <ns0:c r="S70" t="n">
        <ns0:v>1</ns0:v>
      </ns0:c>
      <ns0:c r="T70" t="str" s="11">
        <ns0:v>收录2件：灵力值+1</ns0:v>
      </ns0:c>
      <ns0:c r="U70" t="n" s="11">
        <ns0:v>5</ns0:v>
      </ns0:c>
      <ns0:c r="V70" t="str" s="11">
        <ns0:v>神识</ns0:v>
      </ns0:c>
      <ns0:c r="W70" s="24"/>
      <ns0:c r="X70" t="str" s="20">
        <ns0:v>整数</ns0:v>
      </ns0:c>
      <ns0:c r="Y70" t="n">
        <ns0:v>1</ns0:v>
      </ns0:c>
      <ns0:c r="Z70" t="str" s="11">
        <ns0:v>收录5件：神识+1</ns0:v>
      </ns0:c>
      <ns0:c r="AA70" s="11"/>
      <ns0:c r="AB70" s="11"/>
      <ns0:c r="AC70" s="11"/>
      <ns0:c r="AD70" s="11"/>
      <ns0:c r="AE70" s="11"/>
      <ns0:c r="AF70" s="11"/>
      <ns0:c r="AG70" s="11"/>
      <ns0:c r="AH70" s="11"/>
      <ns0:c r="AI70" s="11"/>
      <ns0:c r="AJ70" s="11"/>
      <ns0:c r="AK70" s="11"/>
      <ns0:c r="AL70" s="11"/>
      <ns0:c r="AM70" s="11" t="inlineStr">
        <ns0:is>
          <ns0:t xml:space="preserve">|cff00FF00丹息沿旧脉行去，宛若溪流寻到更宽的河床。寒暖五候各留水痕，至急处浪头相催，静下时方闻岸边喘息。|r</ns0:t>
        </ns0:is>
      </ns0:c>
      <ns0:c r="AN70" s="11">
        <ns0:v>64</ns0:v>
      </ns0:c>
      <ns0:c r="AO70" s="11" t="s">
        <ns0:v>69</ns0:v>
      </ns0:c>
    </ns0:row>
    <ns0:row r="71" spans="1:41">
      <ns0:c r="A71" s="4"/>
      <ns0:c r="B71" s="11">
        <ns0:v>65</ns0:v>
      </ns0:c>
      <ns0:c r="C71" s="11" t="inlineStr">
        <ns0:is>
          <ns0:t xml:space="preserve">百川守脉</ns0:t>
        </ns0:is>
      </ns0:c>
      <ns0:c r="D71" s="11">
        <ns0:v>20000065</ns0:v>
      </ns0:c>
      <ns0:c r="E71" s="11" t="s">
        <ns0:v>239</ns0:v>
      </ns0:c>
      <ns0:c r="F71" s="11" t="s">
        <ns0:v>240</ns0:v>
      </ns0:c>
      <ns0:c r="G71" s="11">
        <ns0:v>5</ns0:v>
      </ns0:c>
      <ns0:c r="H71" s="11">
        <ns0:v>71921045</ns0:v>
      </ns0:c>
      <ns0:c r="I71" s="11">
        <ns0:v>71921046</ns0:v>
      </ns0:c>
      <ns0:c r="J71">
        <ns0:v>71921047</ns0:v>
      </ns0:c>
      <ns0:c r="K71">
        <ns0:v>71921048</ns0:v>
      </ns0:c>
      <ns0:c r="L71">
        <ns0:v>71921049</ns0:v>
      </ns0:c>
      <ns0:c r="M71" s="11"/>
      <ns0:c r="N71" s="11"/>
      <ns0:c r="O71" t="n" s="11">
        <ns0:v>2</ns0:v>
      </ns0:c>
      <ns0:c r="P71" t="str" s="11">
        <ns0:v>神识</ns0:v>
      </ns0:c>
      <ns0:c r="Q71" s="24"/>
      <ns0:c r="R71" t="str" s="20">
        <ns0:v>整数</ns0:v>
      </ns0:c>
      <ns0:c r="S71" t="n">
        <ns0:v>1</ns0:v>
      </ns0:c>
      <ns0:c r="T71" t="str" s="11">
        <ns0:v>收录2件：神识+1</ns0:v>
      </ns0:c>
      <ns0:c r="U71" t="n" s="11">
        <ns0:v>5</ns0:v>
      </ns0:c>
      <ns0:c r="V71" t="str" s="11">
        <ns0:v>每秒回灵</ns0:v>
      </ns0:c>
      <ns0:c r="W71" s="24"/>
      <ns0:c r="X71" t="str" s="20">
        <ns0:v>整数</ns0:v>
      </ns0:c>
      <ns0:c r="Y71" t="n">
        <ns0:v>1</ns0:v>
      </ns0:c>
      <ns0:c r="Z71" t="str" s="11">
        <ns0:v>收录5件：每秒回灵+1</ns0:v>
      </ns0:c>
      <ns0:c r="AA71" s="11"/>
      <ns0:c r="AB71" s="11"/>
      <ns0:c r="AC71" s="11"/>
      <ns0:c r="AD71" s="11"/>
      <ns0:c r="AE71" s="11"/>
      <ns0:c r="AF71" s="11"/>
      <ns0:c r="AG71" s="11"/>
      <ns0:c r="AH71" s="11"/>
      <ns0:c r="AI71" s="11"/>
      <ns0:c r="AJ71" s="11"/>
      <ns0:c r="AK71" s="11"/>
      <ns0:c r="AL71" s="11"/>
      <ns0:c r="AM71" s="11" t="inlineStr">
        <ns0:is>
          <ns0:t xml:space="preserve">|cff00FF00千缕灵息有来有往，丹气如堤，守在气脉深处。外间神通纵横，内里清流仍循故道，蓄而不乱，行而有归。|r</ns0:t>
        </ns0:is>
      </ns0:c>
      <ns0:c r="AN71" s="11">
        <ns0:v>65</ns0:v>
      </ns0:c>
      <ns0:c r="AO71" s="11" t="s">
        <ns0:v>69</ns0:v>
      </ns0:c>
    </ns0:row>
    <ns0:row r="72" spans="1:41">
      <ns0:c r="A72" s="4"/>
      <ns0:c r="B72" s="11">
        <ns0:v>66</ns0:v>
      </ns0:c>
      <ns0:c r="C72" s="11" t="inlineStr">
        <ns0:is>
          <ns0:t xml:space="preserve">一镜澄心</ns0:t>
        </ns0:is>
      </ns0:c>
      <ns0:c r="D72" s="11">
        <ns0:v>20000066</ns0:v>
      </ns0:c>
      <ns0:c r="E72" s="11" t="s">
        <ns0:v>239</ns0:v>
      </ns0:c>
      <ns0:c r="F72" s="11" t="s">
        <ns0:v>240</ns0:v>
      </ns0:c>
      <ns0:c r="G72" s="11">
        <ns0:v>5</ns0:v>
      </ns0:c>
      <ns0:c r="H72" s="11">
        <ns0:v>71921085</ns0:v>
      </ns0:c>
      <ns0:c r="I72" s="11">
        <ns0:v>71921086</ns0:v>
      </ns0:c>
      <ns0:c r="J72">
        <ns0:v>71921087</ns0:v>
      </ns0:c>
      <ns0:c r="K72">
        <ns0:v>71921088</ns0:v>
      </ns0:c>
      <ns0:c r="L72">
        <ns0:v>71921089</ns0:v>
      </ns0:c>
      <ns0:c r="M72" s="11"/>
      <ns0:c r="N72" s="11"/>
      <ns0:c r="O72" t="n" s="11">
        <ns0:v>2</ns0:v>
      </ns0:c>
      <ns0:c r="P72" t="str" s="11">
        <ns0:v>每秒回灵</ns0:v>
      </ns0:c>
      <ns0:c r="Q72" s="24"/>
      <ns0:c r="R72" t="str" s="20">
        <ns0:v>整数</ns0:v>
      </ns0:c>
      <ns0:c r="S72" t="n">
        <ns0:v>1</ns0:v>
      </ns0:c>
      <ns0:c r="T72" t="str" s="11">
        <ns0:v>收录2件：每秒回灵+1</ns0:v>
      </ns0:c>
      <ns0:c r="U72" t="n" s="11">
        <ns0:v>5</ns0:v>
      </ns0:c>
      <ns0:c r="V72" t="str" s="11">
        <ns0:v>灵力值</ns0:v>
      </ns0:c>
      <ns0:c r="W72" s="24"/>
      <ns0:c r="X72" t="str" s="20">
        <ns0:v>整数</ns0:v>
      </ns0:c>
      <ns0:c r="Y72" t="n">
        <ns0:v>1</ns0:v>
      </ns0:c>
      <ns0:c r="Z72" t="str" s="11">
        <ns0:v>收录5件：灵力值+1</ns0:v>
      </ns0:c>
      <ns0:c r="AA72" s="11"/>
      <ns0:c r="AB72" s="11"/>
      <ns0:c r="AC72" s="11"/>
      <ns0:c r="AD72" s="11"/>
      <ns0:c r="AE72" s="11"/>
      <ns0:c r="AF72" s="11"/>
      <ns0:c r="AG72" s="11"/>
      <ns0:c r="AH72" s="11"/>
      <ns0:c r="AI72" s="11"/>
      <ns0:c r="AJ72" s="11"/>
      <ns0:c r="AK72" s="11"/>
      <ns0:c r="AL72" s="11"/>
      <ns0:c r="AM72" s="11" t="inlineStr">
        <ns0:is>
          <ns0:t xml:space="preserve">|cff00FF00心湖蒙尘时，咫尺亦如隔雾；药息渐清，远处风动草伏皆有来由。五色丹光收进眼底，灵台一镜缓缓拂明。|r</ns0:t>
        </ns0:is>
      </ns0:c>
      <ns0:c r="AN72" s="11">
        <ns0:v>66</ns0:v>
      </ns0:c>
      <ns0:c r="AO72" s="11" t="s">
        <ns0:v>69</ns0:v>
      </ns0:c>
    </ns0:row>
    <ns0:row r="73" spans="1:41">
      <ns0:c r="A73" s="4"/>
      <ns0:c r="B73" s="11">
        <ns0:v>67</ns0:v>
      </ns0:c>
      <ns0:c r="C73" s="11" t="inlineStr">
        <ns0:is>
          <ns0:t xml:space="preserve">问寿留灯</ns0:t>
        </ns0:is>
      </ns0:c>
      <ns0:c r="D73" s="11">
        <ns0:v>20000067</ns0:v>
      </ns0:c>
      <ns0:c r="E73" s="11" t="s">
        <ns0:v>239</ns0:v>
      </ns0:c>
      <ns0:c r="F73" s="11" t="s">
        <ns0:v>240</ns0:v>
      </ns0:c>
      <ns0:c r="G73" s="11">
        <ns0:v>5</ns0:v>
      </ns0:c>
      <ns0:c r="H73" s="11">
        <ns0:v>71921060</ns0:v>
      </ns0:c>
      <ns0:c r="I73" s="11">
        <ns0:v>71921061</ns0:v>
      </ns0:c>
      <ns0:c r="J73">
        <ns0:v>71921062</ns0:v>
      </ns0:c>
      <ns0:c r="K73">
        <ns0:v>71921063</ns0:v>
      </ns0:c>
      <ns0:c r="L73">
        <ns0:v>71921064</ns0:v>
      </ns0:c>
      <ns0:c r="M73" s="11"/>
      <ns0:c r="N73" s="11"/>
      <ns0:c r="O73" t="n" s="11">
        <ns0:v>2</ns0:v>
      </ns0:c>
      <ns0:c r="P73" t="str" s="11">
        <ns0:v>灵力值</ns0:v>
      </ns0:c>
      <ns0:c r="Q73" s="24"/>
      <ns0:c r="R73" t="str" s="20">
        <ns0:v>整数</ns0:v>
      </ns0:c>
      <ns0:c r="S73" t="n">
        <ns0:v>1</ns0:v>
      </ns0:c>
      <ns0:c r="T73" t="str" s="11">
        <ns0:v>收录2件：灵力值+1</ns0:v>
      </ns0:c>
      <ns0:c r="U73" t="n" s="11">
        <ns0:v>5</ns0:v>
      </ns0:c>
      <ns0:c r="V73" t="str" s="11">
        <ns0:v>神识</ns0:v>
      </ns0:c>
      <ns0:c r="W73" s="24"/>
      <ns0:c r="X73" t="str" s="20">
        <ns0:v>整数</ns0:v>
      </ns0:c>
      <ns0:c r="Y73" t="n">
        <ns0:v>1</ns0:v>
      </ns0:c>
      <ns0:c r="Z73" t="str" s="11">
        <ns0:v>收录5件：神识+1</ns0:v>
      </ns0:c>
      <ns0:c r="AA73" s="11"/>
      <ns0:c r="AB73" s="11"/>
      <ns0:c r="AC73" s="11"/>
      <ns0:c r="AD73" s="11"/>
      <ns0:c r="AE73" s="11"/>
      <ns0:c r="AF73" s="11"/>
      <ns0:c r="AG73" s="11"/>
      <ns0:c r="AH73" s="11"/>
      <ns0:c r="AI73" s="11"/>
      <ns0:c r="AJ73" s="11"/>
      <ns0:c r="AK73" s="11"/>
      <ns0:c r="AL73" s="11"/>
      <ns0:c r="AM73" s="11" t="inlineStr">
        <ns0:is>
          <ns0:t xml:space="preserve">|cff00FF00丹瓶排在灯旁，静候鬓边霜色。有药缓缓添油，有药强续残焰；求长生的人，望着灯花，久久不语。|r</ns0:t>
        </ns0:is>
      </ns0:c>
      <ns0:c r="AN73" s="11">
        <ns0:v>67</ns0:v>
      </ns0:c>
      <ns0:c r="AO73" s="11" t="s">
        <ns0:v>69</ns0:v>
      </ns0:c>
    </ns0:row>
    <ns0:row r="74" spans="1:41">
      <ns0:c r="A74" s="4"/>
      <ns0:c r="B74" s="11">
        <ns0:v>68</ns0:v>
      </ns0:c>
      <ns0:c r="C74" s="11" t="s">
        <ns0:v>1413</ns0:v>
      </ns0:c>
      <ns0:c r="D74" s="11">
        <ns0:v>20000068</ns0:v>
      </ns0:c>
      <ns0:c r="E74" s="11" t="s">
        <ns0:v>239</ns0:v>
      </ns0:c>
      <ns0:c r="F74" s="11" t="s">
        <ns0:v>240</ns0:v>
      </ns0:c>
      <ns0:c r="G74" s="11">
        <ns0:v>5</ns0:v>
      </ns0:c>
      <ns0:c r="H74" s="11">
        <ns0:v>71921065</ns0:v>
      </ns0:c>
      <ns0:c r="I74" s="11">
        <ns0:v>71921066</ns0:v>
      </ns0:c>
      <ns0:c r="J74">
        <ns0:v>71921067</ns0:v>
      </ns0:c>
      <ns0:c r="K74">
        <ns0:v>71921068</ns0:v>
      </ns0:c>
      <ns0:c r="L74">
        <ns0:v>71921069</ns0:v>
      </ns0:c>
      <ns0:c r="M74" s="11"/>
      <ns0:c r="N74" s="11"/>
      <ns0:c r="O74" t="n" s="11">
        <ns0:v>2</ns0:v>
      </ns0:c>
      <ns0:c r="P74" t="str" s="11">
        <ns0:v>神识</ns0:v>
      </ns0:c>
      <ns0:c r="Q74" s="24"/>
      <ns0:c r="R74" t="str" s="20">
        <ns0:v>整数</ns0:v>
      </ns0:c>
      <ns0:c r="S74" t="n">
        <ns0:v>1</ns0:v>
      </ns0:c>
      <ns0:c r="T74" t="str" s="11">
        <ns0:v>收录2件：神识+1</ns0:v>
      </ns0:c>
      <ns0:c r="U74" t="n" s="11">
        <ns0:v>5</ns0:v>
      </ns0:c>
      <ns0:c r="V74" t="str" s="11">
        <ns0:v>每秒回灵</ns0:v>
      </ns0:c>
      <ns0:c r="W74" s="24"/>
      <ns0:c r="X74" t="str" s="20">
        <ns0:v>整数</ns0:v>
      </ns0:c>
      <ns0:c r="Y74" t="n">
        <ns0:v>1</ns0:v>
      </ns0:c>
      <ns0:c r="Z74" t="str" s="11">
        <ns0:v>收录5件：每秒回灵+1</ns0:v>
      </ns0:c>
      <ns0:c r="AA74" s="11"/>
      <ns0:c r="AB74" s="11"/>
      <ns0:c r="AC74" s="11"/>
      <ns0:c r="AD74" s="11"/>
      <ns0:c r="AE74" s="11"/>
      <ns0:c r="AF74" s="11"/>
      <ns0:c r="AG74" s="11"/>
      <ns0:c r="AH74" s="11"/>
      <ns0:c r="AI74" s="11"/>
      <ns0:c r="AJ74" s="11"/>
      <ns0:c r="AK74" s="11"/>
      <ns0:c r="AL74" s="11"/>
      <ns0:c r="AM74" s="11" t="inlineStr">
        <ns0:is>
          <ns0:t xml:space="preserve">|cff00FF00灵根潜在魂身之间，如深埋的弦。丹气叩来，或微应，或长鸣；至烈处旧调渐改，余痛也随新声留下。|r</ns0:t>
        </ns0:is>
      </ns0:c>
      <ns0:c r="AN74" s="11">
        <ns0:v>68</ns0:v>
      </ns0:c>
      <ns0:c r="AO74" s="11" t="s">
        <ns0:v>69</ns0:v>
      </ns0:c>
    </ns0:row>
    <ns0:row r="75" spans="1:41">
      <ns0:c r="A75" s="4"/>
      <ns0:c r="B75" s="11">
        <ns0:v>69</ns0:v>
      </ns0:c>
      <ns0:c r="C75" s="11" t="inlineStr">
        <ns0:is>
          <ns0:t xml:space="preserve">厄尽春回</ns0:t>
        </ns0:is>
      </ns0:c>
      <ns0:c r="D75" s="11">
        <ns0:v>20000069</ns0:v>
      </ns0:c>
      <ns0:c r="E75" s="11" t="s">
        <ns0:v>239</ns0:v>
      </ns0:c>
      <ns0:c r="F75" s="11" t="s">
        <ns0:v>240</ns0:v>
      </ns0:c>
      <ns0:c r="G75" s="11">
        <ns0:v>5</ns0:v>
      </ns0:c>
      <ns0:c r="H75" s="11">
        <ns0:v>71921100</ns0:v>
      </ns0:c>
      <ns0:c r="I75" s="11">
        <ns0:v>71921101</ns0:v>
      </ns0:c>
      <ns0:c r="J75">
        <ns0:v>71921102</ns0:v>
      </ns0:c>
      <ns0:c r="K75">
        <ns0:v>71921103</ns0:v>
      </ns0:c>
      <ns0:c r="L75">
        <ns0:v>71921104</ns0:v>
      </ns0:c>
      <ns0:c r="M75" s="11"/>
      <ns0:c r="N75" s="11"/>
      <ns0:c r="O75" t="n" s="11">
        <ns0:v>2</ns0:v>
      </ns0:c>
      <ns0:c r="P75" t="str" s="11">
        <ns0:v>每秒回灵</ns0:v>
      </ns0:c>
      <ns0:c r="Q75" s="24"/>
      <ns0:c r="R75" t="str" s="20">
        <ns0:v>整数</ns0:v>
      </ns0:c>
      <ns0:c r="S75" t="n">
        <ns0:v>1</ns0:v>
      </ns0:c>
      <ns0:c r="T75" t="str" s="11">
        <ns0:v>收录2件：每秒回灵+1</ns0:v>
      </ns0:c>
      <ns0:c r="U75" t="n" s="11">
        <ns0:v>5</ns0:v>
      </ns0:c>
      <ns0:c r="V75" t="str" s="11">
        <ns0:v>灵力值</ns0:v>
      </ns0:c>
      <ns0:c r="W75" s="24"/>
      <ns0:c r="X75" t="str" s="20">
        <ns0:v>整数</ns0:v>
      </ns0:c>
      <ns0:c r="Y75" t="n">
        <ns0:v>1</ns0:v>
      </ns0:c>
      <ns0:c r="Z75" t="str" s="11">
        <ns0:v>收录5件：灵力值+1</ns0:v>
      </ns0:c>
      <ns0:c r="AA75" s="11"/>
      <ns0:c r="AB75" s="11"/>
      <ns0:c r="AC75" s="11"/>
      <ns0:c r="AD75" s="11"/>
      <ns0:c r="AE75" s="11"/>
      <ns0:c r="AF75" s="11"/>
      <ns0:c r="AG75" s="11"/>
      <ns0:c r="AH75" s="11"/>
      <ns0:c r="AI75" s="11"/>
      <ns0:c r="AJ75" s="11"/>
      <ns0:c r="AK75" s="11"/>
      <ns0:c r="AL75" s="11"/>
      <ns0:c r="AM75" s="11" t="inlineStr">
        <ns0:is>
          <ns0:t xml:space="preserve">|cff00FF00毒意如盘根，旧创似寒枝。丹息或缓缓浸润，或猛然冲开，待浊色退去，伤处终于透出一点新红。|r</ns0:t>
        </ns0:is>
      </ns0:c>
      <ns0:c r="AN75" s="11">
        <ns0:v>69</ns0:v>
      </ns0:c>
      <ns0:c r="AO75" s="11" t="s">
        <ns0:v>69</ns0:v>
      </ns0:c>
    </ns0:row>
    <ns0:row r="76" spans="1:41">
      <ns0:c r="A76" s="4"/>
      <ns0:c r="B76" s="11">
        <ns0:v>70</ns0:v>
      </ns0:c>
      <ns0:c r="C76" s="11" t="inlineStr">
        <ns0:is>
          <ns0:t xml:space="preserve">袖里山河</ns0:t>
        </ns0:is>
      </ns0:c>
      <ns0:c r="D76" s="11">
        <ns0:v>20000070</ns0:v>
      </ns0:c>
      <ns0:c r="E76" s="11" t="s">
        <ns0:v>724</ns0:v>
      </ns0:c>
      <ns0:c r="F76" s="11" t="s">
        <ns0:v>145</ns0:v>
      </ns0:c>
      <ns0:c r="G76" s="11">
        <ns0:v>5</ns0:v>
      </ns0:c>
      <ns0:c r="H76" s="11">
        <ns0:v>72424087</ns0:v>
      </ns0:c>
      <ns0:c r="I76" s="11">
        <ns0:v>72424088</ns0:v>
      </ns0:c>
      <ns0:c r="J76">
        <ns0:v>72424092</ns0:v>
      </ns0:c>
      <ns0:c r="K76">
        <ns0:v>72424093</ns0:v>
      </ns0:c>
      <ns0:c r="L76">
        <ns0:v>72424094</ns0:v>
      </ns0:c>
      <ns0:c r="M76" s="11"/>
      <ns0:c r="N76" s="11"/>
      <ns0:c r="O76" t="n" s="11">
        <ns0:v>2</ns0:v>
      </ns0:c>
      <ns0:c r="P76" t="str" s="11">
        <ns0:v>法力上限</ns0:v>
      </ns0:c>
      <ns0:c r="Q76" s="24"/>
      <ns0:c r="R76" t="str" s="20">
        <ns0:v>整数</ns0:v>
      </ns0:c>
      <ns0:c r="S76" t="n">
        <ns0:v>2</ns0:v>
      </ns0:c>
      <ns0:c r="T76" t="str" s="11">
        <ns0:v>收录2件：法力上限+2</ns0:v>
      </ns0:c>
      <ns0:c r="U76" t="n" s="11">
        <ns0:v>5</ns0:v>
      </ns0:c>
      <ns0:c r="V76" t="str" s="11">
        <ns0:v>伤害提升</ns0:v>
      </ns0:c>
      <ns0:c r="W76" s="24"/>
      <ns0:c r="X76" t="str" s="20">
        <ns0:v>整数</ns0:v>
      </ns0:c>
      <ns0:c r="Y76" t="n">
        <ns0:v>4</ns0:v>
      </ns0:c>
      <ns0:c r="Z76" t="str" s="11">
        <ns0:v>收录5件：伤害提升+4</ns0:v>
      </ns0:c>
      <ns0:c r="AA76" s="11"/>
      <ns0:c r="AB76" s="11"/>
      <ns0:c r="AC76" s="11"/>
      <ns0:c r="AD76" s="11"/>
      <ns0:c r="AE76" s="11"/>
      <ns0:c r="AF76" s="11"/>
      <ns0:c r="AG76" s="11"/>
      <ns0:c r="AH76" s="11"/>
      <ns0:c r="AI76" s="11"/>
      <ns0:c r="AJ76" s="11"/>
      <ns0:c r="AK76" s="11"/>
      <ns0:c r="AL76" s="11"/>
      <ns0:c r="AM76" s="11" t="inlineStr">
        <ns0:is>
          <ns0:t xml:space="preserve">|cff00FF00行囊入芥子，清泉藏玉瓶，镜中微光照见遗珍。舟向雾外，幡掩归踪，一身远游之物，陪人走过无名山水。|r</ns0:t>
        </ns0:is>
      </ns0:c>
      <ns0:c r="AN76" s="11">
        <ns0:v>70</ns0:v>
      </ns0:c>
      <ns0:c r="AO76" s="11" t="s">
        <ns0:v>69</ns0:v>
      </ns0:c>
    </ns0:row>
    <ns0:row r="77" spans="1:41">
      <ns0:c r="A77" s="4"/>
      <ns0:c r="B77" s="11">
        <ns0:v>71</ns0:v>
      </ns0:c>
      <ns0:c r="C77" s="11" t="inlineStr">
        <ns0:is>
          <ns0:t xml:space="preserve">行藏五宝</ns0:t>
        </ns0:is>
      </ns0:c>
      <ns0:c r="D77" s="11">
        <ns0:v>20000071</ns0:v>
      </ns0:c>
      <ns0:c r="E77" s="11" t="s">
        <ns0:v>724</ns0:v>
      </ns0:c>
      <ns0:c r="F77" s="11" t="s">
        <ns0:v>145</ns0:v>
      </ns0:c>
      <ns0:c r="G77" s="11">
        <ns0:v>5</ns0:v>
      </ns0:c>
      <ns0:c r="H77" s="11">
        <ns0:v>72434095</ns0:v>
      </ns0:c>
      <ns0:c r="I77" s="11">
        <ns0:v>72434111</ns0:v>
      </ns0:c>
      <ns0:c r="J77">
        <ns0:v>72434115</ns0:v>
      </ns0:c>
      <ns0:c r="K77">
        <ns0:v>72424095</ns0:v>
      </ns0:c>
      <ns0:c r="L77">
        <ns0:v>72444120</ns0:v>
      </ns0:c>
      <ns0:c r="M77" s="11"/>
      <ns0:c r="N77" s="11"/>
      <ns0:c r="O77" t="n" s="11">
        <ns0:v>2</ns0:v>
      </ns0:c>
      <ns0:c r="P77" t="str" s="11">
        <ns0:v>伤害提升</ns0:v>
      </ns0:c>
      <ns0:c r="Q77" s="24"/>
      <ns0:c r="R77" t="str" s="20">
        <ns0:v>整数</ns0:v>
      </ns0:c>
      <ns0:c r="S77" t="n">
        <ns0:v>2</ns0:v>
      </ns0:c>
      <ns0:c r="T77" t="str" s="11">
        <ns0:v>收录2件：伤害提升+2</ns0:v>
      </ns0:c>
      <ns0:c r="U77" t="n" s="11">
        <ns0:v>5</ns0:v>
      </ns0:c>
      <ns0:c r="V77" t="str" s="11">
        <ns0:v>攻击上限</ns0:v>
      </ns0:c>
      <ns0:c r="W77" s="24"/>
      <ns0:c r="X77" t="str" s="20">
        <ns0:v>整数</ns0:v>
      </ns0:c>
      <ns0:c r="Y77" t="n">
        <ns0:v>4</ns0:v>
      </ns0:c>
      <ns0:c r="Z77" t="str" s="11">
        <ns0:v>收录5件：攻击上限+4</ns0:v>
      </ns0:c>
      <ns0:c r="AA77" s="11"/>
      <ns0:c r="AB77" s="11"/>
      <ns0:c r="AC77" s="11"/>
      <ns0:c r="AD77" s="11"/>
      <ns0:c r="AE77" s="11"/>
      <ns0:c r="AF77" s="11"/>
      <ns0:c r="AG77" s="11"/>
      <ns0:c r="AH77" s="11"/>
      <ns0:c r="AI77" s="11"/>
      <ns0:c r="AJ77" s="11"/>
      <ns0:c r="AK77" s="11"/>
      <ns0:c r="AL77" s="11"/>
      <ns0:c r="AM77" s="11" t="inlineStr">
        <ns0:is>
          <ns0:t xml:space="preserve">|cff00FF00夜行有镜，临敌有剑，伤后尚有温珠与清泉。歇脚时支起丹炉，荒山月下，也便有了一处修行地。|r</ns0:t>
        </ns0:is>
      </ns0:c>
      <ns0:c r="AN77" s="11">
        <ns0:v>71</ns0:v>
      </ns0:c>
      <ns0:c r="AO77" s="11" t="s">
        <ns0:v>69</ns0:v>
      </ns0:c>
    </ns0:row>
    <ns0:row r="78" spans="1:41">
      <ns0:c r="A78" s="4"/>
      <ns0:c r="B78" s="11">
        <ns0:v>72</ns0:v>
      </ns0:c>
      <ns0:c r="C78" s="11" t="s">
        <ns0:v>1421</ns0:v>
      </ns0:c>
      <ns0:c r="D78" s="11">
        <ns0:v>20000072</ns0:v>
      </ns0:c>
      <ns0:c r="E78" s="11" t="s">
        <ns0:v>724</ns0:v>
      </ns0:c>
      <ns0:c r="F78" s="11" t="s">
        <ns0:v>145</ns0:v>
      </ns0:c>
      <ns0:c r="G78" s="11">
        <ns0:v>3</ns0:v>
      </ns0:c>
      <ns0:c r="H78" s="11">
        <ns0:v>72454101</ns0:v>
      </ns0:c>
      <ns0:c r="I78" s="11">
        <ns0:v>72464120</ns0:v>
      </ns0:c>
      <ns0:c r="J78">
        <ns0:v>72464132</ns0:v>
      </ns0:c>
      <ns0:c r="M78" s="11"/>
      <ns0:c r="N78" s="11"/>
      <ns0:c r="O78" t="n" s="11">
        <ns0:v>2</ns0:v>
      </ns0:c>
      <ns0:c r="P78" t="str" s="11">
        <ns0:v>攻击上限</ns0:v>
      </ns0:c>
      <ns0:c r="Q78" s="24"/>
      <ns0:c r="R78" t="str" s="20">
        <ns0:v>整数</ns0:v>
      </ns0:c>
      <ns0:c r="S78" t="n">
        <ns0:v>2</ns0:v>
      </ns0:c>
      <ns0:c r="T78" t="str" s="11">
        <ns0:v>收录2件：攻击上限+2</ns0:v>
      </ns0:c>
      <ns0:c r="U78" t="n" s="11">
        <ns0:v>3</ns0:v>
      </ns0:c>
      <ns0:c r="V78" t="str" s="11">
        <ns0:v>法力上限</ns0:v>
      </ns0:c>
      <ns0:c r="W78" s="24"/>
      <ns0:c r="X78" t="str" s="20">
        <ns0:v>整数</ns0:v>
      </ns0:c>
      <ns0:c r="Y78" t="n">
        <ns0:v>4</ns0:v>
      </ns0:c>
      <ns0:c r="Z78" t="str" s="11">
        <ns0:v>收录3件：法力上限+4</ns0:v>
      </ns0:c>
      <ns0:c r="AA78" s="11"/>
      <ns0:c r="AB78" s="11"/>
      <ns0:c r="AC78" s="11"/>
      <ns0:c r="AD78" s="11"/>
      <ns0:c r="AE78" s="11"/>
      <ns0:c r="AF78" s="11"/>
      <ns0:c r="AG78" s="11"/>
      <ns0:c r="AH78" s="11"/>
      <ns0:c r="AI78" s="11"/>
      <ns0:c r="AJ78" s="11"/>
      <ns0:c r="AK78" s="11"/>
      <ns0:c r="AL78" s="11"/>
      <ns0:c r="AM78" s="11" t="inlineStr">
        <ns0:is>
          <ns0:t xml:space="preserve">|cff00FF00流云舟停在峰外，甘霖瓶润着新辟药圃，镇岳鼎旁炉火初红。云游之人暂解行囊，荒岭便有了烟火与春意。|r</ns0:t>
        </ns0:is>
      </ns0:c>
      <ns0:c r="AN78" s="11">
        <ns0:v>72</ns0:v>
      </ns0:c>
      <ns0:c r="AO78" s="11" t="s">
        <ns0:v>69</ns0:v>
      </ns0:c>
    </ns0:row>
    <ns0:row r="79" spans="1:41">
      <ns0:c r="A79" s="4"/>
      <ns0:c r="B79" s="11">
        <ns0:v>73</ns0:v>
      </ns0:c>
      <ns0:c r="C79" s="11" t="s">
        <ns0:v>1423</ns0:v>
      </ns0:c>
      <ns0:c r="D79" s="11">
        <ns0:v>20000073</ns0:v>
      </ns0:c>
      <ns0:c r="E79" s="11" t="s">
        <ns0:v>724</ns0:v>
      </ns0:c>
      <ns0:c r="F79" s="11" t="s">
        <ns0:v>145</ns0:v>
      </ns0:c>
      <ns0:c r="G79" s="11">
        <ns0:v>3</ns0:v>
      </ns0:c>
      <ns0:c r="H79" s="11">
        <ns0:v>72474095</ns0:v>
      </ns0:c>
      <ns0:c r="I79" s="11">
        <ns0:v>72474119</ns0:v>
      </ns0:c>
      <ns0:c r="J79">
        <ns0:v>72474123</ns0:v>
      </ns0:c>
      <ns0:c r="M79" s="11"/>
      <ns0:c r="N79" s="11"/>
      <ns0:c r="O79" t="n" s="11">
        <ns0:v>2</ns0:v>
      </ns0:c>
      <ns0:c r="P79" t="str" s="11">
        <ns0:v>法力上限</ns0:v>
      </ns0:c>
      <ns0:c r="Q79" s="24"/>
      <ns0:c r="R79" t="str" s="20">
        <ns0:v>整数</ns0:v>
      </ns0:c>
      <ns0:c r="S79" t="n">
        <ns0:v>2</ns0:v>
      </ns0:c>
      <ns0:c r="T79" t="str" s="11">
        <ns0:v>收录2件：法力上限+2</ns0:v>
      </ns0:c>
      <ns0:c r="U79" t="n" s="11">
        <ns0:v>3</ns0:v>
      </ns0:c>
      <ns0:c r="V79" t="str" s="11">
        <ns0:v>伤害提升</ns0:v>
      </ns0:c>
      <ns0:c r="W79" s="24"/>
      <ns0:c r="X79" t="str" s="20">
        <ns0:v>整数</ns0:v>
      </ns0:c>
      <ns0:c r="Y79" t="n">
        <ns0:v>4</ns0:v>
      </ns0:c>
      <ns0:c r="Z79" t="str" s="11">
        <ns0:v>收录3件：伤害提升+4</ns0:v>
      </ns0:c>
      <ns0:c r="AA79" s="11"/>
      <ns0:c r="AB79" s="11"/>
      <ns0:c r="AC79" s="11"/>
      <ns0:c r="AD79" s="11"/>
      <ns0:c r="AE79" s="11"/>
      <ns0:c r="AF79" s="11"/>
      <ns0:c r="AG79" s="11"/>
      <ns0:c r="AH79" s="11"/>
      <ns0:c r="AI79" s="11"/>
      <ns0:c r="AJ79" s="11"/>
      <ns0:c r="AK79" s="11"/>
      <ns0:c r="AL79" s="11"/>
      <ns0:c r="AM79" s="11" t="inlineStr">
        <ns0:is>
          <ns0:t xml:space="preserve">|cff00FF00洞玄镜照入遗迹深处，吐纳瓶中清息徐徐相续。掌上沉天印压住冷光，探幽之人这才向暗处迈去。|r</ns0:t>
        </ns0:is>
      </ns0:c>
      <ns0:c r="AN79" s="11">
        <ns0:v>73</ns0:v>
      </ns0:c>
      <ns0:c r="AO79" s="11" t="s">
        <ns0:v>69</ns0:v>
      </ns0:c>
    </ns0:row>
    <ns0:row r="80" spans="1:41">
      <ns0:c r="A80" s="4"/>
      <ns0:c r="B80" s="11">
        <ns0:v>74</ns0:v>
      </ns0:c>
      <ns0:c r="C80" s="11" t="s">
        <ns0:v>1425</ns0:v>
      </ns0:c>
      <ns0:c r="D80" s="11">
        <ns0:v>20000074</ns0:v>
      </ns0:c>
      <ns0:c r="E80" s="11" t="s">
        <ns0:v>724</ns0:v>
      </ns0:c>
      <ns0:c r="F80" s="11" t="s">
        <ns0:v>145</ns0:v>
      </ns0:c>
      <ns0:c r="G80" s="11">
        <ns0:v>3</ns0:v>
      </ns0:c>
      <ns0:c r="H80" s="11">
        <ns0:v>72484107</ns0:v>
      </ns0:c>
      <ns0:c r="I80" s="11">
        <ns0:v>72484108</ns0:v>
      </ns0:c>
      <ns0:c r="J80">
        <ns0:v>72484109</ns0:v>
      </ns0:c>
      <ns0:c r="M80" s="11"/>
      <ns0:c r="N80" s="11"/>
      <ns0:c r="O80" t="n" s="11">
        <ns0:v>2</ns0:v>
      </ns0:c>
      <ns0:c r="P80" t="str" s="11">
        <ns0:v>伤害提升</ns0:v>
      </ns0:c>
      <ns0:c r="Q80" s="24"/>
      <ns0:c r="R80" t="str" s="20">
        <ns0:v>整数</ns0:v>
      </ns0:c>
      <ns0:c r="S80" t="n">
        <ns0:v>2</ns0:v>
      </ns0:c>
      <ns0:c r="T80" t="str" s="11">
        <ns0:v>收录2件：伤害提升+2</ns0:v>
      </ns0:c>
      <ns0:c r="U80" t="n" s="11">
        <ns0:v>3</ns0:v>
      </ns0:c>
      <ns0:c r="V80" t="str" s="11">
        <ns0:v>攻击上限</ns0:v>
      </ns0:c>
      <ns0:c r="W80" s="24"/>
      <ns0:c r="X80" t="str" s="20">
        <ns0:v>整数</ns0:v>
      </ns0:c>
      <ns0:c r="Y80" t="n">
        <ns0:v>4</ns0:v>
      </ns0:c>
      <ns0:c r="Z80" t="str" s="11">
        <ns0:v>收录3件：攻击上限+4</ns0:v>
      </ns0:c>
      <ns0:c r="AA80" s="11"/>
      <ns0:c r="AB80" s="11"/>
      <ns0:c r="AC80" s="11"/>
      <ns0:c r="AD80" s="11"/>
      <ns0:c r="AE80" s="11"/>
      <ns0:c r="AF80" s="11"/>
      <ns0:c r="AG80" s="11"/>
      <ns0:c r="AH80" s="11"/>
      <ns0:c r="AI80" s="11"/>
      <ns0:c r="AJ80" s="11"/>
      <ns0:c r="AK80" s="11"/>
      <ns0:c r="AL80" s="11"/>
      <ns0:c r="AM80" s="11" t="inlineStr">
        <ns0:is>
          <ns0:t xml:space="preserve">|cff00FF00袖中一袋收尽行装，脚下灵舟渡向雾后，万象幡将身影轻轻抹去。此去山水辽阔，仍留一念认归途。|r</ns0:t>
        </ns0:is>
      </ns0:c>
      <ns0:c r="AN80" s="11">
        <ns0:v>74</ns0:v>
      </ns0:c>
      <ns0:c r="AO80" s="11" t="s">
        <ns0:v>69</ns0:v>
      </ns0:c>
    </ns0:row>
    <ns0:row r="81" spans="1:41">
      <ns0:c r="A81" s="4"/>
      <ns0:c r="B81" s="11">
        <ns0:v>75</ns0:v>
      </ns0:c>
      <ns0:c r="C81" s="11" t="s">
        <ns0:v>1427</ns0:v>
      </ns0:c>
      <ns0:c r="D81" s="11">
        <ns0:v>20000075</ns0:v>
      </ns0:c>
      <ns0:c r="E81" s="11" t="s">
        <ns0:v>491</ns0:v>
      </ns0:c>
      <ns0:c r="F81" s="11" t="s">
        <ns0:v>65</ns0:v>
      </ns0:c>
      <ns0:c r="G81" s="11">
        <ns0:v>4</ns0:v>
      </ns0:c>
      <ns0:c r="H81" s="11">
        <ns0:v>72221029</ns0:v>
      </ns0:c>
      <ns0:c r="I81" s="11">
        <ns0:v>72221030</ns0:v>
      </ns0:c>
      <ns0:c r="J81">
        <ns0:v>72221031</ns0:v>
      </ns0:c>
      <ns0:c r="K81">
        <ns0:v>72221032</ns0:v>
      </ns0:c>
      <ns0:c r="M81" s="11"/>
      <ns0:c r="N81" s="11"/>
      <ns0:c r="O81" t="n" s="11">
        <ns0:v>2</ns0:v>
      </ns0:c>
      <ns0:c r="P81" t="str" s="11">
        <ns0:v>施法速度</ns0:v>
      </ns0:c>
      <ns0:c r="Q81" s="24"/>
      <ns0:c r="R81" t="str" s="20">
        <ns0:v>整数</ns0:v>
      </ns0:c>
      <ns0:c r="S81" t="n">
        <ns0:v>1</ns0:v>
      </ns0:c>
      <ns0:c r="T81" t="str" s="11">
        <ns0:v>收录2件：施法速度+1</ns0:v>
      </ns0:c>
      <ns0:c r="U81" t="n" s="11">
        <ns0:v>4</ns0:v>
      </ns0:c>
      <ns0:c r="V81" t="str" s="11">
        <ns0:v>移动速度</ns0:v>
      </ns0:c>
      <ns0:c r="W81" s="24"/>
      <ns0:c r="X81" t="str" s="20">
        <ns0:v>整数</ns0:v>
      </ns0:c>
      <ns0:c r="Y81" t="n">
        <ns0:v>1</ns0:v>
      </ns0:c>
      <ns0:c r="Z81" t="str" s="11">
        <ns0:v>收录4件：移动速度+1</ns0:v>
      </ns0:c>
      <ns0:c r="AA81" s="11"/>
      <ns0:c r="AB81" s="11"/>
      <ns0:c r="AC81" s="11"/>
      <ns0:c r="AD81" s="11"/>
      <ns0:c r="AE81" s="11"/>
      <ns0:c r="AF81" s="11"/>
      <ns0:c r="AG81" s="11"/>
      <ns0:c r="AH81" s="11"/>
      <ns0:c r="AI81" s="11"/>
      <ns0:c r="AJ81" s="11"/>
      <ns0:c r="AK81" s="11"/>
      <ns0:c r="AL81" s="11"/>
      <ns0:c r="AM81" s="11" t="inlineStr">
        <ns0:is>
          <ns0:t xml:space="preserve">|cff00FF00先是衣影淡去，继而气息沉寂，连踏叶声也隐入风中。追者拨开最后一重幻象，眼前只剩空林。|r</ns0:t>
        </ns0:is>
      </ns0:c>
      <ns0:c r="AN81" s="11">
        <ns0:v>75</ns0:v>
      </ns0:c>
      <ns0:c r="AO81" s="11" t="s">
        <ns0:v>69</ns0:v>
      </ns0:c>
    </ns0:row>
    <ns0:row r="82" spans="1:41">
      <ns0:c r="A82" s="4"/>
      <ns0:c r="B82" s="11">
        <ns0:v>76</ns0:v>
      </ns0:c>
      <ns0:c r="C82" s="11" t="s">
        <ns0:v>1429</ns0:v>
      </ns0:c>
      <ns0:c r="D82" s="11">
        <ns0:v>20000076</ns0:v>
      </ns0:c>
      <ns0:c r="E82" s="11" t="s">
        <ns0:v>491</ns0:v>
      </ns0:c>
      <ns0:c r="F82" s="11" t="s">
        <ns0:v>65</ns0:v>
      </ns0:c>
      <ns0:c r="G82" s="11">
        <ns0:v>5</ns0:v>
      </ns0:c>
      <ns0:c r="H82" s="11">
        <ns0:v>72221011</ns0:v>
      </ns0:c>
      <ns0:c r="I82" s="11">
        <ns0:v>72221012</ns0:v>
      </ns0:c>
      <ns0:c r="J82">
        <ns0:v>72221013</ns0:v>
      </ns0:c>
      <ns0:c r="K82">
        <ns0:v>72221022</ns0:v>
      </ns0:c>
      <ns0:c r="L82">
        <ns0:v>72221023</ns0:v>
      </ns0:c>
      <ns0:c r="M82" s="11"/>
      <ns0:c r="N82" s="11"/>
      <ns0:c r="O82" t="n" s="11">
        <ns0:v>2</ns0:v>
      </ns0:c>
      <ns0:c r="P82" t="str" s="11">
        <ns0:v>移动速度</ns0:v>
      </ns0:c>
      <ns0:c r="Q82" s="24"/>
      <ns0:c r="R82" t="str" s="20">
        <ns0:v>整数</ns0:v>
      </ns0:c>
      <ns0:c r="S82" t="n">
        <ns0:v>1</ns0:v>
      </ns0:c>
      <ns0:c r="T82" t="str" s="11">
        <ns0:v>收录2件：移动速度+1</ns0:v>
      </ns0:c>
      <ns0:c r="U82" t="n" s="11">
        <ns0:v>5</ns0:v>
      </ns0:c>
      <ns0:c r="V82" t="str" s="11">
        <ns0:v>命中</ns0:v>
      </ns0:c>
      <ns0:c r="W82" s="24"/>
      <ns0:c r="X82" t="str" s="20">
        <ns0:v>整数</ns0:v>
      </ns0:c>
      <ns0:c r="Y82" t="n">
        <ns0:v>100</ns0:v>
      </ns0:c>
      <ns0:c r="Z82" t="str" s="11">
        <ns0:v>收录5件：命中+100（万分比单位）</ns0:v>
      </ns0:c>
      <ns0:c r="AA82" s="11"/>
      <ns0:c r="AB82" s="11"/>
      <ns0:c r="AC82" s="11"/>
      <ns0:c r="AD82" s="11"/>
      <ns0:c r="AE82" s="11"/>
      <ns0:c r="AF82" s="11"/>
      <ns0:c r="AG82" s="11"/>
      <ns0:c r="AH82" s="11"/>
      <ns0:c r="AI82" s="11"/>
      <ns0:c r="AJ82" s="11"/>
      <ns0:c r="AK82" s="11"/>
      <ns0:c r="AL82" s="11"/>
      <ns0:c r="AM82" s="11" t="inlineStr">
        <ns0:is>
          <ns0:t xml:space="preserve">|cff00FF00雪岭风寒，火谷烟赤，袖中几纸灵光贴着心口。护住神魂，续上残息，险路尽头，终有人带着余温归来。|r</ns0:t>
        </ns0:is>
      </ns0:c>
      <ns0:c r="AN82" s="11">
        <ns0:v>76</ns0:v>
      </ns0:c>
      <ns0:c r="AO82" s="11" t="s">
        <ns0:v>69</ns0:v>
      </ns0:c>
    </ns0:row>
    <ns0:row r="83" spans="1:41">
      <ns0:c r="A83" s="4"/>
      <ns0:c r="B83" s="11">
        <ns0:v>77</ns0:v>
      </ns0:c>
      <ns0:c r="C83" s="11" t="s">
        <ns0:v>1431</ns0:v>
      </ns0:c>
      <ns0:c r="D83" s="11">
        <ns0:v>20000077</ns0:v>
      </ns0:c>
      <ns0:c r="E83" s="11" t="s">
        <ns0:v>491</ns0:v>
      </ns0:c>
      <ns0:c r="F83" s="11" t="s">
        <ns0:v>65</ns0:v>
      </ns0:c>
      <ns0:c r="G83" s="11">
        <ns0:v>5</ns0:v>
      </ns0:c>
      <ns0:c r="H83" s="11">
        <ns0:v>72221018</ns0:v>
      </ns0:c>
      <ns0:c r="I83" s="11">
        <ns0:v>72221019</ns0:v>
      </ns0:c>
      <ns0:c r="J83">
        <ns0:v>72221021</ns0:v>
      </ns0:c>
      <ns0:c r="K83">
        <ns0:v>72221005</ns0:v>
      </ns0:c>
      <ns0:c r="L83">
        <ns0:v>72221007</ns0:v>
      </ns0:c>
      <ns0:c r="M83" s="11"/>
      <ns0:c r="N83" s="11"/>
      <ns0:c r="O83" t="n" s="11">
        <ns0:v>2</ns0:v>
      </ns0:c>
      <ns0:c r="P83" t="str" s="11">
        <ns0:v>命中</ns0:v>
      </ns0:c>
      <ns0:c r="Q83" s="24"/>
      <ns0:c r="R83" t="str" s="20">
        <ns0:v>整数</ns0:v>
      </ns0:c>
      <ns0:c r="S83" t="n">
        <ns0:v>100</ns0:v>
      </ns0:c>
      <ns0:c r="T83" t="str" s="11">
        <ns0:v>收录2件：命中+100（万分比单位）</ns0:v>
      </ns0:c>
      <ns0:c r="U83" t="n" s="11">
        <ns0:v>5</ns0:v>
      </ns0:c>
      <ns0:c r="V83" t="str" s="11">
        <ns0:v>施法速度</ns0:v>
      </ns0:c>
      <ns0:c r="W83" s="24"/>
      <ns0:c r="X83" t="str" s="20">
        <ns0:v>整数</ns0:v>
      </ns0:c>
      <ns0:c r="Y83" t="n">
        <ns0:v>1</ns0:v>
      </ns0:c>
      <ns0:c r="Z83" t="str" s="11">
        <ns0:v>收录5件：施法速度+1</ns0:v>
      </ns0:c>
      <ns0:c r="AA83" s="11"/>
      <ns0:c r="AB83" s="11"/>
      <ns0:c r="AC83" s="11"/>
      <ns0:c r="AD83" s="11"/>
      <ns0:c r="AE83" s="11"/>
      <ns0:c r="AF83" s="11"/>
      <ns0:c r="AG83" s="11"/>
      <ns0:c r="AH83" s="11"/>
      <ns0:c r="AI83" s="11"/>
      <ns0:c r="AJ83" s="11"/>
      <ns0:c r="AK83" s="11"/>
      <ns0:c r="AL83" s="11"/>
      <ns0:c r="AM83" s="11" t="inlineStr">
        <ns0:is>
          <ns0:t xml:space="preserve">|cff00FF00筋骨蓄力，刃上凝锋，胸中一口真元骤起。符灰飞散处雷声裂空，敌影未退，神魂已为之一惊。|r</ns0:t>
        </ns0:is>
      </ns0:c>
      <ns0:c r="AN83" s="11">
        <ns0:v>77</ns0:v>
      </ns0:c>
      <ns0:c r="AO83" s="11" t="s">
        <ns0:v>69</ns0:v>
      </ns0:c>
    </ns0:row>
    <ns0:row r="84" spans="1:41">
      <ns0:c r="A84" s="4"/>
      <ns0:c r="B84" s="11">
        <ns0:v>78</ns0:v>
      </ns0:c>
      <ns0:c r="C84" s="11" t="s">
        <ns0:v>1433</ns0:v>
      </ns0:c>
      <ns0:c r="D84" s="11">
        <ns0:v>20000078</ns0:v>
      </ns0:c>
      <ns0:c r="E84" s="11" t="s">
        <ns0:v>491</ns0:v>
      </ns0:c>
      <ns0:c r="F84" s="11" t="s">
        <ns0:v>65</ns0:v>
      </ns0:c>
      <ns0:c r="G84" s="11">
        <ns0:v>5</ns0:v>
      </ns0:c>
      <ns0:c r="H84" s="11">
        <ns0:v>72221034</ns0:v>
      </ns0:c>
      <ns0:c r="I84" s="11">
        <ns0:v>72221033</ns0:v>
      </ns0:c>
      <ns0:c r="J84">
        <ns0:v>72221028</ns0:v>
      </ns0:c>
      <ns0:c r="K84">
        <ns0:v>72221039</ns0:v>
      </ns0:c>
      <ns0:c r="L84">
        <ns0:v>72221040</ns0:v>
      </ns0:c>
      <ns0:c r="M84" s="11"/>
      <ns0:c r="N84" s="11"/>
      <ns0:c r="O84" t="n" s="11">
        <ns0:v>2</ns0:v>
      </ns0:c>
      <ns0:c r="P84" t="str" s="11">
        <ns0:v>施法速度</ns0:v>
      </ns0:c>
      <ns0:c r="Q84" s="24"/>
      <ns0:c r="R84" t="str" s="20">
        <ns0:v>整数</ns0:v>
      </ns0:c>
      <ns0:c r="S84" t="n">
        <ns0:v>1</ns0:v>
      </ns0:c>
      <ns0:c r="T84" t="str" s="11">
        <ns0:v>收录2件：施法速度+1</ns0:v>
      </ns0:c>
      <ns0:c r="U84" t="n" s="11">
        <ns0:v>5</ns0:v>
      </ns0:c>
      <ns0:c r="V84" t="str" s="11">
        <ns0:v>移动速度</ns0:v>
      </ns0:c>
      <ns0:c r="W84" s="24"/>
      <ns0:c r="X84" t="str" s="20">
        <ns0:v>整数</ns0:v>
      </ns0:c>
      <ns0:c r="Y84" t="n">
        <ns0:v>1</ns0:v>
      </ns0:c>
      <ns0:c r="Z84" t="str" s="11">
        <ns0:v>收录5件：移动速度+1</ns0:v>
      </ns0:c>
      <ns0:c r="AA84" s="11"/>
      <ns0:c r="AB84" s="11"/>
      <ns0:c r="AC84" s="11"/>
      <ns0:c r="AD84" s="11"/>
      <ns0:c r="AE84" s="11"/>
      <ns0:c r="AF84" s="11"/>
      <ns0:c r="AG84" s="11"/>
      <ns0:c r="AH84" s="11"/>
      <ns0:c r="AI84" s="11"/>
      <ns0:c r="AJ84" s="11"/>
      <ns0:c r="AK84" s="11"/>
      <ns0:c r="AL84" s="11"/>
      <ns0:c r="AM84" s="11" t="inlineStr">
        <ns0:is>
          <ns0:t xml:space="preserve">|cff00FF00夜符亮起一线清明，虚妄在光下渐薄。衣角闪过险隙，追来的杀招落向替身，真身已循灵光退入归路。|r</ns0:t>
        </ns0:is>
      </ns0:c>
      <ns0:c r="AN84" s="11">
        <ns0:v>78</ns0:v>
      </ns0:c>
      <ns0:c r="AO84" s="11" t="s">
        <ns0:v>69</ns0:v>
      </ns0:c>
    </ns0:row>
    <ns0:row r="85" spans="1:41">
      <ns0:c r="A85" s="4"/>
      <ns0:c r="B85" s="11">
        <ns0:v>79</ns0:v>
      </ns0:c>
      <ns0:c r="C85" s="11" t="s">
        <ns0:v>1435</ns0:v>
      </ns0:c>
      <ns0:c r="D85" s="11">
        <ns0:v>20000079</ns0:v>
      </ns0:c>
      <ns0:c r="E85" s="11" t="s">
        <ns0:v>64</ns0:v>
      </ns0:c>
      <ns0:c r="F85" s="11" t="s">
        <ns0:v>65</ns0:v>
      </ns0:c>
      <ns0:c r="G85" s="11">
        <ns0:v>4</ns0:v>
      </ns0:c>
      <ns0:c r="H85" s="11">
        <ns0:v>71002000</ns0:v>
      </ns0:c>
      <ns0:c r="I85" s="11">
        <ns0:v>70902022</ns0:v>
      </ns0:c>
      <ns0:c r="J85">
        <ns0:v>71002002</ns0:v>
      </ns0:c>
      <ns0:c r="K85">
        <ns0:v>70902024</ns0:v>
      </ns0:c>
      <ns0:c r="M85" s="11"/>
      <ns0:c r="N85" s="11"/>
      <ns0:c r="O85" t="n" s="11">
        <ns0:v>2</ns0:v>
      </ns0:c>
      <ns0:c r="P85" t="str" s="11">
        <ns0:v>基础修为增幅</ns0:v>
      </ns0:c>
      <ns0:c r="Q85" s="24"/>
      <ns0:c r="R85" t="str" s="20">
        <ns0:v>整数</ns0:v>
      </ns0:c>
      <ns0:c r="S85" t="n">
        <ns0:v>100</ns0:v>
      </ns0:c>
      <ns0:c r="T85" t="str" s="11">
        <ns0:v>收录2件：基础修为增幅+100（万分比单位）</ns0:v>
      </ns0:c>
      <ns0:c r="U85" t="n" s="11">
        <ns0:v>4</ns0:v>
      </ns0:c>
      <ns0:c r="V85" t="str" s="11">
        <ns0:v>额外转化值</ns0:v>
      </ns0:c>
      <ns0:c r="W85" s="24"/>
      <ns0:c r="X85" t="str" s="20">
        <ns0:v>整数</ns0:v>
      </ns0:c>
      <ns0:c r="Y85" t="n">
        <ns0:v>1</ns0:v>
      </ns0:c>
      <ns0:c r="Z85" t="str" s="11">
        <ns0:v>收录4件：额外转化值+1</ns0:v>
      </ns0:c>
      <ns0:c r="AA85" s="11"/>
      <ns0:c r="AB85" s="11"/>
      <ns0:c r="AC85" s="11"/>
      <ns0:c r="AD85" s="11"/>
      <ns0:c r="AE85" s="11"/>
      <ns0:c r="AF85" s="11"/>
      <ns0:c r="AG85" s="11"/>
      <ns0:c r="AH85" s="11"/>
      <ns0:c r="AI85" s="11"/>
      <ns0:c r="AJ85" s="11"/>
      <ns0:c r="AK85" s="11"/>
      <ns0:c r="AL85" s="11"/>
      <ns0:c r="AM85" s="11" t="inlineStr">
        <ns0:is>
          <ns0:t xml:space="preserve">|cff00FF00药圃里认得一芽一叶，丹炉前守得一明一暗。草木经年所藏，终化瓶中清芬，养春的人也成了候火的人。|r</ns0:t>
        </ns0:is>
      </ns0:c>
      <ns0:c r="AN85" s="11">
        <ns0:v>79</ns0:v>
      </ns0:c>
      <ns0:c r="AO85" s="11" t="s">
        <ns0:v>69</ns0:v>
      </ns0:c>
    </ns0:row>
    <ns0:row r="86" spans="1:41">
      <ns0:c r="A86" s="4"/>
      <ns0:c r="B86" s="11">
        <ns0:v>80</ns0:v>
      </ns0:c>
      <ns0:c r="C86" s="11" t="inlineStr">
        <ns0:is>
          <ns0:t xml:space="preserve">天工问材</ns0:t>
        </ns0:is>
      </ns0:c>
      <ns0:c r="D86" s="11">
        <ns0:v>20000080</ns0:v>
      </ns0:c>
      <ns0:c r="E86" s="11" t="s">
        <ns0:v>64</ns0:v>
      </ns0:c>
      <ns0:c r="F86" s="11" t="s">
        <ns0:v>65</ns0:v>
      </ns0:c>
      <ns0:c r="G86" s="11">
        <ns0:v>4</ns0:v>
      </ns0:c>
      <ns0:c r="H86" s="11">
        <ns0:v>71002001</ns0:v>
      </ns0:c>
      <ns0:c r="I86" s="11">
        <ns0:v>70902023</ns0:v>
      </ns0:c>
      <ns0:c r="J86">
        <ns0:v>71002003</ns0:v>
      </ns0:c>
      <ns0:c r="K86">
        <ns0:v>70902025</ns0:v>
      </ns0:c>
      <ns0:c r="M86" s="11"/>
      <ns0:c r="N86" s="11"/>
      <ns0:c r="O86" t="n" s="11">
        <ns0:v>2</ns0:v>
      </ns0:c>
      <ns0:c r="P86" t="str" s="11">
        <ns0:v>额外转化值</ns0:v>
      </ns0:c>
      <ns0:c r="Q86" s="24"/>
      <ns0:c r="R86" t="str" s="20">
        <ns0:v>整数</ns0:v>
      </ns0:c>
      <ns0:c r="S86" t="n">
        <ns0:v>1</ns0:v>
      </ns0:c>
      <ns0:c r="T86" t="str" s="11">
        <ns0:v>收录2件：额外转化值+1</ns0:v>
      </ns0:c>
      <ns0:c r="U86" t="n" s="11">
        <ns0:v>4</ns0:v>
      </ns0:c>
      <ns0:c r="V86" t="str" s="11">
        <ns0:v>每时辰灵气吸收</ns0:v>
      </ns0:c>
      <ns0:c r="W86" s="24"/>
      <ns0:c r="X86" t="str" s="20">
        <ns0:v>整数</ns0:v>
      </ns0:c>
      <ns0:c r="Y86" t="n">
        <ns0:v>1</ns0:v>
      </ns0:c>
      <ns0:c r="Z86" t="str" s="11">
        <ns0:v>收录4件：每时辰灵气吸收+1</ns0:v>
      </ns0:c>
      <ns0:c r="AA86" s="11"/>
      <ns0:c r="AB86" s="11"/>
      <ns0:c r="AC86" s="11"/>
      <ns0:c r="AD86" s="11"/>
      <ns0:c r="AE86" s="11"/>
      <ns0:c r="AF86" s="11"/>
      <ns0:c r="AG86" s="11"/>
      <ns0:c r="AH86" s="11"/>
      <ns0:c r="AI86" s="11"/>
      <ns0:c r="AJ86" s="11"/>
      <ns0:c r="AK86" s="11"/>
      <ns0:c r="AL86" s="11"/>
      <ns0:c r="AM86" s="11" t="inlineStr">
        <ns0:is>
          <ns0:t xml:space="preserve">|cff00FF00剖石辨其骨，抚木听其脉，万材之性先在心中分明。待炉火映红双袖，胸中所识，才渐渐铸成掌上之器。|r</ns0:t>
        </ns0:is>
      </ns0:c>
      <ns0:c r="AN86" s="11">
        <ns0:v>80</ns0:v>
      </ns0:c>
      <ns0:c r="AO86" s="11" t="s">
        <ns0:v>69</ns0:v>
      </ns0:c>
    </ns0:row>
  </ns0:sheetData>
  <ns0:autoFilter ref="A1:AO86" ns1:filterBottomFollowUsedRange="0">
    <ns0:extLst/>
  </ns0:autoFilter>
  <ns0:mergeCells count="8">
    <ns0:mergeCell ref="H1:N1"/>
    <ns0:mergeCell ref="O1:AL1"/>
    <ns0:mergeCell ref="H4:N4"/>
    <ns0:mergeCell ref="O4:AL4"/>
    <ns0:mergeCell ref="O2:T2"/>
    <ns0:mergeCell ref="U2:Z2"/>
    <ns0:mergeCell ref="AA2:AF2"/>
    <ns0:mergeCell ref="AG2:AL2"/>
  </ns0:mergeCells>
  <ns0:pageMargins left="0.7" right="0.7" top="0.75" bottom="0.75" header="0.3" footer="0.3"/>
  <ns0:headerFooter/>
</ns0:worksheet>
</file>

<file path=xl/worksheets/sheet3.xml><?xml version="1.0" encoding="utf-8"?>
<ns0:worksheet xmlns:ns0="http://schemas.openxmlformats.org/spreadsheetml/2006/main">
  <ns0:sheetPr/>
  <ns0:dimension ref="A1:AA97"/>
  <ns0:sheetViews>
    <ns0:sheetView topLeftCell="A56" workbookViewId="0">
      <ns0:selection activeCell="H97" sqref="H97:K97"/>
    </ns0:sheetView>
  </ns0:sheetViews>
  <ns0:sheetFormatPr defaultColWidth="9" defaultRowHeight="15"/>
  <ns0:cols>
    <ns0:col min="1" max="1" width="6" customWidth="1"/>
    <ns0:col min="2" max="2" width="11" customWidth="1"/>
    <ns0:col min="3" max="3" width="18.1428571428571" customWidth="1"/>
    <ns0:col min="4" max="4" width="14" customWidth="1"/>
    <ns0:col min="5" max="5" width="22" customWidth="1"/>
    <ns0:col min="6" max="6" width="20.1428571428571" customWidth="1"/>
    <ns0:col min="7" max="7" width="60" customWidth="1"/>
    <ns0:col min="8" max="9" width="14.4285714285714" customWidth="1"/>
    <ns0:col min="10" max="10" width="17.4285714285714" customWidth="1"/>
    <ns0:col min="11" max="11" width="14.4285714285714" customWidth="1"/>
    <ns0:col min="12" max="12" width="24" customWidth="1"/>
    <ns0:col min="13" max="15" width="12" customWidth="1"/>
    <ns0:col min="16" max="16" width="10" customWidth="1"/>
    <ns0:col min="17" max="17" width="24" customWidth="1"/>
    <ns0:col min="18" max="20" width="12" customWidth="1"/>
    <ns0:col min="21" max="21" width="10" customWidth="1"/>
    <ns0:col min="22" max="22" width="24" customWidth="1"/>
    <ns0:col min="23" max="25" width="12" customWidth="1"/>
    <ns0:col min="26" max="26" width="10" customWidth="1"/>
    <ns0:col min="27" max="27" width="24" customWidth="1"/>
  </ns0:cols>
  <ns0:sheetData>
    <ns0:row r="1" ht="20" customHeight="1" spans="1:27">
      <ns0:c r="A1" s="4" t="s">
        <ns0:v>0</ns0:v>
      </ns0:c>
      <ns0:c r="B1" s="5" t="s">
        <ns0:v>1</ns0:v>
      </ns0:c>
      <ns0:c r="C1" s="5" t="s">
        <ns0:v>1439</ns0:v>
      </ns0:c>
      <ns0:c r="D1" s="5" t="s">
        <ns0:v>1440</ns0:v>
      </ns0:c>
      <ns0:c r="E1" s="5"/>
      <ns0:c r="F1" s="5"/>
      <ns0:c r="G1" s="5"/>
      <ns0:c r="H1" s="12" t="s">
        <ns0:v>1441</ns0:v>
      </ns0:c>
      <ns0:c r="I1" s="13"/>
      <ns0:c r="J1" s="13"/>
      <ns0:c r="K1" s="13"/>
      <ns0:c r="L1" s="13"/>
      <ns0:c r="M1" s="13"/>
      <ns0:c r="N1" s="13"/>
      <ns0:c r="O1" s="13"/>
      <ns0:c r="P1" s="13"/>
      <ns0:c r="Q1" s="13"/>
      <ns0:c r="R1" s="13"/>
      <ns0:c r="S1" s="13"/>
      <ns0:c r="T1" s="13"/>
      <ns0:c r="U1" s="13"/>
      <ns0:c r="V1" s="13"/>
      <ns0:c r="W1" s="13"/>
      <ns0:c r="X1" s="13"/>
      <ns0:c r="Y1" s="13"/>
      <ns0:c r="Z1" s="13"/>
      <ns0:c r="AA1" s="14"/>
    </ns0:row>
    <ns0:row r="2">
      <ns0:c r="A2" t="inlineStr">
        <ns0:is>
          <ns0:t>##var</ns0:t>
        </ns0:is>
      </ns0:c>
      <ns0:c r="H2" t="inlineStr">
        <ns0:is>
          <ns0:t>0</ns0:t>
        </ns0:is>
      </ns0:c>
      <ns0:c r="M2" t="inlineStr">
        <ns0:is>
          <ns0:t>1</ns0:t>
        </ns0:is>
      </ns0:c>
      <ns0:c r="R2" t="inlineStr">
        <ns0:is>
          <ns0:t>2</ns0:t>
        </ns0:is>
      </ns0:c>
      <ns0:c r="W2" t="inlineStr">
        <ns0:is>
          <ns0:t>3</ns0:t>
        </ns0:is>
      </ns0:c>
    </ns0:row>
    <ns0:row r="3">
      <ns0:c r="A3" t="inlineStr">
        <ns0:is>
          <ns0:t>##var</ns0:t>
        </ns0:is>
      </ns0:c>
      <ns0:c r="H3" t="inlineStr">
        <ns0:is>
          <ns0:t>attr_key</ns0:t>
        </ns0:is>
      </ns0:c>
      <ns0:c r="I3" t="inlineStr">
        <ns0:is>
          <ns0:t>ref_id</ns0:t>
        </ns0:is>
      </ns0:c>
      <ns0:c r="J3" t="inlineStr">
        <ns0:is>
          <ns0:t>op</ns0:t>
        </ns0:is>
      </ns0:c>
      <ns0:c r="K3" t="inlineStr">
        <ns0:is>
          <ns0:t>value</ns0:t>
        </ns0:is>
      </ns0:c>
      <ns0:c r="L3" t="inlineStr">
        <ns0:is>
          <ns0:t>tips</ns0:t>
        </ns0:is>
      </ns0:c>
      <ns0:c r="M3" t="inlineStr">
        <ns0:is>
          <ns0:t>attr_key</ns0:t>
        </ns0:is>
      </ns0:c>
      <ns0:c r="N3" t="inlineStr">
        <ns0:is>
          <ns0:t>ref_id</ns0:t>
        </ns0:is>
      </ns0:c>
      <ns0:c r="O3" t="inlineStr">
        <ns0:is>
          <ns0:t>op</ns0:t>
        </ns0:is>
      </ns0:c>
      <ns0:c r="P3" t="inlineStr">
        <ns0:is>
          <ns0:t>value</ns0:t>
        </ns0:is>
      </ns0:c>
      <ns0:c r="Q3" t="inlineStr">
        <ns0:is>
          <ns0:t>tips</ns0:t>
        </ns0:is>
      </ns0:c>
      <ns0:c r="R3" t="inlineStr">
        <ns0:is>
          <ns0:t>attr_key</ns0:t>
        </ns0:is>
      </ns0:c>
      <ns0:c r="S3" t="inlineStr">
        <ns0:is>
          <ns0:t>ref_id</ns0:t>
        </ns0:is>
      </ns0:c>
      <ns0:c r="T3" t="inlineStr">
        <ns0:is>
          <ns0:t>op</ns0:t>
        </ns0:is>
      </ns0:c>
      <ns0:c r="U3" t="inlineStr">
        <ns0:is>
          <ns0:t>value</ns0:t>
        </ns0:is>
      </ns0:c>
      <ns0:c r="V3" t="inlineStr">
        <ns0:is>
          <ns0:t>tips</ns0:t>
        </ns0:is>
      </ns0:c>
      <ns0:c r="W3" t="inlineStr">
        <ns0:is>
          <ns0:t>attr_key</ns0:t>
        </ns0:is>
      </ns0:c>
      <ns0:c r="X3" t="inlineStr">
        <ns0:is>
          <ns0:t>ref_id</ns0:t>
        </ns0:is>
      </ns0:c>
      <ns0:c r="Y3" t="inlineStr">
        <ns0:is>
          <ns0:t>op</ns0:t>
        </ns0:is>
      </ns0:c>
      <ns0:c r="Z3" t="inlineStr">
        <ns0:is>
          <ns0:t>value</ns0:t>
        </ns0:is>
      </ns0:c>
      <ns0:c r="AA3" t="inlineStr">
        <ns0:is>
          <ns0:t>tips</ns0:t>
        </ns0:is>
      </ns0:c>
    </ns0:row>
    <ns0:row r="4" ht="20" customHeight="1" spans="1:27">
      <ns0:c r="A4" s="4" t="s">
        <ns0:v>14</ns0:v>
      </ns0:c>
      <ns0:c r="B4" s="6" t="s">
        <ns0:v>15</ns0:v>
      </ns0:c>
      <ns0:c r="C4" s="6" t="s">
        <ns0:v>17</ns0:v>
      </ns0:c>
      <ns0:c r="D4" s="6" t="s">
        <ns0:v>19</ns0:v>
      </ns0:c>
      <ns0:c r="E4" s="6"/>
      <ns0:c r="F4" s="6"/>
      <ns0:c r="G4" s="6"/>
      <ns0:c r="H4" s="15" t="s">
        <ns0:v>1442</ns0:v>
      </ns0:c>
      <ns0:c r="I4" s="16"/>
      <ns0:c r="J4" s="16"/>
      <ns0:c r="K4" s="16"/>
      <ns0:c r="L4" s="16"/>
      <ns0:c r="M4" s="16"/>
      <ns0:c r="N4" s="16"/>
      <ns0:c r="O4" s="16"/>
      <ns0:c r="P4" s="16"/>
      <ns0:c r="Q4" s="16"/>
      <ns0:c r="R4" s="16"/>
      <ns0:c r="S4" s="16"/>
      <ns0:c r="T4" s="16"/>
      <ns0:c r="U4" s="16"/>
      <ns0:c r="V4" s="16"/>
      <ns0:c r="W4" s="16"/>
      <ns0:c r="X4" s="16"/>
      <ns0:c r="Y4" s="16"/>
      <ns0:c r="Z4" s="16"/>
      <ns0:c r="AA4" s="17"/>
    </ns0:row>
    <ns0:row r="5" ht="20" customHeight="1" spans="1:27">
      <ns0:c r="A5" s="4" t="s">
        <ns0:v>22</ns0:v>
      </ns0:c>
      <ns0:c r="B5" s="7" t="s">
        <ns0:v>23</ns0:v>
      </ns0:c>
      <ns0:c r="C5" s="7" t="s">
        <ns0:v>23</ns0:v>
      </ns0:c>
      <ns0:c r="D5" s="7" t="s">
        <ns0:v>23</ns0:v>
      </ns0:c>
      <ns0:c r="E5" s="7"/>
      <ns0:c r="F5" s="7"/>
      <ns0:c r="G5" s="7"/>
      <ns0:c r="H5" s="7"/>
      <ns0:c r="I5" s="7"/>
      <ns0:c r="J5" s="7"/>
      <ns0:c r="K5" s="7"/>
      <ns0:c r="L5" s="7"/>
      <ns0:c r="M5" s="7"/>
      <ns0:c r="N5" s="7"/>
      <ns0:c r="O5" s="7"/>
      <ns0:c r="P5" s="7"/>
      <ns0:c r="Q5" s="7"/>
      <ns0:c r="R5" s="7"/>
      <ns0:c r="S5" s="7"/>
      <ns0:c r="T5" s="7"/>
      <ns0:c r="U5" s="7"/>
      <ns0:c r="V5" s="7"/>
      <ns0:c r="W5" s="7"/>
      <ns0:c r="X5" s="7"/>
      <ns0:c r="Y5" s="7"/>
      <ns0:c r="Z5" s="7"/>
      <ns0:c r="AA5" s="7"/>
    </ns0:row>
    <ns0:row r="6" ht="20" customHeight="1" spans="1:27">
      <ns0:c r="A6" s="4" t="s">
        <ns0:v>25</ns0:v>
      </ns0:c>
      <ns0:c r="B6" s="8" t="s">
        <ns0:v>26</ns0:v>
      </ns0:c>
      <ns0:c r="C6" s="8" t="s">
        <ns0:v>1443</ns0:v>
      </ns0:c>
      <ns0:c r="D6" s="8" t="s">
        <ns0:v>1444</ns0:v>
      </ns0:c>
      <ns0:c r="E6" s="9" t="s">
        <ns0:v>1445</ns0:v>
      </ns0:c>
      <ns0:c r="F6" s="9" t="s">
        <ns0:v>1446</ns0:v>
      </ns0:c>
      <ns0:c r="G6" s="9" t="s">
        <ns0:v>62</ns0:v>
      </ns0:c>
      <ns0:c r="H6" s="18" t="s">
        <ns0:v>1447</ns0:v>
      </ns0:c>
      <ns0:c r="I6" s="18" t="s">
        <ns0:v>1448</ns0:v>
      </ns0:c>
      <ns0:c r="J6" s="18" t="s">
        <ns0:v>1449</ns0:v>
      </ns0:c>
      <ns0:c r="K6" s="18" t="s">
        <ns0:v>1450</ns0:v>
      </ns0:c>
      <ns0:c r="L6" s="18" t="s">
        <ns0:v>1451</ns0:v>
      </ns0:c>
      <ns0:c r="M6" s="19" t="s">
        <ns0:v>1452</ns0:v>
      </ns0:c>
      <ns0:c r="N6" s="19" t="s">
        <ns0:v>1453</ns0:v>
      </ns0:c>
      <ns0:c r="O6" s="19" t="s">
        <ns0:v>1454</ns0:v>
      </ns0:c>
      <ns0:c r="P6" s="19" t="s">
        <ns0:v>1455</ns0:v>
      </ns0:c>
      <ns0:c r="Q6" s="19" t="s">
        <ns0:v>1456</ns0:v>
      </ns0:c>
      <ns0:c r="R6" s="18" t="s">
        <ns0:v>1457</ns0:v>
      </ns0:c>
      <ns0:c r="S6" s="18" t="s">
        <ns0:v>1458</ns0:v>
      </ns0:c>
      <ns0:c r="T6" s="18" t="s">
        <ns0:v>1459</ns0:v>
      </ns0:c>
      <ns0:c r="U6" s="18" t="s">
        <ns0:v>1460</ns0:v>
      </ns0:c>
      <ns0:c r="V6" s="18" t="s">
        <ns0:v>1461</ns0:v>
      </ns0:c>
      <ns0:c r="W6" s="19" t="s">
        <ns0:v>1462</ns0:v>
      </ns0:c>
      <ns0:c r="X6" s="19" t="s">
        <ns0:v>1463</ns0:v>
      </ns0:c>
      <ns0:c r="Y6" s="19" t="s">
        <ns0:v>1464</ns0:v>
      </ns0:c>
      <ns0:c r="Z6" s="19" t="s">
        <ns0:v>1465</ns0:v>
      </ns0:c>
      <ns0:c r="AA6" s="19" t="s">
        <ns0:v>1466</ns0:v>
      </ns0:c>
    </ns0:row>
    <ns0:row r="7" spans="1:27">
      <ns0:c r="A7" s="10"/>
      <ns0:c r="B7" s="11">
        <ns0:v>71424000</ns0:v>
      </ns0:c>
      <ns0:c r="C7" s="11" t="s">
        <ns0:v>144</ns0:v>
      </ns0:c>
      <ns0:c r="D7" t="str" s="11">
        <ns0:v>筑基</ns0:v>
      </ns0:c>
      <ns0:c r="E7" s="11" t="s">
        <ns0:v>187</ns0:v>
      </ns0:c>
      <ns0:c r="F7" s="11">
        <ns0:v>11424000</ns0:v>
      </ns0:c>
      <ns0:c r="G7" t="str" s="11">
        <ns0:v>【补充设计·暂定】两项常驻奇效，来源归携带位，卸下全量重算。</ns0:v>
      </ns0:c>
      <ns0:c r="H7" t="str" s="11">
        <ns0:v>每秒回血</ns0:v>
      </ns0:c>
      <ns0:c r="I7" s="11"/>
      <ns0:c r="J7" t="str" s="20">
        <ns0:v>整数</ns0:v>
      </ns0:c>
      <ns0:c r="K7" t="n">
        <ns0:v>1</ns0:v>
      </ns0:c>
      <ns0:c r="L7" t="str" s="21">
        <ns0:v>每秒回血+1</ns0:v>
      </ns0:c>
      <ns0:c r="M7" t="str" s="11">
        <ns0:v>生命值</ns0:v>
      </ns0:c>
      <ns0:c r="N7" s="11"/>
      <ns0:c r="O7" t="str" s="21">
        <ns0:v>整数</ns0:v>
      </ns0:c>
      <ns0:c r="P7" t="n" s="11">
        <ns0:v>1</ns0:v>
      </ns0:c>
      <ns0:c r="Q7" t="str" s="21">
        <ns0:v>生命值+1</ns0:v>
      </ns0:c>
      <ns0:c r="R7" s="11"/>
      <ns0:c r="S7" s="11"/>
      <ns0:c r="T7" s="11"/>
      <ns0:c r="U7" s="11"/>
      <ns0:c r="V7" s="11"/>
      <ns0:c r="W7" s="11"/>
      <ns0:c r="X7" s="11"/>
      <ns0:c r="Y7" s="11"/>
      <ns0:c r="Z7" s="11"/>
      <ns0:c r="AA7" s="11"/>
    </ns0:row>
    <ns0:row r="8" spans="1:27">
      <ns0:c r="A8" s="10"/>
      <ns0:c r="B8" s="11">
        <ns0:v>71324000</ns0:v>
      </ns0:c>
      <ns0:c r="C8" s="11" t="s">
        <ns0:v>144</ns0:v>
      </ns0:c>
      <ns0:c r="D8" t="str" s="11">
        <ns0:v>筑基</ns0:v>
      </ns0:c>
      <ns0:c r="E8" s="11" t="s">
        <ns0:v>147</ns0:v>
      </ns0:c>
      <ns0:c r="F8" s="11">
        <ns0:v>11324000</ns0:v>
      </ns0:c>
      <ns0:c r="G8" t="str" s="11">
        <ns0:v>【补充设计·暂定】两项常驻奇效，来源归携带位，卸下全量重算。</ns0:v>
      </ns0:c>
      <ns0:c r="H8" t="str" s="11">
        <ns0:v>物防上限</ns0:v>
      </ns0:c>
      <ns0:c r="I8" s="11"/>
      <ns0:c r="J8" t="str" s="20">
        <ns0:v>整数</ns0:v>
      </ns0:c>
      <ns0:c r="K8" t="n">
        <ns0:v>1</ns0:v>
      </ns0:c>
      <ns0:c r="L8" t="str" s="21">
        <ns0:v>物防上限+1</ns0:v>
      </ns0:c>
      <ns0:c r="M8" t="str" s="11">
        <ns0:v>法防上限</ns0:v>
      </ns0:c>
      <ns0:c r="N8" s="11"/>
      <ns0:c r="O8" t="str" s="21">
        <ns0:v>整数</ns0:v>
      </ns0:c>
      <ns0:c r="P8" t="n" s="11">
        <ns0:v>1</ns0:v>
      </ns0:c>
      <ns0:c r="Q8" t="str" s="21">
        <ns0:v>法防上限+1</ns0:v>
      </ns0:c>
      <ns0:c r="R8" s="11"/>
      <ns0:c r="S8" s="11"/>
      <ns0:c r="T8" s="11"/>
      <ns0:c r="U8" s="11"/>
      <ns0:c r="V8" s="11"/>
      <ns0:c r="W8" s="11"/>
      <ns0:c r="X8" s="11"/>
      <ns0:c r="Y8" s="11"/>
      <ns0:c r="Z8" s="11"/>
      <ns0:c r="AA8" s="11"/>
    </ns0:row>
    <ns0:row r="9" spans="1:27">
      <ns0:c r="A9" s="10"/>
      <ns0:c r="B9" s="11">
        <ns0:v>71624000</ns0:v>
      </ns0:c>
      <ns0:c r="C9" s="11" t="s">
        <ns0:v>144</ns0:v>
      </ns0:c>
      <ns0:c r="D9" t="str" s="11">
        <ns0:v>筑基</ns0:v>
      </ns0:c>
      <ns0:c r="E9" s="11" t="s">
        <ns0:v>195</ns0:v>
      </ns0:c>
      <ns0:c r="F9" s="11">
        <ns0:v>11624000</ns0:v>
      </ns0:c>
      <ns0:c r="G9" t="str" s="11">
        <ns0:v>【补充设计·暂定】两项常驻奇效，来源归携带位，卸下全量重算。</ns0:v>
      </ns0:c>
      <ns0:c r="H9" t="str" s="11">
        <ns0:v>生命值</ns0:v>
      </ns0:c>
      <ns0:c r="I9" s="11"/>
      <ns0:c r="J9" t="str" s="20">
        <ns0:v>整数</ns0:v>
      </ns0:c>
      <ns0:c r="K9" t="n">
        <ns0:v>1</ns0:v>
      </ns0:c>
      <ns0:c r="L9" t="str" s="21">
        <ns0:v>生命值+1</ns0:v>
      </ns0:c>
      <ns0:c r="M9" t="str" s="11">
        <ns0:v>每秒回血</ns0:v>
      </ns0:c>
      <ns0:c r="N9" s="11"/>
      <ns0:c r="O9" t="str" s="21">
        <ns0:v>整数</ns0:v>
      </ns0:c>
      <ns0:c r="P9" t="n" s="11">
        <ns0:v>1</ns0:v>
      </ns0:c>
      <ns0:c r="Q9" t="str" s="21">
        <ns0:v>每秒回血+1</ns0:v>
      </ns0:c>
      <ns0:c r="R9" s="11"/>
      <ns0:c r="S9" s="11"/>
      <ns0:c r="T9" s="11"/>
      <ns0:c r="U9" s="11"/>
      <ns0:c r="V9" s="11"/>
      <ns0:c r="W9" s="11"/>
      <ns0:c r="X9" s="11"/>
      <ns0:c r="Y9" s="11"/>
      <ns0:c r="Z9" s="11"/>
      <ns0:c r="AA9" s="11"/>
    </ns0:row>
    <ns0:row r="10" spans="1:27">
      <ns0:c r="A10" s="10"/>
      <ns0:c r="B10" s="11">
        <ns0:v>71424002</ns0:v>
      </ns0:c>
      <ns0:c r="C10" s="11" t="s">
        <ns0:v>144</ns0:v>
      </ns0:c>
      <ns0:c r="D10" t="str" s="11">
        <ns0:v>筑基</ns0:v>
      </ns0:c>
      <ns0:c r="E10" s="11" t="s">
        <ns0:v>191</ns0:v>
      </ns0:c>
      <ns0:c r="F10" s="11">
        <ns0:v>11424002</ns0:v>
      </ns0:c>
      <ns0:c r="G10" t="str" s="11">
        <ns0:v>【补充设计·暂定】两项常驻奇效，来源归携带位，卸下全量重算。</ns0:v>
      </ns0:c>
      <ns0:c r="H10" t="str" s="11">
        <ns0:v>木行增幅</ns0:v>
      </ns0:c>
      <ns0:c r="I10" s="11"/>
      <ns0:c r="J10" t="str" s="20">
        <ns0:v>整数</ns0:v>
      </ns0:c>
      <ns0:c r="K10" t="n">
        <ns0:v>150</ns0:v>
      </ns0:c>
      <ns0:c r="L10" t="str" s="21">
        <ns0:v>木行增幅+150（万分比单位）</ns0:v>
      </ns0:c>
      <ns0:c r="M10" t="str" s="11">
        <ns0:v>每秒回血</ns0:v>
      </ns0:c>
      <ns0:c r="N10" s="11"/>
      <ns0:c r="O10" t="str" s="21">
        <ns0:v>整数</ns0:v>
      </ns0:c>
      <ns0:c r="P10" t="n" s="11">
        <ns0:v>3</ns0:v>
      </ns0:c>
      <ns0:c r="Q10" t="str" s="21">
        <ns0:v>每秒回血+3</ns0:v>
      </ns0:c>
      <ns0:c r="R10" s="11"/>
      <ns0:c r="S10" s="11"/>
      <ns0:c r="T10" s="11"/>
      <ns0:c r="U10" s="11"/>
      <ns0:c r="V10" s="11"/>
      <ns0:c r="W10" s="11"/>
      <ns0:c r="X10" s="11"/>
      <ns0:c r="Y10" s="11"/>
      <ns0:c r="Z10" s="11"/>
      <ns0:c r="AA10" s="11"/>
    </ns0:row>
    <ns0:row r="11" spans="1:27">
      <ns0:c r="A11" s="10"/>
      <ns0:c r="B11" s="11">
        <ns0:v>71624002</ns0:v>
      </ns0:c>
      <ns0:c r="C11" s="11" t="s">
        <ns0:v>144</ns0:v>
      </ns0:c>
      <ns0:c r="D11" t="str" s="11">
        <ns0:v>筑基</ns0:v>
      </ns0:c>
      <ns0:c r="E11" s="11" t="s">
        <ns0:v>199</ns0:v>
      </ns0:c>
      <ns0:c r="F11" s="11">
        <ns0:v>11624002</ns0:v>
      </ns0:c>
      <ns0:c r="G11" t="str" s="11">
        <ns0:v>【补充设计·暂定】两项常驻奇效，来源归携带位，卸下全量重算。</ns0:v>
      </ns0:c>
      <ns0:c r="H11" t="str" s="11">
        <ns0:v>生命值</ns0:v>
      </ns0:c>
      <ns0:c r="I11" s="11"/>
      <ns0:c r="J11" t="str" s="20">
        <ns0:v>整数</ns0:v>
      </ns0:c>
      <ns0:c r="K11" t="n">
        <ns0:v>3</ns0:v>
      </ns0:c>
      <ns0:c r="L11" t="str" s="21">
        <ns0:v>生命值+3</ns0:v>
      </ns0:c>
      <ns0:c r="M11" t="str" s="11">
        <ns0:v>每秒回血</ns0:v>
      </ns0:c>
      <ns0:c r="N11" s="11"/>
      <ns0:c r="O11" t="str" s="21">
        <ns0:v>整数</ns0:v>
      </ns0:c>
      <ns0:c r="P11" t="n" s="11">
        <ns0:v>3</ns0:v>
      </ns0:c>
      <ns0:c r="Q11" t="str" s="21">
        <ns0:v>每秒回血+3</ns0:v>
      </ns0:c>
      <ns0:c r="R11" s="11"/>
      <ns0:c r="S11" s="11"/>
      <ns0:c r="T11" s="11"/>
      <ns0:c r="U11" s="11"/>
      <ns0:c r="V11" s="11"/>
      <ns0:c r="W11" s="11"/>
      <ns0:c r="X11" s="11"/>
      <ns0:c r="Y11" s="11"/>
      <ns0:c r="Z11" s="11"/>
      <ns0:c r="AA11" s="11"/>
    </ns0:row>
    <ns0:row r="12" spans="1:27">
      <ns0:c r="A12" s="10"/>
      <ns0:c r="B12" s="11">
        <ns0:v>72534023</ns0:v>
      </ns0:c>
      <ns0:c r="C12" s="11" t="s">
        <ns0:v>601</ns0:v>
      </ns0:c>
      <ns0:c r="D12" t="str" s="11">
        <ns0:v>筑基</ns0:v>
      </ns0:c>
      <ns0:c r="E12" s="11" t="s">
        <ns0:v>659</ns0:v>
      </ns0:c>
      <ns0:c r="F12" s="11">
        <ns0:v>12534023</ns0:v>
      </ns0:c>
      <ns0:c r="G12" t="str" s="11">
        <ns0:v>【补充设计·暂定】两项常驻奇效，来源归携带位，卸下全量重算。</ns0:v>
      </ns0:c>
      <ns0:c r="H12" t="str" s="11">
        <ns0:v>法力上限</ns0:v>
      </ns0:c>
      <ns0:c r="I12" s="11"/>
      <ns0:c r="J12" t="str" s="20">
        <ns0:v>整数</ns0:v>
      </ns0:c>
      <ns0:c r="K12" t="n">
        <ns0:v>3</ns0:v>
      </ns0:c>
      <ns0:c r="L12" t="str" s="21">
        <ns0:v>法力上限+3</ns0:v>
      </ns0:c>
      <ns0:c r="M12" t="str" s="11">
        <ns0:v>施法速度</ns0:v>
      </ns0:c>
      <ns0:c r="N12" s="11"/>
      <ns0:c r="O12" t="str" s="21">
        <ns0:v>整数</ns0:v>
      </ns0:c>
      <ns0:c r="P12" t="n" s="11">
        <ns0:v>5</ns0:v>
      </ns0:c>
      <ns0:c r="Q12" t="str" s="21">
        <ns0:v>施法速度+5</ns0:v>
      </ns0:c>
      <ns0:c r="R12" s="11"/>
      <ns0:c r="S12" s="11"/>
      <ns0:c r="T12" s="11"/>
      <ns0:c r="U12" s="11"/>
      <ns0:c r="V12" s="11"/>
      <ns0:c r="W12" s="11"/>
      <ns0:c r="X12" s="11"/>
      <ns0:c r="Y12" s="11"/>
      <ns0:c r="Z12" s="11"/>
      <ns0:c r="AA12" s="11"/>
    </ns0:row>
    <ns0:row r="13" spans="1:27">
      <ns0:c r="A13" s="10"/>
      <ns0:c r="B13" s="11">
        <ns0:v>72324014</ns0:v>
      </ns0:c>
      <ns0:c r="C13" s="11" t="s">
        <ns0:v>601</ns0:v>
      </ns0:c>
      <ns0:c r="D13" t="str" s="11">
        <ns0:v>筑基</ns0:v>
      </ns0:c>
      <ns0:c r="E13" s="11" t="s">
        <ns0:v>629</ns0:v>
      </ns0:c>
      <ns0:c r="F13" s="11">
        <ns0:v>12324014</ns0:v>
      </ns0:c>
      <ns0:c r="G13" t="str" s="11">
        <ns0:v>【补充设计·暂定】两项常驻奇效，来源归携带位，卸下全量重算。</ns0:v>
      </ns0:c>
      <ns0:c r="H13" t="str" s="11">
        <ns0:v>伤害减免</ns0:v>
      </ns0:c>
      <ns0:c r="I13" s="11"/>
      <ns0:c r="J13" t="str" s="20">
        <ns0:v>整数</ns0:v>
      </ns0:c>
      <ns0:c r="K13" t="n">
        <ns0:v>3</ns0:v>
      </ns0:c>
      <ns0:c r="L13" t="str" s="21">
        <ns0:v>伤害减免+3</ns0:v>
      </ns0:c>
      <ns0:c r="M13" t="str" s="11">
        <ns0:v>物防上限</ns0:v>
      </ns0:c>
      <ns0:c r="N13" s="11"/>
      <ns0:c r="O13" t="str" s="21">
        <ns0:v>整数</ns0:v>
      </ns0:c>
      <ns0:c r="P13" t="n" s="11">
        <ns0:v>3</ns0:v>
      </ns0:c>
      <ns0:c r="Q13" t="str" s="21">
        <ns0:v>物防上限+3</ns0:v>
      </ns0:c>
      <ns0:c r="R13" s="11"/>
      <ns0:c r="S13" s="11"/>
      <ns0:c r="T13" s="11"/>
      <ns0:c r="U13" s="11"/>
      <ns0:c r="V13" s="11"/>
      <ns0:c r="W13" s="11"/>
      <ns0:c r="X13" s="11"/>
      <ns0:c r="Y13" s="11"/>
      <ns0:c r="Z13" s="11"/>
      <ns0:c r="AA13" s="11"/>
    </ns0:row>
    <ns0:row r="14" spans="1:27">
      <ns0:c r="A14" s="10"/>
      <ns0:c r="B14" s="11">
        <ns0:v>72364021</ns0:v>
      </ns0:c>
      <ns0:c r="C14" s="11" t="s">
        <ns0:v>601</ns0:v>
      </ns0:c>
      <ns0:c r="D14" t="str" s="11">
        <ns0:v>筑基</ns0:v>
      </ns0:c>
      <ns0:c r="E14" s="11" t="s">
        <ns0:v>701</ns0:v>
      </ns0:c>
      <ns0:c r="F14" s="11">
        <ns0:v>12364021</ns0:v>
      </ns0:c>
      <ns0:c r="G14" t="str" s="11">
        <ns0:v>【补充设计·暂定】两项常驻奇效，来源归携带位，卸下全量重算。</ns0:v>
      </ns0:c>
      <ns0:c r="H14" t="str" s="11">
        <ns0:v>物防上限</ns0:v>
      </ns0:c>
      <ns0:c r="I14" s="11"/>
      <ns0:c r="J14" t="str" s="20">
        <ns0:v>整数</ns0:v>
      </ns0:c>
      <ns0:c r="K14" t="n">
        <ns0:v>1</ns0:v>
      </ns0:c>
      <ns0:c r="L14" t="str" s="21">
        <ns0:v>物防上限+1</ns0:v>
      </ns0:c>
      <ns0:c r="M14" t="str" s="11">
        <ns0:v>法防上限</ns0:v>
      </ns0:c>
      <ns0:c r="N14" s="11"/>
      <ns0:c r="O14" t="str" s="21">
        <ns0:v>整数</ns0:v>
      </ns0:c>
      <ns0:c r="P14" t="n" s="11">
        <ns0:v>1</ns0:v>
      </ns0:c>
      <ns0:c r="Q14" t="str" s="21">
        <ns0:v>法防上限+1</ns0:v>
      </ns0:c>
      <ns0:c r="R14" s="11"/>
      <ns0:c r="S14" s="11"/>
      <ns0:c r="T14" s="11"/>
      <ns0:c r="U14" s="11"/>
      <ns0:c r="V14" s="11"/>
      <ns0:c r="W14" s="11"/>
      <ns0:c r="X14" s="11"/>
      <ns0:c r="Y14" s="11"/>
      <ns0:c r="Z14" s="11"/>
      <ns0:c r="AA14" s="11"/>
    </ns0:row>
    <ns0:row r="15" spans="1:27">
      <ns0:c r="A15" s="10"/>
      <ns0:c r="B15" s="11">
        <ns0:v>72624004</ns0:v>
      </ns0:c>
      <ns0:c r="C15" s="11" t="s">
        <ns0:v>601</ns0:v>
      </ns0:c>
      <ns0:c r="D15" t="str" s="11">
        <ns0:v>筑基</ns0:v>
      </ns0:c>
      <ns0:c r="E15" s="11" t="s">
        <ns0:v>609</ns0:v>
      </ns0:c>
      <ns0:c r="F15" s="11">
        <ns0:v>12624004</ns0:v>
      </ns0:c>
      <ns0:c r="G15" t="str" s="11">
        <ns0:v>【补充设计·暂定】两项常驻奇效，来源归携带位，卸下全量重算。</ns0:v>
      </ns0:c>
      <ns0:c r="H15" t="str" s="11">
        <ns0:v>法防上限</ns0:v>
      </ns0:c>
      <ns0:c r="I15" s="11"/>
      <ns0:c r="J15" t="str" s="20">
        <ns0:v>整数</ns0:v>
      </ns0:c>
      <ns0:c r="K15" t="n">
        <ns0:v>2</ns0:v>
      </ns0:c>
      <ns0:c r="L15" t="str" s="21">
        <ns0:v>法防上限+2</ns0:v>
      </ns0:c>
      <ns0:c r="M15" t="str" s="11">
        <ns0:v>伤害减免</ns0:v>
      </ns0:c>
      <ns0:c r="N15" s="11"/>
      <ns0:c r="O15" t="str" s="21">
        <ns0:v>整数</ns0:v>
      </ns0:c>
      <ns0:c r="P15" t="n" s="11">
        <ns0:v>2</ns0:v>
      </ns0:c>
      <ns0:c r="Q15" t="str" s="21">
        <ns0:v>伤害减免+2</ns0:v>
      </ns0:c>
      <ns0:c r="R15" s="11"/>
      <ns0:c r="S15" s="11"/>
      <ns0:c r="T15" s="11"/>
      <ns0:c r="U15" s="11"/>
      <ns0:c r="V15" s="11"/>
      <ns0:c r="W15" s="11"/>
      <ns0:c r="X15" s="11"/>
      <ns0:c r="Y15" s="11"/>
      <ns0:c r="Z15" s="11"/>
      <ns0:c r="AA15" s="11"/>
    </ns0:row>
    <ns0:row r="16" spans="1:27">
      <ns0:c r="A16" s="10"/>
      <ns0:c r="B16" s="11">
        <ns0:v>72704000</ns0:v>
      </ns0:c>
      <ns0:c r="C16" s="11" t="s">
        <ns0:v>601</ns0:v>
      </ns0:c>
      <ns0:c r="D16" t="str" s="11">
        <ns0:v>筑基</ns0:v>
      </ns0:c>
      <ns0:c r="E16" s="11" t="s">
        <ns0:v>721</ns0:v>
      </ns0:c>
      <ns0:c r="F16" s="11">
        <ns0:v>12704000</ns0:v>
      </ns0:c>
      <ns0:c r="G16" t="str" s="11">
        <ns0:v>【补充设计·暂定】两项常驻奇效，来源归携带位，卸下全量重算。</ns0:v>
      </ns0:c>
      <ns0:c r="H16" t="str" s="11">
        <ns0:v>物防上限</ns0:v>
      </ns0:c>
      <ns0:c r="I16" s="11"/>
      <ns0:c r="J16" t="str" s="20">
        <ns0:v>整数</ns0:v>
      </ns0:c>
      <ns0:c r="K16" t="n">
        <ns0:v>1</ns0:v>
      </ns0:c>
      <ns0:c r="L16" t="str" s="21">
        <ns0:v>物防上限+1</ns0:v>
      </ns0:c>
      <ns0:c r="M16" t="str" s="11">
        <ns0:v>法防上限</ns0:v>
      </ns0:c>
      <ns0:c r="N16" s="11"/>
      <ns0:c r="O16" t="str" s="21">
        <ns0:v>整数</ns0:v>
      </ns0:c>
      <ns0:c r="P16" t="n" s="11">
        <ns0:v>1</ns0:v>
      </ns0:c>
      <ns0:c r="Q16" t="str" s="21">
        <ns0:v>法防上限+1</ns0:v>
      </ns0:c>
      <ns0:c r="R16" s="11"/>
      <ns0:c r="S16" s="11"/>
      <ns0:c r="T16" s="11"/>
      <ns0:c r="U16" s="11"/>
      <ns0:c r="V16" s="11"/>
      <ns0:c r="W16" s="11"/>
      <ns0:c r="X16" s="11"/>
      <ns0:c r="Y16" s="11"/>
      <ns0:c r="Z16" s="11"/>
      <ns0:c r="AA16" s="11"/>
    </ns0:row>
    <ns0:row r="17" spans="1:27">
      <ns0:c r="A17" s="10"/>
      <ns0:c r="B17" s="11">
        <ns0:v>71921012</ns0:v>
      </ns0:c>
      <ns0:c r="C17" s="11" t="s">
        <ns0:v>239</ns0:v>
      </ns0:c>
      <ns0:c r="D17" t="str" s="11">
        <ns0:v>筑基</ns0:v>
      </ns0:c>
      <c xmlns="http://schemas.openxmlformats.org/spreadsheetml/2006/main" r="E17" s="11" t="inlineStr">
        <is>
          <t>复元丹</t>
        </is>
      </c>
      <ns0:c r="F17" s="11">
        <ns0:v>11921012</ns0:v>
      </ns0:c>
      <ns0:c r="G17" t="str" s="11">
        <ns0:v>【补充设计·暂定】两项常驻奇效，来源归携带位，卸下全量重算。</ns0:v>
      </ns0:c>
      <ns0:c r="H17" t="str" s="11">
        <ns0:v>灵力值</ns0:v>
      </ns0:c>
      <ns0:c r="I17" s="11"/>
      <ns0:c r="J17" t="str" s="20">
        <ns0:v>整数</ns0:v>
      </ns0:c>
      <ns0:c r="K17" t="n">
        <ns0:v>1</ns0:v>
      </ns0:c>
      <ns0:c r="L17" t="str" s="21">
        <ns0:v>灵力值+1</ns0:v>
      </ns0:c>
      <ns0:c r="M17" t="str" s="11">
        <ns0:v>每秒回灵</ns0:v>
      </ns0:c>
      <ns0:c r="N17" s="11"/>
      <ns0:c r="O17" t="str" s="21">
        <ns0:v>整数</ns0:v>
      </ns0:c>
      <ns0:c r="P17" t="n" s="11">
        <ns0:v>1</ns0:v>
      </ns0:c>
      <ns0:c r="Q17" t="str" s="21">
        <ns0:v>每秒回灵+1</ns0:v>
      </ns0:c>
      <ns0:c r="R17" s="11"/>
      <ns0:c r="S17" s="11"/>
      <ns0:c r="T17" s="11"/>
      <ns0:c r="U17" s="11"/>
      <ns0:c r="V17" s="11"/>
      <ns0:c r="W17" s="11"/>
      <ns0:c r="X17" s="11"/>
      <ns0:c r="Y17" s="11"/>
      <ns0:c r="Z17" s="11"/>
      <ns0:c r="AA17" s="11"/>
    </ns0:row>
    <ns0:row r="18" spans="1:27">
      <ns0:c r="A18" s="10"/>
      <ns0:c r="B18" s="11">
        <ns0:v>71921096</ns0:v>
      </ns0:c>
      <ns0:c r="C18" s="11" t="s">
        <ns0:v>239</ns0:v>
      </ns0:c>
      <ns0:c r="D18" t="str" s="11">
        <ns0:v>筑基</ns0:v>
      </ns0:c>
      <ns0:c r="E18" s="11" t="s">
        <ns0:v>432</ns0:v>
      </ns0:c>
      <ns0:c r="F18" s="11">
        <ns0:v>11921096</ns0:v>
      </ns0:c>
      <ns0:c r="G18" t="str" s="11">
        <ns0:v>【补充设计·暂定】两项常驻奇效，来源归携带位，卸下全量重算。</ns0:v>
      </ns0:c>
      <ns0:c r="H18" t="str" s="11">
        <ns0:v>神识</ns0:v>
      </ns0:c>
      <ns0:c r="I18" s="11"/>
      <ns0:c r="J18" t="str" s="20">
        <ns0:v>整数</ns0:v>
      </ns0:c>
      <ns0:c r="K18" t="n">
        <ns0:v>1</ns0:v>
      </ns0:c>
      <ns0:c r="L18" t="str" s="21">
        <ns0:v>神识+1</ns0:v>
      </ns0:c>
      <ns0:c r="M18" t="str" s="11">
        <ns0:v>免暴击率</ns0:v>
      </ns0:c>
      <ns0:c r="N18" s="11"/>
      <ns0:c r="O18" t="str" s="21">
        <ns0:v>整数</ns0:v>
      </ns0:c>
      <ns0:c r="P18" t="n" s="11">
        <ns0:v>125</ns0:v>
      </ns0:c>
      <ns0:c r="Q18" t="str" s="21">
        <ns0:v>免暴击率+125（万分比单位）</ns0:v>
      </ns0:c>
      <ns0:c r="R18" s="11"/>
      <ns0:c r="S18" s="11"/>
      <ns0:c r="T18" s="11"/>
      <ns0:c r="U18" s="11"/>
      <ns0:c r="V18" s="11"/>
      <ns0:c r="W18" s="11"/>
      <ns0:c r="X18" s="11"/>
      <ns0:c r="Y18" s="11"/>
      <ns0:c r="Z18" s="11"/>
      <ns0:c r="AA18" s="11"/>
    </ns0:row>
    <ns0:row r="19" spans="1:27">
      <ns0:c r="A19" s="10"/>
      <ns0:c r="B19" s="11">
        <ns0:v>71921107</ns0:v>
      </ns0:c>
      <ns0:c r="C19" s="11" t="s">
        <ns0:v>239</ns0:v>
      </ns0:c>
      <ns0:c r="D19" t="str" s="11">
        <ns0:v>筑基</ns0:v>
      </ns0:c>
      <c xmlns="http://schemas.openxmlformats.org/spreadsheetml/2006/main" r="E19" s="11" t="inlineStr">
        <is>
          <t>破御丹</t>
        </is>
      </c>
      <ns0:c r="F19" s="11">
        <ns0:v>11921107</ns0:v>
      </ns0:c>
      <ns0:c r="G19" t="str" s="11">
        <ns0:v>【补充设计·暂定】两项常驻奇效，来源归携带位，卸下全量重算。</ns0:v>
      </ns0:c>
      <ns0:c r="H19" t="str" s="11">
        <ns0:v>生命值</ns0:v>
      </ns0:c>
      <ns0:c r="I19" s="11"/>
      <ns0:c r="J19" t="str" s="20">
        <ns0:v>整数</ns0:v>
      </ns0:c>
      <ns0:c r="K19" t="n">
        <ns0:v>3</ns0:v>
      </ns0:c>
      <ns0:c r="L19" t="str" s="21">
        <ns0:v>生命值+3</ns0:v>
      </ns0:c>
      <ns0:c r="M19" t="str" s="11">
        <ns0:v>每秒回血</ns0:v>
      </ns0:c>
      <ns0:c r="N19" s="11"/>
      <ns0:c r="O19" t="str" s="21">
        <ns0:v>整数</ns0:v>
      </ns0:c>
      <ns0:c r="P19" t="n" s="11">
        <ns0:v>3</ns0:v>
      </ns0:c>
      <ns0:c r="Q19" t="str" s="21">
        <ns0:v>每秒回血+3</ns0:v>
      </ns0:c>
      <ns0:c r="R19" s="11"/>
      <ns0:c r="S19" s="11"/>
      <ns0:c r="T19" s="11"/>
      <ns0:c r="U19" s="11"/>
      <ns0:c r="V19" s="11"/>
      <ns0:c r="W19" s="11"/>
      <ns0:c r="X19" s="11"/>
      <ns0:c r="Y19" s="11"/>
      <ns0:c r="Z19" s="11"/>
      <ns0:c r="AA19" s="11"/>
    </ns0:row>
    <ns0:row r="20" spans="1:27">
      <ns0:c r="A20" s="10"/>
      <ns0:c r="B20" s="11">
        <ns0:v>71921082</ns0:v>
      </ns0:c>
      <ns0:c r="C20" s="11" t="s">
        <ns0:v>239</ns0:v>
      </ns0:c>
      <ns0:c r="D20" t="str" s="11">
        <ns0:v>筑基</ns0:v>
      </ns0:c>
      <ns0:c r="E20" s="11" t="s">
        <ns0:v>404</ns0:v>
      </ns0:c>
      <ns0:c r="F20" s="11">
        <ns0:v>11921082</ns0:v>
      </ns0:c>
      <ns0:c r="G20" t="str" s="11">
        <ns0:v>【补充设计·暂定】两项常驻奇效，来源归携带位，卸下全量重算。</ns0:v>
      </ns0:c>
      <ns0:c r="H20" t="str" s="11">
        <ns0:v>神识</ns0:v>
      </ns0:c>
      <ns0:c r="I20" s="11"/>
      <ns0:c r="J20" t="str" s="20">
        <ns0:v>整数</ns0:v>
      </ns0:c>
      <ns0:c r="K20" t="n">
        <ns0:v>2</ns0:v>
      </ns0:c>
      <ns0:c r="L20" t="str" s="21">
        <ns0:v>神识+2</ns0:v>
      </ns0:c>
      <ns0:c r="M20" t="str" s="11">
        <ns0:v>免暴击率</ns0:v>
      </ns0:c>
      <ns0:c r="N20" s="11"/>
      <ns0:c r="O20" t="str" s="21">
        <ns0:v>整数</ns0:v>
      </ns0:c>
      <ns0:c r="P20" t="n" s="11">
        <ns0:v>150</ns0:v>
      </ns0:c>
      <ns0:c r="Q20" t="str" s="21">
        <ns0:v>免暴击率+150（万分比单位）</ns0:v>
      </ns0:c>
      <ns0:c r="R20" s="11"/>
      <ns0:c r="S20" s="11"/>
      <ns0:c r="T20" s="11"/>
      <ns0:c r="U20" s="11"/>
      <ns0:c r="V20" s="11"/>
      <ns0:c r="W20" s="11"/>
      <ns0:c r="X20" s="11"/>
      <ns0:c r="Y20" s="11"/>
      <ns0:c r="Z20" s="11"/>
      <ns0:c r="AA20" s="11"/>
    </ns0:row>
    <ns0:row r="21" spans="1:27">
      <ns0:c r="A21" s="10"/>
      <ns0:c r="B21" s="11">
        <ns0:v>71921072</ns0:v>
      </ns0:c>
      <ns0:c r="C21" s="11" t="s">
        <ns0:v>239</ns0:v>
      </ns0:c>
      <ns0:c r="D21" t="str" s="11">
        <ns0:v>筑基</ns0:v>
      </ns0:c>
      <ns0:c r="E21" s="11" t="s">
        <ns0:v>384</ns0:v>
      </ns0:c>
      <ns0:c r="F21" s="11">
        <ns0:v>11921072</ns0:v>
      </ns0:c>
      <ns0:c r="G21" t="str" s="11">
        <ns0:v>【补充设计·暂定】两项常驻奇效，来源归携带位，卸下全量重算。</ns0:v>
      </ns0:c>
      <ns0:c r="H21" t="str" s="11">
        <ns0:v>每秒回灵</ns0:v>
      </ns0:c>
      <ns0:c r="I21" s="11"/>
      <ns0:c r="J21" t="str" s="20">
        <ns0:v>整数</ns0:v>
      </ns0:c>
      <ns0:c r="K21" t="n">
        <ns0:v>1</ns0:v>
      </ns0:c>
      <ns0:c r="L21" t="str" s="21">
        <ns0:v>每秒回灵+1</ns0:v>
      </ns0:c>
      <ns0:c r="M21" t="str" s="11">
        <ns0:v>灵力值</ns0:v>
      </ns0:c>
      <ns0:c r="N21" s="11"/>
      <ns0:c r="O21" t="str" s="21">
        <ns0:v>整数</ns0:v>
      </ns0:c>
      <ns0:c r="P21" t="n" s="11">
        <ns0:v>1</ns0:v>
      </ns0:c>
      <ns0:c r="Q21" t="str" s="21">
        <ns0:v>灵力值+1</ns0:v>
      </ns0:c>
      <ns0:c r="R21" s="11"/>
      <ns0:c r="S21" s="11"/>
      <ns0:c r="T21" s="11"/>
      <ns0:c r="U21" s="11"/>
      <ns0:c r="V21" s="11"/>
      <ns0:c r="W21" s="11"/>
      <ns0:c r="X21" s="11"/>
      <ns0:c r="Y21" s="11"/>
      <ns0:c r="Z21" s="11"/>
      <ns0:c r="AA21" s="11"/>
    </ns0:row>
    <ns0:row r="22" spans="1:27">
      <ns0:c r="A22" s="10"/>
      <ns0:c r="B22" s="11">
        <ns0:v>72424000</ns0:v>
      </ns0:c>
      <ns0:c r="C22" s="11" t="s">
        <ns0:v>724</ns0:v>
      </ns0:c>
      <ns0:c r="D22" t="str" s="11">
        <ns0:v>筑基</ns0:v>
      </ns0:c>
      <ns0:c r="E22" s="11" t="s">
        <ns0:v>723</ns0:v>
      </ns0:c>
      <ns0:c r="F22" s="11">
        <ns0:v>12424000</ns0:v>
      </ns0:c>
      <ns0:c r="G22" t="str" s="11">
        <ns0:v>【补充设计·暂定】两项常驻奇效，来源归携带位，卸下全量重算。</ns0:v>
      </ns0:c>
      <ns0:c r="H22" t="str" s="11">
        <ns0:v>攻击上限</ns0:v>
      </ns0:c>
      <ns0:c r="I22" s="11"/>
      <ns0:c r="J22" t="str" s="20">
        <ns0:v>整数</ns0:v>
      </ns0:c>
      <ns0:c r="K22" t="n">
        <ns0:v>1</ns0:v>
      </ns0:c>
      <ns0:c r="L22" t="str" s="21">
        <ns0:v>攻击上限+1</ns0:v>
      </ns0:c>
      <ns0:c r="M22" t="str" s="11">
        <ns0:v>暴击率</ns0:v>
      </ns0:c>
      <ns0:c r="N22" s="11"/>
      <ns0:c r="O22" t="str" s="21">
        <ns0:v>整数</ns0:v>
      </ns0:c>
      <ns0:c r="P22" t="n" s="11">
        <ns0:v>100</ns0:v>
      </ns0:c>
      <ns0:c r="Q22" t="str" s="21">
        <ns0:v>暴击率+100（万分比单位）</ns0:v>
      </ns0:c>
      <ns0:c r="R22" s="11"/>
      <ns0:c r="S22" s="11"/>
      <ns0:c r="T22" s="11"/>
      <ns0:c r="U22" s="11"/>
      <ns0:c r="V22" s="11"/>
      <ns0:c r="W22" s="11"/>
      <ns0:c r="X22" s="11"/>
      <ns0:c r="Y22" s="11"/>
      <ns0:c r="Z22" s="11"/>
      <ns0:c r="AA22" s="11"/>
    </ns0:row>
    <ns0:row r="23" spans="1:27">
      <ns0:c r="A23" s="10"/>
      <ns0:c r="B23" s="11">
        <ns0:v>72424016</ns0:v>
      </ns0:c>
      <ns0:c r="C23" s="11" t="s">
        <ns0:v>724</ns0:v>
      </ns0:c>
      <ns0:c r="D23" t="str" s="11">
        <ns0:v>筑基</ns0:v>
      </ns0:c>
      <ns0:c r="E23" s="11" t="s">
        <ns0:v>726</ns0:v>
      </ns0:c>
      <ns0:c r="F23" s="11">
        <ns0:v>12424016</ns0:v>
      </ns0:c>
      <ns0:c r="G23" t="str" s="11">
        <ns0:v>【补充设计·暂定】两项常驻奇效，来源归携带位，卸下全量重算。</ns0:v>
      </ns0:c>
      <ns0:c r="H23" t="str" s="11">
        <ns0:v>法力上限</ns0:v>
      </ns0:c>
      <ns0:c r="I23" s="11"/>
      <ns0:c r="J23" t="str" s="20">
        <ns0:v>整数</ns0:v>
      </ns0:c>
      <ns0:c r="K23" t="n">
        <ns0:v>2</ns0:v>
      </ns0:c>
      <ns0:c r="L23" t="str" s="21">
        <ns0:v>法力上限+2</ns0:v>
      </ns0:c>
      <ns0:c r="M23" t="str" s="11">
        <ns0:v>伤害提升</ns0:v>
      </ns0:c>
      <ns0:c r="N23" s="11"/>
      <ns0:c r="O23" t="str" s="21">
        <ns0:v>整数</ns0:v>
      </ns0:c>
      <ns0:c r="P23" t="n" s="11">
        <ns0:v>2</ns0:v>
      </ns0:c>
      <ns0:c r="Q23" t="str" s="21">
        <ns0:v>伤害提升+2</ns0:v>
      </ns0:c>
      <ns0:c r="R23" s="11"/>
      <ns0:c r="S23" s="11"/>
      <ns0:c r="T23" s="11"/>
      <ns0:c r="U23" s="11"/>
      <ns0:c r="V23" s="11"/>
      <ns0:c r="W23" s="11"/>
      <ns0:c r="X23" s="11"/>
      <ns0:c r="Y23" s="11"/>
      <ns0:c r="Z23" s="11"/>
      <ns0:c r="AA23" s="11"/>
    </ns0:row>
    <ns0:row r="24" spans="1:27">
      <ns0:c r="A24" s="10"/>
      <ns0:c r="B24" s="11">
        <ns0:v>72424025</ns0:v>
      </ns0:c>
      <ns0:c r="C24" s="11" t="s">
        <ns0:v>724</ns0:v>
      </ns0:c>
      <ns0:c r="D24" t="str" s="11">
        <ns0:v>筑基</ns0:v>
      </ns0:c>
      <ns0:c r="E24" s="11" t="s">
        <ns0:v>728</ns0:v>
      </ns0:c>
      <ns0:c r="F24" s="11">
        <ns0:v>12424025</ns0:v>
      </ns0:c>
      <ns0:c r="G24" t="str" s="11">
        <ns0:v>【补充设计·暂定】两项常驻奇效，来源归携带位，卸下全量重算。</ns0:v>
      </ns0:c>
      <ns0:c r="H24" t="str" s="11">
        <ns0:v>法力上限</ns0:v>
      </ns0:c>
      <ns0:c r="I24" s="11"/>
      <ns0:c r="J24" t="str" s="20">
        <ns0:v>整数</ns0:v>
      </ns0:c>
      <ns0:c r="K24" t="n">
        <ns0:v>2</ns0:v>
      </ns0:c>
      <ns0:c r="L24" t="str" s="21">
        <ns0:v>法力上限+2</ns0:v>
      </ns0:c>
      <ns0:c r="M24" t="str" s="11">
        <ns0:v>伤害提升</ns0:v>
      </ns0:c>
      <ns0:c r="N24" s="11"/>
      <ns0:c r="O24" t="str" s="21">
        <ns0:v>整数</ns0:v>
      </ns0:c>
      <ns0:c r="P24" t="n" s="11">
        <ns0:v>2</ns0:v>
      </ns0:c>
      <ns0:c r="Q24" t="str" s="21">
        <ns0:v>伤害提升+2</ns0:v>
      </ns0:c>
      <ns0:c r="R24" s="11"/>
      <ns0:c r="S24" s="11"/>
      <ns0:c r="T24" s="11"/>
      <ns0:c r="U24" s="11"/>
      <ns0:c r="V24" s="11"/>
      <ns0:c r="W24" s="11"/>
      <ns0:c r="X24" s="11"/>
      <ns0:c r="Y24" s="11"/>
      <ns0:c r="Z24" s="11"/>
      <ns0:c r="AA24" s="11"/>
    </ns0:row>
    <ns0:row r="25" spans="1:27">
      <ns0:c r="A25" s="10"/>
      <ns0:c r="B25" s="11">
        <ns0:v>72424041</ns0:v>
      </ns0:c>
      <ns0:c r="C25" s="11" t="s">
        <ns0:v>724</ns0:v>
      </ns0:c>
      <ns0:c r="D25" t="str" s="11">
        <ns0:v>筑基</ns0:v>
      </ns0:c>
      <ns0:c r="E25" s="11" t="s">
        <ns0:v>878</ns0:v>
      </ns0:c>
      <ns0:c r="F25" s="11">
        <ns0:v>12424041</ns0:v>
      </ns0:c>
      <ns0:c r="G25" t="str" s="11">
        <ns0:v>【补充设计·暂定】两项常驻奇效，来源归携带位，卸下全量重算。</ns0:v>
      </ns0:c>
      <ns0:c r="H25" t="str" s="11">
        <ns0:v>伤害提升</ns0:v>
      </ns0:c>
      <ns0:c r="I25" s="11"/>
      <ns0:c r="J25" t="str" s="20">
        <ns0:v>整数</ns0:v>
      </ns0:c>
      <ns0:c r="K25" t="n">
        <ns0:v>3</ns0:v>
      </ns0:c>
      <ns0:c r="L25" t="str" s="21">
        <ns0:v>伤害提升+3</ns0:v>
      </ns0:c>
      <ns0:c r="M25" t="str" s="11">
        <ns0:v>攻击上限</ns0:v>
      </ns0:c>
      <ns0:c r="N25" s="11"/>
      <ns0:c r="O25" t="str" s="21">
        <ns0:v>整数</ns0:v>
      </ns0:c>
      <ns0:c r="P25" t="n" s="11">
        <ns0:v>3</ns0:v>
      </ns0:c>
      <ns0:c r="Q25" t="str" s="21">
        <ns0:v>攻击上限+3</ns0:v>
      </ns0:c>
      <ns0:c r="R25" s="11"/>
      <ns0:c r="S25" s="11"/>
      <ns0:c r="T25" s="11"/>
      <ns0:c r="U25" s="11"/>
      <ns0:c r="V25" s="11"/>
      <ns0:c r="W25" s="11"/>
      <ns0:c r="X25" s="11"/>
      <ns0:c r="Y25" s="11"/>
      <ns0:c r="Z25" s="11"/>
      <ns0:c r="AA25" s="11"/>
    </ns0:row>
    <ns0:row r="26" spans="1:27">
      <ns0:c r="A26" s="10"/>
      <ns0:c r="B26" s="11">
        <ns0:v>72424050</ns0:v>
      </ns0:c>
      <ns0:c r="C26" s="11" t="s">
        <ns0:v>724</ns0:v>
      </ns0:c>
      <ns0:c r="D26" t="str" s="11">
        <ns0:v>筑基</ns0:v>
      </ns0:c>
      <ns0:c r="E26" s="11" t="s">
        <ns0:v>732</ns0:v>
      </ns0:c>
      <ns0:c r="F26" s="11">
        <ns0:v>12424050</ns0:v>
      </ns0:c>
      <ns0:c r="G26" t="str" s="11">
        <ns0:v>【补充设计·暂定】两项常驻奇效，来源归携带位，卸下全量重算。</ns0:v>
      </ns0:c>
      <ns0:c r="H26" t="str" s="11">
        <ns0:v>伤害提升</ns0:v>
      </ns0:c>
      <ns0:c r="I26" s="11"/>
      <ns0:c r="J26" t="str" s="20">
        <ns0:v>整数</ns0:v>
      </ns0:c>
      <ns0:c r="K26" t="n">
        <ns0:v>3</ns0:v>
      </ns0:c>
      <ns0:c r="L26" t="str" s="21">
        <ns0:v>伤害提升+3</ns0:v>
      </ns0:c>
      <ns0:c r="M26" t="str" s="11">
        <ns0:v>攻击上限</ns0:v>
      </ns0:c>
      <ns0:c r="N26" s="11"/>
      <ns0:c r="O26" t="str" s="21">
        <ns0:v>整数</ns0:v>
      </ns0:c>
      <ns0:c r="P26" t="n" s="11">
        <ns0:v>3</ns0:v>
      </ns0:c>
      <ns0:c r="Q26" t="str" s="21">
        <ns0:v>攻击上限+3</ns0:v>
      </ns0:c>
      <ns0:c r="R26" s="11"/>
      <ns0:c r="S26" s="11"/>
      <ns0:c r="T26" s="11"/>
      <ns0:c r="U26" s="11"/>
      <ns0:c r="V26" s="11"/>
      <ns0:c r="W26" s="11"/>
      <ns0:c r="X26" s="11"/>
      <ns0:c r="Y26" s="11"/>
      <ns0:c r="Z26" s="11"/>
      <ns0:c r="AA26" s="11"/>
    </ns0:row>
    <ns0:row r="27" spans="1:27">
      <ns0:c r="A27" s="10"/>
      <ns0:c r="B27" s="11">
        <ns0:v>72424054</ns0:v>
      </ns0:c>
      <ns0:c r="C27" s="11" t="s">
        <ns0:v>724</ns0:v>
      </ns0:c>
      <ns0:c r="D27" t="str" s="11">
        <ns0:v>筑基</ns0:v>
      </ns0:c>
      <ns0:c r="E27" s="11" t="s">
        <ns0:v>734</ns0:v>
      </ns0:c>
      <ns0:c r="F27" s="11">
        <ns0:v>12424054</ns0:v>
      </ns0:c>
      <ns0:c r="G27" t="str" s="11">
        <ns0:v>【补充设计·暂定】两项常驻奇效，来源归携带位，卸下全量重算。</ns0:v>
      </ns0:c>
      <ns0:c r="H27" t="str" s="11">
        <ns0:v>攻击上限</ns0:v>
      </ns0:c>
      <ns0:c r="I27" s="11"/>
      <ns0:c r="J27" t="str" s="20">
        <ns0:v>整数</ns0:v>
      </ns0:c>
      <ns0:c r="K27" t="n">
        <ns0:v>1</ns0:v>
      </ns0:c>
      <ns0:c r="L27" t="str" s="21">
        <ns0:v>攻击上限+1</ns0:v>
      </ns0:c>
      <ns0:c r="M27" t="str" s="11">
        <ns0:v>法力上限</ns0:v>
      </ns0:c>
      <ns0:c r="N27" s="11"/>
      <ns0:c r="O27" t="str" s="21">
        <ns0:v>整数</ns0:v>
      </ns0:c>
      <ns0:c r="P27" t="n" s="11">
        <ns0:v>1</ns0:v>
      </ns0:c>
      <ns0:c r="Q27" t="str" s="21">
        <ns0:v>法力上限+1</ns0:v>
      </ns0:c>
      <ns0:c r="R27" s="11"/>
      <ns0:c r="S27" s="11"/>
      <ns0:c r="T27" s="11"/>
      <ns0:c r="U27" s="11"/>
      <ns0:c r="V27" s="11"/>
      <ns0:c r="W27" s="11"/>
      <ns0:c r="X27" s="11"/>
      <ns0:c r="Y27" s="11"/>
      <ns0:c r="Z27" s="11"/>
      <ns0:c r="AA27" s="11"/>
    </ns0:row>
    <ns0:row r="28" spans="1:27">
      <ns0:c r="A28" s="10"/>
      <ns0:c r="B28" s="11">
        <ns0:v>72424066</ns0:v>
      </ns0:c>
      <ns0:c r="C28" s="11" t="s">
        <ns0:v>724</ns0:v>
      </ns0:c>
      <ns0:c r="D28" t="str" s="11">
        <ns0:v>筑基</ns0:v>
      </ns0:c>
      <ns0:c r="E28" s="11" t="s">
        <ns0:v>736</ns0:v>
      </ns0:c>
      <ns0:c r="F28" s="11">
        <ns0:v>12424066</ns0:v>
      </ns0:c>
      <ns0:c r="G28" t="str" s="11">
        <ns0:v>【补充设计·暂定】两项常驻奇效，来源归携带位，卸下全量重算。</ns0:v>
      </ns0:c>
      <ns0:c r="H28" t="str" s="11">
        <ns0:v>神识</ns0:v>
      </ns0:c>
      <ns0:c r="I28" s="11"/>
      <ns0:c r="J28" t="str" s="20">
        <ns0:v>整数</ns0:v>
      </ns0:c>
      <ns0:c r="K28" t="n">
        <ns0:v>1</ns0:v>
      </ns0:c>
      <ns0:c r="L28" t="str" s="21">
        <ns0:v>神识+1</ns0:v>
      </ns0:c>
      <ns0:c r="M28" t="str" s="11">
        <ns0:v>每秒回灵</ns0:v>
      </ns0:c>
      <ns0:c r="N28" s="11"/>
      <ns0:c r="O28" t="str" s="21">
        <ns0:v>整数</ns0:v>
      </ns0:c>
      <ns0:c r="P28" t="n" s="11">
        <ns0:v>1</ns0:v>
      </ns0:c>
      <ns0:c r="Q28" t="str" s="21">
        <ns0:v>每秒回灵+1</ns0:v>
      </ns0:c>
      <ns0:c r="R28" s="11"/>
      <ns0:c r="S28" s="11"/>
      <ns0:c r="T28" s="11"/>
      <ns0:c r="U28" s="11"/>
      <ns0:c r="V28" s="11"/>
      <ns0:c r="W28" s="11"/>
      <ns0:c r="X28" s="11"/>
      <ns0:c r="Y28" s="11"/>
      <ns0:c r="Z28" s="11"/>
      <ns0:c r="AA28" s="11"/>
    </ns0:row>
    <ns0:row r="29" spans="1:27">
      <ns0:c r="A29" s="10"/>
      <ns0:c r="B29" s="11">
        <ns0:v>72424081</ns0:v>
      </ns0:c>
      <ns0:c r="C29" s="11" t="s">
        <ns0:v>724</ns0:v>
      </ns0:c>
      <ns0:c r="D29" t="str" s="11">
        <ns0:v>筑基</ns0:v>
      </ns0:c>
      <ns0:c r="E29" s="11" t="s">
        <ns0:v>738</ns0:v>
      </ns0:c>
      <ns0:c r="F29" s="11">
        <ns0:v>12424081</ns0:v>
      </ns0:c>
      <ns0:c r="G29" t="str" s="11">
        <ns0:v>【补充设计·暂定】两项常驻奇效，来源归携带位，卸下全量重算。</ns0:v>
      </ns0:c>
      <ns0:c r="H29" t="str" s="11">
        <ns0:v>法力上限</ns0:v>
      </ns0:c>
      <ns0:c r="I29" s="11"/>
      <ns0:c r="J29" t="str" s="20">
        <ns0:v>整数</ns0:v>
      </ns0:c>
      <ns0:c r="K29" t="n">
        <ns0:v>1</ns0:v>
      </ns0:c>
      <ns0:c r="L29" t="str" s="21">
        <ns0:v>法力上限+1</ns0:v>
      </ns0:c>
      <ns0:c r="M29" t="str" s="11">
        <ns0:v>施法速度</ns0:v>
      </ns0:c>
      <ns0:c r="N29" s="11"/>
      <ns0:c r="O29" t="str" s="21">
        <ns0:v>整数</ns0:v>
      </ns0:c>
      <ns0:c r="P29" t="n" s="11">
        <ns0:v>3</ns0:v>
      </ns0:c>
      <ns0:c r="Q29" t="str" s="21">
        <ns0:v>施法速度+3</ns0:v>
      </ns0:c>
      <ns0:c r="R29" s="11"/>
      <ns0:c r="S29" s="11"/>
      <ns0:c r="T29" s="11"/>
      <ns0:c r="U29" s="11"/>
      <ns0:c r="V29" s="11"/>
      <ns0:c r="W29" s="11"/>
      <ns0:c r="X29" s="11"/>
      <ns0:c r="Y29" s="11"/>
      <ns0:c r="Z29" s="11"/>
      <ns0:c r="AA29" s="11"/>
    </ns0:row>
    <ns0:row r="30" spans="1:27">
      <ns0:c r="A30" s="10"/>
      <ns0:c r="B30" s="11">
        <ns0:v>72424082</ns0:v>
      </ns0:c>
      <ns0:c r="C30" s="11" t="s">
        <ns0:v>724</ns0:v>
      </ns0:c>
      <ns0:c r="D30" t="str" s="11">
        <ns0:v>筑基</ns0:v>
      </ns0:c>
      <ns0:c r="E30" s="11" t="s">
        <ns0:v>740</ns0:v>
      </ns0:c>
      <ns0:c r="F30" s="11">
        <ns0:v>12424082</ns0:v>
      </ns0:c>
      <ns0:c r="G30" t="str" s="11">
        <ns0:v>【补充设计·暂定】两项常驻奇效，来源归携带位，卸下全量重算。</ns0:v>
      </ns0:c>
      <ns0:c r="H30" t="str" s="11">
        <ns0:v>法力上限</ns0:v>
      </ns0:c>
      <ns0:c r="I30" s="11"/>
      <ns0:c r="J30" t="str" s="20">
        <ns0:v>整数</ns0:v>
      </ns0:c>
      <ns0:c r="K30" t="n">
        <ns0:v>2</ns0:v>
      </ns0:c>
      <ns0:c r="L30" t="str" s="21">
        <ns0:v>法力上限+2</ns0:v>
      </ns0:c>
      <ns0:c r="M30" t="str" s="11">
        <ns0:v>施法速度</ns0:v>
      </ns0:c>
      <ns0:c r="N30" s="11"/>
      <ns0:c r="O30" t="str" s="21">
        <ns0:v>整数</ns0:v>
      </ns0:c>
      <ns0:c r="P30" t="n" s="11">
        <ns0:v>4</ns0:v>
      </ns0:c>
      <ns0:c r="Q30" t="str" s="21">
        <ns0:v>施法速度+4</ns0:v>
      </ns0:c>
      <ns0:c r="R30" s="11"/>
      <ns0:c r="S30" s="11"/>
      <ns0:c r="T30" s="11"/>
      <ns0:c r="U30" s="11"/>
      <ns0:c r="V30" s="11"/>
      <ns0:c r="W30" s="11"/>
      <ns0:c r="X30" s="11"/>
      <ns0:c r="Y30" s="11"/>
      <ns0:c r="Z30" s="11"/>
      <ns0:c r="AA30" s="11"/>
    </ns0:row>
    <ns0:row r="31" spans="1:27">
      <ns0:c r="A31" s="10"/>
      <ns0:c r="B31" s="11">
        <ns0:v>72424086</ns0:v>
      </ns0:c>
      <ns0:c r="C31" s="11" t="s">
        <ns0:v>724</ns0:v>
      </ns0:c>
      <ns0:c r="D31" t="str" s="11">
        <ns0:v>筑基</ns0:v>
      </ns0:c>
      <ns0:c r="E31" s="11" t="s">
        <ns0:v>742</ns0:v>
      </ns0:c>
      <ns0:c r="F31" s="11">
        <ns0:v>12424086</ns0:v>
      </ns0:c>
      <ns0:c r="G31" t="str" s="11">
        <ns0:v>【补充设计·暂定】两项常驻奇效，来源归携带位，卸下全量重算。</ns0:v>
      </ns0:c>
      <ns0:c r="H31" t="str" s="11">
        <ns0:v>神识</ns0:v>
      </ns0:c>
      <ns0:c r="I31" s="11"/>
      <ns0:c r="J31" t="str" s="20">
        <ns0:v>整数</ns0:v>
      </ns0:c>
      <ns0:c r="K31" t="n">
        <ns0:v>3</ns0:v>
      </ns0:c>
      <ns0:c r="L31" t="str" s="21">
        <ns0:v>神识+3</ns0:v>
      </ns0:c>
      <ns0:c r="M31" t="str" s="11">
        <ns0:v>免暴击率</ns0:v>
      </ns0:c>
      <ns0:c r="N31" s="11"/>
      <ns0:c r="O31" t="str" s="21">
        <ns0:v>整数</ns0:v>
      </ns0:c>
      <ns0:c r="P31" t="n" s="11">
        <ns0:v>125</ns0:v>
      </ns0:c>
      <ns0:c r="Q31" t="str" s="21">
        <ns0:v>免暴击率+125（万分比单位）</ns0:v>
      </ns0:c>
      <ns0:c r="R31" s="11"/>
      <ns0:c r="S31" s="11"/>
      <ns0:c r="T31" s="11"/>
      <ns0:c r="U31" s="11"/>
      <ns0:c r="V31" s="11"/>
      <ns0:c r="W31" s="11"/>
      <ns0:c r="X31" s="11"/>
      <ns0:c r="Y31" s="11"/>
      <ns0:c r="Z31" s="11"/>
      <ns0:c r="AA31" s="11"/>
    </ns0:row>
    <ns0:row r="32" spans="1:27">
      <ns0:c r="A32" s="10"/>
      <ns0:c r="B32" s="11">
        <ns0:v>72424087</ns0:v>
      </ns0:c>
      <ns0:c r="C32" s="11" t="s">
        <ns0:v>724</ns0:v>
      </ns0:c>
      <ns0:c r="D32" t="str" s="11">
        <ns0:v>筑基</ns0:v>
      </ns0:c>
      <ns0:c r="E32" s="11" t="s">
        <ns0:v>744</ns0:v>
      </ns0:c>
      <ns0:c r="F32" s="11">
        <ns0:v>12424087</ns0:v>
      </ns0:c>
      <ns0:c r="G32" t="str" s="11">
        <ns0:v>【补充设计·暂定】两项常驻奇效，来源归携带位，卸下全量重算。</ns0:v>
      </ns0:c>
      <ns0:c r="H32" t="str" s="11">
        <ns0:v>攻击上限</ns0:v>
      </ns0:c>
      <ns0:c r="I32" s="11"/>
      <ns0:c r="J32" t="str" s="20">
        <ns0:v>整数</ns0:v>
      </ns0:c>
      <ns0:c r="K32" t="n">
        <ns0:v>1</ns0:v>
      </ns0:c>
      <ns0:c r="L32" t="str" s="21">
        <ns0:v>攻击上限+1</ns0:v>
      </ns0:c>
      <ns0:c r="M32" t="str" s="11">
        <ns0:v>法力上限</ns0:v>
      </ns0:c>
      <ns0:c r="N32" s="11"/>
      <ns0:c r="O32" t="str" s="21">
        <ns0:v>整数</ns0:v>
      </ns0:c>
      <ns0:c r="P32" t="n" s="11">
        <ns0:v>1</ns0:v>
      </ns0:c>
      <ns0:c r="Q32" t="str" s="21">
        <ns0:v>法力上限+1</ns0:v>
      </ns0:c>
      <ns0:c r="R32" s="11"/>
      <ns0:c r="S32" s="11"/>
      <ns0:c r="T32" s="11"/>
      <ns0:c r="U32" s="11"/>
      <ns0:c r="V32" s="11"/>
      <ns0:c r="W32" s="11"/>
      <ns0:c r="X32" s="11"/>
      <ns0:c r="Y32" s="11"/>
      <ns0:c r="Z32" s="11"/>
      <ns0:c r="AA32" s="11"/>
    </ns0:row>
    <ns0:row r="33" spans="1:27">
      <ns0:c r="A33" s="10"/>
      <ns0:c r="B33" s="11">
        <ns0:v>72424088</ns0:v>
      </ns0:c>
      <ns0:c r="C33" s="11" t="s">
        <ns0:v>724</ns0:v>
      </ns0:c>
      <ns0:c r="D33" t="str" s="11">
        <ns0:v>筑基</ns0:v>
      </ns0:c>
      <ns0:c r="E33" s="11" t="s">
        <ns0:v>746</ns0:v>
      </ns0:c>
      <ns0:c r="F33" s="11">
        <ns0:v>12424088</ns0:v>
      </ns0:c>
      <ns0:c r="G33" t="str" s="11">
        <ns0:v>【补充设计·暂定】两项常驻奇效，来源归携带位，卸下全量重算。</ns0:v>
      </ns0:c>
      <ns0:c r="H33" t="str" s="11">
        <ns0:v>灵力值</ns0:v>
      </ns0:c>
      <ns0:c r="I33" s="11"/>
      <ns0:c r="J33" t="str" s="20">
        <ns0:v>整数</ns0:v>
      </ns0:c>
      <ns0:c r="K33" t="n">
        <ns0:v>2</ns0:v>
      </ns0:c>
      <ns0:c r="L33" t="str" s="21">
        <ns0:v>灵力值+2</ns0:v>
      </ns0:c>
      <ns0:c r="M33" t="str" s="11">
        <ns0:v>每秒回灵</ns0:v>
      </ns0:c>
      <ns0:c r="N33" s="11"/>
      <ns0:c r="O33" t="str" s="21">
        <ns0:v>整数</ns0:v>
      </ns0:c>
      <ns0:c r="P33" t="n" s="11">
        <ns0:v>2</ns0:v>
      </ns0:c>
      <ns0:c r="Q33" t="str" s="21">
        <ns0:v>每秒回灵+2</ns0:v>
      </ns0:c>
      <ns0:c r="R33" s="11"/>
      <ns0:c r="S33" s="11"/>
      <ns0:c r="T33" s="11"/>
      <ns0:c r="U33" s="11"/>
      <ns0:c r="V33" s="11"/>
      <ns0:c r="W33" s="11"/>
      <ns0:c r="X33" s="11"/>
      <ns0:c r="Y33" s="11"/>
      <ns0:c r="Z33" s="11"/>
      <ns0:c r="AA33" s="11"/>
    </ns0:row>
    <ns0:row r="34" spans="1:27">
      <ns0:c r="A34" s="10"/>
      <ns0:c r="B34" s="11">
        <ns0:v>72424092</ns0:v>
      </ns0:c>
      <ns0:c r="C34" s="11" t="s">
        <ns0:v>724</ns0:v>
      </ns0:c>
      <ns0:c r="D34" t="str" s="11">
        <ns0:v>筑基</ns0:v>
      </ns0:c>
      <ns0:c r="E34" s="11" t="s">
        <ns0:v>748</ns0:v>
      </ns0:c>
      <ns0:c r="F34" s="11">
        <ns0:v>12424092</ns0:v>
      </ns0:c>
      <ns0:c r="G34" t="str" s="11">
        <ns0:v>【补充设计·暂定】两项常驻奇效，来源归携带位，卸下全量重算。</ns0:v>
      </ns0:c>
      <ns0:c r="H34" t="str" s="11">
        <ns0:v>命中</ns0:v>
      </ns0:c>
      <ns0:c r="I34" s="11"/>
      <ns0:c r="J34" t="str" s="20">
        <ns0:v>整数</ns0:v>
      </ns0:c>
      <ns0:c r="K34" t="n">
        <ns0:v>150</ns0:v>
      </ns0:c>
      <ns0:c r="L34" t="str" s="21">
        <ns0:v>命中+150（万分比单位）</ns0:v>
      </ns0:c>
      <ns0:c r="M34" t="str" s="11">
        <ns0:v>警戒范围</ns0:v>
      </ns0:c>
      <ns0:c r="N34" s="11"/>
      <ns0:c r="O34" t="str" s="21">
        <ns0:v>整数</ns0:v>
      </ns0:c>
      <ns0:c r="P34" t="n" s="11">
        <ns0:v>25</ns0:v>
      </ns0:c>
      <ns0:c r="Q34" t="str" s="21">
        <ns0:v>警戒范围+25</ns0:v>
      </ns0:c>
      <ns0:c r="R34" s="11"/>
      <ns0:c r="S34" s="11"/>
      <ns0:c r="T34" s="11"/>
      <ns0:c r="U34" s="11"/>
      <ns0:c r="V34" s="11"/>
      <ns0:c r="W34" s="11"/>
      <ns0:c r="X34" s="11"/>
      <ns0:c r="Y34" s="11"/>
      <ns0:c r="Z34" s="11"/>
      <ns0:c r="AA34" s="11"/>
    </ns0:row>
    <ns0:row r="35" spans="1:27">
      <ns0:c r="A35" s="10"/>
      <ns0:c r="B35" s="11">
        <ns0:v>72424093</ns0:v>
      </ns0:c>
      <ns0:c r="C35" s="11" t="s">
        <ns0:v>724</ns0:v>
      </ns0:c>
      <ns0:c r="D35" t="str" s="11">
        <ns0:v>筑基</ns0:v>
      </ns0:c>
      <ns0:c r="E35" s="11" t="s">
        <ns0:v>750</ns0:v>
      </ns0:c>
      <ns0:c r="F35" s="11">
        <ns0:v>12424093</ns0:v>
      </ns0:c>
      <ns0:c r="G35" t="str" s="11">
        <ns0:v>【补充设计·暂定】两项常驻奇效，来源归携带位，卸下全量重算。</ns0:v>
      </ns0:c>
      <ns0:c r="H35" t="str" s="11">
        <ns0:v>移动速度</ns0:v>
      </ns0:c>
      <ns0:c r="I35" s="11"/>
      <ns0:c r="J35" t="str" s="20">
        <ns0:v>整数</ns0:v>
      </ns0:c>
      <ns0:c r="K35" t="n">
        <ns0:v>3</ns0:v>
      </ns0:c>
      <ns0:c r="L35" t="str" s="21">
        <ns0:v>移动速度+3</ns0:v>
      </ns0:c>
      <ns0:c r="M35" t="str" s="11">
        <ns0:v>闪避</ns0:v>
      </ns0:c>
      <ns0:c r="N35" s="11"/>
      <ns0:c r="O35" t="str" s="21">
        <ns0:v>整数</ns0:v>
      </ns0:c>
      <ns0:c r="P35" t="n" s="11">
        <ns0:v>175</ns0:v>
      </ns0:c>
      <ns0:c r="Q35" t="str" s="21">
        <ns0:v>闪避+175（万分比单位）</ns0:v>
      </ns0:c>
      <ns0:c r="R35" s="11"/>
      <ns0:c r="S35" s="11"/>
      <ns0:c r="T35" s="11"/>
      <ns0:c r="U35" s="11"/>
      <ns0:c r="V35" s="11"/>
      <ns0:c r="W35" s="11"/>
      <ns0:c r="X35" s="11"/>
      <ns0:c r="Y35" s="11"/>
      <ns0:c r="Z35" s="11"/>
      <ns0:c r="AA35" s="11"/>
    </ns0:row>
    <ns0:row r="36" spans="1:27">
      <ns0:c r="A36" s="10"/>
      <ns0:c r="B36" s="11">
        <ns0:v>72424094</ns0:v>
      </ns0:c>
      <ns0:c r="C36" s="11" t="s">
        <ns0:v>724</ns0:v>
      </ns0:c>
      <ns0:c r="D36" t="str" s="11">
        <ns0:v>筑基</ns0:v>
      </ns0:c>
      <ns0:c r="E36" s="11" t="s">
        <ns0:v>752</ns0:v>
      </ns0:c>
      <ns0:c r="F36" s="11">
        <ns0:v>12424094</ns0:v>
      </ns0:c>
      <ns0:c r="G36" t="str" s="11">
        <ns0:v>【补充设计·暂定】两项常驻奇效，来源归携带位，卸下全量重算。</ns0:v>
      </ns0:c>
      <ns0:c r="H36" t="str" s="11">
        <ns0:v>法力上限</ns0:v>
      </ns0:c>
      <ns0:c r="I36" s="11"/>
      <ns0:c r="J36" t="str" s="20">
        <ns0:v>整数</ns0:v>
      </ns0:c>
      <ns0:c r="K36" t="n">
        <ns0:v>2</ns0:v>
      </ns0:c>
      <ns0:c r="L36" t="str" s="21">
        <ns0:v>法力上限+2</ns0:v>
      </ns0:c>
      <ns0:c r="M36" t="str" s="11">
        <ns0:v>伤害提升</ns0:v>
      </ns0:c>
      <ns0:c r="N36" s="11"/>
      <ns0:c r="O36" t="str" s="21">
        <ns0:v>整数</ns0:v>
      </ns0:c>
      <ns0:c r="P36" t="n" s="11">
        <ns0:v>2</ns0:v>
      </ns0:c>
      <ns0:c r="Q36" t="str" s="21">
        <ns0:v>伤害提升+2</ns0:v>
      </ns0:c>
      <ns0:c r="R36" s="11"/>
      <ns0:c r="S36" s="11"/>
      <ns0:c r="T36" s="11"/>
      <ns0:c r="U36" s="11"/>
      <ns0:c r="V36" s="11"/>
      <ns0:c r="W36" s="11"/>
      <ns0:c r="X36" s="11"/>
      <ns0:c r="Y36" s="11"/>
      <ns0:c r="Z36" s="11"/>
      <ns0:c r="AA36" s="11"/>
    </ns0:row>
    <ns0:row r="37" spans="1:27">
      <ns0:c r="A37" s="10"/>
      <ns0:c r="B37" s="11">
        <ns0:v>72424095</ns0:v>
      </ns0:c>
      <ns0:c r="C37" s="11" t="s">
        <ns0:v>724</ns0:v>
      </ns0:c>
      <ns0:c r="D37" t="str" s="11">
        <ns0:v>筑基</ns0:v>
      </ns0:c>
      <ns0:c r="E37" s="11" t="inlineStr">
        <ns0:is>
          <ns0:t xml:space="preserve">照夜灵镜·烛幽</ns0:t>
        </ns0:is>
      </ns0:c>
      <ns0:c r="F37" s="11">
        <ns0:v>12424095</ns0:v>
      </ns0:c>
      <ns0:c r="G37" t="str" s="11">
        <ns0:v>【补充设计·暂定】两项常驻奇效，来源归携带位，卸下全量重算。</ns0:v>
      </ns0:c>
      <ns0:c r="H37" t="str" s="11">
        <ns0:v>命中</ns0:v>
      </ns0:c>
      <ns0:c r="I37" s="11"/>
      <ns0:c r="J37" t="str" s="20">
        <ns0:v>整数</ns0:v>
      </ns0:c>
      <ns0:c r="K37" t="n">
        <ns0:v>100</ns0:v>
      </ns0:c>
      <ns0:c r="L37" t="str" s="21">
        <ns0:v>命中+100（万分比单位）</ns0:v>
      </ns0:c>
      <ns0:c r="M37" t="str" s="11">
        <ns0:v>警戒范围</ns0:v>
      </ns0:c>
      <ns0:c r="N37" s="11"/>
      <ns0:c r="O37" t="str" s="21">
        <ns0:v>整数</ns0:v>
      </ns0:c>
      <ns0:c r="P37" t="n" s="11">
        <ns0:v>55</ns0:v>
      </ns0:c>
      <ns0:c r="Q37" t="str" s="21">
        <ns0:v>警戒范围+55</ns0:v>
      </ns0:c>
      <ns0:c r="R37" s="11"/>
      <ns0:c r="S37" s="11"/>
      <ns0:c r="T37" s="11"/>
      <ns0:c r="U37" s="11"/>
      <ns0:c r="V37" s="11"/>
      <ns0:c r="W37" s="11"/>
      <ns0:c r="X37" s="11"/>
      <ns0:c r="Y37" s="11"/>
      <ns0:c r="Z37" s="11"/>
      <ns0:c r="AA37" s="11"/>
    </ns0:row>
    <ns0:row r="38" spans="1:27">
      <ns0:c r="A38" s="10"/>
      <ns0:c r="B38" s="11">
        <ns0:v>72434095</ns0:v>
      </ns0:c>
      <ns0:c r="C38" s="11" t="s">
        <ns0:v>724</ns0:v>
      </ns0:c>
      <ns0:c r="D38" t="str" s="11">
        <ns0:v>筑基</ns0:v>
      </ns0:c>
      <ns0:c r="E38" s="11" t="s">
        <ns0:v>756</ns0:v>
      </ns0:c>
      <ns0:c r="F38" s="11">
        <ns0:v>12434095</ns0:v>
      </ns0:c>
      <ns0:c r="G38" t="str" s="11">
        <ns0:v>【补充设计·暂定】两项常驻奇效，来源归携带位，卸下全量重算。</ns0:v>
      </ns0:c>
      <ns0:c r="H38" t="str" s="11">
        <ns0:v>攻击上限</ns0:v>
      </ns0:c>
      <ns0:c r="I38" s="11"/>
      <ns0:c r="J38" t="str" s="20">
        <ns0:v>整数</ns0:v>
      </ns0:c>
      <ns0:c r="K38" t="n">
        <ns0:v>3</ns0:v>
      </ns0:c>
      <ns0:c r="L38" t="str" s="21">
        <ns0:v>攻击上限+3</ns0:v>
      </ns0:c>
      <ns0:c r="M38" t="str" s="11">
        <ns0:v>暴击率</ns0:v>
      </ns0:c>
      <ns0:c r="N38" s="11"/>
      <ns0:c r="O38" t="str" s="21">
        <ns0:v>整数</ns0:v>
      </ns0:c>
      <ns0:c r="P38" t="n" s="11">
        <ns0:v>100</ns0:v>
      </ns0:c>
      <ns0:c r="Q38" t="str" s="21">
        <ns0:v>暴击率+100（万分比单位）</ns0:v>
      </ns0:c>
      <ns0:c r="R38" s="11"/>
      <ns0:c r="S38" s="11"/>
      <ns0:c r="T38" s="11"/>
      <ns0:c r="U38" s="11"/>
      <ns0:c r="V38" s="11"/>
      <ns0:c r="W38" s="11"/>
      <ns0:c r="X38" s="11"/>
      <ns0:c r="Y38" s="11"/>
      <ns0:c r="Z38" s="11"/>
      <ns0:c r="AA38" s="11"/>
    </ns0:row>
    <ns0:row r="39" spans="1:27">
      <ns0:c r="A39" s="10"/>
      <ns0:c r="B39" s="11">
        <ns0:v>72434111</ns0:v>
      </ns0:c>
      <ns0:c r="C39" s="11" t="s">
        <ns0:v>724</ns0:v>
      </ns0:c>
      <ns0:c r="D39" t="str" s="11">
        <ns0:v>筑基</ns0:v>
      </ns0:c>
      <ns0:c r="E39" s="11" t="s">
        <ns0:v>758</ns0:v>
      </ns0:c>
      <ns0:c r="F39" s="11">
        <ns0:v>12434111</ns0:v>
      </ns0:c>
      <ns0:c r="G39" t="str" s="11">
        <ns0:v>【补充设计·暂定】两项常驻奇效，来源归携带位，卸下全量重算。</ns0:v>
      </ns0:c>
      <ns0:c r="H39" t="str" s="11">
        <ns0:v>攻击上限</ns0:v>
      </ns0:c>
      <ns0:c r="I39" s="11"/>
      <ns0:c r="J39" t="str" s="20">
        <ns0:v>整数</ns0:v>
      </ns0:c>
      <ns0:c r="K39" t="n">
        <ns0:v>1</ns0:v>
      </ns0:c>
      <ns0:c r="L39" t="str" s="21">
        <ns0:v>攻击上限+1</ns0:v>
      </ns0:c>
      <ns0:c r="M39" t="str" s="11">
        <ns0:v>法力上限</ns0:v>
      </ns0:c>
      <ns0:c r="N39" s="11"/>
      <ns0:c r="O39" t="str" s="21">
        <ns0:v>整数</ns0:v>
      </ns0:c>
      <ns0:c r="P39" t="n" s="11">
        <ns0:v>1</ns0:v>
      </ns0:c>
      <ns0:c r="Q39" t="str" s="21">
        <ns0:v>法力上限+1</ns0:v>
      </ns0:c>
      <ns0:c r="R39" s="11"/>
      <ns0:c r="S39" s="11"/>
      <ns0:c r="T39" s="11"/>
      <ns0:c r="U39" s="11"/>
      <ns0:c r="V39" s="11"/>
      <ns0:c r="W39" s="11"/>
      <ns0:c r="X39" s="11"/>
      <ns0:c r="Y39" s="11"/>
      <ns0:c r="Z39" s="11"/>
      <ns0:c r="AA39" s="11"/>
    </ns0:row>
    <ns0:row r="40" spans="1:27">
      <ns0:c r="A40" s="10"/>
      <ns0:c r="B40" s="11">
        <ns0:v>72434115</ns0:v>
      </ns0:c>
      <ns0:c r="C40" s="11" t="s">
        <ns0:v>724</ns0:v>
      </ns0:c>
      <ns0:c r="D40" t="str" s="11">
        <ns0:v>筑基</ns0:v>
      </ns0:c>
      <ns0:c r="E40" s="11" t="s">
        <ns0:v>760</ns0:v>
      </ns0:c>
      <ns0:c r="F40" s="11">
        <ns0:v>12434115</ns0:v>
      </ns0:c>
      <ns0:c r="G40" t="str" s="11">
        <ns0:v>【补充设计·暂定】两项常驻奇效，来源归携带位，卸下全量重算。</ns0:v>
      </ns0:c>
      <ns0:c r="H40" t="str" s="11">
        <ns0:v>神识</ns0:v>
      </ns0:c>
      <ns0:c r="I40" s="11"/>
      <ns0:c r="J40" t="str" s="20">
        <ns0:v>整数</ns0:v>
      </ns0:c>
      <ns0:c r="K40" t="n">
        <ns0:v>2</ns0:v>
      </ns0:c>
      <ns0:c r="L40" t="str" s="21">
        <ns0:v>神识+2</ns0:v>
      </ns0:c>
      <ns0:c r="M40" t="str" s="11">
        <ns0:v>每秒回灵</ns0:v>
      </ns0:c>
      <ns0:c r="N40" s="11"/>
      <ns0:c r="O40" t="str" s="21">
        <ns0:v>整数</ns0:v>
      </ns0:c>
      <ns0:c r="P40" t="n" s="11">
        <ns0:v>2</ns0:v>
      </ns0:c>
      <ns0:c r="Q40" t="str" s="21">
        <ns0:v>每秒回灵+2</ns0:v>
      </ns0:c>
      <ns0:c r="R40" s="11"/>
      <ns0:c r="S40" s="11"/>
      <ns0:c r="T40" s="11"/>
      <ns0:c r="U40" s="11"/>
      <ns0:c r="V40" s="11"/>
      <ns0:c r="W40" s="11"/>
      <ns0:c r="X40" s="11"/>
      <ns0:c r="Y40" s="11"/>
      <ns0:c r="Z40" s="11"/>
      <ns0:c r="AA40" s="11"/>
    </ns0:row>
    <ns0:row r="41" spans="1:27">
      <ns0:c r="A41" s="10"/>
      <ns0:c r="B41" s="11">
        <ns0:v>72434130</ns0:v>
      </ns0:c>
      <ns0:c r="C41" s="11" t="s">
        <ns0:v>724</ns0:v>
      </ns0:c>
      <ns0:c r="D41" t="str" s="11">
        <ns0:v>筑基</ns0:v>
      </ns0:c>
      <ns0:c r="E41" s="11" t="inlineStr">
        <ns0:is>
          <ns0:t xml:space="preserve">听泉鉴灵镜·漱玉</ns0:t>
        </ns0:is>
      </ns0:c>
      <ns0:c r="F41" s="11">
        <ns0:v>12434130</ns0:v>
      </ns0:c>
      <ns0:c r="G41" t="str" s="11">
        <ns0:v>【补充设计·暂定】两项常驻奇效，来源归携带位，卸下全量重算。</ns0:v>
      </ns0:c>
      <ns0:c r="H41" t="str" s="11">
        <ns0:v>命中</ns0:v>
      </ns0:c>
      <ns0:c r="I41" s="11"/>
      <ns0:c r="J41" t="str" s="20">
        <ns0:v>整数</ns0:v>
      </ns0:c>
      <ns0:c r="K41" t="n">
        <ns0:v>100</ns0:v>
      </ns0:c>
      <ns0:c r="L41" t="str" s="21">
        <ns0:v>命中+100（万分比单位）</ns0:v>
      </ns0:c>
      <ns0:c r="M41" t="str" s="11">
        <ns0:v>警戒范围</ns0:v>
      </ns0:c>
      <ns0:c r="N41" s="11"/>
      <ns0:c r="O41" t="str" s="21">
        <ns0:v>整数</ns0:v>
      </ns0:c>
      <ns0:c r="P41" t="n" s="11">
        <ns0:v>45</ns0:v>
      </ns0:c>
      <ns0:c r="Q41" t="str" s="21">
        <ns0:v>警戒范围+45</ns0:v>
      </ns0:c>
      <ns0:c r="R41" s="11"/>
      <ns0:c r="S41" s="11"/>
      <ns0:c r="T41" s="11"/>
      <ns0:c r="U41" s="11"/>
      <ns0:c r="V41" s="11"/>
      <ns0:c r="W41" s="11"/>
      <ns0:c r="X41" s="11"/>
      <ns0:c r="Y41" s="11"/>
      <ns0:c r="Z41" s="11"/>
      <ns0:c r="AA41" s="11"/>
    </ns0:row>
    <ns0:row r="42" spans="1:27">
      <ns0:c r="A42" s="10"/>
      <ns0:c r="B42" s="11">
        <ns0:v>72444095</ns0:v>
      </ns0:c>
      <ns0:c r="C42" s="11" t="s">
        <ns0:v>724</ns0:v>
      </ns0:c>
      <ns0:c r="D42" t="str" s="11">
        <ns0:v>筑基</ns0:v>
      </ns0:c>
      <ns0:c r="E42" s="11" t="s">
        <ns0:v>764</ns0:v>
      </ns0:c>
      <ns0:c r="F42" s="11">
        <ns0:v>12444095</ns0:v>
      </ns0:c>
      <ns0:c r="G42" t="str" s="11">
        <ns0:v>【补充设计·暂定】两项常驻奇效，来源归携带位，卸下全量重算。</ns0:v>
      </ns0:c>
      <ns0:c r="H42" t="str" s="11">
        <ns0:v>攻击上限</ns0:v>
      </ns0:c>
      <ns0:c r="I42" s="11"/>
      <ns0:c r="J42" t="str" s="20">
        <ns0:v>整数</ns0:v>
      </ns0:c>
      <ns0:c r="K42" t="n">
        <ns0:v>3</ns0:v>
      </ns0:c>
      <ns0:c r="L42" t="str" s="21">
        <ns0:v>攻击上限+3</ns0:v>
      </ns0:c>
      <ns0:c r="M42" t="str" s="11">
        <ns0:v>暴击率</ns0:v>
      </ns0:c>
      <ns0:c r="N42" s="11"/>
      <ns0:c r="O42" t="str" s="21">
        <ns0:v>整数</ns0:v>
      </ns0:c>
      <ns0:c r="P42" t="n" s="11">
        <ns0:v>100</ns0:v>
      </ns0:c>
      <ns0:c r="Q42" t="str" s="21">
        <ns0:v>暴击率+100（万分比单位）</ns0:v>
      </ns0:c>
      <ns0:c r="R42" s="11"/>
      <ns0:c r="S42" s="11"/>
      <ns0:c r="T42" s="11"/>
      <ns0:c r="U42" s="11"/>
      <ns0:c r="V42" s="11"/>
      <ns0:c r="W42" s="11"/>
      <ns0:c r="X42" s="11"/>
      <ns0:c r="Y42" s="11"/>
      <ns0:c r="Z42" s="11"/>
      <ns0:c r="AA42" s="11"/>
    </ns0:row>
    <ns0:row r="43" spans="1:27">
      <ns0:c r="A43" s="10"/>
      <ns0:c r="B43" s="11">
        <ns0:v>72444111</ns0:v>
      </ns0:c>
      <ns0:c r="C43" s="11" t="s">
        <ns0:v>724</ns0:v>
      </ns0:c>
      <ns0:c r="D43" t="str" s="11">
        <ns0:v>筑基</ns0:v>
      </ns0:c>
      <ns0:c r="E43" s="11" t="s">
        <ns0:v>766</ns0:v>
      </ns0:c>
      <ns0:c r="F43" s="11">
        <ns0:v>12444111</ns0:v>
      </ns0:c>
      <ns0:c r="G43" t="str" s="11">
        <ns0:v>【补充设计·暂定】两项常驻奇效，来源归携带位，卸下全量重算。</ns0:v>
      </ns0:c>
      <ns0:c r="H43" t="str" s="11">
        <ns0:v>攻击上限</ns0:v>
      </ns0:c>
      <ns0:c r="I43" s="11"/>
      <ns0:c r="J43" t="str" s="20">
        <ns0:v>整数</ns0:v>
      </ns0:c>
      <ns0:c r="K43" t="n">
        <ns0:v>1</ns0:v>
      </ns0:c>
      <ns0:c r="L43" t="str" s="21">
        <ns0:v>攻击上限+1</ns0:v>
      </ns0:c>
      <ns0:c r="M43" t="str" s="11">
        <ns0:v>法力上限</ns0:v>
      </ns0:c>
      <ns0:c r="N43" s="11"/>
      <ns0:c r="O43" t="str" s="21">
        <ns0:v>整数</ns0:v>
      </ns0:c>
      <ns0:c r="P43" t="n" s="11">
        <ns0:v>1</ns0:v>
      </ns0:c>
      <ns0:c r="Q43" t="str" s="21">
        <ns0:v>法力上限+1</ns0:v>
      </ns0:c>
      <ns0:c r="R43" s="11"/>
      <ns0:c r="S43" s="11"/>
      <ns0:c r="T43" s="11"/>
      <ns0:c r="U43" s="11"/>
      <ns0:c r="V43" s="11"/>
      <ns0:c r="W43" s="11"/>
      <ns0:c r="X43" s="11"/>
      <ns0:c r="Y43" s="11"/>
      <ns0:c r="Z43" s="11"/>
      <ns0:c r="AA43" s="11"/>
    </ns0:row>
    <ns0:row r="44" spans="1:27">
      <ns0:c r="A44" s="10"/>
      <ns0:c r="B44" s="11">
        <ns0:v>72444120</ns0:v>
      </ns0:c>
      <ns0:c r="C44" s="11" t="s">
        <ns0:v>724</ns0:v>
      </ns0:c>
      <ns0:c r="D44" t="str" s="11">
        <ns0:v>筑基</ns0:v>
      </ns0:c>
      <ns0:c r="E44" s="11" t="inlineStr">
        <ns0:is>
          <ns0:t xml:space="preserve">玉泉灵瓶·怀清</ns0:t>
        </ns0:is>
      </ns0:c>
      <ns0:c r="F44" s="11">
        <ns0:v>12444120</ns0:v>
      </ns0:c>
      <ns0:c r="G44" t="str" s="11">
        <ns0:v>【补充设计·暂定】两项常驻奇效，来源归携带位，卸下全量重算。</ns0:v>
      </ns0:c>
      <ns0:c r="H44" t="str" s="11">
        <ns0:v>攻击上限</ns0:v>
      </ns0:c>
      <ns0:c r="I44" s="11"/>
      <ns0:c r="J44" t="str" s="20">
        <ns0:v>整数</ns0:v>
      </ns0:c>
      <ns0:c r="K44" t="n">
        <ns0:v>1</ns0:v>
      </ns0:c>
      <ns0:c r="L44" t="str" s="21">
        <ns0:v>攻击上限+1</ns0:v>
      </ns0:c>
      <ns0:c r="M44" t="str" s="11">
        <ns0:v>法力上限</ns0:v>
      </ns0:c>
      <ns0:c r="N44" s="11"/>
      <ns0:c r="O44" t="str" s="21">
        <ns0:v>整数</ns0:v>
      </ns0:c>
      <ns0:c r="P44" t="n" s="11">
        <ns0:v>1</ns0:v>
      </ns0:c>
      <ns0:c r="Q44" t="str" s="21">
        <ns0:v>法力上限+1</ns0:v>
      </ns0:c>
      <ns0:c r="R44" s="11"/>
      <ns0:c r="S44" s="11"/>
      <ns0:c r="T44" s="11"/>
      <ns0:c r="U44" s="11"/>
      <ns0:c r="V44" s="11"/>
      <ns0:c r="W44" s="11"/>
      <ns0:c r="X44" s="11"/>
      <ns0:c r="Y44" s="11"/>
      <ns0:c r="Z44" s="11"/>
      <ns0:c r="AA44" s="11"/>
    </ns0:row>
    <ns0:row r="45" spans="1:27">
      <ns0:c r="A45" s="10"/>
      <ns0:c r="B45" s="11">
        <ns0:v>72444124</ns0:v>
      </ns0:c>
      <ns0:c r="C45" s="11" t="s">
        <ns0:v>724</ns0:v>
      </ns0:c>
      <ns0:c r="D45" t="str" s="11">
        <ns0:v>筑基</ns0:v>
      </ns0:c>
      <ns0:c r="E45" s="11" t="inlineStr">
        <ns0:is>
          <ns0:t xml:space="preserve">余照藏形幡·暮隐</ns0:t>
        </ns0:is>
      </ns0:c>
      <ns0:c r="F45" s="11">
        <ns0:v>12444124</ns0:v>
      </ns0:c>
      <ns0:c r="G45" t="str" s="11">
        <ns0:v>【补充设计·暂定】两项常驻奇效，来源归携带位，卸下全量重算。</ns0:v>
      </ns0:c>
      <ns0:c r="H45" t="str" s="11">
        <ns0:v>法力上限</ns0:v>
      </ns0:c>
      <ns0:c r="I45" s="11"/>
      <ns0:c r="J45" t="str" s="20">
        <ns0:v>整数</ns0:v>
      </ns0:c>
      <ns0:c r="K45" t="n">
        <ns0:v>2</ns0:v>
      </ns0:c>
      <ns0:c r="L45" t="str" s="21">
        <ns0:v>法力上限+2</ns0:v>
      </ns0:c>
      <ns0:c r="M45" t="str" s="11">
        <ns0:v>伤害提升</ns0:v>
      </ns0:c>
      <ns0:c r="N45" s="11"/>
      <ns0:c r="O45" t="str" s="21">
        <ns0:v>整数</ns0:v>
      </ns0:c>
      <ns0:c r="P45" t="n" s="11">
        <ns0:v>2</ns0:v>
      </ns0:c>
      <ns0:c r="Q45" t="str" s="21">
        <ns0:v>伤害提升+2</ns0:v>
      </ns0:c>
      <ns0:c r="R45" s="11"/>
      <ns0:c r="S45" s="11"/>
      <ns0:c r="T45" s="11"/>
      <ns0:c r="U45" s="11"/>
      <ns0:c r="V45" s="11"/>
      <ns0:c r="W45" s="11"/>
      <ns0:c r="X45" s="11"/>
      <ns0:c r="Y45" s="11"/>
      <ns0:c r="Z45" s="11"/>
      <ns0:c r="AA45" s="11"/>
    </ns0:row>
    <ns0:row r="46" spans="1:27">
      <ns0:c r="A46" s="10"/>
      <ns0:c r="B46" s="11">
        <ns0:v>72454095</ns0:v>
      </ns0:c>
      <ns0:c r="C46" s="11" t="s">
        <ns0:v>724</ns0:v>
      </ns0:c>
      <ns0:c r="D46" t="str" s="11">
        <ns0:v>筑基</ns0:v>
      </ns0:c>
      <ns0:c r="E46" s="11" t="inlineStr">
        <ns0:is>
          <ns0:t xml:space="preserve">赤霞炼宝鼎·丹曦</ns0:t>
        </ns0:is>
      </ns0:c>
      <ns0:c r="F46" s="11">
        <ns0:v>12454095</ns0:v>
      </ns0:c>
      <ns0:c r="G46" t="str" s="11">
        <ns0:v>【补充设计·暂定】两项常驻奇效，来源归携带位，卸下全量重算。</ns0:v>
      </ns0:c>
      <ns0:c r="H46" t="str" s="11">
        <ns0:v>法力上限</ns0:v>
      </ns0:c>
      <ns0:c r="I46" s="11"/>
      <ns0:c r="J46" t="str" s="20">
        <ns0:v>整数</ns0:v>
      </ns0:c>
      <ns0:c r="K46" t="n">
        <ns0:v>3</ns0:v>
      </ns0:c>
      <ns0:c r="L46" t="str" s="21">
        <ns0:v>法力上限+3</ns0:v>
      </ns0:c>
      <ns0:c r="M46" t="str" s="11">
        <ns0:v>施法速度</ns0:v>
      </ns0:c>
      <ns0:c r="N46" s="11"/>
      <ns0:c r="O46" t="str" s="21">
        <ns0:v>整数</ns0:v>
      </ns0:c>
      <ns0:c r="P46" t="n" s="11">
        <ns0:v>5</ns0:v>
      </ns0:c>
      <ns0:c r="Q46" t="str" s="21">
        <ns0:v>施法速度+5</ns0:v>
      </ns0:c>
      <ns0:c r="R46" s="11"/>
      <ns0:c r="S46" s="11"/>
      <ns0:c r="T46" s="11"/>
      <ns0:c r="U46" s="11"/>
      <ns0:c r="V46" s="11"/>
      <ns0:c r="W46" s="11"/>
      <ns0:c r="X46" s="11"/>
      <ns0:c r="Y46" s="11"/>
      <ns0:c r="Z46" s="11"/>
      <ns0:c r="AA46" s="11"/>
    </ns0:row>
    <ns0:row r="47" spans="1:27">
      <ns0:c r="A47" s="10"/>
      <ns0:c r="B47" s="11">
        <ns0:v>72454096</ns0:v>
      </ns0:c>
      <ns0:c r="C47" s="11" t="s">
        <ns0:v>724</ns0:v>
      </ns0:c>
      <ns0:c r="D47" t="str" s="11">
        <ns0:v>筑基</ns0:v>
      </ns0:c>
      <ns0:c r="E47" s="11" t="inlineStr">
        <ns0:is>
          <ns0:t xml:space="preserve">烛微灵笔·金章</ns0:t>
        </ns0:is>
      </ns0:c>
      <ns0:c r="F47" s="11">
        <ns0:v>12454096</ns0:v>
      </ns0:c>
      <ns0:c r="G47" t="str" s="11">
        <ns0:v>【补充设计·暂定】两项常驻奇效，来源归携带位，卸下全量重算。</ns0:v>
      </ns0:c>
      <ns0:c r="H47" t="str" s="11">
        <ns0:v>法力上限</ns0:v>
      </ns0:c>
      <ns0:c r="I47" s="11"/>
      <ns0:c r="J47" t="str" s="20">
        <ns0:v>整数</ns0:v>
      </ns0:c>
      <ns0:c r="K47" t="n">
        <ns0:v>1</ns0:v>
      </ns0:c>
      <ns0:c r="L47" t="str" s="21">
        <ns0:v>法力上限+1</ns0:v>
      </ns0:c>
      <ns0:c r="M47" t="str" s="11">
        <ns0:v>施法速度</ns0:v>
      </ns0:c>
      <ns0:c r="N47" s="11"/>
      <ns0:c r="O47" t="str" s="21">
        <ns0:v>整数</ns0:v>
      </ns0:c>
      <ns0:c r="P47" t="n" s="11">
        <ns0:v>2</ns0:v>
      </ns0:c>
      <ns0:c r="Q47" t="str" s="21">
        <ns0:v>施法速度+2</ns0:v>
      </ns0:c>
      <ns0:c r="R47" s="11"/>
      <ns0:c r="S47" s="11"/>
      <ns0:c r="T47" s="11"/>
      <ns0:c r="U47" s="11"/>
      <ns0:c r="V47" s="11"/>
      <ns0:c r="W47" s="11"/>
      <ns0:c r="X47" s="11"/>
      <ns0:c r="Y47" s="11"/>
      <ns0:c r="Z47" s="11"/>
      <ns0:c r="AA47" s="11"/>
    </ns0:row>
    <ns0:row r="48" spans="1:27">
      <ns0:c r="A48" s="10"/>
      <ns0:c r="B48" s="11">
        <ns0:v>72454100</ns0:v>
      </ns0:c>
      <ns0:c r="C48" s="11" t="s">
        <ns0:v>724</ns0:v>
      </ns0:c>
      <ns0:c r="D48" t="str" s="11">
        <ns0:v>筑基</ns0:v>
      </ns0:c>
      <ns0:c r="E48" s="11" t="s">
        <ns0:v>776</ns0:v>
      </ns0:c>
      <ns0:c r="F48" s="11">
        <ns0:v>12454100</ns0:v>
      </ns0:c>
      <ns0:c r="G48" t="str" s="11">
        <ns0:v>【补充设计·暂定】两项常驻奇效，来源归携带位，卸下全量重算。</ns0:v>
      </ns0:c>
      <ns0:c r="H48" t="str" s="11">
        <ns0:v>生命值</ns0:v>
      </ns0:c>
      <ns0:c r="I48" s="11"/>
      <ns0:c r="J48" t="str" s="20">
        <ns0:v>整数</ns0:v>
      </ns0:c>
      <ns0:c r="K48" t="n">
        <ns0:v>2</ns0:v>
      </ns0:c>
      <ns0:c r="L48" t="str" s="21">
        <ns0:v>生命值+2</ns0:v>
      </ns0:c>
      <ns0:c r="M48" t="str" s="11">
        <ns0:v>每秒回血</ns0:v>
      </ns0:c>
      <ns0:c r="N48" s="11"/>
      <ns0:c r="O48" t="str" s="21">
        <ns0:v>整数</ns0:v>
      </ns0:c>
      <ns0:c r="P48" t="n" s="11">
        <ns0:v>2</ns0:v>
      </ns0:c>
      <ns0:c r="Q48" t="str" s="21">
        <ns0:v>每秒回血+2</ns0:v>
      </ns0:c>
      <ns0:c r="R48" s="11"/>
      <ns0:c r="S48" s="11"/>
      <ns0:c r="T48" s="11"/>
      <ns0:c r="U48" s="11"/>
      <ns0:c r="V48" s="11"/>
      <ns0:c r="W48" s="11"/>
      <ns0:c r="X48" s="11"/>
      <ns0:c r="Y48" s="11"/>
      <ns0:c r="Z48" s="11"/>
      <ns0:c r="AA48" s="11"/>
    </ns0:row>
    <ns0:row r="49" spans="1:27">
      <ns0:c r="A49" s="10"/>
      <ns0:c r="B49" s="11">
        <ns0:v>72454101</ns0:v>
      </ns0:c>
      <ns0:c r="C49" s="11" t="s">
        <ns0:v>724</ns0:v>
      </ns0:c>
      <ns0:c r="D49" t="str" s="11">
        <ns0:v>筑基</ns0:v>
      </ns0:c>
      <ns0:c r="E49" s="11" t="inlineStr">
        <ns0:is>
          <ns0:t xml:space="preserve">流云渡玄舟·凌虚</ns0:t>
        </ns0:is>
      </ns0:c>
      <ns0:c r="F49" s="11">
        <ns0:v>12454101</ns0:v>
      </ns0:c>
      <ns0:c r="G49" t="str" s="11">
        <ns0:v>【补充设计·暂定】两项常驻奇效，来源归携带位，卸下全量重算。</ns0:v>
      </ns0:c>
      <ns0:c r="H49" t="str" s="11">
        <ns0:v>移动速度</ns0:v>
      </ns0:c>
      <ns0:c r="I49" s="11"/>
      <ns0:c r="J49" t="str" s="20">
        <ns0:v>整数</ns0:v>
      </ns0:c>
      <ns0:c r="K49" t="n">
        <ns0:v>3</ns0:v>
      </ns0:c>
      <ns0:c r="L49" t="str" s="21">
        <ns0:v>移动速度+3</ns0:v>
      </ns0:c>
      <ns0:c r="M49" t="str" s="11">
        <ns0:v>闪避</ns0:v>
      </ns0:c>
      <ns0:c r="N49" s="11"/>
      <ns0:c r="O49" t="str" s="21">
        <ns0:v>整数</ns0:v>
      </ns0:c>
      <ns0:c r="P49" t="n" s="11">
        <ns0:v>125</ns0:v>
      </ns0:c>
      <ns0:c r="Q49" t="str" s="21">
        <ns0:v>闪避+125（万分比单位）</ns0:v>
      </ns0:c>
      <ns0:c r="R49" s="11"/>
      <ns0:c r="S49" s="11"/>
      <ns0:c r="T49" s="11"/>
      <ns0:c r="U49" s="11"/>
      <ns0:c r="V49" s="11"/>
      <ns0:c r="W49" s="11"/>
      <ns0:c r="X49" s="11"/>
      <ns0:c r="Y49" s="11"/>
      <ns0:c r="Z49" s="11"/>
      <ns0:c r="AA49" s="11"/>
    </ns0:row>
    <ns0:row r="50" spans="1:27">
      <ns0:c r="A50" s="10"/>
      <ns0:c r="B50" s="11">
        <ns0:v>72464095</ns0:v>
      </ns0:c>
      <ns0:c r="C50" s="11" t="s">
        <ns0:v>724</ns0:v>
      </ns0:c>
      <ns0:c r="D50" t="str" s="11">
        <ns0:v>筑基</ns0:v>
      </ns0:c>
      <ns0:c r="E50" s="11" t="inlineStr">
        <ns0:is>
          <ns0:t xml:space="preserve">缚岳灵索·锁岑</ns0:t>
        </ns0:is>
      </ns0:c>
      <ns0:c r="F50" s="11">
        <ns0:v>12464095</ns0:v>
      </ns0:c>
      <ns0:c r="G50" t="str" s="11">
        <ns0:v>【补充设计·暂定】两项常驻奇效，来源归携带位，卸下全量重算。</ns0:v>
      </ns0:c>
      <ns0:c r="H50" t="str" s="11">
        <ns0:v>物防上限</ns0:v>
      </ns0:c>
      <ns0:c r="I50" s="11"/>
      <ns0:c r="J50" t="str" s="20">
        <ns0:v>整数</ns0:v>
      </ns0:c>
      <ns0:c r="K50" t="n">
        <ns0:v>3</ns0:v>
      </ns0:c>
      <ns0:c r="L50" t="str" s="21">
        <ns0:v>物防上限+3</ns0:v>
      </ns0:c>
      <ns0:c r="M50" t="str" s="11">
        <ns0:v>法防上限</ns0:v>
      </ns0:c>
      <ns0:c r="N50" s="11"/>
      <ns0:c r="O50" t="str" s="21">
        <ns0:v>整数</ns0:v>
      </ns0:c>
      <ns0:c r="P50" t="n" s="11">
        <ns0:v>3</ns0:v>
      </ns0:c>
      <ns0:c r="Q50" t="str" s="21">
        <ns0:v>法防上限+3</ns0:v>
      </ns0:c>
      <ns0:c r="R50" s="11"/>
      <ns0:c r="S50" s="11"/>
      <ns0:c r="T50" s="11"/>
      <ns0:c r="U50" s="11"/>
      <ns0:c r="V50" s="11"/>
      <ns0:c r="W50" s="11"/>
      <ns0:c r="X50" s="11"/>
      <ns0:c r="Y50" s="11"/>
      <ns0:c r="Z50" s="11"/>
      <ns0:c r="AA50" s="11"/>
    </ns0:row>
    <ns0:row r="51" spans="1:27">
      <ns0:c r="A51" s="10"/>
      <ns0:c r="B51" s="11">
        <ns0:v>72464104</ns0:v>
      </ns0:c>
      <ns0:c r="C51" s="11" t="s">
        <ns0:v>724</ns0:v>
      </ns0:c>
      <ns0:c r="D51" t="str" s="11">
        <ns0:v>筑基</ns0:v>
      </ns0:c>
      <ns0:c r="E51" s="11" t="inlineStr">
        <ns0:is>
          <ns0:t xml:space="preserve">辟火玄鳞伞·金鳞</ns0:t>
        </ns0:is>
      </ns0:c>
      <ns0:c r="F51" s="11">
        <ns0:v>12464104</ns0:v>
      </ns0:c>
      <ns0:c r="G51" t="str" s="11">
        <ns0:v>【补充设计·暂定】两项常驻奇效，来源归携带位，卸下全量重算。</ns0:v>
      </ns0:c>
      <ns0:c r="H51" t="str" s="11">
        <ns0:v>伤害提升</ns0:v>
      </ns0:c>
      <ns0:c r="I51" s="11"/>
      <ns0:c r="J51" t="str" s="20">
        <ns0:v>整数</ns0:v>
      </ns0:c>
      <ns0:c r="K51" t="n">
        <ns0:v>3</ns0:v>
      </ns0:c>
      <ns0:c r="L51" t="str" s="21">
        <ns0:v>伤害提升+3</ns0:v>
      </ns0:c>
      <ns0:c r="M51" t="str" s="11">
        <ns0:v>攻击上限</ns0:v>
      </ns0:c>
      <ns0:c r="N51" s="11"/>
      <ns0:c r="O51" t="str" s="21">
        <ns0:v>整数</ns0:v>
      </ns0:c>
      <ns0:c r="P51" t="n" s="11">
        <ns0:v>3</ns0:v>
      </ns0:c>
      <ns0:c r="Q51" t="str" s="21">
        <ns0:v>攻击上限+3</ns0:v>
      </ns0:c>
      <ns0:c r="R51" s="11"/>
      <ns0:c r="S51" s="11"/>
      <ns0:c r="T51" s="11"/>
      <ns0:c r="U51" s="11"/>
      <ns0:c r="V51" s="11"/>
      <ns0:c r="W51" s="11"/>
      <ns0:c r="X51" s="11"/>
      <ns0:c r="Y51" s="11"/>
      <ns0:c r="Z51" s="11"/>
      <ns0:c r="AA51" s="11"/>
    </ns0:row>
    <ns0:row r="52" spans="1:27">
      <ns0:c r="A52" s="10"/>
      <ns0:c r="B52" s="11">
        <ns0:v>72464120</ns0:v>
      </ns0:c>
      <ns0:c r="C52" s="11" t="s">
        <ns0:v>724</ns0:v>
      </ns0:c>
      <ns0:c r="D52" t="str" s="11">
        <ns0:v>筑基</ns0:v>
      </ns0:c>
      <ns0:c r="E52" s="11" t="s">
        <ns0:v>784</ns0:v>
      </ns0:c>
      <ns0:c r="F52" s="11">
        <ns0:v>12464120</ns0:v>
      </ns0:c>
      <ns0:c r="G52" t="str" s="11">
        <ns0:v>【补充设计·暂定】两项常驻奇效，来源归携带位，卸下全量重算。</ns0:v>
      </ns0:c>
      <ns0:c r="H52" t="str" s="11">
        <ns0:v>攻击上限</ns0:v>
      </ns0:c>
      <ns0:c r="I52" s="11"/>
      <ns0:c r="J52" t="str" s="20">
        <ns0:v>整数</ns0:v>
      </ns0:c>
      <ns0:c r="K52" t="n">
        <ns0:v>1</ns0:v>
      </ns0:c>
      <ns0:c r="L52" t="str" s="21">
        <ns0:v>攻击上限+1</ns0:v>
      </ns0:c>
      <ns0:c r="M52" t="str" s="11">
        <ns0:v>法力上限</ns0:v>
      </ns0:c>
      <ns0:c r="N52" s="11"/>
      <ns0:c r="O52" t="str" s="21">
        <ns0:v>整数</ns0:v>
      </ns0:c>
      <ns0:c r="P52" t="n" s="11">
        <ns0:v>1</ns0:v>
      </ns0:c>
      <ns0:c r="Q52" t="str" s="21">
        <ns0:v>法力上限+1</ns0:v>
      </ns0:c>
      <ns0:c r="R52" s="11"/>
      <ns0:c r="S52" s="11"/>
      <ns0:c r="T52" s="11"/>
      <ns0:c r="U52" s="11"/>
      <ns0:c r="V52" s="11"/>
      <ns0:c r="W52" s="11"/>
      <ns0:c r="X52" s="11"/>
      <ns0:c r="Y52" s="11"/>
      <ns0:c r="Z52" s="11"/>
      <ns0:c r="AA52" s="11"/>
    </ns0:row>
    <ns0:row r="53" spans="1:27">
      <ns0:c r="A53" s="10"/>
      <ns0:c r="B53" s="11">
        <ns0:v>72464132</ns0:v>
      </ns0:c>
      <ns0:c r="C53" s="11" t="s">
        <ns0:v>724</ns0:v>
      </ns0:c>
      <ns0:c r="D53" t="str" s="11">
        <ns0:v>筑基</ns0:v>
      </ns0:c>
      <ns0:c r="E53" s="11" t="inlineStr">
        <ns0:is>
          <ns0:t xml:space="preserve">镇岳炼宝鼎·玄枢</ns0:t>
        </ns0:is>
      </ns0:c>
      <ns0:c r="F53" s="11">
        <ns0:v>12464132</ns0:v>
      </ns0:c>
      <ns0:c r="G53" t="str" s="11">
        <ns0:v>【补充设计·暂定】两项常驻奇效，来源归携带位，卸下全量重算。</ns0:v>
      </ns0:c>
      <ns0:c r="H53" t="str" s="11">
        <ns0:v>物防上限</ns0:v>
      </ns0:c>
      <ns0:c r="I53" s="11"/>
      <ns0:c r="J53" t="str" s="20">
        <ns0:v>整数</ns0:v>
      </ns0:c>
      <ns0:c r="K53" t="n">
        <ns0:v>1</ns0:v>
      </ns0:c>
      <ns0:c r="L53" t="str" s="21">
        <ns0:v>物防上限+1</ns0:v>
      </ns0:c>
      <ns0:c r="M53" t="str" s="11">
        <ns0:v>法防上限</ns0:v>
      </ns0:c>
      <ns0:c r="N53" s="11"/>
      <ns0:c r="O53" t="str" s="21">
        <ns0:v>整数</ns0:v>
      </ns0:c>
      <ns0:c r="P53" t="n" s="11">
        <ns0:v>1</ns0:v>
      </ns0:c>
      <ns0:c r="Q53" t="str" s="21">
        <ns0:v>法防上限+1</ns0:v>
      </ns0:c>
      <ns0:c r="R53" s="11"/>
      <ns0:c r="S53" s="11"/>
      <ns0:c r="T53" s="11"/>
      <ns0:c r="U53" s="11"/>
      <ns0:c r="V53" s="11"/>
      <ns0:c r="W53" s="11"/>
      <ns0:c r="X53" s="11"/>
      <ns0:c r="Y53" s="11"/>
      <ns0:c r="Z53" s="11"/>
      <ns0:c r="AA53" s="11"/>
    </ns0:row>
    <ns0:row r="54" spans="1:27">
      <ns0:c r="A54" s="10"/>
      <ns0:c r="B54" s="11">
        <ns0:v>72474095</ns0:v>
      </ns0:c>
      <ns0:c r="C54" s="11" t="s">
        <ns0:v>724</ns0:v>
      </ns0:c>
      <ns0:c r="D54" t="str" s="11">
        <ns0:v>筑基</ns0:v>
      </ns0:c>
      <ns0:c r="E54" s="11" t="s">
        <ns0:v>788</ns0:v>
      </ns0:c>
      <ns0:c r="F54" s="11">
        <ns0:v>12474095</ns0:v>
      </ns0:c>
      <ns0:c r="G54" t="str" s="11">
        <ns0:v>【补充设计·暂定】两项常驻奇效，来源归携带位，卸下全量重算。</ns0:v>
      </ns0:c>
      <ns0:c r="H54" t="str" s="11">
        <ns0:v>伤害提升</ns0:v>
      </ns0:c>
      <ns0:c r="I54" s="11"/>
      <ns0:c r="J54" t="str" s="20">
        <ns0:v>整数</ns0:v>
      </ns0:c>
      <ns0:c r="K54" t="n">
        <ns0:v>3</ns0:v>
      </ns0:c>
      <ns0:c r="L54" t="str" s="21">
        <ns0:v>伤害提升+3</ns0:v>
      </ns0:c>
      <ns0:c r="M54" t="str" s="11">
        <ns0:v>攻击上限</ns0:v>
      </ns0:c>
      <ns0:c r="N54" s="11"/>
      <ns0:c r="O54" t="str" s="21">
        <ns0:v>整数</ns0:v>
      </ns0:c>
      <ns0:c r="P54" t="n" s="11">
        <ns0:v>3</ns0:v>
      </ns0:c>
      <ns0:c r="Q54" t="str" s="21">
        <ns0:v>攻击上限+3</ns0:v>
      </ns0:c>
      <ns0:c r="R54" s="11"/>
      <ns0:c r="S54" s="11"/>
      <ns0:c r="T54" s="11"/>
      <ns0:c r="U54" s="11"/>
      <ns0:c r="V54" s="11"/>
      <ns0:c r="W54" s="11"/>
      <ns0:c r="X54" s="11"/>
      <ns0:c r="Y54" s="11"/>
      <ns0:c r="Z54" s="11"/>
      <ns0:c r="AA54" s="11"/>
    </ns0:row>
    <ns0:row r="55" spans="1:27">
      <ns0:c r="A55" s="10"/>
      <ns0:c r="B55" s="11">
        <ns0:v>72474104</ns0:v>
      </ns0:c>
      <ns0:c r="C55" s="11" t="s">
        <ns0:v>724</ns0:v>
      </ns0:c>
      <ns0:c r="D55" t="str" s="11">
        <ns0:v>筑基</ns0:v>
      </ns0:c>
      <ns0:c r="E55" s="11" t="s">
        <ns0:v>790</ns0:v>
      </ns0:c>
      <ns0:c r="F55" s="11">
        <ns0:v>12474104</ns0:v>
      </ns0:c>
      <ns0:c r="G55" t="str" s="11">
        <ns0:v>【补充设计·暂定】两项常驻奇效，来源归携带位，卸下全量重算。</ns0:v>
      </ns0:c>
      <ns0:c r="H55" t="str" s="11">
        <ns0:v>神识</ns0:v>
      </ns0:c>
      <ns0:c r="I55" s="11"/>
      <ns0:c r="J55" t="str" s="20">
        <ns0:v>整数</ns0:v>
      </ns0:c>
      <ns0:c r="K55" t="n">
        <ns0:v>3</ns0:v>
      </ns0:c>
      <ns0:c r="L55" t="str" s="21">
        <ns0:v>神识+3</ns0:v>
      </ns0:c>
      <ns0:c r="M55" t="str" s="11">
        <ns0:v>免暴击率</ns0:v>
      </ns0:c>
      <ns0:c r="N55" s="11"/>
      <ns0:c r="O55" t="str" s="21">
        <ns0:v>整数</ns0:v>
      </ns0:c>
      <ns0:c r="P55" t="n" s="11">
        <ns0:v>200</ns0:v>
      </ns0:c>
      <ns0:c r="Q55" t="str" s="21">
        <ns0:v>免暴击率+200（万分比单位）</ns0:v>
      </ns0:c>
      <ns0:c r="R55" s="11"/>
      <ns0:c r="S55" s="11"/>
      <ns0:c r="T55" s="11"/>
      <ns0:c r="U55" s="11"/>
      <ns0:c r="V55" s="11"/>
      <ns0:c r="W55" s="11"/>
      <ns0:c r="X55" s="11"/>
      <ns0:c r="Y55" s="11"/>
      <ns0:c r="Z55" s="11"/>
      <ns0:c r="AA55" s="11"/>
    </ns0:row>
    <ns0:row r="56" spans="1:27">
      <ns0:c r="A56" s="10"/>
      <ns0:c r="B56" s="11">
        <ns0:v>72474119</ns0:v>
      </ns0:c>
      <ns0:c r="C56" s="11" t="s">
        <ns0:v>724</ns0:v>
      </ns0:c>
      <ns0:c r="D56" t="str" s="11">
        <ns0:v>筑基</ns0:v>
      </ns0:c>
      <ns0:c r="E56" s="11" t="inlineStr">
        <ns0:is>
          <ns0:t xml:space="preserve">九窍通灵瓶·吐纳</ns0:t>
        </ns0:is>
      </ns0:c>
      <ns0:c r="F56" s="11">
        <ns0:v>12474119</ns0:v>
      </ns0:c>
      <ns0:c r="G56" t="str" s="11">
        <ns0:v>【补充设计·暂定】两项常驻奇效，来源归携带位，卸下全量重算。</ns0:v>
      </ns0:c>
      <ns0:c r="H56" t="str" s="11">
        <ns0:v>灵力值</ns0:v>
      </ns0:c>
      <ns0:c r="I56" s="11"/>
      <ns0:c r="J56" t="str" s="20">
        <ns0:v>整数</ns0:v>
      </ns0:c>
      <ns0:c r="K56" t="n">
        <ns0:v>3</ns0:v>
      </ns0:c>
      <ns0:c r="L56" t="str" s="21">
        <ns0:v>灵力值+3</ns0:v>
      </ns0:c>
      <ns0:c r="M56" t="str" s="11">
        <ns0:v>每秒回灵</ns0:v>
      </ns0:c>
      <ns0:c r="N56" s="11"/>
      <ns0:c r="O56" t="str" s="21">
        <ns0:v>整数</ns0:v>
      </ns0:c>
      <ns0:c r="P56" t="n" s="11">
        <ns0:v>3</ns0:v>
      </ns0:c>
      <ns0:c r="Q56" t="str" s="21">
        <ns0:v>每秒回灵+3</ns0:v>
      </ns0:c>
      <ns0:c r="R56" s="11"/>
      <ns0:c r="S56" s="11"/>
      <ns0:c r="T56" s="11"/>
      <ns0:c r="U56" s="11"/>
      <ns0:c r="V56" s="11"/>
      <ns0:c r="W56" s="11"/>
      <ns0:c r="X56" s="11"/>
      <ns0:c r="Y56" s="11"/>
      <ns0:c r="Z56" s="11"/>
      <ns0:c r="AA56" s="11"/>
    </ns0:row>
    <ns0:row r="57" spans="1:27">
      <ns0:c r="A57" s="10"/>
      <ns0:c r="B57" s="11">
        <ns0:v>72474123</ns0:v>
      </ns0:c>
      <ns0:c r="C57" s="11" t="s">
        <ns0:v>724</ns0:v>
      </ns0:c>
      <ns0:c r="D57" t="str" s="11">
        <ns0:v>筑基</ns0:v>
      </ns0:c>
      <ns0:c r="E57" s="11" t="inlineStr">
        <ns0:is>
          <ns0:t xml:space="preserve">照微鉴宝镜·洞玄</ns0:t>
        </ns0:is>
      </ns0:c>
      <ns0:c r="F57" s="11">
        <ns0:v>12474123</ns0:v>
      </ns0:c>
      <ns0:c r="G57" t="str" s="11">
        <ns0:v>【补充设计·暂定】两项常驻奇效，来源归携带位，卸下全量重算。</ns0:v>
      </ns0:c>
      <ns0:c r="H57" t="str" s="11">
        <ns0:v>命中</ns0:v>
      </ns0:c>
      <ns0:c r="I57" s="11"/>
      <ns0:c r="J57" t="str" s="20">
        <ns0:v>整数</ns0:v>
      </ns0:c>
      <ns0:c r="K57" t="n">
        <ns0:v>175</ns0:v>
      </ns0:c>
      <ns0:c r="L57" t="str" s="21">
        <ns0:v>命中+175（万分比单位）</ns0:v>
      </ns0:c>
      <ns0:c r="M57" t="str" s="11">
        <ns0:v>警戒范围</ns0:v>
      </ns0:c>
      <ns0:c r="N57" s="11"/>
      <ns0:c r="O57" t="str" s="21">
        <ns0:v>整数</ns0:v>
      </ns0:c>
      <ns0:c r="P57" t="n" s="11">
        <ns0:v>55</ns0:v>
      </ns0:c>
      <ns0:c r="Q57" t="str" s="21">
        <ns0:v>警戒范围+55</ns0:v>
      </ns0:c>
      <ns0:c r="R57" s="11"/>
      <ns0:c r="S57" s="11"/>
      <ns0:c r="T57" s="11"/>
      <ns0:c r="U57" s="11"/>
      <ns0:c r="V57" s="11"/>
      <ns0:c r="W57" s="11"/>
      <ns0:c r="X57" s="11"/>
      <ns0:c r="Y57" s="11"/>
      <ns0:c r="Z57" s="11"/>
      <ns0:c r="AA57" s="11"/>
    </ns0:row>
    <ns0:row r="58" spans="1:27">
      <ns0:c r="A58" s="10"/>
      <ns0:c r="B58" s="11">
        <ns0:v>72484095</ns0:v>
      </ns0:c>
      <ns0:c r="C58" s="11" t="s">
        <ns0:v>724</ns0:v>
      </ns0:c>
      <ns0:c r="D58" t="str" s="11">
        <ns0:v>筑基</ns0:v>
      </ns0:c>
      <ns0:c r="E58" s="11" t="s">
        <ns0:v>796</ns0:v>
      </ns0:c>
      <ns0:c r="F58" s="11">
        <ns0:v>12484095</ns0:v>
      </ns0:c>
      <ns0:c r="G58" t="str" s="11">
        <ns0:v>【补充设计·暂定】两项常驻奇效，来源归携带位，卸下全量重算。</ns0:v>
      </ns0:c>
      <ns0:c r="H58" t="str" s="11">
        <ns0:v>伤害提升</ns0:v>
      </ns0:c>
      <ns0:c r="I58" s="11"/>
      <ns0:c r="J58" t="str" s="20">
        <ns0:v>整数</ns0:v>
      </ns0:c>
      <ns0:c r="K58" t="n">
        <ns0:v>3</ns0:v>
      </ns0:c>
      <ns0:c r="L58" t="str" s="21">
        <ns0:v>伤害提升+3</ns0:v>
      </ns0:c>
      <ns0:c r="M58" t="str" s="11">
        <ns0:v>攻击上限</ns0:v>
      </ns0:c>
      <ns0:c r="N58" s="11"/>
      <ns0:c r="O58" t="str" s="21">
        <ns0:v>整数</ns0:v>
      </ns0:c>
      <ns0:c r="P58" t="n" s="11">
        <ns0:v>3</ns0:v>
      </ns0:c>
      <ns0:c r="Q58" t="str" s="21">
        <ns0:v>攻击上限+3</ns0:v>
      </ns0:c>
      <ns0:c r="R58" s="11"/>
      <ns0:c r="S58" s="11"/>
      <ns0:c r="T58" s="11"/>
      <ns0:c r="U58" s="11"/>
      <ns0:c r="V58" s="11"/>
      <ns0:c r="W58" s="11"/>
      <ns0:c r="X58" s="11"/>
      <ns0:c r="Y58" s="11"/>
      <ns0:c r="Z58" s="11"/>
      <ns0:c r="AA58" s="11"/>
    </ns0:row>
    <ns0:row r="59" spans="1:27">
      <ns0:c r="A59" s="10"/>
      <ns0:c r="B59" s="11">
        <ns0:v>72484107</ns0:v>
      </ns0:c>
      <ns0:c r="C59" s="11" t="s">
        <ns0:v>724</ns0:v>
      </ns0:c>
      <ns0:c r="D59" t="str" s="11">
        <ns0:v>筑基</ns0:v>
      </ns0:c>
      <ns0:c r="E59" s="11" t="s">
        <ns0:v>798</ns0:v>
      </ns0:c>
      <ns0:c r="F59" s="11">
        <ns0:v>12484107</ns0:v>
      </ns0:c>
      <ns0:c r="G59" t="str" s="11">
        <ns0:v>【补充设计·暂定】两项常驻奇效，来源归携带位，卸下全量重算。</ns0:v>
      </ns0:c>
      <ns0:c r="H59" t="str" s="11">
        <ns0:v>伤害提升</ns0:v>
      </ns0:c>
      <ns0:c r="I59" s="11"/>
      <ns0:c r="J59" t="str" s="20">
        <ns0:v>整数</ns0:v>
      </ns0:c>
      <ns0:c r="K59" t="n">
        <ns0:v>3</ns0:v>
      </ns0:c>
      <ns0:c r="L59" t="str" s="21">
        <ns0:v>伤害提升+3</ns0:v>
      </ns0:c>
      <ns0:c r="M59" t="str" s="11">
        <ns0:v>攻击上限</ns0:v>
      </ns0:c>
      <ns0:c r="N59" s="11"/>
      <ns0:c r="O59" t="str" s="21">
        <ns0:v>整数</ns0:v>
      </ns0:c>
      <ns0:c r="P59" t="n" s="11">
        <ns0:v>3</ns0:v>
      </ns0:c>
      <ns0:c r="Q59" t="str" s="21">
        <ns0:v>攻击上限+3</ns0:v>
      </ns0:c>
      <ns0:c r="R59" s="11"/>
      <ns0:c r="S59" s="11"/>
      <ns0:c r="T59" s="11"/>
      <ns0:c r="U59" s="11"/>
      <ns0:c r="V59" s="11"/>
      <ns0:c r="W59" s="11"/>
      <ns0:c r="X59" s="11"/>
      <ns0:c r="Y59" s="11"/>
      <ns0:c r="Z59" s="11"/>
      <ns0:c r="AA59" s="11"/>
    </ns0:row>
    <ns0:row r="60" spans="1:27">
      <ns0:c r="A60" s="10"/>
      <ns0:c r="B60" s="11">
        <ns0:v>72484108</ns0:v>
      </ns0:c>
      <ns0:c r="C60" s="11" t="s">
        <ns0:v>724</ns0:v>
      </ns0:c>
      <ns0:c r="D60" t="str" s="11">
        <ns0:v>筑基</ns0:v>
      </ns0:c>
      <ns0:c r="E60" s="11" t="inlineStr">
        <ns0:is>
          <ns0:t xml:space="preserve">通天渡虚舟·彼岸</ns0:t>
        </ns0:is>
      </ns0:c>
      <ns0:c r="F60" s="11">
        <ns0:v>12484108</ns0:v>
      </ns0:c>
      <ns0:c r="G60" t="str" s="11">
        <ns0:v>【补充设计·暂定】两项常驻奇效，来源归携带位，卸下全量重算。</ns0:v>
      </ns0:c>
      <ns0:c r="H60" t="str" s="11">
        <ns0:v>移动速度</ns0:v>
      </ns0:c>
      <ns0:c r="I60" s="11"/>
      <ns0:c r="J60" t="str" s="20">
        <ns0:v>整数</ns0:v>
      </ns0:c>
      <ns0:c r="K60" t="n">
        <ns0:v>2</ns0:v>
      </ns0:c>
      <ns0:c r="L60" t="str" s="21">
        <ns0:v>移动速度+2</ns0:v>
      </ns0:c>
      <ns0:c r="M60" t="str" s="11">
        <ns0:v>闪避</ns0:v>
      </ns0:c>
      <ns0:c r="N60" s="11"/>
      <ns0:c r="O60" t="str" s="21">
        <ns0:v>整数</ns0:v>
      </ns0:c>
      <ns0:c r="P60" t="n" s="11">
        <ns0:v>175</ns0:v>
      </ns0:c>
      <ns0:c r="Q60" t="str" s="21">
        <ns0:v>闪避+175（万分比单位）</ns0:v>
      </ns0:c>
      <ns0:c r="R60" s="11"/>
      <ns0:c r="S60" s="11"/>
      <ns0:c r="T60" s="11"/>
      <ns0:c r="U60" s="11"/>
      <ns0:c r="V60" s="11"/>
      <ns0:c r="W60" s="11"/>
      <ns0:c r="X60" s="11"/>
      <ns0:c r="Y60" s="11"/>
      <ns0:c r="Z60" s="11"/>
      <ns0:c r="AA60" s="11"/>
    </ns0:row>
    <ns0:row r="61" spans="1:27">
      <ns0:c r="A61" s="10"/>
      <ns0:c r="B61" s="11">
        <ns0:v>72484109</ns0:v>
      </ns0:c>
      <ns0:c r="C61" s="11" t="s">
        <ns0:v>724</ns0:v>
      </ns0:c>
      <ns0:c r="D61" t="str" s="11">
        <ns0:v>筑基</ns0:v>
      </ns0:c>
      <ns0:c r="E61" s="11" t="inlineStr">
        <ns0:is>
          <ns0:t xml:space="preserve">万象藏形幡·忘形</ns0:t>
        </ns0:is>
      </ns0:c>
      <ns0:c r="F61" s="11">
        <ns0:v>12484109</ns0:v>
      </ns0:c>
      <ns0:c r="G61" t="str" s="11">
        <ns0:v>【补充设计·暂定】两项常驻奇效，来源归携带位，卸下全量重算。</ns0:v>
      </ns0:c>
      <ns0:c r="H61" t="str" s="11">
        <ns0:v>法力上限</ns0:v>
      </ns0:c>
      <ns0:c r="I61" s="11"/>
      <ns0:c r="J61" t="str" s="20">
        <ns0:v>整数</ns0:v>
      </ns0:c>
      <ns0:c r="K61" t="n">
        <ns0:v>2</ns0:v>
      </ns0:c>
      <ns0:c r="L61" t="str" s="21">
        <ns0:v>法力上限+2</ns0:v>
      </ns0:c>
      <ns0:c r="M61" t="str" s="11">
        <ns0:v>伤害提升</ns0:v>
      </ns0:c>
      <ns0:c r="N61" s="11"/>
      <ns0:c r="O61" t="str" s="21">
        <ns0:v>整数</ns0:v>
      </ns0:c>
      <ns0:c r="P61" t="n" s="11">
        <ns0:v>2</ns0:v>
      </ns0:c>
      <ns0:c r="Q61" t="str" s="21">
        <ns0:v>伤害提升+2</ns0:v>
      </ns0:c>
      <ns0:c r="R61" s="11"/>
      <ns0:c r="S61" s="11"/>
      <ns0:c r="T61" s="11"/>
      <ns0:c r="U61" s="11"/>
      <ns0:c r="V61" s="11"/>
      <ns0:c r="W61" s="11"/>
      <ns0:c r="X61" s="11"/>
      <ns0:c r="Y61" s="11"/>
      <ns0:c r="Z61" s="11"/>
      <ns0:c r="AA61" s="11"/>
    </ns0:row>
    <ns0:row r="62" spans="1:27">
      <ns0:c r="A62" s="10"/>
      <ns0:c r="B62" s="11">
        <ns0:v>72221026</ns0:v>
      </ns0:c>
      <ns0:c r="C62" s="11" t="s">
        <ns0:v>491</ns0:v>
      </ns0:c>
      <ns0:c r="D62" t="str" s="11">
        <ns0:v>筑基</ns0:v>
      </ns0:c>
      <ns0:c r="E62" s="11" t="s">
        <ns0:v>543</ns0:v>
      </ns0:c>
      <ns0:c r="F62" s="11">
        <ns0:v>12222026</ns0:v>
      </ns0:c>
      <ns0:c r="G62" t="str" s="11">
        <ns0:v>【补充设计·暂定】两项常驻奇效，来源归携带位，卸下全量重算。</ns0:v>
      </ns0:c>
      <ns0:c r="H62" t="str" s="11">
        <ns0:v>移动速度</ns0:v>
      </ns0:c>
      <ns0:c r="I62" s="11"/>
      <ns0:c r="J62" t="str" s="20">
        <ns0:v>整数</ns0:v>
      </ns0:c>
      <ns0:c r="K62" t="n">
        <ns0:v>4</ns0:v>
      </ns0:c>
      <ns0:c r="L62" t="str" s="21">
        <ns0:v>移动速度+4</ns0:v>
      </ns0:c>
      <ns0:c r="M62" t="str" s="11">
        <ns0:v>闪避</ns0:v>
      </ns0:c>
      <ns0:c r="N62" s="11"/>
      <ns0:c r="O62" t="str" s="21">
        <ns0:v>整数</ns0:v>
      </ns0:c>
      <ns0:c r="P62" t="n" s="11">
        <ns0:v>75</ns0:v>
      </ns0:c>
      <ns0:c r="Q62" t="str" s="21">
        <ns0:v>闪避+75（万分比单位）</ns0:v>
      </ns0:c>
      <ns0:c r="R62" s="11"/>
      <ns0:c r="S62" s="11"/>
      <ns0:c r="T62" s="11"/>
      <ns0:c r="U62" s="11"/>
      <ns0:c r="V62" s="11"/>
      <ns0:c r="W62" s="11"/>
      <ns0:c r="X62" s="11"/>
      <ns0:c r="Y62" s="11"/>
      <ns0:c r="Z62" s="11"/>
      <ns0:c r="AA62" s="11"/>
    </ns0:row>
    <ns0:row r="63" spans="1:27">
      <ns0:c r="A63" s="10"/>
      <ns0:c r="B63" s="11">
        <ns0:v>72221024</ns0:v>
      </ns0:c>
      <ns0:c r="C63" s="11" t="s">
        <ns0:v>491</ns0:v>
      </ns0:c>
      <ns0:c r="D63" t="str" s="11">
        <ns0:v>筑基</ns0:v>
      </ns0:c>
      <ns0:c r="E63" s="11" t="s">
        <ns0:v>539</ns0:v>
      </ns0:c>
      <ns0:c r="F63" s="11">
        <ns0:v>12222024</ns0:v>
      </ns0:c>
      <ns0:c r="G63" t="str" s="11">
        <ns0:v>【补充设计·暂定】两项常驻奇效，来源归携带位，卸下全量重算。</ns0:v>
      </ns0:c>
      <ns0:c r="H63" t="str" s="11">
        <ns0:v>神识</ns0:v>
      </ns0:c>
      <ns0:c r="I63" s="11"/>
      <ns0:c r="J63" t="str" s="20">
        <ns0:v>整数</ns0:v>
      </ns0:c>
      <ns0:c r="K63" t="n">
        <ns0:v>1</ns0:v>
      </ns0:c>
      <ns0:c r="L63" t="str" s="21">
        <ns0:v>神识+1</ns0:v>
      </ns0:c>
      <ns0:c r="M63" t="str" s="11">
        <ns0:v>免暴击率</ns0:v>
      </ns0:c>
      <ns0:c r="N63" s="11"/>
      <ns0:c r="O63" t="str" s="21">
        <ns0:v>整数</ns0:v>
      </ns0:c>
      <ns0:c r="P63" t="n" s="11">
        <ns0:v>120</ns0:v>
      </ns0:c>
      <ns0:c r="Q63" t="str" s="21">
        <ns0:v>免暴击率+120（万分比单位）</ns0:v>
      </ns0:c>
      <ns0:c r="R63" s="11"/>
      <ns0:c r="S63" s="11"/>
      <ns0:c r="T63" s="11"/>
      <ns0:c r="U63" s="11"/>
      <ns0:c r="V63" s="11"/>
      <ns0:c r="W63" s="11"/>
      <ns0:c r="X63" s="11"/>
      <ns0:c r="Y63" s="11"/>
      <ns0:c r="Z63" s="11"/>
      <ns0:c r="AA63" s="11"/>
    </ns0:row>
    <ns0:row r="64" spans="1:27">
      <ns0:c r="A64" s="10"/>
      <ns0:c r="B64" s="11">
        <ns0:v>72221033</ns0:v>
      </ns0:c>
      <ns0:c r="C64" s="11" t="s">
        <ns0:v>491</ns0:v>
      </ns0:c>
      <ns0:c r="D64" t="str" s="11">
        <ns0:v>筑基</ns0:v>
      </ns0:c>
      <ns0:c r="E64" s="11" t="s">
        <ns0:v>557</ns0:v>
      </ns0:c>
      <ns0:c r="F64" s="11">
        <ns0:v>12222033</ns0:v>
      </ns0:c>
      <ns0:c r="G64" t="str" s="11">
        <ns0:v>【补充设计·暂定】两项常驻奇效，来源归携带位，卸下全量重算。</ns0:v>
      </ns0:c>
      <ns0:c r="H64" t="str" s="11">
        <ns0:v>命中</ns0:v>
      </ns0:c>
      <ns0:c r="I64" s="11"/>
      <ns0:c r="J64" t="str" s="20">
        <ns0:v>整数</ns0:v>
      </ns0:c>
      <ns0:c r="K64" t="n">
        <ns0:v>105</ns0:v>
      </ns0:c>
      <ns0:c r="L64" t="str" s="21">
        <ns0:v>命中+105（万分比单位）</ns0:v>
      </ns0:c>
      <ns0:c r="M64" t="str" s="11">
        <ns0:v>警戒范围</ns0:v>
      </ns0:c>
      <ns0:c r="N64" s="11"/>
      <ns0:c r="O64" t="str" s="21">
        <ns0:v>整数</ns0:v>
      </ns0:c>
      <ns0:c r="P64" t="n" s="11">
        <ns0:v>35</ns0:v>
      </ns0:c>
      <ns0:c r="Q64" t="str" s="21">
        <ns0:v>警戒范围+35</ns0:v>
      </ns0:c>
      <ns0:c r="R64" s="11"/>
      <ns0:c r="S64" s="11"/>
      <ns0:c r="T64" s="11"/>
      <ns0:c r="U64" s="11"/>
      <ns0:c r="V64" s="11"/>
      <ns0:c r="W64" s="11"/>
      <ns0:c r="X64" s="11"/>
      <ns0:c r="Y64" s="11"/>
      <ns0:c r="Z64" s="11"/>
      <ns0:c r="AA64" s="11"/>
    </ns0:row>
    <ns0:row r="65" spans="1:27">
      <ns0:c r="A65" s="10"/>
      <ns0:c r="B65" s="11">
        <ns0:v>72221027</ns0:v>
      </ns0:c>
      <ns0:c r="C65" s="11" t="s">
        <ns0:v>491</ns0:v>
      </ns0:c>
      <ns0:c r="D65" t="str" s="11">
        <ns0:v>筑基</ns0:v>
      </ns0:c>
      <ns0:c r="E65" s="11" t="s">
        <ns0:v>545</ns0:v>
      </ns0:c>
      <ns0:c r="F65" s="11">
        <ns0:v>12222027</ns0:v>
      </ns0:c>
      <ns0:c r="G65" t="str" s="11">
        <ns0:v>【补充设计·暂定】两项常驻奇效，来源归携带位，卸下全量重算。</ns0:v>
      </ns0:c>
      <ns0:c r="H65" t="str" s="11">
        <ns0:v>移动速度</ns0:v>
      </ns0:c>
      <ns0:c r="I65" s="11"/>
      <ns0:c r="J65" t="str" s="20">
        <ns0:v>整数</ns0:v>
      </ns0:c>
      <ns0:c r="K65" t="n">
        <ns0:v>5</ns0:v>
      </ns0:c>
      <ns0:c r="L65" t="str" s="21">
        <ns0:v>移动速度+5</ns0:v>
      </ns0:c>
      <ns0:c r="M65" t="str" s="11">
        <ns0:v>闪避</ns0:v>
      </ns0:c>
      <ns0:c r="N65" s="11"/>
      <ns0:c r="O65" t="str" s="21">
        <ns0:v>整数</ns0:v>
      </ns0:c>
      <ns0:c r="P65" t="n" s="11">
        <ns0:v>90</ns0:v>
      </ns0:c>
      <ns0:c r="Q65" t="str" s="21">
        <ns0:v>闪避+90（万分比单位）</ns0:v>
      </ns0:c>
      <ns0:c r="R65" s="11"/>
      <ns0:c r="S65" s="11"/>
      <ns0:c r="T65" s="11"/>
      <ns0:c r="U65" s="11"/>
      <ns0:c r="V65" s="11"/>
      <ns0:c r="W65" s="11"/>
      <ns0:c r="X65" s="11"/>
      <ns0:c r="Y65" s="11"/>
      <ns0:c r="Z65" s="11"/>
      <ns0:c r="AA65" s="11"/>
    </ns0:row>
    <ns0:row r="66" spans="1:27">
      <ns0:c r="A66" s="10"/>
      <ns0:c r="B66" s="11">
        <ns0:v>72221025</ns0:v>
      </ns0:c>
      <ns0:c r="C66" s="11" t="s">
        <ns0:v>491</ns0:v>
      </ns0:c>
      <ns0:c r="D66" t="str" s="11">
        <ns0:v>筑基</ns0:v>
      </ns0:c>
      <ns0:c r="E66" s="11" t="s">
        <ns0:v>541</ns0:v>
      </ns0:c>
      <ns0:c r="F66" s="11">
        <ns0:v>12222025</ns0:v>
      </ns0:c>
      <ns0:c r="G66" t="str" s="11">
        <ns0:v>【补充设计·暂定】两项常驻奇效，来源归携带位，卸下全量重算。</ns0:v>
      </ns0:c>
      <ns0:c r="H66" t="str" s="11">
        <ns0:v>移动速度</ns0:v>
      </ns0:c>
      <ns0:c r="I66" s="11"/>
      <ns0:c r="J66" t="str" s="20">
        <ns0:v>整数</ns0:v>
      </ns0:c>
      <ns0:c r="K66" t="n">
        <ns0:v>3</ns0:v>
      </ns0:c>
      <ns0:c r="L66" t="str" s="21">
        <ns0:v>移动速度+3</ns0:v>
      </ns0:c>
      <ns0:c r="M66" t="str" s="11">
        <ns0:v>命中</ns0:v>
      </ns0:c>
      <ns0:c r="N66" s="11"/>
      <ns0:c r="O66" t="str" s="21">
        <ns0:v>整数</ns0:v>
      </ns0:c>
      <ns0:c r="P66" t="n" s="11">
        <ns0:v>60</ns0:v>
      </ns0:c>
      <ns0:c r="Q66" t="str" s="21">
        <ns0:v>命中+60（万分比单位）</ns0:v>
      </ns0:c>
      <ns0:c r="R66" s="11"/>
      <ns0:c r="S66" s="11"/>
      <ns0:c r="T66" s="11"/>
      <ns0:c r="U66" s="11"/>
      <ns0:c r="V66" s="11"/>
      <ns0:c r="W66" s="11"/>
      <ns0:c r="X66" s="11"/>
      <ns0:c r="Y66" s="11"/>
      <ns0:c r="Z66" s="11"/>
      <ns0:c r="AA66" s="11"/>
    </ns0:row>
    <ns0:row r="67" spans="1:27">
      <ns0:c r="A67" s="10"/>
      <ns0:c r="B67" s="11">
        <ns0:v>72124000</ns0:v>
      </ns0:c>
      <ns0:c r="C67" s="11" t="s">
        <ns0:v>576</ns0:v>
      </ns0:c>
      <ns0:c r="D67" t="str" s="11">
        <ns0:v>筑基</ns0:v>
      </ns0:c>
      <ns0:c r="E67" s="11" t="s">
        <ns0:v>575</ns0:v>
      </ns0:c>
      <ns0:c r="F67" s="11">
        <ns0:v>12124000</ns0:v>
      </ns0:c>
      <ns0:c r="G67" t="str" s="11">
        <ns0:v>【补充设计·暂定】两项常驻奇效，来源归携带位，卸下全量重算。</ns0:v>
      </ns0:c>
      <ns0:c r="H67" t="str" s="11">
        <ns0:v>物防上限</ns0:v>
      </ns0:c>
      <ns0:c r="I67" s="11"/>
      <ns0:c r="J67" t="str" s="20">
        <ns0:v>整数</ns0:v>
      </ns0:c>
      <ns0:c r="K67" t="n">
        <ns0:v>1</ns0:v>
      </ns0:c>
      <ns0:c r="L67" t="str" s="21">
        <ns0:v>物防上限+1</ns0:v>
      </ns0:c>
      <ns0:c r="M67" t="str" s="11">
        <ns0:v>法防上限</ns0:v>
      </ns0:c>
      <ns0:c r="N67" s="11"/>
      <ns0:c r="O67" t="str" s="21">
        <ns0:v>整数</ns0:v>
      </ns0:c>
      <ns0:c r="P67" t="n" s="11">
        <ns0:v>1</ns0:v>
      </ns0:c>
      <ns0:c r="Q67" t="str" s="21">
        <ns0:v>法防上限+1</ns0:v>
      </ns0:c>
      <ns0:c r="R67" s="11"/>
      <ns0:c r="S67" s="11"/>
      <ns0:c r="T67" s="11"/>
      <ns0:c r="U67" s="11"/>
      <ns0:c r="V67" s="11"/>
      <ns0:c r="W67" s="11"/>
      <ns0:c r="X67" s="11"/>
      <ns0:c r="Y67" s="11"/>
      <ns0:c r="Z67" s="11"/>
      <ns0:c r="AA67" s="11"/>
    </ns0:row>
    <ns0:row r="68" spans="1:27">
      <ns0:c r="A68" s="10"/>
      <ns0:c r="B68" s="11">
        <ns0:v>72185000</ns0:v>
      </ns0:c>
      <ns0:c r="C68" s="11" t="s">
        <ns0:v>576</ns0:v>
      </ns0:c>
      <ns0:c r="D68" t="str" s="11">
        <ns0:v>筑基</ns0:v>
      </ns0:c>
      <ns0:c r="E68" s="11" t="s">
        <ns0:v>578</ns0:v>
      </ns0:c>
      <ns0:c r="F68" s="11">
        <ns0:v>12185000</ns0:v>
      </ns0:c>
      <ns0:c r="G68" t="str" s="11">
        <ns0:v>【补充设计·暂定】两项常驻奇效，来源归携带位，卸下全量重算。</ns0:v>
      </ns0:c>
      <ns0:c r="H68" t="str" s="11">
        <ns0:v>物防上限</ns0:v>
      </ns0:c>
      <ns0:c r="I68" s="11"/>
      <ns0:c r="J68" t="str" s="20">
        <ns0:v>整数</ns0:v>
      </ns0:c>
      <ns0:c r="K68" t="n">
        <ns0:v>1</ns0:v>
      </ns0:c>
      <ns0:c r="L68" t="str" s="21">
        <ns0:v>物防上限+1</ns0:v>
      </ns0:c>
      <ns0:c r="M68" t="str" s="11">
        <ns0:v>法防上限</ns0:v>
      </ns0:c>
      <ns0:c r="N68" s="11"/>
      <ns0:c r="O68" t="str" s="21">
        <ns0:v>整数</ns0:v>
      </ns0:c>
      <ns0:c r="P68" t="n" s="11">
        <ns0:v>1</ns0:v>
      </ns0:c>
      <ns0:c r="Q68" t="str" s="21">
        <ns0:v>法防上限+1</ns0:v>
      </ns0:c>
      <ns0:c r="R68" s="11"/>
      <ns0:c r="S68" s="11"/>
      <ns0:c r="T68" s="11"/>
      <ns0:c r="U68" s="11"/>
      <ns0:c r="V68" s="11"/>
      <ns0:c r="W68" s="11"/>
      <ns0:c r="X68" s="11"/>
      <ns0:c r="Y68" s="11"/>
      <ns0:c r="Z68" s="11"/>
      <ns0:c r="AA68" s="11"/>
    </ns0:row>
    <ns0:row r="69" spans="1:27">
      <ns0:c r="A69" s="10"/>
      <ns0:c r="B69" s="11">
        <ns0:v>72134000</ns0:v>
      </ns0:c>
      <ns0:c r="C69" s="11" t="s">
        <ns0:v>576</ns0:v>
      </ns0:c>
      <ns0:c r="D69" t="str" s="11">
        <ns0:v>筑基</ns0:v>
      </ns0:c>
      <ns0:c r="E69" s="11" t="s">
        <ns0:v>580</ns0:v>
      </ns0:c>
      <ns0:c r="F69" s="11">
        <ns0:v>12134000</ns0:v>
      </ns0:c>
      <ns0:c r="G69" t="str" s="11">
        <ns0:v>【补充设计·暂定】两项常驻奇效，来源归携带位，卸下全量重算。</ns0:v>
      </ns0:c>
      <ns0:c r="H69" t="str" s="11">
        <ns0:v>生命值</ns0:v>
      </ns0:c>
      <ns0:c r="I69" s="11"/>
      <ns0:c r="J69" t="str" s="20">
        <ns0:v>整数</ns0:v>
      </ns0:c>
      <ns0:c r="K69" t="n">
        <ns0:v>1</ns0:v>
      </ns0:c>
      <ns0:c r="L69" t="str" s="21">
        <ns0:v>生命值+1</ns0:v>
      </ns0:c>
      <ns0:c r="M69" t="str" s="11">
        <ns0:v>每秒回血</ns0:v>
      </ns0:c>
      <ns0:c r="N69" s="11"/>
      <ns0:c r="O69" t="str" s="21">
        <ns0:v>整数</ns0:v>
      </ns0:c>
      <ns0:c r="P69" t="n" s="11">
        <ns0:v>1</ns0:v>
      </ns0:c>
      <ns0:c r="Q69" t="str" s="21">
        <ns0:v>每秒回血+1</ns0:v>
      </ns0:c>
      <ns0:c r="R69" s="11"/>
      <ns0:c r="S69" s="11"/>
      <ns0:c r="T69" s="11"/>
      <ns0:c r="U69" s="11"/>
      <ns0:c r="V69" s="11"/>
      <ns0:c r="W69" s="11"/>
      <ns0:c r="X69" s="11"/>
      <ns0:c r="Y69" s="11"/>
      <ns0:c r="Z69" s="11"/>
      <ns0:c r="AA69" s="11"/>
    </ns0:row>
    <ns0:row r="70" spans="1:27">
      <ns0:c r="A70" s="10"/>
      <ns0:c r="B70" s="11">
        <ns0:v>72165000</ns0:v>
      </ns0:c>
      <ns0:c r="C70" s="11" t="s">
        <ns0:v>576</ns0:v>
      </ns0:c>
      <ns0:c r="D70" t="str" s="11">
        <ns0:v>筑基</ns0:v>
      </ns0:c>
      <ns0:c r="E70" s="11" t="s">
        <ns0:v>582</ns0:v>
      </ns0:c>
      <ns0:c r="F70" s="11">
        <ns0:v>12165000</ns0:v>
      </ns0:c>
      <ns0:c r="G70" t="str" s="11">
        <ns0:v>【补充设计·暂定】两项常驻奇效，来源归携带位，卸下全量重算。</ns0:v>
      </ns0:c>
      <ns0:c r="H70" t="str" s="11">
        <ns0:v>神识</ns0:v>
      </ns0:c>
      <ns0:c r="I70" s="11"/>
      <ns0:c r="J70" t="str" s="20">
        <ns0:v>整数</ns0:v>
      </ns0:c>
      <ns0:c r="K70" t="n">
        <ns0:v>1</ns0:v>
      </ns0:c>
      <ns0:c r="L70" t="str" s="21">
        <ns0:v>神识+1</ns0:v>
      </ns0:c>
      <ns0:c r="M70" t="str" s="11">
        <ns0:v>免暴击率</ns0:v>
      </ns0:c>
      <ns0:c r="N70" s="11"/>
      <ns0:c r="O70" t="str" s="21">
        <ns0:v>整数</ns0:v>
      </ns0:c>
      <ns0:c r="P70" t="n" s="11">
        <ns0:v>100</ns0:v>
      </ns0:c>
      <ns0:c r="Q70" t="str" s="21">
        <ns0:v>免暴击率+100（万分比单位）</ns0:v>
      </ns0:c>
      <ns0:c r="R70" s="11"/>
      <ns0:c r="S70" s="11"/>
      <ns0:c r="T70" s="11"/>
      <ns0:c r="U70" s="11"/>
      <ns0:c r="V70" s="11"/>
      <ns0:c r="W70" s="11"/>
      <ns0:c r="X70" s="11"/>
      <ns0:c r="Y70" s="11"/>
      <ns0:c r="Z70" s="11"/>
      <ns0:c r="AA70" s="11"/>
    </ns0:row>
    <ns0:row r="71" spans="1:27">
      <ns0:c r="A71" s="10"/>
      <ns0:c r="B71" s="11">
        <ns0:v>72144000</ns0:v>
      </ns0:c>
      <ns0:c r="C71" s="11" t="s">
        <ns0:v>576</ns0:v>
      </ns0:c>
      <ns0:c r="D71" t="str" s="11">
        <ns0:v>筑基</ns0:v>
      </ns0:c>
      <ns0:c r="E71" s="11" t="s">
        <ns0:v>584</ns0:v>
      </ns0:c>
      <ns0:c r="F71" s="11">
        <ns0:v>12144000</ns0:v>
      </ns0:c>
      <ns0:c r="G71" t="str" s="11">
        <ns0:v>【补充设计·暂定】两项常驻奇效，来源归携带位，卸下全量重算。</ns0:v>
      </ns0:c>
      <ns0:c r="H71" t="str" s="11">
        <ns0:v>物防上限</ns0:v>
      </ns0:c>
      <ns0:c r="I71" s="11"/>
      <ns0:c r="J71" t="str" s="20">
        <ns0:v>整数</ns0:v>
      </ns0:c>
      <ns0:c r="K71" t="n">
        <ns0:v>1</ns0:v>
      </ns0:c>
      <ns0:c r="L71" t="str" s="21">
        <ns0:v>物防上限+1</ns0:v>
      </ns0:c>
      <ns0:c r="M71" t="str" s="11">
        <ns0:v>法防上限</ns0:v>
      </ns0:c>
      <ns0:c r="N71" s="11"/>
      <ns0:c r="O71" t="str" s="21">
        <ns0:v>整数</ns0:v>
      </ns0:c>
      <ns0:c r="P71" t="n" s="11">
        <ns0:v>1</ns0:v>
      </ns0:c>
      <ns0:c r="Q71" t="str" s="21">
        <ns0:v>法防上限+1</ns0:v>
      </ns0:c>
      <ns0:c r="R71" s="11"/>
      <ns0:c r="S71" s="11"/>
      <ns0:c r="T71" s="11"/>
      <ns0:c r="U71" s="11"/>
      <ns0:c r="V71" s="11"/>
      <ns0:c r="W71" s="11"/>
      <ns0:c r="X71" s="11"/>
      <ns0:c r="Y71" s="11"/>
      <ns0:c r="Z71" s="11"/>
      <ns0:c r="AA71" s="11"/>
    </ns0:row>
    <ns0:row r="72" spans="1:27">
      <ns0:c r="A72" s="10"/>
      <ns0:c r="B72" s="11">
        <ns0:v>72175000</ns0:v>
      </ns0:c>
      <ns0:c r="C72" s="11" t="s">
        <ns0:v>576</ns0:v>
      </ns0:c>
      <ns0:c r="D72" t="str" s="11">
        <ns0:v>筑基</ns0:v>
      </ns0:c>
      <ns0:c r="E72" s="11" t="s">
        <ns0:v>586</ns0:v>
      </ns0:c>
      <ns0:c r="F72" s="11">
        <ns0:v>12175000</ns0:v>
      </ns0:c>
      <ns0:c r="G72" t="str" s="11">
        <ns0:v>【补充设计·暂定】两项常驻奇效，来源归携带位，卸下全量重算。</ns0:v>
      </ns0:c>
      <ns0:c r="H72" t="str" s="11">
        <ns0:v>物防上限</ns0:v>
      </ns0:c>
      <ns0:c r="I72" s="11"/>
      <ns0:c r="J72" t="str" s="20">
        <ns0:v>整数</ns0:v>
      </ns0:c>
      <ns0:c r="K72" t="n">
        <ns0:v>1</ns0:v>
      </ns0:c>
      <ns0:c r="L72" t="str" s="21">
        <ns0:v>物防上限+1</ns0:v>
      </ns0:c>
      <ns0:c r="M72" t="str" s="11">
        <ns0:v>法防上限</ns0:v>
      </ns0:c>
      <ns0:c r="N72" s="11"/>
      <ns0:c r="O72" t="str" s="21">
        <ns0:v>整数</ns0:v>
      </ns0:c>
      <ns0:c r="P72" t="n" s="11">
        <ns0:v>1</ns0:v>
      </ns0:c>
      <ns0:c r="Q72" t="str" s="21">
        <ns0:v>法防上限+1</ns0:v>
      </ns0:c>
      <ns0:c r="R72" s="11"/>
      <ns0:c r="S72" s="11"/>
      <ns0:c r="T72" s="11"/>
      <ns0:c r="U72" s="11"/>
      <ns0:c r="V72" s="11"/>
      <ns0:c r="W72" s="11"/>
      <ns0:c r="X72" s="11"/>
      <ns0:c r="Y72" s="11"/>
      <ns0:c r="Z72" s="11"/>
      <ns0:c r="AA72" s="11"/>
    </ns0:row>
    <ns0:row r="73" spans="1:27">
      <ns0:c r="A73" s="10"/>
      <ns0:c r="B73" s="11">
        <ns0:v>72124001</ns0:v>
      </ns0:c>
      <ns0:c r="C73" s="11" t="s">
        <ns0:v>576</ns0:v>
      </ns0:c>
      <ns0:c r="D73" t="str" s="11">
        <ns0:v>筑基</ns0:v>
      </ns0:c>
      <ns0:c r="E73" s="11" t="s">
        <ns0:v>588</ns0:v>
      </ns0:c>
      <ns0:c r="F73" s="11">
        <ns0:v>12124001</ns0:v>
      </ns0:c>
      <ns0:c r="G73" t="str" s="11">
        <ns0:v>【补充设计·暂定】两项常驻奇效，来源归携带位，卸下全量重算。</ns0:v>
      </ns0:c>
      <ns0:c r="H73" t="str" s="11">
        <ns0:v>攻击上限</ns0:v>
      </ns0:c>
      <ns0:c r="I73" s="11"/>
      <ns0:c r="J73" t="str" s="20">
        <ns0:v>整数</ns0:v>
      </ns0:c>
      <ns0:c r="K73" t="n">
        <ns0:v>2</ns0:v>
      </ns0:c>
      <ns0:c r="L73" t="str" s="21">
        <ns0:v>攻击上限+2</ns0:v>
      </ns0:c>
      <ns0:c r="M73" t="str" s="11">
        <ns0:v>暴击率</ns0:v>
      </ns0:c>
      <ns0:c r="N73" s="11"/>
      <ns0:c r="O73" t="str" s="21">
        <ns0:v>整数</ns0:v>
      </ns0:c>
      <ns0:c r="P73" t="n" s="11">
        <ns0:v>125</ns0:v>
      </ns0:c>
      <ns0:c r="Q73" t="str" s="21">
        <ns0:v>暴击率+125（万分比单位）</ns0:v>
      </ns0:c>
      <ns0:c r="R73" s="11"/>
      <ns0:c r="S73" s="11"/>
      <ns0:c r="T73" s="11"/>
      <ns0:c r="U73" s="11"/>
      <ns0:c r="V73" s="11"/>
      <ns0:c r="W73" s="11"/>
      <ns0:c r="X73" s="11"/>
      <ns0:c r="Y73" s="11"/>
      <ns0:c r="Z73" s="11"/>
      <ns0:c r="AA73" s="11"/>
    </ns0:row>
    <ns0:row r="74" spans="1:27">
      <ns0:c r="A74" s="10"/>
      <ns0:c r="B74" s="11">
        <ns0:v>72155000</ns0:v>
      </ns0:c>
      <ns0:c r="C74" s="11" t="s">
        <ns0:v>576</ns0:v>
      </ns0:c>
      <ns0:c r="D74" t="str" s="11">
        <ns0:v>筑基</ns0:v>
      </ns0:c>
      <ns0:c r="E74" s="11" t="s">
        <ns0:v>590</ns0:v>
      </ns0:c>
      <ns0:c r="F74" s="11">
        <ns0:v>12155000</ns0:v>
      </ns0:c>
      <ns0:c r="G74" t="str" s="11">
        <ns0:v>【补充设计·暂定】两项常驻奇效，来源归携带位，卸下全量重算。</ns0:v>
      </ns0:c>
      <ns0:c r="H74" t="str" s="11">
        <ns0:v>神识</ns0:v>
      </ns0:c>
      <ns0:c r="I74" s="11"/>
      <ns0:c r="J74" t="str" s="20">
        <ns0:v>整数</ns0:v>
      </ns0:c>
      <ns0:c r="K74" t="n">
        <ns0:v>1</ns0:v>
      </ns0:c>
      <ns0:c r="L74" t="str" s="21">
        <ns0:v>神识+1</ns0:v>
      </ns0:c>
      <ns0:c r="M74" t="str" s="11">
        <ns0:v>免暴击率</ns0:v>
      </ns0:c>
      <ns0:c r="N74" s="11"/>
      <ns0:c r="O74" t="str" s="21">
        <ns0:v>整数</ns0:v>
      </ns0:c>
      <ns0:c r="P74" t="n" s="11">
        <ns0:v>100</ns0:v>
      </ns0:c>
      <ns0:c r="Q74" t="str" s="21">
        <ns0:v>免暴击率+100（万分比单位）</ns0:v>
      </ns0:c>
      <ns0:c r="R74" s="11"/>
      <ns0:c r="S74" s="11"/>
      <ns0:c r="T74" s="11"/>
      <ns0:c r="U74" s="11"/>
      <ns0:c r="V74" s="11"/>
      <ns0:c r="W74" s="11"/>
      <ns0:c r="X74" s="11"/>
      <ns0:c r="Y74" s="11"/>
      <ns0:c r="Z74" s="11"/>
      <ns0:c r="AA74" s="11"/>
    </ns0:row>
    <ns0:row r="75" spans="1:27">
      <ns0:c r="A75" s="10"/>
      <ns0:c r="B75" s="11">
        <ns0:v>72134001</ns0:v>
      </ns0:c>
      <ns0:c r="C75" s="11" t="s">
        <ns0:v>576</ns0:v>
      </ns0:c>
      <ns0:c r="D75" t="str" s="11">
        <ns0:v>筑基</ns0:v>
      </ns0:c>
      <ns0:c r="E75" s="11" t="s">
        <ns0:v>592</ns0:v>
      </ns0:c>
      <ns0:c r="F75" s="11">
        <ns0:v>12134001</ns0:v>
      </ns0:c>
      <ns0:c r="G75" t="str" s="11">
        <ns0:v>【补充设计·暂定】两项常驻奇效，来源归携带位，卸下全量重算。</ns0:v>
      </ns0:c>
      <ns0:c r="H75" t="str" s="11">
        <ns0:v>法防上限</ns0:v>
      </ns0:c>
      <ns0:c r="I75" s="11"/>
      <ns0:c r="J75" t="str" s="20">
        <ns0:v>整数</ns0:v>
      </ns0:c>
      <ns0:c r="K75" t="n">
        <ns0:v>2</ns0:v>
      </ns0:c>
      <ns0:c r="L75" t="str" s="21">
        <ns0:v>法防上限+2</ns0:v>
      </ns0:c>
      <ns0:c r="M75" t="str" s="11">
        <ns0:v>警戒范围</ns0:v>
      </ns0:c>
      <ns0:c r="N75" s="11"/>
      <ns0:c r="O75" t="str" s="21">
        <ns0:v>整数</ns0:v>
      </ns0:c>
      <ns0:c r="P75" t="n" s="11">
        <ns0:v>35</ns0:v>
      </ns0:c>
      <ns0:c r="Q75" t="str" s="21">
        <ns0:v>警戒范围+35</ns0:v>
      </ns0:c>
      <ns0:c r="R75" s="11"/>
      <ns0:c r="S75" s="11"/>
      <ns0:c r="T75" s="11"/>
      <ns0:c r="U75" s="11"/>
      <ns0:c r="V75" s="11"/>
      <ns0:c r="W75" s="11"/>
      <ns0:c r="X75" s="11"/>
      <ns0:c r="Y75" s="11"/>
      <ns0:c r="Z75" s="11"/>
      <ns0:c r="AA75" s="11"/>
    </ns0:row>
    <ns0:row r="76" spans="1:27">
      <ns0:c r="A76" s="10"/>
      <ns0:c r="B76" s="11">
        <ns0:v>72165001</ns0:v>
      </ns0:c>
      <ns0:c r="C76" s="11" t="s">
        <ns0:v>576</ns0:v>
      </ns0:c>
      <ns0:c r="D76" t="str" s="11">
        <ns0:v>筑基</ns0:v>
      </ns0:c>
      <ns0:c r="E76" s="11" t="s">
        <ns0:v>594</ns0:v>
      </ns0:c>
      <ns0:c r="F76" s="11">
        <ns0:v>12165001</ns0:v>
      </ns0:c>
      <ns0:c r="G76" t="str" s="11">
        <ns0:v>【补充设计·暂定】两项常驻奇效，来源归携带位，卸下全量重算。</ns0:v>
      </ns0:c>
      <ns0:c r="H76" t="str" s="11">
        <ns0:v>法防上限</ns0:v>
      </ns0:c>
      <ns0:c r="I76" s="11"/>
      <ns0:c r="J76" t="str" s="20">
        <ns0:v>整数</ns0:v>
      </ns0:c>
      <ns0:c r="K76" t="n">
        <ns0:v>2</ns0:v>
      </ns0:c>
      <ns0:c r="L76" t="str" s="21">
        <ns0:v>法防上限+2</ns0:v>
      </ns0:c>
      <ns0:c r="M76" t="str" s="11">
        <ns0:v>警戒范围</ns0:v>
      </ns0:c>
      <ns0:c r="N76" s="11"/>
      <ns0:c r="O76" t="str" s="21">
        <ns0:v>整数</ns0:v>
      </ns0:c>
      <ns0:c r="P76" t="n" s="11">
        <ns0:v>35</ns0:v>
      </ns0:c>
      <ns0:c r="Q76" t="str" s="21">
        <ns0:v>警戒范围+35</ns0:v>
      </ns0:c>
      <ns0:c r="R76" s="11"/>
      <ns0:c r="S76" s="11"/>
      <ns0:c r="T76" s="11"/>
      <ns0:c r="U76" s="11"/>
      <ns0:c r="V76" s="11"/>
      <ns0:c r="W76" s="11"/>
      <ns0:c r="X76" s="11"/>
      <ns0:c r="Y76" s="11"/>
      <ns0:c r="Z76" s="11"/>
      <ns0:c r="AA76" s="11"/>
    </ns0:row>
    <ns0:row r="77" spans="1:27">
      <ns0:c r="A77" s="10"/>
      <ns0:c r="B77" s="11">
        <ns0:v>72134002</ns0:v>
      </ns0:c>
      <ns0:c r="C77" s="11" t="s">
        <ns0:v>576</ns0:v>
      </ns0:c>
      <ns0:c r="D77" t="str" s="11">
        <ns0:v>筑基</ns0:v>
      </ns0:c>
      <ns0:c r="E77" s="11" t="s">
        <ns0:v>596</ns0:v>
      </ns0:c>
      <ns0:c r="F77" s="11">
        <ns0:v>12134002</ns0:v>
      </ns0:c>
      <ns0:c r="G77" t="str" s="11">
        <ns0:v>【补充设计·暂定】两项常驻奇效，来源归携带位，卸下全量重算。</ns0:v>
      </ns0:c>
      <ns0:c r="H77" t="str" s="11">
        <ns0:v>警戒范围</ns0:v>
      </ns0:c>
      <ns0:c r="I77" s="11"/>
      <ns0:c r="J77" t="str" s="20">
        <ns0:v>整数</ns0:v>
      </ns0:c>
      <ns0:c r="K77" t="n">
        <ns0:v>45</ns0:v>
      </ns0:c>
      <ns0:c r="L77" t="str" s="21">
        <ns0:v>警戒范围+45</ns0:v>
      </ns0:c>
      <ns0:c r="M77" t="str" s="11">
        <ns0:v>物防上限</ns0:v>
      </ns0:c>
      <ns0:c r="N77" s="11"/>
      <ns0:c r="O77" t="str" s="21">
        <ns0:v>整数</ns0:v>
      </ns0:c>
      <ns0:c r="P77" t="n" s="11">
        <ns0:v>3</ns0:v>
      </ns0:c>
      <ns0:c r="Q77" t="str" s="21">
        <ns0:v>物防上限+3</ns0:v>
      </ns0:c>
      <ns0:c r="R77" s="11"/>
      <ns0:c r="S77" s="11"/>
      <ns0:c r="T77" s="11"/>
      <ns0:c r="U77" s="11"/>
      <ns0:c r="V77" s="11"/>
      <ns0:c r="W77" s="11"/>
      <ns0:c r="X77" s="11"/>
      <ns0:c r="Y77" s="11"/>
      <ns0:c r="Z77" s="11"/>
      <ns0:c r="AA77" s="11"/>
    </ns0:row>
    <ns0:row r="78" spans="1:27">
      <ns0:c r="A78" s="10"/>
      <ns0:c r="B78" s="11">
        <ns0:v>72185001</ns0:v>
      </ns0:c>
      <ns0:c r="C78" s="11" t="s">
        <ns0:v>576</ns0:v>
      </ns0:c>
      <ns0:c r="D78" t="str" s="11">
        <ns0:v>筑基</ns0:v>
      </ns0:c>
      <ns0:c r="E78" s="11" t="s">
        <ns0:v>598</ns0:v>
      </ns0:c>
      <ns0:c r="F78" s="11">
        <ns0:v>12185001</ns0:v>
      </ns0:c>
      <ns0:c r="G78" t="str" s="11">
        <ns0:v>【补充设计·暂定】两项常驻奇效，来源归携带位，卸下全量重算。</ns0:v>
      </ns0:c>
      <ns0:c r="H78" t="str" s="11">
        <ns0:v>法防上限</ns0:v>
      </ns0:c>
      <ns0:c r="I78" s="11"/>
      <ns0:c r="J78" t="str" s="20">
        <ns0:v>整数</ns0:v>
      </ns0:c>
      <ns0:c r="K78" t="n">
        <ns0:v>2</ns0:v>
      </ns0:c>
      <ns0:c r="L78" t="str" s="21">
        <ns0:v>法防上限+2</ns0:v>
      </ns0:c>
      <ns0:c r="M78" t="str" s="11">
        <ns0:v>警戒范围</ns0:v>
      </ns0:c>
      <ns0:c r="N78" s="11"/>
      <ns0:c r="O78" t="str" s="21">
        <ns0:v>整数</ns0:v>
      </ns0:c>
      <ns0:c r="P78" t="n" s="11">
        <ns0:v>35</ns0:v>
      </ns0:c>
      <ns0:c r="Q78" t="str" s="21">
        <ns0:v>警戒范围+35</ns0:v>
      </ns0:c>
      <ns0:c r="R78" s="11"/>
      <ns0:c r="S78" s="11"/>
      <ns0:c r="T78" s="11"/>
      <ns0:c r="U78" s="11"/>
      <ns0:c r="V78" s="11"/>
      <ns0:c r="W78" s="11"/>
      <ns0:c r="X78" s="11"/>
      <ns0:c r="Y78" s="11"/>
      <ns0:c r="Z78" s="11"/>
      <ns0:c r="AA78" s="11"/>
    </ns0:row>
    <ns0:row r="79" spans="1:27">
      <ns0:c r="A79" s="10"/>
      <ns0:c r="B79" s="11">
        <ns0:v>70902005</ns0:v>
      </ns0:c>
      <ns0:c r="C79" s="11" t="s">
        <ns0:v>64</ns0:v>
      </ns0:c>
      <ns0:c r="D79" t="str" s="11">
        <ns0:v>筑基</ns0:v>
      </ns0:c>
      <ns0:c r="E79" s="11" t="s">
        <ns0:v>95</ns0:v>
      </ns0:c>
      <ns0:c r="F79" s="11">
        <ns0:v>10901005</ns0:v>
      </ns0:c>
      <ns0:c r="G79" t="str" s="11">
        <ns0:v>【补充设计·暂定】两项常驻奇效，来源归携带位，卸下全量重算。</ns0:v>
      </ns0:c>
      <ns0:c r="H79" t="str" s="11">
        <ns0:v>每时辰灵气吸收</ns0:v>
      </ns0:c>
      <ns0:c r="I79" s="11"/>
      <ns0:c r="J79" t="str" s="20">
        <ns0:v>整数</ns0:v>
      </ns0:c>
      <ns0:c r="K79" t="n">
        <ns0:v>1</ns0:v>
      </ns0:c>
      <ns0:c r="L79" t="str" s="21">
        <ns0:v>每时辰灵气吸收+1</ns0:v>
      </ns0:c>
      <ns0:c r="M79" t="str" s="11">
        <ns0:v>额外转化值</ns0:v>
      </ns0:c>
      <ns0:c r="N79" s="11"/>
      <ns0:c r="O79" t="str" s="21">
        <ns0:v>整数</ns0:v>
      </ns0:c>
      <ns0:c r="P79" t="n" s="11">
        <ns0:v>1</ns0:v>
      </ns0:c>
      <ns0:c r="Q79" t="str" s="21">
        <ns0:v>额外转化值+1</ns0:v>
      </ns0:c>
      <ns0:c r="R79" s="11"/>
      <ns0:c r="S79" s="11"/>
      <ns0:c r="T79" s="11"/>
      <ns0:c r="U79" s="11"/>
      <ns0:c r="V79" s="11"/>
      <ns0:c r="W79" s="11"/>
      <ns0:c r="X79" s="11"/>
      <ns0:c r="Y79" s="11"/>
      <ns0:c r="Z79" s="11"/>
      <ns0:c r="AA79" s="11"/>
    </ns0:row>
    <ns0:row r="80" spans="1:27">
      <ns0:c r="A80" s="10"/>
      <ns0:c r="B80" s="11">
        <ns0:v>70902006</ns0:v>
      </ns0:c>
      <ns0:c r="C80" s="11" t="s">
        <ns0:v>64</ns0:v>
      </ns0:c>
      <ns0:c r="D80" t="str" s="11">
        <ns0:v>筑基</ns0:v>
      </ns0:c>
      <ns0:c r="E80" s="11" t="s">
        <ns0:v>97</ns0:v>
      </ns0:c>
      <ns0:c r="F80" s="11">
        <ns0:v>10901006</ns0:v>
      </ns0:c>
      <ns0:c r="G80" t="str" s="11">
        <ns0:v>【补充设计·暂定】两项常驻奇效，来源归携带位，卸下全量重算。</ns0:v>
      </ns0:c>
      <ns0:c r="H80" t="str" s="11">
        <ns0:v>每时辰灵气吸收</ns0:v>
      </ns0:c>
      <ns0:c r="I80" s="11"/>
      <ns0:c r="J80" t="str" s="20">
        <ns0:v>整数</ns0:v>
      </ns0:c>
      <ns0:c r="K80" t="n">
        <ns0:v>1</ns0:v>
      </ns0:c>
      <ns0:c r="L80" t="str" s="21">
        <ns0:v>每时辰灵气吸收+1</ns0:v>
      </ns0:c>
      <ns0:c r="M80" t="str" s="11">
        <ns0:v>额外转化值</ns0:v>
      </ns0:c>
      <ns0:c r="N80" s="11"/>
      <ns0:c r="O80" t="str" s="21">
        <ns0:v>整数</ns0:v>
      </ns0:c>
      <ns0:c r="P80" t="n" s="11">
        <ns0:v>1</ns0:v>
      </ns0:c>
      <ns0:c r="Q80" t="str" s="21">
        <ns0:v>额外转化值+1</ns0:v>
      </ns0:c>
      <ns0:c r="R80" s="11"/>
      <ns0:c r="S80" s="11"/>
      <ns0:c r="T80" s="11"/>
      <ns0:c r="U80" s="11"/>
      <ns0:c r="V80" s="11"/>
      <ns0:c r="W80" s="11"/>
      <ns0:c r="X80" s="11"/>
      <ns0:c r="Y80" s="11"/>
      <ns0:c r="Z80" s="11"/>
      <ns0:c r="AA80" s="11"/>
    </ns0:row>
    <ns0:row r="81" spans="1:27">
      <ns0:c r="A81" s="10"/>
      <ns0:c r="B81" s="11">
        <ns0:v>70902013</ns0:v>
      </ns0:c>
      <ns0:c r="C81" s="11" t="s">
        <ns0:v>64</ns0:v>
      </ns0:c>
      <ns0:c r="D81" t="str" s="11">
        <ns0:v>筑基</ns0:v>
      </ns0:c>
      <ns0:c r="E81" s="11" t="s">
        <ns0:v>111</ns0:v>
      </ns0:c>
      <ns0:c r="F81" s="11">
        <ns0:v>10901013</ns0:v>
      </ns0:c>
      <ns0:c r="G81" t="str" s="11">
        <ns0:v>【补充设计·暂定】两项常驻奇效，来源归携带位，卸下全量重算。</ns0:v>
      </ns0:c>
      <ns0:c r="H81" t="str" s="11">
        <ns0:v>攻击上限</ns0:v>
      </ns0:c>
      <ns0:c r="I81" s="11"/>
      <ns0:c r="J81" t="str" s="20">
        <ns0:v>整数</ns0:v>
      </ns0:c>
      <ns0:c r="K81" t="n">
        <ns0:v>1</ns0:v>
      </ns0:c>
      <ns0:c r="L81" t="str" s="21">
        <ns0:v>攻击上限+1</ns0:v>
      </ns0:c>
      <ns0:c r="M81" t="str" s="11">
        <ns0:v>暴击率</ns0:v>
      </ns0:c>
      <ns0:c r="N81" s="11"/>
      <ns0:c r="O81" t="str" s="21">
        <ns0:v>整数</ns0:v>
      </ns0:c>
      <ns0:c r="P81" t="n" s="11">
        <ns0:v>105</ns0:v>
      </ns0:c>
      <ns0:c r="Q81" t="str" s="21">
        <ns0:v>暴击率+105（万分比单位）</ns0:v>
      </ns0:c>
      <ns0:c r="R81" s="11"/>
      <ns0:c r="S81" s="11"/>
      <ns0:c r="T81" s="11"/>
      <ns0:c r="U81" s="11"/>
      <ns0:c r="V81" s="11"/>
      <ns0:c r="W81" s="11"/>
      <ns0:c r="X81" s="11"/>
      <ns0:c r="Y81" s="11"/>
      <ns0:c r="Z81" s="11"/>
      <ns0:c r="AA81" s="11"/>
    </ns0:row>
    <ns0:row r="82" spans="1:27">
      <ns0:c r="A82" s="10"/>
      <ns0:c r="B82" s="11">
        <ns0:v>71002000</ns0:v>
      </ns0:c>
      <ns0:c r="C82" s="11" t="s">
        <ns0:v>64</ns0:v>
      </ns0:c>
      <ns0:c r="D82" t="str" s="11">
        <ns0:v>筑基</ns0:v>
      </ns0:c>
      <ns0:c r="E82" s="11" t="s">
        <ns0:v>63</ns0:v>
      </ns0:c>
      <ns0:c r="F82" s="11">
        <ns0:v>11021000</ns0:v>
      </ns0:c>
      <ns0:c r="G82" t="str" s="11">
        <ns0:v>【补充设计·暂定】两项常驻奇效，来源归携带位，卸下全量重算。</ns0:v>
      </ns0:c>
      <ns0:c r="H82" t="str" s="11">
        <ns0:v>每时辰灵气吸收</ns0:v>
      </ns0:c>
      <ns0:c r="I82" s="11"/>
      <ns0:c r="J82" t="str" s="20">
        <ns0:v>整数</ns0:v>
      </ns0:c>
      <ns0:c r="K82" t="n">
        <ns0:v>1</ns0:v>
      </ns0:c>
      <ns0:c r="L82" t="str" s="21">
        <ns0:v>每时辰灵气吸收+1</ns0:v>
      </ns0:c>
      <ns0:c r="M82" t="str" s="11">
        <ns0:v>基础修为增幅</ns0:v>
      </ns0:c>
      <ns0:c r="N82" s="11"/>
      <ns0:c r="O82" t="str" s="21">
        <ns0:v>整数</ns0:v>
      </ns0:c>
      <ns0:c r="P82" t="n" s="11">
        <ns0:v>60</ns0:v>
      </ns0:c>
      <ns0:c r="Q82" t="str" s="21">
        <ns0:v>基础修为增幅+60（万分比单位）</ns0:v>
      </ns0:c>
      <ns0:c r="R82" s="11"/>
      <ns0:c r="S82" s="11"/>
      <ns0:c r="T82" s="11"/>
      <ns0:c r="U82" s="11"/>
      <ns0:c r="V82" s="11"/>
      <ns0:c r="W82" s="11"/>
      <ns0:c r="X82" s="11"/>
      <ns0:c r="Y82" s="11"/>
      <ns0:c r="Z82" s="11"/>
      <ns0:c r="AA82" s="11"/>
    </ns0:row>
    <ns0:row r="83" spans="1:27">
      <ns0:c r="A83" s="10"/>
      <ns0:c r="B83" s="11">
        <ns0:v>70902028</ns0:v>
      </ns0:c>
      <ns0:c r="C83" s="11" t="s">
        <ns0:v>64</ns0:v>
      </ns0:c>
      <ns0:c r="D83" t="str" s="11">
        <ns0:v>筑基</ns0:v>
      </ns0:c>
      <ns0:c r="E83" s="11" t="s">
        <ns0:v>141</ns0:v>
      </ns0:c>
      <ns0:c r="F83" s="11">
        <ns0:v>10902028</ns0:v>
      </ns0:c>
      <ns0:c r="G83" t="str" s="11">
        <ns0:v>【补充设计·暂定】两项常驻奇效，来源归携带位，卸下全量重算。</ns0:v>
      </ns0:c>
      <ns0:c r="H83" t="str" s="11">
        <ns0:v>神识</ns0:v>
      </ns0:c>
      <ns0:c r="I83" s="11"/>
      <ns0:c r="J83" t="str" s="20">
        <ns0:v>整数</ns0:v>
      </ns0:c>
      <ns0:c r="K83" t="n">
        <ns0:v>1</ns0:v>
      </ns0:c>
      <ns0:c r="L83" t="str" s="21">
        <ns0:v>神识+1</ns0:v>
      </ns0:c>
      <ns0:c r="M83" t="str" s="11">
        <ns0:v>免暴击率</ns0:v>
      </ns0:c>
      <ns0:c r="N83" s="11"/>
      <ns0:c r="O83" t="str" s="21">
        <ns0:v>整数</ns0:v>
      </ns0:c>
      <ns0:c r="P83" t="n" s="11">
        <ns0:v>105</ns0:v>
      </ns0:c>
      <ns0:c r="Q83" t="str" s="21">
        <ns0:v>免暴击率+105（万分比单位）</ns0:v>
      </ns0:c>
      <ns0:c r="R83" s="11"/>
      <ns0:c r="S83" s="11"/>
      <ns0:c r="T83" s="11"/>
      <ns0:c r="U83" s="11"/>
      <ns0:c r="V83" s="11"/>
      <ns0:c r="W83" s="11"/>
      <ns0:c r="X83" s="11"/>
      <ns0:c r="Y83" s="11"/>
      <ns0:c r="Z83" s="11"/>
      <ns0:c r="AA83" s="11"/>
    </ns0:row>
    <ns0:row r="84" spans="1:27">
      <ns0:c r="A84" s="10"/>
      <ns0:c r="B84" s="11">
        <ns0:v>72034000</ns0:v>
      </ns0:c>
      <ns0:c r="C84" s="11" t="s">
        <ns0:v>202</ns0:v>
      </ns0:c>
      <ns0:c r="D84" t="str" s="11">
        <ns0:v>筑基</ns0:v>
      </ns0:c>
      <ns0:c r="E84" s="11" t="s">
        <ns0:v>201</ns0:v>
      </ns0:c>
      <ns0:c r="F84" s="11">
        <ns0:v>12034000</ns0:v>
      </ns0:c>
      <ns0:c r="G84" t="str" s="11">
        <ns0:v>【补充设计·暂定】两项常驻奇效，来源归携带位，卸下全量重算。</ns0:v>
      </ns0:c>
      <ns0:c r="H84" t="str" s="11">
        <ns0:v>生命值</ns0:v>
      </ns0:c>
      <ns0:c r="I84" s="11"/>
      <ns0:c r="J84" t="str" s="20">
        <ns0:v>整数</ns0:v>
      </ns0:c>
      <ns0:c r="K84" t="n">
        <ns0:v>1</ns0:v>
      </ns0:c>
      <ns0:c r="L84" t="str" s="21">
        <ns0:v>生命值+1</ns0:v>
      </ns0:c>
      <ns0:c r="M84" t="str" s="11">
        <ns0:v>每秒回血</ns0:v>
      </ns0:c>
      <ns0:c r="N84" s="11"/>
      <ns0:c r="O84" t="str" s="21">
        <ns0:v>整数</ns0:v>
      </ns0:c>
      <ns0:c r="P84" t="n" s="11">
        <ns0:v>1</ns0:v>
      </ns0:c>
      <ns0:c r="Q84" t="str" s="21">
        <ns0:v>每秒回血+1</ns0:v>
      </ns0:c>
      <ns0:c r="R84" s="11"/>
      <ns0:c r="S84" s="11"/>
      <ns0:c r="T84" s="11"/>
      <ns0:c r="U84" s="11"/>
      <ns0:c r="V84" s="11"/>
      <ns0:c r="W84" s="11"/>
      <ns0:c r="X84" s="11"/>
      <ns0:c r="Y84" s="11"/>
      <ns0:c r="Z84" s="11"/>
      <ns0:c r="AA84" s="11"/>
    </ns0:row>
    <ns0:row r="85" spans="1:27">
      <ns0:c r="A85" s="10"/>
      <ns0:c r="B85" s="11">
        <ns0:v>72065000</ns0:v>
      </ns0:c>
      <ns0:c r="C85" s="11" t="s">
        <ns0:v>202</ns0:v>
      </ns0:c>
      <ns0:c r="D85" t="str" s="11">
        <ns0:v>筑基</ns0:v>
      </ns0:c>
      <ns0:c r="E85" s="11" t="s">
        <ns0:v>205</ns0:v>
      </ns0:c>
      <ns0:c r="F85" s="11">
        <ns0:v>12065000</ns0:v>
      </ns0:c>
      <ns0:c r="G85" t="str" s="11">
        <ns0:v>【补充设计·暂定】两项常驻奇效，来源归携带位，卸下全量重算。</ns0:v>
      </ns0:c>
      <ns0:c r="H85" t="str" s="11">
        <ns0:v>神识</ns0:v>
      </ns0:c>
      <ns0:c r="I85" s="11"/>
      <ns0:c r="J85" t="str" s="20">
        <ns0:v>整数</ns0:v>
      </ns0:c>
      <ns0:c r="K85" t="n">
        <ns0:v>1</ns0:v>
      </ns0:c>
      <ns0:c r="L85" t="str" s="21">
        <ns0:v>神识+1</ns0:v>
      </ns0:c>
      <ns0:c r="M85" t="str" s="11">
        <ns0:v>转化值增幅</ns0:v>
      </ns0:c>
      <ns0:c r="N85" s="11"/>
      <ns0:c r="O85" t="str" s="21">
        <ns0:v>整数</ns0:v>
      </ns0:c>
      <ns0:c r="P85" t="n" s="11">
        <ns0:v>100</ns0:v>
      </ns0:c>
      <ns0:c r="Q85" t="str" s="21">
        <ns0:v>转化值增幅+100（万分比单位）</ns0:v>
      </ns0:c>
      <ns0:c r="R85" s="11"/>
      <ns0:c r="S85" s="11"/>
      <ns0:c r="T85" s="11"/>
      <ns0:c r="U85" s="11"/>
      <ns0:c r="V85" s="11"/>
      <ns0:c r="W85" s="11"/>
      <ns0:c r="X85" s="11"/>
      <ns0:c r="Y85" s="11"/>
      <ns0:c r="Z85" s="11"/>
      <ns0:c r="AA85" s="11"/>
    </ns0:row>
    <ns0:row r="86" spans="1:27">
      <ns0:c r="A86" s="10"/>
      <ns0:c r="B86" s="11">
        <ns0:v>72034001</ns0:v>
      </ns0:c>
      <ns0:c r="C86" s="11" t="s">
        <ns0:v>202</ns0:v>
      </ns0:c>
      <ns0:c r="D86" t="str" s="11">
        <ns0:v>筑基</ns0:v>
      </ns0:c>
      <ns0:c r="E86" s="11" t="s">
        <ns0:v>209</ns0:v>
      </ns0:c>
      <ns0:c r="F86" s="11">
        <ns0:v>12034001</ns0:v>
      </ns0:c>
      <ns0:c r="G86" t="str" s="11">
        <ns0:v>【补充设计·暂定】两项常驻奇效，来源归携带位，卸下全量重算。</ns0:v>
      </ns0:c>
      <ns0:c r="H86" t="str" s="11">
        <ns0:v>神识</ns0:v>
      </ns0:c>
      <ns0:c r="I86" s="11"/>
      <ns0:c r="J86" t="str" s="20">
        <ns0:v>整数</ns0:v>
      </ns0:c>
      <ns0:c r="K86" t="n">
        <ns0:v>2</ns0:v>
      </ns0:c>
      <ns0:c r="L86" t="str" s="21">
        <ns0:v>神识+2</ns0:v>
      </ns0:c>
      <ns0:c r="M86" t="str" s="11">
        <ns0:v>免暴击率</ns0:v>
      </ns0:c>
      <ns0:c r="N86" s="11"/>
      <ns0:c r="O86" t="str" s="21">
        <ns0:v>整数</ns0:v>
      </ns0:c>
      <ns0:c r="P86" t="n" s="11">
        <ns0:v>125</ns0:v>
      </ns0:c>
      <ns0:c r="Q86" t="str" s="21">
        <ns0:v>免暴击率+125（万分比单位）</ns0:v>
      </ns0:c>
      <ns0:c r="R86" s="11"/>
      <ns0:c r="S86" s="11"/>
      <ns0:c r="T86" s="11"/>
      <ns0:c r="U86" s="11"/>
      <ns0:c r="V86" s="11"/>
      <ns0:c r="W86" s="11"/>
      <ns0:c r="X86" s="11"/>
      <ns0:c r="Y86" s="11"/>
      <ns0:c r="Z86" s="11"/>
      <ns0:c r="AA86" s="11"/>
    </ns0:row>
    <ns0:row r="87" spans="1:27">
      <ns0:c r="A87" s="10"/>
      <ns0:c r="B87" s="11">
        <ns0:v>72055000</ns0:v>
      </ns0:c>
      <ns0:c r="C87" s="11" t="s">
        <ns0:v>202</ns0:v>
      </ns0:c>
      <ns0:c r="D87" t="str" s="11">
        <ns0:v>筑基</ns0:v>
      </ns0:c>
      <ns0:c r="E87" s="11" t="s">
        <ns0:v>211</ns0:v>
      </ns0:c>
      <ns0:c r="F87" s="11">
        <ns0:v>12055000</ns0:v>
      </ns0:c>
      <ns0:c r="G87" t="str" s="11">
        <ns0:v>【补充设计·暂定】两项常驻奇效，来源归携带位，卸下全量重算。</ns0:v>
      </ns0:c>
      <ns0:c r="H87" t="str" s="11">
        <ns0:v>命中</ns0:v>
      </ns0:c>
      <ns0:c r="I87" s="11"/>
      <ns0:c r="J87" t="str" s="20">
        <ns0:v>整数</ns0:v>
      </ns0:c>
      <ns0:c r="K87" t="n">
        <ns0:v>100</ns0:v>
      </ns0:c>
      <ns0:c r="L87" t="str" s="21">
        <ns0:v>命中+100（万分比单位）</ns0:v>
      </ns0:c>
      <ns0:c r="M87" t="str" s="11">
        <ns0:v>警戒范围</ns0:v>
      </ns0:c>
      <ns0:c r="N87" s="11"/>
      <ns0:c r="O87" t="str" s="21">
        <ns0:v>整数</ns0:v>
      </ns0:c>
      <ns0:c r="P87" t="n" s="11">
        <ns0:v>25</ns0:v>
      </ns0:c>
      <ns0:c r="Q87" t="str" s="21">
        <ns0:v>警戒范围+25</ns0:v>
      </ns0:c>
      <ns0:c r="R87" s="11"/>
      <ns0:c r="S87" s="11"/>
      <ns0:c r="T87" s="11"/>
      <ns0:c r="U87" s="11"/>
      <ns0:c r="V87" s="11"/>
      <ns0:c r="W87" s="11"/>
      <ns0:c r="X87" s="11"/>
      <ns0:c r="Y87" s="11"/>
      <ns0:c r="Z87" s="11"/>
      <ns0:c r="AA87" s="11"/>
    </ns0:row>
    <ns0:row r="88" spans="1:27">
      <ns0:c r="A88" s="10"/>
      <ns0:c r="B88" s="11">
        <ns0:v>72024000</ns0:v>
      </ns0:c>
      <ns0:c r="C88" s="11" t="s">
        <ns0:v>202</ns0:v>
      </ns0:c>
      <ns0:c r="D88" t="str" s="11">
        <ns0:v>筑基</ns0:v>
      </ns0:c>
      <ns0:c r="E88" s="11" t="s">
        <ns0:v>214</ns0:v>
      </ns0:c>
      <ns0:c r="F88" s="11">
        <ns0:v>12024000</ns0:v>
      </ns0:c>
      <ns0:c r="G88" t="str" s="11">
        <ns0:v>【补充设计·暂定】两项常驻奇效，来源归携带位，卸下全量重算。</ns0:v>
      </ns0:c>
      <ns0:c r="H88" t="str" s="11">
        <ns0:v>神识</ns0:v>
      </ns0:c>
      <ns0:c r="I88" s="11"/>
      <ns0:c r="J88" t="str" s="20">
        <ns0:v>整数</ns0:v>
      </ns0:c>
      <ns0:c r="K88" t="n">
        <ns0:v>1</ns0:v>
      </ns0:c>
      <ns0:c r="L88" t="str" s="21">
        <ns0:v>神识+1</ns0:v>
      </ns0:c>
      <ns0:c r="M88" t="str" s="11">
        <ns0:v>每秒回灵</ns0:v>
      </ns0:c>
      <ns0:c r="N88" s="11"/>
      <ns0:c r="O88" t="str" s="21">
        <ns0:v>整数</ns0:v>
      </ns0:c>
      <ns0:c r="P88" t="n" s="11">
        <ns0:v>1</ns0:v>
      </ns0:c>
      <ns0:c r="Q88" t="str" s="21">
        <ns0:v>每秒回灵+1</ns0:v>
      </ns0:c>
      <ns0:c r="R88" s="11"/>
      <ns0:c r="S88" s="11"/>
      <ns0:c r="T88" s="11"/>
      <ns0:c r="U88" s="11"/>
      <ns0:c r="V88" s="11"/>
      <ns0:c r="W88" s="11"/>
      <ns0:c r="X88" s="11"/>
      <ns0:c r="Y88" s="11"/>
      <ns0:c r="Z88" s="11"/>
      <ns0:c r="AA88" s="11"/>
    </ns0:row>
    <ns0:row r="89" spans="1:27">
      <ns0:c r="A89" s="10"/>
      <ns0:c r="B89" s="11">
        <ns0:v>72075000</ns0:v>
      </ns0:c>
      <ns0:c r="C89" s="11" t="s">
        <ns0:v>202</ns0:v>
      </ns0:c>
      <ns0:c r="D89" t="str" s="11">
        <ns0:v>筑基</ns0:v>
      </ns0:c>
      <ns0:c r="E89" s="11" t="s">
        <ns0:v>217</ns0:v>
      </ns0:c>
      <ns0:c r="F89" s="11">
        <ns0:v>12075000</ns0:v>
      </ns0:c>
      <ns0:c r="G89" t="str" s="11">
        <ns0:v>【补充设计·暂定】两项常驻奇效，来源归携带位，卸下全量重算。</ns0:v>
      </ns0:c>
      <ns0:c r="H89" t="str" s="11">
        <ns0:v>神识</ns0:v>
      </ns0:c>
      <ns0:c r="I89" s="11"/>
      <ns0:c r="J89" t="str" s="20">
        <ns0:v>整数</ns0:v>
      </ns0:c>
      <ns0:c r="K89" t="n">
        <ns0:v>1</ns0:v>
      </ns0:c>
      <ns0:c r="L89" t="str" s="21">
        <ns0:v>神识+1</ns0:v>
      </ns0:c>
      <ns0:c r="M89" t="str" s="11">
        <ns0:v>每秒回灵</ns0:v>
      </ns0:c>
      <ns0:c r="N89" s="11"/>
      <ns0:c r="O89" t="str" s="21">
        <ns0:v>整数</ns0:v>
      </ns0:c>
      <ns0:c r="P89" t="n" s="11">
        <ns0:v>1</ns0:v>
      </ns0:c>
      <ns0:c r="Q89" t="str" s="21">
        <ns0:v>每秒回灵+1</ns0:v>
      </ns0:c>
      <ns0:c r="R89" s="11"/>
      <ns0:c r="S89" s="11"/>
      <ns0:c r="T89" s="11"/>
      <ns0:c r="U89" s="11"/>
      <ns0:c r="V89" s="11"/>
      <ns0:c r="W89" s="11"/>
      <ns0:c r="X89" s="11"/>
      <ns0:c r="Y89" s="11"/>
      <ns0:c r="Z89" s="11"/>
      <ns0:c r="AA89" s="11"/>
    </ns0:row>
    <ns0:row r="90" spans="1:27">
      <ns0:c r="A90" s="10"/>
      <ns0:c r="B90" s="11">
        <ns0:v>72044000</ns0:v>
      </ns0:c>
      <ns0:c r="C90" s="11" t="s">
        <ns0:v>202</ns0:v>
      </ns0:c>
      <ns0:c r="D90" t="str" s="11">
        <ns0:v>筑基</ns0:v>
      </ns0:c>
      <ns0:c r="E90" s="11" t="s">
        <ns0:v>220</ns0:v>
      </ns0:c>
      <ns0:c r="F90" s="11">
        <ns0:v>12044000</ns0:v>
      </ns0:c>
      <ns0:c r="G90" t="str" s="11">
        <ns0:v>【补充设计·暂定】两项常驻奇效，来源归携带位，卸下全量重算。</ns0:v>
      </ns0:c>
      <ns0:c r="H90" t="str" s="11">
        <ns0:v>神识</ns0:v>
      </ns0:c>
      <ns0:c r="I90" s="11"/>
      <ns0:c r="J90" t="str" s="20">
        <ns0:v>整数</ns0:v>
      </ns0:c>
      <ns0:c r="K90" t="n">
        <ns0:v>1</ns0:v>
      </ns0:c>
      <ns0:c r="L90" t="str" s="21">
        <ns0:v>神识+1</ns0:v>
      </ns0:c>
      <ns0:c r="M90" t="str" s="11">
        <ns0:v>每秒回灵</ns0:v>
      </ns0:c>
      <ns0:c r="N90" s="11"/>
      <ns0:c r="O90" t="str" s="21">
        <ns0:v>整数</ns0:v>
      </ns0:c>
      <ns0:c r="P90" t="n" s="11">
        <ns0:v>1</ns0:v>
      </ns0:c>
      <ns0:c r="Q90" t="str" s="21">
        <ns0:v>每秒回灵+1</ns0:v>
      </ns0:c>
      <ns0:c r="R90" s="11"/>
      <ns0:c r="S90" s="11"/>
      <ns0:c r="T90" s="11"/>
      <ns0:c r="U90" s="11"/>
      <ns0:c r="V90" s="11"/>
      <ns0:c r="W90" s="11"/>
      <ns0:c r="X90" s="11"/>
      <ns0:c r="Y90" s="11"/>
      <ns0:c r="Z90" s="11"/>
      <ns0:c r="AA90" s="11"/>
    </ns0:row>
    <ns0:row r="91" spans="1:27">
      <ns0:c r="A91" s="10"/>
      <ns0:c r="B91" s="11">
        <ns0:v>72085000</ns0:v>
      </ns0:c>
      <ns0:c r="C91" s="11" t="s">
        <ns0:v>202</ns0:v>
      </ns0:c>
      <ns0:c r="D91" t="str" s="11">
        <ns0:v>筑基</ns0:v>
      </ns0:c>
      <ns0:c r="E91" s="11" t="s">
        <ns0:v>223</ns0:v>
      </ns0:c>
      <ns0:c r="F91" s="11">
        <ns0:v>12085000</ns0:v>
      </ns0:c>
      <ns0:c r="G91" t="str" s="11">
        <ns0:v>【补充设计·暂定】两项常驻奇效，来源归携带位，卸下全量重算。</ns0:v>
      </ns0:c>
      <ns0:c r="H91" t="str" s="11">
        <ns0:v>神识</ns0:v>
      </ns0:c>
      <ns0:c r="I91" s="11"/>
      <ns0:c r="J91" t="str" s="20">
        <ns0:v>整数</ns0:v>
      </ns0:c>
      <ns0:c r="K91" t="n">
        <ns0:v>1</ns0:v>
      </ns0:c>
      <ns0:c r="L91" t="str" s="21">
        <ns0:v>神识+1</ns0:v>
      </ns0:c>
      <ns0:c r="M91" t="str" s="11">
        <ns0:v>转化值增幅</ns0:v>
      </ns0:c>
      <ns0:c r="N91" s="11"/>
      <ns0:c r="O91" t="str" s="21">
        <ns0:v>整数</ns0:v>
      </ns0:c>
      <ns0:c r="P91" t="n" s="11">
        <ns0:v>100</ns0:v>
      </ns0:c>
      <ns0:c r="Q91" t="str" s="21">
        <ns0:v>转化值增幅+100（万分比单位）</ns0:v>
      </ns0:c>
      <ns0:c r="R91" s="11"/>
      <ns0:c r="S91" s="11"/>
      <ns0:c r="T91" s="11"/>
      <ns0:c r="U91" s="11"/>
      <ns0:c r="V91" s="11"/>
      <ns0:c r="W91" s="11"/>
      <ns0:c r="X91" s="11"/>
      <ns0:c r="Y91" s="11"/>
      <ns0:c r="Z91" s="11"/>
      <ns0:c r="AA91" s="11"/>
    </ns0:row>
    <ns0:row r="92" spans="1:27">
      <ns0:c r="A92" s="10"/>
      <ns0:c r="B92" s="11">
        <ns0:v>72054000</ns0:v>
      </ns0:c>
      <ns0:c r="C92" s="11" t="s">
        <ns0:v>202</ns0:v>
      </ns0:c>
      <ns0:c r="D92" t="str" s="11">
        <ns0:v>筑基</ns0:v>
      </ns0:c>
      <ns0:c r="E92" s="11" t="s">
        <ns0:v>226</ns0:v>
      </ns0:c>
      <ns0:c r="F92" s="11">
        <ns0:v>12054000</ns0:v>
      </ns0:c>
      <ns0:c r="G92" t="str" s="11">
        <ns0:v>【补充设计·暂定】两项常驻奇效，来源归携带位，卸下全量重算。</ns0:v>
      </ns0:c>
      <ns0:c r="H92" t="str" s="11">
        <ns0:v>攻击上限</ns0:v>
      </ns0:c>
      <ns0:c r="I92" s="11"/>
      <ns0:c r="J92" t="str" s="20">
        <ns0:v>整数</ns0:v>
      </ns0:c>
      <ns0:c r="K92" t="n">
        <ns0:v>1</ns0:v>
      </ns0:c>
      <ns0:c r="L92" t="str" s="21">
        <ns0:v>攻击上限+1</ns0:v>
      </ns0:c>
      <ns0:c r="M92" t="str" s="11">
        <ns0:v>暴击率</ns0:v>
      </ns0:c>
      <ns0:c r="N92" s="11"/>
      <ns0:c r="O92" t="str" s="21">
        <ns0:v>整数</ns0:v>
      </ns0:c>
      <ns0:c r="P92" t="n" s="11">
        <ns0:v>100</ns0:v>
      </ns0:c>
      <ns0:c r="Q92" t="str" s="21">
        <ns0:v>暴击率+100（万分比单位）</ns0:v>
      </ns0:c>
      <ns0:c r="R92" s="11"/>
      <ns0:c r="S92" s="11"/>
      <ns0:c r="T92" s="11"/>
      <ns0:c r="U92" s="11"/>
      <ns0:c r="V92" s="11"/>
      <ns0:c r="W92" s="11"/>
      <ns0:c r="X92" s="11"/>
      <ns0:c r="Y92" s="11"/>
      <ns0:c r="Z92" s="11"/>
      <ns0:c r="AA92" s="11"/>
    </ns0:row>
    <ns0:row r="93" spans="1:27">
      <ns0:c r="A93" s="10"/>
      <ns0:c r="B93" s="11">
        <ns0:v>72085001</ns0:v>
      </ns0:c>
      <ns0:c r="C93" s="11" t="s">
        <ns0:v>202</ns0:v>
      </ns0:c>
      <ns0:c r="D93" t="str" s="11">
        <ns0:v>筑基</ns0:v>
      </ns0:c>
      <ns0:c r="E93" s="11" t="s">
        <ns0:v>228</ns0:v>
      </ns0:c>
      <ns0:c r="F93" s="11">
        <ns0:v>12085001</ns0:v>
      </ns0:c>
      <ns0:c r="G93" t="str" s="11">
        <ns0:v>【补充设计·暂定】两项常驻奇效，来源归携带位，卸下全量重算。</ns0:v>
      </ns0:c>
      <ns0:c r="H93" t="str" s="11">
        <ns0:v>法力上限</ns0:v>
      </ns0:c>
      <ns0:c r="I93" s="11"/>
      <ns0:c r="J93" t="str" s="20">
        <ns0:v>整数</ns0:v>
      </ns0:c>
      <ns0:c r="K93" t="n">
        <ns0:v>2</ns0:v>
      </ns0:c>
      <ns0:c r="L93" t="str" s="21">
        <ns0:v>法力上限+2</ns0:v>
      </ns0:c>
      <ns0:c r="M93" t="str" s="11">
        <ns0:v>施法速度</ns0:v>
      </ns0:c>
      <ns0:c r="N93" s="11"/>
      <ns0:c r="O93" t="str" s="21">
        <ns0:v>整数</ns0:v>
      </ns0:c>
      <ns0:c r="P93" t="n" s="11">
        <ns0:v>3</ns0:v>
      </ns0:c>
      <ns0:c r="Q93" t="str" s="21">
        <ns0:v>施法速度+3</ns0:v>
      </ns0:c>
      <ns0:c r="R93" s="11"/>
      <ns0:c r="S93" s="11"/>
      <ns0:c r="T93" s="11"/>
      <ns0:c r="U93" s="11"/>
      <ns0:c r="V93" s="11"/>
      <ns0:c r="W93" s="11"/>
      <ns0:c r="X93" s="11"/>
      <ns0:c r="Y93" s="11"/>
      <ns0:c r="Z93" s="11"/>
      <ns0:c r="AA93" s="11"/>
    </ns0:row>
    <ns0:row r="94" spans="1:27">
      <ns0:c r="A94" s="10"/>
      <ns0:c r="B94" s="11">
        <ns0:v>72044001</ns0:v>
      </ns0:c>
      <ns0:c r="C94" s="11" t="s">
        <ns0:v>202</ns0:v>
      </ns0:c>
      <ns0:c r="D94" t="str" s="11">
        <ns0:v>筑基</ns0:v>
      </ns0:c>
      <ns0:c r="E94" s="11" t="s">
        <ns0:v>230</ns0:v>
      </ns0:c>
      <ns0:c r="F94" s="11">
        <ns0:v>12044001</ns0:v>
      </ns0:c>
      <ns0:c r="G94" t="str" s="11">
        <ns0:v>【补充设计·暂定】两项常驻奇效，来源归携带位，卸下全量重算。</ns0:v>
      </ns0:c>
      <ns0:c r="H94" t="str" s="11">
        <ns0:v>命中</ns0:v>
      </ns0:c>
      <ns0:c r="I94" s="11"/>
      <ns0:c r="J94" t="str" s="20">
        <ns0:v>整数</ns0:v>
      </ns0:c>
      <ns0:c r="K94" t="n">
        <ns0:v>125</ns0:v>
      </ns0:c>
      <ns0:c r="L94" t="str" s="21">
        <ns0:v>命中+125（万分比单位）</ns0:v>
      </ns0:c>
      <ns0:c r="M94" t="str" s="11">
        <ns0:v>警戒范围</ns0:v>
      </ns0:c>
      <ns0:c r="N94" s="11"/>
      <ns0:c r="O94" t="str" s="21">
        <ns0:v>整数</ns0:v>
      </ns0:c>
      <ns0:c r="P94" t="n" s="11">
        <ns0:v>35</ns0:v>
      </ns0:c>
      <ns0:c r="Q94" t="str" s="21">
        <ns0:v>警戒范围+35</ns0:v>
      </ns0:c>
      <ns0:c r="R94" s="11"/>
      <ns0:c r="S94" s="11"/>
      <ns0:c r="T94" s="11"/>
      <ns0:c r="U94" s="11"/>
      <ns0:c r="V94" s="11"/>
      <ns0:c r="W94" s="11"/>
      <ns0:c r="X94" s="11"/>
      <ns0:c r="Y94" s="11"/>
      <ns0:c r="Z94" s="11"/>
      <ns0:c r="AA94" s="11"/>
    </ns0:row>
    <ns0:row r="95" spans="1:27">
      <ns0:c r="A95" s="10"/>
      <ns0:c r="B95" s="11">
        <ns0:v>72085002</ns0:v>
      </ns0:c>
      <ns0:c r="C95" s="11" t="s">
        <ns0:v>202</ns0:v>
      </ns0:c>
      <ns0:c r="D95" t="str" s="11">
        <ns0:v>筑基</ns0:v>
      </ns0:c>
      <ns0:c r="E95" s="11" t="s">
        <ns0:v>232</ns0:v>
      </ns0:c>
      <ns0:c r="F95" s="11">
        <ns0:v>12085002</ns0:v>
      </ns0:c>
      <ns0:c r="G95" t="str" s="11">
        <ns0:v>【补充设计·暂定】两项常驻奇效，来源归携带位，卸下全量重算。</ns0:v>
      </ns0:c>
      <ns0:c r="H95" t="str" s="11">
        <ns0:v>暴击伤害加成</ns0:v>
      </ns0:c>
      <ns0:c r="I95" s="11"/>
      <ns0:c r="J95" t="str" s="20">
        <ns0:v>整数</ns0:v>
      </ns0:c>
      <ns0:c r="K95" t="n">
        <ns0:v>150</ns0:v>
      </ns0:c>
      <ns0:c r="L95" t="str" s="21">
        <ns0:v>暴击伤害加成+150（万分比单位）</ns0:v>
      </ns0:c>
      <ns0:c r="M95" t="str" s="11">
        <ns0:v>神识</ns0:v>
      </ns0:c>
      <ns0:c r="N95" s="11"/>
      <ns0:c r="O95" t="str" s="21">
        <ns0:v>整数</ns0:v>
      </ns0:c>
      <ns0:c r="P95" t="n" s="11">
        <ns0:v>3</ns0:v>
      </ns0:c>
      <ns0:c r="Q95" t="str" s="21">
        <ns0:v>神识+3</ns0:v>
      </ns0:c>
      <ns0:c r="R95" s="11"/>
      <ns0:c r="S95" s="11"/>
      <ns0:c r="T95" s="11"/>
      <ns0:c r="U95" s="11"/>
      <ns0:c r="V95" s="11"/>
      <ns0:c r="W95" s="11"/>
      <ns0:c r="X95" s="11"/>
      <ns0:c r="Y95" s="11"/>
      <ns0:c r="Z95" s="11"/>
      <ns0:c r="AA95" s="11"/>
    </ns0:row>
    <ns0:row r="96" spans="1:27">
      <ns0:c r="A96" s="10"/>
      <ns0:c r="B96" s="11">
        <ns0:v>72054001</ns0:v>
      </ns0:c>
      <ns0:c r="C96" s="11" t="s">
        <ns0:v>202</ns0:v>
      </ns0:c>
      <ns0:c r="D96" t="str" s="11">
        <ns0:v>筑基</ns0:v>
      </ns0:c>
      <ns0:c r="E96" s="11" t="s">
        <ns0:v>234</ns0:v>
      </ns0:c>
      <ns0:c r="F96" s="11">
        <ns0:v>12054001</ns0:v>
      </ns0:c>
      <ns0:c r="G96" t="str" s="11">
        <ns0:v>【补充设计·暂定】两项常驻奇效，来源归携带位，卸下全量重算。</ns0:v>
      </ns0:c>
      <ns0:c r="H96" t="str" s="11">
        <ns0:v>转化值增幅</ns0:v>
      </ns0:c>
      <ns0:c r="I96" s="11"/>
      <ns0:c r="J96" t="str" s="20">
        <ns0:v>整数</ns0:v>
      </ns0:c>
      <ns0:c r="K96" t="n">
        <ns0:v>125</ns0:v>
      </ns0:c>
      <ns0:c r="L96" t="str" s="21">
        <ns0:v>转化值增幅+125（万分比单位）</ns0:v>
      </ns0:c>
      <ns0:c r="M96" t="str" s="11">
        <ns0:v>暴击伤害加成</ns0:v>
      </ns0:c>
      <ns0:c r="N96" s="11"/>
      <ns0:c r="O96" t="str" s="21">
        <ns0:v>整数</ns0:v>
      </ns0:c>
      <ns0:c r="P96" t="n" s="11">
        <ns0:v>125</ns0:v>
      </ns0:c>
      <ns0:c r="Q96" t="str" s="21">
        <ns0:v>暴击伤害加成+125（万分比单位）</ns0:v>
      </ns0:c>
      <ns0:c r="R96" s="11"/>
      <ns0:c r="S96" s="11"/>
      <ns0:c r="T96" s="11"/>
      <ns0:c r="U96" s="11"/>
      <ns0:c r="V96" s="11"/>
      <ns0:c r="W96" s="11"/>
      <ns0:c r="X96" s="11"/>
      <ns0:c r="Y96" s="11"/>
      <ns0:c r="Z96" s="11"/>
      <ns0:c r="AA96" s="11"/>
    </ns0:row>
    <ns0:row r="97" spans="1:27">
      <ns0:c r="A97" s="10"/>
      <ns0:c r="B97" s="11">
        <ns0:v>72085003</ns0:v>
      </ns0:c>
      <ns0:c r="C97" s="11" t="s">
        <ns0:v>202</ns0:v>
      </ns0:c>
      <ns0:c r="D97" t="str" s="11">
        <ns0:v>筑基</ns0:v>
      </ns0:c>
      <ns0:c r="E97" s="11" t="s">
        <ns0:v>236</ns0:v>
      </ns0:c>
      <ns0:c r="F97" s="11">
        <ns0:v>12085003</ns0:v>
      </ns0:c>
      <ns0:c r="G97" t="str" s="11">
        <ns0:v>【补充设计·暂定】两项常驻奇效，来源归携带位，卸下全量重算。</ns0:v>
      </ns0:c>
      <ns0:c r="H97" t="str" s="11">
        <ns0:v>神识</ns0:v>
      </ns0:c>
      <ns0:c r="I97" s="11"/>
      <ns0:c r="J97" t="str" s="20">
        <ns0:v>整数</ns0:v>
      </ns0:c>
      <ns0:c r="K97" t="n">
        <ns0:v>1</ns0:v>
      </ns0:c>
      <ns0:c r="L97" t="str" s="21">
        <ns0:v>神识+1</ns0:v>
      </ns0:c>
      <ns0:c r="M97" t="str" s="11">
        <ns0:v>转化值增幅</ns0:v>
      </ns0:c>
      <ns0:c r="N97" s="11"/>
      <ns0:c r="O97" t="str" s="21">
        <ns0:v>整数</ns0:v>
      </ns0:c>
      <ns0:c r="P97" t="n" s="11">
        <ns0:v>175</ns0:v>
      </ns0:c>
      <ns0:c r="Q97" t="str" s="21">
        <ns0:v>转化值增幅+175（万分比单位）</ns0:v>
      </ns0:c>
      <ns0:c r="R97" s="11"/>
      <ns0:c r="S97" s="11"/>
      <ns0:c r="T97" s="11"/>
      <ns0:c r="U97" s="11"/>
      <ns0:c r="V97" s="11"/>
      <ns0:c r="W97" s="11"/>
      <ns0:c r="X97" s="11"/>
      <ns0:c r="Y97" s="11"/>
      <ns0:c r="Z97" s="11"/>
      <ns0:c r="AA97" s="11"/>
    </ns0:row>
  </ns0:sheetData>
  <ns0:mergeCells count="6">
    <ns0:mergeCell ref="H1:AA1"/>
    <ns0:mergeCell ref="H4:AA4"/>
    <ns0:mergeCell ref="H2:L2"/>
    <ns0:mergeCell ref="M2:Q2"/>
    <ns0:mergeCell ref="R2:V2"/>
    <ns0:mergeCell ref="W2:AA2"/>
  </ns0:mergeCells>
  <ns0:pageMargins left="0.7" right="0.7" top="0.75" bottom="0.75" header="0.3" footer="0.3"/>
  <ns0:headerFooter/>
</ns0: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F29" sqref="F29"/>
    </sheetView>
  </sheetViews>
  <sheetFormatPr defaultColWidth="9" defaultRowHeight="15" outlineLevelCol="4"/>
  <cols>
    <col min="1" max="1" width="8.57142857142857" customWidth="1"/>
    <col min="2" max="2" width="15.7142857142857" customWidth="1"/>
    <col min="3" max="3" width="12" customWidth="1"/>
    <col min="4" max="4" width="10" customWidth="1"/>
    <col min="5" max="5" width="52" customWidth="1"/>
  </cols>
  <sheetData>
    <row r="1" ht="20" customHeight="1" spans="1:5">
      <c r="A1" s="4" t="s">
        <v>0</v>
      </c>
      <c r="B1" s="5" t="s">
        <v>1439</v>
      </c>
      <c r="C1" s="5" t="s">
        <v>1468</v>
      </c>
      <c r="D1" s="5" t="s">
        <v>12</v>
      </c>
      <c r="E1" s="5"/>
    </row>
    <row r="2" ht="20" customHeight="1" spans="1:5">
      <c r="A2" s="4" t="s">
        <v>14</v>
      </c>
      <c r="B2" s="6" t="s">
        <v>17</v>
      </c>
      <c r="C2" s="6" t="s">
        <v>19</v>
      </c>
      <c r="D2" s="6" t="s">
        <v>15</v>
      </c>
      <c r="E2" s="6"/>
    </row>
    <row r="3" ht="20" customHeight="1" spans="1:5">
      <c r="A3" s="4" t="s">
        <v>22</v>
      </c>
      <c r="B3" s="7" t="s">
        <v>23</v>
      </c>
      <c r="C3" s="7" t="s">
        <v>23</v>
      </c>
      <c r="D3" s="7" t="s">
        <v>23</v>
      </c>
      <c r="E3" s="7"/>
    </row>
    <row r="4" ht="20" customHeight="1" spans="1:5">
      <c r="A4" s="4" t="s">
        <v>25</v>
      </c>
      <c r="B4" s="8" t="s">
        <v>1443</v>
      </c>
      <c r="C4" s="8" t="s">
        <v>1469</v>
      </c>
      <c r="D4" s="8" t="s">
        <v>1470</v>
      </c>
      <c r="E4" s="9" t="s">
        <v>62</v>
      </c>
    </row>
    <row r="5" spans="1:5">
      <c r="A5" s="10"/>
      <c r="B5" s="11" t="s">
        <v>64</v>
      </c>
      <c r="C5" s="11">
        <v>2</v>
      </c>
      <c r="D5" s="11">
        <v>1</v>
      </c>
      <c r="E5" s="11" t="s">
        <v>1471</v>
      </c>
    </row>
    <row r="6" spans="1:5">
      <c r="A6" s="10"/>
      <c r="B6" s="11" t="s">
        <v>239</v>
      </c>
      <c r="C6" s="11">
        <v>2</v>
      </c>
      <c r="D6" s="11">
        <v>2</v>
      </c>
      <c r="E6" s="11" t="s">
        <v>1471</v>
      </c>
    </row>
    <row r="7" spans="1:5">
      <c r="A7" s="10"/>
      <c r="B7" s="11" t="s">
        <v>491</v>
      </c>
      <c r="C7" s="11">
        <v>3</v>
      </c>
      <c r="D7" s="11">
        <v>3</v>
      </c>
      <c r="E7" s="11" t="s">
        <v>1471</v>
      </c>
    </row>
    <row r="8" spans="1:5">
      <c r="A8" s="10"/>
      <c r="B8" s="11" t="s">
        <v>144</v>
      </c>
      <c r="C8" s="11">
        <v>4</v>
      </c>
      <c r="D8" s="11">
        <v>4</v>
      </c>
      <c r="E8" s="11" t="s">
        <v>1471</v>
      </c>
    </row>
    <row r="9" spans="1:5">
      <c r="A9" s="10"/>
      <c r="B9" s="11" t="s">
        <v>601</v>
      </c>
      <c r="C9" s="11">
        <v>5</v>
      </c>
      <c r="D9" s="11">
        <v>5</v>
      </c>
      <c r="E9" s="11" t="s">
        <v>1471</v>
      </c>
    </row>
    <row r="10" spans="1:5">
      <c r="A10" s="10"/>
      <c r="B10" s="11" t="s">
        <v>724</v>
      </c>
      <c r="C10" s="11">
        <v>6</v>
      </c>
      <c r="D10" s="11">
        <v>6</v>
      </c>
      <c r="E10" s="11" t="s">
        <v>1471</v>
      </c>
    </row>
    <row r="11" spans="1:5">
      <c r="A11" s="10"/>
      <c r="B11" s="11" t="s">
        <v>576</v>
      </c>
      <c r="C11" s="11">
        <v>7</v>
      </c>
      <c r="D11" s="11">
        <v>7</v>
      </c>
      <c r="E11" s="11" t="s">
        <v>1471</v>
      </c>
    </row>
    <row r="12" spans="1:5">
      <c r="A12" s="10"/>
      <c r="B12" s="11" t="s">
        <v>202</v>
      </c>
      <c r="C12" s="11">
        <v>8</v>
      </c>
      <c r="D12" s="11">
        <v>8</v>
      </c>
      <c r="E12" s="11" t="s">
        <v>1471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"/>
  <sheetViews>
    <sheetView workbookViewId="0">
      <selection activeCell="A1" sqref="A1"/>
    </sheetView>
  </sheetViews>
  <sheetFormatPr defaultColWidth="9" defaultRowHeight="15" outlineLevelCol="4"/>
  <cols>
    <col min="1" max="1" width="44" customWidth="1"/>
    <col min="2" max="2" width="16" customWidth="1"/>
    <col min="3" max="3" width="28" customWidth="1"/>
    <col min="4" max="4" width="58" customWidth="1"/>
    <col min="5" max="5" width="18" customWidth="1"/>
  </cols>
  <sheetData>
    <row r="1" spans="1:5">
      <c r="A1" s="1" t="s">
        <v>1472</v>
      </c>
      <c r="B1" s="1" t="s">
        <v>23</v>
      </c>
      <c r="C1" s="1" t="s">
        <v>23</v>
      </c>
      <c r="D1" s="1" t="s">
        <v>23</v>
      </c>
      <c r="E1" s="1" t="s">
        <v>23</v>
      </c>
    </row>
    <row r="2" spans="1:5">
      <c r="A2" s="1" t="s">
        <v>1473</v>
      </c>
      <c r="B2" s="1" t="s">
        <v>23</v>
      </c>
      <c r="C2" s="1" t="s">
        <v>23</v>
      </c>
      <c r="D2" s="1" t="s">
        <v>23</v>
      </c>
      <c r="E2" s="1" t="s">
        <v>23</v>
      </c>
    </row>
    <row r="3" spans="1:5">
      <c r="A3" s="2" t="s">
        <v>23</v>
      </c>
      <c r="B3" s="2" t="s">
        <v>23</v>
      </c>
      <c r="C3" s="2" t="s">
        <v>23</v>
      </c>
      <c r="D3" s="2" t="s">
        <v>23</v>
      </c>
      <c r="E3" s="2" t="s">
        <v>23</v>
      </c>
    </row>
    <row r="4" spans="1:5">
      <c r="A4" s="2" t="s">
        <v>1474</v>
      </c>
      <c r="B4" s="2" t="s">
        <v>1475</v>
      </c>
      <c r="C4" s="2" t="s">
        <v>1476</v>
      </c>
      <c r="D4" s="2" t="s">
        <v>1477</v>
      </c>
      <c r="E4" s="2" t="s">
        <v>23</v>
      </c>
    </row>
    <row r="5" spans="1:5">
      <c r="A5" s="2" t="s">
        <v>1478</v>
      </c>
      <c r="B5" s="2" t="s">
        <v>1479</v>
      </c>
      <c r="C5" s="2" t="s">
        <v>1480</v>
      </c>
      <c r="D5" s="2" t="s">
        <v>1481</v>
      </c>
      <c r="E5" s="2" t="s">
        <v>23</v>
      </c>
    </row>
    <row r="6" spans="1:5">
      <c r="A6" s="2" t="s">
        <v>1482</v>
      </c>
      <c r="B6" s="2" t="s">
        <v>1483</v>
      </c>
      <c r="C6" s="2" t="s">
        <v>1484</v>
      </c>
      <c r="D6" s="2" t="s">
        <v>1485</v>
      </c>
      <c r="E6" s="2" t="s">
        <v>23</v>
      </c>
    </row>
    <row r="7" spans="1:5">
      <c r="A7" s="2" t="s">
        <v>1486</v>
      </c>
      <c r="B7" s="2" t="s">
        <v>1487</v>
      </c>
      <c r="C7" s="2" t="s">
        <v>1488</v>
      </c>
      <c r="D7" s="2" t="s">
        <v>1489</v>
      </c>
      <c r="E7" s="2" t="s">
        <v>23</v>
      </c>
    </row>
    <row r="8" spans="1:5">
      <c r="A8" s="2" t="s">
        <v>23</v>
      </c>
      <c r="B8" s="2" t="s">
        <v>23</v>
      </c>
      <c r="C8" s="2" t="s">
        <v>23</v>
      </c>
      <c r="D8" s="2" t="s">
        <v>23</v>
      </c>
      <c r="E8" s="2" t="s">
        <v>23</v>
      </c>
    </row>
    <row r="9" spans="1:5">
      <c r="A9" s="1" t="s">
        <v>1490</v>
      </c>
      <c r="B9" s="1" t="s">
        <v>23</v>
      </c>
      <c r="C9" s="1" t="s">
        <v>23</v>
      </c>
      <c r="D9" s="1" t="s">
        <v>23</v>
      </c>
      <c r="E9" s="1" t="s">
        <v>23</v>
      </c>
    </row>
    <row r="10" spans="1:5">
      <c r="A10" s="1" t="s">
        <v>1491</v>
      </c>
      <c r="B10" s="1" t="s">
        <v>1492</v>
      </c>
      <c r="C10" s="1" t="s">
        <v>1493</v>
      </c>
      <c r="D10" s="1" t="s">
        <v>1494</v>
      </c>
      <c r="E10" s="1" t="s">
        <v>23</v>
      </c>
    </row>
    <row r="11" ht="25.5" spans="1:5">
      <c r="A11" s="2" t="s">
        <v>1495</v>
      </c>
      <c r="B11" s="2" t="s">
        <v>1496</v>
      </c>
      <c r="C11" s="2" t="s">
        <v>1497</v>
      </c>
      <c r="D11" s="2" t="s">
        <v>1498</v>
      </c>
      <c r="E11" s="2" t="s">
        <v>23</v>
      </c>
    </row>
    <row r="12" spans="1:5">
      <c r="A12" s="2" t="s">
        <v>1499</v>
      </c>
      <c r="B12" s="2" t="s">
        <v>1500</v>
      </c>
      <c r="C12" s="2" t="s">
        <v>1501</v>
      </c>
      <c r="D12" s="2" t="s">
        <v>1502</v>
      </c>
      <c r="E12" s="2" t="s">
        <v>23</v>
      </c>
    </row>
    <row r="13" ht="25.5" spans="1:5">
      <c r="A13" s="2" t="s">
        <v>23</v>
      </c>
      <c r="B13" s="2" t="s">
        <v>23</v>
      </c>
      <c r="C13" s="2" t="s">
        <v>23</v>
      </c>
      <c r="D13" s="2" t="s">
        <v>1503</v>
      </c>
      <c r="E13" s="2" t="s">
        <v>23</v>
      </c>
    </row>
    <row r="14" spans="1:5">
      <c r="A14" s="2" t="s">
        <v>23</v>
      </c>
      <c r="B14" s="2" t="s">
        <v>23</v>
      </c>
      <c r="C14" s="2" t="s">
        <v>23</v>
      </c>
      <c r="D14" s="2" t="s">
        <v>23</v>
      </c>
      <c r="E14" s="2" t="s">
        <v>23</v>
      </c>
    </row>
    <row r="15" spans="1:5">
      <c r="A15" s="1" t="s">
        <v>1504</v>
      </c>
      <c r="B15" s="1" t="s">
        <v>23</v>
      </c>
      <c r="C15" s="1" t="s">
        <v>23</v>
      </c>
      <c r="D15" s="1" t="s">
        <v>23</v>
      </c>
      <c r="E15" s="1" t="s">
        <v>23</v>
      </c>
    </row>
    <row r="16" spans="1:5">
      <c r="A16" s="1" t="s">
        <v>1505</v>
      </c>
      <c r="B16" s="1" t="s">
        <v>1506</v>
      </c>
      <c r="C16" s="1" t="s">
        <v>1507</v>
      </c>
      <c r="D16" s="1" t="s">
        <v>1508</v>
      </c>
      <c r="E16" s="1" t="s">
        <v>1509</v>
      </c>
    </row>
    <row r="17" spans="1:5">
      <c r="A17" s="2" t="s">
        <v>144</v>
      </c>
      <c r="B17" s="2">
        <v>1</v>
      </c>
      <c r="C17" s="2" t="s">
        <v>1510</v>
      </c>
      <c r="D17" s="2" t="s">
        <v>1511</v>
      </c>
      <c r="E17" s="2" t="s">
        <v>1512</v>
      </c>
    </row>
    <row r="18" ht="24" spans="1:5">
      <c r="A18" s="2" t="s">
        <v>601</v>
      </c>
      <c r="B18" s="2">
        <v>2</v>
      </c>
      <c r="C18" s="2" t="s">
        <v>1513</v>
      </c>
      <c r="D18" s="2" t="s">
        <v>1514</v>
      </c>
      <c r="E18" s="2" t="s">
        <v>1515</v>
      </c>
    </row>
    <row r="19" ht="24" spans="1:5">
      <c r="A19" s="2" t="s">
        <v>239</v>
      </c>
      <c r="B19" s="2">
        <v>3</v>
      </c>
      <c r="C19" s="2" t="s">
        <v>1516</v>
      </c>
      <c r="D19" s="2" t="s">
        <v>1517</v>
      </c>
      <c r="E19" s="2" t="s">
        <v>1518</v>
      </c>
    </row>
    <row r="20" ht="36" spans="1:5">
      <c r="A20" s="2" t="s">
        <v>724</v>
      </c>
      <c r="B20" s="2">
        <v>4</v>
      </c>
      <c r="C20" s="2" t="s">
        <v>1519</v>
      </c>
      <c r="D20" s="2" t="s">
        <v>1520</v>
      </c>
      <c r="E20" s="2" t="s">
        <v>1521</v>
      </c>
    </row>
    <row r="21" spans="1:5">
      <c r="A21" s="2" t="s">
        <v>491</v>
      </c>
      <c r="B21" s="2">
        <v>5</v>
      </c>
      <c r="C21" s="2" t="s">
        <v>1522</v>
      </c>
      <c r="D21" s="2" t="s">
        <v>1523</v>
      </c>
      <c r="E21" s="2" t="s">
        <v>1524</v>
      </c>
    </row>
    <row r="22" ht="24" spans="1:5">
      <c r="A22" s="2" t="s">
        <v>576</v>
      </c>
      <c r="B22" s="2">
        <v>6</v>
      </c>
      <c r="C22" s="2" t="s">
        <v>1525</v>
      </c>
      <c r="D22" s="2" t="s">
        <v>1526</v>
      </c>
      <c r="E22" s="2" t="s">
        <v>1527</v>
      </c>
    </row>
    <row r="23" ht="24" spans="1:5">
      <c r="A23" s="2" t="s">
        <v>64</v>
      </c>
      <c r="B23" s="2">
        <v>7</v>
      </c>
      <c r="C23" s="2" t="s">
        <v>1528</v>
      </c>
      <c r="D23" s="2" t="s">
        <v>1529</v>
      </c>
      <c r="E23" s="2" t="s">
        <v>1530</v>
      </c>
    </row>
    <row r="24" ht="36" spans="1:5">
      <c r="A24" s="2" t="s">
        <v>202</v>
      </c>
      <c r="B24" s="2">
        <v>8</v>
      </c>
      <c r="C24" s="2" t="s">
        <v>1531</v>
      </c>
      <c r="D24" s="2" t="s">
        <v>1532</v>
      </c>
      <c r="E24" s="2" t="s">
        <v>1533</v>
      </c>
    </row>
    <row r="25" spans="1:5">
      <c r="A25" s="2" t="s">
        <v>23</v>
      </c>
      <c r="B25" s="2" t="s">
        <v>23</v>
      </c>
      <c r="C25" s="2" t="s">
        <v>23</v>
      </c>
      <c r="D25" s="2" t="s">
        <v>23</v>
      </c>
      <c r="E25" s="2" t="s">
        <v>23</v>
      </c>
    </row>
    <row r="26" spans="1:5">
      <c r="A26" s="2" t="s">
        <v>1534</v>
      </c>
      <c r="B26" s="2" t="s">
        <v>23</v>
      </c>
      <c r="C26" s="2" t="s">
        <v>23</v>
      </c>
      <c r="D26" s="2" t="s">
        <v>23</v>
      </c>
      <c r="E26" s="2" t="s">
        <v>23</v>
      </c>
    </row>
    <row r="27" spans="1:5">
      <c r="A27" s="2" t="s">
        <v>23</v>
      </c>
      <c r="B27" s="2" t="s">
        <v>23</v>
      </c>
      <c r="C27" s="2" t="s">
        <v>23</v>
      </c>
      <c r="D27" s="2" t="s">
        <v>23</v>
      </c>
      <c r="E27" s="2" t="s">
        <v>23</v>
      </c>
    </row>
    <row r="28" spans="1:5">
      <c r="A28" s="1" t="s">
        <v>1535</v>
      </c>
      <c r="B28" s="1" t="s">
        <v>23</v>
      </c>
      <c r="C28" s="1" t="s">
        <v>23</v>
      </c>
      <c r="D28" s="1" t="s">
        <v>23</v>
      </c>
      <c r="E28" s="1" t="s">
        <v>23</v>
      </c>
    </row>
    <row r="29" spans="1:5">
      <c r="A29" s="1" t="s">
        <v>1505</v>
      </c>
      <c r="B29" s="1" t="s">
        <v>1506</v>
      </c>
      <c r="C29" s="1" t="s">
        <v>1536</v>
      </c>
      <c r="D29" s="1" t="s">
        <v>1537</v>
      </c>
      <c r="E29" s="1" t="s">
        <v>23</v>
      </c>
    </row>
    <row r="30" ht="25.5" spans="1:5">
      <c r="A30" s="2" t="s">
        <v>240</v>
      </c>
      <c r="B30" s="2">
        <v>1</v>
      </c>
      <c r="C30" s="2" t="s">
        <v>1538</v>
      </c>
      <c r="D30" s="2" t="s">
        <v>1539</v>
      </c>
      <c r="E30" s="2" t="s">
        <v>23</v>
      </c>
    </row>
    <row r="31" spans="1:5">
      <c r="A31" s="2" t="s">
        <v>65</v>
      </c>
      <c r="B31" s="2">
        <v>2</v>
      </c>
      <c r="C31" s="2" t="s">
        <v>1540</v>
      </c>
      <c r="D31" s="2" t="s">
        <v>23</v>
      </c>
      <c r="E31" s="2" t="s">
        <v>23</v>
      </c>
    </row>
    <row r="32" spans="1:5">
      <c r="A32" s="2" t="s">
        <v>1541</v>
      </c>
      <c r="B32" s="2">
        <v>3</v>
      </c>
      <c r="C32" s="2" t="s">
        <v>1542</v>
      </c>
      <c r="D32" s="2" t="s">
        <v>23</v>
      </c>
      <c r="E32" s="2" t="s">
        <v>23</v>
      </c>
    </row>
    <row r="33" spans="1:5">
      <c r="A33" s="2" t="s">
        <v>145</v>
      </c>
      <c r="B33" s="2">
        <v>4</v>
      </c>
      <c r="C33" s="2" t="s">
        <v>1543</v>
      </c>
      <c r="D33" s="2" t="s">
        <v>23</v>
      </c>
      <c r="E33" s="2" t="s">
        <v>23</v>
      </c>
    </row>
    <row r="34" spans="1:5">
      <c r="A34" s="2" t="s">
        <v>206</v>
      </c>
      <c r="B34" s="2">
        <v>5</v>
      </c>
      <c r="C34" s="2" t="s">
        <v>1544</v>
      </c>
      <c r="D34" s="2" t="s">
        <v>23</v>
      </c>
      <c r="E34" s="2" t="s">
        <v>23</v>
      </c>
    </row>
    <row r="35" spans="1:5">
      <c r="A35" s="2" t="s">
        <v>1545</v>
      </c>
      <c r="B35" s="2">
        <v>6</v>
      </c>
      <c r="C35" s="2" t="s">
        <v>1546</v>
      </c>
      <c r="D35" s="2" t="s">
        <v>23</v>
      </c>
      <c r="E35" s="2" t="s">
        <v>23</v>
      </c>
    </row>
    <row r="36" spans="1:5">
      <c r="A36" s="2" t="s">
        <v>23</v>
      </c>
      <c r="B36" s="2" t="s">
        <v>23</v>
      </c>
      <c r="C36" s="2" t="s">
        <v>23</v>
      </c>
      <c r="D36" s="2" t="s">
        <v>23</v>
      </c>
      <c r="E36" s="2" t="s">
        <v>23</v>
      </c>
    </row>
    <row r="37" spans="1:5">
      <c r="A37" s="1" t="s">
        <v>1547</v>
      </c>
      <c r="B37" s="1" t="s">
        <v>23</v>
      </c>
      <c r="C37" s="1" t="s">
        <v>23</v>
      </c>
      <c r="D37" s="1" t="s">
        <v>23</v>
      </c>
      <c r="E37" s="1" t="s">
        <v>23</v>
      </c>
    </row>
    <row r="38" ht="25.5" spans="1:5">
      <c r="A38" s="2" t="s">
        <v>1548</v>
      </c>
      <c r="B38" s="2" t="s">
        <v>23</v>
      </c>
      <c r="C38" s="2" t="s">
        <v>23</v>
      </c>
      <c r="D38" s="2" t="s">
        <v>23</v>
      </c>
      <c r="E38" s="2" t="s">
        <v>23</v>
      </c>
    </row>
    <row r="39" spans="1:5">
      <c r="A39" s="2" t="s">
        <v>23</v>
      </c>
      <c r="B39" s="2" t="s">
        <v>23</v>
      </c>
      <c r="C39" s="2" t="s">
        <v>23</v>
      </c>
      <c r="D39" s="2" t="s">
        <v>23</v>
      </c>
      <c r="E39" s="2" t="s">
        <v>23</v>
      </c>
    </row>
    <row r="40" spans="1:5">
      <c r="A40" s="1" t="s">
        <v>1549</v>
      </c>
      <c r="B40" s="1" t="s">
        <v>23</v>
      </c>
      <c r="C40" s="1" t="s">
        <v>23</v>
      </c>
      <c r="D40" s="1" t="s">
        <v>23</v>
      </c>
      <c r="E40" s="1" t="s">
        <v>23</v>
      </c>
    </row>
    <row r="41" spans="1:5">
      <c r="A41" s="2" t="s">
        <v>1550</v>
      </c>
      <c r="B41" s="2" t="s">
        <v>23</v>
      </c>
      <c r="C41" s="2" t="s">
        <v>23</v>
      </c>
      <c r="D41" s="2" t="s">
        <v>23</v>
      </c>
      <c r="E41" s="2" t="s">
        <v>23</v>
      </c>
    </row>
    <row r="42" ht="36.75" spans="1:5">
      <c r="A42" s="2" t="s">
        <v>1551</v>
      </c>
      <c r="B42" s="2" t="s">
        <v>23</v>
      </c>
      <c r="C42" s="2" t="s">
        <v>23</v>
      </c>
      <c r="D42" s="2" t="s">
        <v>23</v>
      </c>
      <c r="E42" s="2" t="s">
        <v>23</v>
      </c>
    </row>
    <row r="43" spans="1:5">
      <c r="A43" s="2" t="s">
        <v>23</v>
      </c>
      <c r="B43" s="2" t="s">
        <v>23</v>
      </c>
      <c r="C43" s="2" t="s">
        <v>23</v>
      </c>
      <c r="D43" s="2" t="s">
        <v>23</v>
      </c>
      <c r="E43" s="2" t="s">
        <v>23</v>
      </c>
    </row>
    <row r="44" spans="1:5">
      <c r="A44" s="1" t="s">
        <v>1552</v>
      </c>
      <c r="B44" s="1" t="s">
        <v>23</v>
      </c>
      <c r="C44" s="1" t="s">
        <v>23</v>
      </c>
      <c r="D44" s="1" t="s">
        <v>23</v>
      </c>
      <c r="E44" s="1" t="s">
        <v>23</v>
      </c>
    </row>
    <row r="45" ht="25.5" spans="1:5">
      <c r="A45" s="2" t="s">
        <v>1553</v>
      </c>
      <c r="B45" s="2" t="s">
        <v>23</v>
      </c>
      <c r="C45" s="2" t="s">
        <v>23</v>
      </c>
      <c r="D45" s="2" t="s">
        <v>23</v>
      </c>
      <c r="E45" s="2" t="s">
        <v>23</v>
      </c>
    </row>
    <row r="46" ht="50.25" spans="1:5">
      <c r="A46" s="2" t="s">
        <v>1554</v>
      </c>
      <c r="B46" s="2" t="s">
        <v>23</v>
      </c>
      <c r="C46" s="2" t="s">
        <v>23</v>
      </c>
      <c r="D46" s="2" t="s">
        <v>23</v>
      </c>
      <c r="E46" s="2" t="s">
        <v>23</v>
      </c>
    </row>
    <row r="47" spans="1:5">
      <c r="A47" s="1" t="s">
        <v>1491</v>
      </c>
      <c r="B47" s="1" t="s">
        <v>1492</v>
      </c>
      <c r="C47" s="1" t="s">
        <v>1493</v>
      </c>
      <c r="D47" s="1" t="s">
        <v>1555</v>
      </c>
      <c r="E47" s="1" t="s">
        <v>23</v>
      </c>
    </row>
    <row r="48" spans="1:5">
      <c r="A48" s="2" t="s">
        <v>1556</v>
      </c>
      <c r="B48" s="2" t="s">
        <v>1557</v>
      </c>
      <c r="C48" s="2" t="s">
        <v>1558</v>
      </c>
      <c r="D48" s="2" t="s">
        <v>23</v>
      </c>
      <c r="E48" s="2" t="s">
        <v>23</v>
      </c>
    </row>
    <row r="49" spans="1:5">
      <c r="A49" s="2" t="s">
        <v>1559</v>
      </c>
      <c r="B49" s="2" t="s">
        <v>1560</v>
      </c>
      <c r="C49" s="2" t="s">
        <v>1561</v>
      </c>
      <c r="D49" s="2" t="s">
        <v>23</v>
      </c>
      <c r="E49" s="2" t="s">
        <v>23</v>
      </c>
    </row>
    <row r="50" spans="1:5">
      <c r="A50" s="2" t="s">
        <v>1562</v>
      </c>
      <c r="B50" s="2" t="s">
        <v>1563</v>
      </c>
      <c r="C50" s="2" t="s">
        <v>1564</v>
      </c>
      <c r="D50" s="2" t="s">
        <v>1565</v>
      </c>
      <c r="E50" s="2" t="s">
        <v>23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6"/>
  <sheetViews>
    <sheetView workbookViewId="0">
      <selection activeCell="A1" sqref="A1"/>
    </sheetView>
  </sheetViews>
  <sheetFormatPr defaultColWidth="9" defaultRowHeight="15" outlineLevelCol="1"/>
  <cols>
    <col min="1" max="1" width="42" customWidth="1"/>
    <col min="2" max="2" width="116" customWidth="1"/>
  </cols>
  <sheetData>
    <row r="1" ht="25.5" spans="1:2">
      <c r="A1" s="1" t="s">
        <v>1566</v>
      </c>
      <c r="B1" s="1" t="s">
        <v>23</v>
      </c>
    </row>
    <row r="2" spans="1:2">
      <c r="A2" s="2" t="s">
        <v>23</v>
      </c>
      <c r="B2" s="2" t="s">
        <v>23</v>
      </c>
    </row>
    <row r="3" spans="1:2">
      <c r="A3" s="2" t="s">
        <v>1567</v>
      </c>
      <c r="B3" s="2" t="s">
        <v>1568</v>
      </c>
    </row>
    <row r="4" spans="1:2">
      <c r="A4" s="2" t="s">
        <v>1569</v>
      </c>
      <c r="B4" s="2" t="s">
        <v>1570</v>
      </c>
    </row>
    <row r="5" spans="1:2">
      <c r="A5" s="2" t="s">
        <v>23</v>
      </c>
      <c r="B5" s="2" t="s">
        <v>23</v>
      </c>
    </row>
    <row r="6" spans="1:2">
      <c r="A6" s="1" t="s">
        <v>1571</v>
      </c>
      <c r="B6" s="1" t="s">
        <v>23</v>
      </c>
    </row>
    <row r="7" spans="1:2">
      <c r="A7" s="2" t="s">
        <v>23</v>
      </c>
      <c r="B7" s="2" t="s">
        <v>1572</v>
      </c>
    </row>
    <row r="8" spans="1:2">
      <c r="A8" s="2" t="s">
        <v>23</v>
      </c>
      <c r="B8" s="2" t="s">
        <v>1573</v>
      </c>
    </row>
    <row r="9" spans="1:2">
      <c r="A9" s="2" t="s">
        <v>23</v>
      </c>
      <c r="B9" s="2" t="s">
        <v>23</v>
      </c>
    </row>
    <row r="10" spans="1:2">
      <c r="A10" s="1" t="s">
        <v>1574</v>
      </c>
      <c r="B10" s="1" t="s">
        <v>1575</v>
      </c>
    </row>
    <row r="11" spans="1:2">
      <c r="A11" s="2" t="s">
        <v>0</v>
      </c>
      <c r="B11" s="2" t="s">
        <v>1576</v>
      </c>
    </row>
    <row r="12" spans="1:2">
      <c r="A12" s="2" t="s">
        <v>14</v>
      </c>
      <c r="B12" s="2" t="s">
        <v>1577</v>
      </c>
    </row>
    <row r="13" spans="1:2">
      <c r="A13" s="2" t="s">
        <v>22</v>
      </c>
      <c r="B13" s="2" t="s">
        <v>1578</v>
      </c>
    </row>
    <row r="14" spans="1:2">
      <c r="A14" s="2" t="s">
        <v>25</v>
      </c>
      <c r="B14" s="2" t="s">
        <v>1579</v>
      </c>
    </row>
    <row r="15" spans="1:2">
      <c r="A15" s="2" t="s">
        <v>1580</v>
      </c>
      <c r="B15" s="2" t="s">
        <v>1581</v>
      </c>
    </row>
    <row r="16" spans="1:2">
      <c r="A16" s="2" t="s">
        <v>23</v>
      </c>
      <c r="B16" s="2" t="s">
        <v>23</v>
      </c>
    </row>
    <row r="17" spans="1:2">
      <c r="A17" s="1" t="s">
        <v>1582</v>
      </c>
      <c r="B17" s="1" t="s">
        <v>23</v>
      </c>
    </row>
    <row r="18" spans="1:2">
      <c r="A18" s="2" t="s">
        <v>23</v>
      </c>
      <c r="B18" s="2" t="s">
        <v>1583</v>
      </c>
    </row>
    <row r="19" spans="1:2">
      <c r="A19" s="2" t="s">
        <v>23</v>
      </c>
      <c r="B19" s="2" t="s">
        <v>1584</v>
      </c>
    </row>
    <row r="20" spans="1:2">
      <c r="A20" s="2" t="s">
        <v>23</v>
      </c>
      <c r="B20" s="2" t="s">
        <v>1585</v>
      </c>
    </row>
    <row r="21" spans="1:2">
      <c r="A21" s="2" t="s">
        <v>23</v>
      </c>
      <c r="B21" s="2" t="s">
        <v>23</v>
      </c>
    </row>
    <row r="22" spans="1:2">
      <c r="A22" s="1" t="s">
        <v>1586</v>
      </c>
      <c r="B22" s="1" t="s">
        <v>23</v>
      </c>
    </row>
    <row r="23" spans="1:2">
      <c r="A23" s="2" t="s">
        <v>1587</v>
      </c>
      <c r="B23" s="2" t="s">
        <v>1588</v>
      </c>
    </row>
    <row r="24" spans="1:2">
      <c r="A24" s="2" t="s">
        <v>1589</v>
      </c>
      <c r="B24" s="2" t="s">
        <v>1590</v>
      </c>
    </row>
    <row r="25" spans="1:2">
      <c r="A25" s="2" t="s">
        <v>1591</v>
      </c>
      <c r="B25" s="2" t="s">
        <v>1592</v>
      </c>
    </row>
    <row r="26" spans="1:2">
      <c r="A26" s="2" t="s">
        <v>1593</v>
      </c>
      <c r="B26" s="2" t="s">
        <v>1594</v>
      </c>
    </row>
    <row r="27" spans="1:2">
      <c r="A27" s="2" t="s">
        <v>23</v>
      </c>
      <c r="B27" s="2" t="s">
        <v>23</v>
      </c>
    </row>
    <row r="28" spans="1:2">
      <c r="A28" s="1" t="s">
        <v>1595</v>
      </c>
      <c r="B28" s="1" t="s">
        <v>1596</v>
      </c>
    </row>
    <row r="29" spans="1:2">
      <c r="A29" s="2" t="s">
        <v>1597</v>
      </c>
      <c r="B29" s="2" t="s">
        <v>1598</v>
      </c>
    </row>
    <row r="30" spans="1:2">
      <c r="A30" s="2" t="s">
        <v>1599</v>
      </c>
      <c r="B30" s="2" t="s">
        <v>1600</v>
      </c>
    </row>
    <row r="31" spans="1:2">
      <c r="A31" s="2" t="s">
        <v>23</v>
      </c>
      <c r="B31" s="2" t="s">
        <v>1601</v>
      </c>
    </row>
    <row r="32" spans="1:2">
      <c r="A32" s="2" t="s">
        <v>23</v>
      </c>
      <c r="B32" s="2" t="s">
        <v>1602</v>
      </c>
    </row>
    <row r="33" spans="1:2">
      <c r="A33" s="2" t="s">
        <v>23</v>
      </c>
      <c r="B33" s="2" t="s">
        <v>1603</v>
      </c>
    </row>
    <row r="34" spans="1:2">
      <c r="A34" s="2" t="s">
        <v>23</v>
      </c>
      <c r="B34" s="2" t="s">
        <v>1604</v>
      </c>
    </row>
    <row r="35" spans="1:2">
      <c r="A35" s="2" t="s">
        <v>23</v>
      </c>
      <c r="B35" s="2" t="s">
        <v>1605</v>
      </c>
    </row>
    <row r="36" spans="1:2">
      <c r="A36" s="2" t="s">
        <v>23</v>
      </c>
      <c r="B36" s="2" t="s">
        <v>1606</v>
      </c>
    </row>
    <row r="37" spans="1:2">
      <c r="A37" s="2" t="s">
        <v>23</v>
      </c>
      <c r="B37" s="2" t="s">
        <v>1607</v>
      </c>
    </row>
    <row r="38" spans="1:2">
      <c r="A38" s="2" t="s">
        <v>23</v>
      </c>
      <c r="B38" s="2" t="s">
        <v>23</v>
      </c>
    </row>
    <row r="39" spans="1:2">
      <c r="A39" s="1" t="s">
        <v>1608</v>
      </c>
      <c r="B39" s="1" t="s">
        <v>23</v>
      </c>
    </row>
    <row r="40" spans="1:2">
      <c r="A40" s="2" t="s">
        <v>23</v>
      </c>
      <c r="B40" s="2" t="s">
        <v>1609</v>
      </c>
    </row>
    <row r="41" spans="1:2">
      <c r="A41" s="2" t="s">
        <v>23</v>
      </c>
      <c r="B41" s="2" t="s">
        <v>1610</v>
      </c>
    </row>
    <row r="42" spans="1:2">
      <c r="A42" s="2" t="s">
        <v>23</v>
      </c>
      <c r="B42" s="2" t="s">
        <v>1611</v>
      </c>
    </row>
    <row r="43" spans="1:2">
      <c r="A43" s="2" t="s">
        <v>23</v>
      </c>
      <c r="B43" s="2" t="s">
        <v>1612</v>
      </c>
    </row>
    <row r="44" spans="1:2">
      <c r="A44" s="2" t="s">
        <v>23</v>
      </c>
      <c r="B44" s="2" t="s">
        <v>23</v>
      </c>
    </row>
    <row r="45" spans="1:2">
      <c r="A45" s="1" t="s">
        <v>1613</v>
      </c>
      <c r="B45" s="1" t="s">
        <v>1614</v>
      </c>
    </row>
    <row r="46" spans="1:2">
      <c r="A46" s="2" t="s">
        <v>23</v>
      </c>
      <c r="B46" s="2" t="s">
        <v>1615</v>
      </c>
    </row>
    <row r="47" spans="1:2">
      <c r="A47" s="2" t="s">
        <v>23</v>
      </c>
      <c r="B47" s="2" t="s">
        <v>1616</v>
      </c>
    </row>
    <row r="48" spans="1:2">
      <c r="A48" s="2" t="s">
        <v>23</v>
      </c>
      <c r="B48" s="2" t="s">
        <v>1617</v>
      </c>
    </row>
    <row r="49" spans="1:2">
      <c r="A49" s="2" t="s">
        <v>23</v>
      </c>
      <c r="B49" s="2" t="s">
        <v>1618</v>
      </c>
    </row>
    <row r="50" spans="1:2">
      <c r="A50" s="2" t="s">
        <v>23</v>
      </c>
      <c r="B50" s="2" t="s">
        <v>1619</v>
      </c>
    </row>
    <row r="51" spans="1:2">
      <c r="A51" s="2" t="s">
        <v>23</v>
      </c>
      <c r="B51" s="2" t="s">
        <v>1620</v>
      </c>
    </row>
    <row r="52" spans="1:2">
      <c r="A52" s="2" t="s">
        <v>23</v>
      </c>
      <c r="B52" s="2" t="s">
        <v>1621</v>
      </c>
    </row>
    <row r="53" ht="25.5" spans="1:2">
      <c r="A53" s="2" t="s">
        <v>23</v>
      </c>
      <c r="B53" s="2" t="s">
        <v>1622</v>
      </c>
    </row>
    <row r="54" spans="1:2">
      <c r="A54" s="2" t="s">
        <v>23</v>
      </c>
      <c r="B54" s="2" t="s">
        <v>1623</v>
      </c>
    </row>
    <row r="55" spans="1:2">
      <c r="A55" s="2" t="s">
        <v>23</v>
      </c>
      <c r="B55" s="2" t="s">
        <v>1624</v>
      </c>
    </row>
    <row r="56" spans="1:2">
      <c r="A56" s="2" t="s">
        <v>23</v>
      </c>
      <c r="B56" s="2" t="s">
        <v>1625</v>
      </c>
    </row>
    <row r="57" spans="1:2">
      <c r="A57" s="2" t="s">
        <v>23</v>
      </c>
      <c r="B57" s="2" t="s">
        <v>1626</v>
      </c>
    </row>
    <row r="58" spans="1:2">
      <c r="A58" s="2" t="s">
        <v>23</v>
      </c>
      <c r="B58" s="2" t="s">
        <v>1627</v>
      </c>
    </row>
    <row r="59" ht="24.75" spans="1:2">
      <c r="A59" s="2" t="s">
        <v>23</v>
      </c>
      <c r="B59" s="2" t="s">
        <v>1628</v>
      </c>
    </row>
    <row r="60" ht="25.5" spans="1:2">
      <c r="A60" s="2" t="s">
        <v>23</v>
      </c>
      <c r="B60" s="2" t="s">
        <v>1629</v>
      </c>
    </row>
    <row r="61" spans="1:2">
      <c r="A61" s="1" t="s">
        <v>1630</v>
      </c>
      <c r="B61" s="1" t="s">
        <v>23</v>
      </c>
    </row>
    <row r="62" spans="1:2">
      <c r="A62" s="2" t="s">
        <v>1631</v>
      </c>
      <c r="B62" s="2" t="s">
        <v>1632</v>
      </c>
    </row>
    <row r="63" spans="1:2">
      <c r="A63" s="2" t="s">
        <v>1633</v>
      </c>
      <c r="B63" s="2" t="s">
        <v>1634</v>
      </c>
    </row>
    <row r="64" spans="1:2">
      <c r="A64" s="2" t="s">
        <v>1635</v>
      </c>
      <c r="B64" s="2" t="s">
        <v>1636</v>
      </c>
    </row>
    <row r="65" spans="1:2">
      <c r="A65" s="2" t="s">
        <v>1637</v>
      </c>
      <c r="B65" s="2" t="s">
        <v>1638</v>
      </c>
    </row>
    <row r="66" spans="1:2">
      <c r="A66" s="2" t="s">
        <v>1639</v>
      </c>
      <c r="B66" s="2" t="s">
        <v>1640</v>
      </c>
    </row>
    <row r="67" spans="1:2">
      <c r="A67" s="2" t="s">
        <v>1641</v>
      </c>
      <c r="B67" s="2" t="s">
        <v>1642</v>
      </c>
    </row>
    <row r="68" spans="1:2">
      <c r="A68" s="2" t="s">
        <v>23</v>
      </c>
      <c r="B68" s="2" t="s">
        <v>23</v>
      </c>
    </row>
    <row r="69" spans="1:2">
      <c r="A69" s="1" t="s">
        <v>1643</v>
      </c>
      <c r="B69" s="1" t="s">
        <v>23</v>
      </c>
    </row>
    <row r="70" spans="1:2">
      <c r="A70" s="2" t="s">
        <v>23</v>
      </c>
      <c r="B70" s="2" t="s">
        <v>1644</v>
      </c>
    </row>
    <row r="71" spans="1:2">
      <c r="A71" s="2" t="s">
        <v>23</v>
      </c>
      <c r="B71" s="2" t="s">
        <v>1645</v>
      </c>
    </row>
    <row r="72" spans="1:2">
      <c r="A72" s="2" t="s">
        <v>23</v>
      </c>
      <c r="B72" s="2" t="s">
        <v>1646</v>
      </c>
    </row>
    <row r="73" spans="1:2">
      <c r="A73" s="2" t="s">
        <v>23</v>
      </c>
      <c r="B73" s="2" t="s">
        <v>1647</v>
      </c>
    </row>
    <row r="74" spans="1:2">
      <c r="A74" s="2" t="s">
        <v>23</v>
      </c>
      <c r="B74" s="2" t="s">
        <v>23</v>
      </c>
    </row>
    <row r="75" spans="1:2">
      <c r="A75" s="1" t="s">
        <v>1648</v>
      </c>
      <c r="B75" s="1" t="s">
        <v>1649</v>
      </c>
    </row>
    <row r="76" spans="1:2">
      <c r="A76" s="2" t="s">
        <v>23</v>
      </c>
      <c r="B76" s="2" t="s">
        <v>1650</v>
      </c>
    </row>
    <row r="77" spans="1:2">
      <c r="A77" s="2" t="s">
        <v>23</v>
      </c>
      <c r="B77" s="2" t="s">
        <v>1651</v>
      </c>
    </row>
    <row r="78" spans="1:2">
      <c r="A78" s="2" t="s">
        <v>23</v>
      </c>
      <c r="B78" s="2" t="s">
        <v>1652</v>
      </c>
    </row>
    <row r="79" ht="24.75" spans="1:2">
      <c r="A79" s="2" t="s">
        <v>23</v>
      </c>
      <c r="B79" s="2" t="s">
        <v>1653</v>
      </c>
    </row>
    <row r="80" spans="1:2">
      <c r="A80" s="2" t="s">
        <v>23</v>
      </c>
      <c r="B80" s="2" t="s">
        <v>1654</v>
      </c>
    </row>
    <row r="81" spans="1:2">
      <c r="A81" s="2" t="s">
        <v>23</v>
      </c>
      <c r="B81" s="2" t="s">
        <v>1655</v>
      </c>
    </row>
    <row r="82" spans="1:2">
      <c r="A82" s="2" t="s">
        <v>23</v>
      </c>
      <c r="B82" s="2" t="s">
        <v>1656</v>
      </c>
    </row>
    <row r="83" ht="24.75" spans="1:2">
      <c r="A83" s="2" t="s">
        <v>23</v>
      </c>
      <c r="B83" s="2" t="s">
        <v>1657</v>
      </c>
    </row>
    <row r="84" spans="1:2">
      <c r="A84" t="s">
        <v>1658</v>
      </c>
    </row>
    <row r="85" ht="46" customHeight="1" spans="1:2">
      <c r="A85" s="3"/>
      <c r="B85" s="3" t="s">
        <v>1659</v>
      </c>
    </row>
    <row r="86" ht="46" customHeight="1" spans="1:2">
      <c r="A86" s="3"/>
      <c r="B86" s="3" t="s">
        <v>1660</v>
      </c>
    </row>
  </sheetData>
  <pageMargins left="0.7" right="0.7" top="0.75" bottom="0.75" header="0.3" footer="0.3"/>
  <headerFooter/>
</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48" hidden="0" customWidth="1"/>
    <x:col min="7" max="7" width="22" hidden="0" customWidth="1"/>
    <x:col min="8" max="8" width="22" hidden="0" customWidth="1"/>
  </x:cols>
  <x:sheetData>
    <x:row r="1" ht="40" customHeight="1">
      <x:c r="A1" s="37" t="str">
        <x:v>奇珍ID</x:v>
      </x:c>
      <x:c r="B1" s="37" t="str">
        <x:v>名称</x:v>
      </x:c>
      <x:c r="C1" s="37" t="str">
        <x:v>分类</x:v>
      </x:c>
      <x:c r="D1" s="37" t="str">
        <x:v>物品ID</x:v>
      </x:c>
      <x:c r="E1" s="37" t="str">
        <x:v>携带境界</x:v>
      </x:c>
      <x:c r="F1" s="37" t="str">
        <x:v>效果JSON</x:v>
      </x:c>
      <x:c r="G1" s="37" t="str">
        <x:v>数值状态</x:v>
      </x:c>
      <x:c r="H1" s="37" t="str">
        <x:v>规则</x:v>
      </x:c>
    </x:row>
    <x:row r="2" ht="38" customHeight="1">
      <x:c r="A2" s="35" t="n">
        <x:v>71424000</x:v>
      </x:c>
      <x:c r="B2" s="35" t="str">
        <x:v>净元草</x:v>
      </x:c>
      <x:c r="C2" s="35" t="str">
        <x:v>灵植</x:v>
      </x:c>
      <x:c r="D2" s="35" t="n">
        <x:v>11424000</x:v>
      </x:c>
      <x:c r="E2" s="35" t="str">
        <x:v>筑基</x:v>
      </x:c>
      <x:c r="F2" s="35" t="str">
        <x:v>["每秒回血", null, "整数", 1, "每秒回血+1", "生命值", null, "整数", 1, "生命值+1"]</x:v>
      </x:c>
      <x:c r="G2" s="35" t="str">
        <x:v>暂定数值，原示例替换</x:v>
      </x:c>
      <x:c r="H2" s="35" t="str">
        <x:v>每类只能携带一件；八位全开仍只八件常驻</x:v>
      </x:c>
    </x:row>
    <x:row r="3" ht="38" customHeight="1">
      <x:c r="A3" s="35" t="n">
        <x:v>71324000</x:v>
      </x:c>
      <x:c r="B3" s="35" t="str">
        <x:v>铁骨藤</x:v>
      </x:c>
      <x:c r="C3" s="35" t="str">
        <x:v>灵植</x:v>
      </x:c>
      <x:c r="D3" s="35" t="n">
        <x:v>11324000</x:v>
      </x:c>
      <x:c r="E3" s="35" t="str">
        <x:v>筑基</x:v>
      </x:c>
      <x:c r="F3" s="35" t="str">
        <x:v>["物防上限", null, "整数", 1, "物防上限+1", "法防上限", null, "整数", 1, "法防上限+1"]</x:v>
      </x:c>
      <x:c r="G3" s="35" t="str">
        <x:v>暂定数值，原示例替换</x:v>
      </x:c>
      <x:c r="H3" s="35" t="str">
        <x:v>每类只能携带一件；八位全开仍只八件常驻</x:v>
      </x:c>
    </x:row>
    <x:row r="4" ht="38" customHeight="1">
      <x:c r="A4" s="35" t="n">
        <x:v>71624000</x:v>
      </x:c>
      <x:c r="B4" s="35" t="str">
        <x:v>七叶丹莲</x:v>
      </x:c>
      <x:c r="C4" s="35" t="str">
        <x:v>灵植</x:v>
      </x:c>
      <x:c r="D4" s="35" t="n">
        <x:v>11624000</x:v>
      </x:c>
      <x:c r="E4" s="35" t="str">
        <x:v>筑基</x:v>
      </x:c>
      <x:c r="F4" s="35" t="str">
        <x:v>["生命值", null, "整数", 1, "生命值+1", "每秒回血", null, "整数", 1, "每秒回血+1"]</x:v>
      </x:c>
      <x:c r="G4" s="35" t="str">
        <x:v>暂定数值，原示例替换</x:v>
      </x:c>
      <x:c r="H4" s="35" t="str">
        <x:v>每类只能携带一件；八位全开仍只八件常驻</x:v>
      </x:c>
    </x:row>
    <x:row r="5" ht="53" customHeight="1">
      <x:c r="A5" s="35" t="n">
        <x:v>71424002</x:v>
      </x:c>
      <x:c r="B5" s="35" t="str">
        <x:v>温脉花</x:v>
      </x:c>
      <x:c r="C5" s="35" t="str">
        <x:v>灵植</x:v>
      </x:c>
      <x:c r="D5" s="35" t="n">
        <x:v>11424002</x:v>
      </x:c>
      <x:c r="E5" s="35" t="str">
        <x:v>筑基</x:v>
      </x:c>
      <x:c r="F5" s="35" t="str">
        <x:v>["木行增幅", null, "整数", 150, "木行增幅+150（万分比单位）", "每秒回血", null, "整数", 3, "每秒回血+3"]</x:v>
      </x:c>
      <x:c r="G5" s="35" t="str">
        <x:v>暂定数值，原示例替换</x:v>
      </x:c>
      <x:c r="H5" s="35" t="str">
        <x:v>每类只能携带一件；八位全开仍只八件常驻</x:v>
      </x:c>
    </x:row>
    <x:row r="6" ht="38" customHeight="1">
      <x:c r="A6" s="35" t="n">
        <x:v>71624002</x:v>
      </x:c>
      <x:c r="B6" s="35" t="str">
        <x:v>九环丹芝</x:v>
      </x:c>
      <x:c r="C6" s="35" t="str">
        <x:v>灵植</x:v>
      </x:c>
      <x:c r="D6" s="35" t="n">
        <x:v>11624002</x:v>
      </x:c>
      <x:c r="E6" s="35" t="str">
        <x:v>筑基</x:v>
      </x:c>
      <x:c r="F6" s="35" t="str">
        <x:v>["生命值", null, "整数", 3, "生命值+3", "每秒回血", null, "整数", 3, "每秒回血+3"]</x:v>
      </x:c>
      <x:c r="G6" s="35" t="str">
        <x:v>暂定数值，原示例替换</x:v>
      </x:c>
      <x:c r="H6" s="35" t="str">
        <x:v>每类只能携带一件；八位全开仍只八件常驻</x:v>
      </x:c>
    </x:row>
    <x:row r="7" ht="38" customHeight="1">
      <x:c r="A7" s="35" t="n">
        <x:v>72534023</x:v>
      </x:c>
      <x:c r="B7" s="35" t="str">
        <x:v>古炉铜</x:v>
      </x:c>
      <x:c r="C7" s="35" t="str">
        <x:v>灵材</x:v>
      </x:c>
      <x:c r="D7" s="35" t="n">
        <x:v>12534023</x:v>
      </x:c>
      <x:c r="E7" s="35" t="str">
        <x:v>筑基</x:v>
      </x:c>
      <x:c r="F7" s="35" t="str">
        <x:v>["法力上限", null, "整数", 3, "法力上限+3", "施法速度", null, "整数", 5, "施法速度+5"]</x:v>
      </x:c>
      <x:c r="G7" s="35" t="str">
        <x:v>暂定数值，原示例替换</x:v>
      </x:c>
      <x:c r="H7" s="35" t="str">
        <x:v>每类只能携带一件；八位全开仍只八件常驻</x:v>
      </x:c>
    </x:row>
    <x:row r="8" ht="38" customHeight="1">
      <x:c r="A8" s="35" t="n">
        <x:v>72324014</x:v>
      </x:c>
      <x:c r="B8" s="35" t="str">
        <x:v>照夜玉</x:v>
      </x:c>
      <x:c r="C8" s="35" t="str">
        <x:v>灵材</x:v>
      </x:c>
      <x:c r="D8" s="35" t="n">
        <x:v>12324014</x:v>
      </x:c>
      <x:c r="E8" s="35" t="str">
        <x:v>筑基</x:v>
      </x:c>
      <x:c r="F8" s="35" t="str">
        <x:v>["伤害减免", null, "整数", 3, "伤害减免+3", "物防上限", null, "整数", 3, "物防上限+3"]</x:v>
      </x:c>
      <x:c r="G8" s="35" t="str">
        <x:v>暂定数值，原示例替换</x:v>
      </x:c>
      <x:c r="H8" s="35" t="str">
        <x:v>每类只能携带一件；八位全开仍只八件常驻</x:v>
      </x:c>
    </x:row>
    <x:row r="9" ht="38" customHeight="1">
      <x:c r="A9" s="35" t="n">
        <x:v>72364021</x:v>
      </x:c>
      <x:c r="B9" s="35" t="str">
        <x:v>辟火玄鳞</x:v>
      </x:c>
      <x:c r="C9" s="35" t="str">
        <x:v>灵材</x:v>
      </x:c>
      <x:c r="D9" s="35" t="n">
        <x:v>12364021</x:v>
      </x:c>
      <x:c r="E9" s="35" t="str">
        <x:v>筑基</x:v>
      </x:c>
      <x:c r="F9" s="35" t="str">
        <x:v>["物防上限", null, "整数", 1, "物防上限+1", "法防上限", null, "整数", 1, "法防上限+1"]</x:v>
      </x:c>
      <x:c r="G9" s="35" t="str">
        <x:v>暂定数值，原示例替换</x:v>
      </x:c>
      <x:c r="H9" s="35" t="str">
        <x:v>每类只能携带一件；八位全开仍只八件常驻</x:v>
      </x:c>
    </x:row>
    <x:row r="10" ht="38" customHeight="1">
      <x:c r="A10" s="35" t="n">
        <x:v>72624004</x:v>
      </x:c>
      <x:c r="B10" s="35" t="str">
        <x:v>灵兽残识</x:v>
      </x:c>
      <x:c r="C10" s="35" t="str">
        <x:v>灵材</x:v>
      </x:c>
      <x:c r="D10" s="35" t="n">
        <x:v>12624004</x:v>
      </x:c>
      <x:c r="E10" s="35" t="str">
        <x:v>筑基</x:v>
      </x:c>
      <x:c r="F10" s="35" t="str">
        <x:v>["法防上限", null, "整数", 2, "法防上限+2", "伤害减免", null, "整数", 2, "伤害减免+2"]</x:v>
      </x:c>
      <x:c r="G10" s="35" t="str">
        <x:v>暂定数值，原示例替换</x:v>
      </x:c>
      <x:c r="H10" s="35" t="str">
        <x:v>每类只能携带一件；八位全开仍只八件常驻</x:v>
      </x:c>
    </x:row>
    <x:row r="11" ht="38" customHeight="1">
      <x:c r="A11" s="35" t="n">
        <x:v>72704000</x:v>
      </x:c>
      <x:c r="B11" s="35" t="str">
        <x:v>无相宝种</x:v>
      </x:c>
      <x:c r="C11" s="35" t="str">
        <x:v>灵材</x:v>
      </x:c>
      <x:c r="D11" s="35" t="n">
        <x:v>12704000</x:v>
      </x:c>
      <x:c r="E11" s="35" t="str">
        <x:v>筑基</x:v>
      </x:c>
      <x:c r="F11" s="35" t="str">
        <x:v>["物防上限", null, "整数", 1, "物防上限+1", "法防上限", null, "整数", 1, "法防上限+1"]</x:v>
      </x:c>
      <x:c r="G11" s="35" t="str">
        <x:v>暂定数值，原示例替换</x:v>
      </x:c>
      <x:c r="H11" s="35" t="str">
        <x:v>每类只能携带一件；八位全开仍只八件常驻</x:v>
      </x:c>
    </x:row>
    <x:row r="12" ht="38" customHeight="1">
      <x:c r="A12" s="35" t="n">
        <x:v>71921012</x:v>
      </x:c>
      <c xmlns="http://schemas.openxmlformats.org/spreadsheetml/2006/main" r="B12" s="35" t="inlineStr">
        <is>
          <t>复元丹</t>
        </is>
      </c>
      <x:c r="C12" s="35" t="str">
        <x:v>炼丹</x:v>
      </x:c>
      <x:c r="D12" s="35" t="n">
        <x:v>11921012</x:v>
      </x:c>
      <x:c r="E12" s="35" t="str">
        <x:v>筑基</x:v>
      </x:c>
      <x:c r="F12" s="35" t="str">
        <x:v>["灵力值", null, "整数", 1, "灵力值+1", "每秒回灵", null, "整数", 1, "每秒回灵+1"]</x:v>
      </x:c>
      <x:c r="G12" s="35" t="str">
        <x:v>暂定数值，原示例替换</x:v>
      </x:c>
      <x:c r="H12" s="35" t="str">
        <x:v>每类只能携带一件；八位全开仍只八件常驻</x:v>
      </x:c>
    </x:row>
    <x:row r="13" ht="53" customHeight="1">
      <x:c r="A13" s="35" t="n">
        <x:v>71921096</x:v>
      </x:c>
      <x:c r="B13" s="35" t="str">
        <x:v>清和定神丹</x:v>
      </x:c>
      <x:c r="C13" s="35" t="str">
        <x:v>炼丹</x:v>
      </x:c>
      <x:c r="D13" s="35" t="n">
        <x:v>11921096</x:v>
      </x:c>
      <x:c r="E13" s="35" t="str">
        <x:v>筑基</x:v>
      </x:c>
      <x:c r="F13" s="35" t="str">
        <x:v>["神识", null, "整数", 1, "神识+1", "免暴击率", null, "整数", 125, "免暴击率+125（万分比单位）"]</x:v>
      </x:c>
      <x:c r="G13" s="35" t="str">
        <x:v>暂定数值，原示例替换</x:v>
      </x:c>
      <x:c r="H13" s="35" t="str">
        <x:v>每类只能携带一件；八位全开仍只八件常驻</x:v>
      </x:c>
    </x:row>
    <x:row r="14" ht="38" customHeight="1">
      <x:c r="A14" s="35" t="n">
        <x:v>71921107</x:v>
      </x:c>
      <c xmlns="http://schemas.openxmlformats.org/spreadsheetml/2006/main" r="B14" s="35" t="inlineStr">
        <is>
          <t>破御丹</t>
        </is>
      </c>
      <x:c r="C14" s="35" t="str">
        <x:v>炼丹</x:v>
      </x:c>
      <x:c r="D14" s="35" t="n">
        <x:v>11921107</x:v>
      </x:c>
      <x:c r="E14" s="35" t="str">
        <x:v>筑基</x:v>
      </x:c>
      <x:c r="F14" s="35" t="str">
        <x:v>["生命值", null, "整数", 3, "生命值+3", "每秒回血", null, "整数", 3, "每秒回血+3"]</x:v>
      </x:c>
      <x:c r="G14" s="35" t="str">
        <x:v>暂定数值，原示例替换</x:v>
      </x:c>
      <x:c r="H14" s="35" t="str">
        <x:v>每类只能携带一件；八位全开仍只八件常驻</x:v>
      </x:c>
    </x:row>
    <x:row r="15" ht="53" customHeight="1">
      <x:c r="A15" s="35" t="n">
        <x:v>71921082</x:v>
      </x:c>
      <x:c r="B15" s="35" t="str">
        <x:v>养神丹</x:v>
      </x:c>
      <x:c r="C15" s="35" t="str">
        <x:v>炼丹</x:v>
      </x:c>
      <x:c r="D15" s="35" t="n">
        <x:v>11921082</x:v>
      </x:c>
      <x:c r="E15" s="35" t="str">
        <x:v>筑基</x:v>
      </x:c>
      <x:c r="F15" s="35" t="str">
        <x:v>["神识", null, "整数", 2, "神识+2", "免暴击率", null, "整数", 150, "免暴击率+150（万分比单位）"]</x:v>
      </x:c>
      <x:c r="G15" s="35" t="str">
        <x:v>暂定数值，原示例替换</x:v>
      </x:c>
      <x:c r="H15" s="35" t="str">
        <x:v>每类只能携带一件；八位全开仍只八件常驻</x:v>
      </x:c>
    </x:row>
    <x:row r="16" ht="38" customHeight="1">
      <x:c r="A16" s="35" t="n">
        <x:v>71921072</x:v>
      </x:c>
      <x:c r="B16" s="35" t="str">
        <x:v>固元丹</x:v>
      </x:c>
      <x:c r="C16" s="35" t="str">
        <x:v>炼丹</x:v>
      </x:c>
      <x:c r="D16" s="35" t="n">
        <x:v>11921072</x:v>
      </x:c>
      <x:c r="E16" s="35" t="str">
        <x:v>筑基</x:v>
      </x:c>
      <x:c r="F16" s="35" t="str">
        <x:v>["每秒回灵", null, "整数", 1, "每秒回灵+1", "灵力值", null, "整数", 1, "灵力值+1"]</x:v>
      </x:c>
      <x:c r="G16" s="35" t="str">
        <x:v>暂定数值，原示例替换</x:v>
      </x:c>
      <x:c r="H16" s="35" t="str">
        <x:v>每类只能携带一件；八位全开仍只八件常驻</x:v>
      </x:c>
    </x:row>
    <x:row r="17" ht="53" customHeight="1">
      <x:c r="A17" s="35" t="n">
        <x:v>72424000</x:v>
      </x:c>
      <x:c r="B17" s="35" t="str">
        <x:v>逐影剑·断金</x:v>
      </x:c>
      <x:c r="C17" s="35" t="str">
        <x:v>炼器</x:v>
      </x:c>
      <x:c r="D17" s="35" t="n">
        <x:v>12424000</x:v>
      </x:c>
      <x:c r="E17" s="35" t="str">
        <x:v>筑基</x:v>
      </x:c>
      <x:c r="F17" s="35" t="str">
        <x:v>["攻击上限", null, "整数", 1, "攻击上限+1", "暴击率", null, "整数", 100, "暴击率+100（万分比单位）"]</x:v>
      </x:c>
      <x:c r="G17" s="35" t="str">
        <x:v>暂定数值，原示例替换</x:v>
      </x:c>
      <x:c r="H17" s="35" t="str">
        <x:v>每类只能携带一件；八位全开仍只八件常驻</x:v>
      </x:c>
    </x:row>
    <x:row r="18" ht="38" customHeight="1">
      <x:c r="A18" s="35" t="n">
        <x:v>72424016</x:v>
      </x:c>
      <x:c r="B18" s="35" t="str">
        <x:v>覆岳印·金阙</x:v>
      </x:c>
      <x:c r="C18" s="35" t="str">
        <x:v>炼器</x:v>
      </x:c>
      <x:c r="D18" s="35" t="n">
        <x:v>12424016</x:v>
      </x:c>
      <x:c r="E18" s="35" t="str">
        <x:v>筑基</x:v>
      </x:c>
      <x:c r="F18" s="35" t="str">
        <x:v>["法力上限", null, "整数", 2, "法力上限+2", "伤害提升", null, "整数", 2, "伤害提升+2"]</x:v>
      </x:c>
      <x:c r="G18" s="35" t="str">
        <x:v>暂定数值，原示例替换</x:v>
      </x:c>
      <x:c r="H18" s="35" t="str">
        <x:v>每类只能携带一件；八位全开仍只八件常驻</x:v>
      </x:c>
    </x:row>
    <x:row r="19" ht="38" customHeight="1">
      <x:c r="A19" s="35" t="n">
        <x:v>72424025</x:v>
      </x:c>
      <x:c r="B19" s="35" t="str">
        <x:v>定影索·锁秋</x:v>
      </x:c>
      <x:c r="C19" s="35" t="str">
        <x:v>炼器</x:v>
      </x:c>
      <x:c r="D19" s="35" t="n">
        <x:v>12424025</x:v>
      </x:c>
      <x:c r="E19" s="35" t="str">
        <x:v>筑基</x:v>
      </x:c>
      <x:c r="F19" s="35" t="str">
        <x:v>["法力上限", null, "整数", 2, "法力上限+2", "伤害提升", null, "整数", 2, "伤害提升+2"]</x:v>
      </x:c>
      <x:c r="G19" s="35" t="str">
        <x:v>暂定数值，原示例替换</x:v>
      </x:c>
      <x:c r="H19" s="35" t="str">
        <x:v>每类只能携带一件；八位全开仍只八件常驻</x:v>
      </x:c>
    </x:row>
    <x:row r="20" ht="38" customHeight="1">
      <x:c r="A20" s="35" t="n">
        <x:v>72424041</x:v>
      </x:c>
      <x:c r="B20" s="35" t="str">
        <x:v>玄罗伞·回光</x:v>
      </x:c>
      <x:c r="C20" s="35" t="str">
        <x:v>炼器</x:v>
      </x:c>
      <x:c r="D20" s="35" t="n">
        <x:v>12424041</x:v>
      </x:c>
      <x:c r="E20" s="35" t="str">
        <x:v>筑基</x:v>
      </x:c>
      <x:c r="F20" s="35" t="str">
        <x:v>["伤害提升", null, "整数", 3, "伤害提升+3", "攻击上限", null, "整数", 3, "攻击上限+3"]</x:v>
      </x:c>
      <x:c r="G20" s="35" t="str">
        <x:v>暂定数值，原示例替换</x:v>
      </x:c>
      <x:c r="H20" s="35" t="str">
        <x:v>每类只能携带一件；八位全开仍只八件常驻</x:v>
      </x:c>
    </x:row>
    <x:row r="21" ht="38" customHeight="1">
      <x:c r="A21" s="35" t="n">
        <x:v>72424050</x:v>
      </x:c>
      <x:c r="B21" s="35" t="str">
        <x:v>青华珠·初阳</x:v>
      </x:c>
      <x:c r="C21" s="35" t="str">
        <x:v>炼器</x:v>
      </x:c>
      <x:c r="D21" s="35" t="n">
        <x:v>12424050</x:v>
      </x:c>
      <x:c r="E21" s="35" t="str">
        <x:v>筑基</x:v>
      </x:c>
      <x:c r="F21" s="35" t="str">
        <x:v>["伤害提升", null, "整数", 3, "伤害提升+3", "攻击上限", null, "整数", 3, "攻击上限+3"]</x:v>
      </x:c>
      <x:c r="G21" s="35" t="str">
        <x:v>暂定数值，原示例替换</x:v>
      </x:c>
      <x:c r="H21" s="35" t="str">
        <x:v>每类只能携带一件；八位全开仍只八件常驻</x:v>
      </x:c>
    </x:row>
    <x:row r="22" ht="38" customHeight="1">
      <x:c r="A22" s="35" t="n">
        <x:v>72424054</x:v>
      </x:c>
      <x:c r="B22" s="35" t="str">
        <x:v>承露瓶·沃野</x:v>
      </x:c>
      <x:c r="C22" s="35" t="str">
        <x:v>炼器</x:v>
      </x:c>
      <x:c r="D22" s="35" t="n">
        <x:v>12424054</x:v>
      </x:c>
      <x:c r="E22" s="35" t="str">
        <x:v>筑基</x:v>
      </x:c>
      <x:c r="F22" s="35" t="str">
        <x:v>["攻击上限", null, "整数", 1, "攻击上限+1", "法力上限", null, "整数", 1, "法力上限+1"]</x:v>
      </x:c>
      <x:c r="G22" s="35" t="str">
        <x:v>暂定数值，原示例替换</x:v>
      </x:c>
      <x:c r="H22" s="35" t="str">
        <x:v>每类只能携带一件；八位全开仍只八件常驻</x:v>
      </x:c>
    </x:row>
    <x:row r="23" ht="38" customHeight="1">
      <x:c r="A23" s="35" t="n">
        <x:v>72424066</x:v>
      </x:c>
      <x:c r="B23" s="35" t="str">
        <x:v>坎离丹炉·素真</x:v>
      </x:c>
      <x:c r="C23" s="35" t="str">
        <x:v>炼器</x:v>
      </x:c>
      <x:c r="D23" s="35" t="n">
        <x:v>12424066</x:v>
      </x:c>
      <x:c r="E23" s="35" t="str">
        <x:v>筑基</x:v>
      </x:c>
      <x:c r="F23" s="35" t="str">
        <x:v>["神识", null, "整数", 1, "神识+1", "每秒回灵", null, "整数", 1, "每秒回灵+1"]</x:v>
      </x:c>
      <x:c r="G23" s="35" t="str">
        <x:v>暂定数值，原示例替换</x:v>
      </x:c>
      <x:c r="H23" s="35" t="str">
        <x:v>每类只能携带一件；八位全开仍只八件常驻</x:v>
      </x:c>
    </x:row>
    <x:row r="24" ht="38" customHeight="1">
      <x:c r="A24" s="35" t="n">
        <x:v>72424081</x:v>
      </x:c>
      <x:c r="B24" s="35" t="str">
        <x:v>定纹鼎·守拙</x:v>
      </x:c>
      <x:c r="C24" s="35" t="str">
        <x:v>炼器</x:v>
      </x:c>
      <x:c r="D24" s="35" t="n">
        <x:v>12424081</x:v>
      </x:c>
      <x:c r="E24" s="35" t="str">
        <x:v>筑基</x:v>
      </x:c>
      <x:c r="F24" s="35" t="str">
        <x:v>["法力上限", null, "整数", 1, "法力上限+1", "施法速度", null, "整数", 3, "施法速度+3"]</x:v>
      </x:c>
      <x:c r="G24" s="35" t="str">
        <x:v>暂定数值，原示例替换</x:v>
      </x:c>
      <x:c r="H24" s="35" t="str">
        <x:v>每类只能携带一件；八位全开仍只八件常驻</x:v>
      </x:c>
    </x:row>
    <x:row r="25" ht="38" customHeight="1">
      <x:c r="A25" s="35" t="n">
        <x:v>72424082</x:v>
      </x:c>
      <x:c r="B25" s="35" t="str">
        <x:v>灵枢符笔·惊弦</x:v>
      </x:c>
      <x:c r="C25" s="35" t="str">
        <x:v>炼器</x:v>
      </x:c>
      <x:c r="D25" s="35" t="n">
        <x:v>12424082</x:v>
      </x:c>
      <x:c r="E25" s="35" t="str">
        <x:v>筑基</x:v>
      </x:c>
      <x:c r="F25" s="35" t="str">
        <x:v>["法力上限", null, "整数", 2, "法力上限+2", "施法速度", null, "整数", 4, "施法速度+4"]</x:v>
      </x:c>
      <x:c r="G25" s="35" t="str">
        <x:v>暂定数值，原示例替换</x:v>
      </x:c>
      <x:c r="H25" s="35" t="str">
        <x:v>每类只能携带一件；八位全开仍只八件常驻</x:v>
      </x:c>
    </x:row>
    <x:row r="26" ht="53" customHeight="1">
      <x:c r="A26" s="35" t="n">
        <x:v>72424086</x:v>
      </x:c>
      <x:c r="B26" s="35" t="str">
        <x:v>藏魄葫芦·归梦</x:v>
      </x:c>
      <x:c r="C26" s="35" t="str">
        <x:v>炼器</x:v>
      </x:c>
      <x:c r="D26" s="35" t="n">
        <x:v>12424086</x:v>
      </x:c>
      <x:c r="E26" s="35" t="str">
        <x:v>筑基</x:v>
      </x:c>
      <x:c r="F26" s="35" t="str">
        <x:v>["神识", null, "整数", 3, "神识+3", "免暴击率", null, "整数", 125, "免暴击率+125（万分比单位）"]</x:v>
      </x:c>
      <x:c r="G26" s="35" t="str">
        <x:v>暂定数值，原示例替换</x:v>
      </x:c>
      <x:c r="H26" s="35" t="str">
        <x:v>每类只能携带一件；八位全开仍只八件常驻</x:v>
      </x:c>
    </x:row>
    <x:row r="27" ht="38" customHeight="1">
      <x:c r="A27" s="35" t="n">
        <x:v>72424087</x:v>
      </x:c>
      <x:c r="B27" s="35" t="str">
        <x:v>壶天袋·芥子</x:v>
      </x:c>
      <x:c r="C27" s="35" t="str">
        <x:v>炼器</x:v>
      </x:c>
      <x:c r="D27" s="35" t="n">
        <x:v>12424087</x:v>
      </x:c>
      <x:c r="E27" s="35" t="str">
        <x:v>筑基</x:v>
      </x:c>
      <x:c r="F27" s="35" t="str">
        <x:v>["攻击上限", null, "整数", 1, "攻击上限+1", "法力上限", null, "整数", 1, "法力上限+1"]</x:v>
      </x:c>
      <x:c r="G27" s="35" t="str">
        <x:v>暂定数值，原示例替换</x:v>
      </x:c>
      <x:c r="H27" s="35" t="str">
        <x:v>每类只能携带一件；八位全开仍只八件常驻</x:v>
      </x:c>
    </x:row>
    <x:row r="28" ht="38" customHeight="1">
      <x:c r="A28" s="35" t="n">
        <x:v>72424088</x:v>
      </x:c>
      <x:c r="B28" s="35" t="str">
        <x:v>归元瓶·朝元</x:v>
      </x:c>
      <x:c r="C28" s="35" t="str">
        <x:v>炼器</x:v>
      </x:c>
      <x:c r="D28" s="35" t="n">
        <x:v>12424088</x:v>
      </x:c>
      <x:c r="E28" s="35" t="str">
        <x:v>筑基</x:v>
      </x:c>
      <x:c r="F28" s="35" t="str">
        <x:v>["灵力值", null, "整数", 2, "灵力值+2", "每秒回灵", null, "整数", 2, "每秒回灵+2"]</x:v>
      </x:c>
      <x:c r="G28" s="35" t="str">
        <x:v>暂定数值，原示例替换</x:v>
      </x:c>
      <x:c r="H28" s="35" t="str">
        <x:v>每类只能携带一件；八位全开仍只八件常驻</x:v>
      </x:c>
    </x:row>
    <x:row r="29" ht="53" customHeight="1">
      <x:c r="A29" s="35" t="n">
        <x:v>72424092</x:v>
      </x:c>
      <x:c r="B29" s="35" t="str">
        <x:v>鉴微镜·拾遗</x:v>
      </x:c>
      <x:c r="C29" s="35" t="str">
        <x:v>炼器</x:v>
      </x:c>
      <x:c r="D29" s="35" t="n">
        <x:v>12424092</x:v>
      </x:c>
      <x:c r="E29" s="35" t="str">
        <x:v>筑基</x:v>
      </x:c>
      <x:c r="F29" s="35" t="str">
        <x:v>["命中", null, "整数", 150, "命中+150（万分比单位）", "警戒范围", null, "整数", 25, "警戒范围+25"]</x:v>
      </x:c>
      <x:c r="G29" s="35" t="str">
        <x:v>暂定数值，原示例替换</x:v>
      </x:c>
      <x:c r="H29" s="35" t="str">
        <x:v>每类只能携带一件；八位全开仍只八件常驻</x:v>
      </x:c>
    </x:row>
    <x:row r="30" ht="53" customHeight="1">
      <x:c r="A30" s="35" t="n">
        <x:v>72424093</x:v>
      </x:c>
      <x:c r="B30" s="35" t="str">
        <x:v>渡玄舟·问津</x:v>
      </x:c>
      <x:c r="C30" s="35" t="str">
        <x:v>炼器</x:v>
      </x:c>
      <x:c r="D30" s="35" t="n">
        <x:v>12424093</x:v>
      </x:c>
      <x:c r="E30" s="35" t="str">
        <x:v>筑基</x:v>
      </x:c>
      <x:c r="F30" s="35" t="str">
        <x:v>["移动速度", null, "整数", 3, "移动速度+3", "闪避", null, "整数", 175, "闪避+175（万分比单位）"]</x:v>
      </x:c>
      <x:c r="G30" s="35" t="str">
        <x:v>暂定数值，原示例替换</x:v>
      </x:c>
      <x:c r="H30" s="35" t="str">
        <x:v>每类只能携带一件；八位全开仍只八件常驻</x:v>
      </x:c>
    </x:row>
    <x:row r="31" ht="38" customHeight="1">
      <x:c r="A31" s="35" t="n">
        <x:v>72424094</x:v>
      </x:c>
      <x:c r="B31" s="35" t="str">
        <x:v>藏形幡·无踪</x:v>
      </x:c>
      <x:c r="C31" s="35" t="str">
        <x:v>炼器</x:v>
      </x:c>
      <x:c r="D31" s="35" t="n">
        <x:v>12424094</x:v>
      </x:c>
      <x:c r="E31" s="35" t="str">
        <x:v>筑基</x:v>
      </x:c>
      <x:c r="F31" s="35" t="str">
        <x:v>["法力上限", null, "整数", 2, "法力上限+2", "伤害提升", null, "整数", 2, "伤害提升+2"]</x:v>
      </x:c>
      <x:c r="G31" s="35" t="str">
        <x:v>暂定数值，原示例替换</x:v>
      </x:c>
      <x:c r="H31" s="35" t="str">
        <x:v>每类只能携带一件；八位全开仍只八件常驻</x:v>
      </x:c>
    </x:row>
    <x:row r="32" ht="53" customHeight="1">
      <x:c r="A32" s="35" t="n">
        <x:v>72424095</x:v>
      </x:c>
      <x:c r="B32" s="35" t="str">
        <x:v>照夜灵镜·烛幽</x:v>
      </x:c>
      <x:c r="C32" s="35" t="str">
        <x:v>炼器</x:v>
      </x:c>
      <x:c r="D32" s="35" t="n">
        <x:v>12424095</x:v>
      </x:c>
      <x:c r="E32" s="35" t="str">
        <x:v>筑基</x:v>
      </x:c>
      <x:c r="F32" s="35" t="str">
        <x:v>["命中", null, "整数", 100, "命中+100（万分比单位）", "警戒范围", null, "整数", 55, "警戒范围+55"]</x:v>
      </x:c>
      <x:c r="G32" s="35" t="str">
        <x:v>暂定数值，原示例替换</x:v>
      </x:c>
      <x:c r="H32" s="35" t="str">
        <x:v>每类只能携带一件；八位全开仍只八件常驻</x:v>
      </x:c>
    </x:row>
    <x:row r="33" ht="53" customHeight="1">
      <x:c r="A33" s="35" t="n">
        <x:v>72434095</x:v>
      </x:c>
      <x:c r="B33" s="35" t="str">
        <x:v>乌星剑·陨辰</x:v>
      </x:c>
      <x:c r="C33" s="35" t="str">
        <x:v>炼器</x:v>
      </x:c>
      <x:c r="D33" s="35" t="n">
        <x:v>12434095</x:v>
      </x:c>
      <x:c r="E33" s="35" t="str">
        <x:v>筑基</x:v>
      </x:c>
      <x:c r="F33" s="35" t="str">
        <x:v>["攻击上限", null, "整数", 3, "攻击上限+3", "暴击率", null, "整数", 100, "暴击率+100（万分比单位）"]</x:v>
      </x:c>
      <x:c r="G33" s="35" t="str">
        <x:v>暂定数值，原示例替换</x:v>
      </x:c>
      <x:c r="H33" s="35" t="str">
        <x:v>每类只能携带一件；八位全开仍只八件常驻</x:v>
      </x:c>
    </x:row>
    <x:row r="34" ht="38" customHeight="1">
      <x:c r="A34" s="35" t="n">
        <x:v>72434111</x:v>
      </x:c>
      <x:c r="B34" s="35" t="str">
        <x:v>抱元珠·春晖</x:v>
      </x:c>
      <x:c r="C34" s="35" t="str">
        <x:v>炼器</x:v>
      </x:c>
      <x:c r="D34" s="35" t="n">
        <x:v>12434111</x:v>
      </x:c>
      <x:c r="E34" s="35" t="str">
        <x:v>筑基</x:v>
      </x:c>
      <x:c r="F34" s="35" t="str">
        <x:v>["攻击上限", null, "整数", 1, "攻击上限+1", "法力上限", null, "整数", 1, "法力上限+1"]</x:v>
      </x:c>
      <x:c r="G34" s="35" t="str">
        <x:v>暂定数值，原示例替换</x:v>
      </x:c>
      <x:c r="H34" s="35" t="str">
        <x:v>每类只能携带一件；八位全开仍只八件常驻</x:v>
      </x:c>
    </x:row>
    <x:row r="35" ht="38" customHeight="1">
      <x:c r="A35" s="35" t="n">
        <x:v>72434115</x:v>
      </x:c>
      <x:c r="B35" s="35" t="str">
        <x:v>金灯丹炉·玉液</x:v>
      </x:c>
      <x:c r="C35" s="35" t="str">
        <x:v>炼器</x:v>
      </x:c>
      <x:c r="D35" s="35" t="n">
        <x:v>12434115</x:v>
      </x:c>
      <x:c r="E35" s="35" t="str">
        <x:v>筑基</x:v>
      </x:c>
      <x:c r="F35" s="35" t="str">
        <x:v>["神识", null, "整数", 2, "神识+2", "每秒回灵", null, "整数", 2, "每秒回灵+2"]</x:v>
      </x:c>
      <x:c r="G35" s="35" t="str">
        <x:v>暂定数值，原示例替换</x:v>
      </x:c>
      <x:c r="H35" s="35" t="str">
        <x:v>每类只能携带一件；八位全开仍只八件常驻</x:v>
      </x:c>
    </x:row>
    <x:row r="36" ht="53" customHeight="1">
      <x:c r="A36" s="35" t="n">
        <x:v>72434130</x:v>
      </x:c>
      <x:c r="B36" s="35" t="str">
        <x:v>听泉鉴灵镜·漱玉</x:v>
      </x:c>
      <x:c r="C36" s="35" t="str">
        <x:v>炼器</x:v>
      </x:c>
      <x:c r="D36" s="35" t="n">
        <x:v>12434130</x:v>
      </x:c>
      <x:c r="E36" s="35" t="str">
        <x:v>筑基</x:v>
      </x:c>
      <x:c r="F36" s="35" t="str">
        <x:v>["命中", null, "整数", 100, "命中+100（万分比单位）", "警戒范围", null, "整数", 45, "警戒范围+45"]</x:v>
      </x:c>
      <x:c r="G36" s="35" t="str">
        <x:v>暂定数值，原示例替换</x:v>
      </x:c>
      <x:c r="H36" s="35" t="str">
        <x:v>每类只能携带一件；八位全开仍只八件常驻</x:v>
      </x:c>
    </x:row>
    <x:row r="37" ht="53" customHeight="1">
      <x:c r="A37" s="35" t="n">
        <x:v>72444095</x:v>
      </x:c>
      <x:c r="B37" s="35" t="str">
        <x:v>裂金剑·破晓</x:v>
      </x:c>
      <x:c r="C37" s="35" t="str">
        <x:v>炼器</x:v>
      </x:c>
      <x:c r="D37" s="35" t="n">
        <x:v>12444095</x:v>
      </x:c>
      <x:c r="E37" s="35" t="str">
        <x:v>筑基</x:v>
      </x:c>
      <x:c r="F37" s="35" t="str">
        <x:v>["攻击上限", null, "整数", 3, "攻击上限+3", "暴击率", null, "整数", 100, "暴击率+100（万分比单位）"]</x:v>
      </x:c>
      <x:c r="G37" s="35" t="str">
        <x:v>暂定数值，原示例替换</x:v>
      </x:c>
      <x:c r="H37" s="35" t="str">
        <x:v>每类只能携带一件；八位全开仍只八件常驻</x:v>
      </x:c>
    </x:row>
    <x:row r="38" ht="38" customHeight="1">
      <x:c r="A38" s="35" t="n">
        <x:v>72444111</x:v>
      </x:c>
      <x:c r="B38" s="35" t="str">
        <x:v>沉星印·太白</x:v>
      </x:c>
      <x:c r="C38" s="35" t="str">
        <x:v>炼器</x:v>
      </x:c>
      <x:c r="D38" s="35" t="n">
        <x:v>12444111</x:v>
      </x:c>
      <x:c r="E38" s="35" t="str">
        <x:v>筑基</x:v>
      </x:c>
      <x:c r="F38" s="35" t="str">
        <x:v>["攻击上限", null, "整数", 1, "攻击上限+1", "法力上限", null, "整数", 1, "法力上限+1"]</x:v>
      </x:c>
      <x:c r="G38" s="35" t="str">
        <x:v>暂定数值，原示例替换</x:v>
      </x:c>
      <x:c r="H38" s="35" t="str">
        <x:v>每类只能携带一件；八位全开仍只八件常驻</x:v>
      </x:c>
    </x:row>
    <x:row r="39" ht="38" customHeight="1">
      <x:c r="A39" s="35" t="n">
        <x:v>72444120</x:v>
      </x:c>
      <x:c r="B39" s="35" t="str">
        <x:v>玉泉灵瓶·怀清</x:v>
      </x:c>
      <x:c r="C39" s="35" t="str">
        <x:v>炼器</x:v>
      </x:c>
      <x:c r="D39" s="35" t="n">
        <x:v>12444120</x:v>
      </x:c>
      <x:c r="E39" s="35" t="str">
        <x:v>筑基</x:v>
      </x:c>
      <x:c r="F39" s="35" t="str">
        <x:v>["攻击上限", null, "整数", 1, "攻击上限+1", "法力上限", null, "整数", 1, "法力上限+1"]</x:v>
      </x:c>
      <x:c r="G39" s="35" t="str">
        <x:v>暂定数值，原示例替换</x:v>
      </x:c>
      <x:c r="H39" s="35" t="str">
        <x:v>每类只能携带一件；八位全开仍只八件常驻</x:v>
      </x:c>
    </x:row>
    <x:row r="40" ht="38" customHeight="1">
      <x:c r="A40" s="35" t="n">
        <x:v>72444124</x:v>
      </x:c>
      <x:c r="B40" s="35" t="str">
        <x:v>余照藏形幡·暮隐</x:v>
      </x:c>
      <x:c r="C40" s="35" t="str">
        <x:v>炼器</x:v>
      </x:c>
      <x:c r="D40" s="35" t="n">
        <x:v>12444124</x:v>
      </x:c>
      <x:c r="E40" s="35" t="str">
        <x:v>筑基</x:v>
      </x:c>
      <x:c r="F40" s="35" t="str">
        <x:v>["法力上限", null, "整数", 2, "法力上限+2", "伤害提升", null, "整数", 2, "伤害提升+2"]</x:v>
      </x:c>
      <x:c r="G40" s="35" t="str">
        <x:v>暂定数值，原示例替换</x:v>
      </x:c>
      <x:c r="H40" s="35" t="str">
        <x:v>每类只能携带一件；八位全开仍只八件常驻</x:v>
      </x:c>
    </x:row>
    <x:row r="41" ht="38" customHeight="1">
      <x:c r="A41" s="35" t="n">
        <x:v>72454095</x:v>
      </x:c>
      <x:c r="B41" s="35" t="str">
        <x:v>赤霞炼宝鼎·丹曦</x:v>
      </x:c>
      <x:c r="C41" s="35" t="str">
        <x:v>炼器</x:v>
      </x:c>
      <x:c r="D41" s="35" t="n">
        <x:v>12454095</x:v>
      </x:c>
      <x:c r="E41" s="35" t="str">
        <x:v>筑基</x:v>
      </x:c>
      <x:c r="F41" s="35" t="str">
        <x:v>["法力上限", null, "整数", 3, "法力上限+3", "施法速度", null, "整数", 5, "施法速度+5"]</x:v>
      </x:c>
      <x:c r="G41" s="35" t="str">
        <x:v>暂定数值，原示例替换</x:v>
      </x:c>
      <x:c r="H41" s="35" t="str">
        <x:v>每类只能携带一件；八位全开仍只八件常驻</x:v>
      </x:c>
    </x:row>
    <x:row r="42" ht="38" customHeight="1">
      <x:c r="A42" s="35" t="n">
        <x:v>72454096</x:v>
      </x:c>
      <x:c r="B42" s="35" t="str">
        <x:v>烛微灵笔·金章</x:v>
      </x:c>
      <x:c r="C42" s="35" t="str">
        <x:v>炼器</x:v>
      </x:c>
      <x:c r="D42" s="35" t="n">
        <x:v>12454096</x:v>
      </x:c>
      <x:c r="E42" s="35" t="str">
        <x:v>筑基</x:v>
      </x:c>
      <x:c r="F42" s="35" t="str">
        <x:v>["法力上限", null, "整数", 1, "法力上限+1", "施法速度", null, "整数", 2, "施法速度+2"]</x:v>
      </x:c>
      <x:c r="G42" s="35" t="str">
        <x:v>暂定数值，原示例替换</x:v>
      </x:c>
      <x:c r="H42" s="35" t="str">
        <x:v>每类只能携带一件；八位全开仍只八件常驻</x:v>
      </x:c>
    </x:row>
    <x:row r="43" ht="38" customHeight="1">
      <x:c r="A43" s="35" t="n">
        <x:v>72454100</x:v>
      </x:c>
      <x:c r="B43" s="35" t="str">
        <x:v>回春摄魄葫芦·魂栖</x:v>
      </x:c>
      <x:c r="C43" s="35" t="str">
        <x:v>炼器</x:v>
      </x:c>
      <x:c r="D43" s="35" t="n">
        <x:v>12454100</x:v>
      </x:c>
      <x:c r="E43" s="35" t="str">
        <x:v>筑基</x:v>
      </x:c>
      <x:c r="F43" s="35" t="str">
        <x:v>["生命值", null, "整数", 2, "生命值+2", "每秒回血", null, "整数", 2, "每秒回血+2"]</x:v>
      </x:c>
      <x:c r="G43" s="35" t="str">
        <x:v>暂定数值，原示例替换</x:v>
      </x:c>
      <x:c r="H43" s="35" t="str">
        <x:v>每类只能携带一件；八位全开仍只八件常驻</x:v>
      </x:c>
    </x:row>
    <x:row r="44" ht="53" customHeight="1">
      <x:c r="A44" s="35" t="n">
        <x:v>72454101</x:v>
      </x:c>
      <x:c r="B44" s="35" t="str">
        <x:v>流云渡玄舟·凌虚</x:v>
      </x:c>
      <x:c r="C44" s="35" t="str">
        <x:v>炼器</x:v>
      </x:c>
      <x:c r="D44" s="35" t="n">
        <x:v>12454101</x:v>
      </x:c>
      <x:c r="E44" s="35" t="str">
        <x:v>筑基</x:v>
      </x:c>
      <x:c r="F44" s="35" t="str">
        <x:v>["移动速度", null, "整数", 3, "移动速度+3", "闪避", null, "整数", 125, "闪避+125（万分比单位）"]</x:v>
      </x:c>
      <x:c r="G44" s="35" t="str">
        <x:v>暂定数值，原示例替换</x:v>
      </x:c>
      <x:c r="H44" s="35" t="str">
        <x:v>每类只能携带一件；八位全开仍只八件常驻</x:v>
      </x:c>
    </x:row>
    <x:row r="45" ht="38" customHeight="1">
      <x:c r="A45" s="35" t="n">
        <x:v>72464095</x:v>
      </x:c>
      <x:c r="B45" s="35" t="str">
        <x:v>缚岳灵索·锁岑</x:v>
      </x:c>
      <x:c r="C45" s="35" t="str">
        <x:v>炼器</x:v>
      </x:c>
      <x:c r="D45" s="35" t="n">
        <x:v>12464095</x:v>
      </x:c>
      <x:c r="E45" s="35" t="str">
        <x:v>筑基</x:v>
      </x:c>
      <x:c r="F45" s="35" t="str">
        <x:v>["物防上限", null, "整数", 3, "物防上限+3", "法防上限", null, "整数", 3, "法防上限+3"]</x:v>
      </x:c>
      <x:c r="G45" s="35" t="str">
        <x:v>暂定数值，原示例替换</x:v>
      </x:c>
      <x:c r="H45" s="35" t="str">
        <x:v>每类只能携带一件；八位全开仍只八件常驻</x:v>
      </x:c>
    </x:row>
    <x:row r="46" ht="38" customHeight="1">
      <x:c r="A46" s="35" t="n">
        <x:v>72464104</x:v>
      </x:c>
      <x:c r="B46" s="35" t="str">
        <x:v>辟火玄鳞伞·金鳞</x:v>
      </x:c>
      <x:c r="C46" s="35" t="str">
        <x:v>炼器</x:v>
      </x:c>
      <x:c r="D46" s="35" t="n">
        <x:v>12464104</x:v>
      </x:c>
      <x:c r="E46" s="35" t="str">
        <x:v>筑基</x:v>
      </x:c>
      <x:c r="F46" s="35" t="str">
        <x:v>["伤害提升", null, "整数", 3, "伤害提升+3", "攻击上限", null, "整数", 3, "攻击上限+3"]</x:v>
      </x:c>
      <x:c r="G46" s="35" t="str">
        <x:v>暂定数值，原示例替换</x:v>
      </x:c>
      <x:c r="H46" s="35" t="str">
        <x:v>每类只能携带一件；八位全开仍只八件常驻</x:v>
      </x:c>
    </x:row>
    <x:row r="47" ht="38" customHeight="1">
      <x:c r="A47" s="35" t="n">
        <x:v>72464120</x:v>
      </x:c>
      <x:c r="B47" s="35" t="str">
        <x:v>坤元甘霖瓶·膏泽</x:v>
      </x:c>
      <x:c r="C47" s="35" t="str">
        <x:v>炼器</x:v>
      </x:c>
      <x:c r="D47" s="35" t="n">
        <x:v>12464120</x:v>
      </x:c>
      <x:c r="E47" s="35" t="str">
        <x:v>筑基</x:v>
      </x:c>
      <x:c r="F47" s="35" t="str">
        <x:v>["攻击上限", null, "整数", 1, "攻击上限+1", "法力上限", null, "整数", 1, "法力上限+1"]</x:v>
      </x:c>
      <x:c r="G47" s="35" t="str">
        <x:v>暂定数值，原示例替换</x:v>
      </x:c>
      <x:c r="H47" s="35" t="str">
        <x:v>每类只能携带一件；八位全开仍只八件常驻</x:v>
      </x:c>
    </x:row>
    <x:row r="48" ht="38" customHeight="1">
      <x:c r="A48" s="35" t="n">
        <x:v>72464132</x:v>
      </x:c>
      <x:c r="B48" s="35" t="str">
        <x:v>镇岳炼宝鼎·玄枢</x:v>
      </x:c>
      <x:c r="C48" s="35" t="str">
        <x:v>炼器</x:v>
      </x:c>
      <x:c r="D48" s="35" t="n">
        <x:v>12464132</x:v>
      </x:c>
      <x:c r="E48" s="35" t="str">
        <x:v>筑基</x:v>
      </x:c>
      <x:c r="F48" s="35" t="str">
        <x:v>["物防上限", null, "整数", 1, "物防上限+1", "法防上限", null, "整数", 1, "法防上限+1"]</x:v>
      </x:c>
      <x:c r="G48" s="35" t="str">
        <x:v>暂定数值，原示例替换</x:v>
      </x:c>
      <x:c r="H48" s="35" t="str">
        <x:v>每类只能携带一件；八位全开仍只八件常驻</x:v>
      </x:c>
    </x:row>
    <x:row r="49" ht="38" customHeight="1">
      <x:c r="A49" s="35" t="n">
        <x:v>72474095</x:v>
      </x:c>
      <x:c r="B49" s="35" t="str">
        <x:v>沉天印·天钧</x:v>
      </x:c>
      <x:c r="C49" s="35" t="str">
        <x:v>炼器</x:v>
      </x:c>
      <x:c r="D49" s="35" t="n">
        <x:v>12474095</x:v>
      </x:c>
      <x:c r="E49" s="35" t="str">
        <x:v>筑基</x:v>
      </x:c>
      <x:c r="F49" s="35" t="str">
        <x:v>["伤害提升", null, "整数", 3, "伤害提升+3", "攻击上限", null, "整数", 3, "攻击上限+3"]</x:v>
      </x:c>
      <x:c r="G49" s="35" t="str">
        <x:v>暂定数值，原示例替换</x:v>
      </x:c>
      <x:c r="H49" s="35" t="str">
        <x:v>每类只能携带一件；八位全开仍只八件常驻</x:v>
      </x:c>
    </x:row>
    <x:row r="50" ht="53" customHeight="1">
      <x:c r="A50" s="35" t="n">
        <x:v>72474104</x:v>
      </x:c>
      <x:c r="B50" s="35" t="str">
        <x:v>地心丹炉·金髓</x:v>
      </x:c>
      <x:c r="C50" s="35" t="str">
        <x:v>炼器</x:v>
      </x:c>
      <x:c r="D50" s="35" t="n">
        <x:v>12474104</x:v>
      </x:c>
      <x:c r="E50" s="35" t="str">
        <x:v>筑基</x:v>
      </x:c>
      <x:c r="F50" s="35" t="str">
        <x:v>["神识", null, "整数", 3, "神识+3", "免暴击率", null, "整数", 200, "免暴击率+200（万分比单位）"]</x:v>
      </x:c>
      <x:c r="G50" s="35" t="str">
        <x:v>暂定数值，原示例替换</x:v>
      </x:c>
      <x:c r="H50" s="35" t="str">
        <x:v>每类只能携带一件；八位全开仍只八件常驻</x:v>
      </x:c>
    </x:row>
    <x:row r="51" ht="38" customHeight="1">
      <x:c r="A51" s="35" t="n">
        <x:v>72474119</x:v>
      </x:c>
      <x:c r="B51" s="35" t="str">
        <x:v>九窍通灵瓶·吐纳</x:v>
      </x:c>
      <x:c r="C51" s="35" t="str">
        <x:v>炼器</x:v>
      </x:c>
      <x:c r="D51" s="35" t="n">
        <x:v>12474119</x:v>
      </x:c>
      <x:c r="E51" s="35" t="str">
        <x:v>筑基</x:v>
      </x:c>
      <x:c r="F51" s="35" t="str">
        <x:v>["灵力值", null, "整数", 3, "灵力值+3", "每秒回灵", null, "整数", 3, "每秒回灵+3"]</x:v>
      </x:c>
      <x:c r="G51" s="35" t="str">
        <x:v>暂定数值，原示例替换</x:v>
      </x:c>
      <x:c r="H51" s="35" t="str">
        <x:v>每类只能携带一件；八位全开仍只八件常驻</x:v>
      </x:c>
    </x:row>
    <x:row r="52" ht="53" customHeight="1">
      <x:c r="A52" s="35" t="n">
        <x:v>72474123</x:v>
      </x:c>
      <x:c r="B52" s="35" t="str">
        <x:v>照微鉴宝镜·洞玄</x:v>
      </x:c>
      <x:c r="C52" s="35" t="str">
        <x:v>炼器</x:v>
      </x:c>
      <x:c r="D52" s="35" t="n">
        <x:v>12474123</x:v>
      </x:c>
      <x:c r="E52" s="35" t="str">
        <x:v>筑基</x:v>
      </x:c>
      <x:c r="F52" s="35" t="str">
        <x:v>["命中", null, "整数", 175, "命中+175（万分比单位）", "警戒范围", null, "整数", 55, "警戒范围+55"]</x:v>
      </x:c>
      <x:c r="G52" s="35" t="str">
        <x:v>暂定数值，原示例替换</x:v>
      </x:c>
      <x:c r="H52" s="35" t="str">
        <x:v>每类只能携带一件；八位全开仍只八件常驻</x:v>
      </x:c>
    </x:row>
    <x:row r="53" ht="38" customHeight="1">
      <x:c r="A53" s="35" t="n">
        <x:v>72484095</x:v>
      </x:c>
      <x:c r="B53" s="35" t="str">
        <x:v>五气甘霖瓶·春满</x:v>
      </x:c>
      <x:c r="C53" s="35" t="str">
        <x:v>炼器</x:v>
      </x:c>
      <x:c r="D53" s="35" t="n">
        <x:v>12484095</x:v>
      </x:c>
      <x:c r="E53" s="35" t="str">
        <x:v>筑基</x:v>
      </x:c>
      <x:c r="F53" s="35" t="str">
        <x:v>["伤害提升", null, "整数", 3, "伤害提升+3", "攻击上限", null, "整数", 3, "攻击上限+3"]</x:v>
      </x:c>
      <x:c r="G53" s="35" t="str">
        <x:v>暂定数值，原示例替换</x:v>
      </x:c>
      <x:c r="H53" s="35" t="str">
        <x:v>每类只能携带一件；八位全开仍只八件常驻</x:v>
      </x:c>
    </x:row>
    <x:row r="54" ht="38" customHeight="1">
      <x:c r="A54" s="35" t="n">
        <x:v>72484107</x:v>
      </x:c>
      <x:c r="B54" s="35" t="str">
        <x:v>太和乾坤袋·须弥</x:v>
      </x:c>
      <x:c r="C54" s="35" t="str">
        <x:v>炼器</x:v>
      </x:c>
      <x:c r="D54" s="35" t="n">
        <x:v>12484107</x:v>
      </x:c>
      <x:c r="E54" s="35" t="str">
        <x:v>筑基</x:v>
      </x:c>
      <x:c r="F54" s="35" t="str">
        <x:v>["伤害提升", null, "整数", 3, "伤害提升+3", "攻击上限", null, "整数", 3, "攻击上限+3"]</x:v>
      </x:c>
      <x:c r="G54" s="35" t="str">
        <x:v>暂定数值，原示例替换</x:v>
      </x:c>
      <x:c r="H54" s="35" t="str">
        <x:v>每类只能携带一件；八位全开仍只八件常驻</x:v>
      </x:c>
    </x:row>
    <x:row r="55" ht="53" customHeight="1">
      <x:c r="A55" s="35" t="n">
        <x:v>72484108</x:v>
      </x:c>
      <x:c r="B55" s="35" t="str">
        <x:v>通天渡虚舟·彼岸</x:v>
      </x:c>
      <x:c r="C55" s="35" t="str">
        <x:v>炼器</x:v>
      </x:c>
      <x:c r="D55" s="35" t="n">
        <x:v>12484108</x:v>
      </x:c>
      <x:c r="E55" s="35" t="str">
        <x:v>筑基</x:v>
      </x:c>
      <x:c r="F55" s="35" t="str">
        <x:v>["移动速度", null, "整数", 2, "移动速度+2", "闪避", null, "整数", 175, "闪避+175（万分比单位）"]</x:v>
      </x:c>
      <x:c r="G55" s="35" t="str">
        <x:v>暂定数值，原示例替换</x:v>
      </x:c>
      <x:c r="H55" s="35" t="str">
        <x:v>每类只能携带一件；八位全开仍只八件常驻</x:v>
      </x:c>
    </x:row>
    <x:row r="56" ht="38" customHeight="1">
      <x:c r="A56" s="35" t="n">
        <x:v>72484109</x:v>
      </x:c>
      <x:c r="B56" s="35" t="str">
        <x:v>万象藏形幡·忘形</x:v>
      </x:c>
      <x:c r="C56" s="35" t="str">
        <x:v>炼器</x:v>
      </x:c>
      <x:c r="D56" s="35" t="n">
        <x:v>12484109</x:v>
      </x:c>
      <x:c r="E56" s="35" t="str">
        <x:v>筑基</x:v>
      </x:c>
      <x:c r="F56" s="35" t="str">
        <x:v>["法力上限", null, "整数", 2, "法力上限+2", "伤害提升", null, "整数", 2, "伤害提升+2"]</x:v>
      </x:c>
      <x:c r="G56" s="35" t="str">
        <x:v>暂定数值，原示例替换</x:v>
      </x:c>
      <x:c r="H56" s="35" t="str">
        <x:v>每类只能携带一件；八位全开仍只八件常驻</x:v>
      </x:c>
    </x:row>
    <x:row r="57" ht="53" customHeight="1">
      <x:c r="A57" s="35" t="n">
        <x:v>72221026</x:v>
      </x:c>
      <x:c r="B57" s="35" t="str">
        <x:v>神行符</x:v>
      </x:c>
      <x:c r="C57" s="35" t="str">
        <x:v>符箓</x:v>
      </x:c>
      <x:c r="D57" s="35" t="n">
        <x:v>12222026</x:v>
      </x:c>
      <x:c r="E57" s="35" t="str">
        <x:v>筑基</x:v>
      </x:c>
      <x:c r="F57" s="35" t="str">
        <x:v>["移动速度", null, "整数", 4, "移动速度+4", "闪避", null, "整数", 75, "闪避+75（万分比单位）"]</x:v>
      </x:c>
      <x:c r="G57" s="35" t="str">
        <x:v>暂定数值，原示例替换</x:v>
      </x:c>
      <x:c r="H57" s="35" t="str">
        <x:v>每类只能携带一件；八位全开仍只八件常驻</x:v>
      </x:c>
    </x:row>
    <x:row r="58" ht="53" customHeight="1">
      <x:c r="A58" s="35" t="n">
        <x:v>72221024</x:v>
      </x:c>
      <x:c r="B58" s="35" t="str">
        <x:v>清心符</x:v>
      </x:c>
      <x:c r="C58" s="35" t="str">
        <x:v>符箓</x:v>
      </x:c>
      <x:c r="D58" s="35" t="n">
        <x:v>12222024</x:v>
      </x:c>
      <x:c r="E58" s="35" t="str">
        <x:v>筑基</x:v>
      </x:c>
      <x:c r="F58" s="35" t="str">
        <x:v>["神识", null, "整数", 1, "神识+1", "免暴击率", null, "整数", 120, "免暴击率+120（万分比单位）"]</x:v>
      </x:c>
      <x:c r="G58" s="35" t="str">
        <x:v>暂定数值，原示例替换</x:v>
      </x:c>
      <x:c r="H58" s="35" t="str">
        <x:v>每类只能携带一件；八位全开仍只八件常驻</x:v>
      </x:c>
    </x:row>
    <x:row r="59" ht="53" customHeight="1">
      <x:c r="A59" s="35" t="n">
        <x:v>72221033</x:v>
      </x:c>
      <x:c r="B59" s="35" t="str">
        <x:v>破妄符</x:v>
      </x:c>
      <x:c r="C59" s="35" t="str">
        <x:v>符箓</x:v>
      </x:c>
      <x:c r="D59" s="35" t="n">
        <x:v>12222033</x:v>
      </x:c>
      <x:c r="E59" s="35" t="str">
        <x:v>筑基</x:v>
      </x:c>
      <x:c r="F59" s="35" t="str">
        <x:v>["命中", null, "整数", 105, "命中+105（万分比单位）", "警戒范围", null, "整数", 35, "警戒范围+35"]</x:v>
      </x:c>
      <x:c r="G59" s="35" t="str">
        <x:v>暂定数值，原示例替换</x:v>
      </x:c>
      <x:c r="H59" s="35" t="str">
        <x:v>每类只能携带一件；八位全开仍只八件常驻</x:v>
      </x:c>
    </x:row>
    <x:row r="60" ht="53" customHeight="1">
      <x:c r="A60" s="35" t="n">
        <x:v>72221027</x:v>
      </x:c>
      <x:c r="B60" s="35" t="str">
        <x:v>轻身符</x:v>
      </x:c>
      <x:c r="C60" s="35" t="str">
        <x:v>符箓</x:v>
      </x:c>
      <x:c r="D60" s="35" t="n">
        <x:v>12222027</x:v>
      </x:c>
      <x:c r="E60" s="35" t="str">
        <x:v>筑基</x:v>
      </x:c>
      <x:c r="F60" s="35" t="str">
        <x:v>["移动速度", null, "整数", 5, "移动速度+5", "闪避", null, "整数", 90, "闪避+90（万分比单位）"]</x:v>
      </x:c>
      <x:c r="G60" s="35" t="str">
        <x:v>暂定数值，原示例替换</x:v>
      </x:c>
      <x:c r="H60" s="35" t="str">
        <x:v>每类只能携带一件；八位全开仍只八件常驻</x:v>
      </x:c>
    </x:row>
    <x:row r="61" ht="53" customHeight="1">
      <x:c r="A61" s="35" t="n">
        <x:v>72221025</x:v>
      </x:c>
      <x:c r="B61" s="35" t="str">
        <x:v>辟瘴符</x:v>
      </x:c>
      <x:c r="C61" s="35" t="str">
        <x:v>符箓</x:v>
      </x:c>
      <x:c r="D61" s="35" t="n">
        <x:v>12222025</x:v>
      </x:c>
      <x:c r="E61" s="35" t="str">
        <x:v>筑基</x:v>
      </x:c>
      <x:c r="F61" s="35" t="str">
        <x:v>["移动速度", null, "整数", 3, "移动速度+3", "命中", null, "整数", 60, "命中+60（万分比单位）"]</x:v>
      </x:c>
      <x:c r="G61" s="35" t="str">
        <x:v>暂定数值，原示例替换</x:v>
      </x:c>
      <x:c r="H61" s="35" t="str">
        <x:v>每类只能携带一件；八位全开仍只八件常驻</x:v>
      </x:c>
    </x:row>
    <x:row r="62" ht="38" customHeight="1">
      <x:c r="A62" s="35" t="n">
        <x:v>72124000</x:v>
      </x:c>
      <x:c r="B62" s="35" t="str">
        <x:v>引溪阵盘</x:v>
      </x:c>
      <x:c r="C62" s="35" t="str">
        <x:v>阵法</x:v>
      </x:c>
      <x:c r="D62" s="35" t="n">
        <x:v>12124000</x:v>
      </x:c>
      <x:c r="E62" s="35" t="str">
        <x:v>筑基</x:v>
      </x:c>
      <x:c r="F62" s="35" t="str">
        <x:v>["物防上限", null, "整数", 1, "物防上限+1", "法防上限", null, "整数", 1, "法防上限+1"]</x:v>
      </x:c>
      <x:c r="G62" s="35" t="str">
        <x:v>暂定数值，原示例替换</x:v>
      </x:c>
      <x:c r="H62" s="35" t="str">
        <x:v>每类只能携带一件；八位全开仍只八件常驻</x:v>
      </x:c>
    </x:row>
    <x:row r="63" ht="38" customHeight="1">
      <x:c r="A63" s="35" t="n">
        <x:v>72185000</x:v>
      </x:c>
      <x:c r="B63" s="35" t="str">
        <x:v>留月阵图</x:v>
      </x:c>
      <x:c r="C63" s="35" t="str">
        <x:v>阵法</x:v>
      </x:c>
      <x:c r="D63" s="35" t="n">
        <x:v>12185000</x:v>
      </x:c>
      <x:c r="E63" s="35" t="str">
        <x:v>筑基</x:v>
      </x:c>
      <x:c r="F63" s="35" t="str">
        <x:v>["物防上限", null, "整数", 1, "物防上限+1", "法防上限", null, "整数", 1, "法防上限+1"]</x:v>
      </x:c>
      <x:c r="G63" s="35" t="str">
        <x:v>暂定数值，原示例替换</x:v>
      </x:c>
      <x:c r="H63" s="35" t="str">
        <x:v>每类只能携带一件；八位全开仍只八件常驻</x:v>
      </x:c>
    </x:row>
    <x:row r="64" ht="38" customHeight="1">
      <x:c r="A64" s="35" t="n">
        <x:v>72134000</x:v>
      </x:c>
      <x:c r="B64" s="35" t="str">
        <x:v>回春阵旗</x:v>
      </x:c>
      <x:c r="C64" s="35" t="str">
        <x:v>阵法</x:v>
      </x:c>
      <x:c r="D64" s="35" t="n">
        <x:v>12134000</x:v>
      </x:c>
      <x:c r="E64" s="35" t="str">
        <x:v>筑基</x:v>
      </x:c>
      <x:c r="F64" s="35" t="str">
        <x:v>["生命值", null, "整数", 1, "生命值+1", "每秒回血", null, "整数", 1, "每秒回血+1"]</x:v>
      </x:c>
      <x:c r="G64" s="35" t="str">
        <x:v>暂定数值，原示例替换</x:v>
      </x:c>
      <x:c r="H64" s="35" t="str">
        <x:v>每类只能携带一件；八位全开仍只八件常驻</x:v>
      </x:c>
    </x:row>
    <x:row r="65" ht="53" customHeight="1">
      <x:c r="A65" s="35" t="n">
        <x:v>72165000</x:v>
      </x:c>
      <x:c r="B65" s="35" t="str">
        <x:v>续脉阵心</x:v>
      </x:c>
      <x:c r="C65" s="35" t="str">
        <x:v>阵法</x:v>
      </x:c>
      <x:c r="D65" s="35" t="n">
        <x:v>12165000</x:v>
      </x:c>
      <x:c r="E65" s="35" t="str">
        <x:v>筑基</x:v>
      </x:c>
      <x:c r="F65" s="35" t="str">
        <x:v>["神识", null, "整数", 1, "神识+1", "免暴击率", null, "整数", 100, "免暴击率+100（万分比单位）"]</x:v>
      </x:c>
      <x:c r="G65" s="35" t="str">
        <x:v>暂定数值，原示例替换</x:v>
      </x:c>
      <x:c r="H65" s="35" t="str">
        <x:v>每类只能携带一件；八位全开仍只八件常驻</x:v>
      </x:c>
    </x:row>
    <x:row r="66" ht="38" customHeight="1">
      <x:c r="A66" s="35" t="n">
        <x:v>72144000</x:v>
      </x:c>
      <x:c r="B66" s="35" t="str">
        <x:v>镇岳阵印</x:v>
      </x:c>
      <x:c r="C66" s="35" t="str">
        <x:v>阵法</x:v>
      </x:c>
      <x:c r="D66" s="35" t="n">
        <x:v>12144000</x:v>
      </x:c>
      <x:c r="E66" s="35" t="str">
        <x:v>筑基</x:v>
      </x:c>
      <x:c r="F66" s="35" t="str">
        <x:v>["物防上限", null, "整数", 1, "物防上限+1", "法防上限", null, "整数", 1, "法防上限+1"]</x:v>
      </x:c>
      <x:c r="G66" s="35" t="str">
        <x:v>暂定数值，原示例替换</x:v>
      </x:c>
      <x:c r="H66" s="35" t="str">
        <x:v>每类只能携带一件；八位全开仍只八件常驻</x:v>
      </x:c>
    </x:row>
    <x:row r="67" ht="38" customHeight="1">
      <x:c r="A67" s="35" t="n">
        <x:v>72175000</x:v>
      </x:c>
      <x:c r="B67" s="35" t="str">
        <x:v>隔焰阵盘</x:v>
      </x:c>
      <x:c r="C67" s="35" t="str">
        <x:v>阵法</x:v>
      </x:c>
      <x:c r="D67" s="35" t="n">
        <x:v>12175000</x:v>
      </x:c>
      <x:c r="E67" s="35" t="str">
        <x:v>筑基</x:v>
      </x:c>
      <x:c r="F67" s="35" t="str">
        <x:v>["物防上限", null, "整数", 1, "物防上限+1", "法防上限", null, "整数", 1, "法防上限+1"]</x:v>
      </x:c>
      <x:c r="G67" s="35" t="str">
        <x:v>暂定数值，原示例替换</x:v>
      </x:c>
      <x:c r="H67" s="35" t="str">
        <x:v>每类只能携带一件；八位全开仍只八件常驻</x:v>
      </x:c>
    </x:row>
    <x:row r="68" ht="53" customHeight="1">
      <x:c r="A68" s="35" t="n">
        <x:v>72124001</x:v>
      </x:c>
      <x:c r="B68" s="35" t="str">
        <x:v>回锋阵盘</x:v>
      </x:c>
      <x:c r="C68" s="35" t="str">
        <x:v>阵法</x:v>
      </x:c>
      <x:c r="D68" s="35" t="n">
        <x:v>12124001</x:v>
      </x:c>
      <x:c r="E68" s="35" t="str">
        <x:v>筑基</x:v>
      </x:c>
      <x:c r="F68" s="35" t="str">
        <x:v>["攻击上限", null, "整数", 2, "攻击上限+2", "暴击率", null, "整数", 125, "暴击率+125（万分比单位）"]</x:v>
      </x:c>
      <x:c r="G68" s="35" t="str">
        <x:v>暂定数值，原示例替换</x:v>
      </x:c>
      <x:c r="H68" s="35" t="str">
        <x:v>每类只能携带一件；八位全开仍只八件常驻</x:v>
      </x:c>
    </x:row>
    <x:row r="69" ht="53" customHeight="1">
      <x:c r="A69" s="35" t="n">
        <x:v>72155000</x:v>
      </x:c>
      <x:c r="B69" s="35" t="str">
        <x:v>余烬阵心</x:v>
      </x:c>
      <x:c r="C69" s="35" t="str">
        <x:v>阵法</x:v>
      </x:c>
      <x:c r="D69" s="35" t="n">
        <x:v>12155000</x:v>
      </x:c>
      <x:c r="E69" s="35" t="str">
        <x:v>筑基</x:v>
      </x:c>
      <x:c r="F69" s="35" t="str">
        <x:v>["神识", null, "整数", 1, "神识+1", "免暴击率", null, "整数", 100, "免暴击率+100（万分比单位）"]</x:v>
      </x:c>
      <x:c r="G69" s="35" t="str">
        <x:v>暂定数值，原示例替换</x:v>
      </x:c>
      <x:c r="H69" s="35" t="str">
        <x:v>每类只能携带一件；八位全开仍只八件常驻</x:v>
      </x:c>
    </x:row>
    <x:row r="70" ht="53" customHeight="1">
      <x:c r="A70" s="35" t="n">
        <x:v>72134001</x:v>
      </x:c>
      <x:c r="B70" s="35" t="str">
        <x:v>镇步阵印</x:v>
      </x:c>
      <x:c r="C70" s="35" t="str">
        <x:v>阵法</x:v>
      </x:c>
      <x:c r="D70" s="35" t="n">
        <x:v>12134001</x:v>
      </x:c>
      <x:c r="E70" s="35" t="str">
        <x:v>筑基</x:v>
      </x:c>
      <x:c r="F70" s="35" t="str">
        <x:v>["法防上限", null, "整数", 2, "法防上限+2", "警戒范围", null, "整数", 35, "警戒范围+35"]</x:v>
      </x:c>
      <x:c r="G70" s="35" t="str">
        <x:v>暂定数值，原示例替换</x:v>
      </x:c>
      <x:c r="H70" s="35" t="str">
        <x:v>每类只能携带一件；八位全开仍只八件常驻</x:v>
      </x:c>
    </x:row>
    <x:row r="71" ht="53" customHeight="1">
      <x:c r="A71" s="35" t="n">
        <x:v>72165001</x:v>
      </x:c>
      <x:c r="B71" s="35" t="str">
        <x:v>缠枝阵图</x:v>
      </x:c>
      <x:c r="C71" s="35" t="str">
        <x:v>阵法</x:v>
      </x:c>
      <x:c r="D71" s="35" t="n">
        <x:v>12165001</x:v>
      </x:c>
      <x:c r="E71" s="35" t="str">
        <x:v>筑基</x:v>
      </x:c>
      <x:c r="F71" s="35" t="str">
        <x:v>["法防上限", null, "整数", 2, "法防上限+2", "警戒范围", null, "整数", 35, "警戒范围+35"]</x:v>
      </x:c>
      <x:c r="G71" s="35" t="str">
        <x:v>暂定数值，原示例替换</x:v>
      </x:c>
      <x:c r="H71" s="35" t="str">
        <x:v>每类只能携带一件；八位全开仍只八件常驻</x:v>
      </x:c>
    </x:row>
    <x:row r="72" ht="53" customHeight="1">
      <x:c r="A72" s="35" t="n">
        <x:v>72134002</x:v>
      </x:c>
      <x:c r="B72" s="35" t="str">
        <x:v>乱向阵旗</x:v>
      </x:c>
      <x:c r="C72" s="35" t="str">
        <x:v>阵法</x:v>
      </x:c>
      <x:c r="D72" s="35" t="n">
        <x:v>12134002</x:v>
      </x:c>
      <x:c r="E72" s="35" t="str">
        <x:v>筑基</x:v>
      </x:c>
      <x:c r="F72" s="35" t="str">
        <x:v>["警戒范围", null, "整数", 45, "警戒范围+45", "物防上限", null, "整数", 3, "物防上限+3"]</x:v>
      </x:c>
      <x:c r="G72" s="35" t="str">
        <x:v>暂定数值，原示例替换</x:v>
      </x:c>
      <x:c r="H72" s="35" t="str">
        <x:v>每类只能携带一件；八位全开仍只八件常驻</x:v>
      </x:c>
    </x:row>
    <x:row r="73" ht="53" customHeight="1">
      <x:c r="A73" s="35" t="n">
        <x:v>72185001</x:v>
      </x:c>
      <x:c r="B73" s="35" t="str">
        <x:v>藏息阵印</x:v>
      </x:c>
      <x:c r="C73" s="35" t="str">
        <x:v>阵法</x:v>
      </x:c>
      <x:c r="D73" s="35" t="n">
        <x:v>12185001</x:v>
      </x:c>
      <x:c r="E73" s="35" t="str">
        <x:v>筑基</x:v>
      </x:c>
      <x:c r="F73" s="35" t="str">
        <x:v>["法防上限", null, "整数", 2, "法防上限+2", "警戒范围", null, "整数", 35, "警戒范围+35"]</x:v>
      </x:c>
      <x:c r="G73" s="35" t="str">
        <x:v>暂定数值，原示例替换</x:v>
      </x:c>
      <x:c r="H73" s="35" t="str">
        <x:v>每类只能携带一件；八位全开仍只八件常驻</x:v>
      </x:c>
    </x:row>
    <x:row r="74" ht="53" customHeight="1">
      <x:c r="A74" s="35" t="n">
        <x:v>70902005</x:v>
      </x:c>
      <x:c r="B74" s="35" t="str">
        <x:v>抱一守真经</x:v>
      </x:c>
      <x:c r="C74" s="35" t="str">
        <x:v>功法</x:v>
      </x:c>
      <x:c r="D74" s="35" t="n">
        <x:v>10901005</x:v>
      </x:c>
      <x:c r="E74" s="35" t="str">
        <x:v>筑基</x:v>
      </x:c>
      <x:c r="F74" s="35" t="str">
        <x:v>["每时辰灵气吸收", null, "整数", 1, "每时辰灵气吸收+1", "额外转化值", null, "整数", 1, "额外转化值+1"]</x:v>
      </x:c>
      <x:c r="G74" s="35" t="str">
        <x:v>暂定数值，原示例替换</x:v>
      </x:c>
      <x:c r="H74" s="35" t="str">
        <x:v>每类只能携带一件；八位全开仍只八件常驻</x:v>
      </x:c>
    </x:row>
    <x:row r="75" ht="53" customHeight="1">
      <x:c r="A75" s="35" t="n">
        <x:v>70902006</x:v>
      </x:c>
      <x:c r="B75" s="35" t="str">
        <x:v>日月顺时篇</x:v>
      </x:c>
      <x:c r="C75" s="35" t="str">
        <x:v>功法</x:v>
      </x:c>
      <x:c r="D75" s="35" t="n">
        <x:v>10901006</x:v>
      </x:c>
      <x:c r="E75" s="35" t="str">
        <x:v>筑基</x:v>
      </x:c>
      <x:c r="F75" s="35" t="str">
        <x:v>["每时辰灵气吸收", null, "整数", 1, "每时辰灵气吸收+1", "额外转化值", null, "整数", 1, "额外转化值+1"]</x:v>
      </x:c>
      <x:c r="G75" s="35" t="str">
        <x:v>暂定数值，原示例替换</x:v>
      </x:c>
      <x:c r="H75" s="35" t="str">
        <x:v>每类只能携带一件；八位全开仍只八件常驻</x:v>
      </x:c>
    </x:row>
    <x:row r="76" ht="53" customHeight="1">
      <x:c r="A76" s="35" t="n">
        <x:v>70902013</x:v>
      </x:c>
      <x:c r="B76" s="35" t="str">
        <x:v>观剑养锋篇</x:v>
      </x:c>
      <x:c r="C76" s="35" t="str">
        <x:v>功法</x:v>
      </x:c>
      <x:c r="D76" s="35" t="n">
        <x:v>10901013</x:v>
      </x:c>
      <x:c r="E76" s="35" t="str">
        <x:v>筑基</x:v>
      </x:c>
      <x:c r="F76" s="35" t="str">
        <x:v>["攻击上限", null, "整数", 1, "攻击上限+1", "暴击率", null, "整数", 105, "暴击率+105（万分比单位）"]</x:v>
      </x:c>
      <x:c r="G76" s="35" t="str">
        <x:v>暂定数值，原示例替换</x:v>
      </x:c>
      <x:c r="H76" s="35" t="str">
        <x:v>每类只能携带一件；八位全开仍只八件常驻</x:v>
      </x:c>
    </x:row>
    <x:row r="77" ht="53" customHeight="1">
      <x:c r="A77" s="35" t="n">
        <x:v>71002000</x:v>
      </x:c>
      <x:c r="B77" s="35" t="str">
        <x:v>灵植术</x:v>
      </x:c>
      <x:c r="C77" s="35" t="str">
        <x:v>功法</x:v>
      </x:c>
      <x:c r="D77" s="35" t="n">
        <x:v>11021000</x:v>
      </x:c>
      <x:c r="E77" s="35" t="str">
        <x:v>筑基</x:v>
      </x:c>
      <x:c r="F77" s="35" t="str">
        <x:v>["每时辰灵气吸收", null, "整数", 1, "每时辰灵气吸收+1", "基础修为增幅", null, "整数", 60, "基础修为增幅+60（万分比单位）"]</x:v>
      </x:c>
      <x:c r="G77" s="35" t="str">
        <x:v>暂定数值，原示例替换</x:v>
      </x:c>
      <x:c r="H77" s="35" t="str">
        <x:v>每类只能携带一件；八位全开仍只八件常驻</x:v>
      </x:c>
    </x:row>
    <x:row r="78" ht="53" customHeight="1">
      <x:c r="A78" s="35" t="n">
        <x:v>70902028</x:v>
      </x:c>
      <x:c r="B78" s="35" t="str">
        <x:v>万灵御心诀</x:v>
      </x:c>
      <x:c r="C78" s="35" t="str">
        <x:v>功法</x:v>
      </x:c>
      <x:c r="D78" s="35" t="n">
        <x:v>10902028</x:v>
      </x:c>
      <x:c r="E78" s="35" t="str">
        <x:v>筑基</x:v>
      </x:c>
      <x:c r="F78" s="35" t="str">
        <x:v>["神识", null, "整数", 1, "神识+1", "免暴击率", null, "整数", 105, "免暴击率+105（万分比单位）"]</x:v>
      </x:c>
      <x:c r="G78" s="35" t="str">
        <x:v>暂定数值，原示例替换</x:v>
      </x:c>
      <x:c r="H78" s="35" t="str">
        <x:v>每类只能携带一件；八位全开仍只八件常驻</x:v>
      </x:c>
    </x:row>
    <x:row r="79" ht="38" customHeight="1">
      <x:c r="A79" s="35" t="n">
        <x:v>72034000</x:v>
      </x:c>
      <x:c r="B79" s="35" t="str">
        <x:v>留春痕</x:v>
      </x:c>
      <x:c r="C79" s="35" t="str">
        <x:v>道痕</x:v>
      </x:c>
      <x:c r="D79" s="35" t="n">
        <x:v>12034000</x:v>
      </x:c>
      <x:c r="E79" s="35" t="str">
        <x:v>筑基</x:v>
      </x:c>
      <x:c r="F79" s="35" t="str">
        <x:v>["生命值", null, "整数", 1, "生命值+1", "每秒回血", null, "整数", 1, "每秒回血+1"]</x:v>
      </x:c>
      <x:c r="G79" s="35" t="str">
        <x:v>暂定数值，原示例替换</x:v>
      </x:c>
      <x:c r="H79" s="35" t="str">
        <x:v>每类只能携带一件；八位全开仍只八件常驻</x:v>
      </x:c>
    </x:row>
    <x:row r="80" ht="53" customHeight="1">
      <x:c r="A80" s="35" t="n">
        <x:v>72065000</x:v>
      </x:c>
      <x:c r="B80" s="35" t="str">
        <x:v>分露痕</x:v>
      </x:c>
      <x:c r="C80" s="35" t="str">
        <x:v>道痕</x:v>
      </x:c>
      <x:c r="D80" s="35" t="n">
        <x:v>12065000</x:v>
      </x:c>
      <x:c r="E80" s="35" t="str">
        <x:v>筑基</x:v>
      </x:c>
      <x:c r="F80" s="35" t="str">
        <x:v>["神识", null, "整数", 1, "神识+1", "转化值增幅", null, "整数", 100, "转化值增幅+100（万分比单位）"]</x:v>
      </x:c>
      <x:c r="G80" s="35" t="str">
        <x:v>暂定数值，原示例替换</x:v>
      </x:c>
      <x:c r="H80" s="35" t="str">
        <x:v>每类只能携带一件；八位全开仍只八件常驻</x:v>
      </x:c>
    </x:row>
    <x:row r="81" ht="53" customHeight="1">
      <x:c r="A81" s="35" t="n">
        <x:v>72034001</x:v>
      </x:c>
      <x:c r="B81" s="35" t="str">
        <x:v>听脉痕</x:v>
      </x:c>
      <x:c r="C81" s="35" t="str">
        <x:v>道痕</x:v>
      </x:c>
      <x:c r="D81" s="35" t="n">
        <x:v>12034001</x:v>
      </x:c>
      <x:c r="E81" s="35" t="str">
        <x:v>筑基</x:v>
      </x:c>
      <x:c r="F81" s="35" t="str">
        <x:v>["神识", null, "整数", 2, "神识+2", "免暴击率", null, "整数", 125, "免暴击率+125（万分比单位）"]</x:v>
      </x:c>
      <x:c r="G81" s="35" t="str">
        <x:v>暂定数值，原示例替换</x:v>
      </x:c>
      <x:c r="H81" s="35" t="str">
        <x:v>每类只能携带一件；八位全开仍只八件常驻</x:v>
      </x:c>
    </x:row>
    <x:row r="82" ht="53" customHeight="1">
      <x:c r="A82" s="35" t="n">
        <x:v>72055000</x:v>
      </x:c>
      <x:c r="B82" s="35" t="str">
        <x:v>见微痕</x:v>
      </x:c>
      <x:c r="C82" s="35" t="str">
        <x:v>道痕</x:v>
      </x:c>
      <x:c r="D82" s="35" t="n">
        <x:v>12055000</x:v>
      </x:c>
      <x:c r="E82" s="35" t="str">
        <x:v>筑基</x:v>
      </x:c>
      <x:c r="F82" s="35" t="str">
        <x:v>["命中", null, "整数", 100, "命中+100（万分比单位）", "警戒范围", null, "整数", 25, "警戒范围+25"]</x:v>
      </x:c>
      <x:c r="G82" s="35" t="str">
        <x:v>暂定数值，原示例替换</x:v>
      </x:c>
      <x:c r="H82" s="35" t="str">
        <x:v>每类只能携带一件；八位全开仍只八件常驻</x:v>
      </x:c>
    </x:row>
    <x:row r="83" ht="38" customHeight="1">
      <x:c r="A83" s="35" t="n">
        <x:v>72024000</x:v>
      </x:c>
      <x:c r="B83" s="35" t="str">
        <x:v>澄液痕</x:v>
      </x:c>
      <x:c r="C83" s="35" t="str">
        <x:v>道痕</x:v>
      </x:c>
      <x:c r="D83" s="35" t="n">
        <x:v>12024000</x:v>
      </x:c>
      <x:c r="E83" s="35" t="str">
        <x:v>筑基</x:v>
      </x:c>
      <x:c r="F83" s="35" t="str">
        <x:v>["神识", null, "整数", 1, "神识+1", "每秒回灵", null, "整数", 1, "每秒回灵+1"]</x:v>
      </x:c>
      <x:c r="G83" s="35" t="str">
        <x:v>暂定数值，原示例替换</x:v>
      </x:c>
      <x:c r="H83" s="35" t="str">
        <x:v>每类只能携带一件；八位全开仍只八件常驻</x:v>
      </x:c>
    </x:row>
    <x:row r="84" ht="38" customHeight="1">
      <x:c r="A84" s="35" t="n">
        <x:v>72075000</x:v>
      </x:c>
      <x:c r="B84" s="35" t="str">
        <x:v>归丹痕</x:v>
      </x:c>
      <x:c r="C84" s="35" t="str">
        <x:v>道痕</x:v>
      </x:c>
      <x:c r="D84" s="35" t="n">
        <x:v>12075000</x:v>
      </x:c>
      <x:c r="E84" s="35" t="str">
        <x:v>筑基</x:v>
      </x:c>
      <x:c r="F84" s="35" t="str">
        <x:v>["神识", null, "整数", 1, "神识+1", "每秒回灵", null, "整数", 1, "每秒回灵+1"]</x:v>
      </x:c>
      <x:c r="G84" s="35" t="str">
        <x:v>暂定数值，原示例替换</x:v>
      </x:c>
      <x:c r="H84" s="35" t="str">
        <x:v>每类只能携带一件；八位全开仍只八件常驻</x:v>
      </x:c>
    </x:row>
    <x:row r="85" ht="38" customHeight="1">
      <x:c r="A85" s="35" t="n">
        <x:v>72044000</x:v>
      </x:c>
      <x:c r="B85" s="35" t="str">
        <x:v>合质痕</x:v>
      </x:c>
      <x:c r="C85" s="35" t="str">
        <x:v>道痕</x:v>
      </x:c>
      <x:c r="D85" s="35" t="n">
        <x:v>12044000</x:v>
      </x:c>
      <x:c r="E85" s="35" t="str">
        <x:v>筑基</x:v>
      </x:c>
      <x:c r="F85" s="35" t="str">
        <x:v>["神识", null, "整数", 1, "神识+1", "每秒回灵", null, "整数", 1, "每秒回灵+1"]</x:v>
      </x:c>
      <x:c r="G85" s="35" t="str">
        <x:v>暂定数值，原示例替换</x:v>
      </x:c>
      <x:c r="H85" s="35" t="str">
        <x:v>每类只能携带一件；八位全开仍只八件常驻</x:v>
      </x:c>
    </x:row>
    <x:row r="86" ht="53" customHeight="1">
      <x:c r="A86" s="35" t="n">
        <x:v>72085000</x:v>
      </x:c>
      <x:c r="B86" s="35" t="str">
        <x:v>惜形痕</x:v>
      </x:c>
      <x:c r="C86" s="35" t="str">
        <x:v>道痕</x:v>
      </x:c>
      <x:c r="D86" s="35" t="n">
        <x:v>12085000</x:v>
      </x:c>
      <x:c r="E86" s="35" t="str">
        <x:v>筑基</x:v>
      </x:c>
      <x:c r="F86" s="35" t="str">
        <x:v>["神识", null, "整数", 1, "神识+1", "转化值增幅", null, "整数", 100, "转化值增幅+100（万分比单位）"]</x:v>
      </x:c>
      <x:c r="G86" s="35" t="str">
        <x:v>暂定数值，原示例替换</x:v>
      </x:c>
      <x:c r="H86" s="35" t="str">
        <x:v>每类只能携带一件；八位全开仍只八件常驻</x:v>
      </x:c>
    </x:row>
    <x:row r="87" ht="53" customHeight="1">
      <x:c r="A87" s="35" t="n">
        <x:v>72054000</x:v>
      </x:c>
      <x:c r="B87" s="35" t="str">
        <x:v>贯锋痕</x:v>
      </x:c>
      <x:c r="C87" s="35" t="str">
        <x:v>道痕</x:v>
      </x:c>
      <x:c r="D87" s="35" t="n">
        <x:v>12054000</x:v>
      </x:c>
      <x:c r="E87" s="35" t="str">
        <x:v>筑基</x:v>
      </x:c>
      <x:c r="F87" s="35" t="str">
        <x:v>["攻击上限", null, "整数", 1, "攻击上限+1", "暴击率", null, "整数", 100, "暴击率+100（万分比单位）"]</x:v>
      </x:c>
      <x:c r="G87" s="35" t="str">
        <x:v>暂定数值，原示例替换</x:v>
      </x:c>
      <x:c r="H87" s="35" t="str">
        <x:v>每类只能携带一件；八位全开仍只八件常驻</x:v>
      </x:c>
    </x:row>
    <x:row r="88" ht="38" customHeight="1">
      <x:c r="A88" s="35" t="n">
        <x:v>72085001</x:v>
      </x:c>
      <x:c r="B88" s="35" t="str">
        <x:v>留效痕</x:v>
      </x:c>
      <x:c r="C88" s="35" t="str">
        <x:v>道痕</x:v>
      </x:c>
      <x:c r="D88" s="35" t="n">
        <x:v>12085001</x:v>
      </x:c>
      <x:c r="E88" s="35" t="str">
        <x:v>筑基</x:v>
      </x:c>
      <x:c r="F88" s="35" t="str">
        <x:v>["法力上限", null, "整数", 2, "法力上限+2", "施法速度", null, "整数", 3, "施法速度+3"]</x:v>
      </x:c>
      <x:c r="G88" s="35" t="str">
        <x:v>暂定数值，原示例替换</x:v>
      </x:c>
      <x:c r="H88" s="35" t="str">
        <x:v>每类只能携带一件；八位全开仍只八件常驻</x:v>
      </x:c>
    </x:row>
    <x:row r="89" ht="53" customHeight="1">
      <x:c r="A89" s="35" t="n">
        <x:v>72044001</x:v>
      </x:c>
      <x:c r="B89" s="35" t="str">
        <x:v>远应痕</x:v>
      </x:c>
      <x:c r="C89" s="35" t="str">
        <x:v>道痕</x:v>
      </x:c>
      <x:c r="D89" s="35" t="n">
        <x:v>12044001</x:v>
      </x:c>
      <x:c r="E89" s="35" t="str">
        <x:v>筑基</x:v>
      </x:c>
      <x:c r="F89" s="35" t="str">
        <x:v>["命中", null, "整数", 125, "命中+125（万分比单位）", "警戒范围", null, "整数", 35, "警戒范围+35"]</x:v>
      </x:c>
      <x:c r="G89" s="35" t="str">
        <x:v>暂定数值，原示例替换</x:v>
      </x:c>
      <x:c r="H89" s="35" t="str">
        <x:v>每类只能携带一件；八位全开仍只八件常驻</x:v>
      </x:c>
    </x:row>
    <x:row r="90" ht="53" customHeight="1">
      <x:c r="A90" s="35" t="n">
        <x:v>72085002</x:v>
      </x:c>
      <x:c r="B90" s="35" t="str">
        <x:v>承泽痕</x:v>
      </x:c>
      <x:c r="C90" s="35" t="str">
        <x:v>道痕</x:v>
      </x:c>
      <x:c r="D90" s="35" t="n">
        <x:v>12085002</x:v>
      </x:c>
      <x:c r="E90" s="35" t="str">
        <x:v>筑基</x:v>
      </x:c>
      <x:c r="F90" s="35" t="str">
        <x:v>["暴击伤害加成", null, "整数", 150, "暴击伤害加成+150（万分比单位）", "神识", null, "整数", 3, "神识+3"]</x:v>
      </x:c>
      <x:c r="G90" s="35" t="str">
        <x:v>暂定数值，原示例替换</x:v>
      </x:c>
      <x:c r="H90" s="35" t="str">
        <x:v>每类只能携带一件；八位全开仍只八件常驻</x:v>
      </x:c>
    </x:row>
    <x:row r="91" ht="68" customHeight="1">
      <x:c r="A91" s="35" t="n">
        <x:v>72054001</x:v>
      </x:c>
      <x:c r="B91" s="35" t="str">
        <x:v>并息痕</x:v>
      </x:c>
      <x:c r="C91" s="35" t="str">
        <x:v>道痕</x:v>
      </x:c>
      <x:c r="D91" s="35" t="n">
        <x:v>12054001</x:v>
      </x:c>
      <x:c r="E91" s="35" t="str">
        <x:v>筑基</x:v>
      </x:c>
      <x:c r="F91" s="35" t="str">
        <x:v>["转化值增幅", null, "整数", 125, "转化值增幅+125（万分比单位）", "暴击伤害加成", null, "整数", 125, "暴击伤害加成+125（万分比单位）"]</x:v>
      </x:c>
      <x:c r="G91" s="35" t="str">
        <x:v>暂定数值，原示例替换</x:v>
      </x:c>
      <x:c r="H91" s="35" t="str">
        <x:v>每类只能携带一件；八位全开仍只八件常驻</x:v>
      </x:c>
    </x:row>
    <x:row r="92" ht="53" customHeight="1">
      <x:c r="A92" s="35" t="n">
        <x:v>72085003</x:v>
      </x:c>
      <x:c r="B92" s="35" t="str">
        <x:v>应锋痕</x:v>
      </x:c>
      <x:c r="C92" s="35" t="str">
        <x:v>道痕</x:v>
      </x:c>
      <x:c r="D92" s="35" t="n">
        <x:v>12085003</x:v>
      </x:c>
      <x:c r="E92" s="35" t="str">
        <x:v>筑基</x:v>
      </x:c>
      <x:c r="F92" s="35" t="str">
        <x:v>["神识", null, "整数", 1, "神识+1", "转化值增幅", null, "整数", 175, "转化值增幅+175（万分比单位）"]</x:v>
      </x:c>
      <x:c r="G92" s="35" t="str">
        <x:v>暂定数值，原示例替换</x:v>
      </x:c>
      <x:c r="H92" s="35" t="str">
        <x:v>每类只能携带一件；八位全开仍只八件常驻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收录</vt:lpstr>
      <vt:lpstr>奇缘图谱</vt:lpstr>
      <vt:lpstr>可携带</vt:lpstr>
      <vt:lpstr>携带位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2026-09-02T14:40:00Z</dcterms:created>
  <dcterms:modified xsi:type="dcterms:W3CDTF">2026-09-17T11:18:54Z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BD3F7E9B079A4A4DB7C5F7CB3841F980_12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