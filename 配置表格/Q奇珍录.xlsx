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收录" sheetId="1" r:id="rId1"/>
    <sheet name="奇缘图谱" sheetId="2" r:id="rId2"/>
    <sheet name="可携带" sheetId="3" r:id="rId3"/>
    <sheet name="携带位" sheetId="4" r:id="rId4"/>
    <sheet name="编号表" sheetId="5" r:id="rId5"/>
    <sheet name="说明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<sst xmlns="http://schemas.openxmlformats.org/spreadsheetml/2006/main" count="718" uniqueCount="340">
  <si>
    <t>##var</t>
  </si>
  <si>
    <t>qz_id</t>
  </si>
  <si>
    <t>name</t>
  </si>
  <si>
    <t>category</t>
  </si>
  <si>
    <t>quality</t>
  </si>
  <si>
    <t>realm_id</t>
  </si>
  <si>
    <t>art_id</t>
  </si>
  <si>
    <t>effect_desc</t>
  </si>
  <si>
    <t>source_desc</t>
  </si>
  <si>
    <t>can_carry</t>
  </si>
  <si>
    <t>codex_id</t>
  </si>
  <si>
    <t>unlock_id</t>
  </si>
  <si>
    <t>sort_order</t>
  </si>
  <si>
    <t>enable</t>
  </si>
  <si>
    <t>##type</t>
  </si>
  <si>
    <t>int</t>
  </si>
  <si>
    <t>string</t>
  </si>
  <si>
    <t>QizhenCategory</t>
  </si>
  <si>
    <t>ItemQuality</t>
  </si>
  <si>
    <t>bool</t>
  </si>
  <si>
    <t>##group</t>
  </si>
  <si>
    <t/>
  </si>
  <si>
    <t>c</t>
  </si>
  <si>
    <t>##</t>
  </si>
  <si>
    <t>奇珍ID</t>
  </si>
  <si>
    <t>0名称</t>
  </si>
  <si>
    <t>0所属类</t>
  </si>
  <si>
    <t>0品质</t>
  </si>
  <si>
    <t>0境界阶</t>
  </si>
  <si>
    <t>0主图资源</t>
  </si>
  <si>
    <t>0奇效说明</t>
  </si>
  <si>
    <t>0来源说明</t>
  </si>
  <si>
    <t>0是否可携带</t>
  </si>
  <si>
    <t>所属奇缘图谱ID</t>
  </si>
  <si>
    <t>0收录钥匙ID</t>
  </si>
  <si>
    <t>类内排序</t>
  </si>
  <si>
    <t>0是否启用</t>
  </si>
  <si>
    <t>【辅助】类编号</t>
  </si>
  <si>
    <t>【辅助】本类序号</t>
  </si>
  <si>
    <t>【辅助】配置备注</t>
  </si>
  <si>
    <t>千年凝露</t>
  </si>
  <si>
    <t>灵植</t>
  </si>
  <si>
    <t>仙品</t>
  </si>
  <si>
    <t>art_qz_qiannianninglu</t>
  </si>
  <si>
    <t>凝天地灵气，化为清露，可滋养根骨，加速修行感悟。</t>
  </si>
  <si>
    <t>古战场·残垣</t>
  </si>
  <si>
    <t>TRUE</t>
  </si>
  <si>
    <t>示例行（首列 ## ＝ 停用不导出）。名称/奇效/来源/品质取自 UI 定妆稿。unlock_id 填该奇珍对应的物品或装备配置 ID（策划案 §7.1）。</t>
  </si>
  <si>
    <t>【示例】古战残片</t>
  </si>
  <si>
    <t>灵材</t>
  </si>
  <si>
    <t>凡品</t>
  </si>
  <si>
    <t>FALSE</t>
  </si>
  <si>
    <t>示例行。UI 图谱『古战残响』的第 2 件，此处为占位。</t>
  </si>
  <si>
    <t>icon_id</t>
  </si>
  <si>
    <t>codex_quality</t>
  </si>
  <si>
    <t>member_count</t>
  </si>
  <si>
    <t>members</t>
  </si>
  <si>
    <t>tiers</t>
  </si>
  <si>
    <t>flavor_desc</t>
  </si>
  <si>
    <t>array,int</t>
  </si>
  <si>
    <t>array,QizhenTier</t>
  </si>
  <si>
    <t>图谱ID</t>
  </si>
  <si>
    <t>0图谱名</t>
  </si>
  <si>
    <t>0图谱徽记</t>
  </si>
  <si>
    <t>0图谱品质</t>
  </si>
  <si>
    <t>0件数</t>
  </si>
  <si>
    <t>成员1(qz_id)</t>
  </si>
  <si>
    <t>成员2</t>
  </si>
  <si>
    <t>成员3</t>
  </si>
  <si>
    <t>成员4</t>
  </si>
  <si>
    <t>成员5</t>
  </si>
  <si>
    <t>成员6</t>
  </si>
  <si>
    <t>成员7</t>
  </si>
  <si>
    <t>奖励1·需求件数</t>
  </si>
  <si>
    <t>奖励1·属性名</t>
  </si>
  <si>
    <t>奖励1·引用ID</t>
  </si>
  <si>
    <t>奖励1·整数/万分比</t>
  </si>
  <si>
    <t>奖励1·属性值</t>
  </si>
  <si>
    <t>奖励1·展示文字</t>
  </si>
  <si>
    <r>
      <rPr>
        <b/>
        <sz val="10"/>
        <color rgb="FF000000"/>
        <rFont val="宋体"/>
        <charset val="134"/>
      </rPr>
      <t>奖励</t>
    </r>
    <r>
      <rPr>
        <b/>
        <sz val="10"/>
        <color rgb="FF000000"/>
        <rFont val="Calibri"/>
        <charset val="134"/>
      </rPr>
      <t>2·</t>
    </r>
    <r>
      <rPr>
        <b/>
        <sz val="10"/>
        <color rgb="FF000000"/>
        <rFont val="宋体"/>
        <charset val="134"/>
      </rPr>
      <t>需求件数</t>
    </r>
  </si>
  <si>
    <t>奖励2·属性名</t>
  </si>
  <si>
    <t>奖励2·引用ID</t>
  </si>
  <si>
    <t>奖励2·整数/万分比</t>
  </si>
  <si>
    <t>奖励2·属性值</t>
  </si>
  <si>
    <t>奖励2·展示文字</t>
  </si>
  <si>
    <t>奖励3·需求件数</t>
  </si>
  <si>
    <t>奖励3·属性名</t>
  </si>
  <si>
    <t>奖励3·引用ID</t>
  </si>
  <si>
    <t>奖励3·整数/万分比</t>
  </si>
  <si>
    <t>奖励3·属性值</t>
  </si>
  <si>
    <t>奖励3·展示文字</t>
  </si>
  <si>
    <t>奖励4·需求件数</t>
  </si>
  <si>
    <t>奖励4·属性名</t>
  </si>
  <si>
    <t>奖励4·引用ID</t>
  </si>
  <si>
    <t>奖励4·整数/万分比</t>
  </si>
  <si>
    <t>奖励4·属性值</t>
  </si>
  <si>
    <t>奖励4·展示文字</t>
  </si>
  <si>
    <t>0风味文案</t>
  </si>
  <si>
    <t>列表排序</t>
  </si>
  <si>
    <t>古战残响</t>
  </si>
  <si>
    <t>icon_codex_guzhan</t>
  </si>
  <si>
    <t>生命值</t>
  </si>
  <si>
    <t>null</t>
  </si>
  <si>
    <t>ADD</t>
  </si>
  <si>
    <t>2 件：气血 +80</t>
  </si>
  <si>
    <t>伤害减免</t>
  </si>
  <si>
    <t>4 件：防御 +12</t>
  </si>
  <si>
    <t>灵力值</t>
  </si>
  <si>
    <t>5 件：法力 +120</t>
  </si>
  <si>
    <t>古战场遗物共鸣，残响凝为护身之力。</t>
  </si>
  <si>
    <t>carry_part</t>
  </si>
  <si>
    <t>required_realm</t>
  </si>
  <si>
    <t>effects</t>
  </si>
  <si>
    <t>array,QizhenEffect</t>
  </si>
  <si>
    <t>0携带位</t>
  </si>
  <si>
    <t>携带境界门槛</t>
  </si>
  <si>
    <t>【辅助·回显】名称</t>
  </si>
  <si>
    <t>【辅助·回显】钥匙ID</t>
  </si>
  <si>
    <t>奇效1·属性名</t>
  </si>
  <si>
    <t>奇效1·引用ID</t>
  </si>
  <si>
    <t>奇效1·整数/万分比</t>
  </si>
  <si>
    <t>奇效1·属性值</t>
  </si>
  <si>
    <t>奇效1·展示文字</t>
  </si>
  <si>
    <t>奇效2·属性名</t>
  </si>
  <si>
    <t>奇效2·引用ID</t>
  </si>
  <si>
    <t>奇效2·整数/万分比</t>
  </si>
  <si>
    <t>奇效2·属性值</t>
  </si>
  <si>
    <t>奇效2·展示文字</t>
  </si>
  <si>
    <t>奇效3·属性名</t>
  </si>
  <si>
    <t>奇效3·引用ID</t>
  </si>
  <si>
    <t>奇效3·整数/万分比</t>
  </si>
  <si>
    <t>奇效3·属性值</t>
  </si>
  <si>
    <t>奇效3·展示文字</t>
  </si>
  <si>
    <t>奇效4·属性名</t>
  </si>
  <si>
    <t>奇效4·引用ID</t>
  </si>
  <si>
    <t>奇效4·整数/万分比</t>
  </si>
  <si>
    <t>奇效4·属性值</t>
  </si>
  <si>
    <t>奇效4·展示文字</t>
  </si>
  <si>
    <t>示例行。辅助回显列 ##var 为空，不导出，用 VLOOKUP 自「收录」页取。</t>
  </si>
  <si>
    <t>unlock_realm</t>
  </si>
  <si>
    <t>0解锁境界</t>
  </si>
  <si>
    <t>展示顺序</t>
  </si>
  <si>
    <t>解锁境界取 realm_id 0—8；为 0 时该位开局可用。</t>
  </si>
  <si>
    <t>炼丹</t>
  </si>
  <si>
    <t>炼器</t>
  </si>
  <si>
    <t>符箓</t>
  </si>
  <si>
    <t>阵法</t>
  </si>
  <si>
    <t>功法</t>
  </si>
  <si>
    <t>道痕</t>
  </si>
  <si>
    <t>奇珍ID 编号规则</t>
  </si>
  <si>
    <t>qz_id = 70000000 + 类编号 × 1000000 + 本类序号</t>
  </si>
  <si>
    <t>第1位</t>
  </si>
  <si>
    <t>固定为 7</t>
  </si>
  <si>
    <t>表示奇珍条目</t>
  </si>
  <si>
    <t>与物品 3 段、装备 5 段错开</t>
  </si>
  <si>
    <t>第2位</t>
  </si>
  <si>
    <t>类编号 1—8</t>
  </si>
  <si>
    <t>见下表</t>
  </si>
  <si>
    <t>望文生义：71xxxxxx＝灵植，72xxxxxx＝灵材……</t>
  </si>
  <si>
    <t>第3—8位</t>
  </si>
  <si>
    <t>本类序号</t>
  </si>
  <si>
    <t>000001 起</t>
  </si>
  <si>
    <t>单类最多 999999 条</t>
  </si>
  <si>
    <t>示例</t>
  </si>
  <si>
    <t>71000001</t>
  </si>
  <si>
    <t>灵植类第 1 条</t>
  </si>
  <si>
    <t>72000001 ＝ 灵材类第 1 条</t>
  </si>
  <si>
    <t>收录钥匙（unlock_id）</t>
  </si>
  <si>
    <t>首位</t>
  </si>
  <si>
    <t>指向</t>
  </si>
  <si>
    <t>表</t>
  </si>
  <si>
    <t>说明</t>
  </si>
  <si>
    <t>3</t>
  </si>
  <si>
    <t>物品</t>
  </si>
  <si>
    <t>W物品表 / item_config</t>
  </si>
  <si>
    <t>实例进入所有权时用其配置 ID 查 unlock_id 索引，命中则点亮对应 qz_id</t>
  </si>
  <si>
    <t>5</t>
  </si>
  <si>
    <t>装备</t>
  </si>
  <si>
    <t>Z装备 / equip_config</t>
  </si>
  <si>
    <t>同上</t>
  </si>
  <si>
    <t>unlock_id 只服务于收录判定；携带不再检查背包实体，但仍须满足 can_carry、enable、required_realm 与携带位 unlock_realm。</t>
  </si>
  <si>
    <t>类编号（QizhenCategory，顺序固定）</t>
  </si>
  <si>
    <t>内部名</t>
  </si>
  <si>
    <t>编号</t>
  </si>
  <si>
    <t>英文键</t>
  </si>
  <si>
    <t>所属学问</t>
  </si>
  <si>
    <t>收录范围</t>
  </si>
  <si>
    <t>SpiritPlant</t>
  </si>
  <si>
    <t>地道·灵植</t>
  </si>
  <si>
    <t>奇花异草与特殊灵植</t>
  </si>
  <si>
    <t>SpiritMaterial</t>
  </si>
  <si>
    <t>地道·灵材</t>
  </si>
  <si>
    <t>灵矿、灵木、妖丹、精血、兽骨、鳞甲等</t>
  </si>
  <si>
    <t>Alchemy</t>
  </si>
  <si>
    <t>地道·炼丹</t>
  </si>
  <si>
    <t>奇丹、古丹及承载特殊丹方的古物</t>
  </si>
  <si>
    <t>Artifice</t>
  </si>
  <si>
    <t>地道·炼器</t>
  </si>
  <si>
    <t>特殊装备、器具、法宝、古修器物与有灵法宝</t>
  </si>
  <si>
    <t>Talisman</t>
  </si>
  <si>
    <t>地道·符箓</t>
  </si>
  <si>
    <t>特殊灵符及其载体</t>
  </si>
  <si>
    <t>Array</t>
  </si>
  <si>
    <t>地道·阵法</t>
  </si>
  <si>
    <t>阵图、阵心、阵印与特殊阵势拓印</t>
  </si>
  <si>
    <t>Cultivation</t>
  </si>
  <si>
    <t>天道</t>
  </si>
  <si>
    <t>功法玉简、古碑、残页及其他功法载体</t>
  </si>
  <si>
    <t>DaoTrace</t>
  </si>
  <si>
    <t>天道为主</t>
  </si>
  <si>
    <t>被收取、封存或拓印到载体上的特殊规则痕迹</t>
  </si>
  <si>
    <t>御兽域对应独立灵兽体系。</t>
  </si>
  <si>
    <t>品质（ItemQuality，六档）</t>
  </si>
  <si>
    <t>现行成员别名</t>
  </si>
  <si>
    <t>处理</t>
  </si>
  <si>
    <t>白色</t>
  </si>
  <si>
    <t>按策划案 §十一-2 把成员别名改为凡品/灵品/玄品/仙品/神品/道品，值 1—6 不变</t>
  </si>
  <si>
    <t>灵品</t>
  </si>
  <si>
    <t>绿色</t>
  </si>
  <si>
    <t>玄品</t>
  </si>
  <si>
    <t>蓝色</t>
  </si>
  <si>
    <t>紫色</t>
  </si>
  <si>
    <t>神品</t>
  </si>
  <si>
    <t>橙色</t>
  </si>
  <si>
    <t>道品</t>
  </si>
  <si>
    <t>红色</t>
  </si>
  <si>
    <t>境界阶（realm_id，沿用 P17 §三）</t>
  </si>
  <si>
    <t>0 凡人 / 1 炼气 / 2 筑基 / 3 金丹 / 4 元婴 / 5 化神 / 6 炼虚 / 7 合体 / 8 大乘</t>
  </si>
  <si>
    <t>整数/万分比（InfluenceOp）</t>
  </si>
  <si>
    <t>整数 ＝ 固定值加成；万分比 ＝ 万分比加成。</t>
  </si>
  <si>
    <t>结算：最终值 =（基础值 ＋ Σ固定值加成）×（1 ＋ Σ万分比加成）。全部万分比加算聚合后整体作用一次。</t>
  </si>
  <si>
    <t>引用ID（技能 / BUFF / 词条）</t>
  </si>
  <si>
    <t>8 位 ID。第 1 位 ＝ 指向哪张表；第 2—6 位 ＝ 条目编号；第 7—8 位 ＝ 等级。</t>
  </si>
  <si>
    <t>前 6 位相同即为同一条目的不同等级，结算时只取末 2 位最大的那条，低等级被覆盖不叠加。跨来源生效——携带的奇珍与图谱羁绊各挂一个等级时同样只留最高的那条。</t>
  </si>
  <si>
    <t>备注</t>
  </si>
  <si>
    <t>4</t>
  </si>
  <si>
    <t>技能</t>
  </si>
  <si>
    <t>J技能BUFF表 / skill_config</t>
  </si>
  <si>
    <t>6</t>
  </si>
  <si>
    <t>BUFF</t>
  </si>
  <si>
    <t>J技能BUFF表 / buff_config</t>
  </si>
  <si>
    <t>8</t>
  </si>
  <si>
    <t>词条</t>
  </si>
  <si>
    <t>Z装备 / ConfigCitiao</t>
  </si>
  <si>
    <t>主键 hidden_affix 现为 1—96，迁移到 8 开头的 8 位段</t>
  </si>
  <si>
    <t>Q奇珍录.xlsx —— 配置表骨架 v1.0（2026-08-15）</t>
  </si>
  <si>
    <t>配套策划案</t>
  </si>
  <si>
    <t>奇珍录系统策划案_v1.0.md</t>
  </si>
  <si>
    <t>配套交互案</t>
  </si>
  <si>
    <t>奇珍录交互案_v1.0.md</t>
  </si>
  <si>
    <t>【本表状态】</t>
  </si>
  <si>
    <t>骨架。全部数据行首列为 ## ＝ 停用不导出。</t>
  </si>
  <si>
    <t>示例行只用 UI 定妆稿可见的信息，其余留空。</t>
  </si>
  <si>
    <t>【四行表头规范】</t>
  </si>
  <si>
    <t>沿用项目现行 Luban 规范</t>
  </si>
  <si>
    <t>导出字段名。数组字段只在首列声明一次，后续续列留空。辅助列该行同样留空，不生成运行时字段。</t>
  </si>
  <si>
    <t>字段类型。</t>
  </si>
  <si>
    <t>导出分组（c ＝ 客户端）。</t>
  </si>
  <si>
    <t>中文说明行，只供配置定位，不导出。</t>
  </si>
  <si>
    <t>首列</t>
  </si>
  <si>
    <t>控制列。## ＝ 该行停用不导出；留空 ＝ 正常数据行。</t>
  </si>
  <si>
    <t>【列序要求】</t>
  </si>
  <si>
    <t>辅助列与数组续列的 ##var 都为空，导表器以「下一个已声明字段」断边界。</t>
  </si>
  <si>
    <t>所以：数组字段排在表尾，或紧跟其后有已声明字段；辅助列夹在两个已声明字段之间，或排在表尾。</t>
  </si>
  <si>
    <t>本表排法：「收录」页 3 个辅助列在表尾（页内无数组字段）；「可携带」页 4 个辅助列在 required_realm 与 effects 之间。</t>
  </si>
  <si>
    <t>【四个导出页签】</t>
  </si>
  <si>
    <t>收录</t>
  </si>
  <si>
    <t>奇珍主表。每条奇珍一行，是 qz_id 与 unlock_id 的登记处。</t>
  </si>
  <si>
    <t>奇缘图谱</t>
  </si>
  <si>
    <t>跨八类按来源或主题组队，members 填 qz_id；4 组羁绊奖励。</t>
  </si>
  <si>
    <t>可携带</t>
  </si>
  <si>
    <t>只登记 can_carry ＝ TRUE 的条目，qz_id 外键指向「收录」页；4 组奇效。</t>
  </si>
  <si>
    <t>携带位</t>
  </si>
  <si>
    <t>八类各一行，配解锁境界与展示顺序。</t>
  </si>
  <si>
    <t>【效果组结构】</t>
  </si>
  <si>
    <t>两个页签共用同一套写法</t>
  </si>
  <si>
    <t>奇缘图谱 · 一组 6 列</t>
  </si>
  <si>
    <t>需求件数 | 属性名 | 引用ID | 整数/万分比 | 属性值 | 展示文字。共 4 组。</t>
  </si>
  <si>
    <t>可携带 · 一组 5 列</t>
  </si>
  <si>
    <t>属性名 | 引用ID | 整数/万分比 | 属性值 | 展示文字。共 4 组。</t>
  </si>
  <si>
    <t>一组内属性名与引用ID二选一：填属性名走属性修正，填引用ID走技能 / BUFF / 词条挂载。</t>
  </si>
  <si>
    <t>填几组生效几组，前台展示几组。奇缘图谱以需求件数为空判断该组不生效；可携带以属性名与引用ID都为空判断该组不生效。</t>
  </si>
  <si>
    <t>4 组之间无顺序要求，可以第 1 组配引用ID、第 2 组配属性。</t>
  </si>
  <si>
    <t>属性组填四项：属性名 / 整数万分比 / 属性值 / 展示文字。引用组填两项：引用ID / 展示文字，整数万分比与属性值该组不参与结算。</t>
  </si>
  <si>
    <t>引用ID 是 8 位：第 1 位指向表，第 2—6 位条目编号，第 7—8 位等级。前 6 位相同 ＝ 同一条目的不同等级，只生效末 2 位最大的那条。</t>
  </si>
  <si>
    <t>结算公式：最终值 =（基础值 ＋ Σ固定值加成）×（1 ＋ Σ万分比加成）。全部万分比加算聚合后整体作用一次。</t>
  </si>
  <si>
    <t>已填写的组中需求件数严格递增，且不超过 member_count。</t>
  </si>
  <si>
    <t>【收录钥匙的登记位置】</t>
  </si>
  <si>
    <t>unlock_id 登记在「收录」页；「可携带」页以【辅助·回显】列引用，用 VLOOKUP 取值，##var 留空不导出。</t>
  </si>
  <si>
    <t>理由一：全部奇珍（含 can_carry ＝ FALSE 的条目）都以 unlock_id 判定收录，映射需覆盖全表。</t>
  </si>
  <si>
    <t>理由二：单一登记处保证配置不漂移。</t>
  </si>
  <si>
    <t>「可携带」页本身只配携带位、境界门槛与 4 组奇效，不配任何指向物品表或装备表的字段。</t>
  </si>
  <si>
    <t>【导表校验清单】</t>
  </si>
  <si>
    <t>详见策划案 §8.1 / §8.2 / §8.3</t>
  </si>
  <si>
    <t>1. qz_id 必填唯一。</t>
  </si>
  <si>
    <t>2. unlock_id 必填，首位取 3（物品表）或 5（装备表），且在对应表中存在。</t>
  </si>
  <si>
    <t>3. 与 unlock_id 指向的那一行，name / quality 两项一致；不一致时终止导表并报出两个 ID。奇珍主图 art_id 与背包图标是两套资源，各自配置。</t>
  </si>
  <si>
    <t>4. 每个 unlock_id 对应一条奇珍。</t>
  </si>
  <si>
    <t>5. codex_id 非空时存在于「奇缘图谱」页，且该 qz_id 出现在该图谱的 members 中。</t>
  </si>
  <si>
    <t>6. can_carry ＝ TRUE 的条目在「可携带」页有对应行，反之亦然。</t>
  </si>
  <si>
    <t>7. carry_part 等于「收录」页同 qz_id 的 category。</t>
  </si>
  <si>
    <t>8. members 内 qz_id 存在且 enable ＝ TRUE；长度等于 member_count；member_count 取 1—7；同一图谱 members 内不得重复；每个成员在「收录」页的 codex_id 指向当前图谱。</t>
  </si>
  <si>
    <t>9. 每个 qz_id 最多归属一个图谱。</t>
  </si>
  <si>
    <t>10. 每组内属性名与引用ID二选一；同时填写时终止导表并报出组序号。</t>
  </si>
  <si>
    <t>10b. 属性组四项齐全（属性名/整数万分比/属性值/展示文字）；引用组两项齐全（引用ID/展示文字）。</t>
  </si>
  <si>
    <t>11. 属性名存在于 S属性配置表；整数/万分比 取 InfluenceOp 两值之一。</t>
  </si>
  <si>
    <t>12. 引用ID 的首位取 4（技能）/ 6（BUFF）/ 8（词条），且该 8 位 ID 在对应表中存在。</t>
  </si>
  <si>
    <t>13. 「收录」页 realm_id、「可携带」页 required_realm 与「携带位」页 unlock_realm 均取 0—8；携带位八类各一行；sort_order 取 1—8 且不重复。</t>
  </si>
  <si>
    <t>14. 「收录」与「奇缘图谱」页的主键、名称、品质、启用状态及界面必需文案等标记为必填的字段不得为空；「可携带」页 qz_id 必须唯一且对应 can_carry ＝ TRUE。</t>
  </si>
  <si>
    <t>【需同步登记的地方】</t>
  </si>
  <si>
    <t>__tables__.xlsx</t>
  </si>
  <si>
    <t>新增 4 条：收录@Q奇珍录.xlsx、奇缘图谱@Q奇珍录.xlsx、可携带@Q奇珍录.xlsx、携带位@Q奇珍录.xlsx。</t>
  </si>
  <si>
    <t>__beans__.xlsx</t>
  </si>
  <si>
    <t>新增 QizhenTier{need_count, attr_key, ref_id, op, value, tips}、QizhenEffect{attr_key, ref_id, op, value, tips}。</t>
  </si>
  <si>
    <t>__enums__.xlsx</t>
  </si>
  <si>
    <t>新增 QizhenCategory（8 项）；ItemQuality 六档别名改为 凡品/灵品/玄品/仙品/神品/道品。</t>
  </si>
  <si>
    <t>Z装备.xlsx ConfigCitiao</t>
  </si>
  <si>
    <t>主键 hidden_affix 迁移到 8 位段。</t>
  </si>
  <si>
    <t>配置表格/同步清单.md</t>
  </si>
  <si>
    <t>新增 Q奇珍录.xlsx。</t>
  </si>
  <si>
    <t>策划案/P17_配置表总目录与字段骨架.md</t>
  </si>
  <si>
    <t>§一 由 12 张增至 13 张。</t>
  </si>
  <si>
    <t>【属性名口径待统一】</t>
  </si>
  <si>
    <t>UI 定妆稿的羁绊奖励文案是「气血 +80 / 防御 +12 / 法力 +120」。</t>
  </si>
  <si>
    <t>现行 AttrKey 中「气血」对应 生命值；「防御」对应 物防上限/物防下限、法防上限/法防下限；「法力」对应 法力上限/法力下限。</t>
  </si>
  <si>
    <t>P17 §六 写「攻击、防御使用单值」，与 AttrKey 的实际字段不一致。</t>
  </si>
  <si>
    <t>本骨架示例行只填「生命值」，其余属性格留空，待属性口径统一后填写。</t>
  </si>
  <si>
    <t>【本表字段与界面的对应】</t>
  </si>
  <si>
    <t>界面细节见交互案</t>
  </si>
  <si>
    <t>1. 收录格左上角的「携」角标读「收录」页 can_carry。</t>
  </si>
  <si>
    <t>2. 「可携带」筛选开关按 can_carry 切换显示范围。</t>
  </si>
  <si>
    <t>3. 品质筛选的六档读取「收录」页 quality；界面另有「全部」按钮，表示不附加品质过滤，不写入配置。图谱页按 codex_quality 独立筛选。</t>
  </si>
  <si>
    <t>4. 每个奇珍的 TIPS 展示 effect_desc、source_desc，以及「可携带」页 4 组奇效的展示文字；展示全部已配置效果，实际是否生效由当前携带位决定。</t>
  </si>
  <si>
    <t>4b. 收录格与详情区共用同一张方形主图 art_id：详情大尺寸，收录格缩到 42×42。</t>
  </si>
  <si>
    <t>5. 收录页右下的图谱预览读 codex_id → 「奇缘图谱」页 members，按 members 数组顺序排列。</t>
  </si>
  <si>
    <t>6. 图谱奖励按已填组数展示，读各组的展示文字。</t>
  </si>
  <si>
    <t>7. 八个携带位在角色面板展示；「可携带」页定义每条奇珍的携带位归属与奇效，「携带位」页定义八个位的解锁境界与排列顺序；奇珍录与角色面板发起携带时均须校验该位已解锁。</t>
  </si>
  <si>
    <t>【停用与境界回落】</t>
  </si>
  <si>
    <t>图谱成员不可在仍被启用图谱引用时直接单独停用：先从 members 移除并清空收录页 codex_id，再将成员 enable 改为 FALSE；整组下线可直接停用整个图谱。</t>
  </si>
  <si>
    <t>角色境界回落后，服务器重新校验条目 required_realm 与携带位 unlock_realm；任一条件不满足时自动卸下对应奇珍，并触发属性全量重算。携带位解锁状态按当前境界实时推导，不永久存储。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</si>
</sst>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</font>
    <font>
      <b/>
      <sz val="10"/>
      <color rgb="FF000000"/>
      <name val="Calibri"/>
      <charset val="134"/>
    </font>
    <font>
      <sz val="10"/>
      <name val="Calibri"/>
      <charset val="134"/>
    </font>
    <font>
      <b/>
      <sz val="10"/>
      <color rgb="FFFFFFFF"/>
      <name val="Calibri"/>
      <charset val="134"/>
    </font>
    <font>
      <b/>
      <sz val="10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5395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1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8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13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/>
    <xf numFmtId="0" fontId="1" fillId="2" borderId="0" xfId="49" applyFont="1" applyFill="1" applyAlignment="1">
      <alignment horizontal="left" vertical="top" wrapText="1"/>
    </xf>
    <xf numFmtId="0" fontId="2" fillId="0" borderId="0" xfId="49" applyFont="1" applyAlignment="1">
      <alignment horizontal="left" vertical="top" wrapText="1"/>
    </xf>
    <xf numFmtId="0" fontId="0" fillId="0" borderId="0" xfId="49" applyNumberFormat="1" applyFont="1" applyFill="1" applyBorder="1" applyAlignment="1">
      <alignment wrapText="1"/>
    </xf>
    <xf numFmtId="0" fontId="1" fillId="3" borderId="1" xfId="49" applyFont="1" applyFill="1" applyBorder="1" applyAlignment="1">
      <alignment horizontal="center" vertical="center" wrapText="1"/>
    </xf>
    <xf numFmtId="0" fontId="3" fillId="4" borderId="1" xfId="49" applyFont="1" applyFill="1" applyBorder="1" applyAlignment="1">
      <alignment horizontal="center" vertical="center" wrapText="1"/>
    </xf>
    <xf numFmtId="0" fontId="3" fillId="5" borderId="1" xfId="49" applyFont="1" applyFill="1" applyBorder="1" applyAlignment="1">
      <alignment horizontal="center" vertical="center" wrapText="1"/>
    </xf>
    <xf numFmtId="0" fontId="1" fillId="6" borderId="1" xfId="49" applyFont="1" applyFill="1" applyBorder="1" applyAlignment="1">
      <alignment horizontal="center" vertical="center" wrapText="1"/>
    </xf>
    <xf numFmtId="0" fontId="1" fillId="2" borderId="1" xfId="49" applyFont="1" applyFill="1" applyBorder="1" applyAlignment="1">
      <alignment horizontal="center" vertical="center" wrapText="1"/>
    </xf>
    <xf numFmtId="0" fontId="1" fillId="7" borderId="1" xfId="49" applyFont="1" applyFill="1" applyBorder="1" applyAlignment="1">
      <alignment horizontal="center" vertical="center" wrapText="1"/>
    </xf>
    <xf numFmtId="0" fontId="2" fillId="8" borderId="1" xfId="49" applyFont="1" applyFill="1" applyBorder="1" applyAlignment="1">
      <alignment horizontal="center" vertical="center" wrapText="1"/>
    </xf>
    <xf numFmtId="0" fontId="2" fillId="8" borderId="1" xfId="49" applyFont="1" applyFill="1" applyBorder="1" applyAlignment="1">
      <alignment horizontal="left" vertical="center"/>
    </xf>
    <xf numFmtId="0" fontId="3" fillId="4" borderId="2" xfId="49" applyFont="1" applyFill="1" applyBorder="1" applyAlignment="1">
      <alignment horizontal="center" vertical="center" wrapText="1"/>
    </xf>
    <xf numFmtId="0" fontId="3" fillId="4" borderId="3" xfId="49" applyFont="1" applyFill="1" applyBorder="1" applyAlignment="1">
      <alignment horizontal="center" vertical="center" wrapText="1"/>
    </xf>
    <xf numFmtId="0" fontId="3" fillId="4" borderId="4" xfId="49" applyFont="1" applyFill="1" applyBorder="1" applyAlignment="1">
      <alignment horizontal="center" vertical="center" wrapText="1"/>
    </xf>
    <xf numFmtId="0" fontId="3" fillId="5" borderId="2" xfId="49" applyFont="1" applyFill="1" applyBorder="1" applyAlignment="1">
      <alignment horizontal="center" vertical="center" wrapText="1"/>
    </xf>
    <xf numFmtId="0" fontId="3" fillId="5" borderId="3" xfId="49" applyFont="1" applyFill="1" applyBorder="1" applyAlignment="1">
      <alignment horizontal="center" vertical="center" wrapText="1"/>
    </xf>
    <xf numFmtId="0" fontId="3" fillId="5" borderId="4" xfId="49" applyFont="1" applyFill="1" applyBorder="1" applyAlignment="1">
      <alignment horizontal="center" vertical="center" wrapText="1"/>
    </xf>
    <xf numFmtId="0" fontId="1" fillId="9" borderId="1" xfId="49" applyFont="1" applyFill="1" applyBorder="1" applyAlignment="1">
      <alignment horizontal="center" vertical="center" wrapText="1"/>
    </xf>
    <xf numFmtId="0" fontId="1" fillId="10" borderId="1" xfId="49" applyFont="1" applyFill="1" applyBorder="1" applyAlignment="1">
      <alignment horizontal="center" vertical="center" wrapText="1"/>
    </xf>
    <xf numFmtId="0" fontId="4" fillId="10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tabSelected="1" workbookViewId="0">
      <selection activeCell="D50" sqref="D50"/>
    </sheetView>
  </sheetViews>
  <sheetFormatPr defaultColWidth="9" defaultRowHeight="15"/>
  <cols>
    <col min="1" max="1" width="12.1428571428571" customWidth="1"/>
    <col min="2" max="2" width="11" customWidth="1"/>
    <col min="3" max="3" width="18" customWidth="1"/>
    <col min="4" max="4" width="10" customWidth="1"/>
    <col min="5" max="6" width="8" customWidth="1"/>
    <col min="7" max="7" width="24" customWidth="1"/>
    <col min="8" max="8" width="44" customWidth="1"/>
    <col min="9" max="9" width="18" customWidth="1"/>
    <col min="10" max="10" width="12.4285714285714" customWidth="1"/>
    <col min="11" max="12" width="14" customWidth="1"/>
    <col min="13" max="13" width="10" customWidth="1"/>
    <col min="14" max="14" width="11.4285714285714" customWidth="1"/>
    <col min="15" max="15" width="16.5714285714286" customWidth="1"/>
    <col min="16" max="16" width="17.4285714285714" customWidth="1"/>
    <col min="17" max="17" width="56" customWidth="1"/>
  </cols>
  <sheetData>
    <row r="1" ht="20" customHeight="1" spans="1:1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/>
      <c r="P1" s="5"/>
      <c r="Q1" s="5"/>
    </row>
    <row r="2" ht="20" customHeight="1" spans="1:17">
      <c r="A2" s="4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15</v>
      </c>
      <c r="G2" s="6" t="s">
        <v>16</v>
      </c>
      <c r="H2" s="6" t="s">
        <v>16</v>
      </c>
      <c r="I2" s="6" t="s">
        <v>16</v>
      </c>
      <c r="J2" s="6" t="s">
        <v>19</v>
      </c>
      <c r="K2" s="6" t="s">
        <v>15</v>
      </c>
      <c r="L2" s="6" t="s">
        <v>15</v>
      </c>
      <c r="M2" s="6" t="s">
        <v>15</v>
      </c>
      <c r="N2" s="6" t="s">
        <v>19</v>
      </c>
      <c r="O2" s="6"/>
      <c r="P2" s="6"/>
      <c r="Q2" s="6"/>
    </row>
    <row r="3" ht="20" customHeight="1" spans="1:17">
      <c r="A3" s="4" t="s">
        <v>20</v>
      </c>
      <c r="B3" s="7" t="s">
        <v>21</v>
      </c>
      <c r="C3" s="7" t="s">
        <v>22</v>
      </c>
      <c r="D3" s="7" t="s">
        <v>21</v>
      </c>
      <c r="E3" s="7" t="s">
        <v>21</v>
      </c>
      <c r="F3" s="7" t="s">
        <v>21</v>
      </c>
      <c r="G3" s="7" t="s">
        <v>22</v>
      </c>
      <c r="H3" s="7" t="s">
        <v>22</v>
      </c>
      <c r="I3" s="7" t="s">
        <v>22</v>
      </c>
      <c r="J3" s="7" t="s">
        <v>21</v>
      </c>
      <c r="K3" s="7" t="s">
        <v>21</v>
      </c>
      <c r="L3" s="7" t="s">
        <v>21</v>
      </c>
      <c r="M3" s="7" t="s">
        <v>21</v>
      </c>
      <c r="N3" s="7" t="s">
        <v>21</v>
      </c>
      <c r="O3" s="7"/>
      <c r="P3" s="7"/>
      <c r="Q3" s="7"/>
    </row>
    <row r="4" ht="20" customHeight="1" spans="1:17">
      <c r="A4" s="4" t="s">
        <v>23</v>
      </c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8" t="s">
        <v>29</v>
      </c>
      <c r="H4" s="8" t="s">
        <v>30</v>
      </c>
      <c r="I4" s="8" t="s">
        <v>31</v>
      </c>
      <c r="J4" s="8" t="s">
        <v>32</v>
      </c>
      <c r="K4" s="8" t="s">
        <v>33</v>
      </c>
      <c r="L4" s="8" t="s">
        <v>34</v>
      </c>
      <c r="M4" s="8" t="s">
        <v>35</v>
      </c>
      <c r="N4" s="8" t="s">
        <v>36</v>
      </c>
      <c r="O4" s="9" t="s">
        <v>37</v>
      </c>
      <c r="P4" s="9" t="s">
        <v>38</v>
      </c>
      <c r="Q4" s="9" t="s">
        <v>39</v>
      </c>
    </row>
    <row r="5" spans="1:17">
      <c r="A5" s="10"/>
      <c r="B5" s="11">
        <f t="shared" ref="B5:B14" si="0">70000000+O5*1000000+P5</f>
        <v>71000001</v>
      </c>
      <c r="C5" s="11" t="s">
        <v>40</v>
      </c>
      <c r="D5" s="11" t="s">
        <v>41</v>
      </c>
      <c r="E5" s="11" t="s">
        <v>42</v>
      </c>
      <c r="F5" s="11">
        <v>2</v>
      </c>
      <c r="G5" s="11" t="s">
        <v>43</v>
      </c>
      <c r="H5" s="11" t="s">
        <v>44</v>
      </c>
      <c r="I5" s="11" t="s">
        <v>45</v>
      </c>
      <c r="J5" s="11" t="s">
        <v>46</v>
      </c>
      <c r="K5" s="11">
        <v>1</v>
      </c>
      <c r="L5" s="11" t="s">
        <v>21</v>
      </c>
      <c r="M5" s="11">
        <v>1</v>
      </c>
      <c r="N5" s="11" t="s">
        <v>46</v>
      </c>
      <c r="O5" s="11">
        <v>1</v>
      </c>
      <c r="P5" s="11">
        <v>1</v>
      </c>
      <c r="Q5" s="11" t="s">
        <v>47</v>
      </c>
    </row>
    <row r="6" spans="1:17">
      <c r="A6" s="10"/>
      <c r="B6" s="11">
        <f t="shared" si="0"/>
        <v>72000001</v>
      </c>
      <c r="C6" s="11" t="s">
        <v>48</v>
      </c>
      <c r="D6" s="11" t="s">
        <v>49</v>
      </c>
      <c r="E6" s="11" t="s">
        <v>50</v>
      </c>
      <c r="F6" s="11">
        <v>2</v>
      </c>
      <c r="G6" s="11" t="s">
        <v>21</v>
      </c>
      <c r="H6" s="11" t="s">
        <v>21</v>
      </c>
      <c r="I6" s="11" t="s">
        <v>45</v>
      </c>
      <c r="J6" s="11" t="s">
        <v>51</v>
      </c>
      <c r="K6" s="11">
        <v>1</v>
      </c>
      <c r="L6" s="11" t="s">
        <v>21</v>
      </c>
      <c r="M6" s="11">
        <v>1</v>
      </c>
      <c r="N6" s="11" t="s">
        <v>46</v>
      </c>
      <c r="O6" s="11">
        <v>2</v>
      </c>
      <c r="P6" s="11">
        <v>1</v>
      </c>
      <c r="Q6" s="11" t="s">
        <v>52</v>
      </c>
    </row>
    <row r="7" spans="1:17">
      <c r="A7" s="10"/>
      <c r="B7" s="11">
        <f t="shared" si="0"/>
        <v>73000001</v>
      </c>
      <c r="C7" s="11" t="s">
        <v>48</v>
      </c>
      <c r="D7" s="11" t="s">
        <v>49</v>
      </c>
      <c r="E7" s="11" t="s">
        <v>50</v>
      </c>
      <c r="F7" s="11">
        <v>2</v>
      </c>
      <c r="G7" s="11" t="s">
        <v>21</v>
      </c>
      <c r="H7" s="11" t="s">
        <v>21</v>
      </c>
      <c r="I7" s="11" t="s">
        <v>45</v>
      </c>
      <c r="J7" s="11" t="s">
        <v>51</v>
      </c>
      <c r="K7" s="11">
        <v>1</v>
      </c>
      <c r="L7" s="11" t="s">
        <v>21</v>
      </c>
      <c r="M7" s="11">
        <v>1</v>
      </c>
      <c r="N7" s="11" t="s">
        <v>46</v>
      </c>
      <c r="O7" s="11">
        <v>3</v>
      </c>
      <c r="P7" s="11">
        <v>1</v>
      </c>
      <c r="Q7" s="11" t="s">
        <v>52</v>
      </c>
    </row>
    <row r="8" spans="1:17">
      <c r="A8" s="10"/>
      <c r="B8" s="11">
        <f t="shared" si="0"/>
        <v>74000001</v>
      </c>
      <c r="C8" s="11" t="s">
        <v>48</v>
      </c>
      <c r="D8" s="11" t="s">
        <v>49</v>
      </c>
      <c r="E8" s="11" t="s">
        <v>50</v>
      </c>
      <c r="F8" s="11">
        <v>2</v>
      </c>
      <c r="G8" s="11" t="s">
        <v>21</v>
      </c>
      <c r="H8" s="11" t="s">
        <v>21</v>
      </c>
      <c r="I8" s="11" t="s">
        <v>45</v>
      </c>
      <c r="J8" s="11" t="s">
        <v>51</v>
      </c>
      <c r="K8" s="11">
        <v>1</v>
      </c>
      <c r="L8" s="11" t="s">
        <v>21</v>
      </c>
      <c r="M8" s="11">
        <v>1</v>
      </c>
      <c r="N8" s="11" t="s">
        <v>46</v>
      </c>
      <c r="O8" s="11">
        <v>4</v>
      </c>
      <c r="P8" s="11">
        <v>1</v>
      </c>
      <c r="Q8" s="11" t="s">
        <v>52</v>
      </c>
    </row>
    <row r="9" spans="1:17">
      <c r="A9" s="10"/>
      <c r="B9" s="11">
        <f t="shared" si="0"/>
        <v>75000001</v>
      </c>
      <c r="C9" s="11" t="s">
        <v>48</v>
      </c>
      <c r="D9" s="11" t="s">
        <v>49</v>
      </c>
      <c r="E9" s="11" t="s">
        <v>50</v>
      </c>
      <c r="F9" s="11">
        <v>2</v>
      </c>
      <c r="G9" s="11" t="s">
        <v>21</v>
      </c>
      <c r="H9" s="11" t="s">
        <v>21</v>
      </c>
      <c r="I9" s="11" t="s">
        <v>45</v>
      </c>
      <c r="J9" s="11" t="s">
        <v>51</v>
      </c>
      <c r="K9" s="11">
        <v>1</v>
      </c>
      <c r="L9" s="11" t="s">
        <v>21</v>
      </c>
      <c r="M9" s="11">
        <v>1</v>
      </c>
      <c r="N9" s="11" t="s">
        <v>46</v>
      </c>
      <c r="O9" s="11">
        <v>5</v>
      </c>
      <c r="P9" s="11">
        <v>1</v>
      </c>
      <c r="Q9" s="11" t="s">
        <v>52</v>
      </c>
    </row>
    <row r="10" spans="1:17">
      <c r="A10" s="10"/>
      <c r="B10" s="11">
        <f t="shared" si="0"/>
        <v>76000001</v>
      </c>
      <c r="C10" s="11" t="s">
        <v>48</v>
      </c>
      <c r="D10" s="11" t="s">
        <v>49</v>
      </c>
      <c r="E10" s="11" t="s">
        <v>50</v>
      </c>
      <c r="F10" s="11">
        <v>2</v>
      </c>
      <c r="G10" s="11" t="s">
        <v>21</v>
      </c>
      <c r="H10" s="11" t="s">
        <v>21</v>
      </c>
      <c r="I10" s="11" t="s">
        <v>45</v>
      </c>
      <c r="J10" s="11" t="s">
        <v>51</v>
      </c>
      <c r="K10" s="11">
        <v>1</v>
      </c>
      <c r="L10" s="11" t="s">
        <v>21</v>
      </c>
      <c r="M10" s="11">
        <v>1</v>
      </c>
      <c r="N10" s="11" t="s">
        <v>46</v>
      </c>
      <c r="O10" s="11">
        <v>6</v>
      </c>
      <c r="P10" s="11">
        <v>1</v>
      </c>
      <c r="Q10" s="11" t="s">
        <v>52</v>
      </c>
    </row>
    <row r="11" spans="1:17">
      <c r="A11" s="10"/>
      <c r="B11" s="11">
        <f t="shared" si="0"/>
        <v>77000001</v>
      </c>
      <c r="C11" s="11" t="s">
        <v>48</v>
      </c>
      <c r="D11" s="11" t="s">
        <v>49</v>
      </c>
      <c r="E11" s="11" t="s">
        <v>50</v>
      </c>
      <c r="F11" s="11">
        <v>2</v>
      </c>
      <c r="G11" s="11" t="s">
        <v>21</v>
      </c>
      <c r="H11" s="11" t="s">
        <v>21</v>
      </c>
      <c r="I11" s="11" t="s">
        <v>45</v>
      </c>
      <c r="J11" s="11" t="s">
        <v>51</v>
      </c>
      <c r="K11" s="11">
        <v>1</v>
      </c>
      <c r="L11" s="11" t="s">
        <v>21</v>
      </c>
      <c r="M11" s="11">
        <v>1</v>
      </c>
      <c r="N11" s="11" t="s">
        <v>46</v>
      </c>
      <c r="O11" s="11">
        <v>7</v>
      </c>
      <c r="P11" s="11">
        <v>1</v>
      </c>
      <c r="Q11" s="11" t="s">
        <v>52</v>
      </c>
    </row>
    <row r="12" spans="1:17">
      <c r="A12" s="10"/>
      <c r="B12" s="11">
        <f t="shared" si="0"/>
        <v>78000001</v>
      </c>
      <c r="C12" s="11" t="s">
        <v>48</v>
      </c>
      <c r="D12" s="11" t="s">
        <v>49</v>
      </c>
      <c r="E12" s="11" t="s">
        <v>50</v>
      </c>
      <c r="F12" s="11">
        <v>2</v>
      </c>
      <c r="G12" s="11" t="s">
        <v>21</v>
      </c>
      <c r="H12" s="11" t="s">
        <v>21</v>
      </c>
      <c r="I12" s="11" t="s">
        <v>45</v>
      </c>
      <c r="J12" s="11" t="s">
        <v>51</v>
      </c>
      <c r="K12" s="11">
        <v>1</v>
      </c>
      <c r="L12" s="11" t="s">
        <v>21</v>
      </c>
      <c r="M12" s="11">
        <v>1</v>
      </c>
      <c r="N12" s="11" t="s">
        <v>46</v>
      </c>
      <c r="O12" s="11">
        <v>8</v>
      </c>
      <c r="P12" s="11">
        <v>1</v>
      </c>
      <c r="Q12" s="11" t="s">
        <v>52</v>
      </c>
    </row>
    <row r="13" spans="1:17">
      <c r="A13" s="10"/>
      <c r="B13" s="11">
        <f t="shared" si="0"/>
        <v>79000001</v>
      </c>
      <c r="C13" s="11" t="s">
        <v>48</v>
      </c>
      <c r="D13" s="11" t="s">
        <v>49</v>
      </c>
      <c r="E13" s="11" t="s">
        <v>50</v>
      </c>
      <c r="F13" s="11">
        <v>2</v>
      </c>
      <c r="G13" s="11" t="s">
        <v>21</v>
      </c>
      <c r="H13" s="11" t="s">
        <v>21</v>
      </c>
      <c r="I13" s="11" t="s">
        <v>45</v>
      </c>
      <c r="J13" s="11" t="s">
        <v>51</v>
      </c>
      <c r="K13" s="11">
        <v>1</v>
      </c>
      <c r="L13" s="11" t="s">
        <v>21</v>
      </c>
      <c r="M13" s="11">
        <v>1</v>
      </c>
      <c r="N13" s="11" t="s">
        <v>46</v>
      </c>
      <c r="O13" s="11">
        <v>9</v>
      </c>
      <c r="P13" s="11">
        <v>1</v>
      </c>
      <c r="Q13" s="11" t="s">
        <v>52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"/>
  <sheetViews>
    <sheetView workbookViewId="0">
      <selection activeCell="T8" sqref="T8"/>
    </sheetView>
  </sheetViews>
  <sheetFormatPr defaultColWidth="9" defaultRowHeight="15" outlineLevelRow="4"/>
  <cols>
    <col min="1" max="1" width="6" customWidth="1"/>
    <col min="2" max="2" width="11" customWidth="1"/>
    <col min="3" max="3" width="14" customWidth="1"/>
    <col min="4" max="4" width="20" customWidth="1"/>
    <col min="5" max="5" width="10" customWidth="1"/>
    <col min="6" max="6" width="8" customWidth="1"/>
    <col min="7" max="13" width="12" customWidth="1"/>
    <col min="14" max="14" width="9.57142857142857" customWidth="1"/>
    <col min="15" max="17" width="12" customWidth="1"/>
    <col min="18" max="18" width="10" customWidth="1"/>
    <col min="19" max="19" width="24" customWidth="1"/>
    <col min="20" max="20" width="10" customWidth="1"/>
    <col min="21" max="23" width="12" customWidth="1"/>
    <col min="24" max="24" width="10" customWidth="1"/>
    <col min="25" max="25" width="24" customWidth="1"/>
    <col min="26" max="26" width="10" customWidth="1"/>
    <col min="27" max="29" width="12" customWidth="1"/>
    <col min="30" max="30" width="10" customWidth="1"/>
    <col min="31" max="31" width="24" customWidth="1"/>
    <col min="32" max="32" width="10" customWidth="1"/>
    <col min="33" max="35" width="12" customWidth="1"/>
    <col min="36" max="36" width="10" customWidth="1"/>
    <col min="37" max="37" width="24" customWidth="1"/>
    <col min="38" max="38" width="46" customWidth="1"/>
    <col min="39" max="39" width="10" customWidth="1"/>
    <col min="40" max="40" width="8" customWidth="1"/>
  </cols>
  <sheetData>
    <row r="1" ht="20" customHeight="1" spans="1:40">
      <c r="A1" s="4" t="s">
        <v>0</v>
      </c>
      <c r="B1" s="5" t="s">
        <v>10</v>
      </c>
      <c r="C1" s="5" t="s">
        <v>2</v>
      </c>
      <c r="D1" s="5" t="s">
        <v>53</v>
      </c>
      <c r="E1" s="5" t="s">
        <v>54</v>
      </c>
      <c r="F1" s="5" t="s">
        <v>55</v>
      </c>
      <c r="G1" s="12" t="s">
        <v>56</v>
      </c>
      <c r="H1" s="13"/>
      <c r="I1" s="13"/>
      <c r="J1" s="13"/>
      <c r="K1" s="13"/>
      <c r="L1" s="13"/>
      <c r="M1" s="14"/>
      <c r="N1" s="12" t="s">
        <v>57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4"/>
      <c r="AL1" s="5" t="s">
        <v>58</v>
      </c>
      <c r="AM1" s="5" t="s">
        <v>12</v>
      </c>
      <c r="AN1" s="5" t="s">
        <v>13</v>
      </c>
    </row>
    <row r="2" ht="20" customHeight="1" spans="1:40">
      <c r="A2" s="4" t="s">
        <v>14</v>
      </c>
      <c r="B2" s="6" t="s">
        <v>15</v>
      </c>
      <c r="C2" s="6" t="s">
        <v>16</v>
      </c>
      <c r="D2" s="6" t="s">
        <v>16</v>
      </c>
      <c r="E2" s="6" t="s">
        <v>18</v>
      </c>
      <c r="F2" s="6" t="s">
        <v>15</v>
      </c>
      <c r="G2" s="15" t="s">
        <v>59</v>
      </c>
      <c r="H2" s="16"/>
      <c r="I2" s="16"/>
      <c r="J2" s="16"/>
      <c r="K2" s="16"/>
      <c r="L2" s="16"/>
      <c r="M2" s="17"/>
      <c r="N2" s="15" t="s">
        <v>60</v>
      </c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7"/>
      <c r="AL2" s="6" t="s">
        <v>16</v>
      </c>
      <c r="AM2" s="6" t="s">
        <v>15</v>
      </c>
      <c r="AN2" s="6" t="s">
        <v>19</v>
      </c>
    </row>
    <row r="3" ht="20" customHeight="1" spans="1:40">
      <c r="A3" s="4" t="s">
        <v>20</v>
      </c>
      <c r="B3" s="7" t="s">
        <v>21</v>
      </c>
      <c r="C3" s="7" t="s">
        <v>22</v>
      </c>
      <c r="D3" s="7" t="s">
        <v>22</v>
      </c>
      <c r="E3" s="7" t="s">
        <v>21</v>
      </c>
      <c r="F3" s="7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 t="s">
        <v>22</v>
      </c>
      <c r="AM3" s="7" t="s">
        <v>21</v>
      </c>
      <c r="AN3" s="7" t="s">
        <v>21</v>
      </c>
    </row>
    <row r="4" ht="20" customHeight="1" spans="1:40">
      <c r="A4" s="4" t="s">
        <v>23</v>
      </c>
      <c r="B4" s="8" t="s">
        <v>61</v>
      </c>
      <c r="C4" s="8" t="s">
        <v>62</v>
      </c>
      <c r="D4" s="8" t="s">
        <v>63</v>
      </c>
      <c r="E4" s="8" t="s">
        <v>64</v>
      </c>
      <c r="F4" s="8" t="s">
        <v>65</v>
      </c>
      <c r="G4" s="8" t="s">
        <v>66</v>
      </c>
      <c r="H4" s="8" t="s">
        <v>67</v>
      </c>
      <c r="I4" s="8" t="s">
        <v>68</v>
      </c>
      <c r="J4" s="8" t="s">
        <v>69</v>
      </c>
      <c r="K4" s="8" t="s">
        <v>70</v>
      </c>
      <c r="L4" s="8" t="s">
        <v>71</v>
      </c>
      <c r="M4" s="8" t="s">
        <v>72</v>
      </c>
      <c r="N4" s="18" t="s">
        <v>73</v>
      </c>
      <c r="O4" s="18" t="s">
        <v>74</v>
      </c>
      <c r="P4" s="18" t="s">
        <v>75</v>
      </c>
      <c r="Q4" s="18" t="s">
        <v>76</v>
      </c>
      <c r="R4" s="18" t="s">
        <v>77</v>
      </c>
      <c r="S4" s="18" t="s">
        <v>78</v>
      </c>
      <c r="T4" s="20" t="s">
        <v>79</v>
      </c>
      <c r="U4" s="19" t="s">
        <v>80</v>
      </c>
      <c r="V4" s="19" t="s">
        <v>81</v>
      </c>
      <c r="W4" s="19" t="s">
        <v>82</v>
      </c>
      <c r="X4" s="19" t="s">
        <v>83</v>
      </c>
      <c r="Y4" s="19" t="s">
        <v>84</v>
      </c>
      <c r="Z4" s="18" t="s">
        <v>85</v>
      </c>
      <c r="AA4" s="18" t="s">
        <v>86</v>
      </c>
      <c r="AB4" s="18" t="s">
        <v>87</v>
      </c>
      <c r="AC4" s="18" t="s">
        <v>88</v>
      </c>
      <c r="AD4" s="18" t="s">
        <v>89</v>
      </c>
      <c r="AE4" s="18" t="s">
        <v>90</v>
      </c>
      <c r="AF4" s="19" t="s">
        <v>91</v>
      </c>
      <c r="AG4" s="19" t="s">
        <v>92</v>
      </c>
      <c r="AH4" s="19" t="s">
        <v>93</v>
      </c>
      <c r="AI4" s="19" t="s">
        <v>94</v>
      </c>
      <c r="AJ4" s="19" t="s">
        <v>95</v>
      </c>
      <c r="AK4" s="19" t="s">
        <v>96</v>
      </c>
      <c r="AL4" s="8" t="s">
        <v>97</v>
      </c>
      <c r="AM4" s="8" t="s">
        <v>98</v>
      </c>
      <c r="AN4" s="8" t="s">
        <v>36</v>
      </c>
    </row>
    <row r="5" spans="1:40">
      <c r="A5" s="10"/>
      <c r="B5" s="11">
        <v>1</v>
      </c>
      <c r="C5" s="11" t="s">
        <v>99</v>
      </c>
      <c r="D5" s="11" t="s">
        <v>100</v>
      </c>
      <c r="E5" s="11" t="s">
        <v>50</v>
      </c>
      <c r="F5" s="11">
        <v>5</v>
      </c>
      <c r="G5" s="11">
        <v>71000001</v>
      </c>
      <c r="H5" s="11">
        <v>72000001</v>
      </c>
      <c r="I5">
        <v>73000001</v>
      </c>
      <c r="J5">
        <v>74000001</v>
      </c>
      <c r="K5">
        <v>75000001</v>
      </c>
      <c r="L5" s="11"/>
      <c r="M5" s="11"/>
      <c r="N5" s="11">
        <v>2</v>
      </c>
      <c r="O5" s="11" t="s">
        <v>101</v>
      </c>
      <c r="P5" s="11" t="s">
        <v>102</v>
      </c>
      <c r="Q5" s="11" t="s">
        <v>103</v>
      </c>
      <c r="R5" s="11">
        <v>80</v>
      </c>
      <c r="S5" s="11" t="s">
        <v>104</v>
      </c>
      <c r="T5" s="11">
        <v>4</v>
      </c>
      <c r="U5" s="11" t="s">
        <v>105</v>
      </c>
      <c r="V5" s="11" t="s">
        <v>102</v>
      </c>
      <c r="W5" s="11" t="s">
        <v>103</v>
      </c>
      <c r="X5" s="11">
        <v>12</v>
      </c>
      <c r="Y5" s="11" t="s">
        <v>106</v>
      </c>
      <c r="Z5" s="11">
        <v>5</v>
      </c>
      <c r="AA5" s="11" t="s">
        <v>107</v>
      </c>
      <c r="AB5" s="11" t="s">
        <v>102</v>
      </c>
      <c r="AC5" s="11" t="s">
        <v>103</v>
      </c>
      <c r="AD5" s="11">
        <v>120</v>
      </c>
      <c r="AE5" s="11" t="s">
        <v>108</v>
      </c>
      <c r="AF5" s="11"/>
      <c r="AG5" s="11"/>
      <c r="AH5" s="11"/>
      <c r="AI5" s="11"/>
      <c r="AJ5" s="11"/>
      <c r="AK5" s="11"/>
      <c r="AL5" s="11" t="s">
        <v>109</v>
      </c>
      <c r="AM5" s="11">
        <v>1</v>
      </c>
      <c r="AN5" s="11" t="s">
        <v>46</v>
      </c>
    </row>
  </sheetData>
  <mergeCells count="4">
    <mergeCell ref="G1:M1"/>
    <mergeCell ref="N1:AK1"/>
    <mergeCell ref="G2:M2"/>
    <mergeCell ref="N2:AK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"/>
  <sheetViews>
    <sheetView workbookViewId="0">
      <selection activeCell="D19" sqref="D19"/>
    </sheetView>
  </sheetViews>
  <sheetFormatPr defaultColWidth="9" defaultRowHeight="15" outlineLevelRow="4"/>
  <cols>
    <col min="1" max="1" width="6" customWidth="1"/>
    <col min="2" max="2" width="11" customWidth="1"/>
    <col min="3" max="3" width="10" customWidth="1"/>
    <col min="4" max="4" width="14" customWidth="1"/>
    <col min="5" max="5" width="16" customWidth="1"/>
    <col min="6" max="6" width="14" customWidth="1"/>
    <col min="7" max="7" width="60" customWidth="1"/>
    <col min="8" max="10" width="12" customWidth="1"/>
    <col min="11" max="11" width="10" customWidth="1"/>
    <col min="12" max="12" width="24" customWidth="1"/>
    <col min="13" max="15" width="12" customWidth="1"/>
    <col min="16" max="16" width="10" customWidth="1"/>
    <col min="17" max="17" width="24" customWidth="1"/>
    <col min="18" max="20" width="12" customWidth="1"/>
    <col min="21" max="21" width="10" customWidth="1"/>
    <col min="22" max="22" width="24" customWidth="1"/>
    <col min="23" max="25" width="12" customWidth="1"/>
    <col min="26" max="26" width="10" customWidth="1"/>
    <col min="27" max="27" width="24" customWidth="1"/>
  </cols>
  <sheetData>
    <row r="1" ht="20" customHeight="1" spans="1:27">
      <c r="A1" s="4" t="s">
        <v>0</v>
      </c>
      <c r="B1" s="5" t="s">
        <v>1</v>
      </c>
      <c r="C1" s="5" t="s">
        <v>110</v>
      </c>
      <c r="D1" s="5" t="s">
        <v>111</v>
      </c>
      <c r="E1" s="5"/>
      <c r="F1" s="5"/>
      <c r="G1" s="5"/>
      <c r="H1" s="12" t="s">
        <v>112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4"/>
    </row>
    <row r="2" ht="20" customHeight="1" spans="1:27">
      <c r="A2" s="4" t="s">
        <v>14</v>
      </c>
      <c r="B2" s="6" t="s">
        <v>15</v>
      </c>
      <c r="C2" s="6" t="s">
        <v>17</v>
      </c>
      <c r="D2" s="6" t="s">
        <v>15</v>
      </c>
      <c r="E2" s="6"/>
      <c r="F2" s="6"/>
      <c r="G2" s="6"/>
      <c r="H2" s="15" t="s">
        <v>113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7"/>
    </row>
    <row r="3" ht="20" customHeight="1" spans="1:27">
      <c r="A3" s="4" t="s">
        <v>20</v>
      </c>
      <c r="B3" s="7" t="s">
        <v>21</v>
      </c>
      <c r="C3" s="7" t="s">
        <v>21</v>
      </c>
      <c r="D3" s="7" t="s">
        <v>21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20" customHeight="1" spans="1:27">
      <c r="A4" s="4" t="s">
        <v>23</v>
      </c>
      <c r="B4" s="8" t="s">
        <v>24</v>
      </c>
      <c r="C4" s="8" t="s">
        <v>114</v>
      </c>
      <c r="D4" s="8" t="s">
        <v>115</v>
      </c>
      <c r="E4" s="9" t="s">
        <v>116</v>
      </c>
      <c r="F4" s="9" t="s">
        <v>117</v>
      </c>
      <c r="G4" s="9" t="s">
        <v>39</v>
      </c>
      <c r="H4" s="18" t="s">
        <v>118</v>
      </c>
      <c r="I4" s="18" t="s">
        <v>119</v>
      </c>
      <c r="J4" s="18" t="s">
        <v>120</v>
      </c>
      <c r="K4" s="18" t="s">
        <v>121</v>
      </c>
      <c r="L4" s="18" t="s">
        <v>122</v>
      </c>
      <c r="M4" s="19" t="s">
        <v>123</v>
      </c>
      <c r="N4" s="19" t="s">
        <v>124</v>
      </c>
      <c r="O4" s="19" t="s">
        <v>125</v>
      </c>
      <c r="P4" s="19" t="s">
        <v>126</v>
      </c>
      <c r="Q4" s="19" t="s">
        <v>127</v>
      </c>
      <c r="R4" s="18" t="s">
        <v>128</v>
      </c>
      <c r="S4" s="18" t="s">
        <v>129</v>
      </c>
      <c r="T4" s="18" t="s">
        <v>130</v>
      </c>
      <c r="U4" s="18" t="s">
        <v>131</v>
      </c>
      <c r="V4" s="18" t="s">
        <v>132</v>
      </c>
      <c r="W4" s="19" t="s">
        <v>133</v>
      </c>
      <c r="X4" s="19" t="s">
        <v>134</v>
      </c>
      <c r="Y4" s="19" t="s">
        <v>135</v>
      </c>
      <c r="Z4" s="19" t="s">
        <v>136</v>
      </c>
      <c r="AA4" s="19" t="s">
        <v>137</v>
      </c>
    </row>
    <row r="5" spans="1:27">
      <c r="A5" s="10"/>
      <c r="B5" s="11">
        <v>71000001</v>
      </c>
      <c r="C5" s="11" t="s">
        <v>41</v>
      </c>
      <c r="D5" s="11">
        <v>2</v>
      </c>
      <c r="E5" s="11" t="str">
        <f>IFERROR(VLOOKUP(B5,收录!$B$5:$L$999,2,FALSE),"")</f>
        <v>千年凝露</v>
      </c>
      <c r="F5" s="11" t="str">
        <f>IFERROR(VLOOKUP(B5,收录!$B$5:$L$999,11,FALSE),"")</f>
        <v/>
      </c>
      <c r="G5" s="11" t="s">
        <v>138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</sheetData>
  <mergeCells count="2">
    <mergeCell ref="H1:AA1"/>
    <mergeCell ref="H2:AA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C14" sqref="C14"/>
    </sheetView>
  </sheetViews>
  <sheetFormatPr defaultColWidth="9" defaultRowHeight="15" outlineLevelCol="4"/>
  <cols>
    <col min="1" max="1" width="8.57142857142857" customWidth="1"/>
    <col min="2" max="2" width="15.7142857142857" customWidth="1"/>
    <col min="3" max="3" width="12" customWidth="1"/>
    <col min="4" max="4" width="10" customWidth="1"/>
    <col min="5" max="5" width="52" customWidth="1"/>
  </cols>
  <sheetData>
    <row r="1" ht="20" customHeight="1" spans="1:5">
      <c r="A1" s="4" t="s">
        <v>0</v>
      </c>
      <c r="B1" s="5" t="s">
        <v>110</v>
      </c>
      <c r="C1" s="5" t="s">
        <v>139</v>
      </c>
      <c r="D1" s="5" t="s">
        <v>12</v>
      </c>
      <c r="E1" s="5"/>
    </row>
    <row r="2" ht="20" customHeight="1" spans="1:5">
      <c r="A2" s="4" t="s">
        <v>14</v>
      </c>
      <c r="B2" s="6" t="s">
        <v>17</v>
      </c>
      <c r="C2" s="6" t="s">
        <v>15</v>
      </c>
      <c r="D2" s="6" t="s">
        <v>15</v>
      </c>
      <c r="E2" s="6"/>
    </row>
    <row r="3" ht="20" customHeight="1" spans="1:5">
      <c r="A3" s="4" t="s">
        <v>20</v>
      </c>
      <c r="B3" s="7" t="s">
        <v>21</v>
      </c>
      <c r="C3" s="7" t="s">
        <v>21</v>
      </c>
      <c r="D3" s="7" t="s">
        <v>21</v>
      </c>
      <c r="E3" s="7"/>
    </row>
    <row r="4" ht="20" customHeight="1" spans="1:5">
      <c r="A4" s="4" t="s">
        <v>23</v>
      </c>
      <c r="B4" s="8" t="s">
        <v>114</v>
      </c>
      <c r="C4" s="8" t="s">
        <v>140</v>
      </c>
      <c r="D4" s="8" t="s">
        <v>141</v>
      </c>
      <c r="E4" s="9" t="s">
        <v>39</v>
      </c>
    </row>
    <row r="5" spans="1:5">
      <c r="A5" s="10"/>
      <c r="B5" s="11" t="s">
        <v>41</v>
      </c>
      <c r="C5" s="11">
        <v>0</v>
      </c>
      <c r="D5" s="11">
        <v>1</v>
      </c>
      <c r="E5" s="11" t="s">
        <v>142</v>
      </c>
    </row>
    <row r="6" spans="1:5">
      <c r="A6" s="10"/>
      <c r="B6" s="11" t="s">
        <v>49</v>
      </c>
      <c r="C6" s="11">
        <v>1</v>
      </c>
      <c r="D6" s="11">
        <v>2</v>
      </c>
      <c r="E6" s="11" t="s">
        <v>142</v>
      </c>
    </row>
    <row r="7" spans="1:5">
      <c r="A7" s="10"/>
      <c r="B7" s="11" t="s">
        <v>143</v>
      </c>
      <c r="C7" s="11">
        <v>1</v>
      </c>
      <c r="D7" s="11">
        <v>3</v>
      </c>
      <c r="E7" s="11" t="s">
        <v>142</v>
      </c>
    </row>
    <row r="8" spans="1:5">
      <c r="A8" s="10"/>
      <c r="B8" s="11" t="s">
        <v>144</v>
      </c>
      <c r="C8" s="11">
        <v>2</v>
      </c>
      <c r="D8" s="11">
        <v>4</v>
      </c>
      <c r="E8" s="11" t="s">
        <v>142</v>
      </c>
    </row>
    <row r="9" spans="1:5">
      <c r="A9" s="10"/>
      <c r="B9" s="11" t="s">
        <v>145</v>
      </c>
      <c r="C9" s="11">
        <v>2</v>
      </c>
      <c r="D9" s="11">
        <v>5</v>
      </c>
      <c r="E9" s="11" t="s">
        <v>142</v>
      </c>
    </row>
    <row r="10" spans="1:5">
      <c r="A10" s="10"/>
      <c r="B10" s="11" t="s">
        <v>146</v>
      </c>
      <c r="C10" s="11">
        <v>2</v>
      </c>
      <c r="D10" s="11">
        <v>6</v>
      </c>
      <c r="E10" s="11" t="s">
        <v>142</v>
      </c>
    </row>
    <row r="11" spans="1:5">
      <c r="A11" s="10"/>
      <c r="B11" s="11" t="s">
        <v>147</v>
      </c>
      <c r="C11" s="11">
        <v>2</v>
      </c>
      <c r="D11" s="11">
        <v>7</v>
      </c>
      <c r="E11" s="11" t="s">
        <v>142</v>
      </c>
    </row>
    <row r="12" spans="1:5">
      <c r="A12" s="10"/>
      <c r="B12" s="11" t="s">
        <v>148</v>
      </c>
      <c r="C12" s="11">
        <v>2</v>
      </c>
      <c r="D12" s="11">
        <v>8</v>
      </c>
      <c r="E12" s="11" t="s">
        <v>142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workbookViewId="0">
      <selection activeCell="A1" sqref="A1"/>
    </sheetView>
  </sheetViews>
  <sheetFormatPr defaultColWidth="9" defaultRowHeight="15" outlineLevelCol="4"/>
  <cols>
    <col min="1" max="1" width="44" customWidth="1"/>
    <col min="2" max="2" width="16" customWidth="1"/>
    <col min="3" max="3" width="28" customWidth="1"/>
    <col min="4" max="4" width="58" customWidth="1"/>
    <col min="5" max="5" width="18" customWidth="1"/>
  </cols>
  <sheetData>
    <row r="1" spans="1:5">
      <c r="A1" s="1" t="s">
        <v>149</v>
      </c>
      <c r="B1" s="1" t="s">
        <v>21</v>
      </c>
      <c r="C1" s="1" t="s">
        <v>21</v>
      </c>
      <c r="D1" s="1" t="s">
        <v>21</v>
      </c>
      <c r="E1" s="1" t="s">
        <v>21</v>
      </c>
    </row>
    <row r="2" spans="1:5">
      <c r="A2" s="1" t="s">
        <v>150</v>
      </c>
      <c r="B2" s="1" t="s">
        <v>21</v>
      </c>
      <c r="C2" s="1" t="s">
        <v>21</v>
      </c>
      <c r="D2" s="1" t="s">
        <v>21</v>
      </c>
      <c r="E2" s="1" t="s">
        <v>21</v>
      </c>
    </row>
    <row r="3" spans="1:5">
      <c r="A3" s="2" t="s">
        <v>21</v>
      </c>
      <c r="B3" s="2" t="s">
        <v>21</v>
      </c>
      <c r="C3" s="2" t="s">
        <v>21</v>
      </c>
      <c r="D3" s="2" t="s">
        <v>21</v>
      </c>
      <c r="E3" s="2" t="s">
        <v>21</v>
      </c>
    </row>
    <row r="4" spans="1:5">
      <c r="A4" s="2" t="s">
        <v>151</v>
      </c>
      <c r="B4" s="2" t="s">
        <v>152</v>
      </c>
      <c r="C4" s="2" t="s">
        <v>153</v>
      </c>
      <c r="D4" s="2" t="s">
        <v>154</v>
      </c>
      <c r="E4" s="2" t="s">
        <v>21</v>
      </c>
    </row>
    <row r="5" spans="1:5">
      <c r="A5" s="2" t="s">
        <v>155</v>
      </c>
      <c r="B5" s="2" t="s">
        <v>156</v>
      </c>
      <c r="C5" s="2" t="s">
        <v>157</v>
      </c>
      <c r="D5" s="2" t="s">
        <v>158</v>
      </c>
      <c r="E5" s="2" t="s">
        <v>21</v>
      </c>
    </row>
    <row r="6" spans="1:5">
      <c r="A6" s="2" t="s">
        <v>159</v>
      </c>
      <c r="B6" s="2" t="s">
        <v>160</v>
      </c>
      <c r="C6" s="2" t="s">
        <v>161</v>
      </c>
      <c r="D6" s="2" t="s">
        <v>162</v>
      </c>
      <c r="E6" s="2" t="s">
        <v>21</v>
      </c>
    </row>
    <row r="7" spans="1:5">
      <c r="A7" s="2" t="s">
        <v>163</v>
      </c>
      <c r="B7" s="2" t="s">
        <v>164</v>
      </c>
      <c r="C7" s="2" t="s">
        <v>165</v>
      </c>
      <c r="D7" s="2" t="s">
        <v>166</v>
      </c>
      <c r="E7" s="2" t="s">
        <v>21</v>
      </c>
    </row>
    <row r="8" spans="1:5">
      <c r="A8" s="2" t="s">
        <v>21</v>
      </c>
      <c r="B8" s="2" t="s">
        <v>21</v>
      </c>
      <c r="C8" s="2" t="s">
        <v>21</v>
      </c>
      <c r="D8" s="2" t="s">
        <v>21</v>
      </c>
      <c r="E8" s="2" t="s">
        <v>21</v>
      </c>
    </row>
    <row r="9" spans="1:5">
      <c r="A9" s="1" t="s">
        <v>167</v>
      </c>
      <c r="B9" s="1" t="s">
        <v>21</v>
      </c>
      <c r="C9" s="1" t="s">
        <v>21</v>
      </c>
      <c r="D9" s="1" t="s">
        <v>21</v>
      </c>
      <c r="E9" s="1" t="s">
        <v>21</v>
      </c>
    </row>
    <row r="10" spans="1:5">
      <c r="A10" s="1" t="s">
        <v>168</v>
      </c>
      <c r="B10" s="1" t="s">
        <v>169</v>
      </c>
      <c r="C10" s="1" t="s">
        <v>170</v>
      </c>
      <c r="D10" s="1" t="s">
        <v>171</v>
      </c>
      <c r="E10" s="1" t="s">
        <v>21</v>
      </c>
    </row>
    <row r="11" ht="25.5" spans="1:5">
      <c r="A11" s="2" t="s">
        <v>172</v>
      </c>
      <c r="B11" s="2" t="s">
        <v>173</v>
      </c>
      <c r="C11" s="2" t="s">
        <v>174</v>
      </c>
      <c r="D11" s="2" t="s">
        <v>175</v>
      </c>
      <c r="E11" s="2" t="s">
        <v>21</v>
      </c>
    </row>
    <row r="12" spans="1:5">
      <c r="A12" s="2" t="s">
        <v>176</v>
      </c>
      <c r="B12" s="2" t="s">
        <v>177</v>
      </c>
      <c r="C12" s="2" t="s">
        <v>178</v>
      </c>
      <c r="D12" s="2" t="s">
        <v>179</v>
      </c>
      <c r="E12" s="2" t="s">
        <v>21</v>
      </c>
    </row>
    <row r="13" ht="25.5" spans="1:5">
      <c r="A13" s="2" t="s">
        <v>21</v>
      </c>
      <c r="B13" s="2" t="s">
        <v>21</v>
      </c>
      <c r="C13" s="2" t="s">
        <v>21</v>
      </c>
      <c r="D13" s="2" t="s">
        <v>180</v>
      </c>
      <c r="E13" s="2" t="s">
        <v>21</v>
      </c>
    </row>
    <row r="14" spans="1:5">
      <c r="A14" s="2" t="s">
        <v>21</v>
      </c>
      <c r="B14" s="2" t="s">
        <v>21</v>
      </c>
      <c r="C14" s="2" t="s">
        <v>21</v>
      </c>
      <c r="D14" s="2" t="s">
        <v>21</v>
      </c>
      <c r="E14" s="2" t="s">
        <v>21</v>
      </c>
    </row>
    <row r="15" spans="1:5">
      <c r="A15" s="1" t="s">
        <v>181</v>
      </c>
      <c r="B15" s="1" t="s">
        <v>21</v>
      </c>
      <c r="C15" s="1" t="s">
        <v>21</v>
      </c>
      <c r="D15" s="1" t="s">
        <v>21</v>
      </c>
      <c r="E15" s="1" t="s">
        <v>21</v>
      </c>
    </row>
    <row r="16" spans="1:5">
      <c r="A16" s="1" t="s">
        <v>182</v>
      </c>
      <c r="B16" s="1" t="s">
        <v>183</v>
      </c>
      <c r="C16" s="1" t="s">
        <v>184</v>
      </c>
      <c r="D16" s="1" t="s">
        <v>185</v>
      </c>
      <c r="E16" s="1" t="s">
        <v>186</v>
      </c>
    </row>
    <row r="17" spans="1:5">
      <c r="A17" s="2" t="s">
        <v>41</v>
      </c>
      <c r="B17" s="2">
        <v>1</v>
      </c>
      <c r="C17" s="2" t="s">
        <v>187</v>
      </c>
      <c r="D17" s="2" t="s">
        <v>188</v>
      </c>
      <c r="E17" s="2" t="s">
        <v>189</v>
      </c>
    </row>
    <row r="18" ht="24" spans="1:5">
      <c r="A18" s="2" t="s">
        <v>49</v>
      </c>
      <c r="B18" s="2">
        <v>2</v>
      </c>
      <c r="C18" s="2" t="s">
        <v>190</v>
      </c>
      <c r="D18" s="2" t="s">
        <v>191</v>
      </c>
      <c r="E18" s="2" t="s">
        <v>192</v>
      </c>
    </row>
    <row r="19" ht="24" spans="1:5">
      <c r="A19" s="2" t="s">
        <v>143</v>
      </c>
      <c r="B19" s="2">
        <v>3</v>
      </c>
      <c r="C19" s="2" t="s">
        <v>193</v>
      </c>
      <c r="D19" s="2" t="s">
        <v>194</v>
      </c>
      <c r="E19" s="2" t="s">
        <v>195</v>
      </c>
    </row>
    <row r="20" ht="36" spans="1:5">
      <c r="A20" s="2" t="s">
        <v>144</v>
      </c>
      <c r="B20" s="2">
        <v>4</v>
      </c>
      <c r="C20" s="2" t="s">
        <v>196</v>
      </c>
      <c r="D20" s="2" t="s">
        <v>197</v>
      </c>
      <c r="E20" s="2" t="s">
        <v>198</v>
      </c>
    </row>
    <row r="21" spans="1:5">
      <c r="A21" s="2" t="s">
        <v>145</v>
      </c>
      <c r="B21" s="2">
        <v>5</v>
      </c>
      <c r="C21" s="2" t="s">
        <v>199</v>
      </c>
      <c r="D21" s="2" t="s">
        <v>200</v>
      </c>
      <c r="E21" s="2" t="s">
        <v>201</v>
      </c>
    </row>
    <row r="22" ht="24" spans="1:5">
      <c r="A22" s="2" t="s">
        <v>146</v>
      </c>
      <c r="B22" s="2">
        <v>6</v>
      </c>
      <c r="C22" s="2" t="s">
        <v>202</v>
      </c>
      <c r="D22" s="2" t="s">
        <v>203</v>
      </c>
      <c r="E22" s="2" t="s">
        <v>204</v>
      </c>
    </row>
    <row r="23" ht="24" spans="1:5">
      <c r="A23" s="2" t="s">
        <v>147</v>
      </c>
      <c r="B23" s="2">
        <v>7</v>
      </c>
      <c r="C23" s="2" t="s">
        <v>205</v>
      </c>
      <c r="D23" s="2" t="s">
        <v>206</v>
      </c>
      <c r="E23" s="2" t="s">
        <v>207</v>
      </c>
    </row>
    <row r="24" ht="36" spans="1:5">
      <c r="A24" s="2" t="s">
        <v>148</v>
      </c>
      <c r="B24" s="2">
        <v>8</v>
      </c>
      <c r="C24" s="2" t="s">
        <v>208</v>
      </c>
      <c r="D24" s="2" t="s">
        <v>209</v>
      </c>
      <c r="E24" s="2" t="s">
        <v>210</v>
      </c>
    </row>
    <row r="25" spans="1:5">
      <c r="A25" s="2" t="s">
        <v>21</v>
      </c>
      <c r="B25" s="2" t="s">
        <v>21</v>
      </c>
      <c r="C25" s="2" t="s">
        <v>21</v>
      </c>
      <c r="D25" s="2" t="s">
        <v>21</v>
      </c>
      <c r="E25" s="2" t="s">
        <v>21</v>
      </c>
    </row>
    <row r="26" spans="1:5">
      <c r="A26" s="2" t="s">
        <v>211</v>
      </c>
      <c r="B26" s="2" t="s">
        <v>21</v>
      </c>
      <c r="C26" s="2" t="s">
        <v>21</v>
      </c>
      <c r="D26" s="2" t="s">
        <v>21</v>
      </c>
      <c r="E26" s="2" t="s">
        <v>21</v>
      </c>
    </row>
    <row r="27" spans="1:5">
      <c r="A27" s="2" t="s">
        <v>21</v>
      </c>
      <c r="B27" s="2" t="s">
        <v>21</v>
      </c>
      <c r="C27" s="2" t="s">
        <v>21</v>
      </c>
      <c r="D27" s="2" t="s">
        <v>21</v>
      </c>
      <c r="E27" s="2" t="s">
        <v>21</v>
      </c>
    </row>
    <row r="28" spans="1:5">
      <c r="A28" s="1" t="s">
        <v>212</v>
      </c>
      <c r="B28" s="1" t="s">
        <v>21</v>
      </c>
      <c r="C28" s="1" t="s">
        <v>21</v>
      </c>
      <c r="D28" s="1" t="s">
        <v>21</v>
      </c>
      <c r="E28" s="1" t="s">
        <v>21</v>
      </c>
    </row>
    <row r="29" spans="1:5">
      <c r="A29" s="1" t="s">
        <v>182</v>
      </c>
      <c r="B29" s="1" t="s">
        <v>183</v>
      </c>
      <c r="C29" s="1" t="s">
        <v>213</v>
      </c>
      <c r="D29" s="1" t="s">
        <v>214</v>
      </c>
      <c r="E29" s="1" t="s">
        <v>21</v>
      </c>
    </row>
    <row r="30" ht="25.5" spans="1:5">
      <c r="A30" s="2" t="s">
        <v>50</v>
      </c>
      <c r="B30" s="2">
        <v>1</v>
      </c>
      <c r="C30" s="2" t="s">
        <v>215</v>
      </c>
      <c r="D30" s="2" t="s">
        <v>216</v>
      </c>
      <c r="E30" s="2" t="s">
        <v>21</v>
      </c>
    </row>
    <row r="31" spans="1:5">
      <c r="A31" s="2" t="s">
        <v>217</v>
      </c>
      <c r="B31" s="2">
        <v>2</v>
      </c>
      <c r="C31" s="2" t="s">
        <v>218</v>
      </c>
      <c r="D31" s="2" t="s">
        <v>21</v>
      </c>
      <c r="E31" s="2" t="s">
        <v>21</v>
      </c>
    </row>
    <row r="32" spans="1:5">
      <c r="A32" s="2" t="s">
        <v>219</v>
      </c>
      <c r="B32" s="2">
        <v>3</v>
      </c>
      <c r="C32" s="2" t="s">
        <v>220</v>
      </c>
      <c r="D32" s="2" t="s">
        <v>21</v>
      </c>
      <c r="E32" s="2" t="s">
        <v>21</v>
      </c>
    </row>
    <row r="33" spans="1:5">
      <c r="A33" s="2" t="s">
        <v>42</v>
      </c>
      <c r="B33" s="2">
        <v>4</v>
      </c>
      <c r="C33" s="2" t="s">
        <v>221</v>
      </c>
      <c r="D33" s="2" t="s">
        <v>21</v>
      </c>
      <c r="E33" s="2" t="s">
        <v>21</v>
      </c>
    </row>
    <row r="34" spans="1:5">
      <c r="A34" s="2" t="s">
        <v>222</v>
      </c>
      <c r="B34" s="2">
        <v>5</v>
      </c>
      <c r="C34" s="2" t="s">
        <v>223</v>
      </c>
      <c r="D34" s="2" t="s">
        <v>21</v>
      </c>
      <c r="E34" s="2" t="s">
        <v>21</v>
      </c>
    </row>
    <row r="35" spans="1:5">
      <c r="A35" s="2" t="s">
        <v>224</v>
      </c>
      <c r="B35" s="2">
        <v>6</v>
      </c>
      <c r="C35" s="2" t="s">
        <v>225</v>
      </c>
      <c r="D35" s="2" t="s">
        <v>21</v>
      </c>
      <c r="E35" s="2" t="s">
        <v>21</v>
      </c>
    </row>
    <row r="36" spans="1:5">
      <c r="A36" s="2" t="s">
        <v>21</v>
      </c>
      <c r="B36" s="2" t="s">
        <v>21</v>
      </c>
      <c r="C36" s="2" t="s">
        <v>21</v>
      </c>
      <c r="D36" s="2" t="s">
        <v>21</v>
      </c>
      <c r="E36" s="2" t="s">
        <v>21</v>
      </c>
    </row>
    <row r="37" spans="1:5">
      <c r="A37" s="1" t="s">
        <v>226</v>
      </c>
      <c r="B37" s="1" t="s">
        <v>21</v>
      </c>
      <c r="C37" s="1" t="s">
        <v>21</v>
      </c>
      <c r="D37" s="1" t="s">
        <v>21</v>
      </c>
      <c r="E37" s="1" t="s">
        <v>21</v>
      </c>
    </row>
    <row r="38" ht="25.5" spans="1:5">
      <c r="A38" s="2" t="s">
        <v>227</v>
      </c>
      <c r="B38" s="2" t="s">
        <v>21</v>
      </c>
      <c r="C38" s="2" t="s">
        <v>21</v>
      </c>
      <c r="D38" s="2" t="s">
        <v>21</v>
      </c>
      <c r="E38" s="2" t="s">
        <v>21</v>
      </c>
    </row>
    <row r="39" spans="1:5">
      <c r="A39" s="2" t="s">
        <v>21</v>
      </c>
      <c r="B39" s="2" t="s">
        <v>21</v>
      </c>
      <c r="C39" s="2" t="s">
        <v>21</v>
      </c>
      <c r="D39" s="2" t="s">
        <v>21</v>
      </c>
      <c r="E39" s="2" t="s">
        <v>21</v>
      </c>
    </row>
    <row r="40" spans="1:5">
      <c r="A40" s="1" t="s">
        <v>228</v>
      </c>
      <c r="B40" s="1" t="s">
        <v>21</v>
      </c>
      <c r="C40" s="1" t="s">
        <v>21</v>
      </c>
      <c r="D40" s="1" t="s">
        <v>21</v>
      </c>
      <c r="E40" s="1" t="s">
        <v>21</v>
      </c>
    </row>
    <row r="41" spans="1:5">
      <c r="A41" s="2" t="s">
        <v>229</v>
      </c>
      <c r="B41" s="2" t="s">
        <v>21</v>
      </c>
      <c r="C41" s="2" t="s">
        <v>21</v>
      </c>
      <c r="D41" s="2" t="s">
        <v>21</v>
      </c>
      <c r="E41" s="2" t="s">
        <v>21</v>
      </c>
    </row>
    <row r="42" ht="36.75" spans="1:5">
      <c r="A42" s="2" t="s">
        <v>230</v>
      </c>
      <c r="B42" s="2" t="s">
        <v>21</v>
      </c>
      <c r="C42" s="2" t="s">
        <v>21</v>
      </c>
      <c r="D42" s="2" t="s">
        <v>21</v>
      </c>
      <c r="E42" s="2" t="s">
        <v>21</v>
      </c>
    </row>
    <row r="43" spans="1:5">
      <c r="A43" s="2" t="s">
        <v>21</v>
      </c>
      <c r="B43" s="2" t="s">
        <v>21</v>
      </c>
      <c r="C43" s="2" t="s">
        <v>21</v>
      </c>
      <c r="D43" s="2" t="s">
        <v>21</v>
      </c>
      <c r="E43" s="2" t="s">
        <v>21</v>
      </c>
    </row>
    <row r="44" spans="1:5">
      <c r="A44" s="1" t="s">
        <v>231</v>
      </c>
      <c r="B44" s="1" t="s">
        <v>21</v>
      </c>
      <c r="C44" s="1" t="s">
        <v>21</v>
      </c>
      <c r="D44" s="1" t="s">
        <v>21</v>
      </c>
      <c r="E44" s="1" t="s">
        <v>21</v>
      </c>
    </row>
    <row r="45" ht="25.5" spans="1:5">
      <c r="A45" s="2" t="s">
        <v>232</v>
      </c>
      <c r="B45" s="2" t="s">
        <v>21</v>
      </c>
      <c r="C45" s="2" t="s">
        <v>21</v>
      </c>
      <c r="D45" s="2" t="s">
        <v>21</v>
      </c>
      <c r="E45" s="2" t="s">
        <v>21</v>
      </c>
    </row>
    <row r="46" ht="50.25" spans="1:5">
      <c r="A46" s="2" t="s">
        <v>233</v>
      </c>
      <c r="B46" s="2" t="s">
        <v>21</v>
      </c>
      <c r="C46" s="2" t="s">
        <v>21</v>
      </c>
      <c r="D46" s="2" t="s">
        <v>21</v>
      </c>
      <c r="E46" s="2" t="s">
        <v>21</v>
      </c>
    </row>
    <row r="47" spans="1:5">
      <c r="A47" s="1" t="s">
        <v>168</v>
      </c>
      <c r="B47" s="1" t="s">
        <v>169</v>
      </c>
      <c r="C47" s="1" t="s">
        <v>170</v>
      </c>
      <c r="D47" s="1" t="s">
        <v>234</v>
      </c>
      <c r="E47" s="1" t="s">
        <v>21</v>
      </c>
    </row>
    <row r="48" spans="1:5">
      <c r="A48" s="2" t="s">
        <v>235</v>
      </c>
      <c r="B48" s="2" t="s">
        <v>236</v>
      </c>
      <c r="C48" s="2" t="s">
        <v>237</v>
      </c>
      <c r="D48" s="2" t="s">
        <v>21</v>
      </c>
      <c r="E48" s="2" t="s">
        <v>21</v>
      </c>
    </row>
    <row r="49" spans="1:5">
      <c r="A49" s="2" t="s">
        <v>238</v>
      </c>
      <c r="B49" s="2" t="s">
        <v>239</v>
      </c>
      <c r="C49" s="2" t="s">
        <v>240</v>
      </c>
      <c r="D49" s="2" t="s">
        <v>21</v>
      </c>
      <c r="E49" s="2" t="s">
        <v>21</v>
      </c>
    </row>
    <row r="50" spans="1:5">
      <c r="A50" s="2" t="s">
        <v>241</v>
      </c>
      <c r="B50" s="2" t="s">
        <v>242</v>
      </c>
      <c r="C50" s="2" t="s">
        <v>243</v>
      </c>
      <c r="D50" s="2" t="s">
        <v>244</v>
      </c>
      <c r="E50" s="2" t="s">
        <v>21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6"/>
  <sheetViews>
    <sheetView workbookViewId="0">
      <selection activeCell="A1" sqref="A1"/>
    </sheetView>
  </sheetViews>
  <sheetFormatPr defaultColWidth="9" defaultRowHeight="15" outlineLevelCol="1"/>
  <cols>
    <col min="1" max="1" width="42" customWidth="1"/>
    <col min="2" max="2" width="116" customWidth="1"/>
  </cols>
  <sheetData>
    <row r="1" ht="25.5" spans="1:2">
      <c r="A1" s="1" t="s">
        <v>245</v>
      </c>
      <c r="B1" s="1" t="s">
        <v>21</v>
      </c>
    </row>
    <row r="2" spans="1:2">
      <c r="A2" s="2" t="s">
        <v>21</v>
      </c>
      <c r="B2" s="2" t="s">
        <v>21</v>
      </c>
    </row>
    <row r="3" spans="1:2">
      <c r="A3" s="2" t="s">
        <v>246</v>
      </c>
      <c r="B3" s="2" t="s">
        <v>247</v>
      </c>
    </row>
    <row r="4" spans="1:2">
      <c r="A4" s="2" t="s">
        <v>248</v>
      </c>
      <c r="B4" s="2" t="s">
        <v>249</v>
      </c>
    </row>
    <row r="5" spans="1:2">
      <c r="A5" s="2" t="s">
        <v>21</v>
      </c>
      <c r="B5" s="2" t="s">
        <v>21</v>
      </c>
    </row>
    <row r="6" spans="1:2">
      <c r="A6" s="1" t="s">
        <v>250</v>
      </c>
      <c r="B6" s="1" t="s">
        <v>21</v>
      </c>
    </row>
    <row r="7" spans="1:2">
      <c r="A7" s="2" t="s">
        <v>21</v>
      </c>
      <c r="B7" s="2" t="s">
        <v>251</v>
      </c>
    </row>
    <row r="8" spans="1:2">
      <c r="A8" s="2" t="s">
        <v>21</v>
      </c>
      <c r="B8" s="2" t="s">
        <v>252</v>
      </c>
    </row>
    <row r="9" spans="1:2">
      <c r="A9" s="2" t="s">
        <v>21</v>
      </c>
      <c r="B9" s="2" t="s">
        <v>21</v>
      </c>
    </row>
    <row r="10" spans="1:2">
      <c r="A10" s="1" t="s">
        <v>253</v>
      </c>
      <c r="B10" s="1" t="s">
        <v>254</v>
      </c>
    </row>
    <row r="11" spans="1:2">
      <c r="A11" s="2" t="s">
        <v>0</v>
      </c>
      <c r="B11" s="2" t="s">
        <v>255</v>
      </c>
    </row>
    <row r="12" spans="1:2">
      <c r="A12" s="2" t="s">
        <v>14</v>
      </c>
      <c r="B12" s="2" t="s">
        <v>256</v>
      </c>
    </row>
    <row r="13" spans="1:2">
      <c r="A13" s="2" t="s">
        <v>20</v>
      </c>
      <c r="B13" s="2" t="s">
        <v>257</v>
      </c>
    </row>
    <row r="14" spans="1:2">
      <c r="A14" s="2" t="s">
        <v>23</v>
      </c>
      <c r="B14" s="2" t="s">
        <v>258</v>
      </c>
    </row>
    <row r="15" spans="1:2">
      <c r="A15" s="2" t="s">
        <v>259</v>
      </c>
      <c r="B15" s="2" t="s">
        <v>260</v>
      </c>
    </row>
    <row r="16" spans="1:2">
      <c r="A16" s="2" t="s">
        <v>21</v>
      </c>
      <c r="B16" s="2" t="s">
        <v>21</v>
      </c>
    </row>
    <row r="17" spans="1:2">
      <c r="A17" s="1" t="s">
        <v>261</v>
      </c>
      <c r="B17" s="1" t="s">
        <v>21</v>
      </c>
    </row>
    <row r="18" spans="1:2">
      <c r="A18" s="2" t="s">
        <v>21</v>
      </c>
      <c r="B18" s="2" t="s">
        <v>262</v>
      </c>
    </row>
    <row r="19" spans="1:2">
      <c r="A19" s="2" t="s">
        <v>21</v>
      </c>
      <c r="B19" s="2" t="s">
        <v>263</v>
      </c>
    </row>
    <row r="20" spans="1:2">
      <c r="A20" s="2" t="s">
        <v>21</v>
      </c>
      <c r="B20" s="2" t="s">
        <v>264</v>
      </c>
    </row>
    <row r="21" spans="1:2">
      <c r="A21" s="2" t="s">
        <v>21</v>
      </c>
      <c r="B21" s="2" t="s">
        <v>21</v>
      </c>
    </row>
    <row r="22" spans="1:2">
      <c r="A22" s="1" t="s">
        <v>265</v>
      </c>
      <c r="B22" s="1" t="s">
        <v>21</v>
      </c>
    </row>
    <row r="23" spans="1:2">
      <c r="A23" s="2" t="s">
        <v>266</v>
      </c>
      <c r="B23" s="2" t="s">
        <v>267</v>
      </c>
    </row>
    <row r="24" spans="1:2">
      <c r="A24" s="2" t="s">
        <v>268</v>
      </c>
      <c r="B24" s="2" t="s">
        <v>269</v>
      </c>
    </row>
    <row r="25" spans="1:2">
      <c r="A25" s="2" t="s">
        <v>270</v>
      </c>
      <c r="B25" s="2" t="s">
        <v>271</v>
      </c>
    </row>
    <row r="26" spans="1:2">
      <c r="A26" s="2" t="s">
        <v>272</v>
      </c>
      <c r="B26" s="2" t="s">
        <v>273</v>
      </c>
    </row>
    <row r="27" spans="1:2">
      <c r="A27" s="2" t="s">
        <v>21</v>
      </c>
      <c r="B27" s="2" t="s">
        <v>21</v>
      </c>
    </row>
    <row r="28" spans="1:2">
      <c r="A28" s="1" t="s">
        <v>274</v>
      </c>
      <c r="B28" s="1" t="s">
        <v>275</v>
      </c>
    </row>
    <row r="29" spans="1:2">
      <c r="A29" s="2" t="s">
        <v>276</v>
      </c>
      <c r="B29" s="2" t="s">
        <v>277</v>
      </c>
    </row>
    <row r="30" spans="1:2">
      <c r="A30" s="2" t="s">
        <v>278</v>
      </c>
      <c r="B30" s="2" t="s">
        <v>279</v>
      </c>
    </row>
    <row r="31" spans="1:2">
      <c r="A31" s="2" t="s">
        <v>21</v>
      </c>
      <c r="B31" s="2" t="s">
        <v>280</v>
      </c>
    </row>
    <row r="32" spans="1:2">
      <c r="A32" s="2" t="s">
        <v>21</v>
      </c>
      <c r="B32" s="2" t="s">
        <v>281</v>
      </c>
    </row>
    <row r="33" spans="1:2">
      <c r="A33" s="2" t="s">
        <v>21</v>
      </c>
      <c r="B33" s="2" t="s">
        <v>282</v>
      </c>
    </row>
    <row r="34" spans="1:2">
      <c r="A34" s="2" t="s">
        <v>21</v>
      </c>
      <c r="B34" s="2" t="s">
        <v>283</v>
      </c>
    </row>
    <row r="35" spans="1:2">
      <c r="A35" s="2" t="s">
        <v>21</v>
      </c>
      <c r="B35" s="2" t="s">
        <v>284</v>
      </c>
    </row>
    <row r="36" spans="1:2">
      <c r="A36" s="2" t="s">
        <v>21</v>
      </c>
      <c r="B36" s="2" t="s">
        <v>285</v>
      </c>
    </row>
    <row r="37" spans="1:2">
      <c r="A37" s="2" t="s">
        <v>21</v>
      </c>
      <c r="B37" s="2" t="s">
        <v>286</v>
      </c>
    </row>
    <row r="38" spans="1:2">
      <c r="A38" s="2" t="s">
        <v>21</v>
      </c>
      <c r="B38" s="2" t="s">
        <v>21</v>
      </c>
    </row>
    <row r="39" spans="1:2">
      <c r="A39" s="1" t="s">
        <v>287</v>
      </c>
      <c r="B39" s="1" t="s">
        <v>21</v>
      </c>
    </row>
    <row r="40" spans="1:2">
      <c r="A40" s="2" t="s">
        <v>21</v>
      </c>
      <c r="B40" s="2" t="s">
        <v>288</v>
      </c>
    </row>
    <row r="41" spans="1:2">
      <c r="A41" s="2" t="s">
        <v>21</v>
      </c>
      <c r="B41" s="2" t="s">
        <v>289</v>
      </c>
    </row>
    <row r="42" spans="1:2">
      <c r="A42" s="2" t="s">
        <v>21</v>
      </c>
      <c r="B42" s="2" t="s">
        <v>290</v>
      </c>
    </row>
    <row r="43" spans="1:2">
      <c r="A43" s="2" t="s">
        <v>21</v>
      </c>
      <c r="B43" s="2" t="s">
        <v>291</v>
      </c>
    </row>
    <row r="44" spans="1:2">
      <c r="A44" s="2" t="s">
        <v>21</v>
      </c>
      <c r="B44" s="2" t="s">
        <v>21</v>
      </c>
    </row>
    <row r="45" spans="1:2">
      <c r="A45" s="1" t="s">
        <v>292</v>
      </c>
      <c r="B45" s="1" t="s">
        <v>293</v>
      </c>
    </row>
    <row r="46" spans="1:2">
      <c r="A46" s="2" t="s">
        <v>21</v>
      </c>
      <c r="B46" s="2" t="s">
        <v>294</v>
      </c>
    </row>
    <row r="47" spans="1:2">
      <c r="A47" s="2" t="s">
        <v>21</v>
      </c>
      <c r="B47" s="2" t="s">
        <v>295</v>
      </c>
    </row>
    <row r="48" ht="24.75" spans="1:2">
      <c r="A48" s="2" t="s">
        <v>21</v>
      </c>
      <c r="B48" s="2" t="s">
        <v>296</v>
      </c>
    </row>
    <row r="49" spans="1:2">
      <c r="A49" s="2" t="s">
        <v>21</v>
      </c>
      <c r="B49" s="2" t="s">
        <v>297</v>
      </c>
    </row>
    <row r="50" spans="1:2">
      <c r="A50" s="2" t="s">
        <v>21</v>
      </c>
      <c r="B50" s="2" t="s">
        <v>298</v>
      </c>
    </row>
    <row r="51" spans="1:2">
      <c r="A51" s="2" t="s">
        <v>21</v>
      </c>
      <c r="B51" s="2" t="s">
        <v>299</v>
      </c>
    </row>
    <row r="52" spans="1:2">
      <c r="A52" s="2" t="s">
        <v>21</v>
      </c>
      <c r="B52" s="2" t="s">
        <v>300</v>
      </c>
    </row>
    <row r="53" ht="25.5" spans="1:2">
      <c r="A53" s="2" t="s">
        <v>21</v>
      </c>
      <c r="B53" s="2" t="s">
        <v>301</v>
      </c>
    </row>
    <row r="54" spans="1:2">
      <c r="A54" s="2" t="s">
        <v>21</v>
      </c>
      <c r="B54" s="2" t="s">
        <v>302</v>
      </c>
    </row>
    <row r="55" spans="1:2">
      <c r="A55" s="2" t="s">
        <v>21</v>
      </c>
      <c r="B55" s="2" t="s">
        <v>303</v>
      </c>
    </row>
    <row r="56" spans="1:2">
      <c r="A56" s="2" t="s">
        <v>21</v>
      </c>
      <c r="B56" s="2" t="s">
        <v>304</v>
      </c>
    </row>
    <row r="57" spans="1:2">
      <c r="A57" s="2" t="s">
        <v>21</v>
      </c>
      <c r="B57" s="2" t="s">
        <v>305</v>
      </c>
    </row>
    <row r="58" spans="1:2">
      <c r="A58" s="2" t="s">
        <v>21</v>
      </c>
      <c r="B58" s="2" t="s">
        <v>306</v>
      </c>
    </row>
    <row r="59" ht="24.75" spans="1:2">
      <c r="A59" s="2" t="s">
        <v>21</v>
      </c>
      <c r="B59" s="2" t="s">
        <v>307</v>
      </c>
    </row>
    <row r="60" ht="25.5" spans="1:2">
      <c r="A60" s="2" t="s">
        <v>21</v>
      </c>
      <c r="B60" s="2" t="s">
        <v>308</v>
      </c>
    </row>
    <row r="61" spans="1:2">
      <c r="A61" s="1" t="s">
        <v>309</v>
      </c>
      <c r="B61" s="1" t="s">
        <v>21</v>
      </c>
    </row>
    <row r="62" spans="1:2">
      <c r="A62" s="2" t="s">
        <v>310</v>
      </c>
      <c r="B62" s="2" t="s">
        <v>311</v>
      </c>
    </row>
    <row r="63" spans="1:2">
      <c r="A63" s="2" t="s">
        <v>312</v>
      </c>
      <c r="B63" s="2" t="s">
        <v>313</v>
      </c>
    </row>
    <row r="64" spans="1:2">
      <c r="A64" s="2" t="s">
        <v>314</v>
      </c>
      <c r="B64" s="2" t="s">
        <v>315</v>
      </c>
    </row>
    <row r="65" spans="1:2">
      <c r="A65" s="2" t="s">
        <v>316</v>
      </c>
      <c r="B65" s="2" t="s">
        <v>317</v>
      </c>
    </row>
    <row r="66" spans="1:2">
      <c r="A66" s="2" t="s">
        <v>318</v>
      </c>
      <c r="B66" s="2" t="s">
        <v>319</v>
      </c>
    </row>
    <row r="67" spans="1:2">
      <c r="A67" s="2" t="s">
        <v>320</v>
      </c>
      <c r="B67" s="2" t="s">
        <v>321</v>
      </c>
    </row>
    <row r="68" spans="1:2">
      <c r="A68" s="2" t="s">
        <v>21</v>
      </c>
      <c r="B68" s="2" t="s">
        <v>21</v>
      </c>
    </row>
    <row r="69" spans="1:2">
      <c r="A69" s="1" t="s">
        <v>322</v>
      </c>
      <c r="B69" s="1" t="s">
        <v>21</v>
      </c>
    </row>
    <row r="70" spans="1:2">
      <c r="A70" s="2" t="s">
        <v>21</v>
      </c>
      <c r="B70" s="2" t="s">
        <v>323</v>
      </c>
    </row>
    <row r="71" spans="1:2">
      <c r="A71" s="2" t="s">
        <v>21</v>
      </c>
      <c r="B71" s="2" t="s">
        <v>324</v>
      </c>
    </row>
    <row r="72" spans="1:2">
      <c r="A72" s="2" t="s">
        <v>21</v>
      </c>
      <c r="B72" s="2" t="s">
        <v>325</v>
      </c>
    </row>
    <row r="73" spans="1:2">
      <c r="A73" s="2" t="s">
        <v>21</v>
      </c>
      <c r="B73" s="2" t="s">
        <v>326</v>
      </c>
    </row>
    <row r="74" spans="1:2">
      <c r="A74" s="2" t="s">
        <v>21</v>
      </c>
      <c r="B74" s="2" t="s">
        <v>21</v>
      </c>
    </row>
    <row r="75" spans="1:2">
      <c r="A75" s="1" t="s">
        <v>327</v>
      </c>
      <c r="B75" s="1" t="s">
        <v>328</v>
      </c>
    </row>
    <row r="76" spans="1:2">
      <c r="A76" s="2" t="s">
        <v>21</v>
      </c>
      <c r="B76" s="2" t="s">
        <v>329</v>
      </c>
    </row>
    <row r="77" spans="1:2">
      <c r="A77" s="2" t="s">
        <v>21</v>
      </c>
      <c r="B77" s="2" t="s">
        <v>330</v>
      </c>
    </row>
    <row r="78" spans="1:2">
      <c r="A78" s="2" t="s">
        <v>21</v>
      </c>
      <c r="B78" s="2" t="s">
        <v>331</v>
      </c>
    </row>
    <row r="79" ht="24.75" spans="1:2">
      <c r="A79" s="2" t="s">
        <v>21</v>
      </c>
      <c r="B79" s="2" t="s">
        <v>332</v>
      </c>
    </row>
    <row r="80" spans="1:2">
      <c r="A80" s="2" t="s">
        <v>21</v>
      </c>
      <c r="B80" s="2" t="s">
        <v>333</v>
      </c>
    </row>
    <row r="81" spans="1:2">
      <c r="A81" s="2" t="s">
        <v>21</v>
      </c>
      <c r="B81" s="2" t="s">
        <v>334</v>
      </c>
    </row>
    <row r="82" spans="1:2">
      <c r="A82" s="2" t="s">
        <v>21</v>
      </c>
      <c r="B82" s="2" t="s">
        <v>335</v>
      </c>
    </row>
    <row r="83" ht="24.75" spans="1:2">
      <c r="A83" s="2" t="s">
        <v>21</v>
      </c>
      <c r="B83" s="2" t="s">
        <v>336</v>
      </c>
    </row>
    <row r="84" spans="1:2">
      <c r="A84" t="s">
        <v>337</v>
      </c>
    </row>
    <row r="85" ht="46" customHeight="1" spans="1:2">
      <c r="A85" s="3"/>
      <c r="B85" s="3" t="s">
        <v>338</v>
      </c>
    </row>
    <row r="86" ht="46" customHeight="1" spans="1:2">
      <c r="A86" s="3"/>
      <c r="B86" s="3" t="s">
        <v>339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收录</vt:lpstr>
      <vt:lpstr>奇缘图谱</vt:lpstr>
      <vt:lpstr>可携带</vt:lpstr>
      <vt:lpstr>携带位</vt:lpstr>
      <vt:lpstr>编号表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thothSSQS</cp:lastModifiedBy>
  <dcterms:created xsi:type="dcterms:W3CDTF">2026-09-02T14:40:00Z</dcterms:created>
  <dcterms:modified xsi:type="dcterms:W3CDTF">2026-09-03T02:45:17Z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BD3F7E9B079A4A4DB7C5F7CB3841F980_12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