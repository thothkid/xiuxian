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item_config" sheetId="1" r:id="rId1"/>
    <sheet name="item_effect_config" sheetId="4" r:id="rId2"/>
    <sheet name="编号表" sheetId="2" r:id="rId3"/>
    <sheet name="更新说明" sheetId="3" r:id="rId4"/>
    <sheet name="字段说明" sheetId="5" r:id="rId5"/>
    <sheet name="效果算子对照" sheetId="6" r:id="rId6"/>
    <sheet name="枚举与注册" sheetId="7" r:id="rId7"/>
    <sheet name="物品效果更新说明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4" authorId="0">
      <text>
        <r>
          <rPr>
            <sz val="9"/>
            <color rgb="FF000000"/>
            <rFont val="微软雅黑"/>
            <charset val="134"/>
          </rPr>
          <t>Admin:
秒为单位</t>
        </r>
      </text>
    </comment>
  </commentList>
</comments>
</file>

<file path=xl/sharedStrings.xml><?xml version="1.0" encoding="utf-8"?>
<sst xmlns="http://schemas.openxmlformats.org/spreadsheetml/2006/main" count="2270" uniqueCount="616">
  <si>
    <t>##var</t>
  </si>
  <si>
    <t>id</t>
  </si>
  <si>
    <t>name</t>
  </si>
  <si>
    <t>quality</t>
  </si>
  <si>
    <t>dur_t</t>
  </si>
  <si>
    <t>main_class</t>
  </si>
  <si>
    <t>sub_class</t>
  </si>
  <si>
    <t>drop_level</t>
  </si>
  <si>
    <t>display_type</t>
  </si>
  <si>
    <t>attrLimit</t>
  </si>
  <si>
    <t>keep_dur_t</t>
  </si>
  <si>
    <t>is_drop</t>
  </si>
  <si>
    <t>is_auto_use</t>
  </si>
  <si>
    <t>required_level</t>
  </si>
  <si>
    <t>cultivation_tag</t>
  </si>
  <si>
    <t>pile_max</t>
  </si>
  <si>
    <t>function_type</t>
  </si>
  <si>
    <t>function_id</t>
  </si>
  <si>
    <t>function_value</t>
  </si>
  <si>
    <t>desc</t>
  </si>
  <si>
    <t>spec_desc</t>
  </si>
  <si>
    <t>icon_id</t>
  </si>
  <si>
    <t>mdx_id</t>
  </si>
  <si>
    <t>light_eff_id</t>
  </si>
  <si>
    <t>border1</t>
  </si>
  <si>
    <t>border2</t>
  </si>
  <si>
    <t>tags</t>
  </si>
  <si>
    <t>##type</t>
  </si>
  <si>
    <t>int</t>
  </si>
  <si>
    <t>string</t>
  </si>
  <si>
    <t>ItemQuality</t>
  </si>
  <si>
    <t>ItemDisplayType</t>
  </si>
  <si>
    <t>bool</t>
  </si>
  <si>
    <t>ItemFunctionType</t>
  </si>
  <si>
    <t>array,string</t>
  </si>
  <si>
    <t>##group</t>
  </si>
  <si>
    <t>c</t>
  </si>
  <si>
    <t>##</t>
  </si>
  <si>
    <t>道具ID</t>
  </si>
  <si>
    <t>0名称</t>
  </si>
  <si>
    <t>0道具品质</t>
  </si>
  <si>
    <t>0ID编号</t>
  </si>
  <si>
    <t>存在时间</t>
  </si>
  <si>
    <t>0大类</t>
  </si>
  <si>
    <t>0子类</t>
  </si>
  <si>
    <t>0档次</t>
  </si>
  <si>
    <t>显示分类</t>
  </si>
  <si>
    <t>属性限制</t>
  </si>
  <si>
    <t>有效时间</t>
  </si>
  <si>
    <t>0TRUEFALSE可丢弃</t>
  </si>
  <si>
    <t>是否可以自动使用</t>
  </si>
  <si>
    <t>0使用级别下限</t>
  </si>
  <si>
    <t>修炼标签</t>
  </si>
  <si>
    <t>0堆叠上限</t>
  </si>
  <si>
    <t>0功能类型</t>
  </si>
  <si>
    <t>0功能ID</t>
  </si>
  <si>
    <t>0功能数值</t>
  </si>
  <si>
    <t>0说明</t>
  </si>
  <si>
    <t>0获得说明</t>
  </si>
  <si>
    <t>0背包图标</t>
  </si>
  <si>
    <t>0地表模型</t>
  </si>
  <si>
    <t>掉落光柱模型</t>
  </si>
  <si>
    <t>静态边框</t>
  </si>
  <si>
    <t>动态边框</t>
  </si>
  <si>
    <t>标签1</t>
  </si>
  <si>
    <t>标签2</t>
  </si>
  <si>
    <t>标签3</t>
  </si>
  <si>
    <t>标签4</t>
  </si>
  <si>
    <t>一小袋金币</t>
  </si>
  <si>
    <t>凡品</t>
  </si>
  <si>
    <t>货币</t>
  </si>
  <si>
    <t>大类_基础</t>
  </si>
  <si>
    <t>子类_货币</t>
  </si>
  <si>
    <t>无</t>
  </si>
  <si>
    <t>功能_加货币</t>
  </si>
  <si>
    <t>击杀所有怪物，出售道具装备可获得</t>
  </si>
  <si>
    <t>fall_coin</t>
  </si>
  <si>
    <t>金币</t>
  </si>
  <si>
    <t>一小袋灵符</t>
  </si>
  <si>
    <t>fall_lingfu</t>
  </si>
  <si>
    <t>灵符</t>
  </si>
  <si>
    <t>一袋金币</t>
  </si>
  <si>
    <t>一袋灵符</t>
  </si>
  <si>
    <t>一大袋金币</t>
  </si>
  <si>
    <t>一大袋灵符</t>
  </si>
  <si>
    <t>一箱金币</t>
  </si>
  <si>
    <t>一箱灵符</t>
  </si>
  <si>
    <t>一大箱金币</t>
  </si>
  <si>
    <t>一大箱灵符</t>
  </si>
  <si>
    <t>一车金币</t>
  </si>
  <si>
    <t>一车灵符</t>
  </si>
  <si>
    <t>一卡车金币</t>
  </si>
  <si>
    <t>一卡车灵符</t>
  </si>
  <si>
    <t>活跃丹</t>
  </si>
  <si>
    <t>仙品</t>
  </si>
  <si>
    <t>功能_多效果组</t>
  </si>
  <si>
    <t>系统赠送获得</t>
  </si>
  <si>
    <t>活跃点</t>
  </si>
  <si>
    <t>声望丹</t>
  </si>
  <si>
    <t>声望点</t>
  </si>
  <si>
    <t>基础剑术</t>
  </si>
  <si>
    <t>灵品</t>
  </si>
  <si>
    <t>技能</t>
  </si>
  <si>
    <t>子类_技能书</t>
  </si>
  <si>
    <t>技能书</t>
  </si>
  <si>
    <t>体修</t>
  </si>
  <si>
    <t>功能_技能书</t>
  </si>
  <si>
    <t>击杀沃玛怪物获得</t>
  </si>
  <si>
    <t>fall_jinengshu_01</t>
  </si>
  <si>
    <t>材料</t>
  </si>
  <si>
    <t>战士技能书</t>
  </si>
  <si>
    <t>奔雷术</t>
  </si>
  <si>
    <t>烈火斩</t>
  </si>
  <si>
    <t>击杀祖玛怪物获得</t>
  </si>
  <si>
    <t>圆月弯刀</t>
  </si>
  <si>
    <t>万剑归元阵</t>
  </si>
  <si>
    <t>击杀赤月怪物获得</t>
  </si>
  <si>
    <t>四曜守元</t>
  </si>
  <si>
    <t>火球术</t>
  </si>
  <si>
    <t>法修</t>
  </si>
  <si>
    <t>法师技能书</t>
  </si>
  <si>
    <t>焚天环剑诀</t>
  </si>
  <si>
    <t>雷电术</t>
  </si>
  <si>
    <t>fall_jinengshu_02</t>
  </si>
  <si>
    <t>火墙</t>
  </si>
  <si>
    <t>疾光电影</t>
  </si>
  <si>
    <t>魔法盾</t>
  </si>
  <si>
    <t>冰咆哮</t>
  </si>
  <si>
    <t>灵魂火符</t>
  </si>
  <si>
    <t>丹修</t>
  </si>
  <si>
    <t>道士技能书</t>
  </si>
  <si>
    <t>治愈术</t>
  </si>
  <si>
    <t>施毒术</t>
  </si>
  <si>
    <t>召唤骷髅</t>
  </si>
  <si>
    <t>幽灵盾</t>
  </si>
  <si>
    <t>神圣战甲术</t>
  </si>
  <si>
    <t>隐身术</t>
  </si>
  <si>
    <t>召唤神兽</t>
  </si>
  <si>
    <t>|cff00FF00增加技能的经验值</t>
  </si>
  <si>
    <t>参加特殊活动，击杀BOSS可得</t>
  </si>
  <si>
    <t>祝福油</t>
  </si>
  <si>
    <t>强化</t>
  </si>
  <si>
    <t>子类_贵重品</t>
  </si>
  <si>
    <t>强化道具</t>
  </si>
  <si>
    <t>|cff00FF00使用祝福油有概率提升当前装备武器的幸运值，最高可以提升到7点。</t>
  </si>
  <si>
    <t>fall_zhufuyou</t>
  </si>
  <si>
    <t>强化石</t>
  </si>
  <si>
    <t>|cff00FF00使用后可以进行装备强化</t>
  </si>
  <si>
    <t>fall_qianghuashi</t>
  </si>
  <si>
    <t>强化特权</t>
  </si>
  <si>
    <t>|cff00FF00使用后增加10%强化成功率</t>
  </si>
  <si>
    <t>fall_qianghuatequan</t>
  </si>
  <si>
    <t>命格洗练石</t>
  </si>
  <si>
    <t>|cff00FF00使用后可以进行命格洗练</t>
  </si>
  <si>
    <t>fall_minggeshi</t>
  </si>
  <si>
    <t>羽毛</t>
  </si>
  <si>
    <t>|cff00FF00使用后可以进行羽翼升级</t>
  </si>
  <si>
    <t>fall_yumao</t>
  </si>
  <si>
    <t>背包解锁格</t>
  </si>
  <si>
    <t>|cff00FF00使用后可以解锁背包格子</t>
  </si>
  <si>
    <t>fall_beibaoge</t>
  </si>
  <si>
    <t>背包解锁页</t>
  </si>
  <si>
    <t>|cff00FF00使用后可以大量解锁背包页</t>
  </si>
  <si>
    <t>fall_beibaoye</t>
  </si>
  <si>
    <t>魂之精髓</t>
  </si>
  <si>
    <t>打造小极品用|n|cff00FF00凝聚了天地战魂之力的血红结晶。将其投入锻造炉中，可唤醒兵器沉睡的凶性，会赋予其额外的属性或隐藏技能。|n|cffFF0000神物虽神，也看本体天性。</t>
  </si>
  <si>
    <t>fall_jingsui</t>
  </si>
  <si>
    <t>魄之散华</t>
  </si>
  <si>
    <t>重置打造的小极品属性|n|cff00FF00采自幽冥忘川的幽蓝水露。能洗去兵器上一切通过魂之精髓后天唤醒的凶性，使其回归最初状态。|n使用后，所有打造附加的属性与技能将彻底消散。</t>
  </si>
  <si>
    <t>fall_sanhua</t>
  </si>
  <si>
    <t>超级祝福油</t>
  </si>
  <si>
    <t>|cff00FF00使用祝福油有概率提升当前装备武器的幸运值，最高可以提升到7点。|n失败后不会降低武器幸运。</t>
  </si>
  <si>
    <t>通过祝福油合成，击杀BOSS可得</t>
  </si>
  <si>
    <t>fall_bluebottle</t>
  </si>
  <si>
    <t>1转神石</t>
  </si>
  <si>
    <t>|cff00FF00玩家1转时需要的材料</t>
  </si>
  <si>
    <t>fall_zhuansheng_01</t>
  </si>
  <si>
    <t>2转神石</t>
  </si>
  <si>
    <t>|cff00FF00玩家2转时需要的材料</t>
  </si>
  <si>
    <t>fall_zhuansheng_02</t>
  </si>
  <si>
    <t>3转神石</t>
  </si>
  <si>
    <t>|cff00FF00玩家3转时需要的材料</t>
  </si>
  <si>
    <t>fall_zhuansheng_03</t>
  </si>
  <si>
    <t>4转神石</t>
  </si>
  <si>
    <t>|cff00FF00玩家4转时需要的材料</t>
  </si>
  <si>
    <t>fall_zhuansheng_04</t>
  </si>
  <si>
    <t>合成符</t>
  </si>
  <si>
    <t>|cff00FF00合成贵重物品需要的材料</t>
  </si>
  <si>
    <t>fall_hechengfu_01</t>
  </si>
  <si>
    <t>马牌</t>
  </si>
  <si>
    <t>|cff00FF00兑换马匹需要的材料</t>
  </si>
  <si>
    <t>打听马匹入口获得</t>
  </si>
  <si>
    <t>fall_props_mapai</t>
  </si>
  <si>
    <t>基础铭文</t>
  </si>
  <si>
    <t>铭文</t>
  </si>
  <si>
    <t>可以激活基础剑术铭文词条</t>
  </si>
  <si>
    <t>fall_mingwen_jichu</t>
  </si>
  <si>
    <t>战士技能铭文</t>
  </si>
  <si>
    <t>攻杀铭文</t>
  </si>
  <si>
    <t>可以激活攻杀剑术铭文词条</t>
  </si>
  <si>
    <t>fall_mingwen_gongsha</t>
  </si>
  <si>
    <t>刺杀铭文</t>
  </si>
  <si>
    <t>可以激活刺杀剑术铭文词条</t>
  </si>
  <si>
    <t>fall_mingwen_cisha</t>
  </si>
  <si>
    <t>半月铭文</t>
  </si>
  <si>
    <t>可以激活半月弯刀铭文词条</t>
  </si>
  <si>
    <t>fall_mingwen_banyue</t>
  </si>
  <si>
    <t>烈火铭文</t>
  </si>
  <si>
    <t>可以激活烈火剑法铭文词条</t>
  </si>
  <si>
    <t>fall_mingwen_liehuo</t>
  </si>
  <si>
    <t>野蛮铭文</t>
  </si>
  <si>
    <t>可以激活野蛮冲撞铭文词条</t>
  </si>
  <si>
    <t>fall_mingwen_yeman</t>
  </si>
  <si>
    <t>开天铭文</t>
  </si>
  <si>
    <t>可以激活开天斩铭文词条</t>
  </si>
  <si>
    <t>fall_mingwen_kaitian</t>
  </si>
  <si>
    <t>逐日铭文</t>
  </si>
  <si>
    <t>可以激活逐日剑法铭文词条</t>
  </si>
  <si>
    <t>fall_mingwen_zhuri</t>
  </si>
  <si>
    <t>战神纹</t>
  </si>
  <si>
    <t>可以激活战士技能第二条词条</t>
  </si>
  <si>
    <t>暂无投放</t>
  </si>
  <si>
    <t>fall_mingwen_zhanshen</t>
  </si>
  <si>
    <t>火球铭文</t>
  </si>
  <si>
    <t>可以激活和洗练相应技能的铭文词条</t>
  </si>
  <si>
    <t>击杀怪物获得</t>
  </si>
  <si>
    <t>fall_mingwen_huoqiu</t>
  </si>
  <si>
    <t>法师技能铭文</t>
  </si>
  <si>
    <t>雷电铭文</t>
  </si>
  <si>
    <t>fall_mingwen_leidian</t>
  </si>
  <si>
    <t>抗拒铭文</t>
  </si>
  <si>
    <t>fall_mingwen_kangju</t>
  </si>
  <si>
    <t>火墙铭文</t>
  </si>
  <si>
    <t>fall_mingwen_huoqiang</t>
  </si>
  <si>
    <t>法盾铭文</t>
  </si>
  <si>
    <t>fall_mingwen_fadun</t>
  </si>
  <si>
    <t>疾光铭文</t>
  </si>
  <si>
    <t>fall_mingwen_jiguang</t>
  </si>
  <si>
    <t>地狱铭文</t>
  </si>
  <si>
    <t>fall_mingwen_diyu</t>
  </si>
  <si>
    <t>咆哮铭文</t>
  </si>
  <si>
    <t>fall_mingwen_paoxiao</t>
  </si>
  <si>
    <t>法神纹</t>
  </si>
  <si>
    <t>可以激活法师技能第二条词条</t>
  </si>
  <si>
    <t>fall_mingwen_fashen</t>
  </si>
  <si>
    <t>火符铭文</t>
  </si>
  <si>
    <t>fall_mingwen_huofu</t>
  </si>
  <si>
    <t>道士技能铭文</t>
  </si>
  <si>
    <t>治愈铭文</t>
  </si>
  <si>
    <t>fall_mingwen_zhiyu</t>
  </si>
  <si>
    <t>施毒铭文</t>
  </si>
  <si>
    <t>fall_mingwen_shidu</t>
  </si>
  <si>
    <t>骷髅铭文</t>
  </si>
  <si>
    <t>fall_mingwen_kulou</t>
  </si>
  <si>
    <t>隐身铭文</t>
  </si>
  <si>
    <t>fall_mingwen_yinshen</t>
  </si>
  <si>
    <t>幽灵铭文</t>
  </si>
  <si>
    <t>fall_mingwen_youling</t>
  </si>
  <si>
    <t>神圣铭文</t>
  </si>
  <si>
    <t>fall_mingwen_shensheng</t>
  </si>
  <si>
    <t>神兽铭文</t>
  </si>
  <si>
    <t>fall_mingwen_shenshou</t>
  </si>
  <si>
    <t>困魔铭文</t>
  </si>
  <si>
    <t>fall_mingwen_kunmo</t>
  </si>
  <si>
    <t>道神纹</t>
  </si>
  <si>
    <t>可以激活道士技能第二条词条</t>
  </si>
  <si>
    <t>fall_mingwen_daoshen</t>
  </si>
  <si>
    <t>鹿茸</t>
  </si>
  <si>
    <t>任务</t>
  </si>
  <si>
    <t>|cff00FF00肉类材料</t>
  </si>
  <si>
    <t>fall_props_lurong</t>
  </si>
  <si>
    <t>肉类</t>
  </si>
  <si>
    <t>羊腰子</t>
  </si>
  <si>
    <t>fall_props_yangyaozi</t>
  </si>
  <si>
    <t>猫粮</t>
  </si>
  <si>
    <t>fall_props_maoliang</t>
  </si>
  <si>
    <t>狼肉</t>
  </si>
  <si>
    <t>fall_props_langrou</t>
  </si>
  <si>
    <t>小魔法药</t>
  </si>
  <si>
    <t>药品</t>
  </si>
  <si>
    <t>子类_药品</t>
  </si>
  <si>
    <t>功能_客户端效果</t>
  </si>
  <si>
    <t>|cff00FF00使用后在6秒内缓慢增加魔法值60</t>
  </si>
  <si>
    <t>药水</t>
  </si>
  <si>
    <t>强效魔法药</t>
  </si>
  <si>
    <t>|cff00FF00使用后在6秒内缓慢增加魔法值120</t>
  </si>
  <si>
    <t>fall_bluebottle_02</t>
  </si>
  <si>
    <t>特级魔法药</t>
  </si>
  <si>
    <t>|cff00FF00使用后在6秒内缓慢增加魔法值240</t>
  </si>
  <si>
    <t>fall_bluebottle_03</t>
  </si>
  <si>
    <t>小金创药</t>
  </si>
  <si>
    <t>|cff00FF00使用后在6秒内缓慢增加血量60</t>
  </si>
  <si>
    <t>fall_redbottle</t>
  </si>
  <si>
    <t>太阳水</t>
  </si>
  <si>
    <t>强效金创药</t>
  </si>
  <si>
    <t>|cff00FF00使用后在6秒内缓慢增加血量120</t>
  </si>
  <si>
    <t>fall_redbottle_02</t>
  </si>
  <si>
    <t>强效太阳水</t>
  </si>
  <si>
    <t>特级金创药</t>
  </si>
  <si>
    <t>|cff00FF00使用后在6秒内缓慢增加血量240</t>
  </si>
  <si>
    <t>fall_redbottle_03</t>
  </si>
  <si>
    <t>特效太阳水</t>
  </si>
  <si>
    <t>|cff00FF00瞬时恢复血量和魔法值</t>
  </si>
  <si>
    <t>fall_taiyangshui</t>
  </si>
  <si>
    <t>fall_taiyangshui_02</t>
  </si>
  <si>
    <t>fall_taiyangshui_03</t>
  </si>
  <si>
    <t>疗伤药</t>
  </si>
  <si>
    <t>fall_liaoshang</t>
  </si>
  <si>
    <t>屠龙刀</t>
  </si>
  <si>
    <t>外观</t>
  </si>
  <si>
    <t>子类_外观</t>
  </si>
  <si>
    <t>使用激活头像</t>
  </si>
  <si>
    <t>fall_xueshuang</t>
  </si>
  <si>
    <t>不屈战士</t>
  </si>
  <si>
    <t>大魔法师</t>
  </si>
  <si>
    <t>天尊道士</t>
  </si>
  <si>
    <t>龙虾</t>
  </si>
  <si>
    <t>AI管家</t>
  </si>
  <si>
    <t>战神白起</t>
  </si>
  <si>
    <t>法神刘秀</t>
  </si>
  <si>
    <t>道神老子</t>
  </si>
  <si>
    <t>斗战马喽</t>
  </si>
  <si>
    <t>测试斗笠皮肤</t>
  </si>
  <si>
    <t>使用激活斗笠皮肤</t>
  </si>
  <si>
    <t>测试武器皮肤</t>
  </si>
  <si>
    <t>使用激活武器皮肤</t>
  </si>
  <si>
    <t>称号碎片</t>
  </si>
  <si>
    <t>称号升级道具</t>
  </si>
  <si>
    <t>fall_chenghaosp</t>
  </si>
  <si>
    <t>戒指碎片·左</t>
  </si>
  <si>
    <t>特戒</t>
  </si>
  <si>
    <t>升级左列特戒需要的材料</t>
  </si>
  <si>
    <t>fall_tejiejs_zuo</t>
  </si>
  <si>
    <t>戒指碎片·右</t>
  </si>
  <si>
    <t>升级右列特戒需要的材料</t>
  </si>
  <si>
    <t>fall_tejiejs_you</t>
  </si>
  <si>
    <t>玄晶</t>
  </si>
  <si>
    <t>升级特戒需要的材料</t>
  </si>
  <si>
    <t>fall_tejiejs_xuanjing</t>
  </si>
  <si>
    <t>时空晶石</t>
  </si>
  <si>
    <t>fall_tejiejs_shikong</t>
  </si>
  <si>
    <t>金刚晶石</t>
  </si>
  <si>
    <t>fall_tejiejs_jingang</t>
  </si>
  <si>
    <t>魔法晶石</t>
  </si>
  <si>
    <t>fall_tejiejs_mofa</t>
  </si>
  <si>
    <t>生命晶石</t>
  </si>
  <si>
    <t>fall_tejiejs_shengming</t>
  </si>
  <si>
    <t>穿透晶石</t>
  </si>
  <si>
    <t>fall_tejiejs_chuantou</t>
  </si>
  <si>
    <t>元素晶石</t>
  </si>
  <si>
    <t>fall_tejiejs_yuansu</t>
  </si>
  <si>
    <t>雷霆晶石</t>
  </si>
  <si>
    <t>fall_tejiejs_leiting</t>
  </si>
  <si>
    <t>不死晶石</t>
  </si>
  <si>
    <t>fall_tejiejs_busi</t>
  </si>
  <si>
    <t>疾风晶石</t>
  </si>
  <si>
    <t>fall_tejiejs_jifeng</t>
  </si>
  <si>
    <t>割裂晶石</t>
  </si>
  <si>
    <t>fall_tejiejs_gelie</t>
  </si>
  <si>
    <t>秒杀晶石</t>
  </si>
  <si>
    <t>fall_tejiejs_miaosha</t>
  </si>
  <si>
    <t>幸运晶石</t>
  </si>
  <si>
    <t>fall_tejiejs_xingyun</t>
  </si>
  <si>
    <t>传送特戒</t>
  </si>
  <si>
    <t>神品</t>
  </si>
  <si>
    <t>特戒装备，可以直接穿戴</t>
  </si>
  <si>
    <t>系统赠送或怪物掉落</t>
  </si>
  <si>
    <t>护体特戒</t>
  </si>
  <si>
    <t>召唤特戒</t>
  </si>
  <si>
    <t>恢复特戒</t>
  </si>
  <si>
    <t>破防特戒</t>
  </si>
  <si>
    <t>元素特戒</t>
  </si>
  <si>
    <t>麻痹特戒</t>
  </si>
  <si>
    <t>复活特戒</t>
  </si>
  <si>
    <t>攻速特戒</t>
  </si>
  <si>
    <t>切割特戒</t>
  </si>
  <si>
    <t>斩杀特戒</t>
  </si>
  <si>
    <t>幸运特戒</t>
  </si>
  <si>
    <t>传送神戒</t>
  </si>
  <si>
    <t>道品</t>
  </si>
  <si>
    <t>护体神戒</t>
  </si>
  <si>
    <t>召唤神戒</t>
  </si>
  <si>
    <t>恢复神戒</t>
  </si>
  <si>
    <t>破防神戒</t>
  </si>
  <si>
    <t>元素神戒</t>
  </si>
  <si>
    <t>麻痹神戒</t>
  </si>
  <si>
    <t>复活神戒</t>
  </si>
  <si>
    <t>攻速神戒</t>
  </si>
  <si>
    <t>切割神戒</t>
  </si>
  <si>
    <t>斩杀神戒</t>
  </si>
  <si>
    <t>幸运神戒</t>
  </si>
  <si>
    <t>阎罗王碎片</t>
  </si>
  <si>
    <t>|cff00FF00请神系统</t>
  </si>
  <si>
    <t>平台抽奖获得</t>
  </si>
  <si>
    <t>秦广王碎片</t>
  </si>
  <si>
    <t>楚江王碎片</t>
  </si>
  <si>
    <t>酆都大帝碎片</t>
  </si>
  <si>
    <t>钟馗碎片</t>
  </si>
  <si>
    <t>黑无常碎片</t>
  </si>
  <si>
    <t>白无常碎片</t>
  </si>
  <si>
    <t>孟婆碎片</t>
  </si>
  <si>
    <t>阴天子碎片</t>
  </si>
  <si>
    <t>1级生命宝石</t>
  </si>
  <si>
    <t>|cff00FF00镶嵌进装备后生命值+10</t>
  </si>
  <si>
    <t>2级生命宝石</t>
  </si>
  <si>
    <t>|cff00FF00镶嵌进装备后生命值+20</t>
  </si>
  <si>
    <t>1级攻魔道宝石</t>
  </si>
  <si>
    <t>|cff00FF00镶嵌进装备后攻魔道上限+10</t>
  </si>
  <si>
    <t>2级攻魔道宝石</t>
  </si>
  <si>
    <t>|cff00FF00镶嵌进装备后攻魔道上限+20</t>
  </si>
  <si>
    <t>1级物防宝石</t>
  </si>
  <si>
    <t>|cff00FF00镶嵌进装备后物防上限+10</t>
  </si>
  <si>
    <t>2级物防宝石</t>
  </si>
  <si>
    <t>|cff00FF00镶嵌进装备后物防上限+20</t>
  </si>
  <si>
    <t>1级魔防宝石</t>
  </si>
  <si>
    <t>|cff00FF00镶嵌进装备后魔防上限+10</t>
  </si>
  <si>
    <t>2级魔防宝石</t>
  </si>
  <si>
    <t>|cff00FF00镶嵌进装备后魔防上限+20</t>
  </si>
  <si>
    <t>开孔锥</t>
  </si>
  <si>
    <t>|cff00FF00前往铁匠铺装备开孔使用</t>
  </si>
  <si>
    <t>宝石碎片</t>
  </si>
  <si>
    <t>|cff00FF00前往铁匠铺合成宝石使用</t>
  </si>
  <si>
    <t>group_id</t>
  </si>
  <si>
    <t>seq</t>
  </si>
  <si>
    <t>op</t>
  </si>
  <si>
    <t>target_id</t>
  </si>
  <si>
    <t>amount</t>
  </si>
  <si>
    <t>duration</t>
  </si>
  <si>
    <t>0效果组ID</t>
  </si>
  <si>
    <t>0组名称</t>
  </si>
  <si>
    <t>0组内序号</t>
  </si>
  <si>
    <t>效果算子</t>
  </si>
  <si>
    <t>0目标ID</t>
  </si>
  <si>
    <t>0数量/强度</t>
  </si>
  <si>
    <t>0持续秒数</t>
  </si>
  <si>
    <t>0策划备注</t>
  </si>
  <si>
    <t>新手礼包</t>
  </si>
  <si>
    <t>播放开箱动画（服务端跳过，客户端自己表现）</t>
  </si>
  <si>
    <t>功能_加修为</t>
  </si>
  <si>
    <t>送 50 点修为（单位 1/100 点）</t>
  </si>
  <si>
    <t>直接学会「基础剑术」</t>
  </si>
  <si>
    <t>木质宝箱</t>
  </si>
  <si>
    <t>功能_随机产出</t>
  </si>
  <si>
    <t>按 D掉落方案 里的方案抽 3 次，概率在那张表配</t>
  </si>
  <si>
    <t>回春丹</t>
  </si>
  <si>
    <t>10 秒内共回 800 血；两个参数列服务端不读，客户端自解释</t>
  </si>
  <si>
    <t>附送 20 点修为（这一行才是服务端结算的）</t>
  </si>
  <si>
    <t>内部名</t>
  </si>
  <si>
    <t>编号</t>
  </si>
  <si>
    <t>物编编号</t>
  </si>
  <si>
    <t>颜色</t>
  </si>
  <si>
    <t>从左数起</t>
  </si>
  <si>
    <t>A</t>
  </si>
  <si>
    <t>白色</t>
  </si>
  <si>
    <t>第1位</t>
  </si>
  <si>
    <t>固定为3表示物品</t>
  </si>
  <si>
    <t>B</t>
  </si>
  <si>
    <t>绿色</t>
  </si>
  <si>
    <t>第2位</t>
  </si>
  <si>
    <t>分大类</t>
  </si>
  <si>
    <t>经验</t>
  </si>
  <si>
    <t>C</t>
  </si>
  <si>
    <t>蓝色</t>
  </si>
  <si>
    <t>第3位</t>
  </si>
  <si>
    <t>D</t>
  </si>
  <si>
    <t>紫色</t>
  </si>
  <si>
    <t>第4位</t>
  </si>
  <si>
    <t>E</t>
  </si>
  <si>
    <t>橙色</t>
  </si>
  <si>
    <t>第5位</t>
  </si>
  <si>
    <t>本分类下的序号</t>
  </si>
  <si>
    <t>红色</t>
  </si>
  <si>
    <t>第6位</t>
  </si>
  <si>
    <t>第7位</t>
  </si>
  <si>
    <t>第8位</t>
  </si>
  <si>
    <t>新物品ID编号计算规则=30000000+@INDEX(编号表!$B:$B,MATCH(C3,编号表!$A:$A,0))*10000+E3</t>
  </si>
  <si>
    <t>改动原因：因为现在的道具配置之后，品质有改动的可能，因此暂时把品质对ID的影响取消掉。</t>
  </si>
  <si>
    <t>道具ID必须下拉，使用公式自动生成ID！！！</t>
  </si>
  <si>
    <t>版本</t>
  </si>
  <si>
    <t>说明</t>
  </si>
  <si>
    <t>物品编号从2开头七位改为3开头8位
增加光柱配置</t>
  </si>
  <si>
    <t>掉落模型</t>
  </si>
  <si>
    <t>新增0显示分类DisplayType纯TIPS上显示用</t>
  </si>
  <si>
    <t>更新编号规则，增加颜色对应的品质，对应改物品ID</t>
  </si>
  <si>
    <t>更新图标</t>
  </si>
  <si>
    <t>新增血药蓝药对应功能ID配置</t>
  </si>
  <si>
    <t>新增小极品打造相关道具</t>
  </si>
  <si>
    <t>给小极品打造道具配置图标，临时使用</t>
  </si>
  <si>
    <t>新增双加药</t>
  </si>
  <si>
    <t>新增多种金币和灵符道具，打开获得的数量不同。同时更新道具描述</t>
  </si>
  <si>
    <t>更新掉落物，物品ID增加格式，重复显示红色</t>
  </si>
  <si>
    <t>新增静态边框和动态边框的配置项</t>
  </si>
  <si>
    <t>新增铭文ICON编号和对应掉落物模型，修改34040043为道神纹</t>
  </si>
  <si>
    <t>编号里新增了一类任务，对应新增的任务物品的大类颜色和序号都改了，对应物品的ID也变了</t>
  </si>
  <si>
    <t>对ID规则进行改动，在ID编号的计算中删掉了品质的影响。铭文使用新的ID计算规则计算，其他的老物品ID不变，删掉ID编号规则，直接粘贴老的ID</t>
  </si>
  <si>
    <t>新增一类外观道具</t>
  </si>
  <si>
    <t>item_effect_config 字段说明</t>
  </si>
  <si>
    <t>一行一个效果，同一个 group_id 的多行构成一组。只有 W物品表 里 function_type=功能_多效果组 的物品才需要在这里建组。</t>
  </si>
  <si>
    <t>字段</t>
  </si>
  <si>
    <t>类型</t>
  </si>
  <si>
    <t>必填</t>
  </si>
  <si>
    <t>是</t>
  </si>
  <si>
    <t>效果组 ID。W物品表 的 function_id 指向它。同组多行共用同一个值。建议用 5xxxx 独立号段，避免和物品 ID 混淆。</t>
  </si>
  <si>
    <t>组名称</t>
  </si>
  <si>
    <t>—</t>
  </si>
  <si>
    <t>否</t>
  </si>
  <si>
    <t>辅助列，不导出。写给人看的组名，方便在表里定位。只需在每组第一行填。</t>
  </si>
  <si>
    <t>组内序号，从 1 开始、同组内唯一且连续，决定结算顺序。
注意：本项目所有序号/槽位一律从 1 起，0 是「漏填」的哨兵值，填 0 会被判为非法。</t>
  </si>
  <si>
    <t>效果算子，填中文别名（见「效果算子对照」）。
与 W物品表 的 function_type 共用同一个枚举——同一个别名在两处含义完全相同，区别只是「写在物品表里」还是「写在效果组里」。
组里不能填「功能_无」和「功能_多效果组」，那两个只在物品表用。</t>
  </si>
  <si>
    <t>目标 ID，含义由 op 决定（技能 ID / 币种 / 物品 ID / 掉落方案 ID）。该算子不需要时填 0。</t>
  </si>
  <si>
    <t>数量或强度，含义由 op 决定。不需要时填 0。</t>
  </si>
  <si>
    <t>持续秒数，0 = 瞬时。
这是物品表那三列给不了的东西，也是很多物品必须转成效果组的唯一原因。
目前只有「功能_客户端效果」会用到；其余算子填 0。</t>
  </si>
  <si>
    <t>策划备注</t>
  </si>
  <si>
    <t>辅助列，不导出。写清楚这一行是干什么的，方便日后 review。</t>
  </si>
  <si>
    <t>为什么参数列是 target_id / amount / duration 这种固定三列</t>
  </si>
  <si>
    <t>通用做法有两种：一种是「算子 + 变长参数数组」（表达力无限，但完全丢语义，只能运行时校验）；一种是固定宽表（语义清楚，但列名对某些算子不完全贴切）。本表取后者——考虑到你们已经在用中文别名填表，可读性权重更高。
代价是极少数算子会觉得列名不贴切（比如「功能_随机产出」的 amount 其实是「抽几次」），用备注列补充即可。</t>
  </si>
  <si>
    <t>随机产出不在这张表里配概率</t>
  </si>
  <si>
    <t>宝箱、随机礼包一律用「功能_随机产出」指向 D掉落方案.xlsx 里的方案 ID。那张表已经有「按概率 / 按个数和概率可重复 / 按个数和概率不可重复」三种方式和逐项概率。
所以本表每一行都是必定生效，没有概率列。两套概率语义并存会出严重问题：逐行独立概率表达不了「80% 出 A、20% 出 B」这种互斥，策划照着填会得到「有时两个都出、有时一个都不出」。</t>
  </si>
  <si>
    <t>🔴 硬约束：账号共享货币不能和别的效果同组</t>
  </si>
  <si>
    <t>账号共享货币写的是账号数据，其余效果写的是角色数据，分属不同的存储聚合，没有共同事务，无法保证一起成功或一起失败。所以一个组里出现「加账号共享货币」时，该组不得再有任何其它行。
直接后果：「金币 100 + 灵符 5」这种双币礼包现在做不了，服务端启动校验会拦。等跨聚合方案落地再放开。</t>
  </si>
  <si>
    <t>ItemFunctionType 枚举对照表</t>
  </si>
  <si>
    <t>同一个枚举同时用在两处：W物品表.function_type（单效果内联）和 本表.op（多效果组里的一行）。绿底 = 服务端已实现，可以填；灰底 = 已规划但未实现，填了服务端启动会失败。</t>
  </si>
  <si>
    <t>填写值（中文别名）</t>
  </si>
  <si>
    <t>程序内部名</t>
  </si>
  <si>
    <t>数值</t>
  </si>
  <si>
    <t>含义</t>
  </si>
  <si>
    <t>target_id / function_id</t>
  </si>
  <si>
    <t>amount / function_value</t>
  </si>
  <si>
    <t>状态</t>
  </si>
  <si>
    <t>功能_无</t>
  </si>
  <si>
    <t>None</t>
  </si>
  <si>
    <t>不可使用</t>
  </si>
  <si>
    <t>0</t>
  </si>
  <si>
    <t>✅ 已实现</t>
  </si>
  <si>
    <t>只用在物品表，效果组里不能填。装备、材料、系统凭证、外观等一切不能通过背包使用的物品都填它。程序对它一律拒绝使用请求——这条兜底是防止装备被误当消耗品删掉，所以拿不准就填它。</t>
  </si>
  <si>
    <t>ClientEffect</t>
  </si>
  <si>
    <t>可使用，效果由客户端表现</t>
  </si>
  <si>
    <t>客户端自定</t>
  </si>
  <si>
    <t>回血、回蓝、加 buff、特效、动画……一切服务端不需要参与的效果，全部填这一个。
服务端行为：扣掉数量 → 写物品流水 → 返回成功。客户端收到成功后自己表现。
三个参数列服务端完全不读取、不校验、不解释，客户端按自己的规则用（现有药品 function_id 里的 21xxxxxx 号段保持原样即可，不用迁）。
为什么不给回血/回蓝/加 buff 各配一个值：本作战斗数值是客户端自己算的，服务端连玩家血量都不知道，对这些效果的行为永远是同一个。分开配只会让策划每加一种客户端效果，服务端就得跟着改代码。</t>
  </si>
  <si>
    <t>SkillBook</t>
  </si>
  <si>
    <t>学技能</t>
  </si>
  <si>
    <t>技能配置行 ID</t>
  </si>
  <si>
    <t>服务端会校验技能是否存在、是否已学会、栏位是否已满。已学会的重复使用会被拒绝，道具不扣。</t>
  </si>
  <si>
    <t>AddCurrency</t>
  </si>
  <si>
    <t>加货币</t>
  </si>
  <si>
    <t>币种：1=角色级 / 2=账号共享</t>
  </si>
  <si>
    <t>数量（正整数）</t>
  </si>
  <si>
    <t>⏳ 未实现</t>
  </si>
  <si>
    <t>等钱包模块做完再开放。注意：货币道具拾取时不直接进钱包，先作为道具占背包格，使用时才入钱包。</t>
  </si>
  <si>
    <t>AddCult</t>
  </si>
  <si>
    <t>加修为</t>
  </si>
  <si>
    <t>修为量，单位 1/100 点（填 2000 = 20 点）</t>
  </si>
  <si>
    <t>只加修为，不加等级。等级只能由玩家点击突破获得，配置里不开加等级的口子。</t>
  </si>
  <si>
    <t>功能_加物品</t>
  </si>
  <si>
    <t>AddItem</t>
  </si>
  <si>
    <t>加物品</t>
  </si>
  <si>
    <t>物品 ID</t>
  </si>
  <si>
    <t>固定发放某件物品。要随机发放用「功能_随机产出」。背包放不下时整个使用失败、道具不扣，不做部分发放。</t>
  </si>
  <si>
    <t>DropRoll</t>
  </si>
  <si>
    <t>随机产出</t>
  </si>
  <si>
    <t>D掉落方案 的方案 ID</t>
  </si>
  <si>
    <t>抽取次数（0 或 1 都按 1 次）</t>
  </si>
  <si>
    <t>宝箱、随机礼包。概率、可否重复、产出条数全在掉落方案里配，这里只填指向哪个方案。</t>
  </si>
  <si>
    <t>EffectGroup</t>
  </si>
  <si>
    <t>转到效果组</t>
  </si>
  <si>
    <t>本表的 group_id</t>
  </si>
  <si>
    <t>只用在物品表，效果组里不能填。一个物品要触发多个效果、或某个效果需要持续时间时用。</t>
  </si>
  <si>
    <t>填表决策就三步：不能用 → 功能_无；能用但服务端不用管 → 功能_客户端效果；服务端要发东西 / 要改存档 → 查上表找对应值。</t>
  </si>
  <si>
    <t>🔴 枚举纪律：任何值一经确定，禁止重排、禁止改含义、禁止复用废弃的值，新增一律追加。配置表和服务端代码是两边独立发布的，重排数值会造成静默串号（比如「学技能」变成「加货币」），而且不报任何错。要废弃某个值，标停用即可，数值永久保留。</t>
  </si>
  <si>
    <t>接入步骤：要往三个元表里加什么</t>
  </si>
  <si>
    <t>本表建好后还不能导出，需要在 __enums__.xlsx 注册枚举、在 __tables__.xlsx 注册表。以下是要加的确切内容，照抄即可。</t>
  </si>
  <si>
    <t>第 1 步 · __enums__.xlsx 追加枚举 ItemFunctionType</t>
  </si>
  <si>
    <t>首行填 full_name=ItemFunctionType、flags=False、unique=True、group 留空、comment=物品功能类型；后续行只填右侧的 name / alias / value / comment 四列（与现有 DropType、ItemQuality 的写法一致）。</t>
  </si>
  <si>
    <t>full_name</t>
  </si>
  <si>
    <t>flags</t>
  </si>
  <si>
    <t>unique</t>
  </si>
  <si>
    <t>group</t>
  </si>
  <si>
    <t>comment</t>
  </si>
  <si>
    <t>*items name</t>
  </si>
  <si>
    <t>alias</t>
  </si>
  <si>
    <t>value</t>
  </si>
  <si>
    <t>False</t>
  </si>
  <si>
    <t>True</t>
  </si>
  <si>
    <t/>
  </si>
  <si>
    <t>物品功能类型</t>
  </si>
  <si>
    <t>加货币（未实现）</t>
  </si>
  <si>
    <t>加修为（未实现）</t>
  </si>
  <si>
    <t>加物品（未实现）</t>
  </si>
  <si>
    <t>按掉落方案随机产出（未实现）</t>
  </si>
  <si>
    <t>转到 item_effect_config（未实现）</t>
  </si>
  <si>
    <t>服务端只扣数量返回成功，效果由客户端表现</t>
  </si>
  <si>
    <t>第 2 步 · __tables__.xlsx 追加一行</t>
  </si>
  <si>
    <t>index 留空 + mode=list：本表没有单一主键，服务端加载后自行按 group_id 分组建索引。
group 留空 = 客户端和服务端都导出（客户端要读「功能_客户端效果」那些行，服务端要读其余行）。</t>
  </si>
  <si>
    <t>value_type</t>
  </si>
  <si>
    <t>read_schema_from_file</t>
  </si>
  <si>
    <t>input</t>
  </si>
  <si>
    <t>index</t>
  </si>
  <si>
    <t>mode</t>
  </si>
  <si>
    <t>output</t>
  </si>
  <si>
    <t>TbItemEffectConfig</t>
  </si>
  <si>
    <t>ItemEffectConfig</t>
  </si>
  <si>
    <t>item_effect_config@W物品效果表.xlsx</t>
  </si>
  <si>
    <t>（留空）</t>
  </si>
  <si>
    <t>list</t>
  </si>
  <si>
    <t>物品使用效果组</t>
  </si>
  <si>
    <t>item_effect_config</t>
  </si>
  <si>
    <t>第 3 步 · W物品表.xlsx 把 function_type 列的类型改掉</t>
  </si>
  <si>
    <t>##type 行：把 function_type 那一列从 string 改成 ItemFunctionType。function_id / function_value 两列不动。
⚠ 改完那一刻，现有 167 行里所有 function_type 的值都必须是上面注册过的中文别名，否则导表直接失败。
现存的「货币_金币」「药品_加血」「系统_铭文」等 21 个自由中文串全都不是合法别名。
最快的过渡办法：整列先批量填「功能_无」，再把确实要能用的几十个物品逐个改成对应别名。</t>
  </si>
  <si>
    <t>第 4 步 · 通知服务端</t>
  </si>
  <si>
    <t>服务端要同步改判定逻辑：现在是靠「以『药品_』开头就算可使用」这种前缀匹配猜出来的，改成读枚举。这一步之前，新的中文别名服务端认不出来。</t>
  </si>
  <si>
    <t>更新说明</t>
  </si>
  <si>
    <t>日期</t>
  </si>
  <si>
    <t>内容</t>
  </si>
  <si>
    <t>2026-08-08</t>
  </si>
  <si>
    <t>初版</t>
  </si>
  <si>
    <t>新建 item_effect_config 表，用于「一个物品触发多个效果」的场景。
同时把 W物品表.function_type 从自由中文串改成枚举 ItemFunctionType，两处共用同一个枚举。
改动理由：服务端需要知道「这个物品能不能被使用」，而这个事实现在是靠中文串前缀猜的——策划把某个丹药写成「丹药_解毒」，它就静默变成不可使用，不报错、不告警，玩家点了没反应。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</si>
</sst>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3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10"/>
      <color rgb="FF808080"/>
      <name val="微软雅黑"/>
      <charset val="134"/>
    </font>
    <font>
      <b/>
      <sz val="10"/>
      <name val="微软雅黑"/>
      <charset val="134"/>
    </font>
    <font>
      <b/>
      <sz val="10"/>
      <color rgb="FFC00000"/>
      <name val="微软雅黑"/>
      <charset val="134"/>
    </font>
    <font>
      <sz val="36"/>
      <color rgb="FFFF0000"/>
      <name val="微软雅黑"/>
      <charset val="134"/>
    </font>
    <font>
      <sz val="9"/>
      <color rgb="FFFF0000"/>
      <name val="微软雅黑"/>
      <charset val="134"/>
    </font>
    <font>
      <sz val="10"/>
      <color rgb="FF0000FF"/>
      <name val="微软雅黑"/>
      <charset val="134"/>
    </font>
    <font>
      <sz val="10"/>
      <color rgb="FF000000"/>
      <name val="微软雅黑"/>
      <charset val="134"/>
    </font>
    <font>
      <sz val="10"/>
      <name val="宋体"/>
      <charset val="134"/>
    </font>
    <font>
      <sz val="10"/>
      <color rgb="FF000000"/>
      <name val="等线"/>
      <charset val="134"/>
      <scheme val="minor"/>
    </font>
    <font>
      <sz val="9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12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5" applyNumberFormat="0" applyAlignment="0" applyProtection="0">
      <alignment vertical="center"/>
    </xf>
    <xf numFmtId="0" fontId="24" fillId="5" borderId="6" applyNumberFormat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14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vertical="top" wrapText="1"/>
    </xf>
    <xf numFmtId="0" fontId="5" fillId="0" borderId="0" xfId="0" applyFont="1" applyFill="1" applyAlignment="1">
      <alignment vertical="top" wrapText="1"/>
    </xf>
    <xf numFmtId="0" fontId="6" fillId="3" borderId="0" xfId="0" applyFont="1" applyFill="1" applyAlignment="1"/>
    <xf numFmtId="0" fontId="4" fillId="0" borderId="0" xfId="0" applyFont="1" applyFill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6" fillId="0" borderId="0" xfId="0" applyFont="1" applyFill="1" applyAlignment="1"/>
    <xf numFmtId="0" fontId="7" fillId="0" borderId="0" xfId="0" applyFont="1" applyFill="1" applyAlignment="1"/>
    <xf numFmtId="0" fontId="0" fillId="0" borderId="0" xfId="0" applyAlignment="1">
      <alignment vertical="center" wrapText="1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8" fillId="6" borderId="0" xfId="0" applyFont="1" applyFill="1">
      <alignment vertical="center"/>
    </xf>
    <xf numFmtId="0" fontId="9" fillId="0" borderId="0" xfId="0" applyFont="1">
      <alignment vertical="center"/>
    </xf>
    <xf numFmtId="0" fontId="3" fillId="7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/>
    <xf numFmtId="0" fontId="10" fillId="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vertical="top" wrapText="1"/>
    </xf>
    <xf numFmtId="0" fontId="0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ont="1" applyFill="1" applyAlignment="1">
      <alignment horizontal="center" vertical="center"/>
    </xf>
    <xf numFmtId="0" fontId="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rgb="FF92D050"/>
  </sheetPr>
  <dimension ref="A1:AF172"/>
  <sheetViews>
    <sheetView tabSelected="1" workbookViewId="0">
      <pane xSplit="3" ySplit="2" topLeftCell="X3" activePane="bottomRight" state="frozen"/>
      <selection/>
      <selection pane="topRight"/>
      <selection pane="bottomLeft"/>
      <selection pane="bottomRight" activeCell="X41" sqref="X41:X172"/>
    </sheetView>
  </sheetViews>
  <sheetFormatPr defaultColWidth="9" defaultRowHeight="13.2"/>
  <cols>
    <col min="1" max="1" width="9.5462962962963" style="14" customWidth="1"/>
    <col min="2" max="2" width="12" style="14" customWidth="1"/>
    <col min="3" max="3" width="8.36111111111111" style="14" customWidth="1"/>
    <col min="4" max="4" width="11.2685185185185" style="14" customWidth="1"/>
    <col min="5" max="5" width="12" style="14" customWidth="1"/>
    <col min="6" max="6" width="7.72222222222222" style="14" customWidth="1"/>
    <col min="7" max="8" width="10.6296296296296" style="14" customWidth="1"/>
    <col min="9" max="9" width="8.5462962962963" style="14" customWidth="1"/>
    <col min="10" max="10" width="10.7222222222222" style="14" customWidth="1"/>
    <col min="11" max="11" width="13" style="14" customWidth="1"/>
    <col min="12" max="13" width="13.1759259259259" style="14" customWidth="1"/>
    <col min="14" max="14" width="17.6666666666667" style="14" customWidth="1"/>
    <col min="15" max="15" width="13.8148148148148" style="14" customWidth="1"/>
    <col min="16" max="16" width="9.5462962962963" style="14" customWidth="1"/>
    <col min="17" max="17" width="13.8148148148148" style="14" customWidth="1"/>
    <col min="18" max="18" width="18.4537037037037" style="14" customWidth="1"/>
    <col min="19" max="19" width="15.1759259259259" style="14" customWidth="1"/>
    <col min="20" max="20" width="14.0925925925926" style="14" customWidth="1"/>
    <col min="21" max="21" width="41.5462962962963" style="14" customWidth="1"/>
    <col min="22" max="22" width="18.7222222222222" style="14" customWidth="1"/>
    <col min="23" max="23" width="30.6666666666667" style="14" customWidth="1"/>
    <col min="24" max="24" width="38.1111111111111" style="14" customWidth="1"/>
    <col min="25" max="25" width="33.9074074074074" style="14" customWidth="1"/>
    <col min="26" max="26" width="29" style="14" customWidth="1"/>
    <col min="27" max="27" width="12.8148148148148" style="14" customWidth="1"/>
    <col min="28" max="28" width="9" style="14" customWidth="1"/>
    <col min="29" max="29" width="13" style="14" customWidth="1"/>
    <col min="30" max="30" width="9" style="14" customWidth="1"/>
    <col min="31" max="16384" width="9" style="14"/>
  </cols>
  <sheetData>
    <row r="1" spans="1:32">
      <c r="A1" s="14" t="s">
        <v>0</v>
      </c>
      <c r="B1" s="24" t="s">
        <v>1</v>
      </c>
      <c r="C1" s="24" t="s">
        <v>2</v>
      </c>
      <c r="D1" s="24" t="s">
        <v>3</v>
      </c>
      <c r="E1" s="25"/>
      <c r="F1" s="26" t="s">
        <v>4</v>
      </c>
      <c r="G1" s="25"/>
      <c r="H1" s="24" t="s">
        <v>5</v>
      </c>
      <c r="I1" s="24" t="s">
        <v>6</v>
      </c>
      <c r="J1" s="24" t="s">
        <v>7</v>
      </c>
      <c r="K1" s="24" t="s">
        <v>8</v>
      </c>
      <c r="L1" s="14" t="s">
        <v>9</v>
      </c>
      <c r="M1" s="24" t="s">
        <v>10</v>
      </c>
      <c r="N1" s="24" t="s">
        <v>11</v>
      </c>
      <c r="O1" s="24" t="s">
        <v>12</v>
      </c>
      <c r="P1" s="24" t="s">
        <v>13</v>
      </c>
      <c r="Q1" s="24" t="s">
        <v>14</v>
      </c>
      <c r="R1" s="24" t="s">
        <v>15</v>
      </c>
      <c r="S1" s="24" t="s">
        <v>16</v>
      </c>
      <c r="T1" s="24" t="s">
        <v>17</v>
      </c>
      <c r="U1" s="24" t="s">
        <v>18</v>
      </c>
      <c r="V1" s="24" t="s">
        <v>19</v>
      </c>
      <c r="W1" s="24" t="s">
        <v>20</v>
      </c>
      <c r="X1" s="24" t="s">
        <v>21</v>
      </c>
      <c r="Y1" s="24" t="s">
        <v>22</v>
      </c>
      <c r="Z1" s="24" t="s">
        <v>23</v>
      </c>
      <c r="AA1" s="24" t="s">
        <v>24</v>
      </c>
      <c r="AB1" s="24" t="s">
        <v>25</v>
      </c>
      <c r="AC1" s="24" t="s">
        <v>26</v>
      </c>
    </row>
    <row r="2" ht="13.8" spans="1:32">
      <c r="A2" s="14" t="s">
        <v>27</v>
      </c>
      <c r="B2" s="14" t="s">
        <v>28</v>
      </c>
      <c r="C2" s="14" t="s">
        <v>29</v>
      </c>
      <c r="D2" s="27" t="s">
        <v>30</v>
      </c>
      <c r="E2" s="25"/>
      <c r="F2" s="25" t="s">
        <v>28</v>
      </c>
      <c r="G2" s="25"/>
      <c r="H2" s="14" t="s">
        <v>29</v>
      </c>
      <c r="I2" s="14" t="s">
        <v>29</v>
      </c>
      <c r="J2" s="14" t="s">
        <v>28</v>
      </c>
      <c r="K2" s="14" t="s">
        <v>31</v>
      </c>
      <c r="L2" s="14" t="s">
        <v>28</v>
      </c>
      <c r="M2" s="14" t="s">
        <v>28</v>
      </c>
      <c r="N2" s="14" t="s">
        <v>32</v>
      </c>
      <c r="O2" s="14" t="s">
        <v>32</v>
      </c>
      <c r="P2" s="14" t="s">
        <v>28</v>
      </c>
      <c r="Q2" s="14" t="s">
        <v>29</v>
      </c>
      <c r="R2" s="14" t="s">
        <v>28</v>
      </c>
      <c r="S2" s="14" t="s">
        <v>33</v>
      </c>
      <c r="T2" s="14" t="s">
        <v>28</v>
      </c>
      <c r="U2" s="14" t="s">
        <v>28</v>
      </c>
      <c r="V2" s="14" t="s">
        <v>29</v>
      </c>
      <c r="W2" s="14" t="s">
        <v>29</v>
      </c>
      <c r="X2" s="14" t="s">
        <v>28</v>
      </c>
      <c r="Y2" s="14" t="s">
        <v>29</v>
      </c>
      <c r="Z2" s="14" t="s">
        <v>28</v>
      </c>
      <c r="AA2" s="14" t="s">
        <v>28</v>
      </c>
      <c r="AB2" s="14" t="s">
        <v>28</v>
      </c>
      <c r="AC2" s="24" t="s">
        <v>34</v>
      </c>
    </row>
    <row r="3" spans="1:32">
      <c r="A3" s="14" t="s">
        <v>35</v>
      </c>
      <c r="C3" s="24" t="s">
        <v>36</v>
      </c>
      <c r="E3" s="25"/>
      <c r="F3" s="25"/>
      <c r="G3" s="25"/>
      <c r="K3" s="24" t="s">
        <v>36</v>
      </c>
      <c r="O3" s="24" t="s">
        <v>36</v>
      </c>
      <c r="V3" s="24" t="s">
        <v>36</v>
      </c>
      <c r="W3" s="24" t="s">
        <v>36</v>
      </c>
      <c r="X3" s="24" t="s">
        <v>36</v>
      </c>
      <c r="Y3" s="24" t="s">
        <v>36</v>
      </c>
      <c r="Z3" s="24" t="s">
        <v>36</v>
      </c>
      <c r="AA3" s="24" t="s">
        <v>36</v>
      </c>
      <c r="AB3" s="24" t="s">
        <v>36</v>
      </c>
    </row>
    <row r="4" spans="1:32">
      <c r="A4" s="14" t="s">
        <v>37</v>
      </c>
      <c r="B4" s="14" t="s">
        <v>38</v>
      </c>
      <c r="C4" s="14" t="s">
        <v>39</v>
      </c>
      <c r="D4" s="24" t="s">
        <v>40</v>
      </c>
      <c r="E4" s="25" t="s">
        <v>41</v>
      </c>
      <c r="F4" s="25" t="s">
        <v>42</v>
      </c>
      <c r="G4" s="25" t="s">
        <v>43</v>
      </c>
      <c r="H4" s="14" t="s">
        <v>43</v>
      </c>
      <c r="I4" s="14" t="s">
        <v>44</v>
      </c>
      <c r="J4" s="14" t="s">
        <v>45</v>
      </c>
      <c r="K4" s="14" t="s">
        <v>46</v>
      </c>
      <c r="L4" s="14" t="s">
        <v>47</v>
      </c>
      <c r="M4" s="24" t="s">
        <v>48</v>
      </c>
      <c r="N4" s="14" t="s">
        <v>49</v>
      </c>
      <c r="O4" s="14" t="s">
        <v>50</v>
      </c>
      <c r="P4" s="14" t="s">
        <v>51</v>
      </c>
      <c r="Q4" s="14" t="s">
        <v>52</v>
      </c>
      <c r="R4" s="14" t="s">
        <v>53</v>
      </c>
      <c r="S4" s="14" t="s">
        <v>54</v>
      </c>
      <c r="T4" s="14" t="s">
        <v>55</v>
      </c>
      <c r="U4" s="14" t="s">
        <v>56</v>
      </c>
      <c r="V4" s="14" t="s">
        <v>57</v>
      </c>
      <c r="W4" s="14" t="s">
        <v>58</v>
      </c>
      <c r="X4" s="14" t="s">
        <v>59</v>
      </c>
      <c r="Y4" s="14" t="s">
        <v>60</v>
      </c>
      <c r="Z4" s="14" t="s">
        <v>61</v>
      </c>
      <c r="AA4" s="14" t="s">
        <v>62</v>
      </c>
      <c r="AB4" s="14" t="s">
        <v>63</v>
      </c>
      <c r="AC4" s="14" t="s">
        <v>64</v>
      </c>
      <c r="AD4" s="14" t="s">
        <v>65</v>
      </c>
      <c r="AE4" s="14" t="s">
        <v>66</v>
      </c>
      <c r="AF4" s="14" t="s">
        <v>67</v>
      </c>
    </row>
    <row r="5" spans="1:32">
      <c r="B5" s="14">
        <f>30000000+INDEX(编号表!$B:$B,MATCH(G5,编号表!$A:$A,0))*10000+E5</f>
        <v>30010001</v>
      </c>
      <c r="C5" s="14" t="s">
        <v>68</v>
      </c>
      <c r="D5" s="14" t="s">
        <v>69</v>
      </c>
      <c r="E5" s="14">
        <v>1</v>
      </c>
      <c r="F5" s="14">
        <v>60</v>
      </c>
      <c r="G5" s="14" t="s">
        <v>70</v>
      </c>
      <c r="H5" s="14" t="s">
        <v>71</v>
      </c>
      <c r="I5" s="14" t="s">
        <v>72</v>
      </c>
      <c r="J5" s="14">
        <v>1</v>
      </c>
      <c r="K5" s="14" t="s">
        <v>70</v>
      </c>
      <c r="M5" s="14">
        <v>0</v>
      </c>
      <c r="N5" s="14" t="b">
        <v>0</v>
      </c>
      <c r="O5" s="14" t="b">
        <v>0</v>
      </c>
      <c r="P5" s="14">
        <v>1</v>
      </c>
      <c r="Q5" s="14" t="s">
        <v>73</v>
      </c>
      <c r="R5" s="14">
        <v>999</v>
      </c>
      <c r="S5" s="14" t="s">
        <v>74</v>
      </c>
      <c r="T5" s="14">
        <v>1</v>
      </c>
      <c r="U5" s="14">
        <v>50</v>
      </c>
      <c r="V5" s="14" t="str">
        <f>"|cff00FF00"&amp;C5&amp;"，打开后可以获得"&amp;U5&amp;"金币。"</f>
        <v>|cff00FF00一小袋金币，打开后可以获得50金币。</v>
      </c>
      <c r="W5" s="14" t="s">
        <v>75</v>
      </c>
      <c r="X5" s="14">
        <v>20001</v>
      </c>
      <c r="Y5" s="14" t="s">
        <v>76</v>
      </c>
      <c r="Z5" s="14">
        <v>40001</v>
      </c>
      <c r="AC5" s="14" t="s">
        <v>70</v>
      </c>
      <c r="AD5" s="14" t="s">
        <v>77</v>
      </c>
    </row>
    <row r="6" spans="1:32">
      <c r="B6" s="14">
        <f>30000000+INDEX(编号表!$B:$B,MATCH(G6,编号表!$A:$A,0))*10000+E6</f>
        <v>30010002</v>
      </c>
      <c r="C6" s="14" t="s">
        <v>78</v>
      </c>
      <c r="D6" s="14" t="s">
        <v>69</v>
      </c>
      <c r="E6" s="14">
        <v>2</v>
      </c>
      <c r="F6" s="14">
        <v>60</v>
      </c>
      <c r="G6" s="14" t="s">
        <v>70</v>
      </c>
      <c r="H6" s="14" t="s">
        <v>71</v>
      </c>
      <c r="I6" s="14" t="s">
        <v>72</v>
      </c>
      <c r="J6" s="14">
        <v>2</v>
      </c>
      <c r="K6" s="14" t="s">
        <v>70</v>
      </c>
      <c r="M6" s="14">
        <v>0</v>
      </c>
      <c r="N6" s="14" t="b">
        <v>0</v>
      </c>
      <c r="O6" t="b">
        <v>0</v>
      </c>
      <c r="P6" s="14">
        <v>1</v>
      </c>
      <c r="Q6" s="14" t="s">
        <v>73</v>
      </c>
      <c r="R6" s="14">
        <v>999</v>
      </c>
      <c r="S6" s="14" t="s">
        <v>74</v>
      </c>
      <c r="T6" s="14">
        <v>2</v>
      </c>
      <c r="U6" s="14">
        <v>5</v>
      </c>
      <c r="V6" s="14" t="str">
        <f>"|cff00FF00"&amp;C6&amp;"，打开后可以获得"&amp;U6&amp;"灵符。"</f>
        <v>|cff00FF00一小袋灵符，打开后可以获得5灵符。</v>
      </c>
      <c r="W6" s="14" t="s">
        <v>75</v>
      </c>
      <c r="X6" s="14">
        <v>20001</v>
      </c>
      <c r="Y6" s="14" t="s">
        <v>79</v>
      </c>
      <c r="Z6" s="14">
        <v>40001</v>
      </c>
      <c r="AC6" s="14" t="s">
        <v>70</v>
      </c>
      <c r="AD6" s="14" t="s">
        <v>80</v>
      </c>
    </row>
    <row r="7" spans="1:32">
      <c r="B7" s="14">
        <f>30000000+INDEX(编号表!$B:$B,MATCH(G7,编号表!$A:$A,0))*10000+E7</f>
        <v>30010003</v>
      </c>
      <c r="C7" s="14" t="s">
        <v>81</v>
      </c>
      <c r="D7" s="14" t="s">
        <v>69</v>
      </c>
      <c r="E7" s="14">
        <v>3</v>
      </c>
      <c r="F7" s="14">
        <v>60</v>
      </c>
      <c r="G7" s="14" t="s">
        <v>70</v>
      </c>
      <c r="H7" s="14" t="s">
        <v>71</v>
      </c>
      <c r="I7" s="14" t="s">
        <v>72</v>
      </c>
      <c r="J7" s="14">
        <v>3</v>
      </c>
      <c r="K7" s="14" t="s">
        <v>70</v>
      </c>
      <c r="M7" s="14">
        <v>0</v>
      </c>
      <c r="N7" s="14" t="b">
        <v>0</v>
      </c>
      <c r="O7" s="14" t="b">
        <v>0</v>
      </c>
      <c r="P7" s="14">
        <v>1</v>
      </c>
      <c r="Q7" s="14" t="s">
        <v>73</v>
      </c>
      <c r="R7" s="14">
        <v>999</v>
      </c>
      <c r="U7" s="14">
        <v>100</v>
      </c>
      <c r="V7" s="14" t="str">
        <f>"|cff00FF00"&amp;C7&amp;"，打开后可以获得"&amp;U7&amp;"金币。"</f>
        <v>|cff00FF00一袋金币，打开后可以获得100金币。</v>
      </c>
      <c r="W7" s="14" t="s">
        <v>75</v>
      </c>
      <c r="X7" s="14">
        <v>20001</v>
      </c>
      <c r="Y7" s="14" t="s">
        <v>76</v>
      </c>
      <c r="Z7" s="14">
        <v>40001</v>
      </c>
      <c r="AC7" s="14" t="s">
        <v>70</v>
      </c>
      <c r="AD7" s="14" t="s">
        <v>77</v>
      </c>
    </row>
    <row r="8" spans="1:32">
      <c r="B8" s="14">
        <f>30000000+INDEX(编号表!$B:$B,MATCH(G8,编号表!$A:$A,0))*10000+E8</f>
        <v>30010004</v>
      </c>
      <c r="C8" s="14" t="s">
        <v>82</v>
      </c>
      <c r="D8" s="14" t="s">
        <v>69</v>
      </c>
      <c r="E8" s="14">
        <v>4</v>
      </c>
      <c r="F8" s="14">
        <v>60</v>
      </c>
      <c r="G8" s="14" t="s">
        <v>70</v>
      </c>
      <c r="H8" s="14" t="s">
        <v>71</v>
      </c>
      <c r="I8" s="14" t="s">
        <v>72</v>
      </c>
      <c r="J8" s="14">
        <v>4</v>
      </c>
      <c r="K8" s="14" t="s">
        <v>70</v>
      </c>
      <c r="M8" s="14">
        <v>0</v>
      </c>
      <c r="N8" s="14" t="b">
        <v>0</v>
      </c>
      <c r="O8" t="b">
        <v>0</v>
      </c>
      <c r="P8" s="14">
        <v>1</v>
      </c>
      <c r="Q8" s="14" t="s">
        <v>73</v>
      </c>
      <c r="R8" s="14">
        <v>999</v>
      </c>
      <c r="U8" s="14">
        <v>10</v>
      </c>
      <c r="V8" s="14" t="str">
        <f>"|cff00FF00"&amp;C8&amp;"，打开后可以获得"&amp;U8&amp;"灵符。"</f>
        <v>|cff00FF00一袋灵符，打开后可以获得10灵符。</v>
      </c>
      <c r="W8" s="14" t="s">
        <v>75</v>
      </c>
      <c r="X8" s="14">
        <v>20001</v>
      </c>
      <c r="Y8" s="14" t="s">
        <v>79</v>
      </c>
      <c r="Z8" s="14">
        <v>40001</v>
      </c>
      <c r="AC8" s="14" t="s">
        <v>70</v>
      </c>
      <c r="AD8" s="14" t="s">
        <v>80</v>
      </c>
    </row>
    <row r="9" spans="1:32">
      <c r="B9" s="14">
        <f>30000000+INDEX(编号表!$B:$B,MATCH(G9,编号表!$A:$A,0))*10000+E9</f>
        <v>30010005</v>
      </c>
      <c r="C9" s="14" t="s">
        <v>83</v>
      </c>
      <c r="D9" s="14" t="s">
        <v>69</v>
      </c>
      <c r="E9" s="14">
        <v>5</v>
      </c>
      <c r="F9" s="14">
        <v>60</v>
      </c>
      <c r="G9" s="14" t="s">
        <v>70</v>
      </c>
      <c r="H9" s="14" t="s">
        <v>71</v>
      </c>
      <c r="I9" s="14" t="s">
        <v>72</v>
      </c>
      <c r="J9" s="14">
        <v>5</v>
      </c>
      <c r="K9" s="14" t="s">
        <v>70</v>
      </c>
      <c r="M9" s="14">
        <v>0</v>
      </c>
      <c r="N9" s="14" t="b">
        <v>0</v>
      </c>
      <c r="O9" s="14" t="b">
        <v>0</v>
      </c>
      <c r="P9" s="14">
        <v>1</v>
      </c>
      <c r="Q9" s="14" t="s">
        <v>73</v>
      </c>
      <c r="R9" s="14">
        <v>999</v>
      </c>
      <c r="U9" s="14">
        <v>500</v>
      </c>
      <c r="V9" s="14" t="str">
        <f>"|cff00FF00"&amp;C9&amp;"，打开后可以获得"&amp;U9&amp;"金币。"</f>
        <v>|cff00FF00一大袋金币，打开后可以获得500金币。</v>
      </c>
      <c r="W9" s="14" t="s">
        <v>75</v>
      </c>
      <c r="X9" s="14">
        <v>20001</v>
      </c>
      <c r="Y9" s="14" t="s">
        <v>76</v>
      </c>
      <c r="Z9" s="14">
        <v>40001</v>
      </c>
      <c r="AC9" s="14" t="s">
        <v>70</v>
      </c>
      <c r="AD9" s="14" t="s">
        <v>77</v>
      </c>
    </row>
    <row r="10" spans="1:32">
      <c r="B10" s="14">
        <f>30000000+INDEX(编号表!$B:$B,MATCH(G10,编号表!$A:$A,0))*10000+E10</f>
        <v>30010006</v>
      </c>
      <c r="C10" s="14" t="s">
        <v>84</v>
      </c>
      <c r="D10" s="14" t="s">
        <v>69</v>
      </c>
      <c r="E10" s="14">
        <v>6</v>
      </c>
      <c r="F10" s="14">
        <v>60</v>
      </c>
      <c r="G10" s="14" t="s">
        <v>70</v>
      </c>
      <c r="H10" s="14" t="s">
        <v>71</v>
      </c>
      <c r="I10" s="14" t="s">
        <v>72</v>
      </c>
      <c r="J10" s="14">
        <v>6</v>
      </c>
      <c r="K10" s="14" t="s">
        <v>70</v>
      </c>
      <c r="M10" s="14">
        <v>0</v>
      </c>
      <c r="N10" s="14" t="b">
        <v>0</v>
      </c>
      <c r="O10" t="b">
        <v>0</v>
      </c>
      <c r="P10" s="14">
        <v>1</v>
      </c>
      <c r="Q10" s="14" t="s">
        <v>73</v>
      </c>
      <c r="R10" s="14">
        <v>999</v>
      </c>
      <c r="U10" s="14">
        <v>50</v>
      </c>
      <c r="V10" s="14" t="str">
        <f>"|cff00FF00"&amp;C10&amp;"，打开后可以获得"&amp;U10&amp;"灵符。"</f>
        <v>|cff00FF00一大袋灵符，打开后可以获得50灵符。</v>
      </c>
      <c r="W10" s="14" t="s">
        <v>75</v>
      </c>
      <c r="X10" s="14">
        <v>20001</v>
      </c>
      <c r="Y10" s="14" t="s">
        <v>79</v>
      </c>
      <c r="Z10" s="14">
        <v>40001</v>
      </c>
      <c r="AC10" s="14" t="s">
        <v>70</v>
      </c>
      <c r="AD10" s="14" t="s">
        <v>80</v>
      </c>
    </row>
    <row r="11" spans="1:32">
      <c r="B11" s="14">
        <f>30000000+INDEX(编号表!$B:$B,MATCH(G11,编号表!$A:$A,0))*10000+E11</f>
        <v>30010007</v>
      </c>
      <c r="C11" s="14" t="s">
        <v>85</v>
      </c>
      <c r="D11" s="14" t="s">
        <v>69</v>
      </c>
      <c r="E11" s="14">
        <v>7</v>
      </c>
      <c r="F11" s="14">
        <v>60</v>
      </c>
      <c r="G11" s="14" t="s">
        <v>70</v>
      </c>
      <c r="H11" s="14" t="s">
        <v>71</v>
      </c>
      <c r="I11" s="14" t="s">
        <v>72</v>
      </c>
      <c r="J11" s="14">
        <v>7</v>
      </c>
      <c r="K11" s="14" t="s">
        <v>70</v>
      </c>
      <c r="M11" s="14">
        <v>0</v>
      </c>
      <c r="N11" s="14" t="b">
        <v>0</v>
      </c>
      <c r="O11" s="14" t="b">
        <v>0</v>
      </c>
      <c r="P11" s="14">
        <v>1</v>
      </c>
      <c r="Q11" s="14" t="s">
        <v>73</v>
      </c>
      <c r="R11" s="14">
        <v>999</v>
      </c>
      <c r="U11" s="14">
        <v>1000</v>
      </c>
      <c r="V11" s="14" t="str">
        <f>"|cff00FF00"&amp;C11&amp;"，打开后可以获得"&amp;U11&amp;"金币。"</f>
        <v>|cff00FF00一箱金币，打开后可以获得1000金币。</v>
      </c>
      <c r="W11" s="14" t="s">
        <v>75</v>
      </c>
      <c r="X11" s="14">
        <v>20001</v>
      </c>
      <c r="Y11" s="14" t="s">
        <v>76</v>
      </c>
      <c r="Z11" s="14">
        <v>40001</v>
      </c>
      <c r="AC11" s="14" t="s">
        <v>70</v>
      </c>
      <c r="AD11" s="14" t="s">
        <v>77</v>
      </c>
    </row>
    <row r="12" spans="1:32">
      <c r="B12" s="14">
        <f>30000000+INDEX(编号表!$B:$B,MATCH(G12,编号表!$A:$A,0))*10000+E12</f>
        <v>30010008</v>
      </c>
      <c r="C12" s="14" t="s">
        <v>86</v>
      </c>
      <c r="D12" s="14" t="s">
        <v>69</v>
      </c>
      <c r="E12" s="14">
        <v>8</v>
      </c>
      <c r="F12" s="14">
        <v>60</v>
      </c>
      <c r="G12" s="14" t="s">
        <v>70</v>
      </c>
      <c r="H12" s="14" t="s">
        <v>71</v>
      </c>
      <c r="I12" s="14" t="s">
        <v>72</v>
      </c>
      <c r="J12" s="14">
        <v>8</v>
      </c>
      <c r="K12" s="14" t="s">
        <v>70</v>
      </c>
      <c r="M12" s="14">
        <v>0</v>
      </c>
      <c r="N12" s="14" t="b">
        <v>0</v>
      </c>
      <c r="O12" t="b">
        <v>0</v>
      </c>
      <c r="P12" s="14">
        <v>1</v>
      </c>
      <c r="Q12" s="14" t="s">
        <v>73</v>
      </c>
      <c r="R12" s="14">
        <v>999</v>
      </c>
      <c r="U12" s="14">
        <v>100</v>
      </c>
      <c r="V12" s="14" t="str">
        <f>"|cff00FF00"&amp;C12&amp;"，打开后可以获得"&amp;U12&amp;"灵符。"</f>
        <v>|cff00FF00一箱灵符，打开后可以获得100灵符。</v>
      </c>
      <c r="W12" s="14" t="s">
        <v>75</v>
      </c>
      <c r="X12" s="14">
        <v>20001</v>
      </c>
      <c r="Y12" s="14" t="s">
        <v>79</v>
      </c>
      <c r="Z12" s="14">
        <v>40001</v>
      </c>
      <c r="AC12" s="14" t="s">
        <v>70</v>
      </c>
      <c r="AD12" s="14" t="s">
        <v>80</v>
      </c>
    </row>
    <row r="13" spans="1:32">
      <c r="B13" s="14">
        <f>30000000+INDEX(编号表!$B:$B,MATCH(G13,编号表!$A:$A,0))*10000+E13</f>
        <v>30010009</v>
      </c>
      <c r="C13" s="14" t="s">
        <v>87</v>
      </c>
      <c r="D13" s="14" t="s">
        <v>69</v>
      </c>
      <c r="E13" s="14">
        <v>9</v>
      </c>
      <c r="F13" s="14">
        <v>60</v>
      </c>
      <c r="G13" s="14" t="s">
        <v>70</v>
      </c>
      <c r="H13" s="14" t="s">
        <v>71</v>
      </c>
      <c r="I13" s="14" t="s">
        <v>72</v>
      </c>
      <c r="J13" s="14">
        <v>9</v>
      </c>
      <c r="K13" s="14" t="s">
        <v>70</v>
      </c>
      <c r="M13" s="14">
        <v>0</v>
      </c>
      <c r="N13" s="14" t="b">
        <v>0</v>
      </c>
      <c r="O13" s="14" t="b">
        <v>0</v>
      </c>
      <c r="P13" s="14">
        <v>1</v>
      </c>
      <c r="Q13" s="14" t="s">
        <v>73</v>
      </c>
      <c r="R13" s="14">
        <v>999</v>
      </c>
      <c r="U13" s="14">
        <v>5000</v>
      </c>
      <c r="V13" s="14" t="str">
        <f>"|cff00FF00"&amp;C13&amp;"，打开后可以获得"&amp;U13&amp;"金币。"</f>
        <v>|cff00FF00一大箱金币，打开后可以获得5000金币。</v>
      </c>
      <c r="W13" s="14" t="s">
        <v>75</v>
      </c>
      <c r="X13" s="14">
        <v>20001</v>
      </c>
      <c r="Y13" s="14" t="s">
        <v>76</v>
      </c>
      <c r="Z13" s="14">
        <v>40001</v>
      </c>
      <c r="AC13" s="14" t="s">
        <v>70</v>
      </c>
      <c r="AD13" s="14" t="s">
        <v>77</v>
      </c>
    </row>
    <row r="14" spans="1:32">
      <c r="B14" s="14">
        <f>30000000+INDEX(编号表!$B:$B,MATCH(G14,编号表!$A:$A,0))*10000+E14</f>
        <v>30010010</v>
      </c>
      <c r="C14" s="14" t="s">
        <v>88</v>
      </c>
      <c r="D14" s="14" t="s">
        <v>69</v>
      </c>
      <c r="E14" s="14">
        <v>10</v>
      </c>
      <c r="F14" s="14">
        <v>60</v>
      </c>
      <c r="G14" s="14" t="s">
        <v>70</v>
      </c>
      <c r="H14" s="14" t="s">
        <v>71</v>
      </c>
      <c r="I14" s="14" t="s">
        <v>72</v>
      </c>
      <c r="J14" s="14">
        <v>10</v>
      </c>
      <c r="K14" s="14" t="s">
        <v>70</v>
      </c>
      <c r="M14" s="14">
        <v>0</v>
      </c>
      <c r="N14" s="14" t="b">
        <v>0</v>
      </c>
      <c r="O14" t="b">
        <v>0</v>
      </c>
      <c r="P14" s="14">
        <v>1</v>
      </c>
      <c r="Q14" s="14" t="s">
        <v>73</v>
      </c>
      <c r="R14" s="14">
        <v>999</v>
      </c>
      <c r="U14" s="14">
        <v>500</v>
      </c>
      <c r="V14" s="14" t="str">
        <f>"|cff00FF00"&amp;C14&amp;"，打开后可以获得"&amp;U14&amp;"灵符。"</f>
        <v>|cff00FF00一大箱灵符，打开后可以获得500灵符。</v>
      </c>
      <c r="W14" s="14" t="s">
        <v>75</v>
      </c>
      <c r="X14" s="14">
        <v>20001</v>
      </c>
      <c r="Y14" s="14" t="s">
        <v>79</v>
      </c>
      <c r="Z14" s="14">
        <v>40001</v>
      </c>
      <c r="AC14" s="14" t="s">
        <v>70</v>
      </c>
      <c r="AD14" s="14" t="s">
        <v>80</v>
      </c>
    </row>
    <row r="15" spans="1:32">
      <c r="B15" s="14">
        <f>30000000+INDEX(编号表!$B:$B,MATCH(G15,编号表!$A:$A,0))*10000+E15</f>
        <v>30010011</v>
      </c>
      <c r="C15" s="14" t="s">
        <v>89</v>
      </c>
      <c r="D15" s="14" t="s">
        <v>69</v>
      </c>
      <c r="E15" s="14">
        <v>11</v>
      </c>
      <c r="F15" s="14">
        <v>60</v>
      </c>
      <c r="G15" s="14" t="s">
        <v>70</v>
      </c>
      <c r="H15" s="14" t="s">
        <v>71</v>
      </c>
      <c r="I15" s="14" t="s">
        <v>72</v>
      </c>
      <c r="J15" s="14">
        <v>11</v>
      </c>
      <c r="K15" s="14" t="s">
        <v>70</v>
      </c>
      <c r="M15" s="14">
        <v>0</v>
      </c>
      <c r="N15" s="14" t="b">
        <v>0</v>
      </c>
      <c r="O15" s="14" t="b">
        <v>0</v>
      </c>
      <c r="P15" s="14">
        <v>1</v>
      </c>
      <c r="Q15" s="14" t="s">
        <v>73</v>
      </c>
      <c r="R15" s="14">
        <v>999</v>
      </c>
      <c r="U15" s="14">
        <v>10000</v>
      </c>
      <c r="V15" s="14" t="str">
        <f>"|cff00FF00"&amp;C15&amp;"，打开后可以获得"&amp;U15&amp;"金币。"</f>
        <v>|cff00FF00一车金币，打开后可以获得10000金币。</v>
      </c>
      <c r="W15" s="14" t="s">
        <v>75</v>
      </c>
      <c r="X15" s="14">
        <v>20001</v>
      </c>
      <c r="Y15" s="14" t="s">
        <v>76</v>
      </c>
      <c r="Z15" s="14">
        <v>40001</v>
      </c>
      <c r="AC15" s="14" t="s">
        <v>70</v>
      </c>
      <c r="AD15" s="14" t="s">
        <v>77</v>
      </c>
    </row>
    <row r="16" spans="1:32">
      <c r="B16" s="14">
        <f>30000000+INDEX(编号表!$B:$B,MATCH(G16,编号表!$A:$A,0))*10000+E16</f>
        <v>30010012</v>
      </c>
      <c r="C16" s="14" t="s">
        <v>90</v>
      </c>
      <c r="D16" s="14" t="s">
        <v>69</v>
      </c>
      <c r="E16" s="14">
        <v>12</v>
      </c>
      <c r="F16" s="14">
        <v>60</v>
      </c>
      <c r="G16" s="14" t="s">
        <v>70</v>
      </c>
      <c r="H16" s="14" t="s">
        <v>71</v>
      </c>
      <c r="I16" s="14" t="s">
        <v>72</v>
      </c>
      <c r="J16" s="14">
        <v>12</v>
      </c>
      <c r="K16" s="14" t="s">
        <v>70</v>
      </c>
      <c r="M16" s="14">
        <v>0</v>
      </c>
      <c r="N16" s="14" t="b">
        <v>0</v>
      </c>
      <c r="O16" t="b">
        <v>0</v>
      </c>
      <c r="P16" s="14">
        <v>1</v>
      </c>
      <c r="Q16" s="14" t="s">
        <v>73</v>
      </c>
      <c r="R16" s="14">
        <v>999</v>
      </c>
      <c r="U16" s="14">
        <v>100</v>
      </c>
      <c r="V16" s="14" t="str">
        <f>"|cff00FF00"&amp;C16&amp;"，打开后可以获得"&amp;U16&amp;"灵符。"</f>
        <v>|cff00FF00一车灵符，打开后可以获得100灵符。</v>
      </c>
      <c r="W16" s="14" t="s">
        <v>75</v>
      </c>
      <c r="X16" s="14">
        <v>20001</v>
      </c>
      <c r="Y16" s="14" t="s">
        <v>79</v>
      </c>
      <c r="Z16" s="14">
        <v>40001</v>
      </c>
      <c r="AC16" s="14" t="s">
        <v>70</v>
      </c>
      <c r="AD16" s="14" t="s">
        <v>80</v>
      </c>
    </row>
    <row r="17" spans="2:30">
      <c r="B17" s="14">
        <f>30000000+INDEX(编号表!$B:$B,MATCH(G17,编号表!$A:$A,0))*10000+E17</f>
        <v>30010013</v>
      </c>
      <c r="C17" s="14" t="s">
        <v>91</v>
      </c>
      <c r="D17" s="14" t="s">
        <v>69</v>
      </c>
      <c r="E17" s="14">
        <v>13</v>
      </c>
      <c r="F17" s="14">
        <v>60</v>
      </c>
      <c r="G17" s="14" t="s">
        <v>70</v>
      </c>
      <c r="H17" s="14" t="s">
        <v>71</v>
      </c>
      <c r="I17" s="14" t="s">
        <v>72</v>
      </c>
      <c r="J17" s="14">
        <v>13</v>
      </c>
      <c r="K17" s="14" t="s">
        <v>70</v>
      </c>
      <c r="M17" s="14">
        <v>0</v>
      </c>
      <c r="N17" s="14" t="b">
        <v>0</v>
      </c>
      <c r="O17" s="14" t="b">
        <v>0</v>
      </c>
      <c r="P17" s="14">
        <v>1</v>
      </c>
      <c r="Q17" s="14" t="s">
        <v>73</v>
      </c>
      <c r="R17" s="14">
        <v>999</v>
      </c>
      <c r="U17" s="14">
        <v>50000</v>
      </c>
      <c r="V17" s="14" t="str">
        <f>"|cff00FF00"&amp;C17&amp;"，打开后可以获得"&amp;U17&amp;"金币。"</f>
        <v>|cff00FF00一卡车金币，打开后可以获得50000金币。</v>
      </c>
      <c r="W17" s="14" t="s">
        <v>75</v>
      </c>
      <c r="X17" s="14">
        <v>20001</v>
      </c>
      <c r="Y17" s="14" t="s">
        <v>76</v>
      </c>
      <c r="Z17" s="14">
        <v>40001</v>
      </c>
      <c r="AC17" s="14" t="s">
        <v>70</v>
      </c>
      <c r="AD17" s="14" t="s">
        <v>77</v>
      </c>
    </row>
    <row r="18" spans="2:30">
      <c r="B18" s="14">
        <f>30000000+INDEX(编号表!$B:$B,MATCH(G18,编号表!$A:$A,0))*10000+E18</f>
        <v>30010014</v>
      </c>
      <c r="C18" s="14" t="s">
        <v>92</v>
      </c>
      <c r="D18" s="14" t="s">
        <v>69</v>
      </c>
      <c r="E18" s="14">
        <v>14</v>
      </c>
      <c r="F18" s="14">
        <v>60</v>
      </c>
      <c r="G18" s="14" t="s">
        <v>70</v>
      </c>
      <c r="H18" s="14" t="s">
        <v>71</v>
      </c>
      <c r="I18" s="14" t="s">
        <v>72</v>
      </c>
      <c r="J18" s="14">
        <v>14</v>
      </c>
      <c r="K18" s="14" t="s">
        <v>70</v>
      </c>
      <c r="M18" s="14">
        <v>0</v>
      </c>
      <c r="N18" s="14" t="b">
        <v>0</v>
      </c>
      <c r="O18" t="b">
        <v>0</v>
      </c>
      <c r="P18" s="14">
        <v>1</v>
      </c>
      <c r="Q18" s="14" t="s">
        <v>73</v>
      </c>
      <c r="R18" s="14">
        <v>999</v>
      </c>
      <c r="U18" s="14">
        <v>500</v>
      </c>
      <c r="V18" s="14" t="str">
        <f>"|cff00FF00"&amp;C18&amp;"，打开后可以获得"&amp;U18&amp;"灵符。"</f>
        <v>|cff00FF00一卡车灵符，打开后可以获得500灵符。</v>
      </c>
      <c r="W18" s="14" t="s">
        <v>75</v>
      </c>
      <c r="X18" s="14">
        <v>20001</v>
      </c>
      <c r="Y18" s="14" t="s">
        <v>79</v>
      </c>
      <c r="Z18" s="14">
        <v>40001</v>
      </c>
      <c r="AC18" s="14" t="s">
        <v>70</v>
      </c>
      <c r="AD18" s="14" t="s">
        <v>80</v>
      </c>
    </row>
    <row r="19" ht="16.5" customHeight="1" spans="2:30">
      <c r="B19" s="14">
        <f>30000000+INDEX(编号表!$B:$B,MATCH(G19,编号表!$A:$A,0))*10000+E19</f>
        <v>30010015</v>
      </c>
      <c r="C19" s="14" t="s">
        <v>93</v>
      </c>
      <c r="D19" s="14" t="s">
        <v>94</v>
      </c>
      <c r="E19" s="14">
        <v>15</v>
      </c>
      <c r="F19" s="14">
        <v>60</v>
      </c>
      <c r="G19" s="14" t="s">
        <v>70</v>
      </c>
      <c r="H19" s="14" t="s">
        <v>71</v>
      </c>
      <c r="I19" s="14" t="s">
        <v>72</v>
      </c>
      <c r="J19" s="14">
        <v>15</v>
      </c>
      <c r="K19" s="14" t="s">
        <v>70</v>
      </c>
      <c r="M19" s="14">
        <v>0</v>
      </c>
      <c r="N19" s="14" t="b">
        <v>0</v>
      </c>
      <c r="O19" s="14" t="b">
        <v>0</v>
      </c>
      <c r="P19" s="14">
        <v>1</v>
      </c>
      <c r="Q19" s="14" t="s">
        <v>73</v>
      </c>
      <c r="R19" s="14">
        <v>999</v>
      </c>
      <c r="S19" s="14" t="s">
        <v>95</v>
      </c>
      <c r="T19" s="14">
        <v>50001</v>
      </c>
      <c r="U19" s="14">
        <v>0</v>
      </c>
      <c r="V19" s="14" t="str">
        <f>"|cff00FF00"&amp;C19&amp;"，打开后可以获得"&amp;U19&amp;"活跃点。"</f>
        <v>|cff00FF00活跃丹，打开后可以获得1000活跃点。</v>
      </c>
      <c r="W19" s="14" t="s">
        <v>96</v>
      </c>
      <c r="X19" s="14">
        <v>20001</v>
      </c>
      <c r="Y19" s="14" t="s">
        <v>79</v>
      </c>
      <c r="Z19" s="14">
        <v>40001</v>
      </c>
      <c r="AC19" s="14" t="s">
        <v>70</v>
      </c>
      <c r="AD19" s="14" t="s">
        <v>97</v>
      </c>
    </row>
    <row r="20" ht="16.5" customHeight="1" spans="2:30">
      <c r="B20" s="14">
        <f>30000000+INDEX(编号表!$B:$B,MATCH(G20,编号表!$A:$A,0))*10000+E20</f>
        <v>30010016</v>
      </c>
      <c r="C20" s="14" t="s">
        <v>98</v>
      </c>
      <c r="D20" s="14" t="s">
        <v>94</v>
      </c>
      <c r="E20" s="14">
        <v>16</v>
      </c>
      <c r="F20" s="14">
        <v>60</v>
      </c>
      <c r="G20" s="14" t="s">
        <v>70</v>
      </c>
      <c r="H20" s="14" t="s">
        <v>71</v>
      </c>
      <c r="I20" s="14" t="s">
        <v>72</v>
      </c>
      <c r="J20" s="14">
        <v>16</v>
      </c>
      <c r="K20" s="14" t="s">
        <v>70</v>
      </c>
      <c r="M20" s="14">
        <v>0</v>
      </c>
      <c r="N20" s="14" t="b">
        <v>0</v>
      </c>
      <c r="O20" t="b">
        <v>0</v>
      </c>
      <c r="P20" s="14">
        <v>1</v>
      </c>
      <c r="Q20" s="14" t="s">
        <v>73</v>
      </c>
      <c r="R20" s="14">
        <v>999</v>
      </c>
      <c r="S20" s="14" t="s">
        <v>95</v>
      </c>
      <c r="T20" s="14">
        <v>50002</v>
      </c>
      <c r="U20" s="14">
        <v>0</v>
      </c>
      <c r="V20" s="14" t="str">
        <f>"|cff00FF00"&amp;C20&amp;"，打开后可以获得"&amp;U20&amp;"声望点。"</f>
        <v>|cff00FF00声望丹，打开后可以获得1000声望点。</v>
      </c>
      <c r="W20" s="14" t="s">
        <v>96</v>
      </c>
      <c r="X20" s="14">
        <v>20001</v>
      </c>
      <c r="Y20" s="14" t="s">
        <v>79</v>
      </c>
      <c r="Z20" s="14">
        <v>40001</v>
      </c>
      <c r="AC20" s="14" t="s">
        <v>70</v>
      </c>
      <c r="AD20" s="14" t="s">
        <v>99</v>
      </c>
    </row>
    <row r="21" ht="16.5" customHeight="1" spans="2:30">
      <c r="B21" s="14">
        <f>30000000+INDEX(编号表!$B:$B,MATCH(G21,编号表!$A:$A,0))*10000+E21</f>
        <v>30010017</v>
      </c>
      <c r="C21" s="14" t="s">
        <v>98</v>
      </c>
      <c r="D21" s="14" t="s">
        <v>94</v>
      </c>
      <c r="E21" s="14">
        <v>17</v>
      </c>
      <c r="F21" s="14">
        <v>60</v>
      </c>
      <c r="G21" s="14" t="s">
        <v>70</v>
      </c>
      <c r="H21" s="14" t="s">
        <v>71</v>
      </c>
      <c r="I21" s="14" t="s">
        <v>72</v>
      </c>
      <c r="J21" s="14">
        <v>17</v>
      </c>
      <c r="K21" s="14" t="s">
        <v>70</v>
      </c>
      <c r="M21" s="14">
        <v>0</v>
      </c>
      <c r="N21" s="14" t="b">
        <v>0</v>
      </c>
      <c r="O21" t="b">
        <v>0</v>
      </c>
      <c r="P21" s="14">
        <v>1</v>
      </c>
      <c r="Q21" s="14" t="s">
        <v>73</v>
      </c>
      <c r="R21" s="14">
        <v>999</v>
      </c>
      <c r="S21" s="14" t="s">
        <v>95</v>
      </c>
      <c r="T21" s="14">
        <v>50002</v>
      </c>
      <c r="U21" s="14">
        <v>0</v>
      </c>
      <c r="V21" s="14" t="str">
        <f>"|cff00FF00"&amp;C21&amp;"，打开后可以获得"&amp;U21&amp;"声望点。"</f>
        <v>|cff00FF00声望丹，打开后可以获得0声望点。</v>
      </c>
      <c r="W21" s="14" t="s">
        <v>96</v>
      </c>
      <c r="X21" s="14">
        <v>20001</v>
      </c>
      <c r="Y21" s="14" t="s">
        <v>79</v>
      </c>
      <c r="Z21" s="14">
        <v>40001</v>
      </c>
      <c r="AC21" s="14" t="s">
        <v>70</v>
      </c>
      <c r="AD21" s="14" t="s">
        <v>99</v>
      </c>
    </row>
    <row r="22" ht="16.5" customHeight="1" spans="2:30">
      <c r="B22" s="14">
        <f>30000000+INDEX(编号表!$B:$B,MATCH(G22,编号表!$A:$A,0))*10000+E22</f>
        <v>30020001</v>
      </c>
      <c r="C22" s="14" t="s">
        <v>100</v>
      </c>
      <c r="D22" s="14" t="s">
        <v>101</v>
      </c>
      <c r="E22" s="14">
        <v>1</v>
      </c>
      <c r="F22" s="14">
        <v>60</v>
      </c>
      <c r="G22" s="14" t="s">
        <v>102</v>
      </c>
      <c r="H22" s="14" t="s">
        <v>71</v>
      </c>
      <c r="I22" s="14" t="s">
        <v>103</v>
      </c>
      <c r="J22" s="14">
        <v>1</v>
      </c>
      <c r="K22" s="14" t="s">
        <v>104</v>
      </c>
      <c r="M22" s="14">
        <v>0</v>
      </c>
      <c r="N22" s="14" t="b">
        <v>1</v>
      </c>
      <c r="O22" s="14" t="b">
        <v>0</v>
      </c>
      <c r="P22" s="14">
        <v>7</v>
      </c>
      <c r="Q22" s="14" t="s">
        <v>105</v>
      </c>
      <c r="R22" s="14">
        <v>999</v>
      </c>
      <c r="S22" s="14" t="s">
        <v>106</v>
      </c>
      <c r="T22" s="14">
        <v>10010001</v>
      </c>
      <c r="V22" s="14" t="str">
        <f t="shared" ref="V22:V42" si="0">"|cff00FF00达到"&amp;P22&amp;"级后可以学习技能"&amp;C22&amp;"，也可以在当前技能经验满后对该技能进行升级。"</f>
        <v>|cff00FF00达到7级后可以学习技能基础剑术，也可以在当前技能经验满后对该技能进行升级。</v>
      </c>
      <c r="W22" s="14" t="s">
        <v>107</v>
      </c>
      <c r="X22" s="14">
        <v>20001</v>
      </c>
      <c r="Y22" s="28" t="s">
        <v>108</v>
      </c>
      <c r="Z22" s="14">
        <v>40001</v>
      </c>
      <c r="AC22" s="29" t="s">
        <v>109</v>
      </c>
      <c r="AD22" s="30" t="s">
        <v>110</v>
      </c>
    </row>
    <row r="23" ht="16.5" customHeight="1" spans="2:30">
      <c r="B23" s="14">
        <f>30000000+INDEX(编号表!$B:$B,MATCH(G23,编号表!$A:$A,0))*10000+E23</f>
        <v>30020002</v>
      </c>
      <c r="C23" s="14" t="s">
        <v>111</v>
      </c>
      <c r="D23" s="14" t="s">
        <v>101</v>
      </c>
      <c r="E23" s="14">
        <v>2</v>
      </c>
      <c r="F23" s="14">
        <v>60</v>
      </c>
      <c r="G23" s="14" t="s">
        <v>102</v>
      </c>
      <c r="H23" s="14" t="s">
        <v>71</v>
      </c>
      <c r="I23" s="14" t="s">
        <v>103</v>
      </c>
      <c r="J23" s="14">
        <v>1</v>
      </c>
      <c r="K23" s="14" t="s">
        <v>104</v>
      </c>
      <c r="M23" s="14">
        <v>0</v>
      </c>
      <c r="N23" s="14" t="b">
        <v>1</v>
      </c>
      <c r="O23" t="b">
        <v>0</v>
      </c>
      <c r="P23" s="14">
        <v>19</v>
      </c>
      <c r="Q23" s="14" t="s">
        <v>105</v>
      </c>
      <c r="R23" s="14">
        <v>999</v>
      </c>
      <c r="S23" s="14" t="s">
        <v>106</v>
      </c>
      <c r="T23" s="14">
        <v>10010005</v>
      </c>
      <c r="V23" s="14" t="str">
        <f t="shared" si="0"/>
        <v>|cff00FF00达到19级后可以学习技能奔雷术，也可以在当前技能经验满后对该技能进行升级。</v>
      </c>
      <c r="W23" s="14" t="s">
        <v>107</v>
      </c>
      <c r="X23" s="14">
        <v>20001</v>
      </c>
      <c r="Y23" s="28" t="s">
        <v>108</v>
      </c>
      <c r="Z23" s="14">
        <v>40001</v>
      </c>
      <c r="AC23" s="29" t="s">
        <v>109</v>
      </c>
      <c r="AD23" s="30" t="s">
        <v>110</v>
      </c>
    </row>
    <row r="24" ht="16.5" customHeight="1" spans="2:30">
      <c r="B24" s="14">
        <f>30000000+INDEX(编号表!$B:$B,MATCH(G24,编号表!$A:$A,0))*10000+E24</f>
        <v>30020003</v>
      </c>
      <c r="C24" s="14" t="s">
        <v>112</v>
      </c>
      <c r="D24" s="14" t="s">
        <v>101</v>
      </c>
      <c r="E24" s="14">
        <v>3</v>
      </c>
      <c r="F24" s="14">
        <v>60</v>
      </c>
      <c r="G24" s="14" t="s">
        <v>102</v>
      </c>
      <c r="H24" s="14" t="s">
        <v>71</v>
      </c>
      <c r="I24" s="14" t="s">
        <v>103</v>
      </c>
      <c r="J24" s="14">
        <v>1</v>
      </c>
      <c r="K24" s="14" t="s">
        <v>104</v>
      </c>
      <c r="M24" s="14">
        <v>0</v>
      </c>
      <c r="N24" s="14" t="b">
        <v>1</v>
      </c>
      <c r="O24" s="14" t="b">
        <v>0</v>
      </c>
      <c r="P24" s="14">
        <v>25</v>
      </c>
      <c r="Q24" s="14" t="s">
        <v>105</v>
      </c>
      <c r="R24" s="14">
        <v>999</v>
      </c>
      <c r="S24" s="14" t="s">
        <v>106</v>
      </c>
      <c r="T24" s="14">
        <v>10010006</v>
      </c>
      <c r="V24" s="14" t="str">
        <f t="shared" si="0"/>
        <v>|cff00FF00达到25级后可以学习技能烈火斩，也可以在当前技能经验满后对该技能进行升级。</v>
      </c>
      <c r="W24" s="14" t="s">
        <v>113</v>
      </c>
      <c r="X24" s="14">
        <v>20001</v>
      </c>
      <c r="Y24" s="28" t="s">
        <v>108</v>
      </c>
      <c r="Z24" s="14">
        <v>40001</v>
      </c>
      <c r="AC24" s="29" t="s">
        <v>109</v>
      </c>
      <c r="AD24" s="30" t="s">
        <v>110</v>
      </c>
    </row>
    <row r="25" ht="16.5" customHeight="1" spans="2:30">
      <c r="B25" s="14">
        <f>30000000+INDEX(编号表!$B:$B,MATCH(G25,编号表!$A:$A,0))*10000+E25</f>
        <v>30020004</v>
      </c>
      <c r="C25" s="14" t="s">
        <v>114</v>
      </c>
      <c r="D25" s="14" t="s">
        <v>101</v>
      </c>
      <c r="E25" s="14">
        <v>4</v>
      </c>
      <c r="F25" s="14">
        <v>60</v>
      </c>
      <c r="G25" s="14" t="s">
        <v>102</v>
      </c>
      <c r="H25" s="14" t="s">
        <v>71</v>
      </c>
      <c r="I25" s="14" t="s">
        <v>103</v>
      </c>
      <c r="J25" s="14">
        <v>1</v>
      </c>
      <c r="K25" s="14" t="s">
        <v>104</v>
      </c>
      <c r="M25" s="14">
        <v>0</v>
      </c>
      <c r="N25" s="14" t="b">
        <v>1</v>
      </c>
      <c r="O25" t="b">
        <v>0</v>
      </c>
      <c r="P25" s="14">
        <v>28</v>
      </c>
      <c r="Q25" s="14" t="s">
        <v>105</v>
      </c>
      <c r="R25" s="14">
        <v>999</v>
      </c>
      <c r="S25" s="14" t="s">
        <v>106</v>
      </c>
      <c r="T25" s="14">
        <v>10010004</v>
      </c>
      <c r="V25" s="14" t="str">
        <f t="shared" si="0"/>
        <v>|cff00FF00达到28级后可以学习技能圆月弯刀，也可以在当前技能经验满后对该技能进行升级。</v>
      </c>
      <c r="W25" s="14" t="s">
        <v>113</v>
      </c>
      <c r="X25" s="14">
        <v>20001</v>
      </c>
      <c r="Y25" s="28" t="s">
        <v>108</v>
      </c>
      <c r="Z25" s="14">
        <v>40001</v>
      </c>
      <c r="AC25" s="29" t="s">
        <v>109</v>
      </c>
      <c r="AD25" s="30" t="s">
        <v>110</v>
      </c>
    </row>
    <row r="26" ht="16.5" customHeight="1" spans="2:30">
      <c r="B26" s="14">
        <f>30000000+INDEX(编号表!$B:$B,MATCH(G26,编号表!$A:$A,0))*10000+E26</f>
        <v>30020005</v>
      </c>
      <c r="C26" s="14" t="s">
        <v>115</v>
      </c>
      <c r="D26" s="14" t="s">
        <v>101</v>
      </c>
      <c r="E26" s="14">
        <v>5</v>
      </c>
      <c r="F26" s="14">
        <v>60</v>
      </c>
      <c r="G26" s="14" t="s">
        <v>102</v>
      </c>
      <c r="H26" s="14" t="s">
        <v>71</v>
      </c>
      <c r="I26" s="14" t="s">
        <v>103</v>
      </c>
      <c r="J26" s="14">
        <v>1</v>
      </c>
      <c r="K26" s="14" t="s">
        <v>104</v>
      </c>
      <c r="M26" s="14">
        <v>0</v>
      </c>
      <c r="N26" s="14" t="b">
        <v>1</v>
      </c>
      <c r="O26" s="14" t="b">
        <v>0</v>
      </c>
      <c r="P26" s="14">
        <v>30</v>
      </c>
      <c r="Q26" s="14" t="s">
        <v>105</v>
      </c>
      <c r="R26" s="14">
        <v>999</v>
      </c>
      <c r="S26" s="14" t="s">
        <v>106</v>
      </c>
      <c r="T26" s="14">
        <v>10010007</v>
      </c>
      <c r="V26" s="14" t="str">
        <f t="shared" si="0"/>
        <v>|cff00FF00达到30级后可以学习技能万剑归元阵，也可以在当前技能经验满后对该技能进行升级。</v>
      </c>
      <c r="W26" s="14" t="s">
        <v>116</v>
      </c>
      <c r="X26" s="14">
        <v>20001</v>
      </c>
      <c r="Y26" s="28" t="s">
        <v>108</v>
      </c>
      <c r="Z26" s="14">
        <v>40001</v>
      </c>
      <c r="AC26" s="29" t="s">
        <v>109</v>
      </c>
      <c r="AD26" s="30" t="s">
        <v>110</v>
      </c>
    </row>
    <row r="27" ht="16.5" customHeight="1" spans="2:30">
      <c r="B27" s="14">
        <f>30000000+INDEX(编号表!$B:$B,MATCH(G27,编号表!$A:$A,0))*10000+E27</f>
        <v>30020006</v>
      </c>
      <c r="C27" s="14" t="s">
        <v>117</v>
      </c>
      <c r="D27" s="14" t="s">
        <v>101</v>
      </c>
      <c r="E27" s="14">
        <v>6</v>
      </c>
      <c r="F27" s="14">
        <v>60</v>
      </c>
      <c r="G27" s="14" t="s">
        <v>102</v>
      </c>
      <c r="H27" s="14" t="s">
        <v>71</v>
      </c>
      <c r="I27" s="14" t="s">
        <v>103</v>
      </c>
      <c r="J27" s="14">
        <v>1</v>
      </c>
      <c r="K27" s="14" t="s">
        <v>104</v>
      </c>
      <c r="M27" s="14">
        <v>0</v>
      </c>
      <c r="N27" s="14" t="b">
        <v>1</v>
      </c>
      <c r="O27" t="b">
        <v>0</v>
      </c>
      <c r="P27" s="14">
        <v>35</v>
      </c>
      <c r="Q27" s="14" t="s">
        <v>105</v>
      </c>
      <c r="R27" s="14">
        <v>999</v>
      </c>
      <c r="S27" s="14" t="s">
        <v>106</v>
      </c>
      <c r="T27" s="14">
        <v>10010008</v>
      </c>
      <c r="V27" s="14" t="str">
        <f t="shared" si="0"/>
        <v>|cff00FF00达到35级后可以学习技能四曜守元，也可以在当前技能经验满后对该技能进行升级。</v>
      </c>
      <c r="W27" s="14" t="s">
        <v>116</v>
      </c>
      <c r="X27" s="14">
        <v>20001</v>
      </c>
      <c r="Y27" s="28" t="s">
        <v>108</v>
      </c>
      <c r="Z27" s="14">
        <v>40001</v>
      </c>
      <c r="AC27" s="29" t="s">
        <v>109</v>
      </c>
      <c r="AD27" s="30" t="s">
        <v>110</v>
      </c>
    </row>
    <row r="28" ht="16.5" customHeight="1" spans="2:30">
      <c r="B28" s="14">
        <f>30000000+INDEX(编号表!$B:$B,MATCH(G28,编号表!$A:$A,0))*10000+E28</f>
        <v>30020031</v>
      </c>
      <c r="C28" s="14" t="s">
        <v>118</v>
      </c>
      <c r="D28" s="14" t="s">
        <v>101</v>
      </c>
      <c r="E28" s="14">
        <v>31</v>
      </c>
      <c r="F28" s="14">
        <v>60</v>
      </c>
      <c r="G28" s="14" t="s">
        <v>102</v>
      </c>
      <c r="H28" s="14" t="s">
        <v>71</v>
      </c>
      <c r="I28" s="14" t="s">
        <v>103</v>
      </c>
      <c r="J28" s="14">
        <v>1</v>
      </c>
      <c r="K28" s="14" t="s">
        <v>104</v>
      </c>
      <c r="M28" s="14">
        <v>0</v>
      </c>
      <c r="N28" s="14" t="b">
        <v>1</v>
      </c>
      <c r="O28" s="14" t="b">
        <v>0</v>
      </c>
      <c r="P28" s="14">
        <v>7</v>
      </c>
      <c r="Q28" s="14" t="s">
        <v>119</v>
      </c>
      <c r="R28" s="14">
        <v>999</v>
      </c>
      <c r="S28" s="14" t="s">
        <v>106</v>
      </c>
      <c r="T28" s="14">
        <v>10010002</v>
      </c>
      <c r="V28" s="14" t="str">
        <f t="shared" si="0"/>
        <v>|cff00FF00达到7级后可以学习技能火球术，也可以在当前技能经验满后对该技能进行升级。</v>
      </c>
      <c r="W28" s="14" t="s">
        <v>107</v>
      </c>
      <c r="X28" s="14">
        <v>20001</v>
      </c>
      <c r="Y28" s="28" t="s">
        <v>108</v>
      </c>
      <c r="Z28" s="14">
        <v>40001</v>
      </c>
      <c r="AC28" s="29" t="s">
        <v>109</v>
      </c>
      <c r="AD28" s="30" t="s">
        <v>120</v>
      </c>
    </row>
    <row r="29" ht="16.5" customHeight="1" spans="2:30">
      <c r="B29" s="14">
        <f>30000000+INDEX(编号表!$B:$B,MATCH(G29,编号表!$A:$A,0))*10000+E29</f>
        <v>30020032</v>
      </c>
      <c r="C29" s="14" t="s">
        <v>121</v>
      </c>
      <c r="D29" s="14" t="s">
        <v>101</v>
      </c>
      <c r="E29" s="14">
        <v>32</v>
      </c>
      <c r="F29" s="14">
        <v>60</v>
      </c>
      <c r="G29" s="14" t="s">
        <v>102</v>
      </c>
      <c r="H29" s="14" t="s">
        <v>71</v>
      </c>
      <c r="I29" s="14" t="s">
        <v>103</v>
      </c>
      <c r="J29" s="14">
        <v>1</v>
      </c>
      <c r="K29" s="14" t="s">
        <v>104</v>
      </c>
      <c r="M29" s="14">
        <v>0</v>
      </c>
      <c r="N29" s="14" t="b">
        <v>1</v>
      </c>
      <c r="O29" t="b">
        <v>0</v>
      </c>
      <c r="P29" s="14">
        <v>12</v>
      </c>
      <c r="Q29" s="14" t="s">
        <v>119</v>
      </c>
      <c r="R29" s="14">
        <v>999</v>
      </c>
      <c r="S29" s="14" t="s">
        <v>106</v>
      </c>
      <c r="T29" s="14">
        <v>10010009</v>
      </c>
      <c r="V29" s="14" t="str">
        <f t="shared" si="0"/>
        <v>|cff00FF00达到12级后可以学习技能焚天环剑诀，也可以在当前技能经验满后对该技能进行升级。</v>
      </c>
      <c r="W29" s="14" t="s">
        <v>107</v>
      </c>
      <c r="X29" s="14">
        <v>20001</v>
      </c>
      <c r="Y29" s="28" t="s">
        <v>108</v>
      </c>
      <c r="Z29" s="14">
        <v>40001</v>
      </c>
      <c r="AC29" s="29" t="s">
        <v>109</v>
      </c>
      <c r="AD29" s="30" t="s">
        <v>120</v>
      </c>
    </row>
    <row r="30" ht="16.5" customHeight="1" spans="2:30">
      <c r="B30" s="14">
        <f>30000000+INDEX(编号表!$B:$B,MATCH(G30,编号表!$A:$A,0))*10000+E30</f>
        <v>30020033</v>
      </c>
      <c r="C30" s="14" t="s">
        <v>122</v>
      </c>
      <c r="D30" s="14" t="s">
        <v>101</v>
      </c>
      <c r="E30" s="14">
        <v>33</v>
      </c>
      <c r="F30" s="14">
        <v>60</v>
      </c>
      <c r="G30" s="14" t="s">
        <v>102</v>
      </c>
      <c r="H30" s="14" t="s">
        <v>71</v>
      </c>
      <c r="I30" s="14" t="s">
        <v>103</v>
      </c>
      <c r="J30" s="14">
        <v>1</v>
      </c>
      <c r="K30" s="14" t="s">
        <v>104</v>
      </c>
      <c r="M30" s="14">
        <v>0</v>
      </c>
      <c r="N30" s="14" t="b">
        <v>1</v>
      </c>
      <c r="P30" s="14">
        <v>17</v>
      </c>
      <c r="Q30" s="14" t="s">
        <v>119</v>
      </c>
      <c r="R30" s="14">
        <v>999</v>
      </c>
      <c r="S30" s="14" t="s">
        <v>106</v>
      </c>
      <c r="T30" s="14">
        <v>10010003</v>
      </c>
      <c r="V30" s="14" t="str">
        <f t="shared" si="0"/>
        <v>|cff00FF00达到17级后可以学习技能雷电术，也可以在当前技能经验满后对该技能进行升级。</v>
      </c>
      <c r="W30" s="14" t="s">
        <v>113</v>
      </c>
      <c r="X30" s="14">
        <v>20001</v>
      </c>
      <c r="Y30" s="28" t="s">
        <v>123</v>
      </c>
      <c r="Z30" s="14">
        <v>40001</v>
      </c>
      <c r="AC30" s="29" t="s">
        <v>109</v>
      </c>
      <c r="AD30" s="30" t="s">
        <v>120</v>
      </c>
    </row>
    <row r="31" ht="16.5" customHeight="1" spans="2:30">
      <c r="B31" s="14">
        <f>30000000+INDEX(编号表!$B:$B,MATCH(G31,编号表!$A:$A,0))*10000+E31</f>
        <v>30020034</v>
      </c>
      <c r="C31" s="14" t="s">
        <v>124</v>
      </c>
      <c r="D31" s="14" t="s">
        <v>101</v>
      </c>
      <c r="E31" s="14">
        <v>34</v>
      </c>
      <c r="F31" s="14">
        <v>60</v>
      </c>
      <c r="G31" s="14" t="s">
        <v>102</v>
      </c>
      <c r="H31" s="14" t="s">
        <v>71</v>
      </c>
      <c r="I31" s="14" t="s">
        <v>103</v>
      </c>
      <c r="J31" s="14">
        <v>1</v>
      </c>
      <c r="K31" s="14" t="s">
        <v>104</v>
      </c>
      <c r="M31" s="14">
        <v>0</v>
      </c>
      <c r="N31" s="14" t="b">
        <v>1</v>
      </c>
      <c r="P31" s="14">
        <v>22</v>
      </c>
      <c r="Q31" s="14" t="s">
        <v>119</v>
      </c>
      <c r="R31" s="14">
        <v>999</v>
      </c>
      <c r="S31" s="14" t="s">
        <v>106</v>
      </c>
      <c r="T31" s="14">
        <v>10340001</v>
      </c>
      <c r="V31" s="14" t="str">
        <f t="shared" si="0"/>
        <v>|cff00FF00达到22级后可以学习技能火墙，也可以在当前技能经验满后对该技能进行升级。</v>
      </c>
      <c r="W31" s="14" t="s">
        <v>113</v>
      </c>
      <c r="X31" s="14">
        <v>20001</v>
      </c>
      <c r="Y31" s="28" t="s">
        <v>123</v>
      </c>
      <c r="Z31" s="14">
        <v>40001</v>
      </c>
      <c r="AC31" s="29" t="s">
        <v>109</v>
      </c>
      <c r="AD31" s="30" t="s">
        <v>120</v>
      </c>
    </row>
    <row r="32" ht="16.5" customHeight="1" spans="2:30">
      <c r="B32" s="14">
        <f>30000000+INDEX(编号表!$B:$B,MATCH(G32,编号表!$A:$A,0))*10000+E32</f>
        <v>30020035</v>
      </c>
      <c r="C32" s="14" t="s">
        <v>125</v>
      </c>
      <c r="D32" s="14" t="s">
        <v>101</v>
      </c>
      <c r="E32" s="14">
        <v>35</v>
      </c>
      <c r="F32" s="14">
        <v>60</v>
      </c>
      <c r="G32" s="14" t="s">
        <v>102</v>
      </c>
      <c r="H32" s="14" t="s">
        <v>71</v>
      </c>
      <c r="I32" s="14" t="s">
        <v>103</v>
      </c>
      <c r="J32" s="14">
        <v>1</v>
      </c>
      <c r="K32" s="14" t="s">
        <v>104</v>
      </c>
      <c r="M32" s="14">
        <v>0</v>
      </c>
      <c r="N32" s="14" t="b">
        <v>1</v>
      </c>
      <c r="P32" s="14">
        <v>26</v>
      </c>
      <c r="Q32" s="14" t="s">
        <v>119</v>
      </c>
      <c r="R32" s="14">
        <v>999</v>
      </c>
      <c r="S32" s="14" t="s">
        <v>106</v>
      </c>
      <c r="T32" s="14">
        <v>10350001</v>
      </c>
      <c r="V32" s="14" t="str">
        <f t="shared" si="0"/>
        <v>|cff00FF00达到26级后可以学习技能疾光电影，也可以在当前技能经验满后对该技能进行升级。</v>
      </c>
      <c r="W32" s="14" t="s">
        <v>116</v>
      </c>
      <c r="X32" s="14">
        <v>20001</v>
      </c>
      <c r="Y32" s="28" t="s">
        <v>123</v>
      </c>
      <c r="Z32" s="14">
        <v>40001</v>
      </c>
      <c r="AC32" s="29" t="s">
        <v>109</v>
      </c>
      <c r="AD32" s="30" t="s">
        <v>120</v>
      </c>
    </row>
    <row r="33" ht="16.5" customHeight="1" spans="2:30">
      <c r="B33" s="14">
        <f>30000000+INDEX(编号表!$B:$B,MATCH(G33,编号表!$A:$A,0))*10000+E33</f>
        <v>30020036</v>
      </c>
      <c r="C33" s="14" t="s">
        <v>126</v>
      </c>
      <c r="D33" s="14" t="s">
        <v>101</v>
      </c>
      <c r="E33" s="14">
        <v>36</v>
      </c>
      <c r="F33" s="14">
        <v>60</v>
      </c>
      <c r="G33" s="14" t="s">
        <v>102</v>
      </c>
      <c r="H33" s="14" t="s">
        <v>71</v>
      </c>
      <c r="I33" s="14" t="s">
        <v>103</v>
      </c>
      <c r="J33" s="14">
        <v>1</v>
      </c>
      <c r="K33" s="14" t="s">
        <v>104</v>
      </c>
      <c r="M33" s="14">
        <v>0</v>
      </c>
      <c r="N33" s="14" t="b">
        <v>1</v>
      </c>
      <c r="P33" s="14">
        <v>31</v>
      </c>
      <c r="Q33" s="14" t="s">
        <v>119</v>
      </c>
      <c r="R33" s="14">
        <v>999</v>
      </c>
      <c r="S33" s="14" t="s">
        <v>106</v>
      </c>
      <c r="T33" s="14">
        <v>10360001</v>
      </c>
      <c r="V33" s="14" t="str">
        <f t="shared" si="0"/>
        <v>|cff00FF00达到31级后可以学习技能魔法盾，也可以在当前技能经验满后对该技能进行升级。</v>
      </c>
      <c r="W33" s="14" t="s">
        <v>116</v>
      </c>
      <c r="X33" s="14">
        <v>20001</v>
      </c>
      <c r="Y33" s="28" t="s">
        <v>123</v>
      </c>
      <c r="Z33" s="14">
        <v>40001</v>
      </c>
      <c r="AC33" s="29" t="s">
        <v>109</v>
      </c>
      <c r="AD33" s="30" t="s">
        <v>120</v>
      </c>
    </row>
    <row r="34" ht="16.5" customHeight="1" spans="2:30">
      <c r="B34" s="14">
        <f>30000000+INDEX(编号表!$B:$B,MATCH(G34,编号表!$A:$A,0))*10000+E34</f>
        <v>30020037</v>
      </c>
      <c r="C34" s="14" t="s">
        <v>127</v>
      </c>
      <c r="D34" s="14" t="s">
        <v>101</v>
      </c>
      <c r="E34" s="14">
        <v>37</v>
      </c>
      <c r="F34" s="14">
        <v>60</v>
      </c>
      <c r="G34" s="14" t="s">
        <v>102</v>
      </c>
      <c r="H34" s="14" t="s">
        <v>71</v>
      </c>
      <c r="I34" s="14" t="s">
        <v>103</v>
      </c>
      <c r="J34" s="14">
        <v>1</v>
      </c>
      <c r="K34" s="14" t="s">
        <v>104</v>
      </c>
      <c r="M34" s="14">
        <v>0</v>
      </c>
      <c r="N34" s="14" t="b">
        <v>1</v>
      </c>
      <c r="P34" s="14">
        <v>35</v>
      </c>
      <c r="Q34" s="14" t="s">
        <v>119</v>
      </c>
      <c r="R34" s="14">
        <v>999</v>
      </c>
      <c r="S34" s="14" t="s">
        <v>106</v>
      </c>
      <c r="T34" s="14">
        <v>10370001</v>
      </c>
      <c r="V34" s="14" t="str">
        <f t="shared" si="0"/>
        <v>|cff00FF00达到35级后可以学习技能冰咆哮，也可以在当前技能经验满后对该技能进行升级。</v>
      </c>
      <c r="W34" s="14" t="s">
        <v>116</v>
      </c>
      <c r="X34" s="14">
        <v>20001</v>
      </c>
      <c r="Y34" s="28" t="s">
        <v>123</v>
      </c>
      <c r="Z34" s="14">
        <v>40001</v>
      </c>
      <c r="AC34" s="29" t="s">
        <v>109</v>
      </c>
      <c r="AD34" s="30" t="s">
        <v>120</v>
      </c>
    </row>
    <row r="35" ht="16.5" customHeight="1" spans="2:30">
      <c r="B35" s="14">
        <f>30000000+INDEX(编号表!$B:$B,MATCH(G35,编号表!$A:$A,0))*10000+E35</f>
        <v>30020061</v>
      </c>
      <c r="C35" s="14" t="s">
        <v>128</v>
      </c>
      <c r="D35" s="14" t="s">
        <v>101</v>
      </c>
      <c r="E35" s="14">
        <v>61</v>
      </c>
      <c r="F35" s="14">
        <v>60</v>
      </c>
      <c r="G35" s="14" t="s">
        <v>102</v>
      </c>
      <c r="H35" s="14" t="s">
        <v>71</v>
      </c>
      <c r="I35" s="14" t="s">
        <v>103</v>
      </c>
      <c r="J35" s="14">
        <v>1</v>
      </c>
      <c r="K35" s="14" t="s">
        <v>104</v>
      </c>
      <c r="M35" s="14">
        <v>0</v>
      </c>
      <c r="N35" s="14" t="b">
        <v>1</v>
      </c>
      <c r="P35" s="14">
        <v>7</v>
      </c>
      <c r="Q35" s="14" t="s">
        <v>129</v>
      </c>
      <c r="R35" s="14">
        <v>999</v>
      </c>
      <c r="S35" s="14" t="s">
        <v>106</v>
      </c>
      <c r="T35" s="14">
        <v>10610001</v>
      </c>
      <c r="V35" s="14" t="str">
        <f t="shared" si="0"/>
        <v>|cff00FF00达到7级后可以学习技能灵魂火符，也可以在当前技能经验满后对该技能进行升级。</v>
      </c>
      <c r="W35" s="14" t="s">
        <v>107</v>
      </c>
      <c r="X35" s="14">
        <v>20001</v>
      </c>
      <c r="Y35" s="28" t="s">
        <v>123</v>
      </c>
      <c r="Z35" s="14">
        <v>40001</v>
      </c>
      <c r="AC35" s="29" t="s">
        <v>109</v>
      </c>
      <c r="AD35" s="30" t="s">
        <v>130</v>
      </c>
    </row>
    <row r="36" ht="16.5" customHeight="1" spans="2:30">
      <c r="B36" s="14">
        <f>30000000+INDEX(编号表!$B:$B,MATCH(G36,编号表!$A:$A,0))*10000+E36</f>
        <v>30020062</v>
      </c>
      <c r="C36" s="14" t="s">
        <v>131</v>
      </c>
      <c r="D36" s="14" t="s">
        <v>101</v>
      </c>
      <c r="E36" s="14">
        <v>62</v>
      </c>
      <c r="F36" s="14">
        <v>60</v>
      </c>
      <c r="G36" s="14" t="s">
        <v>102</v>
      </c>
      <c r="H36" s="14" t="s">
        <v>71</v>
      </c>
      <c r="I36" s="14" t="s">
        <v>103</v>
      </c>
      <c r="J36" s="14">
        <v>1</v>
      </c>
      <c r="K36" s="14" t="s">
        <v>104</v>
      </c>
      <c r="M36" s="14">
        <v>0</v>
      </c>
      <c r="N36" s="14" t="b">
        <v>1</v>
      </c>
      <c r="P36" s="14">
        <v>9</v>
      </c>
      <c r="Q36" s="14" t="s">
        <v>129</v>
      </c>
      <c r="R36" s="14">
        <v>999</v>
      </c>
      <c r="S36" s="14" t="s">
        <v>106</v>
      </c>
      <c r="T36" s="14">
        <v>10620001</v>
      </c>
      <c r="V36" s="14" t="str">
        <f t="shared" si="0"/>
        <v>|cff00FF00达到9级后可以学习技能治愈术，也可以在当前技能经验满后对该技能进行升级。</v>
      </c>
      <c r="W36" s="14" t="s">
        <v>107</v>
      </c>
      <c r="X36" s="14">
        <v>20001</v>
      </c>
      <c r="Y36" s="28" t="s">
        <v>123</v>
      </c>
      <c r="Z36" s="14">
        <v>40001</v>
      </c>
      <c r="AC36" s="29" t="s">
        <v>109</v>
      </c>
      <c r="AD36" s="30" t="s">
        <v>130</v>
      </c>
    </row>
    <row r="37" ht="16.5" customHeight="1" spans="2:30">
      <c r="B37" s="14">
        <f>30000000+INDEX(编号表!$B:$B,MATCH(G37,编号表!$A:$A,0))*10000+E37</f>
        <v>30020063</v>
      </c>
      <c r="C37" s="14" t="s">
        <v>132</v>
      </c>
      <c r="D37" s="14" t="s">
        <v>101</v>
      </c>
      <c r="E37" s="14">
        <v>63</v>
      </c>
      <c r="F37" s="14">
        <v>60</v>
      </c>
      <c r="G37" s="14" t="s">
        <v>102</v>
      </c>
      <c r="H37" s="14" t="s">
        <v>71</v>
      </c>
      <c r="I37" s="14" t="s">
        <v>103</v>
      </c>
      <c r="J37" s="14">
        <v>1</v>
      </c>
      <c r="K37" s="14" t="s">
        <v>104</v>
      </c>
      <c r="M37" s="14">
        <v>0</v>
      </c>
      <c r="N37" s="14" t="b">
        <v>1</v>
      </c>
      <c r="P37" s="14">
        <v>14</v>
      </c>
      <c r="Q37" s="14" t="s">
        <v>129</v>
      </c>
      <c r="R37" s="14">
        <v>999</v>
      </c>
      <c r="S37" s="14" t="s">
        <v>106</v>
      </c>
      <c r="T37" s="14">
        <v>10630001</v>
      </c>
      <c r="V37" s="14" t="str">
        <f t="shared" si="0"/>
        <v>|cff00FF00达到14级后可以学习技能施毒术，也可以在当前技能经验满后对该技能进行升级。</v>
      </c>
      <c r="W37" s="14" t="s">
        <v>113</v>
      </c>
      <c r="X37" s="14">
        <v>20001</v>
      </c>
      <c r="Y37" s="28" t="s">
        <v>123</v>
      </c>
      <c r="Z37" s="14">
        <v>40001</v>
      </c>
      <c r="AC37" s="29" t="s">
        <v>109</v>
      </c>
      <c r="AD37" s="30" t="s">
        <v>130</v>
      </c>
    </row>
    <row r="38" ht="16.5" customHeight="1" spans="2:30">
      <c r="B38" s="14">
        <f>30000000+INDEX(编号表!$B:$B,MATCH(G38,编号表!$A:$A,0))*10000+E38</f>
        <v>30020064</v>
      </c>
      <c r="C38" s="14" t="s">
        <v>133</v>
      </c>
      <c r="D38" s="14" t="s">
        <v>101</v>
      </c>
      <c r="E38" s="14">
        <v>64</v>
      </c>
      <c r="F38" s="14">
        <v>60</v>
      </c>
      <c r="G38" s="14" t="s">
        <v>102</v>
      </c>
      <c r="H38" s="14" t="s">
        <v>71</v>
      </c>
      <c r="I38" s="14" t="s">
        <v>103</v>
      </c>
      <c r="J38" s="14">
        <v>1</v>
      </c>
      <c r="K38" s="14" t="s">
        <v>104</v>
      </c>
      <c r="M38" s="14">
        <v>0</v>
      </c>
      <c r="N38" s="14" t="b">
        <v>1</v>
      </c>
      <c r="P38" s="14">
        <v>19</v>
      </c>
      <c r="Q38" s="14" t="s">
        <v>129</v>
      </c>
      <c r="R38" s="14">
        <v>999</v>
      </c>
      <c r="S38" s="14" t="s">
        <v>106</v>
      </c>
      <c r="T38" s="14">
        <v>10640001</v>
      </c>
      <c r="V38" s="14" t="str">
        <f t="shared" si="0"/>
        <v>|cff00FF00达到19级后可以学习技能召唤骷髅，也可以在当前技能经验满后对该技能进行升级。</v>
      </c>
      <c r="W38" s="14" t="s">
        <v>113</v>
      </c>
      <c r="X38" s="14">
        <v>20001</v>
      </c>
      <c r="Y38" s="28" t="s">
        <v>123</v>
      </c>
      <c r="Z38" s="14">
        <v>40001</v>
      </c>
      <c r="AC38" s="29" t="s">
        <v>109</v>
      </c>
      <c r="AD38" s="30" t="s">
        <v>130</v>
      </c>
    </row>
    <row r="39" ht="16.5" customHeight="1" spans="2:30">
      <c r="B39" s="14">
        <f>30000000+INDEX(编号表!$B:$B,MATCH(G39,编号表!$A:$A,0))*10000+E39</f>
        <v>30020065</v>
      </c>
      <c r="C39" s="14" t="s">
        <v>134</v>
      </c>
      <c r="D39" s="14" t="s">
        <v>101</v>
      </c>
      <c r="E39" s="14">
        <v>65</v>
      </c>
      <c r="F39" s="14">
        <v>60</v>
      </c>
      <c r="G39" s="14" t="s">
        <v>102</v>
      </c>
      <c r="H39" s="14" t="s">
        <v>71</v>
      </c>
      <c r="I39" s="14" t="s">
        <v>103</v>
      </c>
      <c r="J39" s="14">
        <v>1</v>
      </c>
      <c r="K39" s="14" t="s">
        <v>104</v>
      </c>
      <c r="M39" s="14">
        <v>0</v>
      </c>
      <c r="N39" s="14" t="b">
        <v>1</v>
      </c>
      <c r="P39" s="14">
        <v>22</v>
      </c>
      <c r="Q39" s="14" t="s">
        <v>129</v>
      </c>
      <c r="R39" s="14">
        <v>999</v>
      </c>
      <c r="S39" s="14" t="s">
        <v>106</v>
      </c>
      <c r="T39" s="14">
        <v>10650001</v>
      </c>
      <c r="V39" s="14" t="str">
        <f t="shared" si="0"/>
        <v>|cff00FF00达到22级后可以学习技能幽灵盾，也可以在当前技能经验满后对该技能进行升级。</v>
      </c>
      <c r="W39" s="14" t="s">
        <v>116</v>
      </c>
      <c r="X39" s="14">
        <v>20001</v>
      </c>
      <c r="Y39" s="28" t="s">
        <v>123</v>
      </c>
      <c r="Z39" s="14">
        <v>40001</v>
      </c>
      <c r="AC39" s="29" t="s">
        <v>109</v>
      </c>
      <c r="AD39" s="30" t="s">
        <v>130</v>
      </c>
    </row>
    <row r="40" ht="16.5" customHeight="1" spans="2:30">
      <c r="B40" s="14">
        <f>30000000+INDEX(编号表!$B:$B,MATCH(G40,编号表!$A:$A,0))*10000+E40</f>
        <v>30020066</v>
      </c>
      <c r="C40" s="14" t="s">
        <v>135</v>
      </c>
      <c r="D40" s="14" t="s">
        <v>101</v>
      </c>
      <c r="E40" s="14">
        <v>66</v>
      </c>
      <c r="F40" s="14">
        <v>60</v>
      </c>
      <c r="G40" s="14" t="s">
        <v>102</v>
      </c>
      <c r="H40" s="14" t="s">
        <v>71</v>
      </c>
      <c r="I40" s="14" t="s">
        <v>103</v>
      </c>
      <c r="J40" s="14">
        <v>1</v>
      </c>
      <c r="K40" s="14" t="s">
        <v>104</v>
      </c>
      <c r="M40" s="14">
        <v>0</v>
      </c>
      <c r="N40" s="14" t="b">
        <v>1</v>
      </c>
      <c r="P40" s="14">
        <v>25</v>
      </c>
      <c r="Q40" s="14" t="s">
        <v>129</v>
      </c>
      <c r="R40" s="14">
        <v>999</v>
      </c>
      <c r="S40" s="14" t="s">
        <v>106</v>
      </c>
      <c r="T40" s="14">
        <v>10660001</v>
      </c>
      <c r="V40" s="14" t="str">
        <f t="shared" si="0"/>
        <v>|cff00FF00达到25级后可以学习技能神圣战甲术，也可以在当前技能经验满后对该技能进行升级。</v>
      </c>
      <c r="W40" s="14" t="s">
        <v>116</v>
      </c>
      <c r="X40" s="14">
        <v>20001</v>
      </c>
      <c r="Y40" s="28" t="s">
        <v>123</v>
      </c>
      <c r="Z40" s="14">
        <v>40001</v>
      </c>
      <c r="AC40" s="29" t="s">
        <v>109</v>
      </c>
      <c r="AD40" s="30" t="s">
        <v>130</v>
      </c>
    </row>
    <row r="41" ht="16.5" customHeight="1" spans="2:30">
      <c r="B41" s="14">
        <f>30000000+INDEX(编号表!$B:$B,MATCH(G41,编号表!$A:$A,0))*10000+E41</f>
        <v>30020067</v>
      </c>
      <c r="C41" s="14" t="s">
        <v>136</v>
      </c>
      <c r="D41" s="14" t="s">
        <v>101</v>
      </c>
      <c r="E41" s="14">
        <v>67</v>
      </c>
      <c r="F41" s="14">
        <v>60</v>
      </c>
      <c r="G41" s="14" t="s">
        <v>102</v>
      </c>
      <c r="H41" s="14" t="s">
        <v>71</v>
      </c>
      <c r="I41" s="14" t="s">
        <v>103</v>
      </c>
      <c r="J41" s="14">
        <v>1</v>
      </c>
      <c r="K41" s="14" t="s">
        <v>104</v>
      </c>
      <c r="M41" s="14">
        <v>0</v>
      </c>
      <c r="N41" s="14" t="b">
        <v>1</v>
      </c>
      <c r="P41" s="14">
        <v>30</v>
      </c>
      <c r="Q41" s="14" t="s">
        <v>129</v>
      </c>
      <c r="R41" s="14">
        <v>999</v>
      </c>
      <c r="S41" s="14" t="s">
        <v>106</v>
      </c>
      <c r="T41" s="14">
        <v>10670001</v>
      </c>
      <c r="V41" s="14" t="str">
        <f t="shared" si="0"/>
        <v>|cff00FF00达到30级后可以学习技能隐身术，也可以在当前技能经验满后对该技能进行升级。</v>
      </c>
      <c r="W41" s="14" t="s">
        <v>116</v>
      </c>
      <c r="X41" s="14">
        <v>20001</v>
      </c>
      <c r="Y41" s="28" t="s">
        <v>123</v>
      </c>
      <c r="Z41" s="14">
        <v>40001</v>
      </c>
      <c r="AC41" s="29" t="s">
        <v>109</v>
      </c>
      <c r="AD41" s="30" t="s">
        <v>130</v>
      </c>
    </row>
    <row r="42" ht="16.5" customHeight="1" spans="2:30">
      <c r="B42" s="14">
        <f>30000000+INDEX(编号表!$B:$B,MATCH(G42,编号表!$A:$A,0))*10000+E42</f>
        <v>30020068</v>
      </c>
      <c r="C42" s="14" t="s">
        <v>137</v>
      </c>
      <c r="D42" s="14" t="s">
        <v>101</v>
      </c>
      <c r="E42" s="14">
        <v>68</v>
      </c>
      <c r="F42" s="14">
        <v>60</v>
      </c>
      <c r="G42" s="14" t="s">
        <v>102</v>
      </c>
      <c r="H42" s="14" t="s">
        <v>71</v>
      </c>
      <c r="I42" s="14" t="s">
        <v>103</v>
      </c>
      <c r="J42" s="14">
        <v>1</v>
      </c>
      <c r="K42" s="14" t="s">
        <v>104</v>
      </c>
      <c r="M42" s="14">
        <v>0</v>
      </c>
      <c r="N42" s="14" t="b">
        <v>1</v>
      </c>
      <c r="P42" s="14">
        <v>35</v>
      </c>
      <c r="Q42" s="14" t="s">
        <v>129</v>
      </c>
      <c r="R42" s="14">
        <v>999</v>
      </c>
      <c r="S42" s="14" t="s">
        <v>106</v>
      </c>
      <c r="T42" s="14">
        <v>10680001</v>
      </c>
      <c r="V42" s="14" t="str">
        <f t="shared" si="0"/>
        <v>|cff00FF00达到35级后可以学习技能召唤神兽，也可以在当前技能经验满后对该技能进行升级。</v>
      </c>
      <c r="W42" s="14" t="s">
        <v>116</v>
      </c>
      <c r="X42" s="14">
        <v>20001</v>
      </c>
      <c r="Y42" s="28" t="s">
        <v>123</v>
      </c>
      <c r="Z42" s="14">
        <v>40001</v>
      </c>
      <c r="AC42" s="29" t="s">
        <v>109</v>
      </c>
      <c r="AD42" s="30" t="s">
        <v>130</v>
      </c>
    </row>
    <row r="43" ht="16.5" customHeight="1" spans="2:30">
      <c r="B43" s="14">
        <f>30000000+INDEX(编号表!$B:$B,MATCH(G43,编号表!$A:$A,0))*10000+E43</f>
        <v>30020100</v>
      </c>
      <c r="C43" s="14" t="s">
        <v>104</v>
      </c>
      <c r="D43" s="14" t="s">
        <v>101</v>
      </c>
      <c r="E43" s="14">
        <v>100</v>
      </c>
      <c r="F43" s="14">
        <v>60</v>
      </c>
      <c r="G43" s="14" t="s">
        <v>102</v>
      </c>
      <c r="H43" s="14" t="s">
        <v>71</v>
      </c>
      <c r="I43" s="14" t="s">
        <v>103</v>
      </c>
      <c r="J43" s="14">
        <v>7</v>
      </c>
      <c r="K43" s="14" t="s">
        <v>104</v>
      </c>
      <c r="M43" s="14">
        <v>0</v>
      </c>
      <c r="N43" s="14" t="b">
        <v>1</v>
      </c>
      <c r="P43" s="14">
        <v>1</v>
      </c>
      <c r="Q43" s="14" t="s">
        <v>73</v>
      </c>
      <c r="R43" s="14">
        <v>999</v>
      </c>
      <c r="V43" s="14" t="s">
        <v>138</v>
      </c>
      <c r="W43" s="14" t="s">
        <v>139</v>
      </c>
      <c r="X43" s="14">
        <v>20001</v>
      </c>
      <c r="Y43" s="28" t="s">
        <v>123</v>
      </c>
      <c r="Z43" s="14">
        <v>40001</v>
      </c>
      <c r="AC43" s="29" t="s">
        <v>109</v>
      </c>
      <c r="AD43" s="30" t="s">
        <v>104</v>
      </c>
    </row>
    <row r="44" spans="2:30">
      <c r="B44" s="14">
        <f>30000000+INDEX(编号表!$B:$B,MATCH(G44,编号表!$A:$A,0))*10000+E44</f>
        <v>30040001</v>
      </c>
      <c r="C44" s="14" t="s">
        <v>140</v>
      </c>
      <c r="D44" s="14" t="s">
        <v>101</v>
      </c>
      <c r="E44" s="14">
        <v>1</v>
      </c>
      <c r="F44" s="14">
        <v>60</v>
      </c>
      <c r="G44" s="14" t="s">
        <v>141</v>
      </c>
      <c r="H44" s="14" t="s">
        <v>71</v>
      </c>
      <c r="I44" s="14" t="s">
        <v>142</v>
      </c>
      <c r="J44" s="14">
        <v>1</v>
      </c>
      <c r="K44" s="14" t="s">
        <v>143</v>
      </c>
      <c r="M44" s="14">
        <v>0</v>
      </c>
      <c r="N44" s="14" t="b">
        <v>1</v>
      </c>
      <c r="P44" s="14">
        <v>1</v>
      </c>
      <c r="Q44" s="14" t="s">
        <v>73</v>
      </c>
      <c r="R44" s="14">
        <v>999</v>
      </c>
      <c r="V44" s="14" t="s">
        <v>144</v>
      </c>
      <c r="W44" s="14" t="s">
        <v>116</v>
      </c>
      <c r="X44" s="14">
        <v>20001</v>
      </c>
      <c r="Y44" s="31" t="s">
        <v>145</v>
      </c>
      <c r="Z44" s="14">
        <v>40001</v>
      </c>
      <c r="AC44" s="29" t="s">
        <v>109</v>
      </c>
      <c r="AD44" s="30" t="s">
        <v>140</v>
      </c>
    </row>
    <row r="45" spans="2:30">
      <c r="B45" s="14">
        <f>30000000+INDEX(编号表!$B:$B,MATCH(G45,编号表!$A:$A,0))*10000+E45</f>
        <v>30040002</v>
      </c>
      <c r="C45" s="14" t="s">
        <v>146</v>
      </c>
      <c r="D45" s="14" t="s">
        <v>101</v>
      </c>
      <c r="E45" s="14">
        <v>2</v>
      </c>
      <c r="F45" s="14">
        <v>60</v>
      </c>
      <c r="G45" s="14" t="s">
        <v>141</v>
      </c>
      <c r="H45" s="14" t="s">
        <v>71</v>
      </c>
      <c r="I45" s="14" t="s">
        <v>142</v>
      </c>
      <c r="J45" s="14">
        <v>2</v>
      </c>
      <c r="K45" s="14" t="s">
        <v>143</v>
      </c>
      <c r="M45" s="14">
        <v>0</v>
      </c>
      <c r="N45" s="14" t="b">
        <v>0</v>
      </c>
      <c r="P45" s="14">
        <v>1</v>
      </c>
      <c r="Q45" s="14" t="s">
        <v>73</v>
      </c>
      <c r="R45" s="14">
        <v>999</v>
      </c>
      <c r="V45" s="14" t="s">
        <v>147</v>
      </c>
      <c r="W45" s="14" t="s">
        <v>139</v>
      </c>
      <c r="X45" s="14">
        <v>20001</v>
      </c>
      <c r="Y45" s="31" t="s">
        <v>148</v>
      </c>
      <c r="Z45" s="14">
        <v>40001</v>
      </c>
      <c r="AC45" s="29" t="s">
        <v>109</v>
      </c>
      <c r="AD45" s="30" t="s">
        <v>146</v>
      </c>
    </row>
    <row r="46" spans="2:30">
      <c r="B46" s="14">
        <f>30000000+INDEX(编号表!$B:$B,MATCH(G46,编号表!$A:$A,0))*10000+E46</f>
        <v>30040003</v>
      </c>
      <c r="C46" s="14" t="s">
        <v>149</v>
      </c>
      <c r="D46" s="14" t="s">
        <v>94</v>
      </c>
      <c r="E46" s="14">
        <v>3</v>
      </c>
      <c r="F46" s="14">
        <v>60</v>
      </c>
      <c r="G46" s="14" t="s">
        <v>141</v>
      </c>
      <c r="H46" s="14" t="s">
        <v>71</v>
      </c>
      <c r="I46" s="14" t="s">
        <v>142</v>
      </c>
      <c r="J46" s="14">
        <v>3</v>
      </c>
      <c r="K46" s="14" t="s">
        <v>143</v>
      </c>
      <c r="M46" s="14">
        <v>0</v>
      </c>
      <c r="N46" s="14" t="b">
        <v>0</v>
      </c>
      <c r="P46" s="14">
        <v>1</v>
      </c>
      <c r="Q46" s="14" t="s">
        <v>73</v>
      </c>
      <c r="R46" s="14">
        <v>999</v>
      </c>
      <c r="V46" s="14" t="s">
        <v>150</v>
      </c>
      <c r="W46" s="14" t="s">
        <v>139</v>
      </c>
      <c r="X46" s="14">
        <v>20001</v>
      </c>
      <c r="Y46" s="31" t="s">
        <v>151</v>
      </c>
      <c r="Z46" s="14">
        <v>40001</v>
      </c>
    </row>
    <row r="47" spans="2:30">
      <c r="B47" s="14">
        <f>30000000+INDEX(编号表!$B:$B,MATCH(G47,编号表!$A:$A,0))*10000+E47</f>
        <v>30040004</v>
      </c>
      <c r="C47" s="14" t="s">
        <v>152</v>
      </c>
      <c r="D47" s="14" t="s">
        <v>94</v>
      </c>
      <c r="E47" s="14">
        <v>4</v>
      </c>
      <c r="F47" s="14">
        <v>60</v>
      </c>
      <c r="G47" s="14" t="s">
        <v>141</v>
      </c>
      <c r="H47" s="14" t="s">
        <v>71</v>
      </c>
      <c r="I47" s="14" t="s">
        <v>142</v>
      </c>
      <c r="J47" s="14">
        <v>4</v>
      </c>
      <c r="K47" s="14" t="s">
        <v>143</v>
      </c>
      <c r="M47" s="14">
        <v>0</v>
      </c>
      <c r="N47" s="14" t="b">
        <v>0</v>
      </c>
      <c r="P47" s="14">
        <v>1</v>
      </c>
      <c r="Q47" s="14" t="s">
        <v>73</v>
      </c>
      <c r="R47" s="14">
        <v>999</v>
      </c>
      <c r="V47" s="14" t="s">
        <v>153</v>
      </c>
      <c r="W47" s="14" t="s">
        <v>139</v>
      </c>
      <c r="X47" s="14">
        <v>20001</v>
      </c>
      <c r="Y47" s="31" t="s">
        <v>154</v>
      </c>
      <c r="Z47" s="14">
        <v>40001</v>
      </c>
    </row>
    <row r="48" spans="2:30">
      <c r="B48" s="14">
        <f>30000000+INDEX(编号表!$B:$B,MATCH(G48,编号表!$A:$A,0))*10000+E48</f>
        <v>30040005</v>
      </c>
      <c r="C48" s="14" t="s">
        <v>155</v>
      </c>
      <c r="D48" s="14" t="s">
        <v>94</v>
      </c>
      <c r="E48" s="14">
        <v>5</v>
      </c>
      <c r="F48" s="14">
        <v>60</v>
      </c>
      <c r="G48" s="14" t="s">
        <v>141</v>
      </c>
      <c r="H48" s="14" t="s">
        <v>71</v>
      </c>
      <c r="I48" s="14" t="s">
        <v>142</v>
      </c>
      <c r="J48" s="14">
        <v>5</v>
      </c>
      <c r="K48" s="14" t="s">
        <v>143</v>
      </c>
      <c r="M48" s="14">
        <v>0</v>
      </c>
      <c r="N48" s="14" t="b">
        <v>0</v>
      </c>
      <c r="P48" s="14">
        <v>1</v>
      </c>
      <c r="Q48" s="14" t="s">
        <v>73</v>
      </c>
      <c r="R48" s="14">
        <v>999</v>
      </c>
      <c r="V48" s="14" t="s">
        <v>156</v>
      </c>
      <c r="W48" s="14" t="s">
        <v>139</v>
      </c>
      <c r="X48" s="14">
        <v>20001</v>
      </c>
      <c r="Y48" s="31" t="s">
        <v>157</v>
      </c>
      <c r="Z48" s="14">
        <v>40001</v>
      </c>
      <c r="AC48" s="29" t="s">
        <v>109</v>
      </c>
      <c r="AD48" s="30" t="s">
        <v>155</v>
      </c>
    </row>
    <row r="49" spans="2:30">
      <c r="B49" s="14">
        <f>30000000+INDEX(编号表!$B:$B,MATCH(G49,编号表!$A:$A,0))*10000+E49</f>
        <v>30040006</v>
      </c>
      <c r="C49" s="14" t="s">
        <v>158</v>
      </c>
      <c r="D49" s="14" t="s">
        <v>94</v>
      </c>
      <c r="E49" s="14">
        <v>6</v>
      </c>
      <c r="F49" s="14">
        <v>60</v>
      </c>
      <c r="G49" s="14" t="s">
        <v>141</v>
      </c>
      <c r="H49" s="14" t="s">
        <v>71</v>
      </c>
      <c r="I49" s="14" t="s">
        <v>142</v>
      </c>
      <c r="J49" s="14">
        <v>99</v>
      </c>
      <c r="K49" s="14" t="s">
        <v>143</v>
      </c>
      <c r="M49" s="14">
        <v>0</v>
      </c>
      <c r="N49" s="14" t="b">
        <v>0</v>
      </c>
      <c r="P49" s="14">
        <v>1</v>
      </c>
      <c r="Q49" s="14" t="s">
        <v>73</v>
      </c>
      <c r="R49" s="14">
        <v>999</v>
      </c>
      <c r="V49" s="14" t="s">
        <v>159</v>
      </c>
      <c r="W49" s="14" t="s">
        <v>139</v>
      </c>
      <c r="X49" s="14">
        <v>20001</v>
      </c>
      <c r="Y49" s="31" t="s">
        <v>160</v>
      </c>
      <c r="Z49" s="14">
        <v>40001</v>
      </c>
    </row>
    <row r="50" spans="2:30">
      <c r="B50" s="14">
        <f>30000000+INDEX(编号表!$B:$B,MATCH(G50,编号表!$A:$A,0))*10000+E50</f>
        <v>30040007</v>
      </c>
      <c r="C50" s="14" t="s">
        <v>161</v>
      </c>
      <c r="D50" s="14" t="s">
        <v>94</v>
      </c>
      <c r="E50" s="14">
        <v>7</v>
      </c>
      <c r="F50" s="14">
        <v>60</v>
      </c>
      <c r="G50" s="14" t="s">
        <v>141</v>
      </c>
      <c r="H50" s="14" t="s">
        <v>71</v>
      </c>
      <c r="I50" s="14" t="s">
        <v>142</v>
      </c>
      <c r="J50" s="14">
        <v>99</v>
      </c>
      <c r="K50" s="14" t="s">
        <v>143</v>
      </c>
      <c r="M50" s="14">
        <v>0</v>
      </c>
      <c r="N50" s="14" t="b">
        <v>0</v>
      </c>
      <c r="P50" s="14">
        <v>1</v>
      </c>
      <c r="Q50" s="14" t="s">
        <v>73</v>
      </c>
      <c r="R50" s="14">
        <v>999</v>
      </c>
      <c r="V50" s="14" t="s">
        <v>162</v>
      </c>
      <c r="W50" s="14" t="s">
        <v>139</v>
      </c>
      <c r="X50" s="14">
        <v>20001</v>
      </c>
      <c r="Y50" s="31" t="s">
        <v>163</v>
      </c>
      <c r="Z50" s="14">
        <v>40001</v>
      </c>
    </row>
    <row r="51" spans="2:30">
      <c r="B51" s="14">
        <f>30000000+INDEX(编号表!$B:$B,MATCH(G51,编号表!$A:$A,0))*10000+E51</f>
        <v>30040008</v>
      </c>
      <c r="C51" s="14" t="s">
        <v>164</v>
      </c>
      <c r="D51" s="14" t="s">
        <v>94</v>
      </c>
      <c r="E51" s="14">
        <v>8</v>
      </c>
      <c r="F51" s="14">
        <v>60</v>
      </c>
      <c r="G51" s="14" t="s">
        <v>141</v>
      </c>
      <c r="H51" s="14" t="s">
        <v>71</v>
      </c>
      <c r="I51" s="14" t="s">
        <v>142</v>
      </c>
      <c r="J51" s="14">
        <v>99</v>
      </c>
      <c r="K51" s="14" t="s">
        <v>143</v>
      </c>
      <c r="M51" s="14">
        <v>0</v>
      </c>
      <c r="N51" s="14" t="b">
        <v>0</v>
      </c>
      <c r="P51" s="14">
        <v>1</v>
      </c>
      <c r="Q51" s="14" t="s">
        <v>73</v>
      </c>
      <c r="R51" s="14">
        <v>99</v>
      </c>
      <c r="V51" s="14" t="s">
        <v>165</v>
      </c>
      <c r="W51" s="14" t="s">
        <v>139</v>
      </c>
      <c r="X51" s="14">
        <v>20001</v>
      </c>
      <c r="Y51" s="31" t="s">
        <v>166</v>
      </c>
      <c r="Z51" s="14">
        <v>40001</v>
      </c>
    </row>
    <row r="52" spans="2:30">
      <c r="B52" s="14">
        <f>30000000+INDEX(编号表!$B:$B,MATCH(G52,编号表!$A:$A,0))*10000+E52</f>
        <v>30040009</v>
      </c>
      <c r="C52" s="14" t="s">
        <v>167</v>
      </c>
      <c r="D52" s="14" t="s">
        <v>94</v>
      </c>
      <c r="E52" s="14">
        <v>9</v>
      </c>
      <c r="F52" s="14">
        <v>60</v>
      </c>
      <c r="G52" s="14" t="s">
        <v>141</v>
      </c>
      <c r="H52" s="14" t="s">
        <v>71</v>
      </c>
      <c r="I52" s="14" t="s">
        <v>142</v>
      </c>
      <c r="J52" s="14">
        <v>99</v>
      </c>
      <c r="K52" s="14" t="s">
        <v>143</v>
      </c>
      <c r="M52" s="14">
        <v>0</v>
      </c>
      <c r="N52" s="14" t="b">
        <v>0</v>
      </c>
      <c r="P52" s="14">
        <v>1</v>
      </c>
      <c r="Q52" s="14" t="s">
        <v>73</v>
      </c>
      <c r="R52" s="14">
        <v>99</v>
      </c>
      <c r="V52" s="14" t="s">
        <v>168</v>
      </c>
      <c r="W52" s="14" t="s">
        <v>139</v>
      </c>
      <c r="X52" s="14">
        <v>20001</v>
      </c>
      <c r="Y52" s="31" t="s">
        <v>169</v>
      </c>
      <c r="Z52" s="14">
        <v>40001</v>
      </c>
    </row>
    <row r="53" spans="2:30">
      <c r="B53" s="14">
        <f>30000000+INDEX(编号表!$B:$B,MATCH(G53,编号表!$A:$A,0))*10000+E53</f>
        <v>30040010</v>
      </c>
      <c r="C53" s="14" t="s">
        <v>170</v>
      </c>
      <c r="D53" s="14" t="s">
        <v>94</v>
      </c>
      <c r="E53" s="14">
        <v>10</v>
      </c>
      <c r="F53" s="14">
        <v>60</v>
      </c>
      <c r="G53" s="14" t="s">
        <v>141</v>
      </c>
      <c r="H53" s="14" t="s">
        <v>71</v>
      </c>
      <c r="I53" s="14" t="s">
        <v>142</v>
      </c>
      <c r="J53" s="14">
        <v>1</v>
      </c>
      <c r="K53" s="14" t="s">
        <v>143</v>
      </c>
      <c r="M53" s="14">
        <v>0</v>
      </c>
      <c r="N53" s="14" t="b">
        <v>1</v>
      </c>
      <c r="P53" s="14">
        <v>1</v>
      </c>
      <c r="Q53" s="14" t="s">
        <v>73</v>
      </c>
      <c r="R53" s="14">
        <v>999</v>
      </c>
      <c r="V53" s="14" t="s">
        <v>171</v>
      </c>
      <c r="W53" s="14" t="s">
        <v>172</v>
      </c>
      <c r="X53" s="14">
        <v>20001</v>
      </c>
      <c r="Y53" s="31" t="s">
        <v>173</v>
      </c>
      <c r="Z53" s="14">
        <v>40001</v>
      </c>
    </row>
    <row r="54" spans="2:30">
      <c r="B54" s="14">
        <f>30000000+INDEX(编号表!$B:$B,MATCH(G54,编号表!$A:$A,0))*10000+E54</f>
        <v>30040011</v>
      </c>
      <c r="C54" s="14" t="s">
        <v>174</v>
      </c>
      <c r="D54" s="14" t="s">
        <v>94</v>
      </c>
      <c r="E54" s="14">
        <v>11</v>
      </c>
      <c r="F54" s="14">
        <v>60</v>
      </c>
      <c r="G54" s="14" t="s">
        <v>141</v>
      </c>
      <c r="H54" s="14" t="s">
        <v>71</v>
      </c>
      <c r="I54" s="14" t="s">
        <v>142</v>
      </c>
      <c r="J54" s="14">
        <v>1</v>
      </c>
      <c r="K54" s="14" t="s">
        <v>143</v>
      </c>
      <c r="M54" s="14">
        <v>0</v>
      </c>
      <c r="N54" s="14" t="b">
        <v>1</v>
      </c>
      <c r="P54" s="14">
        <v>1</v>
      </c>
      <c r="Q54" s="14" t="s">
        <v>73</v>
      </c>
      <c r="R54" s="14">
        <v>999</v>
      </c>
      <c r="V54" s="14" t="s">
        <v>175</v>
      </c>
      <c r="W54" s="14" t="s">
        <v>139</v>
      </c>
      <c r="X54" s="14">
        <v>20001</v>
      </c>
      <c r="Y54" s="32" t="s">
        <v>176</v>
      </c>
      <c r="Z54" s="14">
        <v>40001</v>
      </c>
      <c r="AC54" s="29" t="s">
        <v>109</v>
      </c>
      <c r="AD54" s="30" t="s">
        <v>174</v>
      </c>
    </row>
    <row r="55" spans="2:30">
      <c r="B55" s="14">
        <f>30000000+INDEX(编号表!$B:$B,MATCH(G55,编号表!$A:$A,0))*10000+E55</f>
        <v>30040012</v>
      </c>
      <c r="C55" s="14" t="s">
        <v>177</v>
      </c>
      <c r="D55" s="14" t="s">
        <v>94</v>
      </c>
      <c r="E55" s="14">
        <v>12</v>
      </c>
      <c r="F55" s="14">
        <v>60</v>
      </c>
      <c r="G55" s="14" t="s">
        <v>141</v>
      </c>
      <c r="H55" s="14" t="s">
        <v>71</v>
      </c>
      <c r="I55" s="14" t="s">
        <v>142</v>
      </c>
      <c r="J55" s="14">
        <v>1</v>
      </c>
      <c r="K55" s="14" t="s">
        <v>143</v>
      </c>
      <c r="M55" s="14">
        <v>0</v>
      </c>
      <c r="N55" s="14" t="b">
        <v>1</v>
      </c>
      <c r="P55" s="14">
        <v>1</v>
      </c>
      <c r="Q55" s="14" t="s">
        <v>73</v>
      </c>
      <c r="R55" s="14">
        <v>999</v>
      </c>
      <c r="V55" s="14" t="s">
        <v>178</v>
      </c>
      <c r="W55" s="14" t="s">
        <v>139</v>
      </c>
      <c r="X55" s="14">
        <v>20001</v>
      </c>
      <c r="Y55" s="14" t="s">
        <v>179</v>
      </c>
      <c r="Z55" s="14">
        <v>40001</v>
      </c>
      <c r="AC55" s="29" t="s">
        <v>109</v>
      </c>
      <c r="AD55" s="30" t="s">
        <v>177</v>
      </c>
    </row>
    <row r="56" spans="2:30">
      <c r="B56" s="14">
        <f>30000000+INDEX(编号表!$B:$B,MATCH(G56,编号表!$A:$A,0))*10000+E56</f>
        <v>30040013</v>
      </c>
      <c r="C56" s="14" t="s">
        <v>180</v>
      </c>
      <c r="D56" s="14" t="s">
        <v>94</v>
      </c>
      <c r="E56" s="14">
        <v>13</v>
      </c>
      <c r="F56" s="14">
        <v>60</v>
      </c>
      <c r="G56" s="14" t="s">
        <v>141</v>
      </c>
      <c r="H56" s="14" t="s">
        <v>71</v>
      </c>
      <c r="I56" s="14" t="s">
        <v>142</v>
      </c>
      <c r="J56" s="14">
        <v>1</v>
      </c>
      <c r="K56" s="14" t="s">
        <v>143</v>
      </c>
      <c r="M56" s="14">
        <v>0</v>
      </c>
      <c r="N56" s="14" t="b">
        <v>1</v>
      </c>
      <c r="P56" s="14">
        <v>1</v>
      </c>
      <c r="Q56" s="14" t="s">
        <v>73</v>
      </c>
      <c r="R56" s="14">
        <v>999</v>
      </c>
      <c r="V56" s="14" t="s">
        <v>181</v>
      </c>
      <c r="W56" s="14" t="s">
        <v>139</v>
      </c>
      <c r="X56" s="14">
        <v>20001</v>
      </c>
      <c r="Y56" s="14" t="s">
        <v>182</v>
      </c>
      <c r="Z56" s="14">
        <v>40001</v>
      </c>
      <c r="AC56" s="29" t="s">
        <v>109</v>
      </c>
      <c r="AD56" s="30" t="s">
        <v>180</v>
      </c>
    </row>
    <row r="57" spans="2:30">
      <c r="B57" s="14">
        <f>30000000+INDEX(编号表!$B:$B,MATCH(G57,编号表!$A:$A,0))*10000+E57</f>
        <v>30040014</v>
      </c>
      <c r="C57" s="14" t="s">
        <v>183</v>
      </c>
      <c r="D57" s="14" t="s">
        <v>94</v>
      </c>
      <c r="E57" s="14">
        <v>14</v>
      </c>
      <c r="F57" s="14">
        <v>60</v>
      </c>
      <c r="G57" s="14" t="s">
        <v>141</v>
      </c>
      <c r="H57" s="14" t="s">
        <v>71</v>
      </c>
      <c r="I57" s="14" t="s">
        <v>142</v>
      </c>
      <c r="J57" s="14">
        <v>1</v>
      </c>
      <c r="K57" s="14" t="s">
        <v>143</v>
      </c>
      <c r="M57" s="14">
        <v>0</v>
      </c>
      <c r="N57" s="14" t="b">
        <v>1</v>
      </c>
      <c r="P57" s="14">
        <v>1</v>
      </c>
      <c r="Q57" s="14" t="s">
        <v>73</v>
      </c>
      <c r="R57" s="14">
        <v>999</v>
      </c>
      <c r="V57" s="14" t="s">
        <v>184</v>
      </c>
      <c r="W57" s="14" t="s">
        <v>139</v>
      </c>
      <c r="X57" s="14">
        <v>20001</v>
      </c>
      <c r="Y57" s="14" t="s">
        <v>185</v>
      </c>
      <c r="Z57" s="14">
        <v>40001</v>
      </c>
      <c r="AC57" s="29" t="s">
        <v>109</v>
      </c>
      <c r="AD57" s="30" t="s">
        <v>183</v>
      </c>
    </row>
    <row r="58" spans="2:30">
      <c r="B58" s="14">
        <f>30000000+INDEX(编号表!$B:$B,MATCH(G58,编号表!$A:$A,0))*10000+E58</f>
        <v>30040015</v>
      </c>
      <c r="C58" s="14" t="s">
        <v>186</v>
      </c>
      <c r="D58" s="14" t="s">
        <v>94</v>
      </c>
      <c r="E58" s="14">
        <v>15</v>
      </c>
      <c r="F58" s="14">
        <v>60</v>
      </c>
      <c r="G58" s="14" t="s">
        <v>141</v>
      </c>
      <c r="H58" s="14" t="s">
        <v>71</v>
      </c>
      <c r="I58" s="14" t="s">
        <v>142</v>
      </c>
      <c r="J58" s="14">
        <v>1</v>
      </c>
      <c r="K58" s="14" t="s">
        <v>143</v>
      </c>
      <c r="M58" s="14">
        <v>0</v>
      </c>
      <c r="N58" s="14" t="b">
        <v>1</v>
      </c>
      <c r="P58" s="14">
        <v>1</v>
      </c>
      <c r="Q58" s="14" t="s">
        <v>73</v>
      </c>
      <c r="R58" s="14">
        <v>999</v>
      </c>
      <c r="V58" s="14" t="s">
        <v>187</v>
      </c>
      <c r="W58" s="14" t="s">
        <v>139</v>
      </c>
      <c r="X58" s="14">
        <v>20001</v>
      </c>
      <c r="Y58" s="14" t="s">
        <v>188</v>
      </c>
      <c r="Z58" s="14">
        <v>40001</v>
      </c>
    </row>
    <row r="59" spans="2:30">
      <c r="B59" s="14">
        <f>30000000+INDEX(编号表!$B:$B,MATCH(G59,编号表!$A:$A,0))*10000+E59</f>
        <v>30040016</v>
      </c>
      <c r="C59" s="14" t="s">
        <v>189</v>
      </c>
      <c r="D59" s="14" t="s">
        <v>94</v>
      </c>
      <c r="E59" s="14">
        <v>16</v>
      </c>
      <c r="F59" s="14">
        <v>60</v>
      </c>
      <c r="G59" s="14" t="s">
        <v>141</v>
      </c>
      <c r="H59" s="14" t="s">
        <v>71</v>
      </c>
      <c r="I59" s="14" t="s">
        <v>142</v>
      </c>
      <c r="J59" s="14">
        <v>1</v>
      </c>
      <c r="K59" s="14" t="s">
        <v>143</v>
      </c>
      <c r="M59" s="14">
        <v>0</v>
      </c>
      <c r="N59" s="14" t="b">
        <v>1</v>
      </c>
      <c r="P59" s="14">
        <v>1</v>
      </c>
      <c r="Q59" s="14" t="s">
        <v>73</v>
      </c>
      <c r="R59" s="14">
        <v>999</v>
      </c>
      <c r="V59" s="14" t="s">
        <v>190</v>
      </c>
      <c r="W59" s="14" t="s">
        <v>191</v>
      </c>
      <c r="X59" s="14">
        <v>20001</v>
      </c>
      <c r="Y59" s="14" t="s">
        <v>192</v>
      </c>
      <c r="Z59" s="14">
        <v>40001</v>
      </c>
    </row>
    <row r="60" spans="2:30">
      <c r="B60" s="14">
        <f>30000000+INDEX(编号表!$B:$B,MATCH(G60,编号表!$A:$A,0))*10000+E60</f>
        <v>30070000</v>
      </c>
      <c r="C60" s="14" t="s">
        <v>193</v>
      </c>
      <c r="D60" s="14" t="s">
        <v>94</v>
      </c>
      <c r="E60" s="14">
        <v>0</v>
      </c>
      <c r="F60" s="14">
        <v>60</v>
      </c>
      <c r="G60" s="14" t="s">
        <v>194</v>
      </c>
      <c r="H60" s="14" t="s">
        <v>71</v>
      </c>
      <c r="I60" s="14" t="s">
        <v>142</v>
      </c>
      <c r="J60" s="14">
        <v>1</v>
      </c>
      <c r="K60" s="14" t="s">
        <v>143</v>
      </c>
      <c r="M60" s="14">
        <v>0</v>
      </c>
      <c r="N60" s="14" t="b">
        <v>1</v>
      </c>
      <c r="P60" s="14">
        <v>1</v>
      </c>
      <c r="Q60" s="14" t="s">
        <v>73</v>
      </c>
      <c r="R60" s="14">
        <v>999</v>
      </c>
      <c r="V60" s="14" t="s">
        <v>195</v>
      </c>
      <c r="W60" s="14" t="s">
        <v>116</v>
      </c>
      <c r="X60" s="14">
        <v>20001</v>
      </c>
      <c r="Y60" s="33" t="s">
        <v>196</v>
      </c>
      <c r="Z60" s="14">
        <v>40001</v>
      </c>
      <c r="AC60" s="29" t="s">
        <v>109</v>
      </c>
      <c r="AD60" s="30" t="s">
        <v>197</v>
      </c>
    </row>
    <row r="61" spans="2:30">
      <c r="B61" s="14">
        <f>30000000+INDEX(编号表!$B:$B,MATCH(G61,编号表!$A:$A,0))*10000+E61</f>
        <v>30070001</v>
      </c>
      <c r="C61" s="14" t="s">
        <v>198</v>
      </c>
      <c r="D61" s="14" t="s">
        <v>94</v>
      </c>
      <c r="E61" s="14">
        <v>1</v>
      </c>
      <c r="F61" s="14">
        <v>60</v>
      </c>
      <c r="G61" s="14" t="s">
        <v>194</v>
      </c>
      <c r="H61" s="14" t="s">
        <v>71</v>
      </c>
      <c r="I61" s="14" t="s">
        <v>142</v>
      </c>
      <c r="J61" s="14">
        <v>1</v>
      </c>
      <c r="K61" s="14" t="s">
        <v>143</v>
      </c>
      <c r="M61" s="14">
        <v>0</v>
      </c>
      <c r="N61" s="14" t="b">
        <v>1</v>
      </c>
      <c r="P61" s="14">
        <v>1</v>
      </c>
      <c r="Q61" s="14" t="s">
        <v>73</v>
      </c>
      <c r="R61" s="14">
        <v>999</v>
      </c>
      <c r="V61" s="14" t="s">
        <v>199</v>
      </c>
      <c r="W61" s="14" t="s">
        <v>116</v>
      </c>
      <c r="X61" s="14">
        <v>20001</v>
      </c>
      <c r="Y61" s="33" t="s">
        <v>200</v>
      </c>
      <c r="Z61" s="14">
        <v>40001</v>
      </c>
      <c r="AC61" s="29" t="s">
        <v>109</v>
      </c>
      <c r="AD61" s="30" t="s">
        <v>197</v>
      </c>
    </row>
    <row r="62" spans="2:30">
      <c r="B62" s="14">
        <f>30000000+INDEX(编号表!$B:$B,MATCH(G62,编号表!$A:$A,0))*10000+E62</f>
        <v>30070002</v>
      </c>
      <c r="C62" s="14" t="s">
        <v>201</v>
      </c>
      <c r="D62" s="14" t="s">
        <v>94</v>
      </c>
      <c r="E62" s="14">
        <v>2</v>
      </c>
      <c r="F62" s="14">
        <v>60</v>
      </c>
      <c r="G62" s="14" t="s">
        <v>194</v>
      </c>
      <c r="H62" s="14" t="s">
        <v>71</v>
      </c>
      <c r="I62" s="14" t="s">
        <v>142</v>
      </c>
      <c r="J62" s="14">
        <v>1</v>
      </c>
      <c r="K62" s="14" t="s">
        <v>143</v>
      </c>
      <c r="M62" s="14">
        <v>0</v>
      </c>
      <c r="N62" s="14" t="b">
        <v>1</v>
      </c>
      <c r="P62" s="14">
        <v>1</v>
      </c>
      <c r="Q62" s="14" t="s">
        <v>73</v>
      </c>
      <c r="R62" s="14">
        <v>999</v>
      </c>
      <c r="V62" s="14" t="s">
        <v>202</v>
      </c>
      <c r="W62" s="14" t="s">
        <v>116</v>
      </c>
      <c r="X62" s="14">
        <v>20001</v>
      </c>
      <c r="Y62" s="33" t="s">
        <v>203</v>
      </c>
      <c r="Z62" s="14">
        <v>40001</v>
      </c>
      <c r="AC62" s="29" t="s">
        <v>109</v>
      </c>
      <c r="AD62" s="30" t="s">
        <v>197</v>
      </c>
    </row>
    <row r="63" spans="2:30">
      <c r="B63" s="14">
        <f>30000000+INDEX(编号表!$B:$B,MATCH(G63,编号表!$A:$A,0))*10000+E63</f>
        <v>30070003</v>
      </c>
      <c r="C63" s="14" t="s">
        <v>204</v>
      </c>
      <c r="D63" s="14" t="s">
        <v>94</v>
      </c>
      <c r="E63" s="14">
        <v>3</v>
      </c>
      <c r="F63" s="14">
        <v>60</v>
      </c>
      <c r="G63" s="14" t="s">
        <v>194</v>
      </c>
      <c r="H63" s="14" t="s">
        <v>71</v>
      </c>
      <c r="I63" s="14" t="s">
        <v>142</v>
      </c>
      <c r="J63" s="14">
        <v>1</v>
      </c>
      <c r="K63" s="14" t="s">
        <v>143</v>
      </c>
      <c r="M63" s="14">
        <v>0</v>
      </c>
      <c r="N63" s="14" t="b">
        <v>1</v>
      </c>
      <c r="P63" s="14">
        <v>1</v>
      </c>
      <c r="Q63" s="14" t="s">
        <v>73</v>
      </c>
      <c r="R63" s="14">
        <v>999</v>
      </c>
      <c r="V63" s="14" t="s">
        <v>205</v>
      </c>
      <c r="W63" s="14" t="s">
        <v>116</v>
      </c>
      <c r="X63" s="14">
        <v>20001</v>
      </c>
      <c r="Y63" s="33" t="s">
        <v>206</v>
      </c>
      <c r="Z63" s="14">
        <v>40001</v>
      </c>
      <c r="AC63" s="29" t="s">
        <v>109</v>
      </c>
      <c r="AD63" s="30" t="s">
        <v>197</v>
      </c>
    </row>
    <row r="64" spans="2:30">
      <c r="B64" s="14">
        <f>30000000+INDEX(编号表!$B:$B,MATCH(G64,编号表!$A:$A,0))*10000+E64</f>
        <v>30070004</v>
      </c>
      <c r="C64" s="14" t="s">
        <v>207</v>
      </c>
      <c r="D64" s="14" t="s">
        <v>94</v>
      </c>
      <c r="E64" s="14">
        <v>4</v>
      </c>
      <c r="F64" s="14">
        <v>60</v>
      </c>
      <c r="G64" s="14" t="s">
        <v>194</v>
      </c>
      <c r="H64" s="14" t="s">
        <v>71</v>
      </c>
      <c r="I64" s="14" t="s">
        <v>142</v>
      </c>
      <c r="J64" s="14">
        <v>1</v>
      </c>
      <c r="K64" s="14" t="s">
        <v>143</v>
      </c>
      <c r="M64" s="14">
        <v>0</v>
      </c>
      <c r="N64" s="14" t="b">
        <v>1</v>
      </c>
      <c r="P64" s="14">
        <v>1</v>
      </c>
      <c r="Q64" s="14" t="s">
        <v>73</v>
      </c>
      <c r="R64" s="14">
        <v>999</v>
      </c>
      <c r="V64" s="14" t="s">
        <v>208</v>
      </c>
      <c r="W64" s="14" t="s">
        <v>116</v>
      </c>
      <c r="X64" s="14">
        <v>20001</v>
      </c>
      <c r="Y64" s="33" t="s">
        <v>209</v>
      </c>
      <c r="Z64" s="14">
        <v>40001</v>
      </c>
      <c r="AC64" s="29" t="s">
        <v>109</v>
      </c>
      <c r="AD64" s="30" t="s">
        <v>197</v>
      </c>
    </row>
    <row r="65" spans="2:30">
      <c r="B65" s="14">
        <f>30000000+INDEX(编号表!$B:$B,MATCH(G65,编号表!$A:$A,0))*10000+E65</f>
        <v>30070005</v>
      </c>
      <c r="C65" s="14" t="s">
        <v>210</v>
      </c>
      <c r="D65" s="14" t="s">
        <v>94</v>
      </c>
      <c r="E65" s="14">
        <v>5</v>
      </c>
      <c r="F65" s="14">
        <v>60</v>
      </c>
      <c r="G65" s="14" t="s">
        <v>194</v>
      </c>
      <c r="H65" s="14" t="s">
        <v>71</v>
      </c>
      <c r="I65" s="14" t="s">
        <v>142</v>
      </c>
      <c r="J65" s="14">
        <v>1</v>
      </c>
      <c r="K65" s="14" t="s">
        <v>143</v>
      </c>
      <c r="M65" s="14">
        <v>0</v>
      </c>
      <c r="N65" s="14" t="b">
        <v>1</v>
      </c>
      <c r="P65" s="14">
        <v>1</v>
      </c>
      <c r="Q65" s="14" t="s">
        <v>73</v>
      </c>
      <c r="R65" s="14">
        <v>999</v>
      </c>
      <c r="V65" s="14" t="s">
        <v>211</v>
      </c>
      <c r="W65" s="14" t="s">
        <v>116</v>
      </c>
      <c r="X65" s="14">
        <v>20001</v>
      </c>
      <c r="Y65" s="33" t="s">
        <v>212</v>
      </c>
      <c r="Z65" s="14">
        <v>40001</v>
      </c>
      <c r="AC65" s="29" t="s">
        <v>109</v>
      </c>
      <c r="AD65" s="30" t="s">
        <v>197</v>
      </c>
    </row>
    <row r="66" spans="2:30">
      <c r="B66" s="14">
        <f>30000000+INDEX(编号表!$B:$B,MATCH(G66,编号表!$A:$A,0))*10000+E66</f>
        <v>30070006</v>
      </c>
      <c r="C66" s="14" t="s">
        <v>213</v>
      </c>
      <c r="D66" s="14" t="s">
        <v>94</v>
      </c>
      <c r="E66" s="14">
        <v>6</v>
      </c>
      <c r="F66" s="14">
        <v>60</v>
      </c>
      <c r="G66" s="14" t="s">
        <v>194</v>
      </c>
      <c r="H66" s="14" t="s">
        <v>71</v>
      </c>
      <c r="I66" s="14" t="s">
        <v>142</v>
      </c>
      <c r="J66" s="14">
        <v>1</v>
      </c>
      <c r="K66" s="14" t="s">
        <v>143</v>
      </c>
      <c r="M66" s="14">
        <v>0</v>
      </c>
      <c r="N66" s="14" t="b">
        <v>1</v>
      </c>
      <c r="P66" s="14">
        <v>1</v>
      </c>
      <c r="Q66" s="14" t="s">
        <v>73</v>
      </c>
      <c r="R66" s="14">
        <v>999</v>
      </c>
      <c r="V66" s="14" t="s">
        <v>214</v>
      </c>
      <c r="W66" s="14" t="s">
        <v>116</v>
      </c>
      <c r="X66" s="14">
        <v>20001</v>
      </c>
      <c r="Y66" s="33" t="s">
        <v>215</v>
      </c>
      <c r="Z66" s="14">
        <v>40001</v>
      </c>
      <c r="AC66" s="29" t="s">
        <v>109</v>
      </c>
      <c r="AD66" s="30" t="s">
        <v>197</v>
      </c>
    </row>
    <row r="67" spans="2:30">
      <c r="B67" s="14">
        <f>30000000+INDEX(编号表!$B:$B,MATCH(G67,编号表!$A:$A,0))*10000+E67</f>
        <v>30070007</v>
      </c>
      <c r="C67" s="14" t="s">
        <v>216</v>
      </c>
      <c r="D67" s="14" t="s">
        <v>94</v>
      </c>
      <c r="E67" s="14">
        <v>7</v>
      </c>
      <c r="F67" s="14">
        <v>60</v>
      </c>
      <c r="G67" s="14" t="s">
        <v>194</v>
      </c>
      <c r="H67" s="14" t="s">
        <v>71</v>
      </c>
      <c r="I67" s="14" t="s">
        <v>142</v>
      </c>
      <c r="J67" s="14">
        <v>1</v>
      </c>
      <c r="K67" s="14" t="s">
        <v>143</v>
      </c>
      <c r="M67" s="14">
        <v>0</v>
      </c>
      <c r="N67" s="14" t="b">
        <v>1</v>
      </c>
      <c r="P67" s="14">
        <v>1</v>
      </c>
      <c r="Q67" s="14" t="s">
        <v>73</v>
      </c>
      <c r="R67" s="14">
        <v>999</v>
      </c>
      <c r="V67" s="14" t="s">
        <v>217</v>
      </c>
      <c r="W67" s="14" t="s">
        <v>116</v>
      </c>
      <c r="X67" s="14">
        <v>20001</v>
      </c>
      <c r="Y67" s="33" t="s">
        <v>218</v>
      </c>
      <c r="Z67" s="14">
        <v>40001</v>
      </c>
      <c r="AC67" s="29" t="s">
        <v>109</v>
      </c>
      <c r="AD67" s="30" t="s">
        <v>197</v>
      </c>
    </row>
    <row r="68" spans="2:30">
      <c r="B68" s="14">
        <f>30000000+INDEX(编号表!$B:$B,MATCH(G68,编号表!$A:$A,0))*10000+E68</f>
        <v>30070008</v>
      </c>
      <c r="C68" s="14" t="s">
        <v>219</v>
      </c>
      <c r="D68" s="14" t="s">
        <v>94</v>
      </c>
      <c r="E68" s="14">
        <v>8</v>
      </c>
      <c r="F68" s="14">
        <v>60</v>
      </c>
      <c r="G68" s="14" t="s">
        <v>194</v>
      </c>
      <c r="H68" s="14" t="s">
        <v>71</v>
      </c>
      <c r="I68" s="14" t="s">
        <v>142</v>
      </c>
      <c r="J68" s="14">
        <v>1</v>
      </c>
      <c r="K68" s="14" t="s">
        <v>143</v>
      </c>
      <c r="M68" s="14">
        <v>0</v>
      </c>
      <c r="N68" s="14" t="b">
        <v>1</v>
      </c>
      <c r="P68" s="14">
        <v>1</v>
      </c>
      <c r="Q68" s="14" t="s">
        <v>73</v>
      </c>
      <c r="R68" s="14">
        <v>999</v>
      </c>
      <c r="V68" s="14" t="s">
        <v>220</v>
      </c>
      <c r="W68" s="14" t="s">
        <v>221</v>
      </c>
      <c r="X68" s="14">
        <v>20001</v>
      </c>
      <c r="Y68" s="33" t="s">
        <v>222</v>
      </c>
      <c r="Z68" s="14">
        <v>40001</v>
      </c>
      <c r="AC68" s="29" t="s">
        <v>109</v>
      </c>
      <c r="AD68" s="30" t="s">
        <v>197</v>
      </c>
    </row>
    <row r="69" spans="2:30">
      <c r="B69" s="14">
        <f>30000000+INDEX(编号表!$B:$B,MATCH(G69,编号表!$A:$A,0))*10000+E69</f>
        <v>30070009</v>
      </c>
      <c r="C69" s="14" t="s">
        <v>223</v>
      </c>
      <c r="D69" s="14" t="s">
        <v>94</v>
      </c>
      <c r="E69" s="14">
        <v>9</v>
      </c>
      <c r="F69" s="14">
        <v>60</v>
      </c>
      <c r="G69" s="14" t="s">
        <v>194</v>
      </c>
      <c r="H69" s="14" t="s">
        <v>71</v>
      </c>
      <c r="I69" s="14" t="s">
        <v>142</v>
      </c>
      <c r="J69" s="14">
        <v>1</v>
      </c>
      <c r="K69" s="14" t="s">
        <v>143</v>
      </c>
      <c r="M69" s="14">
        <v>0</v>
      </c>
      <c r="N69" s="14" t="b">
        <v>1</v>
      </c>
      <c r="P69" s="14">
        <v>1</v>
      </c>
      <c r="Q69" s="14" t="s">
        <v>73</v>
      </c>
      <c r="R69" s="14">
        <v>999</v>
      </c>
      <c r="V69" s="14" t="s">
        <v>224</v>
      </c>
      <c r="W69" s="14" t="s">
        <v>225</v>
      </c>
      <c r="X69" s="14">
        <v>20001</v>
      </c>
      <c r="Y69" s="33" t="s">
        <v>226</v>
      </c>
      <c r="Z69" s="14">
        <v>40001</v>
      </c>
      <c r="AC69" s="29" t="s">
        <v>109</v>
      </c>
      <c r="AD69" s="30" t="s">
        <v>227</v>
      </c>
    </row>
    <row r="70" spans="2:30">
      <c r="B70" s="14">
        <f>30000000+INDEX(编号表!$B:$B,MATCH(G70,编号表!$A:$A,0))*10000+E70</f>
        <v>30070010</v>
      </c>
      <c r="C70" s="14" t="s">
        <v>228</v>
      </c>
      <c r="D70" s="14" t="s">
        <v>94</v>
      </c>
      <c r="E70" s="14">
        <v>10</v>
      </c>
      <c r="F70" s="14">
        <v>60</v>
      </c>
      <c r="G70" s="14" t="s">
        <v>194</v>
      </c>
      <c r="H70" s="14" t="s">
        <v>71</v>
      </c>
      <c r="I70" s="14" t="s">
        <v>142</v>
      </c>
      <c r="J70" s="14">
        <v>1</v>
      </c>
      <c r="K70" s="14" t="s">
        <v>143</v>
      </c>
      <c r="M70" s="14">
        <v>0</v>
      </c>
      <c r="N70" s="14" t="b">
        <v>1</v>
      </c>
      <c r="P70" s="14">
        <v>1</v>
      </c>
      <c r="Q70" s="14" t="s">
        <v>73</v>
      </c>
      <c r="R70" s="14">
        <v>999</v>
      </c>
      <c r="V70" s="14" t="s">
        <v>224</v>
      </c>
      <c r="W70" s="14" t="s">
        <v>225</v>
      </c>
      <c r="X70" s="14">
        <v>20001</v>
      </c>
      <c r="Y70" s="33" t="s">
        <v>229</v>
      </c>
      <c r="Z70" s="14">
        <v>40001</v>
      </c>
      <c r="AC70" s="29" t="s">
        <v>109</v>
      </c>
      <c r="AD70" s="30" t="s">
        <v>227</v>
      </c>
    </row>
    <row r="71" spans="2:30">
      <c r="B71" s="14">
        <f>30000000+INDEX(编号表!$B:$B,MATCH(G71,编号表!$A:$A,0))*10000+E71</f>
        <v>30070011</v>
      </c>
      <c r="C71" s="14" t="s">
        <v>230</v>
      </c>
      <c r="D71" s="14" t="s">
        <v>94</v>
      </c>
      <c r="E71" s="14">
        <v>11</v>
      </c>
      <c r="F71" s="14">
        <v>60</v>
      </c>
      <c r="G71" s="14" t="s">
        <v>194</v>
      </c>
      <c r="H71" s="14" t="s">
        <v>71</v>
      </c>
      <c r="I71" s="14" t="s">
        <v>142</v>
      </c>
      <c r="J71" s="14">
        <v>1</v>
      </c>
      <c r="K71" s="14" t="s">
        <v>143</v>
      </c>
      <c r="M71" s="14">
        <v>0</v>
      </c>
      <c r="N71" s="14" t="b">
        <v>1</v>
      </c>
      <c r="P71" s="14">
        <v>1</v>
      </c>
      <c r="Q71" s="14" t="s">
        <v>73</v>
      </c>
      <c r="R71" s="14">
        <v>999</v>
      </c>
      <c r="V71" s="14" t="s">
        <v>224</v>
      </c>
      <c r="W71" s="14" t="s">
        <v>225</v>
      </c>
      <c r="X71" s="14">
        <v>20001</v>
      </c>
      <c r="Y71" s="33" t="s">
        <v>231</v>
      </c>
      <c r="Z71" s="14">
        <v>40001</v>
      </c>
      <c r="AC71" s="29" t="s">
        <v>109</v>
      </c>
      <c r="AD71" s="30" t="s">
        <v>227</v>
      </c>
    </row>
    <row r="72" spans="2:30">
      <c r="B72" s="14">
        <f>30000000+INDEX(编号表!$B:$B,MATCH(G72,编号表!$A:$A,0))*10000+E72</f>
        <v>30070012</v>
      </c>
      <c r="C72" s="14" t="s">
        <v>232</v>
      </c>
      <c r="D72" s="14" t="s">
        <v>94</v>
      </c>
      <c r="E72" s="14">
        <v>12</v>
      </c>
      <c r="F72" s="14">
        <v>60</v>
      </c>
      <c r="G72" s="14" t="s">
        <v>194</v>
      </c>
      <c r="H72" s="14" t="s">
        <v>71</v>
      </c>
      <c r="I72" s="14" t="s">
        <v>142</v>
      </c>
      <c r="J72" s="14">
        <v>1</v>
      </c>
      <c r="K72" s="14" t="s">
        <v>143</v>
      </c>
      <c r="M72" s="14">
        <v>0</v>
      </c>
      <c r="N72" s="14" t="b">
        <v>1</v>
      </c>
      <c r="P72" s="14">
        <v>1</v>
      </c>
      <c r="Q72" s="14" t="s">
        <v>73</v>
      </c>
      <c r="R72" s="14">
        <v>999</v>
      </c>
      <c r="V72" s="14" t="s">
        <v>224</v>
      </c>
      <c r="W72" s="14" t="s">
        <v>225</v>
      </c>
      <c r="X72" s="14">
        <v>20001</v>
      </c>
      <c r="Y72" s="33" t="s">
        <v>233</v>
      </c>
      <c r="Z72" s="14">
        <v>40001</v>
      </c>
      <c r="AC72" s="29" t="s">
        <v>109</v>
      </c>
      <c r="AD72" s="30" t="s">
        <v>227</v>
      </c>
    </row>
    <row r="73" spans="2:30">
      <c r="B73" s="14">
        <f>30000000+INDEX(编号表!$B:$B,MATCH(G73,编号表!$A:$A,0))*10000+E73</f>
        <v>30070013</v>
      </c>
      <c r="C73" s="14" t="s">
        <v>234</v>
      </c>
      <c r="D73" s="14" t="s">
        <v>94</v>
      </c>
      <c r="E73" s="14">
        <v>13</v>
      </c>
      <c r="F73" s="14">
        <v>60</v>
      </c>
      <c r="G73" s="14" t="s">
        <v>194</v>
      </c>
      <c r="H73" s="14" t="s">
        <v>71</v>
      </c>
      <c r="I73" s="14" t="s">
        <v>142</v>
      </c>
      <c r="J73" s="14">
        <v>1</v>
      </c>
      <c r="K73" s="14" t="s">
        <v>143</v>
      </c>
      <c r="M73" s="14">
        <v>0</v>
      </c>
      <c r="N73" s="14" t="b">
        <v>1</v>
      </c>
      <c r="P73" s="14">
        <v>1</v>
      </c>
      <c r="Q73" s="14" t="s">
        <v>73</v>
      </c>
      <c r="R73" s="14">
        <v>999</v>
      </c>
      <c r="V73" s="14" t="s">
        <v>224</v>
      </c>
      <c r="W73" s="14" t="s">
        <v>225</v>
      </c>
      <c r="X73" s="14">
        <v>20001</v>
      </c>
      <c r="Y73" s="33" t="s">
        <v>235</v>
      </c>
      <c r="Z73" s="14">
        <v>40001</v>
      </c>
      <c r="AC73" s="29" t="s">
        <v>109</v>
      </c>
      <c r="AD73" s="30" t="s">
        <v>227</v>
      </c>
    </row>
    <row r="74" spans="2:30">
      <c r="B74" s="14">
        <f>30000000+INDEX(编号表!$B:$B,MATCH(G74,编号表!$A:$A,0))*10000+E74</f>
        <v>30070014</v>
      </c>
      <c r="C74" s="14" t="s">
        <v>236</v>
      </c>
      <c r="D74" s="14" t="s">
        <v>94</v>
      </c>
      <c r="E74" s="14">
        <v>14</v>
      </c>
      <c r="F74" s="14">
        <v>60</v>
      </c>
      <c r="G74" s="14" t="s">
        <v>194</v>
      </c>
      <c r="H74" s="14" t="s">
        <v>71</v>
      </c>
      <c r="I74" s="14" t="s">
        <v>142</v>
      </c>
      <c r="J74" s="14">
        <v>1</v>
      </c>
      <c r="K74" s="14" t="s">
        <v>143</v>
      </c>
      <c r="M74" s="14">
        <v>0</v>
      </c>
      <c r="N74" s="14" t="b">
        <v>1</v>
      </c>
      <c r="P74" s="14">
        <v>1</v>
      </c>
      <c r="Q74" s="14" t="s">
        <v>73</v>
      </c>
      <c r="R74" s="14">
        <v>999</v>
      </c>
      <c r="V74" s="14" t="s">
        <v>224</v>
      </c>
      <c r="W74" s="14" t="s">
        <v>225</v>
      </c>
      <c r="X74" s="14">
        <v>20001</v>
      </c>
      <c r="Y74" s="33" t="s">
        <v>237</v>
      </c>
      <c r="Z74" s="14">
        <v>40001</v>
      </c>
      <c r="AC74" s="29" t="s">
        <v>109</v>
      </c>
      <c r="AD74" s="30" t="s">
        <v>227</v>
      </c>
    </row>
    <row r="75" spans="2:30">
      <c r="B75" s="14">
        <f>30000000+INDEX(编号表!$B:$B,MATCH(G75,编号表!$A:$A,0))*10000+E75</f>
        <v>30070015</v>
      </c>
      <c r="C75" s="14" t="s">
        <v>238</v>
      </c>
      <c r="D75" s="14" t="s">
        <v>94</v>
      </c>
      <c r="E75" s="14">
        <v>15</v>
      </c>
      <c r="F75" s="14">
        <v>60</v>
      </c>
      <c r="G75" s="14" t="s">
        <v>194</v>
      </c>
      <c r="H75" s="14" t="s">
        <v>71</v>
      </c>
      <c r="I75" s="14" t="s">
        <v>142</v>
      </c>
      <c r="J75" s="14">
        <v>1</v>
      </c>
      <c r="K75" s="14" t="s">
        <v>143</v>
      </c>
      <c r="M75" s="14">
        <v>0</v>
      </c>
      <c r="N75" s="14" t="b">
        <v>1</v>
      </c>
      <c r="P75" s="14">
        <v>1</v>
      </c>
      <c r="Q75" s="14" t="s">
        <v>73</v>
      </c>
      <c r="R75" s="14">
        <v>999</v>
      </c>
      <c r="V75" s="14" t="s">
        <v>224</v>
      </c>
      <c r="W75" s="14" t="s">
        <v>225</v>
      </c>
      <c r="X75" s="14">
        <v>20001</v>
      </c>
      <c r="Y75" s="33" t="s">
        <v>239</v>
      </c>
      <c r="Z75" s="14">
        <v>40001</v>
      </c>
      <c r="AC75" s="29" t="s">
        <v>109</v>
      </c>
      <c r="AD75" s="30" t="s">
        <v>227</v>
      </c>
    </row>
    <row r="76" spans="2:30">
      <c r="B76" s="14">
        <f>30000000+INDEX(编号表!$B:$B,MATCH(G76,编号表!$A:$A,0))*10000+E76</f>
        <v>30070016</v>
      </c>
      <c r="C76" s="14" t="s">
        <v>240</v>
      </c>
      <c r="D76" s="14" t="s">
        <v>94</v>
      </c>
      <c r="E76" s="14">
        <v>16</v>
      </c>
      <c r="F76" s="14">
        <v>60</v>
      </c>
      <c r="G76" s="14" t="s">
        <v>194</v>
      </c>
      <c r="H76" s="14" t="s">
        <v>71</v>
      </c>
      <c r="I76" s="14" t="s">
        <v>142</v>
      </c>
      <c r="J76" s="14">
        <v>1</v>
      </c>
      <c r="K76" s="14" t="s">
        <v>143</v>
      </c>
      <c r="M76" s="14">
        <v>0</v>
      </c>
      <c r="N76" s="14" t="b">
        <v>1</v>
      </c>
      <c r="P76" s="14">
        <v>1</v>
      </c>
      <c r="Q76" s="14" t="s">
        <v>73</v>
      </c>
      <c r="R76" s="14">
        <v>999</v>
      </c>
      <c r="V76" s="14" t="s">
        <v>224</v>
      </c>
      <c r="W76" s="14" t="s">
        <v>225</v>
      </c>
      <c r="X76" s="14">
        <v>20001</v>
      </c>
      <c r="Y76" s="33" t="s">
        <v>241</v>
      </c>
      <c r="Z76" s="14">
        <v>40001</v>
      </c>
      <c r="AC76" s="29" t="s">
        <v>109</v>
      </c>
      <c r="AD76" s="30" t="s">
        <v>227</v>
      </c>
    </row>
    <row r="77" spans="2:30">
      <c r="B77" s="14">
        <f>30000000+INDEX(编号表!$B:$B,MATCH(G77,编号表!$A:$A,0))*10000+E77</f>
        <v>30070017</v>
      </c>
      <c r="C77" s="14" t="s">
        <v>242</v>
      </c>
      <c r="D77" s="14" t="s">
        <v>94</v>
      </c>
      <c r="E77" s="14">
        <v>17</v>
      </c>
      <c r="F77" s="14">
        <v>60</v>
      </c>
      <c r="G77" s="14" t="s">
        <v>194</v>
      </c>
      <c r="H77" s="14" t="s">
        <v>71</v>
      </c>
      <c r="I77" s="14" t="s">
        <v>142</v>
      </c>
      <c r="J77" s="14">
        <v>1</v>
      </c>
      <c r="K77" s="14" t="s">
        <v>143</v>
      </c>
      <c r="M77" s="14">
        <v>0</v>
      </c>
      <c r="N77" s="14" t="b">
        <v>1</v>
      </c>
      <c r="P77" s="14">
        <v>1</v>
      </c>
      <c r="Q77" s="14" t="s">
        <v>73</v>
      </c>
      <c r="R77" s="14">
        <v>999</v>
      </c>
      <c r="V77" s="14" t="s">
        <v>243</v>
      </c>
      <c r="W77" s="14" t="s">
        <v>221</v>
      </c>
      <c r="X77" s="14">
        <v>20001</v>
      </c>
      <c r="Y77" s="33" t="s">
        <v>244</v>
      </c>
      <c r="Z77" s="14">
        <v>40001</v>
      </c>
      <c r="AC77" s="29" t="s">
        <v>109</v>
      </c>
      <c r="AD77" s="30" t="s">
        <v>227</v>
      </c>
    </row>
    <row r="78" spans="2:30">
      <c r="B78" s="14">
        <f>30000000+INDEX(编号表!$B:$B,MATCH(G78,编号表!$A:$A,0))*10000+E78</f>
        <v>30070018</v>
      </c>
      <c r="C78" s="14" t="s">
        <v>245</v>
      </c>
      <c r="D78" s="14" t="s">
        <v>94</v>
      </c>
      <c r="E78" s="14">
        <v>18</v>
      </c>
      <c r="F78" s="14">
        <v>60</v>
      </c>
      <c r="G78" s="14" t="s">
        <v>194</v>
      </c>
      <c r="H78" s="14" t="s">
        <v>71</v>
      </c>
      <c r="I78" s="14" t="s">
        <v>142</v>
      </c>
      <c r="J78" s="14">
        <v>1</v>
      </c>
      <c r="K78" s="14" t="s">
        <v>143</v>
      </c>
      <c r="M78" s="14">
        <v>0</v>
      </c>
      <c r="N78" s="14" t="b">
        <v>1</v>
      </c>
      <c r="P78" s="14">
        <v>1</v>
      </c>
      <c r="Q78" s="14" t="s">
        <v>73</v>
      </c>
      <c r="R78" s="14">
        <v>999</v>
      </c>
      <c r="V78" s="14" t="s">
        <v>224</v>
      </c>
      <c r="W78" s="14" t="s">
        <v>225</v>
      </c>
      <c r="X78" s="14">
        <v>20001</v>
      </c>
      <c r="Y78" s="33" t="s">
        <v>246</v>
      </c>
      <c r="Z78" s="14">
        <v>40001</v>
      </c>
      <c r="AC78" s="29" t="s">
        <v>109</v>
      </c>
      <c r="AD78" s="30" t="s">
        <v>247</v>
      </c>
    </row>
    <row r="79" spans="2:30">
      <c r="B79" s="14">
        <f>30000000+INDEX(编号表!$B:$B,MATCH(G79,编号表!$A:$A,0))*10000+E79</f>
        <v>30070019</v>
      </c>
      <c r="C79" s="14" t="s">
        <v>248</v>
      </c>
      <c r="D79" s="14" t="s">
        <v>94</v>
      </c>
      <c r="E79" s="14">
        <v>19</v>
      </c>
      <c r="F79" s="14">
        <v>60</v>
      </c>
      <c r="G79" s="14" t="s">
        <v>194</v>
      </c>
      <c r="H79" s="14" t="s">
        <v>71</v>
      </c>
      <c r="I79" s="14" t="s">
        <v>142</v>
      </c>
      <c r="J79" s="14">
        <v>1</v>
      </c>
      <c r="K79" s="14" t="s">
        <v>143</v>
      </c>
      <c r="M79" s="14">
        <v>0</v>
      </c>
      <c r="N79" s="14" t="b">
        <v>1</v>
      </c>
      <c r="P79" s="14">
        <v>1</v>
      </c>
      <c r="Q79" s="14" t="s">
        <v>73</v>
      </c>
      <c r="R79" s="14">
        <v>999</v>
      </c>
      <c r="V79" s="14" t="s">
        <v>224</v>
      </c>
      <c r="W79" s="14" t="s">
        <v>225</v>
      </c>
      <c r="X79" s="14">
        <v>20001</v>
      </c>
      <c r="Y79" s="33" t="s">
        <v>249</v>
      </c>
      <c r="Z79" s="14">
        <v>40001</v>
      </c>
      <c r="AC79" s="29" t="s">
        <v>109</v>
      </c>
      <c r="AD79" s="30" t="s">
        <v>247</v>
      </c>
    </row>
    <row r="80" spans="2:30">
      <c r="B80" s="14">
        <f>30000000+INDEX(编号表!$B:$B,MATCH(G80,编号表!$A:$A,0))*10000+E80</f>
        <v>30070020</v>
      </c>
      <c r="C80" s="14" t="s">
        <v>250</v>
      </c>
      <c r="D80" s="14" t="s">
        <v>94</v>
      </c>
      <c r="E80" s="14">
        <v>20</v>
      </c>
      <c r="F80" s="14">
        <v>60</v>
      </c>
      <c r="G80" s="14" t="s">
        <v>194</v>
      </c>
      <c r="H80" s="14" t="s">
        <v>71</v>
      </c>
      <c r="I80" s="14" t="s">
        <v>142</v>
      </c>
      <c r="J80" s="14">
        <v>1</v>
      </c>
      <c r="K80" s="14" t="s">
        <v>143</v>
      </c>
      <c r="M80" s="14">
        <v>0</v>
      </c>
      <c r="N80" s="14" t="b">
        <v>1</v>
      </c>
      <c r="P80" s="14">
        <v>1</v>
      </c>
      <c r="Q80" s="14" t="s">
        <v>73</v>
      </c>
      <c r="R80" s="14">
        <v>999</v>
      </c>
      <c r="V80" s="14" t="s">
        <v>224</v>
      </c>
      <c r="W80" s="14" t="s">
        <v>225</v>
      </c>
      <c r="X80" s="14">
        <v>20001</v>
      </c>
      <c r="Y80" s="33" t="s">
        <v>251</v>
      </c>
      <c r="Z80" s="14">
        <v>40001</v>
      </c>
      <c r="AC80" s="29" t="s">
        <v>109</v>
      </c>
      <c r="AD80" s="30" t="s">
        <v>247</v>
      </c>
    </row>
    <row r="81" spans="2:30">
      <c r="B81" s="14">
        <f>30000000+INDEX(编号表!$B:$B,MATCH(G81,编号表!$A:$A,0))*10000+E81</f>
        <v>30070021</v>
      </c>
      <c r="C81" s="14" t="s">
        <v>252</v>
      </c>
      <c r="D81" s="14" t="s">
        <v>94</v>
      </c>
      <c r="E81" s="14">
        <v>21</v>
      </c>
      <c r="F81" s="14">
        <v>60</v>
      </c>
      <c r="G81" s="14" t="s">
        <v>194</v>
      </c>
      <c r="H81" s="14" t="s">
        <v>71</v>
      </c>
      <c r="I81" s="14" t="s">
        <v>142</v>
      </c>
      <c r="J81" s="14">
        <v>1</v>
      </c>
      <c r="K81" s="14" t="s">
        <v>143</v>
      </c>
      <c r="M81" s="14">
        <v>0</v>
      </c>
      <c r="N81" s="14" t="b">
        <v>1</v>
      </c>
      <c r="P81" s="14">
        <v>1</v>
      </c>
      <c r="Q81" s="14" t="s">
        <v>73</v>
      </c>
      <c r="R81" s="14">
        <v>999</v>
      </c>
      <c r="V81" s="14" t="s">
        <v>224</v>
      </c>
      <c r="W81" s="14" t="s">
        <v>225</v>
      </c>
      <c r="X81" s="14">
        <v>20001</v>
      </c>
      <c r="Y81" s="33" t="s">
        <v>253</v>
      </c>
      <c r="Z81" s="14">
        <v>40001</v>
      </c>
      <c r="AC81" s="29" t="s">
        <v>109</v>
      </c>
      <c r="AD81" s="30" t="s">
        <v>247</v>
      </c>
    </row>
    <row r="82" spans="2:30">
      <c r="B82" s="14">
        <f>30000000+INDEX(编号表!$B:$B,MATCH(G82,编号表!$A:$A,0))*10000+E82</f>
        <v>30070022</v>
      </c>
      <c r="C82" s="14" t="s">
        <v>254</v>
      </c>
      <c r="D82" s="14" t="s">
        <v>94</v>
      </c>
      <c r="E82" s="14">
        <v>22</v>
      </c>
      <c r="F82" s="14">
        <v>60</v>
      </c>
      <c r="G82" s="14" t="s">
        <v>194</v>
      </c>
      <c r="H82" s="14" t="s">
        <v>71</v>
      </c>
      <c r="I82" s="14" t="s">
        <v>142</v>
      </c>
      <c r="J82" s="14">
        <v>1</v>
      </c>
      <c r="K82" s="14" t="s">
        <v>143</v>
      </c>
      <c r="M82" s="14">
        <v>0</v>
      </c>
      <c r="N82" s="14" t="b">
        <v>1</v>
      </c>
      <c r="P82" s="14">
        <v>1</v>
      </c>
      <c r="Q82" s="14" t="s">
        <v>73</v>
      </c>
      <c r="R82" s="14">
        <v>999</v>
      </c>
      <c r="V82" s="14" t="s">
        <v>224</v>
      </c>
      <c r="W82" s="14" t="s">
        <v>225</v>
      </c>
      <c r="X82" s="14">
        <v>20001</v>
      </c>
      <c r="Y82" s="33" t="s">
        <v>255</v>
      </c>
      <c r="Z82" s="14">
        <v>40001</v>
      </c>
      <c r="AC82" s="29" t="s">
        <v>109</v>
      </c>
      <c r="AD82" s="30" t="s">
        <v>247</v>
      </c>
    </row>
    <row r="83" spans="2:30">
      <c r="B83" s="14">
        <f>30000000+INDEX(编号表!$B:$B,MATCH(G83,编号表!$A:$A,0))*10000+E83</f>
        <v>30070023</v>
      </c>
      <c r="C83" s="14" t="s">
        <v>256</v>
      </c>
      <c r="D83" s="14" t="s">
        <v>94</v>
      </c>
      <c r="E83" s="14">
        <v>23</v>
      </c>
      <c r="F83" s="14">
        <v>60</v>
      </c>
      <c r="G83" s="14" t="s">
        <v>194</v>
      </c>
      <c r="H83" s="14" t="s">
        <v>71</v>
      </c>
      <c r="I83" s="14" t="s">
        <v>142</v>
      </c>
      <c r="J83" s="14">
        <v>1</v>
      </c>
      <c r="K83" s="14" t="s">
        <v>143</v>
      </c>
      <c r="M83" s="14">
        <v>0</v>
      </c>
      <c r="N83" s="14" t="b">
        <v>1</v>
      </c>
      <c r="P83" s="14">
        <v>1</v>
      </c>
      <c r="Q83" s="14" t="s">
        <v>73</v>
      </c>
      <c r="R83" s="14">
        <v>999</v>
      </c>
      <c r="V83" s="14" t="s">
        <v>224</v>
      </c>
      <c r="W83" s="14" t="s">
        <v>225</v>
      </c>
      <c r="X83" s="14">
        <v>20001</v>
      </c>
      <c r="Y83" s="33" t="s">
        <v>257</v>
      </c>
      <c r="Z83" s="14">
        <v>40001</v>
      </c>
      <c r="AC83" s="29" t="s">
        <v>109</v>
      </c>
      <c r="AD83" s="30" t="s">
        <v>247</v>
      </c>
    </row>
    <row r="84" spans="2:30">
      <c r="B84" s="14">
        <f>30000000+INDEX(编号表!$B:$B,MATCH(G84,编号表!$A:$A,0))*10000+E84</f>
        <v>30070024</v>
      </c>
      <c r="C84" s="14" t="s">
        <v>258</v>
      </c>
      <c r="D84" s="14" t="s">
        <v>94</v>
      </c>
      <c r="E84" s="14">
        <v>24</v>
      </c>
      <c r="F84" s="14">
        <v>60</v>
      </c>
      <c r="G84" s="14" t="s">
        <v>194</v>
      </c>
      <c r="H84" s="14" t="s">
        <v>71</v>
      </c>
      <c r="I84" s="14" t="s">
        <v>142</v>
      </c>
      <c r="J84" s="14">
        <v>1</v>
      </c>
      <c r="K84" s="14" t="s">
        <v>143</v>
      </c>
      <c r="M84" s="14">
        <v>0</v>
      </c>
      <c r="N84" s="14" t="b">
        <v>1</v>
      </c>
      <c r="P84" s="14">
        <v>1</v>
      </c>
      <c r="Q84" s="14" t="s">
        <v>73</v>
      </c>
      <c r="R84" s="14">
        <v>999</v>
      </c>
      <c r="V84" s="14" t="s">
        <v>224</v>
      </c>
      <c r="W84" s="14" t="s">
        <v>225</v>
      </c>
      <c r="X84" s="14">
        <v>20001</v>
      </c>
      <c r="Y84" s="33" t="s">
        <v>259</v>
      </c>
      <c r="Z84" s="14">
        <v>40001</v>
      </c>
      <c r="AC84" s="29" t="s">
        <v>109</v>
      </c>
      <c r="AD84" s="30" t="s">
        <v>247</v>
      </c>
    </row>
    <row r="85" spans="2:30">
      <c r="B85" s="14">
        <f>30000000+INDEX(编号表!$B:$B,MATCH(G85,编号表!$A:$A,0))*10000+E85</f>
        <v>30070025</v>
      </c>
      <c r="C85" s="14" t="s">
        <v>260</v>
      </c>
      <c r="D85" s="14" t="s">
        <v>94</v>
      </c>
      <c r="E85" s="14">
        <v>25</v>
      </c>
      <c r="F85" s="14">
        <v>60</v>
      </c>
      <c r="G85" s="14" t="s">
        <v>194</v>
      </c>
      <c r="H85" s="14" t="s">
        <v>71</v>
      </c>
      <c r="I85" s="14" t="s">
        <v>142</v>
      </c>
      <c r="J85" s="14">
        <v>1</v>
      </c>
      <c r="K85" s="14" t="s">
        <v>143</v>
      </c>
      <c r="M85" s="14">
        <v>0</v>
      </c>
      <c r="N85" s="14" t="b">
        <v>1</v>
      </c>
      <c r="P85" s="14">
        <v>1</v>
      </c>
      <c r="Q85" s="14" t="s">
        <v>73</v>
      </c>
      <c r="R85" s="14">
        <v>999</v>
      </c>
      <c r="V85" s="14" t="s">
        <v>224</v>
      </c>
      <c r="W85" s="14" t="s">
        <v>225</v>
      </c>
      <c r="X85" s="14">
        <v>20001</v>
      </c>
      <c r="Y85" s="33" t="s">
        <v>261</v>
      </c>
      <c r="Z85" s="14">
        <v>40001</v>
      </c>
      <c r="AC85" s="29" t="s">
        <v>109</v>
      </c>
      <c r="AD85" s="30" t="s">
        <v>247</v>
      </c>
    </row>
    <row r="86" spans="2:30">
      <c r="B86" s="14">
        <f>30000000+INDEX(编号表!$B:$B,MATCH(G86,编号表!$A:$A,0))*10000+E86</f>
        <v>30070026</v>
      </c>
      <c r="C86" s="14" t="s">
        <v>262</v>
      </c>
      <c r="D86" s="14" t="s">
        <v>94</v>
      </c>
      <c r="E86" s="14">
        <v>26</v>
      </c>
      <c r="F86" s="14">
        <v>60</v>
      </c>
      <c r="G86" s="14" t="s">
        <v>194</v>
      </c>
      <c r="H86" s="14" t="s">
        <v>71</v>
      </c>
      <c r="I86" s="14" t="s">
        <v>142</v>
      </c>
      <c r="J86" s="14">
        <v>1</v>
      </c>
      <c r="K86" s="14" t="s">
        <v>143</v>
      </c>
      <c r="M86" s="14">
        <v>0</v>
      </c>
      <c r="N86" s="14" t="b">
        <v>1</v>
      </c>
      <c r="P86" s="14">
        <v>1</v>
      </c>
      <c r="Q86" s="14" t="s">
        <v>73</v>
      </c>
      <c r="R86" s="14">
        <v>999</v>
      </c>
      <c r="V86" s="14" t="s">
        <v>224</v>
      </c>
      <c r="W86" s="14" t="s">
        <v>225</v>
      </c>
      <c r="X86" s="14">
        <v>20001</v>
      </c>
      <c r="Y86" s="33" t="s">
        <v>263</v>
      </c>
      <c r="Z86" s="14">
        <v>40001</v>
      </c>
      <c r="AC86" s="29" t="s">
        <v>109</v>
      </c>
      <c r="AD86" s="30" t="s">
        <v>247</v>
      </c>
    </row>
    <row r="87" spans="2:30">
      <c r="B87" s="14">
        <f>30000000+INDEX(编号表!$B:$B,MATCH(G87,编号表!$A:$A,0))*10000+E87</f>
        <v>30070027</v>
      </c>
      <c r="C87" s="14" t="s">
        <v>264</v>
      </c>
      <c r="D87" s="14" t="s">
        <v>94</v>
      </c>
      <c r="E87" s="14">
        <v>27</v>
      </c>
      <c r="F87" s="14">
        <v>60</v>
      </c>
      <c r="G87" s="14" t="s">
        <v>194</v>
      </c>
      <c r="H87" s="14" t="s">
        <v>71</v>
      </c>
      <c r="I87" s="14" t="s">
        <v>142</v>
      </c>
      <c r="J87" s="14">
        <v>1</v>
      </c>
      <c r="K87" s="14" t="s">
        <v>143</v>
      </c>
      <c r="M87" s="14">
        <v>0</v>
      </c>
      <c r="N87" s="14" t="b">
        <v>1</v>
      </c>
      <c r="P87" s="14">
        <v>1</v>
      </c>
      <c r="Q87" s="14" t="s">
        <v>73</v>
      </c>
      <c r="R87" s="14">
        <v>999</v>
      </c>
      <c r="V87" s="14" t="s">
        <v>265</v>
      </c>
      <c r="W87" s="14" t="s">
        <v>221</v>
      </c>
      <c r="X87" s="14">
        <v>20001</v>
      </c>
      <c r="Y87" s="33" t="s">
        <v>266</v>
      </c>
      <c r="Z87" s="14">
        <v>40001</v>
      </c>
      <c r="AC87" s="29" t="s">
        <v>109</v>
      </c>
      <c r="AD87" s="30" t="s">
        <v>247</v>
      </c>
    </row>
    <row r="88" spans="2:30">
      <c r="B88" s="14">
        <v>31060000</v>
      </c>
      <c r="C88" s="14" t="s">
        <v>267</v>
      </c>
      <c r="D88" s="14" t="s">
        <v>69</v>
      </c>
      <c r="E88" s="14">
        <v>0</v>
      </c>
      <c r="F88" s="14">
        <v>60</v>
      </c>
      <c r="G88" s="14" t="s">
        <v>268</v>
      </c>
      <c r="H88" s="14" t="s">
        <v>71</v>
      </c>
      <c r="I88" s="14" t="s">
        <v>142</v>
      </c>
      <c r="J88" s="14">
        <v>1</v>
      </c>
      <c r="K88" s="14" t="s">
        <v>143</v>
      </c>
      <c r="M88" s="14">
        <v>0</v>
      </c>
      <c r="N88" s="14" t="b">
        <v>1</v>
      </c>
      <c r="P88" s="14">
        <v>1</v>
      </c>
      <c r="Q88" s="14" t="s">
        <v>73</v>
      </c>
      <c r="R88" s="14">
        <v>999</v>
      </c>
      <c r="V88" s="14" t="s">
        <v>269</v>
      </c>
      <c r="W88" s="14" t="s">
        <v>139</v>
      </c>
      <c r="X88" s="14">
        <v>20001</v>
      </c>
      <c r="Y88" s="14" t="s">
        <v>270</v>
      </c>
      <c r="Z88" s="14">
        <v>40001</v>
      </c>
      <c r="AC88" s="29" t="s">
        <v>109</v>
      </c>
      <c r="AD88" s="14" t="s">
        <v>271</v>
      </c>
    </row>
    <row r="89" spans="2:30">
      <c r="B89" s="14">
        <v>31060001</v>
      </c>
      <c r="C89" s="14" t="s">
        <v>272</v>
      </c>
      <c r="D89" s="14" t="s">
        <v>69</v>
      </c>
      <c r="E89" s="14">
        <v>1</v>
      </c>
      <c r="F89" s="14">
        <v>60</v>
      </c>
      <c r="G89" s="14" t="s">
        <v>268</v>
      </c>
      <c r="H89" s="14" t="s">
        <v>71</v>
      </c>
      <c r="I89" s="14" t="s">
        <v>142</v>
      </c>
      <c r="J89" s="14">
        <v>1</v>
      </c>
      <c r="K89" s="14" t="s">
        <v>143</v>
      </c>
      <c r="M89" s="14">
        <v>0</v>
      </c>
      <c r="N89" s="14" t="b">
        <v>1</v>
      </c>
      <c r="P89" s="14">
        <v>1</v>
      </c>
      <c r="Q89" s="14" t="s">
        <v>73</v>
      </c>
      <c r="R89" s="14">
        <v>999</v>
      </c>
      <c r="V89" s="14" t="s">
        <v>269</v>
      </c>
      <c r="W89" s="14" t="s">
        <v>139</v>
      </c>
      <c r="X89" s="14">
        <v>20001</v>
      </c>
      <c r="Y89" s="14" t="s">
        <v>273</v>
      </c>
      <c r="Z89" s="14">
        <v>40001</v>
      </c>
      <c r="AC89" s="29" t="s">
        <v>109</v>
      </c>
      <c r="AD89" s="14" t="s">
        <v>271</v>
      </c>
    </row>
    <row r="90" spans="2:30">
      <c r="B90" s="14">
        <v>31060002</v>
      </c>
      <c r="C90" s="14" t="s">
        <v>274</v>
      </c>
      <c r="D90" s="14" t="s">
        <v>69</v>
      </c>
      <c r="E90" s="14">
        <v>2</v>
      </c>
      <c r="F90" s="14">
        <v>60</v>
      </c>
      <c r="G90" s="14" t="s">
        <v>268</v>
      </c>
      <c r="H90" s="14" t="s">
        <v>71</v>
      </c>
      <c r="I90" s="14" t="s">
        <v>142</v>
      </c>
      <c r="J90" s="14">
        <v>1</v>
      </c>
      <c r="K90" s="14" t="s">
        <v>143</v>
      </c>
      <c r="M90" s="14">
        <v>0</v>
      </c>
      <c r="N90" s="14" t="b">
        <v>1</v>
      </c>
      <c r="P90" s="14">
        <v>1</v>
      </c>
      <c r="Q90" s="14" t="s">
        <v>73</v>
      </c>
      <c r="R90" s="14">
        <v>999</v>
      </c>
      <c r="V90" s="14" t="s">
        <v>269</v>
      </c>
      <c r="W90" s="14" t="s">
        <v>139</v>
      </c>
      <c r="X90" s="14">
        <v>20001</v>
      </c>
      <c r="Y90" s="14" t="s">
        <v>275</v>
      </c>
      <c r="Z90" s="14">
        <v>40001</v>
      </c>
      <c r="AC90" s="29" t="s">
        <v>109</v>
      </c>
      <c r="AD90" s="14" t="s">
        <v>271</v>
      </c>
    </row>
    <row r="91" spans="2:30">
      <c r="B91" s="14">
        <v>31060003</v>
      </c>
      <c r="C91" s="14" t="s">
        <v>276</v>
      </c>
      <c r="D91" s="14" t="s">
        <v>69</v>
      </c>
      <c r="E91" s="14">
        <v>3</v>
      </c>
      <c r="F91" s="14">
        <v>60</v>
      </c>
      <c r="G91" s="14" t="s">
        <v>268</v>
      </c>
      <c r="H91" s="14" t="s">
        <v>71</v>
      </c>
      <c r="I91" s="14" t="s">
        <v>142</v>
      </c>
      <c r="J91" s="14">
        <v>1</v>
      </c>
      <c r="K91" s="14" t="s">
        <v>143</v>
      </c>
      <c r="M91" s="14">
        <v>0</v>
      </c>
      <c r="N91" s="14" t="b">
        <v>1</v>
      </c>
      <c r="P91" s="14">
        <v>1</v>
      </c>
      <c r="Q91" s="14" t="s">
        <v>73</v>
      </c>
      <c r="R91" s="14">
        <v>999</v>
      </c>
      <c r="V91" s="14" t="s">
        <v>269</v>
      </c>
      <c r="W91" s="14" t="s">
        <v>139</v>
      </c>
      <c r="X91" s="14">
        <v>20001</v>
      </c>
      <c r="Y91" s="14" t="s">
        <v>277</v>
      </c>
      <c r="Z91" s="14">
        <v>40001</v>
      </c>
      <c r="AC91" s="29" t="s">
        <v>109</v>
      </c>
      <c r="AD91" s="14" t="s">
        <v>271</v>
      </c>
    </row>
    <row r="92" spans="2:30">
      <c r="B92" s="14">
        <v>34050001</v>
      </c>
      <c r="C92" s="14" t="s">
        <v>278</v>
      </c>
      <c r="D92" s="14" t="s">
        <v>69</v>
      </c>
      <c r="E92" s="14">
        <v>1</v>
      </c>
      <c r="F92" s="14">
        <v>60</v>
      </c>
      <c r="G92" s="14" t="s">
        <v>279</v>
      </c>
      <c r="H92" s="14" t="s">
        <v>71</v>
      </c>
      <c r="I92" s="14" t="s">
        <v>280</v>
      </c>
      <c r="J92" s="14">
        <v>1</v>
      </c>
      <c r="K92" s="14" t="s">
        <v>279</v>
      </c>
      <c r="M92" s="14">
        <v>0</v>
      </c>
      <c r="N92" s="14" t="b">
        <v>1</v>
      </c>
      <c r="P92" s="14">
        <v>1</v>
      </c>
      <c r="Q92" s="14" t="s">
        <v>73</v>
      </c>
      <c r="R92" s="14">
        <v>999</v>
      </c>
      <c r="S92" s="14" t="s">
        <v>281</v>
      </c>
      <c r="T92" s="14">
        <v>21001801</v>
      </c>
      <c r="V92" s="14" t="s">
        <v>282</v>
      </c>
      <c r="W92" s="14" t="s">
        <v>107</v>
      </c>
      <c r="X92" s="14">
        <v>20001</v>
      </c>
      <c r="Y92" s="31" t="s">
        <v>173</v>
      </c>
      <c r="Z92" s="14">
        <v>40001</v>
      </c>
      <c r="AC92" s="30" t="s">
        <v>283</v>
      </c>
      <c r="AD92" s="30" t="s">
        <v>278</v>
      </c>
    </row>
    <row r="93" ht="16.5" customHeight="1" spans="2:30">
      <c r="B93" s="14">
        <v>34050002</v>
      </c>
      <c r="C93" s="14" t="s">
        <v>284</v>
      </c>
      <c r="D93" s="14" t="s">
        <v>69</v>
      </c>
      <c r="E93" s="14">
        <v>2</v>
      </c>
      <c r="F93" s="14">
        <v>60</v>
      </c>
      <c r="G93" s="14" t="s">
        <v>279</v>
      </c>
      <c r="H93" s="14" t="s">
        <v>71</v>
      </c>
      <c r="I93" s="14" t="s">
        <v>280</v>
      </c>
      <c r="J93" s="14">
        <v>1</v>
      </c>
      <c r="K93" s="14" t="s">
        <v>279</v>
      </c>
      <c r="M93" s="14">
        <v>0</v>
      </c>
      <c r="N93" s="14" t="b">
        <v>1</v>
      </c>
      <c r="P93" s="14">
        <v>10</v>
      </c>
      <c r="Q93" s="14" t="s">
        <v>73</v>
      </c>
      <c r="R93" s="14">
        <v>999</v>
      </c>
      <c r="T93" s="14">
        <v>21001802</v>
      </c>
      <c r="V93" s="14" t="s">
        <v>285</v>
      </c>
      <c r="W93" s="14" t="s">
        <v>113</v>
      </c>
      <c r="X93" s="14">
        <v>20001</v>
      </c>
      <c r="Y93" s="31" t="s">
        <v>286</v>
      </c>
      <c r="Z93" s="14">
        <v>40001</v>
      </c>
      <c r="AC93" s="30" t="s">
        <v>283</v>
      </c>
      <c r="AD93" s="30" t="s">
        <v>284</v>
      </c>
    </row>
    <row r="94" ht="16.5" customHeight="1" spans="2:30">
      <c r="B94" s="14">
        <v>34050003</v>
      </c>
      <c r="C94" s="14" t="s">
        <v>287</v>
      </c>
      <c r="D94" s="14" t="s">
        <v>69</v>
      </c>
      <c r="E94" s="14">
        <v>3</v>
      </c>
      <c r="F94" s="14">
        <v>60</v>
      </c>
      <c r="G94" s="14" t="s">
        <v>279</v>
      </c>
      <c r="H94" s="14" t="s">
        <v>71</v>
      </c>
      <c r="I94" s="14" t="s">
        <v>280</v>
      </c>
      <c r="J94" s="14">
        <v>1</v>
      </c>
      <c r="K94" s="14" t="s">
        <v>279</v>
      </c>
      <c r="M94" s="14">
        <v>0</v>
      </c>
      <c r="N94" s="14" t="b">
        <v>1</v>
      </c>
      <c r="P94" s="14">
        <v>20</v>
      </c>
      <c r="Q94" s="14" t="s">
        <v>73</v>
      </c>
      <c r="R94" s="14">
        <v>999</v>
      </c>
      <c r="T94" s="14">
        <v>21001803</v>
      </c>
      <c r="V94" s="14" t="s">
        <v>288</v>
      </c>
      <c r="W94" s="14" t="s">
        <v>116</v>
      </c>
      <c r="X94" s="14">
        <v>20001</v>
      </c>
      <c r="Y94" s="31" t="s">
        <v>289</v>
      </c>
      <c r="Z94" s="14">
        <v>40001</v>
      </c>
      <c r="AC94" s="30" t="s">
        <v>283</v>
      </c>
      <c r="AD94" s="30" t="s">
        <v>287</v>
      </c>
    </row>
    <row r="95" ht="16.5" customHeight="1" spans="2:30">
      <c r="B95" s="14">
        <v>34050004</v>
      </c>
      <c r="C95" s="14" t="s">
        <v>290</v>
      </c>
      <c r="D95" s="14" t="s">
        <v>69</v>
      </c>
      <c r="E95" s="14">
        <v>4</v>
      </c>
      <c r="F95" s="14">
        <v>60</v>
      </c>
      <c r="G95" s="14" t="s">
        <v>279</v>
      </c>
      <c r="H95" s="14" t="s">
        <v>71</v>
      </c>
      <c r="I95" s="14" t="s">
        <v>280</v>
      </c>
      <c r="J95" s="14">
        <v>1</v>
      </c>
      <c r="K95" s="14" t="s">
        <v>279</v>
      </c>
      <c r="M95" s="14">
        <v>0</v>
      </c>
      <c r="N95" s="14" t="b">
        <v>1</v>
      </c>
      <c r="P95" s="14">
        <v>1</v>
      </c>
      <c r="Q95" s="14" t="s">
        <v>73</v>
      </c>
      <c r="R95" s="14">
        <v>999</v>
      </c>
      <c r="S95" s="14" t="s">
        <v>281</v>
      </c>
      <c r="T95" s="14">
        <v>21001701</v>
      </c>
      <c r="V95" s="14" t="s">
        <v>291</v>
      </c>
      <c r="W95" s="14" t="s">
        <v>107</v>
      </c>
      <c r="X95" s="14">
        <v>20001</v>
      </c>
      <c r="Y95" s="34" t="s">
        <v>292</v>
      </c>
      <c r="Z95" s="14">
        <v>40001</v>
      </c>
      <c r="AC95" s="30" t="s">
        <v>283</v>
      </c>
      <c r="AD95" s="30" t="s">
        <v>293</v>
      </c>
    </row>
    <row r="96" ht="16.5" customHeight="1" spans="2:30">
      <c r="B96" s="14">
        <v>34050005</v>
      </c>
      <c r="C96" s="14" t="s">
        <v>294</v>
      </c>
      <c r="D96" s="14" t="s">
        <v>69</v>
      </c>
      <c r="E96" s="14">
        <v>5</v>
      </c>
      <c r="F96" s="14">
        <v>60</v>
      </c>
      <c r="G96" s="14" t="s">
        <v>279</v>
      </c>
      <c r="H96" s="14" t="s">
        <v>71</v>
      </c>
      <c r="I96" s="14" t="s">
        <v>280</v>
      </c>
      <c r="J96" s="14">
        <v>1</v>
      </c>
      <c r="K96" s="14" t="s">
        <v>279</v>
      </c>
      <c r="M96" s="14">
        <v>0</v>
      </c>
      <c r="N96" s="14" t="b">
        <v>1</v>
      </c>
      <c r="P96" s="14">
        <v>10</v>
      </c>
      <c r="Q96" s="14" t="s">
        <v>73</v>
      </c>
      <c r="R96" s="14">
        <v>999</v>
      </c>
      <c r="T96" s="14">
        <v>21001702</v>
      </c>
      <c r="V96" s="14" t="s">
        <v>295</v>
      </c>
      <c r="W96" s="14" t="s">
        <v>113</v>
      </c>
      <c r="X96" s="14">
        <v>20001</v>
      </c>
      <c r="Y96" s="34" t="s">
        <v>296</v>
      </c>
      <c r="Z96" s="14">
        <v>40001</v>
      </c>
      <c r="AC96" s="30" t="s">
        <v>283</v>
      </c>
      <c r="AD96" s="30" t="s">
        <v>297</v>
      </c>
    </row>
    <row r="97" ht="16.5" customHeight="1" spans="2:30">
      <c r="B97" s="14">
        <v>34050006</v>
      </c>
      <c r="C97" s="14" t="s">
        <v>298</v>
      </c>
      <c r="D97" s="14" t="s">
        <v>69</v>
      </c>
      <c r="E97" s="14">
        <v>6</v>
      </c>
      <c r="F97" s="14">
        <v>60</v>
      </c>
      <c r="G97" s="14" t="s">
        <v>279</v>
      </c>
      <c r="H97" s="14" t="s">
        <v>71</v>
      </c>
      <c r="I97" s="14" t="s">
        <v>280</v>
      </c>
      <c r="J97" s="14">
        <v>1</v>
      </c>
      <c r="K97" s="14" t="s">
        <v>279</v>
      </c>
      <c r="M97" s="14">
        <v>0</v>
      </c>
      <c r="N97" s="14" t="b">
        <v>1</v>
      </c>
      <c r="P97" s="14">
        <v>20</v>
      </c>
      <c r="Q97" s="14" t="s">
        <v>73</v>
      </c>
      <c r="R97" s="14">
        <v>999</v>
      </c>
      <c r="T97" s="14">
        <v>21001703</v>
      </c>
      <c r="V97" s="14" t="s">
        <v>299</v>
      </c>
      <c r="W97" s="14" t="s">
        <v>116</v>
      </c>
      <c r="X97" s="14">
        <v>20001</v>
      </c>
      <c r="Y97" s="34" t="s">
        <v>300</v>
      </c>
      <c r="Z97" s="14">
        <v>40001</v>
      </c>
      <c r="AC97" s="30" t="s">
        <v>283</v>
      </c>
      <c r="AD97" s="30" t="s">
        <v>301</v>
      </c>
    </row>
    <row r="98" ht="16.5" customHeight="1" spans="2:30">
      <c r="B98" s="14">
        <v>34050007</v>
      </c>
      <c r="C98" s="14" t="s">
        <v>293</v>
      </c>
      <c r="D98" s="14" t="s">
        <v>69</v>
      </c>
      <c r="E98" s="14">
        <v>7</v>
      </c>
      <c r="F98" s="14">
        <v>60</v>
      </c>
      <c r="G98" s="14" t="s">
        <v>279</v>
      </c>
      <c r="H98" s="14" t="s">
        <v>71</v>
      </c>
      <c r="I98" s="14" t="s">
        <v>280</v>
      </c>
      <c r="J98" s="14">
        <v>1</v>
      </c>
      <c r="K98" s="14" t="s">
        <v>279</v>
      </c>
      <c r="M98" s="14">
        <v>0</v>
      </c>
      <c r="N98" s="14" t="b">
        <v>1</v>
      </c>
      <c r="P98" s="14">
        <v>20</v>
      </c>
      <c r="Q98" s="14" t="s">
        <v>73</v>
      </c>
      <c r="R98" s="14">
        <v>999</v>
      </c>
      <c r="T98" s="14">
        <v>21003701</v>
      </c>
      <c r="V98" s="14" t="s">
        <v>302</v>
      </c>
      <c r="W98" s="14" t="s">
        <v>116</v>
      </c>
      <c r="X98" s="14">
        <v>20001</v>
      </c>
      <c r="Y98" s="34" t="s">
        <v>303</v>
      </c>
      <c r="Z98" s="14">
        <v>40001</v>
      </c>
      <c r="AC98" s="30" t="s">
        <v>283</v>
      </c>
      <c r="AD98" s="30" t="s">
        <v>293</v>
      </c>
    </row>
    <row r="99" ht="16.5" customHeight="1" spans="2:30">
      <c r="B99" s="14">
        <v>34050008</v>
      </c>
      <c r="C99" s="14" t="s">
        <v>297</v>
      </c>
      <c r="D99" s="14" t="s">
        <v>69</v>
      </c>
      <c r="E99" s="14">
        <v>8</v>
      </c>
      <c r="F99" s="14">
        <v>60</v>
      </c>
      <c r="G99" s="14" t="s">
        <v>279</v>
      </c>
      <c r="H99" s="14" t="s">
        <v>71</v>
      </c>
      <c r="I99" s="14" t="s">
        <v>280</v>
      </c>
      <c r="J99" s="14">
        <v>1</v>
      </c>
      <c r="K99" s="14" t="s">
        <v>279</v>
      </c>
      <c r="M99" s="14">
        <v>0</v>
      </c>
      <c r="N99" s="14" t="b">
        <v>1</v>
      </c>
      <c r="P99" s="14">
        <v>20</v>
      </c>
      <c r="Q99" s="14" t="s">
        <v>73</v>
      </c>
      <c r="R99" s="14">
        <v>999</v>
      </c>
      <c r="T99" s="14">
        <v>21003702</v>
      </c>
      <c r="V99" s="14" t="s">
        <v>302</v>
      </c>
      <c r="W99" s="14" t="s">
        <v>116</v>
      </c>
      <c r="X99" s="14">
        <v>20001</v>
      </c>
      <c r="Y99" s="34" t="s">
        <v>304</v>
      </c>
      <c r="Z99" s="14">
        <v>40001</v>
      </c>
      <c r="AC99" s="30" t="s">
        <v>283</v>
      </c>
      <c r="AD99" s="30" t="s">
        <v>297</v>
      </c>
    </row>
    <row r="100" ht="14" customHeight="1" spans="2:30">
      <c r="B100" s="14">
        <v>34050009</v>
      </c>
      <c r="C100" s="14" t="s">
        <v>301</v>
      </c>
      <c r="D100" s="14" t="s">
        <v>69</v>
      </c>
      <c r="E100" s="14">
        <v>9</v>
      </c>
      <c r="F100" s="14">
        <v>60</v>
      </c>
      <c r="G100" s="14" t="s">
        <v>279</v>
      </c>
      <c r="H100" s="14" t="s">
        <v>71</v>
      </c>
      <c r="I100" s="14" t="s">
        <v>280</v>
      </c>
      <c r="J100" s="14">
        <v>1</v>
      </c>
      <c r="K100" s="14" t="s">
        <v>279</v>
      </c>
      <c r="M100" s="14">
        <v>0</v>
      </c>
      <c r="N100" s="14" t="b">
        <v>1</v>
      </c>
      <c r="P100" s="14">
        <v>20</v>
      </c>
      <c r="Q100" s="14" t="s">
        <v>73</v>
      </c>
      <c r="R100" s="14">
        <v>999</v>
      </c>
      <c r="T100" s="14">
        <v>21003703</v>
      </c>
      <c r="V100" s="14" t="s">
        <v>302</v>
      </c>
      <c r="W100" s="14" t="s">
        <v>116</v>
      </c>
      <c r="X100" s="14">
        <v>20001</v>
      </c>
      <c r="Y100" s="34" t="s">
        <v>305</v>
      </c>
      <c r="Z100" s="14">
        <v>40001</v>
      </c>
      <c r="AC100" s="30" t="s">
        <v>283</v>
      </c>
      <c r="AD100" s="30" t="s">
        <v>301</v>
      </c>
    </row>
    <row r="101" ht="14" customHeight="1" spans="2:30">
      <c r="B101" s="14">
        <v>34050010</v>
      </c>
      <c r="C101" s="14" t="s">
        <v>306</v>
      </c>
      <c r="D101" s="14" t="s">
        <v>69</v>
      </c>
      <c r="E101" s="14">
        <v>10</v>
      </c>
      <c r="F101" s="14">
        <v>60</v>
      </c>
      <c r="G101" s="14" t="s">
        <v>279</v>
      </c>
      <c r="H101" s="14" t="s">
        <v>71</v>
      </c>
      <c r="I101" s="14" t="s">
        <v>280</v>
      </c>
      <c r="J101" s="14">
        <v>1</v>
      </c>
      <c r="K101" s="14" t="s">
        <v>279</v>
      </c>
      <c r="M101" s="14">
        <v>0</v>
      </c>
      <c r="N101" s="14" t="b">
        <v>1</v>
      </c>
      <c r="P101" s="14">
        <v>20</v>
      </c>
      <c r="Q101" s="14" t="s">
        <v>73</v>
      </c>
      <c r="R101" s="14">
        <v>999</v>
      </c>
      <c r="S101" s="14" t="s">
        <v>95</v>
      </c>
      <c r="T101" s="14">
        <v>50003</v>
      </c>
      <c r="U101" s="14">
        <v>0</v>
      </c>
      <c r="V101" s="14" t="s">
        <v>302</v>
      </c>
      <c r="W101" s="14" t="s">
        <v>116</v>
      </c>
      <c r="X101" s="14">
        <v>20001</v>
      </c>
      <c r="Y101" s="34" t="s">
        <v>307</v>
      </c>
      <c r="Z101" s="14">
        <v>40001</v>
      </c>
      <c r="AC101" s="30" t="s">
        <v>283</v>
      </c>
      <c r="AD101" s="30" t="s">
        <v>306</v>
      </c>
    </row>
    <row r="102" ht="14" customHeight="1" spans="2:30">
      <c r="B102" s="14">
        <f>30000000+INDEX(编号表!$B:$B,MATCH(G102,编号表!$A:$A,0))*10000+E102</f>
        <v>30080000</v>
      </c>
      <c r="C102" s="14" t="s">
        <v>308</v>
      </c>
      <c r="D102" s="14" t="s">
        <v>101</v>
      </c>
      <c r="E102" s="14">
        <v>0</v>
      </c>
      <c r="F102" s="14">
        <v>60</v>
      </c>
      <c r="G102" s="14" t="s">
        <v>309</v>
      </c>
      <c r="H102" s="14" t="s">
        <v>71</v>
      </c>
      <c r="I102" s="14" t="s">
        <v>310</v>
      </c>
      <c r="J102" s="14">
        <v>0</v>
      </c>
      <c r="K102" s="14" t="s">
        <v>309</v>
      </c>
      <c r="M102" s="14">
        <v>0</v>
      </c>
      <c r="N102" s="14" t="b">
        <v>0</v>
      </c>
      <c r="P102" s="14">
        <v>1</v>
      </c>
      <c r="Q102" s="14" t="s">
        <v>73</v>
      </c>
      <c r="R102" s="14">
        <v>1</v>
      </c>
      <c r="V102" s="14" t="s">
        <v>311</v>
      </c>
      <c r="W102" s="14" t="s">
        <v>96</v>
      </c>
      <c r="X102" s="14">
        <v>20001</v>
      </c>
      <c r="Y102" s="34" t="s">
        <v>312</v>
      </c>
      <c r="Z102" s="14">
        <v>40001</v>
      </c>
      <c r="AC102" s="30"/>
      <c r="AD102" s="30"/>
    </row>
    <row r="103" ht="14" customHeight="1" spans="2:30">
      <c r="B103" s="14">
        <f>30000000+INDEX(编号表!$B:$B,MATCH(G103,编号表!$A:$A,0))*10000+E103</f>
        <v>30080001</v>
      </c>
      <c r="C103" s="14" t="s">
        <v>313</v>
      </c>
      <c r="D103" s="14" t="s">
        <v>101</v>
      </c>
      <c r="E103" s="14">
        <v>1</v>
      </c>
      <c r="F103" s="14">
        <v>60</v>
      </c>
      <c r="G103" s="14" t="s">
        <v>309</v>
      </c>
      <c r="H103" s="14" t="s">
        <v>71</v>
      </c>
      <c r="I103" s="14" t="s">
        <v>310</v>
      </c>
      <c r="J103" s="14">
        <v>0</v>
      </c>
      <c r="K103" s="14" t="s">
        <v>309</v>
      </c>
      <c r="M103" s="14">
        <v>0</v>
      </c>
      <c r="N103" s="14" t="b">
        <v>0</v>
      </c>
      <c r="P103" s="14">
        <v>1</v>
      </c>
      <c r="Q103" s="14" t="s">
        <v>73</v>
      </c>
      <c r="R103" s="14">
        <v>1</v>
      </c>
      <c r="V103" s="14" t="s">
        <v>311</v>
      </c>
      <c r="W103" s="14" t="s">
        <v>96</v>
      </c>
      <c r="X103" s="14">
        <v>20001</v>
      </c>
      <c r="Y103" s="34" t="s">
        <v>312</v>
      </c>
      <c r="Z103" s="14">
        <v>40001</v>
      </c>
      <c r="AC103" s="30"/>
      <c r="AD103" s="30"/>
    </row>
    <row r="104" ht="14" customHeight="1" spans="2:30">
      <c r="B104" s="14">
        <f>30000000+INDEX(编号表!$B:$B,MATCH(G104,编号表!$A:$A,0))*10000+E104</f>
        <v>30080002</v>
      </c>
      <c r="C104" s="14" t="s">
        <v>314</v>
      </c>
      <c r="D104" s="14" t="s">
        <v>101</v>
      </c>
      <c r="E104" s="14">
        <v>2</v>
      </c>
      <c r="F104" s="14">
        <v>60</v>
      </c>
      <c r="G104" s="14" t="s">
        <v>309</v>
      </c>
      <c r="H104" s="14" t="s">
        <v>71</v>
      </c>
      <c r="I104" s="14" t="s">
        <v>310</v>
      </c>
      <c r="J104" s="14">
        <v>0</v>
      </c>
      <c r="K104" s="14" t="s">
        <v>309</v>
      </c>
      <c r="M104" s="14">
        <v>0</v>
      </c>
      <c r="N104" s="14" t="b">
        <v>0</v>
      </c>
      <c r="P104" s="14">
        <v>1</v>
      </c>
      <c r="Q104" s="14" t="s">
        <v>73</v>
      </c>
      <c r="R104" s="14">
        <v>1</v>
      </c>
      <c r="V104" s="14" t="s">
        <v>311</v>
      </c>
      <c r="W104" s="14" t="s">
        <v>96</v>
      </c>
      <c r="X104" s="14">
        <v>20001</v>
      </c>
      <c r="Y104" s="34" t="s">
        <v>312</v>
      </c>
      <c r="Z104" s="14">
        <v>40001</v>
      </c>
      <c r="AC104" s="30"/>
      <c r="AD104" s="30"/>
    </row>
    <row r="105" ht="16.5" customHeight="1" spans="2:30">
      <c r="B105" s="14">
        <f>30000000+INDEX(编号表!$B:$B,MATCH(G105,编号表!$A:$A,0))*10000+E105</f>
        <v>30080003</v>
      </c>
      <c r="C105" s="14" t="s">
        <v>315</v>
      </c>
      <c r="D105" s="14" t="s">
        <v>101</v>
      </c>
      <c r="E105" s="14">
        <v>3</v>
      </c>
      <c r="F105" s="14">
        <v>60</v>
      </c>
      <c r="G105" s="14" t="s">
        <v>309</v>
      </c>
      <c r="H105" s="14" t="s">
        <v>71</v>
      </c>
      <c r="I105" s="14" t="s">
        <v>310</v>
      </c>
      <c r="J105" s="14">
        <v>0</v>
      </c>
      <c r="K105" s="14" t="s">
        <v>309</v>
      </c>
      <c r="M105" s="14">
        <v>0</v>
      </c>
      <c r="N105" s="14" t="b">
        <v>0</v>
      </c>
      <c r="P105" s="14">
        <v>1</v>
      </c>
      <c r="Q105" s="14" t="s">
        <v>73</v>
      </c>
      <c r="R105" s="14">
        <v>1</v>
      </c>
      <c r="V105" s="14" t="s">
        <v>311</v>
      </c>
      <c r="W105" s="14" t="s">
        <v>96</v>
      </c>
      <c r="X105" s="14">
        <v>20001</v>
      </c>
      <c r="Y105" s="34" t="s">
        <v>312</v>
      </c>
      <c r="Z105" s="14">
        <v>40001</v>
      </c>
      <c r="AC105" s="30"/>
      <c r="AD105" s="30"/>
    </row>
    <row r="106" ht="16.5" customHeight="1" spans="2:30">
      <c r="B106" s="14">
        <f>30000000+INDEX(编号表!$B:$B,MATCH(G106,编号表!$A:$A,0))*10000+E106</f>
        <v>30080004</v>
      </c>
      <c r="C106" s="14" t="s">
        <v>316</v>
      </c>
      <c r="D106" s="14" t="s">
        <v>101</v>
      </c>
      <c r="E106" s="14">
        <v>4</v>
      </c>
      <c r="F106" s="14">
        <v>60</v>
      </c>
      <c r="G106" s="14" t="s">
        <v>309</v>
      </c>
      <c r="H106" s="14" t="s">
        <v>71</v>
      </c>
      <c r="I106" s="14" t="s">
        <v>310</v>
      </c>
      <c r="J106" s="14">
        <v>0</v>
      </c>
      <c r="K106" s="14" t="s">
        <v>309</v>
      </c>
      <c r="M106" s="14">
        <v>0</v>
      </c>
      <c r="N106" s="14" t="b">
        <v>0</v>
      </c>
      <c r="P106" s="14">
        <v>1</v>
      </c>
      <c r="Q106" s="14" t="s">
        <v>73</v>
      </c>
      <c r="R106" s="14">
        <v>1</v>
      </c>
      <c r="V106" s="14" t="s">
        <v>311</v>
      </c>
      <c r="W106" s="14" t="s">
        <v>96</v>
      </c>
      <c r="X106" s="14">
        <v>20001</v>
      </c>
      <c r="Y106" s="34" t="s">
        <v>312</v>
      </c>
      <c r="Z106" s="14">
        <v>40001</v>
      </c>
      <c r="AC106" s="30"/>
      <c r="AD106" s="30"/>
    </row>
    <row r="107" ht="16.5" customHeight="1" spans="2:30">
      <c r="B107" s="14">
        <f>30000000+INDEX(编号表!$B:$B,MATCH(G107,编号表!$A:$A,0))*10000+E107</f>
        <v>30080005</v>
      </c>
      <c r="C107" s="14" t="s">
        <v>317</v>
      </c>
      <c r="D107" s="14" t="s">
        <v>101</v>
      </c>
      <c r="E107" s="14">
        <v>5</v>
      </c>
      <c r="F107" s="14">
        <v>60</v>
      </c>
      <c r="G107" s="14" t="s">
        <v>309</v>
      </c>
      <c r="H107" s="14" t="s">
        <v>71</v>
      </c>
      <c r="I107" s="14" t="s">
        <v>310</v>
      </c>
      <c r="J107" s="14">
        <v>0</v>
      </c>
      <c r="K107" s="14" t="s">
        <v>309</v>
      </c>
      <c r="M107" s="14">
        <v>0</v>
      </c>
      <c r="N107" s="14" t="b">
        <v>0</v>
      </c>
      <c r="P107" s="14">
        <v>1</v>
      </c>
      <c r="Q107" s="14" t="s">
        <v>73</v>
      </c>
      <c r="R107" s="14">
        <v>1</v>
      </c>
      <c r="V107" s="14" t="s">
        <v>311</v>
      </c>
      <c r="W107" s="14" t="s">
        <v>96</v>
      </c>
      <c r="X107" s="14">
        <v>20001</v>
      </c>
      <c r="Y107" s="35" t="s">
        <v>312</v>
      </c>
      <c r="Z107" s="14">
        <v>40001</v>
      </c>
    </row>
    <row r="108" ht="16.5" customHeight="1" spans="2:30">
      <c r="B108" s="14">
        <f>30000000+INDEX(编号表!$B:$B,MATCH(G108,编号表!$A:$A,0))*10000+E108</f>
        <v>30080006</v>
      </c>
      <c r="C108" s="14" t="s">
        <v>318</v>
      </c>
      <c r="D108" s="14" t="s">
        <v>101</v>
      </c>
      <c r="E108" s="14">
        <v>6</v>
      </c>
      <c r="F108" s="14">
        <v>60</v>
      </c>
      <c r="G108" s="14" t="s">
        <v>309</v>
      </c>
      <c r="H108" s="14" t="s">
        <v>71</v>
      </c>
      <c r="I108" s="14" t="s">
        <v>310</v>
      </c>
      <c r="J108" s="14">
        <v>0</v>
      </c>
      <c r="K108" s="14" t="s">
        <v>309</v>
      </c>
      <c r="M108" s="14">
        <v>0</v>
      </c>
      <c r="N108" s="14" t="b">
        <v>0</v>
      </c>
      <c r="P108" s="14">
        <v>1</v>
      </c>
      <c r="Q108" s="14" t="s">
        <v>73</v>
      </c>
      <c r="R108" s="14">
        <v>1</v>
      </c>
      <c r="V108" s="14" t="s">
        <v>311</v>
      </c>
      <c r="W108" s="14" t="s">
        <v>96</v>
      </c>
      <c r="X108" s="14">
        <v>20001</v>
      </c>
      <c r="Y108" s="35" t="s">
        <v>312</v>
      </c>
      <c r="Z108" s="14">
        <v>40001</v>
      </c>
    </row>
    <row r="109" ht="16.5" customHeight="1" spans="2:30">
      <c r="B109" s="14">
        <f>30000000+INDEX(编号表!$B:$B,MATCH(G109,编号表!$A:$A,0))*10000+E109</f>
        <v>30080007</v>
      </c>
      <c r="C109" s="14" t="s">
        <v>319</v>
      </c>
      <c r="D109" s="14" t="s">
        <v>101</v>
      </c>
      <c r="E109" s="14">
        <v>7</v>
      </c>
      <c r="F109" s="14">
        <v>60</v>
      </c>
      <c r="G109" s="14" t="s">
        <v>309</v>
      </c>
      <c r="H109" s="14" t="s">
        <v>71</v>
      </c>
      <c r="I109" s="14" t="s">
        <v>310</v>
      </c>
      <c r="J109" s="14">
        <v>0</v>
      </c>
      <c r="K109" s="14" t="s">
        <v>309</v>
      </c>
      <c r="M109" s="14">
        <v>0</v>
      </c>
      <c r="N109" s="14" t="b">
        <v>0</v>
      </c>
      <c r="P109" s="14">
        <v>1</v>
      </c>
      <c r="Q109" s="14" t="s">
        <v>73</v>
      </c>
      <c r="R109" s="14">
        <v>1</v>
      </c>
      <c r="V109" s="14" t="s">
        <v>311</v>
      </c>
      <c r="W109" s="14" t="s">
        <v>96</v>
      </c>
      <c r="X109" s="14">
        <v>20001</v>
      </c>
      <c r="Y109" s="35" t="s">
        <v>312</v>
      </c>
      <c r="Z109" s="14">
        <v>40001</v>
      </c>
    </row>
    <row r="110" ht="16.5" customHeight="1" spans="2:30">
      <c r="B110" s="14">
        <f>30000000+INDEX(编号表!$B:$B,MATCH(G110,编号表!$A:$A,0))*10000+E110</f>
        <v>30080008</v>
      </c>
      <c r="C110" s="14" t="s">
        <v>320</v>
      </c>
      <c r="D110" s="14" t="s">
        <v>101</v>
      </c>
      <c r="E110" s="14">
        <v>8</v>
      </c>
      <c r="F110" s="14">
        <v>60</v>
      </c>
      <c r="G110" s="14" t="s">
        <v>309</v>
      </c>
      <c r="H110" s="14" t="s">
        <v>71</v>
      </c>
      <c r="I110" s="14" t="s">
        <v>310</v>
      </c>
      <c r="J110" s="14">
        <v>0</v>
      </c>
      <c r="K110" s="14" t="s">
        <v>309</v>
      </c>
      <c r="M110" s="14">
        <v>0</v>
      </c>
      <c r="N110" s="14" t="b">
        <v>0</v>
      </c>
      <c r="P110" s="14">
        <v>1</v>
      </c>
      <c r="Q110" s="14" t="s">
        <v>73</v>
      </c>
      <c r="R110" s="14">
        <v>1</v>
      </c>
      <c r="V110" s="14" t="s">
        <v>311</v>
      </c>
      <c r="W110" s="14" t="s">
        <v>96</v>
      </c>
      <c r="X110" s="14">
        <v>20001</v>
      </c>
      <c r="Y110" s="35" t="s">
        <v>312</v>
      </c>
      <c r="Z110" s="14">
        <v>40001</v>
      </c>
    </row>
    <row r="111" ht="16.5" customHeight="1" spans="2:30">
      <c r="B111" s="14">
        <f>30000000+INDEX(编号表!$B:$B,MATCH(G111,编号表!$A:$A,0))*10000+E111</f>
        <v>30080009</v>
      </c>
      <c r="C111" s="14" t="s">
        <v>321</v>
      </c>
      <c r="D111" s="14" t="s">
        <v>101</v>
      </c>
      <c r="E111" s="14">
        <v>9</v>
      </c>
      <c r="F111" s="14">
        <v>60</v>
      </c>
      <c r="G111" s="14" t="s">
        <v>309</v>
      </c>
      <c r="H111" s="14" t="s">
        <v>71</v>
      </c>
      <c r="I111" s="14" t="s">
        <v>310</v>
      </c>
      <c r="J111" s="14">
        <v>0</v>
      </c>
      <c r="K111" s="14" t="s">
        <v>309</v>
      </c>
      <c r="M111" s="14">
        <v>0</v>
      </c>
      <c r="N111" s="14" t="b">
        <v>0</v>
      </c>
      <c r="P111" s="14">
        <v>1</v>
      </c>
      <c r="Q111" s="14" t="s">
        <v>73</v>
      </c>
      <c r="R111" s="14">
        <v>1</v>
      </c>
      <c r="V111" s="14" t="s">
        <v>311</v>
      </c>
      <c r="W111" s="14" t="s">
        <v>96</v>
      </c>
      <c r="X111" s="14">
        <v>20001</v>
      </c>
      <c r="Y111" s="35" t="s">
        <v>312</v>
      </c>
      <c r="Z111" s="14">
        <v>40001</v>
      </c>
    </row>
    <row r="112" ht="16.5" customHeight="1" spans="2:30">
      <c r="B112" s="14">
        <f>30000000+INDEX(编号表!$B:$B,MATCH(G112,编号表!$A:$A,0))*10000+E112</f>
        <v>30080010</v>
      </c>
      <c r="C112" s="14" t="s">
        <v>322</v>
      </c>
      <c r="D112" s="14" t="s">
        <v>101</v>
      </c>
      <c r="E112" s="14">
        <v>10</v>
      </c>
      <c r="F112" s="14">
        <v>60</v>
      </c>
      <c r="G112" s="14" t="s">
        <v>309</v>
      </c>
      <c r="H112" s="14" t="s">
        <v>71</v>
      </c>
      <c r="I112" s="14" t="s">
        <v>310</v>
      </c>
      <c r="J112" s="14">
        <v>0</v>
      </c>
      <c r="K112" s="14" t="s">
        <v>309</v>
      </c>
      <c r="M112" s="14">
        <v>0</v>
      </c>
      <c r="N112" s="14" t="b">
        <v>0</v>
      </c>
      <c r="P112" s="14">
        <v>1</v>
      </c>
      <c r="Q112" s="14" t="s">
        <v>73</v>
      </c>
      <c r="R112" s="14">
        <v>1</v>
      </c>
      <c r="V112" s="14" t="s">
        <v>323</v>
      </c>
      <c r="W112" s="14" t="s">
        <v>96</v>
      </c>
      <c r="X112" s="14">
        <v>20001</v>
      </c>
      <c r="Y112" s="35" t="s">
        <v>312</v>
      </c>
      <c r="Z112" s="14">
        <v>40001</v>
      </c>
    </row>
    <row r="113" ht="16.5" customHeight="1" spans="2:26">
      <c r="B113" s="14">
        <f>30000000+INDEX(编号表!$B:$B,MATCH(G113,编号表!$A:$A,0))*10000+E113</f>
        <v>30080011</v>
      </c>
      <c r="C113" s="14" t="s">
        <v>324</v>
      </c>
      <c r="D113" s="14" t="s">
        <v>101</v>
      </c>
      <c r="E113" s="14">
        <v>11</v>
      </c>
      <c r="F113" s="14">
        <v>60</v>
      </c>
      <c r="G113" s="14" t="s">
        <v>309</v>
      </c>
      <c r="H113" s="14" t="s">
        <v>71</v>
      </c>
      <c r="I113" s="14" t="s">
        <v>310</v>
      </c>
      <c r="J113" s="14">
        <v>0</v>
      </c>
      <c r="K113" s="14" t="s">
        <v>309</v>
      </c>
      <c r="M113" s="14">
        <v>0</v>
      </c>
      <c r="N113" s="14" t="b">
        <v>0</v>
      </c>
      <c r="P113" s="14">
        <v>1</v>
      </c>
      <c r="Q113" s="14" t="s">
        <v>73</v>
      </c>
      <c r="R113" s="14">
        <v>1</v>
      </c>
      <c r="V113" s="14" t="s">
        <v>325</v>
      </c>
      <c r="W113" s="14" t="s">
        <v>96</v>
      </c>
      <c r="X113" s="14">
        <v>20001</v>
      </c>
      <c r="Y113" s="35" t="s">
        <v>312</v>
      </c>
      <c r="Z113" s="14">
        <v>40001</v>
      </c>
    </row>
    <row r="114" spans="2:26">
      <c r="B114" s="14">
        <f>30000000+INDEX(编号表!$B:$B,MATCH(G114,编号表!$A:$A,0))*10000+E114</f>
        <v>30080012</v>
      </c>
      <c r="C114" s="14" t="s">
        <v>326</v>
      </c>
      <c r="D114" s="14" t="s">
        <v>101</v>
      </c>
      <c r="E114" s="14">
        <v>12</v>
      </c>
      <c r="F114" s="14">
        <v>60</v>
      </c>
      <c r="G114" s="14" t="s">
        <v>309</v>
      </c>
      <c r="H114" s="14" t="s">
        <v>71</v>
      </c>
      <c r="I114" s="14" t="s">
        <v>310</v>
      </c>
      <c r="J114" s="14">
        <v>0</v>
      </c>
      <c r="K114" s="14" t="s">
        <v>309</v>
      </c>
      <c r="M114" s="14">
        <v>0</v>
      </c>
      <c r="N114" s="14" t="b">
        <v>0</v>
      </c>
      <c r="P114" s="14">
        <v>1</v>
      </c>
      <c r="Q114" s="14" t="s">
        <v>73</v>
      </c>
      <c r="R114" s="14">
        <v>1</v>
      </c>
      <c r="V114" s="14" t="s">
        <v>327</v>
      </c>
      <c r="X114" s="14">
        <v>20001</v>
      </c>
      <c r="Y114" s="14" t="s">
        <v>328</v>
      </c>
      <c r="Z114" s="14">
        <v>40001</v>
      </c>
    </row>
    <row r="115" spans="2:26">
      <c r="B115" s="14">
        <f>30000000+INDEX(编号表!$B:$B,MATCH(G115,编号表!$A:$A,0))*10000+E115</f>
        <v>30090000</v>
      </c>
      <c r="C115" s="14" t="s">
        <v>329</v>
      </c>
      <c r="D115" s="14" t="s">
        <v>94</v>
      </c>
      <c r="E115" s="14">
        <v>0</v>
      </c>
      <c r="F115" s="14">
        <v>60</v>
      </c>
      <c r="G115" s="14" t="s">
        <v>330</v>
      </c>
      <c r="H115" s="14" t="s">
        <v>71</v>
      </c>
      <c r="I115" s="14" t="s">
        <v>142</v>
      </c>
      <c r="J115" s="14">
        <v>0</v>
      </c>
      <c r="K115" s="14" t="s">
        <v>330</v>
      </c>
      <c r="M115" s="14">
        <v>0</v>
      </c>
      <c r="N115" s="14" t="b">
        <v>0</v>
      </c>
      <c r="P115" s="14">
        <v>1</v>
      </c>
      <c r="Q115" s="14" t="s">
        <v>73</v>
      </c>
      <c r="R115" s="14">
        <v>999</v>
      </c>
      <c r="V115" s="14" t="s">
        <v>331</v>
      </c>
      <c r="W115" s="14" t="s">
        <v>225</v>
      </c>
      <c r="X115" s="14">
        <v>20001</v>
      </c>
      <c r="Y115" s="14" t="s">
        <v>332</v>
      </c>
      <c r="Z115" s="14">
        <v>40001</v>
      </c>
    </row>
    <row r="116" spans="2:26">
      <c r="B116" s="14">
        <f>30000000+INDEX(编号表!$B:$B,MATCH(G116,编号表!$A:$A,0))*10000+E116</f>
        <v>30090001</v>
      </c>
      <c r="C116" s="14" t="s">
        <v>333</v>
      </c>
      <c r="D116" s="14" t="s">
        <v>94</v>
      </c>
      <c r="E116" s="14">
        <v>1</v>
      </c>
      <c r="F116" s="14">
        <v>60</v>
      </c>
      <c r="G116" s="14" t="s">
        <v>330</v>
      </c>
      <c r="H116" s="14" t="s">
        <v>71</v>
      </c>
      <c r="I116" s="14" t="s">
        <v>142</v>
      </c>
      <c r="K116" s="14" t="s">
        <v>330</v>
      </c>
      <c r="M116" s="14">
        <v>0</v>
      </c>
      <c r="N116" s="14" t="b">
        <v>0</v>
      </c>
      <c r="P116" s="14">
        <v>1</v>
      </c>
      <c r="Q116" s="14" t="s">
        <v>73</v>
      </c>
      <c r="R116" s="14">
        <v>999</v>
      </c>
      <c r="V116" s="14" t="s">
        <v>334</v>
      </c>
      <c r="W116" s="14" t="s">
        <v>225</v>
      </c>
      <c r="X116" s="14">
        <v>20001</v>
      </c>
      <c r="Y116" s="14" t="s">
        <v>335</v>
      </c>
      <c r="Z116" s="14">
        <v>40001</v>
      </c>
    </row>
    <row r="117" spans="2:26">
      <c r="B117" s="14">
        <f>30000000+INDEX(编号表!$B:$B,MATCH(G117,编号表!$A:$A,0))*10000+E117</f>
        <v>30090002</v>
      </c>
      <c r="C117" s="14" t="s">
        <v>336</v>
      </c>
      <c r="D117" s="14" t="s">
        <v>94</v>
      </c>
      <c r="E117" s="14">
        <v>2</v>
      </c>
      <c r="F117" s="14">
        <v>60</v>
      </c>
      <c r="G117" s="14" t="s">
        <v>330</v>
      </c>
      <c r="H117" s="14" t="s">
        <v>71</v>
      </c>
      <c r="I117" s="14" t="s">
        <v>142</v>
      </c>
      <c r="J117" s="14">
        <v>0</v>
      </c>
      <c r="K117" s="14" t="s">
        <v>330</v>
      </c>
      <c r="M117" s="14">
        <v>0</v>
      </c>
      <c r="N117" s="14" t="b">
        <v>0</v>
      </c>
      <c r="P117" s="14">
        <v>1</v>
      </c>
      <c r="Q117" s="14" t="s">
        <v>73</v>
      </c>
      <c r="R117" s="14">
        <v>999</v>
      </c>
      <c r="V117" s="14" t="s">
        <v>337</v>
      </c>
      <c r="W117" s="14" t="s">
        <v>225</v>
      </c>
      <c r="X117" s="14">
        <v>20001</v>
      </c>
      <c r="Y117" s="14" t="s">
        <v>338</v>
      </c>
      <c r="Z117" s="14">
        <v>40001</v>
      </c>
    </row>
    <row r="118" spans="2:26">
      <c r="B118" s="14">
        <f>30000000+INDEX(编号表!$B:$B,MATCH(G118,编号表!$A:$A,0))*10000+E118</f>
        <v>30090003</v>
      </c>
      <c r="C118" s="14" t="s">
        <v>339</v>
      </c>
      <c r="D118" s="14" t="s">
        <v>94</v>
      </c>
      <c r="E118" s="14">
        <v>3</v>
      </c>
      <c r="F118" s="14">
        <v>60</v>
      </c>
      <c r="G118" s="14" t="s">
        <v>330</v>
      </c>
      <c r="H118" s="14" t="s">
        <v>71</v>
      </c>
      <c r="I118" s="14" t="s">
        <v>142</v>
      </c>
      <c r="J118" s="14">
        <v>0</v>
      </c>
      <c r="K118" s="14" t="s">
        <v>330</v>
      </c>
      <c r="M118" s="14">
        <v>0</v>
      </c>
      <c r="N118" s="14" t="b">
        <v>0</v>
      </c>
      <c r="P118" s="14">
        <v>1</v>
      </c>
      <c r="Q118" s="14" t="s">
        <v>73</v>
      </c>
      <c r="R118" s="14">
        <v>999</v>
      </c>
      <c r="V118" s="14" t="s">
        <v>337</v>
      </c>
      <c r="W118" s="14" t="s">
        <v>225</v>
      </c>
      <c r="X118" s="14">
        <v>20001</v>
      </c>
      <c r="Y118" s="14" t="s">
        <v>340</v>
      </c>
      <c r="Z118" s="14">
        <v>40001</v>
      </c>
    </row>
    <row r="119" spans="2:26">
      <c r="B119" s="14">
        <f>30000000+INDEX(编号表!$B:$B,MATCH(G119,编号表!$A:$A,0))*10000+E119</f>
        <v>30090004</v>
      </c>
      <c r="C119" s="14" t="s">
        <v>341</v>
      </c>
      <c r="D119" s="14" t="s">
        <v>94</v>
      </c>
      <c r="E119" s="14">
        <v>4</v>
      </c>
      <c r="F119" s="14">
        <v>60</v>
      </c>
      <c r="G119" s="14" t="s">
        <v>330</v>
      </c>
      <c r="H119" s="14" t="s">
        <v>71</v>
      </c>
      <c r="I119" s="14" t="s">
        <v>142</v>
      </c>
      <c r="J119" s="14">
        <v>1</v>
      </c>
      <c r="K119" s="14" t="s">
        <v>330</v>
      </c>
      <c r="M119" s="14">
        <v>0</v>
      </c>
      <c r="N119" s="14" t="b">
        <v>0</v>
      </c>
      <c r="P119" s="14">
        <v>1</v>
      </c>
      <c r="Q119" s="14" t="s">
        <v>73</v>
      </c>
      <c r="R119" s="14">
        <v>999</v>
      </c>
      <c r="V119" s="14" t="s">
        <v>337</v>
      </c>
      <c r="W119" s="14" t="s">
        <v>225</v>
      </c>
      <c r="X119" s="14">
        <v>20001</v>
      </c>
      <c r="Y119" s="14" t="s">
        <v>342</v>
      </c>
      <c r="Z119" s="14">
        <v>40001</v>
      </c>
    </row>
    <row r="120" spans="2:26">
      <c r="B120" s="14">
        <f>30000000+INDEX(编号表!$B:$B,MATCH(G120,编号表!$A:$A,0))*10000+E120</f>
        <v>30090005</v>
      </c>
      <c r="C120" s="14" t="s">
        <v>343</v>
      </c>
      <c r="D120" s="14" t="s">
        <v>94</v>
      </c>
      <c r="E120" s="14">
        <v>5</v>
      </c>
      <c r="F120" s="14">
        <v>60</v>
      </c>
      <c r="G120" s="14" t="s">
        <v>330</v>
      </c>
      <c r="H120" s="14" t="s">
        <v>71</v>
      </c>
      <c r="I120" s="14" t="s">
        <v>142</v>
      </c>
      <c r="J120" s="14">
        <v>1</v>
      </c>
      <c r="K120" s="14" t="s">
        <v>330</v>
      </c>
      <c r="M120" s="14">
        <v>0</v>
      </c>
      <c r="N120" s="14" t="b">
        <v>0</v>
      </c>
      <c r="P120" s="14">
        <v>1</v>
      </c>
      <c r="Q120" s="14" t="s">
        <v>73</v>
      </c>
      <c r="R120" s="14">
        <v>999</v>
      </c>
      <c r="V120" s="14" t="s">
        <v>337</v>
      </c>
      <c r="W120" s="14" t="s">
        <v>225</v>
      </c>
      <c r="X120" s="14">
        <v>20001</v>
      </c>
      <c r="Y120" s="14" t="s">
        <v>344</v>
      </c>
      <c r="Z120" s="14">
        <v>40001</v>
      </c>
    </row>
    <row r="121" spans="2:26">
      <c r="B121" s="14">
        <f>30000000+INDEX(编号表!$B:$B,MATCH(G121,编号表!$A:$A,0))*10000+E121</f>
        <v>30090006</v>
      </c>
      <c r="C121" s="14" t="s">
        <v>345</v>
      </c>
      <c r="D121" s="14" t="s">
        <v>94</v>
      </c>
      <c r="E121" s="14">
        <v>6</v>
      </c>
      <c r="F121" s="14">
        <v>60</v>
      </c>
      <c r="G121" s="14" t="s">
        <v>330</v>
      </c>
      <c r="H121" s="14" t="s">
        <v>71</v>
      </c>
      <c r="I121" s="14" t="s">
        <v>142</v>
      </c>
      <c r="J121" s="14">
        <v>1</v>
      </c>
      <c r="K121" s="14" t="s">
        <v>330</v>
      </c>
      <c r="M121" s="14">
        <v>0</v>
      </c>
      <c r="N121" s="14" t="b">
        <v>0</v>
      </c>
      <c r="P121" s="14">
        <v>1</v>
      </c>
      <c r="Q121" s="14" t="s">
        <v>73</v>
      </c>
      <c r="R121" s="14">
        <v>999</v>
      </c>
      <c r="V121" s="14" t="s">
        <v>337</v>
      </c>
      <c r="W121" s="14" t="s">
        <v>225</v>
      </c>
      <c r="X121" s="14">
        <v>20001</v>
      </c>
      <c r="Y121" s="14" t="s">
        <v>346</v>
      </c>
      <c r="Z121" s="14">
        <v>40001</v>
      </c>
    </row>
    <row r="122" spans="2:26">
      <c r="B122" s="14">
        <f>30000000+INDEX(编号表!$B:$B,MATCH(G122,编号表!$A:$A,0))*10000+E122</f>
        <v>30090007</v>
      </c>
      <c r="C122" s="14" t="s">
        <v>347</v>
      </c>
      <c r="D122" s="14" t="s">
        <v>94</v>
      </c>
      <c r="E122" s="14">
        <v>7</v>
      </c>
      <c r="F122" s="14">
        <v>60</v>
      </c>
      <c r="G122" s="14" t="s">
        <v>330</v>
      </c>
      <c r="H122" s="14" t="s">
        <v>71</v>
      </c>
      <c r="I122" s="14" t="s">
        <v>142</v>
      </c>
      <c r="J122" s="14">
        <v>1</v>
      </c>
      <c r="K122" s="14" t="s">
        <v>330</v>
      </c>
      <c r="M122" s="14">
        <v>0</v>
      </c>
      <c r="N122" s="14" t="b">
        <v>0</v>
      </c>
      <c r="P122" s="14">
        <v>1</v>
      </c>
      <c r="Q122" s="14" t="s">
        <v>73</v>
      </c>
      <c r="R122" s="14">
        <v>999</v>
      </c>
      <c r="V122" s="14" t="s">
        <v>337</v>
      </c>
      <c r="W122" s="14" t="s">
        <v>225</v>
      </c>
      <c r="X122" s="14">
        <v>20001</v>
      </c>
      <c r="Y122" s="14" t="s">
        <v>348</v>
      </c>
      <c r="Z122" s="14">
        <v>40001</v>
      </c>
    </row>
    <row r="123" spans="2:26">
      <c r="B123" s="14">
        <f>30000000+INDEX(编号表!$B:$B,MATCH(G123,编号表!$A:$A,0))*10000+E123</f>
        <v>30090008</v>
      </c>
      <c r="C123" s="14" t="s">
        <v>349</v>
      </c>
      <c r="D123" s="14" t="s">
        <v>94</v>
      </c>
      <c r="E123" s="14">
        <v>8</v>
      </c>
      <c r="F123" s="14">
        <v>60</v>
      </c>
      <c r="G123" s="14" t="s">
        <v>330</v>
      </c>
      <c r="H123" s="14" t="s">
        <v>71</v>
      </c>
      <c r="I123" s="14" t="s">
        <v>142</v>
      </c>
      <c r="J123" s="14">
        <v>1</v>
      </c>
      <c r="K123" s="14" t="s">
        <v>330</v>
      </c>
      <c r="M123" s="14">
        <v>0</v>
      </c>
      <c r="N123" s="14" t="b">
        <v>0</v>
      </c>
      <c r="P123" s="14">
        <v>1</v>
      </c>
      <c r="Q123" s="14" t="s">
        <v>73</v>
      </c>
      <c r="R123" s="14">
        <v>999</v>
      </c>
      <c r="V123" s="14" t="s">
        <v>337</v>
      </c>
      <c r="W123" s="14" t="s">
        <v>225</v>
      </c>
      <c r="X123" s="14">
        <v>20001</v>
      </c>
      <c r="Y123" s="14" t="s">
        <v>350</v>
      </c>
      <c r="Z123" s="14">
        <v>40001</v>
      </c>
    </row>
    <row r="124" spans="2:26">
      <c r="B124" s="14">
        <f>30000000+INDEX(编号表!$B:$B,MATCH(G124,编号表!$A:$A,0))*10000+E124</f>
        <v>30090009</v>
      </c>
      <c r="C124" s="14" t="s">
        <v>351</v>
      </c>
      <c r="D124" s="14" t="s">
        <v>94</v>
      </c>
      <c r="E124" s="14">
        <v>9</v>
      </c>
      <c r="F124" s="14">
        <v>60</v>
      </c>
      <c r="G124" s="14" t="s">
        <v>330</v>
      </c>
      <c r="H124" s="14" t="s">
        <v>71</v>
      </c>
      <c r="I124" s="14" t="s">
        <v>142</v>
      </c>
      <c r="J124" s="14">
        <v>1</v>
      </c>
      <c r="K124" s="14" t="s">
        <v>330</v>
      </c>
      <c r="M124" s="14">
        <v>0</v>
      </c>
      <c r="N124" s="14" t="b">
        <v>0</v>
      </c>
      <c r="P124" s="14">
        <v>1</v>
      </c>
      <c r="Q124" s="14" t="s">
        <v>73</v>
      </c>
      <c r="R124" s="14">
        <v>999</v>
      </c>
      <c r="V124" s="14" t="s">
        <v>337</v>
      </c>
      <c r="W124" s="14" t="s">
        <v>225</v>
      </c>
      <c r="X124" s="14">
        <v>20001</v>
      </c>
      <c r="Y124" s="14" t="s">
        <v>352</v>
      </c>
      <c r="Z124" s="14">
        <v>40001</v>
      </c>
    </row>
    <row r="125" spans="2:26">
      <c r="B125" s="14">
        <f>30000000+INDEX(编号表!$B:$B,MATCH(G125,编号表!$A:$A,0))*10000+E125</f>
        <v>30090010</v>
      </c>
      <c r="C125" s="14" t="s">
        <v>353</v>
      </c>
      <c r="D125" s="14" t="s">
        <v>94</v>
      </c>
      <c r="E125" s="14">
        <v>10</v>
      </c>
      <c r="F125" s="14">
        <v>60</v>
      </c>
      <c r="G125" s="14" t="s">
        <v>330</v>
      </c>
      <c r="H125" s="14" t="s">
        <v>71</v>
      </c>
      <c r="I125" s="14" t="s">
        <v>142</v>
      </c>
      <c r="J125" s="14">
        <v>1</v>
      </c>
      <c r="K125" s="14" t="s">
        <v>330</v>
      </c>
      <c r="M125" s="14">
        <v>0</v>
      </c>
      <c r="N125" s="14" t="b">
        <v>0</v>
      </c>
      <c r="P125" s="14">
        <v>1</v>
      </c>
      <c r="Q125" s="14" t="s">
        <v>73</v>
      </c>
      <c r="R125" s="14">
        <v>999</v>
      </c>
      <c r="V125" s="14" t="s">
        <v>337</v>
      </c>
      <c r="W125" s="14" t="s">
        <v>225</v>
      </c>
      <c r="X125" s="14">
        <v>20001</v>
      </c>
      <c r="Y125" s="14" t="s">
        <v>354</v>
      </c>
      <c r="Z125" s="14">
        <v>40001</v>
      </c>
    </row>
    <row r="126" spans="2:26">
      <c r="B126" s="14">
        <f>30000000+INDEX(编号表!$B:$B,MATCH(G126,编号表!$A:$A,0))*10000+E126</f>
        <v>30090011</v>
      </c>
      <c r="C126" s="14" t="s">
        <v>355</v>
      </c>
      <c r="D126" s="14" t="s">
        <v>94</v>
      </c>
      <c r="E126" s="14">
        <v>11</v>
      </c>
      <c r="F126" s="14">
        <v>60</v>
      </c>
      <c r="G126" s="14" t="s">
        <v>330</v>
      </c>
      <c r="H126" s="14" t="s">
        <v>71</v>
      </c>
      <c r="I126" s="14" t="s">
        <v>142</v>
      </c>
      <c r="J126" s="14">
        <v>1</v>
      </c>
      <c r="K126" s="14" t="s">
        <v>330</v>
      </c>
      <c r="M126" s="14">
        <v>0</v>
      </c>
      <c r="N126" s="14" t="b">
        <v>0</v>
      </c>
      <c r="P126" s="14">
        <v>1</v>
      </c>
      <c r="Q126" s="14" t="s">
        <v>73</v>
      </c>
      <c r="R126" s="14">
        <v>999</v>
      </c>
      <c r="V126" s="14" t="s">
        <v>337</v>
      </c>
      <c r="W126" s="14" t="s">
        <v>225</v>
      </c>
      <c r="X126" s="14">
        <v>20001</v>
      </c>
      <c r="Y126" s="14" t="s">
        <v>356</v>
      </c>
      <c r="Z126" s="14">
        <v>40001</v>
      </c>
    </row>
    <row r="127" spans="2:26">
      <c r="B127" s="14">
        <f>30000000+INDEX(编号表!$B:$B,MATCH(G127,编号表!$A:$A,0))*10000+E127</f>
        <v>30090012</v>
      </c>
      <c r="C127" s="14" t="s">
        <v>357</v>
      </c>
      <c r="D127" s="14" t="s">
        <v>94</v>
      </c>
      <c r="E127" s="14">
        <v>12</v>
      </c>
      <c r="F127" s="14">
        <v>60</v>
      </c>
      <c r="G127" s="14" t="s">
        <v>330</v>
      </c>
      <c r="H127" s="14" t="s">
        <v>71</v>
      </c>
      <c r="I127" s="14" t="s">
        <v>142</v>
      </c>
      <c r="J127" s="14">
        <v>1</v>
      </c>
      <c r="K127" s="14" t="s">
        <v>330</v>
      </c>
      <c r="M127" s="14">
        <v>0</v>
      </c>
      <c r="N127" s="14" t="b">
        <v>0</v>
      </c>
      <c r="P127" s="14">
        <v>1</v>
      </c>
      <c r="Q127" s="14" t="s">
        <v>73</v>
      </c>
      <c r="R127" s="14">
        <v>999</v>
      </c>
      <c r="V127" s="14" t="s">
        <v>337</v>
      </c>
      <c r="W127" s="14" t="s">
        <v>225</v>
      </c>
      <c r="X127" s="14">
        <v>20001</v>
      </c>
      <c r="Y127" s="14" t="s">
        <v>358</v>
      </c>
      <c r="Z127" s="14">
        <v>40001</v>
      </c>
    </row>
    <row r="128" spans="2:26">
      <c r="B128" s="14">
        <f>30000000+INDEX(编号表!$B:$B,MATCH(G128,编号表!$A:$A,0))*10000+E128</f>
        <v>30090013</v>
      </c>
      <c r="C128" s="14" t="s">
        <v>359</v>
      </c>
      <c r="D128" s="14" t="s">
        <v>94</v>
      </c>
      <c r="E128" s="14">
        <v>13</v>
      </c>
      <c r="F128" s="14">
        <v>60</v>
      </c>
      <c r="G128" s="14" t="s">
        <v>330</v>
      </c>
      <c r="H128" s="14" t="s">
        <v>71</v>
      </c>
      <c r="I128" s="14" t="s">
        <v>142</v>
      </c>
      <c r="J128" s="14">
        <v>1</v>
      </c>
      <c r="K128" s="14" t="s">
        <v>330</v>
      </c>
      <c r="M128" s="14">
        <v>0</v>
      </c>
      <c r="N128" s="14" t="b">
        <v>0</v>
      </c>
      <c r="P128" s="14">
        <v>1</v>
      </c>
      <c r="Q128" s="14" t="s">
        <v>73</v>
      </c>
      <c r="R128" s="14">
        <v>999</v>
      </c>
      <c r="V128" s="14" t="s">
        <v>337</v>
      </c>
      <c r="W128" s="14" t="s">
        <v>225</v>
      </c>
      <c r="X128" s="14">
        <v>20001</v>
      </c>
      <c r="Y128" s="14" t="s">
        <v>360</v>
      </c>
      <c r="Z128" s="14">
        <v>40001</v>
      </c>
    </row>
    <row r="129" spans="2:26">
      <c r="B129" s="14">
        <f>30000000+INDEX(编号表!$B:$B,MATCH(G129,编号表!$A:$A,0))*10000+E129</f>
        <v>30090014</v>
      </c>
      <c r="C129" s="14" t="s">
        <v>361</v>
      </c>
      <c r="D129" s="14" t="s">
        <v>94</v>
      </c>
      <c r="E129" s="14">
        <v>14</v>
      </c>
      <c r="F129" s="14">
        <v>60</v>
      </c>
      <c r="G129" s="14" t="s">
        <v>330</v>
      </c>
      <c r="H129" s="14" t="s">
        <v>71</v>
      </c>
      <c r="I129" s="14" t="s">
        <v>142</v>
      </c>
      <c r="J129" s="14">
        <v>1</v>
      </c>
      <c r="K129" s="14" t="s">
        <v>330</v>
      </c>
      <c r="M129" s="14">
        <v>0</v>
      </c>
      <c r="N129" s="14" t="b">
        <v>0</v>
      </c>
      <c r="P129" s="14">
        <v>1</v>
      </c>
      <c r="Q129" s="14" t="s">
        <v>73</v>
      </c>
      <c r="R129" s="14">
        <v>999</v>
      </c>
      <c r="V129" s="14" t="s">
        <v>337</v>
      </c>
      <c r="W129" s="14" t="s">
        <v>225</v>
      </c>
      <c r="X129" s="14">
        <v>20001</v>
      </c>
      <c r="Y129" s="14" t="s">
        <v>362</v>
      </c>
      <c r="Z129" s="14">
        <v>40001</v>
      </c>
    </row>
    <row r="130" spans="2:26">
      <c r="B130" s="14">
        <f>30000000+INDEX(编号表!$B:$B,MATCH(G130,编号表!$A:$A,0))*10000+E130</f>
        <v>30090015</v>
      </c>
      <c r="C130" s="14" t="s">
        <v>363</v>
      </c>
      <c r="D130" s="14" t="s">
        <v>364</v>
      </c>
      <c r="E130" s="14">
        <v>15</v>
      </c>
      <c r="F130" s="14">
        <v>60</v>
      </c>
      <c r="G130" s="14" t="s">
        <v>330</v>
      </c>
      <c r="H130" s="14" t="s">
        <v>71</v>
      </c>
      <c r="I130" s="14" t="s">
        <v>142</v>
      </c>
      <c r="J130" s="14">
        <v>1</v>
      </c>
      <c r="K130" s="14" t="s">
        <v>330</v>
      </c>
      <c r="M130" s="14">
        <v>0</v>
      </c>
      <c r="N130" s="14" t="b">
        <v>0</v>
      </c>
      <c r="P130" s="14">
        <v>1</v>
      </c>
      <c r="Q130" s="14" t="s">
        <v>73</v>
      </c>
      <c r="R130" s="14">
        <v>1</v>
      </c>
      <c r="V130" s="14" t="s">
        <v>365</v>
      </c>
      <c r="W130" s="14" t="s">
        <v>366</v>
      </c>
      <c r="X130" s="14">
        <v>20001</v>
      </c>
      <c r="Y130" s="36" t="s">
        <v>362</v>
      </c>
      <c r="Z130" s="14">
        <v>40001</v>
      </c>
    </row>
    <row r="131" spans="2:26">
      <c r="B131" s="14">
        <f>30000000+INDEX(编号表!$B:$B,MATCH(G131,编号表!$A:$A,0))*10000+E131</f>
        <v>30090016</v>
      </c>
      <c r="C131" s="14" t="s">
        <v>367</v>
      </c>
      <c r="D131" s="14" t="s">
        <v>364</v>
      </c>
      <c r="E131" s="14">
        <v>16</v>
      </c>
      <c r="F131" s="14">
        <v>60</v>
      </c>
      <c r="G131" s="14" t="s">
        <v>330</v>
      </c>
      <c r="H131" s="14" t="s">
        <v>71</v>
      </c>
      <c r="I131" s="14" t="s">
        <v>142</v>
      </c>
      <c r="J131" s="14">
        <v>1</v>
      </c>
      <c r="K131" s="14" t="s">
        <v>330</v>
      </c>
      <c r="M131" s="14">
        <v>0</v>
      </c>
      <c r="N131" s="14" t="b">
        <v>0</v>
      </c>
      <c r="P131" s="14">
        <v>1</v>
      </c>
      <c r="Q131" s="14" t="s">
        <v>73</v>
      </c>
      <c r="R131" s="14">
        <v>1</v>
      </c>
      <c r="V131" s="14" t="s">
        <v>365</v>
      </c>
      <c r="W131" s="14" t="s">
        <v>366</v>
      </c>
      <c r="X131" s="14">
        <v>20001</v>
      </c>
      <c r="Y131" s="36" t="s">
        <v>362</v>
      </c>
      <c r="Z131" s="14">
        <v>40001</v>
      </c>
    </row>
    <row r="132" spans="2:26">
      <c r="B132" s="14">
        <f>30000000+INDEX(编号表!$B:$B,MATCH(G132,编号表!$A:$A,0))*10000+E132</f>
        <v>30090017</v>
      </c>
      <c r="C132" s="14" t="s">
        <v>368</v>
      </c>
      <c r="D132" s="14" t="s">
        <v>364</v>
      </c>
      <c r="E132" s="14">
        <v>17</v>
      </c>
      <c r="F132" s="14">
        <v>60</v>
      </c>
      <c r="G132" s="14" t="s">
        <v>330</v>
      </c>
      <c r="H132" s="14" t="s">
        <v>71</v>
      </c>
      <c r="I132" s="14" t="s">
        <v>142</v>
      </c>
      <c r="J132" s="14">
        <v>1</v>
      </c>
      <c r="K132" s="14" t="s">
        <v>330</v>
      </c>
      <c r="M132" s="14">
        <v>0</v>
      </c>
      <c r="N132" s="14" t="b">
        <v>0</v>
      </c>
      <c r="P132" s="14">
        <v>1</v>
      </c>
      <c r="Q132" s="14" t="s">
        <v>73</v>
      </c>
      <c r="R132" s="14">
        <v>1</v>
      </c>
      <c r="V132" s="14" t="s">
        <v>365</v>
      </c>
      <c r="W132" s="14" t="s">
        <v>366</v>
      </c>
      <c r="X132" s="14">
        <v>20001</v>
      </c>
      <c r="Y132" s="36" t="s">
        <v>362</v>
      </c>
      <c r="Z132" s="14">
        <v>40001</v>
      </c>
    </row>
    <row r="133" spans="2:26">
      <c r="B133" s="14">
        <f>30000000+INDEX(编号表!$B:$B,MATCH(G133,编号表!$A:$A,0))*10000+E133</f>
        <v>30090018</v>
      </c>
      <c r="C133" s="14" t="s">
        <v>369</v>
      </c>
      <c r="D133" s="14" t="s">
        <v>364</v>
      </c>
      <c r="E133" s="14">
        <v>18</v>
      </c>
      <c r="F133" s="14">
        <v>60</v>
      </c>
      <c r="G133" s="14" t="s">
        <v>330</v>
      </c>
      <c r="H133" s="14" t="s">
        <v>71</v>
      </c>
      <c r="I133" s="14" t="s">
        <v>142</v>
      </c>
      <c r="J133" s="14">
        <v>1</v>
      </c>
      <c r="K133" s="14" t="s">
        <v>330</v>
      </c>
      <c r="M133" s="14">
        <v>0</v>
      </c>
      <c r="N133" s="14" t="b">
        <v>0</v>
      </c>
      <c r="P133" s="14">
        <v>1</v>
      </c>
      <c r="Q133" s="14" t="s">
        <v>73</v>
      </c>
      <c r="R133" s="14">
        <v>1</v>
      </c>
      <c r="V133" s="14" t="s">
        <v>365</v>
      </c>
      <c r="W133" s="14" t="s">
        <v>366</v>
      </c>
      <c r="X133" s="14">
        <v>20001</v>
      </c>
      <c r="Y133" s="36" t="s">
        <v>362</v>
      </c>
      <c r="Z133" s="14">
        <v>40001</v>
      </c>
    </row>
    <row r="134" spans="2:26">
      <c r="B134" s="14">
        <f>30000000+INDEX(编号表!$B:$B,MATCH(G134,编号表!$A:$A,0))*10000+E134</f>
        <v>30090019</v>
      </c>
      <c r="C134" s="14" t="s">
        <v>370</v>
      </c>
      <c r="D134" s="14" t="s">
        <v>364</v>
      </c>
      <c r="E134" s="14">
        <v>19</v>
      </c>
      <c r="F134" s="14">
        <v>60</v>
      </c>
      <c r="G134" s="14" t="s">
        <v>330</v>
      </c>
      <c r="H134" s="14" t="s">
        <v>71</v>
      </c>
      <c r="I134" s="14" t="s">
        <v>142</v>
      </c>
      <c r="J134" s="14">
        <v>1</v>
      </c>
      <c r="K134" s="14" t="s">
        <v>330</v>
      </c>
      <c r="M134" s="14">
        <v>0</v>
      </c>
      <c r="N134" s="14" t="b">
        <v>0</v>
      </c>
      <c r="P134" s="14">
        <v>1</v>
      </c>
      <c r="Q134" s="14" t="s">
        <v>73</v>
      </c>
      <c r="R134" s="14">
        <v>1</v>
      </c>
      <c r="V134" s="14" t="s">
        <v>365</v>
      </c>
      <c r="W134" s="14" t="s">
        <v>366</v>
      </c>
      <c r="X134" s="14">
        <v>20001</v>
      </c>
      <c r="Y134" s="36" t="s">
        <v>362</v>
      </c>
      <c r="Z134" s="14">
        <v>40001</v>
      </c>
    </row>
    <row r="135" spans="2:26">
      <c r="B135" s="14">
        <f>30000000+INDEX(编号表!$B:$B,MATCH(G135,编号表!$A:$A,0))*10000+E135</f>
        <v>30090020</v>
      </c>
      <c r="C135" s="14" t="s">
        <v>371</v>
      </c>
      <c r="D135" s="14" t="s">
        <v>364</v>
      </c>
      <c r="E135" s="14">
        <v>20</v>
      </c>
      <c r="F135" s="14">
        <v>60</v>
      </c>
      <c r="G135" s="14" t="s">
        <v>330</v>
      </c>
      <c r="H135" s="14" t="s">
        <v>71</v>
      </c>
      <c r="I135" s="14" t="s">
        <v>142</v>
      </c>
      <c r="J135" s="14">
        <v>1</v>
      </c>
      <c r="K135" s="14" t="s">
        <v>330</v>
      </c>
      <c r="M135" s="14">
        <v>0</v>
      </c>
      <c r="N135" s="14" t="b">
        <v>0</v>
      </c>
      <c r="P135" s="14">
        <v>1</v>
      </c>
      <c r="Q135" s="14" t="s">
        <v>73</v>
      </c>
      <c r="R135" s="14">
        <v>1</v>
      </c>
      <c r="V135" s="14" t="s">
        <v>365</v>
      </c>
      <c r="W135" s="14" t="s">
        <v>366</v>
      </c>
      <c r="X135" s="14">
        <v>20001</v>
      </c>
      <c r="Y135" s="36" t="s">
        <v>362</v>
      </c>
      <c r="Z135" s="14">
        <v>40001</v>
      </c>
    </row>
    <row r="136" spans="2:26">
      <c r="B136" s="14">
        <f>30000000+INDEX(编号表!$B:$B,MATCH(G136,编号表!$A:$A,0))*10000+E136</f>
        <v>30090021</v>
      </c>
      <c r="C136" s="14" t="s">
        <v>372</v>
      </c>
      <c r="D136" s="14" t="s">
        <v>364</v>
      </c>
      <c r="E136" s="14">
        <v>21</v>
      </c>
      <c r="F136" s="14">
        <v>60</v>
      </c>
      <c r="G136" s="14" t="s">
        <v>330</v>
      </c>
      <c r="H136" s="14" t="s">
        <v>71</v>
      </c>
      <c r="I136" s="14" t="s">
        <v>142</v>
      </c>
      <c r="J136" s="14">
        <v>1</v>
      </c>
      <c r="K136" s="14" t="s">
        <v>330</v>
      </c>
      <c r="M136" s="14">
        <v>0</v>
      </c>
      <c r="N136" s="14" t="b">
        <v>0</v>
      </c>
      <c r="P136" s="14">
        <v>1</v>
      </c>
      <c r="Q136" s="14" t="s">
        <v>73</v>
      </c>
      <c r="R136" s="14">
        <v>1</v>
      </c>
      <c r="V136" s="14" t="s">
        <v>365</v>
      </c>
      <c r="W136" s="14" t="s">
        <v>366</v>
      </c>
      <c r="X136" s="14">
        <v>20001</v>
      </c>
      <c r="Y136" s="36" t="s">
        <v>362</v>
      </c>
      <c r="Z136" s="14">
        <v>40001</v>
      </c>
    </row>
    <row r="137" spans="2:26">
      <c r="B137" s="14">
        <f>30000000+INDEX(编号表!$B:$B,MATCH(G137,编号表!$A:$A,0))*10000+E137</f>
        <v>30090022</v>
      </c>
      <c r="C137" s="14" t="s">
        <v>373</v>
      </c>
      <c r="D137" s="14" t="s">
        <v>364</v>
      </c>
      <c r="E137" s="14">
        <v>22</v>
      </c>
      <c r="F137" s="14">
        <v>60</v>
      </c>
      <c r="G137" s="14" t="s">
        <v>330</v>
      </c>
      <c r="H137" s="14" t="s">
        <v>71</v>
      </c>
      <c r="I137" s="14" t="s">
        <v>142</v>
      </c>
      <c r="J137" s="14">
        <v>1</v>
      </c>
      <c r="K137" s="14" t="s">
        <v>330</v>
      </c>
      <c r="M137" s="14">
        <v>0</v>
      </c>
      <c r="N137" s="14" t="b">
        <v>0</v>
      </c>
      <c r="P137" s="14">
        <v>1</v>
      </c>
      <c r="Q137" s="14" t="s">
        <v>73</v>
      </c>
      <c r="R137" s="14">
        <v>1</v>
      </c>
      <c r="V137" s="14" t="s">
        <v>365</v>
      </c>
      <c r="W137" s="14" t="s">
        <v>366</v>
      </c>
      <c r="X137" s="14">
        <v>20001</v>
      </c>
      <c r="Y137" s="36" t="s">
        <v>362</v>
      </c>
      <c r="Z137" s="14">
        <v>40001</v>
      </c>
    </row>
    <row r="138" spans="2:26">
      <c r="B138" s="14">
        <f>30000000+INDEX(编号表!$B:$B,MATCH(G138,编号表!$A:$A,0))*10000+E138</f>
        <v>30090023</v>
      </c>
      <c r="C138" s="14" t="s">
        <v>374</v>
      </c>
      <c r="D138" s="14" t="s">
        <v>364</v>
      </c>
      <c r="E138" s="14">
        <v>23</v>
      </c>
      <c r="F138" s="14">
        <v>60</v>
      </c>
      <c r="G138" s="14" t="s">
        <v>330</v>
      </c>
      <c r="H138" s="14" t="s">
        <v>71</v>
      </c>
      <c r="I138" s="14" t="s">
        <v>142</v>
      </c>
      <c r="J138" s="14">
        <v>1</v>
      </c>
      <c r="K138" s="14" t="s">
        <v>330</v>
      </c>
      <c r="M138" s="14">
        <v>0</v>
      </c>
      <c r="N138" s="14" t="b">
        <v>0</v>
      </c>
      <c r="P138" s="14">
        <v>1</v>
      </c>
      <c r="Q138" s="14" t="s">
        <v>73</v>
      </c>
      <c r="R138" s="14">
        <v>1</v>
      </c>
      <c r="V138" s="14" t="s">
        <v>365</v>
      </c>
      <c r="W138" s="14" t="s">
        <v>366</v>
      </c>
      <c r="X138" s="14">
        <v>20001</v>
      </c>
      <c r="Y138" s="36" t="s">
        <v>362</v>
      </c>
      <c r="Z138" s="14">
        <v>40001</v>
      </c>
    </row>
    <row r="139" spans="2:26">
      <c r="B139" s="14">
        <f>30000000+INDEX(编号表!$B:$B,MATCH(G139,编号表!$A:$A,0))*10000+E139</f>
        <v>30090024</v>
      </c>
      <c r="C139" s="14" t="s">
        <v>375</v>
      </c>
      <c r="D139" s="14" t="s">
        <v>364</v>
      </c>
      <c r="E139" s="14">
        <v>24</v>
      </c>
      <c r="F139" s="14">
        <v>60</v>
      </c>
      <c r="G139" s="14" t="s">
        <v>330</v>
      </c>
      <c r="H139" s="14" t="s">
        <v>71</v>
      </c>
      <c r="I139" s="14" t="s">
        <v>142</v>
      </c>
      <c r="J139" s="14">
        <v>1</v>
      </c>
      <c r="K139" s="14" t="s">
        <v>330</v>
      </c>
      <c r="M139" s="14">
        <v>0</v>
      </c>
      <c r="N139" s="14" t="b">
        <v>0</v>
      </c>
      <c r="P139" s="14">
        <v>1</v>
      </c>
      <c r="Q139" s="14" t="s">
        <v>73</v>
      </c>
      <c r="R139" s="14">
        <v>1</v>
      </c>
      <c r="V139" s="14" t="s">
        <v>365</v>
      </c>
      <c r="W139" s="14" t="s">
        <v>366</v>
      </c>
      <c r="X139" s="14">
        <v>20001</v>
      </c>
      <c r="Y139" s="36" t="s">
        <v>362</v>
      </c>
      <c r="Z139" s="14">
        <v>40001</v>
      </c>
    </row>
    <row r="140" spans="2:26">
      <c r="B140" s="14">
        <f>30000000+INDEX(编号表!$B:$B,MATCH(G140,编号表!$A:$A,0))*10000+E140</f>
        <v>30090025</v>
      </c>
      <c r="C140" s="14" t="s">
        <v>376</v>
      </c>
      <c r="D140" s="14" t="s">
        <v>364</v>
      </c>
      <c r="E140" s="14">
        <v>25</v>
      </c>
      <c r="F140" s="14">
        <v>60</v>
      </c>
      <c r="G140" s="14" t="s">
        <v>330</v>
      </c>
      <c r="H140" s="14" t="s">
        <v>71</v>
      </c>
      <c r="I140" s="14" t="s">
        <v>142</v>
      </c>
      <c r="J140" s="14">
        <v>1</v>
      </c>
      <c r="K140" s="14" t="s">
        <v>330</v>
      </c>
      <c r="M140" s="14">
        <v>0</v>
      </c>
      <c r="N140" s="14" t="b">
        <v>0</v>
      </c>
      <c r="P140" s="14">
        <v>1</v>
      </c>
      <c r="Q140" s="14" t="s">
        <v>73</v>
      </c>
      <c r="R140" s="14">
        <v>1</v>
      </c>
      <c r="V140" s="14" t="s">
        <v>365</v>
      </c>
      <c r="W140" s="14" t="s">
        <v>366</v>
      </c>
      <c r="X140" s="14">
        <v>20001</v>
      </c>
      <c r="Y140" s="36" t="s">
        <v>362</v>
      </c>
      <c r="Z140" s="14">
        <v>40001</v>
      </c>
    </row>
    <row r="141" spans="2:26">
      <c r="B141" s="14">
        <f>30000000+INDEX(编号表!$B:$B,MATCH(G141,编号表!$A:$A,0))*10000+E141</f>
        <v>30090026</v>
      </c>
      <c r="C141" s="14" t="s">
        <v>377</v>
      </c>
      <c r="D141" s="14" t="s">
        <v>364</v>
      </c>
      <c r="E141" s="14">
        <v>26</v>
      </c>
      <c r="F141" s="14">
        <v>60</v>
      </c>
      <c r="G141" s="14" t="s">
        <v>330</v>
      </c>
      <c r="H141" s="14" t="s">
        <v>71</v>
      </c>
      <c r="I141" s="14" t="s">
        <v>142</v>
      </c>
      <c r="J141" s="14">
        <v>1</v>
      </c>
      <c r="K141" s="14" t="s">
        <v>330</v>
      </c>
      <c r="M141" s="14">
        <v>0</v>
      </c>
      <c r="N141" s="14" t="b">
        <v>0</v>
      </c>
      <c r="P141" s="14">
        <v>1</v>
      </c>
      <c r="Q141" s="14" t="s">
        <v>73</v>
      </c>
      <c r="R141" s="14">
        <v>1</v>
      </c>
      <c r="V141" s="14" t="s">
        <v>365</v>
      </c>
      <c r="W141" s="14" t="s">
        <v>366</v>
      </c>
      <c r="X141" s="14">
        <v>20001</v>
      </c>
      <c r="Y141" s="36" t="s">
        <v>362</v>
      </c>
      <c r="Z141" s="14">
        <v>40001</v>
      </c>
    </row>
    <row r="142" spans="2:26">
      <c r="B142" s="14">
        <f>30000000+INDEX(编号表!$B:$B,MATCH(G142,编号表!$A:$A,0))*10000+E142</f>
        <v>30090027</v>
      </c>
      <c r="C142" s="14" t="s">
        <v>378</v>
      </c>
      <c r="D142" s="14" t="s">
        <v>379</v>
      </c>
      <c r="E142" s="14">
        <v>27</v>
      </c>
      <c r="F142" s="14">
        <v>60</v>
      </c>
      <c r="G142" s="14" t="s">
        <v>330</v>
      </c>
      <c r="H142" s="14" t="s">
        <v>71</v>
      </c>
      <c r="I142" s="14" t="s">
        <v>142</v>
      </c>
      <c r="J142" s="14">
        <v>1</v>
      </c>
      <c r="K142" s="14" t="s">
        <v>330</v>
      </c>
      <c r="M142" s="14">
        <v>0</v>
      </c>
      <c r="N142" s="14" t="b">
        <v>0</v>
      </c>
      <c r="P142" s="14">
        <v>1</v>
      </c>
      <c r="Q142" s="14" t="s">
        <v>73</v>
      </c>
      <c r="R142" s="14">
        <v>1</v>
      </c>
      <c r="V142" s="14" t="s">
        <v>365</v>
      </c>
      <c r="W142" s="14" t="s">
        <v>366</v>
      </c>
      <c r="X142" s="14">
        <v>20001</v>
      </c>
      <c r="Y142" s="36" t="s">
        <v>362</v>
      </c>
      <c r="Z142" s="14">
        <v>40001</v>
      </c>
    </row>
    <row r="143" spans="2:26">
      <c r="B143" s="14">
        <f>30000000+INDEX(编号表!$B:$B,MATCH(G143,编号表!$A:$A,0))*10000+E143</f>
        <v>30090028</v>
      </c>
      <c r="C143" s="14" t="s">
        <v>380</v>
      </c>
      <c r="D143" s="14" t="s">
        <v>379</v>
      </c>
      <c r="E143" s="14">
        <v>28</v>
      </c>
      <c r="F143" s="14">
        <v>60</v>
      </c>
      <c r="G143" s="14" t="s">
        <v>330</v>
      </c>
      <c r="H143" s="14" t="s">
        <v>71</v>
      </c>
      <c r="I143" s="14" t="s">
        <v>142</v>
      </c>
      <c r="J143" s="14">
        <v>1</v>
      </c>
      <c r="K143" s="14" t="s">
        <v>330</v>
      </c>
      <c r="M143" s="14">
        <v>0</v>
      </c>
      <c r="N143" s="14" t="b">
        <v>0</v>
      </c>
      <c r="P143" s="14">
        <v>1</v>
      </c>
      <c r="Q143" s="14" t="s">
        <v>73</v>
      </c>
      <c r="R143" s="14">
        <v>1</v>
      </c>
      <c r="V143" s="14" t="s">
        <v>365</v>
      </c>
      <c r="W143" s="14" t="s">
        <v>366</v>
      </c>
      <c r="X143" s="14">
        <v>20001</v>
      </c>
      <c r="Y143" s="36" t="s">
        <v>362</v>
      </c>
      <c r="Z143" s="14">
        <v>40001</v>
      </c>
    </row>
    <row r="144" spans="2:26">
      <c r="B144" s="14">
        <f>30000000+INDEX(编号表!$B:$B,MATCH(G144,编号表!$A:$A,0))*10000+E144</f>
        <v>30090029</v>
      </c>
      <c r="C144" s="14" t="s">
        <v>381</v>
      </c>
      <c r="D144" s="14" t="s">
        <v>379</v>
      </c>
      <c r="E144" s="14">
        <v>29</v>
      </c>
      <c r="F144" s="14">
        <v>60</v>
      </c>
      <c r="G144" s="14" t="s">
        <v>330</v>
      </c>
      <c r="H144" s="14" t="s">
        <v>71</v>
      </c>
      <c r="I144" s="14" t="s">
        <v>142</v>
      </c>
      <c r="J144" s="14">
        <v>1</v>
      </c>
      <c r="K144" s="14" t="s">
        <v>330</v>
      </c>
      <c r="M144" s="14">
        <v>0</v>
      </c>
      <c r="N144" s="14" t="b">
        <v>0</v>
      </c>
      <c r="P144" s="14">
        <v>1</v>
      </c>
      <c r="Q144" s="14" t="s">
        <v>73</v>
      </c>
      <c r="R144" s="14">
        <v>1</v>
      </c>
      <c r="V144" s="14" t="s">
        <v>365</v>
      </c>
      <c r="W144" s="14" t="s">
        <v>366</v>
      </c>
      <c r="X144" s="14">
        <v>20001</v>
      </c>
      <c r="Y144" s="36" t="s">
        <v>362</v>
      </c>
      <c r="Z144" s="14">
        <v>40001</v>
      </c>
    </row>
    <row r="145" spans="2:26">
      <c r="B145" s="14">
        <f>30000000+INDEX(编号表!$B:$B,MATCH(G145,编号表!$A:$A,0))*10000+E145</f>
        <v>30090030</v>
      </c>
      <c r="C145" s="14" t="s">
        <v>382</v>
      </c>
      <c r="D145" s="14" t="s">
        <v>379</v>
      </c>
      <c r="E145" s="14">
        <v>30</v>
      </c>
      <c r="F145" s="14">
        <v>60</v>
      </c>
      <c r="G145" s="14" t="s">
        <v>330</v>
      </c>
      <c r="H145" s="14" t="s">
        <v>71</v>
      </c>
      <c r="I145" s="14" t="s">
        <v>142</v>
      </c>
      <c r="J145" s="14">
        <v>1</v>
      </c>
      <c r="K145" s="14" t="s">
        <v>330</v>
      </c>
      <c r="M145" s="14">
        <v>0</v>
      </c>
      <c r="N145" s="14" t="b">
        <v>0</v>
      </c>
      <c r="P145" s="14">
        <v>1</v>
      </c>
      <c r="Q145" s="14" t="s">
        <v>73</v>
      </c>
      <c r="R145" s="14">
        <v>1</v>
      </c>
      <c r="V145" s="14" t="s">
        <v>365</v>
      </c>
      <c r="W145" s="14" t="s">
        <v>366</v>
      </c>
      <c r="X145" s="14">
        <v>20001</v>
      </c>
      <c r="Y145" s="36" t="s">
        <v>362</v>
      </c>
      <c r="Z145" s="14">
        <v>40001</v>
      </c>
    </row>
    <row r="146" spans="2:26">
      <c r="B146" s="14">
        <f>30000000+INDEX(编号表!$B:$B,MATCH(G146,编号表!$A:$A,0))*10000+E146</f>
        <v>30090031</v>
      </c>
      <c r="C146" s="14" t="s">
        <v>383</v>
      </c>
      <c r="D146" s="14" t="s">
        <v>379</v>
      </c>
      <c r="E146" s="14">
        <v>31</v>
      </c>
      <c r="F146" s="14">
        <v>60</v>
      </c>
      <c r="G146" s="14" t="s">
        <v>330</v>
      </c>
      <c r="H146" s="14" t="s">
        <v>71</v>
      </c>
      <c r="I146" s="14" t="s">
        <v>142</v>
      </c>
      <c r="J146" s="14">
        <v>1</v>
      </c>
      <c r="K146" s="14" t="s">
        <v>330</v>
      </c>
      <c r="M146" s="14">
        <v>0</v>
      </c>
      <c r="N146" s="14" t="b">
        <v>0</v>
      </c>
      <c r="P146" s="14">
        <v>1</v>
      </c>
      <c r="Q146" s="14" t="s">
        <v>73</v>
      </c>
      <c r="R146" s="14">
        <v>1</v>
      </c>
      <c r="V146" s="14" t="s">
        <v>365</v>
      </c>
      <c r="W146" s="14" t="s">
        <v>366</v>
      </c>
      <c r="X146" s="14">
        <v>20001</v>
      </c>
      <c r="Y146" s="36" t="s">
        <v>362</v>
      </c>
      <c r="Z146" s="14">
        <v>40001</v>
      </c>
    </row>
    <row r="147" spans="2:26">
      <c r="B147" s="14">
        <f>30000000+INDEX(编号表!$B:$B,MATCH(G147,编号表!$A:$A,0))*10000+E147</f>
        <v>30090032</v>
      </c>
      <c r="C147" s="14" t="s">
        <v>384</v>
      </c>
      <c r="D147" s="14" t="s">
        <v>379</v>
      </c>
      <c r="E147" s="14">
        <v>32</v>
      </c>
      <c r="F147" s="14">
        <v>60</v>
      </c>
      <c r="G147" s="14" t="s">
        <v>330</v>
      </c>
      <c r="H147" s="14" t="s">
        <v>71</v>
      </c>
      <c r="I147" s="14" t="s">
        <v>142</v>
      </c>
      <c r="J147" s="14">
        <v>1</v>
      </c>
      <c r="K147" s="14" t="s">
        <v>330</v>
      </c>
      <c r="M147" s="14">
        <v>0</v>
      </c>
      <c r="N147" s="14" t="b">
        <v>0</v>
      </c>
      <c r="P147" s="14">
        <v>1</v>
      </c>
      <c r="Q147" s="14" t="s">
        <v>73</v>
      </c>
      <c r="R147" s="14">
        <v>1</v>
      </c>
      <c r="V147" s="14" t="s">
        <v>365</v>
      </c>
      <c r="W147" s="14" t="s">
        <v>366</v>
      </c>
      <c r="X147" s="14">
        <v>20001</v>
      </c>
      <c r="Y147" s="36" t="s">
        <v>362</v>
      </c>
      <c r="Z147" s="14">
        <v>40001</v>
      </c>
    </row>
    <row r="148" spans="2:26">
      <c r="B148" s="14">
        <f>30000000+INDEX(编号表!$B:$B,MATCH(G148,编号表!$A:$A,0))*10000+E148</f>
        <v>30090033</v>
      </c>
      <c r="C148" s="14" t="s">
        <v>385</v>
      </c>
      <c r="D148" s="14" t="s">
        <v>379</v>
      </c>
      <c r="E148" s="14">
        <v>33</v>
      </c>
      <c r="F148" s="14">
        <v>60</v>
      </c>
      <c r="G148" s="14" t="s">
        <v>330</v>
      </c>
      <c r="H148" s="14" t="s">
        <v>71</v>
      </c>
      <c r="I148" s="14" t="s">
        <v>142</v>
      </c>
      <c r="J148" s="14">
        <v>1</v>
      </c>
      <c r="K148" s="14" t="s">
        <v>330</v>
      </c>
      <c r="M148" s="14">
        <v>0</v>
      </c>
      <c r="N148" s="14" t="b">
        <v>0</v>
      </c>
      <c r="P148" s="14">
        <v>1</v>
      </c>
      <c r="Q148" s="14" t="s">
        <v>73</v>
      </c>
      <c r="R148" s="14">
        <v>1</v>
      </c>
      <c r="V148" s="14" t="s">
        <v>365</v>
      </c>
      <c r="W148" s="14" t="s">
        <v>366</v>
      </c>
      <c r="X148" s="14">
        <v>20001</v>
      </c>
      <c r="Y148" s="36" t="s">
        <v>362</v>
      </c>
      <c r="Z148" s="14">
        <v>40001</v>
      </c>
    </row>
    <row r="149" spans="2:26">
      <c r="B149" s="14">
        <f>30000000+INDEX(编号表!$B:$B,MATCH(G149,编号表!$A:$A,0))*10000+E149</f>
        <v>30090034</v>
      </c>
      <c r="C149" s="14" t="s">
        <v>386</v>
      </c>
      <c r="D149" s="14" t="s">
        <v>379</v>
      </c>
      <c r="E149" s="14">
        <v>34</v>
      </c>
      <c r="F149" s="14">
        <v>60</v>
      </c>
      <c r="G149" s="14" t="s">
        <v>330</v>
      </c>
      <c r="H149" s="14" t="s">
        <v>71</v>
      </c>
      <c r="I149" s="14" t="s">
        <v>142</v>
      </c>
      <c r="J149" s="14">
        <v>1</v>
      </c>
      <c r="K149" s="14" t="s">
        <v>330</v>
      </c>
      <c r="M149" s="14">
        <v>0</v>
      </c>
      <c r="N149" s="14" t="b">
        <v>0</v>
      </c>
      <c r="P149" s="14">
        <v>1</v>
      </c>
      <c r="Q149" s="14" t="s">
        <v>73</v>
      </c>
      <c r="R149" s="14">
        <v>1</v>
      </c>
      <c r="V149" s="14" t="s">
        <v>365</v>
      </c>
      <c r="W149" s="14" t="s">
        <v>366</v>
      </c>
      <c r="X149" s="14">
        <v>20001</v>
      </c>
      <c r="Y149" s="36" t="s">
        <v>362</v>
      </c>
      <c r="Z149" s="14">
        <v>40001</v>
      </c>
    </row>
    <row r="150" spans="2:26">
      <c r="B150" s="14">
        <f>30000000+INDEX(编号表!$B:$B,MATCH(G150,编号表!$A:$A,0))*10000+E150</f>
        <v>30090035</v>
      </c>
      <c r="C150" s="14" t="s">
        <v>387</v>
      </c>
      <c r="D150" s="14" t="s">
        <v>379</v>
      </c>
      <c r="E150" s="14">
        <v>35</v>
      </c>
      <c r="F150" s="14">
        <v>60</v>
      </c>
      <c r="G150" s="14" t="s">
        <v>330</v>
      </c>
      <c r="H150" s="14" t="s">
        <v>71</v>
      </c>
      <c r="I150" s="14" t="s">
        <v>142</v>
      </c>
      <c r="J150" s="14">
        <v>1</v>
      </c>
      <c r="K150" s="14" t="s">
        <v>330</v>
      </c>
      <c r="M150" s="14">
        <v>0</v>
      </c>
      <c r="N150" s="14" t="b">
        <v>0</v>
      </c>
      <c r="P150" s="14">
        <v>1</v>
      </c>
      <c r="Q150" s="14" t="s">
        <v>73</v>
      </c>
      <c r="R150" s="14">
        <v>1</v>
      </c>
      <c r="V150" s="14" t="s">
        <v>365</v>
      </c>
      <c r="W150" s="14" t="s">
        <v>366</v>
      </c>
      <c r="X150" s="14">
        <v>20001</v>
      </c>
      <c r="Y150" s="36" t="s">
        <v>362</v>
      </c>
      <c r="Z150" s="14">
        <v>40001</v>
      </c>
    </row>
    <row r="151" spans="2:26">
      <c r="B151" s="14">
        <f>30000000+INDEX(编号表!$B:$B,MATCH(G151,编号表!$A:$A,0))*10000+E151</f>
        <v>30090036</v>
      </c>
      <c r="C151" s="14" t="s">
        <v>388</v>
      </c>
      <c r="D151" s="14" t="s">
        <v>379</v>
      </c>
      <c r="E151" s="14">
        <v>36</v>
      </c>
      <c r="F151" s="14">
        <v>60</v>
      </c>
      <c r="G151" s="14" t="s">
        <v>330</v>
      </c>
      <c r="H151" s="14" t="s">
        <v>71</v>
      </c>
      <c r="I151" s="14" t="s">
        <v>142</v>
      </c>
      <c r="J151" s="14">
        <v>1</v>
      </c>
      <c r="K151" s="14" t="s">
        <v>330</v>
      </c>
      <c r="M151" s="14">
        <v>0</v>
      </c>
      <c r="N151" s="14" t="b">
        <v>0</v>
      </c>
      <c r="P151" s="14">
        <v>1</v>
      </c>
      <c r="Q151" s="14" t="s">
        <v>73</v>
      </c>
      <c r="R151" s="14">
        <v>1</v>
      </c>
      <c r="V151" s="14" t="s">
        <v>365</v>
      </c>
      <c r="W151" s="14" t="s">
        <v>366</v>
      </c>
      <c r="X151" s="14">
        <v>20001</v>
      </c>
      <c r="Y151" s="36" t="s">
        <v>362</v>
      </c>
      <c r="Z151" s="14">
        <v>40001</v>
      </c>
    </row>
    <row r="152" spans="2:26">
      <c r="B152" s="14">
        <f>30000000+INDEX(编号表!$B:$B,MATCH(G152,编号表!$A:$A,0))*10000+E152</f>
        <v>30090037</v>
      </c>
      <c r="C152" s="14" t="s">
        <v>389</v>
      </c>
      <c r="D152" s="14" t="s">
        <v>379</v>
      </c>
      <c r="E152" s="14">
        <v>37</v>
      </c>
      <c r="F152" s="14">
        <v>60</v>
      </c>
      <c r="G152" s="14" t="s">
        <v>330</v>
      </c>
      <c r="H152" s="14" t="s">
        <v>71</v>
      </c>
      <c r="I152" s="14" t="s">
        <v>142</v>
      </c>
      <c r="J152" s="14">
        <v>1</v>
      </c>
      <c r="K152" s="14" t="s">
        <v>330</v>
      </c>
      <c r="M152" s="14">
        <v>0</v>
      </c>
      <c r="N152" s="14" t="b">
        <v>0</v>
      </c>
      <c r="P152" s="14">
        <v>1</v>
      </c>
      <c r="Q152" s="14" t="s">
        <v>73</v>
      </c>
      <c r="R152" s="14">
        <v>1</v>
      </c>
      <c r="V152" s="14" t="s">
        <v>365</v>
      </c>
      <c r="W152" s="14" t="s">
        <v>366</v>
      </c>
      <c r="X152" s="14">
        <v>20001</v>
      </c>
      <c r="Y152" s="36" t="s">
        <v>362</v>
      </c>
      <c r="Z152" s="14">
        <v>40001</v>
      </c>
    </row>
    <row r="153" spans="2:26">
      <c r="B153" s="14">
        <f>30000000+INDEX(编号表!$B:$B,MATCH(G153,编号表!$A:$A,0))*10000+E153</f>
        <v>30090038</v>
      </c>
      <c r="C153" s="14" t="s">
        <v>390</v>
      </c>
      <c r="D153" s="14" t="s">
        <v>379</v>
      </c>
      <c r="E153" s="14">
        <v>38</v>
      </c>
      <c r="F153" s="14">
        <v>60</v>
      </c>
      <c r="G153" s="14" t="s">
        <v>330</v>
      </c>
      <c r="H153" s="14" t="s">
        <v>71</v>
      </c>
      <c r="I153" s="14" t="s">
        <v>142</v>
      </c>
      <c r="J153" s="14">
        <v>1</v>
      </c>
      <c r="K153" s="14" t="s">
        <v>330</v>
      </c>
      <c r="M153" s="14">
        <v>0</v>
      </c>
      <c r="N153" s="14" t="b">
        <v>0</v>
      </c>
      <c r="P153" s="14">
        <v>1</v>
      </c>
      <c r="Q153" s="14" t="s">
        <v>73</v>
      </c>
      <c r="R153" s="14">
        <v>1</v>
      </c>
      <c r="V153" s="14" t="s">
        <v>365</v>
      </c>
      <c r="W153" s="14" t="s">
        <v>366</v>
      </c>
      <c r="X153" s="14">
        <v>20001</v>
      </c>
      <c r="Y153" s="36" t="s">
        <v>362</v>
      </c>
      <c r="Z153" s="14">
        <v>40001</v>
      </c>
    </row>
    <row r="154" spans="2:26">
      <c r="B154" s="14">
        <f>30000000+INDEX(编号表!$B:$B,MATCH(G154,编号表!$A:$A,0))*10000+E154</f>
        <v>30040017</v>
      </c>
      <c r="C154" s="14" t="s">
        <v>391</v>
      </c>
      <c r="D154" s="14" t="s">
        <v>94</v>
      </c>
      <c r="E154" s="14">
        <v>17</v>
      </c>
      <c r="F154" s="14">
        <v>60</v>
      </c>
      <c r="G154" s="14" t="s">
        <v>141</v>
      </c>
      <c r="H154" s="14" t="s">
        <v>71</v>
      </c>
      <c r="I154" s="14" t="s">
        <v>142</v>
      </c>
      <c r="J154" s="14">
        <v>1</v>
      </c>
      <c r="K154" s="14" t="s">
        <v>143</v>
      </c>
      <c r="M154" s="14">
        <v>0</v>
      </c>
      <c r="N154" s="14" t="b">
        <v>1</v>
      </c>
      <c r="P154" s="14">
        <v>1</v>
      </c>
      <c r="Q154" s="14" t="s">
        <v>73</v>
      </c>
      <c r="R154" s="14">
        <v>999</v>
      </c>
      <c r="V154" s="14" t="s">
        <v>392</v>
      </c>
      <c r="W154" s="14" t="s">
        <v>393</v>
      </c>
      <c r="X154" s="14">
        <v>20001</v>
      </c>
      <c r="Y154" s="14" t="s">
        <v>192</v>
      </c>
      <c r="Z154" s="14">
        <v>40001</v>
      </c>
    </row>
    <row r="155" spans="2:26">
      <c r="B155" s="14">
        <f>30000000+INDEX(编号表!$B:$B,MATCH(G155,编号表!$A:$A,0))*10000+E155</f>
        <v>30040018</v>
      </c>
      <c r="C155" s="14" t="s">
        <v>394</v>
      </c>
      <c r="D155" s="14" t="s">
        <v>94</v>
      </c>
      <c r="E155" s="14">
        <v>18</v>
      </c>
      <c r="F155" s="14">
        <v>60</v>
      </c>
      <c r="G155" s="14" t="s">
        <v>141</v>
      </c>
      <c r="H155" s="14" t="s">
        <v>71</v>
      </c>
      <c r="I155" s="14" t="s">
        <v>142</v>
      </c>
      <c r="J155" s="14">
        <v>1</v>
      </c>
      <c r="K155" s="14" t="s">
        <v>143</v>
      </c>
      <c r="M155" s="14">
        <v>0</v>
      </c>
      <c r="N155" s="14" t="b">
        <v>1</v>
      </c>
      <c r="P155" s="14">
        <v>1</v>
      </c>
      <c r="Q155" s="14" t="s">
        <v>73</v>
      </c>
      <c r="R155" s="14">
        <v>999</v>
      </c>
      <c r="V155" s="14" t="s">
        <v>392</v>
      </c>
      <c r="W155" s="14" t="s">
        <v>393</v>
      </c>
      <c r="X155" s="14">
        <v>20001</v>
      </c>
      <c r="Y155" s="14" t="s">
        <v>192</v>
      </c>
      <c r="Z155" s="14">
        <v>40001</v>
      </c>
    </row>
    <row r="156" spans="2:26">
      <c r="B156" s="14">
        <f>30000000+INDEX(编号表!$B:$B,MATCH(G156,编号表!$A:$A,0))*10000+E156</f>
        <v>30040019</v>
      </c>
      <c r="C156" s="14" t="s">
        <v>395</v>
      </c>
      <c r="D156" s="14" t="s">
        <v>94</v>
      </c>
      <c r="E156" s="14">
        <v>19</v>
      </c>
      <c r="F156" s="14">
        <v>60</v>
      </c>
      <c r="G156" s="14" t="s">
        <v>141</v>
      </c>
      <c r="H156" s="14" t="s">
        <v>71</v>
      </c>
      <c r="I156" s="14" t="s">
        <v>142</v>
      </c>
      <c r="J156" s="14">
        <v>1</v>
      </c>
      <c r="K156" s="14" t="s">
        <v>143</v>
      </c>
      <c r="M156" s="14">
        <v>0</v>
      </c>
      <c r="N156" s="14" t="b">
        <v>1</v>
      </c>
      <c r="P156" s="14">
        <v>1</v>
      </c>
      <c r="Q156" s="14" t="s">
        <v>73</v>
      </c>
      <c r="R156" s="14">
        <v>999</v>
      </c>
      <c r="V156" s="14" t="s">
        <v>392</v>
      </c>
      <c r="W156" s="14" t="s">
        <v>393</v>
      </c>
      <c r="X156" s="14">
        <v>20001</v>
      </c>
      <c r="Y156" s="14" t="s">
        <v>192</v>
      </c>
      <c r="Z156" s="14">
        <v>40001</v>
      </c>
    </row>
    <row r="157" spans="2:26">
      <c r="B157" s="14">
        <f>30000000+INDEX(编号表!$B:$B,MATCH(G157,编号表!$A:$A,0))*10000+E157</f>
        <v>30040020</v>
      </c>
      <c r="C157" s="14" t="s">
        <v>396</v>
      </c>
      <c r="D157" s="14" t="s">
        <v>94</v>
      </c>
      <c r="E157" s="14">
        <v>20</v>
      </c>
      <c r="F157" s="14">
        <v>60</v>
      </c>
      <c r="G157" s="14" t="s">
        <v>141</v>
      </c>
      <c r="H157" s="14" t="s">
        <v>71</v>
      </c>
      <c r="I157" s="14" t="s">
        <v>142</v>
      </c>
      <c r="J157" s="14">
        <v>1</v>
      </c>
      <c r="K157" s="14" t="s">
        <v>143</v>
      </c>
      <c r="M157" s="14">
        <v>0</v>
      </c>
      <c r="N157" s="14" t="b">
        <v>1</v>
      </c>
      <c r="P157" s="14">
        <v>1</v>
      </c>
      <c r="Q157" s="14" t="s">
        <v>73</v>
      </c>
      <c r="R157" s="14">
        <v>999</v>
      </c>
      <c r="V157" s="14" t="s">
        <v>392</v>
      </c>
      <c r="W157" s="14" t="s">
        <v>393</v>
      </c>
      <c r="X157" s="14">
        <v>20001</v>
      </c>
      <c r="Y157" s="14" t="s">
        <v>192</v>
      </c>
      <c r="Z157" s="14">
        <v>40001</v>
      </c>
    </row>
    <row r="158" spans="2:26">
      <c r="B158" s="14">
        <f>30000000+INDEX(编号表!$B:$B,MATCH(G158,编号表!$A:$A,0))*10000+E158</f>
        <v>30040021</v>
      </c>
      <c r="C158" s="14" t="s">
        <v>397</v>
      </c>
      <c r="D158" s="14" t="s">
        <v>94</v>
      </c>
      <c r="E158" s="14">
        <v>21</v>
      </c>
      <c r="F158" s="14">
        <v>60</v>
      </c>
      <c r="G158" s="14" t="s">
        <v>141</v>
      </c>
      <c r="H158" s="14" t="s">
        <v>71</v>
      </c>
      <c r="I158" s="14" t="s">
        <v>142</v>
      </c>
      <c r="J158" s="14">
        <v>1</v>
      </c>
      <c r="K158" s="14" t="s">
        <v>143</v>
      </c>
      <c r="M158" s="14">
        <v>0</v>
      </c>
      <c r="N158" s="14" t="b">
        <v>1</v>
      </c>
      <c r="P158" s="14">
        <v>1</v>
      </c>
      <c r="Q158" s="14" t="s">
        <v>73</v>
      </c>
      <c r="R158" s="14">
        <v>999</v>
      </c>
      <c r="V158" s="14" t="s">
        <v>392</v>
      </c>
      <c r="W158" s="14" t="s">
        <v>393</v>
      </c>
      <c r="X158" s="14">
        <v>20001</v>
      </c>
      <c r="Y158" s="14" t="s">
        <v>192</v>
      </c>
      <c r="Z158" s="14">
        <v>40001</v>
      </c>
    </row>
    <row r="159" spans="2:26">
      <c r="B159" s="14">
        <f>30000000+INDEX(编号表!$B:$B,MATCH(G159,编号表!$A:$A,0))*10000+E159</f>
        <v>30040022</v>
      </c>
      <c r="C159" s="14" t="s">
        <v>398</v>
      </c>
      <c r="D159" s="14" t="s">
        <v>94</v>
      </c>
      <c r="E159" s="14">
        <v>22</v>
      </c>
      <c r="F159" s="14">
        <v>60</v>
      </c>
      <c r="G159" s="14" t="s">
        <v>141</v>
      </c>
      <c r="H159" s="14" t="s">
        <v>71</v>
      </c>
      <c r="I159" s="14" t="s">
        <v>142</v>
      </c>
      <c r="J159" s="14">
        <v>1</v>
      </c>
      <c r="K159" s="14" t="s">
        <v>143</v>
      </c>
      <c r="M159" s="14">
        <v>0</v>
      </c>
      <c r="N159" s="14" t="b">
        <v>1</v>
      </c>
      <c r="P159" s="14">
        <v>1</v>
      </c>
      <c r="Q159" s="14" t="s">
        <v>73</v>
      </c>
      <c r="R159" s="14">
        <v>999</v>
      </c>
      <c r="V159" s="14" t="s">
        <v>392</v>
      </c>
      <c r="W159" s="14" t="s">
        <v>393</v>
      </c>
      <c r="X159" s="14">
        <v>20001</v>
      </c>
      <c r="Y159" s="14" t="s">
        <v>192</v>
      </c>
      <c r="Z159" s="14">
        <v>40001</v>
      </c>
    </row>
    <row r="160" spans="2:26">
      <c r="B160" s="14">
        <f>30000000+INDEX(编号表!$B:$B,MATCH(G160,编号表!$A:$A,0))*10000+E160</f>
        <v>30040023</v>
      </c>
      <c r="C160" s="14" t="s">
        <v>399</v>
      </c>
      <c r="D160" s="14" t="s">
        <v>94</v>
      </c>
      <c r="E160" s="14">
        <v>23</v>
      </c>
      <c r="F160" s="14">
        <v>60</v>
      </c>
      <c r="G160" s="14" t="s">
        <v>141</v>
      </c>
      <c r="H160" s="14" t="s">
        <v>71</v>
      </c>
      <c r="I160" s="14" t="s">
        <v>142</v>
      </c>
      <c r="J160" s="14">
        <v>1</v>
      </c>
      <c r="K160" s="14" t="s">
        <v>143</v>
      </c>
      <c r="M160" s="14">
        <v>0</v>
      </c>
      <c r="N160" s="14" t="b">
        <v>1</v>
      </c>
      <c r="P160" s="14">
        <v>1</v>
      </c>
      <c r="Q160" s="14" t="s">
        <v>73</v>
      </c>
      <c r="R160" s="14">
        <v>999</v>
      </c>
      <c r="V160" s="14" t="s">
        <v>392</v>
      </c>
      <c r="W160" s="14" t="s">
        <v>393</v>
      </c>
      <c r="X160" s="14">
        <v>20001</v>
      </c>
      <c r="Y160" s="14" t="s">
        <v>192</v>
      </c>
      <c r="Z160" s="14">
        <v>40001</v>
      </c>
    </row>
    <row r="161" spans="2:26">
      <c r="B161" s="14">
        <f>30000000+INDEX(编号表!$B:$B,MATCH(G161,编号表!$A:$A,0))*10000+E161</f>
        <v>30040024</v>
      </c>
      <c r="C161" s="14" t="s">
        <v>400</v>
      </c>
      <c r="D161" s="14" t="s">
        <v>94</v>
      </c>
      <c r="E161" s="14">
        <v>24</v>
      </c>
      <c r="F161" s="14">
        <v>60</v>
      </c>
      <c r="G161" s="14" t="s">
        <v>141</v>
      </c>
      <c r="H161" s="14" t="s">
        <v>71</v>
      </c>
      <c r="I161" s="14" t="s">
        <v>142</v>
      </c>
      <c r="J161" s="14">
        <v>1</v>
      </c>
      <c r="K161" s="14" t="s">
        <v>143</v>
      </c>
      <c r="M161" s="14">
        <v>0</v>
      </c>
      <c r="N161" s="14" t="b">
        <v>1</v>
      </c>
      <c r="P161" s="14">
        <v>1</v>
      </c>
      <c r="Q161" s="14" t="s">
        <v>73</v>
      </c>
      <c r="R161" s="14">
        <v>999</v>
      </c>
      <c r="V161" s="14" t="s">
        <v>392</v>
      </c>
      <c r="W161" s="14" t="s">
        <v>393</v>
      </c>
      <c r="X161" s="14">
        <v>20001</v>
      </c>
      <c r="Y161" s="14" t="s">
        <v>192</v>
      </c>
      <c r="Z161" s="14">
        <v>40001</v>
      </c>
    </row>
    <row r="162" spans="2:26">
      <c r="B162" s="14">
        <f>30000000+INDEX(编号表!$B:$B,MATCH(G162,编号表!$A:$A,0))*10000+E162</f>
        <v>30040025</v>
      </c>
      <c r="C162" s="14" t="s">
        <v>401</v>
      </c>
      <c r="D162" s="14" t="s">
        <v>94</v>
      </c>
      <c r="E162" s="14">
        <v>25</v>
      </c>
      <c r="F162" s="14">
        <v>60</v>
      </c>
      <c r="G162" s="14" t="s">
        <v>141</v>
      </c>
      <c r="H162" s="14" t="s">
        <v>71</v>
      </c>
      <c r="I162" s="14" t="s">
        <v>142</v>
      </c>
      <c r="J162" s="14">
        <v>1</v>
      </c>
      <c r="K162" s="14" t="s">
        <v>143</v>
      </c>
      <c r="M162" s="14">
        <v>0</v>
      </c>
      <c r="N162" s="14" t="b">
        <v>1</v>
      </c>
      <c r="P162" s="14">
        <v>1</v>
      </c>
      <c r="Q162" s="14" t="s">
        <v>73</v>
      </c>
      <c r="R162" s="14">
        <v>999</v>
      </c>
      <c r="V162" s="14" t="s">
        <v>392</v>
      </c>
      <c r="W162" s="14" t="s">
        <v>393</v>
      </c>
      <c r="X162" s="14">
        <v>20001</v>
      </c>
      <c r="Y162" s="14" t="s">
        <v>192</v>
      </c>
      <c r="Z162" s="14">
        <v>40001</v>
      </c>
    </row>
    <row r="163" spans="2:26">
      <c r="B163" s="14">
        <f>30000000+INDEX(编号表!$B:$B,MATCH(G163,编号表!$A:$A,0))*10000+E163</f>
        <v>30040026</v>
      </c>
      <c r="C163" s="14" t="s">
        <v>402</v>
      </c>
      <c r="D163" s="14" t="s">
        <v>94</v>
      </c>
      <c r="E163" s="14">
        <v>26</v>
      </c>
      <c r="F163" s="14">
        <v>60</v>
      </c>
      <c r="G163" s="14" t="s">
        <v>141</v>
      </c>
      <c r="H163" s="14" t="s">
        <v>71</v>
      </c>
      <c r="I163" s="14" t="s">
        <v>142</v>
      </c>
      <c r="J163" s="14">
        <v>1</v>
      </c>
      <c r="K163" s="14" t="s">
        <v>143</v>
      </c>
      <c r="M163" s="14">
        <v>0</v>
      </c>
      <c r="N163" s="14" t="b">
        <v>1</v>
      </c>
      <c r="P163" s="14">
        <v>1</v>
      </c>
      <c r="Q163" s="14" t="s">
        <v>73</v>
      </c>
      <c r="R163" s="14">
        <v>999</v>
      </c>
      <c r="V163" s="14" t="s">
        <v>403</v>
      </c>
      <c r="W163" s="14" t="s">
        <v>393</v>
      </c>
      <c r="X163" s="14">
        <v>20001</v>
      </c>
      <c r="Y163" s="32" t="s">
        <v>176</v>
      </c>
      <c r="Z163" s="14">
        <v>40001</v>
      </c>
    </row>
    <row r="164" spans="2:26">
      <c r="B164" s="14">
        <f>30000000+INDEX(编号表!$B:$B,MATCH(G164,编号表!$A:$A,0))*10000+E164</f>
        <v>30040027</v>
      </c>
      <c r="C164" s="14" t="s">
        <v>404</v>
      </c>
      <c r="D164" s="14" t="s">
        <v>94</v>
      </c>
      <c r="E164" s="14">
        <v>27</v>
      </c>
      <c r="F164" s="14">
        <v>60</v>
      </c>
      <c r="G164" s="14" t="s">
        <v>141</v>
      </c>
      <c r="H164" s="14" t="s">
        <v>71</v>
      </c>
      <c r="I164" s="14" t="s">
        <v>142</v>
      </c>
      <c r="J164" s="14">
        <v>1</v>
      </c>
      <c r="K164" s="14" t="s">
        <v>143</v>
      </c>
      <c r="M164" s="14">
        <v>0</v>
      </c>
      <c r="N164" s="14" t="b">
        <v>1</v>
      </c>
      <c r="P164" s="14">
        <v>1</v>
      </c>
      <c r="Q164" s="14" t="s">
        <v>73</v>
      </c>
      <c r="R164" s="14">
        <v>999</v>
      </c>
      <c r="V164" s="14" t="s">
        <v>405</v>
      </c>
      <c r="W164" s="14" t="s">
        <v>393</v>
      </c>
      <c r="X164" s="14">
        <v>20001</v>
      </c>
      <c r="Y164" s="32" t="s">
        <v>176</v>
      </c>
      <c r="Z164" s="14">
        <v>40001</v>
      </c>
    </row>
    <row r="165" spans="2:26">
      <c r="B165" s="14">
        <f>30000000+INDEX(编号表!$B:$B,MATCH(G165,编号表!$A:$A,0))*10000+E165</f>
        <v>30040028</v>
      </c>
      <c r="C165" s="14" t="s">
        <v>406</v>
      </c>
      <c r="D165" s="14" t="s">
        <v>94</v>
      </c>
      <c r="E165" s="14">
        <v>28</v>
      </c>
      <c r="F165" s="14">
        <v>60</v>
      </c>
      <c r="G165" s="14" t="s">
        <v>141</v>
      </c>
      <c r="H165" s="14" t="s">
        <v>71</v>
      </c>
      <c r="I165" s="14" t="s">
        <v>142</v>
      </c>
      <c r="J165" s="14">
        <v>1</v>
      </c>
      <c r="K165" s="14" t="s">
        <v>143</v>
      </c>
      <c r="M165" s="14">
        <v>0</v>
      </c>
      <c r="N165" s="14" t="b">
        <v>1</v>
      </c>
      <c r="P165" s="14">
        <v>1</v>
      </c>
      <c r="Q165" s="14" t="s">
        <v>73</v>
      </c>
      <c r="R165" s="14">
        <v>999</v>
      </c>
      <c r="V165" s="14" t="s">
        <v>407</v>
      </c>
      <c r="W165" s="14" t="s">
        <v>393</v>
      </c>
      <c r="X165" s="14">
        <v>20001</v>
      </c>
      <c r="Y165" s="14" t="s">
        <v>179</v>
      </c>
      <c r="Z165" s="14">
        <v>40001</v>
      </c>
    </row>
    <row r="166" spans="2:26">
      <c r="B166" s="14">
        <f>30000000+INDEX(编号表!$B:$B,MATCH(G166,编号表!$A:$A,0))*10000+E166</f>
        <v>30040029</v>
      </c>
      <c r="C166" s="14" t="s">
        <v>408</v>
      </c>
      <c r="D166" s="14" t="s">
        <v>94</v>
      </c>
      <c r="E166" s="14">
        <v>29</v>
      </c>
      <c r="F166" s="14">
        <v>60</v>
      </c>
      <c r="G166" s="14" t="s">
        <v>141</v>
      </c>
      <c r="H166" s="14" t="s">
        <v>71</v>
      </c>
      <c r="I166" s="14" t="s">
        <v>142</v>
      </c>
      <c r="J166" s="14">
        <v>1</v>
      </c>
      <c r="K166" s="14" t="s">
        <v>143</v>
      </c>
      <c r="M166" s="14">
        <v>0</v>
      </c>
      <c r="N166" s="14" t="b">
        <v>1</v>
      </c>
      <c r="P166" s="14">
        <v>1</v>
      </c>
      <c r="Q166" s="14" t="s">
        <v>73</v>
      </c>
      <c r="R166" s="14">
        <v>999</v>
      </c>
      <c r="V166" s="14" t="s">
        <v>409</v>
      </c>
      <c r="W166" s="14" t="s">
        <v>393</v>
      </c>
      <c r="X166" s="14">
        <v>20001</v>
      </c>
      <c r="Y166" s="14" t="s">
        <v>179</v>
      </c>
      <c r="Z166" s="14">
        <v>40001</v>
      </c>
    </row>
    <row r="167" spans="2:26">
      <c r="B167" s="14">
        <f>30000000+INDEX(编号表!$B:$B,MATCH(G167,编号表!$A:$A,0))*10000+E167</f>
        <v>30040030</v>
      </c>
      <c r="C167" s="14" t="s">
        <v>410</v>
      </c>
      <c r="D167" s="14" t="s">
        <v>94</v>
      </c>
      <c r="E167" s="14">
        <v>30</v>
      </c>
      <c r="F167" s="14">
        <v>60</v>
      </c>
      <c r="G167" s="14" t="s">
        <v>141</v>
      </c>
      <c r="H167" s="14" t="s">
        <v>71</v>
      </c>
      <c r="I167" s="14" t="s">
        <v>142</v>
      </c>
      <c r="J167" s="14">
        <v>1</v>
      </c>
      <c r="K167" s="14" t="s">
        <v>143</v>
      </c>
      <c r="M167" s="14">
        <v>0</v>
      </c>
      <c r="N167" s="14" t="b">
        <v>1</v>
      </c>
      <c r="P167" s="14">
        <v>1</v>
      </c>
      <c r="Q167" s="14" t="s">
        <v>73</v>
      </c>
      <c r="R167" s="14">
        <v>999</v>
      </c>
      <c r="V167" s="14" t="s">
        <v>411</v>
      </c>
      <c r="W167" s="14" t="s">
        <v>393</v>
      </c>
      <c r="X167" s="14">
        <v>20001</v>
      </c>
      <c r="Y167" s="14" t="s">
        <v>182</v>
      </c>
      <c r="Z167" s="14">
        <v>40001</v>
      </c>
    </row>
    <row r="168" spans="2:26">
      <c r="B168" s="14">
        <f>30000000+INDEX(编号表!$B:$B,MATCH(G168,编号表!$A:$A,0))*10000+E168</f>
        <v>30040031</v>
      </c>
      <c r="C168" s="14" t="s">
        <v>412</v>
      </c>
      <c r="D168" s="14" t="s">
        <v>94</v>
      </c>
      <c r="E168" s="14">
        <v>31</v>
      </c>
      <c r="F168" s="14">
        <v>60</v>
      </c>
      <c r="G168" s="14" t="s">
        <v>141</v>
      </c>
      <c r="H168" s="14" t="s">
        <v>71</v>
      </c>
      <c r="I168" s="14" t="s">
        <v>142</v>
      </c>
      <c r="J168" s="14">
        <v>1</v>
      </c>
      <c r="K168" s="14" t="s">
        <v>143</v>
      </c>
      <c r="M168" s="14">
        <v>0</v>
      </c>
      <c r="N168" s="14" t="b">
        <v>1</v>
      </c>
      <c r="P168" s="14">
        <v>1</v>
      </c>
      <c r="Q168" s="14" t="s">
        <v>73</v>
      </c>
      <c r="R168" s="14">
        <v>999</v>
      </c>
      <c r="V168" s="14" t="s">
        <v>413</v>
      </c>
      <c r="W168" s="14" t="s">
        <v>393</v>
      </c>
      <c r="X168" s="14">
        <v>20001</v>
      </c>
      <c r="Y168" s="14" t="s">
        <v>182</v>
      </c>
      <c r="Z168" s="14">
        <v>40001</v>
      </c>
    </row>
    <row r="169" spans="2:26">
      <c r="B169" s="14">
        <f>30000000+INDEX(编号表!$B:$B,MATCH(G169,编号表!$A:$A,0))*10000+E169</f>
        <v>30040032</v>
      </c>
      <c r="C169" s="14" t="s">
        <v>414</v>
      </c>
      <c r="D169" s="14" t="s">
        <v>94</v>
      </c>
      <c r="E169" s="14">
        <v>32</v>
      </c>
      <c r="F169" s="14">
        <v>60</v>
      </c>
      <c r="G169" s="14" t="s">
        <v>141</v>
      </c>
      <c r="H169" s="14" t="s">
        <v>71</v>
      </c>
      <c r="I169" s="14" t="s">
        <v>142</v>
      </c>
      <c r="J169" s="14">
        <v>1</v>
      </c>
      <c r="K169" s="14" t="s">
        <v>143</v>
      </c>
      <c r="M169" s="14">
        <v>0</v>
      </c>
      <c r="N169" s="14" t="b">
        <v>1</v>
      </c>
      <c r="P169" s="14">
        <v>1</v>
      </c>
      <c r="Q169" s="14" t="s">
        <v>73</v>
      </c>
      <c r="R169" s="14">
        <v>999</v>
      </c>
      <c r="V169" s="14" t="s">
        <v>415</v>
      </c>
      <c r="W169" s="14" t="s">
        <v>393</v>
      </c>
      <c r="X169" s="14">
        <v>20001</v>
      </c>
      <c r="Y169" s="14" t="s">
        <v>185</v>
      </c>
      <c r="Z169" s="14">
        <v>40001</v>
      </c>
    </row>
    <row r="170" spans="2:26">
      <c r="B170" s="14">
        <f>30000000+INDEX(编号表!$B:$B,MATCH(G170,编号表!$A:$A,0))*10000+E170</f>
        <v>30040033</v>
      </c>
      <c r="C170" s="14" t="s">
        <v>416</v>
      </c>
      <c r="D170" s="14" t="s">
        <v>94</v>
      </c>
      <c r="E170" s="14">
        <v>33</v>
      </c>
      <c r="F170" s="14">
        <v>60</v>
      </c>
      <c r="G170" s="14" t="s">
        <v>141</v>
      </c>
      <c r="H170" s="14" t="s">
        <v>71</v>
      </c>
      <c r="I170" s="14" t="s">
        <v>142</v>
      </c>
      <c r="J170" s="14">
        <v>1</v>
      </c>
      <c r="K170" s="14" t="s">
        <v>143</v>
      </c>
      <c r="M170" s="14">
        <v>0</v>
      </c>
      <c r="N170" s="14" t="b">
        <v>1</v>
      </c>
      <c r="P170" s="14">
        <v>1</v>
      </c>
      <c r="Q170" s="14" t="s">
        <v>73</v>
      </c>
      <c r="R170" s="14">
        <v>999</v>
      </c>
      <c r="V170" s="14" t="s">
        <v>417</v>
      </c>
      <c r="W170" s="14" t="s">
        <v>393</v>
      </c>
      <c r="X170" s="14">
        <v>20001</v>
      </c>
      <c r="Y170" s="14" t="s">
        <v>185</v>
      </c>
      <c r="Z170" s="14">
        <v>40001</v>
      </c>
    </row>
    <row r="171" spans="2:26">
      <c r="B171" s="14">
        <f>30000000+INDEX(编号表!$B:$B,MATCH(G171,编号表!$A:$A,0))*10000+E171</f>
        <v>30040034</v>
      </c>
      <c r="C171" s="14" t="s">
        <v>418</v>
      </c>
      <c r="D171" s="14" t="s">
        <v>94</v>
      </c>
      <c r="E171" s="14">
        <v>34</v>
      </c>
      <c r="F171" s="14">
        <v>60</v>
      </c>
      <c r="G171" s="14" t="s">
        <v>141</v>
      </c>
      <c r="H171" s="14" t="s">
        <v>71</v>
      </c>
      <c r="I171" s="14" t="s">
        <v>142</v>
      </c>
      <c r="J171" s="14">
        <v>1</v>
      </c>
      <c r="K171" s="14" t="s">
        <v>143</v>
      </c>
      <c r="M171" s="14">
        <v>0</v>
      </c>
      <c r="N171" s="14" t="b">
        <v>1</v>
      </c>
      <c r="P171" s="14">
        <v>1</v>
      </c>
      <c r="Q171" s="14" t="s">
        <v>73</v>
      </c>
      <c r="R171" s="14">
        <v>999</v>
      </c>
      <c r="V171" s="14" t="s">
        <v>419</v>
      </c>
      <c r="W171" s="14" t="s">
        <v>393</v>
      </c>
      <c r="X171" s="14">
        <v>20001</v>
      </c>
      <c r="Y171" s="14" t="s">
        <v>188</v>
      </c>
      <c r="Z171" s="14">
        <v>40001</v>
      </c>
    </row>
    <row r="172" spans="2:26">
      <c r="B172" s="14">
        <f>30000000+INDEX(编号表!$B:$B,MATCH(G172,编号表!$A:$A,0))*10000+E172</f>
        <v>30040035</v>
      </c>
      <c r="C172" s="14" t="s">
        <v>420</v>
      </c>
      <c r="D172" s="14" t="s">
        <v>94</v>
      </c>
      <c r="E172" s="14">
        <v>35</v>
      </c>
      <c r="F172" s="14">
        <v>60</v>
      </c>
      <c r="G172" s="14" t="s">
        <v>141</v>
      </c>
      <c r="H172" s="14" t="s">
        <v>71</v>
      </c>
      <c r="I172" s="14" t="s">
        <v>142</v>
      </c>
      <c r="J172" s="14">
        <v>1</v>
      </c>
      <c r="K172" s="14" t="s">
        <v>143</v>
      </c>
      <c r="M172" s="14">
        <v>0</v>
      </c>
      <c r="N172" s="14" t="b">
        <v>1</v>
      </c>
      <c r="P172" s="14">
        <v>1</v>
      </c>
      <c r="Q172" s="14" t="s">
        <v>73</v>
      </c>
      <c r="R172" s="14">
        <v>9999</v>
      </c>
      <c r="V172" s="14" t="s">
        <v>421</v>
      </c>
      <c r="W172" s="14" t="s">
        <v>393</v>
      </c>
      <c r="X172" s="14">
        <v>20001</v>
      </c>
      <c r="Y172" s="14" t="s">
        <v>188</v>
      </c>
      <c r="Z172" s="14">
        <v>40001</v>
      </c>
    </row>
  </sheetData>
  <mergeCells count="2">
    <mergeCell ref="AC1:AF1"/>
    <mergeCell ref="AC2:AF2"/>
  </mergeCells>
  <conditionalFormatting sqref="A21">
    <cfRule type="duplicateValues" dxfId="0" priority="1"/>
  </conditionalFormatting>
  <conditionalFormatting sqref="A100:A112">
    <cfRule type="duplicateValues" dxfId="0" priority="6"/>
  </conditionalFormatting>
  <conditionalFormatting sqref="A113:A170">
    <cfRule type="duplicateValues" dxfId="0" priority="4"/>
  </conditionalFormatting>
  <conditionalFormatting sqref="W100:W109">
    <cfRule type="duplicateValues" dxfId="0" priority="5"/>
  </conditionalFormatting>
  <conditionalFormatting sqref="A1:A20 A22:A99 A171:A1048576">
    <cfRule type="duplicateValues" dxfId="0" priority="19"/>
  </conditionalFormatting>
  <conditionalFormatting sqref="B128:B151 E128:E151">
    <cfRule type="duplicateValues" dxfId="1" priority="2"/>
  </conditionalFormatting>
  <dataValidations count="1">
    <dataValidation type="list" allowBlank="1" showInputMessage="1" showErrorMessage="1" sqref="K27 K23:K24 K29:K30 K32:K41 K43:K50 K52:K160 R90:R92 R105:R151 R161:R1048576 G161:H1048576 K161:L172 K173:M1048576">
      <formula1>#REF!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E7" sqref="E7"/>
    </sheetView>
  </sheetViews>
  <sheetFormatPr defaultColWidth="9" defaultRowHeight="13.8"/>
  <cols>
    <col min="1" max="1" width="4" style="1" customWidth="1"/>
    <col min="2" max="2" width="11" style="1" customWidth="1"/>
    <col min="3" max="3" width="20" style="1" customWidth="1"/>
    <col min="4" max="4" width="11" style="1" customWidth="1"/>
    <col min="5" max="5" width="22" style="1" customWidth="1"/>
    <col min="6" max="7" width="13" style="1" customWidth="1"/>
    <col min="8" max="8" width="12" style="1" customWidth="1"/>
    <col min="9" max="9" width="58" style="1" customWidth="1"/>
    <col min="10" max="16384" width="9" style="1"/>
  </cols>
  <sheetData>
    <row r="1" s="1" customFormat="1" ht="31.2" spans="1:9">
      <c r="A1" s="17" t="s">
        <v>0</v>
      </c>
      <c r="B1" s="17" t="s">
        <v>422</v>
      </c>
      <c r="C1" s="17"/>
      <c r="D1" s="17" t="s">
        <v>423</v>
      </c>
      <c r="E1" s="17" t="s">
        <v>424</v>
      </c>
      <c r="F1" s="17" t="s">
        <v>425</v>
      </c>
      <c r="G1" s="17" t="s">
        <v>426</v>
      </c>
      <c r="H1" s="17" t="s">
        <v>427</v>
      </c>
      <c r="I1" s="17"/>
    </row>
    <row r="2" s="1" customFormat="1" ht="46.8" spans="1:9">
      <c r="A2" s="17" t="s">
        <v>27</v>
      </c>
      <c r="B2" s="17" t="s">
        <v>28</v>
      </c>
      <c r="C2" s="17"/>
      <c r="D2" s="17" t="s">
        <v>28</v>
      </c>
      <c r="E2" s="17" t="s">
        <v>33</v>
      </c>
      <c r="F2" s="17" t="s">
        <v>28</v>
      </c>
      <c r="G2" s="17" t="s">
        <v>28</v>
      </c>
      <c r="H2" s="17" t="s">
        <v>28</v>
      </c>
      <c r="I2" s="17"/>
    </row>
    <row r="3" s="1" customFormat="1" ht="46.8" spans="1:9">
      <c r="A3" s="17" t="s">
        <v>35</v>
      </c>
      <c r="B3" s="17"/>
      <c r="C3" s="17"/>
      <c r="D3" s="17"/>
      <c r="E3" s="17"/>
      <c r="F3" s="17"/>
      <c r="G3" s="17"/>
      <c r="H3" s="17"/>
      <c r="I3" s="17"/>
    </row>
    <row r="4" s="1" customFormat="1" ht="15.6" spans="1:9">
      <c r="A4" s="18" t="s">
        <v>37</v>
      </c>
      <c r="B4" s="18" t="s">
        <v>428</v>
      </c>
      <c r="C4" s="19" t="s">
        <v>429</v>
      </c>
      <c r="D4" s="18" t="s">
        <v>430</v>
      </c>
      <c r="E4" s="18" t="s">
        <v>431</v>
      </c>
      <c r="F4" s="18" t="s">
        <v>432</v>
      </c>
      <c r="G4" s="18" t="s">
        <v>433</v>
      </c>
      <c r="H4" s="18" t="s">
        <v>434</v>
      </c>
      <c r="I4" s="19" t="s">
        <v>435</v>
      </c>
    </row>
    <row r="5" s="1" customFormat="1" ht="15" spans="1:9">
      <c r="A5" s="20"/>
      <c r="B5" s="21">
        <v>50001</v>
      </c>
      <c r="C5" s="22" t="s">
        <v>436</v>
      </c>
      <c r="D5" s="21">
        <v>1</v>
      </c>
      <c r="E5" s="21" t="s">
        <v>281</v>
      </c>
      <c r="F5" s="21">
        <v>0</v>
      </c>
      <c r="G5" s="21">
        <v>0</v>
      </c>
      <c r="H5" s="21">
        <v>0</v>
      </c>
      <c r="I5" s="23" t="s">
        <v>437</v>
      </c>
    </row>
    <row r="6" s="1" customFormat="1" ht="15" spans="1:9">
      <c r="A6" s="20"/>
      <c r="B6" s="21">
        <v>50001</v>
      </c>
      <c r="C6" s="22"/>
      <c r="D6" s="21">
        <v>2</v>
      </c>
      <c r="E6" s="21" t="s">
        <v>438</v>
      </c>
      <c r="F6" s="21">
        <v>0</v>
      </c>
      <c r="G6" s="21">
        <v>5000</v>
      </c>
      <c r="H6" s="21">
        <v>0</v>
      </c>
      <c r="I6" s="23" t="s">
        <v>439</v>
      </c>
    </row>
    <row r="7" s="1" customFormat="1" ht="15" spans="1:9">
      <c r="A7" s="20"/>
      <c r="B7" s="21">
        <v>50001</v>
      </c>
      <c r="C7" s="22"/>
      <c r="D7" s="21">
        <v>3</v>
      </c>
      <c r="E7" s="21" t="s">
        <v>106</v>
      </c>
      <c r="F7" s="21">
        <v>10010001</v>
      </c>
      <c r="G7" s="21">
        <v>0</v>
      </c>
      <c r="H7" s="21">
        <v>0</v>
      </c>
      <c r="I7" s="23" t="s">
        <v>440</v>
      </c>
    </row>
    <row r="8" s="1" customFormat="1" ht="15" spans="1:9">
      <c r="A8" s="20"/>
      <c r="B8" s="21">
        <v>50002</v>
      </c>
      <c r="C8" s="22" t="s">
        <v>441</v>
      </c>
      <c r="D8" s="21">
        <v>1</v>
      </c>
      <c r="E8" s="21" t="s">
        <v>442</v>
      </c>
      <c r="F8" s="21">
        <v>40010001</v>
      </c>
      <c r="G8" s="21">
        <v>3</v>
      </c>
      <c r="H8" s="21">
        <v>0</v>
      </c>
      <c r="I8" s="23" t="s">
        <v>443</v>
      </c>
    </row>
    <row r="9" s="1" customFormat="1" ht="15" spans="1:9">
      <c r="A9" s="20"/>
      <c r="B9" s="21">
        <v>50003</v>
      </c>
      <c r="C9" s="22" t="s">
        <v>444</v>
      </c>
      <c r="D9" s="21">
        <v>1</v>
      </c>
      <c r="E9" s="21" t="s">
        <v>281</v>
      </c>
      <c r="F9" s="21">
        <v>1</v>
      </c>
      <c r="G9" s="21">
        <v>800</v>
      </c>
      <c r="H9" s="21">
        <v>10</v>
      </c>
      <c r="I9" s="23" t="s">
        <v>445</v>
      </c>
    </row>
    <row r="10" s="1" customFormat="1" ht="15" spans="1:9">
      <c r="A10" s="20"/>
      <c r="B10" s="21">
        <v>50003</v>
      </c>
      <c r="C10" s="22"/>
      <c r="D10" s="21">
        <v>2</v>
      </c>
      <c r="E10" s="21" t="s">
        <v>438</v>
      </c>
      <c r="F10" s="21">
        <v>0</v>
      </c>
      <c r="G10" s="21">
        <v>2000</v>
      </c>
      <c r="H10" s="21">
        <v>0</v>
      </c>
      <c r="I10" s="23" t="s">
        <v>446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27"/>
  <sheetViews>
    <sheetView workbookViewId="0">
      <selection activeCell="F14" sqref="F14"/>
    </sheetView>
  </sheetViews>
  <sheetFormatPr defaultColWidth="8.72222222222222" defaultRowHeight="13.2" outlineLevelCol="7"/>
  <cols>
    <col min="8" max="8" width="26.7222222222222" style="13" customWidth="1"/>
    <col min="12" max="12" width="16.6296296296296" style="13" customWidth="1"/>
  </cols>
  <sheetData>
    <row r="1" spans="1:8">
      <c r="A1" t="s">
        <v>447</v>
      </c>
      <c r="B1" t="s">
        <v>448</v>
      </c>
      <c r="C1" t="s">
        <v>449</v>
      </c>
      <c r="D1" t="s">
        <v>450</v>
      </c>
      <c r="E1" t="s">
        <v>448</v>
      </c>
      <c r="G1" t="s">
        <v>451</v>
      </c>
    </row>
    <row r="2" spans="1:8">
      <c r="A2" t="s">
        <v>70</v>
      </c>
      <c r="B2">
        <v>1</v>
      </c>
      <c r="C2" t="s">
        <v>452</v>
      </c>
      <c r="D2" t="s">
        <v>453</v>
      </c>
      <c r="E2">
        <v>1</v>
      </c>
      <c r="G2" t="s">
        <v>454</v>
      </c>
      <c r="H2" t="s">
        <v>455</v>
      </c>
    </row>
    <row r="3" spans="1:8">
      <c r="A3" t="s">
        <v>102</v>
      </c>
      <c r="B3">
        <v>2</v>
      </c>
      <c r="C3" t="s">
        <v>456</v>
      </c>
      <c r="D3" t="s">
        <v>457</v>
      </c>
      <c r="E3">
        <v>2</v>
      </c>
      <c r="G3" t="s">
        <v>458</v>
      </c>
      <c r="H3" s="14" t="s">
        <v>459</v>
      </c>
    </row>
    <row r="4" spans="1:8">
      <c r="A4" t="s">
        <v>460</v>
      </c>
      <c r="B4">
        <v>3</v>
      </c>
      <c r="C4" t="s">
        <v>461</v>
      </c>
      <c r="D4" t="s">
        <v>462</v>
      </c>
      <c r="E4">
        <v>3</v>
      </c>
      <c r="G4" t="s">
        <v>463</v>
      </c>
    </row>
    <row r="5" spans="1:8">
      <c r="A5" t="s">
        <v>141</v>
      </c>
      <c r="B5">
        <v>4</v>
      </c>
      <c r="C5" t="s">
        <v>464</v>
      </c>
      <c r="D5" t="s">
        <v>465</v>
      </c>
      <c r="E5">
        <v>4</v>
      </c>
      <c r="G5" t="s">
        <v>466</v>
      </c>
    </row>
    <row r="6" spans="1:8">
      <c r="A6" t="s">
        <v>279</v>
      </c>
      <c r="B6">
        <v>5</v>
      </c>
      <c r="C6" t="s">
        <v>467</v>
      </c>
      <c r="D6" t="s">
        <v>468</v>
      </c>
      <c r="E6">
        <v>5</v>
      </c>
      <c r="G6" t="s">
        <v>469</v>
      </c>
      <c r="H6" s="14" t="s">
        <v>470</v>
      </c>
    </row>
    <row r="7" spans="1:8">
      <c r="A7" t="s">
        <v>268</v>
      </c>
      <c r="B7">
        <v>6</v>
      </c>
      <c r="D7" t="s">
        <v>471</v>
      </c>
      <c r="E7">
        <v>6</v>
      </c>
      <c r="G7" t="s">
        <v>472</v>
      </c>
    </row>
    <row r="8" spans="1:8">
      <c r="A8" t="s">
        <v>194</v>
      </c>
      <c r="B8">
        <v>7</v>
      </c>
      <c r="E8">
        <v>7</v>
      </c>
      <c r="G8" t="s">
        <v>473</v>
      </c>
    </row>
    <row r="9" spans="1:8">
      <c r="A9" t="s">
        <v>309</v>
      </c>
      <c r="B9">
        <v>8</v>
      </c>
      <c r="E9">
        <v>8</v>
      </c>
      <c r="G9" t="s">
        <v>474</v>
      </c>
    </row>
    <row r="10" spans="1:8">
      <c r="A10" t="s">
        <v>330</v>
      </c>
      <c r="B10">
        <v>9</v>
      </c>
      <c r="E10">
        <v>9</v>
      </c>
    </row>
    <row r="11" spans="1:8">
      <c r="B11">
        <v>10</v>
      </c>
    </row>
    <row r="12" spans="1:8">
      <c r="B12">
        <v>11</v>
      </c>
    </row>
    <row r="13" spans="1:8">
      <c r="B13">
        <v>12</v>
      </c>
    </row>
    <row r="14" spans="1:8">
      <c r="B14">
        <v>13</v>
      </c>
      <c r="G14" t="s">
        <v>475</v>
      </c>
    </row>
    <row r="15" spans="1:8">
      <c r="B15">
        <v>14</v>
      </c>
      <c r="G15" t="s">
        <v>476</v>
      </c>
    </row>
    <row r="16" spans="1:8">
      <c r="B16">
        <v>15</v>
      </c>
    </row>
    <row r="17" spans="2:6">
      <c r="B17">
        <v>16</v>
      </c>
    </row>
    <row r="18" spans="2:6">
      <c r="B18">
        <v>17</v>
      </c>
    </row>
    <row r="19" spans="2:6">
      <c r="B19">
        <v>18</v>
      </c>
    </row>
    <row r="20" spans="2:6">
      <c r="B20">
        <v>19</v>
      </c>
    </row>
    <row r="22" ht="48.75" customHeight="1" spans="2:6">
      <c r="D22" s="15" t="s">
        <v>477</v>
      </c>
    </row>
    <row r="27" spans="2:6">
      <c r="F27" s="16"/>
    </row>
  </sheetData>
  <mergeCells count="2">
    <mergeCell ref="H3:H5"/>
    <mergeCell ref="H6:H9"/>
  </mergeCells>
  <conditionalFormatting sqref="A1:A9">
    <cfRule type="duplicateValues" dxfId="0" priority="1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selection activeCell="B30" sqref="B30"/>
    </sheetView>
  </sheetViews>
  <sheetFormatPr defaultColWidth="8.72222222222222" defaultRowHeight="13.2" outlineLevelCol="4"/>
  <cols>
    <col min="2" max="2" width="95.0925925925926" style="12" customWidth="1"/>
  </cols>
  <sheetData>
    <row r="1" spans="1:2">
      <c r="A1" t="s">
        <v>478</v>
      </c>
      <c r="B1" s="12" t="s">
        <v>479</v>
      </c>
    </row>
    <row r="2" ht="28.5" customHeight="1" spans="1:2">
      <c r="A2">
        <v>1.12</v>
      </c>
      <c r="B2" s="12" t="s">
        <v>480</v>
      </c>
    </row>
    <row r="3" spans="1:2">
      <c r="A3">
        <v>1.13</v>
      </c>
      <c r="B3" s="12" t="s">
        <v>481</v>
      </c>
    </row>
    <row r="4" spans="1:2">
      <c r="A4">
        <v>1.14</v>
      </c>
      <c r="B4" s="12" t="s">
        <v>482</v>
      </c>
    </row>
    <row r="5" spans="1:2">
      <c r="A5">
        <v>1.15</v>
      </c>
      <c r="B5" s="12" t="s">
        <v>483</v>
      </c>
    </row>
    <row r="6" spans="1:2">
      <c r="A6">
        <v>1.16</v>
      </c>
      <c r="B6" s="12" t="s">
        <v>484</v>
      </c>
    </row>
    <row r="7" spans="1:2">
      <c r="A7">
        <v>1.17</v>
      </c>
      <c r="B7" s="12" t="s">
        <v>485</v>
      </c>
    </row>
    <row r="8" spans="1:2">
      <c r="A8">
        <v>1.18</v>
      </c>
      <c r="B8" s="12" t="s">
        <v>486</v>
      </c>
    </row>
    <row r="9" spans="1:2">
      <c r="A9">
        <v>1.19</v>
      </c>
      <c r="B9" s="12" t="s">
        <v>487</v>
      </c>
    </row>
    <row r="10" spans="1:2">
      <c r="A10">
        <v>1.2</v>
      </c>
      <c r="B10" s="12" t="s">
        <v>488</v>
      </c>
    </row>
    <row r="11" spans="1:2">
      <c r="A11">
        <v>1.21</v>
      </c>
      <c r="B11" s="12" t="s">
        <v>489</v>
      </c>
    </row>
    <row r="12" spans="1:2">
      <c r="A12">
        <v>1.22</v>
      </c>
      <c r="B12" s="12" t="s">
        <v>490</v>
      </c>
    </row>
    <row r="13" spans="1:2">
      <c r="A13">
        <v>1.23</v>
      </c>
      <c r="B13" s="12" t="s">
        <v>491</v>
      </c>
    </row>
    <row r="14" spans="1:2">
      <c r="A14">
        <v>1.24</v>
      </c>
      <c r="B14" s="12" t="s">
        <v>492</v>
      </c>
    </row>
    <row r="15" spans="1:2">
      <c r="A15">
        <v>1.25</v>
      </c>
    </row>
    <row r="16" spans="1:2">
      <c r="A16">
        <v>1.26</v>
      </c>
      <c r="B16" s="12" t="s">
        <v>493</v>
      </c>
    </row>
    <row r="17" ht="28.5" customHeight="1" spans="1:5">
      <c r="A17">
        <v>1.27</v>
      </c>
      <c r="B17" s="12" t="s">
        <v>494</v>
      </c>
      <c r="E17" t="s">
        <v>475</v>
      </c>
    </row>
    <row r="18" spans="1:5">
      <c r="A18">
        <v>1.28</v>
      </c>
      <c r="B18" s="12" t="s">
        <v>495</v>
      </c>
    </row>
    <row r="19" spans="1:5">
      <c r="A19">
        <v>1.29</v>
      </c>
    </row>
    <row r="20" spans="1:5">
      <c r="A20">
        <v>1.3</v>
      </c>
    </row>
    <row r="21" spans="1:5">
      <c r="A21">
        <v>1.31</v>
      </c>
    </row>
    <row r="22" spans="1:5">
      <c r="A22">
        <v>1.32</v>
      </c>
    </row>
    <row r="23" spans="1:5">
      <c r="A23">
        <v>1.33</v>
      </c>
    </row>
    <row r="24" spans="1:5">
      <c r="A24">
        <v>1.34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opLeftCell="A8" workbookViewId="0">
      <selection activeCell="A1" sqref="$A1:$XFD1048576"/>
    </sheetView>
  </sheetViews>
  <sheetFormatPr defaultColWidth="9" defaultRowHeight="13.8" outlineLevelCol="3"/>
  <cols>
    <col min="1" max="1" width="14" style="1" customWidth="1"/>
    <col min="2" max="2" width="20" style="1" customWidth="1"/>
    <col min="3" max="3" width="8" style="1" customWidth="1"/>
    <col min="4" max="4" width="96" style="1" customWidth="1"/>
    <col min="5" max="16384" width="9" style="1"/>
  </cols>
  <sheetData>
    <row r="1" s="1" customFormat="1" ht="19.8" spans="1:4">
      <c r="A1" s="2" t="s">
        <v>496</v>
      </c>
    </row>
    <row r="2" s="1" customFormat="1" ht="135" spans="1:4">
      <c r="A2" s="5" t="s">
        <v>497</v>
      </c>
    </row>
    <row r="4" s="1" customFormat="1" ht="15.6" spans="1:4">
      <c r="A4" s="3" t="s">
        <v>498</v>
      </c>
      <c r="B4" s="3" t="s">
        <v>499</v>
      </c>
      <c r="C4" s="3" t="s">
        <v>500</v>
      </c>
      <c r="D4" s="3" t="s">
        <v>479</v>
      </c>
    </row>
    <row r="5" s="1" customFormat="1" ht="30" spans="1:4">
      <c r="A5" s="4" t="s">
        <v>422</v>
      </c>
      <c r="B5" s="4" t="s">
        <v>28</v>
      </c>
      <c r="C5" s="4" t="s">
        <v>501</v>
      </c>
      <c r="D5" s="4" t="s">
        <v>502</v>
      </c>
    </row>
    <row r="6" s="1" customFormat="1" ht="15" spans="1:4">
      <c r="A6" s="4" t="s">
        <v>503</v>
      </c>
      <c r="B6" s="4" t="s">
        <v>504</v>
      </c>
      <c r="C6" s="4" t="s">
        <v>505</v>
      </c>
      <c r="D6" s="4" t="s">
        <v>506</v>
      </c>
    </row>
    <row r="7" s="1" customFormat="1" ht="30" spans="1:4">
      <c r="A7" s="4" t="s">
        <v>423</v>
      </c>
      <c r="B7" s="4" t="s">
        <v>28</v>
      </c>
      <c r="C7" s="4" t="s">
        <v>501</v>
      </c>
      <c r="D7" s="4" t="s">
        <v>507</v>
      </c>
    </row>
    <row r="8" s="1" customFormat="1" ht="60" spans="1:4">
      <c r="A8" s="4" t="s">
        <v>424</v>
      </c>
      <c r="B8" s="4" t="s">
        <v>33</v>
      </c>
      <c r="C8" s="4" t="s">
        <v>501</v>
      </c>
      <c r="D8" s="4" t="s">
        <v>508</v>
      </c>
    </row>
    <row r="9" s="1" customFormat="1" ht="15" spans="1:4">
      <c r="A9" s="4" t="s">
        <v>425</v>
      </c>
      <c r="B9" s="4" t="s">
        <v>28</v>
      </c>
      <c r="C9" s="4" t="s">
        <v>505</v>
      </c>
      <c r="D9" s="4" t="s">
        <v>509</v>
      </c>
    </row>
    <row r="10" s="1" customFormat="1" ht="15" spans="1:4">
      <c r="A10" s="4" t="s">
        <v>426</v>
      </c>
      <c r="B10" s="4" t="s">
        <v>28</v>
      </c>
      <c r="C10" s="4" t="s">
        <v>505</v>
      </c>
      <c r="D10" s="4" t="s">
        <v>510</v>
      </c>
    </row>
    <row r="11" s="1" customFormat="1" ht="45" spans="1:4">
      <c r="A11" s="4" t="s">
        <v>427</v>
      </c>
      <c r="B11" s="4" t="s">
        <v>28</v>
      </c>
      <c r="C11" s="4" t="s">
        <v>505</v>
      </c>
      <c r="D11" s="4" t="s">
        <v>511</v>
      </c>
    </row>
    <row r="12" s="1" customFormat="1" ht="15" spans="1:4">
      <c r="A12" s="4" t="s">
        <v>512</v>
      </c>
      <c r="B12" s="4" t="s">
        <v>504</v>
      </c>
      <c r="C12" s="4" t="s">
        <v>505</v>
      </c>
      <c r="D12" s="4" t="s">
        <v>513</v>
      </c>
    </row>
    <row r="14" s="1" customFormat="1" ht="15.6" spans="1:4">
      <c r="A14" s="6" t="s">
        <v>514</v>
      </c>
    </row>
    <row r="15" s="1" customFormat="1" ht="42" customHeight="1" spans="1:4">
      <c r="A15" s="7" t="s">
        <v>515</v>
      </c>
    </row>
    <row r="17" s="1" customFormat="1" ht="15.6" spans="1:1">
      <c r="A17" s="6" t="s">
        <v>516</v>
      </c>
    </row>
    <row r="18" s="1" customFormat="1" ht="42" customHeight="1" spans="1:1">
      <c r="A18" s="7" t="s">
        <v>517</v>
      </c>
    </row>
    <row r="20" s="1" customFormat="1" ht="15.6" spans="1:1">
      <c r="A20" s="6" t="s">
        <v>518</v>
      </c>
    </row>
    <row r="21" s="1" customFormat="1" ht="42" customHeight="1" spans="1:1">
      <c r="A21" s="7" t="s">
        <v>519</v>
      </c>
    </row>
  </sheetData>
  <mergeCells count="6">
    <mergeCell ref="A14:D14"/>
    <mergeCell ref="A15:D15"/>
    <mergeCell ref="A17:D17"/>
    <mergeCell ref="A18:D18"/>
    <mergeCell ref="A20:D20"/>
    <mergeCell ref="A21:D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opLeftCell="A2" workbookViewId="0">
      <selection activeCell="E4" sqref="E4"/>
    </sheetView>
  </sheetViews>
  <sheetFormatPr defaultColWidth="9" defaultRowHeight="13.8"/>
  <cols>
    <col min="1" max="1" width="18" style="1" customWidth="1"/>
    <col min="2" max="2" width="15" style="1" customWidth="1"/>
    <col min="3" max="3" width="7" style="1" customWidth="1"/>
    <col min="4" max="4" width="20" style="1" customWidth="1"/>
    <col min="5" max="5" width="24" style="1" customWidth="1"/>
    <col min="6" max="6" width="26" style="1" customWidth="1"/>
    <col min="7" max="7" width="14" style="1" customWidth="1"/>
    <col min="8" max="8" width="11" style="1" customWidth="1"/>
    <col min="9" max="9" width="62" style="1" customWidth="1"/>
    <col min="10" max="16384" width="9" style="1"/>
  </cols>
  <sheetData>
    <row r="1" s="1" customFormat="1" ht="19.8" spans="1:9">
      <c r="A1" s="2" t="s">
        <v>520</v>
      </c>
    </row>
    <row r="2" s="1" customFormat="1" ht="150" spans="1:9">
      <c r="A2" s="5" t="s">
        <v>521</v>
      </c>
    </row>
    <row r="4" s="1" customFormat="1" ht="15.6" spans="1:9">
      <c r="A4" s="3" t="s">
        <v>522</v>
      </c>
      <c r="B4" s="3" t="s">
        <v>523</v>
      </c>
      <c r="C4" s="3" t="s">
        <v>524</v>
      </c>
      <c r="D4" s="3" t="s">
        <v>525</v>
      </c>
      <c r="E4" s="3" t="s">
        <v>526</v>
      </c>
      <c r="F4" s="3" t="s">
        <v>527</v>
      </c>
      <c r="G4" s="3" t="s">
        <v>427</v>
      </c>
      <c r="H4" s="3" t="s">
        <v>528</v>
      </c>
      <c r="I4" s="3" t="s">
        <v>479</v>
      </c>
    </row>
    <row r="5" s="1" customFormat="1" ht="45" spans="1:9">
      <c r="A5" s="8" t="s">
        <v>529</v>
      </c>
      <c r="B5" s="8" t="s">
        <v>530</v>
      </c>
      <c r="C5" s="8">
        <v>0</v>
      </c>
      <c r="D5" s="8" t="s">
        <v>531</v>
      </c>
      <c r="E5" s="8" t="s">
        <v>532</v>
      </c>
      <c r="F5" s="8" t="s">
        <v>532</v>
      </c>
      <c r="G5" s="8" t="s">
        <v>532</v>
      </c>
      <c r="H5" s="8" t="s">
        <v>533</v>
      </c>
      <c r="I5" s="8" t="s">
        <v>534</v>
      </c>
    </row>
    <row r="6" s="1" customFormat="1" ht="135" spans="1:9">
      <c r="A6" s="8" t="s">
        <v>281</v>
      </c>
      <c r="B6" s="8" t="s">
        <v>535</v>
      </c>
      <c r="C6" s="8">
        <v>900</v>
      </c>
      <c r="D6" s="8" t="s">
        <v>536</v>
      </c>
      <c r="E6" s="8" t="s">
        <v>537</v>
      </c>
      <c r="F6" s="8" t="s">
        <v>537</v>
      </c>
      <c r="G6" s="8" t="s">
        <v>537</v>
      </c>
      <c r="H6" s="8" t="s">
        <v>533</v>
      </c>
      <c r="I6" s="8" t="s">
        <v>538</v>
      </c>
    </row>
    <row r="7" s="1" customFormat="1" ht="30" spans="1:9">
      <c r="A7" s="8" t="s">
        <v>106</v>
      </c>
      <c r="B7" s="8" t="s">
        <v>539</v>
      </c>
      <c r="C7" s="8">
        <v>1</v>
      </c>
      <c r="D7" s="8" t="s">
        <v>540</v>
      </c>
      <c r="E7" s="8" t="s">
        <v>541</v>
      </c>
      <c r="F7" s="8" t="s">
        <v>532</v>
      </c>
      <c r="G7" s="8" t="s">
        <v>532</v>
      </c>
      <c r="H7" s="8" t="s">
        <v>533</v>
      </c>
      <c r="I7" s="8" t="s">
        <v>542</v>
      </c>
    </row>
    <row r="8" s="1" customFormat="1" ht="30" spans="1:9">
      <c r="A8" s="9" t="s">
        <v>74</v>
      </c>
      <c r="B8" s="9" t="s">
        <v>543</v>
      </c>
      <c r="C8" s="9">
        <v>2</v>
      </c>
      <c r="D8" s="9" t="s">
        <v>544</v>
      </c>
      <c r="E8" s="9" t="s">
        <v>545</v>
      </c>
      <c r="F8" s="9" t="s">
        <v>546</v>
      </c>
      <c r="G8" s="9" t="s">
        <v>532</v>
      </c>
      <c r="H8" s="9" t="s">
        <v>547</v>
      </c>
      <c r="I8" s="9" t="s">
        <v>548</v>
      </c>
    </row>
    <row r="9" s="1" customFormat="1" ht="30" spans="1:9">
      <c r="A9" s="9" t="s">
        <v>438</v>
      </c>
      <c r="B9" s="9" t="s">
        <v>549</v>
      </c>
      <c r="C9" s="9">
        <v>3</v>
      </c>
      <c r="D9" s="9" t="s">
        <v>550</v>
      </c>
      <c r="E9" s="9" t="s">
        <v>532</v>
      </c>
      <c r="F9" s="9" t="s">
        <v>551</v>
      </c>
      <c r="G9" s="9" t="s">
        <v>532</v>
      </c>
      <c r="H9" s="9" t="s">
        <v>547</v>
      </c>
      <c r="I9" s="9" t="s">
        <v>552</v>
      </c>
    </row>
    <row r="10" s="1" customFormat="1" ht="30" spans="1:9">
      <c r="A10" s="9" t="s">
        <v>553</v>
      </c>
      <c r="B10" s="9" t="s">
        <v>554</v>
      </c>
      <c r="C10" s="9">
        <v>4</v>
      </c>
      <c r="D10" s="9" t="s">
        <v>555</v>
      </c>
      <c r="E10" s="9" t="s">
        <v>556</v>
      </c>
      <c r="F10" s="9" t="s">
        <v>546</v>
      </c>
      <c r="G10" s="9" t="s">
        <v>532</v>
      </c>
      <c r="H10" s="9" t="s">
        <v>547</v>
      </c>
      <c r="I10" s="9" t="s">
        <v>557</v>
      </c>
    </row>
    <row r="11" s="1" customFormat="1" ht="30" spans="1:9">
      <c r="A11" s="9" t="s">
        <v>442</v>
      </c>
      <c r="B11" s="9" t="s">
        <v>558</v>
      </c>
      <c r="C11" s="9">
        <v>5</v>
      </c>
      <c r="D11" s="9" t="s">
        <v>559</v>
      </c>
      <c r="E11" s="9" t="s">
        <v>560</v>
      </c>
      <c r="F11" s="9" t="s">
        <v>561</v>
      </c>
      <c r="G11" s="9" t="s">
        <v>532</v>
      </c>
      <c r="H11" s="9" t="s">
        <v>547</v>
      </c>
      <c r="I11" s="9" t="s">
        <v>562</v>
      </c>
    </row>
    <row r="12" s="1" customFormat="1" ht="30" spans="1:9">
      <c r="A12" s="9" t="s">
        <v>95</v>
      </c>
      <c r="B12" s="9" t="s">
        <v>563</v>
      </c>
      <c r="C12" s="9">
        <v>100</v>
      </c>
      <c r="D12" s="9" t="s">
        <v>564</v>
      </c>
      <c r="E12" s="9" t="s">
        <v>565</v>
      </c>
      <c r="F12" s="9" t="s">
        <v>532</v>
      </c>
      <c r="G12" s="9" t="s">
        <v>532</v>
      </c>
      <c r="H12" s="9" t="s">
        <v>547</v>
      </c>
      <c r="I12" s="9" t="s">
        <v>566</v>
      </c>
    </row>
    <row r="14" s="1" customFormat="1" ht="15.6" spans="1:9">
      <c r="A14" s="10" t="s">
        <v>567</v>
      </c>
    </row>
    <row r="16" s="1" customFormat="1" ht="15.6" spans="1:9">
      <c r="A16" s="11" t="s">
        <v>568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16" workbookViewId="0">
      <selection activeCell="E11" sqref="E11"/>
    </sheetView>
  </sheetViews>
  <sheetFormatPr defaultColWidth="9" defaultRowHeight="13.8"/>
  <cols>
    <col min="1" max="1" width="22" style="1" customWidth="1"/>
    <col min="2" max="3" width="20" style="1" customWidth="1"/>
    <col min="4" max="4" width="34" style="1" customWidth="1"/>
    <col min="5" max="5" width="12" style="1" customWidth="1"/>
    <col min="6" max="6" width="8" style="1" customWidth="1"/>
    <col min="7" max="7" width="12" style="1" customWidth="1"/>
    <col min="8" max="8" width="18" style="1" customWidth="1"/>
    <col min="9" max="9" width="22" style="1" customWidth="1"/>
    <col min="10" max="16384" width="9" style="1"/>
  </cols>
  <sheetData>
    <row r="1" s="1" customFormat="1" ht="19.8" spans="1:9">
      <c r="A1" s="2" t="s">
        <v>569</v>
      </c>
    </row>
    <row r="2" s="1" customFormat="1" ht="90" spans="1:9">
      <c r="A2" s="5" t="s">
        <v>570</v>
      </c>
    </row>
    <row r="4" s="1" customFormat="1" ht="15.6" spans="1:9">
      <c r="A4" s="6" t="s">
        <v>571</v>
      </c>
    </row>
    <row r="5" s="1" customFormat="1" ht="28" customHeight="1" spans="1:9">
      <c r="A5" s="7" t="s">
        <v>572</v>
      </c>
    </row>
    <row r="7" s="1" customFormat="1" ht="31.2" spans="1:9">
      <c r="A7" s="3" t="s">
        <v>573</v>
      </c>
      <c r="B7" s="3" t="s">
        <v>574</v>
      </c>
      <c r="C7" s="3" t="s">
        <v>575</v>
      </c>
      <c r="D7" s="3" t="s">
        <v>576</v>
      </c>
      <c r="E7" s="3" t="s">
        <v>577</v>
      </c>
      <c r="F7" s="3" t="s">
        <v>578</v>
      </c>
      <c r="G7" s="3" t="s">
        <v>579</v>
      </c>
      <c r="H7" s="3" t="s">
        <v>580</v>
      </c>
      <c r="I7" s="3" t="s">
        <v>577</v>
      </c>
    </row>
    <row r="8" s="1" customFormat="1" ht="30" spans="1:9">
      <c r="A8" s="4" t="s">
        <v>33</v>
      </c>
      <c r="B8" s="4" t="s">
        <v>581</v>
      </c>
      <c r="C8" s="4" t="s">
        <v>582</v>
      </c>
      <c r="D8" s="4" t="s">
        <v>583</v>
      </c>
      <c r="E8" s="4" t="s">
        <v>584</v>
      </c>
      <c r="F8" s="4" t="s">
        <v>530</v>
      </c>
      <c r="G8" s="4" t="s">
        <v>529</v>
      </c>
      <c r="H8" s="4">
        <v>0</v>
      </c>
      <c r="I8" s="4" t="s">
        <v>531</v>
      </c>
    </row>
    <row r="9" s="1" customFormat="1" ht="30" spans="1:9">
      <c r="A9" s="4" t="s">
        <v>583</v>
      </c>
      <c r="B9" s="4" t="s">
        <v>583</v>
      </c>
      <c r="C9" s="4" t="s">
        <v>583</v>
      </c>
      <c r="D9" s="4" t="s">
        <v>583</v>
      </c>
      <c r="E9" s="4" t="s">
        <v>583</v>
      </c>
      <c r="F9" s="4" t="s">
        <v>539</v>
      </c>
      <c r="G9" s="4" t="s">
        <v>106</v>
      </c>
      <c r="H9" s="4">
        <v>1</v>
      </c>
      <c r="I9" s="4" t="s">
        <v>540</v>
      </c>
    </row>
    <row r="10" s="1" customFormat="1" ht="30" spans="1:9">
      <c r="A10" s="4" t="s">
        <v>583</v>
      </c>
      <c r="B10" s="4" t="s">
        <v>583</v>
      </c>
      <c r="C10" s="4" t="s">
        <v>583</v>
      </c>
      <c r="D10" s="4" t="s">
        <v>583</v>
      </c>
      <c r="E10" s="4" t="s">
        <v>583</v>
      </c>
      <c r="F10" s="4" t="s">
        <v>543</v>
      </c>
      <c r="G10" s="4" t="s">
        <v>74</v>
      </c>
      <c r="H10" s="4">
        <v>2</v>
      </c>
      <c r="I10" s="4" t="s">
        <v>585</v>
      </c>
    </row>
    <row r="11" s="1" customFormat="1" ht="30" spans="1:9">
      <c r="A11" s="4" t="s">
        <v>583</v>
      </c>
      <c r="B11" s="4" t="s">
        <v>583</v>
      </c>
      <c r="C11" s="4" t="s">
        <v>583</v>
      </c>
      <c r="D11" s="4" t="s">
        <v>583</v>
      </c>
      <c r="E11" s="4" t="s">
        <v>583</v>
      </c>
      <c r="F11" s="4" t="s">
        <v>549</v>
      </c>
      <c r="G11" s="4" t="s">
        <v>438</v>
      </c>
      <c r="H11" s="4">
        <v>3</v>
      </c>
      <c r="I11" s="4" t="s">
        <v>586</v>
      </c>
    </row>
    <row r="12" s="1" customFormat="1" ht="30" spans="1:9">
      <c r="A12" s="4" t="s">
        <v>583</v>
      </c>
      <c r="B12" s="4" t="s">
        <v>583</v>
      </c>
      <c r="C12" s="4" t="s">
        <v>583</v>
      </c>
      <c r="D12" s="4" t="s">
        <v>583</v>
      </c>
      <c r="E12" s="4" t="s">
        <v>583</v>
      </c>
      <c r="F12" s="4" t="s">
        <v>554</v>
      </c>
      <c r="G12" s="4" t="s">
        <v>553</v>
      </c>
      <c r="H12" s="4">
        <v>4</v>
      </c>
      <c r="I12" s="4" t="s">
        <v>587</v>
      </c>
    </row>
    <row r="13" s="1" customFormat="1" ht="30" spans="1:9">
      <c r="A13" s="4" t="s">
        <v>583</v>
      </c>
      <c r="B13" s="4" t="s">
        <v>583</v>
      </c>
      <c r="C13" s="4" t="s">
        <v>583</v>
      </c>
      <c r="D13" s="4" t="s">
        <v>583</v>
      </c>
      <c r="E13" s="4" t="s">
        <v>583</v>
      </c>
      <c r="F13" s="4" t="s">
        <v>558</v>
      </c>
      <c r="G13" s="4" t="s">
        <v>442</v>
      </c>
      <c r="H13" s="4">
        <v>5</v>
      </c>
      <c r="I13" s="4" t="s">
        <v>588</v>
      </c>
    </row>
    <row r="14" s="1" customFormat="1" ht="30" spans="1:9">
      <c r="A14" s="4" t="s">
        <v>583</v>
      </c>
      <c r="B14" s="4" t="s">
        <v>583</v>
      </c>
      <c r="C14" s="4" t="s">
        <v>583</v>
      </c>
      <c r="D14" s="4" t="s">
        <v>583</v>
      </c>
      <c r="E14" s="4" t="s">
        <v>583</v>
      </c>
      <c r="F14" s="4" t="s">
        <v>563</v>
      </c>
      <c r="G14" s="4" t="s">
        <v>95</v>
      </c>
      <c r="H14" s="4">
        <v>100</v>
      </c>
      <c r="I14" s="4" t="s">
        <v>589</v>
      </c>
    </row>
    <row r="15" s="1" customFormat="1" ht="30" spans="1:9">
      <c r="A15" s="4" t="s">
        <v>583</v>
      </c>
      <c r="B15" s="4" t="s">
        <v>583</v>
      </c>
      <c r="C15" s="4" t="s">
        <v>583</v>
      </c>
      <c r="D15" s="4" t="s">
        <v>583</v>
      </c>
      <c r="E15" s="4" t="s">
        <v>583</v>
      </c>
      <c r="F15" s="4" t="s">
        <v>535</v>
      </c>
      <c r="G15" s="4" t="s">
        <v>281</v>
      </c>
      <c r="H15" s="4">
        <v>900</v>
      </c>
      <c r="I15" s="4" t="s">
        <v>590</v>
      </c>
    </row>
    <row r="17" s="1" customFormat="1" ht="15.6" spans="1:9">
      <c r="A17" s="6" t="s">
        <v>591</v>
      </c>
    </row>
    <row r="18" s="1" customFormat="1" ht="42" customHeight="1" spans="1:9">
      <c r="A18" s="7" t="s">
        <v>592</v>
      </c>
    </row>
    <row r="20" s="1" customFormat="1" ht="31.2" spans="1:9">
      <c r="A20" s="3" t="s">
        <v>573</v>
      </c>
      <c r="B20" s="3" t="s">
        <v>593</v>
      </c>
      <c r="C20" s="3" t="s">
        <v>594</v>
      </c>
      <c r="D20" s="3" t="s">
        <v>595</v>
      </c>
      <c r="E20" s="3" t="s">
        <v>596</v>
      </c>
      <c r="F20" s="3" t="s">
        <v>597</v>
      </c>
      <c r="G20" s="3" t="s">
        <v>576</v>
      </c>
      <c r="H20" s="3" t="s">
        <v>577</v>
      </c>
      <c r="I20" s="3" t="s">
        <v>598</v>
      </c>
    </row>
    <row r="21" s="1" customFormat="1" ht="30" spans="1:9">
      <c r="A21" s="4" t="s">
        <v>599</v>
      </c>
      <c r="B21" s="4" t="s">
        <v>600</v>
      </c>
      <c r="C21" s="4" t="s">
        <v>582</v>
      </c>
      <c r="D21" s="4" t="s">
        <v>601</v>
      </c>
      <c r="E21" s="4" t="s">
        <v>602</v>
      </c>
      <c r="F21" s="4" t="s">
        <v>603</v>
      </c>
      <c r="G21" s="4" t="s">
        <v>602</v>
      </c>
      <c r="H21" s="4" t="s">
        <v>604</v>
      </c>
      <c r="I21" s="4" t="s">
        <v>605</v>
      </c>
    </row>
    <row r="23" s="1" customFormat="1" ht="15.6" spans="1:9">
      <c r="A23" s="6" t="s">
        <v>606</v>
      </c>
    </row>
    <row r="24" s="1" customFormat="1" ht="98" customHeight="1" spans="1:9">
      <c r="A24" s="7" t="s">
        <v>607</v>
      </c>
    </row>
    <row r="26" s="1" customFormat="1" ht="15.6" spans="1:9">
      <c r="A26" s="6" t="s">
        <v>608</v>
      </c>
    </row>
    <row r="27" s="1" customFormat="1" ht="28" customHeight="1" spans="1:9">
      <c r="A27" s="7" t="s">
        <v>609</v>
      </c>
    </row>
  </sheetData>
  <mergeCells count="8">
    <mergeCell ref="A4:D4"/>
    <mergeCell ref="A5:D5"/>
    <mergeCell ref="A17:D17"/>
    <mergeCell ref="A18:D18"/>
    <mergeCell ref="A23:D23"/>
    <mergeCell ref="A24:D24"/>
    <mergeCell ref="A26:D26"/>
    <mergeCell ref="A27:D2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A1" sqref="$A1:$XFD1048576"/>
    </sheetView>
  </sheetViews>
  <sheetFormatPr defaultColWidth="9" defaultRowHeight="13.8" outlineLevelRow="3" outlineLevelCol="2"/>
  <cols>
    <col min="1" max="1" width="14" style="1" customWidth="1"/>
    <col min="2" max="2" width="10" style="1" customWidth="1"/>
    <col min="3" max="3" width="108" style="1" customWidth="1"/>
    <col min="4" max="16384" width="9" style="1"/>
  </cols>
  <sheetData>
    <row r="1" s="1" customFormat="1" ht="19.8" spans="1:3">
      <c r="A1" s="2" t="s">
        <v>610</v>
      </c>
    </row>
    <row r="3" s="1" customFormat="1" ht="15.6" spans="1:3">
      <c r="A3" s="3" t="s">
        <v>611</v>
      </c>
      <c r="B3" s="3" t="s">
        <v>478</v>
      </c>
      <c r="C3" s="3" t="s">
        <v>612</v>
      </c>
    </row>
    <row r="4" s="1" customFormat="1" ht="60" spans="1:3">
      <c r="A4" s="4" t="s">
        <v>613</v>
      </c>
      <c r="B4" s="4" t="s">
        <v>614</v>
      </c>
      <c r="C4" s="4" t="s">
        <v>615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item_config</vt:lpstr>
      <vt:lpstr>item_effect_config</vt:lpstr>
      <vt:lpstr>编号表</vt:lpstr>
      <vt:lpstr>更新说明</vt:lpstr>
      <vt:lpstr>字段说明</vt:lpstr>
      <vt:lpstr>效果算子对照</vt:lpstr>
      <vt:lpstr>枚举与注册</vt:lpstr>
      <vt:lpstr>物品效果更新说明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Kane</dc:creator>
  <cp:lastModifiedBy>白鸠-PuFF</cp:lastModifiedBy>
  <dcterms:created xsi:type="dcterms:W3CDTF">2019-08-16T02:41:00Z</dcterms:created>
  <dcterms:modified xsi:type="dcterms:W3CDTF">2026-08-20T11:20:52Z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KSOReadingLayout">
    <vt:bool>true</vt:bool>
  </property>
  <property fmtid="{D5CDD505-2E9C-101B-9397-08002B2CF9AE}" pid="4" name="ICV">
    <vt:lpwstr>F0AE49BEF5CC483E811D67B93D60AC71_13</vt:lpwstr>
  </property>
  <property fmtid="{D5CDD505-2E9C-101B-9397-08002B2CF9AE}" pid="5" name="CalculationRule">
    <vt:i4>0</vt:i4>
  </property>
</Properties>
</file>